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현재_통합_문서" defaultThemeVersion="124226"/>
  <bookViews>
    <workbookView xWindow="-14550" yWindow="3840" windowWidth="26880" windowHeight="14475"/>
  </bookViews>
  <sheets>
    <sheet name="Sheet1" sheetId="4" r:id="rId1"/>
  </sheets>
  <functionGroups/>
  <definedNames>
    <definedName name="_xleta.IF" hidden="1" xlm="1">#NAME?</definedName>
    <definedName name="Call_input">Sheet1!$H$4</definedName>
    <definedName name="fut_code">Sheet1!$C$5</definedName>
    <definedName name="Yield_input">Sheet1!$E$9:$E$11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" i="4"/>
  <c r="C4"/>
  <c r="C16"/>
  <c r="B6"/>
  <c r="C14"/>
  <c r="C15"/>
  <c r="E6"/>
  <c r="N11"/>
  <c r="T11"/>
  <c r="H5"/>
  <c r="R9"/>
  <c r="R10"/>
  <c r="S10"/>
  <c r="H6"/>
  <c r="S9"/>
  <c r="T9"/>
  <c r="T10"/>
  <c r="R11"/>
  <c r="S11"/>
  <c r="P4" l="1"/>
  <c r="N9"/>
  <c r="N10"/>
  <c r="I4" a="1"/>
  <c r="I4" l="1"/>
  <c r="H4" s="1"/>
  <c r="P3" l="1"/>
  <c r="Q9" a="1"/>
  <c r="Q9" s="1"/>
  <c r="E9" s="1"/>
  <c r="Q10" a="1"/>
  <c r="Q10" s="1"/>
  <c r="E10" s="1"/>
  <c r="Q11" a="1"/>
  <c r="Q11" s="1"/>
  <c r="E11" s="1"/>
  <c r="Q2" l="1"/>
  <c r="E4"/>
  <c r="D10"/>
  <c r="F14" l="1"/>
  <c r="P9" s="1"/>
  <c r="H14" s="1"/>
  <c r="F15"/>
  <c r="P10" s="1"/>
  <c r="H15" s="1"/>
  <c r="F16"/>
  <c r="P11" s="1"/>
  <c r="H16" s="1"/>
  <c r="F21"/>
  <c r="B7"/>
  <c r="E21"/>
  <c r="D15"/>
  <c r="D9"/>
  <c r="C21"/>
  <c r="F10"/>
  <c r="B11"/>
  <c r="F11"/>
  <c r="B10"/>
  <c r="D16"/>
  <c r="D14"/>
  <c r="C19"/>
  <c r="E15"/>
  <c r="E16"/>
  <c r="B9"/>
  <c r="E14"/>
  <c r="F9"/>
  <c r="D11"/>
  <c r="F19"/>
  <c r="B15" l="1"/>
  <c r="M9"/>
  <c r="O9" s="1"/>
  <c r="M11"/>
  <c r="O11" s="1"/>
  <c r="G16" s="1"/>
  <c r="G11" s="1"/>
  <c r="B14"/>
  <c r="B16"/>
  <c r="M10"/>
  <c r="O10" s="1"/>
  <c r="G15" s="1"/>
  <c r="G10" s="1"/>
  <c r="H10"/>
  <c r="H11"/>
  <c r="G14" l="1"/>
  <c r="G9" s="1"/>
  <c r="H9"/>
  <c r="D21" l="1"/>
  <c r="D19"/>
  <c r="E19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<sst xmlns="http://schemas.openxmlformats.org/spreadsheetml/2006/main" count="51" uniqueCount="50">
  <si>
    <t>만기일</t>
    <phoneticPr fontId="1" type="noConversion"/>
  </si>
  <si>
    <t>표면이율</t>
    <phoneticPr fontId="1" type="noConversion"/>
  </si>
  <si>
    <t>수익률</t>
    <phoneticPr fontId="1" type="noConversion"/>
  </si>
  <si>
    <t>가격</t>
    <phoneticPr fontId="1" type="noConversion"/>
  </si>
  <si>
    <t>차기이자지급일</t>
    <phoneticPr fontId="1" type="noConversion"/>
  </si>
  <si>
    <t>잔존</t>
    <phoneticPr fontId="1" type="noConversion"/>
  </si>
  <si>
    <t>YTM</t>
    <phoneticPr fontId="1" type="noConversion"/>
  </si>
  <si>
    <t>최종거래일</t>
  </si>
  <si>
    <t xml:space="preserve">평가일 </t>
  </si>
  <si>
    <t xml:space="preserve">통안 </t>
  </si>
  <si>
    <t xml:space="preserve">콜 </t>
  </si>
  <si>
    <t xml:space="preserve">CD 91 </t>
  </si>
  <si>
    <t>(한국은행)</t>
  </si>
  <si>
    <t>(최종호가)</t>
  </si>
  <si>
    <t>수익률 입력</t>
  </si>
  <si>
    <t>민평3사</t>
  </si>
  <si>
    <t>장외</t>
  </si>
  <si>
    <t>장내국채</t>
  </si>
  <si>
    <t>잔존</t>
  </si>
  <si>
    <t>선도금리</t>
  </si>
  <si>
    <t>채권코드</t>
  </si>
  <si>
    <t>주기</t>
  </si>
  <si>
    <t>차기 지급일</t>
  </si>
  <si>
    <t>PV 이자</t>
  </si>
  <si>
    <t>이자</t>
  </si>
  <si>
    <t>선물가격</t>
  </si>
  <si>
    <t>이론가격</t>
  </si>
  <si>
    <t>저평가</t>
  </si>
  <si>
    <t>선물 수익률</t>
  </si>
  <si>
    <t>평균선도금리</t>
  </si>
  <si>
    <t>M.Dur</t>
  </si>
  <si>
    <t>현물 수익률</t>
  </si>
  <si>
    <t>현물 가격</t>
  </si>
  <si>
    <t xml:space="preserve"> 국채선물 이론가 계산</t>
  </si>
  <si>
    <t>장외-현재수익률</t>
  </si>
  <si>
    <t>장내국채-현재수익률</t>
  </si>
  <si>
    <t>민평3사 수익률(산출일)</t>
  </si>
  <si>
    <t>선도가격</t>
  </si>
  <si>
    <t>채권</t>
  </si>
  <si>
    <t>바스켓 채권</t>
  </si>
  <si>
    <t>선물 코드</t>
  </si>
  <si>
    <t>165</t>
    <phoneticPr fontId="1" type="noConversion"/>
  </si>
  <si>
    <t>166</t>
    <phoneticPr fontId="1" type="noConversion"/>
  </si>
  <si>
    <t>167</t>
    <phoneticPr fontId="1" type="noConversion"/>
  </si>
  <si>
    <t>170</t>
    <phoneticPr fontId="1" type="noConversion"/>
  </si>
  <si>
    <t>A6563000</t>
    <phoneticPr fontId="1" type="noConversion"/>
  </si>
  <si>
    <t>A65</t>
    <phoneticPr fontId="1" type="noConversion"/>
  </si>
  <si>
    <t>A66</t>
    <phoneticPr fontId="1" type="noConversion"/>
  </si>
  <si>
    <t>A67</t>
    <phoneticPr fontId="1" type="noConversion"/>
  </si>
  <si>
    <t>A70</t>
    <phoneticPr fontId="1" type="noConversion"/>
  </si>
</sst>
</file>

<file path=xl/styles.xml><?xml version="1.0" encoding="utf-8"?>
<styleSheet xmlns="http://schemas.openxmlformats.org/spreadsheetml/2006/main">
  <numFmts count="6">
    <numFmt numFmtId="176" formatCode="0.000"/>
    <numFmt numFmtId="177" formatCode="0.0000"/>
    <numFmt numFmtId="178" formatCode="#,##0.00_ ;\-#,##0.00\ "/>
    <numFmt numFmtId="179" formatCode="#,##0.000_ ;\-#,##0.000\ "/>
    <numFmt numFmtId="180" formatCode="#,##0.0_ ;\-#,##0.0\ "/>
    <numFmt numFmtId="181" formatCode="#,##0.0000_ ;\-#,##0.0000\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10"/>
      <color rgb="FF000000"/>
      <name val="Calibri"/>
      <family val="2"/>
    </font>
    <font>
      <sz val="9"/>
      <color theme="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theme="0" tint="-0.24994659260841701"/>
      </top>
      <bottom style="dashed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dashed">
        <color theme="0" tint="-0.24994659260841701"/>
      </top>
      <bottom style="dashed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dashed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ashed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 style="dashed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 style="dashed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14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0" fontId="4" fillId="2" borderId="0" xfId="0" applyFont="1" applyFill="1" applyAlignment="1">
      <alignment horizontal="left" vertical="center"/>
    </xf>
    <xf numFmtId="14" fontId="3" fillId="0" borderId="1" xfId="0" applyNumberFormat="1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14" fontId="3" fillId="0" borderId="18" xfId="0" applyNumberFormat="1" applyFont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4" fontId="3" fillId="0" borderId="15" xfId="0" applyNumberFormat="1" applyFont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8" fillId="3" borderId="4" xfId="0" applyFont="1" applyFill="1" applyBorder="1" applyAlignment="1">
      <alignment horizontal="right" vertical="center"/>
    </xf>
    <xf numFmtId="0" fontId="8" fillId="3" borderId="6" xfId="0" applyFont="1" applyFill="1" applyBorder="1" applyAlignment="1">
      <alignment horizontal="right" vertical="center"/>
    </xf>
    <xf numFmtId="0" fontId="8" fillId="3" borderId="8" xfId="0" applyFont="1" applyFill="1" applyBorder="1" applyAlignment="1">
      <alignment horizontal="right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79" fontId="3" fillId="0" borderId="0" xfId="0" applyNumberFormat="1" applyFont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9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179" fontId="3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9" fontId="3" fillId="0" borderId="7" xfId="1" applyNumberFormat="1" applyFont="1" applyFill="1" applyBorder="1" applyAlignment="1">
      <alignment vertical="center"/>
    </xf>
    <xf numFmtId="179" fontId="3" fillId="0" borderId="9" xfId="1" applyNumberFormat="1" applyFont="1" applyFill="1" applyBorder="1" applyAlignment="1">
      <alignment vertical="center"/>
    </xf>
    <xf numFmtId="178" fontId="3" fillId="0" borderId="18" xfId="0" applyNumberFormat="1" applyFont="1" applyBorder="1" applyAlignment="1">
      <alignment vertical="center"/>
    </xf>
    <xf numFmtId="178" fontId="3" fillId="0" borderId="16" xfId="0" applyNumberFormat="1" applyFont="1" applyBorder="1" applyAlignment="1">
      <alignment vertical="center"/>
    </xf>
    <xf numFmtId="179" fontId="3" fillId="0" borderId="18" xfId="0" applyNumberFormat="1" applyFont="1" applyBorder="1" applyAlignment="1">
      <alignment vertical="center"/>
    </xf>
    <xf numFmtId="178" fontId="3" fillId="0" borderId="7" xfId="0" applyNumberFormat="1" applyFont="1" applyBorder="1" applyAlignment="1">
      <alignment vertical="center"/>
    </xf>
    <xf numFmtId="178" fontId="3" fillId="0" borderId="6" xfId="0" applyNumberFormat="1" applyFont="1" applyBorder="1" applyAlignment="1">
      <alignment vertical="center"/>
    </xf>
    <xf numFmtId="179" fontId="3" fillId="0" borderId="7" xfId="0" applyNumberFormat="1" applyFont="1" applyBorder="1" applyAlignment="1">
      <alignment vertical="center"/>
    </xf>
    <xf numFmtId="178" fontId="3" fillId="0" borderId="9" xfId="0" applyNumberFormat="1" applyFont="1" applyBorder="1" applyAlignment="1">
      <alignment vertical="center"/>
    </xf>
    <xf numFmtId="178" fontId="3" fillId="0" borderId="8" xfId="0" applyNumberFormat="1" applyFont="1" applyBorder="1" applyAlignment="1">
      <alignment vertical="center"/>
    </xf>
    <xf numFmtId="179" fontId="3" fillId="0" borderId="9" xfId="0" applyNumberFormat="1" applyFont="1" applyBorder="1" applyAlignment="1">
      <alignment vertical="center"/>
    </xf>
    <xf numFmtId="179" fontId="3" fillId="0" borderId="4" xfId="0" applyNumberFormat="1" applyFont="1" applyBorder="1" applyAlignment="1">
      <alignment vertical="center"/>
    </xf>
    <xf numFmtId="178" fontId="3" fillId="0" borderId="4" xfId="0" applyNumberFormat="1" applyFont="1" applyBorder="1" applyAlignment="1">
      <alignment vertical="center"/>
    </xf>
    <xf numFmtId="179" fontId="3" fillId="0" borderId="5" xfId="0" applyNumberFormat="1" applyFont="1" applyBorder="1" applyAlignment="1">
      <alignment vertical="center"/>
    </xf>
    <xf numFmtId="179" fontId="3" fillId="0" borderId="6" xfId="0" applyNumberFormat="1" applyFont="1" applyBorder="1" applyAlignment="1">
      <alignment vertical="center"/>
    </xf>
    <xf numFmtId="179" fontId="3" fillId="0" borderId="8" xfId="0" applyNumberFormat="1" applyFont="1" applyBorder="1" applyAlignment="1">
      <alignment vertical="center"/>
    </xf>
    <xf numFmtId="178" fontId="3" fillId="0" borderId="0" xfId="0" applyNumberFormat="1" applyFont="1" applyAlignment="1">
      <alignment vertical="center"/>
    </xf>
    <xf numFmtId="179" fontId="3" fillId="0" borderId="23" xfId="0" applyNumberFormat="1" applyFont="1" applyBorder="1" applyAlignment="1">
      <alignment vertical="center"/>
    </xf>
    <xf numFmtId="179" fontId="3" fillId="0" borderId="12" xfId="0" applyNumberFormat="1" applyFont="1" applyBorder="1" applyAlignment="1">
      <alignment vertical="center"/>
    </xf>
    <xf numFmtId="179" fontId="3" fillId="0" borderId="13" xfId="0" applyNumberFormat="1" applyFont="1" applyBorder="1" applyAlignment="1">
      <alignment vertical="center"/>
    </xf>
    <xf numFmtId="181" fontId="3" fillId="0" borderId="13" xfId="0" applyNumberFormat="1" applyFont="1" applyFill="1" applyBorder="1" applyAlignment="1">
      <alignment vertical="center"/>
    </xf>
    <xf numFmtId="179" fontId="3" fillId="0" borderId="24" xfId="0" applyNumberFormat="1" applyFont="1" applyFill="1" applyBorder="1" applyAlignment="1">
      <alignment vertical="center"/>
    </xf>
    <xf numFmtId="179" fontId="3" fillId="0" borderId="25" xfId="0" applyNumberFormat="1" applyFont="1" applyFill="1" applyBorder="1" applyAlignment="1">
      <alignment vertical="center"/>
    </xf>
    <xf numFmtId="179" fontId="3" fillId="0" borderId="14" xfId="0" applyNumberFormat="1" applyFont="1" applyFill="1" applyBorder="1" applyAlignment="1">
      <alignment vertical="center"/>
    </xf>
    <xf numFmtId="179" fontId="3" fillId="4" borderId="16" xfId="0" applyNumberFormat="1" applyFont="1" applyFill="1" applyBorder="1" applyAlignment="1">
      <alignment vertical="center"/>
    </xf>
    <xf numFmtId="179" fontId="3" fillId="4" borderId="6" xfId="0" applyNumberFormat="1" applyFont="1" applyFill="1" applyBorder="1" applyAlignment="1">
      <alignment vertical="center"/>
    </xf>
    <xf numFmtId="179" fontId="3" fillId="4" borderId="8" xfId="0" applyNumberFormat="1" applyFont="1" applyFill="1" applyBorder="1" applyAlignment="1">
      <alignment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9" fontId="3" fillId="4" borderId="5" xfId="1" applyNumberFormat="1" applyFont="1" applyFill="1" applyBorder="1" applyAlignment="1">
      <alignment vertical="center"/>
    </xf>
    <xf numFmtId="0" fontId="3" fillId="0" borderId="0" xfId="0" quotePrefix="1" applyFont="1">
      <alignment vertical="center"/>
    </xf>
    <xf numFmtId="14" fontId="8" fillId="0" borderId="0" xfId="0" applyNumberFormat="1" applyFont="1" applyAlignment="1">
      <alignment horizontal="center" vertical="center"/>
    </xf>
    <xf numFmtId="0" fontId="3" fillId="0" borderId="16" xfId="0" applyFont="1" applyBorder="1" applyAlignment="1">
      <alignment horizontal="right" vertical="center"/>
    </xf>
    <xf numFmtId="0" fontId="3" fillId="0" borderId="17" xfId="0" applyFont="1" applyBorder="1" applyAlignment="1">
      <alignment horizontal="right" vertical="center"/>
    </xf>
    <xf numFmtId="0" fontId="8" fillId="3" borderId="19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3" xfId="0" applyFont="1" applyBorder="1" applyAlignment="1">
      <alignment horizontal="right" vertical="center"/>
    </xf>
    <xf numFmtId="0" fontId="3" fillId="0" borderId="8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</cellXfs>
  <cellStyles count="2">
    <cellStyle name="백분율" xfId="1" builtinId="5"/>
    <cellStyle name="표준" xfId="0" builtinId="0"/>
  </cellStyles>
  <dxfs count="2">
    <dxf>
      <fill>
        <patternFill patternType="darkUp">
          <fgColor theme="0" tint="-0.14996795556505021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>국고02500-3009(25-8)</v>
        <stp/>
        <stp>P</stp>
        <stp>0</stp>
        <stp>BND</stp>
        <stp>KR103503GF95</stp>
        <stp>한글종목명</stp>
        <stp/>
        <stp/>
        <tr r="B11" s="4"/>
      </tp>
      <tp t="s">
        <v>국고02250-2806(25-4)</v>
        <stp/>
        <stp>P</stp>
        <stp>0</stp>
        <stp>BND</stp>
        <stp>KR103501GF63</stp>
        <stp>한글종목명</stp>
        <stp/>
        <stp/>
        <tr r="B10" s="4"/>
      </tp>
      <tp t="s">
        <v>국고02875-2712(24-12)</v>
        <stp/>
        <stp>P</stp>
        <stp>0</stp>
        <stp>BND</stp>
        <stp>KR103501GEC6</stp>
        <stp>한글종목명</stp>
        <stp/>
        <stp/>
        <tr r="B9" s="4"/>
      </tp>
      <tp>
        <v>2.86</v>
        <stp/>
        <stp>P</stp>
        <stp>0</stp>
        <stp>BND</stp>
        <stp>KR103501GEC6</stp>
        <stp>민평3사 수익률(산출일)</stp>
        <stp>46031</stp>
        <stp/>
        <tr r="T9" s="4"/>
      </tp>
      <tp t="s">
        <v>06M</v>
        <stp/>
        <stp>P</stp>
        <stp>0</stp>
        <stp>BND</stp>
        <stp>KR103501GEC6</stp>
        <stp>이자지급기간</stp>
        <stp/>
        <stp/>
        <tr r="E14" s="4"/>
      </tp>
      <tp>
        <v>2.7848999999999999</v>
        <stp/>
        <stp>P</stp>
        <stp>0</stp>
        <stp>FUT</stp>
        <stp>A6563000</stp>
        <stp>수정듀레이션</stp>
        <stp>46031</stp>
        <stp/>
        <tr r="E21" s="4"/>
      </tp>
      <tp>
        <v>2.98</v>
        <stp/>
        <stp>C</stp>
        <stp>0</stp>
        <stp>KR103501GF63</stp>
        <stp>세전수익률</stp>
        <stp>46098</stp>
        <stp>9902.80335714221</stp>
        <stp>세전단가</stp>
        <tr r="H10" s="4"/>
      </tp>
      <tp>
        <v>2.88</v>
        <stp/>
        <stp>C</stp>
        <stp>0</stp>
        <stp>KR103501GEC6</stp>
        <stp>세전수익률</stp>
        <stp>46098</stp>
        <stp>10075.1099971735</stp>
        <stp>세전단가</stp>
        <tr r="H9" s="4"/>
      </tp>
      <tp t="s">
        <v>3년국채    F 202603</v>
        <stp/>
        <stp>P</stp>
        <stp>0</stp>
        <stp>FUT</stp>
        <stp>A6563000</stp>
        <stp>한글종목명</stp>
        <stp/>
        <stp/>
        <tr r="B6" s="4"/>
      </tp>
      <tp>
        <v>3.1880000000000002</v>
        <stp/>
        <stp>C</stp>
        <stp>0</stp>
        <stp>KR103503GF95</stp>
        <stp>세전수익률</stp>
        <stp>46098</stp>
        <stp>9719.44854876515</stp>
        <stp>세전단가</stp>
        <tr r="H11" s="4"/>
      </tp>
      <tp>
        <v>2.9820000000000002</v>
        <stp/>
        <stp>P</stp>
        <stp>0</stp>
        <stp>BND</stp>
        <stp>KR103501GF63</stp>
        <stp>장외-현재수익률</stp>
        <stp>46031</stp>
        <stp/>
        <tr r="R10" s="4"/>
      </tp>
      <tp>
        <v>3.1920000000000002</v>
        <stp/>
        <stp>P</stp>
        <stp>0</stp>
        <stp>BND</stp>
        <stp>KR103503GF95</stp>
        <stp>장외-현재수익률</stp>
        <stp>46031</stp>
        <stp/>
        <tr r="R11" s="4"/>
      </tp>
      <tp>
        <v>2.875</v>
        <stp/>
        <stp>P</stp>
        <stp>0</stp>
        <stp>BND</stp>
        <stp>KR103501GEC6</stp>
        <stp>장외-현재수익률</stp>
        <stp>46031</stp>
        <stp/>
        <tr r="R9" s="4"/>
      </tp>
      <tp>
        <v>9796.7199999999993</v>
        <stp/>
        <stp>C</stp>
        <stp>0</stp>
        <stp>KR103503GF95</stp>
        <stp>세전단가</stp>
        <stp>46031</stp>
        <stp>3.165</stp>
        <stp>세전수익률</stp>
        <tr r="F11" s="4"/>
      </tp>
      <tp>
        <v>9854.7199999999993</v>
        <stp/>
        <stp>C</stp>
        <stp>0</stp>
        <stp>KR103501GF63</stp>
        <stp>세전단가</stp>
        <stp>46031</stp>
        <stp>2.956</stp>
        <stp>세전수익률</stp>
        <tr r="F10" s="4"/>
      </tp>
      <tp>
        <v>3.165</v>
        <stp/>
        <stp>P</stp>
        <stp>0</stp>
        <stp>BND</stp>
        <stp>KR103503GF95</stp>
        <stp>민평3사 수익률(산출일)</stp>
        <stp>46031</stp>
        <stp/>
        <tr r="T11" s="4"/>
      </tp>
      <tp t="s">
        <v>06M</v>
        <stp/>
        <stp>P</stp>
        <stp>0</stp>
        <stp>BND</stp>
        <stp>KR103503GF95</stp>
        <stp>이자지급기간</stp>
        <stp/>
        <stp/>
        <tr r="E16" s="4"/>
      </tp>
      <tp>
        <v>2.956</v>
        <stp/>
        <stp>P</stp>
        <stp>0</stp>
        <stp>BND</stp>
        <stp>KR103501GF63</stp>
        <stp>민평3사 수익률(산출일)</stp>
        <stp>46031</stp>
        <stp/>
        <tr r="T10" s="4"/>
      </tp>
      <tp t="s">
        <v>06M</v>
        <stp/>
        <stp>P</stp>
        <stp>0</stp>
        <stp>BND</stp>
        <stp>KR103501GF63</stp>
        <stp>이자지급기간</stp>
        <stp/>
        <stp/>
        <tr r="E15" s="4"/>
      </tp>
      <tp>
        <v>2.544</v>
        <stp/>
        <stp>P</stp>
        <stp>0</stp>
        <stp>ECO</stp>
        <stp>700504</stp>
        <stp>현재가</stp>
        <stp>46031</stp>
        <stp>fill=true</stp>
        <tr r="I4" s="4"/>
      </tp>
      <tp>
        <v>46731</v>
        <stp/>
        <stp>P</stp>
        <stp>0</stp>
        <stp>BND</stp>
        <stp>KR103501GEC6</stp>
        <stp>만기일</stp>
        <stp/>
        <stp>DtFmt=1</stp>
        <tr r="D9" s="4"/>
      </tp>
      <tp>
        <v>20260610</v>
        <stp/>
        <stp>P</stp>
        <stp>0</stp>
        <stp>BND</stp>
        <stp>KR103501GEC6</stp>
        <stp>차기이자지급일</stp>
        <stp/>
        <stp/>
        <tr r="N9" s="4"/>
      </tp>
      <tp>
        <v>20260310</v>
        <stp/>
        <stp>P</stp>
        <stp>0</stp>
        <stp>BND</stp>
        <stp>KR103503GF95</stp>
        <stp>차기이자지급일</stp>
        <stp/>
        <stp/>
        <tr r="N11" s="4"/>
      </tp>
      <tp>
        <v>20260610</v>
        <stp/>
        <stp>P</stp>
        <stp>0</stp>
        <stp>BND</stp>
        <stp>KR103501GF63</stp>
        <stp>차기이자지급일</stp>
        <stp/>
        <stp/>
        <tr r="N10" s="4"/>
      </tp>
      <tp>
        <v>2.7</v>
        <stp/>
        <stp>P</stp>
        <stp>0</stp>
        <stp>IR</stp>
        <stp>BONDKSDCAL08</stp>
        <stp>대표수익률</stp>
        <stp>46031</stp>
        <stp>fill=true</stp>
        <tr r="H5" s="4"/>
      </tp>
      <tp t="s">
        <v/>
        <stp/>
        <stp>P</stp>
        <stp>0</stp>
        <stp>BND</stp>
        <stp>KR103501GF63</stp>
        <stp>장내국채-현재수익률</stp>
        <stp>46031</stp>
        <stp/>
        <tr r="S10" s="4"/>
      </tp>
      <tp t="s">
        <v/>
        <stp/>
        <stp>P</stp>
        <stp>0</stp>
        <stp>BND</stp>
        <stp>KR103501GEC6</stp>
        <stp>장내국채-현재수익률</stp>
        <stp>46031</stp>
        <stp/>
        <tr r="S9" s="4"/>
      </tp>
      <tp>
        <v>3.194</v>
        <stp/>
        <stp>P</stp>
        <stp>0</stp>
        <stp>BND</stp>
        <stp>KR103503GF95</stp>
        <stp>장내국채-현재수익률</stp>
        <stp>46031</stp>
        <stp/>
        <tr r="S11" s="4"/>
      </tp>
      <tp>
        <v>2.5209999999999999</v>
        <stp/>
        <stp>P</stp>
        <stp>0</stp>
        <stp>IR</stp>
        <stp>BONDKSDCAL02</stp>
        <stp>대표수익률</stp>
        <stp>46031</stp>
        <stp>fill=true</stp>
        <tr r="H6" s="4"/>
      </tp>
      <tp>
        <v>105.36</v>
        <stp/>
        <stp>P</stp>
        <stp>0</stp>
        <stp>FUT</stp>
        <stp>A6563000</stp>
        <stp>현재가</stp>
        <stp>46031</stp>
        <stp/>
        <tr r="C19" s="4"/>
      </tp>
      <tp>
        <v>3.1150000000000002</v>
        <stp/>
        <stp>P</stp>
        <stp>0</stp>
        <stp>FUT</stp>
        <stp>A6563000</stp>
        <stp>선물내재수익률</stp>
        <stp>46031</stp>
        <stp/>
        <tr r="C21" s="4"/>
      </tp>
      <tp>
        <v>10026.19</v>
        <stp/>
        <stp>C</stp>
        <stp>0</stp>
        <stp>KR103501GEC6</stp>
        <stp>세전단가</stp>
        <stp>46031</stp>
        <stp>2.86</stp>
        <stp>세전수익률</stp>
        <tr r="F9" s="4"/>
      </tp>
      <tp t="s">
        <v>KR103501GEC6</v>
        <stp/>
        <stp>P</stp>
        <stp>0</stp>
        <stp>FUT</stp>
        <stp>A6563000</stp>
        <stp>바스켓1종목코드</stp>
        <stp/>
        <stp/>
        <tr r="C14" s="4"/>
      </tp>
      <tp t="s">
        <v>KR103501GF63</v>
        <stp/>
        <stp>P</stp>
        <stp>0</stp>
        <stp>FUT</stp>
        <stp>A6563000</stp>
        <stp>바스켓2종목코드</stp>
        <stp/>
        <stp/>
        <tr r="C15" s="4"/>
      </tp>
      <tp t="s">
        <v>KR103503GF95</v>
        <stp/>
        <stp>P</stp>
        <stp>0</stp>
        <stp>FUT</stp>
        <stp>A6563000</stp>
        <stp>바스켓3종목코드</stp>
        <stp/>
        <stp/>
        <tr r="C16" s="4"/>
      </tp>
      <tp>
        <v>46914</v>
        <stp/>
        <stp>P</stp>
        <stp>0</stp>
        <stp>BND</stp>
        <stp>KR103501GF63</stp>
        <stp>만기일</stp>
        <stp/>
        <stp>DtFmt=1</stp>
        <tr r="D10" s="4"/>
      </tp>
      <tp>
        <v>47736</v>
        <stp/>
        <stp>P</stp>
        <stp>0</stp>
        <stp>BND</stp>
        <stp>KR103503GF95</stp>
        <stp>만기일</stp>
        <stp/>
        <stp>DtFmt=1</stp>
        <tr r="D11" s="4"/>
      </tp>
      <tp>
        <v>2.25</v>
        <stp/>
        <stp>P</stp>
        <stp>0</stp>
        <stp>BND</stp>
        <stp>KR103501GF63</stp>
        <stp>표면이율</stp>
        <stp/>
        <stp/>
        <tr r="D15" s="4"/>
      </tp>
      <tp>
        <v>2.5</v>
        <stp/>
        <stp>P</stp>
        <stp>0</stp>
        <stp>BND</stp>
        <stp>KR103503GF95</stp>
        <stp>표면이율</stp>
        <stp/>
        <stp/>
        <tr r="D16" s="4"/>
      </tp>
      <tp>
        <v>2.875</v>
        <stp/>
        <stp>P</stp>
        <stp>0</stp>
        <stp>BND</stp>
        <stp>KR103501GEC6</stp>
        <stp>표면이율</stp>
        <stp/>
        <stp/>
        <tr r="D14" s="4"/>
      </tp>
      <tp>
        <v>46098</v>
        <stp/>
        <stp>P</stp>
        <stp>0</stp>
        <stp>FUT</stp>
        <stp>A6563000</stp>
        <stp>최종거래일</stp>
        <stp/>
        <stp>DtFmt=1</stp>
        <tr r="E6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N$2" fmlaRange="$N$3:$N$6" noThreeD="1" sel="4" val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24"/>
  <sheetViews>
    <sheetView showGridLines="0" tabSelected="1" workbookViewId="0">
      <selection activeCell="D3" sqref="D3"/>
    </sheetView>
  </sheetViews>
  <sheetFormatPr defaultColWidth="0" defaultRowHeight="16.5" zeroHeight="1"/>
  <cols>
    <col min="1" max="1" width="1.25" style="1" customWidth="1"/>
    <col min="2" max="2" width="9.625" style="1" customWidth="1"/>
    <col min="3" max="3" width="14.875" style="1" customWidth="1"/>
    <col min="4" max="4" width="15" style="1" customWidth="1"/>
    <col min="5" max="5" width="13.375" style="1" customWidth="1"/>
    <col min="6" max="7" width="13.125" style="1" customWidth="1"/>
    <col min="8" max="8" width="13.375" style="1" customWidth="1"/>
    <col min="9" max="9" width="9.25" style="1" bestFit="1" customWidth="1"/>
    <col min="10" max="10" width="11" style="1" bestFit="1" customWidth="1"/>
    <col min="11" max="11" width="2.375" style="1" customWidth="1"/>
    <col min="12" max="12" width="9.125" style="1" hidden="1"/>
    <col min="13" max="13" width="10.125" style="1" hidden="1"/>
    <col min="14" max="14" width="9.25" style="1" hidden="1"/>
    <col min="15" max="15" width="12.875" style="1" hidden="1"/>
    <col min="16" max="16" width="11.375" style="1" hidden="1"/>
    <col min="17" max="24" width="9.125" style="1" hidden="1"/>
    <col min="25" max="25" width="9.25" style="1" hidden="1"/>
    <col min="26" max="16384" width="9.125" style="1" hidden="1"/>
  </cols>
  <sheetData>
    <row r="1" spans="1:25" ht="5.25" customHeight="1"/>
    <row r="2" spans="1:25" ht="30.75" customHeight="1">
      <c r="B2" s="8" t="s">
        <v>33</v>
      </c>
      <c r="C2" s="37"/>
      <c r="D2" s="38"/>
      <c r="E2" s="38"/>
      <c r="F2" s="38"/>
      <c r="G2" s="38"/>
      <c r="H2" s="38"/>
      <c r="I2" s="38"/>
      <c r="J2" s="38"/>
      <c r="K2" s="39"/>
      <c r="N2" s="1">
        <v>4</v>
      </c>
      <c r="P2" s="2" t="s">
        <v>18</v>
      </c>
      <c r="Q2" s="1" t="b">
        <f ca="1">IFERROR( $P$3&lt;0, TRUE)</f>
        <v>0</v>
      </c>
    </row>
    <row r="3" spans="1:25" ht="5.25" customHeight="1" thickBot="1">
      <c r="B3" s="39"/>
      <c r="C3" s="39"/>
      <c r="D3" s="39"/>
      <c r="E3" s="39"/>
      <c r="F3" s="39"/>
      <c r="G3" s="39"/>
      <c r="H3" s="39"/>
      <c r="I3" s="39"/>
      <c r="J3" s="39"/>
      <c r="K3" s="39"/>
      <c r="N3" s="1" t="s">
        <v>14</v>
      </c>
      <c r="P3" s="3">
        <f ca="1">($E$6-$C$4)/365</f>
        <v>0.18356164383561643</v>
      </c>
    </row>
    <row r="4" spans="1:25" ht="18" customHeight="1">
      <c r="B4" s="26" t="s">
        <v>8</v>
      </c>
      <c r="C4" s="69">
        <f ca="1">TODAY()</f>
        <v>46031</v>
      </c>
      <c r="D4" s="39"/>
      <c r="E4" s="34">
        <f ca="1">IFERROR( IF( $P$3&gt;$P$5, FORECAST($P$3, $H$5:$H$6, $P$5:$P$6), FORECAST($P$3, $H$4:$H$5, $P$4:$P$5) ), "" )</f>
        <v>2.6580831024930744</v>
      </c>
      <c r="F4" s="39"/>
      <c r="G4" s="28" t="s">
        <v>10</v>
      </c>
      <c r="H4" s="71">
        <f ca="1">I4</f>
        <v>2.544</v>
      </c>
      <c r="I4" s="40" cm="1">
        <f t="array" aca="1" ref="I4" ca="1">_xll.IMDP("ECO", "700504", "현재가", $C$4, "fill=true")</f>
        <v>2.544</v>
      </c>
      <c r="J4" s="41" t="s">
        <v>12</v>
      </c>
      <c r="K4" s="39"/>
      <c r="N4" s="1" t="s">
        <v>16</v>
      </c>
      <c r="P4" s="4">
        <f>1/365</f>
        <v>2.7397260273972603E-3</v>
      </c>
    </row>
    <row r="5" spans="1:25" ht="18" customHeight="1">
      <c r="B5" s="36" t="s">
        <v>40</v>
      </c>
      <c r="C5" s="70" t="s">
        <v>45</v>
      </c>
      <c r="D5" s="39"/>
      <c r="E5" s="27" t="s">
        <v>7</v>
      </c>
      <c r="F5" s="39"/>
      <c r="G5" s="29" t="s">
        <v>11</v>
      </c>
      <c r="H5" s="42">
        <f ca="1">_xll.IMDP("IR", "BONDKSDCAL08", "대표수익률", $C$4, "fill=true")</f>
        <v>2.7</v>
      </c>
      <c r="I5" s="41" t="s">
        <v>13</v>
      </c>
      <c r="J5" s="39"/>
      <c r="K5" s="39"/>
      <c r="N5" s="1" t="s">
        <v>17</v>
      </c>
      <c r="P5" s="4">
        <v>0.25</v>
      </c>
    </row>
    <row r="6" spans="1:25" ht="18" customHeight="1" thickBot="1">
      <c r="B6" s="73" t="str">
        <f>_xll.IMDP("FUT", $C5, "한글종목명")</f>
        <v>3년국채    F 202603</v>
      </c>
      <c r="C6" s="73"/>
      <c r="D6" s="39"/>
      <c r="E6" s="9">
        <f>_xll.IMDP("FUT", $C5, "최종거래일", , "DtFmt=1")</f>
        <v>46098</v>
      </c>
      <c r="F6" s="39"/>
      <c r="G6" s="30" t="s">
        <v>9</v>
      </c>
      <c r="H6" s="43">
        <f ca="1">_xll.IMDP("IR", "BONDKSDCAL02", "대표수익률", $C$4, "fill=true")</f>
        <v>2.5209999999999999</v>
      </c>
      <c r="I6" s="41" t="s">
        <v>13</v>
      </c>
      <c r="J6" s="39"/>
      <c r="K6" s="39"/>
      <c r="N6" s="1" t="s">
        <v>15</v>
      </c>
      <c r="P6" s="4">
        <v>1</v>
      </c>
    </row>
    <row r="7" spans="1:25" ht="21.75" customHeight="1" thickBot="1">
      <c r="B7" s="82" t="str">
        <f ca="1">IF($Q$2, "※거래 중인 선물만 계산 가능합니다", "")</f>
        <v/>
      </c>
      <c r="C7" s="82"/>
      <c r="D7" s="82"/>
      <c r="E7" s="82"/>
      <c r="F7" s="82"/>
      <c r="G7" s="82"/>
      <c r="H7" s="82"/>
      <c r="I7" s="82"/>
      <c r="J7" s="82"/>
      <c r="K7" s="82"/>
    </row>
    <row r="8" spans="1:25" ht="18" customHeight="1" thickBot="1">
      <c r="B8" s="76" t="s">
        <v>39</v>
      </c>
      <c r="C8" s="77"/>
      <c r="D8" s="24" t="s">
        <v>0</v>
      </c>
      <c r="E8" s="23" t="s">
        <v>2</v>
      </c>
      <c r="F8" s="24" t="s">
        <v>3</v>
      </c>
      <c r="G8" s="23" t="s">
        <v>37</v>
      </c>
      <c r="H8" s="24" t="s">
        <v>19</v>
      </c>
      <c r="I8" s="39"/>
      <c r="J8" s="39"/>
      <c r="K8" s="39"/>
      <c r="N8" s="2" t="s">
        <v>4</v>
      </c>
      <c r="O8" s="2" t="s">
        <v>24</v>
      </c>
      <c r="P8" s="2" t="s">
        <v>5</v>
      </c>
      <c r="R8" s="1" t="s">
        <v>34</v>
      </c>
      <c r="S8" s="1" t="s">
        <v>35</v>
      </c>
      <c r="T8" s="1" t="s">
        <v>36</v>
      </c>
    </row>
    <row r="9" spans="1:25" ht="18" customHeight="1">
      <c r="B9" s="74" t="str">
        <f ca="1">IF($Q$2, "", IF(C14="","",_xll.IMDP("BND", $C14, "한글종목명")) )</f>
        <v>국고02875-2712(24-12)</v>
      </c>
      <c r="C9" s="75"/>
      <c r="D9" s="12">
        <f ca="1">IF($Q$2, "", IF(C14="","",_xll.IMDP("BND", $C14, "만기일",,"DtFmt=1")) )</f>
        <v>46731</v>
      </c>
      <c r="E9" s="66">
        <f ca="1">IF(C14="", "", Q9)</f>
        <v>2.86</v>
      </c>
      <c r="F9" s="44">
        <f ca="1">IF(OR($Q$2,E9=""), "", IF(C14="","",_xll.IMBC($C14, "세전단가", $C$4, $E9, "세전수익률")) )</f>
        <v>10026.19</v>
      </c>
      <c r="G9" s="45">
        <f ca="1">IFERROR( ($F9-$G14) * (1+$P$3*$E$4/100), "")</f>
        <v>10075.109997173502</v>
      </c>
      <c r="H9" s="46">
        <f ca="1">IF(OR($Q$2,G9=""), "", _xll.IMBC($C14, "세전수익률", $E$6, $G9, "세전단가") )</f>
        <v>2.88</v>
      </c>
      <c r="I9" s="39"/>
      <c r="J9" s="39"/>
      <c r="K9" s="39"/>
      <c r="M9" s="1">
        <f ca="1">VALUE(SUBSTITUTE($E14,"M",""))</f>
        <v>6</v>
      </c>
      <c r="N9" s="1">
        <f>_xll.IMDP("BND", $C14, N$8)</f>
        <v>20260610</v>
      </c>
      <c r="O9" s="7">
        <f ca="1">IF( $E$6&gt;$F14, $D14*100/(12/$M9),0 )</f>
        <v>0</v>
      </c>
      <c r="P9" s="5">
        <f ca="1">(F14-$C$4)/365</f>
        <v>0.41643835616438357</v>
      </c>
      <c r="Q9" s="1" cm="1">
        <f t="array" aca="1" ref="Q9" ca="1">IF($N$2=1, "", INDEX($R9:$T9, 0, $N$2-1))</f>
        <v>2.86</v>
      </c>
      <c r="R9" s="1">
        <f ca="1">_xll.IMDP("BND", $C14, R$8, $C$4)</f>
        <v>2.875</v>
      </c>
      <c r="S9" s="1" t="str">
        <f ca="1">_xll.IMDP("BND", $C14, S$8, $C$4)</f>
        <v/>
      </c>
      <c r="T9" s="1">
        <f ca="1">_xll.IMDP("BND", $C14, T$8, $C$4)</f>
        <v>2.86</v>
      </c>
    </row>
    <row r="10" spans="1:25" ht="18" customHeight="1">
      <c r="B10" s="78" t="str">
        <f ca="1">IF($Q$2, "", IF(C15="","",_xll.IMDP("BND", $C15, "한글종목명")) )</f>
        <v>국고02250-2806(25-4)</v>
      </c>
      <c r="C10" s="79"/>
      <c r="D10" s="10">
        <f ca="1">IF($Q$2, "", IF(C15="","",_xll.IMDP("BND", $C15, "만기일",,"DtFmt=1")) )</f>
        <v>46914</v>
      </c>
      <c r="E10" s="67">
        <f t="shared" ref="E10:E11" ca="1" si="0">IF(C15="", "", Q10)</f>
        <v>2.956</v>
      </c>
      <c r="F10" s="47">
        <f ca="1">IF(OR($Q$2,E10=""), "", IF(C15="","",_xll.IMBC($C15, "세전단가", $C$4, $E10, "세전수익률")) )</f>
        <v>9854.7199999999993</v>
      </c>
      <c r="G10" s="48">
        <f ca="1">IFERROR( ($F10-$G15) * (1+$P$3*$E$4/100), "")</f>
        <v>9902.8033571422093</v>
      </c>
      <c r="H10" s="49">
        <f ca="1">IF(OR($Q$2,G10=""), "", _xll.IMBC($C15, "세전수익률", $E$6, $G10, "세전단가") )</f>
        <v>2.98</v>
      </c>
      <c r="I10" s="39"/>
      <c r="J10" s="39"/>
      <c r="K10" s="39"/>
      <c r="M10" s="1">
        <f ca="1">VALUE(SUBSTITUTE($E15,"M",""))</f>
        <v>6</v>
      </c>
      <c r="N10" s="1">
        <f>_xll.IMDP("BND", $C15, N$8)</f>
        <v>20260610</v>
      </c>
      <c r="O10" s="7">
        <f ca="1">IF( $E$6&gt;$F15, $D15*100/(12/$M10),0 )</f>
        <v>0</v>
      </c>
      <c r="P10" s="5">
        <f t="shared" ref="P10:P11" ca="1" si="1">(F15-$C$4)/365</f>
        <v>0.41643835616438357</v>
      </c>
      <c r="Q10" s="1" cm="1">
        <f t="array" aca="1" ref="Q10" ca="1">IF($N$2=1, "", INDEX($R10:$T10, 0, $N$2-1))</f>
        <v>2.956</v>
      </c>
      <c r="R10" s="1">
        <f ca="1">_xll.IMDP("BND", $C15, R$8, $C$4)</f>
        <v>2.9820000000000002</v>
      </c>
      <c r="S10" s="1" t="str">
        <f ca="1">_xll.IMDP("BND", $C15, S$8, $C$4)</f>
        <v/>
      </c>
      <c r="T10" s="1">
        <f ca="1">_xll.IMDP("BND", $C15, T$8, $C$4)</f>
        <v>2.956</v>
      </c>
      <c r="U10" s="2"/>
    </row>
    <row r="11" spans="1:25" ht="18" customHeight="1" thickBot="1">
      <c r="B11" s="80" t="str">
        <f ca="1">IF($Q$2, "", IF(C16="","",_xll.IMDP("BND", $C16, "한글종목명")) )</f>
        <v>국고02500-3009(25-8)</v>
      </c>
      <c r="C11" s="81"/>
      <c r="D11" s="11">
        <f ca="1">IF($Q$2, "", IF(C16="","",_xll.IMDP("BND", $C16, "만기일",,"DtFmt=1")) )</f>
        <v>47736</v>
      </c>
      <c r="E11" s="68">
        <f t="shared" ca="1" si="0"/>
        <v>3.165</v>
      </c>
      <c r="F11" s="50">
        <f ca="1">IF(OR($Q$2,E11=""), "", IF(C16="","",_xll.IMBC($C16, "세전단가", $C$4, $E11, "세전수익률")) )</f>
        <v>9796.7199999999993</v>
      </c>
      <c r="G11" s="51">
        <f ca="1">IFERROR( ($F11-$G16) * (1+$P$3*$E$4/100), "")</f>
        <v>9719.4485487651491</v>
      </c>
      <c r="H11" s="52">
        <f ca="1">IF(OR($Q$2,G11=""), "", _xll.IMBC($C16, "세전수익률", $E$6, $G11, "세전단가") )</f>
        <v>3.1880000000000002</v>
      </c>
      <c r="I11" s="39"/>
      <c r="J11" s="39"/>
      <c r="K11" s="39"/>
      <c r="M11" s="1">
        <f ca="1">VALUE(SUBSTITUTE($E16,"M",""))</f>
        <v>6</v>
      </c>
      <c r="N11" s="1">
        <f>_xll.IMDP("BND", $C16, N$8)</f>
        <v>20260310</v>
      </c>
      <c r="O11" s="7">
        <f ca="1">IF( $E$6&gt;$F16, $D16*100/(12/$M11),0 )</f>
        <v>125</v>
      </c>
      <c r="P11" s="5">
        <f t="shared" ca="1" si="1"/>
        <v>0.16438356164383561</v>
      </c>
      <c r="Q11" s="1" cm="1">
        <f t="array" aca="1" ref="Q11" ca="1">IF($N$2=1, "", INDEX($R11:$T11, 0, $N$2-1))</f>
        <v>3.165</v>
      </c>
      <c r="R11" s="1">
        <f ca="1">_xll.IMDP("BND", $C16, R$8, $C$4)</f>
        <v>3.1920000000000002</v>
      </c>
      <c r="S11" s="1">
        <f ca="1">_xll.IMDP("BND", $C16, S$8, $C$4)</f>
        <v>3.194</v>
      </c>
      <c r="T11" s="1">
        <f ca="1">_xll.IMDP("BND", $C16, T$8, $C$4)</f>
        <v>3.165</v>
      </c>
    </row>
    <row r="12" spans="1:25" ht="11.25" customHeight="1" thickBot="1">
      <c r="B12" s="39"/>
      <c r="C12" s="39"/>
      <c r="D12" s="39"/>
      <c r="E12" s="39"/>
      <c r="F12" s="39"/>
      <c r="G12" s="39"/>
      <c r="H12" s="39"/>
      <c r="I12" s="39"/>
      <c r="J12" s="39"/>
      <c r="K12" s="39"/>
      <c r="O12" s="6"/>
    </row>
    <row r="13" spans="1:25" ht="18" customHeight="1" thickBot="1">
      <c r="B13" s="23" t="s">
        <v>38</v>
      </c>
      <c r="C13" s="24" t="s">
        <v>20</v>
      </c>
      <c r="D13" s="23" t="s">
        <v>1</v>
      </c>
      <c r="E13" s="25" t="s">
        <v>21</v>
      </c>
      <c r="F13" s="24" t="s">
        <v>22</v>
      </c>
      <c r="G13" s="23" t="s">
        <v>23</v>
      </c>
      <c r="H13" s="24" t="s">
        <v>6</v>
      </c>
      <c r="I13" s="39"/>
      <c r="J13" s="39"/>
      <c r="K13" s="39"/>
      <c r="N13" s="1">
        <f>INDEX($N$14:$N$21,MATCH(LEFT(fut_code,3),$M$14:$M$21,0))</f>
        <v>3</v>
      </c>
    </row>
    <row r="14" spans="1:25" ht="18" customHeight="1">
      <c r="B14" s="15" t="str">
        <f ca="1">IFERROR( RIGHT($B9, LEN($B9)- FIND("(", $B9)+1), "")</f>
        <v>(24-12)</v>
      </c>
      <c r="C14" s="16" t="str">
        <f>_xll.IMDP("FUT", $C$5, "바스켓1종목코드")</f>
        <v>KR103501GEC6</v>
      </c>
      <c r="D14" s="53">
        <f ca="1">IF($Q$2, "",  IF(C14="","",_xll.IMDP("BND", $C14, "표면이율")) )</f>
        <v>2.875</v>
      </c>
      <c r="E14" s="13" t="str">
        <f ca="1">IF($Q$2, "", IF(C14="","",_xll.IMDP("BND", $C14, "이자지급기간")) )</f>
        <v>06M</v>
      </c>
      <c r="F14" s="21">
        <f ca="1">IF($Q$2, "", IFERROR( DATE( LEFT(N9, 4), MID(N9,5,2), RIGHT(N9,2) ), ""))</f>
        <v>46183</v>
      </c>
      <c r="G14" s="54">
        <f ca="1">IFERROR( $O9/(1+$H14/100)^$P9, "")</f>
        <v>0</v>
      </c>
      <c r="H14" s="55">
        <f ca="1">IFERROR( IF( $P9&gt;$P$5, FORECAST($P9, $H$5:$H$6, $P$5:$P$6), FORECAST($P9, $H$4:$H$5, $P$4:$P$5) ), "")</f>
        <v>2.6602767123287672</v>
      </c>
      <c r="I14" s="39"/>
      <c r="J14" s="39"/>
      <c r="K14" s="39"/>
      <c r="M14" s="72" t="s">
        <v>41</v>
      </c>
      <c r="N14" s="1">
        <v>3</v>
      </c>
    </row>
    <row r="15" spans="1:25" ht="18" customHeight="1">
      <c r="A15" s="2"/>
      <c r="B15" s="17" t="str">
        <f t="shared" ref="B15:B16" ca="1" si="2">IFERROR( RIGHT($B10, LEN($B10)- FIND("(", $B10)+1), "")</f>
        <v>(25-4)</v>
      </c>
      <c r="C15" s="18" t="str">
        <f>_xll.IMDP("FUT", $C$5, "바스켓2종목코드")</f>
        <v>KR103501GF63</v>
      </c>
      <c r="D15" s="56">
        <f ca="1">IF($Q$2, "",  IF(C15="","",_xll.IMDP("BND", $C15, "표면이율")) )</f>
        <v>2.25</v>
      </c>
      <c r="E15" s="14" t="str">
        <f ca="1">IF($Q$2, "", IF(C15="","",_xll.IMDP("BND", $C15, "이자지급기간")) )</f>
        <v>06M</v>
      </c>
      <c r="F15" s="10">
        <f t="shared" ref="F15:F16" ca="1" si="3">IF($Q$2, "", IFERROR( DATE( LEFT(N10, 4), MID(N10,5,2), RIGHT(N10,2) ), ""))</f>
        <v>46183</v>
      </c>
      <c r="G15" s="48">
        <f ca="1">IFERROR( $O10/(1+$H15/100)^$P10, "")</f>
        <v>0</v>
      </c>
      <c r="H15" s="49">
        <f ca="1">IFERROR( IF( $P10&gt;$P$5, FORECAST($P10, $H$5:$H$6, $P$5:$P$6), FORECAST($P10, $H$4:$H$5, $P$4:$P$5) ), "")</f>
        <v>2.6602767123287672</v>
      </c>
      <c r="I15" s="39"/>
      <c r="J15" s="39"/>
      <c r="K15" s="39"/>
      <c r="M15" s="72" t="s">
        <v>42</v>
      </c>
      <c r="N15" s="1">
        <v>5</v>
      </c>
      <c r="S15" s="2"/>
      <c r="T15" s="2"/>
      <c r="U15" s="2"/>
      <c r="V15" s="2"/>
      <c r="W15" s="2"/>
      <c r="X15" s="2"/>
      <c r="Y15" s="2"/>
    </row>
    <row r="16" spans="1:25" ht="18" customHeight="1" thickBot="1">
      <c r="B16" s="19" t="str">
        <f t="shared" ca="1" si="2"/>
        <v>(25-8)</v>
      </c>
      <c r="C16" s="20" t="str">
        <f>_xll.IMDP("FUT", $C$5, "바스켓3종목코드")</f>
        <v>KR103503GF95</v>
      </c>
      <c r="D16" s="57">
        <f ca="1">IF($Q$2, "",  IF(C16="","",_xll.IMDP("BND", $C16, "표면이율")) )</f>
        <v>2.5</v>
      </c>
      <c r="E16" s="22" t="str">
        <f ca="1">IF($Q$2, "", IF(C16="","",_xll.IMDP("BND", $C16, "이자지급기간")) )</f>
        <v>06M</v>
      </c>
      <c r="F16" s="11">
        <f t="shared" ca="1" si="3"/>
        <v>46091</v>
      </c>
      <c r="G16" s="51">
        <f ca="1">IFERROR( $O11/(1+$H16/100)^$P11, "")</f>
        <v>124.46452363475385</v>
      </c>
      <c r="H16" s="52">
        <f ca="1">IFERROR( IF( $P11&gt;$P$5, FORECAST($P11, $H$5:$H$6, $P$5:$P$6), FORECAST($P11, $H$4:$H$5, $P$4:$P$5) ), "")</f>
        <v>2.6459833795013847</v>
      </c>
      <c r="I16" s="39"/>
      <c r="J16" s="39"/>
      <c r="K16" s="39"/>
      <c r="M16" s="72" t="s">
        <v>43</v>
      </c>
      <c r="N16" s="1">
        <v>10</v>
      </c>
      <c r="U16" s="6"/>
    </row>
    <row r="17" spans="2:21" ht="12.75" customHeight="1" thickBot="1">
      <c r="B17" s="39"/>
      <c r="C17" s="39"/>
      <c r="D17" s="39"/>
      <c r="E17" s="39"/>
      <c r="F17" s="39"/>
      <c r="G17" s="39"/>
      <c r="H17" s="39"/>
      <c r="I17" s="39"/>
      <c r="J17" s="39"/>
      <c r="K17" s="39"/>
      <c r="M17" s="72" t="s">
        <v>44</v>
      </c>
      <c r="N17" s="1">
        <v>30</v>
      </c>
      <c r="U17" s="6"/>
    </row>
    <row r="18" spans="2:21" ht="18" customHeight="1">
      <c r="B18" s="39"/>
      <c r="C18" s="31" t="s">
        <v>25</v>
      </c>
      <c r="D18" s="32" t="s">
        <v>26</v>
      </c>
      <c r="E18" s="32" t="s">
        <v>27</v>
      </c>
      <c r="F18" s="33" t="s">
        <v>32</v>
      </c>
      <c r="G18" s="39"/>
      <c r="H18" s="39"/>
      <c r="I18" s="39"/>
      <c r="J18" s="58"/>
      <c r="K18" s="39"/>
      <c r="M18" s="1" t="s">
        <v>46</v>
      </c>
      <c r="N18" s="1">
        <v>3</v>
      </c>
    </row>
    <row r="19" spans="2:21" ht="18" customHeight="1" thickBot="1">
      <c r="B19" s="39"/>
      <c r="C19" s="59">
        <f ca="1">IF($Q$2, "", _xll.IMDP("FUT", $C$5, "현재가", $C$4) )</f>
        <v>105.36</v>
      </c>
      <c r="D19" s="63">
        <f ca="1">IF($Q$2, "", xltp_bondprice($C$4, ($C$4+365*$N$13), $C$4, 0.05, 6, $D$21/100)/100 )</f>
        <v>105.65010000000001</v>
      </c>
      <c r="E19" s="35">
        <f ca="1">IFERROR( (C19-D19)*100, "")</f>
        <v>-29.010000000000957</v>
      </c>
      <c r="F19" s="64">
        <f ca="1">IF($Q$2, "", xltp_bondprice($C$4, ($C$4+365*$N$13), $C$4, 0.05, 6, $F$21/100)/100 )</f>
        <v>105.7158</v>
      </c>
      <c r="G19" s="39"/>
      <c r="H19" s="39"/>
      <c r="I19" s="39"/>
      <c r="J19" s="39"/>
      <c r="K19" s="39"/>
      <c r="M19" s="1" t="s">
        <v>47</v>
      </c>
      <c r="N19" s="1">
        <v>5</v>
      </c>
    </row>
    <row r="20" spans="2:21" ht="18" customHeight="1">
      <c r="B20" s="39"/>
      <c r="C20" s="31" t="s">
        <v>28</v>
      </c>
      <c r="D20" s="32" t="s">
        <v>29</v>
      </c>
      <c r="E20" s="32" t="s">
        <v>30</v>
      </c>
      <c r="F20" s="33" t="s">
        <v>31</v>
      </c>
      <c r="G20" s="39"/>
      <c r="H20" s="39"/>
      <c r="I20" s="39"/>
      <c r="J20" s="39"/>
      <c r="K20" s="39"/>
      <c r="M20" s="1" t="s">
        <v>48</v>
      </c>
      <c r="N20" s="1">
        <v>10</v>
      </c>
    </row>
    <row r="21" spans="2:21" ht="18" customHeight="1" thickBot="1">
      <c r="B21" s="39"/>
      <c r="C21" s="60">
        <f ca="1">IF($Q$2, "", _xll.IMDP("FUT", $C$5, "선물내재수익률", $C$4) )</f>
        <v>3.1150000000000002</v>
      </c>
      <c r="D21" s="61">
        <f ca="1">IFERROR( AVERAGE($H$9:$H$11), "")</f>
        <v>3.016</v>
      </c>
      <c r="E21" s="62">
        <f ca="1">IF($Q$2, "", _xll.IMDP("FUT", $C$5, "수정듀레이션", $C$4) )</f>
        <v>2.7848999999999999</v>
      </c>
      <c r="F21" s="65">
        <f ca="1">IF($Q$2, "", IFERROR( AVERAGE($E$9:$E$11), "") )</f>
        <v>2.9936666666666665</v>
      </c>
      <c r="G21" s="39"/>
      <c r="H21" s="39"/>
      <c r="I21" s="39"/>
      <c r="J21" s="39"/>
      <c r="K21" s="39"/>
      <c r="M21" s="1" t="s">
        <v>49</v>
      </c>
      <c r="N21" s="1">
        <v>30</v>
      </c>
    </row>
    <row r="22" spans="2:21"/>
    <row r="23" spans="2:21"/>
    <row r="24" spans="2:21"/>
  </sheetData>
  <mergeCells count="6">
    <mergeCell ref="B6:C6"/>
    <mergeCell ref="B9:C9"/>
    <mergeCell ref="B8:C8"/>
    <mergeCell ref="B10:C10"/>
    <mergeCell ref="B11:C11"/>
    <mergeCell ref="B7:K7"/>
  </mergeCells>
  <phoneticPr fontId="1" type="noConversion"/>
  <conditionalFormatting sqref="B7 E6">
    <cfRule type="expression" dxfId="1" priority="2">
      <formula>$Q$2</formula>
    </cfRule>
  </conditionalFormatting>
  <conditionalFormatting sqref="G9:H11 F14:H16 C19:F19 C21:F21">
    <cfRule type="expression" dxfId="0" priority="1">
      <formula>$Q$2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3</vt:i4>
      </vt:variant>
    </vt:vector>
  </HeadingPairs>
  <TitlesOfParts>
    <vt:vector size="4" baseType="lpstr">
      <vt:lpstr>Sheet1</vt:lpstr>
      <vt:lpstr>Call_input</vt:lpstr>
      <vt:lpstr>fut_code</vt:lpstr>
      <vt:lpstr>Yield_input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dcterms:created xsi:type="dcterms:W3CDTF">2020-05-13T02:07:49Z</dcterms:created>
  <dcterms:modified xsi:type="dcterms:W3CDTF">2026-01-09T07:45:12Z</dcterms:modified>
</cp:coreProperties>
</file>