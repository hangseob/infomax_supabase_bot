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현재_통합_문서"/>
  <bookViews>
    <workbookView xWindow="5385" yWindow="2970" windowWidth="21600" windowHeight="11295"/>
  </bookViews>
  <sheets>
    <sheet name="대차거래" sheetId="2" r:id="rId1"/>
    <sheet name="raw" sheetId="4" state="hidden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/>
  <c r="A1" i="4" l="1" a="1"/>
  <c r="A1" s="1"/>
  <c r="F232" a="1"/>
  <c r="F166" a="1"/>
  <c r="F107" a="1"/>
  <c r="F16" a="1"/>
  <c r="F184" a="1"/>
  <c r="F235" a="1"/>
  <c r="F110" a="1"/>
  <c r="F51" a="1"/>
  <c r="F169" a="1"/>
  <c r="F128" a="1"/>
  <c r="F213" a="1"/>
  <c r="F61" a="1"/>
  <c r="F17" a="1"/>
  <c r="F47" a="1"/>
  <c r="F86" a="1"/>
  <c r="F218" a="1"/>
  <c r="F140" a="1"/>
  <c r="F63" a="1"/>
  <c r="F103" a="1"/>
  <c r="F111" a="1"/>
  <c r="F18" a="1"/>
  <c r="F26" a="1"/>
  <c r="F240" a="1"/>
  <c r="F11" a="1"/>
  <c r="F79" a="1"/>
  <c r="F9" a="1"/>
  <c r="F190" a="1"/>
  <c r="F157" a="1"/>
  <c r="F182" a="1"/>
  <c r="F87" a="1"/>
  <c r="F216" a="1"/>
  <c r="F150" a="1"/>
  <c r="F91" a="1"/>
  <c r="F8" a="1"/>
  <c r="F168" a="1"/>
  <c r="F227" a="1"/>
  <c r="F93" a="1"/>
  <c r="F82" a="1"/>
  <c r="F121" a="1"/>
  <c r="F112" a="1"/>
  <c r="F244" a="1"/>
  <c r="F31" a="1"/>
  <c r="F177" a="1"/>
  <c r="F183" a="1"/>
  <c r="F70" a="1"/>
  <c r="F209" a="1"/>
  <c r="F78" a="1"/>
  <c r="F143" a="1"/>
  <c r="F154" a="1"/>
  <c r="F106" a="1"/>
  <c r="F48" a="1"/>
  <c r="F76" a="1"/>
  <c r="F245" a="1"/>
  <c r="F129" a="1"/>
  <c r="F167" a="1"/>
  <c r="F2" a="1"/>
  <c r="F90" a="1"/>
  <c r="F53" a="1"/>
  <c r="F237" a="1"/>
  <c r="F151" a="1"/>
  <c r="F29" a="1"/>
  <c r="F220" a="1"/>
  <c r="F126" a="1"/>
  <c r="F189" a="1"/>
  <c r="F230" a="1"/>
  <c r="F134" a="1"/>
  <c r="F75" a="1"/>
  <c r="F25" a="1"/>
  <c r="F152" a="1"/>
  <c r="F219" a="1"/>
  <c r="F74" a="1"/>
  <c r="F35" a="1"/>
  <c r="F97" a="1"/>
  <c r="F7" a="1"/>
  <c r="F54" a="1"/>
  <c r="F80" a="1"/>
  <c r="F21" a="1"/>
  <c r="F81" a="1"/>
  <c r="F38" a="1"/>
  <c r="F181" a="1"/>
  <c r="F172" a="1"/>
  <c r="F221" a="1"/>
  <c r="F214" a="1"/>
  <c r="F118" a="1"/>
  <c r="F59" a="1"/>
  <c r="F3" a="1"/>
  <c r="F136" a="1"/>
  <c r="F211" a="1"/>
  <c r="F204" a="1"/>
  <c r="F161" a="1"/>
  <c r="F201" a="1"/>
  <c r="F205" a="1"/>
  <c r="F249" a="1"/>
  <c r="F187" a="1"/>
  <c r="F58" a="1"/>
  <c r="F231" a="1"/>
  <c r="F101" a="1"/>
  <c r="F43" a="1"/>
  <c r="F145" a="1"/>
  <c r="F120" a="1"/>
  <c r="F242" a="1"/>
  <c r="F27" a="1"/>
  <c r="F165" a="1"/>
  <c r="F179" a="1"/>
  <c r="F65" a="1"/>
  <c r="F250" a="1"/>
  <c r="F109" a="1"/>
  <c r="F202" a="1"/>
  <c r="F135" a="1"/>
  <c r="F30" a="1"/>
  <c r="F193" a="1"/>
  <c r="F196" a="1"/>
  <c r="F52" a="1"/>
  <c r="F222" a="1"/>
  <c r="F62" a="1"/>
  <c r="F223" a="1"/>
  <c r="F85" a="1"/>
  <c r="F50" a="1"/>
  <c r="F100" a="1"/>
  <c r="F105" a="1"/>
  <c r="F243" a="1"/>
  <c r="F185" a="1"/>
  <c r="F117" a="1"/>
  <c r="F163" a="1"/>
  <c r="F49" a="1"/>
  <c r="F207" a="1"/>
  <c r="F60" a="1"/>
  <c r="F178" a="1"/>
  <c r="F119" a="1"/>
  <c r="F22" a="1"/>
  <c r="F206" a="1"/>
  <c r="F127" a="1"/>
  <c r="F138" a="1"/>
  <c r="F225" a="1"/>
  <c r="F108" a="1"/>
  <c r="F153" a="1"/>
  <c r="F95" a="1"/>
  <c r="F191" a="1"/>
  <c r="F146" a="1"/>
  <c r="F164" a="1"/>
  <c r="F137" a="1"/>
  <c r="F124" a="1"/>
  <c r="F234" a="1"/>
  <c r="F175" a="1"/>
  <c r="F24" a="1"/>
  <c r="F33" a="1"/>
  <c r="F215" a="1"/>
  <c r="F66" a="1"/>
  <c r="F23" a="1"/>
  <c r="F55" a="1"/>
  <c r="F89" a="1"/>
  <c r="F251" a="1"/>
  <c r="F149" a="1"/>
  <c r="F68" a="1"/>
  <c r="F147" a="1"/>
  <c r="F36" a="1"/>
  <c r="F199" a="1"/>
  <c r="F228" a="1"/>
  <c r="F162" a="1"/>
  <c r="F104" a="1"/>
  <c r="F14" a="1"/>
  <c r="F180" a="1"/>
  <c r="F64" a="1"/>
  <c r="F69" a="1"/>
  <c r="F241" a="1"/>
  <c r="F46" a="1"/>
  <c r="F236" a="1"/>
  <c r="F37" a="1"/>
  <c r="F200" a="1"/>
  <c r="F188" a="1"/>
  <c r="F73" a="1"/>
  <c r="F248" a="1"/>
  <c r="F194" a="1"/>
  <c r="F28" a="1"/>
  <c r="F212" a="1"/>
  <c r="F6" a="1"/>
  <c r="F5" a="1"/>
  <c r="F10" a="1"/>
  <c r="F148" a="1"/>
  <c r="F156" a="1"/>
  <c r="F71" a="1"/>
  <c r="F102" a="1"/>
  <c r="F246" a="1"/>
  <c r="F131" a="1"/>
  <c r="F88" a="1"/>
  <c r="F197" a="1"/>
  <c r="F19" a="1"/>
  <c r="F113" a="1"/>
  <c r="F123" a="1"/>
  <c r="F77" a="1"/>
  <c r="F238" a="1"/>
  <c r="F13" a="1"/>
  <c r="F141" a="1"/>
  <c r="F171" a="1"/>
  <c r="F57" a="1"/>
  <c r="D1"/>
  <c r="F44" a="1"/>
  <c r="F174" a="1"/>
  <c r="F115" a="1"/>
  <c r="F20" a="1"/>
  <c r="F198" a="1"/>
  <c r="F226" a="1"/>
  <c r="F130" a="1"/>
  <c r="F72" a="1"/>
  <c r="F186" a="1"/>
  <c r="F34" a="1"/>
  <c r="F67" a="1"/>
  <c r="F84" a="1"/>
  <c r="F239" a="1"/>
  <c r="F173" a="1"/>
  <c r="F92" a="1"/>
  <c r="F155" a="1"/>
  <c r="F41" a="1"/>
  <c r="F203" a="1"/>
  <c r="F224" a="1"/>
  <c r="F158" a="1"/>
  <c r="F99" a="1"/>
  <c r="F12" a="1"/>
  <c r="F176" a="1"/>
  <c r="F210" a="1"/>
  <c r="F114" a="1"/>
  <c r="F56" a="1"/>
  <c r="F192" a="1"/>
  <c r="F132" a="1"/>
  <c r="F122" a="1"/>
  <c r="F217" a="1"/>
  <c r="F94" a="1"/>
  <c r="F159" a="1"/>
  <c r="F170" a="1"/>
  <c r="F125" a="1"/>
  <c r="F39" a="1"/>
  <c r="F139" a="1"/>
  <c r="F32" a="1"/>
  <c r="F195" a="1"/>
  <c r="F208" a="1"/>
  <c r="F142" a="1"/>
  <c r="F83" a="1"/>
  <c r="F4" a="1"/>
  <c r="F160" a="1"/>
  <c r="F229" a="1"/>
  <c r="F98" a="1"/>
  <c r="F133" a="1"/>
  <c r="F116" a="1"/>
  <c r="F45" a="1"/>
  <c r="F96" a="1"/>
  <c r="F15" a="1"/>
  <c r="F42" a="1"/>
  <c r="F247" a="1"/>
  <c r="F40" a="1"/>
  <c r="F233" a="1"/>
  <c r="F144" a="1"/>
  <c r="F18" l="1"/>
  <c r="F48"/>
  <c r="D48" s="1"/>
  <c r="F21"/>
  <c r="F190"/>
  <c r="D190" s="1"/>
  <c r="F157"/>
  <c r="D157" s="1"/>
  <c r="F153"/>
  <c r="D153" s="1"/>
  <c r="F236"/>
  <c r="D236" s="1"/>
  <c r="F124"/>
  <c r="D124" s="1"/>
  <c r="F175"/>
  <c r="D175" s="1"/>
  <c r="F170"/>
  <c r="D170" s="1"/>
  <c r="F233"/>
  <c r="D233" s="1"/>
  <c r="F62"/>
  <c r="D62" s="1"/>
  <c r="F111"/>
  <c r="D111" s="1"/>
  <c r="F106"/>
  <c r="D106" s="1"/>
  <c r="F240"/>
  <c r="D240" s="1"/>
  <c r="F205"/>
  <c r="D205" s="1"/>
  <c r="F172"/>
  <c r="D172" s="1"/>
  <c r="F108"/>
  <c r="D108" s="1"/>
  <c r="F46"/>
  <c r="D46" s="1"/>
  <c r="F10"/>
  <c r="F113"/>
  <c r="D113" s="1"/>
  <c r="F159"/>
  <c r="D159" s="1"/>
  <c r="F96"/>
  <c r="D96" s="1"/>
  <c r="F58"/>
  <c r="D58" s="1"/>
  <c r="F103"/>
  <c r="D103" s="1"/>
  <c r="F154"/>
  <c r="D154" s="1"/>
  <c r="F90"/>
  <c r="D90" s="1"/>
  <c r="F181"/>
  <c r="D181" s="1"/>
  <c r="F220"/>
  <c r="D220" s="1"/>
  <c r="F225"/>
  <c r="D225" s="1"/>
  <c r="F241"/>
  <c r="D241" s="1"/>
  <c r="F197"/>
  <c r="D197" s="1"/>
  <c r="F156"/>
  <c r="D156" s="1"/>
  <c r="F94"/>
  <c r="D94" s="1"/>
  <c r="F34"/>
  <c r="D34" s="1"/>
  <c r="F33"/>
  <c r="D33" s="1"/>
  <c r="F63"/>
  <c r="D63" s="1"/>
  <c r="F143"/>
  <c r="D143" s="1"/>
  <c r="F80"/>
  <c r="D80" s="1"/>
  <c r="F29"/>
  <c r="D29" s="1"/>
  <c r="F52"/>
  <c r="D52" s="1"/>
  <c r="F138"/>
  <c r="D138" s="1"/>
  <c r="F69"/>
  <c r="D69" s="1"/>
  <c r="F137"/>
  <c r="D137" s="1"/>
  <c r="F234"/>
  <c r="D234" s="1"/>
  <c r="F217"/>
  <c r="D217" s="1"/>
  <c r="F249"/>
  <c r="D249" s="1"/>
  <c r="F189"/>
  <c r="D189" s="1"/>
  <c r="F140"/>
  <c r="D140" s="1"/>
  <c r="F78"/>
  <c r="D78" s="1"/>
  <c r="F26"/>
  <c r="D26" s="1"/>
  <c r="F9"/>
  <c r="F196"/>
  <c r="D196" s="1"/>
  <c r="F127"/>
  <c r="D127" s="1"/>
  <c r="F64"/>
  <c r="D64" s="1"/>
  <c r="F5"/>
  <c r="F186"/>
  <c r="D186" s="1"/>
  <c r="F122"/>
  <c r="D122" s="1"/>
  <c r="F45"/>
  <c r="D45" s="1"/>
  <c r="F84"/>
  <c r="D84" s="1"/>
  <c r="F218"/>
  <c r="D218" s="1"/>
  <c r="F209"/>
  <c r="D209" s="1"/>
  <c r="F2"/>
  <c r="D2" s="1"/>
  <c r="F201"/>
  <c r="D201" s="1"/>
  <c r="F193"/>
  <c r="D193" s="1"/>
  <c r="F206"/>
  <c r="D206" s="1"/>
  <c r="F180"/>
  <c r="D180" s="1"/>
  <c r="F164"/>
  <c r="D164" s="1"/>
  <c r="F148"/>
  <c r="D148" s="1"/>
  <c r="F132"/>
  <c r="D132" s="1"/>
  <c r="F116"/>
  <c r="D116" s="1"/>
  <c r="F102"/>
  <c r="D102" s="1"/>
  <c r="F86"/>
  <c r="D86" s="1"/>
  <c r="F70"/>
  <c r="D70" s="1"/>
  <c r="F54"/>
  <c r="D54" s="1"/>
  <c r="F38"/>
  <c r="D38" s="1"/>
  <c r="F30"/>
  <c r="D30" s="1"/>
  <c r="F22"/>
  <c r="D22" s="1"/>
  <c r="F14"/>
  <c r="F6"/>
  <c r="F19"/>
  <c r="F192"/>
  <c r="D192" s="1"/>
  <c r="F133"/>
  <c r="D133" s="1"/>
  <c r="F87"/>
  <c r="D87" s="1"/>
  <c r="F47"/>
  <c r="D47" s="1"/>
  <c r="F183"/>
  <c r="D183" s="1"/>
  <c r="F167"/>
  <c r="D167" s="1"/>
  <c r="F151"/>
  <c r="D151" s="1"/>
  <c r="F135"/>
  <c r="D135" s="1"/>
  <c r="F119"/>
  <c r="D119" s="1"/>
  <c r="F104"/>
  <c r="D104" s="1"/>
  <c r="F88"/>
  <c r="D88" s="1"/>
  <c r="F72"/>
  <c r="D72" s="1"/>
  <c r="F56"/>
  <c r="D56" s="1"/>
  <c r="F40"/>
  <c r="D40" s="1"/>
  <c r="F42"/>
  <c r="D42" s="1"/>
  <c r="F17"/>
  <c r="F177"/>
  <c r="D177" s="1"/>
  <c r="F129"/>
  <c r="D129" s="1"/>
  <c r="F79"/>
  <c r="D79" s="1"/>
  <c r="F202"/>
  <c r="D202" s="1"/>
  <c r="F178"/>
  <c r="D178" s="1"/>
  <c r="F162"/>
  <c r="D162" s="1"/>
  <c r="F146"/>
  <c r="D146" s="1"/>
  <c r="F130"/>
  <c r="D130" s="1"/>
  <c r="F114"/>
  <c r="D114" s="1"/>
  <c r="F98"/>
  <c r="D98" s="1"/>
  <c r="F77"/>
  <c r="D77" s="1"/>
  <c r="F61"/>
  <c r="D61" s="1"/>
  <c r="F31"/>
  <c r="D31" s="1"/>
  <c r="F7"/>
  <c r="F161"/>
  <c r="D161" s="1"/>
  <c r="F109"/>
  <c r="D109" s="1"/>
  <c r="F60"/>
  <c r="D60" s="1"/>
  <c r="F228"/>
  <c r="D228" s="1"/>
  <c r="F212"/>
  <c r="D212" s="1"/>
  <c r="F226"/>
  <c r="D226" s="1"/>
  <c r="F210"/>
  <c r="D210" s="1"/>
  <c r="F229"/>
  <c r="D229" s="1"/>
  <c r="F221"/>
  <c r="D221" s="1"/>
  <c r="F213"/>
  <c r="D213" s="1"/>
  <c r="F244"/>
  <c r="D244" s="1"/>
  <c r="F245"/>
  <c r="D245" s="1"/>
  <c r="F237"/>
  <c r="D237" s="1"/>
  <c r="F250"/>
  <c r="D250" s="1"/>
  <c r="F207"/>
  <c r="D207" s="1"/>
  <c r="F199"/>
  <c r="D199" s="1"/>
  <c r="F191"/>
  <c r="D191" s="1"/>
  <c r="F198"/>
  <c r="D198" s="1"/>
  <c r="F176"/>
  <c r="D176" s="1"/>
  <c r="F160"/>
  <c r="D160" s="1"/>
  <c r="F144"/>
  <c r="D144" s="1"/>
  <c r="F128"/>
  <c r="D128" s="1"/>
  <c r="F112"/>
  <c r="D112" s="1"/>
  <c r="F97"/>
  <c r="D97" s="1"/>
  <c r="F81"/>
  <c r="D81" s="1"/>
  <c r="F65"/>
  <c r="D65" s="1"/>
  <c r="F49"/>
  <c r="D49" s="1"/>
  <c r="F36"/>
  <c r="D36" s="1"/>
  <c r="F28"/>
  <c r="D28" s="1"/>
  <c r="F20"/>
  <c r="F12"/>
  <c r="F4"/>
  <c r="F15"/>
  <c r="F169"/>
  <c r="D169" s="1"/>
  <c r="F121"/>
  <c r="D121" s="1"/>
  <c r="F76"/>
  <c r="D76" s="1"/>
  <c r="F204"/>
  <c r="D204" s="1"/>
  <c r="F179"/>
  <c r="D179" s="1"/>
  <c r="F163"/>
  <c r="D163" s="1"/>
  <c r="F147"/>
  <c r="D147" s="1"/>
  <c r="F131"/>
  <c r="D131" s="1"/>
  <c r="F115"/>
  <c r="D115" s="1"/>
  <c r="F99"/>
  <c r="D99" s="1"/>
  <c r="F83"/>
  <c r="D83" s="1"/>
  <c r="F67"/>
  <c r="D67" s="1"/>
  <c r="F51"/>
  <c r="D51" s="1"/>
  <c r="F82"/>
  <c r="D82" s="1"/>
  <c r="F35"/>
  <c r="D35" s="1"/>
  <c r="F11"/>
  <c r="F165"/>
  <c r="D165" s="1"/>
  <c r="F117"/>
  <c r="D117" s="1"/>
  <c r="F68"/>
  <c r="D68" s="1"/>
  <c r="F194"/>
  <c r="D194" s="1"/>
  <c r="F174"/>
  <c r="D174" s="1"/>
  <c r="F158"/>
  <c r="D158" s="1"/>
  <c r="F142"/>
  <c r="D142" s="1"/>
  <c r="F126"/>
  <c r="D126" s="1"/>
  <c r="F110"/>
  <c r="D110" s="1"/>
  <c r="F93"/>
  <c r="D93" s="1"/>
  <c r="F74"/>
  <c r="D74" s="1"/>
  <c r="F53"/>
  <c r="D53" s="1"/>
  <c r="F27"/>
  <c r="D27" s="1"/>
  <c r="F185"/>
  <c r="D185" s="1"/>
  <c r="F149"/>
  <c r="D149" s="1"/>
  <c r="F95"/>
  <c r="D95" s="1"/>
  <c r="F44"/>
  <c r="D44" s="1"/>
  <c r="F224"/>
  <c r="D224" s="1"/>
  <c r="F208"/>
  <c r="D208" s="1"/>
  <c r="F222"/>
  <c r="D222" s="1"/>
  <c r="F235"/>
  <c r="D235" s="1"/>
  <c r="F227"/>
  <c r="D227" s="1"/>
  <c r="F219"/>
  <c r="D219" s="1"/>
  <c r="F211"/>
  <c r="D211" s="1"/>
  <c r="F242"/>
  <c r="D242" s="1"/>
  <c r="F243"/>
  <c r="D243" s="1"/>
  <c r="F251"/>
  <c r="D251" s="1"/>
  <c r="F248"/>
  <c r="D248" s="1"/>
  <c r="F203"/>
  <c r="D203" s="1"/>
  <c r="F195"/>
  <c r="D195" s="1"/>
  <c r="F187"/>
  <c r="D187" s="1"/>
  <c r="F184"/>
  <c r="D184" s="1"/>
  <c r="F168"/>
  <c r="D168" s="1"/>
  <c r="F152"/>
  <c r="D152" s="1"/>
  <c r="F136"/>
  <c r="D136" s="1"/>
  <c r="F120"/>
  <c r="D120" s="1"/>
  <c r="F105"/>
  <c r="D105" s="1"/>
  <c r="F89"/>
  <c r="D89" s="1"/>
  <c r="F73"/>
  <c r="D73" s="1"/>
  <c r="F57"/>
  <c r="D57" s="1"/>
  <c r="F41"/>
  <c r="D41" s="1"/>
  <c r="F32"/>
  <c r="D32" s="1"/>
  <c r="F24"/>
  <c r="D24" s="1"/>
  <c r="F16"/>
  <c r="F8"/>
  <c r="F25"/>
  <c r="D25" s="1"/>
  <c r="F3"/>
  <c r="D3" s="1"/>
  <c r="D4" s="1"/>
  <c r="F145"/>
  <c r="D145" s="1"/>
  <c r="F100"/>
  <c r="D100" s="1"/>
  <c r="F55"/>
  <c r="D55" s="1"/>
  <c r="F188"/>
  <c r="D188" s="1"/>
  <c r="F171"/>
  <c r="D171" s="1"/>
  <c r="F155"/>
  <c r="D155" s="1"/>
  <c r="F139"/>
  <c r="D139" s="1"/>
  <c r="F123"/>
  <c r="D123" s="1"/>
  <c r="F107"/>
  <c r="D107" s="1"/>
  <c r="F91"/>
  <c r="D91" s="1"/>
  <c r="F75"/>
  <c r="D75" s="1"/>
  <c r="F59"/>
  <c r="D59" s="1"/>
  <c r="F43"/>
  <c r="D43" s="1"/>
  <c r="F50"/>
  <c r="D50" s="1"/>
  <c r="F23"/>
  <c r="D23" s="1"/>
  <c r="F200"/>
  <c r="D200" s="1"/>
  <c r="F141"/>
  <c r="D141" s="1"/>
  <c r="F92"/>
  <c r="D92" s="1"/>
  <c r="F39"/>
  <c r="D39" s="1"/>
  <c r="F182"/>
  <c r="D182" s="1"/>
  <c r="F166"/>
  <c r="D166" s="1"/>
  <c r="F150"/>
  <c r="D150" s="1"/>
  <c r="F134"/>
  <c r="D134" s="1"/>
  <c r="F118"/>
  <c r="D118" s="1"/>
  <c r="F101"/>
  <c r="D101" s="1"/>
  <c r="F85"/>
  <c r="D85" s="1"/>
  <c r="F66"/>
  <c r="D66" s="1"/>
  <c r="F37"/>
  <c r="D37" s="1"/>
  <c r="F13"/>
  <c r="F173"/>
  <c r="D173" s="1"/>
  <c r="F125"/>
  <c r="D125" s="1"/>
  <c r="F71"/>
  <c r="D71" s="1"/>
  <c r="F232"/>
  <c r="D232" s="1"/>
  <c r="F216"/>
  <c r="D216" s="1"/>
  <c r="F230"/>
  <c r="D230" s="1"/>
  <c r="F214"/>
  <c r="D214" s="1"/>
  <c r="F231"/>
  <c r="D231" s="1"/>
  <c r="F223"/>
  <c r="D223" s="1"/>
  <c r="F215"/>
  <c r="D215" s="1"/>
  <c r="F246"/>
  <c r="D246" s="1"/>
  <c r="F238"/>
  <c r="D238" s="1"/>
  <c r="F239"/>
  <c r="D239" s="1"/>
  <c r="F247"/>
  <c r="D247" s="1"/>
  <c r="D5" l="1"/>
  <c r="D6" s="1"/>
  <c r="D7" l="1"/>
  <c r="D8" l="1"/>
  <c r="D9" s="1"/>
  <c r="D10" s="1"/>
  <c r="D11" l="1"/>
  <c r="D12" l="1"/>
  <c r="D13" l="1"/>
  <c r="D14" s="1"/>
  <c r="D15" l="1"/>
  <c r="D16" l="1"/>
  <c r="D17" l="1"/>
  <c r="D18" l="1"/>
  <c r="D19" l="1"/>
  <c r="D20" l="1"/>
  <c r="D21" s="1"/>
  <c r="B105" i="2" s="1"/>
  <c r="B14"/>
  <c r="B15"/>
  <c r="B10"/>
  <c r="B11"/>
  <c r="B9"/>
  <c r="B12"/>
  <c r="B17"/>
  <c r="B13"/>
  <c r="B16"/>
  <c r="B20"/>
  <c r="B19"/>
  <c r="B22"/>
  <c r="B21"/>
  <c r="B18"/>
  <c r="B26"/>
  <c r="B24"/>
  <c r="B23"/>
  <c r="B25"/>
  <c r="C19"/>
  <c r="C18"/>
  <c r="C20"/>
  <c r="C24"/>
  <c r="C16"/>
  <c r="C23"/>
  <c r="C13"/>
  <c r="C25"/>
  <c r="C17"/>
  <c r="C12"/>
  <c r="C26"/>
  <c r="C11"/>
  <c r="C21"/>
  <c r="C10"/>
  <c r="C22"/>
  <c r="C15"/>
  <c r="C14"/>
  <c r="C105"/>
  <c r="C9"/>
  <c r="G11" a="1"/>
  <c r="F14" a="1"/>
  <c r="F16" a="1"/>
  <c r="I21" a="1"/>
  <c r="E12" a="1"/>
  <c r="F18" a="1"/>
  <c r="I17" a="1"/>
  <c r="H19" a="1"/>
  <c r="F13" a="1"/>
  <c r="I9" a="1"/>
  <c r="I18" a="1"/>
  <c r="E19" a="1"/>
  <c r="E13" a="1"/>
  <c r="D21" a="1"/>
  <c r="F10" a="1"/>
  <c r="G9" a="1"/>
  <c r="F20" a="1"/>
  <c r="E9" a="1"/>
  <c r="I13" a="1"/>
  <c r="I14" a="1"/>
  <c r="I16" a="1"/>
  <c r="I10" a="1"/>
  <c r="F21" a="1"/>
  <c r="D12" a="1"/>
  <c r="E10" a="1"/>
  <c r="E14" a="1"/>
  <c r="H9" a="1"/>
  <c r="I12" a="1"/>
  <c r="E22" a="1"/>
  <c r="G12" a="1"/>
  <c r="D22" a="1"/>
  <c r="I19" a="1"/>
  <c r="G10" a="1"/>
  <c r="D11" a="1"/>
  <c r="G22" a="1"/>
  <c r="F9" a="1"/>
  <c r="E21" a="1"/>
  <c r="F15" a="1"/>
  <c r="E20" a="1"/>
  <c r="D10" a="1"/>
  <c r="G17" a="1"/>
  <c r="H13" a="1"/>
  <c r="H11" a="1"/>
  <c r="I22" a="1"/>
  <c r="D9" a="1"/>
  <c r="D16" a="1"/>
  <c r="H15" a="1"/>
  <c r="G20" a="1"/>
  <c r="H10" a="1"/>
  <c r="H17" a="1"/>
  <c r="E16" a="1"/>
  <c r="D15" a="1"/>
  <c r="D20" a="1"/>
  <c r="H18" a="1"/>
  <c r="G21" a="1"/>
  <c r="I11" a="1"/>
  <c r="H22" a="1"/>
  <c r="H14" a="1"/>
  <c r="G15" a="1"/>
  <c r="G18" a="1"/>
  <c r="F17" a="1"/>
  <c r="E17" a="1"/>
  <c r="H20" a="1"/>
  <c r="D13" a="1"/>
  <c r="F19" a="1"/>
  <c r="I20" a="1"/>
  <c r="F11" a="1"/>
  <c r="F22" a="1"/>
  <c r="D14" a="1"/>
  <c r="G16" a="1"/>
  <c r="I15" a="1"/>
  <c r="H12" a="1"/>
  <c r="E18" a="1"/>
  <c r="D17" a="1"/>
  <c r="E11" a="1"/>
  <c r="G13" a="1"/>
  <c r="G14" a="1"/>
  <c r="H16" a="1"/>
  <c r="E15" a="1"/>
  <c r="F12" a="1"/>
  <c r="D18" a="1"/>
  <c r="G19" a="1"/>
  <c r="D19" a="1"/>
  <c r="H21" a="1"/>
  <c r="B204" l="1"/>
  <c r="B28"/>
  <c r="B179"/>
  <c r="B103"/>
  <c r="B107"/>
  <c r="B156"/>
  <c r="B64"/>
  <c r="B87"/>
  <c r="B151"/>
  <c r="B153"/>
  <c r="B154"/>
  <c r="B181"/>
  <c r="B82"/>
  <c r="B33"/>
  <c r="B83"/>
  <c r="B68"/>
  <c r="B34"/>
  <c r="B110"/>
  <c r="B165"/>
  <c r="B208"/>
  <c r="B118"/>
  <c r="B90"/>
  <c r="B56"/>
  <c r="B137"/>
  <c r="B111"/>
  <c r="B191"/>
  <c r="B63"/>
  <c r="B57"/>
  <c r="B146"/>
  <c r="B129"/>
  <c r="B147"/>
  <c r="B66"/>
  <c r="B209"/>
  <c r="B197"/>
  <c r="B185"/>
  <c r="B145"/>
  <c r="B130"/>
  <c r="B177"/>
  <c r="B213"/>
  <c r="B205"/>
  <c r="B43"/>
  <c r="B112"/>
  <c r="B184"/>
  <c r="B141"/>
  <c r="B183"/>
  <c r="B182"/>
  <c r="B127"/>
  <c r="B71"/>
  <c r="B126"/>
  <c r="B29"/>
  <c r="B121"/>
  <c r="B132"/>
  <c r="B159"/>
  <c r="B109"/>
  <c r="B115"/>
  <c r="B44"/>
  <c r="B62"/>
  <c r="B119"/>
  <c r="B134"/>
  <c r="B93"/>
  <c r="B101"/>
  <c r="B95"/>
  <c r="B203"/>
  <c r="B84"/>
  <c r="B140"/>
  <c r="B180"/>
  <c r="B164"/>
  <c r="B27"/>
  <c r="B35"/>
  <c r="B73"/>
  <c r="B60"/>
  <c r="B138"/>
  <c r="B42"/>
  <c r="B201"/>
  <c r="B79"/>
  <c r="B31"/>
  <c r="B46"/>
  <c r="B38"/>
  <c r="B148"/>
  <c r="B72"/>
  <c r="B65"/>
  <c r="B193"/>
  <c r="B81"/>
  <c r="B59"/>
  <c r="B41"/>
  <c r="B162"/>
  <c r="B122"/>
  <c r="B32"/>
  <c r="B167"/>
  <c r="B78"/>
  <c r="B212"/>
  <c r="B70"/>
  <c r="B135"/>
  <c r="B58"/>
  <c r="B176"/>
  <c r="B86"/>
  <c r="B54"/>
  <c r="B108"/>
  <c r="B163"/>
  <c r="B172"/>
  <c r="B155"/>
  <c r="B128"/>
  <c r="B186"/>
  <c r="B192"/>
  <c r="B39"/>
  <c r="B173"/>
  <c r="B123"/>
  <c r="B97"/>
  <c r="B161"/>
  <c r="B170"/>
  <c r="B74"/>
  <c r="B69"/>
  <c r="B211"/>
  <c r="B61"/>
  <c r="B51"/>
  <c r="B150"/>
  <c r="B49"/>
  <c r="B202"/>
  <c r="B200"/>
  <c r="B91"/>
  <c r="B133"/>
  <c r="B171"/>
  <c r="B174"/>
  <c r="B88"/>
  <c r="B120"/>
  <c r="B196"/>
  <c r="B113"/>
  <c r="B75"/>
  <c r="B188"/>
  <c r="B125"/>
  <c r="B116"/>
  <c r="B195"/>
  <c r="B76"/>
  <c r="B187"/>
  <c r="B210"/>
  <c r="B175"/>
  <c r="B142"/>
  <c r="B99"/>
  <c r="B80"/>
  <c r="B102"/>
  <c r="B53"/>
  <c r="B114"/>
  <c r="B168"/>
  <c r="B139"/>
  <c r="B166"/>
  <c r="B100"/>
  <c r="B40"/>
  <c r="B55"/>
  <c r="B89"/>
  <c r="B94"/>
  <c r="B92"/>
  <c r="B37"/>
  <c r="B106"/>
  <c r="B214"/>
  <c r="B98"/>
  <c r="B85"/>
  <c r="B77"/>
  <c r="B136"/>
  <c r="B169"/>
  <c r="B157"/>
  <c r="B131"/>
  <c r="B144"/>
  <c r="B194"/>
  <c r="B45"/>
  <c r="B67"/>
  <c r="B96"/>
  <c r="B36"/>
  <c r="B189"/>
  <c r="B104"/>
  <c r="B124"/>
  <c r="B117"/>
  <c r="B206"/>
  <c r="B198"/>
  <c r="B207"/>
  <c r="B199"/>
  <c r="B30"/>
  <c r="B190"/>
  <c r="B160"/>
  <c r="B48"/>
  <c r="B152"/>
  <c r="B143"/>
  <c r="B158"/>
  <c r="B50"/>
  <c r="B178"/>
  <c r="B149"/>
  <c r="B47"/>
  <c r="B52"/>
  <c r="F203" a="1"/>
  <c r="F203" s="1"/>
  <c r="I148" a="1"/>
  <c r="I148" s="1"/>
  <c r="F183" a="1"/>
  <c r="F183" s="1"/>
  <c r="E183" a="1"/>
  <c r="E183" s="1"/>
  <c r="D203" a="1"/>
  <c r="D203" s="1"/>
  <c r="G19"/>
  <c r="H19"/>
  <c r="E19"/>
  <c r="D19"/>
  <c r="F19"/>
  <c r="I19"/>
  <c r="G17"/>
  <c r="H17"/>
  <c r="F17"/>
  <c r="D17"/>
  <c r="E17"/>
  <c r="I17"/>
  <c r="I10"/>
  <c r="E10"/>
  <c r="F10"/>
  <c r="G10"/>
  <c r="D10"/>
  <c r="H10"/>
  <c r="H18"/>
  <c r="G18"/>
  <c r="E18"/>
  <c r="D18"/>
  <c r="F18"/>
  <c r="I18"/>
  <c r="H20"/>
  <c r="F20"/>
  <c r="I20"/>
  <c r="E20"/>
  <c r="G20"/>
  <c r="D20"/>
  <c r="H12"/>
  <c r="F12"/>
  <c r="E12"/>
  <c r="D12"/>
  <c r="I12"/>
  <c r="G12"/>
  <c r="F15"/>
  <c r="H15"/>
  <c r="D15"/>
  <c r="G15"/>
  <c r="I15"/>
  <c r="E15"/>
  <c r="I21"/>
  <c r="F21"/>
  <c r="D21"/>
  <c r="H21"/>
  <c r="G21"/>
  <c r="E21"/>
  <c r="D16"/>
  <c r="E16"/>
  <c r="G16"/>
  <c r="H16"/>
  <c r="F16"/>
  <c r="I16"/>
  <c r="I9"/>
  <c r="H9"/>
  <c r="G9"/>
  <c r="E9"/>
  <c r="F9"/>
  <c r="D9"/>
  <c r="H14"/>
  <c r="D14"/>
  <c r="G14"/>
  <c r="F14"/>
  <c r="I14"/>
  <c r="E14"/>
  <c r="E22"/>
  <c r="D22"/>
  <c r="G22"/>
  <c r="I22"/>
  <c r="H22"/>
  <c r="F22"/>
  <c r="G13"/>
  <c r="I13"/>
  <c r="F13"/>
  <c r="E13"/>
  <c r="D13"/>
  <c r="H13"/>
  <c r="D11"/>
  <c r="H11"/>
  <c r="I11"/>
  <c r="F11"/>
  <c r="E11"/>
  <c r="G11"/>
  <c r="G183" a="1"/>
  <c r="G183" s="1"/>
  <c r="E148" a="1"/>
  <c r="E148" s="1"/>
  <c r="D183" a="1"/>
  <c r="D183" s="1"/>
  <c r="I183" a="1"/>
  <c r="I183" s="1"/>
  <c r="F148" a="1"/>
  <c r="F148" s="1"/>
  <c r="E203" a="1"/>
  <c r="E203" s="1"/>
  <c r="G203" a="1"/>
  <c r="G203" s="1"/>
  <c r="H148" a="1"/>
  <c r="H148" s="1"/>
  <c r="J148" s="1"/>
  <c r="G148" a="1"/>
  <c r="G148" s="1"/>
  <c r="H203" a="1"/>
  <c r="H203" s="1"/>
  <c r="J203" s="1"/>
  <c r="H33" a="1"/>
  <c r="H33" s="1"/>
  <c r="J33" s="1"/>
  <c r="D33" a="1"/>
  <c r="D33" s="1"/>
  <c r="G33" a="1"/>
  <c r="G33" s="1"/>
  <c r="I33" a="1"/>
  <c r="I33" s="1"/>
  <c r="E33" a="1"/>
  <c r="E33" s="1"/>
  <c r="F33" a="1"/>
  <c r="F33" s="1"/>
  <c r="I113" a="1"/>
  <c r="I113" s="1"/>
  <c r="H113" a="1"/>
  <c r="H113" s="1"/>
  <c r="J113" s="1"/>
  <c r="E113" a="1"/>
  <c r="E113" s="1"/>
  <c r="F113" a="1"/>
  <c r="F113" s="1"/>
  <c r="D113" a="1"/>
  <c r="D113" s="1"/>
  <c r="G113" a="1"/>
  <c r="G113" s="1"/>
  <c r="G134" a="1"/>
  <c r="G134" s="1"/>
  <c r="E134" a="1"/>
  <c r="E134" s="1"/>
  <c r="F134" a="1"/>
  <c r="F134" s="1"/>
  <c r="H134" a="1"/>
  <c r="H134" s="1"/>
  <c r="J134" s="1"/>
  <c r="I134" a="1"/>
  <c r="I134" s="1"/>
  <c r="D134" a="1"/>
  <c r="D134" s="1"/>
  <c r="F147" a="1"/>
  <c r="F147" s="1"/>
  <c r="I147" a="1"/>
  <c r="I147" s="1"/>
  <c r="E147" a="1"/>
  <c r="E147" s="1"/>
  <c r="H147" a="1"/>
  <c r="H147" s="1"/>
  <c r="J147" s="1"/>
  <c r="D147" a="1"/>
  <c r="D147" s="1"/>
  <c r="G147" a="1"/>
  <c r="G147" s="1"/>
  <c r="I75" a="1"/>
  <c r="I75" s="1"/>
  <c r="F75" a="1"/>
  <c r="F75" s="1"/>
  <c r="E75" a="1"/>
  <c r="E75" s="1"/>
  <c r="H75" a="1"/>
  <c r="H75" s="1"/>
  <c r="J75" s="1"/>
  <c r="G75" a="1"/>
  <c r="G75" s="1"/>
  <c r="D75" a="1"/>
  <c r="D75" s="1"/>
  <c r="I93" a="1"/>
  <c r="I93" s="1"/>
  <c r="E93" a="1"/>
  <c r="E93" s="1"/>
  <c r="F93" a="1"/>
  <c r="F93" s="1"/>
  <c r="H93" a="1"/>
  <c r="H93" s="1"/>
  <c r="J93" s="1"/>
  <c r="D93" a="1"/>
  <c r="D93" s="1"/>
  <c r="G93" a="1"/>
  <c r="G93" s="1"/>
  <c r="G140" a="1"/>
  <c r="G140" s="1"/>
  <c r="H140" a="1"/>
  <c r="H140" s="1"/>
  <c r="J140" s="1"/>
  <c r="E140" a="1"/>
  <c r="E140" s="1"/>
  <c r="F140" a="1"/>
  <c r="F140" s="1"/>
  <c r="D140" a="1"/>
  <c r="D140" s="1"/>
  <c r="I140" a="1"/>
  <c r="I140" s="1"/>
  <c r="D188" a="1"/>
  <c r="D188" s="1"/>
  <c r="I188" a="1"/>
  <c r="I188" s="1"/>
  <c r="G188" a="1"/>
  <c r="G188" s="1"/>
  <c r="H188" a="1"/>
  <c r="H188" s="1"/>
  <c r="J188" s="1"/>
  <c r="E188" a="1"/>
  <c r="E188" s="1"/>
  <c r="F188" a="1"/>
  <c r="F188" s="1"/>
  <c r="I101" a="1"/>
  <c r="I101" s="1"/>
  <c r="D101" a="1"/>
  <c r="D101" s="1"/>
  <c r="E101" a="1"/>
  <c r="E101" s="1"/>
  <c r="F101" a="1"/>
  <c r="F101" s="1"/>
  <c r="H101" a="1"/>
  <c r="H101" s="1"/>
  <c r="J101" s="1"/>
  <c r="G101" a="1"/>
  <c r="G101" s="1"/>
  <c r="E125" a="1"/>
  <c r="E125" s="1"/>
  <c r="F125" a="1"/>
  <c r="F125" s="1"/>
  <c r="G125" a="1"/>
  <c r="G125" s="1"/>
  <c r="H125" a="1"/>
  <c r="H125" s="1"/>
  <c r="J125" s="1"/>
  <c r="D125" a="1"/>
  <c r="D125" s="1"/>
  <c r="I125" a="1"/>
  <c r="I125" s="1"/>
  <c r="G86" a="1"/>
  <c r="G86" s="1"/>
  <c r="E86" a="1"/>
  <c r="E86" s="1"/>
  <c r="D86" a="1"/>
  <c r="D86" s="1"/>
  <c r="F86" a="1"/>
  <c r="F86" s="1"/>
  <c r="I86" a="1"/>
  <c r="I86" s="1"/>
  <c r="H86" a="1"/>
  <c r="H86" s="1"/>
  <c r="J86" s="1"/>
  <c r="D129" a="1"/>
  <c r="D129" s="1"/>
  <c r="E129" a="1"/>
  <c r="E129" s="1"/>
  <c r="F129" a="1"/>
  <c r="F129" s="1"/>
  <c r="H129" a="1"/>
  <c r="H129" s="1"/>
  <c r="J129" s="1"/>
  <c r="I129" a="1"/>
  <c r="I129" s="1"/>
  <c r="G129" a="1"/>
  <c r="G129" s="1"/>
  <c r="G144" a="1"/>
  <c r="G144" s="1"/>
  <c r="E144" a="1"/>
  <c r="E144" s="1"/>
  <c r="H144" a="1"/>
  <c r="H144" s="1"/>
  <c r="J144" s="1"/>
  <c r="F144" a="1"/>
  <c r="F144" s="1"/>
  <c r="I144" a="1"/>
  <c r="I144" s="1"/>
  <c r="D144" a="1"/>
  <c r="D144" s="1"/>
  <c r="G116" a="1"/>
  <c r="G116" s="1"/>
  <c r="E116" a="1"/>
  <c r="E116" s="1"/>
  <c r="H116" a="1"/>
  <c r="H116" s="1"/>
  <c r="J116" s="1"/>
  <c r="I116" a="1"/>
  <c r="I116" s="1"/>
  <c r="F116" a="1"/>
  <c r="F116" s="1"/>
  <c r="D116" a="1"/>
  <c r="D116" s="1"/>
  <c r="H71" a="1"/>
  <c r="H71" s="1"/>
  <c r="J71" s="1"/>
  <c r="I71" a="1"/>
  <c r="I71" s="1"/>
  <c r="E71" a="1"/>
  <c r="E71" s="1"/>
  <c r="G71" a="1"/>
  <c r="G71" s="1"/>
  <c r="D71" a="1"/>
  <c r="D71" s="1"/>
  <c r="F71" a="1"/>
  <c r="F71" s="1"/>
  <c r="H49" a="1"/>
  <c r="H49" s="1"/>
  <c r="J49" s="1"/>
  <c r="F49" a="1"/>
  <c r="F49" s="1"/>
  <c r="I49" a="1"/>
  <c r="I49" s="1"/>
  <c r="E49" a="1"/>
  <c r="E49" s="1"/>
  <c r="G49" a="1"/>
  <c r="G49" s="1"/>
  <c r="D49" a="1"/>
  <c r="D49" s="1"/>
  <c r="E204" a="1"/>
  <c r="E204" s="1"/>
  <c r="H204" a="1"/>
  <c r="H204" s="1"/>
  <c r="J204" s="1"/>
  <c r="G204" a="1"/>
  <c r="G204" s="1"/>
  <c r="D204" a="1"/>
  <c r="D204" s="1"/>
  <c r="F204" a="1"/>
  <c r="F204" s="1"/>
  <c r="I204" a="1"/>
  <c r="I204" s="1"/>
  <c r="E29" a="1"/>
  <c r="E29" s="1"/>
  <c r="H29" a="1"/>
  <c r="H29" s="1"/>
  <c r="J29" s="1"/>
  <c r="D29" a="1"/>
  <c r="D29" s="1"/>
  <c r="G29" a="1"/>
  <c r="G29" s="1"/>
  <c r="F29" a="1"/>
  <c r="F29" s="1"/>
  <c r="I29" a="1"/>
  <c r="I29" s="1"/>
  <c r="D200" a="1"/>
  <c r="D200" s="1"/>
  <c r="H200" a="1"/>
  <c r="H200" s="1"/>
  <c r="J200" s="1"/>
  <c r="F200" a="1"/>
  <c r="F200" s="1"/>
  <c r="E200" a="1"/>
  <c r="E200" s="1"/>
  <c r="G200" a="1"/>
  <c r="G200" s="1"/>
  <c r="I200" a="1"/>
  <c r="I200" s="1"/>
  <c r="F84" a="1"/>
  <c r="F84" s="1"/>
  <c r="G84" a="1"/>
  <c r="G84" s="1"/>
  <c r="I84" a="1"/>
  <c r="I84" s="1"/>
  <c r="D84" a="1"/>
  <c r="D84" s="1"/>
  <c r="E84" a="1"/>
  <c r="E84" s="1"/>
  <c r="H84" a="1"/>
  <c r="H84" s="1"/>
  <c r="J84" s="1"/>
  <c r="I132" a="1"/>
  <c r="I132" s="1"/>
  <c r="G132" a="1"/>
  <c r="G132" s="1"/>
  <c r="E132" a="1"/>
  <c r="E132" s="1"/>
  <c r="H132" a="1"/>
  <c r="H132" s="1"/>
  <c r="J132" s="1"/>
  <c r="D132" a="1"/>
  <c r="D132" s="1"/>
  <c r="F132" a="1"/>
  <c r="F132" s="1"/>
  <c r="G133" a="1"/>
  <c r="G133" s="1"/>
  <c r="D133" a="1"/>
  <c r="D133" s="1"/>
  <c r="I133" a="1"/>
  <c r="I133" s="1"/>
  <c r="H133" a="1"/>
  <c r="H133" s="1"/>
  <c r="J133" s="1"/>
  <c r="E133" a="1"/>
  <c r="E133" s="1"/>
  <c r="F133" a="1"/>
  <c r="F133" s="1"/>
  <c r="F194" a="1"/>
  <c r="F194" s="1"/>
  <c r="D194" a="1"/>
  <c r="D194" s="1"/>
  <c r="H194" a="1"/>
  <c r="H194" s="1"/>
  <c r="J194" s="1"/>
  <c r="G194" a="1"/>
  <c r="G194" s="1"/>
  <c r="I194" a="1"/>
  <c r="I194" s="1"/>
  <c r="E194" a="1"/>
  <c r="E194" s="1"/>
  <c r="D109" a="1"/>
  <c r="D109" s="1"/>
  <c r="F109" a="1"/>
  <c r="F109" s="1"/>
  <c r="I109" a="1"/>
  <c r="I109" s="1"/>
  <c r="E109" a="1"/>
  <c r="E109" s="1"/>
  <c r="G109" a="1"/>
  <c r="G109" s="1"/>
  <c r="H109" a="1"/>
  <c r="H109" s="1"/>
  <c r="J109" s="1"/>
  <c r="H174" a="1"/>
  <c r="H174" s="1"/>
  <c r="J174" s="1"/>
  <c r="I174" a="1"/>
  <c r="I174" s="1"/>
  <c r="E174" a="1"/>
  <c r="E174" s="1"/>
  <c r="D174" a="1"/>
  <c r="D174" s="1"/>
  <c r="G174" a="1"/>
  <c r="G174" s="1"/>
  <c r="F174" a="1"/>
  <c r="F174" s="1"/>
  <c r="F195" a="1"/>
  <c r="F195" s="1"/>
  <c r="D195" a="1"/>
  <c r="D195" s="1"/>
  <c r="I195" a="1"/>
  <c r="I195" s="1"/>
  <c r="G195" a="1"/>
  <c r="G195" s="1"/>
  <c r="E195" a="1"/>
  <c r="E195" s="1"/>
  <c r="H195" a="1"/>
  <c r="H195" s="1"/>
  <c r="J195" s="1"/>
  <c r="G44" a="1"/>
  <c r="G44" s="1"/>
  <c r="E44" a="1"/>
  <c r="E44" s="1"/>
  <c r="I44" a="1"/>
  <c r="I44" s="1"/>
  <c r="H44" a="1"/>
  <c r="H44" s="1"/>
  <c r="J44" s="1"/>
  <c r="D44" a="1"/>
  <c r="D44" s="1"/>
  <c r="F44" a="1"/>
  <c r="F44" s="1"/>
  <c r="G120" a="1"/>
  <c r="G120" s="1"/>
  <c r="D120" a="1"/>
  <c r="D120" s="1"/>
  <c r="I120" a="1"/>
  <c r="I120" s="1"/>
  <c r="F120" a="1"/>
  <c r="F120" s="1"/>
  <c r="H120" a="1"/>
  <c r="H120" s="1"/>
  <c r="J120" s="1"/>
  <c r="E120" a="1"/>
  <c r="E120" s="1"/>
  <c r="E196" a="1"/>
  <c r="E196" s="1"/>
  <c r="H196" a="1"/>
  <c r="H196" s="1"/>
  <c r="J196" s="1"/>
  <c r="D196" a="1"/>
  <c r="D196" s="1"/>
  <c r="F196" a="1"/>
  <c r="F196" s="1"/>
  <c r="I196" a="1"/>
  <c r="I196" s="1"/>
  <c r="G196" a="1"/>
  <c r="G196" s="1"/>
  <c r="G180" a="1"/>
  <c r="G180" s="1"/>
  <c r="I180" a="1"/>
  <c r="I180" s="1"/>
  <c r="F180" a="1"/>
  <c r="F180" s="1"/>
  <c r="E180" a="1"/>
  <c r="E180" s="1"/>
  <c r="H180" a="1"/>
  <c r="H180" s="1"/>
  <c r="J180" s="1"/>
  <c r="D180" a="1"/>
  <c r="D180" s="1"/>
  <c r="E163" a="1"/>
  <c r="E163" s="1"/>
  <c r="I163" a="1"/>
  <c r="I163" s="1"/>
  <c r="G163" a="1"/>
  <c r="G163" s="1"/>
  <c r="H163" a="1"/>
  <c r="H163" s="1"/>
  <c r="J163" s="1"/>
  <c r="F163" a="1"/>
  <c r="F163" s="1"/>
  <c r="D163" a="1"/>
  <c r="D163" s="1"/>
  <c r="D96" a="1"/>
  <c r="D96" s="1"/>
  <c r="E96" a="1"/>
  <c r="E96" s="1"/>
  <c r="F96" a="1"/>
  <c r="F96" s="1"/>
  <c r="G96" a="1"/>
  <c r="G96" s="1"/>
  <c r="I96" a="1"/>
  <c r="I96" s="1"/>
  <c r="H96" a="1"/>
  <c r="H96" s="1"/>
  <c r="J96" s="1"/>
  <c r="I66" a="1"/>
  <c r="I66" s="1"/>
  <c r="F66" a="1"/>
  <c r="F66" s="1"/>
  <c r="E66" a="1"/>
  <c r="E66" s="1"/>
  <c r="G66" a="1"/>
  <c r="G66" s="1"/>
  <c r="H66" a="1"/>
  <c r="H66" s="1"/>
  <c r="J66" s="1"/>
  <c r="D66" a="1"/>
  <c r="D66" s="1"/>
  <c r="F155" a="1"/>
  <c r="F155" s="1"/>
  <c r="D155" a="1"/>
  <c r="D155" s="1"/>
  <c r="I155" a="1"/>
  <c r="I155" s="1"/>
  <c r="G155" a="1"/>
  <c r="G155" s="1"/>
  <c r="E155" a="1"/>
  <c r="E155" s="1"/>
  <c r="H155" a="1"/>
  <c r="H155" s="1"/>
  <c r="J155" s="1"/>
  <c r="I189" a="1"/>
  <c r="I189" s="1"/>
  <c r="G189" a="1"/>
  <c r="G189" s="1"/>
  <c r="F189" a="1"/>
  <c r="F189" s="1"/>
  <c r="D189" a="1"/>
  <c r="D189" s="1"/>
  <c r="H189" a="1"/>
  <c r="H189" s="1"/>
  <c r="J189" s="1"/>
  <c r="E189" a="1"/>
  <c r="E189" s="1"/>
  <c r="E185" a="1"/>
  <c r="E185" s="1"/>
  <c r="I185" a="1"/>
  <c r="I185" s="1"/>
  <c r="G185" a="1"/>
  <c r="G185" s="1"/>
  <c r="D185" a="1"/>
  <c r="D185" s="1"/>
  <c r="F185" a="1"/>
  <c r="F185" s="1"/>
  <c r="H185" a="1"/>
  <c r="H185" s="1"/>
  <c r="J185" s="1"/>
  <c r="H192" a="1"/>
  <c r="H192" s="1"/>
  <c r="J192" s="1"/>
  <c r="E192" a="1"/>
  <c r="E192" s="1"/>
  <c r="I192" a="1"/>
  <c r="I192" s="1"/>
  <c r="G192" a="1"/>
  <c r="G192" s="1"/>
  <c r="D192" a="1"/>
  <c r="D192" s="1"/>
  <c r="F192" a="1"/>
  <c r="F192" s="1"/>
  <c r="I124" a="1"/>
  <c r="I124" s="1"/>
  <c r="F124" a="1"/>
  <c r="F124" s="1"/>
  <c r="D124" a="1"/>
  <c r="D124" s="1"/>
  <c r="E124" a="1"/>
  <c r="E124" s="1"/>
  <c r="G124" a="1"/>
  <c r="G124" s="1"/>
  <c r="H124" a="1"/>
  <c r="H124" s="1"/>
  <c r="J124" s="1"/>
  <c r="F117" a="1"/>
  <c r="F117" s="1"/>
  <c r="I117" a="1"/>
  <c r="I117" s="1"/>
  <c r="G117" a="1"/>
  <c r="G117" s="1"/>
  <c r="E117" a="1"/>
  <c r="E117" s="1"/>
  <c r="D117" a="1"/>
  <c r="D117" s="1"/>
  <c r="H117" a="1"/>
  <c r="H117" s="1"/>
  <c r="J117" s="1"/>
  <c r="I177" a="1"/>
  <c r="I177" s="1"/>
  <c r="G177" a="1"/>
  <c r="G177" s="1"/>
  <c r="E177" a="1"/>
  <c r="E177" s="1"/>
  <c r="H177" a="1"/>
  <c r="H177" s="1"/>
  <c r="J177" s="1"/>
  <c r="D177" a="1"/>
  <c r="D177" s="1"/>
  <c r="F177" a="1"/>
  <c r="F177" s="1"/>
  <c r="D205" a="1"/>
  <c r="D205" s="1"/>
  <c r="I205" a="1"/>
  <c r="I205" s="1"/>
  <c r="H205" a="1"/>
  <c r="H205" s="1"/>
  <c r="J205" s="1"/>
  <c r="G205" a="1"/>
  <c r="G205" s="1"/>
  <c r="E205" a="1"/>
  <c r="E205" s="1"/>
  <c r="F205" a="1"/>
  <c r="F205" s="1"/>
  <c r="F43" a="1"/>
  <c r="F43" s="1"/>
  <c r="D43" a="1"/>
  <c r="D43" s="1"/>
  <c r="E43" a="1"/>
  <c r="E43" s="1"/>
  <c r="G43" a="1"/>
  <c r="G43" s="1"/>
  <c r="H43" a="1"/>
  <c r="H43" s="1"/>
  <c r="J43" s="1"/>
  <c r="I43" a="1"/>
  <c r="I43" s="1"/>
  <c r="H199" a="1"/>
  <c r="H199" s="1"/>
  <c r="J199" s="1"/>
  <c r="I199" a="1"/>
  <c r="I199" s="1"/>
  <c r="D199" a="1"/>
  <c r="D199" s="1"/>
  <c r="F199" a="1"/>
  <c r="F199" s="1"/>
  <c r="G199" a="1"/>
  <c r="G199" s="1"/>
  <c r="E199" a="1"/>
  <c r="E199" s="1"/>
  <c r="I170" a="1"/>
  <c r="I170" s="1"/>
  <c r="H170" a="1"/>
  <c r="H170" s="1"/>
  <c r="J170" s="1"/>
  <c r="F170" a="1"/>
  <c r="F170" s="1"/>
  <c r="D170" a="1"/>
  <c r="D170" s="1"/>
  <c r="G170" a="1"/>
  <c r="G170" s="1"/>
  <c r="E170" a="1"/>
  <c r="E170" s="1"/>
  <c r="H112" a="1"/>
  <c r="H112" s="1"/>
  <c r="J112" s="1"/>
  <c r="D112" a="1"/>
  <c r="D112" s="1"/>
  <c r="G112" a="1"/>
  <c r="G112" s="1"/>
  <c r="I112" a="1"/>
  <c r="I112" s="1"/>
  <c r="F112" a="1"/>
  <c r="F112" s="1"/>
  <c r="E112" a="1"/>
  <c r="E112" s="1"/>
  <c r="F30" a="1"/>
  <c r="F30" s="1"/>
  <c r="D30" a="1"/>
  <c r="D30" s="1"/>
  <c r="E30" a="1"/>
  <c r="E30" s="1"/>
  <c r="G30" a="1"/>
  <c r="G30" s="1"/>
  <c r="I30" a="1"/>
  <c r="I30" s="1"/>
  <c r="H30" a="1"/>
  <c r="H30" s="1"/>
  <c r="J30" s="1"/>
  <c r="D74" a="1"/>
  <c r="D74" s="1"/>
  <c r="G74" a="1"/>
  <c r="G74" s="1"/>
  <c r="F74" a="1"/>
  <c r="F74" s="1"/>
  <c r="E74" a="1"/>
  <c r="E74" s="1"/>
  <c r="H74" a="1"/>
  <c r="H74" s="1"/>
  <c r="J74" s="1"/>
  <c r="I74" a="1"/>
  <c r="I74" s="1"/>
  <c r="E184" a="1"/>
  <c r="E184" s="1"/>
  <c r="G184" a="1"/>
  <c r="G184" s="1"/>
  <c r="I184" a="1"/>
  <c r="I184" s="1"/>
  <c r="D184" a="1"/>
  <c r="D184" s="1"/>
  <c r="H184" a="1"/>
  <c r="H184" s="1"/>
  <c r="J184" s="1"/>
  <c r="F184" a="1"/>
  <c r="F184" s="1"/>
  <c r="E190" a="1"/>
  <c r="E190" s="1"/>
  <c r="I190" a="1"/>
  <c r="I190" s="1"/>
  <c r="H190" a="1"/>
  <c r="H190" s="1"/>
  <c r="J190" s="1"/>
  <c r="F190" a="1"/>
  <c r="F190" s="1"/>
  <c r="D190" a="1"/>
  <c r="D190" s="1"/>
  <c r="G190" a="1"/>
  <c r="G190" s="1"/>
  <c r="F69" a="1"/>
  <c r="F69" s="1"/>
  <c r="E69" a="1"/>
  <c r="E69" s="1"/>
  <c r="G69" a="1"/>
  <c r="G69" s="1"/>
  <c r="I69" a="1"/>
  <c r="I69" s="1"/>
  <c r="D69" a="1"/>
  <c r="D69" s="1"/>
  <c r="H69" a="1"/>
  <c r="H69" s="1"/>
  <c r="J69" s="1"/>
  <c r="H38" a="1"/>
  <c r="H38" s="1"/>
  <c r="J38" s="1"/>
  <c r="F38" a="1"/>
  <c r="F38" s="1"/>
  <c r="D38" a="1"/>
  <c r="D38" s="1"/>
  <c r="I38" a="1"/>
  <c r="I38" s="1"/>
  <c r="G38" a="1"/>
  <c r="G38" s="1"/>
  <c r="E38" a="1"/>
  <c r="E38" s="1"/>
  <c r="H82" a="1"/>
  <c r="H82" s="1"/>
  <c r="J82" s="1"/>
  <c r="E82" a="1"/>
  <c r="E82" s="1"/>
  <c r="D82" a="1"/>
  <c r="D82" s="1"/>
  <c r="G82" a="1"/>
  <c r="G82" s="1"/>
  <c r="I82" a="1"/>
  <c r="I82" s="1"/>
  <c r="F82" a="1"/>
  <c r="F82" s="1"/>
  <c r="I55" a="1"/>
  <c r="I55" s="1"/>
  <c r="G55" a="1"/>
  <c r="G55" s="1"/>
  <c r="E55" a="1"/>
  <c r="E55" s="1"/>
  <c r="F55" a="1"/>
  <c r="F55" s="1"/>
  <c r="D55" a="1"/>
  <c r="D55" s="1"/>
  <c r="H55" a="1"/>
  <c r="H55" s="1"/>
  <c r="J55" s="1"/>
  <c r="H211" a="1"/>
  <c r="H211" s="1"/>
  <c r="J211" s="1"/>
  <c r="I211" a="1"/>
  <c r="I211" s="1"/>
  <c r="D211" a="1"/>
  <c r="D211" s="1"/>
  <c r="F211" a="1"/>
  <c r="F211" s="1"/>
  <c r="E211" a="1"/>
  <c r="E211" s="1"/>
  <c r="G211" a="1"/>
  <c r="G211" s="1"/>
  <c r="I57" a="1"/>
  <c r="I57" s="1"/>
  <c r="G57" a="1"/>
  <c r="G57" s="1"/>
  <c r="F57" a="1"/>
  <c r="F57" s="1"/>
  <c r="H57" a="1"/>
  <c r="H57" s="1"/>
  <c r="J57" s="1"/>
  <c r="E57" a="1"/>
  <c r="E57" s="1"/>
  <c r="D57" a="1"/>
  <c r="D57" s="1"/>
  <c r="H157" a="1"/>
  <c r="H157" s="1"/>
  <c r="J157" s="1"/>
  <c r="F157" a="1"/>
  <c r="F157" s="1"/>
  <c r="D157" a="1"/>
  <c r="D157" s="1"/>
  <c r="I157" a="1"/>
  <c r="I157" s="1"/>
  <c r="E157" a="1"/>
  <c r="E157" s="1"/>
  <c r="G157" a="1"/>
  <c r="G157" s="1"/>
  <c r="I176" a="1"/>
  <c r="I176" s="1"/>
  <c r="G176" a="1"/>
  <c r="G176" s="1"/>
  <c r="E176" a="1"/>
  <c r="E176" s="1"/>
  <c r="F176" a="1"/>
  <c r="F176" s="1"/>
  <c r="D176" a="1"/>
  <c r="D176" s="1"/>
  <c r="H176" a="1"/>
  <c r="H176" s="1"/>
  <c r="J176" s="1"/>
  <c r="D146" a="1"/>
  <c r="D146" s="1"/>
  <c r="I146" a="1"/>
  <c r="I146" s="1"/>
  <c r="H146" a="1"/>
  <c r="H146" s="1"/>
  <c r="J146" s="1"/>
  <c r="E146" a="1"/>
  <c r="E146" s="1"/>
  <c r="G146" a="1"/>
  <c r="G146" s="1"/>
  <c r="F146" a="1"/>
  <c r="F146" s="1"/>
  <c r="E131" a="1"/>
  <c r="E131" s="1"/>
  <c r="H131" a="1"/>
  <c r="H131" s="1"/>
  <c r="J131" s="1"/>
  <c r="D131" a="1"/>
  <c r="D131" s="1"/>
  <c r="G131" a="1"/>
  <c r="G131" s="1"/>
  <c r="I131" a="1"/>
  <c r="I131" s="1"/>
  <c r="F131" a="1"/>
  <c r="F131" s="1"/>
  <c r="G105" a="1"/>
  <c r="G105" s="1"/>
  <c r="E105" a="1"/>
  <c r="E105" s="1"/>
  <c r="H105" a="1"/>
  <c r="H105" s="1"/>
  <c r="J105" s="1"/>
  <c r="I105" a="1"/>
  <c r="I105" s="1"/>
  <c r="D105" a="1"/>
  <c r="D105" s="1"/>
  <c r="F105" a="1"/>
  <c r="F105" s="1"/>
  <c r="F95" a="1"/>
  <c r="F95" s="1"/>
  <c r="I95" a="1"/>
  <c r="I95" s="1"/>
  <c r="H95" a="1"/>
  <c r="H95" s="1"/>
  <c r="J95" s="1"/>
  <c r="G95" a="1"/>
  <c r="G95" s="1"/>
  <c r="E95" a="1"/>
  <c r="E95" s="1"/>
  <c r="D95" a="1"/>
  <c r="D95" s="1"/>
  <c r="H45" a="1"/>
  <c r="H45" s="1"/>
  <c r="J45" s="1"/>
  <c r="F45" a="1"/>
  <c r="F45" s="1"/>
  <c r="D45" a="1"/>
  <c r="D45" s="1"/>
  <c r="E45" a="1"/>
  <c r="E45" s="1"/>
  <c r="G45" a="1"/>
  <c r="G45" s="1"/>
  <c r="I45" a="1"/>
  <c r="I45" s="1"/>
  <c r="I52" a="1"/>
  <c r="I52" s="1"/>
  <c r="G52" a="1"/>
  <c r="G52" s="1"/>
  <c r="H52" a="1"/>
  <c r="H52" s="1"/>
  <c r="J52" s="1"/>
  <c r="F52" a="1"/>
  <c r="F52" s="1"/>
  <c r="D52" a="1"/>
  <c r="D52" s="1"/>
  <c r="E52" a="1"/>
  <c r="E52" s="1"/>
  <c r="I158" a="1"/>
  <c r="I158" s="1"/>
  <c r="F158" a="1"/>
  <c r="F158" s="1"/>
  <c r="D158" a="1"/>
  <c r="D158" s="1"/>
  <c r="H158" a="1"/>
  <c r="H158" s="1"/>
  <c r="J158" s="1"/>
  <c r="E158" a="1"/>
  <c r="E158" s="1"/>
  <c r="G158" a="1"/>
  <c r="G158" s="1"/>
  <c r="I61" a="1"/>
  <c r="I61" s="1"/>
  <c r="E61" a="1"/>
  <c r="E61" s="1"/>
  <c r="H61" a="1"/>
  <c r="H61" s="1"/>
  <c r="J61" s="1"/>
  <c r="G61" a="1"/>
  <c r="G61" s="1"/>
  <c r="F61" a="1"/>
  <c r="F61" s="1"/>
  <c r="D61" a="1"/>
  <c r="D61" s="1"/>
  <c r="H126" a="1"/>
  <c r="H126" s="1"/>
  <c r="J126" s="1"/>
  <c r="G126" a="1"/>
  <c r="G126" s="1"/>
  <c r="D126" a="1"/>
  <c r="D126" s="1"/>
  <c r="F126" a="1"/>
  <c r="F126" s="1"/>
  <c r="I126" a="1"/>
  <c r="I126" s="1"/>
  <c r="E126" a="1"/>
  <c r="E126" s="1"/>
  <c r="E202" a="1"/>
  <c r="E202" s="1"/>
  <c r="H202" a="1"/>
  <c r="H202" s="1"/>
  <c r="J202" s="1"/>
  <c r="G202" a="1"/>
  <c r="G202" s="1"/>
  <c r="F202" a="1"/>
  <c r="F202" s="1"/>
  <c r="D202" a="1"/>
  <c r="D202" s="1"/>
  <c r="I202" a="1"/>
  <c r="I202" s="1"/>
  <c r="E72" a="1"/>
  <c r="E72" s="1"/>
  <c r="G72" a="1"/>
  <c r="G72" s="1"/>
  <c r="H72" a="1"/>
  <c r="H72" s="1"/>
  <c r="J72" s="1"/>
  <c r="D72" a="1"/>
  <c r="D72" s="1"/>
  <c r="F72" a="1"/>
  <c r="F72" s="1"/>
  <c r="I72" a="1"/>
  <c r="I72" s="1"/>
  <c r="E121" a="1"/>
  <c r="E121" s="1"/>
  <c r="F121" a="1"/>
  <c r="F121" s="1"/>
  <c r="H121" a="1"/>
  <c r="H121" s="1"/>
  <c r="J121" s="1"/>
  <c r="I121" a="1"/>
  <c r="I121" s="1"/>
  <c r="D121" a="1"/>
  <c r="D121" s="1"/>
  <c r="G121" a="1"/>
  <c r="G121" s="1"/>
  <c r="F91" a="1"/>
  <c r="F91" s="1"/>
  <c r="D91" a="1"/>
  <c r="D91" s="1"/>
  <c r="I91" a="1"/>
  <c r="I91" s="1"/>
  <c r="G91" a="1"/>
  <c r="G91" s="1"/>
  <c r="E91" a="1"/>
  <c r="E91" s="1"/>
  <c r="H91" a="1"/>
  <c r="H91" s="1"/>
  <c r="J91" s="1"/>
  <c r="E108" a="1"/>
  <c r="E108" s="1"/>
  <c r="F108" a="1"/>
  <c r="F108" s="1"/>
  <c r="H108" a="1"/>
  <c r="H108" s="1"/>
  <c r="J108" s="1"/>
  <c r="I108" a="1"/>
  <c r="I108" s="1"/>
  <c r="D108" a="1"/>
  <c r="D108" s="1"/>
  <c r="G108" a="1"/>
  <c r="G108" s="1"/>
  <c r="E159" a="1"/>
  <c r="E159" s="1"/>
  <c r="I159" a="1"/>
  <c r="I159" s="1"/>
  <c r="G159" a="1"/>
  <c r="G159" s="1"/>
  <c r="F159" a="1"/>
  <c r="F159" s="1"/>
  <c r="D159" a="1"/>
  <c r="D159" s="1"/>
  <c r="H159" a="1"/>
  <c r="H159" s="1"/>
  <c r="J159" s="1"/>
  <c r="I171" a="1"/>
  <c r="I171" s="1"/>
  <c r="G171" a="1"/>
  <c r="G171" s="1"/>
  <c r="D171" a="1"/>
  <c r="D171" s="1"/>
  <c r="E171" a="1"/>
  <c r="E171" s="1"/>
  <c r="H171" a="1"/>
  <c r="H171" s="1"/>
  <c r="J171" s="1"/>
  <c r="F171" a="1"/>
  <c r="F171" s="1"/>
  <c r="H182" a="1"/>
  <c r="H182" s="1"/>
  <c r="J182" s="1"/>
  <c r="D182" a="1"/>
  <c r="D182" s="1"/>
  <c r="E182" a="1"/>
  <c r="E182" s="1"/>
  <c r="G182" a="1"/>
  <c r="G182" s="1"/>
  <c r="F182" a="1"/>
  <c r="F182" s="1"/>
  <c r="I182" a="1"/>
  <c r="I182" s="1"/>
  <c r="D115" a="1"/>
  <c r="D115" s="1"/>
  <c r="I115" a="1"/>
  <c r="I115" s="1"/>
  <c r="F115" a="1"/>
  <c r="F115" s="1"/>
  <c r="G115" a="1"/>
  <c r="G115" s="1"/>
  <c r="E115" a="1"/>
  <c r="E115" s="1"/>
  <c r="H115" a="1"/>
  <c r="H115" s="1"/>
  <c r="J115" s="1"/>
  <c r="H88" a="1"/>
  <c r="H88" s="1"/>
  <c r="J88" s="1"/>
  <c r="F88" a="1"/>
  <c r="F88" s="1"/>
  <c r="D88" a="1"/>
  <c r="D88" s="1"/>
  <c r="I88" a="1"/>
  <c r="I88" s="1"/>
  <c r="E88" a="1"/>
  <c r="E88" s="1"/>
  <c r="G88" a="1"/>
  <c r="G88" s="1"/>
  <c r="G51" a="1"/>
  <c r="G51" s="1"/>
  <c r="E51" a="1"/>
  <c r="E51" s="1"/>
  <c r="H51" a="1"/>
  <c r="H51" s="1"/>
  <c r="J51" s="1"/>
  <c r="I51" a="1"/>
  <c r="I51" s="1"/>
  <c r="F51" a="1"/>
  <c r="F51" s="1"/>
  <c r="D51" a="1"/>
  <c r="D51" s="1"/>
  <c r="G62" a="1"/>
  <c r="G62" s="1"/>
  <c r="H62" a="1"/>
  <c r="H62" s="1"/>
  <c r="J62" s="1"/>
  <c r="D62" a="1"/>
  <c r="D62" s="1"/>
  <c r="F62" a="1"/>
  <c r="F62" s="1"/>
  <c r="I62" a="1"/>
  <c r="I62" s="1"/>
  <c r="E62" a="1"/>
  <c r="E62" s="1"/>
  <c r="G65" a="1"/>
  <c r="G65" s="1"/>
  <c r="H65" a="1"/>
  <c r="H65" s="1"/>
  <c r="J65" s="1"/>
  <c r="D65" a="1"/>
  <c r="D65" s="1"/>
  <c r="I65" a="1"/>
  <c r="I65" s="1"/>
  <c r="F65" a="1"/>
  <c r="F65" s="1"/>
  <c r="E65" a="1"/>
  <c r="E65" s="1"/>
  <c r="E119" a="1"/>
  <c r="E119" s="1"/>
  <c r="I119" a="1"/>
  <c r="I119" s="1"/>
  <c r="H119" a="1"/>
  <c r="H119" s="1"/>
  <c r="J119" s="1"/>
  <c r="D119" a="1"/>
  <c r="D119" s="1"/>
  <c r="G119" a="1"/>
  <c r="G119" s="1"/>
  <c r="F119" a="1"/>
  <c r="F119" s="1"/>
  <c r="I67" a="1"/>
  <c r="I67" s="1"/>
  <c r="E67" a="1"/>
  <c r="E67" s="1"/>
  <c r="H67" a="1"/>
  <c r="H67" s="1"/>
  <c r="J67" s="1"/>
  <c r="D67" a="1"/>
  <c r="D67" s="1"/>
  <c r="G67" a="1"/>
  <c r="G67" s="1"/>
  <c r="F67" a="1"/>
  <c r="F67" s="1"/>
  <c r="H193" a="1"/>
  <c r="H193" s="1"/>
  <c r="J193" s="1"/>
  <c r="F193" a="1"/>
  <c r="F193" s="1"/>
  <c r="I193" a="1"/>
  <c r="I193" s="1"/>
  <c r="D193" a="1"/>
  <c r="D193" s="1"/>
  <c r="G193" a="1"/>
  <c r="G193" s="1"/>
  <c r="E193" a="1"/>
  <c r="E193" s="1"/>
  <c r="E172" a="1"/>
  <c r="E172" s="1"/>
  <c r="I172" a="1"/>
  <c r="I172" s="1"/>
  <c r="D172" a="1"/>
  <c r="D172" s="1"/>
  <c r="H172" a="1"/>
  <c r="H172" s="1"/>
  <c r="J172" s="1"/>
  <c r="F172" a="1"/>
  <c r="F172" s="1"/>
  <c r="G172" a="1"/>
  <c r="G172" s="1"/>
  <c r="D36" a="1"/>
  <c r="D36" s="1"/>
  <c r="I36" a="1"/>
  <c r="I36" s="1"/>
  <c r="F36" a="1"/>
  <c r="F36" s="1"/>
  <c r="G36" a="1"/>
  <c r="G36" s="1"/>
  <c r="E36" a="1"/>
  <c r="E36" s="1"/>
  <c r="H36" a="1"/>
  <c r="H36" s="1"/>
  <c r="J36" s="1"/>
  <c r="G209" a="1"/>
  <c r="G209" s="1"/>
  <c r="E209" a="1"/>
  <c r="E209" s="1"/>
  <c r="F209" a="1"/>
  <c r="F209" s="1"/>
  <c r="D209" a="1"/>
  <c r="D209" s="1"/>
  <c r="I209" a="1"/>
  <c r="I209" s="1"/>
  <c r="H209" a="1"/>
  <c r="H209" s="1"/>
  <c r="J209" s="1"/>
  <c r="D128" a="1"/>
  <c r="D128" s="1"/>
  <c r="E128" a="1"/>
  <c r="E128" s="1"/>
  <c r="G128" a="1"/>
  <c r="G128" s="1"/>
  <c r="I128" a="1"/>
  <c r="I128" s="1"/>
  <c r="H128" a="1"/>
  <c r="H128" s="1"/>
  <c r="J128" s="1"/>
  <c r="F128" a="1"/>
  <c r="F128" s="1"/>
  <c r="E197" a="1"/>
  <c r="E197" s="1"/>
  <c r="F197" a="1"/>
  <c r="F197" s="1"/>
  <c r="D197" a="1"/>
  <c r="D197" s="1"/>
  <c r="I197" a="1"/>
  <c r="I197" s="1"/>
  <c r="H197" a="1"/>
  <c r="H197" s="1"/>
  <c r="J197" s="1"/>
  <c r="G197" a="1"/>
  <c r="G197" s="1"/>
  <c r="D186" a="1"/>
  <c r="D186" s="1"/>
  <c r="E186" a="1"/>
  <c r="E186" s="1"/>
  <c r="G186" a="1"/>
  <c r="G186" s="1"/>
  <c r="H186" a="1"/>
  <c r="H186" s="1"/>
  <c r="J186" s="1"/>
  <c r="I186" a="1"/>
  <c r="I186" s="1"/>
  <c r="F186" a="1"/>
  <c r="F186" s="1"/>
  <c r="E104" a="1"/>
  <c r="E104" s="1"/>
  <c r="G104" a="1"/>
  <c r="G104" s="1"/>
  <c r="I104" a="1"/>
  <c r="I104" s="1"/>
  <c r="D104" a="1"/>
  <c r="D104" s="1"/>
  <c r="H104" a="1"/>
  <c r="H104" s="1"/>
  <c r="J104" s="1"/>
  <c r="F104" a="1"/>
  <c r="F104" s="1"/>
  <c r="D145" a="1"/>
  <c r="D145" s="1"/>
  <c r="H145" a="1"/>
  <c r="H145" s="1"/>
  <c r="J145" s="1"/>
  <c r="G145" a="1"/>
  <c r="G145" s="1"/>
  <c r="I145" a="1"/>
  <c r="I145" s="1"/>
  <c r="E145" a="1"/>
  <c r="E145" s="1"/>
  <c r="F145" a="1"/>
  <c r="F145" s="1"/>
  <c r="H39" a="1"/>
  <c r="H39" s="1"/>
  <c r="J39" s="1"/>
  <c r="F39" a="1"/>
  <c r="F39" s="1"/>
  <c r="D39" a="1"/>
  <c r="D39" s="1"/>
  <c r="I39" a="1"/>
  <c r="I39" s="1"/>
  <c r="E39" a="1"/>
  <c r="E39" s="1"/>
  <c r="G39" a="1"/>
  <c r="G39" s="1"/>
  <c r="I130" a="1"/>
  <c r="I130" s="1"/>
  <c r="G130" a="1"/>
  <c r="G130" s="1"/>
  <c r="E130" a="1"/>
  <c r="E130" s="1"/>
  <c r="H130" a="1"/>
  <c r="H130" s="1"/>
  <c r="J130" s="1"/>
  <c r="D130" a="1"/>
  <c r="D130" s="1"/>
  <c r="F130" a="1"/>
  <c r="F130" s="1"/>
  <c r="E173" a="1"/>
  <c r="E173" s="1"/>
  <c r="I173" a="1"/>
  <c r="I173" s="1"/>
  <c r="H173" a="1"/>
  <c r="H173" s="1"/>
  <c r="J173" s="1"/>
  <c r="G173" a="1"/>
  <c r="G173" s="1"/>
  <c r="D173" a="1"/>
  <c r="D173" s="1"/>
  <c r="F173" a="1"/>
  <c r="F173" s="1"/>
  <c r="I206" a="1"/>
  <c r="I206" s="1"/>
  <c r="H206" a="1"/>
  <c r="H206" s="1"/>
  <c r="J206" s="1"/>
  <c r="F206" a="1"/>
  <c r="F206" s="1"/>
  <c r="D206" a="1"/>
  <c r="D206" s="1"/>
  <c r="E206" a="1"/>
  <c r="E206" s="1"/>
  <c r="G206" a="1"/>
  <c r="G206" s="1"/>
  <c r="G123" a="1"/>
  <c r="G123" s="1"/>
  <c r="D123" a="1"/>
  <c r="D123" s="1"/>
  <c r="E123" a="1"/>
  <c r="E123" s="1"/>
  <c r="I123" a="1"/>
  <c r="I123" s="1"/>
  <c r="F123" a="1"/>
  <c r="F123" s="1"/>
  <c r="H123" a="1"/>
  <c r="H123" s="1"/>
  <c r="J123" s="1"/>
  <c r="I213" a="1"/>
  <c r="I213" s="1"/>
  <c r="E213" a="1"/>
  <c r="E213" s="1"/>
  <c r="F213" a="1"/>
  <c r="F213" s="1"/>
  <c r="H213" a="1"/>
  <c r="H213" s="1"/>
  <c r="J213" s="1"/>
  <c r="D213" a="1"/>
  <c r="D213" s="1"/>
  <c r="G213" a="1"/>
  <c r="G213" s="1"/>
  <c r="D198" a="1"/>
  <c r="D198" s="1"/>
  <c r="I198" a="1"/>
  <c r="I198" s="1"/>
  <c r="G198" a="1"/>
  <c r="G198" s="1"/>
  <c r="F198" a="1"/>
  <c r="F198" s="1"/>
  <c r="E198" a="1"/>
  <c r="E198" s="1"/>
  <c r="H198" a="1"/>
  <c r="H198" s="1"/>
  <c r="J198" s="1"/>
  <c r="H97" a="1"/>
  <c r="H97" s="1"/>
  <c r="J97" s="1"/>
  <c r="I97" a="1"/>
  <c r="I97" s="1"/>
  <c r="D97" a="1"/>
  <c r="D97" s="1"/>
  <c r="F97" a="1"/>
  <c r="F97" s="1"/>
  <c r="E97" a="1"/>
  <c r="E97" s="1"/>
  <c r="G97" a="1"/>
  <c r="G97" s="1"/>
  <c r="F207" a="1"/>
  <c r="F207" s="1"/>
  <c r="I207" a="1"/>
  <c r="I207" s="1"/>
  <c r="H207" a="1"/>
  <c r="H207" s="1"/>
  <c r="J207" s="1"/>
  <c r="G207" a="1"/>
  <c r="G207" s="1"/>
  <c r="D207" a="1"/>
  <c r="D207" s="1"/>
  <c r="E207" a="1"/>
  <c r="E207" s="1"/>
  <c r="F161" a="1"/>
  <c r="F161" s="1"/>
  <c r="D161" a="1"/>
  <c r="D161" s="1"/>
  <c r="E161" a="1"/>
  <c r="E161" s="1"/>
  <c r="I161" a="1"/>
  <c r="I161" s="1"/>
  <c r="G161" a="1"/>
  <c r="G161" s="1"/>
  <c r="H161" a="1"/>
  <c r="H161" s="1"/>
  <c r="J161" s="1"/>
  <c r="E68" a="1"/>
  <c r="E68" s="1"/>
  <c r="H68" a="1"/>
  <c r="H68" s="1"/>
  <c r="J68" s="1"/>
  <c r="G68" a="1"/>
  <c r="G68" s="1"/>
  <c r="D68" a="1"/>
  <c r="D68" s="1"/>
  <c r="F68" a="1"/>
  <c r="F68" s="1"/>
  <c r="I68" a="1"/>
  <c r="I68" s="1"/>
  <c r="D89" a="1"/>
  <c r="D89" s="1"/>
  <c r="F89" a="1"/>
  <c r="F89" s="1"/>
  <c r="E89" a="1"/>
  <c r="E89" s="1"/>
  <c r="G89" a="1"/>
  <c r="G89" s="1"/>
  <c r="I89" a="1"/>
  <c r="I89" s="1"/>
  <c r="H89" a="1"/>
  <c r="H89" s="1"/>
  <c r="J89" s="1"/>
  <c r="I81" a="1"/>
  <c r="I81" s="1"/>
  <c r="H81" a="1"/>
  <c r="H81" s="1"/>
  <c r="J81" s="1"/>
  <c r="E81" a="1"/>
  <c r="E81" s="1"/>
  <c r="D81" a="1"/>
  <c r="D81" s="1"/>
  <c r="G81" a="1"/>
  <c r="G81" s="1"/>
  <c r="F81" a="1"/>
  <c r="F81" s="1"/>
  <c r="H34" a="1"/>
  <c r="H34" s="1"/>
  <c r="J34" s="1"/>
  <c r="F34" a="1"/>
  <c r="F34" s="1"/>
  <c r="D34" a="1"/>
  <c r="D34" s="1"/>
  <c r="G34" a="1"/>
  <c r="G34" s="1"/>
  <c r="E34" a="1"/>
  <c r="E34" s="1"/>
  <c r="I34" a="1"/>
  <c r="I34" s="1"/>
  <c r="E94" a="1"/>
  <c r="E94" s="1"/>
  <c r="F94" a="1"/>
  <c r="F94" s="1"/>
  <c r="G94" a="1"/>
  <c r="G94" s="1"/>
  <c r="D94" a="1"/>
  <c r="D94" s="1"/>
  <c r="I94" a="1"/>
  <c r="I94" s="1"/>
  <c r="H94" a="1"/>
  <c r="H94" s="1"/>
  <c r="J94" s="1"/>
  <c r="H59" a="1"/>
  <c r="H59" s="1"/>
  <c r="J59" s="1"/>
  <c r="F59" a="1"/>
  <c r="F59" s="1"/>
  <c r="E59" a="1"/>
  <c r="E59" s="1"/>
  <c r="D59" a="1"/>
  <c r="D59" s="1"/>
  <c r="G59" a="1"/>
  <c r="G59" s="1"/>
  <c r="I59" a="1"/>
  <c r="I59" s="1"/>
  <c r="I110" a="1"/>
  <c r="I110" s="1"/>
  <c r="F110" a="1"/>
  <c r="F110" s="1"/>
  <c r="E110" a="1"/>
  <c r="E110" s="1"/>
  <c r="G110" a="1"/>
  <c r="G110" s="1"/>
  <c r="H110" a="1"/>
  <c r="H110" s="1"/>
  <c r="J110" s="1"/>
  <c r="D110" a="1"/>
  <c r="D110" s="1"/>
  <c r="F92" a="1"/>
  <c r="F92" s="1"/>
  <c r="D92" a="1"/>
  <c r="D92" s="1"/>
  <c r="I92" a="1"/>
  <c r="I92" s="1"/>
  <c r="H92" a="1"/>
  <c r="H92" s="1"/>
  <c r="J92" s="1"/>
  <c r="E92" a="1"/>
  <c r="E92" s="1"/>
  <c r="G92" a="1"/>
  <c r="G92" s="1"/>
  <c r="H41" a="1"/>
  <c r="H41" s="1"/>
  <c r="J41" s="1"/>
  <c r="F41" a="1"/>
  <c r="F41" s="1"/>
  <c r="D41" a="1"/>
  <c r="D41" s="1"/>
  <c r="G41" a="1"/>
  <c r="G41" s="1"/>
  <c r="E41" a="1"/>
  <c r="E41" s="1"/>
  <c r="I41" a="1"/>
  <c r="I41" s="1"/>
  <c r="D165" a="1"/>
  <c r="D165" s="1"/>
  <c r="F165" a="1"/>
  <c r="F165" s="1"/>
  <c r="H165" a="1"/>
  <c r="H165" s="1"/>
  <c r="J165" s="1"/>
  <c r="G165" a="1"/>
  <c r="G165" s="1"/>
  <c r="E165" a="1"/>
  <c r="E165" s="1"/>
  <c r="I165" a="1"/>
  <c r="I165" s="1"/>
  <c r="I37" a="1"/>
  <c r="I37" s="1"/>
  <c r="G37" a="1"/>
  <c r="G37" s="1"/>
  <c r="E37" a="1"/>
  <c r="E37" s="1"/>
  <c r="H37" a="1"/>
  <c r="H37" s="1"/>
  <c r="J37" s="1"/>
  <c r="F37" a="1"/>
  <c r="F37" s="1"/>
  <c r="D37" a="1"/>
  <c r="D37" s="1"/>
  <c r="D162" a="1"/>
  <c r="D162" s="1"/>
  <c r="H162" a="1"/>
  <c r="H162" s="1"/>
  <c r="J162" s="1"/>
  <c r="F162" a="1"/>
  <c r="F162" s="1"/>
  <c r="G162" a="1"/>
  <c r="G162" s="1"/>
  <c r="I162" a="1"/>
  <c r="I162" s="1"/>
  <c r="E162" a="1"/>
  <c r="E162" s="1"/>
  <c r="D208" a="1"/>
  <c r="D208" s="1"/>
  <c r="E208" a="1"/>
  <c r="E208" s="1"/>
  <c r="F208" a="1"/>
  <c r="F208" s="1"/>
  <c r="I208" a="1"/>
  <c r="I208" s="1"/>
  <c r="G208" a="1"/>
  <c r="G208" s="1"/>
  <c r="H208" a="1"/>
  <c r="H208" s="1"/>
  <c r="J208" s="1"/>
  <c r="I106" a="1"/>
  <c r="I106" s="1"/>
  <c r="F106" a="1"/>
  <c r="F106" s="1"/>
  <c r="E106" a="1"/>
  <c r="E106" s="1"/>
  <c r="H106" a="1"/>
  <c r="H106" s="1"/>
  <c r="J106" s="1"/>
  <c r="G106" a="1"/>
  <c r="G106" s="1"/>
  <c r="D106" a="1"/>
  <c r="D106" s="1"/>
  <c r="E122" a="1"/>
  <c r="E122" s="1"/>
  <c r="F122" a="1"/>
  <c r="F122" s="1"/>
  <c r="H122" a="1"/>
  <c r="H122" s="1"/>
  <c r="J122" s="1"/>
  <c r="G122" a="1"/>
  <c r="G122" s="1"/>
  <c r="D122" a="1"/>
  <c r="D122" s="1"/>
  <c r="I122" a="1"/>
  <c r="I122" s="1"/>
  <c r="G118" a="1"/>
  <c r="G118" s="1"/>
  <c r="I118" a="1"/>
  <c r="I118" s="1"/>
  <c r="D118" a="1"/>
  <c r="D118" s="1"/>
  <c r="F118" a="1"/>
  <c r="F118" s="1"/>
  <c r="E118" a="1"/>
  <c r="E118" s="1"/>
  <c r="H118" a="1"/>
  <c r="H118" s="1"/>
  <c r="J118" s="1"/>
  <c r="I214" a="1"/>
  <c r="I214" s="1"/>
  <c r="G214" a="1"/>
  <c r="G214" s="1"/>
  <c r="E214" a="1"/>
  <c r="E214" s="1"/>
  <c r="D214" a="1"/>
  <c r="D214" s="1"/>
  <c r="H214" a="1"/>
  <c r="H214" s="1"/>
  <c r="J214" s="1"/>
  <c r="F214" a="1"/>
  <c r="F214" s="1"/>
  <c r="G32" a="1"/>
  <c r="G32" s="1"/>
  <c r="E32" a="1"/>
  <c r="E32" s="1"/>
  <c r="H32" a="1"/>
  <c r="H32" s="1"/>
  <c r="J32" s="1"/>
  <c r="I32" a="1"/>
  <c r="I32" s="1"/>
  <c r="D32" a="1"/>
  <c r="D32" s="1"/>
  <c r="F32" a="1"/>
  <c r="F32" s="1"/>
  <c r="E90" a="1"/>
  <c r="E90" s="1"/>
  <c r="F90" a="1"/>
  <c r="F90" s="1"/>
  <c r="G90" a="1"/>
  <c r="G90" s="1"/>
  <c r="H90" a="1"/>
  <c r="H90" s="1"/>
  <c r="J90" s="1"/>
  <c r="D90" a="1"/>
  <c r="D90" s="1"/>
  <c r="I90" a="1"/>
  <c r="I90" s="1"/>
  <c r="D98" a="1"/>
  <c r="D98" s="1"/>
  <c r="I98" a="1"/>
  <c r="I98" s="1"/>
  <c r="E98" a="1"/>
  <c r="E98" s="1"/>
  <c r="H98" a="1"/>
  <c r="H98" s="1"/>
  <c r="J98" s="1"/>
  <c r="F98" a="1"/>
  <c r="F98" s="1"/>
  <c r="G98" a="1"/>
  <c r="G98" s="1"/>
  <c r="D167" a="1"/>
  <c r="D167" s="1"/>
  <c r="G167" a="1"/>
  <c r="G167" s="1"/>
  <c r="F167" a="1"/>
  <c r="F167" s="1"/>
  <c r="I167" a="1"/>
  <c r="I167" s="1"/>
  <c r="E167" a="1"/>
  <c r="E167" s="1"/>
  <c r="H167" a="1"/>
  <c r="H167" s="1"/>
  <c r="J167" s="1"/>
  <c r="F56" a="1"/>
  <c r="F56" s="1"/>
  <c r="E56" a="1"/>
  <c r="E56" s="1"/>
  <c r="D56" a="1"/>
  <c r="D56" s="1"/>
  <c r="G56" a="1"/>
  <c r="G56" s="1"/>
  <c r="I56" a="1"/>
  <c r="I56" s="1"/>
  <c r="H56" a="1"/>
  <c r="H56" s="1"/>
  <c r="J56" s="1"/>
  <c r="E85" a="1"/>
  <c r="E85" s="1"/>
  <c r="F85" a="1"/>
  <c r="F85" s="1"/>
  <c r="H85" a="1"/>
  <c r="H85" s="1"/>
  <c r="J85" s="1"/>
  <c r="D85" a="1"/>
  <c r="D85" s="1"/>
  <c r="I85" a="1"/>
  <c r="I85" s="1"/>
  <c r="G85" a="1"/>
  <c r="G85" s="1"/>
  <c r="G78" a="1"/>
  <c r="G78" s="1"/>
  <c r="I78" a="1"/>
  <c r="I78" s="1"/>
  <c r="H78" a="1"/>
  <c r="H78" s="1"/>
  <c r="J78" s="1"/>
  <c r="F78" a="1"/>
  <c r="F78" s="1"/>
  <c r="D78" a="1"/>
  <c r="D78" s="1"/>
  <c r="E78" a="1"/>
  <c r="E78" s="1"/>
  <c r="G137" a="1"/>
  <c r="G137" s="1"/>
  <c r="I137" a="1"/>
  <c r="I137" s="1"/>
  <c r="H137" a="1"/>
  <c r="H137" s="1"/>
  <c r="J137" s="1"/>
  <c r="D137" a="1"/>
  <c r="D137" s="1"/>
  <c r="E137" a="1"/>
  <c r="E137" s="1"/>
  <c r="F137" a="1"/>
  <c r="F137" s="1"/>
  <c r="E212" a="1"/>
  <c r="E212" s="1"/>
  <c r="F212" a="1"/>
  <c r="F212" s="1"/>
  <c r="H212" a="1"/>
  <c r="H212" s="1"/>
  <c r="J212" s="1"/>
  <c r="D212" a="1"/>
  <c r="D212" s="1"/>
  <c r="G212" a="1"/>
  <c r="G212" s="1"/>
  <c r="I212" a="1"/>
  <c r="I212" s="1"/>
  <c r="E111" a="1"/>
  <c r="E111" s="1"/>
  <c r="H111" a="1"/>
  <c r="H111" s="1"/>
  <c r="J111" s="1"/>
  <c r="D111" a="1"/>
  <c r="D111" s="1"/>
  <c r="F111" a="1"/>
  <c r="F111" s="1"/>
  <c r="G111" a="1"/>
  <c r="G111" s="1"/>
  <c r="I111" a="1"/>
  <c r="I111" s="1"/>
  <c r="G77" a="1"/>
  <c r="G77" s="1"/>
  <c r="D77" a="1"/>
  <c r="D77" s="1"/>
  <c r="F77" a="1"/>
  <c r="F77" s="1"/>
  <c r="I77" a="1"/>
  <c r="I77" s="1"/>
  <c r="H77" a="1"/>
  <c r="H77" s="1"/>
  <c r="J77" s="1"/>
  <c r="E77" a="1"/>
  <c r="E77" s="1"/>
  <c r="G70" a="1"/>
  <c r="G70" s="1"/>
  <c r="H70" a="1"/>
  <c r="H70" s="1"/>
  <c r="J70" s="1"/>
  <c r="E70" a="1"/>
  <c r="E70" s="1"/>
  <c r="D70" a="1"/>
  <c r="D70" s="1"/>
  <c r="I70" a="1"/>
  <c r="I70" s="1"/>
  <c r="F70" a="1"/>
  <c r="F70" s="1"/>
  <c r="G191" a="1"/>
  <c r="G191" s="1"/>
  <c r="I191" a="1"/>
  <c r="I191" s="1"/>
  <c r="D191" a="1"/>
  <c r="D191" s="1"/>
  <c r="H191" a="1"/>
  <c r="H191" s="1"/>
  <c r="J191" s="1"/>
  <c r="E191" a="1"/>
  <c r="E191" s="1"/>
  <c r="F191" a="1"/>
  <c r="F191" s="1"/>
  <c r="E136" a="1"/>
  <c r="E136" s="1"/>
  <c r="H136" a="1"/>
  <c r="H136" s="1"/>
  <c r="J136" s="1"/>
  <c r="F136" a="1"/>
  <c r="F136" s="1"/>
  <c r="D136" a="1"/>
  <c r="D136" s="1"/>
  <c r="I136" a="1"/>
  <c r="I136" s="1"/>
  <c r="G136" a="1"/>
  <c r="G136" s="1"/>
  <c r="D135" a="1"/>
  <c r="D135" s="1"/>
  <c r="E135" a="1"/>
  <c r="E135" s="1"/>
  <c r="I135" a="1"/>
  <c r="I135" s="1"/>
  <c r="H135" a="1"/>
  <c r="H135" s="1"/>
  <c r="J135" s="1"/>
  <c r="G135" a="1"/>
  <c r="G135" s="1"/>
  <c r="F135" a="1"/>
  <c r="F135" s="1"/>
  <c r="D63" a="1"/>
  <c r="D63" s="1"/>
  <c r="E63" a="1"/>
  <c r="E63" s="1"/>
  <c r="G63" a="1"/>
  <c r="G63" s="1"/>
  <c r="F63" a="1"/>
  <c r="F63" s="1"/>
  <c r="H63" a="1"/>
  <c r="H63" s="1"/>
  <c r="J63" s="1"/>
  <c r="I63" a="1"/>
  <c r="I63" s="1"/>
  <c r="H169" a="1"/>
  <c r="H169" s="1"/>
  <c r="J169" s="1"/>
  <c r="F169" a="1"/>
  <c r="F169" s="1"/>
  <c r="E169" a="1"/>
  <c r="E169" s="1"/>
  <c r="D169" a="1"/>
  <c r="D169" s="1"/>
  <c r="I169" a="1"/>
  <c r="I169" s="1"/>
  <c r="G169" a="1"/>
  <c r="G169" s="1"/>
  <c r="D58" a="1"/>
  <c r="D58" s="1"/>
  <c r="G58" a="1"/>
  <c r="G58" s="1"/>
  <c r="I58" a="1"/>
  <c r="I58" s="1"/>
  <c r="F58" a="1"/>
  <c r="F58" s="1"/>
  <c r="E58" a="1"/>
  <c r="E58" s="1"/>
  <c r="H58" a="1"/>
  <c r="H58" s="1"/>
  <c r="J58" s="1"/>
  <c r="E76" a="1"/>
  <c r="E76" s="1"/>
  <c r="H76" a="1"/>
  <c r="H76" s="1"/>
  <c r="J76" s="1"/>
  <c r="D76" a="1"/>
  <c r="D76" s="1"/>
  <c r="G76" a="1"/>
  <c r="G76" s="1"/>
  <c r="F76" a="1"/>
  <c r="F76" s="1"/>
  <c r="I76" a="1"/>
  <c r="I76" s="1"/>
  <c r="G187" a="1"/>
  <c r="G187" s="1"/>
  <c r="F187" a="1"/>
  <c r="F187" s="1"/>
  <c r="D187" a="1"/>
  <c r="D187" s="1"/>
  <c r="E187" a="1"/>
  <c r="E187" s="1"/>
  <c r="I187" a="1"/>
  <c r="I187" s="1"/>
  <c r="H187" a="1"/>
  <c r="H187" s="1"/>
  <c r="J187" s="1"/>
  <c r="D164" a="1"/>
  <c r="D164" s="1"/>
  <c r="G164" a="1"/>
  <c r="G164" s="1"/>
  <c r="E164" a="1"/>
  <c r="E164" s="1"/>
  <c r="F164" a="1"/>
  <c r="F164" s="1"/>
  <c r="I164" a="1"/>
  <c r="I164" s="1"/>
  <c r="H164" a="1"/>
  <c r="H164" s="1"/>
  <c r="J164" s="1"/>
  <c r="I127" a="1"/>
  <c r="I127" s="1"/>
  <c r="F127" a="1"/>
  <c r="F127" s="1"/>
  <c r="D127" a="1"/>
  <c r="D127" s="1"/>
  <c r="E127" a="1"/>
  <c r="E127" s="1"/>
  <c r="H127" a="1"/>
  <c r="H127" s="1"/>
  <c r="J127" s="1"/>
  <c r="G127" a="1"/>
  <c r="G127" s="1"/>
  <c r="G210" a="1"/>
  <c r="G210" s="1"/>
  <c r="I210" a="1"/>
  <c r="I210" s="1"/>
  <c r="F210" a="1"/>
  <c r="F210" s="1"/>
  <c r="H210" a="1"/>
  <c r="H210" s="1"/>
  <c r="J210" s="1"/>
  <c r="E210" a="1"/>
  <c r="E210" s="1"/>
  <c r="D210" a="1"/>
  <c r="D210" s="1"/>
  <c r="H150" a="1"/>
  <c r="H150" s="1"/>
  <c r="J150" s="1"/>
  <c r="F150" a="1"/>
  <c r="F150" s="1"/>
  <c r="D150" a="1"/>
  <c r="D150" s="1"/>
  <c r="G150" a="1"/>
  <c r="G150" s="1"/>
  <c r="E150" a="1"/>
  <c r="E150" s="1"/>
  <c r="I150" a="1"/>
  <c r="I150" s="1"/>
  <c r="F175" a="1"/>
  <c r="F175" s="1"/>
  <c r="H175" a="1"/>
  <c r="H175" s="1"/>
  <c r="J175" s="1"/>
  <c r="I175" a="1"/>
  <c r="I175" s="1"/>
  <c r="G175" a="1"/>
  <c r="G175" s="1"/>
  <c r="E175" a="1"/>
  <c r="E175" s="1"/>
  <c r="D175" a="1"/>
  <c r="D175" s="1"/>
  <c r="I35" a="1"/>
  <c r="I35" s="1"/>
  <c r="G35" a="1"/>
  <c r="G35" s="1"/>
  <c r="E35" a="1"/>
  <c r="E35" s="1"/>
  <c r="H35" a="1"/>
  <c r="H35" s="1"/>
  <c r="J35" s="1"/>
  <c r="D35" a="1"/>
  <c r="D35" s="1"/>
  <c r="F35" a="1"/>
  <c r="F35" s="1"/>
  <c r="H179" a="1"/>
  <c r="H179" s="1"/>
  <c r="J179" s="1"/>
  <c r="I179" a="1"/>
  <c r="I179" s="1"/>
  <c r="F179" a="1"/>
  <c r="F179" s="1"/>
  <c r="D179" a="1"/>
  <c r="D179" s="1"/>
  <c r="G179" a="1"/>
  <c r="G179" s="1"/>
  <c r="E179" a="1"/>
  <c r="E179" s="1"/>
  <c r="H142" a="1"/>
  <c r="H142" s="1"/>
  <c r="J142" s="1"/>
  <c r="F142" a="1"/>
  <c r="F142" s="1"/>
  <c r="G142" a="1"/>
  <c r="G142" s="1"/>
  <c r="D142" a="1"/>
  <c r="D142" s="1"/>
  <c r="I142" a="1"/>
  <c r="I142" s="1"/>
  <c r="E142" a="1"/>
  <c r="E142" s="1"/>
  <c r="F73" a="1"/>
  <c r="F73" s="1"/>
  <c r="H73" a="1"/>
  <c r="H73" s="1"/>
  <c r="J73" s="1"/>
  <c r="D73" a="1"/>
  <c r="D73" s="1"/>
  <c r="I73" a="1"/>
  <c r="I73" s="1"/>
  <c r="E73" a="1"/>
  <c r="E73" s="1"/>
  <c r="G73" a="1"/>
  <c r="G73" s="1"/>
  <c r="G83" a="1"/>
  <c r="G83" s="1"/>
  <c r="D83" a="1"/>
  <c r="D83" s="1"/>
  <c r="I83" a="1"/>
  <c r="I83" s="1"/>
  <c r="F83" a="1"/>
  <c r="F83" s="1"/>
  <c r="E83" a="1"/>
  <c r="E83" s="1"/>
  <c r="H83" a="1"/>
  <c r="H83" s="1"/>
  <c r="J83" s="1"/>
  <c r="D99" a="1"/>
  <c r="D99" s="1"/>
  <c r="I99" a="1"/>
  <c r="I99" s="1"/>
  <c r="G99" a="1"/>
  <c r="G99" s="1"/>
  <c r="E99" a="1"/>
  <c r="E99" s="1"/>
  <c r="H99" a="1"/>
  <c r="H99" s="1"/>
  <c r="J99" s="1"/>
  <c r="F99" a="1"/>
  <c r="F99" s="1"/>
  <c r="E60" a="1"/>
  <c r="E60" s="1"/>
  <c r="D60" a="1"/>
  <c r="D60" s="1"/>
  <c r="F60" a="1"/>
  <c r="F60" s="1"/>
  <c r="H60" a="1"/>
  <c r="H60" s="1"/>
  <c r="J60" s="1"/>
  <c r="G60" a="1"/>
  <c r="G60" s="1"/>
  <c r="I60" a="1"/>
  <c r="I60" s="1"/>
  <c r="D103" a="1"/>
  <c r="D103" s="1"/>
  <c r="H103" a="1"/>
  <c r="H103" s="1"/>
  <c r="J103" s="1"/>
  <c r="F103" a="1"/>
  <c r="F103" s="1"/>
  <c r="I103" a="1"/>
  <c r="I103" s="1"/>
  <c r="E103" a="1"/>
  <c r="E103" s="1"/>
  <c r="G103" a="1"/>
  <c r="G103" s="1"/>
  <c r="F80" a="1"/>
  <c r="F80" s="1"/>
  <c r="E80" a="1"/>
  <c r="E80" s="1"/>
  <c r="I80" a="1"/>
  <c r="I80" s="1"/>
  <c r="G80" a="1"/>
  <c r="G80" s="1"/>
  <c r="H80" a="1"/>
  <c r="H80" s="1"/>
  <c r="J80" s="1"/>
  <c r="D80" a="1"/>
  <c r="D80" s="1"/>
  <c r="G138" a="1"/>
  <c r="G138" s="1"/>
  <c r="H138" a="1"/>
  <c r="H138" s="1"/>
  <c r="J138" s="1"/>
  <c r="E138" a="1"/>
  <c r="E138" s="1"/>
  <c r="I138" a="1"/>
  <c r="I138" s="1"/>
  <c r="F138" a="1"/>
  <c r="F138" s="1"/>
  <c r="D138" a="1"/>
  <c r="D138" s="1"/>
  <c r="F107" a="1"/>
  <c r="F107" s="1"/>
  <c r="I107" a="1"/>
  <c r="I107" s="1"/>
  <c r="H107" a="1"/>
  <c r="H107" s="1"/>
  <c r="J107" s="1"/>
  <c r="E107" a="1"/>
  <c r="E107" s="1"/>
  <c r="D107" a="1"/>
  <c r="D107" s="1"/>
  <c r="G107" a="1"/>
  <c r="G107" s="1"/>
  <c r="F102" a="1"/>
  <c r="F102" s="1"/>
  <c r="E102" a="1"/>
  <c r="E102" s="1"/>
  <c r="D102" a="1"/>
  <c r="D102" s="1"/>
  <c r="G102" a="1"/>
  <c r="G102" s="1"/>
  <c r="H102" a="1"/>
  <c r="H102" s="1"/>
  <c r="J102" s="1"/>
  <c r="I102" a="1"/>
  <c r="I102" s="1"/>
  <c r="I156" a="1"/>
  <c r="I156" s="1"/>
  <c r="E156" a="1"/>
  <c r="E156" s="1"/>
  <c r="G156" a="1"/>
  <c r="G156" s="1"/>
  <c r="H156" a="1"/>
  <c r="H156" s="1"/>
  <c r="J156" s="1"/>
  <c r="D156" a="1"/>
  <c r="D156" s="1"/>
  <c r="F156" a="1"/>
  <c r="F156" s="1"/>
  <c r="D53" a="1"/>
  <c r="D53" s="1"/>
  <c r="F53" a="1"/>
  <c r="F53" s="1"/>
  <c r="G53" a="1"/>
  <c r="G53" s="1"/>
  <c r="E53" a="1"/>
  <c r="E53" s="1"/>
  <c r="H53" a="1"/>
  <c r="H53" s="1"/>
  <c r="J53" s="1"/>
  <c r="I53" a="1"/>
  <c r="I53" s="1"/>
  <c r="E42" a="1"/>
  <c r="E42" s="1"/>
  <c r="H42" a="1"/>
  <c r="H42" s="1"/>
  <c r="J42" s="1"/>
  <c r="F42" a="1"/>
  <c r="F42" s="1"/>
  <c r="I42" a="1"/>
  <c r="I42" s="1"/>
  <c r="D42" a="1"/>
  <c r="D42" s="1"/>
  <c r="G42" a="1"/>
  <c r="G42" s="1"/>
  <c r="G64" a="1"/>
  <c r="G64" s="1"/>
  <c r="I64" a="1"/>
  <c r="I64" s="1"/>
  <c r="H64" a="1"/>
  <c r="H64" s="1"/>
  <c r="J64" s="1"/>
  <c r="F64" a="1"/>
  <c r="F64" s="1"/>
  <c r="E64" a="1"/>
  <c r="E64" s="1"/>
  <c r="D64" a="1"/>
  <c r="D64" s="1"/>
  <c r="H114" a="1"/>
  <c r="H114" s="1"/>
  <c r="J114" s="1"/>
  <c r="I114" a="1"/>
  <c r="I114" s="1"/>
  <c r="D114" a="1"/>
  <c r="D114" s="1"/>
  <c r="G114" a="1"/>
  <c r="G114" s="1"/>
  <c r="E114" a="1"/>
  <c r="E114" s="1"/>
  <c r="F114" a="1"/>
  <c r="F114" s="1"/>
  <c r="E201" a="1"/>
  <c r="E201" s="1"/>
  <c r="I201" a="1"/>
  <c r="I201" s="1"/>
  <c r="D201" a="1"/>
  <c r="D201" s="1"/>
  <c r="G201" a="1"/>
  <c r="G201" s="1"/>
  <c r="F201" a="1"/>
  <c r="F201" s="1"/>
  <c r="H201" a="1"/>
  <c r="H201" s="1"/>
  <c r="J201" s="1"/>
  <c r="G87" a="1"/>
  <c r="G87" s="1"/>
  <c r="I87" a="1"/>
  <c r="I87" s="1"/>
  <c r="D87" a="1"/>
  <c r="D87" s="1"/>
  <c r="H87" a="1"/>
  <c r="H87" s="1"/>
  <c r="J87" s="1"/>
  <c r="F87" a="1"/>
  <c r="F87" s="1"/>
  <c r="E87" a="1"/>
  <c r="E87" s="1"/>
  <c r="I168" a="1"/>
  <c r="I168" s="1"/>
  <c r="H168" a="1"/>
  <c r="H168" s="1"/>
  <c r="J168" s="1"/>
  <c r="F168" a="1"/>
  <c r="F168" s="1"/>
  <c r="D168" a="1"/>
  <c r="D168" s="1"/>
  <c r="G168" a="1"/>
  <c r="G168" s="1"/>
  <c r="E168" a="1"/>
  <c r="E168" s="1"/>
  <c r="G79" a="1"/>
  <c r="G79" s="1"/>
  <c r="H79" a="1"/>
  <c r="H79" s="1"/>
  <c r="J79" s="1"/>
  <c r="D79" a="1"/>
  <c r="D79" s="1"/>
  <c r="I79" a="1"/>
  <c r="I79" s="1"/>
  <c r="E79" a="1"/>
  <c r="E79" s="1"/>
  <c r="F79" a="1"/>
  <c r="F79" s="1"/>
  <c r="F151" a="1"/>
  <c r="F151" s="1"/>
  <c r="H151" a="1"/>
  <c r="H151" s="1"/>
  <c r="J151" s="1"/>
  <c r="E151" a="1"/>
  <c r="E151" s="1"/>
  <c r="I151" a="1"/>
  <c r="I151" s="1"/>
  <c r="G151" a="1"/>
  <c r="G151" s="1"/>
  <c r="D151" a="1"/>
  <c r="D151" s="1"/>
  <c r="I139" a="1"/>
  <c r="I139" s="1"/>
  <c r="H139" a="1"/>
  <c r="H139" s="1"/>
  <c r="J139" s="1"/>
  <c r="D139" a="1"/>
  <c r="D139" s="1"/>
  <c r="G139" a="1"/>
  <c r="G139" s="1"/>
  <c r="E139" a="1"/>
  <c r="E139" s="1"/>
  <c r="F139" a="1"/>
  <c r="F139" s="1"/>
  <c r="I31" a="1"/>
  <c r="I31" s="1"/>
  <c r="G31" a="1"/>
  <c r="G31" s="1"/>
  <c r="E31" a="1"/>
  <c r="E31" s="1"/>
  <c r="H31" a="1"/>
  <c r="H31" s="1"/>
  <c r="J31" s="1"/>
  <c r="F31" a="1"/>
  <c r="F31" s="1"/>
  <c r="D31" a="1"/>
  <c r="D31" s="1"/>
  <c r="D153" a="1"/>
  <c r="D153" s="1"/>
  <c r="I153" a="1"/>
  <c r="I153" s="1"/>
  <c r="G153" a="1"/>
  <c r="G153" s="1"/>
  <c r="E153" a="1"/>
  <c r="E153" s="1"/>
  <c r="F153" a="1"/>
  <c r="F153" s="1"/>
  <c r="H153" a="1"/>
  <c r="H153" s="1"/>
  <c r="J153" s="1"/>
  <c r="H166" a="1"/>
  <c r="H166" s="1"/>
  <c r="J166" s="1"/>
  <c r="G166" a="1"/>
  <c r="G166" s="1"/>
  <c r="D166" a="1"/>
  <c r="D166" s="1"/>
  <c r="E166" a="1"/>
  <c r="E166" s="1"/>
  <c r="F166" a="1"/>
  <c r="F166" s="1"/>
  <c r="I166" a="1"/>
  <c r="I166" s="1"/>
  <c r="E46" a="1"/>
  <c r="E46" s="1"/>
  <c r="G46" a="1"/>
  <c r="G46" s="1"/>
  <c r="F46" a="1"/>
  <c r="F46" s="1"/>
  <c r="H46" a="1"/>
  <c r="H46" s="1"/>
  <c r="J46" s="1"/>
  <c r="D46" a="1"/>
  <c r="D46" s="1"/>
  <c r="I46" a="1"/>
  <c r="I46" s="1"/>
  <c r="E154" a="1"/>
  <c r="E154" s="1"/>
  <c r="F154" a="1"/>
  <c r="F154" s="1"/>
  <c r="H154" a="1"/>
  <c r="H154" s="1"/>
  <c r="J154" s="1"/>
  <c r="I154" a="1"/>
  <c r="I154" s="1"/>
  <c r="D154" a="1"/>
  <c r="D154" s="1"/>
  <c r="G154" a="1"/>
  <c r="G154" s="1"/>
  <c r="E100" a="1"/>
  <c r="E100" s="1"/>
  <c r="D100" a="1"/>
  <c r="D100" s="1"/>
  <c r="F100" a="1"/>
  <c r="F100" s="1"/>
  <c r="H100" a="1"/>
  <c r="H100" s="1"/>
  <c r="J100" s="1"/>
  <c r="G100" a="1"/>
  <c r="G100" s="1"/>
  <c r="I100" a="1"/>
  <c r="I100" s="1"/>
  <c r="D181" a="1"/>
  <c r="D181" s="1"/>
  <c r="I181" a="1"/>
  <c r="I181" s="1"/>
  <c r="G181" a="1"/>
  <c r="G181" s="1"/>
  <c r="F181" a="1"/>
  <c r="F181" s="1"/>
  <c r="H181" a="1"/>
  <c r="H181" s="1"/>
  <c r="J181" s="1"/>
  <c r="E181" a="1"/>
  <c r="E181" s="1"/>
  <c r="G40" a="1"/>
  <c r="G40" s="1"/>
  <c r="E40" a="1"/>
  <c r="E40" s="1"/>
  <c r="F40" a="1"/>
  <c r="F40" s="1"/>
  <c r="H40" a="1"/>
  <c r="H40" s="1"/>
  <c r="J40" s="1"/>
  <c r="I40" a="1"/>
  <c r="I40" s="1"/>
  <c r="D40" a="1"/>
  <c r="D40" s="1"/>
  <c r="H178" a="1"/>
  <c r="H178" s="1"/>
  <c r="J178" s="1"/>
  <c r="I178" a="1"/>
  <c r="I178" s="1"/>
  <c r="D178" a="1"/>
  <c r="D178" s="1"/>
  <c r="F178" a="1"/>
  <c r="F178" s="1"/>
  <c r="G178" a="1"/>
  <c r="G178" s="1"/>
  <c r="E178" a="1"/>
  <c r="E178" s="1"/>
  <c r="D141" a="1"/>
  <c r="D141" s="1"/>
  <c r="I141" a="1"/>
  <c r="I141" s="1"/>
  <c r="H141" a="1"/>
  <c r="H141" s="1"/>
  <c r="J141" s="1"/>
  <c r="E141" a="1"/>
  <c r="E141" s="1"/>
  <c r="G141" a="1"/>
  <c r="G141" s="1"/>
  <c r="F141" a="1"/>
  <c r="F141" s="1"/>
  <c r="I160" a="1"/>
  <c r="I160" s="1"/>
  <c r="H160" a="1"/>
  <c r="H160" s="1"/>
  <c r="J160" s="1"/>
  <c r="E160" a="1"/>
  <c r="E160" s="1"/>
  <c r="D160" a="1"/>
  <c r="D160" s="1"/>
  <c r="G160" a="1"/>
  <c r="G160" s="1"/>
  <c r="F160" a="1"/>
  <c r="F160" s="1"/>
  <c r="H149" a="1"/>
  <c r="H149" s="1"/>
  <c r="J149" s="1"/>
  <c r="I149" a="1"/>
  <c r="I149" s="1"/>
  <c r="E149" a="1"/>
  <c r="E149" s="1"/>
  <c r="F149" a="1"/>
  <c r="F149" s="1"/>
  <c r="G149" a="1"/>
  <c r="G149" s="1"/>
  <c r="D149" a="1"/>
  <c r="D149" s="1"/>
  <c r="I54" a="1"/>
  <c r="I54" s="1"/>
  <c r="G54" a="1"/>
  <c r="G54" s="1"/>
  <c r="E54" a="1"/>
  <c r="E54" s="1"/>
  <c r="D54" a="1"/>
  <c r="D54" s="1"/>
  <c r="F54" a="1"/>
  <c r="F54" s="1"/>
  <c r="H54" a="1"/>
  <c r="H54" s="1"/>
  <c r="J54" s="1"/>
  <c r="C152"/>
  <c r="C181"/>
  <c r="C137"/>
  <c r="C145"/>
  <c r="C71"/>
  <c r="C93"/>
  <c r="C138"/>
  <c r="C59"/>
  <c r="C86"/>
  <c r="C97"/>
  <c r="C91"/>
  <c r="C195"/>
  <c r="C139"/>
  <c r="C85"/>
  <c r="C189"/>
  <c r="C154"/>
  <c r="C56"/>
  <c r="C185"/>
  <c r="C127"/>
  <c r="C134"/>
  <c r="C60"/>
  <c r="C81"/>
  <c r="C176"/>
  <c r="C123"/>
  <c r="C200"/>
  <c r="C116"/>
  <c r="C168"/>
  <c r="C98"/>
  <c r="C36"/>
  <c r="C48"/>
  <c r="C153"/>
  <c r="C90"/>
  <c r="C197"/>
  <c r="C182"/>
  <c r="C119"/>
  <c r="C73"/>
  <c r="C193"/>
  <c r="C58"/>
  <c r="C173"/>
  <c r="C202"/>
  <c r="C125"/>
  <c r="C114"/>
  <c r="C214"/>
  <c r="C96"/>
  <c r="C160"/>
  <c r="C183"/>
  <c r="C151"/>
  <c r="C118"/>
  <c r="C209"/>
  <c r="C62"/>
  <c r="C35"/>
  <c r="C65"/>
  <c r="C135"/>
  <c r="C39"/>
  <c r="C49"/>
  <c r="C188"/>
  <c r="C53"/>
  <c r="C106"/>
  <c r="C67"/>
  <c r="C190"/>
  <c r="C87"/>
  <c r="C208"/>
  <c r="C66"/>
  <c r="C141"/>
  <c r="C44"/>
  <c r="C27"/>
  <c r="C72"/>
  <c r="C70"/>
  <c r="C192"/>
  <c r="C150"/>
  <c r="C75"/>
  <c r="C102"/>
  <c r="C37"/>
  <c r="C45"/>
  <c r="C30"/>
  <c r="C148"/>
  <c r="C64"/>
  <c r="C165"/>
  <c r="C147"/>
  <c r="C184"/>
  <c r="C115"/>
  <c r="C164"/>
  <c r="C212"/>
  <c r="C186"/>
  <c r="C51"/>
  <c r="C113"/>
  <c r="C80"/>
  <c r="C92"/>
  <c r="C194"/>
  <c r="C199"/>
  <c r="C52"/>
  <c r="C47"/>
  <c r="C156"/>
  <c r="C110"/>
  <c r="C129"/>
  <c r="C112"/>
  <c r="C109"/>
  <c r="C180"/>
  <c r="C38"/>
  <c r="C78"/>
  <c r="C128"/>
  <c r="C61"/>
  <c r="C196"/>
  <c r="C99"/>
  <c r="C94"/>
  <c r="C144"/>
  <c r="C207"/>
  <c r="C107"/>
  <c r="C34"/>
  <c r="C146"/>
  <c r="C43"/>
  <c r="C159"/>
  <c r="C140"/>
  <c r="C46"/>
  <c r="C167"/>
  <c r="C155"/>
  <c r="C211"/>
  <c r="C120"/>
  <c r="C142"/>
  <c r="C89"/>
  <c r="C131"/>
  <c r="C198"/>
  <c r="C149"/>
  <c r="C103"/>
  <c r="C68"/>
  <c r="C57"/>
  <c r="C205"/>
  <c r="C132"/>
  <c r="C84"/>
  <c r="C31"/>
  <c r="C32"/>
  <c r="C172"/>
  <c r="C69"/>
  <c r="C88"/>
  <c r="C175"/>
  <c r="C55"/>
  <c r="C157"/>
  <c r="C206"/>
  <c r="C178"/>
  <c r="C203"/>
  <c r="C50"/>
  <c r="C179"/>
  <c r="C83"/>
  <c r="C63"/>
  <c r="C213"/>
  <c r="C121"/>
  <c r="C79"/>
  <c r="C122"/>
  <c r="C163"/>
  <c r="C74"/>
  <c r="C174"/>
  <c r="C210"/>
  <c r="C40"/>
  <c r="C169"/>
  <c r="C117"/>
  <c r="C28"/>
  <c r="C33"/>
  <c r="C191"/>
  <c r="C177"/>
  <c r="C29"/>
  <c r="C95"/>
  <c r="C201"/>
  <c r="C162"/>
  <c r="C108"/>
  <c r="C170"/>
  <c r="C171"/>
  <c r="C187"/>
  <c r="C100"/>
  <c r="C136"/>
  <c r="C124"/>
  <c r="C158"/>
  <c r="C143"/>
  <c r="C204"/>
  <c r="C82"/>
  <c r="C111"/>
  <c r="C130"/>
  <c r="C126"/>
  <c r="C101"/>
  <c r="C42"/>
  <c r="C41"/>
  <c r="C54"/>
  <c r="C161"/>
  <c r="C133"/>
  <c r="C76"/>
  <c r="C166"/>
  <c r="C77"/>
  <c r="C104"/>
  <c r="D28" a="1"/>
  <c r="I27" a="1"/>
  <c r="F27" a="1"/>
  <c r="D27" a="1"/>
  <c r="G28" a="1"/>
  <c r="E28" a="1"/>
  <c r="E27" a="1"/>
  <c r="H28" a="1"/>
  <c r="G27" a="1"/>
  <c r="H27" a="1"/>
  <c r="F28" a="1"/>
  <c r="I28" a="1"/>
  <c r="K9" a="1"/>
  <c r="K64" a="1"/>
  <c r="F23" a="1"/>
  <c r="K15" a="1"/>
  <c r="I25" a="1"/>
  <c r="K36" a="1"/>
  <c r="K37" a="1"/>
  <c r="D23" a="1"/>
  <c r="F26" a="1"/>
  <c r="K72" a="1"/>
  <c r="D24" a="1"/>
  <c r="K102" a="1"/>
  <c r="K158" a="1"/>
  <c r="K194" a="1"/>
  <c r="K176" a="1"/>
  <c r="K209" a="1"/>
  <c r="K212" a="1"/>
  <c r="K114" a="1"/>
  <c r="K139" a="1"/>
  <c r="K132" a="1"/>
  <c r="K213" a="1"/>
  <c r="K183" a="1"/>
  <c r="K119" a="1"/>
  <c r="K41" a="1"/>
  <c r="F24" a="1"/>
  <c r="K30" a="1"/>
  <c r="K107" a="1"/>
  <c r="K95" a="1"/>
  <c r="K211" a="1"/>
  <c r="I24" a="1"/>
  <c r="K193" a="1"/>
  <c r="K116" a="1"/>
  <c r="K125" a="1"/>
  <c r="K79" a="1"/>
  <c r="K204" a="1"/>
  <c r="K61" a="1"/>
  <c r="K77" a="1"/>
  <c r="K18" a="1"/>
  <c r="K155" a="1"/>
  <c r="I23" a="1"/>
  <c r="K85" a="1"/>
  <c r="K84" a="1"/>
  <c r="K172" a="1"/>
  <c r="K53" a="1"/>
  <c r="K200" a="1"/>
  <c r="K62" a="1"/>
  <c r="K137" a="1"/>
  <c r="H26" a="1"/>
  <c r="K140" a="1"/>
  <c r="K32" a="1"/>
  <c r="K191" a="1"/>
  <c r="K89" a="1"/>
  <c r="K97" a="1"/>
  <c r="K22" a="1"/>
  <c r="K11" a="1"/>
  <c r="K96" a="1"/>
  <c r="K65" a="1"/>
  <c r="K110" a="1"/>
  <c r="K80" a="1"/>
  <c r="K165" a="1"/>
  <c r="K124" a="1"/>
  <c r="K98" a="1"/>
  <c r="K138" a="1"/>
  <c r="K38" a="1"/>
  <c r="K71" a="1"/>
  <c r="K55" a="1"/>
  <c r="K67" a="1"/>
  <c r="G24" a="1"/>
  <c r="E23" a="1"/>
  <c r="K103" a="1"/>
  <c r="K49" a="1"/>
  <c r="K157" a="1"/>
  <c r="K13" a="1"/>
  <c r="K196" a="1"/>
  <c r="K108" a="1"/>
  <c r="K164" a="1"/>
  <c r="K130" a="1"/>
  <c r="K106" a="1"/>
  <c r="K141" a="1"/>
  <c r="K56" a="1"/>
  <c r="K190" a="1"/>
  <c r="K19" a="1"/>
  <c r="K39" a="1"/>
  <c r="K133" a="1"/>
  <c r="E25" a="1"/>
  <c r="K113" a="1"/>
  <c r="F25" a="1"/>
  <c r="K91" a="1"/>
  <c r="K12" a="1"/>
  <c r="K34" a="1"/>
  <c r="K192" a="1"/>
  <c r="K83" a="1"/>
  <c r="K184" a="1"/>
  <c r="H23" a="1"/>
  <c r="K150" a="1"/>
  <c r="K205" a="1"/>
  <c r="K151" a="1"/>
  <c r="K201" a="1"/>
  <c r="K166" a="1"/>
  <c r="K109" a="1"/>
  <c r="K148" a="1"/>
  <c r="K14" a="1"/>
  <c r="K195" a="1"/>
  <c r="K52" a="1"/>
  <c r="K81" a="1"/>
  <c r="K76" a="1"/>
  <c r="K54" a="1"/>
  <c r="G25" a="1"/>
  <c r="K92" a="1"/>
  <c r="K142" a="1"/>
  <c r="K86" a="1"/>
  <c r="K74" a="1"/>
  <c r="K51" a="1"/>
  <c r="K167" a="1"/>
  <c r="K60" a="1"/>
  <c r="K59" a="1"/>
  <c r="K188" a="1"/>
  <c r="K170" a="1"/>
  <c r="K35" a="1"/>
  <c r="H25" a="1"/>
  <c r="K154" a="1"/>
  <c r="K186" a="1"/>
  <c r="K121" a="1"/>
  <c r="K94" a="1"/>
  <c r="K16" a="1"/>
  <c r="K29" a="1"/>
  <c r="K131" a="1"/>
  <c r="K68" a="1"/>
  <c r="K135" a="1"/>
  <c r="K207" a="1"/>
  <c r="K175" a="1"/>
  <c r="G26" a="1"/>
  <c r="K178" a="1"/>
  <c r="K112" a="1"/>
  <c r="K88" a="1"/>
  <c r="K90" a="1"/>
  <c r="K99" a="1"/>
  <c r="K182" a="1"/>
  <c r="K93" a="1"/>
  <c r="K43" a="1"/>
  <c r="K206" a="1"/>
  <c r="G23" a="1"/>
  <c r="K171" a="1"/>
  <c r="K214" a="1"/>
  <c r="K45" a="1"/>
  <c r="K177" a="1"/>
  <c r="K10" a="1"/>
  <c r="K82" a="1"/>
  <c r="K173" a="1"/>
  <c r="E26" a="1"/>
  <c r="K174" a="1"/>
  <c r="K145" a="1"/>
  <c r="K58" a="1"/>
  <c r="K202" a="1"/>
  <c r="K122" a="1"/>
  <c r="K134" a="1"/>
  <c r="K101" a="1"/>
  <c r="K78" a="1"/>
  <c r="K104" a="1"/>
  <c r="K126" a="1"/>
  <c r="K42" a="1"/>
  <c r="K115" a="1"/>
  <c r="K73" a="1"/>
  <c r="K168" a="1"/>
  <c r="K20" a="1"/>
  <c r="K144" a="1"/>
  <c r="K57" a="1"/>
  <c r="K123" a="1"/>
  <c r="K136" a="1"/>
  <c r="K181" a="1"/>
  <c r="K189" a="1"/>
  <c r="I26" a="1"/>
  <c r="K199" a="1"/>
  <c r="K179" a="1"/>
  <c r="K147" a="1"/>
  <c r="K127" a="1"/>
  <c r="D26" a="1"/>
  <c r="K169" a="1"/>
  <c r="K66" a="1"/>
  <c r="K40" a="1"/>
  <c r="K44" a="1"/>
  <c r="E24" a="1"/>
  <c r="K117" a="1"/>
  <c r="K69" a="1"/>
  <c r="K63" a="1"/>
  <c r="K208" a="1"/>
  <c r="K187" a="1"/>
  <c r="K146" a="1"/>
  <c r="K21" a="1"/>
  <c r="K180" a="1"/>
  <c r="K17" a="1"/>
  <c r="K75" a="1"/>
  <c r="K185" a="1"/>
  <c r="K197" a="1"/>
  <c r="K118" a="1"/>
  <c r="K87" a="1"/>
  <c r="K129" a="1"/>
  <c r="K159" a="1"/>
  <c r="K111" a="1"/>
  <c r="K156" a="1"/>
  <c r="K198" a="1"/>
  <c r="K163" a="1"/>
  <c r="K105" a="1"/>
  <c r="K161" a="1"/>
  <c r="K70" a="1"/>
  <c r="K31" a="1"/>
  <c r="K100" a="1"/>
  <c r="K120" a="1"/>
  <c r="K33" a="1"/>
  <c r="D25" a="1"/>
  <c r="K128" a="1"/>
  <c r="K162" a="1"/>
  <c r="K149" a="1"/>
  <c r="H24" a="1"/>
  <c r="K153" a="1"/>
  <c r="K160" a="1"/>
  <c r="K46" a="1"/>
  <c r="K210" a="1"/>
  <c r="I143" l="1" a="1"/>
  <c r="I143" s="1"/>
  <c r="D50" a="1"/>
  <c r="D50" s="1"/>
  <c r="I203" a="1"/>
  <c r="I203" s="1"/>
  <c r="D47" a="1"/>
  <c r="D47" s="1"/>
  <c r="D148" a="1"/>
  <c r="D148" s="1"/>
  <c r="H183" a="1"/>
  <c r="H183" s="1"/>
  <c r="J183" s="1"/>
  <c r="H47" a="1"/>
  <c r="H47" s="1"/>
  <c r="J47" s="1"/>
  <c r="E152" a="1"/>
  <c r="E152" s="1"/>
  <c r="H152" a="1"/>
  <c r="H152" s="1"/>
  <c r="J152" s="1"/>
  <c r="E50" a="1"/>
  <c r="E50" s="1"/>
  <c r="E47" a="1"/>
  <c r="E47" s="1"/>
  <c r="G50" a="1"/>
  <c r="G50" s="1"/>
  <c r="I47" a="1"/>
  <c r="I47" s="1"/>
  <c r="F47" a="1"/>
  <c r="F47" s="1"/>
  <c r="F50" a="1"/>
  <c r="F50" s="1"/>
  <c r="I50" a="1"/>
  <c r="I50" s="1"/>
  <c r="D143" a="1"/>
  <c r="D143" s="1"/>
  <c r="E143" a="1"/>
  <c r="E143" s="1"/>
  <c r="I28"/>
  <c r="F28"/>
  <c r="H27"/>
  <c r="G27"/>
  <c r="H28"/>
  <c r="E27"/>
  <c r="E28"/>
  <c r="G28"/>
  <c r="D27"/>
  <c r="F27"/>
  <c r="I27"/>
  <c r="D28"/>
  <c r="F48" a="1"/>
  <c r="F48" s="1"/>
  <c r="H48" a="1"/>
  <c r="H48" s="1"/>
  <c r="J48" s="1"/>
  <c r="I48" a="1"/>
  <c r="I48" s="1"/>
  <c r="G48" a="1"/>
  <c r="G48" s="1"/>
  <c r="E48" a="1"/>
  <c r="E48" s="1"/>
  <c r="D48" a="1"/>
  <c r="D48" s="1"/>
  <c r="I152" a="1"/>
  <c r="I152" s="1"/>
  <c r="G152" a="1"/>
  <c r="G152" s="1"/>
  <c r="D152" a="1"/>
  <c r="D152" s="1"/>
  <c r="F152" a="1"/>
  <c r="F152" s="1"/>
  <c r="H143" a="1"/>
  <c r="H143" s="1"/>
  <c r="J143" s="1"/>
  <c r="G47" a="1"/>
  <c r="G47" s="1"/>
  <c r="F143" a="1"/>
  <c r="F143" s="1"/>
  <c r="H50" a="1"/>
  <c r="H50" s="1"/>
  <c r="J50" s="1"/>
  <c r="G143" a="1"/>
  <c r="G143" s="1"/>
  <c r="K148"/>
  <c r="K183"/>
  <c r="K11"/>
  <c r="J11" s="1"/>
  <c r="K13"/>
  <c r="J13" s="1"/>
  <c r="K14"/>
  <c r="J14" s="1"/>
  <c r="K16"/>
  <c r="J16" s="1"/>
  <c r="K20"/>
  <c r="J20" s="1"/>
  <c r="K10"/>
  <c r="J10" s="1"/>
  <c r="K19"/>
  <c r="J19" s="1"/>
  <c r="K21"/>
  <c r="J21" s="1"/>
  <c r="K17"/>
  <c r="J17" s="1"/>
  <c r="K9"/>
  <c r="J9" s="1"/>
  <c r="K15"/>
  <c r="J15" s="1"/>
  <c r="K18"/>
  <c r="J18" s="1"/>
  <c r="K22"/>
  <c r="J22" s="1"/>
  <c r="K12"/>
  <c r="J12" s="1"/>
  <c r="K42"/>
  <c r="K73"/>
  <c r="K210"/>
  <c r="K94"/>
  <c r="K213"/>
  <c r="K193"/>
  <c r="K157"/>
  <c r="K190"/>
  <c r="K170"/>
  <c r="K43"/>
  <c r="K177"/>
  <c r="H25"/>
  <c r="K66"/>
  <c r="K180"/>
  <c r="K120"/>
  <c r="K44"/>
  <c r="K132"/>
  <c r="K200"/>
  <c r="K49"/>
  <c r="K125"/>
  <c r="K188"/>
  <c r="K93"/>
  <c r="K147"/>
  <c r="K134"/>
  <c r="K113"/>
  <c r="K40"/>
  <c r="K100"/>
  <c r="K153"/>
  <c r="K139"/>
  <c r="K103"/>
  <c r="K137"/>
  <c r="K59"/>
  <c r="K182"/>
  <c r="K45"/>
  <c r="D26"/>
  <c r="K154"/>
  <c r="K166"/>
  <c r="K31"/>
  <c r="K168"/>
  <c r="K114"/>
  <c r="K53"/>
  <c r="E23"/>
  <c r="H23"/>
  <c r="K60"/>
  <c r="K99"/>
  <c r="K179"/>
  <c r="K35"/>
  <c r="K150"/>
  <c r="K187"/>
  <c r="K70"/>
  <c r="K77"/>
  <c r="K212"/>
  <c r="I24"/>
  <c r="G24"/>
  <c r="K56"/>
  <c r="K167"/>
  <c r="K90"/>
  <c r="K214"/>
  <c r="K122"/>
  <c r="K208"/>
  <c r="K89"/>
  <c r="K161"/>
  <c r="K97"/>
  <c r="K209"/>
  <c r="K172"/>
  <c r="K67"/>
  <c r="K62"/>
  <c r="K51"/>
  <c r="K88"/>
  <c r="K171"/>
  <c r="K202"/>
  <c r="K126"/>
  <c r="K61"/>
  <c r="K105"/>
  <c r="K146"/>
  <c r="K176"/>
  <c r="K211"/>
  <c r="K55"/>
  <c r="K184"/>
  <c r="K74"/>
  <c r="K112"/>
  <c r="K199"/>
  <c r="K117"/>
  <c r="E25"/>
  <c r="F25"/>
  <c r="K163"/>
  <c r="K109"/>
  <c r="K194"/>
  <c r="K84"/>
  <c r="K71"/>
  <c r="K116"/>
  <c r="K86"/>
  <c r="K178"/>
  <c r="G23"/>
  <c r="K127"/>
  <c r="K63"/>
  <c r="K198"/>
  <c r="K91"/>
  <c r="K158"/>
  <c r="K95"/>
  <c r="K38"/>
  <c r="K141"/>
  <c r="G26"/>
  <c r="I26"/>
  <c r="K46"/>
  <c r="K79"/>
  <c r="K201"/>
  <c r="K156"/>
  <c r="F23"/>
  <c r="K102"/>
  <c r="K107"/>
  <c r="K138"/>
  <c r="K83"/>
  <c r="K142"/>
  <c r="K175"/>
  <c r="K58"/>
  <c r="K169"/>
  <c r="K191"/>
  <c r="K111"/>
  <c r="H24"/>
  <c r="D24"/>
  <c r="K85"/>
  <c r="K98"/>
  <c r="K106"/>
  <c r="K92"/>
  <c r="K207"/>
  <c r="K206"/>
  <c r="K145"/>
  <c r="K104"/>
  <c r="K115"/>
  <c r="K159"/>
  <c r="K121"/>
  <c r="K72"/>
  <c r="K30"/>
  <c r="K124"/>
  <c r="K192"/>
  <c r="G25"/>
  <c r="K189"/>
  <c r="K174"/>
  <c r="K133"/>
  <c r="K204"/>
  <c r="K129"/>
  <c r="K149"/>
  <c r="F26"/>
  <c r="F24"/>
  <c r="K165"/>
  <c r="K130"/>
  <c r="K54"/>
  <c r="K160"/>
  <c r="K181"/>
  <c r="E26"/>
  <c r="H26"/>
  <c r="K151"/>
  <c r="K87"/>
  <c r="K64"/>
  <c r="D23"/>
  <c r="I23"/>
  <c r="K80"/>
  <c r="K164"/>
  <c r="K76"/>
  <c r="K135"/>
  <c r="K136"/>
  <c r="E24"/>
  <c r="K78"/>
  <c r="K32"/>
  <c r="K118"/>
  <c r="K162"/>
  <c r="K37"/>
  <c r="K41"/>
  <c r="K110"/>
  <c r="K34"/>
  <c r="K81"/>
  <c r="K68"/>
  <c r="K123"/>
  <c r="K173"/>
  <c r="K39"/>
  <c r="K186"/>
  <c r="K197"/>
  <c r="K128"/>
  <c r="K36"/>
  <c r="K119"/>
  <c r="K65"/>
  <c r="K108"/>
  <c r="K52"/>
  <c r="K131"/>
  <c r="K57"/>
  <c r="K82"/>
  <c r="K69"/>
  <c r="K205"/>
  <c r="K185"/>
  <c r="D25"/>
  <c r="I25"/>
  <c r="K155"/>
  <c r="K96"/>
  <c r="K196"/>
  <c r="K195"/>
  <c r="K29"/>
  <c r="K144"/>
  <c r="K101"/>
  <c r="K140"/>
  <c r="K75"/>
  <c r="K33"/>
  <c r="K203" a="1"/>
  <c r="K143" a="1"/>
  <c r="K47" a="1"/>
  <c r="K50" a="1"/>
  <c r="K152" a="1"/>
  <c r="K48" a="1"/>
  <c r="K28" a="1"/>
  <c r="K27" a="1"/>
  <c r="K24" a="1"/>
  <c r="K25" a="1"/>
  <c r="K26" a="1"/>
  <c r="K23" a="1"/>
  <c r="K143" l="1"/>
  <c r="K203"/>
  <c r="K47"/>
  <c r="K50"/>
  <c r="K27"/>
  <c r="J27" s="1"/>
  <c r="K28"/>
  <c r="J28" s="1"/>
  <c r="K48"/>
  <c r="K152"/>
  <c r="K26"/>
  <c r="J26" s="1"/>
  <c r="K23"/>
  <c r="J23" s="1"/>
  <c r="K24"/>
  <c r="J24" s="1"/>
  <c r="K25"/>
  <c r="J2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<sst xmlns="http://schemas.openxmlformats.org/spreadsheetml/2006/main" count="64" uniqueCount="59">
  <si>
    <t>전일잔량</t>
    <phoneticPr fontId="1" type="noConversion"/>
  </si>
  <si>
    <t>금일거래</t>
    <phoneticPr fontId="1" type="noConversion"/>
  </si>
  <si>
    <t>금일상환</t>
    <phoneticPr fontId="1" type="noConversion"/>
  </si>
  <si>
    <t>금일잔량</t>
    <phoneticPr fontId="1" type="noConversion"/>
  </si>
  <si>
    <t>종목코드</t>
    <phoneticPr fontId="1" type="noConversion"/>
  </si>
  <si>
    <t>종목명</t>
    <phoneticPr fontId="1" type="noConversion"/>
  </si>
  <si>
    <t>만기일</t>
    <phoneticPr fontId="1" type="noConversion"/>
  </si>
  <si>
    <t>금일상환</t>
  </si>
  <si>
    <t>금일잔량</t>
  </si>
  <si>
    <t>BNDSTA1200002</t>
  </si>
  <si>
    <t>BNDSTA1200003</t>
  </si>
  <si>
    <t>BNDSTA1200005</t>
  </si>
  <si>
    <t>BNDSTA1200010</t>
  </si>
  <si>
    <t>BNDSTA1200020</t>
  </si>
  <si>
    <t>BNDSTA1200030</t>
  </si>
  <si>
    <t>BNDSTA1200050</t>
  </si>
  <si>
    <t>BNDSTA1200801</t>
  </si>
  <si>
    <t>BNDSTA1200901</t>
  </si>
  <si>
    <t>BNDSTA1301015</t>
  </si>
  <si>
    <t>BNDSTA4200000</t>
  </si>
  <si>
    <t>국고 2Y</t>
    <phoneticPr fontId="1" type="noConversion"/>
  </si>
  <si>
    <t>국고 3Y</t>
    <phoneticPr fontId="1" type="noConversion"/>
  </si>
  <si>
    <t>국고 5Y</t>
    <phoneticPr fontId="1" type="noConversion"/>
  </si>
  <si>
    <t>국고 10Y</t>
    <phoneticPr fontId="1" type="noConversion"/>
  </si>
  <si>
    <t>국고 20Y</t>
    <phoneticPr fontId="1" type="noConversion"/>
  </si>
  <si>
    <t>국고 30Y</t>
    <phoneticPr fontId="1" type="noConversion"/>
  </si>
  <si>
    <t>국고 50Y</t>
    <phoneticPr fontId="1" type="noConversion"/>
  </si>
  <si>
    <t>물가</t>
    <phoneticPr fontId="1" type="noConversion"/>
  </si>
  <si>
    <t>스트립</t>
    <phoneticPr fontId="1" type="noConversion"/>
  </si>
  <si>
    <t>국주1종</t>
    <phoneticPr fontId="1" type="noConversion"/>
  </si>
  <si>
    <t>통안</t>
    <phoneticPr fontId="1" type="noConversion"/>
  </si>
  <si>
    <t>일자</t>
    <phoneticPr fontId="1" type="noConversion"/>
  </si>
  <si>
    <t>표준코드</t>
    <phoneticPr fontId="1" type="noConversion"/>
  </si>
  <si>
    <t>발행잔액</t>
    <phoneticPr fontId="1" type="noConversion"/>
  </si>
  <si>
    <t>상장구분</t>
    <phoneticPr fontId="1" type="noConversion"/>
  </si>
  <si>
    <t>대차비율</t>
    <phoneticPr fontId="1" type="noConversion"/>
  </si>
  <si>
    <t>[4560] 채권대차거래</t>
    <phoneticPr fontId="1" type="noConversion"/>
  </si>
  <si>
    <t>한글종목명</t>
    <phoneticPr fontId="1" type="noConversion"/>
  </si>
  <si>
    <t>KR103502G5C6</t>
  </si>
  <si>
    <t>KR103502G669</t>
  </si>
  <si>
    <t>KR103502G6C4</t>
  </si>
  <si>
    <t>KR103502G768</t>
  </si>
  <si>
    <t>KR103502G7C2</t>
  </si>
  <si>
    <t>KR103502G867</t>
  </si>
  <si>
    <t>KR103502G8C0</t>
  </si>
  <si>
    <t>KR103502G966</t>
  </si>
  <si>
    <t>KR103502G9C8</t>
  </si>
  <si>
    <t>KR103502GA67</t>
  </si>
  <si>
    <t>KR103502GAC2</t>
  </si>
  <si>
    <t>KR103502GB66</t>
  </si>
  <si>
    <t>단위: 백만</t>
    <phoneticPr fontId="1" type="noConversion"/>
  </si>
  <si>
    <t>KR103502GBC0</t>
  </si>
  <si>
    <t>KR103502GC65</t>
  </si>
  <si>
    <t>KR103502GCC8</t>
  </si>
  <si>
    <t>KR103502GD64</t>
  </si>
  <si>
    <t>KR103502GDC6</t>
  </si>
  <si>
    <t>KR103502GE63</t>
  </si>
  <si>
    <t>KR103502GEC4</t>
  </si>
  <si>
    <t>KR103502GF62</t>
  </si>
</sst>
</file>

<file path=xl/styles.xml><?xml version="1.0" encoding="utf-8"?>
<styleSheet xmlns="http://schemas.openxmlformats.org/spreadsheetml/2006/main">
  <numFmts count="2">
    <numFmt numFmtId="176" formatCode="#,##0_ "/>
    <numFmt numFmtId="177" formatCode="#,##0.0_ 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4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2">
    <dxf>
      <border>
        <left style="thin">
          <color theme="0" tint="-0.34998626667073579"/>
        </left>
        <right style="thin">
          <color theme="0" tint="-0.34998626667073579"/>
        </right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국고02625-3506(25-5)</v>
        <stp/>
        <stp>P</stp>
        <stp>0</stp>
        <stp>BND</stp>
        <stp>KR103502GF62</stp>
        <stp>한글종목명</stp>
        <stp/>
        <stp/>
        <tr r="C28" s="2"/>
      </tp>
      <tp t="s">
        <v>국고03000-3412(24-13)</v>
        <stp/>
        <stp>P</stp>
        <stp>0</stp>
        <stp>BND</stp>
        <stp>KR103502GEC4</stp>
        <stp>한글종목명</stp>
        <stp/>
        <stp/>
        <tr r="C27" s="2"/>
      </tp>
      <tp t="s">
        <v>국고03500-3406(24-5)</v>
        <stp/>
        <stp>P</stp>
        <stp>0</stp>
        <stp>BND</stp>
        <stp>KR103502GE63</stp>
        <stp>한글종목명</stp>
        <stp/>
        <stp/>
        <tr r="C26" s="2"/>
      </tp>
      <tp t="s">
        <v>국고04125-3312(23-11)</v>
        <stp/>
        <stp>P</stp>
        <stp>0</stp>
        <stp>BND</stp>
        <stp>KR103502GDC6</stp>
        <stp>한글종목명</stp>
        <stp/>
        <stp/>
        <tr r="C25" s="2"/>
      </tp>
      <tp t="s">
        <v>국고03250-3306(23-5)</v>
        <stp/>
        <stp>P</stp>
        <stp>0</stp>
        <stp>BND</stp>
        <stp>KR103502GD64</stp>
        <stp>한글종목명</stp>
        <stp/>
        <stp/>
        <tr r="C24" s="2"/>
      </tp>
      <tp t="s">
        <v>국고04250-3212(22-14)</v>
        <stp/>
        <stp>P</stp>
        <stp>0</stp>
        <stp>BND</stp>
        <stp>KR103502GCC8</stp>
        <stp>한글종목명</stp>
        <stp/>
        <stp/>
        <tr r="C23" s="2"/>
      </tp>
      <tp t="s">
        <v>국고03375-3206(22-5)</v>
        <stp/>
        <stp>P</stp>
        <stp>0</stp>
        <stp>BND</stp>
        <stp>KR103502GC65</stp>
        <stp>한글종목명</stp>
        <stp/>
        <stp/>
        <tr r="C22" s="2"/>
      </tp>
      <tp t="s">
        <v>국고02375-3112(21-11)</v>
        <stp/>
        <stp>P</stp>
        <stp>0</stp>
        <stp>BND</stp>
        <stp>KR103502GBC0</stp>
        <stp>한글종목명</stp>
        <stp/>
        <stp/>
        <tr r="C21" s="2"/>
      </tp>
      <tp t="s">
        <v>국고02000-3106(21-5)</v>
        <stp/>
        <stp>P</stp>
        <stp>0</stp>
        <stp>BND</stp>
        <stp>KR103502GB66</stp>
        <stp>한글종목명</stp>
        <stp/>
        <stp/>
        <tr r="C20" s="2"/>
      </tp>
      <tp t="s">
        <v>국고01500-3012(20-9)</v>
        <stp/>
        <stp>P</stp>
        <stp>0</stp>
        <stp>BND</stp>
        <stp>KR103502GAC2</stp>
        <stp>한글종목명</stp>
        <stp/>
        <stp/>
        <tr r="C19" s="2"/>
      </tp>
      <tp t="s">
        <v>국고01375-3006(20-4)</v>
        <stp/>
        <stp>P</stp>
        <stp>0</stp>
        <stp>BND</stp>
        <stp>KR103502GA67</stp>
        <stp>한글종목명</stp>
        <stp/>
        <stp/>
        <tr r="C18" s="2"/>
      </tp>
      <tp>
        <v>46366</v>
        <stp/>
        <stp>P</stp>
        <stp>0</stp>
        <stp>BND</stp>
        <stp>KR103502G6C4</stp>
        <stp>만기일</stp>
        <stp>45854</stp>
        <stp>DtFmt=1</stp>
        <tr r="D11" s="2"/>
      </tp>
      <tp>
        <v>49288</v>
        <stp/>
        <stp>P</stp>
        <stp>0</stp>
        <stp>BND</stp>
        <stp>KR103502GEC4</stp>
        <stp>만기일</stp>
        <stp>45854</stp>
        <stp>DtFmt=1</stp>
        <tr r="D27" s="2"/>
      </tp>
      <tp>
        <v>48740</v>
        <stp/>
        <stp>P</stp>
        <stp>0</stp>
        <stp>BND</stp>
        <stp>KR103502GD64</stp>
        <stp>만기일</stp>
        <stp>45854</stp>
        <stp>DtFmt=1</stp>
        <tr r="D24" s="2"/>
      </tp>
      <tp>
        <v>48375</v>
        <stp/>
        <stp>P</stp>
        <stp>0</stp>
        <stp>BND</stp>
        <stp>KR103502GC65</stp>
        <stp>만기일</stp>
        <stp>45854</stp>
        <stp>DtFmt=1</stp>
        <tr r="D22" s="2"/>
      </tp>
      <tp>
        <v>46001</v>
        <stp/>
        <stp>P</stp>
        <stp>0</stp>
        <stp>BND</stp>
        <stp>KR103502G5C6</stp>
        <stp>만기일</stp>
        <stp>45854</stp>
        <stp>DtFmt=1</stp>
        <tr r="D9" s="2"/>
      </tp>
      <tp>
        <v>47279</v>
        <stp/>
        <stp>P</stp>
        <stp>0</stp>
        <stp>BND</stp>
        <stp>KR103502G966</stp>
        <stp>만기일</stp>
        <stp>45854</stp>
        <stp>DtFmt=1</stp>
        <tr r="D16" s="2"/>
      </tp>
      <tp>
        <v>48923</v>
        <stp/>
        <stp>P</stp>
        <stp>0</stp>
        <stp>BND</stp>
        <stp>KR103502GDC6</stp>
        <stp>만기일</stp>
        <stp>45854</stp>
        <stp>DtFmt=1</stp>
        <tr r="D25" s="2"/>
      </tp>
      <tp>
        <v>48009</v>
        <stp/>
        <stp>P</stp>
        <stp>0</stp>
        <stp>BND</stp>
        <stp>KR103502GB66</stp>
        <stp>만기일</stp>
        <stp>45854</stp>
        <stp>DtFmt=1</stp>
        <tr r="D20" s="2"/>
      </tp>
      <tp>
        <v>46914</v>
        <stp/>
        <stp>P</stp>
        <stp>0</stp>
        <stp>BND</stp>
        <stp>KR103502G867</stp>
        <stp>만기일</stp>
        <stp>45854</stp>
        <stp>DtFmt=1</stp>
        <tr r="D14" s="2"/>
      </tp>
      <tp>
        <v>47644</v>
        <stp/>
        <stp>P</stp>
        <stp>0</stp>
        <stp>BND</stp>
        <stp>KR103502GA67</stp>
        <stp>만기일</stp>
        <stp>45854</stp>
        <stp>DtFmt=1</stp>
        <tr r="D18" s="2"/>
      </tp>
      <tp>
        <v>47097</v>
        <stp/>
        <stp>P</stp>
        <stp>0</stp>
        <stp>BND</stp>
        <stp>KR103502G8C0</stp>
        <stp>만기일</stp>
        <stp>45854</stp>
        <stp>DtFmt=1</stp>
        <tr r="D15" s="2"/>
      </tp>
      <tp>
        <v>48192</v>
        <stp/>
        <stp>P</stp>
        <stp>0</stp>
        <stp>BND</stp>
        <stp>KR103502GBC0</stp>
        <stp>만기일</stp>
        <stp>45854</stp>
        <stp>DtFmt=1</stp>
        <tr r="D21" s="2"/>
      </tp>
      <tp>
        <v>46731</v>
        <stp/>
        <stp>P</stp>
        <stp>0</stp>
        <stp>BND</stp>
        <stp>KR103502G7C2</stp>
        <stp>만기일</stp>
        <stp>45854</stp>
        <stp>DtFmt=1</stp>
        <tr r="D13" s="2"/>
      </tp>
      <tp>
        <v>49470</v>
        <stp/>
        <stp>P</stp>
        <stp>0</stp>
        <stp>BND</stp>
        <stp>KR103502GF62</stp>
        <stp>만기일</stp>
        <stp>45854</stp>
        <stp>DtFmt=1</stp>
        <tr r="D28" s="2"/>
      </tp>
      <tp>
        <v>47827</v>
        <stp/>
        <stp>P</stp>
        <stp>0</stp>
        <stp>BND</stp>
        <stp>KR103502GAC2</stp>
        <stp>만기일</stp>
        <stp>45854</stp>
        <stp>DtFmt=1</stp>
        <tr r="D19" s="2"/>
      </tp>
      <tp>
        <v>49105</v>
        <stp/>
        <stp>P</stp>
        <stp>0</stp>
        <stp>BND</stp>
        <stp>KR103502GE63</stp>
        <stp>만기일</stp>
        <stp>45854</stp>
        <stp>DtFmt=1</stp>
        <tr r="D26" s="2"/>
      </tp>
      <tp>
        <v>1288800000</v>
        <stp/>
        <stp>P</stp>
        <stp>0</stp>
        <stp>BND</stp>
        <stp>KR103502G6C4</stp>
        <stp>상장잔액</stp>
        <stp>45854</stp>
        <stp>fill=true</stp>
        <tr r="K11" s="2"/>
      </tp>
      <tp>
        <v>1581900000</v>
        <stp/>
        <stp>P</stp>
        <stp>0</stp>
        <stp>BND</stp>
        <stp>KR103502GEC4</stp>
        <stp>상장잔액</stp>
        <stp>45854</stp>
        <stp>fill=true</stp>
        <tr r="K27" s="2"/>
      </tp>
      <tp>
        <v>1119601200</v>
        <stp/>
        <stp>P</stp>
        <stp>0</stp>
        <stp>BND</stp>
        <stp>KR103502G5C6</stp>
        <stp>상장잔액</stp>
        <stp>45854</stp>
        <stp>fill=true</stp>
        <tr r="K9" s="2"/>
      </tp>
      <tp>
        <v>1408372000</v>
        <stp/>
        <stp>P</stp>
        <stp>0</stp>
        <stp>BND</stp>
        <stp>KR103502GDC6</stp>
        <stp>상장잔액</stp>
        <stp>45854</stp>
        <stp>fill=true</stp>
        <tr r="K25" s="2"/>
      </tp>
      <tp>
        <v>1071000000</v>
        <stp/>
        <stp>P</stp>
        <stp>0</stp>
        <stp>BND</stp>
        <stp>KR103502G8C0</stp>
        <stp>상장잔액</stp>
        <stp>45854</stp>
        <stp>fill=true</stp>
        <tr r="K15" s="2"/>
      </tp>
      <tp>
        <v>1596900000</v>
        <stp/>
        <stp>P</stp>
        <stp>0</stp>
        <stp>BND</stp>
        <stp>KR103502GBC0</stp>
        <stp>상장잔액</stp>
        <stp>45854</stp>
        <stp>fill=true</stp>
        <tr r="K21" s="2"/>
      </tp>
      <tp>
        <v>1190300000</v>
        <stp/>
        <stp>P</stp>
        <stp>0</stp>
        <stp>BND</stp>
        <stp>KR103502G7C2</stp>
        <stp>상장잔액</stp>
        <stp>45854</stp>
        <stp>fill=true</stp>
        <tr r="K13" s="2"/>
      </tp>
      <tp>
        <v>1831000200</v>
        <stp/>
        <stp>P</stp>
        <stp>0</stp>
        <stp>BND</stp>
        <stp>KR103502GAC2</stp>
        <stp>상장잔액</stp>
        <stp>45854</stp>
        <stp>fill=true</stp>
        <tr r="K19" s="2"/>
      </tp>
      <tp>
        <v>1686400000</v>
        <stp/>
        <stp>P</stp>
        <stp>0</stp>
        <stp>BND</stp>
        <stp>KR103502G9C8</stp>
        <stp>상장잔액</stp>
        <stp>45854</stp>
        <stp>fill=true</stp>
        <tr r="K17" s="2"/>
      </tp>
      <tp>
        <v>1411523760</v>
        <stp/>
        <stp>P</stp>
        <stp>0</stp>
        <stp>BND</stp>
        <stp>KR103502GCC8</stp>
        <stp>상장잔액</stp>
        <stp>45854</stp>
        <stp>fill=true</stp>
        <tr r="K23" s="2"/>
      </tp>
      <tp>
        <v>46548</v>
        <stp/>
        <stp>P</stp>
        <stp>0</stp>
        <stp>BND</stp>
        <stp>KR103502G768</stp>
        <stp>만기일</stp>
        <stp>45854</stp>
        <stp>DtFmt=1</stp>
        <tr r="D12" s="2"/>
      </tp>
      <tp>
        <v>47462</v>
        <stp/>
        <stp>P</stp>
        <stp>0</stp>
        <stp>BND</stp>
        <stp>KR103502G9C8</stp>
        <stp>만기일</stp>
        <stp>45854</stp>
        <stp>DtFmt=1</stp>
        <tr r="D17" s="2"/>
      </tp>
      <tp>
        <v>48558</v>
        <stp/>
        <stp>P</stp>
        <stp>0</stp>
        <stp>BND</stp>
        <stp>KR103502GCC8</stp>
        <stp>만기일</stp>
        <stp>45854</stp>
        <stp>DtFmt=1</stp>
        <tr r="D23" s="2"/>
      </tp>
      <tp>
        <v>46183</v>
        <stp/>
        <stp>P</stp>
        <stp>0</stp>
        <stp>BND</stp>
        <stp>KR103502G669</stp>
        <stp>만기일</stp>
        <stp>45854</stp>
        <stp>DtFmt=1</stp>
        <tr r="D10" s="2"/>
      </tp>
      <tp t="s">
        <v>상장</v>
        <stp/>
        <stp>P</stp>
        <stp>0</stp>
        <stp>BND</stp>
        <stp>KR103502G669</stp>
        <stp>상장구분</stp>
        <stp>45854</stp>
        <stp/>
        <tr r="I10" s="2"/>
      </tp>
      <tp t="s">
        <v>상장</v>
        <stp/>
        <stp>P</stp>
        <stp>0</stp>
        <stp>BND</stp>
        <stp>KR103502G6C4</stp>
        <stp>상장구분</stp>
        <stp>45854</stp>
        <stp/>
        <tr r="I11" s="2"/>
      </tp>
      <tp t="s">
        <v>상장</v>
        <stp/>
        <stp>P</stp>
        <stp>0</stp>
        <stp>BND</stp>
        <stp>KR103502G768</stp>
        <stp>상장구분</stp>
        <stp>45854</stp>
        <stp/>
        <tr r="I12" s="2"/>
      </tp>
      <tp t="s">
        <v>상장</v>
        <stp/>
        <stp>P</stp>
        <stp>0</stp>
        <stp>BND</stp>
        <stp>KR103502G7C2</stp>
        <stp>상장구분</stp>
        <stp>45854</stp>
        <stp/>
        <tr r="I13" s="2"/>
      </tp>
      <tp t="s">
        <v>상장</v>
        <stp/>
        <stp>P</stp>
        <stp>0</stp>
        <stp>BND</stp>
        <stp>KR103502G5C6</stp>
        <stp>상장구분</stp>
        <stp>45854</stp>
        <stp/>
        <tr r="I9" s="2"/>
      </tp>
      <tp t="s">
        <v>상장</v>
        <stp/>
        <stp>P</stp>
        <stp>0</stp>
        <stp>BND</stp>
        <stp>KR103502G867</stp>
        <stp>상장구분</stp>
        <stp>45854</stp>
        <stp/>
        <tr r="I14" s="2"/>
      </tp>
      <tp t="s">
        <v>상장</v>
        <stp/>
        <stp>P</stp>
        <stp>0</stp>
        <stp>BND</stp>
        <stp>KR103502G8C0</stp>
        <stp>상장구분</stp>
        <stp>45854</stp>
        <stp/>
        <tr r="I15" s="2"/>
      </tp>
      <tp t="s">
        <v>상장</v>
        <stp/>
        <stp>P</stp>
        <stp>0</stp>
        <stp>BND</stp>
        <stp>KR103502G966</stp>
        <stp>상장구분</stp>
        <stp>45854</stp>
        <stp/>
        <tr r="I16" s="2"/>
      </tp>
      <tp t="s">
        <v>상장</v>
        <stp/>
        <stp>P</stp>
        <stp>0</stp>
        <stp>BND</stp>
        <stp>KR103502G9C8</stp>
        <stp>상장구분</stp>
        <stp>45854</stp>
        <stp/>
        <tr r="I17" s="2"/>
      </tp>
      <tp t="s">
        <v>상장</v>
        <stp/>
        <stp>P</stp>
        <stp>0</stp>
        <stp>BND</stp>
        <stp>KR103502GF62</stp>
        <stp>상장구분</stp>
        <stp>45854</stp>
        <stp/>
        <tr r="I28" s="2"/>
      </tp>
      <tp t="s">
        <v>상장</v>
        <stp/>
        <stp>P</stp>
        <stp>0</stp>
        <stp>BND</stp>
        <stp>KR103502GD64</stp>
        <stp>상장구분</stp>
        <stp>45854</stp>
        <stp/>
        <tr r="I24" s="2"/>
      </tp>
      <tp t="s">
        <v>상장</v>
        <stp/>
        <stp>P</stp>
        <stp>0</stp>
        <stp>BND</stp>
        <stp>KR103502GDC6</stp>
        <stp>상장구분</stp>
        <stp>45854</stp>
        <stp/>
        <tr r="I25" s="2"/>
      </tp>
      <tp t="s">
        <v>상장</v>
        <stp/>
        <stp>P</stp>
        <stp>0</stp>
        <stp>BND</stp>
        <stp>KR103502GE63</stp>
        <stp>상장구분</stp>
        <stp>45854</stp>
        <stp/>
        <tr r="I26" s="2"/>
      </tp>
      <tp t="s">
        <v>상장</v>
        <stp/>
        <stp>P</stp>
        <stp>0</stp>
        <stp>BND</stp>
        <stp>KR103502GEC4</stp>
        <stp>상장구분</stp>
        <stp>45854</stp>
        <stp/>
        <tr r="I27" s="2"/>
      </tp>
      <tp t="s">
        <v>상장</v>
        <stp/>
        <stp>P</stp>
        <stp>0</stp>
        <stp>BND</stp>
        <stp>KR103502GB66</stp>
        <stp>상장구분</stp>
        <stp>45854</stp>
        <stp/>
        <tr r="I20" s="2"/>
      </tp>
      <tp t="s">
        <v>상장</v>
        <stp/>
        <stp>P</stp>
        <stp>0</stp>
        <stp>BND</stp>
        <stp>KR103502GBC0</stp>
        <stp>상장구분</stp>
        <stp>45854</stp>
        <stp/>
        <tr r="I21" s="2"/>
      </tp>
      <tp t="s">
        <v>상장</v>
        <stp/>
        <stp>P</stp>
        <stp>0</stp>
        <stp>BND</stp>
        <stp>KR103502GC65</stp>
        <stp>상장구분</stp>
        <stp>45854</stp>
        <stp/>
        <tr r="I22" s="2"/>
      </tp>
      <tp t="s">
        <v>상장</v>
        <stp/>
        <stp>P</stp>
        <stp>0</stp>
        <stp>BND</stp>
        <stp>KR103502GCC8</stp>
        <stp>상장구분</stp>
        <stp>45854</stp>
        <stp/>
        <tr r="I23" s="2"/>
      </tp>
      <tp t="s">
        <v>상장</v>
        <stp/>
        <stp>P</stp>
        <stp>0</stp>
        <stp>BND</stp>
        <stp>KR103502GA67</stp>
        <stp>상장구분</stp>
        <stp>45854</stp>
        <stp/>
        <tr r="I18" s="2"/>
      </tp>
      <tp t="s">
        <v>상장</v>
        <stp/>
        <stp>P</stp>
        <stp>0</stp>
        <stp>BND</stp>
        <stp>KR103502GAC2</stp>
        <stp>상장구분</stp>
        <stp>45854</stp>
        <stp/>
        <tr r="I19" s="2"/>
      </tp>
      <tp>
        <v>0</v>
        <stp/>
        <stp>T</stp>
        <stp>x1.ZRmR1</stp>
        <stp>13</stp>
        <stp>403176</stp>
        <tr r="D1" s="4"/>
      </tp>
      <tp>
        <v>1541400000</v>
        <stp/>
        <stp>P</stp>
        <stp>0</stp>
        <stp>BND</stp>
        <stp>KR103502GD64</stp>
        <stp>상장잔액</stp>
        <stp>45854</stp>
        <stp>fill=true</stp>
        <tr r="K24" s="2"/>
      </tp>
      <tp>
        <v>1428372500</v>
        <stp/>
        <stp>P</stp>
        <stp>0</stp>
        <stp>BND</stp>
        <stp>KR103502GC65</stp>
        <stp>상장잔액</stp>
        <stp>45854</stp>
        <stp>fill=true</stp>
        <tr r="K22" s="2"/>
      </tp>
      <tp>
        <v>1141200000</v>
        <stp/>
        <stp>P</stp>
        <stp>0</stp>
        <stp>BND</stp>
        <stp>KR103502G966</stp>
        <stp>상장잔액</stp>
        <stp>45854</stp>
        <stp>fill=true</stp>
        <tr r="K16" s="2"/>
      </tp>
      <tp>
        <v>1770300000</v>
        <stp/>
        <stp>P</stp>
        <stp>0</stp>
        <stp>BND</stp>
        <stp>KR103502GB66</stp>
        <stp>상장잔액</stp>
        <stp>45854</stp>
        <stp>fill=true</stp>
        <tr r="K20" s="2"/>
      </tp>
      <tp>
        <v>1118400000</v>
        <stp/>
        <stp>P</stp>
        <stp>0</stp>
        <stp>BND</stp>
        <stp>KR103502G867</stp>
        <stp>상장잔액</stp>
        <stp>45854</stp>
        <stp>fill=true</stp>
        <tr r="K14" s="2"/>
      </tp>
      <tp>
        <v>2310900000</v>
        <stp/>
        <stp>P</stp>
        <stp>0</stp>
        <stp>BND</stp>
        <stp>KR103502GA67</stp>
        <stp>상장잔액</stp>
        <stp>45854</stp>
        <stp>fill=true</stp>
        <tr r="K18" s="2"/>
      </tp>
      <tp>
        <v>610400000</v>
        <stp/>
        <stp>P</stp>
        <stp>0</stp>
        <stp>BND</stp>
        <stp>KR103502GF62</stp>
        <stp>상장잔액</stp>
        <stp>45854</stp>
        <stp>fill=true</stp>
        <tr r="K28" s="2"/>
      </tp>
      <tp>
        <v>1538400000</v>
        <stp/>
        <stp>P</stp>
        <stp>0</stp>
        <stp>BND</stp>
        <stp>KR103502GE63</stp>
        <stp>상장잔액</stp>
        <stp>45854</stp>
        <stp>fill=true</stp>
        <tr r="K26" s="2"/>
      </tp>
      <tp>
        <v>1217200000</v>
        <stp/>
        <stp>P</stp>
        <stp>0</stp>
        <stp>BND</stp>
        <stp>KR103502G768</stp>
        <stp>상장잔액</stp>
        <stp>45854</stp>
        <stp>fill=true</stp>
        <tr r="K12" s="2"/>
      </tp>
      <tp>
        <v>1154400000</v>
        <stp/>
        <stp>P</stp>
        <stp>0</stp>
        <stp>BND</stp>
        <stp>KR103502G669</stp>
        <stp>상장잔액</stp>
        <stp>45854</stp>
        <stp>fill=true</stp>
        <tr r="K10" s="2"/>
      </tp>
      <tp t="s">
        <v>국고02375-2712(17-7)</v>
        <stp/>
        <stp>P</stp>
        <stp>0</stp>
        <stp>BND</stp>
        <stp>KR103502G7C2</stp>
        <stp>한글종목명</stp>
        <stp/>
        <stp/>
        <tr r="C13" s="2"/>
      </tp>
      <tp t="s">
        <v>국고02125-2706(17-3)</v>
        <stp/>
        <stp>P</stp>
        <stp>0</stp>
        <stp>BND</stp>
        <stp>KR103502G768</stp>
        <stp>한글종목명</stp>
        <stp/>
        <stp/>
        <tr r="C12" s="2"/>
      </tp>
      <tp t="s">
        <v>국고01500-2612(16-8)</v>
        <stp/>
        <stp>P</stp>
        <stp>0</stp>
        <stp>BND</stp>
        <stp>KR103502G6C4</stp>
        <stp>한글종목명</stp>
        <stp/>
        <stp/>
        <tr r="C11" s="2"/>
      </tp>
      <tp t="s">
        <v>국고01875-2606(16-3)</v>
        <stp/>
        <stp>P</stp>
        <stp>0</stp>
        <stp>BND</stp>
        <stp>KR103502G669</stp>
        <stp>한글종목명</stp>
        <stp/>
        <stp/>
        <tr r="C10" s="2"/>
      </tp>
      <tp t="s">
        <v>국고02250-2512(15-8)</v>
        <stp/>
        <stp>P</stp>
        <stp>0</stp>
        <stp>BND</stp>
        <stp>KR103502G5C6</stp>
        <stp>한글종목명</stp>
        <stp/>
        <stp/>
        <tr r="C9" s="2"/>
      </tp>
      <tp t="s">
        <v>국고01375-2912(19-8)</v>
        <stp/>
        <stp>P</stp>
        <stp>0</stp>
        <stp>BND</stp>
        <stp>KR103502G9C8</stp>
        <stp>한글종목명</stp>
        <stp/>
        <stp/>
        <tr r="C17" s="2"/>
      </tp>
      <tp t="s">
        <v>국고01875-2906(19-4)</v>
        <stp/>
        <stp>P</stp>
        <stp>0</stp>
        <stp>BND</stp>
        <stp>KR103502G966</stp>
        <stp>한글종목명</stp>
        <stp/>
        <stp/>
        <tr r="C16" s="2"/>
      </tp>
      <tp t="s">
        <v>국고02375-2812(18-10)</v>
        <stp/>
        <stp>P</stp>
        <stp>0</stp>
        <stp>BND</stp>
        <stp>KR103502G8C0</stp>
        <stp>한글종목명</stp>
        <stp/>
        <stp/>
        <tr r="C15" s="2"/>
      </tp>
      <tp t="s">
        <v>국고02625-2806(18-4)</v>
        <stp/>
        <stp>P</stp>
        <stp>0</stp>
        <stp>BND</stp>
        <stp>KR103502G867</stp>
        <stp>한글종목명</stp>
        <stp/>
        <stp/>
        <tr r="C14" s="2"/>
      </tp>
      <tp>
        <v>287706</v>
        <stp/>
        <stp>P</stp>
        <stp>0</stp>
        <stp>BND</stp>
        <stp>KR103502GC65</stp>
        <stp>전일잔량</stp>
        <stp>45854</stp>
        <stp/>
        <tr r="E22" s="2"/>
      </tp>
      <tp>
        <v>57682</v>
        <stp/>
        <stp>P</stp>
        <stp>0</stp>
        <stp>BND</stp>
        <stp>KR103502GCC8</stp>
        <stp>전일잔량</stp>
        <stp>45854</stp>
        <stp/>
        <tr r="E23" s="2"/>
      </tp>
      <tp>
        <v>1563969</v>
        <stp/>
        <stp>P</stp>
        <stp>0</stp>
        <stp>BND</stp>
        <stp>KR103502GB66</stp>
        <stp>전일잔량</stp>
        <stp>45854</stp>
        <stp/>
        <tr r="E20" s="2"/>
      </tp>
      <tp>
        <v>1949889</v>
        <stp/>
        <stp>P</stp>
        <stp>0</stp>
        <stp>BND</stp>
        <stp>KR103502GBC0</stp>
        <stp>전일잔량</stp>
        <stp>45854</stp>
        <stp/>
        <tr r="E21" s="2"/>
      </tp>
      <tp>
        <v>2616350</v>
        <stp/>
        <stp>P</stp>
        <stp>0</stp>
        <stp>BND</stp>
        <stp>KR103502GA67</stp>
        <stp>전일잔량</stp>
        <stp>45854</stp>
        <stp/>
        <tr r="E18" s="2"/>
      </tp>
      <tp>
        <v>1110866</v>
        <stp/>
        <stp>P</stp>
        <stp>0</stp>
        <stp>BND</stp>
        <stp>KR103502GAC2</stp>
        <stp>전일잔량</stp>
        <stp>45854</stp>
        <stp/>
        <tr r="E19" s="2"/>
      </tp>
      <tp>
        <v>407000</v>
        <stp/>
        <stp>P</stp>
        <stp>0</stp>
        <stp>BND</stp>
        <stp>KR103502GF62</stp>
        <stp>전일잔량</stp>
        <stp>45854</stp>
        <stp/>
        <tr r="E28" s="2"/>
      </tp>
      <tp>
        <v>2079962</v>
        <stp/>
        <stp>P</stp>
        <stp>0</stp>
        <stp>BND</stp>
        <stp>KR103502GE63</stp>
        <stp>전일잔량</stp>
        <stp>45854</stp>
        <stp/>
        <tr r="E26" s="2"/>
      </tp>
      <tp>
        <v>2895200</v>
        <stp/>
        <stp>P</stp>
        <stp>0</stp>
        <stp>BND</stp>
        <stp>KR103502GEC4</stp>
        <stp>전일잔량</stp>
        <stp>45854</stp>
        <stp/>
        <tr r="E27" s="2"/>
      </tp>
      <tp>
        <v>387763</v>
        <stp/>
        <stp>P</stp>
        <stp>0</stp>
        <stp>BND</stp>
        <stp>KR103502GD64</stp>
        <stp>전일잔량</stp>
        <stp>45854</stp>
        <stp/>
        <tr r="E24" s="2"/>
      </tp>
      <tp>
        <v>755310</v>
        <stp/>
        <stp>P</stp>
        <stp>0</stp>
        <stp>BND</stp>
        <stp>KR103502GDC6</stp>
        <stp>전일잔량</stp>
        <stp>45854</stp>
        <stp/>
        <tr r="E25" s="2"/>
      </tp>
      <tp>
        <v>543000</v>
        <stp/>
        <stp>P</stp>
        <stp>0</stp>
        <stp>BND</stp>
        <stp>KR103502GF62</stp>
        <stp>금일잔량</stp>
        <stp>45854</stp>
        <stp/>
        <tr r="H28" s="2"/>
        <tr r="F21" s="4"/>
      </tp>
      <tp>
        <v>9000</v>
        <stp/>
        <stp>P</stp>
        <stp>0</stp>
        <stp>BND</stp>
        <stp>KR103502GF62</stp>
        <stp>금일상환</stp>
        <stp>45854</stp>
        <stp/>
        <tr r="G28" s="2"/>
      </tp>
      <tp>
        <v>145000</v>
        <stp/>
        <stp>P</stp>
        <stp>0</stp>
        <stp>BND</stp>
        <stp>KR103502GF62</stp>
        <stp>금일거래</stp>
        <stp>45854</stp>
        <stp/>
        <tr r="F28" s="2"/>
      </tp>
      <tp>
        <v>190000</v>
        <stp/>
        <stp>P</stp>
        <stp>0</stp>
        <stp>BND</stp>
        <stp>KR103502GEC4</stp>
        <stp>금일거래</stp>
        <stp>45854</stp>
        <stp/>
        <tr r="F27" s="2"/>
      </tp>
      <tp>
        <v>2080962</v>
        <stp/>
        <stp>P</stp>
        <stp>0</stp>
        <stp>BND</stp>
        <stp>KR103502GE63</stp>
        <stp>금일잔량</stp>
        <stp>45854</stp>
        <stp/>
        <tr r="H26" s="2"/>
        <tr r="F19" s="4"/>
      </tp>
      <tp>
        <v>99000</v>
        <stp/>
        <stp>P</stp>
        <stp>0</stp>
        <stp>BND</stp>
        <stp>KR103502GE63</stp>
        <stp>금일상환</stp>
        <stp>45854</stp>
        <stp/>
        <tr r="G26" s="2"/>
      </tp>
      <tp>
        <v>55000</v>
        <stp/>
        <stp>P</stp>
        <stp>0</stp>
        <stp>BND</stp>
        <stp>KR103502GEC4</stp>
        <stp>금일상환</stp>
        <stp>45854</stp>
        <stp/>
        <tr r="G27" s="2"/>
      </tp>
      <tp>
        <v>3030200</v>
        <stp/>
        <stp>P</stp>
        <stp>0</stp>
        <stp>BND</stp>
        <stp>KR103502GEC4</stp>
        <stp>금일잔량</stp>
        <stp>45854</stp>
        <stp/>
        <tr r="H27" s="2"/>
        <tr r="F20" s="4"/>
      </tp>
      <tp>
        <v>100000</v>
        <stp/>
        <stp>P</stp>
        <stp>0</stp>
        <stp>BND</stp>
        <stp>KR103502GE63</stp>
        <stp>금일거래</stp>
        <stp>45854</stp>
        <stp/>
        <tr r="F26" s="2"/>
      </tp>
      <tp>
        <v>0</v>
        <stp/>
        <stp>P</stp>
        <stp>0</stp>
        <stp>BND</stp>
        <stp>KR103502GDC6</stp>
        <stp>금일거래</stp>
        <stp>45854</stp>
        <stp/>
        <tr r="F25" s="2"/>
      </tp>
      <tp>
        <v>378763</v>
        <stp/>
        <stp>P</stp>
        <stp>0</stp>
        <stp>BND</stp>
        <stp>KR103502GD64</stp>
        <stp>금일잔량</stp>
        <stp>45854</stp>
        <stp/>
        <tr r="H24" s="2"/>
        <tr r="F17" s="4"/>
      </tp>
      <tp>
        <v>20000</v>
        <stp/>
        <stp>P</stp>
        <stp>0</stp>
        <stp>BND</stp>
        <stp>KR103502GD64</stp>
        <stp>금일상환</stp>
        <stp>45854</stp>
        <stp/>
        <tr r="G24" s="2"/>
      </tp>
      <tp>
        <v>0</v>
        <stp/>
        <stp>P</stp>
        <stp>0</stp>
        <stp>BND</stp>
        <stp>KR103502GDC6</stp>
        <stp>금일상환</stp>
        <stp>45854</stp>
        <stp/>
        <tr r="G25" s="2"/>
      </tp>
      <tp>
        <v>755310</v>
        <stp/>
        <stp>P</stp>
        <stp>0</stp>
        <stp>BND</stp>
        <stp>KR103502GDC6</stp>
        <stp>금일잔량</stp>
        <stp>45854</stp>
        <stp/>
        <tr r="H25" s="2"/>
        <tr r="F18" s="4"/>
      </tp>
      <tp>
        <v>11000</v>
        <stp/>
        <stp>P</stp>
        <stp>0</stp>
        <stp>BND</stp>
        <stp>KR103502GD64</stp>
        <stp>금일거래</stp>
        <stp>45854</stp>
        <stp/>
        <tr r="F24" s="2"/>
      </tp>
      <tp>
        <v>0</v>
        <stp/>
        <stp>P</stp>
        <stp>0</stp>
        <stp>BND</stp>
        <stp>KR103502GCC8</stp>
        <stp>금일거래</stp>
        <stp>45854</stp>
        <stp/>
        <tr r="F23" s="2"/>
      </tp>
      <tp>
        <v>344706</v>
        <stp/>
        <stp>P</stp>
        <stp>0</stp>
        <stp>BND</stp>
        <stp>KR103502GC65</stp>
        <stp>금일잔량</stp>
        <stp>45854</stp>
        <stp/>
        <tr r="H22" s="2"/>
        <tr r="F15" s="4"/>
      </tp>
      <tp>
        <v>0</v>
        <stp/>
        <stp>P</stp>
        <stp>0</stp>
        <stp>BND</stp>
        <stp>KR103502GC65</stp>
        <stp>금일상환</stp>
        <stp>45854</stp>
        <stp/>
        <tr r="G22" s="2"/>
      </tp>
      <tp>
        <v>0</v>
        <stp/>
        <stp>P</stp>
        <stp>0</stp>
        <stp>BND</stp>
        <stp>KR103502GCC8</stp>
        <stp>금일상환</stp>
        <stp>45854</stp>
        <stp/>
        <tr r="G23" s="2"/>
      </tp>
      <tp>
        <v>57682</v>
        <stp/>
        <stp>P</stp>
        <stp>0</stp>
        <stp>BND</stp>
        <stp>KR103502GCC8</stp>
        <stp>금일잔량</stp>
        <stp>45854</stp>
        <stp/>
        <tr r="H23" s="2"/>
        <tr r="F16" s="4"/>
      </tp>
      <tp>
        <v>57000</v>
        <stp/>
        <stp>P</stp>
        <stp>0</stp>
        <stp>BND</stp>
        <stp>KR103502GC65</stp>
        <stp>금일거래</stp>
        <stp>45854</stp>
        <stp/>
        <tr r="F22" s="2"/>
      </tp>
      <tp>
        <v>50000</v>
        <stp/>
        <stp>P</stp>
        <stp>0</stp>
        <stp>BND</stp>
        <stp>KR103502GBC0</stp>
        <stp>금일거래</stp>
        <stp>45854</stp>
        <stp/>
        <tr r="F21" s="2"/>
      </tp>
      <tp>
        <v>1564577</v>
        <stp/>
        <stp>P</stp>
        <stp>0</stp>
        <stp>BND</stp>
        <stp>KR103502GB66</stp>
        <stp>금일잔량</stp>
        <stp>45854</stp>
        <stp/>
        <tr r="H20" s="2"/>
        <tr r="F13" s="4"/>
      </tp>
      <tp>
        <v>0</v>
        <stp/>
        <stp>P</stp>
        <stp>0</stp>
        <stp>BND</stp>
        <stp>KR103502GB66</stp>
        <stp>금일상환</stp>
        <stp>45854</stp>
        <stp/>
        <tr r="G20" s="2"/>
      </tp>
      <tp>
        <v>0</v>
        <stp/>
        <stp>P</stp>
        <stp>0</stp>
        <stp>BND</stp>
        <stp>KR103502GBC0</stp>
        <stp>금일상환</stp>
        <stp>45854</stp>
        <stp/>
        <tr r="G21" s="2"/>
      </tp>
      <tp>
        <v>1999889</v>
        <stp/>
        <stp>P</stp>
        <stp>0</stp>
        <stp>BND</stp>
        <stp>KR103502GBC0</stp>
        <stp>금일잔량</stp>
        <stp>45854</stp>
        <stp/>
        <tr r="H21" s="2"/>
        <tr r="F14" s="4"/>
      </tp>
      <tp>
        <v>608</v>
        <stp/>
        <stp>P</stp>
        <stp>0</stp>
        <stp>BND</stp>
        <stp>KR103502GB66</stp>
        <stp>금일거래</stp>
        <stp>45854</stp>
        <stp/>
        <tr r="F20" s="2"/>
      </tp>
      <tp>
        <v>0</v>
        <stp/>
        <stp>P</stp>
        <stp>0</stp>
        <stp>BND</stp>
        <stp>KR103502GAC2</stp>
        <stp>금일거래</stp>
        <stp>45854</stp>
        <stp/>
        <tr r="F19" s="2"/>
      </tp>
      <tp>
        <v>2616698</v>
        <stp/>
        <stp>P</stp>
        <stp>0</stp>
        <stp>BND</stp>
        <stp>KR103502GA67</stp>
        <stp>금일잔량</stp>
        <stp>45854</stp>
        <stp/>
        <tr r="H18" s="2"/>
        <tr r="F11" s="4"/>
      </tp>
      <tp>
        <v>10000</v>
        <stp/>
        <stp>P</stp>
        <stp>0</stp>
        <stp>BND</stp>
        <stp>KR103502GA67</stp>
        <stp>금일상환</stp>
        <stp>45854</stp>
        <stp/>
        <tr r="G18" s="2"/>
      </tp>
      <tp>
        <v>1130</v>
        <stp/>
        <stp>P</stp>
        <stp>0</stp>
        <stp>BND</stp>
        <stp>KR103502GAC2</stp>
        <stp>금일상환</stp>
        <stp>45854</stp>
        <stp/>
        <tr r="G19" s="2"/>
      </tp>
      <tp>
        <v>1109736</v>
        <stp/>
        <stp>P</stp>
        <stp>0</stp>
        <stp>BND</stp>
        <stp>KR103502GAC2</stp>
        <stp>금일잔량</stp>
        <stp>45854</stp>
        <stp/>
        <tr r="H19" s="2"/>
        <tr r="F12" s="4"/>
      </tp>
      <tp>
        <v>10348</v>
        <stp/>
        <stp>P</stp>
        <stp>0</stp>
        <stp>BND</stp>
        <stp>KR103502GA67</stp>
        <stp>금일거래</stp>
        <stp>45854</stp>
        <stp/>
        <tr r="F18" s="2"/>
      </tp>
      <tp>
        <v>1790498</v>
        <stp/>
        <stp>P</stp>
        <stp>0</stp>
        <stp>BND</stp>
        <stp>KR103502G768</stp>
        <stp>전일잔량</stp>
        <stp>45854</stp>
        <stp/>
        <tr r="E12" s="2"/>
      </tp>
      <tp>
        <v>686501</v>
        <stp/>
        <stp>P</stp>
        <stp>0</stp>
        <stp>BND</stp>
        <stp>KR103502G7C2</stp>
        <stp>전일잔량</stp>
        <stp>45854</stp>
        <stp/>
        <tr r="E13" s="2"/>
      </tp>
      <tp>
        <v>2513965</v>
        <stp/>
        <stp>P</stp>
        <stp>0</stp>
        <stp>BND</stp>
        <stp>KR103502G669</stp>
        <stp>전일잔량</stp>
        <stp>45854</stp>
        <stp/>
        <tr r="E10" s="2"/>
      </tp>
      <tp>
        <v>2310048</v>
        <stp/>
        <stp>P</stp>
        <stp>0</stp>
        <stp>BND</stp>
        <stp>KR103502G6C4</stp>
        <stp>전일잔량</stp>
        <stp>45854</stp>
        <stp/>
        <tr r="E11" s="2"/>
      </tp>
      <tp>
        <v>0</v>
        <stp/>
        <stp>P</stp>
        <stp>0</stp>
        <stp>BND</stp>
        <stp>KR103502G9C8</stp>
        <stp>금일거래</stp>
        <stp>45854</stp>
        <stp/>
        <tr r="F17" s="2"/>
      </tp>
      <tp>
        <v>1084814</v>
        <stp/>
        <stp>P</stp>
        <stp>0</stp>
        <stp>BND</stp>
        <stp>KR103502G966</stp>
        <stp>금일잔량</stp>
        <stp>45854</stp>
        <stp/>
        <tr r="H16" s="2"/>
        <tr r="F9" s="4"/>
      </tp>
      <tp>
        <v>0</v>
        <stp/>
        <stp>P</stp>
        <stp>0</stp>
        <stp>BND</stp>
        <stp>KR103502G966</stp>
        <stp>금일상환</stp>
        <stp>45854</stp>
        <stp/>
        <tr r="G16" s="2"/>
      </tp>
      <tp>
        <v>10000</v>
        <stp/>
        <stp>P</stp>
        <stp>0</stp>
        <stp>BND</stp>
        <stp>KR103502G9C8</stp>
        <stp>금일상환</stp>
        <stp>45854</stp>
        <stp/>
        <tr r="G17" s="2"/>
      </tp>
      <tp>
        <v>2816560</v>
        <stp/>
        <stp>P</stp>
        <stp>0</stp>
        <stp>BND</stp>
        <stp>KR103502G5C6</stp>
        <stp>전일잔량</stp>
        <stp>45854</stp>
        <stp/>
        <tr r="E9" s="2"/>
      </tp>
      <tp>
        <v>1078898</v>
        <stp/>
        <stp>P</stp>
        <stp>0</stp>
        <stp>BND</stp>
        <stp>KR103502G9C8</stp>
        <stp>금일잔량</stp>
        <stp>45854</stp>
        <stp/>
        <tr r="H17" s="2"/>
        <tr r="F10" s="4"/>
      </tp>
      <tp>
        <v>8328</v>
        <stp/>
        <stp>P</stp>
        <stp>0</stp>
        <stp>BND</stp>
        <stp>KR103502G966</stp>
        <stp>금일거래</stp>
        <stp>45854</stp>
        <stp/>
        <tr r="F16" s="2"/>
      </tp>
      <tp>
        <v>0</v>
        <stp/>
        <stp>P</stp>
        <stp>0</stp>
        <stp>BND</stp>
        <stp>KR103502G8C0</stp>
        <stp>금일거래</stp>
        <stp>45854</stp>
        <stp/>
        <tr r="F15" s="2"/>
      </tp>
      <tp>
        <v>606281</v>
        <stp/>
        <stp>P</stp>
        <stp>0</stp>
        <stp>BND</stp>
        <stp>KR103502G867</stp>
        <stp>금일잔량</stp>
        <stp>45854</stp>
        <stp/>
        <tr r="H14" s="2"/>
        <tr r="F7" s="4"/>
      </tp>
      <tp>
        <v>0</v>
        <stp/>
        <stp>P</stp>
        <stp>0</stp>
        <stp>BND</stp>
        <stp>KR103502G867</stp>
        <stp>금일상환</stp>
        <stp>45854</stp>
        <stp/>
        <tr r="G14" s="2"/>
      </tp>
      <tp>
        <v>0</v>
        <stp/>
        <stp>P</stp>
        <stp>0</stp>
        <stp>BND</stp>
        <stp>KR103502G8C0</stp>
        <stp>금일상환</stp>
        <stp>45854</stp>
        <stp/>
        <tr r="G15" s="2"/>
      </tp>
      <tp>
        <v>427268</v>
        <stp/>
        <stp>P</stp>
        <stp>0</stp>
        <stp>BND</stp>
        <stp>KR103502G8C0</stp>
        <stp>금일잔량</stp>
        <stp>45854</stp>
        <stp/>
        <tr r="H15" s="2"/>
        <tr r="F8" s="4"/>
      </tp>
      <tp>
        <v>2063</v>
        <stp/>
        <stp>P</stp>
        <stp>0</stp>
        <stp>BND</stp>
        <stp>KR103502G867</stp>
        <stp>금일거래</stp>
        <stp>45854</stp>
        <stp/>
        <tr r="F14" s="2"/>
      </tp>
      <tp>
        <v>0</v>
        <stp/>
        <stp>P</stp>
        <stp>0</stp>
        <stp>BND</stp>
        <stp>KR103502G7C2</stp>
        <stp>금일거래</stp>
        <stp>45854</stp>
        <stp/>
        <tr r="F13" s="2"/>
      </tp>
      <tp>
        <v>1785597</v>
        <stp/>
        <stp>P</stp>
        <stp>0</stp>
        <stp>BND</stp>
        <stp>KR103502G768</stp>
        <stp>금일잔량</stp>
        <stp>45854</stp>
        <stp/>
        <tr r="H12" s="2"/>
        <tr r="F5" s="4"/>
      </tp>
      <tp>
        <v>20000</v>
        <stp/>
        <stp>P</stp>
        <stp>0</stp>
        <stp>BND</stp>
        <stp>KR103502G768</stp>
        <stp>금일상환</stp>
        <stp>45854</stp>
        <stp/>
        <tr r="G12" s="2"/>
      </tp>
      <tp>
        <v>0</v>
        <stp/>
        <stp>P</stp>
        <stp>0</stp>
        <stp>BND</stp>
        <stp>KR103502G7C2</stp>
        <stp>금일상환</stp>
        <stp>45854</stp>
        <stp/>
        <tr r="G13" s="2"/>
      </tp>
      <tp>
        <v>686501</v>
        <stp/>
        <stp>P</stp>
        <stp>0</stp>
        <stp>BND</stp>
        <stp>KR103502G7C2</stp>
        <stp>금일잔량</stp>
        <stp>45854</stp>
        <stp/>
        <tr r="H13" s="2"/>
        <tr r="F6" s="4"/>
      </tp>
      <tp>
        <v>15099</v>
        <stp/>
        <stp>P</stp>
        <stp>0</stp>
        <stp>BND</stp>
        <stp>KR103502G768</stp>
        <stp>금일거래</stp>
        <stp>45854</stp>
        <stp/>
        <tr r="F12" s="2"/>
      </tp>
      <tp>
        <v>50500</v>
        <stp/>
        <stp>P</stp>
        <stp>0</stp>
        <stp>BND</stp>
        <stp>KR103502G6C4</stp>
        <stp>금일거래</stp>
        <stp>45854</stp>
        <stp/>
        <tr r="F11" s="2"/>
      </tp>
      <tp>
        <v>2515781</v>
        <stp/>
        <stp>P</stp>
        <stp>0</stp>
        <stp>BND</stp>
        <stp>KR103502G669</stp>
        <stp>금일잔량</stp>
        <stp>45854</stp>
        <stp/>
        <tr r="H10" s="2"/>
        <tr r="F3" s="4"/>
      </tp>
      <tp>
        <v>0</v>
        <stp/>
        <stp>P</stp>
        <stp>0</stp>
        <stp>BND</stp>
        <stp>KR103502G669</stp>
        <stp>금일상환</stp>
        <stp>45854</stp>
        <stp/>
        <tr r="G10" s="2"/>
      </tp>
      <tp>
        <v>50500</v>
        <stp/>
        <stp>P</stp>
        <stp>0</stp>
        <stp>BND</stp>
        <stp>KR103502G6C4</stp>
        <stp>금일상환</stp>
        <stp>45854</stp>
        <stp/>
        <tr r="G11" s="2"/>
      </tp>
      <tp>
        <v>2310048</v>
        <stp/>
        <stp>P</stp>
        <stp>0</stp>
        <stp>BND</stp>
        <stp>KR103502G6C4</stp>
        <stp>금일잔량</stp>
        <stp>45854</stp>
        <stp/>
        <tr r="H11" s="2"/>
        <tr r="F4" s="4"/>
      </tp>
      <tp>
        <v>1816</v>
        <stp/>
        <stp>P</stp>
        <stp>0</stp>
        <stp>BND</stp>
        <stp>KR103502G669</stp>
        <stp>금일거래</stp>
        <stp>45854</stp>
        <stp/>
        <tr r="F10" s="2"/>
      </tp>
      <tp>
        <v>54122</v>
        <stp/>
        <stp>P</stp>
        <stp>0</stp>
        <stp>BND</stp>
        <stp>KR103502G5C6</stp>
        <stp>금일거래</stp>
        <stp>45854</stp>
        <stp/>
        <tr r="F9" s="2"/>
      </tp>
      <tp>
        <v>1076486</v>
        <stp/>
        <stp>P</stp>
        <stp>0</stp>
        <stp>BND</stp>
        <stp>KR103502G966</stp>
        <stp>전일잔량</stp>
        <stp>45854</stp>
        <stp/>
        <tr r="E16" s="2"/>
      </tp>
      <tp>
        <v>50000</v>
        <stp/>
        <stp>P</stp>
        <stp>0</stp>
        <stp>BND</stp>
        <stp>KR103502G5C6</stp>
        <stp>금일상환</stp>
        <stp>45854</stp>
        <stp/>
        <tr r="G9" s="2"/>
      </tp>
      <tp>
        <v>2820682</v>
        <stp/>
        <stp>P</stp>
        <stp>0</stp>
        <stp>BND</stp>
        <stp>KR103502G5C6</stp>
        <stp>금일잔량</stp>
        <stp>45854</stp>
        <stp/>
        <tr r="H9" s="2"/>
        <tr r="F2" s="4"/>
      </tp>
      <tp>
        <v>1088898</v>
        <stp/>
        <stp>P</stp>
        <stp>0</stp>
        <stp>BND</stp>
        <stp>KR103502G9C8</stp>
        <stp>전일잔량</stp>
        <stp>45854</stp>
        <stp/>
        <tr r="E17" s="2"/>
      </tp>
      <tp>
        <v>604218</v>
        <stp/>
        <stp>P</stp>
        <stp>0</stp>
        <stp>BND</stp>
        <stp>KR103502G867</stp>
        <stp>전일잔량</stp>
        <stp>45854</stp>
        <stp/>
        <tr r="E14" s="2"/>
      </tp>
      <tp>
        <v>427268</v>
        <stp/>
        <stp>P</stp>
        <stp>0</stp>
        <stp>BND</stp>
        <stp>KR103502G8C0</stp>
        <stp>전일잔량</stp>
        <stp>45854</stp>
        <stp/>
        <tr r="E1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raw!$B$1" fmlaRange="raw!$B$2:$B$12" noThreeD="1" sel="4" val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9"/>
  <sheetViews>
    <sheetView showGridLines="0" showRowColHeaders="0"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0" sqref="C10"/>
    </sheetView>
  </sheetViews>
  <sheetFormatPr defaultColWidth="0" defaultRowHeight="16.5"/>
  <cols>
    <col min="1" max="1" width="0.75" customWidth="1"/>
    <col min="2" max="2" width="15.125" style="1" bestFit="1" customWidth="1"/>
    <col min="3" max="3" width="21.125" bestFit="1" customWidth="1"/>
    <col min="4" max="4" width="11.125" style="1" bestFit="1" customWidth="1"/>
    <col min="5" max="8" width="12.375" customWidth="1"/>
    <col min="9" max="9" width="9" hidden="1" customWidth="1"/>
    <col min="10" max="10" width="9" customWidth="1"/>
    <col min="11" max="11" width="13.625" bestFit="1" customWidth="1"/>
    <col min="12" max="12" width="3.375" customWidth="1"/>
    <col min="13" max="16384" width="9" hidden="1"/>
  </cols>
  <sheetData>
    <row r="1" spans="2:11" ht="6" customHeight="1"/>
    <row r="2" spans="2:11" ht="26.25">
      <c r="B2" s="14" t="s">
        <v>36</v>
      </c>
      <c r="C2" s="15"/>
    </row>
    <row r="4" spans="2:11">
      <c r="B4" s="16" t="s">
        <v>31</v>
      </c>
    </row>
    <row r="5" spans="2:11">
      <c r="B5" s="17">
        <f ca="1">WORKDAY(TODAY(), -1)</f>
        <v>45854</v>
      </c>
    </row>
    <row r="6" spans="2:11" ht="17.25" thickBot="1">
      <c r="K6" s="12" t="s">
        <v>50</v>
      </c>
    </row>
    <row r="7" spans="2:11" hidden="1">
      <c r="B7" s="6" t="s">
        <v>32</v>
      </c>
      <c r="C7" s="6" t="s">
        <v>37</v>
      </c>
      <c r="D7" s="6" t="s">
        <v>6</v>
      </c>
      <c r="E7" s="6" t="s">
        <v>0</v>
      </c>
      <c r="F7" s="6" t="s">
        <v>1</v>
      </c>
      <c r="G7" s="6" t="s">
        <v>2</v>
      </c>
      <c r="H7" s="6" t="s">
        <v>3</v>
      </c>
      <c r="I7" s="6" t="s">
        <v>34</v>
      </c>
      <c r="K7" s="1"/>
    </row>
    <row r="8" spans="2:11" ht="21" customHeight="1" thickBot="1">
      <c r="B8" s="18" t="s">
        <v>4</v>
      </c>
      <c r="C8" s="19" t="s">
        <v>5</v>
      </c>
      <c r="D8" s="19" t="s">
        <v>6</v>
      </c>
      <c r="E8" s="19" t="s">
        <v>0</v>
      </c>
      <c r="F8" s="19" t="s">
        <v>1</v>
      </c>
      <c r="G8" s="19" t="s">
        <v>7</v>
      </c>
      <c r="H8" s="19" t="s">
        <v>8</v>
      </c>
      <c r="I8" s="19"/>
      <c r="J8" s="19" t="s">
        <v>35</v>
      </c>
      <c r="K8" s="20" t="s">
        <v>33</v>
      </c>
    </row>
    <row r="9" spans="2:11">
      <c r="B9" s="13" t="str">
        <f ca="1">IFERROR(VLOOKUP( ROWS(대차거래!$B$9:B9), raw!$D:$E, 2, 0), "")</f>
        <v>KR103502G5C6</v>
      </c>
      <c r="C9" s="8" t="str">
        <f ca="1">IF($B9="", "", _xll.IMDP("BND", $B9, C$7))</f>
        <v>국고02250-2512(15-8)</v>
      </c>
      <c r="D9" s="9" cm="1">
        <f t="array" aca="1" ref="D9" ca="1">IF($B9="", "", _xll.IMDP("BND", $B9, D$7, $B$5, "DtFmt=1"))</f>
        <v>46001</v>
      </c>
      <c r="E9" s="8" cm="1">
        <f t="array" aca="1" ref="E9" ca="1">IF($B9="", "", _xll.IMDP("BND", $B9, E$7, $B$5))</f>
        <v>2816560</v>
      </c>
      <c r="F9" s="8" cm="1">
        <f t="array" aca="1" ref="F9" ca="1">IF($B9="", "", _xll.IMDP("BND", $B9, F$7, $B$5))</f>
        <v>54122</v>
      </c>
      <c r="G9" s="8" cm="1">
        <f t="array" aca="1" ref="G9" ca="1">IF($B9="", "", _xll.IMDP("BND", $B9, G$7, $B$5))</f>
        <v>50000</v>
      </c>
      <c r="H9" s="8" cm="1">
        <f t="array" aca="1" ref="H9" ca="1">IF($B9="", "", _xll.IMDP("BND", $B9, H$7, $B$5))</f>
        <v>2820682</v>
      </c>
      <c r="I9" s="11" t="str" cm="1">
        <f t="array" aca="1" ref="I9" ca="1">IF($B9="", "", _xll.IMDP("BND", $B9, I$7, $B$5))</f>
        <v>상장</v>
      </c>
      <c r="J9" s="10">
        <f ca="1">IF($H9="","",$H9*100/$K9)</f>
        <v>25.193631446625815</v>
      </c>
      <c r="K9" s="8" cm="1">
        <f t="array" aca="1" ref="K9" ca="1">IFERROR( _xll.IMDP("BND", $B9, IF($I9="상장", "상장잔액", "발행액"), $B$5, "fill=true")/100, "")</f>
        <v>11196012</v>
      </c>
    </row>
    <row r="10" spans="2:11">
      <c r="B10" s="13" t="str">
        <f ca="1">IFERROR(VLOOKUP( ROWS(대차거래!$B$9:B10), raw!$D:$E, 2, 0), "")</f>
        <v>KR103502G669</v>
      </c>
      <c r="C10" s="8" t="str">
        <f ca="1">IF($B10="", "", _xll.IMDP("BND", $B10, C$7))</f>
        <v>국고01875-2606(16-3)</v>
      </c>
      <c r="D10" s="9" cm="1">
        <f t="array" aca="1" ref="D10" ca="1">IF($B10="", "", _xll.IMDP("BND", $B10, D$7, $B$5, "DtFmt=1"))</f>
        <v>46183</v>
      </c>
      <c r="E10" s="8" cm="1">
        <f t="array" aca="1" ref="E10" ca="1">IF($B10="", "", _xll.IMDP("BND", $B10, E$7, $B$5))</f>
        <v>2513965</v>
      </c>
      <c r="F10" s="8" cm="1">
        <f t="array" aca="1" ref="F10" ca="1">IF($B10="", "", _xll.IMDP("BND", $B10, F$7, $B$5))</f>
        <v>1816</v>
      </c>
      <c r="G10" s="8" cm="1">
        <f t="array" aca="1" ref="G10" ca="1">IF($B10="", "", _xll.IMDP("BND", $B10, G$7, $B$5))</f>
        <v>0</v>
      </c>
      <c r="H10" s="8" cm="1">
        <f t="array" aca="1" ref="H10" ca="1">IF($B10="", "", _xll.IMDP("BND", $B10, H$7, $B$5))</f>
        <v>2515781</v>
      </c>
      <c r="I10" s="11" t="str" cm="1">
        <f t="array" aca="1" ref="I10" ca="1">IF($B10="", "", _xll.IMDP("BND", $B10, I$7, $B$5))</f>
        <v>상장</v>
      </c>
      <c r="J10" s="10">
        <f t="shared" ref="J10:J73" ca="1" si="0">IF($H10="","",$H10*100/$K10)</f>
        <v>21.792974705474705</v>
      </c>
      <c r="K10" s="8" cm="1">
        <f t="array" aca="1" ref="K10" ca="1">IFERROR( _xll.IMDP("BND", $B10, IF($I10="상장", "상장잔액", "발행액"), $B$5, "fill=true")/100, "")</f>
        <v>11544000</v>
      </c>
    </row>
    <row r="11" spans="2:11">
      <c r="B11" s="13" t="str">
        <f ca="1">IFERROR(VLOOKUP( ROWS(대차거래!$B$9:B11), raw!$D:$E, 2, 0), "")</f>
        <v>KR103502G6C4</v>
      </c>
      <c r="C11" s="8" t="str">
        <f ca="1">IF($B11="", "", _xll.IMDP("BND", $B11, C$7))</f>
        <v>국고01500-2612(16-8)</v>
      </c>
      <c r="D11" s="9" cm="1">
        <f t="array" aca="1" ref="D11" ca="1">IF($B11="", "", _xll.IMDP("BND", $B11, D$7, $B$5, "DtFmt=1"))</f>
        <v>46366</v>
      </c>
      <c r="E11" s="8" cm="1">
        <f t="array" aca="1" ref="E11" ca="1">IF($B11="", "", _xll.IMDP("BND", $B11, E$7, $B$5))</f>
        <v>2310048</v>
      </c>
      <c r="F11" s="8" cm="1">
        <f t="array" aca="1" ref="F11" ca="1">IF($B11="", "", _xll.IMDP("BND", $B11, F$7, $B$5))</f>
        <v>50500</v>
      </c>
      <c r="G11" s="8" cm="1">
        <f t="array" aca="1" ref="G11" ca="1">IF($B11="", "", _xll.IMDP("BND", $B11, G$7, $B$5))</f>
        <v>50500</v>
      </c>
      <c r="H11" s="8" cm="1">
        <f t="array" aca="1" ref="H11" ca="1">IF($B11="", "", _xll.IMDP("BND", $B11, H$7, $B$5))</f>
        <v>2310048</v>
      </c>
      <c r="I11" s="11" t="str" cm="1">
        <f t="array" aca="1" ref="I11" ca="1">IF($B11="", "", _xll.IMDP("BND", $B11, I$7, $B$5))</f>
        <v>상장</v>
      </c>
      <c r="J11" s="10">
        <f t="shared" ca="1" si="0"/>
        <v>17.924022346368716</v>
      </c>
      <c r="K11" s="8" cm="1">
        <f t="array" aca="1" ref="K11" ca="1">IFERROR( _xll.IMDP("BND", $B11, IF($I11="상장", "상장잔액", "발행액"), $B$5, "fill=true")/100, "")</f>
        <v>12888000</v>
      </c>
    </row>
    <row r="12" spans="2:11">
      <c r="B12" s="13" t="str">
        <f ca="1">IFERROR(VLOOKUP( ROWS(대차거래!$B$9:B12), raw!$D:$E, 2, 0), "")</f>
        <v>KR103502G768</v>
      </c>
      <c r="C12" s="8" t="str">
        <f ca="1">IF($B12="", "", _xll.IMDP("BND", $B12, C$7))</f>
        <v>국고02125-2706(17-3)</v>
      </c>
      <c r="D12" s="9" cm="1">
        <f t="array" aca="1" ref="D12" ca="1">IF($B12="", "", _xll.IMDP("BND", $B12, D$7, $B$5, "DtFmt=1"))</f>
        <v>46548</v>
      </c>
      <c r="E12" s="8" cm="1">
        <f t="array" aca="1" ref="E12" ca="1">IF($B12="", "", _xll.IMDP("BND", $B12, E$7, $B$5))</f>
        <v>1790498</v>
      </c>
      <c r="F12" s="8" cm="1">
        <f t="array" aca="1" ref="F12" ca="1">IF($B12="", "", _xll.IMDP("BND", $B12, F$7, $B$5))</f>
        <v>15099</v>
      </c>
      <c r="G12" s="8" cm="1">
        <f t="array" aca="1" ref="G12" ca="1">IF($B12="", "", _xll.IMDP("BND", $B12, G$7, $B$5))</f>
        <v>20000</v>
      </c>
      <c r="H12" s="8" cm="1">
        <f t="array" aca="1" ref="H12" ca="1">IF($B12="", "", _xll.IMDP("BND", $B12, H$7, $B$5))</f>
        <v>1785597</v>
      </c>
      <c r="I12" s="11" t="str" cm="1">
        <f t="array" aca="1" ref="I12" ca="1">IF($B12="", "", _xll.IMDP("BND", $B12, I$7, $B$5))</f>
        <v>상장</v>
      </c>
      <c r="J12" s="10">
        <f t="shared" ca="1" si="0"/>
        <v>14.669709168583635</v>
      </c>
      <c r="K12" s="8" cm="1">
        <f t="array" aca="1" ref="K12" ca="1">IFERROR( _xll.IMDP("BND", $B12, IF($I12="상장", "상장잔액", "발행액"), $B$5, "fill=true")/100, "")</f>
        <v>12172000</v>
      </c>
    </row>
    <row r="13" spans="2:11">
      <c r="B13" s="13" t="str">
        <f ca="1">IFERROR(VLOOKUP( ROWS(대차거래!$B$9:B13), raw!$D:$E, 2, 0), "")</f>
        <v>KR103502G7C2</v>
      </c>
      <c r="C13" s="8" t="str">
        <f ca="1">IF($B13="", "", _xll.IMDP("BND", $B13, C$7))</f>
        <v>국고02375-2712(17-7)</v>
      </c>
      <c r="D13" s="9" cm="1">
        <f t="array" aca="1" ref="D13" ca="1">IF($B13="", "", _xll.IMDP("BND", $B13, D$7, $B$5, "DtFmt=1"))</f>
        <v>46731</v>
      </c>
      <c r="E13" s="8" cm="1">
        <f t="array" aca="1" ref="E13" ca="1">IF($B13="", "", _xll.IMDP("BND", $B13, E$7, $B$5))</f>
        <v>686501</v>
      </c>
      <c r="F13" s="8" cm="1">
        <f t="array" aca="1" ref="F13" ca="1">IF($B13="", "", _xll.IMDP("BND", $B13, F$7, $B$5))</f>
        <v>0</v>
      </c>
      <c r="G13" s="8" cm="1">
        <f t="array" aca="1" ref="G13" ca="1">IF($B13="", "", _xll.IMDP("BND", $B13, G$7, $B$5))</f>
        <v>0</v>
      </c>
      <c r="H13" s="8" cm="1">
        <f t="array" aca="1" ref="H13" ca="1">IF($B13="", "", _xll.IMDP("BND", $B13, H$7, $B$5))</f>
        <v>686501</v>
      </c>
      <c r="I13" s="11" t="str" cm="1">
        <f t="array" aca="1" ref="I13" ca="1">IF($B13="", "", _xll.IMDP("BND", $B13, I$7, $B$5))</f>
        <v>상장</v>
      </c>
      <c r="J13" s="10">
        <f t="shared" ca="1" si="0"/>
        <v>5.7674619843736874</v>
      </c>
      <c r="K13" s="8" cm="1">
        <f t="array" aca="1" ref="K13" ca="1">IFERROR( _xll.IMDP("BND", $B13, IF($I13="상장", "상장잔액", "발행액"), $B$5, "fill=true")/100, "")</f>
        <v>11903000</v>
      </c>
    </row>
    <row r="14" spans="2:11">
      <c r="B14" s="13" t="str">
        <f ca="1">IFERROR(VLOOKUP( ROWS(대차거래!$B$9:B14), raw!$D:$E, 2, 0), "")</f>
        <v>KR103502G867</v>
      </c>
      <c r="C14" s="8" t="str">
        <f ca="1">IF($B14="", "", _xll.IMDP("BND", $B14, C$7))</f>
        <v>국고02625-2806(18-4)</v>
      </c>
      <c r="D14" s="9" cm="1">
        <f t="array" aca="1" ref="D14" ca="1">IF($B14="", "", _xll.IMDP("BND", $B14, D$7, $B$5, "DtFmt=1"))</f>
        <v>46914</v>
      </c>
      <c r="E14" s="8" cm="1">
        <f t="array" aca="1" ref="E14" ca="1">IF($B14="", "", _xll.IMDP("BND", $B14, E$7, $B$5))</f>
        <v>604218</v>
      </c>
      <c r="F14" s="8" cm="1">
        <f t="array" aca="1" ref="F14" ca="1">IF($B14="", "", _xll.IMDP("BND", $B14, F$7, $B$5))</f>
        <v>2063</v>
      </c>
      <c r="G14" s="8" cm="1">
        <f t="array" aca="1" ref="G14" ca="1">IF($B14="", "", _xll.IMDP("BND", $B14, G$7, $B$5))</f>
        <v>0</v>
      </c>
      <c r="H14" s="8" cm="1">
        <f t="array" aca="1" ref="H14" ca="1">IF($B14="", "", _xll.IMDP("BND", $B14, H$7, $B$5))</f>
        <v>606281</v>
      </c>
      <c r="I14" s="11" t="str" cm="1">
        <f t="array" aca="1" ref="I14" ca="1">IF($B14="", "", _xll.IMDP("BND", $B14, I$7, $B$5))</f>
        <v>상장</v>
      </c>
      <c r="J14" s="10">
        <f t="shared" ca="1" si="0"/>
        <v>5.420967453505007</v>
      </c>
      <c r="K14" s="8" cm="1">
        <f t="array" aca="1" ref="K14" ca="1">IFERROR( _xll.IMDP("BND", $B14, IF($I14="상장", "상장잔액", "발행액"), $B$5, "fill=true")/100, "")</f>
        <v>11184000</v>
      </c>
    </row>
    <row r="15" spans="2:11">
      <c r="B15" s="13" t="str">
        <f ca="1">IFERROR(VLOOKUP( ROWS(대차거래!$B$9:B15), raw!$D:$E, 2, 0), "")</f>
        <v>KR103502G8C0</v>
      </c>
      <c r="C15" s="8" t="str">
        <f ca="1">IF($B15="", "", _xll.IMDP("BND", $B15, C$7))</f>
        <v>국고02375-2812(18-10)</v>
      </c>
      <c r="D15" s="9" cm="1">
        <f t="array" aca="1" ref="D15" ca="1">IF($B15="", "", _xll.IMDP("BND", $B15, D$7, $B$5, "DtFmt=1"))</f>
        <v>47097</v>
      </c>
      <c r="E15" s="8" cm="1">
        <f t="array" aca="1" ref="E15" ca="1">IF($B15="", "", _xll.IMDP("BND", $B15, E$7, $B$5))</f>
        <v>427268</v>
      </c>
      <c r="F15" s="8" cm="1">
        <f t="array" aca="1" ref="F15" ca="1">IF($B15="", "", _xll.IMDP("BND", $B15, F$7, $B$5))</f>
        <v>0</v>
      </c>
      <c r="G15" s="8" cm="1">
        <f t="array" aca="1" ref="G15" ca="1">IF($B15="", "", _xll.IMDP("BND", $B15, G$7, $B$5))</f>
        <v>0</v>
      </c>
      <c r="H15" s="8" cm="1">
        <f t="array" aca="1" ref="H15" ca="1">IF($B15="", "", _xll.IMDP("BND", $B15, H$7, $B$5))</f>
        <v>427268</v>
      </c>
      <c r="I15" s="11" t="str" cm="1">
        <f t="array" aca="1" ref="I15" ca="1">IF($B15="", "", _xll.IMDP("BND", $B15, I$7, $B$5))</f>
        <v>상장</v>
      </c>
      <c r="J15" s="10">
        <f t="shared" ca="1" si="0"/>
        <v>3.9894304388422035</v>
      </c>
      <c r="K15" s="8" cm="1">
        <f t="array" aca="1" ref="K15" ca="1">IFERROR( _xll.IMDP("BND", $B15, IF($I15="상장", "상장잔액", "발행액"), $B$5, "fill=true")/100, "")</f>
        <v>10710000</v>
      </c>
    </row>
    <row r="16" spans="2:11">
      <c r="B16" s="13" t="str">
        <f ca="1">IFERROR(VLOOKUP( ROWS(대차거래!$B$9:B16), raw!$D:$E, 2, 0), "")</f>
        <v>KR103502G966</v>
      </c>
      <c r="C16" s="8" t="str">
        <f ca="1">IF($B16="", "", _xll.IMDP("BND", $B16, C$7))</f>
        <v>국고01875-2906(19-4)</v>
      </c>
      <c r="D16" s="9" cm="1">
        <f t="array" aca="1" ref="D16" ca="1">IF($B16="", "", _xll.IMDP("BND", $B16, D$7, $B$5, "DtFmt=1"))</f>
        <v>47279</v>
      </c>
      <c r="E16" s="8" cm="1">
        <f t="array" aca="1" ref="E16" ca="1">IF($B16="", "", _xll.IMDP("BND", $B16, E$7, $B$5))</f>
        <v>1076486</v>
      </c>
      <c r="F16" s="8" cm="1">
        <f t="array" aca="1" ref="F16" ca="1">IF($B16="", "", _xll.IMDP("BND", $B16, F$7, $B$5))</f>
        <v>8328</v>
      </c>
      <c r="G16" s="8" cm="1">
        <f t="array" aca="1" ref="G16" ca="1">IF($B16="", "", _xll.IMDP("BND", $B16, G$7, $B$5))</f>
        <v>0</v>
      </c>
      <c r="H16" s="8" cm="1">
        <f t="array" aca="1" ref="H16" ca="1">IF($B16="", "", _xll.IMDP("BND", $B16, H$7, $B$5))</f>
        <v>1084814</v>
      </c>
      <c r="I16" s="11" t="str" cm="1">
        <f t="array" aca="1" ref="I16" ca="1">IF($B16="", "", _xll.IMDP("BND", $B16, I$7, $B$5))</f>
        <v>상장</v>
      </c>
      <c r="J16" s="10">
        <f t="shared" ca="1" si="0"/>
        <v>9.5059060637924997</v>
      </c>
      <c r="K16" s="8" cm="1">
        <f t="array" aca="1" ref="K16" ca="1">IFERROR( _xll.IMDP("BND", $B16, IF($I16="상장", "상장잔액", "발행액"), $B$5, "fill=true")/100, "")</f>
        <v>11412000</v>
      </c>
    </row>
    <row r="17" spans="2:11">
      <c r="B17" s="13" t="str">
        <f ca="1">IFERROR(VLOOKUP( ROWS(대차거래!$B$9:B17), raw!$D:$E, 2, 0), "")</f>
        <v>KR103502G9C8</v>
      </c>
      <c r="C17" s="8" t="str">
        <f ca="1">IF($B17="", "", _xll.IMDP("BND", $B17, C$7))</f>
        <v>국고01375-2912(19-8)</v>
      </c>
      <c r="D17" s="9" cm="1">
        <f t="array" aca="1" ref="D17" ca="1">IF($B17="", "", _xll.IMDP("BND", $B17, D$7, $B$5, "DtFmt=1"))</f>
        <v>47462</v>
      </c>
      <c r="E17" s="8" cm="1">
        <f t="array" aca="1" ref="E17" ca="1">IF($B17="", "", _xll.IMDP("BND", $B17, E$7, $B$5))</f>
        <v>1088898</v>
      </c>
      <c r="F17" s="8" cm="1">
        <f t="array" aca="1" ref="F17" ca="1">IF($B17="", "", _xll.IMDP("BND", $B17, F$7, $B$5))</f>
        <v>0</v>
      </c>
      <c r="G17" s="8" cm="1">
        <f t="array" aca="1" ref="G17" ca="1">IF($B17="", "", _xll.IMDP("BND", $B17, G$7, $B$5))</f>
        <v>10000</v>
      </c>
      <c r="H17" s="8" cm="1">
        <f t="array" aca="1" ref="H17" ca="1">IF($B17="", "", _xll.IMDP("BND", $B17, H$7, $B$5))</f>
        <v>1078898</v>
      </c>
      <c r="I17" s="11" t="str" cm="1">
        <f t="array" aca="1" ref="I17" ca="1">IF($B17="", "", _xll.IMDP("BND", $B17, I$7, $B$5))</f>
        <v>상장</v>
      </c>
      <c r="J17" s="10">
        <f t="shared" ca="1" si="0"/>
        <v>6.3976399430740036</v>
      </c>
      <c r="K17" s="8" cm="1">
        <f t="array" aca="1" ref="K17" ca="1">IFERROR( _xll.IMDP("BND", $B17, IF($I17="상장", "상장잔액", "발행액"), $B$5, "fill=true")/100, "")</f>
        <v>16864000</v>
      </c>
    </row>
    <row r="18" spans="2:11">
      <c r="B18" s="13" t="str">
        <f ca="1">IFERROR(VLOOKUP( ROWS(대차거래!$B$9:B18), raw!$D:$E, 2, 0), "")</f>
        <v>KR103502GA67</v>
      </c>
      <c r="C18" s="8" t="str">
        <f ca="1">IF($B18="", "", _xll.IMDP("BND", $B18, C$7))</f>
        <v>국고01375-3006(20-4)</v>
      </c>
      <c r="D18" s="9" cm="1">
        <f t="array" aca="1" ref="D18" ca="1">IF($B18="", "", _xll.IMDP("BND", $B18, D$7, $B$5, "DtFmt=1"))</f>
        <v>47644</v>
      </c>
      <c r="E18" s="8" cm="1">
        <f t="array" aca="1" ref="E18" ca="1">IF($B18="", "", _xll.IMDP("BND", $B18, E$7, $B$5))</f>
        <v>2616350</v>
      </c>
      <c r="F18" s="8" cm="1">
        <f t="array" aca="1" ref="F18" ca="1">IF($B18="", "", _xll.IMDP("BND", $B18, F$7, $B$5))</f>
        <v>10348</v>
      </c>
      <c r="G18" s="8" cm="1">
        <f t="array" aca="1" ref="G18" ca="1">IF($B18="", "", _xll.IMDP("BND", $B18, G$7, $B$5))</f>
        <v>10000</v>
      </c>
      <c r="H18" s="8" cm="1">
        <f t="array" aca="1" ref="H18" ca="1">IF($B18="", "", _xll.IMDP("BND", $B18, H$7, $B$5))</f>
        <v>2616698</v>
      </c>
      <c r="I18" s="11" t="str" cm="1">
        <f t="array" aca="1" ref="I18" ca="1">IF($B18="", "", _xll.IMDP("BND", $B18, I$7, $B$5))</f>
        <v>상장</v>
      </c>
      <c r="J18" s="10">
        <f t="shared" ca="1" si="0"/>
        <v>11.323285300099528</v>
      </c>
      <c r="K18" s="8" cm="1">
        <f t="array" aca="1" ref="K18" ca="1">IFERROR( _xll.IMDP("BND", $B18, IF($I18="상장", "상장잔액", "발행액"), $B$5, "fill=true")/100, "")</f>
        <v>23109000</v>
      </c>
    </row>
    <row r="19" spans="2:11">
      <c r="B19" s="13" t="str">
        <f ca="1">IFERROR(VLOOKUP( ROWS(대차거래!$B$9:B19), raw!$D:$E, 2, 0), "")</f>
        <v>KR103502GAC2</v>
      </c>
      <c r="C19" s="8" t="str">
        <f ca="1">IF($B19="", "", _xll.IMDP("BND", $B19, C$7))</f>
        <v>국고01500-3012(20-9)</v>
      </c>
      <c r="D19" s="9" cm="1">
        <f t="array" aca="1" ref="D19" ca="1">IF($B19="", "", _xll.IMDP("BND", $B19, D$7, $B$5, "DtFmt=1"))</f>
        <v>47827</v>
      </c>
      <c r="E19" s="8" cm="1">
        <f t="array" aca="1" ref="E19" ca="1">IF($B19="", "", _xll.IMDP("BND", $B19, E$7, $B$5))</f>
        <v>1110866</v>
      </c>
      <c r="F19" s="8" cm="1">
        <f t="array" aca="1" ref="F19" ca="1">IF($B19="", "", _xll.IMDP("BND", $B19, F$7, $B$5))</f>
        <v>0</v>
      </c>
      <c r="G19" s="8" cm="1">
        <f t="array" aca="1" ref="G19" ca="1">IF($B19="", "", _xll.IMDP("BND", $B19, G$7, $B$5))</f>
        <v>1130</v>
      </c>
      <c r="H19" s="8" cm="1">
        <f t="array" aca="1" ref="H19" ca="1">IF($B19="", "", _xll.IMDP("BND", $B19, H$7, $B$5))</f>
        <v>1109736</v>
      </c>
      <c r="I19" s="11" t="str" cm="1">
        <f t="array" aca="1" ref="I19" ca="1">IF($B19="", "", _xll.IMDP("BND", $B19, I$7, $B$5))</f>
        <v>상장</v>
      </c>
      <c r="J19" s="10">
        <f t="shared" ca="1" si="0"/>
        <v>6.0608185624447231</v>
      </c>
      <c r="K19" s="8" cm="1">
        <f t="array" aca="1" ref="K19" ca="1">IFERROR( _xll.IMDP("BND", $B19, IF($I19="상장", "상장잔액", "발행액"), $B$5, "fill=true")/100, "")</f>
        <v>18310002</v>
      </c>
    </row>
    <row r="20" spans="2:11">
      <c r="B20" s="13" t="str">
        <f ca="1">IFERROR(VLOOKUP( ROWS(대차거래!$B$9:B20), raw!$D:$E, 2, 0), "")</f>
        <v>KR103502GB66</v>
      </c>
      <c r="C20" s="8" t="str">
        <f ca="1">IF($B20="", "", _xll.IMDP("BND", $B20, C$7))</f>
        <v>국고02000-3106(21-5)</v>
      </c>
      <c r="D20" s="9" cm="1">
        <f t="array" aca="1" ref="D20" ca="1">IF($B20="", "", _xll.IMDP("BND", $B20, D$7, $B$5, "DtFmt=1"))</f>
        <v>48009</v>
      </c>
      <c r="E20" s="8" cm="1">
        <f t="array" aca="1" ref="E20" ca="1">IF($B20="", "", _xll.IMDP("BND", $B20, E$7, $B$5))</f>
        <v>1563969</v>
      </c>
      <c r="F20" s="8" cm="1">
        <f t="array" aca="1" ref="F20" ca="1">IF($B20="", "", _xll.IMDP("BND", $B20, F$7, $B$5))</f>
        <v>608</v>
      </c>
      <c r="G20" s="8" cm="1">
        <f t="array" aca="1" ref="G20" ca="1">IF($B20="", "", _xll.IMDP("BND", $B20, G$7, $B$5))</f>
        <v>0</v>
      </c>
      <c r="H20" s="8" cm="1">
        <f t="array" aca="1" ref="H20" ca="1">IF($B20="", "", _xll.IMDP("BND", $B20, H$7, $B$5))</f>
        <v>1564577</v>
      </c>
      <c r="I20" s="11" t="str" cm="1">
        <f t="array" aca="1" ref="I20" ca="1">IF($B20="", "", _xll.IMDP("BND", $B20, I$7, $B$5))</f>
        <v>상장</v>
      </c>
      <c r="J20" s="10">
        <f t="shared" ca="1" si="0"/>
        <v>8.8379201265322269</v>
      </c>
      <c r="K20" s="8" cm="1">
        <f t="array" aca="1" ref="K20" ca="1">IFERROR( _xll.IMDP("BND", $B20, IF($I20="상장", "상장잔액", "발행액"), $B$5, "fill=true")/100, "")</f>
        <v>17703000</v>
      </c>
    </row>
    <row r="21" spans="2:11">
      <c r="B21" s="13" t="str">
        <f ca="1">IFERROR(VLOOKUP( ROWS(대차거래!$B$9:B21), raw!$D:$E, 2, 0), "")</f>
        <v>KR103502GBC0</v>
      </c>
      <c r="C21" s="8" t="str">
        <f ca="1">IF($B21="", "", _xll.IMDP("BND", $B21, C$7))</f>
        <v>국고02375-3112(21-11)</v>
      </c>
      <c r="D21" s="9" cm="1">
        <f t="array" aca="1" ref="D21" ca="1">IF($B21="", "", _xll.IMDP("BND", $B21, D$7, $B$5, "DtFmt=1"))</f>
        <v>48192</v>
      </c>
      <c r="E21" s="8" cm="1">
        <f t="array" aca="1" ref="E21" ca="1">IF($B21="", "", _xll.IMDP("BND", $B21, E$7, $B$5))</f>
        <v>1949889</v>
      </c>
      <c r="F21" s="8" cm="1">
        <f t="array" aca="1" ref="F21" ca="1">IF($B21="", "", _xll.IMDP("BND", $B21, F$7, $B$5))</f>
        <v>50000</v>
      </c>
      <c r="G21" s="8" cm="1">
        <f t="array" aca="1" ref="G21" ca="1">IF($B21="", "", _xll.IMDP("BND", $B21, G$7, $B$5))</f>
        <v>0</v>
      </c>
      <c r="H21" s="8" cm="1">
        <f t="array" aca="1" ref="H21" ca="1">IF($B21="", "", _xll.IMDP("BND", $B21, H$7, $B$5))</f>
        <v>1999889</v>
      </c>
      <c r="I21" s="11" t="str" cm="1">
        <f t="array" aca="1" ref="I21" ca="1">IF($B21="", "", _xll.IMDP("BND", $B21, I$7, $B$5))</f>
        <v>상장</v>
      </c>
      <c r="J21" s="10">
        <f t="shared" ca="1" si="0"/>
        <v>12.523570668169578</v>
      </c>
      <c r="K21" s="8" cm="1">
        <f t="array" aca="1" ref="K21" ca="1">IFERROR( _xll.IMDP("BND", $B21, IF($I21="상장", "상장잔액", "발행액"), $B$5, "fill=true")/100, "")</f>
        <v>15969000</v>
      </c>
    </row>
    <row r="22" spans="2:11">
      <c r="B22" s="13" t="str">
        <f ca="1">IFERROR(VLOOKUP( ROWS(대차거래!$B$9:B22), raw!$D:$E, 2, 0), "")</f>
        <v>KR103502GC65</v>
      </c>
      <c r="C22" s="8" t="str">
        <f ca="1">IF($B22="", "", _xll.IMDP("BND", $B22, C$7))</f>
        <v>국고03375-3206(22-5)</v>
      </c>
      <c r="D22" s="9" cm="1">
        <f t="array" aca="1" ref="D22" ca="1">IF($B22="", "", _xll.IMDP("BND", $B22, D$7, $B$5, "DtFmt=1"))</f>
        <v>48375</v>
      </c>
      <c r="E22" s="8" cm="1">
        <f t="array" aca="1" ref="E22" ca="1">IF($B22="", "", _xll.IMDP("BND", $B22, E$7, $B$5))</f>
        <v>287706</v>
      </c>
      <c r="F22" s="8" cm="1">
        <f t="array" aca="1" ref="F22" ca="1">IF($B22="", "", _xll.IMDP("BND", $B22, F$7, $B$5))</f>
        <v>57000</v>
      </c>
      <c r="G22" s="8" cm="1">
        <f t="array" aca="1" ref="G22" ca="1">IF($B22="", "", _xll.IMDP("BND", $B22, G$7, $B$5))</f>
        <v>0</v>
      </c>
      <c r="H22" s="8" cm="1">
        <f t="array" aca="1" ref="H22" ca="1">IF($B22="", "", _xll.IMDP("BND", $B22, H$7, $B$5))</f>
        <v>344706</v>
      </c>
      <c r="I22" s="11" t="str" cm="1">
        <f t="array" aca="1" ref="I22" ca="1">IF($B22="", "", _xll.IMDP("BND", $B22, I$7, $B$5))</f>
        <v>상장</v>
      </c>
      <c r="J22" s="10">
        <f t="shared" ca="1" si="0"/>
        <v>2.4132780489683188</v>
      </c>
      <c r="K22" s="8" cm="1">
        <f t="array" aca="1" ref="K22" ca="1">IFERROR( _xll.IMDP("BND", $B22, IF($I22="상장", "상장잔액", "발행액"), $B$5, "fill=true")/100, "")</f>
        <v>14283725</v>
      </c>
    </row>
    <row r="23" spans="2:11">
      <c r="B23" s="13" t="str">
        <f ca="1">IFERROR(VLOOKUP( ROWS(대차거래!$B$9:B23), raw!$D:$E, 2, 0), "")</f>
        <v>KR103502GCC8</v>
      </c>
      <c r="C23" s="8" t="str">
        <f ca="1">IF($B23="", "", _xll.IMDP("BND", $B23, C$7))</f>
        <v>국고04250-3212(22-14)</v>
      </c>
      <c r="D23" s="9" cm="1">
        <f t="array" aca="1" ref="D23" ca="1">IF($B23="", "", _xll.IMDP("BND", $B23, D$7, $B$5, "DtFmt=1"))</f>
        <v>48558</v>
      </c>
      <c r="E23" s="8" cm="1">
        <f t="array" aca="1" ref="E23" ca="1">IF($B23="", "", _xll.IMDP("BND", $B23, E$7, $B$5))</f>
        <v>57682</v>
      </c>
      <c r="F23" s="8" cm="1">
        <f t="array" aca="1" ref="F23" ca="1">IF($B23="", "", _xll.IMDP("BND", $B23, F$7, $B$5))</f>
        <v>0</v>
      </c>
      <c r="G23" s="8" cm="1">
        <f t="array" aca="1" ref="G23" ca="1">IF($B23="", "", _xll.IMDP("BND", $B23, G$7, $B$5))</f>
        <v>0</v>
      </c>
      <c r="H23" s="8" cm="1">
        <f t="array" aca="1" ref="H23" ca="1">IF($B23="", "", _xll.IMDP("BND", $B23, H$7, $B$5))</f>
        <v>57682</v>
      </c>
      <c r="I23" s="11" t="str" cm="1">
        <f t="array" aca="1" ref="I23" ca="1">IF($B23="", "", _xll.IMDP("BND", $B23, I$7, $B$5))</f>
        <v>상장</v>
      </c>
      <c r="J23" s="10">
        <f t="shared" ca="1" si="0"/>
        <v>0.40865057772743407</v>
      </c>
      <c r="K23" s="8" cm="1">
        <f t="array" aca="1" ref="K23" ca="1">IFERROR( _xll.IMDP("BND", $B23, IF($I23="상장", "상장잔액", "발행액"), $B$5, "fill=true")/100, "")</f>
        <v>14115237.6</v>
      </c>
    </row>
    <row r="24" spans="2:11">
      <c r="B24" s="13" t="str">
        <f ca="1">IFERROR(VLOOKUP( ROWS(대차거래!$B$9:B24), raw!$D:$E, 2, 0), "")</f>
        <v>KR103502GD64</v>
      </c>
      <c r="C24" s="8" t="str">
        <f ca="1">IF($B24="", "", _xll.IMDP("BND", $B24, C$7))</f>
        <v>국고03250-3306(23-5)</v>
      </c>
      <c r="D24" s="9" cm="1">
        <f t="array" aca="1" ref="D24" ca="1">IF($B24="", "", _xll.IMDP("BND", $B24, D$7, $B$5, "DtFmt=1"))</f>
        <v>48740</v>
      </c>
      <c r="E24" s="8" cm="1">
        <f t="array" aca="1" ref="E24" ca="1">IF($B24="", "", _xll.IMDP("BND", $B24, E$7, $B$5))</f>
        <v>387763</v>
      </c>
      <c r="F24" s="8" cm="1">
        <f t="array" aca="1" ref="F24" ca="1">IF($B24="", "", _xll.IMDP("BND", $B24, F$7, $B$5))</f>
        <v>11000</v>
      </c>
      <c r="G24" s="8" cm="1">
        <f t="array" aca="1" ref="G24" ca="1">IF($B24="", "", _xll.IMDP("BND", $B24, G$7, $B$5))</f>
        <v>20000</v>
      </c>
      <c r="H24" s="8" cm="1">
        <f t="array" aca="1" ref="H24" ca="1">IF($B24="", "", _xll.IMDP("BND", $B24, H$7, $B$5))</f>
        <v>378763</v>
      </c>
      <c r="I24" s="11" t="str" cm="1">
        <f t="array" aca="1" ref="I24" ca="1">IF($B24="", "", _xll.IMDP("BND", $B24, I$7, $B$5))</f>
        <v>상장</v>
      </c>
      <c r="J24" s="10">
        <f t="shared" ca="1" si="0"/>
        <v>2.4572661217075384</v>
      </c>
      <c r="K24" s="8" cm="1">
        <f t="array" aca="1" ref="K24" ca="1">IFERROR( _xll.IMDP("BND", $B24, IF($I24="상장", "상장잔액", "발행액"), $B$5, "fill=true")/100, "")</f>
        <v>15414000</v>
      </c>
    </row>
    <row r="25" spans="2:11">
      <c r="B25" s="13" t="str">
        <f ca="1">IFERROR(VLOOKUP( ROWS(대차거래!$B$9:B25), raw!$D:$E, 2, 0), "")</f>
        <v>KR103502GDC6</v>
      </c>
      <c r="C25" s="8" t="str">
        <f ca="1">IF($B25="", "", _xll.IMDP("BND", $B25, C$7))</f>
        <v>국고04125-3312(23-11)</v>
      </c>
      <c r="D25" s="9" cm="1">
        <f t="array" aca="1" ref="D25" ca="1">IF($B25="", "", _xll.IMDP("BND", $B25, D$7, $B$5, "DtFmt=1"))</f>
        <v>48923</v>
      </c>
      <c r="E25" s="8" cm="1">
        <f t="array" aca="1" ref="E25" ca="1">IF($B25="", "", _xll.IMDP("BND", $B25, E$7, $B$5))</f>
        <v>755310</v>
      </c>
      <c r="F25" s="8" cm="1">
        <f t="array" aca="1" ref="F25" ca="1">IF($B25="", "", _xll.IMDP("BND", $B25, F$7, $B$5))</f>
        <v>0</v>
      </c>
      <c r="G25" s="8" cm="1">
        <f t="array" aca="1" ref="G25" ca="1">IF($B25="", "", _xll.IMDP("BND", $B25, G$7, $B$5))</f>
        <v>0</v>
      </c>
      <c r="H25" s="8" cm="1">
        <f t="array" aca="1" ref="H25" ca="1">IF($B25="", "", _xll.IMDP("BND", $B25, H$7, $B$5))</f>
        <v>755310</v>
      </c>
      <c r="I25" s="11" t="str" cm="1">
        <f t="array" aca="1" ref="I25" ca="1">IF($B25="", "", _xll.IMDP("BND", $B25, I$7, $B$5))</f>
        <v>상장</v>
      </c>
      <c r="J25" s="10">
        <f t="shared" ca="1" si="0"/>
        <v>5.3630006844782487</v>
      </c>
      <c r="K25" s="8" cm="1">
        <f t="array" aca="1" ref="K25" ca="1">IFERROR( _xll.IMDP("BND", $B25, IF($I25="상장", "상장잔액", "발행액"), $B$5, "fill=true")/100, "")</f>
        <v>14083720</v>
      </c>
    </row>
    <row r="26" spans="2:11">
      <c r="B26" s="13" t="str">
        <f ca="1">IFERROR(VLOOKUP( ROWS(대차거래!$B$9:B26), raw!$D:$E, 2, 0), "")</f>
        <v>KR103502GE63</v>
      </c>
      <c r="C26" s="8" t="str">
        <f ca="1">IF($B26="", "", _xll.IMDP("BND", $B26, C$7))</f>
        <v>국고03500-3406(24-5)</v>
      </c>
      <c r="D26" s="9" cm="1">
        <f t="array" aca="1" ref="D26" ca="1">IF($B26="", "", _xll.IMDP("BND", $B26, D$7, $B$5, "DtFmt=1"))</f>
        <v>49105</v>
      </c>
      <c r="E26" s="8" cm="1">
        <f t="array" aca="1" ref="E26" ca="1">IF($B26="", "", _xll.IMDP("BND", $B26, E$7, $B$5))</f>
        <v>2079962</v>
      </c>
      <c r="F26" s="8" cm="1">
        <f t="array" aca="1" ref="F26" ca="1">IF($B26="", "", _xll.IMDP("BND", $B26, F$7, $B$5))</f>
        <v>100000</v>
      </c>
      <c r="G26" s="8" cm="1">
        <f t="array" aca="1" ref="G26" ca="1">IF($B26="", "", _xll.IMDP("BND", $B26, G$7, $B$5))</f>
        <v>99000</v>
      </c>
      <c r="H26" s="8" cm="1">
        <f t="array" aca="1" ref="H26" ca="1">IF($B26="", "", _xll.IMDP("BND", $B26, H$7, $B$5))</f>
        <v>2080962</v>
      </c>
      <c r="I26" s="11" t="str" cm="1">
        <f t="array" aca="1" ref="I26" ca="1">IF($B26="", "", _xll.IMDP("BND", $B26, I$7, $B$5))</f>
        <v>상장</v>
      </c>
      <c r="J26" s="10">
        <f t="shared" ca="1" si="0"/>
        <v>13.52679407176287</v>
      </c>
      <c r="K26" s="8" cm="1">
        <f t="array" aca="1" ref="K26" ca="1">IFERROR( _xll.IMDP("BND", $B26, IF($I26="상장", "상장잔액", "발행액"), $B$5, "fill=true")/100, "")</f>
        <v>15384000</v>
      </c>
    </row>
    <row r="27" spans="2:11">
      <c r="B27" s="13" t="str">
        <f ca="1">IFERROR(VLOOKUP( ROWS(대차거래!$B$9:B27), raw!$D:$E, 2, 0), "")</f>
        <v>KR103502GEC4</v>
      </c>
      <c r="C27" s="8" t="str">
        <f ca="1">IF($B27="", "", _xll.IMDP("BND", $B27, C$7))</f>
        <v>국고03000-3412(24-13)</v>
      </c>
      <c r="D27" s="9" cm="1">
        <f t="array" aca="1" ref="D27" ca="1">IF($B27="", "", _xll.IMDP("BND", $B27, D$7, $B$5, "DtFmt=1"))</f>
        <v>49288</v>
      </c>
      <c r="E27" s="8" cm="1">
        <f t="array" aca="1" ref="E27" ca="1">IF($B27="", "", _xll.IMDP("BND", $B27, E$7, $B$5))</f>
        <v>2895200</v>
      </c>
      <c r="F27" s="8" cm="1">
        <f t="array" aca="1" ref="F27" ca="1">IF($B27="", "", _xll.IMDP("BND", $B27, F$7, $B$5))</f>
        <v>190000</v>
      </c>
      <c r="G27" s="8" cm="1">
        <f t="array" aca="1" ref="G27" ca="1">IF($B27="", "", _xll.IMDP("BND", $B27, G$7, $B$5))</f>
        <v>55000</v>
      </c>
      <c r="H27" s="8" cm="1">
        <f t="array" aca="1" ref="H27" ca="1">IF($B27="", "", _xll.IMDP("BND", $B27, H$7, $B$5))</f>
        <v>3030200</v>
      </c>
      <c r="I27" s="11" t="str" cm="1">
        <f t="array" aca="1" ref="I27" ca="1">IF($B27="", "", _xll.IMDP("BND", $B27, I$7, $B$5))</f>
        <v>상장</v>
      </c>
      <c r="J27" s="10">
        <f t="shared" ca="1" si="0"/>
        <v>19.155445982679058</v>
      </c>
      <c r="K27" s="8" cm="1">
        <f t="array" aca="1" ref="K27" ca="1">IFERROR( _xll.IMDP("BND", $B27, IF($I27="상장", "상장잔액", "발행액"), $B$5, "fill=true")/100, "")</f>
        <v>15819000</v>
      </c>
    </row>
    <row r="28" spans="2:11">
      <c r="B28" s="13" t="str">
        <f ca="1">IFERROR(VLOOKUP( ROWS(대차거래!$B$9:B28), raw!$D:$E, 2, 0), "")</f>
        <v>KR103502GF62</v>
      </c>
      <c r="C28" s="8" t="str">
        <f ca="1">IF($B28="", "", _xll.IMDP("BND", $B28, C$7))</f>
        <v>국고02625-3506(25-5)</v>
      </c>
      <c r="D28" s="9" cm="1">
        <f t="array" aca="1" ref="D28" ca="1">IF($B28="", "", _xll.IMDP("BND", $B28, D$7, $B$5, "DtFmt=1"))</f>
        <v>49470</v>
      </c>
      <c r="E28" s="8" cm="1">
        <f t="array" aca="1" ref="E28" ca="1">IF($B28="", "", _xll.IMDP("BND", $B28, E$7, $B$5))</f>
        <v>407000</v>
      </c>
      <c r="F28" s="8" cm="1">
        <f t="array" aca="1" ref="F28" ca="1">IF($B28="", "", _xll.IMDP("BND", $B28, F$7, $B$5))</f>
        <v>145000</v>
      </c>
      <c r="G28" s="8" cm="1">
        <f t="array" aca="1" ref="G28" ca="1">IF($B28="", "", _xll.IMDP("BND", $B28, G$7, $B$5))</f>
        <v>9000</v>
      </c>
      <c r="H28" s="8" cm="1">
        <f t="array" aca="1" ref="H28" ca="1">IF($B28="", "", _xll.IMDP("BND", $B28, H$7, $B$5))</f>
        <v>543000</v>
      </c>
      <c r="I28" s="11" t="str" cm="1">
        <f t="array" aca="1" ref="I28" ca="1">IF($B28="", "", _xll.IMDP("BND", $B28, I$7, $B$5))</f>
        <v>상장</v>
      </c>
      <c r="J28" s="10">
        <f t="shared" ca="1" si="0"/>
        <v>8.895806028833551</v>
      </c>
      <c r="K28" s="8" cm="1">
        <f t="array" aca="1" ref="K28" ca="1">IFERROR( _xll.IMDP("BND", $B28, IF($I28="상장", "상장잔액", "발행액"), $B$5, "fill=true")/100, "")</f>
        <v>6104000</v>
      </c>
    </row>
    <row r="29" spans="2:11">
      <c r="B29" s="13" t="str">
        <f ca="1">IFERROR(VLOOKUP( ROWS(대차거래!$B$9:B29), raw!$D:$E, 2, 0), "")</f>
        <v/>
      </c>
      <c r="C29" s="8" t="str">
        <f ca="1">IF($B29="", "", _xll.IMDP("BND", $B29, C$7))</f>
        <v/>
      </c>
      <c r="D29" s="9" t="str" cm="1">
        <f t="array" aca="1" ref="D29" ca="1">IF($B29="", "", _xll.IMDP("BND", $B29, D$7, $B$5, "DtFmt=1"))</f>
        <v/>
      </c>
      <c r="E29" s="8" t="str" cm="1">
        <f t="array" aca="1" ref="E29" ca="1">IF($B29="", "", _xll.IMDP("BND", $B29, E$7, $B$5))</f>
        <v/>
      </c>
      <c r="F29" s="8" t="str" cm="1">
        <f t="array" aca="1" ref="F29" ca="1">IF($B29="", "", _xll.IMDP("BND", $B29, F$7, $B$5))</f>
        <v/>
      </c>
      <c r="G29" s="8" t="str" cm="1">
        <f t="array" aca="1" ref="G29" ca="1">IF($B29="", "", _xll.IMDP("BND", $B29, G$7, $B$5))</f>
        <v/>
      </c>
      <c r="H29" s="8" t="str" cm="1">
        <f t="array" aca="1" ref="H29" ca="1">IF($B29="", "", _xll.IMDP("BND", $B29, H$7, $B$5))</f>
        <v/>
      </c>
      <c r="I29" s="11" t="str" cm="1">
        <f t="array" aca="1" ref="I29" ca="1">IF($B29="", "", _xll.IMDP("BND", $B29, I$7, $B$5))</f>
        <v/>
      </c>
      <c r="J29" s="10" t="str">
        <f t="shared" ca="1" si="0"/>
        <v/>
      </c>
      <c r="K29" s="8" t="str" cm="1">
        <f t="array" aca="1" ref="K29" ca="1">IFERROR( _xll.IMDP("BND", $B29, IF($I29="상장", "상장잔액", "발행액"), $B$5, "fill=true")/100, "")</f>
        <v/>
      </c>
    </row>
    <row r="30" spans="2:11">
      <c r="B30" s="13" t="str">
        <f ca="1">IFERROR(VLOOKUP( ROWS(대차거래!$B$9:B30), raw!$D:$E, 2, 0), "")</f>
        <v/>
      </c>
      <c r="C30" s="8" t="str">
        <f ca="1">IF($B30="", "", _xll.IMDP("BND", $B30, C$7))</f>
        <v/>
      </c>
      <c r="D30" s="9" t="str" cm="1">
        <f t="array" aca="1" ref="D30" ca="1">IF($B30="", "", _xll.IMDP("BND", $B30, D$7, $B$5, "DtFmt=1"))</f>
        <v/>
      </c>
      <c r="E30" s="8" t="str" cm="1">
        <f t="array" aca="1" ref="E30" ca="1">IF($B30="", "", _xll.IMDP("BND", $B30, E$7, $B$5))</f>
        <v/>
      </c>
      <c r="F30" s="8" t="str" cm="1">
        <f t="array" aca="1" ref="F30" ca="1">IF($B30="", "", _xll.IMDP("BND", $B30, F$7, $B$5))</f>
        <v/>
      </c>
      <c r="G30" s="8" t="str" cm="1">
        <f t="array" aca="1" ref="G30" ca="1">IF($B30="", "", _xll.IMDP("BND", $B30, G$7, $B$5))</f>
        <v/>
      </c>
      <c r="H30" s="8" t="str" cm="1">
        <f t="array" aca="1" ref="H30" ca="1">IF($B30="", "", _xll.IMDP("BND", $B30, H$7, $B$5))</f>
        <v/>
      </c>
      <c r="I30" s="11" t="str" cm="1">
        <f t="array" aca="1" ref="I30" ca="1">IF($B30="", "", _xll.IMDP("BND", $B30, I$7, $B$5))</f>
        <v/>
      </c>
      <c r="J30" s="10" t="str">
        <f t="shared" ca="1" si="0"/>
        <v/>
      </c>
      <c r="K30" s="8" t="str" cm="1">
        <f t="array" aca="1" ref="K30" ca="1">IFERROR( _xll.IMDP("BND", $B30, IF($I30="상장", "상장잔액", "발행액"), $B$5, "fill=true")/100, "")</f>
        <v/>
      </c>
    </row>
    <row r="31" spans="2:11">
      <c r="B31" s="13" t="str">
        <f ca="1">IFERROR(VLOOKUP( ROWS(대차거래!$B$9:B31), raw!$D:$E, 2, 0), "")</f>
        <v/>
      </c>
      <c r="C31" s="8" t="str">
        <f ca="1">IF($B31="", "", _xll.IMDP("BND", $B31, C$7))</f>
        <v/>
      </c>
      <c r="D31" s="9" t="str" cm="1">
        <f t="array" aca="1" ref="D31" ca="1">IF($B31="", "", _xll.IMDP("BND", $B31, D$7, $B$5, "DtFmt=1"))</f>
        <v/>
      </c>
      <c r="E31" s="8" t="str" cm="1">
        <f t="array" aca="1" ref="E31" ca="1">IF($B31="", "", _xll.IMDP("BND", $B31, E$7, $B$5))</f>
        <v/>
      </c>
      <c r="F31" s="8" t="str" cm="1">
        <f t="array" aca="1" ref="F31" ca="1">IF($B31="", "", _xll.IMDP("BND", $B31, F$7, $B$5))</f>
        <v/>
      </c>
      <c r="G31" s="8" t="str" cm="1">
        <f t="array" aca="1" ref="G31" ca="1">IF($B31="", "", _xll.IMDP("BND", $B31, G$7, $B$5))</f>
        <v/>
      </c>
      <c r="H31" s="8" t="str" cm="1">
        <f t="array" aca="1" ref="H31" ca="1">IF($B31="", "", _xll.IMDP("BND", $B31, H$7, $B$5))</f>
        <v/>
      </c>
      <c r="I31" s="11" t="str" cm="1">
        <f t="array" aca="1" ref="I31" ca="1">IF($B31="", "", _xll.IMDP("BND", $B31, I$7, $B$5))</f>
        <v/>
      </c>
      <c r="J31" s="10" t="str">
        <f t="shared" ca="1" si="0"/>
        <v/>
      </c>
      <c r="K31" s="8" t="str" cm="1">
        <f t="array" aca="1" ref="K31" ca="1">IFERROR( _xll.IMDP("BND", $B31, IF($I31="상장", "상장잔액", "발행액"), $B$5, "fill=true")/100, "")</f>
        <v/>
      </c>
    </row>
    <row r="32" spans="2:11">
      <c r="B32" s="13" t="str">
        <f ca="1">IFERROR(VLOOKUP( ROWS(대차거래!$B$9:B32), raw!$D:$E, 2, 0), "")</f>
        <v/>
      </c>
      <c r="C32" s="8" t="str">
        <f ca="1">IF($B32="", "", _xll.IMDP("BND", $B32, C$7))</f>
        <v/>
      </c>
      <c r="D32" s="9" t="str" cm="1">
        <f t="array" aca="1" ref="D32" ca="1">IF($B32="", "", _xll.IMDP("BND", $B32, D$7, $B$5, "DtFmt=1"))</f>
        <v/>
      </c>
      <c r="E32" s="8" t="str" cm="1">
        <f t="array" aca="1" ref="E32" ca="1">IF($B32="", "", _xll.IMDP("BND", $B32, E$7, $B$5))</f>
        <v/>
      </c>
      <c r="F32" s="8" t="str" cm="1">
        <f t="array" aca="1" ref="F32" ca="1">IF($B32="", "", _xll.IMDP("BND", $B32, F$7, $B$5))</f>
        <v/>
      </c>
      <c r="G32" s="8" t="str" cm="1">
        <f t="array" aca="1" ref="G32" ca="1">IF($B32="", "", _xll.IMDP("BND", $B32, G$7, $B$5))</f>
        <v/>
      </c>
      <c r="H32" s="8" t="str" cm="1">
        <f t="array" aca="1" ref="H32" ca="1">IF($B32="", "", _xll.IMDP("BND", $B32, H$7, $B$5))</f>
        <v/>
      </c>
      <c r="I32" s="11" t="str" cm="1">
        <f t="array" aca="1" ref="I32" ca="1">IF($B32="", "", _xll.IMDP("BND", $B32, I$7, $B$5))</f>
        <v/>
      </c>
      <c r="J32" s="10" t="str">
        <f t="shared" ca="1" si="0"/>
        <v/>
      </c>
      <c r="K32" s="8" t="str" cm="1">
        <f t="array" aca="1" ref="K32" ca="1">IFERROR( _xll.IMDP("BND", $B32, IF($I32="상장", "상장잔액", "발행액"), $B$5, "fill=true")/100, "")</f>
        <v/>
      </c>
    </row>
    <row r="33" spans="2:11">
      <c r="B33" s="13" t="str">
        <f ca="1">IFERROR(VLOOKUP( ROWS(대차거래!$B$9:B33), raw!$D:$E, 2, 0), "")</f>
        <v/>
      </c>
      <c r="C33" s="8" t="str">
        <f ca="1">IF($B33="", "", _xll.IMDP("BND", $B33, C$7))</f>
        <v/>
      </c>
      <c r="D33" s="9" t="str" cm="1">
        <f t="array" aca="1" ref="D33" ca="1">IF($B33="", "", _xll.IMDP("BND", $B33, D$7, $B$5, "DtFmt=1"))</f>
        <v/>
      </c>
      <c r="E33" s="8" t="str" cm="1">
        <f t="array" aca="1" ref="E33" ca="1">IF($B33="", "", _xll.IMDP("BND", $B33, E$7, $B$5))</f>
        <v/>
      </c>
      <c r="F33" s="8" t="str" cm="1">
        <f t="array" aca="1" ref="F33" ca="1">IF($B33="", "", _xll.IMDP("BND", $B33, F$7, $B$5))</f>
        <v/>
      </c>
      <c r="G33" s="8" t="str" cm="1">
        <f t="array" aca="1" ref="G33" ca="1">IF($B33="", "", _xll.IMDP("BND", $B33, G$7, $B$5))</f>
        <v/>
      </c>
      <c r="H33" s="8" t="str" cm="1">
        <f t="array" aca="1" ref="H33" ca="1">IF($B33="", "", _xll.IMDP("BND", $B33, H$7, $B$5))</f>
        <v/>
      </c>
      <c r="I33" s="11" t="str" cm="1">
        <f t="array" aca="1" ref="I33" ca="1">IF($B33="", "", _xll.IMDP("BND", $B33, I$7, $B$5))</f>
        <v/>
      </c>
      <c r="J33" s="10" t="str">
        <f t="shared" ca="1" si="0"/>
        <v/>
      </c>
      <c r="K33" s="8" t="str" cm="1">
        <f t="array" aca="1" ref="K33" ca="1">IFERROR( _xll.IMDP("BND", $B33, IF($I33="상장", "상장잔액", "발행액"), $B$5, "fill=true")/100, "")</f>
        <v/>
      </c>
    </row>
    <row r="34" spans="2:11">
      <c r="B34" s="13" t="str">
        <f ca="1">IFERROR(VLOOKUP( ROWS(대차거래!$B$9:B34), raw!$D:$E, 2, 0), "")</f>
        <v/>
      </c>
      <c r="C34" s="8" t="str">
        <f ca="1">IF($B34="", "", _xll.IMDP("BND", $B34, C$7))</f>
        <v/>
      </c>
      <c r="D34" s="9" t="str" cm="1">
        <f t="array" aca="1" ref="D34" ca="1">IF($B34="", "", _xll.IMDP("BND", $B34, D$7, $B$5, "DtFmt=1"))</f>
        <v/>
      </c>
      <c r="E34" s="8" t="str" cm="1">
        <f t="array" aca="1" ref="E34" ca="1">IF($B34="", "", _xll.IMDP("BND", $B34, E$7, $B$5))</f>
        <v/>
      </c>
      <c r="F34" s="8" t="str" cm="1">
        <f t="array" aca="1" ref="F34" ca="1">IF($B34="", "", _xll.IMDP("BND", $B34, F$7, $B$5))</f>
        <v/>
      </c>
      <c r="G34" s="8" t="str" cm="1">
        <f t="array" aca="1" ref="G34" ca="1">IF($B34="", "", _xll.IMDP("BND", $B34, G$7, $B$5))</f>
        <v/>
      </c>
      <c r="H34" s="8" t="str" cm="1">
        <f t="array" aca="1" ref="H34" ca="1">IF($B34="", "", _xll.IMDP("BND", $B34, H$7, $B$5))</f>
        <v/>
      </c>
      <c r="I34" s="11" t="str" cm="1">
        <f t="array" aca="1" ref="I34" ca="1">IF($B34="", "", _xll.IMDP("BND", $B34, I$7, $B$5))</f>
        <v/>
      </c>
      <c r="J34" s="10" t="str">
        <f t="shared" ca="1" si="0"/>
        <v/>
      </c>
      <c r="K34" s="8" t="str" cm="1">
        <f t="array" aca="1" ref="K34" ca="1">IFERROR( _xll.IMDP("BND", $B34, IF($I34="상장", "상장잔액", "발행액"), $B$5, "fill=true")/100, "")</f>
        <v/>
      </c>
    </row>
    <row r="35" spans="2:11">
      <c r="B35" s="13" t="str">
        <f ca="1">IFERROR(VLOOKUP( ROWS(대차거래!$B$9:B35), raw!$D:$E, 2, 0), "")</f>
        <v/>
      </c>
      <c r="C35" s="8" t="str">
        <f ca="1">IF($B35="", "", _xll.IMDP("BND", $B35, C$7))</f>
        <v/>
      </c>
      <c r="D35" s="9" t="str" cm="1">
        <f t="array" aca="1" ref="D35" ca="1">IF($B35="", "", _xll.IMDP("BND", $B35, D$7, $B$5, "DtFmt=1"))</f>
        <v/>
      </c>
      <c r="E35" s="8" t="str" cm="1">
        <f t="array" aca="1" ref="E35" ca="1">IF($B35="", "", _xll.IMDP("BND", $B35, E$7, $B$5))</f>
        <v/>
      </c>
      <c r="F35" s="8" t="str" cm="1">
        <f t="array" aca="1" ref="F35" ca="1">IF($B35="", "", _xll.IMDP("BND", $B35, F$7, $B$5))</f>
        <v/>
      </c>
      <c r="G35" s="8" t="str" cm="1">
        <f t="array" aca="1" ref="G35" ca="1">IF($B35="", "", _xll.IMDP("BND", $B35, G$7, $B$5))</f>
        <v/>
      </c>
      <c r="H35" s="8" t="str" cm="1">
        <f t="array" aca="1" ref="H35" ca="1">IF($B35="", "", _xll.IMDP("BND", $B35, H$7, $B$5))</f>
        <v/>
      </c>
      <c r="I35" s="11" t="str" cm="1">
        <f t="array" aca="1" ref="I35" ca="1">IF($B35="", "", _xll.IMDP("BND", $B35, I$7, $B$5))</f>
        <v/>
      </c>
      <c r="J35" s="10" t="str">
        <f t="shared" ca="1" si="0"/>
        <v/>
      </c>
      <c r="K35" s="8" t="str" cm="1">
        <f t="array" aca="1" ref="K35" ca="1">IFERROR( _xll.IMDP("BND", $B35, IF($I35="상장", "상장잔액", "발행액"), $B$5, "fill=true")/100, "")</f>
        <v/>
      </c>
    </row>
    <row r="36" spans="2:11">
      <c r="B36" s="13" t="str">
        <f ca="1">IFERROR(VLOOKUP( ROWS(대차거래!$B$9:B36), raw!$D:$E, 2, 0), "")</f>
        <v/>
      </c>
      <c r="C36" s="8" t="str">
        <f ca="1">IF($B36="", "", _xll.IMDP("BND", $B36, C$7))</f>
        <v/>
      </c>
      <c r="D36" s="9" t="str" cm="1">
        <f t="array" aca="1" ref="D36" ca="1">IF($B36="", "", _xll.IMDP("BND", $B36, D$7, $B$5, "DtFmt=1"))</f>
        <v/>
      </c>
      <c r="E36" s="8" t="str" cm="1">
        <f t="array" aca="1" ref="E36" ca="1">IF($B36="", "", _xll.IMDP("BND", $B36, E$7, $B$5))</f>
        <v/>
      </c>
      <c r="F36" s="8" t="str" cm="1">
        <f t="array" aca="1" ref="F36" ca="1">IF($B36="", "", _xll.IMDP("BND", $B36, F$7, $B$5))</f>
        <v/>
      </c>
      <c r="G36" s="8" t="str" cm="1">
        <f t="array" aca="1" ref="G36" ca="1">IF($B36="", "", _xll.IMDP("BND", $B36, G$7, $B$5))</f>
        <v/>
      </c>
      <c r="H36" s="8" t="str" cm="1">
        <f t="array" aca="1" ref="H36" ca="1">IF($B36="", "", _xll.IMDP("BND", $B36, H$7, $B$5))</f>
        <v/>
      </c>
      <c r="I36" s="11" t="str" cm="1">
        <f t="array" aca="1" ref="I36" ca="1">IF($B36="", "", _xll.IMDP("BND", $B36, I$7, $B$5))</f>
        <v/>
      </c>
      <c r="J36" s="10" t="str">
        <f t="shared" ca="1" si="0"/>
        <v/>
      </c>
      <c r="K36" s="8" t="str" cm="1">
        <f t="array" aca="1" ref="K36" ca="1">IFERROR( _xll.IMDP("BND", $B36, IF($I36="상장", "상장잔액", "발행액"), $B$5, "fill=true")/100, "")</f>
        <v/>
      </c>
    </row>
    <row r="37" spans="2:11">
      <c r="B37" s="13" t="str">
        <f ca="1">IFERROR(VLOOKUP( ROWS(대차거래!$B$9:B37), raw!$D:$E, 2, 0), "")</f>
        <v/>
      </c>
      <c r="C37" s="8" t="str">
        <f ca="1">IF($B37="", "", _xll.IMDP("BND", $B37, C$7))</f>
        <v/>
      </c>
      <c r="D37" s="9" t="str" cm="1">
        <f t="array" aca="1" ref="D37" ca="1">IF($B37="", "", _xll.IMDP("BND", $B37, D$7, $B$5, "DtFmt=1"))</f>
        <v/>
      </c>
      <c r="E37" s="8" t="str" cm="1">
        <f t="array" aca="1" ref="E37" ca="1">IF($B37="", "", _xll.IMDP("BND", $B37, E$7, $B$5))</f>
        <v/>
      </c>
      <c r="F37" s="8" t="str" cm="1">
        <f t="array" aca="1" ref="F37" ca="1">IF($B37="", "", _xll.IMDP("BND", $B37, F$7, $B$5))</f>
        <v/>
      </c>
      <c r="G37" s="8" t="str" cm="1">
        <f t="array" aca="1" ref="G37" ca="1">IF($B37="", "", _xll.IMDP("BND", $B37, G$7, $B$5))</f>
        <v/>
      </c>
      <c r="H37" s="8" t="str" cm="1">
        <f t="array" aca="1" ref="H37" ca="1">IF($B37="", "", _xll.IMDP("BND", $B37, H$7, $B$5))</f>
        <v/>
      </c>
      <c r="I37" s="11" t="str" cm="1">
        <f t="array" aca="1" ref="I37" ca="1">IF($B37="", "", _xll.IMDP("BND", $B37, I$7, $B$5))</f>
        <v/>
      </c>
      <c r="J37" s="10" t="str">
        <f t="shared" ca="1" si="0"/>
        <v/>
      </c>
      <c r="K37" s="8" t="str" cm="1">
        <f t="array" aca="1" ref="K37" ca="1">IFERROR( _xll.IMDP("BND", $B37, IF($I37="상장", "상장잔액", "발행액"), $B$5, "fill=true")/100, "")</f>
        <v/>
      </c>
    </row>
    <row r="38" spans="2:11">
      <c r="B38" s="13" t="str">
        <f ca="1">IFERROR(VLOOKUP( ROWS(대차거래!$B$9:B38), raw!$D:$E, 2, 0), "")</f>
        <v/>
      </c>
      <c r="C38" s="8" t="str">
        <f ca="1">IF($B38="", "", _xll.IMDP("BND", $B38, C$7))</f>
        <v/>
      </c>
      <c r="D38" s="9" t="str" cm="1">
        <f t="array" aca="1" ref="D38" ca="1">IF($B38="", "", _xll.IMDP("BND", $B38, D$7, $B$5, "DtFmt=1"))</f>
        <v/>
      </c>
      <c r="E38" s="8" t="str" cm="1">
        <f t="array" aca="1" ref="E38" ca="1">IF($B38="", "", _xll.IMDP("BND", $B38, E$7, $B$5))</f>
        <v/>
      </c>
      <c r="F38" s="8" t="str" cm="1">
        <f t="array" aca="1" ref="F38" ca="1">IF($B38="", "", _xll.IMDP("BND", $B38, F$7, $B$5))</f>
        <v/>
      </c>
      <c r="G38" s="8" t="str" cm="1">
        <f t="array" aca="1" ref="G38" ca="1">IF($B38="", "", _xll.IMDP("BND", $B38, G$7, $B$5))</f>
        <v/>
      </c>
      <c r="H38" s="8" t="str" cm="1">
        <f t="array" aca="1" ref="H38" ca="1">IF($B38="", "", _xll.IMDP("BND", $B38, H$7, $B$5))</f>
        <v/>
      </c>
      <c r="I38" s="11" t="str" cm="1">
        <f t="array" aca="1" ref="I38" ca="1">IF($B38="", "", _xll.IMDP("BND", $B38, I$7, $B$5))</f>
        <v/>
      </c>
      <c r="J38" s="10" t="str">
        <f t="shared" ca="1" si="0"/>
        <v/>
      </c>
      <c r="K38" s="8" t="str" cm="1">
        <f t="array" aca="1" ref="K38" ca="1">IFERROR( _xll.IMDP("BND", $B38, IF($I38="상장", "상장잔액", "발행액"), $B$5, "fill=true")/100, "")</f>
        <v/>
      </c>
    </row>
    <row r="39" spans="2:11">
      <c r="B39" s="13" t="str">
        <f ca="1">IFERROR(VLOOKUP( ROWS(대차거래!$B$9:B39), raw!$D:$E, 2, 0), "")</f>
        <v/>
      </c>
      <c r="C39" s="8" t="str">
        <f ca="1">IF($B39="", "", _xll.IMDP("BND", $B39, C$7))</f>
        <v/>
      </c>
      <c r="D39" s="9" t="str" cm="1">
        <f t="array" aca="1" ref="D39" ca="1">IF($B39="", "", _xll.IMDP("BND", $B39, D$7, $B$5, "DtFmt=1"))</f>
        <v/>
      </c>
      <c r="E39" s="8" t="str" cm="1">
        <f t="array" aca="1" ref="E39" ca="1">IF($B39="", "", _xll.IMDP("BND", $B39, E$7, $B$5))</f>
        <v/>
      </c>
      <c r="F39" s="8" t="str" cm="1">
        <f t="array" aca="1" ref="F39" ca="1">IF($B39="", "", _xll.IMDP("BND", $B39, F$7, $B$5))</f>
        <v/>
      </c>
      <c r="G39" s="8" t="str" cm="1">
        <f t="array" aca="1" ref="G39" ca="1">IF($B39="", "", _xll.IMDP("BND", $B39, G$7, $B$5))</f>
        <v/>
      </c>
      <c r="H39" s="8" t="str" cm="1">
        <f t="array" aca="1" ref="H39" ca="1">IF($B39="", "", _xll.IMDP("BND", $B39, H$7, $B$5))</f>
        <v/>
      </c>
      <c r="I39" s="11" t="str" cm="1">
        <f t="array" aca="1" ref="I39" ca="1">IF($B39="", "", _xll.IMDP("BND", $B39, I$7, $B$5))</f>
        <v/>
      </c>
      <c r="J39" s="10" t="str">
        <f t="shared" ca="1" si="0"/>
        <v/>
      </c>
      <c r="K39" s="8" t="str" cm="1">
        <f t="array" aca="1" ref="K39" ca="1">IFERROR( _xll.IMDP("BND", $B39, IF($I39="상장", "상장잔액", "발행액"), $B$5, "fill=true")/100, "")</f>
        <v/>
      </c>
    </row>
    <row r="40" spans="2:11">
      <c r="B40" s="13" t="str">
        <f ca="1">IFERROR(VLOOKUP( ROWS(대차거래!$B$9:B40), raw!$D:$E, 2, 0), "")</f>
        <v/>
      </c>
      <c r="C40" s="8" t="str">
        <f ca="1">IF($B40="", "", _xll.IMDP("BND", $B40, C$7))</f>
        <v/>
      </c>
      <c r="D40" s="9" t="str" cm="1">
        <f t="array" aca="1" ref="D40" ca="1">IF($B40="", "", _xll.IMDP("BND", $B40, D$7, $B$5, "DtFmt=1"))</f>
        <v/>
      </c>
      <c r="E40" s="8" t="str" cm="1">
        <f t="array" aca="1" ref="E40" ca="1">IF($B40="", "", _xll.IMDP("BND", $B40, E$7, $B$5))</f>
        <v/>
      </c>
      <c r="F40" s="8" t="str" cm="1">
        <f t="array" aca="1" ref="F40" ca="1">IF($B40="", "", _xll.IMDP("BND", $B40, F$7, $B$5))</f>
        <v/>
      </c>
      <c r="G40" s="8" t="str" cm="1">
        <f t="array" aca="1" ref="G40" ca="1">IF($B40="", "", _xll.IMDP("BND", $B40, G$7, $B$5))</f>
        <v/>
      </c>
      <c r="H40" s="8" t="str" cm="1">
        <f t="array" aca="1" ref="H40" ca="1">IF($B40="", "", _xll.IMDP("BND", $B40, H$7, $B$5))</f>
        <v/>
      </c>
      <c r="I40" s="11" t="str" cm="1">
        <f t="array" aca="1" ref="I40" ca="1">IF($B40="", "", _xll.IMDP("BND", $B40, I$7, $B$5))</f>
        <v/>
      </c>
      <c r="J40" s="10" t="str">
        <f t="shared" ca="1" si="0"/>
        <v/>
      </c>
      <c r="K40" s="8" t="str" cm="1">
        <f t="array" aca="1" ref="K40" ca="1">IFERROR( _xll.IMDP("BND", $B40, IF($I40="상장", "상장잔액", "발행액"), $B$5, "fill=true")/100, "")</f>
        <v/>
      </c>
    </row>
    <row r="41" spans="2:11">
      <c r="B41" s="13" t="str">
        <f ca="1">IFERROR(VLOOKUP( ROWS(대차거래!$B$9:B41), raw!$D:$E, 2, 0), "")</f>
        <v/>
      </c>
      <c r="C41" s="8" t="str">
        <f ca="1">IF($B41="", "", _xll.IMDP("BND", $B41, C$7))</f>
        <v/>
      </c>
      <c r="D41" s="9" t="str" cm="1">
        <f t="array" aca="1" ref="D41" ca="1">IF($B41="", "", _xll.IMDP("BND", $B41, D$7, $B$5, "DtFmt=1"))</f>
        <v/>
      </c>
      <c r="E41" s="8" t="str" cm="1">
        <f t="array" aca="1" ref="E41" ca="1">IF($B41="", "", _xll.IMDP("BND", $B41, E$7, $B$5))</f>
        <v/>
      </c>
      <c r="F41" s="8" t="str" cm="1">
        <f t="array" aca="1" ref="F41" ca="1">IF($B41="", "", _xll.IMDP("BND", $B41, F$7, $B$5))</f>
        <v/>
      </c>
      <c r="G41" s="8" t="str" cm="1">
        <f t="array" aca="1" ref="G41" ca="1">IF($B41="", "", _xll.IMDP("BND", $B41, G$7, $B$5))</f>
        <v/>
      </c>
      <c r="H41" s="8" t="str" cm="1">
        <f t="array" aca="1" ref="H41" ca="1">IF($B41="", "", _xll.IMDP("BND", $B41, H$7, $B$5))</f>
        <v/>
      </c>
      <c r="I41" s="11" t="str" cm="1">
        <f t="array" aca="1" ref="I41" ca="1">IF($B41="", "", _xll.IMDP("BND", $B41, I$7, $B$5))</f>
        <v/>
      </c>
      <c r="J41" s="10" t="str">
        <f t="shared" ca="1" si="0"/>
        <v/>
      </c>
      <c r="K41" s="8" t="str" cm="1">
        <f t="array" aca="1" ref="K41" ca="1">IFERROR( _xll.IMDP("BND", $B41, IF($I41="상장", "상장잔액", "발행액"), $B$5, "fill=true")/100, "")</f>
        <v/>
      </c>
    </row>
    <row r="42" spans="2:11">
      <c r="B42" s="13" t="str">
        <f ca="1">IFERROR(VLOOKUP( ROWS(대차거래!$B$9:B42), raw!$D:$E, 2, 0), "")</f>
        <v/>
      </c>
      <c r="C42" s="8" t="str">
        <f ca="1">IF($B42="", "", _xll.IMDP("BND", $B42, C$7))</f>
        <v/>
      </c>
      <c r="D42" s="9" t="str" cm="1">
        <f t="array" aca="1" ref="D42" ca="1">IF($B42="", "", _xll.IMDP("BND", $B42, D$7, $B$5, "DtFmt=1"))</f>
        <v/>
      </c>
      <c r="E42" s="8" t="str" cm="1">
        <f t="array" aca="1" ref="E42" ca="1">IF($B42="", "", _xll.IMDP("BND", $B42, E$7, $B$5))</f>
        <v/>
      </c>
      <c r="F42" s="8" t="str" cm="1">
        <f t="array" aca="1" ref="F42" ca="1">IF($B42="", "", _xll.IMDP("BND", $B42, F$7, $B$5))</f>
        <v/>
      </c>
      <c r="G42" s="8" t="str" cm="1">
        <f t="array" aca="1" ref="G42" ca="1">IF($B42="", "", _xll.IMDP("BND", $B42, G$7, $B$5))</f>
        <v/>
      </c>
      <c r="H42" s="8" t="str" cm="1">
        <f t="array" aca="1" ref="H42" ca="1">IF($B42="", "", _xll.IMDP("BND", $B42, H$7, $B$5))</f>
        <v/>
      </c>
      <c r="I42" s="11" t="str" cm="1">
        <f t="array" aca="1" ref="I42" ca="1">IF($B42="", "", _xll.IMDP("BND", $B42, I$7, $B$5))</f>
        <v/>
      </c>
      <c r="J42" s="10" t="str">
        <f t="shared" ca="1" si="0"/>
        <v/>
      </c>
      <c r="K42" s="8" t="str" cm="1">
        <f t="array" aca="1" ref="K42" ca="1">IFERROR( _xll.IMDP("BND", $B42, IF($I42="상장", "상장잔액", "발행액"), $B$5, "fill=true")/100, "")</f>
        <v/>
      </c>
    </row>
    <row r="43" spans="2:11">
      <c r="B43" s="13" t="str">
        <f ca="1">IFERROR(VLOOKUP( ROWS(대차거래!$B$9:B43), raw!$D:$E, 2, 0), "")</f>
        <v/>
      </c>
      <c r="C43" s="8" t="str">
        <f ca="1">IF($B43="", "", _xll.IMDP("BND", $B43, C$7))</f>
        <v/>
      </c>
      <c r="D43" s="9" t="str" cm="1">
        <f t="array" aca="1" ref="D43" ca="1">IF($B43="", "", _xll.IMDP("BND", $B43, D$7, $B$5, "DtFmt=1"))</f>
        <v/>
      </c>
      <c r="E43" s="8" t="str" cm="1">
        <f t="array" aca="1" ref="E43" ca="1">IF($B43="", "", _xll.IMDP("BND", $B43, E$7, $B$5))</f>
        <v/>
      </c>
      <c r="F43" s="8" t="str" cm="1">
        <f t="array" aca="1" ref="F43" ca="1">IF($B43="", "", _xll.IMDP("BND", $B43, F$7, $B$5))</f>
        <v/>
      </c>
      <c r="G43" s="8" t="str" cm="1">
        <f t="array" aca="1" ref="G43" ca="1">IF($B43="", "", _xll.IMDP("BND", $B43, G$7, $B$5))</f>
        <v/>
      </c>
      <c r="H43" s="8" t="str" cm="1">
        <f t="array" aca="1" ref="H43" ca="1">IF($B43="", "", _xll.IMDP("BND", $B43, H$7, $B$5))</f>
        <v/>
      </c>
      <c r="I43" s="11" t="str" cm="1">
        <f t="array" aca="1" ref="I43" ca="1">IF($B43="", "", _xll.IMDP("BND", $B43, I$7, $B$5))</f>
        <v/>
      </c>
      <c r="J43" s="10" t="str">
        <f t="shared" ca="1" si="0"/>
        <v/>
      </c>
      <c r="K43" s="8" t="str" cm="1">
        <f t="array" aca="1" ref="K43" ca="1">IFERROR( _xll.IMDP("BND", $B43, IF($I43="상장", "상장잔액", "발행액"), $B$5, "fill=true")/100, "")</f>
        <v/>
      </c>
    </row>
    <row r="44" spans="2:11">
      <c r="B44" s="13" t="str">
        <f ca="1">IFERROR(VLOOKUP( ROWS(대차거래!$B$9:B44), raw!$D:$E, 2, 0), "")</f>
        <v/>
      </c>
      <c r="C44" s="8" t="str">
        <f ca="1">IF($B44="", "", _xll.IMDP("BND", $B44, C$7))</f>
        <v/>
      </c>
      <c r="D44" s="9" t="str" cm="1">
        <f t="array" aca="1" ref="D44" ca="1">IF($B44="", "", _xll.IMDP("BND", $B44, D$7, $B$5, "DtFmt=1"))</f>
        <v/>
      </c>
      <c r="E44" s="8" t="str" cm="1">
        <f t="array" aca="1" ref="E44" ca="1">IF($B44="", "", _xll.IMDP("BND", $B44, E$7, $B$5))</f>
        <v/>
      </c>
      <c r="F44" s="8" t="str" cm="1">
        <f t="array" aca="1" ref="F44" ca="1">IF($B44="", "", _xll.IMDP("BND", $B44, F$7, $B$5))</f>
        <v/>
      </c>
      <c r="G44" s="8" t="str" cm="1">
        <f t="array" aca="1" ref="G44" ca="1">IF($B44="", "", _xll.IMDP("BND", $B44, G$7, $B$5))</f>
        <v/>
      </c>
      <c r="H44" s="8" t="str" cm="1">
        <f t="array" aca="1" ref="H44" ca="1">IF($B44="", "", _xll.IMDP("BND", $B44, H$7, $B$5))</f>
        <v/>
      </c>
      <c r="I44" s="11" t="str" cm="1">
        <f t="array" aca="1" ref="I44" ca="1">IF($B44="", "", _xll.IMDP("BND", $B44, I$7, $B$5))</f>
        <v/>
      </c>
      <c r="J44" s="10" t="str">
        <f t="shared" ca="1" si="0"/>
        <v/>
      </c>
      <c r="K44" s="8" t="str" cm="1">
        <f t="array" aca="1" ref="K44" ca="1">IFERROR( _xll.IMDP("BND", $B44, IF($I44="상장", "상장잔액", "발행액"), $B$5, "fill=true")/100, "")</f>
        <v/>
      </c>
    </row>
    <row r="45" spans="2:11">
      <c r="B45" s="13" t="str">
        <f ca="1">IFERROR(VLOOKUP( ROWS(대차거래!$B$9:B45), raw!$D:$E, 2, 0), "")</f>
        <v/>
      </c>
      <c r="C45" s="8" t="str">
        <f ca="1">IF($B45="", "", _xll.IMDP("BND", $B45, C$7))</f>
        <v/>
      </c>
      <c r="D45" s="9" t="str" cm="1">
        <f t="array" aca="1" ref="D45" ca="1">IF($B45="", "", _xll.IMDP("BND", $B45, D$7, $B$5, "DtFmt=1"))</f>
        <v/>
      </c>
      <c r="E45" s="8" t="str" cm="1">
        <f t="array" aca="1" ref="E45" ca="1">IF($B45="", "", _xll.IMDP("BND", $B45, E$7, $B$5))</f>
        <v/>
      </c>
      <c r="F45" s="8" t="str" cm="1">
        <f t="array" aca="1" ref="F45" ca="1">IF($B45="", "", _xll.IMDP("BND", $B45, F$7, $B$5))</f>
        <v/>
      </c>
      <c r="G45" s="8" t="str" cm="1">
        <f t="array" aca="1" ref="G45" ca="1">IF($B45="", "", _xll.IMDP("BND", $B45, G$7, $B$5))</f>
        <v/>
      </c>
      <c r="H45" s="8" t="str" cm="1">
        <f t="array" aca="1" ref="H45" ca="1">IF($B45="", "", _xll.IMDP("BND", $B45, H$7, $B$5))</f>
        <v/>
      </c>
      <c r="I45" s="11" t="str" cm="1">
        <f t="array" aca="1" ref="I45" ca="1">IF($B45="", "", _xll.IMDP("BND", $B45, I$7, $B$5))</f>
        <v/>
      </c>
      <c r="J45" s="10" t="str">
        <f t="shared" ca="1" si="0"/>
        <v/>
      </c>
      <c r="K45" s="8" t="str" cm="1">
        <f t="array" aca="1" ref="K45" ca="1">IFERROR( _xll.IMDP("BND", $B45, IF($I45="상장", "상장잔액", "발행액"), $B$5, "fill=true")/100, "")</f>
        <v/>
      </c>
    </row>
    <row r="46" spans="2:11">
      <c r="B46" s="13" t="str">
        <f ca="1">IFERROR(VLOOKUP( ROWS(대차거래!$B$9:B46), raw!$D:$E, 2, 0), "")</f>
        <v/>
      </c>
      <c r="C46" s="8" t="str">
        <f ca="1">IF($B46="", "", _xll.IMDP("BND", $B46, C$7))</f>
        <v/>
      </c>
      <c r="D46" s="9" t="str" cm="1">
        <f t="array" aca="1" ref="D46" ca="1">IF($B46="", "", _xll.IMDP("BND", $B46, D$7, $B$5, "DtFmt=1"))</f>
        <v/>
      </c>
      <c r="E46" s="8" t="str" cm="1">
        <f t="array" aca="1" ref="E46" ca="1">IF($B46="", "", _xll.IMDP("BND", $B46, E$7, $B$5))</f>
        <v/>
      </c>
      <c r="F46" s="8" t="str" cm="1">
        <f t="array" aca="1" ref="F46" ca="1">IF($B46="", "", _xll.IMDP("BND", $B46, F$7, $B$5))</f>
        <v/>
      </c>
      <c r="G46" s="8" t="str" cm="1">
        <f t="array" aca="1" ref="G46" ca="1">IF($B46="", "", _xll.IMDP("BND", $B46, G$7, $B$5))</f>
        <v/>
      </c>
      <c r="H46" s="8" t="str" cm="1">
        <f t="array" aca="1" ref="H46" ca="1">IF($B46="", "", _xll.IMDP("BND", $B46, H$7, $B$5))</f>
        <v/>
      </c>
      <c r="I46" s="11" t="str" cm="1">
        <f t="array" aca="1" ref="I46" ca="1">IF($B46="", "", _xll.IMDP("BND", $B46, I$7, $B$5))</f>
        <v/>
      </c>
      <c r="J46" s="10" t="str">
        <f t="shared" ca="1" si="0"/>
        <v/>
      </c>
      <c r="K46" s="8" t="str" cm="1">
        <f t="array" aca="1" ref="K46" ca="1">IFERROR( _xll.IMDP("BND", $B46, IF($I46="상장", "상장잔액", "발행액"), $B$5, "fill=true")/100, "")</f>
        <v/>
      </c>
    </row>
    <row r="47" spans="2:11">
      <c r="B47" s="13" t="str">
        <f ca="1">IFERROR(VLOOKUP( ROWS(대차거래!$B$9:B47), raw!$D:$E, 2, 0), "")</f>
        <v/>
      </c>
      <c r="C47" s="8" t="str">
        <f ca="1">IF($B47="", "", _xll.IMDP("BND", $B47, C$7))</f>
        <v/>
      </c>
      <c r="D47" s="9" t="str" cm="1">
        <f t="array" aca="1" ref="D47" ca="1">IF($B47="", "", _xll.IMDP("BND", $B47, D$7, $B$5, "DtFmt=1"))</f>
        <v/>
      </c>
      <c r="E47" s="8" t="str" cm="1">
        <f t="array" aca="1" ref="E47" ca="1">IF($B47="", "", _xll.IMDP("BND", $B47, E$7, $B$5))</f>
        <v/>
      </c>
      <c r="F47" s="8" t="str" cm="1">
        <f t="array" aca="1" ref="F47" ca="1">IF($B47="", "", _xll.IMDP("BND", $B47, F$7, $B$5))</f>
        <v/>
      </c>
      <c r="G47" s="8" t="str" cm="1">
        <f t="array" aca="1" ref="G47" ca="1">IF($B47="", "", _xll.IMDP("BND", $B47, G$7, $B$5))</f>
        <v/>
      </c>
      <c r="H47" s="8" t="str" cm="1">
        <f t="array" aca="1" ref="H47" ca="1">IF($B47="", "", _xll.IMDP("BND", $B47, H$7, $B$5))</f>
        <v/>
      </c>
      <c r="I47" s="11" t="str" cm="1">
        <f t="array" aca="1" ref="I47" ca="1">IF($B47="", "", _xll.IMDP("BND", $B47, I$7, $B$5))</f>
        <v/>
      </c>
      <c r="J47" s="10" t="str">
        <f t="shared" ca="1" si="0"/>
        <v/>
      </c>
      <c r="K47" s="8" t="str" cm="1">
        <f t="array" aca="1" ref="K47" ca="1">IFERROR( _xll.IMDP("BND", $B47, IF($I47="상장", "상장잔액", "발행액"), $B$5, "fill=true")/100, "")</f>
        <v/>
      </c>
    </row>
    <row r="48" spans="2:11">
      <c r="B48" s="13" t="str">
        <f ca="1">IFERROR(VLOOKUP( ROWS(대차거래!$B$9:B48), raw!$D:$E, 2, 0), "")</f>
        <v/>
      </c>
      <c r="C48" s="8" t="str">
        <f ca="1">IF($B48="", "", _xll.IMDP("BND", $B48, C$7))</f>
        <v/>
      </c>
      <c r="D48" s="9" t="str" cm="1">
        <f t="array" aca="1" ref="D48" ca="1">IF($B48="", "", _xll.IMDP("BND", $B48, D$7, $B$5, "DtFmt=1"))</f>
        <v/>
      </c>
      <c r="E48" s="8" t="str" cm="1">
        <f t="array" aca="1" ref="E48" ca="1">IF($B48="", "", _xll.IMDP("BND", $B48, E$7, $B$5))</f>
        <v/>
      </c>
      <c r="F48" s="8" t="str" cm="1">
        <f t="array" aca="1" ref="F48" ca="1">IF($B48="", "", _xll.IMDP("BND", $B48, F$7, $B$5))</f>
        <v/>
      </c>
      <c r="G48" s="8" t="str" cm="1">
        <f t="array" aca="1" ref="G48" ca="1">IF($B48="", "", _xll.IMDP("BND", $B48, G$7, $B$5))</f>
        <v/>
      </c>
      <c r="H48" s="8" t="str" cm="1">
        <f t="array" aca="1" ref="H48" ca="1">IF($B48="", "", _xll.IMDP("BND", $B48, H$7, $B$5))</f>
        <v/>
      </c>
      <c r="I48" s="11" t="str" cm="1">
        <f t="array" aca="1" ref="I48" ca="1">IF($B48="", "", _xll.IMDP("BND", $B48, I$7, $B$5))</f>
        <v/>
      </c>
      <c r="J48" s="10" t="str">
        <f t="shared" ca="1" si="0"/>
        <v/>
      </c>
      <c r="K48" s="8" t="str" cm="1">
        <f t="array" aca="1" ref="K48" ca="1">IFERROR( _xll.IMDP("BND", $B48, IF($I48="상장", "상장잔액", "발행액"), $B$5, "fill=true")/100, "")</f>
        <v/>
      </c>
    </row>
    <row r="49" spans="2:11">
      <c r="B49" s="13" t="str">
        <f ca="1">IFERROR(VLOOKUP( ROWS(대차거래!$B$9:B49), raw!$D:$E, 2, 0), "")</f>
        <v/>
      </c>
      <c r="C49" s="8" t="str">
        <f ca="1">IF($B49="", "", _xll.IMDP("BND", $B49, C$7))</f>
        <v/>
      </c>
      <c r="D49" s="9" t="str" cm="1">
        <f t="array" aca="1" ref="D49" ca="1">IF($B49="", "", _xll.IMDP("BND", $B49, D$7, $B$5, "DtFmt=1"))</f>
        <v/>
      </c>
      <c r="E49" s="8" t="str" cm="1">
        <f t="array" aca="1" ref="E49" ca="1">IF($B49="", "", _xll.IMDP("BND", $B49, E$7, $B$5))</f>
        <v/>
      </c>
      <c r="F49" s="8" t="str" cm="1">
        <f t="array" aca="1" ref="F49" ca="1">IF($B49="", "", _xll.IMDP("BND", $B49, F$7, $B$5))</f>
        <v/>
      </c>
      <c r="G49" s="8" t="str" cm="1">
        <f t="array" aca="1" ref="G49" ca="1">IF($B49="", "", _xll.IMDP("BND", $B49, G$7, $B$5))</f>
        <v/>
      </c>
      <c r="H49" s="8" t="str" cm="1">
        <f t="array" aca="1" ref="H49" ca="1">IF($B49="", "", _xll.IMDP("BND", $B49, H$7, $B$5))</f>
        <v/>
      </c>
      <c r="I49" s="11" t="str" cm="1">
        <f t="array" aca="1" ref="I49" ca="1">IF($B49="", "", _xll.IMDP("BND", $B49, I$7, $B$5))</f>
        <v/>
      </c>
      <c r="J49" s="10" t="str">
        <f t="shared" ca="1" si="0"/>
        <v/>
      </c>
      <c r="K49" s="8" t="str" cm="1">
        <f t="array" aca="1" ref="K49" ca="1">IFERROR( _xll.IMDP("BND", $B49, IF($I49="상장", "상장잔액", "발행액"), $B$5, "fill=true")/100, "")</f>
        <v/>
      </c>
    </row>
    <row r="50" spans="2:11">
      <c r="B50" s="13" t="str">
        <f ca="1">IFERROR(VLOOKUP( ROWS(대차거래!$B$9:B50), raw!$D:$E, 2, 0), "")</f>
        <v/>
      </c>
      <c r="C50" s="8" t="str">
        <f ca="1">IF($B50="", "", _xll.IMDP("BND", $B50, C$7))</f>
        <v/>
      </c>
      <c r="D50" s="9" t="str" cm="1">
        <f t="array" aca="1" ref="D50" ca="1">IF($B50="", "", _xll.IMDP("BND", $B50, D$7, $B$5, "DtFmt=1"))</f>
        <v/>
      </c>
      <c r="E50" s="8" t="str" cm="1">
        <f t="array" aca="1" ref="E50" ca="1">IF($B50="", "", _xll.IMDP("BND", $B50, E$7, $B$5))</f>
        <v/>
      </c>
      <c r="F50" s="8" t="str" cm="1">
        <f t="array" aca="1" ref="F50" ca="1">IF($B50="", "", _xll.IMDP("BND", $B50, F$7, $B$5))</f>
        <v/>
      </c>
      <c r="G50" s="8" t="str" cm="1">
        <f t="array" aca="1" ref="G50" ca="1">IF($B50="", "", _xll.IMDP("BND", $B50, G$7, $B$5))</f>
        <v/>
      </c>
      <c r="H50" s="8" t="str" cm="1">
        <f t="array" aca="1" ref="H50" ca="1">IF($B50="", "", _xll.IMDP("BND", $B50, H$7, $B$5))</f>
        <v/>
      </c>
      <c r="I50" s="11" t="str" cm="1">
        <f t="array" aca="1" ref="I50" ca="1">IF($B50="", "", _xll.IMDP("BND", $B50, I$7, $B$5))</f>
        <v/>
      </c>
      <c r="J50" s="10" t="str">
        <f t="shared" ca="1" si="0"/>
        <v/>
      </c>
      <c r="K50" s="8" t="str" cm="1">
        <f t="array" aca="1" ref="K50" ca="1">IFERROR( _xll.IMDP("BND", $B50, IF($I50="상장", "상장잔액", "발행액"), $B$5, "fill=true")/100, "")</f>
        <v/>
      </c>
    </row>
    <row r="51" spans="2:11">
      <c r="B51" s="13" t="str">
        <f ca="1">IFERROR(VLOOKUP( ROWS(대차거래!$B$9:B51), raw!$D:$E, 2, 0), "")</f>
        <v/>
      </c>
      <c r="C51" s="8" t="str">
        <f ca="1">IF($B51="", "", _xll.IMDP("BND", $B51, C$7))</f>
        <v/>
      </c>
      <c r="D51" s="9" t="str" cm="1">
        <f t="array" aca="1" ref="D51" ca="1">IF($B51="", "", _xll.IMDP("BND", $B51, D$7, $B$5, "DtFmt=1"))</f>
        <v/>
      </c>
      <c r="E51" s="8" t="str" cm="1">
        <f t="array" aca="1" ref="E51" ca="1">IF($B51="", "", _xll.IMDP("BND", $B51, E$7, $B$5))</f>
        <v/>
      </c>
      <c r="F51" s="8" t="str" cm="1">
        <f t="array" aca="1" ref="F51" ca="1">IF($B51="", "", _xll.IMDP("BND", $B51, F$7, $B$5))</f>
        <v/>
      </c>
      <c r="G51" s="8" t="str" cm="1">
        <f t="array" aca="1" ref="G51" ca="1">IF($B51="", "", _xll.IMDP("BND", $B51, G$7, $B$5))</f>
        <v/>
      </c>
      <c r="H51" s="8" t="str" cm="1">
        <f t="array" aca="1" ref="H51" ca="1">IF($B51="", "", _xll.IMDP("BND", $B51, H$7, $B$5))</f>
        <v/>
      </c>
      <c r="I51" s="11" t="str" cm="1">
        <f t="array" aca="1" ref="I51" ca="1">IF($B51="", "", _xll.IMDP("BND", $B51, I$7, $B$5))</f>
        <v/>
      </c>
      <c r="J51" s="10" t="str">
        <f t="shared" ca="1" si="0"/>
        <v/>
      </c>
      <c r="K51" s="8" t="str" cm="1">
        <f t="array" aca="1" ref="K51" ca="1">IFERROR( _xll.IMDP("BND", $B51, IF($I51="상장", "상장잔액", "발행액"), $B$5, "fill=true")/100, "")</f>
        <v/>
      </c>
    </row>
    <row r="52" spans="2:11">
      <c r="B52" s="13" t="str">
        <f ca="1">IFERROR(VLOOKUP( ROWS(대차거래!$B$9:B52), raw!$D:$E, 2, 0), "")</f>
        <v/>
      </c>
      <c r="C52" s="8" t="str">
        <f ca="1">IF($B52="", "", _xll.IMDP("BND", $B52, C$7))</f>
        <v/>
      </c>
      <c r="D52" s="9" t="str" cm="1">
        <f t="array" aca="1" ref="D52" ca="1">IF($B52="", "", _xll.IMDP("BND", $B52, D$7, $B$5, "DtFmt=1"))</f>
        <v/>
      </c>
      <c r="E52" s="8" t="str" cm="1">
        <f t="array" aca="1" ref="E52" ca="1">IF($B52="", "", _xll.IMDP("BND", $B52, E$7, $B$5))</f>
        <v/>
      </c>
      <c r="F52" s="8" t="str" cm="1">
        <f t="array" aca="1" ref="F52" ca="1">IF($B52="", "", _xll.IMDP("BND", $B52, F$7, $B$5))</f>
        <v/>
      </c>
      <c r="G52" s="8" t="str" cm="1">
        <f t="array" aca="1" ref="G52" ca="1">IF($B52="", "", _xll.IMDP("BND", $B52, G$7, $B$5))</f>
        <v/>
      </c>
      <c r="H52" s="8" t="str" cm="1">
        <f t="array" aca="1" ref="H52" ca="1">IF($B52="", "", _xll.IMDP("BND", $B52, H$7, $B$5))</f>
        <v/>
      </c>
      <c r="I52" s="11" t="str" cm="1">
        <f t="array" aca="1" ref="I52" ca="1">IF($B52="", "", _xll.IMDP("BND", $B52, I$7, $B$5))</f>
        <v/>
      </c>
      <c r="J52" s="10" t="str">
        <f t="shared" ca="1" si="0"/>
        <v/>
      </c>
      <c r="K52" s="8" t="str" cm="1">
        <f t="array" aca="1" ref="K52" ca="1">IFERROR( _xll.IMDP("BND", $B52, IF($I52="상장", "상장잔액", "발행액"), $B$5, "fill=true")/100, "")</f>
        <v/>
      </c>
    </row>
    <row r="53" spans="2:11">
      <c r="B53" s="13" t="str">
        <f ca="1">IFERROR(VLOOKUP( ROWS(대차거래!$B$9:B53), raw!$D:$E, 2, 0), "")</f>
        <v/>
      </c>
      <c r="C53" s="8" t="str">
        <f ca="1">IF($B53="", "", _xll.IMDP("BND", $B53, C$7))</f>
        <v/>
      </c>
      <c r="D53" s="9" t="str" cm="1">
        <f t="array" aca="1" ref="D53" ca="1">IF($B53="", "", _xll.IMDP("BND", $B53, D$7, $B$5, "DtFmt=1"))</f>
        <v/>
      </c>
      <c r="E53" s="8" t="str" cm="1">
        <f t="array" aca="1" ref="E53" ca="1">IF($B53="", "", _xll.IMDP("BND", $B53, E$7, $B$5))</f>
        <v/>
      </c>
      <c r="F53" s="8" t="str" cm="1">
        <f t="array" aca="1" ref="F53" ca="1">IF($B53="", "", _xll.IMDP("BND", $B53, F$7, $B$5))</f>
        <v/>
      </c>
      <c r="G53" s="8" t="str" cm="1">
        <f t="array" aca="1" ref="G53" ca="1">IF($B53="", "", _xll.IMDP("BND", $B53, G$7, $B$5))</f>
        <v/>
      </c>
      <c r="H53" s="8" t="str" cm="1">
        <f t="array" aca="1" ref="H53" ca="1">IF($B53="", "", _xll.IMDP("BND", $B53, H$7, $B$5))</f>
        <v/>
      </c>
      <c r="I53" s="11" t="str" cm="1">
        <f t="array" aca="1" ref="I53" ca="1">IF($B53="", "", _xll.IMDP("BND", $B53, I$7, $B$5))</f>
        <v/>
      </c>
      <c r="J53" s="10" t="str">
        <f t="shared" ca="1" si="0"/>
        <v/>
      </c>
      <c r="K53" s="8" t="str" cm="1">
        <f t="array" aca="1" ref="K53" ca="1">IFERROR( _xll.IMDP("BND", $B53, IF($I53="상장", "상장잔액", "발행액"), $B$5, "fill=true")/100, "")</f>
        <v/>
      </c>
    </row>
    <row r="54" spans="2:11">
      <c r="B54" s="13" t="str">
        <f ca="1">IFERROR(VLOOKUP( ROWS(대차거래!$B$9:B54), raw!$D:$E, 2, 0), "")</f>
        <v/>
      </c>
      <c r="C54" s="8" t="str">
        <f ca="1">IF($B54="", "", _xll.IMDP("BND", $B54, C$7))</f>
        <v/>
      </c>
      <c r="D54" s="9" t="str" cm="1">
        <f t="array" aca="1" ref="D54" ca="1">IF($B54="", "", _xll.IMDP("BND", $B54, D$7, $B$5, "DtFmt=1"))</f>
        <v/>
      </c>
      <c r="E54" s="8" t="str" cm="1">
        <f t="array" aca="1" ref="E54" ca="1">IF($B54="", "", _xll.IMDP("BND", $B54, E$7, $B$5))</f>
        <v/>
      </c>
      <c r="F54" s="8" t="str" cm="1">
        <f t="array" aca="1" ref="F54" ca="1">IF($B54="", "", _xll.IMDP("BND", $B54, F$7, $B$5))</f>
        <v/>
      </c>
      <c r="G54" s="8" t="str" cm="1">
        <f t="array" aca="1" ref="G54" ca="1">IF($B54="", "", _xll.IMDP("BND", $B54, G$7, $B$5))</f>
        <v/>
      </c>
      <c r="H54" s="8" t="str" cm="1">
        <f t="array" aca="1" ref="H54" ca="1">IF($B54="", "", _xll.IMDP("BND", $B54, H$7, $B$5))</f>
        <v/>
      </c>
      <c r="I54" s="11" t="str" cm="1">
        <f t="array" aca="1" ref="I54" ca="1">IF($B54="", "", _xll.IMDP("BND", $B54, I$7, $B$5))</f>
        <v/>
      </c>
      <c r="J54" s="10" t="str">
        <f t="shared" ca="1" si="0"/>
        <v/>
      </c>
      <c r="K54" s="8" t="str" cm="1">
        <f t="array" aca="1" ref="K54" ca="1">IFERROR( _xll.IMDP("BND", $B54, IF($I54="상장", "상장잔액", "발행액"), $B$5, "fill=true")/100, "")</f>
        <v/>
      </c>
    </row>
    <row r="55" spans="2:11">
      <c r="B55" s="13" t="str">
        <f ca="1">IFERROR(VLOOKUP( ROWS(대차거래!$B$9:B55), raw!$D:$E, 2, 0), "")</f>
        <v/>
      </c>
      <c r="C55" s="8" t="str">
        <f ca="1">IF($B55="", "", _xll.IMDP("BND", $B55, C$7))</f>
        <v/>
      </c>
      <c r="D55" s="9" t="str" cm="1">
        <f t="array" aca="1" ref="D55" ca="1">IF($B55="", "", _xll.IMDP("BND", $B55, D$7, $B$5, "DtFmt=1"))</f>
        <v/>
      </c>
      <c r="E55" s="8" t="str" cm="1">
        <f t="array" aca="1" ref="E55" ca="1">IF($B55="", "", _xll.IMDP("BND", $B55, E$7, $B$5))</f>
        <v/>
      </c>
      <c r="F55" s="8" t="str" cm="1">
        <f t="array" aca="1" ref="F55" ca="1">IF($B55="", "", _xll.IMDP("BND", $B55, F$7, $B$5))</f>
        <v/>
      </c>
      <c r="G55" s="8" t="str" cm="1">
        <f t="array" aca="1" ref="G55" ca="1">IF($B55="", "", _xll.IMDP("BND", $B55, G$7, $B$5))</f>
        <v/>
      </c>
      <c r="H55" s="8" t="str" cm="1">
        <f t="array" aca="1" ref="H55" ca="1">IF($B55="", "", _xll.IMDP("BND", $B55, H$7, $B$5))</f>
        <v/>
      </c>
      <c r="I55" s="11" t="str" cm="1">
        <f t="array" aca="1" ref="I55" ca="1">IF($B55="", "", _xll.IMDP("BND", $B55, I$7, $B$5))</f>
        <v/>
      </c>
      <c r="J55" s="10" t="str">
        <f t="shared" ca="1" si="0"/>
        <v/>
      </c>
      <c r="K55" s="8" t="str" cm="1">
        <f t="array" aca="1" ref="K55" ca="1">IFERROR( _xll.IMDP("BND", $B55, IF($I55="상장", "상장잔액", "발행액"), $B$5, "fill=true")/100, "")</f>
        <v/>
      </c>
    </row>
    <row r="56" spans="2:11">
      <c r="B56" s="13" t="str">
        <f ca="1">IFERROR(VLOOKUP( ROWS(대차거래!$B$9:B56), raw!$D:$E, 2, 0), "")</f>
        <v/>
      </c>
      <c r="C56" s="8" t="str">
        <f ca="1">IF($B56="", "", _xll.IMDP("BND", $B56, C$7))</f>
        <v/>
      </c>
      <c r="D56" s="9" t="str" cm="1">
        <f t="array" aca="1" ref="D56" ca="1">IF($B56="", "", _xll.IMDP("BND", $B56, D$7, $B$5, "DtFmt=1"))</f>
        <v/>
      </c>
      <c r="E56" s="8" t="str" cm="1">
        <f t="array" aca="1" ref="E56" ca="1">IF($B56="", "", _xll.IMDP("BND", $B56, E$7, $B$5))</f>
        <v/>
      </c>
      <c r="F56" s="8" t="str" cm="1">
        <f t="array" aca="1" ref="F56" ca="1">IF($B56="", "", _xll.IMDP("BND", $B56, F$7, $B$5))</f>
        <v/>
      </c>
      <c r="G56" s="8" t="str" cm="1">
        <f t="array" aca="1" ref="G56" ca="1">IF($B56="", "", _xll.IMDP("BND", $B56, G$7, $B$5))</f>
        <v/>
      </c>
      <c r="H56" s="8" t="str" cm="1">
        <f t="array" aca="1" ref="H56" ca="1">IF($B56="", "", _xll.IMDP("BND", $B56, H$7, $B$5))</f>
        <v/>
      </c>
      <c r="I56" s="11" t="str" cm="1">
        <f t="array" aca="1" ref="I56" ca="1">IF($B56="", "", _xll.IMDP("BND", $B56, I$7, $B$5))</f>
        <v/>
      </c>
      <c r="J56" s="10" t="str">
        <f t="shared" ca="1" si="0"/>
        <v/>
      </c>
      <c r="K56" s="8" t="str" cm="1">
        <f t="array" aca="1" ref="K56" ca="1">IFERROR( _xll.IMDP("BND", $B56, IF($I56="상장", "상장잔액", "발행액"), $B$5, "fill=true")/100, "")</f>
        <v/>
      </c>
    </row>
    <row r="57" spans="2:11">
      <c r="B57" s="13" t="str">
        <f ca="1">IFERROR(VLOOKUP( ROWS(대차거래!$B$9:B57), raw!$D:$E, 2, 0), "")</f>
        <v/>
      </c>
      <c r="C57" s="8" t="str">
        <f ca="1">IF($B57="", "", _xll.IMDP("BND", $B57, C$7))</f>
        <v/>
      </c>
      <c r="D57" s="9" t="str" cm="1">
        <f t="array" aca="1" ref="D57" ca="1">IF($B57="", "", _xll.IMDP("BND", $B57, D$7, $B$5, "DtFmt=1"))</f>
        <v/>
      </c>
      <c r="E57" s="8" t="str" cm="1">
        <f t="array" aca="1" ref="E57" ca="1">IF($B57="", "", _xll.IMDP("BND", $B57, E$7, $B$5))</f>
        <v/>
      </c>
      <c r="F57" s="8" t="str" cm="1">
        <f t="array" aca="1" ref="F57" ca="1">IF($B57="", "", _xll.IMDP("BND", $B57, F$7, $B$5))</f>
        <v/>
      </c>
      <c r="G57" s="8" t="str" cm="1">
        <f t="array" aca="1" ref="G57" ca="1">IF($B57="", "", _xll.IMDP("BND", $B57, G$7, $B$5))</f>
        <v/>
      </c>
      <c r="H57" s="8" t="str" cm="1">
        <f t="array" aca="1" ref="H57" ca="1">IF($B57="", "", _xll.IMDP("BND", $B57, H$7, $B$5))</f>
        <v/>
      </c>
      <c r="I57" s="11" t="str" cm="1">
        <f t="array" aca="1" ref="I57" ca="1">IF($B57="", "", _xll.IMDP("BND", $B57, I$7, $B$5))</f>
        <v/>
      </c>
      <c r="J57" s="10" t="str">
        <f t="shared" ca="1" si="0"/>
        <v/>
      </c>
      <c r="K57" s="8" t="str" cm="1">
        <f t="array" aca="1" ref="K57" ca="1">IFERROR( _xll.IMDP("BND", $B57, IF($I57="상장", "상장잔액", "발행액"), $B$5, "fill=true")/100, "")</f>
        <v/>
      </c>
    </row>
    <row r="58" spans="2:11">
      <c r="B58" s="13" t="str">
        <f ca="1">IFERROR(VLOOKUP( ROWS(대차거래!$B$9:B58), raw!$D:$E, 2, 0), "")</f>
        <v/>
      </c>
      <c r="C58" s="8" t="str">
        <f ca="1">IF($B58="", "", _xll.IMDP("BND", $B58, C$7))</f>
        <v/>
      </c>
      <c r="D58" s="9" t="str" cm="1">
        <f t="array" aca="1" ref="D58" ca="1">IF($B58="", "", _xll.IMDP("BND", $B58, D$7, $B$5, "DtFmt=1"))</f>
        <v/>
      </c>
      <c r="E58" s="8" t="str" cm="1">
        <f t="array" aca="1" ref="E58" ca="1">IF($B58="", "", _xll.IMDP("BND", $B58, E$7, $B$5))</f>
        <v/>
      </c>
      <c r="F58" s="8" t="str" cm="1">
        <f t="array" aca="1" ref="F58" ca="1">IF($B58="", "", _xll.IMDP("BND", $B58, F$7, $B$5))</f>
        <v/>
      </c>
      <c r="G58" s="8" t="str" cm="1">
        <f t="array" aca="1" ref="G58" ca="1">IF($B58="", "", _xll.IMDP("BND", $B58, G$7, $B$5))</f>
        <v/>
      </c>
      <c r="H58" s="8" t="str" cm="1">
        <f t="array" aca="1" ref="H58" ca="1">IF($B58="", "", _xll.IMDP("BND", $B58, H$7, $B$5))</f>
        <v/>
      </c>
      <c r="I58" s="11" t="str" cm="1">
        <f t="array" aca="1" ref="I58" ca="1">IF($B58="", "", _xll.IMDP("BND", $B58, I$7, $B$5))</f>
        <v/>
      </c>
      <c r="J58" s="10" t="str">
        <f t="shared" ca="1" si="0"/>
        <v/>
      </c>
      <c r="K58" s="8" t="str" cm="1">
        <f t="array" aca="1" ref="K58" ca="1">IFERROR( _xll.IMDP("BND", $B58, IF($I58="상장", "상장잔액", "발행액"), $B$5, "fill=true")/100, "")</f>
        <v/>
      </c>
    </row>
    <row r="59" spans="2:11">
      <c r="B59" s="13" t="str">
        <f ca="1">IFERROR(VLOOKUP( ROWS(대차거래!$B$9:B59), raw!$D:$E, 2, 0), "")</f>
        <v/>
      </c>
      <c r="C59" s="8" t="str">
        <f ca="1">IF($B59="", "", _xll.IMDP("BND", $B59, C$7))</f>
        <v/>
      </c>
      <c r="D59" s="9" t="str" cm="1">
        <f t="array" aca="1" ref="D59" ca="1">IF($B59="", "", _xll.IMDP("BND", $B59, D$7, $B$5, "DtFmt=1"))</f>
        <v/>
      </c>
      <c r="E59" s="8" t="str" cm="1">
        <f t="array" aca="1" ref="E59" ca="1">IF($B59="", "", _xll.IMDP("BND", $B59, E$7, $B$5))</f>
        <v/>
      </c>
      <c r="F59" s="8" t="str" cm="1">
        <f t="array" aca="1" ref="F59" ca="1">IF($B59="", "", _xll.IMDP("BND", $B59, F$7, $B$5))</f>
        <v/>
      </c>
      <c r="G59" s="8" t="str" cm="1">
        <f t="array" aca="1" ref="G59" ca="1">IF($B59="", "", _xll.IMDP("BND", $B59, G$7, $B$5))</f>
        <v/>
      </c>
      <c r="H59" s="8" t="str" cm="1">
        <f t="array" aca="1" ref="H59" ca="1">IF($B59="", "", _xll.IMDP("BND", $B59, H$7, $B$5))</f>
        <v/>
      </c>
      <c r="I59" s="11" t="str" cm="1">
        <f t="array" aca="1" ref="I59" ca="1">IF($B59="", "", _xll.IMDP("BND", $B59, I$7, $B$5))</f>
        <v/>
      </c>
      <c r="J59" s="10" t="str">
        <f t="shared" ca="1" si="0"/>
        <v/>
      </c>
      <c r="K59" s="8" t="str" cm="1">
        <f t="array" aca="1" ref="K59" ca="1">IFERROR( _xll.IMDP("BND", $B59, IF($I59="상장", "상장잔액", "발행액"), $B$5, "fill=true")/100, "")</f>
        <v/>
      </c>
    </row>
    <row r="60" spans="2:11">
      <c r="B60" s="13" t="str">
        <f ca="1">IFERROR(VLOOKUP( ROWS(대차거래!$B$9:B60), raw!$D:$E, 2, 0), "")</f>
        <v/>
      </c>
      <c r="C60" s="8" t="str">
        <f ca="1">IF($B60="", "", _xll.IMDP("BND", $B60, C$7))</f>
        <v/>
      </c>
      <c r="D60" s="9" t="str" cm="1">
        <f t="array" aca="1" ref="D60" ca="1">IF($B60="", "", _xll.IMDP("BND", $B60, D$7, $B$5, "DtFmt=1"))</f>
        <v/>
      </c>
      <c r="E60" s="8" t="str" cm="1">
        <f t="array" aca="1" ref="E60" ca="1">IF($B60="", "", _xll.IMDP("BND", $B60, E$7, $B$5))</f>
        <v/>
      </c>
      <c r="F60" s="8" t="str" cm="1">
        <f t="array" aca="1" ref="F60" ca="1">IF($B60="", "", _xll.IMDP("BND", $B60, F$7, $B$5))</f>
        <v/>
      </c>
      <c r="G60" s="8" t="str" cm="1">
        <f t="array" aca="1" ref="G60" ca="1">IF($B60="", "", _xll.IMDP("BND", $B60, G$7, $B$5))</f>
        <v/>
      </c>
      <c r="H60" s="8" t="str" cm="1">
        <f t="array" aca="1" ref="H60" ca="1">IF($B60="", "", _xll.IMDP("BND", $B60, H$7, $B$5))</f>
        <v/>
      </c>
      <c r="I60" s="11" t="str" cm="1">
        <f t="array" aca="1" ref="I60" ca="1">IF($B60="", "", _xll.IMDP("BND", $B60, I$7, $B$5))</f>
        <v/>
      </c>
      <c r="J60" s="10" t="str">
        <f t="shared" ca="1" si="0"/>
        <v/>
      </c>
      <c r="K60" s="8" t="str" cm="1">
        <f t="array" aca="1" ref="K60" ca="1">IFERROR( _xll.IMDP("BND", $B60, IF($I60="상장", "상장잔액", "발행액"), $B$5, "fill=true")/100, "")</f>
        <v/>
      </c>
    </row>
    <row r="61" spans="2:11">
      <c r="B61" s="13" t="str">
        <f ca="1">IFERROR(VLOOKUP( ROWS(대차거래!$B$9:B61), raw!$D:$E, 2, 0), "")</f>
        <v/>
      </c>
      <c r="C61" s="8" t="str">
        <f ca="1">IF($B61="", "", _xll.IMDP("BND", $B61, C$7))</f>
        <v/>
      </c>
      <c r="D61" s="9" t="str" cm="1">
        <f t="array" aca="1" ref="D61" ca="1">IF($B61="", "", _xll.IMDP("BND", $B61, D$7, $B$5, "DtFmt=1"))</f>
        <v/>
      </c>
      <c r="E61" s="8" t="str" cm="1">
        <f t="array" aca="1" ref="E61" ca="1">IF($B61="", "", _xll.IMDP("BND", $B61, E$7, $B$5))</f>
        <v/>
      </c>
      <c r="F61" s="8" t="str" cm="1">
        <f t="array" aca="1" ref="F61" ca="1">IF($B61="", "", _xll.IMDP("BND", $B61, F$7, $B$5))</f>
        <v/>
      </c>
      <c r="G61" s="8" t="str" cm="1">
        <f t="array" aca="1" ref="G61" ca="1">IF($B61="", "", _xll.IMDP("BND", $B61, G$7, $B$5))</f>
        <v/>
      </c>
      <c r="H61" s="8" t="str" cm="1">
        <f t="array" aca="1" ref="H61" ca="1">IF($B61="", "", _xll.IMDP("BND", $B61, H$7, $B$5))</f>
        <v/>
      </c>
      <c r="I61" s="11" t="str" cm="1">
        <f t="array" aca="1" ref="I61" ca="1">IF($B61="", "", _xll.IMDP("BND", $B61, I$7, $B$5))</f>
        <v/>
      </c>
      <c r="J61" s="10" t="str">
        <f t="shared" ca="1" si="0"/>
        <v/>
      </c>
      <c r="K61" s="8" t="str" cm="1">
        <f t="array" aca="1" ref="K61" ca="1">IFERROR( _xll.IMDP("BND", $B61, IF($I61="상장", "상장잔액", "발행액"), $B$5, "fill=true")/100, "")</f>
        <v/>
      </c>
    </row>
    <row r="62" spans="2:11">
      <c r="B62" s="13" t="str">
        <f ca="1">IFERROR(VLOOKUP( ROWS(대차거래!$B$9:B62), raw!$D:$E, 2, 0), "")</f>
        <v/>
      </c>
      <c r="C62" s="8" t="str">
        <f ca="1">IF($B62="", "", _xll.IMDP("BND", $B62, C$7))</f>
        <v/>
      </c>
      <c r="D62" s="9" t="str" cm="1">
        <f t="array" aca="1" ref="D62" ca="1">IF($B62="", "", _xll.IMDP("BND", $B62, D$7, $B$5, "DtFmt=1"))</f>
        <v/>
      </c>
      <c r="E62" s="8" t="str" cm="1">
        <f t="array" aca="1" ref="E62" ca="1">IF($B62="", "", _xll.IMDP("BND", $B62, E$7, $B$5))</f>
        <v/>
      </c>
      <c r="F62" s="8" t="str" cm="1">
        <f t="array" aca="1" ref="F62" ca="1">IF($B62="", "", _xll.IMDP("BND", $B62, F$7, $B$5))</f>
        <v/>
      </c>
      <c r="G62" s="8" t="str" cm="1">
        <f t="array" aca="1" ref="G62" ca="1">IF($B62="", "", _xll.IMDP("BND", $B62, G$7, $B$5))</f>
        <v/>
      </c>
      <c r="H62" s="8" t="str" cm="1">
        <f t="array" aca="1" ref="H62" ca="1">IF($B62="", "", _xll.IMDP("BND", $B62, H$7, $B$5))</f>
        <v/>
      </c>
      <c r="I62" s="11" t="str" cm="1">
        <f t="array" aca="1" ref="I62" ca="1">IF($B62="", "", _xll.IMDP("BND", $B62, I$7, $B$5))</f>
        <v/>
      </c>
      <c r="J62" s="10" t="str">
        <f t="shared" ca="1" si="0"/>
        <v/>
      </c>
      <c r="K62" s="8" t="str" cm="1">
        <f t="array" aca="1" ref="K62" ca="1">IFERROR( _xll.IMDP("BND", $B62, IF($I62="상장", "상장잔액", "발행액"), $B$5, "fill=true")/100, "")</f>
        <v/>
      </c>
    </row>
    <row r="63" spans="2:11">
      <c r="B63" s="13" t="str">
        <f ca="1">IFERROR(VLOOKUP( ROWS(대차거래!$B$9:B63), raw!$D:$E, 2, 0), "")</f>
        <v/>
      </c>
      <c r="C63" s="8" t="str">
        <f ca="1">IF($B63="", "", _xll.IMDP("BND", $B63, C$7))</f>
        <v/>
      </c>
      <c r="D63" s="9" t="str" cm="1">
        <f t="array" aca="1" ref="D63" ca="1">IF($B63="", "", _xll.IMDP("BND", $B63, D$7, $B$5, "DtFmt=1"))</f>
        <v/>
      </c>
      <c r="E63" s="8" t="str" cm="1">
        <f t="array" aca="1" ref="E63" ca="1">IF($B63="", "", _xll.IMDP("BND", $B63, E$7, $B$5))</f>
        <v/>
      </c>
      <c r="F63" s="8" t="str" cm="1">
        <f t="array" aca="1" ref="F63" ca="1">IF($B63="", "", _xll.IMDP("BND", $B63, F$7, $B$5))</f>
        <v/>
      </c>
      <c r="G63" s="8" t="str" cm="1">
        <f t="array" aca="1" ref="G63" ca="1">IF($B63="", "", _xll.IMDP("BND", $B63, G$7, $B$5))</f>
        <v/>
      </c>
      <c r="H63" s="8" t="str" cm="1">
        <f t="array" aca="1" ref="H63" ca="1">IF($B63="", "", _xll.IMDP("BND", $B63, H$7, $B$5))</f>
        <v/>
      </c>
      <c r="I63" s="11" t="str" cm="1">
        <f t="array" aca="1" ref="I63" ca="1">IF($B63="", "", _xll.IMDP("BND", $B63, I$7, $B$5))</f>
        <v/>
      </c>
      <c r="J63" s="10" t="str">
        <f t="shared" ca="1" si="0"/>
        <v/>
      </c>
      <c r="K63" s="8" t="str" cm="1">
        <f t="array" aca="1" ref="K63" ca="1">IFERROR( _xll.IMDP("BND", $B63, IF($I63="상장", "상장잔액", "발행액"), $B$5, "fill=true")/100, "")</f>
        <v/>
      </c>
    </row>
    <row r="64" spans="2:11">
      <c r="B64" s="13" t="str">
        <f ca="1">IFERROR(VLOOKUP( ROWS(대차거래!$B$9:B64), raw!$D:$E, 2, 0), "")</f>
        <v/>
      </c>
      <c r="C64" s="8" t="str">
        <f ca="1">IF($B64="", "", _xll.IMDP("BND", $B64, C$7))</f>
        <v/>
      </c>
      <c r="D64" s="9" t="str" cm="1">
        <f t="array" aca="1" ref="D64" ca="1">IF($B64="", "", _xll.IMDP("BND", $B64, D$7, $B$5, "DtFmt=1"))</f>
        <v/>
      </c>
      <c r="E64" s="8" t="str" cm="1">
        <f t="array" aca="1" ref="E64" ca="1">IF($B64="", "", _xll.IMDP("BND", $B64, E$7, $B$5))</f>
        <v/>
      </c>
      <c r="F64" s="8" t="str" cm="1">
        <f t="array" aca="1" ref="F64" ca="1">IF($B64="", "", _xll.IMDP("BND", $B64, F$7, $B$5))</f>
        <v/>
      </c>
      <c r="G64" s="8" t="str" cm="1">
        <f t="array" aca="1" ref="G64" ca="1">IF($B64="", "", _xll.IMDP("BND", $B64, G$7, $B$5))</f>
        <v/>
      </c>
      <c r="H64" s="8" t="str" cm="1">
        <f t="array" aca="1" ref="H64" ca="1">IF($B64="", "", _xll.IMDP("BND", $B64, H$7, $B$5))</f>
        <v/>
      </c>
      <c r="I64" s="11" t="str" cm="1">
        <f t="array" aca="1" ref="I64" ca="1">IF($B64="", "", _xll.IMDP("BND", $B64, I$7, $B$5))</f>
        <v/>
      </c>
      <c r="J64" s="10" t="str">
        <f t="shared" ca="1" si="0"/>
        <v/>
      </c>
      <c r="K64" s="8" t="str" cm="1">
        <f t="array" aca="1" ref="K64" ca="1">IFERROR( _xll.IMDP("BND", $B64, IF($I64="상장", "상장잔액", "발행액"), $B$5, "fill=true")/100, "")</f>
        <v/>
      </c>
    </row>
    <row r="65" spans="2:11">
      <c r="B65" s="13" t="str">
        <f ca="1">IFERROR(VLOOKUP( ROWS(대차거래!$B$9:B65), raw!$D:$E, 2, 0), "")</f>
        <v/>
      </c>
      <c r="C65" s="8" t="str">
        <f ca="1">IF($B65="", "", _xll.IMDP("BND", $B65, C$7))</f>
        <v/>
      </c>
      <c r="D65" s="9" t="str" cm="1">
        <f t="array" aca="1" ref="D65" ca="1">IF($B65="", "", _xll.IMDP("BND", $B65, D$7, $B$5, "DtFmt=1"))</f>
        <v/>
      </c>
      <c r="E65" s="8" t="str" cm="1">
        <f t="array" aca="1" ref="E65" ca="1">IF($B65="", "", _xll.IMDP("BND", $B65, E$7, $B$5))</f>
        <v/>
      </c>
      <c r="F65" s="8" t="str" cm="1">
        <f t="array" aca="1" ref="F65" ca="1">IF($B65="", "", _xll.IMDP("BND", $B65, F$7, $B$5))</f>
        <v/>
      </c>
      <c r="G65" s="8" t="str" cm="1">
        <f t="array" aca="1" ref="G65" ca="1">IF($B65="", "", _xll.IMDP("BND", $B65, G$7, $B$5))</f>
        <v/>
      </c>
      <c r="H65" s="8" t="str" cm="1">
        <f t="array" aca="1" ref="H65" ca="1">IF($B65="", "", _xll.IMDP("BND", $B65, H$7, $B$5))</f>
        <v/>
      </c>
      <c r="I65" s="11" t="str" cm="1">
        <f t="array" aca="1" ref="I65" ca="1">IF($B65="", "", _xll.IMDP("BND", $B65, I$7, $B$5))</f>
        <v/>
      </c>
      <c r="J65" s="10" t="str">
        <f t="shared" ca="1" si="0"/>
        <v/>
      </c>
      <c r="K65" s="8" t="str" cm="1">
        <f t="array" aca="1" ref="K65" ca="1">IFERROR( _xll.IMDP("BND", $B65, IF($I65="상장", "상장잔액", "발행액"), $B$5, "fill=true")/100, "")</f>
        <v/>
      </c>
    </row>
    <row r="66" spans="2:11">
      <c r="B66" s="13" t="str">
        <f ca="1">IFERROR(VLOOKUP( ROWS(대차거래!$B$9:B66), raw!$D:$E, 2, 0), "")</f>
        <v/>
      </c>
      <c r="C66" s="8" t="str">
        <f ca="1">IF($B66="", "", _xll.IMDP("BND", $B66, C$7))</f>
        <v/>
      </c>
      <c r="D66" s="9" t="str" cm="1">
        <f t="array" aca="1" ref="D66" ca="1">IF($B66="", "", _xll.IMDP("BND", $B66, D$7, $B$5, "DtFmt=1"))</f>
        <v/>
      </c>
      <c r="E66" s="8" t="str" cm="1">
        <f t="array" aca="1" ref="E66" ca="1">IF($B66="", "", _xll.IMDP("BND", $B66, E$7, $B$5))</f>
        <v/>
      </c>
      <c r="F66" s="8" t="str" cm="1">
        <f t="array" aca="1" ref="F66" ca="1">IF($B66="", "", _xll.IMDP("BND", $B66, F$7, $B$5))</f>
        <v/>
      </c>
      <c r="G66" s="8" t="str" cm="1">
        <f t="array" aca="1" ref="G66" ca="1">IF($B66="", "", _xll.IMDP("BND", $B66, G$7, $B$5))</f>
        <v/>
      </c>
      <c r="H66" s="8" t="str" cm="1">
        <f t="array" aca="1" ref="H66" ca="1">IF($B66="", "", _xll.IMDP("BND", $B66, H$7, $B$5))</f>
        <v/>
      </c>
      <c r="I66" s="11" t="str" cm="1">
        <f t="array" aca="1" ref="I66" ca="1">IF($B66="", "", _xll.IMDP("BND", $B66, I$7, $B$5))</f>
        <v/>
      </c>
      <c r="J66" s="10" t="str">
        <f t="shared" ca="1" si="0"/>
        <v/>
      </c>
      <c r="K66" s="8" t="str" cm="1">
        <f t="array" aca="1" ref="K66" ca="1">IFERROR( _xll.IMDP("BND", $B66, IF($I66="상장", "상장잔액", "발행액"), $B$5, "fill=true")/100, "")</f>
        <v/>
      </c>
    </row>
    <row r="67" spans="2:11">
      <c r="B67" s="13" t="str">
        <f ca="1">IFERROR(VLOOKUP( ROWS(대차거래!$B$9:B67), raw!$D:$E, 2, 0), "")</f>
        <v/>
      </c>
      <c r="C67" s="8" t="str">
        <f ca="1">IF($B67="", "", _xll.IMDP("BND", $B67, C$7))</f>
        <v/>
      </c>
      <c r="D67" s="9" t="str" cm="1">
        <f t="array" aca="1" ref="D67" ca="1">IF($B67="", "", _xll.IMDP("BND", $B67, D$7, $B$5, "DtFmt=1"))</f>
        <v/>
      </c>
      <c r="E67" s="8" t="str" cm="1">
        <f t="array" aca="1" ref="E67" ca="1">IF($B67="", "", _xll.IMDP("BND", $B67, E$7, $B$5))</f>
        <v/>
      </c>
      <c r="F67" s="8" t="str" cm="1">
        <f t="array" aca="1" ref="F67" ca="1">IF($B67="", "", _xll.IMDP("BND", $B67, F$7, $B$5))</f>
        <v/>
      </c>
      <c r="G67" s="8" t="str" cm="1">
        <f t="array" aca="1" ref="G67" ca="1">IF($B67="", "", _xll.IMDP("BND", $B67, G$7, $B$5))</f>
        <v/>
      </c>
      <c r="H67" s="8" t="str" cm="1">
        <f t="array" aca="1" ref="H67" ca="1">IF($B67="", "", _xll.IMDP("BND", $B67, H$7, $B$5))</f>
        <v/>
      </c>
      <c r="I67" s="11" t="str" cm="1">
        <f t="array" aca="1" ref="I67" ca="1">IF($B67="", "", _xll.IMDP("BND", $B67, I$7, $B$5))</f>
        <v/>
      </c>
      <c r="J67" s="10" t="str">
        <f t="shared" ca="1" si="0"/>
        <v/>
      </c>
      <c r="K67" s="8" t="str" cm="1">
        <f t="array" aca="1" ref="K67" ca="1">IFERROR( _xll.IMDP("BND", $B67, IF($I67="상장", "상장잔액", "발행액"), $B$5, "fill=true")/100, "")</f>
        <v/>
      </c>
    </row>
    <row r="68" spans="2:11">
      <c r="B68" s="13" t="str">
        <f ca="1">IFERROR(VLOOKUP( ROWS(대차거래!$B$9:B68), raw!$D:$E, 2, 0), "")</f>
        <v/>
      </c>
      <c r="C68" s="8" t="str">
        <f ca="1">IF($B68="", "", _xll.IMDP("BND", $B68, C$7))</f>
        <v/>
      </c>
      <c r="D68" s="9" t="str" cm="1">
        <f t="array" aca="1" ref="D68" ca="1">IF($B68="", "", _xll.IMDP("BND", $B68, D$7, $B$5, "DtFmt=1"))</f>
        <v/>
      </c>
      <c r="E68" s="8" t="str" cm="1">
        <f t="array" aca="1" ref="E68" ca="1">IF($B68="", "", _xll.IMDP("BND", $B68, E$7, $B$5))</f>
        <v/>
      </c>
      <c r="F68" s="8" t="str" cm="1">
        <f t="array" aca="1" ref="F68" ca="1">IF($B68="", "", _xll.IMDP("BND", $B68, F$7, $B$5))</f>
        <v/>
      </c>
      <c r="G68" s="8" t="str" cm="1">
        <f t="array" aca="1" ref="G68" ca="1">IF($B68="", "", _xll.IMDP("BND", $B68, G$7, $B$5))</f>
        <v/>
      </c>
      <c r="H68" s="8" t="str" cm="1">
        <f t="array" aca="1" ref="H68" ca="1">IF($B68="", "", _xll.IMDP("BND", $B68, H$7, $B$5))</f>
        <v/>
      </c>
      <c r="I68" s="11" t="str" cm="1">
        <f t="array" aca="1" ref="I68" ca="1">IF($B68="", "", _xll.IMDP("BND", $B68, I$7, $B$5))</f>
        <v/>
      </c>
      <c r="J68" s="10" t="str">
        <f t="shared" ca="1" si="0"/>
        <v/>
      </c>
      <c r="K68" s="8" t="str" cm="1">
        <f t="array" aca="1" ref="K68" ca="1">IFERROR( _xll.IMDP("BND", $B68, IF($I68="상장", "상장잔액", "발행액"), $B$5, "fill=true")/100, "")</f>
        <v/>
      </c>
    </row>
    <row r="69" spans="2:11">
      <c r="B69" s="13" t="str">
        <f ca="1">IFERROR(VLOOKUP( ROWS(대차거래!$B$9:B69), raw!$D:$E, 2, 0), "")</f>
        <v/>
      </c>
      <c r="C69" s="8" t="str">
        <f ca="1">IF($B69="", "", _xll.IMDP("BND", $B69, C$7))</f>
        <v/>
      </c>
      <c r="D69" s="9" t="str" cm="1">
        <f t="array" aca="1" ref="D69" ca="1">IF($B69="", "", _xll.IMDP("BND", $B69, D$7, $B$5, "DtFmt=1"))</f>
        <v/>
      </c>
      <c r="E69" s="8" t="str" cm="1">
        <f t="array" aca="1" ref="E69" ca="1">IF($B69="", "", _xll.IMDP("BND", $B69, E$7, $B$5))</f>
        <v/>
      </c>
      <c r="F69" s="8" t="str" cm="1">
        <f t="array" aca="1" ref="F69" ca="1">IF($B69="", "", _xll.IMDP("BND", $B69, F$7, $B$5))</f>
        <v/>
      </c>
      <c r="G69" s="8" t="str" cm="1">
        <f t="array" aca="1" ref="G69" ca="1">IF($B69="", "", _xll.IMDP("BND", $B69, G$7, $B$5))</f>
        <v/>
      </c>
      <c r="H69" s="8" t="str" cm="1">
        <f t="array" aca="1" ref="H69" ca="1">IF($B69="", "", _xll.IMDP("BND", $B69, H$7, $B$5))</f>
        <v/>
      </c>
      <c r="I69" s="11" t="str" cm="1">
        <f t="array" aca="1" ref="I69" ca="1">IF($B69="", "", _xll.IMDP("BND", $B69, I$7, $B$5))</f>
        <v/>
      </c>
      <c r="J69" s="10" t="str">
        <f t="shared" ca="1" si="0"/>
        <v/>
      </c>
      <c r="K69" s="8" t="str" cm="1">
        <f t="array" aca="1" ref="K69" ca="1">IFERROR( _xll.IMDP("BND", $B69, IF($I69="상장", "상장잔액", "발행액"), $B$5, "fill=true")/100, "")</f>
        <v/>
      </c>
    </row>
    <row r="70" spans="2:11">
      <c r="B70" s="13" t="str">
        <f ca="1">IFERROR(VLOOKUP( ROWS(대차거래!$B$9:B70), raw!$D:$E, 2, 0), "")</f>
        <v/>
      </c>
      <c r="C70" s="8" t="str">
        <f ca="1">IF($B70="", "", _xll.IMDP("BND", $B70, C$7))</f>
        <v/>
      </c>
      <c r="D70" s="9" t="str" cm="1">
        <f t="array" aca="1" ref="D70" ca="1">IF($B70="", "", _xll.IMDP("BND", $B70, D$7, $B$5, "DtFmt=1"))</f>
        <v/>
      </c>
      <c r="E70" s="8" t="str" cm="1">
        <f t="array" aca="1" ref="E70" ca="1">IF($B70="", "", _xll.IMDP("BND", $B70, E$7, $B$5))</f>
        <v/>
      </c>
      <c r="F70" s="8" t="str" cm="1">
        <f t="array" aca="1" ref="F70" ca="1">IF($B70="", "", _xll.IMDP("BND", $B70, F$7, $B$5))</f>
        <v/>
      </c>
      <c r="G70" s="8" t="str" cm="1">
        <f t="array" aca="1" ref="G70" ca="1">IF($B70="", "", _xll.IMDP("BND", $B70, G$7, $B$5))</f>
        <v/>
      </c>
      <c r="H70" s="8" t="str" cm="1">
        <f t="array" aca="1" ref="H70" ca="1">IF($B70="", "", _xll.IMDP("BND", $B70, H$7, $B$5))</f>
        <v/>
      </c>
      <c r="I70" s="11" t="str" cm="1">
        <f t="array" aca="1" ref="I70" ca="1">IF($B70="", "", _xll.IMDP("BND", $B70, I$7, $B$5))</f>
        <v/>
      </c>
      <c r="J70" s="10" t="str">
        <f t="shared" ca="1" si="0"/>
        <v/>
      </c>
      <c r="K70" s="8" t="str" cm="1">
        <f t="array" aca="1" ref="K70" ca="1">IFERROR( _xll.IMDP("BND", $B70, IF($I70="상장", "상장잔액", "발행액"), $B$5, "fill=true")/100, "")</f>
        <v/>
      </c>
    </row>
    <row r="71" spans="2:11">
      <c r="B71" s="13" t="str">
        <f ca="1">IFERROR(VLOOKUP( ROWS(대차거래!$B$9:B71), raw!$D:$E, 2, 0), "")</f>
        <v/>
      </c>
      <c r="C71" s="8" t="str">
        <f ca="1">IF($B71="", "", _xll.IMDP("BND", $B71, C$7))</f>
        <v/>
      </c>
      <c r="D71" s="9" t="str" cm="1">
        <f t="array" aca="1" ref="D71" ca="1">IF($B71="", "", _xll.IMDP("BND", $B71, D$7, $B$5, "DtFmt=1"))</f>
        <v/>
      </c>
      <c r="E71" s="8" t="str" cm="1">
        <f t="array" aca="1" ref="E71" ca="1">IF($B71="", "", _xll.IMDP("BND", $B71, E$7, $B$5))</f>
        <v/>
      </c>
      <c r="F71" s="8" t="str" cm="1">
        <f t="array" aca="1" ref="F71" ca="1">IF($B71="", "", _xll.IMDP("BND", $B71, F$7, $B$5))</f>
        <v/>
      </c>
      <c r="G71" s="8" t="str" cm="1">
        <f t="array" aca="1" ref="G71" ca="1">IF($B71="", "", _xll.IMDP("BND", $B71, G$7, $B$5))</f>
        <v/>
      </c>
      <c r="H71" s="8" t="str" cm="1">
        <f t="array" aca="1" ref="H71" ca="1">IF($B71="", "", _xll.IMDP("BND", $B71, H$7, $B$5))</f>
        <v/>
      </c>
      <c r="I71" s="11" t="str" cm="1">
        <f t="array" aca="1" ref="I71" ca="1">IF($B71="", "", _xll.IMDP("BND", $B71, I$7, $B$5))</f>
        <v/>
      </c>
      <c r="J71" s="10" t="str">
        <f t="shared" ca="1" si="0"/>
        <v/>
      </c>
      <c r="K71" s="8" t="str" cm="1">
        <f t="array" aca="1" ref="K71" ca="1">IFERROR( _xll.IMDP("BND", $B71, IF($I71="상장", "상장잔액", "발행액"), $B$5, "fill=true")/100, "")</f>
        <v/>
      </c>
    </row>
    <row r="72" spans="2:11">
      <c r="B72" s="13" t="str">
        <f ca="1">IFERROR(VLOOKUP( ROWS(대차거래!$B$9:B72), raw!$D:$E, 2, 0), "")</f>
        <v/>
      </c>
      <c r="C72" s="8" t="str">
        <f ca="1">IF($B72="", "", _xll.IMDP("BND", $B72, C$7))</f>
        <v/>
      </c>
      <c r="D72" s="9" t="str" cm="1">
        <f t="array" aca="1" ref="D72" ca="1">IF($B72="", "", _xll.IMDP("BND", $B72, D$7, $B$5, "DtFmt=1"))</f>
        <v/>
      </c>
      <c r="E72" s="8" t="str" cm="1">
        <f t="array" aca="1" ref="E72" ca="1">IF($B72="", "", _xll.IMDP("BND", $B72, E$7, $B$5))</f>
        <v/>
      </c>
      <c r="F72" s="8" t="str" cm="1">
        <f t="array" aca="1" ref="F72" ca="1">IF($B72="", "", _xll.IMDP("BND", $B72, F$7, $B$5))</f>
        <v/>
      </c>
      <c r="G72" s="8" t="str" cm="1">
        <f t="array" aca="1" ref="G72" ca="1">IF($B72="", "", _xll.IMDP("BND", $B72, G$7, $B$5))</f>
        <v/>
      </c>
      <c r="H72" s="8" t="str" cm="1">
        <f t="array" aca="1" ref="H72" ca="1">IF($B72="", "", _xll.IMDP("BND", $B72, H$7, $B$5))</f>
        <v/>
      </c>
      <c r="I72" s="11" t="str" cm="1">
        <f t="array" aca="1" ref="I72" ca="1">IF($B72="", "", _xll.IMDP("BND", $B72, I$7, $B$5))</f>
        <v/>
      </c>
      <c r="J72" s="10" t="str">
        <f t="shared" ca="1" si="0"/>
        <v/>
      </c>
      <c r="K72" s="8" t="str" cm="1">
        <f t="array" aca="1" ref="K72" ca="1">IFERROR( _xll.IMDP("BND", $B72, IF($I72="상장", "상장잔액", "발행액"), $B$5, "fill=true")/100, "")</f>
        <v/>
      </c>
    </row>
    <row r="73" spans="2:11">
      <c r="B73" s="13" t="str">
        <f ca="1">IFERROR(VLOOKUP( ROWS(대차거래!$B$9:B73), raw!$D:$E, 2, 0), "")</f>
        <v/>
      </c>
      <c r="C73" s="8" t="str">
        <f ca="1">IF($B73="", "", _xll.IMDP("BND", $B73, C$7))</f>
        <v/>
      </c>
      <c r="D73" s="9" t="str" cm="1">
        <f t="array" aca="1" ref="D73" ca="1">IF($B73="", "", _xll.IMDP("BND", $B73, D$7, $B$5, "DtFmt=1"))</f>
        <v/>
      </c>
      <c r="E73" s="8" t="str" cm="1">
        <f t="array" aca="1" ref="E73" ca="1">IF($B73="", "", _xll.IMDP("BND", $B73, E$7, $B$5))</f>
        <v/>
      </c>
      <c r="F73" s="8" t="str" cm="1">
        <f t="array" aca="1" ref="F73" ca="1">IF($B73="", "", _xll.IMDP("BND", $B73, F$7, $B$5))</f>
        <v/>
      </c>
      <c r="G73" s="8" t="str" cm="1">
        <f t="array" aca="1" ref="G73" ca="1">IF($B73="", "", _xll.IMDP("BND", $B73, G$7, $B$5))</f>
        <v/>
      </c>
      <c r="H73" s="8" t="str" cm="1">
        <f t="array" aca="1" ref="H73" ca="1">IF($B73="", "", _xll.IMDP("BND", $B73, H$7, $B$5))</f>
        <v/>
      </c>
      <c r="I73" s="11" t="str" cm="1">
        <f t="array" aca="1" ref="I73" ca="1">IF($B73="", "", _xll.IMDP("BND", $B73, I$7, $B$5))</f>
        <v/>
      </c>
      <c r="J73" s="10" t="str">
        <f t="shared" ca="1" si="0"/>
        <v/>
      </c>
      <c r="K73" s="8" t="str" cm="1">
        <f t="array" aca="1" ref="K73" ca="1">IFERROR( _xll.IMDP("BND", $B73, IF($I73="상장", "상장잔액", "발행액"), $B$5, "fill=true")/100, "")</f>
        <v/>
      </c>
    </row>
    <row r="74" spans="2:11">
      <c r="B74" s="13" t="str">
        <f ca="1">IFERROR(VLOOKUP( ROWS(대차거래!$B$9:B74), raw!$D:$E, 2, 0), "")</f>
        <v/>
      </c>
      <c r="C74" s="8" t="str">
        <f ca="1">IF($B74="", "", _xll.IMDP("BND", $B74, C$7))</f>
        <v/>
      </c>
      <c r="D74" s="9" t="str" cm="1">
        <f t="array" aca="1" ref="D74" ca="1">IF($B74="", "", _xll.IMDP("BND", $B74, D$7, $B$5, "DtFmt=1"))</f>
        <v/>
      </c>
      <c r="E74" s="8" t="str" cm="1">
        <f t="array" aca="1" ref="E74" ca="1">IF($B74="", "", _xll.IMDP("BND", $B74, E$7, $B$5))</f>
        <v/>
      </c>
      <c r="F74" s="8" t="str" cm="1">
        <f t="array" aca="1" ref="F74" ca="1">IF($B74="", "", _xll.IMDP("BND", $B74, F$7, $B$5))</f>
        <v/>
      </c>
      <c r="G74" s="8" t="str" cm="1">
        <f t="array" aca="1" ref="G74" ca="1">IF($B74="", "", _xll.IMDP("BND", $B74, G$7, $B$5))</f>
        <v/>
      </c>
      <c r="H74" s="8" t="str" cm="1">
        <f t="array" aca="1" ref="H74" ca="1">IF($B74="", "", _xll.IMDP("BND", $B74, H$7, $B$5))</f>
        <v/>
      </c>
      <c r="I74" s="11" t="str" cm="1">
        <f t="array" aca="1" ref="I74" ca="1">IF($B74="", "", _xll.IMDP("BND", $B74, I$7, $B$5))</f>
        <v/>
      </c>
      <c r="J74" s="10" t="str">
        <f t="shared" ref="J74:J137" ca="1" si="1">IF($H74="","",$H74*100/$K74)</f>
        <v/>
      </c>
      <c r="K74" s="8" t="str" cm="1">
        <f t="array" aca="1" ref="K74" ca="1">IFERROR( _xll.IMDP("BND", $B74, IF($I74="상장", "상장잔액", "발행액"), $B$5, "fill=true")/100, "")</f>
        <v/>
      </c>
    </row>
    <row r="75" spans="2:11">
      <c r="B75" s="13" t="str">
        <f ca="1">IFERROR(VLOOKUP( ROWS(대차거래!$B$9:B75), raw!$D:$E, 2, 0), "")</f>
        <v/>
      </c>
      <c r="C75" s="8" t="str">
        <f ca="1">IF($B75="", "", _xll.IMDP("BND", $B75, C$7))</f>
        <v/>
      </c>
      <c r="D75" s="9" t="str" cm="1">
        <f t="array" aca="1" ref="D75" ca="1">IF($B75="", "", _xll.IMDP("BND", $B75, D$7, $B$5, "DtFmt=1"))</f>
        <v/>
      </c>
      <c r="E75" s="8" t="str" cm="1">
        <f t="array" aca="1" ref="E75" ca="1">IF($B75="", "", _xll.IMDP("BND", $B75, E$7, $B$5))</f>
        <v/>
      </c>
      <c r="F75" s="8" t="str" cm="1">
        <f t="array" aca="1" ref="F75" ca="1">IF($B75="", "", _xll.IMDP("BND", $B75, F$7, $B$5))</f>
        <v/>
      </c>
      <c r="G75" s="8" t="str" cm="1">
        <f t="array" aca="1" ref="G75" ca="1">IF($B75="", "", _xll.IMDP("BND", $B75, G$7, $B$5))</f>
        <v/>
      </c>
      <c r="H75" s="8" t="str" cm="1">
        <f t="array" aca="1" ref="H75" ca="1">IF($B75="", "", _xll.IMDP("BND", $B75, H$7, $B$5))</f>
        <v/>
      </c>
      <c r="I75" s="11" t="str" cm="1">
        <f t="array" aca="1" ref="I75" ca="1">IF($B75="", "", _xll.IMDP("BND", $B75, I$7, $B$5))</f>
        <v/>
      </c>
      <c r="J75" s="10" t="str">
        <f t="shared" ca="1" si="1"/>
        <v/>
      </c>
      <c r="K75" s="8" t="str" cm="1">
        <f t="array" aca="1" ref="K75" ca="1">IFERROR( _xll.IMDP("BND", $B75, IF($I75="상장", "상장잔액", "발행액"), $B$5, "fill=true")/100, "")</f>
        <v/>
      </c>
    </row>
    <row r="76" spans="2:11">
      <c r="B76" s="13" t="str">
        <f ca="1">IFERROR(VLOOKUP( ROWS(대차거래!$B$9:B76), raw!$D:$E, 2, 0), "")</f>
        <v/>
      </c>
      <c r="C76" s="8" t="str">
        <f ca="1">IF($B76="", "", _xll.IMDP("BND", $B76, C$7))</f>
        <v/>
      </c>
      <c r="D76" s="9" t="str" cm="1">
        <f t="array" aca="1" ref="D76" ca="1">IF($B76="", "", _xll.IMDP("BND", $B76, D$7, $B$5, "DtFmt=1"))</f>
        <v/>
      </c>
      <c r="E76" s="8" t="str" cm="1">
        <f t="array" aca="1" ref="E76" ca="1">IF($B76="", "", _xll.IMDP("BND", $B76, E$7, $B$5))</f>
        <v/>
      </c>
      <c r="F76" s="8" t="str" cm="1">
        <f t="array" aca="1" ref="F76" ca="1">IF($B76="", "", _xll.IMDP("BND", $B76, F$7, $B$5))</f>
        <v/>
      </c>
      <c r="G76" s="8" t="str" cm="1">
        <f t="array" aca="1" ref="G76" ca="1">IF($B76="", "", _xll.IMDP("BND", $B76, G$7, $B$5))</f>
        <v/>
      </c>
      <c r="H76" s="8" t="str" cm="1">
        <f t="array" aca="1" ref="H76" ca="1">IF($B76="", "", _xll.IMDP("BND", $B76, H$7, $B$5))</f>
        <v/>
      </c>
      <c r="I76" s="11" t="str" cm="1">
        <f t="array" aca="1" ref="I76" ca="1">IF($B76="", "", _xll.IMDP("BND", $B76, I$7, $B$5))</f>
        <v/>
      </c>
      <c r="J76" s="10" t="str">
        <f t="shared" ca="1" si="1"/>
        <v/>
      </c>
      <c r="K76" s="8" t="str" cm="1">
        <f t="array" aca="1" ref="K76" ca="1">IFERROR( _xll.IMDP("BND", $B76, IF($I76="상장", "상장잔액", "발행액"), $B$5, "fill=true")/100, "")</f>
        <v/>
      </c>
    </row>
    <row r="77" spans="2:11">
      <c r="B77" s="13" t="str">
        <f ca="1">IFERROR(VLOOKUP( ROWS(대차거래!$B$9:B77), raw!$D:$E, 2, 0), "")</f>
        <v/>
      </c>
      <c r="C77" s="8" t="str">
        <f ca="1">IF($B77="", "", _xll.IMDP("BND", $B77, C$7))</f>
        <v/>
      </c>
      <c r="D77" s="9" t="str" cm="1">
        <f t="array" aca="1" ref="D77" ca="1">IF($B77="", "", _xll.IMDP("BND", $B77, D$7, $B$5, "DtFmt=1"))</f>
        <v/>
      </c>
      <c r="E77" s="8" t="str" cm="1">
        <f t="array" aca="1" ref="E77" ca="1">IF($B77="", "", _xll.IMDP("BND", $B77, E$7, $B$5))</f>
        <v/>
      </c>
      <c r="F77" s="8" t="str" cm="1">
        <f t="array" aca="1" ref="F77" ca="1">IF($B77="", "", _xll.IMDP("BND", $B77, F$7, $B$5))</f>
        <v/>
      </c>
      <c r="G77" s="8" t="str" cm="1">
        <f t="array" aca="1" ref="G77" ca="1">IF($B77="", "", _xll.IMDP("BND", $B77, G$7, $B$5))</f>
        <v/>
      </c>
      <c r="H77" s="8" t="str" cm="1">
        <f t="array" aca="1" ref="H77" ca="1">IF($B77="", "", _xll.IMDP("BND", $B77, H$7, $B$5))</f>
        <v/>
      </c>
      <c r="I77" s="11" t="str" cm="1">
        <f t="array" aca="1" ref="I77" ca="1">IF($B77="", "", _xll.IMDP("BND", $B77, I$7, $B$5))</f>
        <v/>
      </c>
      <c r="J77" s="10" t="str">
        <f t="shared" ca="1" si="1"/>
        <v/>
      </c>
      <c r="K77" s="8" t="str" cm="1">
        <f t="array" aca="1" ref="K77" ca="1">IFERROR( _xll.IMDP("BND", $B77, IF($I77="상장", "상장잔액", "발행액"), $B$5, "fill=true")/100, "")</f>
        <v/>
      </c>
    </row>
    <row r="78" spans="2:11">
      <c r="B78" s="13" t="str">
        <f ca="1">IFERROR(VLOOKUP( ROWS(대차거래!$B$9:B78), raw!$D:$E, 2, 0), "")</f>
        <v/>
      </c>
      <c r="C78" s="8" t="str">
        <f ca="1">IF($B78="", "", _xll.IMDP("BND", $B78, C$7))</f>
        <v/>
      </c>
      <c r="D78" s="9" t="str" cm="1">
        <f t="array" aca="1" ref="D78" ca="1">IF($B78="", "", _xll.IMDP("BND", $B78, D$7, $B$5, "DtFmt=1"))</f>
        <v/>
      </c>
      <c r="E78" s="8" t="str" cm="1">
        <f t="array" aca="1" ref="E78" ca="1">IF($B78="", "", _xll.IMDP("BND", $B78, E$7, $B$5))</f>
        <v/>
      </c>
      <c r="F78" s="8" t="str" cm="1">
        <f t="array" aca="1" ref="F78" ca="1">IF($B78="", "", _xll.IMDP("BND", $B78, F$7, $B$5))</f>
        <v/>
      </c>
      <c r="G78" s="8" t="str" cm="1">
        <f t="array" aca="1" ref="G78" ca="1">IF($B78="", "", _xll.IMDP("BND", $B78, G$7, $B$5))</f>
        <v/>
      </c>
      <c r="H78" s="8" t="str" cm="1">
        <f t="array" aca="1" ref="H78" ca="1">IF($B78="", "", _xll.IMDP("BND", $B78, H$7, $B$5))</f>
        <v/>
      </c>
      <c r="I78" s="11" t="str" cm="1">
        <f t="array" aca="1" ref="I78" ca="1">IF($B78="", "", _xll.IMDP("BND", $B78, I$7, $B$5))</f>
        <v/>
      </c>
      <c r="J78" s="10" t="str">
        <f t="shared" ca="1" si="1"/>
        <v/>
      </c>
      <c r="K78" s="8" t="str" cm="1">
        <f t="array" aca="1" ref="K78" ca="1">IFERROR( _xll.IMDP("BND", $B78, IF($I78="상장", "상장잔액", "발행액"), $B$5, "fill=true")/100, "")</f>
        <v/>
      </c>
    </row>
    <row r="79" spans="2:11">
      <c r="B79" s="13" t="str">
        <f ca="1">IFERROR(VLOOKUP( ROWS(대차거래!$B$9:B79), raw!$D:$E, 2, 0), "")</f>
        <v/>
      </c>
      <c r="C79" s="8" t="str">
        <f ca="1">IF($B79="", "", _xll.IMDP("BND", $B79, C$7))</f>
        <v/>
      </c>
      <c r="D79" s="9" t="str" cm="1">
        <f t="array" aca="1" ref="D79" ca="1">IF($B79="", "", _xll.IMDP("BND", $B79, D$7, $B$5, "DtFmt=1"))</f>
        <v/>
      </c>
      <c r="E79" s="8" t="str" cm="1">
        <f t="array" aca="1" ref="E79" ca="1">IF($B79="", "", _xll.IMDP("BND", $B79, E$7, $B$5))</f>
        <v/>
      </c>
      <c r="F79" s="8" t="str" cm="1">
        <f t="array" aca="1" ref="F79" ca="1">IF($B79="", "", _xll.IMDP("BND", $B79, F$7, $B$5))</f>
        <v/>
      </c>
      <c r="G79" s="8" t="str" cm="1">
        <f t="array" aca="1" ref="G79" ca="1">IF($B79="", "", _xll.IMDP("BND", $B79, G$7, $B$5))</f>
        <v/>
      </c>
      <c r="H79" s="8" t="str" cm="1">
        <f t="array" aca="1" ref="H79" ca="1">IF($B79="", "", _xll.IMDP("BND", $B79, H$7, $B$5))</f>
        <v/>
      </c>
      <c r="I79" s="11" t="str" cm="1">
        <f t="array" aca="1" ref="I79" ca="1">IF($B79="", "", _xll.IMDP("BND", $B79, I$7, $B$5))</f>
        <v/>
      </c>
      <c r="J79" s="10" t="str">
        <f t="shared" ca="1" si="1"/>
        <v/>
      </c>
      <c r="K79" s="8" t="str" cm="1">
        <f t="array" aca="1" ref="K79" ca="1">IFERROR( _xll.IMDP("BND", $B79, IF($I79="상장", "상장잔액", "발행액"), $B$5, "fill=true")/100, "")</f>
        <v/>
      </c>
    </row>
    <row r="80" spans="2:11">
      <c r="B80" s="13" t="str">
        <f ca="1">IFERROR(VLOOKUP( ROWS(대차거래!$B$9:B80), raw!$D:$E, 2, 0), "")</f>
        <v/>
      </c>
      <c r="C80" s="8" t="str">
        <f ca="1">IF($B80="", "", _xll.IMDP("BND", $B80, C$7))</f>
        <v/>
      </c>
      <c r="D80" s="9" t="str" cm="1">
        <f t="array" aca="1" ref="D80" ca="1">IF($B80="", "", _xll.IMDP("BND", $B80, D$7, $B$5, "DtFmt=1"))</f>
        <v/>
      </c>
      <c r="E80" s="8" t="str" cm="1">
        <f t="array" aca="1" ref="E80" ca="1">IF($B80="", "", _xll.IMDP("BND", $B80, E$7, $B$5))</f>
        <v/>
      </c>
      <c r="F80" s="8" t="str" cm="1">
        <f t="array" aca="1" ref="F80" ca="1">IF($B80="", "", _xll.IMDP("BND", $B80, F$7, $B$5))</f>
        <v/>
      </c>
      <c r="G80" s="8" t="str" cm="1">
        <f t="array" aca="1" ref="G80" ca="1">IF($B80="", "", _xll.IMDP("BND", $B80, G$7, $B$5))</f>
        <v/>
      </c>
      <c r="H80" s="8" t="str" cm="1">
        <f t="array" aca="1" ref="H80" ca="1">IF($B80="", "", _xll.IMDP("BND", $B80, H$7, $B$5))</f>
        <v/>
      </c>
      <c r="I80" s="11" t="str" cm="1">
        <f t="array" aca="1" ref="I80" ca="1">IF($B80="", "", _xll.IMDP("BND", $B80, I$7, $B$5))</f>
        <v/>
      </c>
      <c r="J80" s="10" t="str">
        <f t="shared" ca="1" si="1"/>
        <v/>
      </c>
      <c r="K80" s="8" t="str" cm="1">
        <f t="array" aca="1" ref="K80" ca="1">IFERROR( _xll.IMDP("BND", $B80, IF($I80="상장", "상장잔액", "발행액"), $B$5, "fill=true")/100, "")</f>
        <v/>
      </c>
    </row>
    <row r="81" spans="2:11">
      <c r="B81" s="13" t="str">
        <f ca="1">IFERROR(VLOOKUP( ROWS(대차거래!$B$9:B81), raw!$D:$E, 2, 0), "")</f>
        <v/>
      </c>
      <c r="C81" s="8" t="str">
        <f ca="1">IF($B81="", "", _xll.IMDP("BND", $B81, C$7))</f>
        <v/>
      </c>
      <c r="D81" s="9" t="str" cm="1">
        <f t="array" aca="1" ref="D81" ca="1">IF($B81="", "", _xll.IMDP("BND", $B81, D$7, $B$5, "DtFmt=1"))</f>
        <v/>
      </c>
      <c r="E81" s="8" t="str" cm="1">
        <f t="array" aca="1" ref="E81" ca="1">IF($B81="", "", _xll.IMDP("BND", $B81, E$7, $B$5))</f>
        <v/>
      </c>
      <c r="F81" s="8" t="str" cm="1">
        <f t="array" aca="1" ref="F81" ca="1">IF($B81="", "", _xll.IMDP("BND", $B81, F$7, $B$5))</f>
        <v/>
      </c>
      <c r="G81" s="8" t="str" cm="1">
        <f t="array" aca="1" ref="G81" ca="1">IF($B81="", "", _xll.IMDP("BND", $B81, G$7, $B$5))</f>
        <v/>
      </c>
      <c r="H81" s="8" t="str" cm="1">
        <f t="array" aca="1" ref="H81" ca="1">IF($B81="", "", _xll.IMDP("BND", $B81, H$7, $B$5))</f>
        <v/>
      </c>
      <c r="I81" s="11" t="str" cm="1">
        <f t="array" aca="1" ref="I81" ca="1">IF($B81="", "", _xll.IMDP("BND", $B81, I$7, $B$5))</f>
        <v/>
      </c>
      <c r="J81" s="10" t="str">
        <f t="shared" ca="1" si="1"/>
        <v/>
      </c>
      <c r="K81" s="8" t="str" cm="1">
        <f t="array" aca="1" ref="K81" ca="1">IFERROR( _xll.IMDP("BND", $B81, IF($I81="상장", "상장잔액", "발행액"), $B$5, "fill=true")/100, "")</f>
        <v/>
      </c>
    </row>
    <row r="82" spans="2:11">
      <c r="B82" s="13" t="str">
        <f ca="1">IFERROR(VLOOKUP( ROWS(대차거래!$B$9:B82), raw!$D:$E, 2, 0), "")</f>
        <v/>
      </c>
      <c r="C82" s="8" t="str">
        <f ca="1">IF($B82="", "", _xll.IMDP("BND", $B82, C$7))</f>
        <v/>
      </c>
      <c r="D82" s="9" t="str" cm="1">
        <f t="array" aca="1" ref="D82" ca="1">IF($B82="", "", _xll.IMDP("BND", $B82, D$7, $B$5, "DtFmt=1"))</f>
        <v/>
      </c>
      <c r="E82" s="8" t="str" cm="1">
        <f t="array" aca="1" ref="E82" ca="1">IF($B82="", "", _xll.IMDP("BND", $B82, E$7, $B$5))</f>
        <v/>
      </c>
      <c r="F82" s="8" t="str" cm="1">
        <f t="array" aca="1" ref="F82" ca="1">IF($B82="", "", _xll.IMDP("BND", $B82, F$7, $B$5))</f>
        <v/>
      </c>
      <c r="G82" s="8" t="str" cm="1">
        <f t="array" aca="1" ref="G82" ca="1">IF($B82="", "", _xll.IMDP("BND", $B82, G$7, $B$5))</f>
        <v/>
      </c>
      <c r="H82" s="8" t="str" cm="1">
        <f t="array" aca="1" ref="H82" ca="1">IF($B82="", "", _xll.IMDP("BND", $B82, H$7, $B$5))</f>
        <v/>
      </c>
      <c r="I82" s="11" t="str" cm="1">
        <f t="array" aca="1" ref="I82" ca="1">IF($B82="", "", _xll.IMDP("BND", $B82, I$7, $B$5))</f>
        <v/>
      </c>
      <c r="J82" s="10" t="str">
        <f t="shared" ca="1" si="1"/>
        <v/>
      </c>
      <c r="K82" s="8" t="str" cm="1">
        <f t="array" aca="1" ref="K82" ca="1">IFERROR( _xll.IMDP("BND", $B82, IF($I82="상장", "상장잔액", "발행액"), $B$5, "fill=true")/100, "")</f>
        <v/>
      </c>
    </row>
    <row r="83" spans="2:11">
      <c r="B83" s="13" t="str">
        <f ca="1">IFERROR(VLOOKUP( ROWS(대차거래!$B$9:B83), raw!$D:$E, 2, 0), "")</f>
        <v/>
      </c>
      <c r="C83" s="8" t="str">
        <f ca="1">IF($B83="", "", _xll.IMDP("BND", $B83, C$7))</f>
        <v/>
      </c>
      <c r="D83" s="9" t="str" cm="1">
        <f t="array" aca="1" ref="D83" ca="1">IF($B83="", "", _xll.IMDP("BND", $B83, D$7, $B$5, "DtFmt=1"))</f>
        <v/>
      </c>
      <c r="E83" s="8" t="str" cm="1">
        <f t="array" aca="1" ref="E83" ca="1">IF($B83="", "", _xll.IMDP("BND", $B83, E$7, $B$5))</f>
        <v/>
      </c>
      <c r="F83" s="8" t="str" cm="1">
        <f t="array" aca="1" ref="F83" ca="1">IF($B83="", "", _xll.IMDP("BND", $B83, F$7, $B$5))</f>
        <v/>
      </c>
      <c r="G83" s="8" t="str" cm="1">
        <f t="array" aca="1" ref="G83" ca="1">IF($B83="", "", _xll.IMDP("BND", $B83, G$7, $B$5))</f>
        <v/>
      </c>
      <c r="H83" s="8" t="str" cm="1">
        <f t="array" aca="1" ref="H83" ca="1">IF($B83="", "", _xll.IMDP("BND", $B83, H$7, $B$5))</f>
        <v/>
      </c>
      <c r="I83" s="11" t="str" cm="1">
        <f t="array" aca="1" ref="I83" ca="1">IF($B83="", "", _xll.IMDP("BND", $B83, I$7, $B$5))</f>
        <v/>
      </c>
      <c r="J83" s="10" t="str">
        <f t="shared" ca="1" si="1"/>
        <v/>
      </c>
      <c r="K83" s="8" t="str" cm="1">
        <f t="array" aca="1" ref="K83" ca="1">IFERROR( _xll.IMDP("BND", $B83, IF($I83="상장", "상장잔액", "발행액"), $B$5, "fill=true")/100, "")</f>
        <v/>
      </c>
    </row>
    <row r="84" spans="2:11">
      <c r="B84" s="13" t="str">
        <f ca="1">IFERROR(VLOOKUP( ROWS(대차거래!$B$9:B84), raw!$D:$E, 2, 0), "")</f>
        <v/>
      </c>
      <c r="C84" s="8" t="str">
        <f ca="1">IF($B84="", "", _xll.IMDP("BND", $B84, C$7))</f>
        <v/>
      </c>
      <c r="D84" s="9" t="str" cm="1">
        <f t="array" aca="1" ref="D84" ca="1">IF($B84="", "", _xll.IMDP("BND", $B84, D$7, $B$5, "DtFmt=1"))</f>
        <v/>
      </c>
      <c r="E84" s="8" t="str" cm="1">
        <f t="array" aca="1" ref="E84" ca="1">IF($B84="", "", _xll.IMDP("BND", $B84, E$7, $B$5))</f>
        <v/>
      </c>
      <c r="F84" s="8" t="str" cm="1">
        <f t="array" aca="1" ref="F84" ca="1">IF($B84="", "", _xll.IMDP("BND", $B84, F$7, $B$5))</f>
        <v/>
      </c>
      <c r="G84" s="8" t="str" cm="1">
        <f t="array" aca="1" ref="G84" ca="1">IF($B84="", "", _xll.IMDP("BND", $B84, G$7, $B$5))</f>
        <v/>
      </c>
      <c r="H84" s="8" t="str" cm="1">
        <f t="array" aca="1" ref="H84" ca="1">IF($B84="", "", _xll.IMDP("BND", $B84, H$7, $B$5))</f>
        <v/>
      </c>
      <c r="I84" s="11" t="str" cm="1">
        <f t="array" aca="1" ref="I84" ca="1">IF($B84="", "", _xll.IMDP("BND", $B84, I$7, $B$5))</f>
        <v/>
      </c>
      <c r="J84" s="10" t="str">
        <f t="shared" ca="1" si="1"/>
        <v/>
      </c>
      <c r="K84" s="8" t="str" cm="1">
        <f t="array" aca="1" ref="K84" ca="1">IFERROR( _xll.IMDP("BND", $B84, IF($I84="상장", "상장잔액", "발행액"), $B$5, "fill=true")/100, "")</f>
        <v/>
      </c>
    </row>
    <row r="85" spans="2:11">
      <c r="B85" s="13" t="str">
        <f ca="1">IFERROR(VLOOKUP( ROWS(대차거래!$B$9:B85), raw!$D:$E, 2, 0), "")</f>
        <v/>
      </c>
      <c r="C85" s="8" t="str">
        <f ca="1">IF($B85="", "", _xll.IMDP("BND", $B85, C$7))</f>
        <v/>
      </c>
      <c r="D85" s="9" t="str" cm="1">
        <f t="array" aca="1" ref="D85" ca="1">IF($B85="", "", _xll.IMDP("BND", $B85, D$7, $B$5, "DtFmt=1"))</f>
        <v/>
      </c>
      <c r="E85" s="8" t="str" cm="1">
        <f t="array" aca="1" ref="E85" ca="1">IF($B85="", "", _xll.IMDP("BND", $B85, E$7, $B$5))</f>
        <v/>
      </c>
      <c r="F85" s="8" t="str" cm="1">
        <f t="array" aca="1" ref="F85" ca="1">IF($B85="", "", _xll.IMDP("BND", $B85, F$7, $B$5))</f>
        <v/>
      </c>
      <c r="G85" s="8" t="str" cm="1">
        <f t="array" aca="1" ref="G85" ca="1">IF($B85="", "", _xll.IMDP("BND", $B85, G$7, $B$5))</f>
        <v/>
      </c>
      <c r="H85" s="8" t="str" cm="1">
        <f t="array" aca="1" ref="H85" ca="1">IF($B85="", "", _xll.IMDP("BND", $B85, H$7, $B$5))</f>
        <v/>
      </c>
      <c r="I85" s="11" t="str" cm="1">
        <f t="array" aca="1" ref="I85" ca="1">IF($B85="", "", _xll.IMDP("BND", $B85, I$7, $B$5))</f>
        <v/>
      </c>
      <c r="J85" s="10" t="str">
        <f t="shared" ca="1" si="1"/>
        <v/>
      </c>
      <c r="K85" s="8" t="str" cm="1">
        <f t="array" aca="1" ref="K85" ca="1">IFERROR( _xll.IMDP("BND", $B85, IF($I85="상장", "상장잔액", "발행액"), $B$5, "fill=true")/100, "")</f>
        <v/>
      </c>
    </row>
    <row r="86" spans="2:11">
      <c r="B86" s="13" t="str">
        <f ca="1">IFERROR(VLOOKUP( ROWS(대차거래!$B$9:B86), raw!$D:$E, 2, 0), "")</f>
        <v/>
      </c>
      <c r="C86" s="8" t="str">
        <f ca="1">IF($B86="", "", _xll.IMDP("BND", $B86, C$7))</f>
        <v/>
      </c>
      <c r="D86" s="9" t="str" cm="1">
        <f t="array" aca="1" ref="D86" ca="1">IF($B86="", "", _xll.IMDP("BND", $B86, D$7, $B$5, "DtFmt=1"))</f>
        <v/>
      </c>
      <c r="E86" s="8" t="str" cm="1">
        <f t="array" aca="1" ref="E86" ca="1">IF($B86="", "", _xll.IMDP("BND", $B86, E$7, $B$5))</f>
        <v/>
      </c>
      <c r="F86" s="8" t="str" cm="1">
        <f t="array" aca="1" ref="F86" ca="1">IF($B86="", "", _xll.IMDP("BND", $B86, F$7, $B$5))</f>
        <v/>
      </c>
      <c r="G86" s="8" t="str" cm="1">
        <f t="array" aca="1" ref="G86" ca="1">IF($B86="", "", _xll.IMDP("BND", $B86, G$7, $B$5))</f>
        <v/>
      </c>
      <c r="H86" s="8" t="str" cm="1">
        <f t="array" aca="1" ref="H86" ca="1">IF($B86="", "", _xll.IMDP("BND", $B86, H$7, $B$5))</f>
        <v/>
      </c>
      <c r="I86" s="11" t="str" cm="1">
        <f t="array" aca="1" ref="I86" ca="1">IF($B86="", "", _xll.IMDP("BND", $B86, I$7, $B$5))</f>
        <v/>
      </c>
      <c r="J86" s="10" t="str">
        <f t="shared" ca="1" si="1"/>
        <v/>
      </c>
      <c r="K86" s="8" t="str" cm="1">
        <f t="array" aca="1" ref="K86" ca="1">IFERROR( _xll.IMDP("BND", $B86, IF($I86="상장", "상장잔액", "발행액"), $B$5, "fill=true")/100, "")</f>
        <v/>
      </c>
    </row>
    <row r="87" spans="2:11">
      <c r="B87" s="13" t="str">
        <f ca="1">IFERROR(VLOOKUP( ROWS(대차거래!$B$9:B87), raw!$D:$E, 2, 0), "")</f>
        <v/>
      </c>
      <c r="C87" s="8" t="str">
        <f ca="1">IF($B87="", "", _xll.IMDP("BND", $B87, C$7))</f>
        <v/>
      </c>
      <c r="D87" s="9" t="str" cm="1">
        <f t="array" aca="1" ref="D87" ca="1">IF($B87="", "", _xll.IMDP("BND", $B87, D$7, $B$5, "DtFmt=1"))</f>
        <v/>
      </c>
      <c r="E87" s="8" t="str" cm="1">
        <f t="array" aca="1" ref="E87" ca="1">IF($B87="", "", _xll.IMDP("BND", $B87, E$7, $B$5))</f>
        <v/>
      </c>
      <c r="F87" s="8" t="str" cm="1">
        <f t="array" aca="1" ref="F87" ca="1">IF($B87="", "", _xll.IMDP("BND", $B87, F$7, $B$5))</f>
        <v/>
      </c>
      <c r="G87" s="8" t="str" cm="1">
        <f t="array" aca="1" ref="G87" ca="1">IF($B87="", "", _xll.IMDP("BND", $B87, G$7, $B$5))</f>
        <v/>
      </c>
      <c r="H87" s="8" t="str" cm="1">
        <f t="array" aca="1" ref="H87" ca="1">IF($B87="", "", _xll.IMDP("BND", $B87, H$7, $B$5))</f>
        <v/>
      </c>
      <c r="I87" s="11" t="str" cm="1">
        <f t="array" aca="1" ref="I87" ca="1">IF($B87="", "", _xll.IMDP("BND", $B87, I$7, $B$5))</f>
        <v/>
      </c>
      <c r="J87" s="10" t="str">
        <f t="shared" ca="1" si="1"/>
        <v/>
      </c>
      <c r="K87" s="8" t="str" cm="1">
        <f t="array" aca="1" ref="K87" ca="1">IFERROR( _xll.IMDP("BND", $B87, IF($I87="상장", "상장잔액", "발행액"), $B$5, "fill=true")/100, "")</f>
        <v/>
      </c>
    </row>
    <row r="88" spans="2:11">
      <c r="B88" s="13" t="str">
        <f ca="1">IFERROR(VLOOKUP( ROWS(대차거래!$B$9:B88), raw!$D:$E, 2, 0), "")</f>
        <v/>
      </c>
      <c r="C88" s="8" t="str">
        <f ca="1">IF($B88="", "", _xll.IMDP("BND", $B88, C$7))</f>
        <v/>
      </c>
      <c r="D88" s="9" t="str" cm="1">
        <f t="array" aca="1" ref="D88" ca="1">IF($B88="", "", _xll.IMDP("BND", $B88, D$7, $B$5, "DtFmt=1"))</f>
        <v/>
      </c>
      <c r="E88" s="8" t="str" cm="1">
        <f t="array" aca="1" ref="E88" ca="1">IF($B88="", "", _xll.IMDP("BND", $B88, E$7, $B$5))</f>
        <v/>
      </c>
      <c r="F88" s="8" t="str" cm="1">
        <f t="array" aca="1" ref="F88" ca="1">IF($B88="", "", _xll.IMDP("BND", $B88, F$7, $B$5))</f>
        <v/>
      </c>
      <c r="G88" s="8" t="str" cm="1">
        <f t="array" aca="1" ref="G88" ca="1">IF($B88="", "", _xll.IMDP("BND", $B88, G$7, $B$5))</f>
        <v/>
      </c>
      <c r="H88" s="8" t="str" cm="1">
        <f t="array" aca="1" ref="H88" ca="1">IF($B88="", "", _xll.IMDP("BND", $B88, H$7, $B$5))</f>
        <v/>
      </c>
      <c r="I88" s="11" t="str" cm="1">
        <f t="array" aca="1" ref="I88" ca="1">IF($B88="", "", _xll.IMDP("BND", $B88, I$7, $B$5))</f>
        <v/>
      </c>
      <c r="J88" s="10" t="str">
        <f t="shared" ca="1" si="1"/>
        <v/>
      </c>
      <c r="K88" s="8" t="str" cm="1">
        <f t="array" aca="1" ref="K88" ca="1">IFERROR( _xll.IMDP("BND", $B88, IF($I88="상장", "상장잔액", "발행액"), $B$5, "fill=true")/100, "")</f>
        <v/>
      </c>
    </row>
    <row r="89" spans="2:11">
      <c r="B89" s="13" t="str">
        <f ca="1">IFERROR(VLOOKUP( ROWS(대차거래!$B$9:B89), raw!$D:$E, 2, 0), "")</f>
        <v/>
      </c>
      <c r="C89" s="8" t="str">
        <f ca="1">IF($B89="", "", _xll.IMDP("BND", $B89, C$7))</f>
        <v/>
      </c>
      <c r="D89" s="9" t="str" cm="1">
        <f t="array" aca="1" ref="D89" ca="1">IF($B89="", "", _xll.IMDP("BND", $B89, D$7, $B$5, "DtFmt=1"))</f>
        <v/>
      </c>
      <c r="E89" s="8" t="str" cm="1">
        <f t="array" aca="1" ref="E89" ca="1">IF($B89="", "", _xll.IMDP("BND", $B89, E$7, $B$5))</f>
        <v/>
      </c>
      <c r="F89" s="8" t="str" cm="1">
        <f t="array" aca="1" ref="F89" ca="1">IF($B89="", "", _xll.IMDP("BND", $B89, F$7, $B$5))</f>
        <v/>
      </c>
      <c r="G89" s="8" t="str" cm="1">
        <f t="array" aca="1" ref="G89" ca="1">IF($B89="", "", _xll.IMDP("BND", $B89, G$7, $B$5))</f>
        <v/>
      </c>
      <c r="H89" s="8" t="str" cm="1">
        <f t="array" aca="1" ref="H89" ca="1">IF($B89="", "", _xll.IMDP("BND", $B89, H$7, $B$5))</f>
        <v/>
      </c>
      <c r="I89" s="11" t="str" cm="1">
        <f t="array" aca="1" ref="I89" ca="1">IF($B89="", "", _xll.IMDP("BND", $B89, I$7, $B$5))</f>
        <v/>
      </c>
      <c r="J89" s="10" t="str">
        <f t="shared" ca="1" si="1"/>
        <v/>
      </c>
      <c r="K89" s="8" t="str" cm="1">
        <f t="array" aca="1" ref="K89" ca="1">IFERROR( _xll.IMDP("BND", $B89, IF($I89="상장", "상장잔액", "발행액"), $B$5, "fill=true")/100, "")</f>
        <v/>
      </c>
    </row>
    <row r="90" spans="2:11">
      <c r="B90" s="13" t="str">
        <f ca="1">IFERROR(VLOOKUP( ROWS(대차거래!$B$9:B90), raw!$D:$E, 2, 0), "")</f>
        <v/>
      </c>
      <c r="C90" s="8" t="str">
        <f ca="1">IF($B90="", "", _xll.IMDP("BND", $B90, C$7))</f>
        <v/>
      </c>
      <c r="D90" s="9" t="str" cm="1">
        <f t="array" aca="1" ref="D90" ca="1">IF($B90="", "", _xll.IMDP("BND", $B90, D$7, $B$5, "DtFmt=1"))</f>
        <v/>
      </c>
      <c r="E90" s="8" t="str" cm="1">
        <f t="array" aca="1" ref="E90" ca="1">IF($B90="", "", _xll.IMDP("BND", $B90, E$7, $B$5))</f>
        <v/>
      </c>
      <c r="F90" s="8" t="str" cm="1">
        <f t="array" aca="1" ref="F90" ca="1">IF($B90="", "", _xll.IMDP("BND", $B90, F$7, $B$5))</f>
        <v/>
      </c>
      <c r="G90" s="8" t="str" cm="1">
        <f t="array" aca="1" ref="G90" ca="1">IF($B90="", "", _xll.IMDP("BND", $B90, G$7, $B$5))</f>
        <v/>
      </c>
      <c r="H90" s="8" t="str" cm="1">
        <f t="array" aca="1" ref="H90" ca="1">IF($B90="", "", _xll.IMDP("BND", $B90, H$7, $B$5))</f>
        <v/>
      </c>
      <c r="I90" s="11" t="str" cm="1">
        <f t="array" aca="1" ref="I90" ca="1">IF($B90="", "", _xll.IMDP("BND", $B90, I$7, $B$5))</f>
        <v/>
      </c>
      <c r="J90" s="10" t="str">
        <f t="shared" ca="1" si="1"/>
        <v/>
      </c>
      <c r="K90" s="8" t="str" cm="1">
        <f t="array" aca="1" ref="K90" ca="1">IFERROR( _xll.IMDP("BND", $B90, IF($I90="상장", "상장잔액", "발행액"), $B$5, "fill=true")/100, "")</f>
        <v/>
      </c>
    </row>
    <row r="91" spans="2:11">
      <c r="B91" s="13" t="str">
        <f ca="1">IFERROR(VLOOKUP( ROWS(대차거래!$B$9:B91), raw!$D:$E, 2, 0), "")</f>
        <v/>
      </c>
      <c r="C91" s="8" t="str">
        <f ca="1">IF($B91="", "", _xll.IMDP("BND", $B91, C$7))</f>
        <v/>
      </c>
      <c r="D91" s="9" t="str" cm="1">
        <f t="array" aca="1" ref="D91" ca="1">IF($B91="", "", _xll.IMDP("BND", $B91, D$7, $B$5, "DtFmt=1"))</f>
        <v/>
      </c>
      <c r="E91" s="8" t="str" cm="1">
        <f t="array" aca="1" ref="E91" ca="1">IF($B91="", "", _xll.IMDP("BND", $B91, E$7, $B$5))</f>
        <v/>
      </c>
      <c r="F91" s="8" t="str" cm="1">
        <f t="array" aca="1" ref="F91" ca="1">IF($B91="", "", _xll.IMDP("BND", $B91, F$7, $B$5))</f>
        <v/>
      </c>
      <c r="G91" s="8" t="str" cm="1">
        <f t="array" aca="1" ref="G91" ca="1">IF($B91="", "", _xll.IMDP("BND", $B91, G$7, $B$5))</f>
        <v/>
      </c>
      <c r="H91" s="8" t="str" cm="1">
        <f t="array" aca="1" ref="H91" ca="1">IF($B91="", "", _xll.IMDP("BND", $B91, H$7, $B$5))</f>
        <v/>
      </c>
      <c r="I91" s="11" t="str" cm="1">
        <f t="array" aca="1" ref="I91" ca="1">IF($B91="", "", _xll.IMDP("BND", $B91, I$7, $B$5))</f>
        <v/>
      </c>
      <c r="J91" s="10" t="str">
        <f t="shared" ca="1" si="1"/>
        <v/>
      </c>
      <c r="K91" s="8" t="str" cm="1">
        <f t="array" aca="1" ref="K91" ca="1">IFERROR( _xll.IMDP("BND", $B91, IF($I91="상장", "상장잔액", "발행액"), $B$5, "fill=true")/100, "")</f>
        <v/>
      </c>
    </row>
    <row r="92" spans="2:11">
      <c r="B92" s="13" t="str">
        <f ca="1">IFERROR(VLOOKUP( ROWS(대차거래!$B$9:B92), raw!$D:$E, 2, 0), "")</f>
        <v/>
      </c>
      <c r="C92" s="8" t="str">
        <f ca="1">IF($B92="", "", _xll.IMDP("BND", $B92, C$7))</f>
        <v/>
      </c>
      <c r="D92" s="9" t="str" cm="1">
        <f t="array" aca="1" ref="D92" ca="1">IF($B92="", "", _xll.IMDP("BND", $B92, D$7, $B$5, "DtFmt=1"))</f>
        <v/>
      </c>
      <c r="E92" s="8" t="str" cm="1">
        <f t="array" aca="1" ref="E92" ca="1">IF($B92="", "", _xll.IMDP("BND", $B92, E$7, $B$5))</f>
        <v/>
      </c>
      <c r="F92" s="8" t="str" cm="1">
        <f t="array" aca="1" ref="F92" ca="1">IF($B92="", "", _xll.IMDP("BND", $B92, F$7, $B$5))</f>
        <v/>
      </c>
      <c r="G92" s="8" t="str" cm="1">
        <f t="array" aca="1" ref="G92" ca="1">IF($B92="", "", _xll.IMDP("BND", $B92, G$7, $B$5))</f>
        <v/>
      </c>
      <c r="H92" s="8" t="str" cm="1">
        <f t="array" aca="1" ref="H92" ca="1">IF($B92="", "", _xll.IMDP("BND", $B92, H$7, $B$5))</f>
        <v/>
      </c>
      <c r="I92" s="11" t="str" cm="1">
        <f t="array" aca="1" ref="I92" ca="1">IF($B92="", "", _xll.IMDP("BND", $B92, I$7, $B$5))</f>
        <v/>
      </c>
      <c r="J92" s="10" t="str">
        <f t="shared" ca="1" si="1"/>
        <v/>
      </c>
      <c r="K92" s="8" t="str" cm="1">
        <f t="array" aca="1" ref="K92" ca="1">IFERROR( _xll.IMDP("BND", $B92, IF($I92="상장", "상장잔액", "발행액"), $B$5, "fill=true")/100, "")</f>
        <v/>
      </c>
    </row>
    <row r="93" spans="2:11">
      <c r="B93" s="13" t="str">
        <f ca="1">IFERROR(VLOOKUP( ROWS(대차거래!$B$9:B93), raw!$D:$E, 2, 0), "")</f>
        <v/>
      </c>
      <c r="C93" s="8" t="str">
        <f ca="1">IF($B93="", "", _xll.IMDP("BND", $B93, C$7))</f>
        <v/>
      </c>
      <c r="D93" s="9" t="str" cm="1">
        <f t="array" aca="1" ref="D93" ca="1">IF($B93="", "", _xll.IMDP("BND", $B93, D$7, $B$5, "DtFmt=1"))</f>
        <v/>
      </c>
      <c r="E93" s="8" t="str" cm="1">
        <f t="array" aca="1" ref="E93" ca="1">IF($B93="", "", _xll.IMDP("BND", $B93, E$7, $B$5))</f>
        <v/>
      </c>
      <c r="F93" s="8" t="str" cm="1">
        <f t="array" aca="1" ref="F93" ca="1">IF($B93="", "", _xll.IMDP("BND", $B93, F$7, $B$5))</f>
        <v/>
      </c>
      <c r="G93" s="8" t="str" cm="1">
        <f t="array" aca="1" ref="G93" ca="1">IF($B93="", "", _xll.IMDP("BND", $B93, G$7, $B$5))</f>
        <v/>
      </c>
      <c r="H93" s="8" t="str" cm="1">
        <f t="array" aca="1" ref="H93" ca="1">IF($B93="", "", _xll.IMDP("BND", $B93, H$7, $B$5))</f>
        <v/>
      </c>
      <c r="I93" s="11" t="str" cm="1">
        <f t="array" aca="1" ref="I93" ca="1">IF($B93="", "", _xll.IMDP("BND", $B93, I$7, $B$5))</f>
        <v/>
      </c>
      <c r="J93" s="10" t="str">
        <f t="shared" ca="1" si="1"/>
        <v/>
      </c>
      <c r="K93" s="8" t="str" cm="1">
        <f t="array" aca="1" ref="K93" ca="1">IFERROR( _xll.IMDP("BND", $B93, IF($I93="상장", "상장잔액", "발행액"), $B$5, "fill=true")/100, "")</f>
        <v/>
      </c>
    </row>
    <row r="94" spans="2:11">
      <c r="B94" s="13" t="str">
        <f ca="1">IFERROR(VLOOKUP( ROWS(대차거래!$B$9:B94), raw!$D:$E, 2, 0), "")</f>
        <v/>
      </c>
      <c r="C94" s="8" t="str">
        <f ca="1">IF($B94="", "", _xll.IMDP("BND", $B94, C$7))</f>
        <v/>
      </c>
      <c r="D94" s="9" t="str" cm="1">
        <f t="array" aca="1" ref="D94" ca="1">IF($B94="", "", _xll.IMDP("BND", $B94, D$7, $B$5, "DtFmt=1"))</f>
        <v/>
      </c>
      <c r="E94" s="8" t="str" cm="1">
        <f t="array" aca="1" ref="E94" ca="1">IF($B94="", "", _xll.IMDP("BND", $B94, E$7, $B$5))</f>
        <v/>
      </c>
      <c r="F94" s="8" t="str" cm="1">
        <f t="array" aca="1" ref="F94" ca="1">IF($B94="", "", _xll.IMDP("BND", $B94, F$7, $B$5))</f>
        <v/>
      </c>
      <c r="G94" s="8" t="str" cm="1">
        <f t="array" aca="1" ref="G94" ca="1">IF($B94="", "", _xll.IMDP("BND", $B94, G$7, $B$5))</f>
        <v/>
      </c>
      <c r="H94" s="8" t="str" cm="1">
        <f t="array" aca="1" ref="H94" ca="1">IF($B94="", "", _xll.IMDP("BND", $B94, H$7, $B$5))</f>
        <v/>
      </c>
      <c r="I94" s="11" t="str" cm="1">
        <f t="array" aca="1" ref="I94" ca="1">IF($B94="", "", _xll.IMDP("BND", $B94, I$7, $B$5))</f>
        <v/>
      </c>
      <c r="J94" s="10" t="str">
        <f t="shared" ca="1" si="1"/>
        <v/>
      </c>
      <c r="K94" s="8" t="str" cm="1">
        <f t="array" aca="1" ref="K94" ca="1">IFERROR( _xll.IMDP("BND", $B94, IF($I94="상장", "상장잔액", "발행액"), $B$5, "fill=true")/100, "")</f>
        <v/>
      </c>
    </row>
    <row r="95" spans="2:11">
      <c r="B95" s="13" t="str">
        <f ca="1">IFERROR(VLOOKUP( ROWS(대차거래!$B$9:B95), raw!$D:$E, 2, 0), "")</f>
        <v/>
      </c>
      <c r="C95" s="8" t="str">
        <f ca="1">IF($B95="", "", _xll.IMDP("BND", $B95, C$7))</f>
        <v/>
      </c>
      <c r="D95" s="9" t="str" cm="1">
        <f t="array" aca="1" ref="D95" ca="1">IF($B95="", "", _xll.IMDP("BND", $B95, D$7, $B$5, "DtFmt=1"))</f>
        <v/>
      </c>
      <c r="E95" s="8" t="str" cm="1">
        <f t="array" aca="1" ref="E95" ca="1">IF($B95="", "", _xll.IMDP("BND", $B95, E$7, $B$5))</f>
        <v/>
      </c>
      <c r="F95" s="8" t="str" cm="1">
        <f t="array" aca="1" ref="F95" ca="1">IF($B95="", "", _xll.IMDP("BND", $B95, F$7, $B$5))</f>
        <v/>
      </c>
      <c r="G95" s="8" t="str" cm="1">
        <f t="array" aca="1" ref="G95" ca="1">IF($B95="", "", _xll.IMDP("BND", $B95, G$7, $B$5))</f>
        <v/>
      </c>
      <c r="H95" s="8" t="str" cm="1">
        <f t="array" aca="1" ref="H95" ca="1">IF($B95="", "", _xll.IMDP("BND", $B95, H$7, $B$5))</f>
        <v/>
      </c>
      <c r="I95" s="11" t="str" cm="1">
        <f t="array" aca="1" ref="I95" ca="1">IF($B95="", "", _xll.IMDP("BND", $B95, I$7, $B$5))</f>
        <v/>
      </c>
      <c r="J95" s="10" t="str">
        <f t="shared" ca="1" si="1"/>
        <v/>
      </c>
      <c r="K95" s="8" t="str" cm="1">
        <f t="array" aca="1" ref="K95" ca="1">IFERROR( _xll.IMDP("BND", $B95, IF($I95="상장", "상장잔액", "발행액"), $B$5, "fill=true")/100, "")</f>
        <v/>
      </c>
    </row>
    <row r="96" spans="2:11">
      <c r="B96" s="13" t="str">
        <f ca="1">IFERROR(VLOOKUP( ROWS(대차거래!$B$9:B96), raw!$D:$E, 2, 0), "")</f>
        <v/>
      </c>
      <c r="C96" s="8" t="str">
        <f ca="1">IF($B96="", "", _xll.IMDP("BND", $B96, C$7))</f>
        <v/>
      </c>
      <c r="D96" s="9" t="str" cm="1">
        <f t="array" aca="1" ref="D96" ca="1">IF($B96="", "", _xll.IMDP("BND", $B96, D$7, $B$5, "DtFmt=1"))</f>
        <v/>
      </c>
      <c r="E96" s="8" t="str" cm="1">
        <f t="array" aca="1" ref="E96" ca="1">IF($B96="", "", _xll.IMDP("BND", $B96, E$7, $B$5))</f>
        <v/>
      </c>
      <c r="F96" s="8" t="str" cm="1">
        <f t="array" aca="1" ref="F96" ca="1">IF($B96="", "", _xll.IMDP("BND", $B96, F$7, $B$5))</f>
        <v/>
      </c>
      <c r="G96" s="8" t="str" cm="1">
        <f t="array" aca="1" ref="G96" ca="1">IF($B96="", "", _xll.IMDP("BND", $B96, G$7, $B$5))</f>
        <v/>
      </c>
      <c r="H96" s="8" t="str" cm="1">
        <f t="array" aca="1" ref="H96" ca="1">IF($B96="", "", _xll.IMDP("BND", $B96, H$7, $B$5))</f>
        <v/>
      </c>
      <c r="I96" s="11" t="str" cm="1">
        <f t="array" aca="1" ref="I96" ca="1">IF($B96="", "", _xll.IMDP("BND", $B96, I$7, $B$5))</f>
        <v/>
      </c>
      <c r="J96" s="10" t="str">
        <f t="shared" ca="1" si="1"/>
        <v/>
      </c>
      <c r="K96" s="8" t="str" cm="1">
        <f t="array" aca="1" ref="K96" ca="1">IFERROR( _xll.IMDP("BND", $B96, IF($I96="상장", "상장잔액", "발행액"), $B$5, "fill=true")/100, "")</f>
        <v/>
      </c>
    </row>
    <row r="97" spans="2:11">
      <c r="B97" s="13" t="str">
        <f ca="1">IFERROR(VLOOKUP( ROWS(대차거래!$B$9:B97), raw!$D:$E, 2, 0), "")</f>
        <v/>
      </c>
      <c r="C97" s="8" t="str">
        <f ca="1">IF($B97="", "", _xll.IMDP("BND", $B97, C$7))</f>
        <v/>
      </c>
      <c r="D97" s="9" t="str" cm="1">
        <f t="array" aca="1" ref="D97" ca="1">IF($B97="", "", _xll.IMDP("BND", $B97, D$7, $B$5, "DtFmt=1"))</f>
        <v/>
      </c>
      <c r="E97" s="8" t="str" cm="1">
        <f t="array" aca="1" ref="E97" ca="1">IF($B97="", "", _xll.IMDP("BND", $B97, E$7, $B$5))</f>
        <v/>
      </c>
      <c r="F97" s="8" t="str" cm="1">
        <f t="array" aca="1" ref="F97" ca="1">IF($B97="", "", _xll.IMDP("BND", $B97, F$7, $B$5))</f>
        <v/>
      </c>
      <c r="G97" s="8" t="str" cm="1">
        <f t="array" aca="1" ref="G97" ca="1">IF($B97="", "", _xll.IMDP("BND", $B97, G$7, $B$5))</f>
        <v/>
      </c>
      <c r="H97" s="8" t="str" cm="1">
        <f t="array" aca="1" ref="H97" ca="1">IF($B97="", "", _xll.IMDP("BND", $B97, H$7, $B$5))</f>
        <v/>
      </c>
      <c r="I97" s="11" t="str" cm="1">
        <f t="array" aca="1" ref="I97" ca="1">IF($B97="", "", _xll.IMDP("BND", $B97, I$7, $B$5))</f>
        <v/>
      </c>
      <c r="J97" s="10" t="str">
        <f t="shared" ca="1" si="1"/>
        <v/>
      </c>
      <c r="K97" s="8" t="str" cm="1">
        <f t="array" aca="1" ref="K97" ca="1">IFERROR( _xll.IMDP("BND", $B97, IF($I97="상장", "상장잔액", "발행액"), $B$5, "fill=true")/100, "")</f>
        <v/>
      </c>
    </row>
    <row r="98" spans="2:11">
      <c r="B98" s="13" t="str">
        <f ca="1">IFERROR(VLOOKUP( ROWS(대차거래!$B$9:B98), raw!$D:$E, 2, 0), "")</f>
        <v/>
      </c>
      <c r="C98" s="8" t="str">
        <f ca="1">IF($B98="", "", _xll.IMDP("BND", $B98, C$7))</f>
        <v/>
      </c>
      <c r="D98" s="9" t="str" cm="1">
        <f t="array" aca="1" ref="D98" ca="1">IF($B98="", "", _xll.IMDP("BND", $B98, D$7, $B$5, "DtFmt=1"))</f>
        <v/>
      </c>
      <c r="E98" s="8" t="str" cm="1">
        <f t="array" aca="1" ref="E98" ca="1">IF($B98="", "", _xll.IMDP("BND", $B98, E$7, $B$5))</f>
        <v/>
      </c>
      <c r="F98" s="8" t="str" cm="1">
        <f t="array" aca="1" ref="F98" ca="1">IF($B98="", "", _xll.IMDP("BND", $B98, F$7, $B$5))</f>
        <v/>
      </c>
      <c r="G98" s="8" t="str" cm="1">
        <f t="array" aca="1" ref="G98" ca="1">IF($B98="", "", _xll.IMDP("BND", $B98, G$7, $B$5))</f>
        <v/>
      </c>
      <c r="H98" s="8" t="str" cm="1">
        <f t="array" aca="1" ref="H98" ca="1">IF($B98="", "", _xll.IMDP("BND", $B98, H$7, $B$5))</f>
        <v/>
      </c>
      <c r="I98" s="11" t="str" cm="1">
        <f t="array" aca="1" ref="I98" ca="1">IF($B98="", "", _xll.IMDP("BND", $B98, I$7, $B$5))</f>
        <v/>
      </c>
      <c r="J98" s="10" t="str">
        <f t="shared" ca="1" si="1"/>
        <v/>
      </c>
      <c r="K98" s="8" t="str" cm="1">
        <f t="array" aca="1" ref="K98" ca="1">IFERROR( _xll.IMDP("BND", $B98, IF($I98="상장", "상장잔액", "발행액"), $B$5, "fill=true")/100, "")</f>
        <v/>
      </c>
    </row>
    <row r="99" spans="2:11">
      <c r="B99" s="13" t="str">
        <f ca="1">IFERROR(VLOOKUP( ROWS(대차거래!$B$9:B99), raw!$D:$E, 2, 0), "")</f>
        <v/>
      </c>
      <c r="C99" s="8" t="str">
        <f ca="1">IF($B99="", "", _xll.IMDP("BND", $B99, C$7))</f>
        <v/>
      </c>
      <c r="D99" s="9" t="str" cm="1">
        <f t="array" aca="1" ref="D99" ca="1">IF($B99="", "", _xll.IMDP("BND", $B99, D$7, $B$5, "DtFmt=1"))</f>
        <v/>
      </c>
      <c r="E99" s="8" t="str" cm="1">
        <f t="array" aca="1" ref="E99" ca="1">IF($B99="", "", _xll.IMDP("BND", $B99, E$7, $B$5))</f>
        <v/>
      </c>
      <c r="F99" s="8" t="str" cm="1">
        <f t="array" aca="1" ref="F99" ca="1">IF($B99="", "", _xll.IMDP("BND", $B99, F$7, $B$5))</f>
        <v/>
      </c>
      <c r="G99" s="8" t="str" cm="1">
        <f t="array" aca="1" ref="G99" ca="1">IF($B99="", "", _xll.IMDP("BND", $B99, G$7, $B$5))</f>
        <v/>
      </c>
      <c r="H99" s="8" t="str" cm="1">
        <f t="array" aca="1" ref="H99" ca="1">IF($B99="", "", _xll.IMDP("BND", $B99, H$7, $B$5))</f>
        <v/>
      </c>
      <c r="I99" s="11" t="str" cm="1">
        <f t="array" aca="1" ref="I99" ca="1">IF($B99="", "", _xll.IMDP("BND", $B99, I$7, $B$5))</f>
        <v/>
      </c>
      <c r="J99" s="10" t="str">
        <f t="shared" ca="1" si="1"/>
        <v/>
      </c>
      <c r="K99" s="8" t="str" cm="1">
        <f t="array" aca="1" ref="K99" ca="1">IFERROR( _xll.IMDP("BND", $B99, IF($I99="상장", "상장잔액", "발행액"), $B$5, "fill=true")/100, "")</f>
        <v/>
      </c>
    </row>
    <row r="100" spans="2:11">
      <c r="B100" s="13" t="str">
        <f ca="1">IFERROR(VLOOKUP( ROWS(대차거래!$B$9:B100), raw!$D:$E, 2, 0), "")</f>
        <v/>
      </c>
      <c r="C100" s="8" t="str">
        <f ca="1">IF($B100="", "", _xll.IMDP("BND", $B100, C$7))</f>
        <v/>
      </c>
      <c r="D100" s="9" t="str" cm="1">
        <f t="array" aca="1" ref="D100" ca="1">IF($B100="", "", _xll.IMDP("BND", $B100, D$7, $B$5, "DtFmt=1"))</f>
        <v/>
      </c>
      <c r="E100" s="8" t="str" cm="1">
        <f t="array" aca="1" ref="E100" ca="1">IF($B100="", "", _xll.IMDP("BND", $B100, E$7, $B$5))</f>
        <v/>
      </c>
      <c r="F100" s="8" t="str" cm="1">
        <f t="array" aca="1" ref="F100" ca="1">IF($B100="", "", _xll.IMDP("BND", $B100, F$7, $B$5))</f>
        <v/>
      </c>
      <c r="G100" s="8" t="str" cm="1">
        <f t="array" aca="1" ref="G100" ca="1">IF($B100="", "", _xll.IMDP("BND", $B100, G$7, $B$5))</f>
        <v/>
      </c>
      <c r="H100" s="8" t="str" cm="1">
        <f t="array" aca="1" ref="H100" ca="1">IF($B100="", "", _xll.IMDP("BND", $B100, H$7, $B$5))</f>
        <v/>
      </c>
      <c r="I100" s="11" t="str" cm="1">
        <f t="array" aca="1" ref="I100" ca="1">IF($B100="", "", _xll.IMDP("BND", $B100, I$7, $B$5))</f>
        <v/>
      </c>
      <c r="J100" s="10" t="str">
        <f t="shared" ca="1" si="1"/>
        <v/>
      </c>
      <c r="K100" s="8" t="str" cm="1">
        <f t="array" aca="1" ref="K100" ca="1">IFERROR( _xll.IMDP("BND", $B100, IF($I100="상장", "상장잔액", "발행액"), $B$5, "fill=true")/100, "")</f>
        <v/>
      </c>
    </row>
    <row r="101" spans="2:11">
      <c r="B101" s="13" t="str">
        <f ca="1">IFERROR(VLOOKUP( ROWS(대차거래!$B$9:B101), raw!$D:$E, 2, 0), "")</f>
        <v/>
      </c>
      <c r="C101" s="8" t="str">
        <f ca="1">IF($B101="", "", _xll.IMDP("BND", $B101, C$7))</f>
        <v/>
      </c>
      <c r="D101" s="9" t="str" cm="1">
        <f t="array" aca="1" ref="D101" ca="1">IF($B101="", "", _xll.IMDP("BND", $B101, D$7, $B$5, "DtFmt=1"))</f>
        <v/>
      </c>
      <c r="E101" s="8" t="str" cm="1">
        <f t="array" aca="1" ref="E101" ca="1">IF($B101="", "", _xll.IMDP("BND", $B101, E$7, $B$5))</f>
        <v/>
      </c>
      <c r="F101" s="8" t="str" cm="1">
        <f t="array" aca="1" ref="F101" ca="1">IF($B101="", "", _xll.IMDP("BND", $B101, F$7, $B$5))</f>
        <v/>
      </c>
      <c r="G101" s="8" t="str" cm="1">
        <f t="array" aca="1" ref="G101" ca="1">IF($B101="", "", _xll.IMDP("BND", $B101, G$7, $B$5))</f>
        <v/>
      </c>
      <c r="H101" s="8" t="str" cm="1">
        <f t="array" aca="1" ref="H101" ca="1">IF($B101="", "", _xll.IMDP("BND", $B101, H$7, $B$5))</f>
        <v/>
      </c>
      <c r="I101" s="11" t="str" cm="1">
        <f t="array" aca="1" ref="I101" ca="1">IF($B101="", "", _xll.IMDP("BND", $B101, I$7, $B$5))</f>
        <v/>
      </c>
      <c r="J101" s="10" t="str">
        <f t="shared" ca="1" si="1"/>
        <v/>
      </c>
      <c r="K101" s="8" t="str" cm="1">
        <f t="array" aca="1" ref="K101" ca="1">IFERROR( _xll.IMDP("BND", $B101, IF($I101="상장", "상장잔액", "발행액"), $B$5, "fill=true")/100, "")</f>
        <v/>
      </c>
    </row>
    <row r="102" spans="2:11">
      <c r="B102" s="13" t="str">
        <f ca="1">IFERROR(VLOOKUP( ROWS(대차거래!$B$9:B102), raw!$D:$E, 2, 0), "")</f>
        <v/>
      </c>
      <c r="C102" s="8" t="str">
        <f ca="1">IF($B102="", "", _xll.IMDP("BND", $B102, C$7))</f>
        <v/>
      </c>
      <c r="D102" s="9" t="str" cm="1">
        <f t="array" aca="1" ref="D102" ca="1">IF($B102="", "", _xll.IMDP("BND", $B102, D$7, $B$5, "DtFmt=1"))</f>
        <v/>
      </c>
      <c r="E102" s="8" t="str" cm="1">
        <f t="array" aca="1" ref="E102" ca="1">IF($B102="", "", _xll.IMDP("BND", $B102, E$7, $B$5))</f>
        <v/>
      </c>
      <c r="F102" s="8" t="str" cm="1">
        <f t="array" aca="1" ref="F102" ca="1">IF($B102="", "", _xll.IMDP("BND", $B102, F$7, $B$5))</f>
        <v/>
      </c>
      <c r="G102" s="8" t="str" cm="1">
        <f t="array" aca="1" ref="G102" ca="1">IF($B102="", "", _xll.IMDP("BND", $B102, G$7, $B$5))</f>
        <v/>
      </c>
      <c r="H102" s="8" t="str" cm="1">
        <f t="array" aca="1" ref="H102" ca="1">IF($B102="", "", _xll.IMDP("BND", $B102, H$7, $B$5))</f>
        <v/>
      </c>
      <c r="I102" s="11" t="str" cm="1">
        <f t="array" aca="1" ref="I102" ca="1">IF($B102="", "", _xll.IMDP("BND", $B102, I$7, $B$5))</f>
        <v/>
      </c>
      <c r="J102" s="10" t="str">
        <f t="shared" ca="1" si="1"/>
        <v/>
      </c>
      <c r="K102" s="8" t="str" cm="1">
        <f t="array" aca="1" ref="K102" ca="1">IFERROR( _xll.IMDP("BND", $B102, IF($I102="상장", "상장잔액", "발행액"), $B$5, "fill=true")/100, "")</f>
        <v/>
      </c>
    </row>
    <row r="103" spans="2:11">
      <c r="B103" s="13" t="str">
        <f ca="1">IFERROR(VLOOKUP( ROWS(대차거래!$B$9:B103), raw!$D:$E, 2, 0), "")</f>
        <v/>
      </c>
      <c r="C103" s="8" t="str">
        <f ca="1">IF($B103="", "", _xll.IMDP("BND", $B103, C$7))</f>
        <v/>
      </c>
      <c r="D103" s="9" t="str" cm="1">
        <f t="array" aca="1" ref="D103" ca="1">IF($B103="", "", _xll.IMDP("BND", $B103, D$7, $B$5, "DtFmt=1"))</f>
        <v/>
      </c>
      <c r="E103" s="8" t="str" cm="1">
        <f t="array" aca="1" ref="E103" ca="1">IF($B103="", "", _xll.IMDP("BND", $B103, E$7, $B$5))</f>
        <v/>
      </c>
      <c r="F103" s="8" t="str" cm="1">
        <f t="array" aca="1" ref="F103" ca="1">IF($B103="", "", _xll.IMDP("BND", $B103, F$7, $B$5))</f>
        <v/>
      </c>
      <c r="G103" s="8" t="str" cm="1">
        <f t="array" aca="1" ref="G103" ca="1">IF($B103="", "", _xll.IMDP("BND", $B103, G$7, $B$5))</f>
        <v/>
      </c>
      <c r="H103" s="8" t="str" cm="1">
        <f t="array" aca="1" ref="H103" ca="1">IF($B103="", "", _xll.IMDP("BND", $B103, H$7, $B$5))</f>
        <v/>
      </c>
      <c r="I103" s="11" t="str" cm="1">
        <f t="array" aca="1" ref="I103" ca="1">IF($B103="", "", _xll.IMDP("BND", $B103, I$7, $B$5))</f>
        <v/>
      </c>
      <c r="J103" s="10" t="str">
        <f t="shared" ca="1" si="1"/>
        <v/>
      </c>
      <c r="K103" s="8" t="str" cm="1">
        <f t="array" aca="1" ref="K103" ca="1">IFERROR( _xll.IMDP("BND", $B103, IF($I103="상장", "상장잔액", "발행액"), $B$5, "fill=true")/100, "")</f>
        <v/>
      </c>
    </row>
    <row r="104" spans="2:11">
      <c r="B104" s="13" t="str">
        <f ca="1">IFERROR(VLOOKUP( ROWS(대차거래!$B$9:B104), raw!$D:$E, 2, 0), "")</f>
        <v/>
      </c>
      <c r="C104" s="8" t="str">
        <f ca="1">IF($B104="", "", _xll.IMDP("BND", $B104, C$7))</f>
        <v/>
      </c>
      <c r="D104" s="9" t="str" cm="1">
        <f t="array" aca="1" ref="D104" ca="1">IF($B104="", "", _xll.IMDP("BND", $B104, D$7, $B$5, "DtFmt=1"))</f>
        <v/>
      </c>
      <c r="E104" s="8" t="str" cm="1">
        <f t="array" aca="1" ref="E104" ca="1">IF($B104="", "", _xll.IMDP("BND", $B104, E$7, $B$5))</f>
        <v/>
      </c>
      <c r="F104" s="8" t="str" cm="1">
        <f t="array" aca="1" ref="F104" ca="1">IF($B104="", "", _xll.IMDP("BND", $B104, F$7, $B$5))</f>
        <v/>
      </c>
      <c r="G104" s="8" t="str" cm="1">
        <f t="array" aca="1" ref="G104" ca="1">IF($B104="", "", _xll.IMDP("BND", $B104, G$7, $B$5))</f>
        <v/>
      </c>
      <c r="H104" s="8" t="str" cm="1">
        <f t="array" aca="1" ref="H104" ca="1">IF($B104="", "", _xll.IMDP("BND", $B104, H$7, $B$5))</f>
        <v/>
      </c>
      <c r="I104" s="11" t="str" cm="1">
        <f t="array" aca="1" ref="I104" ca="1">IF($B104="", "", _xll.IMDP("BND", $B104, I$7, $B$5))</f>
        <v/>
      </c>
      <c r="J104" s="10" t="str">
        <f t="shared" ca="1" si="1"/>
        <v/>
      </c>
      <c r="K104" s="8" t="str" cm="1">
        <f t="array" aca="1" ref="K104" ca="1">IFERROR( _xll.IMDP("BND", $B104, IF($I104="상장", "상장잔액", "발행액"), $B$5, "fill=true")/100, "")</f>
        <v/>
      </c>
    </row>
    <row r="105" spans="2:11">
      <c r="B105" s="13" t="str">
        <f ca="1">IFERROR(VLOOKUP( ROWS(대차거래!$B$9:B105), raw!$D:$E, 2, 0), "")</f>
        <v/>
      </c>
      <c r="C105" s="8" t="str">
        <f ca="1">IF($B105="", "", _xll.IMDP("BND", $B105, C$7))</f>
        <v/>
      </c>
      <c r="D105" s="9" t="str" cm="1">
        <f t="array" aca="1" ref="D105" ca="1">IF($B105="", "", _xll.IMDP("BND", $B105, D$7, $B$5, "DtFmt=1"))</f>
        <v/>
      </c>
      <c r="E105" s="8" t="str" cm="1">
        <f t="array" aca="1" ref="E105" ca="1">IF($B105="", "", _xll.IMDP("BND", $B105, E$7, $B$5))</f>
        <v/>
      </c>
      <c r="F105" s="8" t="str" cm="1">
        <f t="array" aca="1" ref="F105" ca="1">IF($B105="", "", _xll.IMDP("BND", $B105, F$7, $B$5))</f>
        <v/>
      </c>
      <c r="G105" s="8" t="str" cm="1">
        <f t="array" aca="1" ref="G105" ca="1">IF($B105="", "", _xll.IMDP("BND", $B105, G$7, $B$5))</f>
        <v/>
      </c>
      <c r="H105" s="8" t="str" cm="1">
        <f t="array" aca="1" ref="H105" ca="1">IF($B105="", "", _xll.IMDP("BND", $B105, H$7, $B$5))</f>
        <v/>
      </c>
      <c r="I105" s="11" t="str" cm="1">
        <f t="array" aca="1" ref="I105" ca="1">IF($B105="", "", _xll.IMDP("BND", $B105, I$7, $B$5))</f>
        <v/>
      </c>
      <c r="J105" s="10" t="str">
        <f t="shared" ca="1" si="1"/>
        <v/>
      </c>
      <c r="K105" s="8" t="str" cm="1">
        <f t="array" aca="1" ref="K105" ca="1">IFERROR( _xll.IMDP("BND", $B105, IF($I105="상장", "상장잔액", "발행액"), $B$5, "fill=true")/100, "")</f>
        <v/>
      </c>
    </row>
    <row r="106" spans="2:11">
      <c r="B106" s="13" t="str">
        <f ca="1">IFERROR(VLOOKUP( ROWS(대차거래!$B$9:B106), raw!$D:$E, 2, 0), "")</f>
        <v/>
      </c>
      <c r="C106" s="8" t="str">
        <f ca="1">IF($B106="", "", _xll.IMDP("BND", $B106, C$7))</f>
        <v/>
      </c>
      <c r="D106" s="9" t="str" cm="1">
        <f t="array" aca="1" ref="D106" ca="1">IF($B106="", "", _xll.IMDP("BND", $B106, D$7, $B$5, "DtFmt=1"))</f>
        <v/>
      </c>
      <c r="E106" s="8" t="str" cm="1">
        <f t="array" aca="1" ref="E106" ca="1">IF($B106="", "", _xll.IMDP("BND", $B106, E$7, $B$5))</f>
        <v/>
      </c>
      <c r="F106" s="8" t="str" cm="1">
        <f t="array" aca="1" ref="F106" ca="1">IF($B106="", "", _xll.IMDP("BND", $B106, F$7, $B$5))</f>
        <v/>
      </c>
      <c r="G106" s="8" t="str" cm="1">
        <f t="array" aca="1" ref="G106" ca="1">IF($B106="", "", _xll.IMDP("BND", $B106, G$7, $B$5))</f>
        <v/>
      </c>
      <c r="H106" s="8" t="str" cm="1">
        <f t="array" aca="1" ref="H106" ca="1">IF($B106="", "", _xll.IMDP("BND", $B106, H$7, $B$5))</f>
        <v/>
      </c>
      <c r="I106" s="11" t="str" cm="1">
        <f t="array" aca="1" ref="I106" ca="1">IF($B106="", "", _xll.IMDP("BND", $B106, I$7, $B$5))</f>
        <v/>
      </c>
      <c r="J106" s="10" t="str">
        <f t="shared" ca="1" si="1"/>
        <v/>
      </c>
      <c r="K106" s="8" t="str" cm="1">
        <f t="array" aca="1" ref="K106" ca="1">IFERROR( _xll.IMDP("BND", $B106, IF($I106="상장", "상장잔액", "발행액"), $B$5, "fill=true")/100, "")</f>
        <v/>
      </c>
    </row>
    <row r="107" spans="2:11">
      <c r="B107" s="13" t="str">
        <f ca="1">IFERROR(VLOOKUP( ROWS(대차거래!$B$9:B107), raw!$D:$E, 2, 0), "")</f>
        <v/>
      </c>
      <c r="C107" s="8" t="str">
        <f ca="1">IF($B107="", "", _xll.IMDP("BND", $B107, C$7))</f>
        <v/>
      </c>
      <c r="D107" s="9" t="str" cm="1">
        <f t="array" aca="1" ref="D107" ca="1">IF($B107="", "", _xll.IMDP("BND", $B107, D$7, $B$5, "DtFmt=1"))</f>
        <v/>
      </c>
      <c r="E107" s="8" t="str" cm="1">
        <f t="array" aca="1" ref="E107" ca="1">IF($B107="", "", _xll.IMDP("BND", $B107, E$7, $B$5))</f>
        <v/>
      </c>
      <c r="F107" s="8" t="str" cm="1">
        <f t="array" aca="1" ref="F107" ca="1">IF($B107="", "", _xll.IMDP("BND", $B107, F$7, $B$5))</f>
        <v/>
      </c>
      <c r="G107" s="8" t="str" cm="1">
        <f t="array" aca="1" ref="G107" ca="1">IF($B107="", "", _xll.IMDP("BND", $B107, G$7, $B$5))</f>
        <v/>
      </c>
      <c r="H107" s="8" t="str" cm="1">
        <f t="array" aca="1" ref="H107" ca="1">IF($B107="", "", _xll.IMDP("BND", $B107, H$7, $B$5))</f>
        <v/>
      </c>
      <c r="I107" s="11" t="str" cm="1">
        <f t="array" aca="1" ref="I107" ca="1">IF($B107="", "", _xll.IMDP("BND", $B107, I$7, $B$5))</f>
        <v/>
      </c>
      <c r="J107" s="10" t="str">
        <f t="shared" ca="1" si="1"/>
        <v/>
      </c>
      <c r="K107" s="8" t="str" cm="1">
        <f t="array" aca="1" ref="K107" ca="1">IFERROR( _xll.IMDP("BND", $B107, IF($I107="상장", "상장잔액", "발행액"), $B$5, "fill=true")/100, "")</f>
        <v/>
      </c>
    </row>
    <row r="108" spans="2:11">
      <c r="B108" s="13" t="str">
        <f ca="1">IFERROR(VLOOKUP( ROWS(대차거래!$B$9:B108), raw!$D:$E, 2, 0), "")</f>
        <v/>
      </c>
      <c r="C108" s="8" t="str">
        <f ca="1">IF($B108="", "", _xll.IMDP("BND", $B108, C$7))</f>
        <v/>
      </c>
      <c r="D108" s="9" t="str" cm="1">
        <f t="array" aca="1" ref="D108" ca="1">IF($B108="", "", _xll.IMDP("BND", $B108, D$7, $B$5, "DtFmt=1"))</f>
        <v/>
      </c>
      <c r="E108" s="8" t="str" cm="1">
        <f t="array" aca="1" ref="E108" ca="1">IF($B108="", "", _xll.IMDP("BND", $B108, E$7, $B$5))</f>
        <v/>
      </c>
      <c r="F108" s="8" t="str" cm="1">
        <f t="array" aca="1" ref="F108" ca="1">IF($B108="", "", _xll.IMDP("BND", $B108, F$7, $B$5))</f>
        <v/>
      </c>
      <c r="G108" s="8" t="str" cm="1">
        <f t="array" aca="1" ref="G108" ca="1">IF($B108="", "", _xll.IMDP("BND", $B108, G$7, $B$5))</f>
        <v/>
      </c>
      <c r="H108" s="8" t="str" cm="1">
        <f t="array" aca="1" ref="H108" ca="1">IF($B108="", "", _xll.IMDP("BND", $B108, H$7, $B$5))</f>
        <v/>
      </c>
      <c r="I108" s="11" t="str" cm="1">
        <f t="array" aca="1" ref="I108" ca="1">IF($B108="", "", _xll.IMDP("BND", $B108, I$7, $B$5))</f>
        <v/>
      </c>
      <c r="J108" s="10" t="str">
        <f t="shared" ca="1" si="1"/>
        <v/>
      </c>
      <c r="K108" s="8" t="str" cm="1">
        <f t="array" aca="1" ref="K108" ca="1">IFERROR( _xll.IMDP("BND", $B108, IF($I108="상장", "상장잔액", "발행액"), $B$5, "fill=true")/100, "")</f>
        <v/>
      </c>
    </row>
    <row r="109" spans="2:11">
      <c r="B109" s="13" t="str">
        <f ca="1">IFERROR(VLOOKUP( ROWS(대차거래!$B$9:B109), raw!$D:$E, 2, 0), "")</f>
        <v/>
      </c>
      <c r="C109" s="8" t="str">
        <f ca="1">IF($B109="", "", _xll.IMDP("BND", $B109, C$7))</f>
        <v/>
      </c>
      <c r="D109" s="9" t="str" cm="1">
        <f t="array" aca="1" ref="D109" ca="1">IF($B109="", "", _xll.IMDP("BND", $B109, D$7, $B$5, "DtFmt=1"))</f>
        <v/>
      </c>
      <c r="E109" s="8" t="str" cm="1">
        <f t="array" aca="1" ref="E109" ca="1">IF($B109="", "", _xll.IMDP("BND", $B109, E$7, $B$5))</f>
        <v/>
      </c>
      <c r="F109" s="8" t="str" cm="1">
        <f t="array" aca="1" ref="F109" ca="1">IF($B109="", "", _xll.IMDP("BND", $B109, F$7, $B$5))</f>
        <v/>
      </c>
      <c r="G109" s="8" t="str" cm="1">
        <f t="array" aca="1" ref="G109" ca="1">IF($B109="", "", _xll.IMDP("BND", $B109, G$7, $B$5))</f>
        <v/>
      </c>
      <c r="H109" s="8" t="str" cm="1">
        <f t="array" aca="1" ref="H109" ca="1">IF($B109="", "", _xll.IMDP("BND", $B109, H$7, $B$5))</f>
        <v/>
      </c>
      <c r="I109" s="11" t="str" cm="1">
        <f t="array" aca="1" ref="I109" ca="1">IF($B109="", "", _xll.IMDP("BND", $B109, I$7, $B$5))</f>
        <v/>
      </c>
      <c r="J109" s="10" t="str">
        <f t="shared" ca="1" si="1"/>
        <v/>
      </c>
      <c r="K109" s="8" t="str" cm="1">
        <f t="array" aca="1" ref="K109" ca="1">IFERROR( _xll.IMDP("BND", $B109, IF($I109="상장", "상장잔액", "발행액"), $B$5, "fill=true")/100, "")</f>
        <v/>
      </c>
    </row>
    <row r="110" spans="2:11">
      <c r="B110" s="13" t="str">
        <f ca="1">IFERROR(VLOOKUP( ROWS(대차거래!$B$9:B110), raw!$D:$E, 2, 0), "")</f>
        <v/>
      </c>
      <c r="C110" s="8" t="str">
        <f ca="1">IF($B110="", "", _xll.IMDP("BND", $B110, C$7))</f>
        <v/>
      </c>
      <c r="D110" s="9" t="str" cm="1">
        <f t="array" aca="1" ref="D110" ca="1">IF($B110="", "", _xll.IMDP("BND", $B110, D$7, $B$5, "DtFmt=1"))</f>
        <v/>
      </c>
      <c r="E110" s="8" t="str" cm="1">
        <f t="array" aca="1" ref="E110" ca="1">IF($B110="", "", _xll.IMDP("BND", $B110, E$7, $B$5))</f>
        <v/>
      </c>
      <c r="F110" s="8" t="str" cm="1">
        <f t="array" aca="1" ref="F110" ca="1">IF($B110="", "", _xll.IMDP("BND", $B110, F$7, $B$5))</f>
        <v/>
      </c>
      <c r="G110" s="8" t="str" cm="1">
        <f t="array" aca="1" ref="G110" ca="1">IF($B110="", "", _xll.IMDP("BND", $B110, G$7, $B$5))</f>
        <v/>
      </c>
      <c r="H110" s="8" t="str" cm="1">
        <f t="array" aca="1" ref="H110" ca="1">IF($B110="", "", _xll.IMDP("BND", $B110, H$7, $B$5))</f>
        <v/>
      </c>
      <c r="I110" s="11" t="str" cm="1">
        <f t="array" aca="1" ref="I110" ca="1">IF($B110="", "", _xll.IMDP("BND", $B110, I$7, $B$5))</f>
        <v/>
      </c>
      <c r="J110" s="10" t="str">
        <f t="shared" ca="1" si="1"/>
        <v/>
      </c>
      <c r="K110" s="8" t="str" cm="1">
        <f t="array" aca="1" ref="K110" ca="1">IFERROR( _xll.IMDP("BND", $B110, IF($I110="상장", "상장잔액", "발행액"), $B$5, "fill=true")/100, "")</f>
        <v/>
      </c>
    </row>
    <row r="111" spans="2:11">
      <c r="B111" s="13" t="str">
        <f ca="1">IFERROR(VLOOKUP( ROWS(대차거래!$B$9:B111), raw!$D:$E, 2, 0), "")</f>
        <v/>
      </c>
      <c r="C111" s="8" t="str">
        <f ca="1">IF($B111="", "", _xll.IMDP("BND", $B111, C$7))</f>
        <v/>
      </c>
      <c r="D111" s="9" t="str" cm="1">
        <f t="array" aca="1" ref="D111" ca="1">IF($B111="", "", _xll.IMDP("BND", $B111, D$7, $B$5, "DtFmt=1"))</f>
        <v/>
      </c>
      <c r="E111" s="8" t="str" cm="1">
        <f t="array" aca="1" ref="E111" ca="1">IF($B111="", "", _xll.IMDP("BND", $B111, E$7, $B$5))</f>
        <v/>
      </c>
      <c r="F111" s="8" t="str" cm="1">
        <f t="array" aca="1" ref="F111" ca="1">IF($B111="", "", _xll.IMDP("BND", $B111, F$7, $B$5))</f>
        <v/>
      </c>
      <c r="G111" s="8" t="str" cm="1">
        <f t="array" aca="1" ref="G111" ca="1">IF($B111="", "", _xll.IMDP("BND", $B111, G$7, $B$5))</f>
        <v/>
      </c>
      <c r="H111" s="8" t="str" cm="1">
        <f t="array" aca="1" ref="H111" ca="1">IF($B111="", "", _xll.IMDP("BND", $B111, H$7, $B$5))</f>
        <v/>
      </c>
      <c r="I111" s="11" t="str" cm="1">
        <f t="array" aca="1" ref="I111" ca="1">IF($B111="", "", _xll.IMDP("BND", $B111, I$7, $B$5))</f>
        <v/>
      </c>
      <c r="J111" s="10" t="str">
        <f t="shared" ca="1" si="1"/>
        <v/>
      </c>
      <c r="K111" s="8" t="str" cm="1">
        <f t="array" aca="1" ref="K111" ca="1">IFERROR( _xll.IMDP("BND", $B111, IF($I111="상장", "상장잔액", "발행액"), $B$5, "fill=true")/100, "")</f>
        <v/>
      </c>
    </row>
    <row r="112" spans="2:11">
      <c r="B112" s="13" t="str">
        <f ca="1">IFERROR(VLOOKUP( ROWS(대차거래!$B$9:B112), raw!$D:$E, 2, 0), "")</f>
        <v/>
      </c>
      <c r="C112" s="8" t="str">
        <f ca="1">IF($B112="", "", _xll.IMDP("BND", $B112, C$7))</f>
        <v/>
      </c>
      <c r="D112" s="9" t="str" cm="1">
        <f t="array" aca="1" ref="D112" ca="1">IF($B112="", "", _xll.IMDP("BND", $B112, D$7, $B$5, "DtFmt=1"))</f>
        <v/>
      </c>
      <c r="E112" s="8" t="str" cm="1">
        <f t="array" aca="1" ref="E112" ca="1">IF($B112="", "", _xll.IMDP("BND", $B112, E$7, $B$5))</f>
        <v/>
      </c>
      <c r="F112" s="8" t="str" cm="1">
        <f t="array" aca="1" ref="F112" ca="1">IF($B112="", "", _xll.IMDP("BND", $B112, F$7, $B$5))</f>
        <v/>
      </c>
      <c r="G112" s="8" t="str" cm="1">
        <f t="array" aca="1" ref="G112" ca="1">IF($B112="", "", _xll.IMDP("BND", $B112, G$7, $B$5))</f>
        <v/>
      </c>
      <c r="H112" s="8" t="str" cm="1">
        <f t="array" aca="1" ref="H112" ca="1">IF($B112="", "", _xll.IMDP("BND", $B112, H$7, $B$5))</f>
        <v/>
      </c>
      <c r="I112" s="11" t="str" cm="1">
        <f t="array" aca="1" ref="I112" ca="1">IF($B112="", "", _xll.IMDP("BND", $B112, I$7, $B$5))</f>
        <v/>
      </c>
      <c r="J112" s="10" t="str">
        <f t="shared" ca="1" si="1"/>
        <v/>
      </c>
      <c r="K112" s="8" t="str" cm="1">
        <f t="array" aca="1" ref="K112" ca="1">IFERROR( _xll.IMDP("BND", $B112, IF($I112="상장", "상장잔액", "발행액"), $B$5, "fill=true")/100, "")</f>
        <v/>
      </c>
    </row>
    <row r="113" spans="2:11">
      <c r="B113" s="13" t="str">
        <f ca="1">IFERROR(VLOOKUP( ROWS(대차거래!$B$9:B113), raw!$D:$E, 2, 0), "")</f>
        <v/>
      </c>
      <c r="C113" s="8" t="str">
        <f ca="1">IF($B113="", "", _xll.IMDP("BND", $B113, C$7))</f>
        <v/>
      </c>
      <c r="D113" s="9" t="str" cm="1">
        <f t="array" aca="1" ref="D113" ca="1">IF($B113="", "", _xll.IMDP("BND", $B113, D$7, $B$5, "DtFmt=1"))</f>
        <v/>
      </c>
      <c r="E113" s="8" t="str" cm="1">
        <f t="array" aca="1" ref="E113" ca="1">IF($B113="", "", _xll.IMDP("BND", $B113, E$7, $B$5))</f>
        <v/>
      </c>
      <c r="F113" s="8" t="str" cm="1">
        <f t="array" aca="1" ref="F113" ca="1">IF($B113="", "", _xll.IMDP("BND", $B113, F$7, $B$5))</f>
        <v/>
      </c>
      <c r="G113" s="8" t="str" cm="1">
        <f t="array" aca="1" ref="G113" ca="1">IF($B113="", "", _xll.IMDP("BND", $B113, G$7, $B$5))</f>
        <v/>
      </c>
      <c r="H113" s="8" t="str" cm="1">
        <f t="array" aca="1" ref="H113" ca="1">IF($B113="", "", _xll.IMDP("BND", $B113, H$7, $B$5))</f>
        <v/>
      </c>
      <c r="I113" s="11" t="str" cm="1">
        <f t="array" aca="1" ref="I113" ca="1">IF($B113="", "", _xll.IMDP("BND", $B113, I$7, $B$5))</f>
        <v/>
      </c>
      <c r="J113" s="10" t="str">
        <f t="shared" ca="1" si="1"/>
        <v/>
      </c>
      <c r="K113" s="8" t="str" cm="1">
        <f t="array" aca="1" ref="K113" ca="1">IFERROR( _xll.IMDP("BND", $B113, IF($I113="상장", "상장잔액", "발행액"), $B$5, "fill=true")/100, "")</f>
        <v/>
      </c>
    </row>
    <row r="114" spans="2:11">
      <c r="B114" s="13" t="str">
        <f ca="1">IFERROR(VLOOKUP( ROWS(대차거래!$B$9:B114), raw!$D:$E, 2, 0), "")</f>
        <v/>
      </c>
      <c r="C114" s="8" t="str">
        <f ca="1">IF($B114="", "", _xll.IMDP("BND", $B114, C$7))</f>
        <v/>
      </c>
      <c r="D114" s="9" t="str" cm="1">
        <f t="array" aca="1" ref="D114" ca="1">IF($B114="", "", _xll.IMDP("BND", $B114, D$7, $B$5, "DtFmt=1"))</f>
        <v/>
      </c>
      <c r="E114" s="8" t="str" cm="1">
        <f t="array" aca="1" ref="E114" ca="1">IF($B114="", "", _xll.IMDP("BND", $B114, E$7, $B$5))</f>
        <v/>
      </c>
      <c r="F114" s="8" t="str" cm="1">
        <f t="array" aca="1" ref="F114" ca="1">IF($B114="", "", _xll.IMDP("BND", $B114, F$7, $B$5))</f>
        <v/>
      </c>
      <c r="G114" s="8" t="str" cm="1">
        <f t="array" aca="1" ref="G114" ca="1">IF($B114="", "", _xll.IMDP("BND", $B114, G$7, $B$5))</f>
        <v/>
      </c>
      <c r="H114" s="8" t="str" cm="1">
        <f t="array" aca="1" ref="H114" ca="1">IF($B114="", "", _xll.IMDP("BND", $B114, H$7, $B$5))</f>
        <v/>
      </c>
      <c r="I114" s="11" t="str" cm="1">
        <f t="array" aca="1" ref="I114" ca="1">IF($B114="", "", _xll.IMDP("BND", $B114, I$7, $B$5))</f>
        <v/>
      </c>
      <c r="J114" s="10" t="str">
        <f t="shared" ca="1" si="1"/>
        <v/>
      </c>
      <c r="K114" s="8" t="str" cm="1">
        <f t="array" aca="1" ref="K114" ca="1">IFERROR( _xll.IMDP("BND", $B114, IF($I114="상장", "상장잔액", "발행액"), $B$5, "fill=true")/100, "")</f>
        <v/>
      </c>
    </row>
    <row r="115" spans="2:11">
      <c r="B115" s="13" t="str">
        <f ca="1">IFERROR(VLOOKUP( ROWS(대차거래!$B$9:B115), raw!$D:$E, 2, 0), "")</f>
        <v/>
      </c>
      <c r="C115" s="8" t="str">
        <f ca="1">IF($B115="", "", _xll.IMDP("BND", $B115, C$7))</f>
        <v/>
      </c>
      <c r="D115" s="9" t="str" cm="1">
        <f t="array" aca="1" ref="D115" ca="1">IF($B115="", "", _xll.IMDP("BND", $B115, D$7, $B$5, "DtFmt=1"))</f>
        <v/>
      </c>
      <c r="E115" s="8" t="str" cm="1">
        <f t="array" aca="1" ref="E115" ca="1">IF($B115="", "", _xll.IMDP("BND", $B115, E$7, $B$5))</f>
        <v/>
      </c>
      <c r="F115" s="8" t="str" cm="1">
        <f t="array" aca="1" ref="F115" ca="1">IF($B115="", "", _xll.IMDP("BND", $B115, F$7, $B$5))</f>
        <v/>
      </c>
      <c r="G115" s="8" t="str" cm="1">
        <f t="array" aca="1" ref="G115" ca="1">IF($B115="", "", _xll.IMDP("BND", $B115, G$7, $B$5))</f>
        <v/>
      </c>
      <c r="H115" s="8" t="str" cm="1">
        <f t="array" aca="1" ref="H115" ca="1">IF($B115="", "", _xll.IMDP("BND", $B115, H$7, $B$5))</f>
        <v/>
      </c>
      <c r="I115" s="11" t="str" cm="1">
        <f t="array" aca="1" ref="I115" ca="1">IF($B115="", "", _xll.IMDP("BND", $B115, I$7, $B$5))</f>
        <v/>
      </c>
      <c r="J115" s="10" t="str">
        <f t="shared" ca="1" si="1"/>
        <v/>
      </c>
      <c r="K115" s="8" t="str" cm="1">
        <f t="array" aca="1" ref="K115" ca="1">IFERROR( _xll.IMDP("BND", $B115, IF($I115="상장", "상장잔액", "발행액"), $B$5, "fill=true")/100, "")</f>
        <v/>
      </c>
    </row>
    <row r="116" spans="2:11">
      <c r="B116" s="13" t="str">
        <f ca="1">IFERROR(VLOOKUP( ROWS(대차거래!$B$9:B116), raw!$D:$E, 2, 0), "")</f>
        <v/>
      </c>
      <c r="C116" s="8" t="str">
        <f ca="1">IF($B116="", "", _xll.IMDP("BND", $B116, C$7))</f>
        <v/>
      </c>
      <c r="D116" s="9" t="str" cm="1">
        <f t="array" aca="1" ref="D116" ca="1">IF($B116="", "", _xll.IMDP("BND", $B116, D$7, $B$5, "DtFmt=1"))</f>
        <v/>
      </c>
      <c r="E116" s="8" t="str" cm="1">
        <f t="array" aca="1" ref="E116" ca="1">IF($B116="", "", _xll.IMDP("BND", $B116, E$7, $B$5))</f>
        <v/>
      </c>
      <c r="F116" s="8" t="str" cm="1">
        <f t="array" aca="1" ref="F116" ca="1">IF($B116="", "", _xll.IMDP("BND", $B116, F$7, $B$5))</f>
        <v/>
      </c>
      <c r="G116" s="8" t="str" cm="1">
        <f t="array" aca="1" ref="G116" ca="1">IF($B116="", "", _xll.IMDP("BND", $B116, G$7, $B$5))</f>
        <v/>
      </c>
      <c r="H116" s="8" t="str" cm="1">
        <f t="array" aca="1" ref="H116" ca="1">IF($B116="", "", _xll.IMDP("BND", $B116, H$7, $B$5))</f>
        <v/>
      </c>
      <c r="I116" s="11" t="str" cm="1">
        <f t="array" aca="1" ref="I116" ca="1">IF($B116="", "", _xll.IMDP("BND", $B116, I$7, $B$5))</f>
        <v/>
      </c>
      <c r="J116" s="10" t="str">
        <f t="shared" ca="1" si="1"/>
        <v/>
      </c>
      <c r="K116" s="8" t="str" cm="1">
        <f t="array" aca="1" ref="K116" ca="1">IFERROR( _xll.IMDP("BND", $B116, IF($I116="상장", "상장잔액", "발행액"), $B$5, "fill=true")/100, "")</f>
        <v/>
      </c>
    </row>
    <row r="117" spans="2:11">
      <c r="B117" s="13" t="str">
        <f ca="1">IFERROR(VLOOKUP( ROWS(대차거래!$B$9:B117), raw!$D:$E, 2, 0), "")</f>
        <v/>
      </c>
      <c r="C117" s="8" t="str">
        <f ca="1">IF($B117="", "", _xll.IMDP("BND", $B117, C$7))</f>
        <v/>
      </c>
      <c r="D117" s="9" t="str" cm="1">
        <f t="array" aca="1" ref="D117" ca="1">IF($B117="", "", _xll.IMDP("BND", $B117, D$7, $B$5, "DtFmt=1"))</f>
        <v/>
      </c>
      <c r="E117" s="8" t="str" cm="1">
        <f t="array" aca="1" ref="E117" ca="1">IF($B117="", "", _xll.IMDP("BND", $B117, E$7, $B$5))</f>
        <v/>
      </c>
      <c r="F117" s="8" t="str" cm="1">
        <f t="array" aca="1" ref="F117" ca="1">IF($B117="", "", _xll.IMDP("BND", $B117, F$7, $B$5))</f>
        <v/>
      </c>
      <c r="G117" s="8" t="str" cm="1">
        <f t="array" aca="1" ref="G117" ca="1">IF($B117="", "", _xll.IMDP("BND", $B117, G$7, $B$5))</f>
        <v/>
      </c>
      <c r="H117" s="8" t="str" cm="1">
        <f t="array" aca="1" ref="H117" ca="1">IF($B117="", "", _xll.IMDP("BND", $B117, H$7, $B$5))</f>
        <v/>
      </c>
      <c r="I117" s="11" t="str" cm="1">
        <f t="array" aca="1" ref="I117" ca="1">IF($B117="", "", _xll.IMDP("BND", $B117, I$7, $B$5))</f>
        <v/>
      </c>
      <c r="J117" s="10" t="str">
        <f t="shared" ca="1" si="1"/>
        <v/>
      </c>
      <c r="K117" s="8" t="str" cm="1">
        <f t="array" aca="1" ref="K117" ca="1">IFERROR( _xll.IMDP("BND", $B117, IF($I117="상장", "상장잔액", "발행액"), $B$5, "fill=true")/100, "")</f>
        <v/>
      </c>
    </row>
    <row r="118" spans="2:11">
      <c r="B118" s="13" t="str">
        <f ca="1">IFERROR(VLOOKUP( ROWS(대차거래!$B$9:B118), raw!$D:$E, 2, 0), "")</f>
        <v/>
      </c>
      <c r="C118" s="8" t="str">
        <f ca="1">IF($B118="", "", _xll.IMDP("BND", $B118, C$7))</f>
        <v/>
      </c>
      <c r="D118" s="9" t="str" cm="1">
        <f t="array" aca="1" ref="D118" ca="1">IF($B118="", "", _xll.IMDP("BND", $B118, D$7, $B$5, "DtFmt=1"))</f>
        <v/>
      </c>
      <c r="E118" s="8" t="str" cm="1">
        <f t="array" aca="1" ref="E118" ca="1">IF($B118="", "", _xll.IMDP("BND", $B118, E$7, $B$5))</f>
        <v/>
      </c>
      <c r="F118" s="8" t="str" cm="1">
        <f t="array" aca="1" ref="F118" ca="1">IF($B118="", "", _xll.IMDP("BND", $B118, F$7, $B$5))</f>
        <v/>
      </c>
      <c r="G118" s="8" t="str" cm="1">
        <f t="array" aca="1" ref="G118" ca="1">IF($B118="", "", _xll.IMDP("BND", $B118, G$7, $B$5))</f>
        <v/>
      </c>
      <c r="H118" s="8" t="str" cm="1">
        <f t="array" aca="1" ref="H118" ca="1">IF($B118="", "", _xll.IMDP("BND", $B118, H$7, $B$5))</f>
        <v/>
      </c>
      <c r="I118" s="11" t="str" cm="1">
        <f t="array" aca="1" ref="I118" ca="1">IF($B118="", "", _xll.IMDP("BND", $B118, I$7, $B$5))</f>
        <v/>
      </c>
      <c r="J118" s="10" t="str">
        <f t="shared" ca="1" si="1"/>
        <v/>
      </c>
      <c r="K118" s="8" t="str" cm="1">
        <f t="array" aca="1" ref="K118" ca="1">IFERROR( _xll.IMDP("BND", $B118, IF($I118="상장", "상장잔액", "발행액"), $B$5, "fill=true")/100, "")</f>
        <v/>
      </c>
    </row>
    <row r="119" spans="2:11">
      <c r="B119" s="13" t="str">
        <f ca="1">IFERROR(VLOOKUP( ROWS(대차거래!$B$9:B119), raw!$D:$E, 2, 0), "")</f>
        <v/>
      </c>
      <c r="C119" s="8" t="str">
        <f ca="1">IF($B119="", "", _xll.IMDP("BND", $B119, C$7))</f>
        <v/>
      </c>
      <c r="D119" s="9" t="str" cm="1">
        <f t="array" aca="1" ref="D119" ca="1">IF($B119="", "", _xll.IMDP("BND", $B119, D$7, $B$5, "DtFmt=1"))</f>
        <v/>
      </c>
      <c r="E119" s="8" t="str" cm="1">
        <f t="array" aca="1" ref="E119" ca="1">IF($B119="", "", _xll.IMDP("BND", $B119, E$7, $B$5))</f>
        <v/>
      </c>
      <c r="F119" s="8" t="str" cm="1">
        <f t="array" aca="1" ref="F119" ca="1">IF($B119="", "", _xll.IMDP("BND", $B119, F$7, $B$5))</f>
        <v/>
      </c>
      <c r="G119" s="8" t="str" cm="1">
        <f t="array" aca="1" ref="G119" ca="1">IF($B119="", "", _xll.IMDP("BND", $B119, G$7, $B$5))</f>
        <v/>
      </c>
      <c r="H119" s="8" t="str" cm="1">
        <f t="array" aca="1" ref="H119" ca="1">IF($B119="", "", _xll.IMDP("BND", $B119, H$7, $B$5))</f>
        <v/>
      </c>
      <c r="I119" s="11" t="str" cm="1">
        <f t="array" aca="1" ref="I119" ca="1">IF($B119="", "", _xll.IMDP("BND", $B119, I$7, $B$5))</f>
        <v/>
      </c>
      <c r="J119" s="10" t="str">
        <f t="shared" ca="1" si="1"/>
        <v/>
      </c>
      <c r="K119" s="8" t="str" cm="1">
        <f t="array" aca="1" ref="K119" ca="1">IFERROR( _xll.IMDP("BND", $B119, IF($I119="상장", "상장잔액", "발행액"), $B$5, "fill=true")/100, "")</f>
        <v/>
      </c>
    </row>
    <row r="120" spans="2:11">
      <c r="B120" s="13" t="str">
        <f ca="1">IFERROR(VLOOKUP( ROWS(대차거래!$B$9:B120), raw!$D:$E, 2, 0), "")</f>
        <v/>
      </c>
      <c r="C120" s="8" t="str">
        <f ca="1">IF($B120="", "", _xll.IMDP("BND", $B120, C$7))</f>
        <v/>
      </c>
      <c r="D120" s="9" t="str" cm="1">
        <f t="array" aca="1" ref="D120" ca="1">IF($B120="", "", _xll.IMDP("BND", $B120, D$7, $B$5, "DtFmt=1"))</f>
        <v/>
      </c>
      <c r="E120" s="8" t="str" cm="1">
        <f t="array" aca="1" ref="E120" ca="1">IF($B120="", "", _xll.IMDP("BND", $B120, E$7, $B$5))</f>
        <v/>
      </c>
      <c r="F120" s="8" t="str" cm="1">
        <f t="array" aca="1" ref="F120" ca="1">IF($B120="", "", _xll.IMDP("BND", $B120, F$7, $B$5))</f>
        <v/>
      </c>
      <c r="G120" s="8" t="str" cm="1">
        <f t="array" aca="1" ref="G120" ca="1">IF($B120="", "", _xll.IMDP("BND", $B120, G$7, $B$5))</f>
        <v/>
      </c>
      <c r="H120" s="8" t="str" cm="1">
        <f t="array" aca="1" ref="H120" ca="1">IF($B120="", "", _xll.IMDP("BND", $B120, H$7, $B$5))</f>
        <v/>
      </c>
      <c r="I120" s="11" t="str" cm="1">
        <f t="array" aca="1" ref="I120" ca="1">IF($B120="", "", _xll.IMDP("BND", $B120, I$7, $B$5))</f>
        <v/>
      </c>
      <c r="J120" s="10" t="str">
        <f t="shared" ca="1" si="1"/>
        <v/>
      </c>
      <c r="K120" s="8" t="str" cm="1">
        <f t="array" aca="1" ref="K120" ca="1">IFERROR( _xll.IMDP("BND", $B120, IF($I120="상장", "상장잔액", "발행액"), $B$5, "fill=true")/100, "")</f>
        <v/>
      </c>
    </row>
    <row r="121" spans="2:11">
      <c r="B121" s="13" t="str">
        <f ca="1">IFERROR(VLOOKUP( ROWS(대차거래!$B$9:B121), raw!$D:$E, 2, 0), "")</f>
        <v/>
      </c>
      <c r="C121" s="8" t="str">
        <f ca="1">IF($B121="", "", _xll.IMDP("BND", $B121, C$7))</f>
        <v/>
      </c>
      <c r="D121" s="9" t="str" cm="1">
        <f t="array" aca="1" ref="D121" ca="1">IF($B121="", "", _xll.IMDP("BND", $B121, D$7, $B$5, "DtFmt=1"))</f>
        <v/>
      </c>
      <c r="E121" s="8" t="str" cm="1">
        <f t="array" aca="1" ref="E121" ca="1">IF($B121="", "", _xll.IMDP("BND", $B121, E$7, $B$5))</f>
        <v/>
      </c>
      <c r="F121" s="8" t="str" cm="1">
        <f t="array" aca="1" ref="F121" ca="1">IF($B121="", "", _xll.IMDP("BND", $B121, F$7, $B$5))</f>
        <v/>
      </c>
      <c r="G121" s="8" t="str" cm="1">
        <f t="array" aca="1" ref="G121" ca="1">IF($B121="", "", _xll.IMDP("BND", $B121, G$7, $B$5))</f>
        <v/>
      </c>
      <c r="H121" s="8" t="str" cm="1">
        <f t="array" aca="1" ref="H121" ca="1">IF($B121="", "", _xll.IMDP("BND", $B121, H$7, $B$5))</f>
        <v/>
      </c>
      <c r="I121" s="11" t="str" cm="1">
        <f t="array" aca="1" ref="I121" ca="1">IF($B121="", "", _xll.IMDP("BND", $B121, I$7, $B$5))</f>
        <v/>
      </c>
      <c r="J121" s="10" t="str">
        <f t="shared" ca="1" si="1"/>
        <v/>
      </c>
      <c r="K121" s="8" t="str" cm="1">
        <f t="array" aca="1" ref="K121" ca="1">IFERROR( _xll.IMDP("BND", $B121, IF($I121="상장", "상장잔액", "발행액"), $B$5, "fill=true")/100, "")</f>
        <v/>
      </c>
    </row>
    <row r="122" spans="2:11">
      <c r="B122" s="13" t="str">
        <f ca="1">IFERROR(VLOOKUP( ROWS(대차거래!$B$9:B122), raw!$D:$E, 2, 0), "")</f>
        <v/>
      </c>
      <c r="C122" s="8" t="str">
        <f ca="1">IF($B122="", "", _xll.IMDP("BND", $B122, C$7))</f>
        <v/>
      </c>
      <c r="D122" s="9" t="str" cm="1">
        <f t="array" aca="1" ref="D122" ca="1">IF($B122="", "", _xll.IMDP("BND", $B122, D$7, $B$5, "DtFmt=1"))</f>
        <v/>
      </c>
      <c r="E122" s="8" t="str" cm="1">
        <f t="array" aca="1" ref="E122" ca="1">IF($B122="", "", _xll.IMDP("BND", $B122, E$7, $B$5))</f>
        <v/>
      </c>
      <c r="F122" s="8" t="str" cm="1">
        <f t="array" aca="1" ref="F122" ca="1">IF($B122="", "", _xll.IMDP("BND", $B122, F$7, $B$5))</f>
        <v/>
      </c>
      <c r="G122" s="8" t="str" cm="1">
        <f t="array" aca="1" ref="G122" ca="1">IF($B122="", "", _xll.IMDP("BND", $B122, G$7, $B$5))</f>
        <v/>
      </c>
      <c r="H122" s="8" t="str" cm="1">
        <f t="array" aca="1" ref="H122" ca="1">IF($B122="", "", _xll.IMDP("BND", $B122, H$7, $B$5))</f>
        <v/>
      </c>
      <c r="I122" s="11" t="str" cm="1">
        <f t="array" aca="1" ref="I122" ca="1">IF($B122="", "", _xll.IMDP("BND", $B122, I$7, $B$5))</f>
        <v/>
      </c>
      <c r="J122" s="10" t="str">
        <f t="shared" ca="1" si="1"/>
        <v/>
      </c>
      <c r="K122" s="8" t="str" cm="1">
        <f t="array" aca="1" ref="K122" ca="1">IFERROR( _xll.IMDP("BND", $B122, IF($I122="상장", "상장잔액", "발행액"), $B$5, "fill=true")/100, "")</f>
        <v/>
      </c>
    </row>
    <row r="123" spans="2:11">
      <c r="B123" s="13" t="str">
        <f ca="1">IFERROR(VLOOKUP( ROWS(대차거래!$B$9:B123), raw!$D:$E, 2, 0), "")</f>
        <v/>
      </c>
      <c r="C123" s="8" t="str">
        <f ca="1">IF($B123="", "", _xll.IMDP("BND", $B123, C$7))</f>
        <v/>
      </c>
      <c r="D123" s="9" t="str" cm="1">
        <f t="array" aca="1" ref="D123" ca="1">IF($B123="", "", _xll.IMDP("BND", $B123, D$7, $B$5, "DtFmt=1"))</f>
        <v/>
      </c>
      <c r="E123" s="8" t="str" cm="1">
        <f t="array" aca="1" ref="E123" ca="1">IF($B123="", "", _xll.IMDP("BND", $B123, E$7, $B$5))</f>
        <v/>
      </c>
      <c r="F123" s="8" t="str" cm="1">
        <f t="array" aca="1" ref="F123" ca="1">IF($B123="", "", _xll.IMDP("BND", $B123, F$7, $B$5))</f>
        <v/>
      </c>
      <c r="G123" s="8" t="str" cm="1">
        <f t="array" aca="1" ref="G123" ca="1">IF($B123="", "", _xll.IMDP("BND", $B123, G$7, $B$5))</f>
        <v/>
      </c>
      <c r="H123" s="8" t="str" cm="1">
        <f t="array" aca="1" ref="H123" ca="1">IF($B123="", "", _xll.IMDP("BND", $B123, H$7, $B$5))</f>
        <v/>
      </c>
      <c r="I123" s="11" t="str" cm="1">
        <f t="array" aca="1" ref="I123" ca="1">IF($B123="", "", _xll.IMDP("BND", $B123, I$7, $B$5))</f>
        <v/>
      </c>
      <c r="J123" s="10" t="str">
        <f t="shared" ca="1" si="1"/>
        <v/>
      </c>
      <c r="K123" s="8" t="str" cm="1">
        <f t="array" aca="1" ref="K123" ca="1">IFERROR( _xll.IMDP("BND", $B123, IF($I123="상장", "상장잔액", "발행액"), $B$5, "fill=true")/100, "")</f>
        <v/>
      </c>
    </row>
    <row r="124" spans="2:11">
      <c r="B124" s="13" t="str">
        <f ca="1">IFERROR(VLOOKUP( ROWS(대차거래!$B$9:B124), raw!$D:$E, 2, 0), "")</f>
        <v/>
      </c>
      <c r="C124" s="8" t="str">
        <f ca="1">IF($B124="", "", _xll.IMDP("BND", $B124, C$7))</f>
        <v/>
      </c>
      <c r="D124" s="9" t="str" cm="1">
        <f t="array" aca="1" ref="D124" ca="1">IF($B124="", "", _xll.IMDP("BND", $B124, D$7, $B$5, "DtFmt=1"))</f>
        <v/>
      </c>
      <c r="E124" s="8" t="str" cm="1">
        <f t="array" aca="1" ref="E124" ca="1">IF($B124="", "", _xll.IMDP("BND", $B124, E$7, $B$5))</f>
        <v/>
      </c>
      <c r="F124" s="8" t="str" cm="1">
        <f t="array" aca="1" ref="F124" ca="1">IF($B124="", "", _xll.IMDP("BND", $B124, F$7, $B$5))</f>
        <v/>
      </c>
      <c r="G124" s="8" t="str" cm="1">
        <f t="array" aca="1" ref="G124" ca="1">IF($B124="", "", _xll.IMDP("BND", $B124, G$7, $B$5))</f>
        <v/>
      </c>
      <c r="H124" s="8" t="str" cm="1">
        <f t="array" aca="1" ref="H124" ca="1">IF($B124="", "", _xll.IMDP("BND", $B124, H$7, $B$5))</f>
        <v/>
      </c>
      <c r="I124" s="11" t="str" cm="1">
        <f t="array" aca="1" ref="I124" ca="1">IF($B124="", "", _xll.IMDP("BND", $B124, I$7, $B$5))</f>
        <v/>
      </c>
      <c r="J124" s="10" t="str">
        <f t="shared" ca="1" si="1"/>
        <v/>
      </c>
      <c r="K124" s="8" t="str" cm="1">
        <f t="array" aca="1" ref="K124" ca="1">IFERROR( _xll.IMDP("BND", $B124, IF($I124="상장", "상장잔액", "발행액"), $B$5, "fill=true")/100, "")</f>
        <v/>
      </c>
    </row>
    <row r="125" spans="2:11">
      <c r="B125" s="13" t="str">
        <f ca="1">IFERROR(VLOOKUP( ROWS(대차거래!$B$9:B125), raw!$D:$E, 2, 0), "")</f>
        <v/>
      </c>
      <c r="C125" s="8" t="str">
        <f ca="1">IF($B125="", "", _xll.IMDP("BND", $B125, C$7))</f>
        <v/>
      </c>
      <c r="D125" s="9" t="str" cm="1">
        <f t="array" aca="1" ref="D125" ca="1">IF($B125="", "", _xll.IMDP("BND", $B125, D$7, $B$5, "DtFmt=1"))</f>
        <v/>
      </c>
      <c r="E125" s="8" t="str" cm="1">
        <f t="array" aca="1" ref="E125" ca="1">IF($B125="", "", _xll.IMDP("BND", $B125, E$7, $B$5))</f>
        <v/>
      </c>
      <c r="F125" s="8" t="str" cm="1">
        <f t="array" aca="1" ref="F125" ca="1">IF($B125="", "", _xll.IMDP("BND", $B125, F$7, $B$5))</f>
        <v/>
      </c>
      <c r="G125" s="8" t="str" cm="1">
        <f t="array" aca="1" ref="G125" ca="1">IF($B125="", "", _xll.IMDP("BND", $B125, G$7, $B$5))</f>
        <v/>
      </c>
      <c r="H125" s="8" t="str" cm="1">
        <f t="array" aca="1" ref="H125" ca="1">IF($B125="", "", _xll.IMDP("BND", $B125, H$7, $B$5))</f>
        <v/>
      </c>
      <c r="I125" s="11" t="str" cm="1">
        <f t="array" aca="1" ref="I125" ca="1">IF($B125="", "", _xll.IMDP("BND", $B125, I$7, $B$5))</f>
        <v/>
      </c>
      <c r="J125" s="10" t="str">
        <f t="shared" ca="1" si="1"/>
        <v/>
      </c>
      <c r="K125" s="8" t="str" cm="1">
        <f t="array" aca="1" ref="K125" ca="1">IFERROR( _xll.IMDP("BND", $B125, IF($I125="상장", "상장잔액", "발행액"), $B$5, "fill=true")/100, "")</f>
        <v/>
      </c>
    </row>
    <row r="126" spans="2:11">
      <c r="B126" s="13" t="str">
        <f ca="1">IFERROR(VLOOKUP( ROWS(대차거래!$B$9:B126), raw!$D:$E, 2, 0), "")</f>
        <v/>
      </c>
      <c r="C126" s="8" t="str">
        <f ca="1">IF($B126="", "", _xll.IMDP("BND", $B126, C$7))</f>
        <v/>
      </c>
      <c r="D126" s="9" t="str" cm="1">
        <f t="array" aca="1" ref="D126" ca="1">IF($B126="", "", _xll.IMDP("BND", $B126, D$7, $B$5, "DtFmt=1"))</f>
        <v/>
      </c>
      <c r="E126" s="8" t="str" cm="1">
        <f t="array" aca="1" ref="E126" ca="1">IF($B126="", "", _xll.IMDP("BND", $B126, E$7, $B$5))</f>
        <v/>
      </c>
      <c r="F126" s="8" t="str" cm="1">
        <f t="array" aca="1" ref="F126" ca="1">IF($B126="", "", _xll.IMDP("BND", $B126, F$7, $B$5))</f>
        <v/>
      </c>
      <c r="G126" s="8" t="str" cm="1">
        <f t="array" aca="1" ref="G126" ca="1">IF($B126="", "", _xll.IMDP("BND", $B126, G$7, $B$5))</f>
        <v/>
      </c>
      <c r="H126" s="8" t="str" cm="1">
        <f t="array" aca="1" ref="H126" ca="1">IF($B126="", "", _xll.IMDP("BND", $B126, H$7, $B$5))</f>
        <v/>
      </c>
      <c r="I126" s="11" t="str" cm="1">
        <f t="array" aca="1" ref="I126" ca="1">IF($B126="", "", _xll.IMDP("BND", $B126, I$7, $B$5))</f>
        <v/>
      </c>
      <c r="J126" s="10" t="str">
        <f t="shared" ca="1" si="1"/>
        <v/>
      </c>
      <c r="K126" s="8" t="str" cm="1">
        <f t="array" aca="1" ref="K126" ca="1">IFERROR( _xll.IMDP("BND", $B126, IF($I126="상장", "상장잔액", "발행액"), $B$5, "fill=true")/100, "")</f>
        <v/>
      </c>
    </row>
    <row r="127" spans="2:11">
      <c r="B127" s="13" t="str">
        <f ca="1">IFERROR(VLOOKUP( ROWS(대차거래!$B$9:B127), raw!$D:$E, 2, 0), "")</f>
        <v/>
      </c>
      <c r="C127" s="8" t="str">
        <f ca="1">IF($B127="", "", _xll.IMDP("BND", $B127, C$7))</f>
        <v/>
      </c>
      <c r="D127" s="9" t="str" cm="1">
        <f t="array" aca="1" ref="D127" ca="1">IF($B127="", "", _xll.IMDP("BND", $B127, D$7, $B$5, "DtFmt=1"))</f>
        <v/>
      </c>
      <c r="E127" s="8" t="str" cm="1">
        <f t="array" aca="1" ref="E127" ca="1">IF($B127="", "", _xll.IMDP("BND", $B127, E$7, $B$5))</f>
        <v/>
      </c>
      <c r="F127" s="8" t="str" cm="1">
        <f t="array" aca="1" ref="F127" ca="1">IF($B127="", "", _xll.IMDP("BND", $B127, F$7, $B$5))</f>
        <v/>
      </c>
      <c r="G127" s="8" t="str" cm="1">
        <f t="array" aca="1" ref="G127" ca="1">IF($B127="", "", _xll.IMDP("BND", $B127, G$7, $B$5))</f>
        <v/>
      </c>
      <c r="H127" s="8" t="str" cm="1">
        <f t="array" aca="1" ref="H127" ca="1">IF($B127="", "", _xll.IMDP("BND", $B127, H$7, $B$5))</f>
        <v/>
      </c>
      <c r="I127" s="11" t="str" cm="1">
        <f t="array" aca="1" ref="I127" ca="1">IF($B127="", "", _xll.IMDP("BND", $B127, I$7, $B$5))</f>
        <v/>
      </c>
      <c r="J127" s="10" t="str">
        <f t="shared" ca="1" si="1"/>
        <v/>
      </c>
      <c r="K127" s="8" t="str" cm="1">
        <f t="array" aca="1" ref="K127" ca="1">IFERROR( _xll.IMDP("BND", $B127, IF($I127="상장", "상장잔액", "발행액"), $B$5, "fill=true")/100, "")</f>
        <v/>
      </c>
    </row>
    <row r="128" spans="2:11">
      <c r="B128" s="13" t="str">
        <f ca="1">IFERROR(VLOOKUP( ROWS(대차거래!$B$9:B128), raw!$D:$E, 2, 0), "")</f>
        <v/>
      </c>
      <c r="C128" s="8" t="str">
        <f ca="1">IF($B128="", "", _xll.IMDP("BND", $B128, C$7))</f>
        <v/>
      </c>
      <c r="D128" s="9" t="str" cm="1">
        <f t="array" aca="1" ref="D128" ca="1">IF($B128="", "", _xll.IMDP("BND", $B128, D$7, $B$5, "DtFmt=1"))</f>
        <v/>
      </c>
      <c r="E128" s="8" t="str" cm="1">
        <f t="array" aca="1" ref="E128" ca="1">IF($B128="", "", _xll.IMDP("BND", $B128, E$7, $B$5))</f>
        <v/>
      </c>
      <c r="F128" s="8" t="str" cm="1">
        <f t="array" aca="1" ref="F128" ca="1">IF($B128="", "", _xll.IMDP("BND", $B128, F$7, $B$5))</f>
        <v/>
      </c>
      <c r="G128" s="8" t="str" cm="1">
        <f t="array" aca="1" ref="G128" ca="1">IF($B128="", "", _xll.IMDP("BND", $B128, G$7, $B$5))</f>
        <v/>
      </c>
      <c r="H128" s="8" t="str" cm="1">
        <f t="array" aca="1" ref="H128" ca="1">IF($B128="", "", _xll.IMDP("BND", $B128, H$7, $B$5))</f>
        <v/>
      </c>
      <c r="I128" s="11" t="str" cm="1">
        <f t="array" aca="1" ref="I128" ca="1">IF($B128="", "", _xll.IMDP("BND", $B128, I$7, $B$5))</f>
        <v/>
      </c>
      <c r="J128" s="10" t="str">
        <f t="shared" ca="1" si="1"/>
        <v/>
      </c>
      <c r="K128" s="8" t="str" cm="1">
        <f t="array" aca="1" ref="K128" ca="1">IFERROR( _xll.IMDP("BND", $B128, IF($I128="상장", "상장잔액", "발행액"), $B$5, "fill=true")/100, "")</f>
        <v/>
      </c>
    </row>
    <row r="129" spans="2:11">
      <c r="B129" s="13" t="str">
        <f ca="1">IFERROR(VLOOKUP( ROWS(대차거래!$B$9:B129), raw!$D:$E, 2, 0), "")</f>
        <v/>
      </c>
      <c r="C129" s="8" t="str">
        <f ca="1">IF($B129="", "", _xll.IMDP("BND", $B129, C$7))</f>
        <v/>
      </c>
      <c r="D129" s="9" t="str" cm="1">
        <f t="array" aca="1" ref="D129" ca="1">IF($B129="", "", _xll.IMDP("BND", $B129, D$7, $B$5, "DtFmt=1"))</f>
        <v/>
      </c>
      <c r="E129" s="8" t="str" cm="1">
        <f t="array" aca="1" ref="E129" ca="1">IF($B129="", "", _xll.IMDP("BND", $B129, E$7, $B$5))</f>
        <v/>
      </c>
      <c r="F129" s="8" t="str" cm="1">
        <f t="array" aca="1" ref="F129" ca="1">IF($B129="", "", _xll.IMDP("BND", $B129, F$7, $B$5))</f>
        <v/>
      </c>
      <c r="G129" s="8" t="str" cm="1">
        <f t="array" aca="1" ref="G129" ca="1">IF($B129="", "", _xll.IMDP("BND", $B129, G$7, $B$5))</f>
        <v/>
      </c>
      <c r="H129" s="8" t="str" cm="1">
        <f t="array" aca="1" ref="H129" ca="1">IF($B129="", "", _xll.IMDP("BND", $B129, H$7, $B$5))</f>
        <v/>
      </c>
      <c r="I129" s="11" t="str" cm="1">
        <f t="array" aca="1" ref="I129" ca="1">IF($B129="", "", _xll.IMDP("BND", $B129, I$7, $B$5))</f>
        <v/>
      </c>
      <c r="J129" s="10" t="str">
        <f t="shared" ca="1" si="1"/>
        <v/>
      </c>
      <c r="K129" s="8" t="str" cm="1">
        <f t="array" aca="1" ref="K129" ca="1">IFERROR( _xll.IMDP("BND", $B129, IF($I129="상장", "상장잔액", "발행액"), $B$5, "fill=true")/100, "")</f>
        <v/>
      </c>
    </row>
    <row r="130" spans="2:11">
      <c r="B130" s="13" t="str">
        <f ca="1">IFERROR(VLOOKUP( ROWS(대차거래!$B$9:B130), raw!$D:$E, 2, 0), "")</f>
        <v/>
      </c>
      <c r="C130" s="8" t="str">
        <f ca="1">IF($B130="", "", _xll.IMDP("BND", $B130, C$7))</f>
        <v/>
      </c>
      <c r="D130" s="9" t="str" cm="1">
        <f t="array" aca="1" ref="D130" ca="1">IF($B130="", "", _xll.IMDP("BND", $B130, D$7, $B$5, "DtFmt=1"))</f>
        <v/>
      </c>
      <c r="E130" s="8" t="str" cm="1">
        <f t="array" aca="1" ref="E130" ca="1">IF($B130="", "", _xll.IMDP("BND", $B130, E$7, $B$5))</f>
        <v/>
      </c>
      <c r="F130" s="8" t="str" cm="1">
        <f t="array" aca="1" ref="F130" ca="1">IF($B130="", "", _xll.IMDP("BND", $B130, F$7, $B$5))</f>
        <v/>
      </c>
      <c r="G130" s="8" t="str" cm="1">
        <f t="array" aca="1" ref="G130" ca="1">IF($B130="", "", _xll.IMDP("BND", $B130, G$7, $B$5))</f>
        <v/>
      </c>
      <c r="H130" s="8" t="str" cm="1">
        <f t="array" aca="1" ref="H130" ca="1">IF($B130="", "", _xll.IMDP("BND", $B130, H$7, $B$5))</f>
        <v/>
      </c>
      <c r="I130" s="11" t="str" cm="1">
        <f t="array" aca="1" ref="I130" ca="1">IF($B130="", "", _xll.IMDP("BND", $B130, I$7, $B$5))</f>
        <v/>
      </c>
      <c r="J130" s="10" t="str">
        <f t="shared" ca="1" si="1"/>
        <v/>
      </c>
      <c r="K130" s="8" t="str" cm="1">
        <f t="array" aca="1" ref="K130" ca="1">IFERROR( _xll.IMDP("BND", $B130, IF($I130="상장", "상장잔액", "발행액"), $B$5, "fill=true")/100, "")</f>
        <v/>
      </c>
    </row>
    <row r="131" spans="2:11">
      <c r="B131" s="13" t="str">
        <f ca="1">IFERROR(VLOOKUP( ROWS(대차거래!$B$9:B131), raw!$D:$E, 2, 0), "")</f>
        <v/>
      </c>
      <c r="C131" s="8" t="str">
        <f ca="1">IF($B131="", "", _xll.IMDP("BND", $B131, C$7))</f>
        <v/>
      </c>
      <c r="D131" s="9" t="str" cm="1">
        <f t="array" aca="1" ref="D131" ca="1">IF($B131="", "", _xll.IMDP("BND", $B131, D$7, $B$5, "DtFmt=1"))</f>
        <v/>
      </c>
      <c r="E131" s="8" t="str" cm="1">
        <f t="array" aca="1" ref="E131" ca="1">IF($B131="", "", _xll.IMDP("BND", $B131, E$7, $B$5))</f>
        <v/>
      </c>
      <c r="F131" s="8" t="str" cm="1">
        <f t="array" aca="1" ref="F131" ca="1">IF($B131="", "", _xll.IMDP("BND", $B131, F$7, $B$5))</f>
        <v/>
      </c>
      <c r="G131" s="8" t="str" cm="1">
        <f t="array" aca="1" ref="G131" ca="1">IF($B131="", "", _xll.IMDP("BND", $B131, G$7, $B$5))</f>
        <v/>
      </c>
      <c r="H131" s="8" t="str" cm="1">
        <f t="array" aca="1" ref="H131" ca="1">IF($B131="", "", _xll.IMDP("BND", $B131, H$7, $B$5))</f>
        <v/>
      </c>
      <c r="I131" s="11" t="str" cm="1">
        <f t="array" aca="1" ref="I131" ca="1">IF($B131="", "", _xll.IMDP("BND", $B131, I$7, $B$5))</f>
        <v/>
      </c>
      <c r="J131" s="10" t="str">
        <f t="shared" ca="1" si="1"/>
        <v/>
      </c>
      <c r="K131" s="8" t="str" cm="1">
        <f t="array" aca="1" ref="K131" ca="1">IFERROR( _xll.IMDP("BND", $B131, IF($I131="상장", "상장잔액", "발행액"), $B$5, "fill=true")/100, "")</f>
        <v/>
      </c>
    </row>
    <row r="132" spans="2:11">
      <c r="B132" s="13" t="str">
        <f ca="1">IFERROR(VLOOKUP( ROWS(대차거래!$B$9:B132), raw!$D:$E, 2, 0), "")</f>
        <v/>
      </c>
      <c r="C132" s="8" t="str">
        <f ca="1">IF($B132="", "", _xll.IMDP("BND", $B132, C$7))</f>
        <v/>
      </c>
      <c r="D132" s="9" t="str" cm="1">
        <f t="array" aca="1" ref="D132" ca="1">IF($B132="", "", _xll.IMDP("BND", $B132, D$7, $B$5, "DtFmt=1"))</f>
        <v/>
      </c>
      <c r="E132" s="8" t="str" cm="1">
        <f t="array" aca="1" ref="E132" ca="1">IF($B132="", "", _xll.IMDP("BND", $B132, E$7, $B$5))</f>
        <v/>
      </c>
      <c r="F132" s="8" t="str" cm="1">
        <f t="array" aca="1" ref="F132" ca="1">IF($B132="", "", _xll.IMDP("BND", $B132, F$7, $B$5))</f>
        <v/>
      </c>
      <c r="G132" s="8" t="str" cm="1">
        <f t="array" aca="1" ref="G132" ca="1">IF($B132="", "", _xll.IMDP("BND", $B132, G$7, $B$5))</f>
        <v/>
      </c>
      <c r="H132" s="8" t="str" cm="1">
        <f t="array" aca="1" ref="H132" ca="1">IF($B132="", "", _xll.IMDP("BND", $B132, H$7, $B$5))</f>
        <v/>
      </c>
      <c r="I132" s="11" t="str" cm="1">
        <f t="array" aca="1" ref="I132" ca="1">IF($B132="", "", _xll.IMDP("BND", $B132, I$7, $B$5))</f>
        <v/>
      </c>
      <c r="J132" s="10" t="str">
        <f t="shared" ca="1" si="1"/>
        <v/>
      </c>
      <c r="K132" s="8" t="str" cm="1">
        <f t="array" aca="1" ref="K132" ca="1">IFERROR( _xll.IMDP("BND", $B132, IF($I132="상장", "상장잔액", "발행액"), $B$5, "fill=true")/100, "")</f>
        <v/>
      </c>
    </row>
    <row r="133" spans="2:11">
      <c r="B133" s="13" t="str">
        <f ca="1">IFERROR(VLOOKUP( ROWS(대차거래!$B$9:B133), raw!$D:$E, 2, 0), "")</f>
        <v/>
      </c>
      <c r="C133" s="8" t="str">
        <f ca="1">IF($B133="", "", _xll.IMDP("BND", $B133, C$7))</f>
        <v/>
      </c>
      <c r="D133" s="9" t="str" cm="1">
        <f t="array" aca="1" ref="D133" ca="1">IF($B133="", "", _xll.IMDP("BND", $B133, D$7, $B$5, "DtFmt=1"))</f>
        <v/>
      </c>
      <c r="E133" s="8" t="str" cm="1">
        <f t="array" aca="1" ref="E133" ca="1">IF($B133="", "", _xll.IMDP("BND", $B133, E$7, $B$5))</f>
        <v/>
      </c>
      <c r="F133" s="8" t="str" cm="1">
        <f t="array" aca="1" ref="F133" ca="1">IF($B133="", "", _xll.IMDP("BND", $B133, F$7, $B$5))</f>
        <v/>
      </c>
      <c r="G133" s="8" t="str" cm="1">
        <f t="array" aca="1" ref="G133" ca="1">IF($B133="", "", _xll.IMDP("BND", $B133, G$7, $B$5))</f>
        <v/>
      </c>
      <c r="H133" s="8" t="str" cm="1">
        <f t="array" aca="1" ref="H133" ca="1">IF($B133="", "", _xll.IMDP("BND", $B133, H$7, $B$5))</f>
        <v/>
      </c>
      <c r="I133" s="11" t="str" cm="1">
        <f t="array" aca="1" ref="I133" ca="1">IF($B133="", "", _xll.IMDP("BND", $B133, I$7, $B$5))</f>
        <v/>
      </c>
      <c r="J133" s="10" t="str">
        <f t="shared" ca="1" si="1"/>
        <v/>
      </c>
      <c r="K133" s="8" t="str" cm="1">
        <f t="array" aca="1" ref="K133" ca="1">IFERROR( _xll.IMDP("BND", $B133, IF($I133="상장", "상장잔액", "발행액"), $B$5, "fill=true")/100, "")</f>
        <v/>
      </c>
    </row>
    <row r="134" spans="2:11">
      <c r="B134" s="13" t="str">
        <f ca="1">IFERROR(VLOOKUP( ROWS(대차거래!$B$9:B134), raw!$D:$E, 2, 0), "")</f>
        <v/>
      </c>
      <c r="C134" s="8" t="str">
        <f ca="1">IF($B134="", "", _xll.IMDP("BND", $B134, C$7))</f>
        <v/>
      </c>
      <c r="D134" s="9" t="str" cm="1">
        <f t="array" aca="1" ref="D134" ca="1">IF($B134="", "", _xll.IMDP("BND", $B134, D$7, $B$5, "DtFmt=1"))</f>
        <v/>
      </c>
      <c r="E134" s="8" t="str" cm="1">
        <f t="array" aca="1" ref="E134" ca="1">IF($B134="", "", _xll.IMDP("BND", $B134, E$7, $B$5))</f>
        <v/>
      </c>
      <c r="F134" s="8" t="str" cm="1">
        <f t="array" aca="1" ref="F134" ca="1">IF($B134="", "", _xll.IMDP("BND", $B134, F$7, $B$5))</f>
        <v/>
      </c>
      <c r="G134" s="8" t="str" cm="1">
        <f t="array" aca="1" ref="G134" ca="1">IF($B134="", "", _xll.IMDP("BND", $B134, G$7, $B$5))</f>
        <v/>
      </c>
      <c r="H134" s="8" t="str" cm="1">
        <f t="array" aca="1" ref="H134" ca="1">IF($B134="", "", _xll.IMDP("BND", $B134, H$7, $B$5))</f>
        <v/>
      </c>
      <c r="I134" s="11" t="str" cm="1">
        <f t="array" aca="1" ref="I134" ca="1">IF($B134="", "", _xll.IMDP("BND", $B134, I$7, $B$5))</f>
        <v/>
      </c>
      <c r="J134" s="10" t="str">
        <f t="shared" ca="1" si="1"/>
        <v/>
      </c>
      <c r="K134" s="8" t="str" cm="1">
        <f t="array" aca="1" ref="K134" ca="1">IFERROR( _xll.IMDP("BND", $B134, IF($I134="상장", "상장잔액", "발행액"), $B$5, "fill=true")/100, "")</f>
        <v/>
      </c>
    </row>
    <row r="135" spans="2:11">
      <c r="B135" s="13" t="str">
        <f ca="1">IFERROR(VLOOKUP( ROWS(대차거래!$B$9:B135), raw!$D:$E, 2, 0), "")</f>
        <v/>
      </c>
      <c r="C135" s="8" t="str">
        <f ca="1">IF($B135="", "", _xll.IMDP("BND", $B135, C$7))</f>
        <v/>
      </c>
      <c r="D135" s="9" t="str" cm="1">
        <f t="array" aca="1" ref="D135" ca="1">IF($B135="", "", _xll.IMDP("BND", $B135, D$7, $B$5, "DtFmt=1"))</f>
        <v/>
      </c>
      <c r="E135" s="8" t="str" cm="1">
        <f t="array" aca="1" ref="E135" ca="1">IF($B135="", "", _xll.IMDP("BND", $B135, E$7, $B$5))</f>
        <v/>
      </c>
      <c r="F135" s="8" t="str" cm="1">
        <f t="array" aca="1" ref="F135" ca="1">IF($B135="", "", _xll.IMDP("BND", $B135, F$7, $B$5))</f>
        <v/>
      </c>
      <c r="G135" s="8" t="str" cm="1">
        <f t="array" aca="1" ref="G135" ca="1">IF($B135="", "", _xll.IMDP("BND", $B135, G$7, $B$5))</f>
        <v/>
      </c>
      <c r="H135" s="8" t="str" cm="1">
        <f t="array" aca="1" ref="H135" ca="1">IF($B135="", "", _xll.IMDP("BND", $B135, H$7, $B$5))</f>
        <v/>
      </c>
      <c r="I135" s="11" t="str" cm="1">
        <f t="array" aca="1" ref="I135" ca="1">IF($B135="", "", _xll.IMDP("BND", $B135, I$7, $B$5))</f>
        <v/>
      </c>
      <c r="J135" s="10" t="str">
        <f t="shared" ca="1" si="1"/>
        <v/>
      </c>
      <c r="K135" s="8" t="str" cm="1">
        <f t="array" aca="1" ref="K135" ca="1">IFERROR( _xll.IMDP("BND", $B135, IF($I135="상장", "상장잔액", "발행액"), $B$5, "fill=true")/100, "")</f>
        <v/>
      </c>
    </row>
    <row r="136" spans="2:11">
      <c r="B136" s="13" t="str">
        <f ca="1">IFERROR(VLOOKUP( ROWS(대차거래!$B$9:B136), raw!$D:$E, 2, 0), "")</f>
        <v/>
      </c>
      <c r="C136" s="8" t="str">
        <f ca="1">IF($B136="", "", _xll.IMDP("BND", $B136, C$7))</f>
        <v/>
      </c>
      <c r="D136" s="9" t="str" cm="1">
        <f t="array" aca="1" ref="D136" ca="1">IF($B136="", "", _xll.IMDP("BND", $B136, D$7, $B$5, "DtFmt=1"))</f>
        <v/>
      </c>
      <c r="E136" s="8" t="str" cm="1">
        <f t="array" aca="1" ref="E136" ca="1">IF($B136="", "", _xll.IMDP("BND", $B136, E$7, $B$5))</f>
        <v/>
      </c>
      <c r="F136" s="8" t="str" cm="1">
        <f t="array" aca="1" ref="F136" ca="1">IF($B136="", "", _xll.IMDP("BND", $B136, F$7, $B$5))</f>
        <v/>
      </c>
      <c r="G136" s="8" t="str" cm="1">
        <f t="array" aca="1" ref="G136" ca="1">IF($B136="", "", _xll.IMDP("BND", $B136, G$7, $B$5))</f>
        <v/>
      </c>
      <c r="H136" s="8" t="str" cm="1">
        <f t="array" aca="1" ref="H136" ca="1">IF($B136="", "", _xll.IMDP("BND", $B136, H$7, $B$5))</f>
        <v/>
      </c>
      <c r="I136" s="11" t="str" cm="1">
        <f t="array" aca="1" ref="I136" ca="1">IF($B136="", "", _xll.IMDP("BND", $B136, I$7, $B$5))</f>
        <v/>
      </c>
      <c r="J136" s="10" t="str">
        <f t="shared" ca="1" si="1"/>
        <v/>
      </c>
      <c r="K136" s="8" t="str" cm="1">
        <f t="array" aca="1" ref="K136" ca="1">IFERROR( _xll.IMDP("BND", $B136, IF($I136="상장", "상장잔액", "발행액"), $B$5, "fill=true")/100, "")</f>
        <v/>
      </c>
    </row>
    <row r="137" spans="2:11">
      <c r="B137" s="13" t="str">
        <f ca="1">IFERROR(VLOOKUP( ROWS(대차거래!$B$9:B137), raw!$D:$E, 2, 0), "")</f>
        <v/>
      </c>
      <c r="C137" s="8" t="str">
        <f ca="1">IF($B137="", "", _xll.IMDP("BND", $B137, C$7))</f>
        <v/>
      </c>
      <c r="D137" s="9" t="str" cm="1">
        <f t="array" aca="1" ref="D137" ca="1">IF($B137="", "", _xll.IMDP("BND", $B137, D$7, $B$5, "DtFmt=1"))</f>
        <v/>
      </c>
      <c r="E137" s="8" t="str" cm="1">
        <f t="array" aca="1" ref="E137" ca="1">IF($B137="", "", _xll.IMDP("BND", $B137, E$7, $B$5))</f>
        <v/>
      </c>
      <c r="F137" s="8" t="str" cm="1">
        <f t="array" aca="1" ref="F137" ca="1">IF($B137="", "", _xll.IMDP("BND", $B137, F$7, $B$5))</f>
        <v/>
      </c>
      <c r="G137" s="8" t="str" cm="1">
        <f t="array" aca="1" ref="G137" ca="1">IF($B137="", "", _xll.IMDP("BND", $B137, G$7, $B$5))</f>
        <v/>
      </c>
      <c r="H137" s="8" t="str" cm="1">
        <f t="array" aca="1" ref="H137" ca="1">IF($B137="", "", _xll.IMDP("BND", $B137, H$7, $B$5))</f>
        <v/>
      </c>
      <c r="I137" s="11" t="str" cm="1">
        <f t="array" aca="1" ref="I137" ca="1">IF($B137="", "", _xll.IMDP("BND", $B137, I$7, $B$5))</f>
        <v/>
      </c>
      <c r="J137" s="10" t="str">
        <f t="shared" ca="1" si="1"/>
        <v/>
      </c>
      <c r="K137" s="8" t="str" cm="1">
        <f t="array" aca="1" ref="K137" ca="1">IFERROR( _xll.IMDP("BND", $B137, IF($I137="상장", "상장잔액", "발행액"), $B$5, "fill=true")/100, "")</f>
        <v/>
      </c>
    </row>
    <row r="138" spans="2:11">
      <c r="B138" s="13" t="str">
        <f ca="1">IFERROR(VLOOKUP( ROWS(대차거래!$B$9:B138), raw!$D:$E, 2, 0), "")</f>
        <v/>
      </c>
      <c r="C138" s="8" t="str">
        <f ca="1">IF($B138="", "", _xll.IMDP("BND", $B138, C$7))</f>
        <v/>
      </c>
      <c r="D138" s="9" t="str" cm="1">
        <f t="array" aca="1" ref="D138" ca="1">IF($B138="", "", _xll.IMDP("BND", $B138, D$7, $B$5, "DtFmt=1"))</f>
        <v/>
      </c>
      <c r="E138" s="8" t="str" cm="1">
        <f t="array" aca="1" ref="E138" ca="1">IF($B138="", "", _xll.IMDP("BND", $B138, E$7, $B$5))</f>
        <v/>
      </c>
      <c r="F138" s="8" t="str" cm="1">
        <f t="array" aca="1" ref="F138" ca="1">IF($B138="", "", _xll.IMDP("BND", $B138, F$7, $B$5))</f>
        <v/>
      </c>
      <c r="G138" s="8" t="str" cm="1">
        <f t="array" aca="1" ref="G138" ca="1">IF($B138="", "", _xll.IMDP("BND", $B138, G$7, $B$5))</f>
        <v/>
      </c>
      <c r="H138" s="8" t="str" cm="1">
        <f t="array" aca="1" ref="H138" ca="1">IF($B138="", "", _xll.IMDP("BND", $B138, H$7, $B$5))</f>
        <v/>
      </c>
      <c r="I138" s="11" t="str" cm="1">
        <f t="array" aca="1" ref="I138" ca="1">IF($B138="", "", _xll.IMDP("BND", $B138, I$7, $B$5))</f>
        <v/>
      </c>
      <c r="J138" s="10" t="str">
        <f t="shared" ref="J138:J201" ca="1" si="2">IF($H138="","",$H138*100/$K138)</f>
        <v/>
      </c>
      <c r="K138" s="8" t="str" cm="1">
        <f t="array" aca="1" ref="K138" ca="1">IFERROR( _xll.IMDP("BND", $B138, IF($I138="상장", "상장잔액", "발행액"), $B$5, "fill=true")/100, "")</f>
        <v/>
      </c>
    </row>
    <row r="139" spans="2:11">
      <c r="B139" s="13" t="str">
        <f ca="1">IFERROR(VLOOKUP( ROWS(대차거래!$B$9:B139), raw!$D:$E, 2, 0), "")</f>
        <v/>
      </c>
      <c r="C139" s="8" t="str">
        <f ca="1">IF($B139="", "", _xll.IMDP("BND", $B139, C$7))</f>
        <v/>
      </c>
      <c r="D139" s="9" t="str" cm="1">
        <f t="array" aca="1" ref="D139" ca="1">IF($B139="", "", _xll.IMDP("BND", $B139, D$7, $B$5, "DtFmt=1"))</f>
        <v/>
      </c>
      <c r="E139" s="8" t="str" cm="1">
        <f t="array" aca="1" ref="E139" ca="1">IF($B139="", "", _xll.IMDP("BND", $B139, E$7, $B$5))</f>
        <v/>
      </c>
      <c r="F139" s="8" t="str" cm="1">
        <f t="array" aca="1" ref="F139" ca="1">IF($B139="", "", _xll.IMDP("BND", $B139, F$7, $B$5))</f>
        <v/>
      </c>
      <c r="G139" s="8" t="str" cm="1">
        <f t="array" aca="1" ref="G139" ca="1">IF($B139="", "", _xll.IMDP("BND", $B139, G$7, $B$5))</f>
        <v/>
      </c>
      <c r="H139" s="8" t="str" cm="1">
        <f t="array" aca="1" ref="H139" ca="1">IF($B139="", "", _xll.IMDP("BND", $B139, H$7, $B$5))</f>
        <v/>
      </c>
      <c r="I139" s="11" t="str" cm="1">
        <f t="array" aca="1" ref="I139" ca="1">IF($B139="", "", _xll.IMDP("BND", $B139, I$7, $B$5))</f>
        <v/>
      </c>
      <c r="J139" s="10" t="str">
        <f t="shared" ca="1" si="2"/>
        <v/>
      </c>
      <c r="K139" s="8" t="str" cm="1">
        <f t="array" aca="1" ref="K139" ca="1">IFERROR( _xll.IMDP("BND", $B139, IF($I139="상장", "상장잔액", "발행액"), $B$5, "fill=true")/100, "")</f>
        <v/>
      </c>
    </row>
    <row r="140" spans="2:11">
      <c r="B140" s="13" t="str">
        <f ca="1">IFERROR(VLOOKUP( ROWS(대차거래!$B$9:B140), raw!$D:$E, 2, 0), "")</f>
        <v/>
      </c>
      <c r="C140" s="8" t="str">
        <f ca="1">IF($B140="", "", _xll.IMDP("BND", $B140, C$7))</f>
        <v/>
      </c>
      <c r="D140" s="9" t="str" cm="1">
        <f t="array" aca="1" ref="D140" ca="1">IF($B140="", "", _xll.IMDP("BND", $B140, D$7, $B$5, "DtFmt=1"))</f>
        <v/>
      </c>
      <c r="E140" s="8" t="str" cm="1">
        <f t="array" aca="1" ref="E140" ca="1">IF($B140="", "", _xll.IMDP("BND", $B140, E$7, $B$5))</f>
        <v/>
      </c>
      <c r="F140" s="8" t="str" cm="1">
        <f t="array" aca="1" ref="F140" ca="1">IF($B140="", "", _xll.IMDP("BND", $B140, F$7, $B$5))</f>
        <v/>
      </c>
      <c r="G140" s="8" t="str" cm="1">
        <f t="array" aca="1" ref="G140" ca="1">IF($B140="", "", _xll.IMDP("BND", $B140, G$7, $B$5))</f>
        <v/>
      </c>
      <c r="H140" s="8" t="str" cm="1">
        <f t="array" aca="1" ref="H140" ca="1">IF($B140="", "", _xll.IMDP("BND", $B140, H$7, $B$5))</f>
        <v/>
      </c>
      <c r="I140" s="11" t="str" cm="1">
        <f t="array" aca="1" ref="I140" ca="1">IF($B140="", "", _xll.IMDP("BND", $B140, I$7, $B$5))</f>
        <v/>
      </c>
      <c r="J140" s="10" t="str">
        <f t="shared" ca="1" si="2"/>
        <v/>
      </c>
      <c r="K140" s="8" t="str" cm="1">
        <f t="array" aca="1" ref="K140" ca="1">IFERROR( _xll.IMDP("BND", $B140, IF($I140="상장", "상장잔액", "발행액"), $B$5, "fill=true")/100, "")</f>
        <v/>
      </c>
    </row>
    <row r="141" spans="2:11">
      <c r="B141" s="13" t="str">
        <f ca="1">IFERROR(VLOOKUP( ROWS(대차거래!$B$9:B141), raw!$D:$E, 2, 0), "")</f>
        <v/>
      </c>
      <c r="C141" s="8" t="str">
        <f ca="1">IF($B141="", "", _xll.IMDP("BND", $B141, C$7))</f>
        <v/>
      </c>
      <c r="D141" s="9" t="str" cm="1">
        <f t="array" aca="1" ref="D141" ca="1">IF($B141="", "", _xll.IMDP("BND", $B141, D$7, $B$5, "DtFmt=1"))</f>
        <v/>
      </c>
      <c r="E141" s="8" t="str" cm="1">
        <f t="array" aca="1" ref="E141" ca="1">IF($B141="", "", _xll.IMDP("BND", $B141, E$7, $B$5))</f>
        <v/>
      </c>
      <c r="F141" s="8" t="str" cm="1">
        <f t="array" aca="1" ref="F141" ca="1">IF($B141="", "", _xll.IMDP("BND", $B141, F$7, $B$5))</f>
        <v/>
      </c>
      <c r="G141" s="8" t="str" cm="1">
        <f t="array" aca="1" ref="G141" ca="1">IF($B141="", "", _xll.IMDP("BND", $B141, G$7, $B$5))</f>
        <v/>
      </c>
      <c r="H141" s="8" t="str" cm="1">
        <f t="array" aca="1" ref="H141" ca="1">IF($B141="", "", _xll.IMDP("BND", $B141, H$7, $B$5))</f>
        <v/>
      </c>
      <c r="I141" s="11" t="str" cm="1">
        <f t="array" aca="1" ref="I141" ca="1">IF($B141="", "", _xll.IMDP("BND", $B141, I$7, $B$5))</f>
        <v/>
      </c>
      <c r="J141" s="10" t="str">
        <f t="shared" ca="1" si="2"/>
        <v/>
      </c>
      <c r="K141" s="8" t="str" cm="1">
        <f t="array" aca="1" ref="K141" ca="1">IFERROR( _xll.IMDP("BND", $B141, IF($I141="상장", "상장잔액", "발행액"), $B$5, "fill=true")/100, "")</f>
        <v/>
      </c>
    </row>
    <row r="142" spans="2:11">
      <c r="B142" s="13" t="str">
        <f ca="1">IFERROR(VLOOKUP( ROWS(대차거래!$B$9:B142), raw!$D:$E, 2, 0), "")</f>
        <v/>
      </c>
      <c r="C142" s="8" t="str">
        <f ca="1">IF($B142="", "", _xll.IMDP("BND", $B142, C$7))</f>
        <v/>
      </c>
      <c r="D142" s="9" t="str" cm="1">
        <f t="array" aca="1" ref="D142" ca="1">IF($B142="", "", _xll.IMDP("BND", $B142, D$7, $B$5, "DtFmt=1"))</f>
        <v/>
      </c>
      <c r="E142" s="8" t="str" cm="1">
        <f t="array" aca="1" ref="E142" ca="1">IF($B142="", "", _xll.IMDP("BND", $B142, E$7, $B$5))</f>
        <v/>
      </c>
      <c r="F142" s="8" t="str" cm="1">
        <f t="array" aca="1" ref="F142" ca="1">IF($B142="", "", _xll.IMDP("BND", $B142, F$7, $B$5))</f>
        <v/>
      </c>
      <c r="G142" s="8" t="str" cm="1">
        <f t="array" aca="1" ref="G142" ca="1">IF($B142="", "", _xll.IMDP("BND", $B142, G$7, $B$5))</f>
        <v/>
      </c>
      <c r="H142" s="8" t="str" cm="1">
        <f t="array" aca="1" ref="H142" ca="1">IF($B142="", "", _xll.IMDP("BND", $B142, H$7, $B$5))</f>
        <v/>
      </c>
      <c r="I142" s="11" t="str" cm="1">
        <f t="array" aca="1" ref="I142" ca="1">IF($B142="", "", _xll.IMDP("BND", $B142, I$7, $B$5))</f>
        <v/>
      </c>
      <c r="J142" s="10" t="str">
        <f t="shared" ca="1" si="2"/>
        <v/>
      </c>
      <c r="K142" s="8" t="str" cm="1">
        <f t="array" aca="1" ref="K142" ca="1">IFERROR( _xll.IMDP("BND", $B142, IF($I142="상장", "상장잔액", "발행액"), $B$5, "fill=true")/100, "")</f>
        <v/>
      </c>
    </row>
    <row r="143" spans="2:11">
      <c r="B143" s="13" t="str">
        <f ca="1">IFERROR(VLOOKUP( ROWS(대차거래!$B$9:B143), raw!$D:$E, 2, 0), "")</f>
        <v/>
      </c>
      <c r="C143" s="8" t="str">
        <f ca="1">IF($B143="", "", _xll.IMDP("BND", $B143, C$7))</f>
        <v/>
      </c>
      <c r="D143" s="9" t="str" cm="1">
        <f t="array" aca="1" ref="D143" ca="1">IF($B143="", "", _xll.IMDP("BND", $B143, D$7, $B$5, "DtFmt=1"))</f>
        <v/>
      </c>
      <c r="E143" s="8" t="str" cm="1">
        <f t="array" aca="1" ref="E143" ca="1">IF($B143="", "", _xll.IMDP("BND", $B143, E$7, $B$5))</f>
        <v/>
      </c>
      <c r="F143" s="8" t="str" cm="1">
        <f t="array" aca="1" ref="F143" ca="1">IF($B143="", "", _xll.IMDP("BND", $B143, F$7, $B$5))</f>
        <v/>
      </c>
      <c r="G143" s="8" t="str" cm="1">
        <f t="array" aca="1" ref="G143" ca="1">IF($B143="", "", _xll.IMDP("BND", $B143, G$7, $B$5))</f>
        <v/>
      </c>
      <c r="H143" s="8" t="str" cm="1">
        <f t="array" aca="1" ref="H143" ca="1">IF($B143="", "", _xll.IMDP("BND", $B143, H$7, $B$5))</f>
        <v/>
      </c>
      <c r="I143" s="11" t="str" cm="1">
        <f t="array" aca="1" ref="I143" ca="1">IF($B143="", "", _xll.IMDP("BND", $B143, I$7, $B$5))</f>
        <v/>
      </c>
      <c r="J143" s="10" t="str">
        <f t="shared" ca="1" si="2"/>
        <v/>
      </c>
      <c r="K143" s="8" t="str" cm="1">
        <f t="array" aca="1" ref="K143" ca="1">IFERROR( _xll.IMDP("BND", $B143, IF($I143="상장", "상장잔액", "발행액"), $B$5, "fill=true")/100, "")</f>
        <v/>
      </c>
    </row>
    <row r="144" spans="2:11">
      <c r="B144" s="13" t="str">
        <f ca="1">IFERROR(VLOOKUP( ROWS(대차거래!$B$9:B144), raw!$D:$E, 2, 0), "")</f>
        <v/>
      </c>
      <c r="C144" s="8" t="str">
        <f ca="1">IF($B144="", "", _xll.IMDP("BND", $B144, C$7))</f>
        <v/>
      </c>
      <c r="D144" s="9" t="str" cm="1">
        <f t="array" aca="1" ref="D144" ca="1">IF($B144="", "", _xll.IMDP("BND", $B144, D$7, $B$5, "DtFmt=1"))</f>
        <v/>
      </c>
      <c r="E144" s="8" t="str" cm="1">
        <f t="array" aca="1" ref="E144" ca="1">IF($B144="", "", _xll.IMDP("BND", $B144, E$7, $B$5))</f>
        <v/>
      </c>
      <c r="F144" s="8" t="str" cm="1">
        <f t="array" aca="1" ref="F144" ca="1">IF($B144="", "", _xll.IMDP("BND", $B144, F$7, $B$5))</f>
        <v/>
      </c>
      <c r="G144" s="8" t="str" cm="1">
        <f t="array" aca="1" ref="G144" ca="1">IF($B144="", "", _xll.IMDP("BND", $B144, G$7, $B$5))</f>
        <v/>
      </c>
      <c r="H144" s="8" t="str" cm="1">
        <f t="array" aca="1" ref="H144" ca="1">IF($B144="", "", _xll.IMDP("BND", $B144, H$7, $B$5))</f>
        <v/>
      </c>
      <c r="I144" s="11" t="str" cm="1">
        <f t="array" aca="1" ref="I144" ca="1">IF($B144="", "", _xll.IMDP("BND", $B144, I$7, $B$5))</f>
        <v/>
      </c>
      <c r="J144" s="10" t="str">
        <f t="shared" ca="1" si="2"/>
        <v/>
      </c>
      <c r="K144" s="8" t="str" cm="1">
        <f t="array" aca="1" ref="K144" ca="1">IFERROR( _xll.IMDP("BND", $B144, IF($I144="상장", "상장잔액", "발행액"), $B$5, "fill=true")/100, "")</f>
        <v/>
      </c>
    </row>
    <row r="145" spans="2:11">
      <c r="B145" s="13" t="str">
        <f ca="1">IFERROR(VLOOKUP( ROWS(대차거래!$B$9:B145), raw!$D:$E, 2, 0), "")</f>
        <v/>
      </c>
      <c r="C145" s="8" t="str">
        <f ca="1">IF($B145="", "", _xll.IMDP("BND", $B145, C$7))</f>
        <v/>
      </c>
      <c r="D145" s="9" t="str" cm="1">
        <f t="array" aca="1" ref="D145" ca="1">IF($B145="", "", _xll.IMDP("BND", $B145, D$7, $B$5, "DtFmt=1"))</f>
        <v/>
      </c>
      <c r="E145" s="8" t="str" cm="1">
        <f t="array" aca="1" ref="E145" ca="1">IF($B145="", "", _xll.IMDP("BND", $B145, E$7, $B$5))</f>
        <v/>
      </c>
      <c r="F145" s="8" t="str" cm="1">
        <f t="array" aca="1" ref="F145" ca="1">IF($B145="", "", _xll.IMDP("BND", $B145, F$7, $B$5))</f>
        <v/>
      </c>
      <c r="G145" s="8" t="str" cm="1">
        <f t="array" aca="1" ref="G145" ca="1">IF($B145="", "", _xll.IMDP("BND", $B145, G$7, $B$5))</f>
        <v/>
      </c>
      <c r="H145" s="8" t="str" cm="1">
        <f t="array" aca="1" ref="H145" ca="1">IF($B145="", "", _xll.IMDP("BND", $B145, H$7, $B$5))</f>
        <v/>
      </c>
      <c r="I145" s="11" t="str" cm="1">
        <f t="array" aca="1" ref="I145" ca="1">IF($B145="", "", _xll.IMDP("BND", $B145, I$7, $B$5))</f>
        <v/>
      </c>
      <c r="J145" s="10" t="str">
        <f t="shared" ca="1" si="2"/>
        <v/>
      </c>
      <c r="K145" s="8" t="str" cm="1">
        <f t="array" aca="1" ref="K145" ca="1">IFERROR( _xll.IMDP("BND", $B145, IF($I145="상장", "상장잔액", "발행액"), $B$5, "fill=true")/100, "")</f>
        <v/>
      </c>
    </row>
    <row r="146" spans="2:11">
      <c r="B146" s="13" t="str">
        <f ca="1">IFERROR(VLOOKUP( ROWS(대차거래!$B$9:B146), raw!$D:$E, 2, 0), "")</f>
        <v/>
      </c>
      <c r="C146" s="8" t="str">
        <f ca="1">IF($B146="", "", _xll.IMDP("BND", $B146, C$7))</f>
        <v/>
      </c>
      <c r="D146" s="9" t="str" cm="1">
        <f t="array" aca="1" ref="D146" ca="1">IF($B146="", "", _xll.IMDP("BND", $B146, D$7, $B$5, "DtFmt=1"))</f>
        <v/>
      </c>
      <c r="E146" s="8" t="str" cm="1">
        <f t="array" aca="1" ref="E146" ca="1">IF($B146="", "", _xll.IMDP("BND", $B146, E$7, $B$5))</f>
        <v/>
      </c>
      <c r="F146" s="8" t="str" cm="1">
        <f t="array" aca="1" ref="F146" ca="1">IF($B146="", "", _xll.IMDP("BND", $B146, F$7, $B$5))</f>
        <v/>
      </c>
      <c r="G146" s="8" t="str" cm="1">
        <f t="array" aca="1" ref="G146" ca="1">IF($B146="", "", _xll.IMDP("BND", $B146, G$7, $B$5))</f>
        <v/>
      </c>
      <c r="H146" s="8" t="str" cm="1">
        <f t="array" aca="1" ref="H146" ca="1">IF($B146="", "", _xll.IMDP("BND", $B146, H$7, $B$5))</f>
        <v/>
      </c>
      <c r="I146" s="11" t="str" cm="1">
        <f t="array" aca="1" ref="I146" ca="1">IF($B146="", "", _xll.IMDP("BND", $B146, I$7, $B$5))</f>
        <v/>
      </c>
      <c r="J146" s="10" t="str">
        <f t="shared" ca="1" si="2"/>
        <v/>
      </c>
      <c r="K146" s="8" t="str" cm="1">
        <f t="array" aca="1" ref="K146" ca="1">IFERROR( _xll.IMDP("BND", $B146, IF($I146="상장", "상장잔액", "발행액"), $B$5, "fill=true")/100, "")</f>
        <v/>
      </c>
    </row>
    <row r="147" spans="2:11">
      <c r="B147" s="13" t="str">
        <f ca="1">IFERROR(VLOOKUP( ROWS(대차거래!$B$9:B147), raw!$D:$E, 2, 0), "")</f>
        <v/>
      </c>
      <c r="C147" s="8" t="str">
        <f ca="1">IF($B147="", "", _xll.IMDP("BND", $B147, C$7))</f>
        <v/>
      </c>
      <c r="D147" s="9" t="str" cm="1">
        <f t="array" aca="1" ref="D147" ca="1">IF($B147="", "", _xll.IMDP("BND", $B147, D$7, $B$5, "DtFmt=1"))</f>
        <v/>
      </c>
      <c r="E147" s="8" t="str" cm="1">
        <f t="array" aca="1" ref="E147" ca="1">IF($B147="", "", _xll.IMDP("BND", $B147, E$7, $B$5))</f>
        <v/>
      </c>
      <c r="F147" s="8" t="str" cm="1">
        <f t="array" aca="1" ref="F147" ca="1">IF($B147="", "", _xll.IMDP("BND", $B147, F$7, $B$5))</f>
        <v/>
      </c>
      <c r="G147" s="8" t="str" cm="1">
        <f t="array" aca="1" ref="G147" ca="1">IF($B147="", "", _xll.IMDP("BND", $B147, G$7, $B$5))</f>
        <v/>
      </c>
      <c r="H147" s="8" t="str" cm="1">
        <f t="array" aca="1" ref="H147" ca="1">IF($B147="", "", _xll.IMDP("BND", $B147, H$7, $B$5))</f>
        <v/>
      </c>
      <c r="I147" s="11" t="str" cm="1">
        <f t="array" aca="1" ref="I147" ca="1">IF($B147="", "", _xll.IMDP("BND", $B147, I$7, $B$5))</f>
        <v/>
      </c>
      <c r="J147" s="10" t="str">
        <f t="shared" ca="1" si="2"/>
        <v/>
      </c>
      <c r="K147" s="8" t="str" cm="1">
        <f t="array" aca="1" ref="K147" ca="1">IFERROR( _xll.IMDP("BND", $B147, IF($I147="상장", "상장잔액", "발행액"), $B$5, "fill=true")/100, "")</f>
        <v/>
      </c>
    </row>
    <row r="148" spans="2:11">
      <c r="B148" s="13" t="str">
        <f ca="1">IFERROR(VLOOKUP( ROWS(대차거래!$B$9:B148), raw!$D:$E, 2, 0), "")</f>
        <v/>
      </c>
      <c r="C148" s="8" t="str">
        <f ca="1">IF($B148="", "", _xll.IMDP("BND", $B148, C$7))</f>
        <v/>
      </c>
      <c r="D148" s="9" t="str" cm="1">
        <f t="array" aca="1" ref="D148" ca="1">IF($B148="", "", _xll.IMDP("BND", $B148, D$7, $B$5, "DtFmt=1"))</f>
        <v/>
      </c>
      <c r="E148" s="8" t="str" cm="1">
        <f t="array" aca="1" ref="E148" ca="1">IF($B148="", "", _xll.IMDP("BND", $B148, E$7, $B$5))</f>
        <v/>
      </c>
      <c r="F148" s="8" t="str" cm="1">
        <f t="array" aca="1" ref="F148" ca="1">IF($B148="", "", _xll.IMDP("BND", $B148, F$7, $B$5))</f>
        <v/>
      </c>
      <c r="G148" s="8" t="str" cm="1">
        <f t="array" aca="1" ref="G148" ca="1">IF($B148="", "", _xll.IMDP("BND", $B148, G$7, $B$5))</f>
        <v/>
      </c>
      <c r="H148" s="8" t="str" cm="1">
        <f t="array" aca="1" ref="H148" ca="1">IF($B148="", "", _xll.IMDP("BND", $B148, H$7, $B$5))</f>
        <v/>
      </c>
      <c r="I148" s="11" t="str" cm="1">
        <f t="array" aca="1" ref="I148" ca="1">IF($B148="", "", _xll.IMDP("BND", $B148, I$7, $B$5))</f>
        <v/>
      </c>
      <c r="J148" s="10" t="str">
        <f t="shared" ca="1" si="2"/>
        <v/>
      </c>
      <c r="K148" s="8" t="str" cm="1">
        <f t="array" aca="1" ref="K148" ca="1">IFERROR( _xll.IMDP("BND", $B148, IF($I148="상장", "상장잔액", "발행액"), $B$5, "fill=true")/100, "")</f>
        <v/>
      </c>
    </row>
    <row r="149" spans="2:11">
      <c r="B149" s="13" t="str">
        <f ca="1">IFERROR(VLOOKUP( ROWS(대차거래!$B$9:B149), raw!$D:$E, 2, 0), "")</f>
        <v/>
      </c>
      <c r="C149" s="8" t="str">
        <f ca="1">IF($B149="", "", _xll.IMDP("BND", $B149, C$7))</f>
        <v/>
      </c>
      <c r="D149" s="9" t="str" cm="1">
        <f t="array" aca="1" ref="D149" ca="1">IF($B149="", "", _xll.IMDP("BND", $B149, D$7, $B$5, "DtFmt=1"))</f>
        <v/>
      </c>
      <c r="E149" s="8" t="str" cm="1">
        <f t="array" aca="1" ref="E149" ca="1">IF($B149="", "", _xll.IMDP("BND", $B149, E$7, $B$5))</f>
        <v/>
      </c>
      <c r="F149" s="8" t="str" cm="1">
        <f t="array" aca="1" ref="F149" ca="1">IF($B149="", "", _xll.IMDP("BND", $B149, F$7, $B$5))</f>
        <v/>
      </c>
      <c r="G149" s="8" t="str" cm="1">
        <f t="array" aca="1" ref="G149" ca="1">IF($B149="", "", _xll.IMDP("BND", $B149, G$7, $B$5))</f>
        <v/>
      </c>
      <c r="H149" s="8" t="str" cm="1">
        <f t="array" aca="1" ref="H149" ca="1">IF($B149="", "", _xll.IMDP("BND", $B149, H$7, $B$5))</f>
        <v/>
      </c>
      <c r="I149" s="11" t="str" cm="1">
        <f t="array" aca="1" ref="I149" ca="1">IF($B149="", "", _xll.IMDP("BND", $B149, I$7, $B$5))</f>
        <v/>
      </c>
      <c r="J149" s="10" t="str">
        <f t="shared" ca="1" si="2"/>
        <v/>
      </c>
      <c r="K149" s="8" t="str" cm="1">
        <f t="array" aca="1" ref="K149" ca="1">IFERROR( _xll.IMDP("BND", $B149, IF($I149="상장", "상장잔액", "발행액"), $B$5, "fill=true")/100, "")</f>
        <v/>
      </c>
    </row>
    <row r="150" spans="2:11">
      <c r="B150" s="13" t="str">
        <f ca="1">IFERROR(VLOOKUP( ROWS(대차거래!$B$9:B150), raw!$D:$E, 2, 0), "")</f>
        <v/>
      </c>
      <c r="C150" s="8" t="str">
        <f ca="1">IF($B150="", "", _xll.IMDP("BND", $B150, C$7))</f>
        <v/>
      </c>
      <c r="D150" s="9" t="str" cm="1">
        <f t="array" aca="1" ref="D150" ca="1">IF($B150="", "", _xll.IMDP("BND", $B150, D$7, $B$5, "DtFmt=1"))</f>
        <v/>
      </c>
      <c r="E150" s="8" t="str" cm="1">
        <f t="array" aca="1" ref="E150" ca="1">IF($B150="", "", _xll.IMDP("BND", $B150, E$7, $B$5))</f>
        <v/>
      </c>
      <c r="F150" s="8" t="str" cm="1">
        <f t="array" aca="1" ref="F150" ca="1">IF($B150="", "", _xll.IMDP("BND", $B150, F$7, $B$5))</f>
        <v/>
      </c>
      <c r="G150" s="8" t="str" cm="1">
        <f t="array" aca="1" ref="G150" ca="1">IF($B150="", "", _xll.IMDP("BND", $B150, G$7, $B$5))</f>
        <v/>
      </c>
      <c r="H150" s="8" t="str" cm="1">
        <f t="array" aca="1" ref="H150" ca="1">IF($B150="", "", _xll.IMDP("BND", $B150, H$7, $B$5))</f>
        <v/>
      </c>
      <c r="I150" s="11" t="str" cm="1">
        <f t="array" aca="1" ref="I150" ca="1">IF($B150="", "", _xll.IMDP("BND", $B150, I$7, $B$5))</f>
        <v/>
      </c>
      <c r="J150" s="10" t="str">
        <f t="shared" ca="1" si="2"/>
        <v/>
      </c>
      <c r="K150" s="8" t="str" cm="1">
        <f t="array" aca="1" ref="K150" ca="1">IFERROR( _xll.IMDP("BND", $B150, IF($I150="상장", "상장잔액", "발행액"), $B$5, "fill=true")/100, "")</f>
        <v/>
      </c>
    </row>
    <row r="151" spans="2:11">
      <c r="B151" s="13" t="str">
        <f ca="1">IFERROR(VLOOKUP( ROWS(대차거래!$B$9:B151), raw!$D:$E, 2, 0), "")</f>
        <v/>
      </c>
      <c r="C151" s="8" t="str">
        <f ca="1">IF($B151="", "", _xll.IMDP("BND", $B151, C$7))</f>
        <v/>
      </c>
      <c r="D151" s="9" t="str" cm="1">
        <f t="array" aca="1" ref="D151" ca="1">IF($B151="", "", _xll.IMDP("BND", $B151, D$7, $B$5, "DtFmt=1"))</f>
        <v/>
      </c>
      <c r="E151" s="8" t="str" cm="1">
        <f t="array" aca="1" ref="E151" ca="1">IF($B151="", "", _xll.IMDP("BND", $B151, E$7, $B$5))</f>
        <v/>
      </c>
      <c r="F151" s="8" t="str" cm="1">
        <f t="array" aca="1" ref="F151" ca="1">IF($B151="", "", _xll.IMDP("BND", $B151, F$7, $B$5))</f>
        <v/>
      </c>
      <c r="G151" s="8" t="str" cm="1">
        <f t="array" aca="1" ref="G151" ca="1">IF($B151="", "", _xll.IMDP("BND", $B151, G$7, $B$5))</f>
        <v/>
      </c>
      <c r="H151" s="8" t="str" cm="1">
        <f t="array" aca="1" ref="H151" ca="1">IF($B151="", "", _xll.IMDP("BND", $B151, H$7, $B$5))</f>
        <v/>
      </c>
      <c r="I151" s="11" t="str" cm="1">
        <f t="array" aca="1" ref="I151" ca="1">IF($B151="", "", _xll.IMDP("BND", $B151, I$7, $B$5))</f>
        <v/>
      </c>
      <c r="J151" s="10" t="str">
        <f t="shared" ca="1" si="2"/>
        <v/>
      </c>
      <c r="K151" s="8" t="str" cm="1">
        <f t="array" aca="1" ref="K151" ca="1">IFERROR( _xll.IMDP("BND", $B151, IF($I151="상장", "상장잔액", "발행액"), $B$5, "fill=true")/100, "")</f>
        <v/>
      </c>
    </row>
    <row r="152" spans="2:11">
      <c r="B152" s="13" t="str">
        <f ca="1">IFERROR(VLOOKUP( ROWS(대차거래!$B$9:B152), raw!$D:$E, 2, 0), "")</f>
        <v/>
      </c>
      <c r="C152" s="8" t="str">
        <f ca="1">IF($B152="", "", _xll.IMDP("BND", $B152, C$7))</f>
        <v/>
      </c>
      <c r="D152" s="9" t="str" cm="1">
        <f t="array" aca="1" ref="D152" ca="1">IF($B152="", "", _xll.IMDP("BND", $B152, D$7, $B$5, "DtFmt=1"))</f>
        <v/>
      </c>
      <c r="E152" s="8" t="str" cm="1">
        <f t="array" aca="1" ref="E152" ca="1">IF($B152="", "", _xll.IMDP("BND", $B152, E$7, $B$5))</f>
        <v/>
      </c>
      <c r="F152" s="8" t="str" cm="1">
        <f t="array" aca="1" ref="F152" ca="1">IF($B152="", "", _xll.IMDP("BND", $B152, F$7, $B$5))</f>
        <v/>
      </c>
      <c r="G152" s="8" t="str" cm="1">
        <f t="array" aca="1" ref="G152" ca="1">IF($B152="", "", _xll.IMDP("BND", $B152, G$7, $B$5))</f>
        <v/>
      </c>
      <c r="H152" s="8" t="str" cm="1">
        <f t="array" aca="1" ref="H152" ca="1">IF($B152="", "", _xll.IMDP("BND", $B152, H$7, $B$5))</f>
        <v/>
      </c>
      <c r="I152" s="11" t="str" cm="1">
        <f t="array" aca="1" ref="I152" ca="1">IF($B152="", "", _xll.IMDP("BND", $B152, I$7, $B$5))</f>
        <v/>
      </c>
      <c r="J152" s="10" t="str">
        <f t="shared" ca="1" si="2"/>
        <v/>
      </c>
      <c r="K152" s="8" t="str" cm="1">
        <f t="array" aca="1" ref="K152" ca="1">IFERROR( _xll.IMDP("BND", $B152, IF($I152="상장", "상장잔액", "발행액"), $B$5, "fill=true")/100, "")</f>
        <v/>
      </c>
    </row>
    <row r="153" spans="2:11">
      <c r="B153" s="13" t="str">
        <f ca="1">IFERROR(VLOOKUP( ROWS(대차거래!$B$9:B153), raw!$D:$E, 2, 0), "")</f>
        <v/>
      </c>
      <c r="C153" s="8" t="str">
        <f ca="1">IF($B153="", "", _xll.IMDP("BND", $B153, C$7))</f>
        <v/>
      </c>
      <c r="D153" s="9" t="str" cm="1">
        <f t="array" aca="1" ref="D153" ca="1">IF($B153="", "", _xll.IMDP("BND", $B153, D$7, $B$5, "DtFmt=1"))</f>
        <v/>
      </c>
      <c r="E153" s="8" t="str" cm="1">
        <f t="array" aca="1" ref="E153" ca="1">IF($B153="", "", _xll.IMDP("BND", $B153, E$7, $B$5))</f>
        <v/>
      </c>
      <c r="F153" s="8" t="str" cm="1">
        <f t="array" aca="1" ref="F153" ca="1">IF($B153="", "", _xll.IMDP("BND", $B153, F$7, $B$5))</f>
        <v/>
      </c>
      <c r="G153" s="8" t="str" cm="1">
        <f t="array" aca="1" ref="G153" ca="1">IF($B153="", "", _xll.IMDP("BND", $B153, G$7, $B$5))</f>
        <v/>
      </c>
      <c r="H153" s="8" t="str" cm="1">
        <f t="array" aca="1" ref="H153" ca="1">IF($B153="", "", _xll.IMDP("BND", $B153, H$7, $B$5))</f>
        <v/>
      </c>
      <c r="I153" s="11" t="str" cm="1">
        <f t="array" aca="1" ref="I153" ca="1">IF($B153="", "", _xll.IMDP("BND", $B153, I$7, $B$5))</f>
        <v/>
      </c>
      <c r="J153" s="10" t="str">
        <f t="shared" ca="1" si="2"/>
        <v/>
      </c>
      <c r="K153" s="8" t="str" cm="1">
        <f t="array" aca="1" ref="K153" ca="1">IFERROR( _xll.IMDP("BND", $B153, IF($I153="상장", "상장잔액", "발행액"), $B$5, "fill=true")/100, "")</f>
        <v/>
      </c>
    </row>
    <row r="154" spans="2:11">
      <c r="B154" s="13" t="str">
        <f ca="1">IFERROR(VLOOKUP( ROWS(대차거래!$B$9:B154), raw!$D:$E, 2, 0), "")</f>
        <v/>
      </c>
      <c r="C154" s="8" t="str">
        <f ca="1">IF($B154="", "", _xll.IMDP("BND", $B154, C$7))</f>
        <v/>
      </c>
      <c r="D154" s="9" t="str" cm="1">
        <f t="array" aca="1" ref="D154" ca="1">IF($B154="", "", _xll.IMDP("BND", $B154, D$7, $B$5, "DtFmt=1"))</f>
        <v/>
      </c>
      <c r="E154" s="8" t="str" cm="1">
        <f t="array" aca="1" ref="E154" ca="1">IF($B154="", "", _xll.IMDP("BND", $B154, E$7, $B$5))</f>
        <v/>
      </c>
      <c r="F154" s="8" t="str" cm="1">
        <f t="array" aca="1" ref="F154" ca="1">IF($B154="", "", _xll.IMDP("BND", $B154, F$7, $B$5))</f>
        <v/>
      </c>
      <c r="G154" s="8" t="str" cm="1">
        <f t="array" aca="1" ref="G154" ca="1">IF($B154="", "", _xll.IMDP("BND", $B154, G$7, $B$5))</f>
        <v/>
      </c>
      <c r="H154" s="8" t="str" cm="1">
        <f t="array" aca="1" ref="H154" ca="1">IF($B154="", "", _xll.IMDP("BND", $B154, H$7, $B$5))</f>
        <v/>
      </c>
      <c r="I154" s="11" t="str" cm="1">
        <f t="array" aca="1" ref="I154" ca="1">IF($B154="", "", _xll.IMDP("BND", $B154, I$7, $B$5))</f>
        <v/>
      </c>
      <c r="J154" s="10" t="str">
        <f t="shared" ca="1" si="2"/>
        <v/>
      </c>
      <c r="K154" s="8" t="str" cm="1">
        <f t="array" aca="1" ref="K154" ca="1">IFERROR( _xll.IMDP("BND", $B154, IF($I154="상장", "상장잔액", "발행액"), $B$5, "fill=true")/100, "")</f>
        <v/>
      </c>
    </row>
    <row r="155" spans="2:11">
      <c r="B155" s="13" t="str">
        <f ca="1">IFERROR(VLOOKUP( ROWS(대차거래!$B$9:B155), raw!$D:$E, 2, 0), "")</f>
        <v/>
      </c>
      <c r="C155" s="8" t="str">
        <f ca="1">IF($B155="", "", _xll.IMDP("BND", $B155, C$7))</f>
        <v/>
      </c>
      <c r="D155" s="9" t="str" cm="1">
        <f t="array" aca="1" ref="D155" ca="1">IF($B155="", "", _xll.IMDP("BND", $B155, D$7, $B$5, "DtFmt=1"))</f>
        <v/>
      </c>
      <c r="E155" s="8" t="str" cm="1">
        <f t="array" aca="1" ref="E155" ca="1">IF($B155="", "", _xll.IMDP("BND", $B155, E$7, $B$5))</f>
        <v/>
      </c>
      <c r="F155" s="8" t="str" cm="1">
        <f t="array" aca="1" ref="F155" ca="1">IF($B155="", "", _xll.IMDP("BND", $B155, F$7, $B$5))</f>
        <v/>
      </c>
      <c r="G155" s="8" t="str" cm="1">
        <f t="array" aca="1" ref="G155" ca="1">IF($B155="", "", _xll.IMDP("BND", $B155, G$7, $B$5))</f>
        <v/>
      </c>
      <c r="H155" s="8" t="str" cm="1">
        <f t="array" aca="1" ref="H155" ca="1">IF($B155="", "", _xll.IMDP("BND", $B155, H$7, $B$5))</f>
        <v/>
      </c>
      <c r="I155" s="11" t="str" cm="1">
        <f t="array" aca="1" ref="I155" ca="1">IF($B155="", "", _xll.IMDP("BND", $B155, I$7, $B$5))</f>
        <v/>
      </c>
      <c r="J155" s="10" t="str">
        <f t="shared" ca="1" si="2"/>
        <v/>
      </c>
      <c r="K155" s="8" t="str" cm="1">
        <f t="array" aca="1" ref="K155" ca="1">IFERROR( _xll.IMDP("BND", $B155, IF($I155="상장", "상장잔액", "발행액"), $B$5, "fill=true")/100, "")</f>
        <v/>
      </c>
    </row>
    <row r="156" spans="2:11">
      <c r="B156" s="13" t="str">
        <f ca="1">IFERROR(VLOOKUP( ROWS(대차거래!$B$9:B156), raw!$D:$E, 2, 0), "")</f>
        <v/>
      </c>
      <c r="C156" s="8" t="str">
        <f ca="1">IF($B156="", "", _xll.IMDP("BND", $B156, C$7))</f>
        <v/>
      </c>
      <c r="D156" s="9" t="str" cm="1">
        <f t="array" aca="1" ref="D156" ca="1">IF($B156="", "", _xll.IMDP("BND", $B156, D$7, $B$5, "DtFmt=1"))</f>
        <v/>
      </c>
      <c r="E156" s="8" t="str" cm="1">
        <f t="array" aca="1" ref="E156" ca="1">IF($B156="", "", _xll.IMDP("BND", $B156, E$7, $B$5))</f>
        <v/>
      </c>
      <c r="F156" s="8" t="str" cm="1">
        <f t="array" aca="1" ref="F156" ca="1">IF($B156="", "", _xll.IMDP("BND", $B156, F$7, $B$5))</f>
        <v/>
      </c>
      <c r="G156" s="8" t="str" cm="1">
        <f t="array" aca="1" ref="G156" ca="1">IF($B156="", "", _xll.IMDP("BND", $B156, G$7, $B$5))</f>
        <v/>
      </c>
      <c r="H156" s="8" t="str" cm="1">
        <f t="array" aca="1" ref="H156" ca="1">IF($B156="", "", _xll.IMDP("BND", $B156, H$7, $B$5))</f>
        <v/>
      </c>
      <c r="I156" s="11" t="str" cm="1">
        <f t="array" aca="1" ref="I156" ca="1">IF($B156="", "", _xll.IMDP("BND", $B156, I$7, $B$5))</f>
        <v/>
      </c>
      <c r="J156" s="10" t="str">
        <f t="shared" ca="1" si="2"/>
        <v/>
      </c>
      <c r="K156" s="8" t="str" cm="1">
        <f t="array" aca="1" ref="K156" ca="1">IFERROR( _xll.IMDP("BND", $B156, IF($I156="상장", "상장잔액", "발행액"), $B$5, "fill=true")/100, "")</f>
        <v/>
      </c>
    </row>
    <row r="157" spans="2:11">
      <c r="B157" s="13" t="str">
        <f ca="1">IFERROR(VLOOKUP( ROWS(대차거래!$B$9:B157), raw!$D:$E, 2, 0), "")</f>
        <v/>
      </c>
      <c r="C157" s="8" t="str">
        <f ca="1">IF($B157="", "", _xll.IMDP("BND", $B157, C$7))</f>
        <v/>
      </c>
      <c r="D157" s="9" t="str" cm="1">
        <f t="array" aca="1" ref="D157" ca="1">IF($B157="", "", _xll.IMDP("BND", $B157, D$7, $B$5, "DtFmt=1"))</f>
        <v/>
      </c>
      <c r="E157" s="8" t="str" cm="1">
        <f t="array" aca="1" ref="E157" ca="1">IF($B157="", "", _xll.IMDP("BND", $B157, E$7, $B$5))</f>
        <v/>
      </c>
      <c r="F157" s="8" t="str" cm="1">
        <f t="array" aca="1" ref="F157" ca="1">IF($B157="", "", _xll.IMDP("BND", $B157, F$7, $B$5))</f>
        <v/>
      </c>
      <c r="G157" s="8" t="str" cm="1">
        <f t="array" aca="1" ref="G157" ca="1">IF($B157="", "", _xll.IMDP("BND", $B157, G$7, $B$5))</f>
        <v/>
      </c>
      <c r="H157" s="8" t="str" cm="1">
        <f t="array" aca="1" ref="H157" ca="1">IF($B157="", "", _xll.IMDP("BND", $B157, H$7, $B$5))</f>
        <v/>
      </c>
      <c r="I157" s="11" t="str" cm="1">
        <f t="array" aca="1" ref="I157" ca="1">IF($B157="", "", _xll.IMDP("BND", $B157, I$7, $B$5))</f>
        <v/>
      </c>
      <c r="J157" s="10" t="str">
        <f t="shared" ca="1" si="2"/>
        <v/>
      </c>
      <c r="K157" s="8" t="str" cm="1">
        <f t="array" aca="1" ref="K157" ca="1">IFERROR( _xll.IMDP("BND", $B157, IF($I157="상장", "상장잔액", "발행액"), $B$5, "fill=true")/100, "")</f>
        <v/>
      </c>
    </row>
    <row r="158" spans="2:11">
      <c r="B158" s="13" t="str">
        <f ca="1">IFERROR(VLOOKUP( ROWS(대차거래!$B$9:B158), raw!$D:$E, 2, 0), "")</f>
        <v/>
      </c>
      <c r="C158" s="8" t="str">
        <f ca="1">IF($B158="", "", _xll.IMDP("BND", $B158, C$7))</f>
        <v/>
      </c>
      <c r="D158" s="9" t="str" cm="1">
        <f t="array" aca="1" ref="D158" ca="1">IF($B158="", "", _xll.IMDP("BND", $B158, D$7, $B$5, "DtFmt=1"))</f>
        <v/>
      </c>
      <c r="E158" s="8" t="str" cm="1">
        <f t="array" aca="1" ref="E158" ca="1">IF($B158="", "", _xll.IMDP("BND", $B158, E$7, $B$5))</f>
        <v/>
      </c>
      <c r="F158" s="8" t="str" cm="1">
        <f t="array" aca="1" ref="F158" ca="1">IF($B158="", "", _xll.IMDP("BND", $B158, F$7, $B$5))</f>
        <v/>
      </c>
      <c r="G158" s="8" t="str" cm="1">
        <f t="array" aca="1" ref="G158" ca="1">IF($B158="", "", _xll.IMDP("BND", $B158, G$7, $B$5))</f>
        <v/>
      </c>
      <c r="H158" s="8" t="str" cm="1">
        <f t="array" aca="1" ref="H158" ca="1">IF($B158="", "", _xll.IMDP("BND", $B158, H$7, $B$5))</f>
        <v/>
      </c>
      <c r="I158" s="11" t="str" cm="1">
        <f t="array" aca="1" ref="I158" ca="1">IF($B158="", "", _xll.IMDP("BND", $B158, I$7, $B$5))</f>
        <v/>
      </c>
      <c r="J158" s="10" t="str">
        <f t="shared" ca="1" si="2"/>
        <v/>
      </c>
      <c r="K158" s="8" t="str" cm="1">
        <f t="array" aca="1" ref="K158" ca="1">IFERROR( _xll.IMDP("BND", $B158, IF($I158="상장", "상장잔액", "발행액"), $B$5, "fill=true")/100, "")</f>
        <v/>
      </c>
    </row>
    <row r="159" spans="2:11">
      <c r="B159" s="13" t="str">
        <f ca="1">IFERROR(VLOOKUP( ROWS(대차거래!$B$9:B159), raw!$D:$E, 2, 0), "")</f>
        <v/>
      </c>
      <c r="C159" s="8" t="str">
        <f ca="1">IF($B159="", "", _xll.IMDP("BND", $B159, C$7))</f>
        <v/>
      </c>
      <c r="D159" s="9" t="str" cm="1">
        <f t="array" aca="1" ref="D159" ca="1">IF($B159="", "", _xll.IMDP("BND", $B159, D$7, $B$5, "DtFmt=1"))</f>
        <v/>
      </c>
      <c r="E159" s="8" t="str" cm="1">
        <f t="array" aca="1" ref="E159" ca="1">IF($B159="", "", _xll.IMDP("BND", $B159, E$7, $B$5))</f>
        <v/>
      </c>
      <c r="F159" s="8" t="str" cm="1">
        <f t="array" aca="1" ref="F159" ca="1">IF($B159="", "", _xll.IMDP("BND", $B159, F$7, $B$5))</f>
        <v/>
      </c>
      <c r="G159" s="8" t="str" cm="1">
        <f t="array" aca="1" ref="G159" ca="1">IF($B159="", "", _xll.IMDP("BND", $B159, G$7, $B$5))</f>
        <v/>
      </c>
      <c r="H159" s="8" t="str" cm="1">
        <f t="array" aca="1" ref="H159" ca="1">IF($B159="", "", _xll.IMDP("BND", $B159, H$7, $B$5))</f>
        <v/>
      </c>
      <c r="I159" s="11" t="str" cm="1">
        <f t="array" aca="1" ref="I159" ca="1">IF($B159="", "", _xll.IMDP("BND", $B159, I$7, $B$5))</f>
        <v/>
      </c>
      <c r="J159" s="10" t="str">
        <f t="shared" ca="1" si="2"/>
        <v/>
      </c>
      <c r="K159" s="8" t="str" cm="1">
        <f t="array" aca="1" ref="K159" ca="1">IFERROR( _xll.IMDP("BND", $B159, IF($I159="상장", "상장잔액", "발행액"), $B$5, "fill=true")/100, "")</f>
        <v/>
      </c>
    </row>
    <row r="160" spans="2:11">
      <c r="B160" s="13" t="str">
        <f ca="1">IFERROR(VLOOKUP( ROWS(대차거래!$B$9:B160), raw!$D:$E, 2, 0), "")</f>
        <v/>
      </c>
      <c r="C160" s="8" t="str">
        <f ca="1">IF($B160="", "", _xll.IMDP("BND", $B160, C$7))</f>
        <v/>
      </c>
      <c r="D160" s="9" t="str" cm="1">
        <f t="array" aca="1" ref="D160" ca="1">IF($B160="", "", _xll.IMDP("BND", $B160, D$7, $B$5, "DtFmt=1"))</f>
        <v/>
      </c>
      <c r="E160" s="8" t="str" cm="1">
        <f t="array" aca="1" ref="E160" ca="1">IF($B160="", "", _xll.IMDP("BND", $B160, E$7, $B$5))</f>
        <v/>
      </c>
      <c r="F160" s="8" t="str" cm="1">
        <f t="array" aca="1" ref="F160" ca="1">IF($B160="", "", _xll.IMDP("BND", $B160, F$7, $B$5))</f>
        <v/>
      </c>
      <c r="G160" s="8" t="str" cm="1">
        <f t="array" aca="1" ref="G160" ca="1">IF($B160="", "", _xll.IMDP("BND", $B160, G$7, $B$5))</f>
        <v/>
      </c>
      <c r="H160" s="8" t="str" cm="1">
        <f t="array" aca="1" ref="H160" ca="1">IF($B160="", "", _xll.IMDP("BND", $B160, H$7, $B$5))</f>
        <v/>
      </c>
      <c r="I160" s="11" t="str" cm="1">
        <f t="array" aca="1" ref="I160" ca="1">IF($B160="", "", _xll.IMDP("BND", $B160, I$7, $B$5))</f>
        <v/>
      </c>
      <c r="J160" s="10" t="str">
        <f t="shared" ca="1" si="2"/>
        <v/>
      </c>
      <c r="K160" s="8" t="str" cm="1">
        <f t="array" aca="1" ref="K160" ca="1">IFERROR( _xll.IMDP("BND", $B160, IF($I160="상장", "상장잔액", "발행액"), $B$5, "fill=true")/100, "")</f>
        <v/>
      </c>
    </row>
    <row r="161" spans="2:11">
      <c r="B161" s="13" t="str">
        <f ca="1">IFERROR(VLOOKUP( ROWS(대차거래!$B$9:B161), raw!$D:$E, 2, 0), "")</f>
        <v/>
      </c>
      <c r="C161" s="8" t="str">
        <f ca="1">IF($B161="", "", _xll.IMDP("BND", $B161, C$7))</f>
        <v/>
      </c>
      <c r="D161" s="9" t="str" cm="1">
        <f t="array" aca="1" ref="D161" ca="1">IF($B161="", "", _xll.IMDP("BND", $B161, D$7, $B$5, "DtFmt=1"))</f>
        <v/>
      </c>
      <c r="E161" s="8" t="str" cm="1">
        <f t="array" aca="1" ref="E161" ca="1">IF($B161="", "", _xll.IMDP("BND", $B161, E$7, $B$5))</f>
        <v/>
      </c>
      <c r="F161" s="8" t="str" cm="1">
        <f t="array" aca="1" ref="F161" ca="1">IF($B161="", "", _xll.IMDP("BND", $B161, F$7, $B$5))</f>
        <v/>
      </c>
      <c r="G161" s="8" t="str" cm="1">
        <f t="array" aca="1" ref="G161" ca="1">IF($B161="", "", _xll.IMDP("BND", $B161, G$7, $B$5))</f>
        <v/>
      </c>
      <c r="H161" s="8" t="str" cm="1">
        <f t="array" aca="1" ref="H161" ca="1">IF($B161="", "", _xll.IMDP("BND", $B161, H$7, $B$5))</f>
        <v/>
      </c>
      <c r="I161" s="11" t="str" cm="1">
        <f t="array" aca="1" ref="I161" ca="1">IF($B161="", "", _xll.IMDP("BND", $B161, I$7, $B$5))</f>
        <v/>
      </c>
      <c r="J161" s="10" t="str">
        <f t="shared" ca="1" si="2"/>
        <v/>
      </c>
      <c r="K161" s="8" t="str" cm="1">
        <f t="array" aca="1" ref="K161" ca="1">IFERROR( _xll.IMDP("BND", $B161, IF($I161="상장", "상장잔액", "발행액"), $B$5, "fill=true")/100, "")</f>
        <v/>
      </c>
    </row>
    <row r="162" spans="2:11">
      <c r="B162" s="13" t="str">
        <f ca="1">IFERROR(VLOOKUP( ROWS(대차거래!$B$9:B162), raw!$D:$E, 2, 0), "")</f>
        <v/>
      </c>
      <c r="C162" s="8" t="str">
        <f ca="1">IF($B162="", "", _xll.IMDP("BND", $B162, C$7))</f>
        <v/>
      </c>
      <c r="D162" s="9" t="str" cm="1">
        <f t="array" aca="1" ref="D162" ca="1">IF($B162="", "", _xll.IMDP("BND", $B162, D$7, $B$5, "DtFmt=1"))</f>
        <v/>
      </c>
      <c r="E162" s="8" t="str" cm="1">
        <f t="array" aca="1" ref="E162" ca="1">IF($B162="", "", _xll.IMDP("BND", $B162, E$7, $B$5))</f>
        <v/>
      </c>
      <c r="F162" s="8" t="str" cm="1">
        <f t="array" aca="1" ref="F162" ca="1">IF($B162="", "", _xll.IMDP("BND", $B162, F$7, $B$5))</f>
        <v/>
      </c>
      <c r="G162" s="8" t="str" cm="1">
        <f t="array" aca="1" ref="G162" ca="1">IF($B162="", "", _xll.IMDP("BND", $B162, G$7, $B$5))</f>
        <v/>
      </c>
      <c r="H162" s="8" t="str" cm="1">
        <f t="array" aca="1" ref="H162" ca="1">IF($B162="", "", _xll.IMDP("BND", $B162, H$7, $B$5))</f>
        <v/>
      </c>
      <c r="I162" s="11" t="str" cm="1">
        <f t="array" aca="1" ref="I162" ca="1">IF($B162="", "", _xll.IMDP("BND", $B162, I$7, $B$5))</f>
        <v/>
      </c>
      <c r="J162" s="10" t="str">
        <f t="shared" ca="1" si="2"/>
        <v/>
      </c>
      <c r="K162" s="8" t="str" cm="1">
        <f t="array" aca="1" ref="K162" ca="1">IFERROR( _xll.IMDP("BND", $B162, IF($I162="상장", "상장잔액", "발행액"), $B$5, "fill=true")/100, "")</f>
        <v/>
      </c>
    </row>
    <row r="163" spans="2:11">
      <c r="B163" s="13" t="str">
        <f ca="1">IFERROR(VLOOKUP( ROWS(대차거래!$B$9:B163), raw!$D:$E, 2, 0), "")</f>
        <v/>
      </c>
      <c r="C163" s="8" t="str">
        <f ca="1">IF($B163="", "", _xll.IMDP("BND", $B163, C$7))</f>
        <v/>
      </c>
      <c r="D163" s="9" t="str" cm="1">
        <f t="array" aca="1" ref="D163" ca="1">IF($B163="", "", _xll.IMDP("BND", $B163, D$7, $B$5, "DtFmt=1"))</f>
        <v/>
      </c>
      <c r="E163" s="8" t="str" cm="1">
        <f t="array" aca="1" ref="E163" ca="1">IF($B163="", "", _xll.IMDP("BND", $B163, E$7, $B$5))</f>
        <v/>
      </c>
      <c r="F163" s="8" t="str" cm="1">
        <f t="array" aca="1" ref="F163" ca="1">IF($B163="", "", _xll.IMDP("BND", $B163, F$7, $B$5))</f>
        <v/>
      </c>
      <c r="G163" s="8" t="str" cm="1">
        <f t="array" aca="1" ref="G163" ca="1">IF($B163="", "", _xll.IMDP("BND", $B163, G$7, $B$5))</f>
        <v/>
      </c>
      <c r="H163" s="8" t="str" cm="1">
        <f t="array" aca="1" ref="H163" ca="1">IF($B163="", "", _xll.IMDP("BND", $B163, H$7, $B$5))</f>
        <v/>
      </c>
      <c r="I163" s="11" t="str" cm="1">
        <f t="array" aca="1" ref="I163" ca="1">IF($B163="", "", _xll.IMDP("BND", $B163, I$7, $B$5))</f>
        <v/>
      </c>
      <c r="J163" s="10" t="str">
        <f t="shared" ca="1" si="2"/>
        <v/>
      </c>
      <c r="K163" s="8" t="str" cm="1">
        <f t="array" aca="1" ref="K163" ca="1">IFERROR( _xll.IMDP("BND", $B163, IF($I163="상장", "상장잔액", "발행액"), $B$5, "fill=true")/100, "")</f>
        <v/>
      </c>
    </row>
    <row r="164" spans="2:11">
      <c r="B164" s="13" t="str">
        <f ca="1">IFERROR(VLOOKUP( ROWS(대차거래!$B$9:B164), raw!$D:$E, 2, 0), "")</f>
        <v/>
      </c>
      <c r="C164" s="8" t="str">
        <f ca="1">IF($B164="", "", _xll.IMDP("BND", $B164, C$7))</f>
        <v/>
      </c>
      <c r="D164" s="9" t="str" cm="1">
        <f t="array" aca="1" ref="D164" ca="1">IF($B164="", "", _xll.IMDP("BND", $B164, D$7, $B$5, "DtFmt=1"))</f>
        <v/>
      </c>
      <c r="E164" s="8" t="str" cm="1">
        <f t="array" aca="1" ref="E164" ca="1">IF($B164="", "", _xll.IMDP("BND", $B164, E$7, $B$5))</f>
        <v/>
      </c>
      <c r="F164" s="8" t="str" cm="1">
        <f t="array" aca="1" ref="F164" ca="1">IF($B164="", "", _xll.IMDP("BND", $B164, F$7, $B$5))</f>
        <v/>
      </c>
      <c r="G164" s="8" t="str" cm="1">
        <f t="array" aca="1" ref="G164" ca="1">IF($B164="", "", _xll.IMDP("BND", $B164, G$7, $B$5))</f>
        <v/>
      </c>
      <c r="H164" s="8" t="str" cm="1">
        <f t="array" aca="1" ref="H164" ca="1">IF($B164="", "", _xll.IMDP("BND", $B164, H$7, $B$5))</f>
        <v/>
      </c>
      <c r="I164" s="11" t="str" cm="1">
        <f t="array" aca="1" ref="I164" ca="1">IF($B164="", "", _xll.IMDP("BND", $B164, I$7, $B$5))</f>
        <v/>
      </c>
      <c r="J164" s="10" t="str">
        <f t="shared" ca="1" si="2"/>
        <v/>
      </c>
      <c r="K164" s="8" t="str" cm="1">
        <f t="array" aca="1" ref="K164" ca="1">IFERROR( _xll.IMDP("BND", $B164, IF($I164="상장", "상장잔액", "발행액"), $B$5, "fill=true")/100, "")</f>
        <v/>
      </c>
    </row>
    <row r="165" spans="2:11">
      <c r="B165" s="13" t="str">
        <f ca="1">IFERROR(VLOOKUP( ROWS(대차거래!$B$9:B165), raw!$D:$E, 2, 0), "")</f>
        <v/>
      </c>
      <c r="C165" s="8" t="str">
        <f ca="1">IF($B165="", "", _xll.IMDP("BND", $B165, C$7))</f>
        <v/>
      </c>
      <c r="D165" s="9" t="str" cm="1">
        <f t="array" aca="1" ref="D165" ca="1">IF($B165="", "", _xll.IMDP("BND", $B165, D$7, $B$5, "DtFmt=1"))</f>
        <v/>
      </c>
      <c r="E165" s="8" t="str" cm="1">
        <f t="array" aca="1" ref="E165" ca="1">IF($B165="", "", _xll.IMDP("BND", $B165, E$7, $B$5))</f>
        <v/>
      </c>
      <c r="F165" s="8" t="str" cm="1">
        <f t="array" aca="1" ref="F165" ca="1">IF($B165="", "", _xll.IMDP("BND", $B165, F$7, $B$5))</f>
        <v/>
      </c>
      <c r="G165" s="8" t="str" cm="1">
        <f t="array" aca="1" ref="G165" ca="1">IF($B165="", "", _xll.IMDP("BND", $B165, G$7, $B$5))</f>
        <v/>
      </c>
      <c r="H165" s="8" t="str" cm="1">
        <f t="array" aca="1" ref="H165" ca="1">IF($B165="", "", _xll.IMDP("BND", $B165, H$7, $B$5))</f>
        <v/>
      </c>
      <c r="I165" s="11" t="str" cm="1">
        <f t="array" aca="1" ref="I165" ca="1">IF($B165="", "", _xll.IMDP("BND", $B165, I$7, $B$5))</f>
        <v/>
      </c>
      <c r="J165" s="10" t="str">
        <f t="shared" ca="1" si="2"/>
        <v/>
      </c>
      <c r="K165" s="8" t="str" cm="1">
        <f t="array" aca="1" ref="K165" ca="1">IFERROR( _xll.IMDP("BND", $B165, IF($I165="상장", "상장잔액", "발행액"), $B$5, "fill=true")/100, "")</f>
        <v/>
      </c>
    </row>
    <row r="166" spans="2:11">
      <c r="B166" s="13" t="str">
        <f ca="1">IFERROR(VLOOKUP( ROWS(대차거래!$B$9:B166), raw!$D:$E, 2, 0), "")</f>
        <v/>
      </c>
      <c r="C166" s="8" t="str">
        <f ca="1">IF($B166="", "", _xll.IMDP("BND", $B166, C$7))</f>
        <v/>
      </c>
      <c r="D166" s="9" t="str" cm="1">
        <f t="array" aca="1" ref="D166" ca="1">IF($B166="", "", _xll.IMDP("BND", $B166, D$7, $B$5, "DtFmt=1"))</f>
        <v/>
      </c>
      <c r="E166" s="8" t="str" cm="1">
        <f t="array" aca="1" ref="E166" ca="1">IF($B166="", "", _xll.IMDP("BND", $B166, E$7, $B$5))</f>
        <v/>
      </c>
      <c r="F166" s="8" t="str" cm="1">
        <f t="array" aca="1" ref="F166" ca="1">IF($B166="", "", _xll.IMDP("BND", $B166, F$7, $B$5))</f>
        <v/>
      </c>
      <c r="G166" s="8" t="str" cm="1">
        <f t="array" aca="1" ref="G166" ca="1">IF($B166="", "", _xll.IMDP("BND", $B166, G$7, $B$5))</f>
        <v/>
      </c>
      <c r="H166" s="8" t="str" cm="1">
        <f t="array" aca="1" ref="H166" ca="1">IF($B166="", "", _xll.IMDP("BND", $B166, H$7, $B$5))</f>
        <v/>
      </c>
      <c r="I166" s="11" t="str" cm="1">
        <f t="array" aca="1" ref="I166" ca="1">IF($B166="", "", _xll.IMDP("BND", $B166, I$7, $B$5))</f>
        <v/>
      </c>
      <c r="J166" s="10" t="str">
        <f t="shared" ca="1" si="2"/>
        <v/>
      </c>
      <c r="K166" s="8" t="str" cm="1">
        <f t="array" aca="1" ref="K166" ca="1">IFERROR( _xll.IMDP("BND", $B166, IF($I166="상장", "상장잔액", "발행액"), $B$5, "fill=true")/100, "")</f>
        <v/>
      </c>
    </row>
    <row r="167" spans="2:11">
      <c r="B167" s="13" t="str">
        <f ca="1">IFERROR(VLOOKUP( ROWS(대차거래!$B$9:B167), raw!$D:$E, 2, 0), "")</f>
        <v/>
      </c>
      <c r="C167" s="8" t="str">
        <f ca="1">IF($B167="", "", _xll.IMDP("BND", $B167, C$7))</f>
        <v/>
      </c>
      <c r="D167" s="9" t="str" cm="1">
        <f t="array" aca="1" ref="D167" ca="1">IF($B167="", "", _xll.IMDP("BND", $B167, D$7, $B$5, "DtFmt=1"))</f>
        <v/>
      </c>
      <c r="E167" s="8" t="str" cm="1">
        <f t="array" aca="1" ref="E167" ca="1">IF($B167="", "", _xll.IMDP("BND", $B167, E$7, $B$5))</f>
        <v/>
      </c>
      <c r="F167" s="8" t="str" cm="1">
        <f t="array" aca="1" ref="F167" ca="1">IF($B167="", "", _xll.IMDP("BND", $B167, F$7, $B$5))</f>
        <v/>
      </c>
      <c r="G167" s="8" t="str" cm="1">
        <f t="array" aca="1" ref="G167" ca="1">IF($B167="", "", _xll.IMDP("BND", $B167, G$7, $B$5))</f>
        <v/>
      </c>
      <c r="H167" s="8" t="str" cm="1">
        <f t="array" aca="1" ref="H167" ca="1">IF($B167="", "", _xll.IMDP("BND", $B167, H$7, $B$5))</f>
        <v/>
      </c>
      <c r="I167" s="11" t="str" cm="1">
        <f t="array" aca="1" ref="I167" ca="1">IF($B167="", "", _xll.IMDP("BND", $B167, I$7, $B$5))</f>
        <v/>
      </c>
      <c r="J167" s="10" t="str">
        <f t="shared" ca="1" si="2"/>
        <v/>
      </c>
      <c r="K167" s="8" t="str" cm="1">
        <f t="array" aca="1" ref="K167" ca="1">IFERROR( _xll.IMDP("BND", $B167, IF($I167="상장", "상장잔액", "발행액"), $B$5, "fill=true")/100, "")</f>
        <v/>
      </c>
    </row>
    <row r="168" spans="2:11">
      <c r="B168" s="13" t="str">
        <f ca="1">IFERROR(VLOOKUP( ROWS(대차거래!$B$9:B168), raw!$D:$E, 2, 0), "")</f>
        <v/>
      </c>
      <c r="C168" s="8" t="str">
        <f ca="1">IF($B168="", "", _xll.IMDP("BND", $B168, C$7))</f>
        <v/>
      </c>
      <c r="D168" s="9" t="str" cm="1">
        <f t="array" aca="1" ref="D168" ca="1">IF($B168="", "", _xll.IMDP("BND", $B168, D$7, $B$5, "DtFmt=1"))</f>
        <v/>
      </c>
      <c r="E168" s="8" t="str" cm="1">
        <f t="array" aca="1" ref="E168" ca="1">IF($B168="", "", _xll.IMDP("BND", $B168, E$7, $B$5))</f>
        <v/>
      </c>
      <c r="F168" s="8" t="str" cm="1">
        <f t="array" aca="1" ref="F168" ca="1">IF($B168="", "", _xll.IMDP("BND", $B168, F$7, $B$5))</f>
        <v/>
      </c>
      <c r="G168" s="8" t="str" cm="1">
        <f t="array" aca="1" ref="G168" ca="1">IF($B168="", "", _xll.IMDP("BND", $B168, G$7, $B$5))</f>
        <v/>
      </c>
      <c r="H168" s="8" t="str" cm="1">
        <f t="array" aca="1" ref="H168" ca="1">IF($B168="", "", _xll.IMDP("BND", $B168, H$7, $B$5))</f>
        <v/>
      </c>
      <c r="I168" s="11" t="str" cm="1">
        <f t="array" aca="1" ref="I168" ca="1">IF($B168="", "", _xll.IMDP("BND", $B168, I$7, $B$5))</f>
        <v/>
      </c>
      <c r="J168" s="10" t="str">
        <f t="shared" ca="1" si="2"/>
        <v/>
      </c>
      <c r="K168" s="8" t="str" cm="1">
        <f t="array" aca="1" ref="K168" ca="1">IFERROR( _xll.IMDP("BND", $B168, IF($I168="상장", "상장잔액", "발행액"), $B$5, "fill=true")/100, "")</f>
        <v/>
      </c>
    </row>
    <row r="169" spans="2:11">
      <c r="B169" s="13" t="str">
        <f ca="1">IFERROR(VLOOKUP( ROWS(대차거래!$B$9:B169), raw!$D:$E, 2, 0), "")</f>
        <v/>
      </c>
      <c r="C169" s="8" t="str">
        <f ca="1">IF($B169="", "", _xll.IMDP("BND", $B169, C$7))</f>
        <v/>
      </c>
      <c r="D169" s="9" t="str" cm="1">
        <f t="array" aca="1" ref="D169" ca="1">IF($B169="", "", _xll.IMDP("BND", $B169, D$7, $B$5, "DtFmt=1"))</f>
        <v/>
      </c>
      <c r="E169" s="8" t="str" cm="1">
        <f t="array" aca="1" ref="E169" ca="1">IF($B169="", "", _xll.IMDP("BND", $B169, E$7, $B$5))</f>
        <v/>
      </c>
      <c r="F169" s="8" t="str" cm="1">
        <f t="array" aca="1" ref="F169" ca="1">IF($B169="", "", _xll.IMDP("BND", $B169, F$7, $B$5))</f>
        <v/>
      </c>
      <c r="G169" s="8" t="str" cm="1">
        <f t="array" aca="1" ref="G169" ca="1">IF($B169="", "", _xll.IMDP("BND", $B169, G$7, $B$5))</f>
        <v/>
      </c>
      <c r="H169" s="8" t="str" cm="1">
        <f t="array" aca="1" ref="H169" ca="1">IF($B169="", "", _xll.IMDP("BND", $B169, H$7, $B$5))</f>
        <v/>
      </c>
      <c r="I169" s="11" t="str" cm="1">
        <f t="array" aca="1" ref="I169" ca="1">IF($B169="", "", _xll.IMDP("BND", $B169, I$7, $B$5))</f>
        <v/>
      </c>
      <c r="J169" s="10" t="str">
        <f t="shared" ca="1" si="2"/>
        <v/>
      </c>
      <c r="K169" s="8" t="str" cm="1">
        <f t="array" aca="1" ref="K169" ca="1">IFERROR( _xll.IMDP("BND", $B169, IF($I169="상장", "상장잔액", "발행액"), $B$5, "fill=true")/100, "")</f>
        <v/>
      </c>
    </row>
    <row r="170" spans="2:11">
      <c r="B170" s="13" t="str">
        <f ca="1">IFERROR(VLOOKUP( ROWS(대차거래!$B$9:B170), raw!$D:$E, 2, 0), "")</f>
        <v/>
      </c>
      <c r="C170" s="8" t="str">
        <f ca="1">IF($B170="", "", _xll.IMDP("BND", $B170, C$7))</f>
        <v/>
      </c>
      <c r="D170" s="9" t="str" cm="1">
        <f t="array" aca="1" ref="D170" ca="1">IF($B170="", "", _xll.IMDP("BND", $B170, D$7, $B$5, "DtFmt=1"))</f>
        <v/>
      </c>
      <c r="E170" s="8" t="str" cm="1">
        <f t="array" aca="1" ref="E170" ca="1">IF($B170="", "", _xll.IMDP("BND", $B170, E$7, $B$5))</f>
        <v/>
      </c>
      <c r="F170" s="8" t="str" cm="1">
        <f t="array" aca="1" ref="F170" ca="1">IF($B170="", "", _xll.IMDP("BND", $B170, F$7, $B$5))</f>
        <v/>
      </c>
      <c r="G170" s="8" t="str" cm="1">
        <f t="array" aca="1" ref="G170" ca="1">IF($B170="", "", _xll.IMDP("BND", $B170, G$7, $B$5))</f>
        <v/>
      </c>
      <c r="H170" s="8" t="str" cm="1">
        <f t="array" aca="1" ref="H170" ca="1">IF($B170="", "", _xll.IMDP("BND", $B170, H$7, $B$5))</f>
        <v/>
      </c>
      <c r="I170" s="11" t="str" cm="1">
        <f t="array" aca="1" ref="I170" ca="1">IF($B170="", "", _xll.IMDP("BND", $B170, I$7, $B$5))</f>
        <v/>
      </c>
      <c r="J170" s="10" t="str">
        <f t="shared" ca="1" si="2"/>
        <v/>
      </c>
      <c r="K170" s="8" t="str" cm="1">
        <f t="array" aca="1" ref="K170" ca="1">IFERROR( _xll.IMDP("BND", $B170, IF($I170="상장", "상장잔액", "발행액"), $B$5, "fill=true")/100, "")</f>
        <v/>
      </c>
    </row>
    <row r="171" spans="2:11">
      <c r="B171" s="13" t="str">
        <f ca="1">IFERROR(VLOOKUP( ROWS(대차거래!$B$9:B171), raw!$D:$E, 2, 0), "")</f>
        <v/>
      </c>
      <c r="C171" s="8" t="str">
        <f ca="1">IF($B171="", "", _xll.IMDP("BND", $B171, C$7))</f>
        <v/>
      </c>
      <c r="D171" s="9" t="str" cm="1">
        <f t="array" aca="1" ref="D171" ca="1">IF($B171="", "", _xll.IMDP("BND", $B171, D$7, $B$5, "DtFmt=1"))</f>
        <v/>
      </c>
      <c r="E171" s="8" t="str" cm="1">
        <f t="array" aca="1" ref="E171" ca="1">IF($B171="", "", _xll.IMDP("BND", $B171, E$7, $B$5))</f>
        <v/>
      </c>
      <c r="F171" s="8" t="str" cm="1">
        <f t="array" aca="1" ref="F171" ca="1">IF($B171="", "", _xll.IMDP("BND", $B171, F$7, $B$5))</f>
        <v/>
      </c>
      <c r="G171" s="8" t="str" cm="1">
        <f t="array" aca="1" ref="G171" ca="1">IF($B171="", "", _xll.IMDP("BND", $B171, G$7, $B$5))</f>
        <v/>
      </c>
      <c r="H171" s="8" t="str" cm="1">
        <f t="array" aca="1" ref="H171" ca="1">IF($B171="", "", _xll.IMDP("BND", $B171, H$7, $B$5))</f>
        <v/>
      </c>
      <c r="I171" s="11" t="str" cm="1">
        <f t="array" aca="1" ref="I171" ca="1">IF($B171="", "", _xll.IMDP("BND", $B171, I$7, $B$5))</f>
        <v/>
      </c>
      <c r="J171" s="10" t="str">
        <f t="shared" ca="1" si="2"/>
        <v/>
      </c>
      <c r="K171" s="8" t="str" cm="1">
        <f t="array" aca="1" ref="K171" ca="1">IFERROR( _xll.IMDP("BND", $B171, IF($I171="상장", "상장잔액", "발행액"), $B$5, "fill=true")/100, "")</f>
        <v/>
      </c>
    </row>
    <row r="172" spans="2:11">
      <c r="B172" s="13" t="str">
        <f ca="1">IFERROR(VLOOKUP( ROWS(대차거래!$B$9:B172), raw!$D:$E, 2, 0), "")</f>
        <v/>
      </c>
      <c r="C172" s="8" t="str">
        <f ca="1">IF($B172="", "", _xll.IMDP("BND", $B172, C$7))</f>
        <v/>
      </c>
      <c r="D172" s="9" t="str" cm="1">
        <f t="array" aca="1" ref="D172" ca="1">IF($B172="", "", _xll.IMDP("BND", $B172, D$7, $B$5, "DtFmt=1"))</f>
        <v/>
      </c>
      <c r="E172" s="8" t="str" cm="1">
        <f t="array" aca="1" ref="E172" ca="1">IF($B172="", "", _xll.IMDP("BND", $B172, E$7, $B$5))</f>
        <v/>
      </c>
      <c r="F172" s="8" t="str" cm="1">
        <f t="array" aca="1" ref="F172" ca="1">IF($B172="", "", _xll.IMDP("BND", $B172, F$7, $B$5))</f>
        <v/>
      </c>
      <c r="G172" s="8" t="str" cm="1">
        <f t="array" aca="1" ref="G172" ca="1">IF($B172="", "", _xll.IMDP("BND", $B172, G$7, $B$5))</f>
        <v/>
      </c>
      <c r="H172" s="8" t="str" cm="1">
        <f t="array" aca="1" ref="H172" ca="1">IF($B172="", "", _xll.IMDP("BND", $B172, H$7, $B$5))</f>
        <v/>
      </c>
      <c r="I172" s="11" t="str" cm="1">
        <f t="array" aca="1" ref="I172" ca="1">IF($B172="", "", _xll.IMDP("BND", $B172, I$7, $B$5))</f>
        <v/>
      </c>
      <c r="J172" s="10" t="str">
        <f t="shared" ca="1" si="2"/>
        <v/>
      </c>
      <c r="K172" s="8" t="str" cm="1">
        <f t="array" aca="1" ref="K172" ca="1">IFERROR( _xll.IMDP("BND", $B172, IF($I172="상장", "상장잔액", "발행액"), $B$5, "fill=true")/100, "")</f>
        <v/>
      </c>
    </row>
    <row r="173" spans="2:11">
      <c r="B173" s="13" t="str">
        <f ca="1">IFERROR(VLOOKUP( ROWS(대차거래!$B$9:B173), raw!$D:$E, 2, 0), "")</f>
        <v/>
      </c>
      <c r="C173" s="8" t="str">
        <f ca="1">IF($B173="", "", _xll.IMDP("BND", $B173, C$7))</f>
        <v/>
      </c>
      <c r="D173" s="9" t="str" cm="1">
        <f t="array" aca="1" ref="D173" ca="1">IF($B173="", "", _xll.IMDP("BND", $B173, D$7, $B$5, "DtFmt=1"))</f>
        <v/>
      </c>
      <c r="E173" s="8" t="str" cm="1">
        <f t="array" aca="1" ref="E173" ca="1">IF($B173="", "", _xll.IMDP("BND", $B173, E$7, $B$5))</f>
        <v/>
      </c>
      <c r="F173" s="8" t="str" cm="1">
        <f t="array" aca="1" ref="F173" ca="1">IF($B173="", "", _xll.IMDP("BND", $B173, F$7, $B$5))</f>
        <v/>
      </c>
      <c r="G173" s="8" t="str" cm="1">
        <f t="array" aca="1" ref="G173" ca="1">IF($B173="", "", _xll.IMDP("BND", $B173, G$7, $B$5))</f>
        <v/>
      </c>
      <c r="H173" s="8" t="str" cm="1">
        <f t="array" aca="1" ref="H173" ca="1">IF($B173="", "", _xll.IMDP("BND", $B173, H$7, $B$5))</f>
        <v/>
      </c>
      <c r="I173" s="11" t="str" cm="1">
        <f t="array" aca="1" ref="I173" ca="1">IF($B173="", "", _xll.IMDP("BND", $B173, I$7, $B$5))</f>
        <v/>
      </c>
      <c r="J173" s="10" t="str">
        <f t="shared" ca="1" si="2"/>
        <v/>
      </c>
      <c r="K173" s="8" t="str" cm="1">
        <f t="array" aca="1" ref="K173" ca="1">IFERROR( _xll.IMDP("BND", $B173, IF($I173="상장", "상장잔액", "발행액"), $B$5, "fill=true")/100, "")</f>
        <v/>
      </c>
    </row>
    <row r="174" spans="2:11">
      <c r="B174" s="13" t="str">
        <f ca="1">IFERROR(VLOOKUP( ROWS(대차거래!$B$9:B174), raw!$D:$E, 2, 0), "")</f>
        <v/>
      </c>
      <c r="C174" s="8" t="str">
        <f ca="1">IF($B174="", "", _xll.IMDP("BND", $B174, C$7))</f>
        <v/>
      </c>
      <c r="D174" s="9" t="str" cm="1">
        <f t="array" aca="1" ref="D174" ca="1">IF($B174="", "", _xll.IMDP("BND", $B174, D$7, $B$5, "DtFmt=1"))</f>
        <v/>
      </c>
      <c r="E174" s="8" t="str" cm="1">
        <f t="array" aca="1" ref="E174" ca="1">IF($B174="", "", _xll.IMDP("BND", $B174, E$7, $B$5))</f>
        <v/>
      </c>
      <c r="F174" s="8" t="str" cm="1">
        <f t="array" aca="1" ref="F174" ca="1">IF($B174="", "", _xll.IMDP("BND", $B174, F$7, $B$5))</f>
        <v/>
      </c>
      <c r="G174" s="8" t="str" cm="1">
        <f t="array" aca="1" ref="G174" ca="1">IF($B174="", "", _xll.IMDP("BND", $B174, G$7, $B$5))</f>
        <v/>
      </c>
      <c r="H174" s="8" t="str" cm="1">
        <f t="array" aca="1" ref="H174" ca="1">IF($B174="", "", _xll.IMDP("BND", $B174, H$7, $B$5))</f>
        <v/>
      </c>
      <c r="I174" s="11" t="str" cm="1">
        <f t="array" aca="1" ref="I174" ca="1">IF($B174="", "", _xll.IMDP("BND", $B174, I$7, $B$5))</f>
        <v/>
      </c>
      <c r="J174" s="10" t="str">
        <f t="shared" ca="1" si="2"/>
        <v/>
      </c>
      <c r="K174" s="8" t="str" cm="1">
        <f t="array" aca="1" ref="K174" ca="1">IFERROR( _xll.IMDP("BND", $B174, IF($I174="상장", "상장잔액", "발행액"), $B$5, "fill=true")/100, "")</f>
        <v/>
      </c>
    </row>
    <row r="175" spans="2:11">
      <c r="B175" s="13" t="str">
        <f ca="1">IFERROR(VLOOKUP( ROWS(대차거래!$B$9:B175), raw!$D:$E, 2, 0), "")</f>
        <v/>
      </c>
      <c r="C175" s="8" t="str">
        <f ca="1">IF($B175="", "", _xll.IMDP("BND", $B175, C$7))</f>
        <v/>
      </c>
      <c r="D175" s="9" t="str" cm="1">
        <f t="array" aca="1" ref="D175" ca="1">IF($B175="", "", _xll.IMDP("BND", $B175, D$7, $B$5, "DtFmt=1"))</f>
        <v/>
      </c>
      <c r="E175" s="8" t="str" cm="1">
        <f t="array" aca="1" ref="E175" ca="1">IF($B175="", "", _xll.IMDP("BND", $B175, E$7, $B$5))</f>
        <v/>
      </c>
      <c r="F175" s="8" t="str" cm="1">
        <f t="array" aca="1" ref="F175" ca="1">IF($B175="", "", _xll.IMDP("BND", $B175, F$7, $B$5))</f>
        <v/>
      </c>
      <c r="G175" s="8" t="str" cm="1">
        <f t="array" aca="1" ref="G175" ca="1">IF($B175="", "", _xll.IMDP("BND", $B175, G$7, $B$5))</f>
        <v/>
      </c>
      <c r="H175" s="8" t="str" cm="1">
        <f t="array" aca="1" ref="H175" ca="1">IF($B175="", "", _xll.IMDP("BND", $B175, H$7, $B$5))</f>
        <v/>
      </c>
      <c r="I175" s="11" t="str" cm="1">
        <f t="array" aca="1" ref="I175" ca="1">IF($B175="", "", _xll.IMDP("BND", $B175, I$7, $B$5))</f>
        <v/>
      </c>
      <c r="J175" s="10" t="str">
        <f t="shared" ca="1" si="2"/>
        <v/>
      </c>
      <c r="K175" s="8" t="str" cm="1">
        <f t="array" aca="1" ref="K175" ca="1">IFERROR( _xll.IMDP("BND", $B175, IF($I175="상장", "상장잔액", "발행액"), $B$5, "fill=true")/100, "")</f>
        <v/>
      </c>
    </row>
    <row r="176" spans="2:11">
      <c r="B176" s="13" t="str">
        <f ca="1">IFERROR(VLOOKUP( ROWS(대차거래!$B$9:B176), raw!$D:$E, 2, 0), "")</f>
        <v/>
      </c>
      <c r="C176" s="8" t="str">
        <f ca="1">IF($B176="", "", _xll.IMDP("BND", $B176, C$7))</f>
        <v/>
      </c>
      <c r="D176" s="9" t="str" cm="1">
        <f t="array" aca="1" ref="D176" ca="1">IF($B176="", "", _xll.IMDP("BND", $B176, D$7, $B$5, "DtFmt=1"))</f>
        <v/>
      </c>
      <c r="E176" s="8" t="str" cm="1">
        <f t="array" aca="1" ref="E176" ca="1">IF($B176="", "", _xll.IMDP("BND", $B176, E$7, $B$5))</f>
        <v/>
      </c>
      <c r="F176" s="8" t="str" cm="1">
        <f t="array" aca="1" ref="F176" ca="1">IF($B176="", "", _xll.IMDP("BND", $B176, F$7, $B$5))</f>
        <v/>
      </c>
      <c r="G176" s="8" t="str" cm="1">
        <f t="array" aca="1" ref="G176" ca="1">IF($B176="", "", _xll.IMDP("BND", $B176, G$7, $B$5))</f>
        <v/>
      </c>
      <c r="H176" s="8" t="str" cm="1">
        <f t="array" aca="1" ref="H176" ca="1">IF($B176="", "", _xll.IMDP("BND", $B176, H$7, $B$5))</f>
        <v/>
      </c>
      <c r="I176" s="11" t="str" cm="1">
        <f t="array" aca="1" ref="I176" ca="1">IF($B176="", "", _xll.IMDP("BND", $B176, I$7, $B$5))</f>
        <v/>
      </c>
      <c r="J176" s="10" t="str">
        <f t="shared" ca="1" si="2"/>
        <v/>
      </c>
      <c r="K176" s="8" t="str" cm="1">
        <f t="array" aca="1" ref="K176" ca="1">IFERROR( _xll.IMDP("BND", $B176, IF($I176="상장", "상장잔액", "발행액"), $B$5, "fill=true")/100, "")</f>
        <v/>
      </c>
    </row>
    <row r="177" spans="2:11">
      <c r="B177" s="13" t="str">
        <f ca="1">IFERROR(VLOOKUP( ROWS(대차거래!$B$9:B177), raw!$D:$E, 2, 0), "")</f>
        <v/>
      </c>
      <c r="C177" s="8" t="str">
        <f ca="1">IF($B177="", "", _xll.IMDP("BND", $B177, C$7))</f>
        <v/>
      </c>
      <c r="D177" s="9" t="str" cm="1">
        <f t="array" aca="1" ref="D177" ca="1">IF($B177="", "", _xll.IMDP("BND", $B177, D$7, $B$5, "DtFmt=1"))</f>
        <v/>
      </c>
      <c r="E177" s="8" t="str" cm="1">
        <f t="array" aca="1" ref="E177" ca="1">IF($B177="", "", _xll.IMDP("BND", $B177, E$7, $B$5))</f>
        <v/>
      </c>
      <c r="F177" s="8" t="str" cm="1">
        <f t="array" aca="1" ref="F177" ca="1">IF($B177="", "", _xll.IMDP("BND", $B177, F$7, $B$5))</f>
        <v/>
      </c>
      <c r="G177" s="8" t="str" cm="1">
        <f t="array" aca="1" ref="G177" ca="1">IF($B177="", "", _xll.IMDP("BND", $B177, G$7, $B$5))</f>
        <v/>
      </c>
      <c r="H177" s="8" t="str" cm="1">
        <f t="array" aca="1" ref="H177" ca="1">IF($B177="", "", _xll.IMDP("BND", $B177, H$7, $B$5))</f>
        <v/>
      </c>
      <c r="I177" s="11" t="str" cm="1">
        <f t="array" aca="1" ref="I177" ca="1">IF($B177="", "", _xll.IMDP("BND", $B177, I$7, $B$5))</f>
        <v/>
      </c>
      <c r="J177" s="10" t="str">
        <f t="shared" ca="1" si="2"/>
        <v/>
      </c>
      <c r="K177" s="8" t="str" cm="1">
        <f t="array" aca="1" ref="K177" ca="1">IFERROR( _xll.IMDP("BND", $B177, IF($I177="상장", "상장잔액", "발행액"), $B$5, "fill=true")/100, "")</f>
        <v/>
      </c>
    </row>
    <row r="178" spans="2:11">
      <c r="B178" s="13" t="str">
        <f ca="1">IFERROR(VLOOKUP( ROWS(대차거래!$B$9:B178), raw!$D:$E, 2, 0), "")</f>
        <v/>
      </c>
      <c r="C178" s="8" t="str">
        <f ca="1">IF($B178="", "", _xll.IMDP("BND", $B178, C$7))</f>
        <v/>
      </c>
      <c r="D178" s="9" t="str" cm="1">
        <f t="array" aca="1" ref="D178" ca="1">IF($B178="", "", _xll.IMDP("BND", $B178, D$7, $B$5, "DtFmt=1"))</f>
        <v/>
      </c>
      <c r="E178" s="8" t="str" cm="1">
        <f t="array" aca="1" ref="E178" ca="1">IF($B178="", "", _xll.IMDP("BND", $B178, E$7, $B$5))</f>
        <v/>
      </c>
      <c r="F178" s="8" t="str" cm="1">
        <f t="array" aca="1" ref="F178" ca="1">IF($B178="", "", _xll.IMDP("BND", $B178, F$7, $B$5))</f>
        <v/>
      </c>
      <c r="G178" s="8" t="str" cm="1">
        <f t="array" aca="1" ref="G178" ca="1">IF($B178="", "", _xll.IMDP("BND", $B178, G$7, $B$5))</f>
        <v/>
      </c>
      <c r="H178" s="8" t="str" cm="1">
        <f t="array" aca="1" ref="H178" ca="1">IF($B178="", "", _xll.IMDP("BND", $B178, H$7, $B$5))</f>
        <v/>
      </c>
      <c r="I178" s="11" t="str" cm="1">
        <f t="array" aca="1" ref="I178" ca="1">IF($B178="", "", _xll.IMDP("BND", $B178, I$7, $B$5))</f>
        <v/>
      </c>
      <c r="J178" s="10" t="str">
        <f t="shared" ca="1" si="2"/>
        <v/>
      </c>
      <c r="K178" s="8" t="str" cm="1">
        <f t="array" aca="1" ref="K178" ca="1">IFERROR( _xll.IMDP("BND", $B178, IF($I178="상장", "상장잔액", "발행액"), $B$5, "fill=true")/100, "")</f>
        <v/>
      </c>
    </row>
    <row r="179" spans="2:11">
      <c r="B179" s="13" t="str">
        <f ca="1">IFERROR(VLOOKUP( ROWS(대차거래!$B$9:B179), raw!$D:$E, 2, 0), "")</f>
        <v/>
      </c>
      <c r="C179" s="8" t="str">
        <f ca="1">IF($B179="", "", _xll.IMDP("BND", $B179, C$7))</f>
        <v/>
      </c>
      <c r="D179" s="9" t="str" cm="1">
        <f t="array" aca="1" ref="D179" ca="1">IF($B179="", "", _xll.IMDP("BND", $B179, D$7, $B$5, "DtFmt=1"))</f>
        <v/>
      </c>
      <c r="E179" s="8" t="str" cm="1">
        <f t="array" aca="1" ref="E179" ca="1">IF($B179="", "", _xll.IMDP("BND", $B179, E$7, $B$5))</f>
        <v/>
      </c>
      <c r="F179" s="8" t="str" cm="1">
        <f t="array" aca="1" ref="F179" ca="1">IF($B179="", "", _xll.IMDP("BND", $B179, F$7, $B$5))</f>
        <v/>
      </c>
      <c r="G179" s="8" t="str" cm="1">
        <f t="array" aca="1" ref="G179" ca="1">IF($B179="", "", _xll.IMDP("BND", $B179, G$7, $B$5))</f>
        <v/>
      </c>
      <c r="H179" s="8" t="str" cm="1">
        <f t="array" aca="1" ref="H179" ca="1">IF($B179="", "", _xll.IMDP("BND", $B179, H$7, $B$5))</f>
        <v/>
      </c>
      <c r="I179" s="11" t="str" cm="1">
        <f t="array" aca="1" ref="I179" ca="1">IF($B179="", "", _xll.IMDP("BND", $B179, I$7, $B$5))</f>
        <v/>
      </c>
      <c r="J179" s="10" t="str">
        <f t="shared" ca="1" si="2"/>
        <v/>
      </c>
      <c r="K179" s="8" t="str" cm="1">
        <f t="array" aca="1" ref="K179" ca="1">IFERROR( _xll.IMDP("BND", $B179, IF($I179="상장", "상장잔액", "발행액"), $B$5, "fill=true")/100, "")</f>
        <v/>
      </c>
    </row>
    <row r="180" spans="2:11">
      <c r="B180" s="13" t="str">
        <f ca="1">IFERROR(VLOOKUP( ROWS(대차거래!$B$9:B180), raw!$D:$E, 2, 0), "")</f>
        <v/>
      </c>
      <c r="C180" s="8" t="str">
        <f ca="1">IF($B180="", "", _xll.IMDP("BND", $B180, C$7))</f>
        <v/>
      </c>
      <c r="D180" s="9" t="str" cm="1">
        <f t="array" aca="1" ref="D180" ca="1">IF($B180="", "", _xll.IMDP("BND", $B180, D$7, $B$5, "DtFmt=1"))</f>
        <v/>
      </c>
      <c r="E180" s="8" t="str" cm="1">
        <f t="array" aca="1" ref="E180" ca="1">IF($B180="", "", _xll.IMDP("BND", $B180, E$7, $B$5))</f>
        <v/>
      </c>
      <c r="F180" s="8" t="str" cm="1">
        <f t="array" aca="1" ref="F180" ca="1">IF($B180="", "", _xll.IMDP("BND", $B180, F$7, $B$5))</f>
        <v/>
      </c>
      <c r="G180" s="8" t="str" cm="1">
        <f t="array" aca="1" ref="G180" ca="1">IF($B180="", "", _xll.IMDP("BND", $B180, G$7, $B$5))</f>
        <v/>
      </c>
      <c r="H180" s="8" t="str" cm="1">
        <f t="array" aca="1" ref="H180" ca="1">IF($B180="", "", _xll.IMDP("BND", $B180, H$7, $B$5))</f>
        <v/>
      </c>
      <c r="I180" s="11" t="str" cm="1">
        <f t="array" aca="1" ref="I180" ca="1">IF($B180="", "", _xll.IMDP("BND", $B180, I$7, $B$5))</f>
        <v/>
      </c>
      <c r="J180" s="10" t="str">
        <f t="shared" ca="1" si="2"/>
        <v/>
      </c>
      <c r="K180" s="8" t="str" cm="1">
        <f t="array" aca="1" ref="K180" ca="1">IFERROR( _xll.IMDP("BND", $B180, IF($I180="상장", "상장잔액", "발행액"), $B$5, "fill=true")/100, "")</f>
        <v/>
      </c>
    </row>
    <row r="181" spans="2:11">
      <c r="B181" s="13" t="str">
        <f ca="1">IFERROR(VLOOKUP( ROWS(대차거래!$B$9:B181), raw!$D:$E, 2, 0), "")</f>
        <v/>
      </c>
      <c r="C181" s="8" t="str">
        <f ca="1">IF($B181="", "", _xll.IMDP("BND", $B181, C$7))</f>
        <v/>
      </c>
      <c r="D181" s="9" t="str" cm="1">
        <f t="array" aca="1" ref="D181" ca="1">IF($B181="", "", _xll.IMDP("BND", $B181, D$7, $B$5, "DtFmt=1"))</f>
        <v/>
      </c>
      <c r="E181" s="8" t="str" cm="1">
        <f t="array" aca="1" ref="E181" ca="1">IF($B181="", "", _xll.IMDP("BND", $B181, E$7, $B$5))</f>
        <v/>
      </c>
      <c r="F181" s="8" t="str" cm="1">
        <f t="array" aca="1" ref="F181" ca="1">IF($B181="", "", _xll.IMDP("BND", $B181, F$7, $B$5))</f>
        <v/>
      </c>
      <c r="G181" s="8" t="str" cm="1">
        <f t="array" aca="1" ref="G181" ca="1">IF($B181="", "", _xll.IMDP("BND", $B181, G$7, $B$5))</f>
        <v/>
      </c>
      <c r="H181" s="8" t="str" cm="1">
        <f t="array" aca="1" ref="H181" ca="1">IF($B181="", "", _xll.IMDP("BND", $B181, H$7, $B$5))</f>
        <v/>
      </c>
      <c r="I181" s="11" t="str" cm="1">
        <f t="array" aca="1" ref="I181" ca="1">IF($B181="", "", _xll.IMDP("BND", $B181, I$7, $B$5))</f>
        <v/>
      </c>
      <c r="J181" s="10" t="str">
        <f t="shared" ca="1" si="2"/>
        <v/>
      </c>
      <c r="K181" s="8" t="str" cm="1">
        <f t="array" aca="1" ref="K181" ca="1">IFERROR( _xll.IMDP("BND", $B181, IF($I181="상장", "상장잔액", "발행액"), $B$5, "fill=true")/100, "")</f>
        <v/>
      </c>
    </row>
    <row r="182" spans="2:11">
      <c r="B182" s="13" t="str">
        <f ca="1">IFERROR(VLOOKUP( ROWS(대차거래!$B$9:B182), raw!$D:$E, 2, 0), "")</f>
        <v/>
      </c>
      <c r="C182" s="8" t="str">
        <f ca="1">IF($B182="", "", _xll.IMDP("BND", $B182, C$7))</f>
        <v/>
      </c>
      <c r="D182" s="9" t="str" cm="1">
        <f t="array" aca="1" ref="D182" ca="1">IF($B182="", "", _xll.IMDP("BND", $B182, D$7, $B$5, "DtFmt=1"))</f>
        <v/>
      </c>
      <c r="E182" s="8" t="str" cm="1">
        <f t="array" aca="1" ref="E182" ca="1">IF($B182="", "", _xll.IMDP("BND", $B182, E$7, $B$5))</f>
        <v/>
      </c>
      <c r="F182" s="8" t="str" cm="1">
        <f t="array" aca="1" ref="F182" ca="1">IF($B182="", "", _xll.IMDP("BND", $B182, F$7, $B$5))</f>
        <v/>
      </c>
      <c r="G182" s="8" t="str" cm="1">
        <f t="array" aca="1" ref="G182" ca="1">IF($B182="", "", _xll.IMDP("BND", $B182, G$7, $B$5))</f>
        <v/>
      </c>
      <c r="H182" s="8" t="str" cm="1">
        <f t="array" aca="1" ref="H182" ca="1">IF($B182="", "", _xll.IMDP("BND", $B182, H$7, $B$5))</f>
        <v/>
      </c>
      <c r="I182" s="11" t="str" cm="1">
        <f t="array" aca="1" ref="I182" ca="1">IF($B182="", "", _xll.IMDP("BND", $B182, I$7, $B$5))</f>
        <v/>
      </c>
      <c r="J182" s="10" t="str">
        <f t="shared" ca="1" si="2"/>
        <v/>
      </c>
      <c r="K182" s="8" t="str" cm="1">
        <f t="array" aca="1" ref="K182" ca="1">IFERROR( _xll.IMDP("BND", $B182, IF($I182="상장", "상장잔액", "발행액"), $B$5, "fill=true")/100, "")</f>
        <v/>
      </c>
    </row>
    <row r="183" spans="2:11">
      <c r="B183" s="13" t="str">
        <f ca="1">IFERROR(VLOOKUP( ROWS(대차거래!$B$9:B183), raw!$D:$E, 2, 0), "")</f>
        <v/>
      </c>
      <c r="C183" s="8" t="str">
        <f ca="1">IF($B183="", "", _xll.IMDP("BND", $B183, C$7))</f>
        <v/>
      </c>
      <c r="D183" s="9" t="str" cm="1">
        <f t="array" aca="1" ref="D183" ca="1">IF($B183="", "", _xll.IMDP("BND", $B183, D$7, $B$5, "DtFmt=1"))</f>
        <v/>
      </c>
      <c r="E183" s="8" t="str" cm="1">
        <f t="array" aca="1" ref="E183" ca="1">IF($B183="", "", _xll.IMDP("BND", $B183, E$7, $B$5))</f>
        <v/>
      </c>
      <c r="F183" s="8" t="str" cm="1">
        <f t="array" aca="1" ref="F183" ca="1">IF($B183="", "", _xll.IMDP("BND", $B183, F$7, $B$5))</f>
        <v/>
      </c>
      <c r="G183" s="8" t="str" cm="1">
        <f t="array" aca="1" ref="G183" ca="1">IF($B183="", "", _xll.IMDP("BND", $B183, G$7, $B$5))</f>
        <v/>
      </c>
      <c r="H183" s="8" t="str" cm="1">
        <f t="array" aca="1" ref="H183" ca="1">IF($B183="", "", _xll.IMDP("BND", $B183, H$7, $B$5))</f>
        <v/>
      </c>
      <c r="I183" s="11" t="str" cm="1">
        <f t="array" aca="1" ref="I183" ca="1">IF($B183="", "", _xll.IMDP("BND", $B183, I$7, $B$5))</f>
        <v/>
      </c>
      <c r="J183" s="10" t="str">
        <f t="shared" ca="1" si="2"/>
        <v/>
      </c>
      <c r="K183" s="8" t="str" cm="1">
        <f t="array" aca="1" ref="K183" ca="1">IFERROR( _xll.IMDP("BND", $B183, IF($I183="상장", "상장잔액", "발행액"), $B$5, "fill=true")/100, "")</f>
        <v/>
      </c>
    </row>
    <row r="184" spans="2:11">
      <c r="B184" s="13" t="str">
        <f ca="1">IFERROR(VLOOKUP( ROWS(대차거래!$B$9:B184), raw!$D:$E, 2, 0), "")</f>
        <v/>
      </c>
      <c r="C184" s="8" t="str">
        <f ca="1">IF($B184="", "", _xll.IMDP("BND", $B184, C$7))</f>
        <v/>
      </c>
      <c r="D184" s="9" t="str" cm="1">
        <f t="array" aca="1" ref="D184" ca="1">IF($B184="", "", _xll.IMDP("BND", $B184, D$7, $B$5, "DtFmt=1"))</f>
        <v/>
      </c>
      <c r="E184" s="8" t="str" cm="1">
        <f t="array" aca="1" ref="E184" ca="1">IF($B184="", "", _xll.IMDP("BND", $B184, E$7, $B$5))</f>
        <v/>
      </c>
      <c r="F184" s="8" t="str" cm="1">
        <f t="array" aca="1" ref="F184" ca="1">IF($B184="", "", _xll.IMDP("BND", $B184, F$7, $B$5))</f>
        <v/>
      </c>
      <c r="G184" s="8" t="str" cm="1">
        <f t="array" aca="1" ref="G184" ca="1">IF($B184="", "", _xll.IMDP("BND", $B184, G$7, $B$5))</f>
        <v/>
      </c>
      <c r="H184" s="8" t="str" cm="1">
        <f t="array" aca="1" ref="H184" ca="1">IF($B184="", "", _xll.IMDP("BND", $B184, H$7, $B$5))</f>
        <v/>
      </c>
      <c r="I184" s="11" t="str" cm="1">
        <f t="array" aca="1" ref="I184" ca="1">IF($B184="", "", _xll.IMDP("BND", $B184, I$7, $B$5))</f>
        <v/>
      </c>
      <c r="J184" s="10" t="str">
        <f t="shared" ca="1" si="2"/>
        <v/>
      </c>
      <c r="K184" s="8" t="str" cm="1">
        <f t="array" aca="1" ref="K184" ca="1">IFERROR( _xll.IMDP("BND", $B184, IF($I184="상장", "상장잔액", "발행액"), $B$5, "fill=true")/100, "")</f>
        <v/>
      </c>
    </row>
    <row r="185" spans="2:11">
      <c r="B185" s="13" t="str">
        <f ca="1">IFERROR(VLOOKUP( ROWS(대차거래!$B$9:B185), raw!$D:$E, 2, 0), "")</f>
        <v/>
      </c>
      <c r="C185" s="8" t="str">
        <f ca="1">IF($B185="", "", _xll.IMDP("BND", $B185, C$7))</f>
        <v/>
      </c>
      <c r="D185" s="9" t="str" cm="1">
        <f t="array" aca="1" ref="D185" ca="1">IF($B185="", "", _xll.IMDP("BND", $B185, D$7, $B$5, "DtFmt=1"))</f>
        <v/>
      </c>
      <c r="E185" s="8" t="str" cm="1">
        <f t="array" aca="1" ref="E185" ca="1">IF($B185="", "", _xll.IMDP("BND", $B185, E$7, $B$5))</f>
        <v/>
      </c>
      <c r="F185" s="8" t="str" cm="1">
        <f t="array" aca="1" ref="F185" ca="1">IF($B185="", "", _xll.IMDP("BND", $B185, F$7, $B$5))</f>
        <v/>
      </c>
      <c r="G185" s="8" t="str" cm="1">
        <f t="array" aca="1" ref="G185" ca="1">IF($B185="", "", _xll.IMDP("BND", $B185, G$7, $B$5))</f>
        <v/>
      </c>
      <c r="H185" s="8" t="str" cm="1">
        <f t="array" aca="1" ref="H185" ca="1">IF($B185="", "", _xll.IMDP("BND", $B185, H$7, $B$5))</f>
        <v/>
      </c>
      <c r="I185" s="11" t="str" cm="1">
        <f t="array" aca="1" ref="I185" ca="1">IF($B185="", "", _xll.IMDP("BND", $B185, I$7, $B$5))</f>
        <v/>
      </c>
      <c r="J185" s="10" t="str">
        <f t="shared" ca="1" si="2"/>
        <v/>
      </c>
      <c r="K185" s="8" t="str" cm="1">
        <f t="array" aca="1" ref="K185" ca="1">IFERROR( _xll.IMDP("BND", $B185, IF($I185="상장", "상장잔액", "발행액"), $B$5, "fill=true")/100, "")</f>
        <v/>
      </c>
    </row>
    <row r="186" spans="2:11">
      <c r="B186" s="13" t="str">
        <f ca="1">IFERROR(VLOOKUP( ROWS(대차거래!$B$9:B186), raw!$D:$E, 2, 0), "")</f>
        <v/>
      </c>
      <c r="C186" s="8" t="str">
        <f ca="1">IF($B186="", "", _xll.IMDP("BND", $B186, C$7))</f>
        <v/>
      </c>
      <c r="D186" s="9" t="str" cm="1">
        <f t="array" aca="1" ref="D186" ca="1">IF($B186="", "", _xll.IMDP("BND", $B186, D$7, $B$5, "DtFmt=1"))</f>
        <v/>
      </c>
      <c r="E186" s="8" t="str" cm="1">
        <f t="array" aca="1" ref="E186" ca="1">IF($B186="", "", _xll.IMDP("BND", $B186, E$7, $B$5))</f>
        <v/>
      </c>
      <c r="F186" s="8" t="str" cm="1">
        <f t="array" aca="1" ref="F186" ca="1">IF($B186="", "", _xll.IMDP("BND", $B186, F$7, $B$5))</f>
        <v/>
      </c>
      <c r="G186" s="8" t="str" cm="1">
        <f t="array" aca="1" ref="G186" ca="1">IF($B186="", "", _xll.IMDP("BND", $B186, G$7, $B$5))</f>
        <v/>
      </c>
      <c r="H186" s="8" t="str" cm="1">
        <f t="array" aca="1" ref="H186" ca="1">IF($B186="", "", _xll.IMDP("BND", $B186, H$7, $B$5))</f>
        <v/>
      </c>
      <c r="I186" s="11" t="str" cm="1">
        <f t="array" aca="1" ref="I186" ca="1">IF($B186="", "", _xll.IMDP("BND", $B186, I$7, $B$5))</f>
        <v/>
      </c>
      <c r="J186" s="10" t="str">
        <f t="shared" ca="1" si="2"/>
        <v/>
      </c>
      <c r="K186" s="8" t="str" cm="1">
        <f t="array" aca="1" ref="K186" ca="1">IFERROR( _xll.IMDP("BND", $B186, IF($I186="상장", "상장잔액", "발행액"), $B$5, "fill=true")/100, "")</f>
        <v/>
      </c>
    </row>
    <row r="187" spans="2:11">
      <c r="B187" s="13" t="str">
        <f ca="1">IFERROR(VLOOKUP( ROWS(대차거래!$B$9:B187), raw!$D:$E, 2, 0), "")</f>
        <v/>
      </c>
      <c r="C187" s="8" t="str">
        <f ca="1">IF($B187="", "", _xll.IMDP("BND", $B187, C$7))</f>
        <v/>
      </c>
      <c r="D187" s="9" t="str" cm="1">
        <f t="array" aca="1" ref="D187" ca="1">IF($B187="", "", _xll.IMDP("BND", $B187, D$7, $B$5, "DtFmt=1"))</f>
        <v/>
      </c>
      <c r="E187" s="8" t="str" cm="1">
        <f t="array" aca="1" ref="E187" ca="1">IF($B187="", "", _xll.IMDP("BND", $B187, E$7, $B$5))</f>
        <v/>
      </c>
      <c r="F187" s="8" t="str" cm="1">
        <f t="array" aca="1" ref="F187" ca="1">IF($B187="", "", _xll.IMDP("BND", $B187, F$7, $B$5))</f>
        <v/>
      </c>
      <c r="G187" s="8" t="str" cm="1">
        <f t="array" aca="1" ref="G187" ca="1">IF($B187="", "", _xll.IMDP("BND", $B187, G$7, $B$5))</f>
        <v/>
      </c>
      <c r="H187" s="8" t="str" cm="1">
        <f t="array" aca="1" ref="H187" ca="1">IF($B187="", "", _xll.IMDP("BND", $B187, H$7, $B$5))</f>
        <v/>
      </c>
      <c r="I187" s="11" t="str" cm="1">
        <f t="array" aca="1" ref="I187" ca="1">IF($B187="", "", _xll.IMDP("BND", $B187, I$7, $B$5))</f>
        <v/>
      </c>
      <c r="J187" s="10" t="str">
        <f t="shared" ca="1" si="2"/>
        <v/>
      </c>
      <c r="K187" s="8" t="str" cm="1">
        <f t="array" aca="1" ref="K187" ca="1">IFERROR( _xll.IMDP("BND", $B187, IF($I187="상장", "상장잔액", "발행액"), $B$5, "fill=true")/100, "")</f>
        <v/>
      </c>
    </row>
    <row r="188" spans="2:11">
      <c r="B188" s="13" t="str">
        <f ca="1">IFERROR(VLOOKUP( ROWS(대차거래!$B$9:B188), raw!$D:$E, 2, 0), "")</f>
        <v/>
      </c>
      <c r="C188" s="8" t="str">
        <f ca="1">IF($B188="", "", _xll.IMDP("BND", $B188, C$7))</f>
        <v/>
      </c>
      <c r="D188" s="9" t="str" cm="1">
        <f t="array" aca="1" ref="D188" ca="1">IF($B188="", "", _xll.IMDP("BND", $B188, D$7, $B$5, "DtFmt=1"))</f>
        <v/>
      </c>
      <c r="E188" s="8" t="str" cm="1">
        <f t="array" aca="1" ref="E188" ca="1">IF($B188="", "", _xll.IMDP("BND", $B188, E$7, $B$5))</f>
        <v/>
      </c>
      <c r="F188" s="8" t="str" cm="1">
        <f t="array" aca="1" ref="F188" ca="1">IF($B188="", "", _xll.IMDP("BND", $B188, F$7, $B$5))</f>
        <v/>
      </c>
      <c r="G188" s="8" t="str" cm="1">
        <f t="array" aca="1" ref="G188" ca="1">IF($B188="", "", _xll.IMDP("BND", $B188, G$7, $B$5))</f>
        <v/>
      </c>
      <c r="H188" s="8" t="str" cm="1">
        <f t="array" aca="1" ref="H188" ca="1">IF($B188="", "", _xll.IMDP("BND", $B188, H$7, $B$5))</f>
        <v/>
      </c>
      <c r="I188" s="11" t="str" cm="1">
        <f t="array" aca="1" ref="I188" ca="1">IF($B188="", "", _xll.IMDP("BND", $B188, I$7, $B$5))</f>
        <v/>
      </c>
      <c r="J188" s="10" t="str">
        <f t="shared" ca="1" si="2"/>
        <v/>
      </c>
      <c r="K188" s="8" t="str" cm="1">
        <f t="array" aca="1" ref="K188" ca="1">IFERROR( _xll.IMDP("BND", $B188, IF($I188="상장", "상장잔액", "발행액"), $B$5, "fill=true")/100, "")</f>
        <v/>
      </c>
    </row>
    <row r="189" spans="2:11">
      <c r="B189" s="13" t="str">
        <f ca="1">IFERROR(VLOOKUP( ROWS(대차거래!$B$9:B189), raw!$D:$E, 2, 0), "")</f>
        <v/>
      </c>
      <c r="C189" s="8" t="str">
        <f ca="1">IF($B189="", "", _xll.IMDP("BND", $B189, C$7))</f>
        <v/>
      </c>
      <c r="D189" s="9" t="str" cm="1">
        <f t="array" aca="1" ref="D189" ca="1">IF($B189="", "", _xll.IMDP("BND", $B189, D$7, $B$5, "DtFmt=1"))</f>
        <v/>
      </c>
      <c r="E189" s="8" t="str" cm="1">
        <f t="array" aca="1" ref="E189" ca="1">IF($B189="", "", _xll.IMDP("BND", $B189, E$7, $B$5))</f>
        <v/>
      </c>
      <c r="F189" s="8" t="str" cm="1">
        <f t="array" aca="1" ref="F189" ca="1">IF($B189="", "", _xll.IMDP("BND", $B189, F$7, $B$5))</f>
        <v/>
      </c>
      <c r="G189" s="8" t="str" cm="1">
        <f t="array" aca="1" ref="G189" ca="1">IF($B189="", "", _xll.IMDP("BND", $B189, G$7, $B$5))</f>
        <v/>
      </c>
      <c r="H189" s="8" t="str" cm="1">
        <f t="array" aca="1" ref="H189" ca="1">IF($B189="", "", _xll.IMDP("BND", $B189, H$7, $B$5))</f>
        <v/>
      </c>
      <c r="I189" s="11" t="str" cm="1">
        <f t="array" aca="1" ref="I189" ca="1">IF($B189="", "", _xll.IMDP("BND", $B189, I$7, $B$5))</f>
        <v/>
      </c>
      <c r="J189" s="10" t="str">
        <f t="shared" ca="1" si="2"/>
        <v/>
      </c>
      <c r="K189" s="8" t="str" cm="1">
        <f t="array" aca="1" ref="K189" ca="1">IFERROR( _xll.IMDP("BND", $B189, IF($I189="상장", "상장잔액", "발행액"), $B$5, "fill=true")/100, "")</f>
        <v/>
      </c>
    </row>
    <row r="190" spans="2:11">
      <c r="B190" s="13" t="str">
        <f ca="1">IFERROR(VLOOKUP( ROWS(대차거래!$B$9:B190), raw!$D:$E, 2, 0), "")</f>
        <v/>
      </c>
      <c r="C190" s="8" t="str">
        <f ca="1">IF($B190="", "", _xll.IMDP("BND", $B190, C$7))</f>
        <v/>
      </c>
      <c r="D190" s="9" t="str" cm="1">
        <f t="array" aca="1" ref="D190" ca="1">IF($B190="", "", _xll.IMDP("BND", $B190, D$7, $B$5, "DtFmt=1"))</f>
        <v/>
      </c>
      <c r="E190" s="8" t="str" cm="1">
        <f t="array" aca="1" ref="E190" ca="1">IF($B190="", "", _xll.IMDP("BND", $B190, E$7, $B$5))</f>
        <v/>
      </c>
      <c r="F190" s="8" t="str" cm="1">
        <f t="array" aca="1" ref="F190" ca="1">IF($B190="", "", _xll.IMDP("BND", $B190, F$7, $B$5))</f>
        <v/>
      </c>
      <c r="G190" s="8" t="str" cm="1">
        <f t="array" aca="1" ref="G190" ca="1">IF($B190="", "", _xll.IMDP("BND", $B190, G$7, $B$5))</f>
        <v/>
      </c>
      <c r="H190" s="8" t="str" cm="1">
        <f t="array" aca="1" ref="H190" ca="1">IF($B190="", "", _xll.IMDP("BND", $B190, H$7, $B$5))</f>
        <v/>
      </c>
      <c r="I190" s="11" t="str" cm="1">
        <f t="array" aca="1" ref="I190" ca="1">IF($B190="", "", _xll.IMDP("BND", $B190, I$7, $B$5))</f>
        <v/>
      </c>
      <c r="J190" s="10" t="str">
        <f t="shared" ca="1" si="2"/>
        <v/>
      </c>
      <c r="K190" s="8" t="str" cm="1">
        <f t="array" aca="1" ref="K190" ca="1">IFERROR( _xll.IMDP("BND", $B190, IF($I190="상장", "상장잔액", "발행액"), $B$5, "fill=true")/100, "")</f>
        <v/>
      </c>
    </row>
    <row r="191" spans="2:11">
      <c r="B191" s="13" t="str">
        <f ca="1">IFERROR(VLOOKUP( ROWS(대차거래!$B$9:B191), raw!$D:$E, 2, 0), "")</f>
        <v/>
      </c>
      <c r="C191" s="8" t="str">
        <f ca="1">IF($B191="", "", _xll.IMDP("BND", $B191, C$7))</f>
        <v/>
      </c>
      <c r="D191" s="9" t="str" cm="1">
        <f t="array" aca="1" ref="D191" ca="1">IF($B191="", "", _xll.IMDP("BND", $B191, D$7, $B$5, "DtFmt=1"))</f>
        <v/>
      </c>
      <c r="E191" s="8" t="str" cm="1">
        <f t="array" aca="1" ref="E191" ca="1">IF($B191="", "", _xll.IMDP("BND", $B191, E$7, $B$5))</f>
        <v/>
      </c>
      <c r="F191" s="8" t="str" cm="1">
        <f t="array" aca="1" ref="F191" ca="1">IF($B191="", "", _xll.IMDP("BND", $B191, F$7, $B$5))</f>
        <v/>
      </c>
      <c r="G191" s="8" t="str" cm="1">
        <f t="array" aca="1" ref="G191" ca="1">IF($B191="", "", _xll.IMDP("BND", $B191, G$7, $B$5))</f>
        <v/>
      </c>
      <c r="H191" s="8" t="str" cm="1">
        <f t="array" aca="1" ref="H191" ca="1">IF($B191="", "", _xll.IMDP("BND", $B191, H$7, $B$5))</f>
        <v/>
      </c>
      <c r="I191" s="11" t="str" cm="1">
        <f t="array" aca="1" ref="I191" ca="1">IF($B191="", "", _xll.IMDP("BND", $B191, I$7, $B$5))</f>
        <v/>
      </c>
      <c r="J191" s="10" t="str">
        <f t="shared" ca="1" si="2"/>
        <v/>
      </c>
      <c r="K191" s="8" t="str" cm="1">
        <f t="array" aca="1" ref="K191" ca="1">IFERROR( _xll.IMDP("BND", $B191, IF($I191="상장", "상장잔액", "발행액"), $B$5, "fill=true")/100, "")</f>
        <v/>
      </c>
    </row>
    <row r="192" spans="2:11">
      <c r="B192" s="13" t="str">
        <f ca="1">IFERROR(VLOOKUP( ROWS(대차거래!$B$9:B192), raw!$D:$E, 2, 0), "")</f>
        <v/>
      </c>
      <c r="C192" s="8" t="str">
        <f ca="1">IF($B192="", "", _xll.IMDP("BND", $B192, C$7))</f>
        <v/>
      </c>
      <c r="D192" s="9" t="str" cm="1">
        <f t="array" aca="1" ref="D192" ca="1">IF($B192="", "", _xll.IMDP("BND", $B192, D$7, $B$5, "DtFmt=1"))</f>
        <v/>
      </c>
      <c r="E192" s="8" t="str" cm="1">
        <f t="array" aca="1" ref="E192" ca="1">IF($B192="", "", _xll.IMDP("BND", $B192, E$7, $B$5))</f>
        <v/>
      </c>
      <c r="F192" s="8" t="str" cm="1">
        <f t="array" aca="1" ref="F192" ca="1">IF($B192="", "", _xll.IMDP("BND", $B192, F$7, $B$5))</f>
        <v/>
      </c>
      <c r="G192" s="8" t="str" cm="1">
        <f t="array" aca="1" ref="G192" ca="1">IF($B192="", "", _xll.IMDP("BND", $B192, G$7, $B$5))</f>
        <v/>
      </c>
      <c r="H192" s="8" t="str" cm="1">
        <f t="array" aca="1" ref="H192" ca="1">IF($B192="", "", _xll.IMDP("BND", $B192, H$7, $B$5))</f>
        <v/>
      </c>
      <c r="I192" s="11" t="str" cm="1">
        <f t="array" aca="1" ref="I192" ca="1">IF($B192="", "", _xll.IMDP("BND", $B192, I$7, $B$5))</f>
        <v/>
      </c>
      <c r="J192" s="10" t="str">
        <f t="shared" ca="1" si="2"/>
        <v/>
      </c>
      <c r="K192" s="8" t="str" cm="1">
        <f t="array" aca="1" ref="K192" ca="1">IFERROR( _xll.IMDP("BND", $B192, IF($I192="상장", "상장잔액", "발행액"), $B$5, "fill=true")/100, "")</f>
        <v/>
      </c>
    </row>
    <row r="193" spans="2:11">
      <c r="B193" s="13" t="str">
        <f ca="1">IFERROR(VLOOKUP( ROWS(대차거래!$B$9:B193), raw!$D:$E, 2, 0), "")</f>
        <v/>
      </c>
      <c r="C193" s="8" t="str">
        <f ca="1">IF($B193="", "", _xll.IMDP("BND", $B193, C$7))</f>
        <v/>
      </c>
      <c r="D193" s="9" t="str" cm="1">
        <f t="array" aca="1" ref="D193" ca="1">IF($B193="", "", _xll.IMDP("BND", $B193, D$7, $B$5, "DtFmt=1"))</f>
        <v/>
      </c>
      <c r="E193" s="8" t="str" cm="1">
        <f t="array" aca="1" ref="E193" ca="1">IF($B193="", "", _xll.IMDP("BND", $B193, E$7, $B$5))</f>
        <v/>
      </c>
      <c r="F193" s="8" t="str" cm="1">
        <f t="array" aca="1" ref="F193" ca="1">IF($B193="", "", _xll.IMDP("BND", $B193, F$7, $B$5))</f>
        <v/>
      </c>
      <c r="G193" s="8" t="str" cm="1">
        <f t="array" aca="1" ref="G193" ca="1">IF($B193="", "", _xll.IMDP("BND", $B193, G$7, $B$5))</f>
        <v/>
      </c>
      <c r="H193" s="8" t="str" cm="1">
        <f t="array" aca="1" ref="H193" ca="1">IF($B193="", "", _xll.IMDP("BND", $B193, H$7, $B$5))</f>
        <v/>
      </c>
      <c r="I193" s="11" t="str" cm="1">
        <f t="array" aca="1" ref="I193" ca="1">IF($B193="", "", _xll.IMDP("BND", $B193, I$7, $B$5))</f>
        <v/>
      </c>
      <c r="J193" s="10" t="str">
        <f t="shared" ca="1" si="2"/>
        <v/>
      </c>
      <c r="K193" s="8" t="str" cm="1">
        <f t="array" aca="1" ref="K193" ca="1">IFERROR( _xll.IMDP("BND", $B193, IF($I193="상장", "상장잔액", "발행액"), $B$5, "fill=true")/100, "")</f>
        <v/>
      </c>
    </row>
    <row r="194" spans="2:11">
      <c r="B194" s="13" t="str">
        <f ca="1">IFERROR(VLOOKUP( ROWS(대차거래!$B$9:B194), raw!$D:$E, 2, 0), "")</f>
        <v/>
      </c>
      <c r="C194" s="8" t="str">
        <f ca="1">IF($B194="", "", _xll.IMDP("BND", $B194, C$7))</f>
        <v/>
      </c>
      <c r="D194" s="9" t="str" cm="1">
        <f t="array" aca="1" ref="D194" ca="1">IF($B194="", "", _xll.IMDP("BND", $B194, D$7, $B$5, "DtFmt=1"))</f>
        <v/>
      </c>
      <c r="E194" s="8" t="str" cm="1">
        <f t="array" aca="1" ref="E194" ca="1">IF($B194="", "", _xll.IMDP("BND", $B194, E$7, $B$5))</f>
        <v/>
      </c>
      <c r="F194" s="8" t="str" cm="1">
        <f t="array" aca="1" ref="F194" ca="1">IF($B194="", "", _xll.IMDP("BND", $B194, F$7, $B$5))</f>
        <v/>
      </c>
      <c r="G194" s="8" t="str" cm="1">
        <f t="array" aca="1" ref="G194" ca="1">IF($B194="", "", _xll.IMDP("BND", $B194, G$7, $B$5))</f>
        <v/>
      </c>
      <c r="H194" s="8" t="str" cm="1">
        <f t="array" aca="1" ref="H194" ca="1">IF($B194="", "", _xll.IMDP("BND", $B194, H$7, $B$5))</f>
        <v/>
      </c>
      <c r="I194" s="11" t="str" cm="1">
        <f t="array" aca="1" ref="I194" ca="1">IF($B194="", "", _xll.IMDP("BND", $B194, I$7, $B$5))</f>
        <v/>
      </c>
      <c r="J194" s="10" t="str">
        <f t="shared" ca="1" si="2"/>
        <v/>
      </c>
      <c r="K194" s="8" t="str" cm="1">
        <f t="array" aca="1" ref="K194" ca="1">IFERROR( _xll.IMDP("BND", $B194, IF($I194="상장", "상장잔액", "발행액"), $B$5, "fill=true")/100, "")</f>
        <v/>
      </c>
    </row>
    <row r="195" spans="2:11">
      <c r="B195" s="13" t="str">
        <f ca="1">IFERROR(VLOOKUP( ROWS(대차거래!$B$9:B195), raw!$D:$E, 2, 0), "")</f>
        <v/>
      </c>
      <c r="C195" s="8" t="str">
        <f ca="1">IF($B195="", "", _xll.IMDP("BND", $B195, C$7))</f>
        <v/>
      </c>
      <c r="D195" s="9" t="str" cm="1">
        <f t="array" aca="1" ref="D195" ca="1">IF($B195="", "", _xll.IMDP("BND", $B195, D$7, $B$5, "DtFmt=1"))</f>
        <v/>
      </c>
      <c r="E195" s="8" t="str" cm="1">
        <f t="array" aca="1" ref="E195" ca="1">IF($B195="", "", _xll.IMDP("BND", $B195, E$7, $B$5))</f>
        <v/>
      </c>
      <c r="F195" s="8" t="str" cm="1">
        <f t="array" aca="1" ref="F195" ca="1">IF($B195="", "", _xll.IMDP("BND", $B195, F$7, $B$5))</f>
        <v/>
      </c>
      <c r="G195" s="8" t="str" cm="1">
        <f t="array" aca="1" ref="G195" ca="1">IF($B195="", "", _xll.IMDP("BND", $B195, G$7, $B$5))</f>
        <v/>
      </c>
      <c r="H195" s="8" t="str" cm="1">
        <f t="array" aca="1" ref="H195" ca="1">IF($B195="", "", _xll.IMDP("BND", $B195, H$7, $B$5))</f>
        <v/>
      </c>
      <c r="I195" s="11" t="str" cm="1">
        <f t="array" aca="1" ref="I195" ca="1">IF($B195="", "", _xll.IMDP("BND", $B195, I$7, $B$5))</f>
        <v/>
      </c>
      <c r="J195" s="10" t="str">
        <f t="shared" ca="1" si="2"/>
        <v/>
      </c>
      <c r="K195" s="8" t="str" cm="1">
        <f t="array" aca="1" ref="K195" ca="1">IFERROR( _xll.IMDP("BND", $B195, IF($I195="상장", "상장잔액", "발행액"), $B$5, "fill=true")/100, "")</f>
        <v/>
      </c>
    </row>
    <row r="196" spans="2:11">
      <c r="B196" s="13" t="str">
        <f ca="1">IFERROR(VLOOKUP( ROWS(대차거래!$B$9:B196), raw!$D:$E, 2, 0), "")</f>
        <v/>
      </c>
      <c r="C196" s="8" t="str">
        <f ca="1">IF($B196="", "", _xll.IMDP("BND", $B196, C$7))</f>
        <v/>
      </c>
      <c r="D196" s="9" t="str" cm="1">
        <f t="array" aca="1" ref="D196" ca="1">IF($B196="", "", _xll.IMDP("BND", $B196, D$7, $B$5, "DtFmt=1"))</f>
        <v/>
      </c>
      <c r="E196" s="8" t="str" cm="1">
        <f t="array" aca="1" ref="E196" ca="1">IF($B196="", "", _xll.IMDP("BND", $B196, E$7, $B$5))</f>
        <v/>
      </c>
      <c r="F196" s="8" t="str" cm="1">
        <f t="array" aca="1" ref="F196" ca="1">IF($B196="", "", _xll.IMDP("BND", $B196, F$7, $B$5))</f>
        <v/>
      </c>
      <c r="G196" s="8" t="str" cm="1">
        <f t="array" aca="1" ref="G196" ca="1">IF($B196="", "", _xll.IMDP("BND", $B196, G$7, $B$5))</f>
        <v/>
      </c>
      <c r="H196" s="8" t="str" cm="1">
        <f t="array" aca="1" ref="H196" ca="1">IF($B196="", "", _xll.IMDP("BND", $B196, H$7, $B$5))</f>
        <v/>
      </c>
      <c r="I196" s="11" t="str" cm="1">
        <f t="array" aca="1" ref="I196" ca="1">IF($B196="", "", _xll.IMDP("BND", $B196, I$7, $B$5))</f>
        <v/>
      </c>
      <c r="J196" s="10" t="str">
        <f t="shared" ca="1" si="2"/>
        <v/>
      </c>
      <c r="K196" s="8" t="str" cm="1">
        <f t="array" aca="1" ref="K196" ca="1">IFERROR( _xll.IMDP("BND", $B196, IF($I196="상장", "상장잔액", "발행액"), $B$5, "fill=true")/100, "")</f>
        <v/>
      </c>
    </row>
    <row r="197" spans="2:11">
      <c r="B197" s="13" t="str">
        <f ca="1">IFERROR(VLOOKUP( ROWS(대차거래!$B$9:B197), raw!$D:$E, 2, 0), "")</f>
        <v/>
      </c>
      <c r="C197" s="8" t="str">
        <f ca="1">IF($B197="", "", _xll.IMDP("BND", $B197, C$7))</f>
        <v/>
      </c>
      <c r="D197" s="9" t="str" cm="1">
        <f t="array" aca="1" ref="D197" ca="1">IF($B197="", "", _xll.IMDP("BND", $B197, D$7, $B$5, "DtFmt=1"))</f>
        <v/>
      </c>
      <c r="E197" s="8" t="str" cm="1">
        <f t="array" aca="1" ref="E197" ca="1">IF($B197="", "", _xll.IMDP("BND", $B197, E$7, $B$5))</f>
        <v/>
      </c>
      <c r="F197" s="8" t="str" cm="1">
        <f t="array" aca="1" ref="F197" ca="1">IF($B197="", "", _xll.IMDP("BND", $B197, F$7, $B$5))</f>
        <v/>
      </c>
      <c r="G197" s="8" t="str" cm="1">
        <f t="array" aca="1" ref="G197" ca="1">IF($B197="", "", _xll.IMDP("BND", $B197, G$7, $B$5))</f>
        <v/>
      </c>
      <c r="H197" s="8" t="str" cm="1">
        <f t="array" aca="1" ref="H197" ca="1">IF($B197="", "", _xll.IMDP("BND", $B197, H$7, $B$5))</f>
        <v/>
      </c>
      <c r="I197" s="11" t="str" cm="1">
        <f t="array" aca="1" ref="I197" ca="1">IF($B197="", "", _xll.IMDP("BND", $B197, I$7, $B$5))</f>
        <v/>
      </c>
      <c r="J197" s="10" t="str">
        <f t="shared" ca="1" si="2"/>
        <v/>
      </c>
      <c r="K197" s="8" t="str" cm="1">
        <f t="array" aca="1" ref="K197" ca="1">IFERROR( _xll.IMDP("BND", $B197, IF($I197="상장", "상장잔액", "발행액"), $B$5, "fill=true")/100, "")</f>
        <v/>
      </c>
    </row>
    <row r="198" spans="2:11">
      <c r="B198" s="13" t="str">
        <f ca="1">IFERROR(VLOOKUP( ROWS(대차거래!$B$9:B198), raw!$D:$E, 2, 0), "")</f>
        <v/>
      </c>
      <c r="C198" s="8" t="str">
        <f ca="1">IF($B198="", "", _xll.IMDP("BND", $B198, C$7))</f>
        <v/>
      </c>
      <c r="D198" s="9" t="str" cm="1">
        <f t="array" aca="1" ref="D198" ca="1">IF($B198="", "", _xll.IMDP("BND", $B198, D$7, $B$5, "DtFmt=1"))</f>
        <v/>
      </c>
      <c r="E198" s="8" t="str" cm="1">
        <f t="array" aca="1" ref="E198" ca="1">IF($B198="", "", _xll.IMDP("BND", $B198, E$7, $B$5))</f>
        <v/>
      </c>
      <c r="F198" s="8" t="str" cm="1">
        <f t="array" aca="1" ref="F198" ca="1">IF($B198="", "", _xll.IMDP("BND", $B198, F$7, $B$5))</f>
        <v/>
      </c>
      <c r="G198" s="8" t="str" cm="1">
        <f t="array" aca="1" ref="G198" ca="1">IF($B198="", "", _xll.IMDP("BND", $B198, G$7, $B$5))</f>
        <v/>
      </c>
      <c r="H198" s="8" t="str" cm="1">
        <f t="array" aca="1" ref="H198" ca="1">IF($B198="", "", _xll.IMDP("BND", $B198, H$7, $B$5))</f>
        <v/>
      </c>
      <c r="I198" s="11" t="str" cm="1">
        <f t="array" aca="1" ref="I198" ca="1">IF($B198="", "", _xll.IMDP("BND", $B198, I$7, $B$5))</f>
        <v/>
      </c>
      <c r="J198" s="10" t="str">
        <f t="shared" ca="1" si="2"/>
        <v/>
      </c>
      <c r="K198" s="8" t="str" cm="1">
        <f t="array" aca="1" ref="K198" ca="1">IFERROR( _xll.IMDP("BND", $B198, IF($I198="상장", "상장잔액", "발행액"), $B$5, "fill=true")/100, "")</f>
        <v/>
      </c>
    </row>
    <row r="199" spans="2:11">
      <c r="B199" s="13" t="str">
        <f ca="1">IFERROR(VLOOKUP( ROWS(대차거래!$B$9:B199), raw!$D:$E, 2, 0), "")</f>
        <v/>
      </c>
      <c r="C199" s="8" t="str">
        <f ca="1">IF($B199="", "", _xll.IMDP("BND", $B199, C$7))</f>
        <v/>
      </c>
      <c r="D199" s="9" t="str" cm="1">
        <f t="array" aca="1" ref="D199" ca="1">IF($B199="", "", _xll.IMDP("BND", $B199, D$7, $B$5, "DtFmt=1"))</f>
        <v/>
      </c>
      <c r="E199" s="8" t="str" cm="1">
        <f t="array" aca="1" ref="E199" ca="1">IF($B199="", "", _xll.IMDP("BND", $B199, E$7, $B$5))</f>
        <v/>
      </c>
      <c r="F199" s="8" t="str" cm="1">
        <f t="array" aca="1" ref="F199" ca="1">IF($B199="", "", _xll.IMDP("BND", $B199, F$7, $B$5))</f>
        <v/>
      </c>
      <c r="G199" s="8" t="str" cm="1">
        <f t="array" aca="1" ref="G199" ca="1">IF($B199="", "", _xll.IMDP("BND", $B199, G$7, $B$5))</f>
        <v/>
      </c>
      <c r="H199" s="8" t="str" cm="1">
        <f t="array" aca="1" ref="H199" ca="1">IF($B199="", "", _xll.IMDP("BND", $B199, H$7, $B$5))</f>
        <v/>
      </c>
      <c r="I199" s="11" t="str" cm="1">
        <f t="array" aca="1" ref="I199" ca="1">IF($B199="", "", _xll.IMDP("BND", $B199, I$7, $B$5))</f>
        <v/>
      </c>
      <c r="J199" s="10" t="str">
        <f t="shared" ca="1" si="2"/>
        <v/>
      </c>
      <c r="K199" s="8" t="str" cm="1">
        <f t="array" aca="1" ref="K199" ca="1">IFERROR( _xll.IMDP("BND", $B199, IF($I199="상장", "상장잔액", "발행액"), $B$5, "fill=true")/100, "")</f>
        <v/>
      </c>
    </row>
    <row r="200" spans="2:11">
      <c r="B200" s="13" t="str">
        <f ca="1">IFERROR(VLOOKUP( ROWS(대차거래!$B$9:B200), raw!$D:$E, 2, 0), "")</f>
        <v/>
      </c>
      <c r="C200" s="8" t="str">
        <f ca="1">IF($B200="", "", _xll.IMDP("BND", $B200, C$7))</f>
        <v/>
      </c>
      <c r="D200" s="9" t="str" cm="1">
        <f t="array" aca="1" ref="D200" ca="1">IF($B200="", "", _xll.IMDP("BND", $B200, D$7, $B$5, "DtFmt=1"))</f>
        <v/>
      </c>
      <c r="E200" s="8" t="str" cm="1">
        <f t="array" aca="1" ref="E200" ca="1">IF($B200="", "", _xll.IMDP("BND", $B200, E$7, $B$5))</f>
        <v/>
      </c>
      <c r="F200" s="8" t="str" cm="1">
        <f t="array" aca="1" ref="F200" ca="1">IF($B200="", "", _xll.IMDP("BND", $B200, F$7, $B$5))</f>
        <v/>
      </c>
      <c r="G200" s="8" t="str" cm="1">
        <f t="array" aca="1" ref="G200" ca="1">IF($B200="", "", _xll.IMDP("BND", $B200, G$7, $B$5))</f>
        <v/>
      </c>
      <c r="H200" s="8" t="str" cm="1">
        <f t="array" aca="1" ref="H200" ca="1">IF($B200="", "", _xll.IMDP("BND", $B200, H$7, $B$5))</f>
        <v/>
      </c>
      <c r="I200" s="11" t="str" cm="1">
        <f t="array" aca="1" ref="I200" ca="1">IF($B200="", "", _xll.IMDP("BND", $B200, I$7, $B$5))</f>
        <v/>
      </c>
      <c r="J200" s="10" t="str">
        <f t="shared" ca="1" si="2"/>
        <v/>
      </c>
      <c r="K200" s="8" t="str" cm="1">
        <f t="array" aca="1" ref="K200" ca="1">IFERROR( _xll.IMDP("BND", $B200, IF($I200="상장", "상장잔액", "발행액"), $B$5, "fill=true")/100, "")</f>
        <v/>
      </c>
    </row>
    <row r="201" spans="2:11">
      <c r="B201" s="13" t="str">
        <f ca="1">IFERROR(VLOOKUP( ROWS(대차거래!$B$9:B201), raw!$D:$E, 2, 0), "")</f>
        <v/>
      </c>
      <c r="C201" s="8" t="str">
        <f ca="1">IF($B201="", "", _xll.IMDP("BND", $B201, C$7))</f>
        <v/>
      </c>
      <c r="D201" s="9" t="str" cm="1">
        <f t="array" aca="1" ref="D201" ca="1">IF($B201="", "", _xll.IMDP("BND", $B201, D$7, $B$5, "DtFmt=1"))</f>
        <v/>
      </c>
      <c r="E201" s="8" t="str" cm="1">
        <f t="array" aca="1" ref="E201" ca="1">IF($B201="", "", _xll.IMDP("BND", $B201, E$7, $B$5))</f>
        <v/>
      </c>
      <c r="F201" s="8" t="str" cm="1">
        <f t="array" aca="1" ref="F201" ca="1">IF($B201="", "", _xll.IMDP("BND", $B201, F$7, $B$5))</f>
        <v/>
      </c>
      <c r="G201" s="8" t="str" cm="1">
        <f t="array" aca="1" ref="G201" ca="1">IF($B201="", "", _xll.IMDP("BND", $B201, G$7, $B$5))</f>
        <v/>
      </c>
      <c r="H201" s="8" t="str" cm="1">
        <f t="array" aca="1" ref="H201" ca="1">IF($B201="", "", _xll.IMDP("BND", $B201, H$7, $B$5))</f>
        <v/>
      </c>
      <c r="I201" s="11" t="str" cm="1">
        <f t="array" aca="1" ref="I201" ca="1">IF($B201="", "", _xll.IMDP("BND", $B201, I$7, $B$5))</f>
        <v/>
      </c>
      <c r="J201" s="10" t="str">
        <f t="shared" ca="1" si="2"/>
        <v/>
      </c>
      <c r="K201" s="8" t="str" cm="1">
        <f t="array" aca="1" ref="K201" ca="1">IFERROR( _xll.IMDP("BND", $B201, IF($I201="상장", "상장잔액", "발행액"), $B$5, "fill=true")/100, "")</f>
        <v/>
      </c>
    </row>
    <row r="202" spans="2:11">
      <c r="B202" s="13" t="str">
        <f ca="1">IFERROR(VLOOKUP( ROWS(대차거래!$B$9:B202), raw!$D:$E, 2, 0), "")</f>
        <v/>
      </c>
      <c r="C202" s="8" t="str">
        <f ca="1">IF($B202="", "", _xll.IMDP("BND", $B202, C$7))</f>
        <v/>
      </c>
      <c r="D202" s="9" t="str" cm="1">
        <f t="array" aca="1" ref="D202" ca="1">IF($B202="", "", _xll.IMDP("BND", $B202, D$7, $B$5, "DtFmt=1"))</f>
        <v/>
      </c>
      <c r="E202" s="8" t="str" cm="1">
        <f t="array" aca="1" ref="E202" ca="1">IF($B202="", "", _xll.IMDP("BND", $B202, E$7, $B$5))</f>
        <v/>
      </c>
      <c r="F202" s="8" t="str" cm="1">
        <f t="array" aca="1" ref="F202" ca="1">IF($B202="", "", _xll.IMDP("BND", $B202, F$7, $B$5))</f>
        <v/>
      </c>
      <c r="G202" s="8" t="str" cm="1">
        <f t="array" aca="1" ref="G202" ca="1">IF($B202="", "", _xll.IMDP("BND", $B202, G$7, $B$5))</f>
        <v/>
      </c>
      <c r="H202" s="8" t="str" cm="1">
        <f t="array" aca="1" ref="H202" ca="1">IF($B202="", "", _xll.IMDP("BND", $B202, H$7, $B$5))</f>
        <v/>
      </c>
      <c r="I202" s="11" t="str" cm="1">
        <f t="array" aca="1" ref="I202" ca="1">IF($B202="", "", _xll.IMDP("BND", $B202, I$7, $B$5))</f>
        <v/>
      </c>
      <c r="J202" s="10" t="str">
        <f t="shared" ref="J202:J214" ca="1" si="3">IF($H202="","",$H202*100/$K202)</f>
        <v/>
      </c>
      <c r="K202" s="8" t="str" cm="1">
        <f t="array" aca="1" ref="K202" ca="1">IFERROR( _xll.IMDP("BND", $B202, IF($I202="상장", "상장잔액", "발행액"), $B$5, "fill=true")/100, "")</f>
        <v/>
      </c>
    </row>
    <row r="203" spans="2:11">
      <c r="B203" s="13" t="str">
        <f ca="1">IFERROR(VLOOKUP( ROWS(대차거래!$B$9:B203), raw!$D:$E, 2, 0), "")</f>
        <v/>
      </c>
      <c r="C203" s="8" t="str">
        <f ca="1">IF($B203="", "", _xll.IMDP("BND", $B203, C$7))</f>
        <v/>
      </c>
      <c r="D203" s="9" t="str" cm="1">
        <f t="array" aca="1" ref="D203" ca="1">IF($B203="", "", _xll.IMDP("BND", $B203, D$7, $B$5, "DtFmt=1"))</f>
        <v/>
      </c>
      <c r="E203" s="8" t="str" cm="1">
        <f t="array" aca="1" ref="E203" ca="1">IF($B203="", "", _xll.IMDP("BND", $B203, E$7, $B$5))</f>
        <v/>
      </c>
      <c r="F203" s="8" t="str" cm="1">
        <f t="array" aca="1" ref="F203" ca="1">IF($B203="", "", _xll.IMDP("BND", $B203, F$7, $B$5))</f>
        <v/>
      </c>
      <c r="G203" s="8" t="str" cm="1">
        <f t="array" aca="1" ref="G203" ca="1">IF($B203="", "", _xll.IMDP("BND", $B203, G$7, $B$5))</f>
        <v/>
      </c>
      <c r="H203" s="8" t="str" cm="1">
        <f t="array" aca="1" ref="H203" ca="1">IF($B203="", "", _xll.IMDP("BND", $B203, H$7, $B$5))</f>
        <v/>
      </c>
      <c r="I203" s="11" t="str" cm="1">
        <f t="array" aca="1" ref="I203" ca="1">IF($B203="", "", _xll.IMDP("BND", $B203, I$7, $B$5))</f>
        <v/>
      </c>
      <c r="J203" s="10" t="str">
        <f t="shared" ca="1" si="3"/>
        <v/>
      </c>
      <c r="K203" s="8" t="str" cm="1">
        <f t="array" aca="1" ref="K203" ca="1">IFERROR( _xll.IMDP("BND", $B203, IF($I203="상장", "상장잔액", "발행액"), $B$5, "fill=true")/100, "")</f>
        <v/>
      </c>
    </row>
    <row r="204" spans="2:11">
      <c r="B204" s="13" t="str">
        <f ca="1">IFERROR(VLOOKUP( ROWS(대차거래!$B$9:B204), raw!$D:$E, 2, 0), "")</f>
        <v/>
      </c>
      <c r="C204" s="8" t="str">
        <f ca="1">IF($B204="", "", _xll.IMDP("BND", $B204, C$7))</f>
        <v/>
      </c>
      <c r="D204" s="9" t="str" cm="1">
        <f t="array" aca="1" ref="D204" ca="1">IF($B204="", "", _xll.IMDP("BND", $B204, D$7, $B$5, "DtFmt=1"))</f>
        <v/>
      </c>
      <c r="E204" s="8" t="str" cm="1">
        <f t="array" aca="1" ref="E204" ca="1">IF($B204="", "", _xll.IMDP("BND", $B204, E$7, $B$5))</f>
        <v/>
      </c>
      <c r="F204" s="8" t="str" cm="1">
        <f t="array" aca="1" ref="F204" ca="1">IF($B204="", "", _xll.IMDP("BND", $B204, F$7, $B$5))</f>
        <v/>
      </c>
      <c r="G204" s="8" t="str" cm="1">
        <f t="array" aca="1" ref="G204" ca="1">IF($B204="", "", _xll.IMDP("BND", $B204, G$7, $B$5))</f>
        <v/>
      </c>
      <c r="H204" s="8" t="str" cm="1">
        <f t="array" aca="1" ref="H204" ca="1">IF($B204="", "", _xll.IMDP("BND", $B204, H$7, $B$5))</f>
        <v/>
      </c>
      <c r="I204" s="11" t="str" cm="1">
        <f t="array" aca="1" ref="I204" ca="1">IF($B204="", "", _xll.IMDP("BND", $B204, I$7, $B$5))</f>
        <v/>
      </c>
      <c r="J204" s="10" t="str">
        <f t="shared" ca="1" si="3"/>
        <v/>
      </c>
      <c r="K204" s="8" t="str" cm="1">
        <f t="array" aca="1" ref="K204" ca="1">IFERROR( _xll.IMDP("BND", $B204, IF($I204="상장", "상장잔액", "발행액"), $B$5, "fill=true")/100, "")</f>
        <v/>
      </c>
    </row>
    <row r="205" spans="2:11">
      <c r="B205" s="13" t="str">
        <f ca="1">IFERROR(VLOOKUP( ROWS(대차거래!$B$9:B205), raw!$D:$E, 2, 0), "")</f>
        <v/>
      </c>
      <c r="C205" s="8" t="str">
        <f ca="1">IF($B205="", "", _xll.IMDP("BND", $B205, C$7))</f>
        <v/>
      </c>
      <c r="D205" s="9" t="str" cm="1">
        <f t="array" aca="1" ref="D205" ca="1">IF($B205="", "", _xll.IMDP("BND", $B205, D$7, $B$5, "DtFmt=1"))</f>
        <v/>
      </c>
      <c r="E205" s="8" t="str" cm="1">
        <f t="array" aca="1" ref="E205" ca="1">IF($B205="", "", _xll.IMDP("BND", $B205, E$7, $B$5))</f>
        <v/>
      </c>
      <c r="F205" s="8" t="str" cm="1">
        <f t="array" aca="1" ref="F205" ca="1">IF($B205="", "", _xll.IMDP("BND", $B205, F$7, $B$5))</f>
        <v/>
      </c>
      <c r="G205" s="8" t="str" cm="1">
        <f t="array" aca="1" ref="G205" ca="1">IF($B205="", "", _xll.IMDP("BND", $B205, G$7, $B$5))</f>
        <v/>
      </c>
      <c r="H205" s="8" t="str" cm="1">
        <f t="array" aca="1" ref="H205" ca="1">IF($B205="", "", _xll.IMDP("BND", $B205, H$7, $B$5))</f>
        <v/>
      </c>
      <c r="I205" s="11" t="str" cm="1">
        <f t="array" aca="1" ref="I205" ca="1">IF($B205="", "", _xll.IMDP("BND", $B205, I$7, $B$5))</f>
        <v/>
      </c>
      <c r="J205" s="10" t="str">
        <f t="shared" ca="1" si="3"/>
        <v/>
      </c>
      <c r="K205" s="8" t="str" cm="1">
        <f t="array" aca="1" ref="K205" ca="1">IFERROR( _xll.IMDP("BND", $B205, IF($I205="상장", "상장잔액", "발행액"), $B$5, "fill=true")/100, "")</f>
        <v/>
      </c>
    </row>
    <row r="206" spans="2:11">
      <c r="B206" s="13" t="str">
        <f ca="1">IFERROR(VLOOKUP( ROWS(대차거래!$B$9:B206), raw!$D:$E, 2, 0), "")</f>
        <v/>
      </c>
      <c r="C206" s="8" t="str">
        <f ca="1">IF($B206="", "", _xll.IMDP("BND", $B206, C$7))</f>
        <v/>
      </c>
      <c r="D206" s="9" t="str" cm="1">
        <f t="array" aca="1" ref="D206" ca="1">IF($B206="", "", _xll.IMDP("BND", $B206, D$7, $B$5, "DtFmt=1"))</f>
        <v/>
      </c>
      <c r="E206" s="8" t="str" cm="1">
        <f t="array" aca="1" ref="E206" ca="1">IF($B206="", "", _xll.IMDP("BND", $B206, E$7, $B$5))</f>
        <v/>
      </c>
      <c r="F206" s="8" t="str" cm="1">
        <f t="array" aca="1" ref="F206" ca="1">IF($B206="", "", _xll.IMDP("BND", $B206, F$7, $B$5))</f>
        <v/>
      </c>
      <c r="G206" s="8" t="str" cm="1">
        <f t="array" aca="1" ref="G206" ca="1">IF($B206="", "", _xll.IMDP("BND", $B206, G$7, $B$5))</f>
        <v/>
      </c>
      <c r="H206" s="8" t="str" cm="1">
        <f t="array" aca="1" ref="H206" ca="1">IF($B206="", "", _xll.IMDP("BND", $B206, H$7, $B$5))</f>
        <v/>
      </c>
      <c r="I206" s="11" t="str" cm="1">
        <f t="array" aca="1" ref="I206" ca="1">IF($B206="", "", _xll.IMDP("BND", $B206, I$7, $B$5))</f>
        <v/>
      </c>
      <c r="J206" s="10" t="str">
        <f t="shared" ca="1" si="3"/>
        <v/>
      </c>
      <c r="K206" s="8" t="str" cm="1">
        <f t="array" aca="1" ref="K206" ca="1">IFERROR( _xll.IMDP("BND", $B206, IF($I206="상장", "상장잔액", "발행액"), $B$5, "fill=true")/100, "")</f>
        <v/>
      </c>
    </row>
    <row r="207" spans="2:11">
      <c r="B207" s="13" t="str">
        <f ca="1">IFERROR(VLOOKUP( ROWS(대차거래!$B$9:B207), raw!$D:$E, 2, 0), "")</f>
        <v/>
      </c>
      <c r="C207" s="8" t="str">
        <f ca="1">IF($B207="", "", _xll.IMDP("BND", $B207, C$7))</f>
        <v/>
      </c>
      <c r="D207" s="9" t="str" cm="1">
        <f t="array" aca="1" ref="D207" ca="1">IF($B207="", "", _xll.IMDP("BND", $B207, D$7, $B$5, "DtFmt=1"))</f>
        <v/>
      </c>
      <c r="E207" s="8" t="str" cm="1">
        <f t="array" aca="1" ref="E207" ca="1">IF($B207="", "", _xll.IMDP("BND", $B207, E$7, $B$5))</f>
        <v/>
      </c>
      <c r="F207" s="8" t="str" cm="1">
        <f t="array" aca="1" ref="F207" ca="1">IF($B207="", "", _xll.IMDP("BND", $B207, F$7, $B$5))</f>
        <v/>
      </c>
      <c r="G207" s="8" t="str" cm="1">
        <f t="array" aca="1" ref="G207" ca="1">IF($B207="", "", _xll.IMDP("BND", $B207, G$7, $B$5))</f>
        <v/>
      </c>
      <c r="H207" s="8" t="str" cm="1">
        <f t="array" aca="1" ref="H207" ca="1">IF($B207="", "", _xll.IMDP("BND", $B207, H$7, $B$5))</f>
        <v/>
      </c>
      <c r="I207" s="11" t="str" cm="1">
        <f t="array" aca="1" ref="I207" ca="1">IF($B207="", "", _xll.IMDP("BND", $B207, I$7, $B$5))</f>
        <v/>
      </c>
      <c r="J207" s="10" t="str">
        <f t="shared" ca="1" si="3"/>
        <v/>
      </c>
      <c r="K207" s="8" t="str" cm="1">
        <f t="array" aca="1" ref="K207" ca="1">IFERROR( _xll.IMDP("BND", $B207, IF($I207="상장", "상장잔액", "발행액"), $B$5, "fill=true")/100, "")</f>
        <v/>
      </c>
    </row>
    <row r="208" spans="2:11">
      <c r="B208" s="13" t="str">
        <f ca="1">IFERROR(VLOOKUP( ROWS(대차거래!$B$9:B208), raw!$D:$E, 2, 0), "")</f>
        <v/>
      </c>
      <c r="C208" s="8" t="str">
        <f ca="1">IF($B208="", "", _xll.IMDP("BND", $B208, C$7))</f>
        <v/>
      </c>
      <c r="D208" s="9" t="str" cm="1">
        <f t="array" aca="1" ref="D208" ca="1">IF($B208="", "", _xll.IMDP("BND", $B208, D$7, $B$5, "DtFmt=1"))</f>
        <v/>
      </c>
      <c r="E208" s="8" t="str" cm="1">
        <f t="array" aca="1" ref="E208" ca="1">IF($B208="", "", _xll.IMDP("BND", $B208, E$7, $B$5))</f>
        <v/>
      </c>
      <c r="F208" s="8" t="str" cm="1">
        <f t="array" aca="1" ref="F208" ca="1">IF($B208="", "", _xll.IMDP("BND", $B208, F$7, $B$5))</f>
        <v/>
      </c>
      <c r="G208" s="8" t="str" cm="1">
        <f t="array" aca="1" ref="G208" ca="1">IF($B208="", "", _xll.IMDP("BND", $B208, G$7, $B$5))</f>
        <v/>
      </c>
      <c r="H208" s="8" t="str" cm="1">
        <f t="array" aca="1" ref="H208" ca="1">IF($B208="", "", _xll.IMDP("BND", $B208, H$7, $B$5))</f>
        <v/>
      </c>
      <c r="I208" s="11" t="str" cm="1">
        <f t="array" aca="1" ref="I208" ca="1">IF($B208="", "", _xll.IMDP("BND", $B208, I$7, $B$5))</f>
        <v/>
      </c>
      <c r="J208" s="10" t="str">
        <f t="shared" ca="1" si="3"/>
        <v/>
      </c>
      <c r="K208" s="8" t="str" cm="1">
        <f t="array" aca="1" ref="K208" ca="1">IFERROR( _xll.IMDP("BND", $B208, IF($I208="상장", "상장잔액", "발행액"), $B$5, "fill=true")/100, "")</f>
        <v/>
      </c>
    </row>
    <row r="209" spans="2:11">
      <c r="B209" s="13" t="str">
        <f ca="1">IFERROR(VLOOKUP( ROWS(대차거래!$B$9:B209), raw!$D:$E, 2, 0), "")</f>
        <v/>
      </c>
      <c r="C209" s="8" t="str">
        <f ca="1">IF($B209="", "", _xll.IMDP("BND", $B209, C$7))</f>
        <v/>
      </c>
      <c r="D209" s="9" t="str" cm="1">
        <f t="array" aca="1" ref="D209" ca="1">IF($B209="", "", _xll.IMDP("BND", $B209, D$7, $B$5, "DtFmt=1"))</f>
        <v/>
      </c>
      <c r="E209" s="8" t="str" cm="1">
        <f t="array" aca="1" ref="E209" ca="1">IF($B209="", "", _xll.IMDP("BND", $B209, E$7, $B$5))</f>
        <v/>
      </c>
      <c r="F209" s="8" t="str" cm="1">
        <f t="array" aca="1" ref="F209" ca="1">IF($B209="", "", _xll.IMDP("BND", $B209, F$7, $B$5))</f>
        <v/>
      </c>
      <c r="G209" s="8" t="str" cm="1">
        <f t="array" aca="1" ref="G209" ca="1">IF($B209="", "", _xll.IMDP("BND", $B209, G$7, $B$5))</f>
        <v/>
      </c>
      <c r="H209" s="8" t="str" cm="1">
        <f t="array" aca="1" ref="H209" ca="1">IF($B209="", "", _xll.IMDP("BND", $B209, H$7, $B$5))</f>
        <v/>
      </c>
      <c r="I209" s="11" t="str" cm="1">
        <f t="array" aca="1" ref="I209" ca="1">IF($B209="", "", _xll.IMDP("BND", $B209, I$7, $B$5))</f>
        <v/>
      </c>
      <c r="J209" s="10" t="str">
        <f t="shared" ca="1" si="3"/>
        <v/>
      </c>
      <c r="K209" s="8" t="str" cm="1">
        <f t="array" aca="1" ref="K209" ca="1">IFERROR( _xll.IMDP("BND", $B209, IF($I209="상장", "상장잔액", "발행액"), $B$5, "fill=true")/100, "")</f>
        <v/>
      </c>
    </row>
    <row r="210" spans="2:11">
      <c r="B210" s="13" t="str">
        <f ca="1">IFERROR(VLOOKUP( ROWS(대차거래!$B$9:B210), raw!$D:$E, 2, 0), "")</f>
        <v/>
      </c>
      <c r="C210" s="8" t="str">
        <f ca="1">IF($B210="", "", _xll.IMDP("BND", $B210, C$7))</f>
        <v/>
      </c>
      <c r="D210" s="9" t="str" cm="1">
        <f t="array" aca="1" ref="D210" ca="1">IF($B210="", "", _xll.IMDP("BND", $B210, D$7, $B$5, "DtFmt=1"))</f>
        <v/>
      </c>
      <c r="E210" s="8" t="str" cm="1">
        <f t="array" aca="1" ref="E210" ca="1">IF($B210="", "", _xll.IMDP("BND", $B210, E$7, $B$5))</f>
        <v/>
      </c>
      <c r="F210" s="8" t="str" cm="1">
        <f t="array" aca="1" ref="F210" ca="1">IF($B210="", "", _xll.IMDP("BND", $B210, F$7, $B$5))</f>
        <v/>
      </c>
      <c r="G210" s="8" t="str" cm="1">
        <f t="array" aca="1" ref="G210" ca="1">IF($B210="", "", _xll.IMDP("BND", $B210, G$7, $B$5))</f>
        <v/>
      </c>
      <c r="H210" s="8" t="str" cm="1">
        <f t="array" aca="1" ref="H210" ca="1">IF($B210="", "", _xll.IMDP("BND", $B210, H$7, $B$5))</f>
        <v/>
      </c>
      <c r="I210" s="11" t="str" cm="1">
        <f t="array" aca="1" ref="I210" ca="1">IF($B210="", "", _xll.IMDP("BND", $B210, I$7, $B$5))</f>
        <v/>
      </c>
      <c r="J210" s="10" t="str">
        <f t="shared" ca="1" si="3"/>
        <v/>
      </c>
      <c r="K210" s="8" t="str" cm="1">
        <f t="array" aca="1" ref="K210" ca="1">IFERROR( _xll.IMDP("BND", $B210, IF($I210="상장", "상장잔액", "발행액"), $B$5, "fill=true")/100, "")</f>
        <v/>
      </c>
    </row>
    <row r="211" spans="2:11">
      <c r="B211" s="13" t="str">
        <f ca="1">IFERROR(VLOOKUP( ROWS(대차거래!$B$9:B211), raw!$D:$E, 2, 0), "")</f>
        <v/>
      </c>
      <c r="C211" s="8" t="str">
        <f ca="1">IF($B211="", "", _xll.IMDP("BND", $B211, C$7))</f>
        <v/>
      </c>
      <c r="D211" s="9" t="str" cm="1">
        <f t="array" aca="1" ref="D211" ca="1">IF($B211="", "", _xll.IMDP("BND", $B211, D$7, $B$5, "DtFmt=1"))</f>
        <v/>
      </c>
      <c r="E211" s="8" t="str" cm="1">
        <f t="array" aca="1" ref="E211" ca="1">IF($B211="", "", _xll.IMDP("BND", $B211, E$7, $B$5))</f>
        <v/>
      </c>
      <c r="F211" s="8" t="str" cm="1">
        <f t="array" aca="1" ref="F211" ca="1">IF($B211="", "", _xll.IMDP("BND", $B211, F$7, $B$5))</f>
        <v/>
      </c>
      <c r="G211" s="8" t="str" cm="1">
        <f t="array" aca="1" ref="G211" ca="1">IF($B211="", "", _xll.IMDP("BND", $B211, G$7, $B$5))</f>
        <v/>
      </c>
      <c r="H211" s="8" t="str" cm="1">
        <f t="array" aca="1" ref="H211" ca="1">IF($B211="", "", _xll.IMDP("BND", $B211, H$7, $B$5))</f>
        <v/>
      </c>
      <c r="I211" s="11" t="str" cm="1">
        <f t="array" aca="1" ref="I211" ca="1">IF($B211="", "", _xll.IMDP("BND", $B211, I$7, $B$5))</f>
        <v/>
      </c>
      <c r="J211" s="10" t="str">
        <f t="shared" ca="1" si="3"/>
        <v/>
      </c>
      <c r="K211" s="8" t="str" cm="1">
        <f t="array" aca="1" ref="K211" ca="1">IFERROR( _xll.IMDP("BND", $B211, IF($I211="상장", "상장잔액", "발행액"), $B$5, "fill=true")/100, "")</f>
        <v/>
      </c>
    </row>
    <row r="212" spans="2:11">
      <c r="B212" s="13" t="str">
        <f ca="1">IFERROR(VLOOKUP( ROWS(대차거래!$B$9:B212), raw!$D:$E, 2, 0), "")</f>
        <v/>
      </c>
      <c r="C212" s="8" t="str">
        <f ca="1">IF($B212="", "", _xll.IMDP("BND", $B212, C$7))</f>
        <v/>
      </c>
      <c r="D212" s="9" t="str" cm="1">
        <f t="array" aca="1" ref="D212" ca="1">IF($B212="", "", _xll.IMDP("BND", $B212, D$7, $B$5, "DtFmt=1"))</f>
        <v/>
      </c>
      <c r="E212" s="8" t="str" cm="1">
        <f t="array" aca="1" ref="E212" ca="1">IF($B212="", "", _xll.IMDP("BND", $B212, E$7, $B$5))</f>
        <v/>
      </c>
      <c r="F212" s="8" t="str" cm="1">
        <f t="array" aca="1" ref="F212" ca="1">IF($B212="", "", _xll.IMDP("BND", $B212, F$7, $B$5))</f>
        <v/>
      </c>
      <c r="G212" s="8" t="str" cm="1">
        <f t="array" aca="1" ref="G212" ca="1">IF($B212="", "", _xll.IMDP("BND", $B212, G$7, $B$5))</f>
        <v/>
      </c>
      <c r="H212" s="8" t="str" cm="1">
        <f t="array" aca="1" ref="H212" ca="1">IF($B212="", "", _xll.IMDP("BND", $B212, H$7, $B$5))</f>
        <v/>
      </c>
      <c r="I212" s="11" t="str" cm="1">
        <f t="array" aca="1" ref="I212" ca="1">IF($B212="", "", _xll.IMDP("BND", $B212, I$7, $B$5))</f>
        <v/>
      </c>
      <c r="J212" s="10" t="str">
        <f t="shared" ca="1" si="3"/>
        <v/>
      </c>
      <c r="K212" s="8" t="str" cm="1">
        <f t="array" aca="1" ref="K212" ca="1">IFERROR( _xll.IMDP("BND", $B212, IF($I212="상장", "상장잔액", "발행액"), $B$5, "fill=true")/100, "")</f>
        <v/>
      </c>
    </row>
    <row r="213" spans="2:11">
      <c r="B213" s="13" t="str">
        <f ca="1">IFERROR(VLOOKUP( ROWS(대차거래!$B$9:B213), raw!$D:$E, 2, 0), "")</f>
        <v/>
      </c>
      <c r="C213" s="8" t="str">
        <f ca="1">IF($B213="", "", _xll.IMDP("BND", $B213, C$7))</f>
        <v/>
      </c>
      <c r="D213" s="9" t="str" cm="1">
        <f t="array" aca="1" ref="D213" ca="1">IF($B213="", "", _xll.IMDP("BND", $B213, D$7, $B$5, "DtFmt=1"))</f>
        <v/>
      </c>
      <c r="E213" s="8" t="str" cm="1">
        <f t="array" aca="1" ref="E213" ca="1">IF($B213="", "", _xll.IMDP("BND", $B213, E$7, $B$5))</f>
        <v/>
      </c>
      <c r="F213" s="8" t="str" cm="1">
        <f t="array" aca="1" ref="F213" ca="1">IF($B213="", "", _xll.IMDP("BND", $B213, F$7, $B$5))</f>
        <v/>
      </c>
      <c r="G213" s="8" t="str" cm="1">
        <f t="array" aca="1" ref="G213" ca="1">IF($B213="", "", _xll.IMDP("BND", $B213, G$7, $B$5))</f>
        <v/>
      </c>
      <c r="H213" s="8" t="str" cm="1">
        <f t="array" aca="1" ref="H213" ca="1">IF($B213="", "", _xll.IMDP("BND", $B213, H$7, $B$5))</f>
        <v/>
      </c>
      <c r="I213" s="11" t="str" cm="1">
        <f t="array" aca="1" ref="I213" ca="1">IF($B213="", "", _xll.IMDP("BND", $B213, I$7, $B$5))</f>
        <v/>
      </c>
      <c r="J213" s="10" t="str">
        <f t="shared" ca="1" si="3"/>
        <v/>
      </c>
      <c r="K213" s="8" t="str" cm="1">
        <f t="array" aca="1" ref="K213" ca="1">IFERROR( _xll.IMDP("BND", $B213, IF($I213="상장", "상장잔액", "발행액"), $B$5, "fill=true")/100, "")</f>
        <v/>
      </c>
    </row>
    <row r="214" spans="2:11">
      <c r="B214" s="13" t="str">
        <f ca="1">IFERROR(VLOOKUP( ROWS(대차거래!$B$9:B214), raw!$D:$E, 2, 0), "")</f>
        <v/>
      </c>
      <c r="C214" s="8" t="str">
        <f ca="1">IF($B214="", "", _xll.IMDP("BND", $B214, C$7))</f>
        <v/>
      </c>
      <c r="D214" s="9" t="str" cm="1">
        <f t="array" aca="1" ref="D214" ca="1">IF($B214="", "", _xll.IMDP("BND", $B214, D$7, $B$5, "DtFmt=1"))</f>
        <v/>
      </c>
      <c r="E214" s="8" t="str" cm="1">
        <f t="array" aca="1" ref="E214" ca="1">IF($B214="", "", _xll.IMDP("BND", $B214, E$7, $B$5))</f>
        <v/>
      </c>
      <c r="F214" s="8" t="str" cm="1">
        <f t="array" aca="1" ref="F214" ca="1">IF($B214="", "", _xll.IMDP("BND", $B214, F$7, $B$5))</f>
        <v/>
      </c>
      <c r="G214" s="8" t="str" cm="1">
        <f t="array" aca="1" ref="G214" ca="1">IF($B214="", "", _xll.IMDP("BND", $B214, G$7, $B$5))</f>
        <v/>
      </c>
      <c r="H214" s="8" t="str" cm="1">
        <f t="array" aca="1" ref="H214" ca="1">IF($B214="", "", _xll.IMDP("BND", $B214, H$7, $B$5))</f>
        <v/>
      </c>
      <c r="I214" s="11" t="str" cm="1">
        <f t="array" aca="1" ref="I214" ca="1">IF($B214="", "", _xll.IMDP("BND", $B214, I$7, $B$5))</f>
        <v/>
      </c>
      <c r="J214" s="10" t="str">
        <f t="shared" ca="1" si="3"/>
        <v/>
      </c>
      <c r="K214" s="8" t="str" cm="1">
        <f t="array" aca="1" ref="K214" ca="1">IFERROR( _xll.IMDP("BND", $B214, IF($I214="상장", "상장잔액", "발행액"), $B$5, "fill=true")/100, "")</f>
        <v/>
      </c>
    </row>
    <row r="215" spans="2:11">
      <c r="D215" s="5"/>
    </row>
    <row r="216" spans="2:11">
      <c r="D216" s="5"/>
    </row>
    <row r="217" spans="2:11">
      <c r="D217" s="5"/>
    </row>
    <row r="218" spans="2:11">
      <c r="D218" s="5"/>
    </row>
    <row r="219" spans="2:11">
      <c r="D219" s="5"/>
    </row>
    <row r="220" spans="2:11">
      <c r="D220" s="5"/>
    </row>
    <row r="221" spans="2:11">
      <c r="D221" s="5"/>
    </row>
    <row r="222" spans="2:11">
      <c r="D222" s="5"/>
    </row>
    <row r="223" spans="2:11">
      <c r="D223" s="5"/>
    </row>
    <row r="224" spans="2:11">
      <c r="D224" s="5"/>
    </row>
    <row r="225" spans="4:4">
      <c r="D225" s="5"/>
    </row>
    <row r="226" spans="4:4">
      <c r="D226" s="5"/>
    </row>
    <row r="227" spans="4:4">
      <c r="D227" s="5"/>
    </row>
    <row r="228" spans="4:4">
      <c r="D228" s="5"/>
    </row>
    <row r="229" spans="4:4">
      <c r="D229" s="5"/>
    </row>
    <row r="230" spans="4:4">
      <c r="D230" s="5"/>
    </row>
    <row r="231" spans="4:4">
      <c r="D231" s="5"/>
    </row>
    <row r="232" spans="4:4">
      <c r="D232" s="5"/>
    </row>
    <row r="233" spans="4:4">
      <c r="D233" s="5"/>
    </row>
    <row r="234" spans="4:4">
      <c r="D234" s="5"/>
    </row>
    <row r="235" spans="4:4">
      <c r="D235" s="5"/>
    </row>
    <row r="236" spans="4:4">
      <c r="D236" s="5"/>
    </row>
    <row r="237" spans="4:4">
      <c r="D237" s="5"/>
    </row>
    <row r="238" spans="4:4">
      <c r="D238" s="5"/>
    </row>
    <row r="239" spans="4:4">
      <c r="D239" s="5"/>
    </row>
    <row r="240" spans="4:4">
      <c r="D240" s="5"/>
    </row>
    <row r="241" spans="4:4">
      <c r="D241" s="5"/>
    </row>
    <row r="242" spans="4:4">
      <c r="D242" s="5"/>
    </row>
    <row r="243" spans="4:4">
      <c r="D243" s="5"/>
    </row>
    <row r="244" spans="4:4">
      <c r="D244" s="5"/>
    </row>
    <row r="245" spans="4:4">
      <c r="D245" s="5"/>
    </row>
    <row r="246" spans="4:4">
      <c r="D246" s="5"/>
    </row>
    <row r="247" spans="4:4">
      <c r="D247" s="5"/>
    </row>
    <row r="248" spans="4:4">
      <c r="D248" s="5"/>
    </row>
    <row r="249" spans="4:4">
      <c r="D249" s="5"/>
    </row>
    <row r="250" spans="4:4">
      <c r="D250" s="5"/>
    </row>
    <row r="251" spans="4:4">
      <c r="D251" s="5"/>
    </row>
    <row r="252" spans="4:4">
      <c r="D252" s="5"/>
    </row>
    <row r="253" spans="4:4">
      <c r="D253" s="5"/>
    </row>
    <row r="254" spans="4:4">
      <c r="D254" s="5"/>
    </row>
    <row r="255" spans="4:4">
      <c r="D255" s="5"/>
    </row>
    <row r="256" spans="4:4">
      <c r="D256" s="5"/>
    </row>
    <row r="257" spans="4:4">
      <c r="D257" s="5"/>
    </row>
    <row r="258" spans="4:4">
      <c r="D258" s="5"/>
    </row>
    <row r="259" spans="4:4">
      <c r="D259" s="5"/>
    </row>
    <row r="260" spans="4:4">
      <c r="D260" s="5"/>
    </row>
    <row r="261" spans="4:4">
      <c r="D261" s="5"/>
    </row>
    <row r="262" spans="4:4">
      <c r="D262" s="5"/>
    </row>
    <row r="263" spans="4:4">
      <c r="D263" s="5"/>
    </row>
    <row r="264" spans="4:4">
      <c r="D264" s="5"/>
    </row>
    <row r="265" spans="4:4">
      <c r="D265" s="5"/>
    </row>
    <row r="266" spans="4:4">
      <c r="D266" s="5"/>
    </row>
    <row r="267" spans="4:4">
      <c r="D267" s="5"/>
    </row>
    <row r="268" spans="4:4">
      <c r="D268" s="5"/>
    </row>
    <row r="269" spans="4:4">
      <c r="D269" s="5"/>
    </row>
    <row r="270" spans="4:4">
      <c r="D270" s="5"/>
    </row>
    <row r="271" spans="4:4">
      <c r="D271" s="5"/>
    </row>
    <row r="272" spans="4:4">
      <c r="D272" s="5"/>
    </row>
    <row r="273" spans="4:4">
      <c r="D273" s="5"/>
    </row>
    <row r="274" spans="4:4">
      <c r="D274" s="5"/>
    </row>
    <row r="275" spans="4:4">
      <c r="D275" s="5"/>
    </row>
    <row r="276" spans="4:4">
      <c r="D276" s="5"/>
    </row>
    <row r="277" spans="4:4">
      <c r="D277" s="5"/>
    </row>
    <row r="278" spans="4:4">
      <c r="D278" s="5"/>
    </row>
    <row r="279" spans="4:4">
      <c r="D279" s="5"/>
    </row>
    <row r="280" spans="4:4">
      <c r="D280" s="5"/>
    </row>
    <row r="281" spans="4:4">
      <c r="D281" s="5"/>
    </row>
    <row r="282" spans="4:4">
      <c r="D282" s="5"/>
    </row>
    <row r="283" spans="4:4">
      <c r="D283" s="5"/>
    </row>
    <row r="284" spans="4:4">
      <c r="D284" s="5"/>
    </row>
    <row r="285" spans="4:4">
      <c r="D285" s="5"/>
    </row>
    <row r="286" spans="4:4">
      <c r="D286" s="5"/>
    </row>
    <row r="287" spans="4:4">
      <c r="D287" s="5"/>
    </row>
    <row r="288" spans="4:4">
      <c r="D288" s="5"/>
    </row>
    <row r="289" spans="4:4">
      <c r="D289" s="5"/>
    </row>
    <row r="290" spans="4:4">
      <c r="D290" s="5"/>
    </row>
    <row r="291" spans="4:4">
      <c r="D291" s="5"/>
    </row>
    <row r="292" spans="4:4">
      <c r="D292" s="5"/>
    </row>
    <row r="293" spans="4:4">
      <c r="D293" s="5"/>
    </row>
    <row r="294" spans="4:4">
      <c r="D294" s="5"/>
    </row>
    <row r="295" spans="4:4">
      <c r="D295" s="5"/>
    </row>
    <row r="296" spans="4:4">
      <c r="D296" s="5"/>
    </row>
    <row r="297" spans="4:4">
      <c r="D297" s="5"/>
    </row>
    <row r="298" spans="4:4">
      <c r="D298" s="5"/>
    </row>
    <row r="299" spans="4:4">
      <c r="D299" s="5"/>
    </row>
    <row r="300" spans="4:4">
      <c r="D300" s="5"/>
    </row>
    <row r="301" spans="4:4">
      <c r="D301" s="5"/>
    </row>
    <row r="302" spans="4:4">
      <c r="D302" s="5"/>
    </row>
    <row r="303" spans="4:4">
      <c r="D303" s="5"/>
    </row>
    <row r="304" spans="4:4">
      <c r="D304" s="5"/>
    </row>
    <row r="305" spans="4:4">
      <c r="D305" s="5"/>
    </row>
    <row r="306" spans="4:4">
      <c r="D306" s="5"/>
    </row>
    <row r="307" spans="4:4">
      <c r="D307" s="5"/>
    </row>
    <row r="308" spans="4:4">
      <c r="D308" s="5"/>
    </row>
    <row r="309" spans="4:4">
      <c r="D309" s="5"/>
    </row>
    <row r="310" spans="4:4">
      <c r="D310" s="5"/>
    </row>
    <row r="311" spans="4:4">
      <c r="D311" s="5"/>
    </row>
    <row r="312" spans="4:4">
      <c r="D312" s="5"/>
    </row>
    <row r="313" spans="4:4">
      <c r="D313" s="5"/>
    </row>
    <row r="314" spans="4:4">
      <c r="D314" s="5"/>
    </row>
    <row r="315" spans="4:4">
      <c r="D315" s="5"/>
    </row>
    <row r="316" spans="4:4">
      <c r="D316" s="5"/>
    </row>
    <row r="317" spans="4:4">
      <c r="D317" s="5"/>
    </row>
    <row r="318" spans="4:4">
      <c r="D318" s="5"/>
    </row>
    <row r="319" spans="4:4">
      <c r="D319" s="5"/>
    </row>
    <row r="320" spans="4:4">
      <c r="D320" s="5"/>
    </row>
    <row r="321" spans="4:4">
      <c r="D321" s="5"/>
    </row>
    <row r="322" spans="4:4">
      <c r="D322" s="5"/>
    </row>
    <row r="323" spans="4:4">
      <c r="D323" s="5"/>
    </row>
    <row r="324" spans="4:4">
      <c r="D324" s="5"/>
    </row>
    <row r="325" spans="4:4">
      <c r="D325" s="5"/>
    </row>
    <row r="326" spans="4:4">
      <c r="D326" s="5"/>
    </row>
    <row r="327" spans="4:4">
      <c r="D327" s="5"/>
    </row>
    <row r="328" spans="4:4">
      <c r="D328" s="5"/>
    </row>
    <row r="329" spans="4:4">
      <c r="D329" s="5"/>
    </row>
    <row r="330" spans="4:4">
      <c r="D330" s="5"/>
    </row>
    <row r="331" spans="4:4">
      <c r="D331" s="5"/>
    </row>
    <row r="332" spans="4:4">
      <c r="D332" s="5"/>
    </row>
    <row r="333" spans="4:4">
      <c r="D333" s="5"/>
    </row>
    <row r="334" spans="4:4">
      <c r="D334" s="5"/>
    </row>
    <row r="335" spans="4:4">
      <c r="D335" s="5"/>
    </row>
    <row r="336" spans="4:4">
      <c r="D336" s="5"/>
    </row>
    <row r="337" spans="4:4">
      <c r="D337" s="5"/>
    </row>
    <row r="338" spans="4:4">
      <c r="D338" s="5"/>
    </row>
    <row r="339" spans="4:4">
      <c r="D339" s="5"/>
    </row>
    <row r="340" spans="4:4">
      <c r="D340" s="5"/>
    </row>
    <row r="341" spans="4:4">
      <c r="D341" s="5"/>
    </row>
    <row r="342" spans="4:4">
      <c r="D342" s="5"/>
    </row>
    <row r="343" spans="4:4">
      <c r="D343" s="5"/>
    </row>
    <row r="344" spans="4:4">
      <c r="D344" s="5"/>
    </row>
    <row r="345" spans="4:4">
      <c r="D345" s="5"/>
    </row>
    <row r="346" spans="4:4">
      <c r="D346" s="5"/>
    </row>
    <row r="347" spans="4:4">
      <c r="D347" s="5"/>
    </row>
    <row r="348" spans="4:4">
      <c r="D348" s="5"/>
    </row>
    <row r="349" spans="4:4">
      <c r="D349" s="5"/>
    </row>
    <row r="350" spans="4:4">
      <c r="D350" s="5"/>
    </row>
    <row r="351" spans="4:4">
      <c r="D351" s="5"/>
    </row>
    <row r="352" spans="4:4">
      <c r="D352" s="5"/>
    </row>
    <row r="353" spans="4:4">
      <c r="D353" s="5"/>
    </row>
    <row r="354" spans="4:4">
      <c r="D354" s="5"/>
    </row>
    <row r="355" spans="4:4">
      <c r="D355" s="5"/>
    </row>
    <row r="356" spans="4:4">
      <c r="D356" s="5"/>
    </row>
    <row r="357" spans="4:4">
      <c r="D357" s="5"/>
    </row>
    <row r="358" spans="4:4">
      <c r="D358" s="5"/>
    </row>
    <row r="359" spans="4:4">
      <c r="D359" s="5"/>
    </row>
    <row r="360" spans="4:4">
      <c r="D360" s="5"/>
    </row>
    <row r="361" spans="4:4">
      <c r="D361" s="5"/>
    </row>
    <row r="362" spans="4:4">
      <c r="D362" s="5"/>
    </row>
    <row r="363" spans="4:4">
      <c r="D363" s="5"/>
    </row>
    <row r="364" spans="4:4">
      <c r="D364" s="5"/>
    </row>
    <row r="365" spans="4:4">
      <c r="D365" s="5"/>
    </row>
    <row r="366" spans="4:4">
      <c r="D366" s="5"/>
    </row>
    <row r="367" spans="4:4">
      <c r="D367" s="5"/>
    </row>
    <row r="368" spans="4:4">
      <c r="D368" s="5"/>
    </row>
    <row r="369" spans="4:4">
      <c r="D369" s="5"/>
    </row>
    <row r="370" spans="4:4">
      <c r="D370" s="5"/>
    </row>
    <row r="371" spans="4:4">
      <c r="D371" s="5"/>
    </row>
    <row r="372" spans="4:4">
      <c r="D372" s="5"/>
    </row>
    <row r="373" spans="4:4">
      <c r="D373" s="5"/>
    </row>
    <row r="374" spans="4:4">
      <c r="D374" s="5"/>
    </row>
    <row r="375" spans="4:4">
      <c r="D375" s="5"/>
    </row>
    <row r="376" spans="4:4">
      <c r="D376" s="5"/>
    </row>
    <row r="377" spans="4:4">
      <c r="D377" s="5"/>
    </row>
    <row r="378" spans="4:4">
      <c r="D378" s="5"/>
    </row>
    <row r="379" spans="4:4">
      <c r="D379" s="5"/>
    </row>
    <row r="380" spans="4:4">
      <c r="D380" s="5"/>
    </row>
    <row r="381" spans="4:4">
      <c r="D381" s="5"/>
    </row>
    <row r="382" spans="4:4">
      <c r="D382" s="5"/>
    </row>
    <row r="383" spans="4:4">
      <c r="D383" s="5"/>
    </row>
    <row r="384" spans="4:4">
      <c r="D384" s="5"/>
    </row>
    <row r="385" spans="4:4">
      <c r="D385" s="5"/>
    </row>
    <row r="386" spans="4:4">
      <c r="D386" s="5"/>
    </row>
    <row r="387" spans="4:4">
      <c r="D387" s="5"/>
    </row>
    <row r="388" spans="4:4">
      <c r="D388" s="5"/>
    </row>
    <row r="389" spans="4:4">
      <c r="D389" s="5"/>
    </row>
    <row r="390" spans="4:4">
      <c r="D390" s="5"/>
    </row>
    <row r="391" spans="4:4">
      <c r="D391" s="5"/>
    </row>
    <row r="392" spans="4:4">
      <c r="D392" s="5"/>
    </row>
    <row r="393" spans="4:4">
      <c r="D393" s="5"/>
    </row>
    <row r="394" spans="4:4">
      <c r="D394" s="5"/>
    </row>
    <row r="395" spans="4:4">
      <c r="D395" s="5"/>
    </row>
    <row r="396" spans="4:4">
      <c r="D396" s="5"/>
    </row>
    <row r="397" spans="4:4">
      <c r="D397" s="5"/>
    </row>
    <row r="398" spans="4:4">
      <c r="D398" s="5"/>
    </row>
    <row r="399" spans="4:4">
      <c r="D399" s="5"/>
    </row>
    <row r="400" spans="4:4">
      <c r="D400" s="5"/>
    </row>
    <row r="401" spans="4:4">
      <c r="D401" s="5"/>
    </row>
    <row r="402" spans="4:4">
      <c r="D402" s="5"/>
    </row>
    <row r="403" spans="4:4">
      <c r="D403" s="5"/>
    </row>
    <row r="404" spans="4:4">
      <c r="D404" s="5"/>
    </row>
    <row r="405" spans="4:4">
      <c r="D405" s="5"/>
    </row>
    <row r="406" spans="4:4">
      <c r="D406" s="5"/>
    </row>
    <row r="407" spans="4:4">
      <c r="D407" s="5"/>
    </row>
    <row r="408" spans="4:4">
      <c r="D408" s="5"/>
    </row>
    <row r="409" spans="4:4">
      <c r="D409" s="5"/>
    </row>
    <row r="410" spans="4:4">
      <c r="D410" s="5"/>
    </row>
    <row r="411" spans="4:4">
      <c r="D411" s="5"/>
    </row>
    <row r="412" spans="4:4">
      <c r="D412" s="5"/>
    </row>
    <row r="413" spans="4:4">
      <c r="D413" s="5"/>
    </row>
    <row r="414" spans="4:4">
      <c r="D414" s="5"/>
    </row>
    <row r="415" spans="4:4">
      <c r="D415" s="5"/>
    </row>
    <row r="416" spans="4:4">
      <c r="D416" s="5"/>
    </row>
    <row r="417" spans="4:4">
      <c r="D417" s="5"/>
    </row>
    <row r="418" spans="4:4">
      <c r="D418" s="5"/>
    </row>
    <row r="419" spans="4:4">
      <c r="D419" s="5"/>
    </row>
    <row r="420" spans="4:4">
      <c r="D420" s="5"/>
    </row>
    <row r="421" spans="4:4">
      <c r="D421" s="5"/>
    </row>
    <row r="422" spans="4:4">
      <c r="D422" s="5"/>
    </row>
    <row r="423" spans="4:4">
      <c r="D423" s="5"/>
    </row>
    <row r="424" spans="4:4">
      <c r="D424" s="5"/>
    </row>
    <row r="425" spans="4:4">
      <c r="D425" s="5"/>
    </row>
    <row r="426" spans="4:4">
      <c r="D426" s="5"/>
    </row>
    <row r="427" spans="4:4">
      <c r="D427" s="5"/>
    </row>
    <row r="428" spans="4:4">
      <c r="D428" s="5"/>
    </row>
    <row r="429" spans="4:4">
      <c r="D429" s="5"/>
    </row>
    <row r="430" spans="4:4">
      <c r="D430" s="5"/>
    </row>
    <row r="431" spans="4:4">
      <c r="D431" s="5"/>
    </row>
    <row r="432" spans="4:4">
      <c r="D432" s="5"/>
    </row>
    <row r="433" spans="4:4">
      <c r="D433" s="5"/>
    </row>
    <row r="434" spans="4:4">
      <c r="D434" s="5"/>
    </row>
    <row r="435" spans="4:4">
      <c r="D435" s="5"/>
    </row>
    <row r="436" spans="4:4">
      <c r="D436" s="5"/>
    </row>
    <row r="437" spans="4:4">
      <c r="D437" s="5"/>
    </row>
    <row r="438" spans="4:4">
      <c r="D438" s="5"/>
    </row>
    <row r="439" spans="4:4">
      <c r="D439" s="5"/>
    </row>
    <row r="440" spans="4:4">
      <c r="D440" s="5"/>
    </row>
    <row r="441" spans="4:4">
      <c r="D441" s="5"/>
    </row>
    <row r="442" spans="4:4">
      <c r="D442" s="5"/>
    </row>
    <row r="443" spans="4:4">
      <c r="D443" s="5"/>
    </row>
    <row r="444" spans="4:4">
      <c r="D444" s="5"/>
    </row>
    <row r="445" spans="4:4">
      <c r="D445" s="5"/>
    </row>
    <row r="446" spans="4:4">
      <c r="D446" s="5"/>
    </row>
    <row r="447" spans="4:4">
      <c r="D447" s="5"/>
    </row>
    <row r="448" spans="4:4">
      <c r="D448" s="5"/>
    </row>
    <row r="449" spans="4:4">
      <c r="D449" s="5"/>
    </row>
    <row r="450" spans="4:4">
      <c r="D450" s="5"/>
    </row>
    <row r="451" spans="4:4">
      <c r="D451" s="5"/>
    </row>
    <row r="452" spans="4:4">
      <c r="D452" s="5"/>
    </row>
    <row r="453" spans="4:4">
      <c r="D453" s="5"/>
    </row>
    <row r="454" spans="4:4">
      <c r="D454" s="5"/>
    </row>
    <row r="455" spans="4:4">
      <c r="D455" s="5"/>
    </row>
    <row r="456" spans="4:4">
      <c r="D456" s="5"/>
    </row>
    <row r="457" spans="4:4">
      <c r="D457" s="5"/>
    </row>
    <row r="458" spans="4:4">
      <c r="D458" s="5"/>
    </row>
    <row r="459" spans="4:4">
      <c r="D459" s="5"/>
    </row>
    <row r="460" spans="4:4">
      <c r="D460" s="5"/>
    </row>
    <row r="461" spans="4:4">
      <c r="D461" s="5"/>
    </row>
    <row r="462" spans="4:4">
      <c r="D462" s="5"/>
    </row>
    <row r="463" spans="4:4">
      <c r="D463" s="5"/>
    </row>
    <row r="464" spans="4:4">
      <c r="D464" s="5"/>
    </row>
    <row r="465" spans="4:4">
      <c r="D465" s="5"/>
    </row>
    <row r="466" spans="4:4">
      <c r="D466" s="5"/>
    </row>
    <row r="467" spans="4:4">
      <c r="D467" s="5"/>
    </row>
    <row r="468" spans="4:4">
      <c r="D468" s="5"/>
    </row>
    <row r="469" spans="4:4">
      <c r="D469" s="5"/>
    </row>
    <row r="470" spans="4:4">
      <c r="D470" s="5"/>
    </row>
    <row r="471" spans="4:4">
      <c r="D471" s="5"/>
    </row>
    <row r="472" spans="4:4">
      <c r="D472" s="5"/>
    </row>
    <row r="473" spans="4:4">
      <c r="D473" s="5"/>
    </row>
    <row r="474" spans="4:4">
      <c r="D474" s="5"/>
    </row>
    <row r="475" spans="4:4">
      <c r="D475" s="5"/>
    </row>
    <row r="476" spans="4:4">
      <c r="D476" s="5"/>
    </row>
    <row r="477" spans="4:4">
      <c r="D477" s="5"/>
    </row>
    <row r="478" spans="4:4">
      <c r="D478" s="5"/>
    </row>
    <row r="479" spans="4:4">
      <c r="D479" s="5"/>
    </row>
    <row r="480" spans="4:4">
      <c r="D480" s="5"/>
    </row>
    <row r="481" spans="4:4">
      <c r="D481" s="5"/>
    </row>
    <row r="482" spans="4:4">
      <c r="D482" s="5"/>
    </row>
    <row r="483" spans="4:4">
      <c r="D483" s="5"/>
    </row>
    <row r="484" spans="4:4">
      <c r="D484" s="5"/>
    </row>
    <row r="485" spans="4:4">
      <c r="D485" s="5"/>
    </row>
    <row r="486" spans="4:4">
      <c r="D486" s="5"/>
    </row>
    <row r="487" spans="4:4">
      <c r="D487" s="5"/>
    </row>
    <row r="488" spans="4:4">
      <c r="D488" s="5"/>
    </row>
    <row r="489" spans="4:4">
      <c r="D489" s="5"/>
    </row>
    <row r="490" spans="4:4">
      <c r="D490" s="5"/>
    </row>
    <row r="491" spans="4:4">
      <c r="D491" s="5"/>
    </row>
    <row r="492" spans="4:4">
      <c r="D492" s="5"/>
    </row>
    <row r="493" spans="4:4">
      <c r="D493" s="5"/>
    </row>
    <row r="494" spans="4:4">
      <c r="D494" s="5"/>
    </row>
    <row r="495" spans="4:4">
      <c r="D495" s="5"/>
    </row>
    <row r="496" spans="4:4">
      <c r="D496" s="5"/>
    </row>
    <row r="497" spans="4:4">
      <c r="D497" s="5"/>
    </row>
    <row r="498" spans="4:4">
      <c r="D498" s="5"/>
    </row>
    <row r="499" spans="4:4">
      <c r="D499" s="5"/>
    </row>
    <row r="500" spans="4:4">
      <c r="D500" s="5"/>
    </row>
    <row r="501" spans="4:4">
      <c r="D501" s="5"/>
    </row>
    <row r="502" spans="4:4">
      <c r="D502" s="5"/>
    </row>
    <row r="503" spans="4:4">
      <c r="D503" s="5"/>
    </row>
    <row r="504" spans="4:4">
      <c r="D504" s="5"/>
    </row>
    <row r="505" spans="4:4">
      <c r="D505" s="5"/>
    </row>
    <row r="506" spans="4:4">
      <c r="D506" s="5"/>
    </row>
    <row r="507" spans="4:4">
      <c r="D507" s="5"/>
    </row>
    <row r="508" spans="4:4">
      <c r="D508" s="5"/>
    </row>
    <row r="509" spans="4:4">
      <c r="D509" s="5"/>
    </row>
  </sheetData>
  <phoneticPr fontId="1" type="noConversion"/>
  <conditionalFormatting sqref="B10:K214">
    <cfRule type="expression" dxfId="1" priority="2">
      <formula>B10&lt;&gt;""</formula>
    </cfRule>
  </conditionalFormatting>
  <conditionalFormatting sqref="B9:K9">
    <cfRule type="expression" dxfId="0" priority="1">
      <formula>B9&lt;&gt;""</formula>
    </cfRule>
  </conditionalFormatting>
  <pageMargins left="0.7" right="0.7" top="0.75" bottom="0.75" header="0.3" footer="0.3"/>
  <pageSetup paperSize="9" orientation="portrait" r:id="rId1"/>
  <ignoredErrors>
    <ignoredError sqref="D9:D21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6.5"/>
  <cols>
    <col min="1" max="1" width="16.25" bestFit="1" customWidth="1"/>
    <col min="6" max="6" width="9.875" bestFit="1" customWidth="1"/>
  </cols>
  <sheetData>
    <row r="1" spans="1:6">
      <c r="A1" s="3" t="str" cm="1">
        <f t="array" ref="A1">INDEX(raw!$A$2:$A$12, raw!$B$1)</f>
        <v>BNDSTA1200010</v>
      </c>
      <c r="B1" s="4">
        <v>4</v>
      </c>
      <c r="D1" s="2" t="str">
        <f ca="1">_xll.IMDT("채권발행", raw!$A$1, $E$1, 500, 대차거래!$B$5, "만기일", "만기일", "sort=A,DtFmt=1,TmFmt=1,Pos=11,Orient=V")</f>
        <v>조회[BNDSTA1200010]</v>
      </c>
      <c r="E1" t="s">
        <v>32</v>
      </c>
      <c r="F1" s="7" t="s">
        <v>3</v>
      </c>
    </row>
    <row r="2" spans="1:6">
      <c r="A2" t="s">
        <v>9</v>
      </c>
      <c r="B2" t="s">
        <v>20</v>
      </c>
      <c r="D2">
        <f ca="1">IF(AND($F2&lt;&gt;"",$E2&lt;&gt;""), MAX(D$1:D1)+1, 0)</f>
        <v>1</v>
      </c>
      <c r="E2" t="s">
        <v>38</v>
      </c>
      <c r="F2" s="7" cm="1">
        <f t="array" aca="1" ref="F2" ca="1">_xll.IMDP("BND", $E2, F$1, 대차거래!$B$5)</f>
        <v>2820682</v>
      </c>
    </row>
    <row r="3" spans="1:6">
      <c r="A3" t="s">
        <v>10</v>
      </c>
      <c r="B3" t="s">
        <v>21</v>
      </c>
      <c r="D3">
        <f ca="1">IF(AND($F3&lt;&gt;"",$E3&lt;&gt;""), MAX(D$1:D2)+1, 0)</f>
        <v>2</v>
      </c>
      <c r="E3" t="s">
        <v>39</v>
      </c>
      <c r="F3" s="7" cm="1">
        <f t="array" aca="1" ref="F3" ca="1">_xll.IMDP("BND", $E3, F$1, 대차거래!$B$5)</f>
        <v>2515781</v>
      </c>
    </row>
    <row r="4" spans="1:6">
      <c r="A4" t="s">
        <v>11</v>
      </c>
      <c r="B4" t="s">
        <v>22</v>
      </c>
      <c r="D4">
        <f ca="1">IF(AND($F4&lt;&gt;"",$E4&lt;&gt;""), MAX(D$1:D3)+1, 0)</f>
        <v>3</v>
      </c>
      <c r="E4" t="s">
        <v>40</v>
      </c>
      <c r="F4" s="7" cm="1">
        <f t="array" aca="1" ref="F4" ca="1">_xll.IMDP("BND", $E4, F$1, 대차거래!$B$5)</f>
        <v>2310048</v>
      </c>
    </row>
    <row r="5" spans="1:6">
      <c r="A5" t="s">
        <v>12</v>
      </c>
      <c r="B5" t="s">
        <v>23</v>
      </c>
      <c r="D5">
        <f ca="1">IF(AND($F5&lt;&gt;"",$E5&lt;&gt;""), MAX(D$1:D4)+1, 0)</f>
        <v>4</v>
      </c>
      <c r="E5" t="s">
        <v>41</v>
      </c>
      <c r="F5" s="7" cm="1">
        <f t="array" aca="1" ref="F5" ca="1">_xll.IMDP("BND", $E5, F$1, 대차거래!$B$5)</f>
        <v>1785597</v>
      </c>
    </row>
    <row r="6" spans="1:6">
      <c r="A6" t="s">
        <v>13</v>
      </c>
      <c r="B6" t="s">
        <v>24</v>
      </c>
      <c r="D6">
        <f ca="1">IF(AND($F6&lt;&gt;"",$E6&lt;&gt;""), MAX(D$1:D5)+1, 0)</f>
        <v>5</v>
      </c>
      <c r="E6" t="s">
        <v>42</v>
      </c>
      <c r="F6" s="7" cm="1">
        <f t="array" aca="1" ref="F6" ca="1">_xll.IMDP("BND", $E6, F$1, 대차거래!$B$5)</f>
        <v>686501</v>
      </c>
    </row>
    <row r="7" spans="1:6">
      <c r="A7" t="s">
        <v>14</v>
      </c>
      <c r="B7" t="s">
        <v>25</v>
      </c>
      <c r="D7">
        <f ca="1">IF(AND($F7&lt;&gt;"",$E7&lt;&gt;""), MAX(D$1:D6)+1, 0)</f>
        <v>6</v>
      </c>
      <c r="E7" t="s">
        <v>43</v>
      </c>
      <c r="F7" s="7" cm="1">
        <f t="array" aca="1" ref="F7" ca="1">_xll.IMDP("BND", $E7, F$1, 대차거래!$B$5)</f>
        <v>606281</v>
      </c>
    </row>
    <row r="8" spans="1:6">
      <c r="A8" t="s">
        <v>15</v>
      </c>
      <c r="B8" t="s">
        <v>26</v>
      </c>
      <c r="D8">
        <f ca="1">IF(AND($F8&lt;&gt;"",$E8&lt;&gt;""), MAX(D$1:D7)+1, 0)</f>
        <v>7</v>
      </c>
      <c r="E8" t="s">
        <v>44</v>
      </c>
      <c r="F8" s="7" cm="1">
        <f t="array" aca="1" ref="F8" ca="1">_xll.IMDP("BND", $E8, F$1, 대차거래!$B$5)</f>
        <v>427268</v>
      </c>
    </row>
    <row r="9" spans="1:6">
      <c r="A9" t="s">
        <v>16</v>
      </c>
      <c r="B9" t="s">
        <v>27</v>
      </c>
      <c r="D9">
        <f ca="1">IF(AND($F9&lt;&gt;"",$E9&lt;&gt;""), MAX(D$1:D8)+1, 0)</f>
        <v>8</v>
      </c>
      <c r="E9" t="s">
        <v>45</v>
      </c>
      <c r="F9" s="7" cm="1">
        <f t="array" aca="1" ref="F9" ca="1">_xll.IMDP("BND", $E9, F$1, 대차거래!$B$5)</f>
        <v>1084814</v>
      </c>
    </row>
    <row r="10" spans="1:6">
      <c r="A10" t="s">
        <v>17</v>
      </c>
      <c r="B10" t="s">
        <v>28</v>
      </c>
      <c r="D10">
        <f ca="1">IF(AND($F10&lt;&gt;"",$E10&lt;&gt;""), MAX(D$1:D9)+1, 0)</f>
        <v>9</v>
      </c>
      <c r="E10" t="s">
        <v>46</v>
      </c>
      <c r="F10" s="7" cm="1">
        <f t="array" aca="1" ref="F10" ca="1">_xll.IMDP("BND", $E10, F$1, 대차거래!$B$5)</f>
        <v>1078898</v>
      </c>
    </row>
    <row r="11" spans="1:6">
      <c r="A11" t="s">
        <v>18</v>
      </c>
      <c r="B11" t="s">
        <v>29</v>
      </c>
      <c r="D11">
        <f ca="1">IF(AND($F11&lt;&gt;"",$E11&lt;&gt;""), MAX(D$1:D10)+1, 0)</f>
        <v>10</v>
      </c>
      <c r="E11" t="s">
        <v>47</v>
      </c>
      <c r="F11" s="7" cm="1">
        <f t="array" aca="1" ref="F11" ca="1">_xll.IMDP("BND", $E11, F$1, 대차거래!$B$5)</f>
        <v>2616698</v>
      </c>
    </row>
    <row r="12" spans="1:6">
      <c r="A12" t="s">
        <v>19</v>
      </c>
      <c r="B12" t="s">
        <v>30</v>
      </c>
      <c r="D12">
        <f ca="1">IF(AND($F12&lt;&gt;"",$E12&lt;&gt;""), MAX(D$1:D11)+1, 0)</f>
        <v>11</v>
      </c>
      <c r="E12" t="s">
        <v>48</v>
      </c>
      <c r="F12" s="7" cm="1">
        <f t="array" aca="1" ref="F12" ca="1">_xll.IMDP("BND", $E12, F$1, 대차거래!$B$5)</f>
        <v>1109736</v>
      </c>
    </row>
    <row r="13" spans="1:6">
      <c r="D13">
        <f ca="1">IF(AND($F13&lt;&gt;"",$E13&lt;&gt;""), MAX(D$1:D12)+1, 0)</f>
        <v>12</v>
      </c>
      <c r="E13" t="s">
        <v>49</v>
      </c>
      <c r="F13" s="7" cm="1">
        <f t="array" aca="1" ref="F13" ca="1">_xll.IMDP("BND", $E13, F$1, 대차거래!$B$5)</f>
        <v>1564577</v>
      </c>
    </row>
    <row r="14" spans="1:6">
      <c r="D14">
        <f ca="1">IF(AND($F14&lt;&gt;"",$E14&lt;&gt;""), MAX(D$1:D13)+1, 0)</f>
        <v>13</v>
      </c>
      <c r="E14" t="s">
        <v>51</v>
      </c>
      <c r="F14" s="7" cm="1">
        <f t="array" aca="1" ref="F14" ca="1">_xll.IMDP("BND", $E14, F$1, 대차거래!$B$5)</f>
        <v>1999889</v>
      </c>
    </row>
    <row r="15" spans="1:6">
      <c r="D15">
        <f ca="1">IF(AND($F15&lt;&gt;"",$E15&lt;&gt;""), MAX(D$1:D14)+1, 0)</f>
        <v>14</v>
      </c>
      <c r="E15" t="s">
        <v>52</v>
      </c>
      <c r="F15" s="7" cm="1">
        <f t="array" aca="1" ref="F15" ca="1">_xll.IMDP("BND", $E15, F$1, 대차거래!$B$5)</f>
        <v>344706</v>
      </c>
    </row>
    <row r="16" spans="1:6">
      <c r="D16">
        <f ca="1">IF(AND($F16&lt;&gt;"",$E16&lt;&gt;""), MAX(D$1:D15)+1, 0)</f>
        <v>15</v>
      </c>
      <c r="E16" t="s">
        <v>53</v>
      </c>
      <c r="F16" s="7" cm="1">
        <f t="array" aca="1" ref="F16" ca="1">_xll.IMDP("BND", $E16, F$1, 대차거래!$B$5)</f>
        <v>57682</v>
      </c>
    </row>
    <row r="17" spans="4:6">
      <c r="D17">
        <f ca="1">IF(AND($F17&lt;&gt;"",$E17&lt;&gt;""), MAX(D$1:D16)+1, 0)</f>
        <v>16</v>
      </c>
      <c r="E17" t="s">
        <v>54</v>
      </c>
      <c r="F17" s="7" cm="1">
        <f t="array" aca="1" ref="F17" ca="1">_xll.IMDP("BND", $E17, F$1, 대차거래!$B$5)</f>
        <v>378763</v>
      </c>
    </row>
    <row r="18" spans="4:6">
      <c r="D18">
        <f ca="1">IF(AND($F18&lt;&gt;"",$E18&lt;&gt;""), MAX(D$1:D17)+1, 0)</f>
        <v>17</v>
      </c>
      <c r="E18" t="s">
        <v>55</v>
      </c>
      <c r="F18" s="7" cm="1">
        <f t="array" aca="1" ref="F18" ca="1">_xll.IMDP("BND", $E18, F$1, 대차거래!$B$5)</f>
        <v>755310</v>
      </c>
    </row>
    <row r="19" spans="4:6">
      <c r="D19">
        <f ca="1">IF(AND($F19&lt;&gt;"",$E19&lt;&gt;""), MAX(D$1:D18)+1, 0)</f>
        <v>18</v>
      </c>
      <c r="E19" t="s">
        <v>56</v>
      </c>
      <c r="F19" s="7" cm="1">
        <f t="array" aca="1" ref="F19" ca="1">_xll.IMDP("BND", $E19, F$1, 대차거래!$B$5)</f>
        <v>2080962</v>
      </c>
    </row>
    <row r="20" spans="4:6">
      <c r="D20">
        <f ca="1">IF(AND($F20&lt;&gt;"",$E20&lt;&gt;""), MAX(D$1:D19)+1, 0)</f>
        <v>19</v>
      </c>
      <c r="E20" t="s">
        <v>57</v>
      </c>
      <c r="F20" s="7" cm="1">
        <f t="array" aca="1" ref="F20" ca="1">_xll.IMDP("BND", $E20, F$1, 대차거래!$B$5)</f>
        <v>3030200</v>
      </c>
    </row>
    <row r="21" spans="4:6">
      <c r="D21">
        <f ca="1">IF(AND($F21&lt;&gt;"",$E21&lt;&gt;""), MAX(D$1:D20)+1, 0)</f>
        <v>20</v>
      </c>
      <c r="E21" t="s">
        <v>58</v>
      </c>
      <c r="F21" s="7" cm="1">
        <f t="array" aca="1" ref="F21" ca="1">_xll.IMDP("BND", $E21, F$1, 대차거래!$B$5)</f>
        <v>543000</v>
      </c>
    </row>
    <row r="22" spans="4:6">
      <c r="D22">
        <f ca="1">IF(AND($F22&lt;&gt;"",$E22&lt;&gt;""), MAX(D$1:D21)+1, 0)</f>
        <v>0</v>
      </c>
      <c r="F22" s="7" t="str" cm="1">
        <f t="array" aca="1" ref="F22" ca="1">_xll.IMDP("BND", $E22, F$1, 대차거래!$B$5)</f>
        <v>입력오류</v>
      </c>
    </row>
    <row r="23" spans="4:6">
      <c r="D23">
        <f ca="1">IF(AND($F23&lt;&gt;"",$E23&lt;&gt;""), MAX(D$1:D22)+1, 0)</f>
        <v>0</v>
      </c>
      <c r="F23" s="7" t="str" cm="1">
        <f t="array" aca="1" ref="F23" ca="1">_xll.IMDP("BND", $E23, F$1, 대차거래!$B$5)</f>
        <v>입력오류</v>
      </c>
    </row>
    <row r="24" spans="4:6">
      <c r="D24">
        <f ca="1">IF(AND($F24&lt;&gt;"",$E24&lt;&gt;""), MAX(D$1:D23)+1, 0)</f>
        <v>0</v>
      </c>
      <c r="F24" s="7" t="str" cm="1">
        <f t="array" aca="1" ref="F24" ca="1">_xll.IMDP("BND", $E24, F$1, 대차거래!$B$5)</f>
        <v>입력오류</v>
      </c>
    </row>
    <row r="25" spans="4:6">
      <c r="D25">
        <f ca="1">IF(AND($F25&lt;&gt;"",$E25&lt;&gt;""), MAX(D$1:D24)+1, 0)</f>
        <v>0</v>
      </c>
      <c r="F25" s="7" t="str" cm="1">
        <f t="array" aca="1" ref="F25" ca="1">_xll.IMDP("BND", $E25, F$1, 대차거래!$B$5)</f>
        <v>입력오류</v>
      </c>
    </row>
    <row r="26" spans="4:6">
      <c r="D26">
        <f ca="1">IF(AND($F26&lt;&gt;"",$E26&lt;&gt;""), MAX(D$1:D25)+1, 0)</f>
        <v>0</v>
      </c>
      <c r="F26" s="7" t="str" cm="1">
        <f t="array" aca="1" ref="F26" ca="1">_xll.IMDP("BND", $E26, F$1, 대차거래!$B$5)</f>
        <v>입력오류</v>
      </c>
    </row>
    <row r="27" spans="4:6">
      <c r="D27">
        <f ca="1">IF(AND($F27&lt;&gt;"",$E27&lt;&gt;""), MAX(D$1:D26)+1, 0)</f>
        <v>0</v>
      </c>
      <c r="F27" s="7" t="str" cm="1">
        <f t="array" aca="1" ref="F27" ca="1">_xll.IMDP("BND", $E27, F$1, 대차거래!$B$5)</f>
        <v>입력오류</v>
      </c>
    </row>
    <row r="28" spans="4:6">
      <c r="D28">
        <f ca="1">IF(AND($F28&lt;&gt;"",$E28&lt;&gt;""), MAX(D$1:D27)+1, 0)</f>
        <v>0</v>
      </c>
      <c r="F28" s="7" t="str" cm="1">
        <f t="array" aca="1" ref="F28" ca="1">_xll.IMDP("BND", $E28, F$1, 대차거래!$B$5)</f>
        <v>입력오류</v>
      </c>
    </row>
    <row r="29" spans="4:6">
      <c r="D29">
        <f ca="1">IF(AND($F29&lt;&gt;"",$E29&lt;&gt;""), MAX(D$1:D28)+1, 0)</f>
        <v>0</v>
      </c>
      <c r="F29" s="7" t="str" cm="1">
        <f t="array" aca="1" ref="F29" ca="1">_xll.IMDP("BND", $E29, F$1, 대차거래!$B$5)</f>
        <v>입력오류</v>
      </c>
    </row>
    <row r="30" spans="4:6">
      <c r="D30">
        <f ca="1">IF(AND($F30&lt;&gt;"",$E30&lt;&gt;""), MAX(D$1:D29)+1, 0)</f>
        <v>0</v>
      </c>
      <c r="F30" s="7" t="str" cm="1">
        <f t="array" aca="1" ref="F30" ca="1">_xll.IMDP("BND", $E30, F$1, 대차거래!$B$5)</f>
        <v>입력오류</v>
      </c>
    </row>
    <row r="31" spans="4:6">
      <c r="D31">
        <f ca="1">IF(AND($F31&lt;&gt;"",$E31&lt;&gt;""), MAX(D$1:D30)+1, 0)</f>
        <v>0</v>
      </c>
      <c r="F31" s="7" t="str" cm="1">
        <f t="array" aca="1" ref="F31" ca="1">_xll.IMDP("BND", $E31, F$1, 대차거래!$B$5)</f>
        <v>입력오류</v>
      </c>
    </row>
    <row r="32" spans="4:6">
      <c r="D32">
        <f ca="1">IF(AND($F32&lt;&gt;"",$E32&lt;&gt;""), MAX(D$1:D31)+1, 0)</f>
        <v>0</v>
      </c>
      <c r="F32" s="7" t="str" cm="1">
        <f t="array" aca="1" ref="F32" ca="1">_xll.IMDP("BND", $E32, F$1, 대차거래!$B$5)</f>
        <v>입력오류</v>
      </c>
    </row>
    <row r="33" spans="4:6">
      <c r="D33">
        <f ca="1">IF(AND($F33&lt;&gt;"",$E33&lt;&gt;""), MAX(D$1:D32)+1, 0)</f>
        <v>0</v>
      </c>
      <c r="F33" s="7" t="str" cm="1">
        <f t="array" aca="1" ref="F33" ca="1">_xll.IMDP("BND", $E33, F$1, 대차거래!$B$5)</f>
        <v>입력오류</v>
      </c>
    </row>
    <row r="34" spans="4:6">
      <c r="D34">
        <f ca="1">IF(AND($F34&lt;&gt;"",$E34&lt;&gt;""), MAX(D$1:D33)+1, 0)</f>
        <v>0</v>
      </c>
      <c r="F34" s="7" t="str" cm="1">
        <f t="array" aca="1" ref="F34" ca="1">_xll.IMDP("BND", $E34, F$1, 대차거래!$B$5)</f>
        <v>입력오류</v>
      </c>
    </row>
    <row r="35" spans="4:6">
      <c r="D35">
        <f ca="1">IF(AND($F35&lt;&gt;"",$E35&lt;&gt;""), MAX(D$1:D34)+1, 0)</f>
        <v>0</v>
      </c>
      <c r="F35" s="7" t="str" cm="1">
        <f t="array" aca="1" ref="F35" ca="1">_xll.IMDP("BND", $E35, F$1, 대차거래!$B$5)</f>
        <v>입력오류</v>
      </c>
    </row>
    <row r="36" spans="4:6">
      <c r="D36">
        <f ca="1">IF(AND($F36&lt;&gt;"",$E36&lt;&gt;""), MAX(D$1:D35)+1, 0)</f>
        <v>0</v>
      </c>
      <c r="F36" s="7" t="str" cm="1">
        <f t="array" aca="1" ref="F36" ca="1">_xll.IMDP("BND", $E36, F$1, 대차거래!$B$5)</f>
        <v>입력오류</v>
      </c>
    </row>
    <row r="37" spans="4:6">
      <c r="D37">
        <f ca="1">IF(AND($F37&lt;&gt;"",$E37&lt;&gt;""), MAX(D$1:D36)+1, 0)</f>
        <v>0</v>
      </c>
      <c r="F37" s="7" t="str" cm="1">
        <f t="array" aca="1" ref="F37" ca="1">_xll.IMDP("BND", $E37, F$1, 대차거래!$B$5)</f>
        <v>입력오류</v>
      </c>
    </row>
    <row r="38" spans="4:6">
      <c r="D38">
        <f ca="1">IF(AND($F38&lt;&gt;"",$E38&lt;&gt;""), MAX(D$1:D37)+1, 0)</f>
        <v>0</v>
      </c>
      <c r="F38" s="7" t="str" cm="1">
        <f t="array" aca="1" ref="F38" ca="1">_xll.IMDP("BND", $E38, F$1, 대차거래!$B$5)</f>
        <v>입력오류</v>
      </c>
    </row>
    <row r="39" spans="4:6">
      <c r="D39">
        <f ca="1">IF(AND($F39&lt;&gt;"",$E39&lt;&gt;""), MAX(D$1:D38)+1, 0)</f>
        <v>0</v>
      </c>
      <c r="F39" s="7" t="str" cm="1">
        <f t="array" aca="1" ref="F39" ca="1">_xll.IMDP("BND", $E39, F$1, 대차거래!$B$5)</f>
        <v>입력오류</v>
      </c>
    </row>
    <row r="40" spans="4:6">
      <c r="D40">
        <f ca="1">IF(AND($F40&lt;&gt;"",$E40&lt;&gt;""), MAX(D$1:D39)+1, 0)</f>
        <v>0</v>
      </c>
      <c r="F40" s="7" t="str" cm="1">
        <f t="array" aca="1" ref="F40" ca="1">_xll.IMDP("BND", $E40, F$1, 대차거래!$B$5)</f>
        <v>입력오류</v>
      </c>
    </row>
    <row r="41" spans="4:6">
      <c r="D41">
        <f ca="1">IF(AND($F41&lt;&gt;"",$E41&lt;&gt;""), MAX(D$1:D40)+1, 0)</f>
        <v>0</v>
      </c>
      <c r="F41" s="7" t="str" cm="1">
        <f t="array" aca="1" ref="F41" ca="1">_xll.IMDP("BND", $E41, F$1, 대차거래!$B$5)</f>
        <v>입력오류</v>
      </c>
    </row>
    <row r="42" spans="4:6">
      <c r="D42">
        <f ca="1">IF(AND($F42&lt;&gt;"",$E42&lt;&gt;""), MAX(D$1:D41)+1, 0)</f>
        <v>0</v>
      </c>
      <c r="F42" s="7" t="str" cm="1">
        <f t="array" aca="1" ref="F42" ca="1">_xll.IMDP("BND", $E42, F$1, 대차거래!$B$5)</f>
        <v>입력오류</v>
      </c>
    </row>
    <row r="43" spans="4:6">
      <c r="D43">
        <f ca="1">IF(AND($F43&lt;&gt;"",$E43&lt;&gt;""), MAX(D$1:D42)+1, 0)</f>
        <v>0</v>
      </c>
      <c r="F43" s="7" t="str" cm="1">
        <f t="array" aca="1" ref="F43" ca="1">_xll.IMDP("BND", $E43, F$1, 대차거래!$B$5)</f>
        <v>입력오류</v>
      </c>
    </row>
    <row r="44" spans="4:6">
      <c r="D44">
        <f ca="1">IF(AND($F44&lt;&gt;"",$E44&lt;&gt;""), MAX(D$1:D43)+1, 0)</f>
        <v>0</v>
      </c>
      <c r="F44" s="7" t="str" cm="1">
        <f t="array" aca="1" ref="F44" ca="1">_xll.IMDP("BND", $E44, F$1, 대차거래!$B$5)</f>
        <v>입력오류</v>
      </c>
    </row>
    <row r="45" spans="4:6">
      <c r="D45">
        <f ca="1">IF(AND($F45&lt;&gt;"",$E45&lt;&gt;""), MAX(D$1:D44)+1, 0)</f>
        <v>0</v>
      </c>
      <c r="F45" s="7" t="str" cm="1">
        <f t="array" aca="1" ref="F45" ca="1">_xll.IMDP("BND", $E45, F$1, 대차거래!$B$5)</f>
        <v>입력오류</v>
      </c>
    </row>
    <row r="46" spans="4:6">
      <c r="D46">
        <f ca="1">IF(AND($F46&lt;&gt;"",$E46&lt;&gt;""), MAX(D$1:D45)+1, 0)</f>
        <v>0</v>
      </c>
      <c r="F46" s="7" t="str" cm="1">
        <f t="array" aca="1" ref="F46" ca="1">_xll.IMDP("BND", $E46, F$1, 대차거래!$B$5)</f>
        <v>입력오류</v>
      </c>
    </row>
    <row r="47" spans="4:6">
      <c r="D47">
        <f ca="1">IF(AND($F47&lt;&gt;"",$E47&lt;&gt;""), MAX(D$1:D46)+1, 0)</f>
        <v>0</v>
      </c>
      <c r="F47" s="7" t="str" cm="1">
        <f t="array" aca="1" ref="F47" ca="1">_xll.IMDP("BND", $E47, F$1, 대차거래!$B$5)</f>
        <v>입력오류</v>
      </c>
    </row>
    <row r="48" spans="4:6">
      <c r="D48">
        <f ca="1">IF(AND($F48&lt;&gt;"",$E48&lt;&gt;""), MAX(D$1:D47)+1, 0)</f>
        <v>0</v>
      </c>
      <c r="F48" s="7" t="str" cm="1">
        <f t="array" aca="1" ref="F48" ca="1">_xll.IMDP("BND", $E48, F$1, 대차거래!$B$5)</f>
        <v>입력오류</v>
      </c>
    </row>
    <row r="49" spans="4:6">
      <c r="D49">
        <f ca="1">IF(AND($F49&lt;&gt;"",$E49&lt;&gt;""), MAX(D$1:D48)+1, 0)</f>
        <v>0</v>
      </c>
      <c r="F49" s="7" t="str" cm="1">
        <f t="array" aca="1" ref="F49" ca="1">_xll.IMDP("BND", $E49, F$1, 대차거래!$B$5)</f>
        <v>입력오류</v>
      </c>
    </row>
    <row r="50" spans="4:6">
      <c r="D50">
        <f ca="1">IF(AND($F50&lt;&gt;"",$E50&lt;&gt;""), MAX(D$1:D49)+1, 0)</f>
        <v>0</v>
      </c>
      <c r="F50" s="7" t="str" cm="1">
        <f t="array" aca="1" ref="F50" ca="1">_xll.IMDP("BND", $E50, F$1, 대차거래!$B$5)</f>
        <v>입력오류</v>
      </c>
    </row>
    <row r="51" spans="4:6">
      <c r="D51">
        <f ca="1">IF(AND($F51&lt;&gt;"",$E51&lt;&gt;""), MAX(D$1:D50)+1, 0)</f>
        <v>0</v>
      </c>
      <c r="F51" s="7" t="str" cm="1">
        <f t="array" aca="1" ref="F51" ca="1">_xll.IMDP("BND", $E51, F$1, 대차거래!$B$5)</f>
        <v>입력오류</v>
      </c>
    </row>
    <row r="52" spans="4:6">
      <c r="D52">
        <f ca="1">IF(AND($F52&lt;&gt;"",$E52&lt;&gt;""), MAX(D$1:D51)+1, 0)</f>
        <v>0</v>
      </c>
      <c r="F52" s="7" t="str" cm="1">
        <f t="array" aca="1" ref="F52" ca="1">_xll.IMDP("BND", $E52, F$1, 대차거래!$B$5)</f>
        <v>입력오류</v>
      </c>
    </row>
    <row r="53" spans="4:6">
      <c r="D53">
        <f ca="1">IF(AND($F53&lt;&gt;"",$E53&lt;&gt;""), MAX(D$1:D52)+1, 0)</f>
        <v>0</v>
      </c>
      <c r="F53" s="7" t="str" cm="1">
        <f t="array" aca="1" ref="F53" ca="1">_xll.IMDP("BND", $E53, F$1, 대차거래!$B$5)</f>
        <v>입력오류</v>
      </c>
    </row>
    <row r="54" spans="4:6">
      <c r="D54">
        <f ca="1">IF(AND($F54&lt;&gt;"",$E54&lt;&gt;""), MAX(D$1:D53)+1, 0)</f>
        <v>0</v>
      </c>
      <c r="F54" s="7" t="str" cm="1">
        <f t="array" aca="1" ref="F54" ca="1">_xll.IMDP("BND", $E54, F$1, 대차거래!$B$5)</f>
        <v>입력오류</v>
      </c>
    </row>
    <row r="55" spans="4:6">
      <c r="D55">
        <f ca="1">IF(AND($F55&lt;&gt;"",$E55&lt;&gt;""), MAX(D$1:D54)+1, 0)</f>
        <v>0</v>
      </c>
      <c r="F55" s="7" t="str" cm="1">
        <f t="array" aca="1" ref="F55" ca="1">_xll.IMDP("BND", $E55, F$1, 대차거래!$B$5)</f>
        <v>입력오류</v>
      </c>
    </row>
    <row r="56" spans="4:6">
      <c r="D56">
        <f ca="1">IF(AND($F56&lt;&gt;"",$E56&lt;&gt;""), MAX(D$1:D55)+1, 0)</f>
        <v>0</v>
      </c>
      <c r="F56" s="7" t="str" cm="1">
        <f t="array" aca="1" ref="F56" ca="1">_xll.IMDP("BND", $E56, F$1, 대차거래!$B$5)</f>
        <v>입력오류</v>
      </c>
    </row>
    <row r="57" spans="4:6">
      <c r="D57">
        <f ca="1">IF(AND($F57&lt;&gt;"",$E57&lt;&gt;""), MAX(D$1:D56)+1, 0)</f>
        <v>0</v>
      </c>
      <c r="F57" s="7" t="str" cm="1">
        <f t="array" aca="1" ref="F57" ca="1">_xll.IMDP("BND", $E57, F$1, 대차거래!$B$5)</f>
        <v>입력오류</v>
      </c>
    </row>
    <row r="58" spans="4:6">
      <c r="D58">
        <f ca="1">IF(AND($F58&lt;&gt;"",$E58&lt;&gt;""), MAX(D$1:D57)+1, 0)</f>
        <v>0</v>
      </c>
      <c r="F58" s="7" t="str" cm="1">
        <f t="array" aca="1" ref="F58" ca="1">_xll.IMDP("BND", $E58, F$1, 대차거래!$B$5)</f>
        <v>입력오류</v>
      </c>
    </row>
    <row r="59" spans="4:6">
      <c r="D59">
        <f ca="1">IF(AND($F59&lt;&gt;"",$E59&lt;&gt;""), MAX(D$1:D58)+1, 0)</f>
        <v>0</v>
      </c>
      <c r="F59" s="7" t="str" cm="1">
        <f t="array" aca="1" ref="F59" ca="1">_xll.IMDP("BND", $E59, F$1, 대차거래!$B$5)</f>
        <v>입력오류</v>
      </c>
    </row>
    <row r="60" spans="4:6">
      <c r="D60">
        <f ca="1">IF(AND($F60&lt;&gt;"",$E60&lt;&gt;""), MAX(D$1:D59)+1, 0)</f>
        <v>0</v>
      </c>
      <c r="F60" s="7" t="str" cm="1">
        <f t="array" aca="1" ref="F60" ca="1">_xll.IMDP("BND", $E60, F$1, 대차거래!$B$5)</f>
        <v>입력오류</v>
      </c>
    </row>
    <row r="61" spans="4:6">
      <c r="D61">
        <f ca="1">IF(AND($F61&lt;&gt;"",$E61&lt;&gt;""), MAX(D$1:D60)+1, 0)</f>
        <v>0</v>
      </c>
      <c r="F61" s="7" t="str" cm="1">
        <f t="array" aca="1" ref="F61" ca="1">_xll.IMDP("BND", $E61, F$1, 대차거래!$B$5)</f>
        <v>입력오류</v>
      </c>
    </row>
    <row r="62" spans="4:6">
      <c r="D62">
        <f ca="1">IF(AND($F62&lt;&gt;"",$E62&lt;&gt;""), MAX(D$1:D61)+1, 0)</f>
        <v>0</v>
      </c>
      <c r="F62" s="7" t="str" cm="1">
        <f t="array" aca="1" ref="F62" ca="1">_xll.IMDP("BND", $E62, F$1, 대차거래!$B$5)</f>
        <v>입력오류</v>
      </c>
    </row>
    <row r="63" spans="4:6">
      <c r="D63">
        <f ca="1">IF(AND($F63&lt;&gt;"",$E63&lt;&gt;""), MAX(D$1:D62)+1, 0)</f>
        <v>0</v>
      </c>
      <c r="F63" s="7" t="str" cm="1">
        <f t="array" aca="1" ref="F63" ca="1">_xll.IMDP("BND", $E63, F$1, 대차거래!$B$5)</f>
        <v>입력오류</v>
      </c>
    </row>
    <row r="64" spans="4:6">
      <c r="D64">
        <f ca="1">IF(AND($F64&lt;&gt;"",$E64&lt;&gt;""), MAX(D$1:D63)+1, 0)</f>
        <v>0</v>
      </c>
      <c r="F64" s="7" t="str" cm="1">
        <f t="array" aca="1" ref="F64" ca="1">_xll.IMDP("BND", $E64, F$1, 대차거래!$B$5)</f>
        <v>입력오류</v>
      </c>
    </row>
    <row r="65" spans="4:6">
      <c r="D65">
        <f ca="1">IF(AND($F65&lt;&gt;"",$E65&lt;&gt;""), MAX(D$1:D64)+1, 0)</f>
        <v>0</v>
      </c>
      <c r="F65" s="7" t="str" cm="1">
        <f t="array" aca="1" ref="F65" ca="1">_xll.IMDP("BND", $E65, F$1, 대차거래!$B$5)</f>
        <v>입력오류</v>
      </c>
    </row>
    <row r="66" spans="4:6">
      <c r="D66">
        <f ca="1">IF(AND($F66&lt;&gt;"",$E66&lt;&gt;""), MAX(D$1:D65)+1, 0)</f>
        <v>0</v>
      </c>
      <c r="F66" s="7" t="str" cm="1">
        <f t="array" aca="1" ref="F66" ca="1">_xll.IMDP("BND", $E66, F$1, 대차거래!$B$5)</f>
        <v>입력오류</v>
      </c>
    </row>
    <row r="67" spans="4:6">
      <c r="D67">
        <f ca="1">IF(AND($F67&lt;&gt;"",$E67&lt;&gt;""), MAX(D$1:D66)+1, 0)</f>
        <v>0</v>
      </c>
      <c r="F67" s="7" t="str" cm="1">
        <f t="array" aca="1" ref="F67" ca="1">_xll.IMDP("BND", $E67, F$1, 대차거래!$B$5)</f>
        <v>입력오류</v>
      </c>
    </row>
    <row r="68" spans="4:6">
      <c r="D68">
        <f ca="1">IF(AND($F68&lt;&gt;"",$E68&lt;&gt;""), MAX(D$1:D67)+1, 0)</f>
        <v>0</v>
      </c>
      <c r="F68" s="7" t="str" cm="1">
        <f t="array" aca="1" ref="F68" ca="1">_xll.IMDP("BND", $E68, F$1, 대차거래!$B$5)</f>
        <v>입력오류</v>
      </c>
    </row>
    <row r="69" spans="4:6">
      <c r="D69">
        <f ca="1">IF(AND($F69&lt;&gt;"",$E69&lt;&gt;""), MAX(D$1:D68)+1, 0)</f>
        <v>0</v>
      </c>
      <c r="F69" s="7" t="str" cm="1">
        <f t="array" aca="1" ref="F69" ca="1">_xll.IMDP("BND", $E69, F$1, 대차거래!$B$5)</f>
        <v>입력오류</v>
      </c>
    </row>
    <row r="70" spans="4:6">
      <c r="D70">
        <f ca="1">IF(AND($F70&lt;&gt;"",$E70&lt;&gt;""), MAX(D$1:D69)+1, 0)</f>
        <v>0</v>
      </c>
      <c r="F70" s="7" t="str" cm="1">
        <f t="array" aca="1" ref="F70" ca="1">_xll.IMDP("BND", $E70, F$1, 대차거래!$B$5)</f>
        <v>입력오류</v>
      </c>
    </row>
    <row r="71" spans="4:6">
      <c r="D71">
        <f ca="1">IF(AND($F71&lt;&gt;"",$E71&lt;&gt;""), MAX(D$1:D70)+1, 0)</f>
        <v>0</v>
      </c>
      <c r="F71" s="7" t="str" cm="1">
        <f t="array" aca="1" ref="F71" ca="1">_xll.IMDP("BND", $E71, F$1, 대차거래!$B$5)</f>
        <v>입력오류</v>
      </c>
    </row>
    <row r="72" spans="4:6">
      <c r="D72">
        <f ca="1">IF(AND($F72&lt;&gt;"",$E72&lt;&gt;""), MAX(D$1:D71)+1, 0)</f>
        <v>0</v>
      </c>
      <c r="F72" s="7" t="str" cm="1">
        <f t="array" aca="1" ref="F72" ca="1">_xll.IMDP("BND", $E72, F$1, 대차거래!$B$5)</f>
        <v>입력오류</v>
      </c>
    </row>
    <row r="73" spans="4:6">
      <c r="D73">
        <f ca="1">IF(AND($F73&lt;&gt;"",$E73&lt;&gt;""), MAX(D$1:D72)+1, 0)</f>
        <v>0</v>
      </c>
      <c r="F73" s="7" t="str" cm="1">
        <f t="array" aca="1" ref="F73" ca="1">_xll.IMDP("BND", $E73, F$1, 대차거래!$B$5)</f>
        <v>입력오류</v>
      </c>
    </row>
    <row r="74" spans="4:6">
      <c r="D74">
        <f ca="1">IF(AND($F74&lt;&gt;"",$E74&lt;&gt;""), MAX(D$1:D73)+1, 0)</f>
        <v>0</v>
      </c>
      <c r="F74" s="7" t="str" cm="1">
        <f t="array" aca="1" ref="F74" ca="1">_xll.IMDP("BND", $E74, F$1, 대차거래!$B$5)</f>
        <v>입력오류</v>
      </c>
    </row>
    <row r="75" spans="4:6">
      <c r="D75">
        <f ca="1">IF(AND($F75&lt;&gt;"",$E75&lt;&gt;""), MAX(D$1:D74)+1, 0)</f>
        <v>0</v>
      </c>
      <c r="F75" s="7" t="str" cm="1">
        <f t="array" aca="1" ref="F75" ca="1">_xll.IMDP("BND", $E75, F$1, 대차거래!$B$5)</f>
        <v>입력오류</v>
      </c>
    </row>
    <row r="76" spans="4:6">
      <c r="D76">
        <f ca="1">IF(AND($F76&lt;&gt;"",$E76&lt;&gt;""), MAX(D$1:D75)+1, 0)</f>
        <v>0</v>
      </c>
      <c r="F76" s="7" t="str" cm="1">
        <f t="array" aca="1" ref="F76" ca="1">_xll.IMDP("BND", $E76, F$1, 대차거래!$B$5)</f>
        <v>입력오류</v>
      </c>
    </row>
    <row r="77" spans="4:6">
      <c r="D77">
        <f ca="1">IF(AND($F77&lt;&gt;"",$E77&lt;&gt;""), MAX(D$1:D76)+1, 0)</f>
        <v>0</v>
      </c>
      <c r="F77" s="7" t="str" cm="1">
        <f t="array" aca="1" ref="F77" ca="1">_xll.IMDP("BND", $E77, F$1, 대차거래!$B$5)</f>
        <v>입력오류</v>
      </c>
    </row>
    <row r="78" spans="4:6">
      <c r="D78">
        <f ca="1">IF(AND($F78&lt;&gt;"",$E78&lt;&gt;""), MAX(D$1:D77)+1, 0)</f>
        <v>0</v>
      </c>
      <c r="F78" s="7" t="str" cm="1">
        <f t="array" aca="1" ref="F78" ca="1">_xll.IMDP("BND", $E78, F$1, 대차거래!$B$5)</f>
        <v>입력오류</v>
      </c>
    </row>
    <row r="79" spans="4:6">
      <c r="D79">
        <f ca="1">IF(AND($F79&lt;&gt;"",$E79&lt;&gt;""), MAX(D$1:D78)+1, 0)</f>
        <v>0</v>
      </c>
      <c r="F79" s="7" t="str" cm="1">
        <f t="array" aca="1" ref="F79" ca="1">_xll.IMDP("BND", $E79, F$1, 대차거래!$B$5)</f>
        <v>입력오류</v>
      </c>
    </row>
    <row r="80" spans="4:6">
      <c r="D80">
        <f ca="1">IF(AND($F80&lt;&gt;"",$E80&lt;&gt;""), MAX(D$1:D79)+1, 0)</f>
        <v>0</v>
      </c>
      <c r="F80" s="7" t="str" cm="1">
        <f t="array" aca="1" ref="F80" ca="1">_xll.IMDP("BND", $E80, F$1, 대차거래!$B$5)</f>
        <v>입력오류</v>
      </c>
    </row>
    <row r="81" spans="4:6">
      <c r="D81">
        <f ca="1">IF(AND($F81&lt;&gt;"",$E81&lt;&gt;""), MAX(D$1:D80)+1, 0)</f>
        <v>0</v>
      </c>
      <c r="F81" s="7" t="str" cm="1">
        <f t="array" aca="1" ref="F81" ca="1">_xll.IMDP("BND", $E81, F$1, 대차거래!$B$5)</f>
        <v>입력오류</v>
      </c>
    </row>
    <row r="82" spans="4:6">
      <c r="D82">
        <f ca="1">IF(AND($F82&lt;&gt;"",$E82&lt;&gt;""), MAX(D$1:D81)+1, 0)</f>
        <v>0</v>
      </c>
      <c r="F82" s="7" t="str" cm="1">
        <f t="array" aca="1" ref="F82" ca="1">_xll.IMDP("BND", $E82, F$1, 대차거래!$B$5)</f>
        <v>입력오류</v>
      </c>
    </row>
    <row r="83" spans="4:6">
      <c r="D83">
        <f ca="1">IF(AND($F83&lt;&gt;"",$E83&lt;&gt;""), MAX(D$1:D82)+1, 0)</f>
        <v>0</v>
      </c>
      <c r="F83" s="7" t="str" cm="1">
        <f t="array" aca="1" ref="F83" ca="1">_xll.IMDP("BND", $E83, F$1, 대차거래!$B$5)</f>
        <v>입력오류</v>
      </c>
    </row>
    <row r="84" spans="4:6">
      <c r="D84">
        <f ca="1">IF(AND($F84&lt;&gt;"",$E84&lt;&gt;""), MAX(D$1:D83)+1, 0)</f>
        <v>0</v>
      </c>
      <c r="F84" s="7" t="str" cm="1">
        <f t="array" aca="1" ref="F84" ca="1">_xll.IMDP("BND", $E84, F$1, 대차거래!$B$5)</f>
        <v>입력오류</v>
      </c>
    </row>
    <row r="85" spans="4:6">
      <c r="D85">
        <f ca="1">IF(AND($F85&lt;&gt;"",$E85&lt;&gt;""), MAX(D$1:D84)+1, 0)</f>
        <v>0</v>
      </c>
      <c r="F85" s="7" t="str" cm="1">
        <f t="array" aca="1" ref="F85" ca="1">_xll.IMDP("BND", $E85, F$1, 대차거래!$B$5)</f>
        <v>입력오류</v>
      </c>
    </row>
    <row r="86" spans="4:6">
      <c r="D86">
        <f ca="1">IF(AND($F86&lt;&gt;"",$E86&lt;&gt;""), MAX(D$1:D85)+1, 0)</f>
        <v>0</v>
      </c>
      <c r="F86" s="7" t="str" cm="1">
        <f t="array" aca="1" ref="F86" ca="1">_xll.IMDP("BND", $E86, F$1, 대차거래!$B$5)</f>
        <v>입력오류</v>
      </c>
    </row>
    <row r="87" spans="4:6">
      <c r="D87">
        <f ca="1">IF(AND($F87&lt;&gt;"",$E87&lt;&gt;""), MAX(D$1:D86)+1, 0)</f>
        <v>0</v>
      </c>
      <c r="F87" s="7" t="str" cm="1">
        <f t="array" aca="1" ref="F87" ca="1">_xll.IMDP("BND", $E87, F$1, 대차거래!$B$5)</f>
        <v>입력오류</v>
      </c>
    </row>
    <row r="88" spans="4:6">
      <c r="D88">
        <f ca="1">IF(AND($F88&lt;&gt;"",$E88&lt;&gt;""), MAX(D$1:D87)+1, 0)</f>
        <v>0</v>
      </c>
      <c r="F88" s="7" t="str" cm="1">
        <f t="array" aca="1" ref="F88" ca="1">_xll.IMDP("BND", $E88, F$1, 대차거래!$B$5)</f>
        <v>입력오류</v>
      </c>
    </row>
    <row r="89" spans="4:6">
      <c r="D89">
        <f ca="1">IF(AND($F89&lt;&gt;"",$E89&lt;&gt;""), MAX(D$1:D88)+1, 0)</f>
        <v>0</v>
      </c>
      <c r="F89" s="7" t="str" cm="1">
        <f t="array" aca="1" ref="F89" ca="1">_xll.IMDP("BND", $E89, F$1, 대차거래!$B$5)</f>
        <v>입력오류</v>
      </c>
    </row>
    <row r="90" spans="4:6">
      <c r="D90">
        <f ca="1">IF(AND($F90&lt;&gt;"",$E90&lt;&gt;""), MAX(D$1:D89)+1, 0)</f>
        <v>0</v>
      </c>
      <c r="F90" s="7" t="str" cm="1">
        <f t="array" aca="1" ref="F90" ca="1">_xll.IMDP("BND", $E90, F$1, 대차거래!$B$5)</f>
        <v>입력오류</v>
      </c>
    </row>
    <row r="91" spans="4:6">
      <c r="D91">
        <f ca="1">IF(AND($F91&lt;&gt;"",$E91&lt;&gt;""), MAX(D$1:D90)+1, 0)</f>
        <v>0</v>
      </c>
      <c r="F91" s="7" t="str" cm="1">
        <f t="array" aca="1" ref="F91" ca="1">_xll.IMDP("BND", $E91, F$1, 대차거래!$B$5)</f>
        <v>입력오류</v>
      </c>
    </row>
    <row r="92" spans="4:6">
      <c r="D92">
        <f ca="1">IF(AND($F92&lt;&gt;"",$E92&lt;&gt;""), MAX(D$1:D91)+1, 0)</f>
        <v>0</v>
      </c>
      <c r="F92" s="7" t="str" cm="1">
        <f t="array" aca="1" ref="F92" ca="1">_xll.IMDP("BND", $E92, F$1, 대차거래!$B$5)</f>
        <v>입력오류</v>
      </c>
    </row>
    <row r="93" spans="4:6">
      <c r="D93">
        <f ca="1">IF(AND($F93&lt;&gt;"",$E93&lt;&gt;""), MAX(D$1:D92)+1, 0)</f>
        <v>0</v>
      </c>
      <c r="F93" s="7" t="str" cm="1">
        <f t="array" aca="1" ref="F93" ca="1">_xll.IMDP("BND", $E93, F$1, 대차거래!$B$5)</f>
        <v>입력오류</v>
      </c>
    </row>
    <row r="94" spans="4:6">
      <c r="D94">
        <f ca="1">IF(AND($F94&lt;&gt;"",$E94&lt;&gt;""), MAX(D$1:D93)+1, 0)</f>
        <v>0</v>
      </c>
      <c r="F94" s="7" t="str" cm="1">
        <f t="array" aca="1" ref="F94" ca="1">_xll.IMDP("BND", $E94, F$1, 대차거래!$B$5)</f>
        <v>입력오류</v>
      </c>
    </row>
    <row r="95" spans="4:6">
      <c r="D95">
        <f ca="1">IF(AND($F95&lt;&gt;"",$E95&lt;&gt;""), MAX(D$1:D94)+1, 0)</f>
        <v>0</v>
      </c>
      <c r="F95" s="7" t="str" cm="1">
        <f t="array" aca="1" ref="F95" ca="1">_xll.IMDP("BND", $E95, F$1, 대차거래!$B$5)</f>
        <v>입력오류</v>
      </c>
    </row>
    <row r="96" spans="4:6">
      <c r="D96">
        <f ca="1">IF(AND($F96&lt;&gt;"",$E96&lt;&gt;""), MAX(D$1:D95)+1, 0)</f>
        <v>0</v>
      </c>
      <c r="F96" s="7" t="str" cm="1">
        <f t="array" aca="1" ref="F96" ca="1">_xll.IMDP("BND", $E96, F$1, 대차거래!$B$5)</f>
        <v>입력오류</v>
      </c>
    </row>
    <row r="97" spans="4:6">
      <c r="D97">
        <f ca="1">IF(AND($F97&lt;&gt;"",$E97&lt;&gt;""), MAX(D$1:D96)+1, 0)</f>
        <v>0</v>
      </c>
      <c r="F97" s="7" t="str" cm="1">
        <f t="array" aca="1" ref="F97" ca="1">_xll.IMDP("BND", $E97, F$1, 대차거래!$B$5)</f>
        <v>입력오류</v>
      </c>
    </row>
    <row r="98" spans="4:6">
      <c r="D98">
        <f ca="1">IF(AND($F98&lt;&gt;"",$E98&lt;&gt;""), MAX(D$1:D97)+1, 0)</f>
        <v>0</v>
      </c>
      <c r="F98" s="7" t="str" cm="1">
        <f t="array" aca="1" ref="F98" ca="1">_xll.IMDP("BND", $E98, F$1, 대차거래!$B$5)</f>
        <v>입력오류</v>
      </c>
    </row>
    <row r="99" spans="4:6">
      <c r="D99">
        <f ca="1">IF(AND($F99&lt;&gt;"",$E99&lt;&gt;""), MAX(D$1:D98)+1, 0)</f>
        <v>0</v>
      </c>
      <c r="F99" s="7" t="str" cm="1">
        <f t="array" aca="1" ref="F99" ca="1">_xll.IMDP("BND", $E99, F$1, 대차거래!$B$5)</f>
        <v>입력오류</v>
      </c>
    </row>
    <row r="100" spans="4:6">
      <c r="D100">
        <f ca="1">IF(AND($F100&lt;&gt;"",$E100&lt;&gt;""), MAX(D$1:D99)+1, 0)</f>
        <v>0</v>
      </c>
      <c r="F100" s="7" t="str" cm="1">
        <f t="array" aca="1" ref="F100" ca="1">_xll.IMDP("BND", $E100, F$1, 대차거래!$B$5)</f>
        <v>입력오류</v>
      </c>
    </row>
    <row r="101" spans="4:6">
      <c r="D101">
        <f ca="1">IF(AND($F101&lt;&gt;"",$E101&lt;&gt;""), MAX(D$1:D100)+1, 0)</f>
        <v>0</v>
      </c>
      <c r="F101" s="7" t="str" cm="1">
        <f t="array" aca="1" ref="F101" ca="1">_xll.IMDP("BND", $E101, F$1, 대차거래!$B$5)</f>
        <v>입력오류</v>
      </c>
    </row>
    <row r="102" spans="4:6">
      <c r="D102">
        <f ca="1">IF(AND($F102&lt;&gt;"",$E102&lt;&gt;""), MAX(D$1:D101)+1, 0)</f>
        <v>0</v>
      </c>
      <c r="F102" s="7" t="str" cm="1">
        <f t="array" aca="1" ref="F102" ca="1">_xll.IMDP("BND", $E102, F$1, 대차거래!$B$5)</f>
        <v>입력오류</v>
      </c>
    </row>
    <row r="103" spans="4:6">
      <c r="D103">
        <f ca="1">IF(AND($F103&lt;&gt;"",$E103&lt;&gt;""), MAX(D$1:D102)+1, 0)</f>
        <v>0</v>
      </c>
      <c r="F103" s="7" t="str" cm="1">
        <f t="array" aca="1" ref="F103" ca="1">_xll.IMDP("BND", $E103, F$1, 대차거래!$B$5)</f>
        <v>입력오류</v>
      </c>
    </row>
    <row r="104" spans="4:6">
      <c r="D104">
        <f ca="1">IF(AND($F104&lt;&gt;"",$E104&lt;&gt;""), MAX(D$1:D103)+1, 0)</f>
        <v>0</v>
      </c>
      <c r="F104" s="7" t="str" cm="1">
        <f t="array" aca="1" ref="F104" ca="1">_xll.IMDP("BND", $E104, F$1, 대차거래!$B$5)</f>
        <v>입력오류</v>
      </c>
    </row>
    <row r="105" spans="4:6">
      <c r="D105">
        <f ca="1">IF(AND($F105&lt;&gt;"",$E105&lt;&gt;""), MAX(D$1:D104)+1, 0)</f>
        <v>0</v>
      </c>
      <c r="F105" s="7" t="str" cm="1">
        <f t="array" aca="1" ref="F105" ca="1">_xll.IMDP("BND", $E105, F$1, 대차거래!$B$5)</f>
        <v>입력오류</v>
      </c>
    </row>
    <row r="106" spans="4:6">
      <c r="D106">
        <f ca="1">IF(AND($F106&lt;&gt;"",$E106&lt;&gt;""), MAX(D$1:D105)+1, 0)</f>
        <v>0</v>
      </c>
      <c r="F106" s="7" t="str" cm="1">
        <f t="array" aca="1" ref="F106" ca="1">_xll.IMDP("BND", $E106, F$1, 대차거래!$B$5)</f>
        <v>입력오류</v>
      </c>
    </row>
    <row r="107" spans="4:6">
      <c r="D107">
        <f ca="1">IF(AND($F107&lt;&gt;"",$E107&lt;&gt;""), MAX(D$1:D106)+1, 0)</f>
        <v>0</v>
      </c>
      <c r="F107" s="7" t="str" cm="1">
        <f t="array" aca="1" ref="F107" ca="1">_xll.IMDP("BND", $E107, F$1, 대차거래!$B$5)</f>
        <v>입력오류</v>
      </c>
    </row>
    <row r="108" spans="4:6">
      <c r="D108">
        <f ca="1">IF(AND($F108&lt;&gt;"",$E108&lt;&gt;""), MAX(D$1:D107)+1, 0)</f>
        <v>0</v>
      </c>
      <c r="F108" s="7" t="str" cm="1">
        <f t="array" aca="1" ref="F108" ca="1">_xll.IMDP("BND", $E108, F$1, 대차거래!$B$5)</f>
        <v>입력오류</v>
      </c>
    </row>
    <row r="109" spans="4:6">
      <c r="D109">
        <f ca="1">IF(AND($F109&lt;&gt;"",$E109&lt;&gt;""), MAX(D$1:D108)+1, 0)</f>
        <v>0</v>
      </c>
      <c r="F109" s="7" t="str" cm="1">
        <f t="array" aca="1" ref="F109" ca="1">_xll.IMDP("BND", $E109, F$1, 대차거래!$B$5)</f>
        <v>입력오류</v>
      </c>
    </row>
    <row r="110" spans="4:6">
      <c r="D110">
        <f ca="1">IF(AND($F110&lt;&gt;"",$E110&lt;&gt;""), MAX(D$1:D109)+1, 0)</f>
        <v>0</v>
      </c>
      <c r="F110" s="7" t="str" cm="1">
        <f t="array" aca="1" ref="F110" ca="1">_xll.IMDP("BND", $E110, F$1, 대차거래!$B$5)</f>
        <v>입력오류</v>
      </c>
    </row>
    <row r="111" spans="4:6">
      <c r="D111">
        <f ca="1">IF(AND($F111&lt;&gt;"",$E111&lt;&gt;""), MAX(D$1:D110)+1, 0)</f>
        <v>0</v>
      </c>
      <c r="F111" s="7" t="str" cm="1">
        <f t="array" aca="1" ref="F111" ca="1">_xll.IMDP("BND", $E111, F$1, 대차거래!$B$5)</f>
        <v>입력오류</v>
      </c>
    </row>
    <row r="112" spans="4:6">
      <c r="D112">
        <f ca="1">IF(AND($F112&lt;&gt;"",$E112&lt;&gt;""), MAX(D$1:D111)+1, 0)</f>
        <v>0</v>
      </c>
      <c r="F112" s="7" t="str" cm="1">
        <f t="array" aca="1" ref="F112" ca="1">_xll.IMDP("BND", $E112, F$1, 대차거래!$B$5)</f>
        <v>입력오류</v>
      </c>
    </row>
    <row r="113" spans="4:6">
      <c r="D113">
        <f ca="1">IF(AND($F113&lt;&gt;"",$E113&lt;&gt;""), MAX(D$1:D112)+1, 0)</f>
        <v>0</v>
      </c>
      <c r="F113" s="7" t="str" cm="1">
        <f t="array" aca="1" ref="F113" ca="1">_xll.IMDP("BND", $E113, F$1, 대차거래!$B$5)</f>
        <v>입력오류</v>
      </c>
    </row>
    <row r="114" spans="4:6">
      <c r="D114">
        <f ca="1">IF(AND($F114&lt;&gt;"",$E114&lt;&gt;""), MAX(D$1:D113)+1, 0)</f>
        <v>0</v>
      </c>
      <c r="F114" s="7" t="str" cm="1">
        <f t="array" aca="1" ref="F114" ca="1">_xll.IMDP("BND", $E114, F$1, 대차거래!$B$5)</f>
        <v>입력오류</v>
      </c>
    </row>
    <row r="115" spans="4:6">
      <c r="D115">
        <f ca="1">IF(AND($F115&lt;&gt;"",$E115&lt;&gt;""), MAX(D$1:D114)+1, 0)</f>
        <v>0</v>
      </c>
      <c r="F115" s="7" t="str" cm="1">
        <f t="array" aca="1" ref="F115" ca="1">_xll.IMDP("BND", $E115, F$1, 대차거래!$B$5)</f>
        <v>입력오류</v>
      </c>
    </row>
    <row r="116" spans="4:6">
      <c r="D116">
        <f ca="1">IF(AND($F116&lt;&gt;"",$E116&lt;&gt;""), MAX(D$1:D115)+1, 0)</f>
        <v>0</v>
      </c>
      <c r="F116" s="7" t="str" cm="1">
        <f t="array" aca="1" ref="F116" ca="1">_xll.IMDP("BND", $E116, F$1, 대차거래!$B$5)</f>
        <v>입력오류</v>
      </c>
    </row>
    <row r="117" spans="4:6">
      <c r="D117">
        <f ca="1">IF(AND($F117&lt;&gt;"",$E117&lt;&gt;""), MAX(D$1:D116)+1, 0)</f>
        <v>0</v>
      </c>
      <c r="F117" s="7" t="str" cm="1">
        <f t="array" aca="1" ref="F117" ca="1">_xll.IMDP("BND", $E117, F$1, 대차거래!$B$5)</f>
        <v>입력오류</v>
      </c>
    </row>
    <row r="118" spans="4:6">
      <c r="D118">
        <f ca="1">IF(AND($F118&lt;&gt;"",$E118&lt;&gt;""), MAX(D$1:D117)+1, 0)</f>
        <v>0</v>
      </c>
      <c r="F118" s="7" t="str" cm="1">
        <f t="array" aca="1" ref="F118" ca="1">_xll.IMDP("BND", $E118, F$1, 대차거래!$B$5)</f>
        <v>입력오류</v>
      </c>
    </row>
    <row r="119" spans="4:6">
      <c r="D119">
        <f ca="1">IF(AND($F119&lt;&gt;"",$E119&lt;&gt;""), MAX(D$1:D118)+1, 0)</f>
        <v>0</v>
      </c>
      <c r="F119" s="7" t="str" cm="1">
        <f t="array" aca="1" ref="F119" ca="1">_xll.IMDP("BND", $E119, F$1, 대차거래!$B$5)</f>
        <v>입력오류</v>
      </c>
    </row>
    <row r="120" spans="4:6">
      <c r="D120">
        <f ca="1">IF(AND($F120&lt;&gt;"",$E120&lt;&gt;""), MAX(D$1:D119)+1, 0)</f>
        <v>0</v>
      </c>
      <c r="F120" s="7" t="str" cm="1">
        <f t="array" aca="1" ref="F120" ca="1">_xll.IMDP("BND", $E120, F$1, 대차거래!$B$5)</f>
        <v>입력오류</v>
      </c>
    </row>
    <row r="121" spans="4:6">
      <c r="D121">
        <f ca="1">IF(AND($F121&lt;&gt;"",$E121&lt;&gt;""), MAX(D$1:D120)+1, 0)</f>
        <v>0</v>
      </c>
      <c r="F121" s="7" t="str" cm="1">
        <f t="array" aca="1" ref="F121" ca="1">_xll.IMDP("BND", $E121, F$1, 대차거래!$B$5)</f>
        <v>입력오류</v>
      </c>
    </row>
    <row r="122" spans="4:6">
      <c r="D122">
        <f ca="1">IF(AND($F122&lt;&gt;"",$E122&lt;&gt;""), MAX(D$1:D121)+1, 0)</f>
        <v>0</v>
      </c>
      <c r="F122" s="7" t="str" cm="1">
        <f t="array" aca="1" ref="F122" ca="1">_xll.IMDP("BND", $E122, F$1, 대차거래!$B$5)</f>
        <v>입력오류</v>
      </c>
    </row>
    <row r="123" spans="4:6">
      <c r="D123">
        <f ca="1">IF(AND($F123&lt;&gt;"",$E123&lt;&gt;""), MAX(D$1:D122)+1, 0)</f>
        <v>0</v>
      </c>
      <c r="F123" s="7" t="str" cm="1">
        <f t="array" aca="1" ref="F123" ca="1">_xll.IMDP("BND", $E123, F$1, 대차거래!$B$5)</f>
        <v>입력오류</v>
      </c>
    </row>
    <row r="124" spans="4:6">
      <c r="D124">
        <f ca="1">IF(AND($F124&lt;&gt;"",$E124&lt;&gt;""), MAX(D$1:D123)+1, 0)</f>
        <v>0</v>
      </c>
      <c r="F124" s="7" t="str" cm="1">
        <f t="array" aca="1" ref="F124" ca="1">_xll.IMDP("BND", $E124, F$1, 대차거래!$B$5)</f>
        <v>입력오류</v>
      </c>
    </row>
    <row r="125" spans="4:6">
      <c r="D125">
        <f ca="1">IF(AND($F125&lt;&gt;"",$E125&lt;&gt;""), MAX(D$1:D124)+1, 0)</f>
        <v>0</v>
      </c>
      <c r="F125" s="7" t="str" cm="1">
        <f t="array" aca="1" ref="F125" ca="1">_xll.IMDP("BND", $E125, F$1, 대차거래!$B$5)</f>
        <v>입력오류</v>
      </c>
    </row>
    <row r="126" spans="4:6">
      <c r="D126">
        <f ca="1">IF(AND($F126&lt;&gt;"",$E126&lt;&gt;""), MAX(D$1:D125)+1, 0)</f>
        <v>0</v>
      </c>
      <c r="F126" s="7" t="str" cm="1">
        <f t="array" aca="1" ref="F126" ca="1">_xll.IMDP("BND", $E126, F$1, 대차거래!$B$5)</f>
        <v>입력오류</v>
      </c>
    </row>
    <row r="127" spans="4:6">
      <c r="D127">
        <f ca="1">IF(AND($F127&lt;&gt;"",$E127&lt;&gt;""), MAX(D$1:D126)+1, 0)</f>
        <v>0</v>
      </c>
      <c r="F127" s="7" t="str" cm="1">
        <f t="array" aca="1" ref="F127" ca="1">_xll.IMDP("BND", $E127, F$1, 대차거래!$B$5)</f>
        <v>입력오류</v>
      </c>
    </row>
    <row r="128" spans="4:6">
      <c r="D128">
        <f ca="1">IF(AND($F128&lt;&gt;"",$E128&lt;&gt;""), MAX(D$1:D127)+1, 0)</f>
        <v>0</v>
      </c>
      <c r="F128" s="7" t="str" cm="1">
        <f t="array" aca="1" ref="F128" ca="1">_xll.IMDP("BND", $E128, F$1, 대차거래!$B$5)</f>
        <v>입력오류</v>
      </c>
    </row>
    <row r="129" spans="4:6">
      <c r="D129">
        <f ca="1">IF(AND($F129&lt;&gt;"",$E129&lt;&gt;""), MAX(D$1:D128)+1, 0)</f>
        <v>0</v>
      </c>
      <c r="F129" s="7" t="str" cm="1">
        <f t="array" aca="1" ref="F129" ca="1">_xll.IMDP("BND", $E129, F$1, 대차거래!$B$5)</f>
        <v>입력오류</v>
      </c>
    </row>
    <row r="130" spans="4:6">
      <c r="D130">
        <f ca="1">IF(AND($F130&lt;&gt;"",$E130&lt;&gt;""), MAX(D$1:D129)+1, 0)</f>
        <v>0</v>
      </c>
      <c r="F130" s="7" t="str" cm="1">
        <f t="array" aca="1" ref="F130" ca="1">_xll.IMDP("BND", $E130, F$1, 대차거래!$B$5)</f>
        <v>입력오류</v>
      </c>
    </row>
    <row r="131" spans="4:6">
      <c r="D131">
        <f ca="1">IF(AND($F131&lt;&gt;"",$E131&lt;&gt;""), MAX(D$1:D130)+1, 0)</f>
        <v>0</v>
      </c>
      <c r="F131" s="7" t="str" cm="1">
        <f t="array" aca="1" ref="F131" ca="1">_xll.IMDP("BND", $E131, F$1, 대차거래!$B$5)</f>
        <v>입력오류</v>
      </c>
    </row>
    <row r="132" spans="4:6">
      <c r="D132">
        <f ca="1">IF(AND($F132&lt;&gt;"",$E132&lt;&gt;""), MAX(D$1:D131)+1, 0)</f>
        <v>0</v>
      </c>
      <c r="F132" s="7" t="str" cm="1">
        <f t="array" aca="1" ref="F132" ca="1">_xll.IMDP("BND", $E132, F$1, 대차거래!$B$5)</f>
        <v>입력오류</v>
      </c>
    </row>
    <row r="133" spans="4:6">
      <c r="D133">
        <f ca="1">IF(AND($F133&lt;&gt;"",$E133&lt;&gt;""), MAX(D$1:D132)+1, 0)</f>
        <v>0</v>
      </c>
      <c r="F133" s="7" t="str" cm="1">
        <f t="array" aca="1" ref="F133" ca="1">_xll.IMDP("BND", $E133, F$1, 대차거래!$B$5)</f>
        <v>입력오류</v>
      </c>
    </row>
    <row r="134" spans="4:6">
      <c r="D134">
        <f ca="1">IF(AND($F134&lt;&gt;"",$E134&lt;&gt;""), MAX(D$1:D133)+1, 0)</f>
        <v>0</v>
      </c>
      <c r="F134" s="7" t="str" cm="1">
        <f t="array" aca="1" ref="F134" ca="1">_xll.IMDP("BND", $E134, F$1, 대차거래!$B$5)</f>
        <v>입력오류</v>
      </c>
    </row>
    <row r="135" spans="4:6">
      <c r="D135">
        <f ca="1">IF(AND($F135&lt;&gt;"",$E135&lt;&gt;""), MAX(D$1:D134)+1, 0)</f>
        <v>0</v>
      </c>
      <c r="F135" s="7" t="str" cm="1">
        <f t="array" aca="1" ref="F135" ca="1">_xll.IMDP("BND", $E135, F$1, 대차거래!$B$5)</f>
        <v>입력오류</v>
      </c>
    </row>
    <row r="136" spans="4:6">
      <c r="D136">
        <f ca="1">IF(AND($F136&lt;&gt;"",$E136&lt;&gt;""), MAX(D$1:D135)+1, 0)</f>
        <v>0</v>
      </c>
      <c r="F136" s="7" t="str" cm="1">
        <f t="array" aca="1" ref="F136" ca="1">_xll.IMDP("BND", $E136, F$1, 대차거래!$B$5)</f>
        <v>입력오류</v>
      </c>
    </row>
    <row r="137" spans="4:6">
      <c r="D137">
        <f ca="1">IF(AND($F137&lt;&gt;"",$E137&lt;&gt;""), MAX(D$1:D136)+1, 0)</f>
        <v>0</v>
      </c>
      <c r="F137" s="7" t="str" cm="1">
        <f t="array" aca="1" ref="F137" ca="1">_xll.IMDP("BND", $E137, F$1, 대차거래!$B$5)</f>
        <v>입력오류</v>
      </c>
    </row>
    <row r="138" spans="4:6">
      <c r="D138">
        <f ca="1">IF(AND($F138&lt;&gt;"",$E138&lt;&gt;""), MAX(D$1:D137)+1, 0)</f>
        <v>0</v>
      </c>
      <c r="F138" s="7" t="str" cm="1">
        <f t="array" aca="1" ref="F138" ca="1">_xll.IMDP("BND", $E138, F$1, 대차거래!$B$5)</f>
        <v>입력오류</v>
      </c>
    </row>
    <row r="139" spans="4:6">
      <c r="D139">
        <f ca="1">IF(AND($F139&lt;&gt;"",$E139&lt;&gt;""), MAX(D$1:D138)+1, 0)</f>
        <v>0</v>
      </c>
      <c r="F139" s="7" t="str" cm="1">
        <f t="array" aca="1" ref="F139" ca="1">_xll.IMDP("BND", $E139, F$1, 대차거래!$B$5)</f>
        <v>입력오류</v>
      </c>
    </row>
    <row r="140" spans="4:6">
      <c r="D140">
        <f ca="1">IF(AND($F140&lt;&gt;"",$E140&lt;&gt;""), MAX(D$1:D139)+1, 0)</f>
        <v>0</v>
      </c>
      <c r="F140" s="7" t="str" cm="1">
        <f t="array" aca="1" ref="F140" ca="1">_xll.IMDP("BND", $E140, F$1, 대차거래!$B$5)</f>
        <v>입력오류</v>
      </c>
    </row>
    <row r="141" spans="4:6">
      <c r="D141">
        <f ca="1">IF(AND($F141&lt;&gt;"",$E141&lt;&gt;""), MAX(D$1:D140)+1, 0)</f>
        <v>0</v>
      </c>
      <c r="F141" s="7" t="str" cm="1">
        <f t="array" aca="1" ref="F141" ca="1">_xll.IMDP("BND", $E141, F$1, 대차거래!$B$5)</f>
        <v>입력오류</v>
      </c>
    </row>
    <row r="142" spans="4:6">
      <c r="D142">
        <f ca="1">IF(AND($F142&lt;&gt;"",$E142&lt;&gt;""), MAX(D$1:D141)+1, 0)</f>
        <v>0</v>
      </c>
      <c r="F142" s="7" t="str" cm="1">
        <f t="array" aca="1" ref="F142" ca="1">_xll.IMDP("BND", $E142, F$1, 대차거래!$B$5)</f>
        <v>입력오류</v>
      </c>
    </row>
    <row r="143" spans="4:6">
      <c r="D143">
        <f ca="1">IF(AND($F143&lt;&gt;"",$E143&lt;&gt;""), MAX(D$1:D142)+1, 0)</f>
        <v>0</v>
      </c>
      <c r="F143" s="7" t="str" cm="1">
        <f t="array" aca="1" ref="F143" ca="1">_xll.IMDP("BND", $E143, F$1, 대차거래!$B$5)</f>
        <v>입력오류</v>
      </c>
    </row>
    <row r="144" spans="4:6">
      <c r="D144">
        <f ca="1">IF(AND($F144&lt;&gt;"",$E144&lt;&gt;""), MAX(D$1:D143)+1, 0)</f>
        <v>0</v>
      </c>
      <c r="F144" s="7" t="str" cm="1">
        <f t="array" aca="1" ref="F144" ca="1">_xll.IMDP("BND", $E144, F$1, 대차거래!$B$5)</f>
        <v>입력오류</v>
      </c>
    </row>
    <row r="145" spans="4:6">
      <c r="D145">
        <f ca="1">IF(AND($F145&lt;&gt;"",$E145&lt;&gt;""), MAX(D$1:D144)+1, 0)</f>
        <v>0</v>
      </c>
      <c r="F145" s="7" t="str" cm="1">
        <f t="array" aca="1" ref="F145" ca="1">_xll.IMDP("BND", $E145, F$1, 대차거래!$B$5)</f>
        <v>입력오류</v>
      </c>
    </row>
    <row r="146" spans="4:6">
      <c r="D146">
        <f ca="1">IF(AND($F146&lt;&gt;"",$E146&lt;&gt;""), MAX(D$1:D145)+1, 0)</f>
        <v>0</v>
      </c>
      <c r="F146" s="7" t="str" cm="1">
        <f t="array" aca="1" ref="F146" ca="1">_xll.IMDP("BND", $E146, F$1, 대차거래!$B$5)</f>
        <v>입력오류</v>
      </c>
    </row>
    <row r="147" spans="4:6">
      <c r="D147">
        <f ca="1">IF(AND($F147&lt;&gt;"",$E147&lt;&gt;""), MAX(D$1:D146)+1, 0)</f>
        <v>0</v>
      </c>
      <c r="F147" s="7" t="str" cm="1">
        <f t="array" aca="1" ref="F147" ca="1">_xll.IMDP("BND", $E147, F$1, 대차거래!$B$5)</f>
        <v>입력오류</v>
      </c>
    </row>
    <row r="148" spans="4:6">
      <c r="D148">
        <f ca="1">IF(AND($F148&lt;&gt;"",$E148&lt;&gt;""), MAX(D$1:D147)+1, 0)</f>
        <v>0</v>
      </c>
      <c r="F148" s="7" t="str" cm="1">
        <f t="array" aca="1" ref="F148" ca="1">_xll.IMDP("BND", $E148, F$1, 대차거래!$B$5)</f>
        <v>입력오류</v>
      </c>
    </row>
    <row r="149" spans="4:6">
      <c r="D149">
        <f ca="1">IF(AND($F149&lt;&gt;"",$E149&lt;&gt;""), MAX(D$1:D148)+1, 0)</f>
        <v>0</v>
      </c>
      <c r="F149" s="7" t="str" cm="1">
        <f t="array" aca="1" ref="F149" ca="1">_xll.IMDP("BND", $E149, F$1, 대차거래!$B$5)</f>
        <v>입력오류</v>
      </c>
    </row>
    <row r="150" spans="4:6">
      <c r="D150">
        <f ca="1">IF(AND($F150&lt;&gt;"",$E150&lt;&gt;""), MAX(D$1:D149)+1, 0)</f>
        <v>0</v>
      </c>
      <c r="F150" s="7" t="str" cm="1">
        <f t="array" aca="1" ref="F150" ca="1">_xll.IMDP("BND", $E150, F$1, 대차거래!$B$5)</f>
        <v>입력오류</v>
      </c>
    </row>
    <row r="151" spans="4:6">
      <c r="D151">
        <f ca="1">IF(AND($F151&lt;&gt;"",$E151&lt;&gt;""), MAX(D$1:D150)+1, 0)</f>
        <v>0</v>
      </c>
      <c r="F151" s="7" t="str" cm="1">
        <f t="array" aca="1" ref="F151" ca="1">_xll.IMDP("BND", $E151, F$1, 대차거래!$B$5)</f>
        <v>입력오류</v>
      </c>
    </row>
    <row r="152" spans="4:6">
      <c r="D152">
        <f ca="1">IF(AND($F152&lt;&gt;"",$E152&lt;&gt;""), MAX(D$1:D151)+1, 0)</f>
        <v>0</v>
      </c>
      <c r="F152" s="7" t="str" cm="1">
        <f t="array" aca="1" ref="F152" ca="1">_xll.IMDP("BND", $E152, F$1, 대차거래!$B$5)</f>
        <v>입력오류</v>
      </c>
    </row>
    <row r="153" spans="4:6">
      <c r="D153">
        <f ca="1">IF(AND($F153&lt;&gt;"",$E153&lt;&gt;""), MAX(D$1:D152)+1, 0)</f>
        <v>0</v>
      </c>
      <c r="F153" s="7" t="str" cm="1">
        <f t="array" aca="1" ref="F153" ca="1">_xll.IMDP("BND", $E153, F$1, 대차거래!$B$5)</f>
        <v>입력오류</v>
      </c>
    </row>
    <row r="154" spans="4:6">
      <c r="D154">
        <f ca="1">IF(AND($F154&lt;&gt;"",$E154&lt;&gt;""), MAX(D$1:D153)+1, 0)</f>
        <v>0</v>
      </c>
      <c r="F154" s="7" t="str" cm="1">
        <f t="array" aca="1" ref="F154" ca="1">_xll.IMDP("BND", $E154, F$1, 대차거래!$B$5)</f>
        <v>입력오류</v>
      </c>
    </row>
    <row r="155" spans="4:6">
      <c r="D155">
        <f ca="1">IF(AND($F155&lt;&gt;"",$E155&lt;&gt;""), MAX(D$1:D154)+1, 0)</f>
        <v>0</v>
      </c>
      <c r="F155" s="7" t="str" cm="1">
        <f t="array" aca="1" ref="F155" ca="1">_xll.IMDP("BND", $E155, F$1, 대차거래!$B$5)</f>
        <v>입력오류</v>
      </c>
    </row>
    <row r="156" spans="4:6">
      <c r="D156">
        <f ca="1">IF(AND($F156&lt;&gt;"",$E156&lt;&gt;""), MAX(D$1:D155)+1, 0)</f>
        <v>0</v>
      </c>
      <c r="F156" s="7" t="str" cm="1">
        <f t="array" aca="1" ref="F156" ca="1">_xll.IMDP("BND", $E156, F$1, 대차거래!$B$5)</f>
        <v>입력오류</v>
      </c>
    </row>
    <row r="157" spans="4:6">
      <c r="D157">
        <f ca="1">IF(AND($F157&lt;&gt;"",$E157&lt;&gt;""), MAX(D$1:D156)+1, 0)</f>
        <v>0</v>
      </c>
      <c r="F157" s="7" t="str" cm="1">
        <f t="array" aca="1" ref="F157" ca="1">_xll.IMDP("BND", $E157, F$1, 대차거래!$B$5)</f>
        <v>입력오류</v>
      </c>
    </row>
    <row r="158" spans="4:6">
      <c r="D158">
        <f ca="1">IF(AND($F158&lt;&gt;"",$E158&lt;&gt;""), MAX(D$1:D157)+1, 0)</f>
        <v>0</v>
      </c>
      <c r="F158" s="7" t="str" cm="1">
        <f t="array" aca="1" ref="F158" ca="1">_xll.IMDP("BND", $E158, F$1, 대차거래!$B$5)</f>
        <v>입력오류</v>
      </c>
    </row>
    <row r="159" spans="4:6">
      <c r="D159">
        <f ca="1">IF(AND($F159&lt;&gt;"",$E159&lt;&gt;""), MAX(D$1:D158)+1, 0)</f>
        <v>0</v>
      </c>
      <c r="F159" s="7" t="str" cm="1">
        <f t="array" aca="1" ref="F159" ca="1">_xll.IMDP("BND", $E159, F$1, 대차거래!$B$5)</f>
        <v>입력오류</v>
      </c>
    </row>
    <row r="160" spans="4:6">
      <c r="D160">
        <f ca="1">IF(AND($F160&lt;&gt;"",$E160&lt;&gt;""), MAX(D$1:D159)+1, 0)</f>
        <v>0</v>
      </c>
      <c r="F160" s="7" t="str" cm="1">
        <f t="array" aca="1" ref="F160" ca="1">_xll.IMDP("BND", $E160, F$1, 대차거래!$B$5)</f>
        <v>입력오류</v>
      </c>
    </row>
    <row r="161" spans="4:6">
      <c r="D161">
        <f ca="1">IF(AND($F161&lt;&gt;"",$E161&lt;&gt;""), MAX(D$1:D160)+1, 0)</f>
        <v>0</v>
      </c>
      <c r="F161" s="7" t="str" cm="1">
        <f t="array" aca="1" ref="F161" ca="1">_xll.IMDP("BND", $E161, F$1, 대차거래!$B$5)</f>
        <v>입력오류</v>
      </c>
    </row>
    <row r="162" spans="4:6">
      <c r="D162">
        <f ca="1">IF(AND($F162&lt;&gt;"",$E162&lt;&gt;""), MAX(D$1:D161)+1, 0)</f>
        <v>0</v>
      </c>
      <c r="F162" s="7" t="str" cm="1">
        <f t="array" aca="1" ref="F162" ca="1">_xll.IMDP("BND", $E162, F$1, 대차거래!$B$5)</f>
        <v>입력오류</v>
      </c>
    </row>
    <row r="163" spans="4:6">
      <c r="D163">
        <f ca="1">IF(AND($F163&lt;&gt;"",$E163&lt;&gt;""), MAX(D$1:D162)+1, 0)</f>
        <v>0</v>
      </c>
      <c r="F163" s="7" t="str" cm="1">
        <f t="array" aca="1" ref="F163" ca="1">_xll.IMDP("BND", $E163, F$1, 대차거래!$B$5)</f>
        <v>입력오류</v>
      </c>
    </row>
    <row r="164" spans="4:6">
      <c r="D164">
        <f ca="1">IF(AND($F164&lt;&gt;"",$E164&lt;&gt;""), MAX(D$1:D163)+1, 0)</f>
        <v>0</v>
      </c>
      <c r="F164" s="7" t="str" cm="1">
        <f t="array" aca="1" ref="F164" ca="1">_xll.IMDP("BND", $E164, F$1, 대차거래!$B$5)</f>
        <v>입력오류</v>
      </c>
    </row>
    <row r="165" spans="4:6">
      <c r="D165">
        <f ca="1">IF(AND($F165&lt;&gt;"",$E165&lt;&gt;""), MAX(D$1:D164)+1, 0)</f>
        <v>0</v>
      </c>
      <c r="F165" s="7" t="str" cm="1">
        <f t="array" aca="1" ref="F165" ca="1">_xll.IMDP("BND", $E165, F$1, 대차거래!$B$5)</f>
        <v>입력오류</v>
      </c>
    </row>
    <row r="166" spans="4:6">
      <c r="D166">
        <f ca="1">IF(AND($F166&lt;&gt;"",$E166&lt;&gt;""), MAX(D$1:D165)+1, 0)</f>
        <v>0</v>
      </c>
      <c r="F166" s="7" t="str" cm="1">
        <f t="array" aca="1" ref="F166" ca="1">_xll.IMDP("BND", $E166, F$1, 대차거래!$B$5)</f>
        <v>입력오류</v>
      </c>
    </row>
    <row r="167" spans="4:6">
      <c r="D167">
        <f ca="1">IF(AND($F167&lt;&gt;"",$E167&lt;&gt;""), MAX(D$1:D166)+1, 0)</f>
        <v>0</v>
      </c>
      <c r="F167" s="7" t="str" cm="1">
        <f t="array" aca="1" ref="F167" ca="1">_xll.IMDP("BND", $E167, F$1, 대차거래!$B$5)</f>
        <v>입력오류</v>
      </c>
    </row>
    <row r="168" spans="4:6">
      <c r="D168">
        <f ca="1">IF(AND($F168&lt;&gt;"",$E168&lt;&gt;""), MAX(D$1:D167)+1, 0)</f>
        <v>0</v>
      </c>
      <c r="F168" s="7" t="str" cm="1">
        <f t="array" aca="1" ref="F168" ca="1">_xll.IMDP("BND", $E168, F$1, 대차거래!$B$5)</f>
        <v>입력오류</v>
      </c>
    </row>
    <row r="169" spans="4:6">
      <c r="D169">
        <f ca="1">IF(AND($F169&lt;&gt;"",$E169&lt;&gt;""), MAX(D$1:D168)+1, 0)</f>
        <v>0</v>
      </c>
      <c r="F169" s="7" t="str" cm="1">
        <f t="array" aca="1" ref="F169" ca="1">_xll.IMDP("BND", $E169, F$1, 대차거래!$B$5)</f>
        <v>입력오류</v>
      </c>
    </row>
    <row r="170" spans="4:6">
      <c r="D170">
        <f ca="1">IF(AND($F170&lt;&gt;"",$E170&lt;&gt;""), MAX(D$1:D169)+1, 0)</f>
        <v>0</v>
      </c>
      <c r="F170" s="7" t="str" cm="1">
        <f t="array" aca="1" ref="F170" ca="1">_xll.IMDP("BND", $E170, F$1, 대차거래!$B$5)</f>
        <v>입력오류</v>
      </c>
    </row>
    <row r="171" spans="4:6">
      <c r="D171">
        <f ca="1">IF(AND($F171&lt;&gt;"",$E171&lt;&gt;""), MAX(D$1:D170)+1, 0)</f>
        <v>0</v>
      </c>
      <c r="F171" s="7" t="str" cm="1">
        <f t="array" aca="1" ref="F171" ca="1">_xll.IMDP("BND", $E171, F$1, 대차거래!$B$5)</f>
        <v>입력오류</v>
      </c>
    </row>
    <row r="172" spans="4:6">
      <c r="D172">
        <f ca="1">IF(AND($F172&lt;&gt;"",$E172&lt;&gt;""), MAX(D$1:D171)+1, 0)</f>
        <v>0</v>
      </c>
      <c r="F172" s="7" t="str" cm="1">
        <f t="array" aca="1" ref="F172" ca="1">_xll.IMDP("BND", $E172, F$1, 대차거래!$B$5)</f>
        <v>입력오류</v>
      </c>
    </row>
    <row r="173" spans="4:6">
      <c r="D173">
        <f ca="1">IF(AND($F173&lt;&gt;"",$E173&lt;&gt;""), MAX(D$1:D172)+1, 0)</f>
        <v>0</v>
      </c>
      <c r="F173" s="7" t="str" cm="1">
        <f t="array" aca="1" ref="F173" ca="1">_xll.IMDP("BND", $E173, F$1, 대차거래!$B$5)</f>
        <v>입력오류</v>
      </c>
    </row>
    <row r="174" spans="4:6">
      <c r="D174">
        <f ca="1">IF(AND($F174&lt;&gt;"",$E174&lt;&gt;""), MAX(D$1:D173)+1, 0)</f>
        <v>0</v>
      </c>
      <c r="F174" s="7" t="str" cm="1">
        <f t="array" aca="1" ref="F174" ca="1">_xll.IMDP("BND", $E174, F$1, 대차거래!$B$5)</f>
        <v>입력오류</v>
      </c>
    </row>
    <row r="175" spans="4:6">
      <c r="D175">
        <f ca="1">IF(AND($F175&lt;&gt;"",$E175&lt;&gt;""), MAX(D$1:D174)+1, 0)</f>
        <v>0</v>
      </c>
      <c r="F175" s="7" t="str" cm="1">
        <f t="array" aca="1" ref="F175" ca="1">_xll.IMDP("BND", $E175, F$1, 대차거래!$B$5)</f>
        <v>입력오류</v>
      </c>
    </row>
    <row r="176" spans="4:6">
      <c r="D176">
        <f ca="1">IF(AND($F176&lt;&gt;"",$E176&lt;&gt;""), MAX(D$1:D175)+1, 0)</f>
        <v>0</v>
      </c>
      <c r="F176" s="7" t="str" cm="1">
        <f t="array" aca="1" ref="F176" ca="1">_xll.IMDP("BND", $E176, F$1, 대차거래!$B$5)</f>
        <v>입력오류</v>
      </c>
    </row>
    <row r="177" spans="4:6">
      <c r="D177">
        <f ca="1">IF(AND($F177&lt;&gt;"",$E177&lt;&gt;""), MAX(D$1:D176)+1, 0)</f>
        <v>0</v>
      </c>
      <c r="F177" s="7" t="str" cm="1">
        <f t="array" aca="1" ref="F177" ca="1">_xll.IMDP("BND", $E177, F$1, 대차거래!$B$5)</f>
        <v>입력오류</v>
      </c>
    </row>
    <row r="178" spans="4:6">
      <c r="D178">
        <f ca="1">IF(AND($F178&lt;&gt;"",$E178&lt;&gt;""), MAX(D$1:D177)+1, 0)</f>
        <v>0</v>
      </c>
      <c r="F178" s="7" t="str" cm="1">
        <f t="array" aca="1" ref="F178" ca="1">_xll.IMDP("BND", $E178, F$1, 대차거래!$B$5)</f>
        <v>입력오류</v>
      </c>
    </row>
    <row r="179" spans="4:6">
      <c r="D179">
        <f ca="1">IF(AND($F179&lt;&gt;"",$E179&lt;&gt;""), MAX(D$1:D178)+1, 0)</f>
        <v>0</v>
      </c>
      <c r="F179" s="7" t="str" cm="1">
        <f t="array" aca="1" ref="F179" ca="1">_xll.IMDP("BND", $E179, F$1, 대차거래!$B$5)</f>
        <v>입력오류</v>
      </c>
    </row>
    <row r="180" spans="4:6">
      <c r="D180">
        <f ca="1">IF(AND($F180&lt;&gt;"",$E180&lt;&gt;""), MAX(D$1:D179)+1, 0)</f>
        <v>0</v>
      </c>
      <c r="F180" s="7" t="str" cm="1">
        <f t="array" aca="1" ref="F180" ca="1">_xll.IMDP("BND", $E180, F$1, 대차거래!$B$5)</f>
        <v>입력오류</v>
      </c>
    </row>
    <row r="181" spans="4:6">
      <c r="D181">
        <f ca="1">IF(AND($F181&lt;&gt;"",$E181&lt;&gt;""), MAX(D$1:D180)+1, 0)</f>
        <v>0</v>
      </c>
      <c r="F181" s="7" t="str" cm="1">
        <f t="array" aca="1" ref="F181" ca="1">_xll.IMDP("BND", $E181, F$1, 대차거래!$B$5)</f>
        <v>입력오류</v>
      </c>
    </row>
    <row r="182" spans="4:6">
      <c r="D182">
        <f ca="1">IF(AND($F182&lt;&gt;"",$E182&lt;&gt;""), MAX(D$1:D181)+1, 0)</f>
        <v>0</v>
      </c>
      <c r="F182" s="7" t="str" cm="1">
        <f t="array" aca="1" ref="F182" ca="1">_xll.IMDP("BND", $E182, F$1, 대차거래!$B$5)</f>
        <v>입력오류</v>
      </c>
    </row>
    <row r="183" spans="4:6">
      <c r="D183">
        <f ca="1">IF(AND($F183&lt;&gt;"",$E183&lt;&gt;""), MAX(D$1:D182)+1, 0)</f>
        <v>0</v>
      </c>
      <c r="F183" s="7" t="str" cm="1">
        <f t="array" aca="1" ref="F183" ca="1">_xll.IMDP("BND", $E183, F$1, 대차거래!$B$5)</f>
        <v>입력오류</v>
      </c>
    </row>
    <row r="184" spans="4:6">
      <c r="D184">
        <f ca="1">IF(AND($F184&lt;&gt;"",$E184&lt;&gt;""), MAX(D$1:D183)+1, 0)</f>
        <v>0</v>
      </c>
      <c r="F184" s="7" t="str" cm="1">
        <f t="array" aca="1" ref="F184" ca="1">_xll.IMDP("BND", $E184, F$1, 대차거래!$B$5)</f>
        <v>입력오류</v>
      </c>
    </row>
    <row r="185" spans="4:6">
      <c r="D185">
        <f ca="1">IF(AND($F185&lt;&gt;"",$E185&lt;&gt;""), MAX(D$1:D184)+1, 0)</f>
        <v>0</v>
      </c>
      <c r="F185" s="7" t="str" cm="1">
        <f t="array" aca="1" ref="F185" ca="1">_xll.IMDP("BND", $E185, F$1, 대차거래!$B$5)</f>
        <v>입력오류</v>
      </c>
    </row>
    <row r="186" spans="4:6">
      <c r="D186">
        <f ca="1">IF(AND($F186&lt;&gt;"",$E186&lt;&gt;""), MAX(D$1:D185)+1, 0)</f>
        <v>0</v>
      </c>
      <c r="F186" s="7" t="str" cm="1">
        <f t="array" aca="1" ref="F186" ca="1">_xll.IMDP("BND", $E186, F$1, 대차거래!$B$5)</f>
        <v>입력오류</v>
      </c>
    </row>
    <row r="187" spans="4:6">
      <c r="D187">
        <f ca="1">IF(AND($F187&lt;&gt;"",$E187&lt;&gt;""), MAX(D$1:D186)+1, 0)</f>
        <v>0</v>
      </c>
      <c r="F187" s="7" t="str" cm="1">
        <f t="array" aca="1" ref="F187" ca="1">_xll.IMDP("BND", $E187, F$1, 대차거래!$B$5)</f>
        <v>입력오류</v>
      </c>
    </row>
    <row r="188" spans="4:6">
      <c r="D188">
        <f ca="1">IF(AND($F188&lt;&gt;"",$E188&lt;&gt;""), MAX(D$1:D187)+1, 0)</f>
        <v>0</v>
      </c>
      <c r="F188" s="7" t="str" cm="1">
        <f t="array" aca="1" ref="F188" ca="1">_xll.IMDP("BND", $E188, F$1, 대차거래!$B$5)</f>
        <v>입력오류</v>
      </c>
    </row>
    <row r="189" spans="4:6">
      <c r="D189">
        <f ca="1">IF(AND($F189&lt;&gt;"",$E189&lt;&gt;""), MAX(D$1:D188)+1, 0)</f>
        <v>0</v>
      </c>
      <c r="F189" s="7" t="str" cm="1">
        <f t="array" aca="1" ref="F189" ca="1">_xll.IMDP("BND", $E189, F$1, 대차거래!$B$5)</f>
        <v>입력오류</v>
      </c>
    </row>
    <row r="190" spans="4:6">
      <c r="D190">
        <f ca="1">IF(AND($F190&lt;&gt;"",$E190&lt;&gt;""), MAX(D$1:D189)+1, 0)</f>
        <v>0</v>
      </c>
      <c r="F190" s="7" t="str" cm="1">
        <f t="array" aca="1" ref="F190" ca="1">_xll.IMDP("BND", $E190, F$1, 대차거래!$B$5)</f>
        <v>입력오류</v>
      </c>
    </row>
    <row r="191" spans="4:6">
      <c r="D191">
        <f ca="1">IF(AND($F191&lt;&gt;"",$E191&lt;&gt;""), MAX(D$1:D190)+1, 0)</f>
        <v>0</v>
      </c>
      <c r="F191" s="7" t="str" cm="1">
        <f t="array" aca="1" ref="F191" ca="1">_xll.IMDP("BND", $E191, F$1, 대차거래!$B$5)</f>
        <v>입력오류</v>
      </c>
    </row>
    <row r="192" spans="4:6">
      <c r="D192">
        <f ca="1">IF(AND($F192&lt;&gt;"",$E192&lt;&gt;""), MAX(D$1:D191)+1, 0)</f>
        <v>0</v>
      </c>
      <c r="F192" s="7" t="str" cm="1">
        <f t="array" aca="1" ref="F192" ca="1">_xll.IMDP("BND", $E192, F$1, 대차거래!$B$5)</f>
        <v>입력오류</v>
      </c>
    </row>
    <row r="193" spans="4:6">
      <c r="D193">
        <f ca="1">IF(AND($F193&lt;&gt;"",$E193&lt;&gt;""), MAX(D$1:D192)+1, 0)</f>
        <v>0</v>
      </c>
      <c r="F193" s="7" t="str" cm="1">
        <f t="array" aca="1" ref="F193" ca="1">_xll.IMDP("BND", $E193, F$1, 대차거래!$B$5)</f>
        <v>입력오류</v>
      </c>
    </row>
    <row r="194" spans="4:6">
      <c r="D194">
        <f ca="1">IF(AND($F194&lt;&gt;"",$E194&lt;&gt;""), MAX(D$1:D193)+1, 0)</f>
        <v>0</v>
      </c>
      <c r="F194" s="7" t="str" cm="1">
        <f t="array" aca="1" ref="F194" ca="1">_xll.IMDP("BND", $E194, F$1, 대차거래!$B$5)</f>
        <v>입력오류</v>
      </c>
    </row>
    <row r="195" spans="4:6">
      <c r="D195">
        <f ca="1">IF(AND($F195&lt;&gt;"",$E195&lt;&gt;""), MAX(D$1:D194)+1, 0)</f>
        <v>0</v>
      </c>
      <c r="F195" s="7" t="str" cm="1">
        <f t="array" aca="1" ref="F195" ca="1">_xll.IMDP("BND", $E195, F$1, 대차거래!$B$5)</f>
        <v>입력오류</v>
      </c>
    </row>
    <row r="196" spans="4:6">
      <c r="D196">
        <f ca="1">IF(AND($F196&lt;&gt;"",$E196&lt;&gt;""), MAX(D$1:D195)+1, 0)</f>
        <v>0</v>
      </c>
      <c r="F196" s="7" t="str" cm="1">
        <f t="array" aca="1" ref="F196" ca="1">_xll.IMDP("BND", $E196, F$1, 대차거래!$B$5)</f>
        <v>입력오류</v>
      </c>
    </row>
    <row r="197" spans="4:6">
      <c r="D197">
        <f ca="1">IF(AND($F197&lt;&gt;"",$E197&lt;&gt;""), MAX(D$1:D196)+1, 0)</f>
        <v>0</v>
      </c>
      <c r="F197" s="7" t="str" cm="1">
        <f t="array" aca="1" ref="F197" ca="1">_xll.IMDP("BND", $E197, F$1, 대차거래!$B$5)</f>
        <v>입력오류</v>
      </c>
    </row>
    <row r="198" spans="4:6">
      <c r="D198">
        <f ca="1">IF(AND($F198&lt;&gt;"",$E198&lt;&gt;""), MAX(D$1:D197)+1, 0)</f>
        <v>0</v>
      </c>
      <c r="F198" s="7" t="str" cm="1">
        <f t="array" aca="1" ref="F198" ca="1">_xll.IMDP("BND", $E198, F$1, 대차거래!$B$5)</f>
        <v>입력오류</v>
      </c>
    </row>
    <row r="199" spans="4:6">
      <c r="D199">
        <f ca="1">IF(AND($F199&lt;&gt;"",$E199&lt;&gt;""), MAX(D$1:D198)+1, 0)</f>
        <v>0</v>
      </c>
      <c r="F199" s="7" t="str" cm="1">
        <f t="array" aca="1" ref="F199" ca="1">_xll.IMDP("BND", $E199, F$1, 대차거래!$B$5)</f>
        <v>입력오류</v>
      </c>
    </row>
    <row r="200" spans="4:6">
      <c r="D200">
        <f ca="1">IF(AND($F200&lt;&gt;"",$E200&lt;&gt;""), MAX(D$1:D199)+1, 0)</f>
        <v>0</v>
      </c>
      <c r="F200" s="7" t="str" cm="1">
        <f t="array" aca="1" ref="F200" ca="1">_xll.IMDP("BND", $E200, F$1, 대차거래!$B$5)</f>
        <v>입력오류</v>
      </c>
    </row>
    <row r="201" spans="4:6">
      <c r="D201">
        <f ca="1">IF(AND($F201&lt;&gt;"",$E201&lt;&gt;""), MAX(D$1:D200)+1, 0)</f>
        <v>0</v>
      </c>
      <c r="F201" s="7" t="str" cm="1">
        <f t="array" aca="1" ref="F201" ca="1">_xll.IMDP("BND", $E201, F$1, 대차거래!$B$5)</f>
        <v>입력오류</v>
      </c>
    </row>
    <row r="202" spans="4:6">
      <c r="D202">
        <f ca="1">IF(AND($F202&lt;&gt;"",$E202&lt;&gt;""), MAX(D$1:D201)+1, 0)</f>
        <v>0</v>
      </c>
      <c r="F202" s="7" t="str" cm="1">
        <f t="array" aca="1" ref="F202" ca="1">_xll.IMDP("BND", $E202, F$1, 대차거래!$B$5)</f>
        <v>입력오류</v>
      </c>
    </row>
    <row r="203" spans="4:6">
      <c r="D203">
        <f ca="1">IF(AND($F203&lt;&gt;"",$E203&lt;&gt;""), MAX(D$1:D202)+1, 0)</f>
        <v>0</v>
      </c>
      <c r="F203" s="7" t="str" cm="1">
        <f t="array" aca="1" ref="F203" ca="1">_xll.IMDP("BND", $E203, F$1, 대차거래!$B$5)</f>
        <v>입력오류</v>
      </c>
    </row>
    <row r="204" spans="4:6">
      <c r="D204">
        <f ca="1">IF(AND($F204&lt;&gt;"",$E204&lt;&gt;""), MAX(D$1:D203)+1, 0)</f>
        <v>0</v>
      </c>
      <c r="F204" s="7" t="str" cm="1">
        <f t="array" aca="1" ref="F204" ca="1">_xll.IMDP("BND", $E204, F$1, 대차거래!$B$5)</f>
        <v>입력오류</v>
      </c>
    </row>
    <row r="205" spans="4:6">
      <c r="D205">
        <f ca="1">IF(AND($F205&lt;&gt;"",$E205&lt;&gt;""), MAX(D$1:D204)+1, 0)</f>
        <v>0</v>
      </c>
      <c r="F205" s="7" t="str" cm="1">
        <f t="array" aca="1" ref="F205" ca="1">_xll.IMDP("BND", $E205, F$1, 대차거래!$B$5)</f>
        <v>입력오류</v>
      </c>
    </row>
    <row r="206" spans="4:6">
      <c r="D206">
        <f ca="1">IF(AND($F206&lt;&gt;"",$E206&lt;&gt;""), MAX(D$1:D205)+1, 0)</f>
        <v>0</v>
      </c>
      <c r="F206" s="7" t="str" cm="1">
        <f t="array" aca="1" ref="F206" ca="1">_xll.IMDP("BND", $E206, F$1, 대차거래!$B$5)</f>
        <v>입력오류</v>
      </c>
    </row>
    <row r="207" spans="4:6">
      <c r="D207">
        <f ca="1">IF(AND($F207&lt;&gt;"",$E207&lt;&gt;""), MAX(D$1:D206)+1, 0)</f>
        <v>0</v>
      </c>
      <c r="F207" s="7" t="str" cm="1">
        <f t="array" aca="1" ref="F207" ca="1">_xll.IMDP("BND", $E207, F$1, 대차거래!$B$5)</f>
        <v>입력오류</v>
      </c>
    </row>
    <row r="208" spans="4:6">
      <c r="D208">
        <f ca="1">IF(AND($F208&lt;&gt;"",$E208&lt;&gt;""), MAX(D$1:D207)+1, 0)</f>
        <v>0</v>
      </c>
      <c r="F208" s="7" t="str" cm="1">
        <f t="array" aca="1" ref="F208" ca="1">_xll.IMDP("BND", $E208, F$1, 대차거래!$B$5)</f>
        <v>입력오류</v>
      </c>
    </row>
    <row r="209" spans="4:6">
      <c r="D209">
        <f ca="1">IF(AND($F209&lt;&gt;"",$E209&lt;&gt;""), MAX(D$1:D208)+1, 0)</f>
        <v>0</v>
      </c>
      <c r="F209" s="7" t="str" cm="1">
        <f t="array" aca="1" ref="F209" ca="1">_xll.IMDP("BND", $E209, F$1, 대차거래!$B$5)</f>
        <v>입력오류</v>
      </c>
    </row>
    <row r="210" spans="4:6">
      <c r="D210">
        <f ca="1">IF(AND($F210&lt;&gt;"",$E210&lt;&gt;""), MAX(D$1:D209)+1, 0)</f>
        <v>0</v>
      </c>
      <c r="F210" s="7" t="str" cm="1">
        <f t="array" aca="1" ref="F210" ca="1">_xll.IMDP("BND", $E210, F$1, 대차거래!$B$5)</f>
        <v>입력오류</v>
      </c>
    </row>
    <row r="211" spans="4:6">
      <c r="D211">
        <f ca="1">IF(AND($F211&lt;&gt;"",$E211&lt;&gt;""), MAX(D$1:D210)+1, 0)</f>
        <v>0</v>
      </c>
      <c r="F211" s="7" t="str" cm="1">
        <f t="array" aca="1" ref="F211" ca="1">_xll.IMDP("BND", $E211, F$1, 대차거래!$B$5)</f>
        <v>입력오류</v>
      </c>
    </row>
    <row r="212" spans="4:6">
      <c r="D212">
        <f ca="1">IF(AND($F212&lt;&gt;"",$E212&lt;&gt;""), MAX(D$1:D211)+1, 0)</f>
        <v>0</v>
      </c>
      <c r="F212" s="7" t="str" cm="1">
        <f t="array" aca="1" ref="F212" ca="1">_xll.IMDP("BND", $E212, F$1, 대차거래!$B$5)</f>
        <v>입력오류</v>
      </c>
    </row>
    <row r="213" spans="4:6">
      <c r="D213">
        <f ca="1">IF(AND($F213&lt;&gt;"",$E213&lt;&gt;""), MAX(D$1:D212)+1, 0)</f>
        <v>0</v>
      </c>
      <c r="F213" s="7" t="str" cm="1">
        <f t="array" aca="1" ref="F213" ca="1">_xll.IMDP("BND", $E213, F$1, 대차거래!$B$5)</f>
        <v>입력오류</v>
      </c>
    </row>
    <row r="214" spans="4:6">
      <c r="D214">
        <f ca="1">IF(AND($F214&lt;&gt;"",$E214&lt;&gt;""), MAX(D$1:D213)+1, 0)</f>
        <v>0</v>
      </c>
      <c r="F214" s="7" t="str" cm="1">
        <f t="array" aca="1" ref="F214" ca="1">_xll.IMDP("BND", $E214, F$1, 대차거래!$B$5)</f>
        <v>입력오류</v>
      </c>
    </row>
    <row r="215" spans="4:6">
      <c r="D215">
        <f ca="1">IF(AND($F215&lt;&gt;"",$E215&lt;&gt;""), MAX(D$1:D214)+1, 0)</f>
        <v>0</v>
      </c>
      <c r="F215" s="7" t="str" cm="1">
        <f t="array" aca="1" ref="F215" ca="1">_xll.IMDP("BND", $E215, F$1, 대차거래!$B$5)</f>
        <v>입력오류</v>
      </c>
    </row>
    <row r="216" spans="4:6">
      <c r="D216">
        <f ca="1">IF(AND($F216&lt;&gt;"",$E216&lt;&gt;""), MAX(D$1:D215)+1, 0)</f>
        <v>0</v>
      </c>
      <c r="F216" s="7" t="str" cm="1">
        <f t="array" aca="1" ref="F216" ca="1">_xll.IMDP("BND", $E216, F$1, 대차거래!$B$5)</f>
        <v>입력오류</v>
      </c>
    </row>
    <row r="217" spans="4:6">
      <c r="D217">
        <f ca="1">IF(AND($F217&lt;&gt;"",$E217&lt;&gt;""), MAX(D$1:D216)+1, 0)</f>
        <v>0</v>
      </c>
      <c r="F217" s="7" t="str" cm="1">
        <f t="array" aca="1" ref="F217" ca="1">_xll.IMDP("BND", $E217, F$1, 대차거래!$B$5)</f>
        <v>입력오류</v>
      </c>
    </row>
    <row r="218" spans="4:6">
      <c r="D218">
        <f ca="1">IF(AND($F218&lt;&gt;"",$E218&lt;&gt;""), MAX(D$1:D217)+1, 0)</f>
        <v>0</v>
      </c>
      <c r="F218" s="7" t="str" cm="1">
        <f t="array" aca="1" ref="F218" ca="1">_xll.IMDP("BND", $E218, F$1, 대차거래!$B$5)</f>
        <v>입력오류</v>
      </c>
    </row>
    <row r="219" spans="4:6">
      <c r="D219">
        <f ca="1">IF(AND($F219&lt;&gt;"",$E219&lt;&gt;""), MAX(D$1:D218)+1, 0)</f>
        <v>0</v>
      </c>
      <c r="F219" s="7" t="str" cm="1">
        <f t="array" aca="1" ref="F219" ca="1">_xll.IMDP("BND", $E219, F$1, 대차거래!$B$5)</f>
        <v>입력오류</v>
      </c>
    </row>
    <row r="220" spans="4:6">
      <c r="D220">
        <f ca="1">IF(AND($F220&lt;&gt;"",$E220&lt;&gt;""), MAX(D$1:D219)+1, 0)</f>
        <v>0</v>
      </c>
      <c r="F220" s="7" t="str" cm="1">
        <f t="array" aca="1" ref="F220" ca="1">_xll.IMDP("BND", $E220, F$1, 대차거래!$B$5)</f>
        <v>입력오류</v>
      </c>
    </row>
    <row r="221" spans="4:6">
      <c r="D221">
        <f ca="1">IF(AND($F221&lt;&gt;"",$E221&lt;&gt;""), MAX(D$1:D220)+1, 0)</f>
        <v>0</v>
      </c>
      <c r="F221" s="7" t="str" cm="1">
        <f t="array" aca="1" ref="F221" ca="1">_xll.IMDP("BND", $E221, F$1, 대차거래!$B$5)</f>
        <v>입력오류</v>
      </c>
    </row>
    <row r="222" spans="4:6">
      <c r="D222">
        <f ca="1">IF(AND($F222&lt;&gt;"",$E222&lt;&gt;""), MAX(D$1:D221)+1, 0)</f>
        <v>0</v>
      </c>
      <c r="F222" s="7" t="str" cm="1">
        <f t="array" aca="1" ref="F222" ca="1">_xll.IMDP("BND", $E222, F$1, 대차거래!$B$5)</f>
        <v>입력오류</v>
      </c>
    </row>
    <row r="223" spans="4:6">
      <c r="D223">
        <f ca="1">IF(AND($F223&lt;&gt;"",$E223&lt;&gt;""), MAX(D$1:D222)+1, 0)</f>
        <v>0</v>
      </c>
      <c r="F223" s="7" t="str" cm="1">
        <f t="array" aca="1" ref="F223" ca="1">_xll.IMDP("BND", $E223, F$1, 대차거래!$B$5)</f>
        <v>입력오류</v>
      </c>
    </row>
    <row r="224" spans="4:6">
      <c r="D224">
        <f ca="1">IF(AND($F224&lt;&gt;"",$E224&lt;&gt;""), MAX(D$1:D223)+1, 0)</f>
        <v>0</v>
      </c>
      <c r="F224" s="7" t="str" cm="1">
        <f t="array" aca="1" ref="F224" ca="1">_xll.IMDP("BND", $E224, F$1, 대차거래!$B$5)</f>
        <v>입력오류</v>
      </c>
    </row>
    <row r="225" spans="4:6">
      <c r="D225">
        <f ca="1">IF(AND($F225&lt;&gt;"",$E225&lt;&gt;""), MAX(D$1:D224)+1, 0)</f>
        <v>0</v>
      </c>
      <c r="F225" s="7" t="str" cm="1">
        <f t="array" aca="1" ref="F225" ca="1">_xll.IMDP("BND", $E225, F$1, 대차거래!$B$5)</f>
        <v>입력오류</v>
      </c>
    </row>
    <row r="226" spans="4:6">
      <c r="D226">
        <f ca="1">IF(AND($F226&lt;&gt;"",$E226&lt;&gt;""), MAX(D$1:D225)+1, 0)</f>
        <v>0</v>
      </c>
      <c r="F226" s="7" t="str" cm="1">
        <f t="array" aca="1" ref="F226" ca="1">_xll.IMDP("BND", $E226, F$1, 대차거래!$B$5)</f>
        <v>입력오류</v>
      </c>
    </row>
    <row r="227" spans="4:6">
      <c r="D227">
        <f ca="1">IF(AND($F227&lt;&gt;"",$E227&lt;&gt;""), MAX(D$1:D226)+1, 0)</f>
        <v>0</v>
      </c>
      <c r="F227" s="7" t="str" cm="1">
        <f t="array" aca="1" ref="F227" ca="1">_xll.IMDP("BND", $E227, F$1, 대차거래!$B$5)</f>
        <v>입력오류</v>
      </c>
    </row>
    <row r="228" spans="4:6">
      <c r="D228">
        <f ca="1">IF(AND($F228&lt;&gt;"",$E228&lt;&gt;""), MAX(D$1:D227)+1, 0)</f>
        <v>0</v>
      </c>
      <c r="F228" s="7" t="str" cm="1">
        <f t="array" aca="1" ref="F228" ca="1">_xll.IMDP("BND", $E228, F$1, 대차거래!$B$5)</f>
        <v>입력오류</v>
      </c>
    </row>
    <row r="229" spans="4:6">
      <c r="D229">
        <f ca="1">IF(AND($F229&lt;&gt;"",$E229&lt;&gt;""), MAX(D$1:D228)+1, 0)</f>
        <v>0</v>
      </c>
      <c r="F229" s="7" t="str" cm="1">
        <f t="array" aca="1" ref="F229" ca="1">_xll.IMDP("BND", $E229, F$1, 대차거래!$B$5)</f>
        <v>입력오류</v>
      </c>
    </row>
    <row r="230" spans="4:6">
      <c r="D230">
        <f ca="1">IF(AND($F230&lt;&gt;"",$E230&lt;&gt;""), MAX(D$1:D229)+1, 0)</f>
        <v>0</v>
      </c>
      <c r="F230" s="7" t="str" cm="1">
        <f t="array" aca="1" ref="F230" ca="1">_xll.IMDP("BND", $E230, F$1, 대차거래!$B$5)</f>
        <v>입력오류</v>
      </c>
    </row>
    <row r="231" spans="4:6">
      <c r="D231">
        <f ca="1">IF(AND($F231&lt;&gt;"",$E231&lt;&gt;""), MAX(D$1:D230)+1, 0)</f>
        <v>0</v>
      </c>
      <c r="F231" s="7" t="str" cm="1">
        <f t="array" aca="1" ref="F231" ca="1">_xll.IMDP("BND", $E231, F$1, 대차거래!$B$5)</f>
        <v>입력오류</v>
      </c>
    </row>
    <row r="232" spans="4:6">
      <c r="D232">
        <f ca="1">IF(AND($F232&lt;&gt;"",$E232&lt;&gt;""), MAX(D$1:D231)+1, 0)</f>
        <v>0</v>
      </c>
      <c r="F232" s="7" t="str" cm="1">
        <f t="array" aca="1" ref="F232" ca="1">_xll.IMDP("BND", $E232, F$1, 대차거래!$B$5)</f>
        <v>입력오류</v>
      </c>
    </row>
    <row r="233" spans="4:6">
      <c r="D233">
        <f ca="1">IF(AND($F233&lt;&gt;"",$E233&lt;&gt;""), MAX(D$1:D232)+1, 0)</f>
        <v>0</v>
      </c>
      <c r="F233" s="7" t="str" cm="1">
        <f t="array" aca="1" ref="F233" ca="1">_xll.IMDP("BND", $E233, F$1, 대차거래!$B$5)</f>
        <v>입력오류</v>
      </c>
    </row>
    <row r="234" spans="4:6">
      <c r="D234">
        <f ca="1">IF(AND($F234&lt;&gt;"",$E234&lt;&gt;""), MAX(D$1:D233)+1, 0)</f>
        <v>0</v>
      </c>
      <c r="F234" s="7" t="str" cm="1">
        <f t="array" aca="1" ref="F234" ca="1">_xll.IMDP("BND", $E234, F$1, 대차거래!$B$5)</f>
        <v>입력오류</v>
      </c>
    </row>
    <row r="235" spans="4:6">
      <c r="D235">
        <f ca="1">IF(AND($F235&lt;&gt;"",$E235&lt;&gt;""), MAX(D$1:D234)+1, 0)</f>
        <v>0</v>
      </c>
      <c r="F235" s="7" t="str" cm="1">
        <f t="array" aca="1" ref="F235" ca="1">_xll.IMDP("BND", $E235, F$1, 대차거래!$B$5)</f>
        <v>입력오류</v>
      </c>
    </row>
    <row r="236" spans="4:6">
      <c r="D236">
        <f ca="1">IF(AND($F236&lt;&gt;"",$E236&lt;&gt;""), MAX(D$1:D235)+1, 0)</f>
        <v>0</v>
      </c>
      <c r="F236" s="7" t="str" cm="1">
        <f t="array" aca="1" ref="F236" ca="1">_xll.IMDP("BND", $E236, F$1, 대차거래!$B$5)</f>
        <v>입력오류</v>
      </c>
    </row>
    <row r="237" spans="4:6">
      <c r="D237">
        <f ca="1">IF(AND($F237&lt;&gt;"",$E237&lt;&gt;""), MAX(D$1:D236)+1, 0)</f>
        <v>0</v>
      </c>
      <c r="F237" s="7" t="str" cm="1">
        <f t="array" aca="1" ref="F237" ca="1">_xll.IMDP("BND", $E237, F$1, 대차거래!$B$5)</f>
        <v>입력오류</v>
      </c>
    </row>
    <row r="238" spans="4:6">
      <c r="D238">
        <f ca="1">IF(AND($F238&lt;&gt;"",$E238&lt;&gt;""), MAX(D$1:D237)+1, 0)</f>
        <v>0</v>
      </c>
      <c r="F238" s="7" t="str" cm="1">
        <f t="array" aca="1" ref="F238" ca="1">_xll.IMDP("BND", $E238, F$1, 대차거래!$B$5)</f>
        <v>입력오류</v>
      </c>
    </row>
    <row r="239" spans="4:6">
      <c r="D239">
        <f ca="1">IF(AND($F239&lt;&gt;"",$E239&lt;&gt;""), MAX(D$1:D238)+1, 0)</f>
        <v>0</v>
      </c>
      <c r="F239" s="7" t="str" cm="1">
        <f t="array" aca="1" ref="F239" ca="1">_xll.IMDP("BND", $E239, F$1, 대차거래!$B$5)</f>
        <v>입력오류</v>
      </c>
    </row>
    <row r="240" spans="4:6">
      <c r="D240">
        <f ca="1">IF(AND($F240&lt;&gt;"",$E240&lt;&gt;""), MAX(D$1:D239)+1, 0)</f>
        <v>0</v>
      </c>
      <c r="F240" s="7" t="str" cm="1">
        <f t="array" aca="1" ref="F240" ca="1">_xll.IMDP("BND", $E240, F$1, 대차거래!$B$5)</f>
        <v>입력오류</v>
      </c>
    </row>
    <row r="241" spans="4:6">
      <c r="D241">
        <f ca="1">IF(AND($F241&lt;&gt;"",$E241&lt;&gt;""), MAX(D$1:D240)+1, 0)</f>
        <v>0</v>
      </c>
      <c r="F241" s="7" t="str" cm="1">
        <f t="array" aca="1" ref="F241" ca="1">_xll.IMDP("BND", $E241, F$1, 대차거래!$B$5)</f>
        <v>입력오류</v>
      </c>
    </row>
    <row r="242" spans="4:6">
      <c r="D242">
        <f ca="1">IF(AND($F242&lt;&gt;"",$E242&lt;&gt;""), MAX(D$1:D241)+1, 0)</f>
        <v>0</v>
      </c>
      <c r="F242" s="7" t="str" cm="1">
        <f t="array" aca="1" ref="F242" ca="1">_xll.IMDP("BND", $E242, F$1, 대차거래!$B$5)</f>
        <v>입력오류</v>
      </c>
    </row>
    <row r="243" spans="4:6">
      <c r="D243">
        <f ca="1">IF(AND($F243&lt;&gt;"",$E243&lt;&gt;""), MAX(D$1:D242)+1, 0)</f>
        <v>0</v>
      </c>
      <c r="F243" s="7" t="str" cm="1">
        <f t="array" aca="1" ref="F243" ca="1">_xll.IMDP("BND", $E243, F$1, 대차거래!$B$5)</f>
        <v>입력오류</v>
      </c>
    </row>
    <row r="244" spans="4:6">
      <c r="D244">
        <f ca="1">IF(AND($F244&lt;&gt;"",$E244&lt;&gt;""), MAX(D$1:D243)+1, 0)</f>
        <v>0</v>
      </c>
      <c r="F244" s="7" t="str" cm="1">
        <f t="array" aca="1" ref="F244" ca="1">_xll.IMDP("BND", $E244, F$1, 대차거래!$B$5)</f>
        <v>입력오류</v>
      </c>
    </row>
    <row r="245" spans="4:6">
      <c r="D245">
        <f ca="1">IF(AND($F245&lt;&gt;"",$E245&lt;&gt;""), MAX(D$1:D244)+1, 0)</f>
        <v>0</v>
      </c>
      <c r="F245" s="7" t="str" cm="1">
        <f t="array" aca="1" ref="F245" ca="1">_xll.IMDP("BND", $E245, F$1, 대차거래!$B$5)</f>
        <v>입력오류</v>
      </c>
    </row>
    <row r="246" spans="4:6">
      <c r="D246">
        <f ca="1">IF(AND($F246&lt;&gt;"",$E246&lt;&gt;""), MAX(D$1:D245)+1, 0)</f>
        <v>0</v>
      </c>
      <c r="F246" s="7" t="str" cm="1">
        <f t="array" aca="1" ref="F246" ca="1">_xll.IMDP("BND", $E246, F$1, 대차거래!$B$5)</f>
        <v>입력오류</v>
      </c>
    </row>
    <row r="247" spans="4:6">
      <c r="D247">
        <f ca="1">IF(AND($F247&lt;&gt;"",$E247&lt;&gt;""), MAX(D$1:D246)+1, 0)</f>
        <v>0</v>
      </c>
      <c r="F247" s="7" t="str" cm="1">
        <f t="array" aca="1" ref="F247" ca="1">_xll.IMDP("BND", $E247, F$1, 대차거래!$B$5)</f>
        <v>입력오류</v>
      </c>
    </row>
    <row r="248" spans="4:6">
      <c r="D248">
        <f ca="1">IF(AND($F248&lt;&gt;"",$E248&lt;&gt;""), MAX(D$1:D247)+1, 0)</f>
        <v>0</v>
      </c>
      <c r="F248" s="7" t="str" cm="1">
        <f t="array" aca="1" ref="F248" ca="1">_xll.IMDP("BND", $E248, F$1, 대차거래!$B$5)</f>
        <v>입력오류</v>
      </c>
    </row>
    <row r="249" spans="4:6">
      <c r="D249">
        <f ca="1">IF(AND($F249&lt;&gt;"",$E249&lt;&gt;""), MAX(D$1:D248)+1, 0)</f>
        <v>0</v>
      </c>
      <c r="F249" s="7" t="str" cm="1">
        <f t="array" aca="1" ref="F249" ca="1">_xll.IMDP("BND", $E249, F$1, 대차거래!$B$5)</f>
        <v>입력오류</v>
      </c>
    </row>
    <row r="250" spans="4:6">
      <c r="D250">
        <f ca="1">IF(AND($F250&lt;&gt;"",$E250&lt;&gt;""), MAX(D$1:D249)+1, 0)</f>
        <v>0</v>
      </c>
      <c r="F250" s="7" t="str" cm="1">
        <f t="array" aca="1" ref="F250" ca="1">_xll.IMDP("BND", $E250, F$1, 대차거래!$B$5)</f>
        <v>입력오류</v>
      </c>
    </row>
    <row r="251" spans="4:6">
      <c r="D251">
        <f ca="1">IF(AND($F251&lt;&gt;"",$E251&lt;&gt;""), MAX(D$1:D250)+1, 0)</f>
        <v>0</v>
      </c>
      <c r="F251" s="7" t="str" cm="1">
        <f t="array" aca="1" ref="F251" ca="1">_xll.IMDP("BND", $E251, F$1, 대차거래!$B$5)</f>
        <v>입력오류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대차거래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infomax</cp:lastModifiedBy>
  <dcterms:created xsi:type="dcterms:W3CDTF">2021-06-08T06:02:36Z</dcterms:created>
  <dcterms:modified xsi:type="dcterms:W3CDTF">2025-07-17T06:43:52Z</dcterms:modified>
</cp:coreProperties>
</file>