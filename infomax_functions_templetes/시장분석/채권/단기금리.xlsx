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360" yWindow="90" windowWidth="24435" windowHeight="11895"/>
  </bookViews>
  <sheets>
    <sheet name="Short Term Interest" sheetId="1" r:id="rId1"/>
    <sheet name="history_chart" sheetId="2" r:id="rId2"/>
  </sheets>
  <calcPr calcId="145621"/>
</workbook>
</file>

<file path=xl/calcChain.xml><?xml version="1.0" encoding="utf-8"?>
<calcChain xmlns="http://schemas.openxmlformats.org/spreadsheetml/2006/main">
  <c r="BS6" i="2" l="1"/>
  <c r="BU7" i="2"/>
  <c r="BS7" i="2" s="1"/>
  <c r="G9" i="2"/>
  <c r="H9" i="2"/>
  <c r="M9" i="2"/>
  <c r="N9" i="2"/>
  <c r="O9" i="2"/>
  <c r="P9" i="2"/>
  <c r="Q9" i="2"/>
  <c r="G10" i="2"/>
  <c r="Q10" i="2" s="1"/>
  <c r="H10" i="2"/>
  <c r="M10" i="2"/>
  <c r="N10" i="2"/>
  <c r="P10" i="2"/>
  <c r="BU10" i="2"/>
  <c r="BY10" i="2"/>
  <c r="CC10" i="2"/>
  <c r="CG10" i="2"/>
  <c r="G11" i="2"/>
  <c r="M11" i="2" s="1"/>
  <c r="H11" i="2"/>
  <c r="N11" i="2"/>
  <c r="P11" i="2"/>
  <c r="BU11" i="2"/>
  <c r="BY11" i="2"/>
  <c r="CC11" i="2"/>
  <c r="CG11" i="2"/>
  <c r="G12" i="2"/>
  <c r="M12" i="2" s="1"/>
  <c r="H12" i="2"/>
  <c r="N12" i="2"/>
  <c r="P12" i="2"/>
  <c r="BU12" i="2"/>
  <c r="BY12" i="2"/>
  <c r="CC12" i="2"/>
  <c r="CG12" i="2"/>
  <c r="G13" i="2"/>
  <c r="M13" i="2" s="1"/>
  <c r="H13" i="2"/>
  <c r="BU13" i="2"/>
  <c r="BY13" i="2"/>
  <c r="CC13" i="2"/>
  <c r="CG13" i="2"/>
  <c r="G14" i="2"/>
  <c r="M14" i="2" s="1"/>
  <c r="H14" i="2"/>
  <c r="BU14" i="2"/>
  <c r="BY14" i="2"/>
  <c r="CC14" i="2"/>
  <c r="CG14" i="2"/>
  <c r="G15" i="2"/>
  <c r="M15" i="2" s="1"/>
  <c r="H15" i="2"/>
  <c r="BU15" i="2"/>
  <c r="BY15" i="2"/>
  <c r="CC15" i="2"/>
  <c r="CG15" i="2"/>
  <c r="G16" i="2"/>
  <c r="M16" i="2" s="1"/>
  <c r="H16" i="2"/>
  <c r="BU16" i="2"/>
  <c r="BY16" i="2"/>
  <c r="CC16" i="2"/>
  <c r="CG16" i="2"/>
  <c r="G17" i="2"/>
  <c r="H17" i="2"/>
  <c r="M17" i="2"/>
  <c r="BU17" i="2"/>
  <c r="BY17" i="2"/>
  <c r="CC17" i="2"/>
  <c r="CG17" i="2"/>
  <c r="G18" i="2"/>
  <c r="Q11" i="2" s="1"/>
  <c r="H18" i="2"/>
  <c r="M18" i="2"/>
  <c r="BU18" i="2"/>
  <c r="BY18" i="2"/>
  <c r="CC18" i="2"/>
  <c r="CG18" i="2"/>
  <c r="G19" i="2"/>
  <c r="M19" i="2" s="1"/>
  <c r="H19" i="2"/>
  <c r="BU19" i="2"/>
  <c r="BY19" i="2"/>
  <c r="CC19" i="2"/>
  <c r="CG19" i="2"/>
  <c r="G20" i="2"/>
  <c r="M20" i="2" s="1"/>
  <c r="H20" i="2"/>
  <c r="BU20" i="2"/>
  <c r="BY20" i="2"/>
  <c r="CC20" i="2"/>
  <c r="CG20" i="2"/>
  <c r="G21" i="2"/>
  <c r="M21" i="2" s="1"/>
  <c r="H21" i="2"/>
  <c r="I21" i="2"/>
  <c r="J21" i="2"/>
  <c r="K21" i="2"/>
  <c r="L21" i="2"/>
  <c r="BU21" i="2"/>
  <c r="BY21" i="2"/>
  <c r="CC21" i="2"/>
  <c r="CG21" i="2"/>
  <c r="G22" i="2"/>
  <c r="M22" i="2" s="1"/>
  <c r="H22" i="2"/>
  <c r="I22" i="2"/>
  <c r="J22" i="2"/>
  <c r="K22" i="2"/>
  <c r="L22" i="2"/>
  <c r="BU22" i="2"/>
  <c r="BY22" i="2"/>
  <c r="CC22" i="2"/>
  <c r="CG22" i="2"/>
  <c r="G23" i="2"/>
  <c r="M23" i="2" s="1"/>
  <c r="H23" i="2"/>
  <c r="I23" i="2"/>
  <c r="J23" i="2"/>
  <c r="K23" i="2"/>
  <c r="L23" i="2"/>
  <c r="BU23" i="2"/>
  <c r="BY23" i="2"/>
  <c r="CC23" i="2"/>
  <c r="CG23" i="2"/>
  <c r="G24" i="2"/>
  <c r="M24" i="2" s="1"/>
  <c r="H24" i="2"/>
  <c r="I24" i="2"/>
  <c r="J24" i="2"/>
  <c r="K24" i="2"/>
  <c r="L24" i="2"/>
  <c r="BU24" i="2"/>
  <c r="BY24" i="2"/>
  <c r="CC24" i="2"/>
  <c r="CG24" i="2"/>
  <c r="G25" i="2"/>
  <c r="H25" i="2"/>
  <c r="I25" i="2"/>
  <c r="J25" i="2"/>
  <c r="K25" i="2"/>
  <c r="L25" i="2"/>
  <c r="M25" i="2"/>
  <c r="BU25" i="2"/>
  <c r="BY25" i="2"/>
  <c r="CC25" i="2"/>
  <c r="CG25" i="2"/>
  <c r="G26" i="2"/>
  <c r="H26" i="2"/>
  <c r="I26" i="2"/>
  <c r="J26" i="2"/>
  <c r="K26" i="2"/>
  <c r="L26" i="2"/>
  <c r="M26" i="2"/>
  <c r="BU26" i="2"/>
  <c r="BY26" i="2"/>
  <c r="CC26" i="2"/>
  <c r="CG26" i="2"/>
  <c r="G27" i="2"/>
  <c r="M27" i="2" s="1"/>
  <c r="H27" i="2"/>
  <c r="I27" i="2"/>
  <c r="J27" i="2"/>
  <c r="K27" i="2"/>
  <c r="L27" i="2"/>
  <c r="BU27" i="2"/>
  <c r="BY27" i="2"/>
  <c r="CC27" i="2"/>
  <c r="CG27" i="2"/>
  <c r="G28" i="2"/>
  <c r="M28" i="2" s="1"/>
  <c r="H28" i="2"/>
  <c r="I28" i="2"/>
  <c r="J28" i="2"/>
  <c r="K28" i="2"/>
  <c r="L28" i="2"/>
  <c r="BU28" i="2"/>
  <c r="BY28" i="2"/>
  <c r="CC28" i="2"/>
  <c r="CG28" i="2"/>
  <c r="BU29" i="2"/>
  <c r="BY29" i="2"/>
  <c r="CC29" i="2"/>
  <c r="CG29" i="2"/>
  <c r="BU30" i="2"/>
  <c r="BY30" i="2"/>
  <c r="CC30" i="2"/>
  <c r="CG30" i="2"/>
  <c r="BU31" i="2"/>
  <c r="BY31" i="2"/>
  <c r="CC31" i="2"/>
  <c r="CG31" i="2"/>
  <c r="BU32" i="2"/>
  <c r="BY32" i="2"/>
  <c r="CC32" i="2"/>
  <c r="CG32" i="2"/>
  <c r="BU33" i="2"/>
  <c r="BY33" i="2"/>
  <c r="CC33" i="2"/>
  <c r="CG33" i="2"/>
  <c r="BU34" i="2"/>
  <c r="BY34" i="2"/>
  <c r="CC34" i="2"/>
  <c r="CG34" i="2"/>
  <c r="BU35" i="2"/>
  <c r="BY35" i="2"/>
  <c r="CC35" i="2"/>
  <c r="CG35" i="2"/>
  <c r="BU36" i="2"/>
  <c r="BY36" i="2"/>
  <c r="CC36" i="2"/>
  <c r="CG36" i="2"/>
  <c r="BU37" i="2"/>
  <c r="BY37" i="2"/>
  <c r="CC37" i="2"/>
  <c r="CG37" i="2"/>
  <c r="BU38" i="2"/>
  <c r="BY38" i="2"/>
  <c r="CC38" i="2"/>
  <c r="CG38" i="2"/>
  <c r="BU39" i="2"/>
  <c r="BY39" i="2"/>
  <c r="CC39" i="2"/>
  <c r="CG39" i="2"/>
  <c r="BU40" i="2"/>
  <c r="BY40" i="2"/>
  <c r="CC40" i="2"/>
  <c r="CG40" i="2"/>
  <c r="BU41" i="2"/>
  <c r="BY41" i="2"/>
  <c r="CC41" i="2"/>
  <c r="CG41" i="2"/>
  <c r="L42" i="2"/>
  <c r="BS9" i="2" s="1"/>
  <c r="BU42" i="2"/>
  <c r="BY42" i="2"/>
  <c r="CC42" i="2"/>
  <c r="CG42" i="2"/>
  <c r="L43" i="2"/>
  <c r="BT9" i="2" s="1"/>
  <c r="BU43" i="2"/>
  <c r="BY43" i="2"/>
  <c r="CC43" i="2"/>
  <c r="CG43" i="2"/>
  <c r="L44" i="2"/>
  <c r="BW9" i="2" s="1"/>
  <c r="BU44" i="2"/>
  <c r="BY44" i="2"/>
  <c r="CC44" i="2"/>
  <c r="CG44" i="2"/>
  <c r="L45" i="2"/>
  <c r="BX9" i="2" s="1"/>
  <c r="BU45" i="2"/>
  <c r="BY45" i="2"/>
  <c r="CC45" i="2"/>
  <c r="CG45" i="2"/>
  <c r="L46" i="2"/>
  <c r="CA9" i="2" s="1"/>
  <c r="BU46" i="2"/>
  <c r="BY46" i="2"/>
  <c r="CC46" i="2"/>
  <c r="CG46" i="2"/>
  <c r="L47" i="2"/>
  <c r="CB9" i="2" s="1"/>
  <c r="BU47" i="2"/>
  <c r="BY47" i="2"/>
  <c r="CC47" i="2"/>
  <c r="CG47" i="2"/>
  <c r="L48" i="2"/>
  <c r="CE9" i="2" s="1"/>
  <c r="BU48" i="2"/>
  <c r="BY48" i="2"/>
  <c r="CC48" i="2"/>
  <c r="CG48" i="2"/>
  <c r="L49" i="2"/>
  <c r="CF9" i="2" s="1"/>
  <c r="BU49" i="2"/>
  <c r="BY49" i="2"/>
  <c r="CC49" i="2"/>
  <c r="CG49" i="2"/>
  <c r="BU50" i="2"/>
  <c r="BY50" i="2"/>
  <c r="CC50" i="2"/>
  <c r="CG50" i="2"/>
  <c r="BU51" i="2"/>
  <c r="BY51" i="2"/>
  <c r="CC51" i="2"/>
  <c r="CG51" i="2"/>
  <c r="BU52" i="2"/>
  <c r="BY52" i="2"/>
  <c r="CC52" i="2"/>
  <c r="CG52" i="2"/>
  <c r="BU53" i="2"/>
  <c r="BY53" i="2"/>
  <c r="CC53" i="2"/>
  <c r="CG53" i="2"/>
  <c r="BU54" i="2"/>
  <c r="BY54" i="2"/>
  <c r="CC54" i="2"/>
  <c r="CG54" i="2"/>
  <c r="BU55" i="2"/>
  <c r="BY55" i="2"/>
  <c r="CC55" i="2"/>
  <c r="CG55" i="2"/>
  <c r="BU56" i="2"/>
  <c r="BY56" i="2"/>
  <c r="CC56" i="2"/>
  <c r="CG56" i="2"/>
  <c r="BU57" i="2"/>
  <c r="BY57" i="2"/>
  <c r="CC57" i="2"/>
  <c r="CG57" i="2"/>
  <c r="BU58" i="2"/>
  <c r="BY58" i="2"/>
  <c r="CC58" i="2"/>
  <c r="CG58" i="2"/>
  <c r="BU59" i="2"/>
  <c r="BY59" i="2"/>
  <c r="CC59" i="2"/>
  <c r="CG59" i="2"/>
  <c r="BU60" i="2"/>
  <c r="BY60" i="2"/>
  <c r="CC60" i="2"/>
  <c r="CG60" i="2"/>
  <c r="BU61" i="2"/>
  <c r="BY61" i="2"/>
  <c r="CC61" i="2"/>
  <c r="CG61" i="2"/>
  <c r="BU62" i="2"/>
  <c r="BY62" i="2"/>
  <c r="CC62" i="2"/>
  <c r="CG62" i="2"/>
  <c r="BU63" i="2"/>
  <c r="BY63" i="2"/>
  <c r="CC63" i="2"/>
  <c r="CG63" i="2"/>
  <c r="BU64" i="2"/>
  <c r="BY64" i="2"/>
  <c r="CC64" i="2"/>
  <c r="CG64" i="2"/>
  <c r="BU65" i="2"/>
  <c r="BY65" i="2"/>
  <c r="CC65" i="2"/>
  <c r="CG65" i="2"/>
  <c r="BU66" i="2"/>
  <c r="BY66" i="2"/>
  <c r="CC66" i="2"/>
  <c r="CG66" i="2"/>
  <c r="BU67" i="2"/>
  <c r="BY67" i="2"/>
  <c r="CC67" i="2"/>
  <c r="CG67" i="2"/>
  <c r="BU68" i="2"/>
  <c r="BY68" i="2"/>
  <c r="CC68" i="2"/>
  <c r="CG68" i="2"/>
  <c r="BU69" i="2"/>
  <c r="BY69" i="2"/>
  <c r="CC69" i="2"/>
  <c r="CG69" i="2"/>
  <c r="BU70" i="2"/>
  <c r="BY70" i="2"/>
  <c r="CC70" i="2"/>
  <c r="CG70" i="2"/>
  <c r="BU71" i="2"/>
  <c r="BY71" i="2"/>
  <c r="CC71" i="2"/>
  <c r="CG71" i="2"/>
  <c r="BU72" i="2"/>
  <c r="BY72" i="2"/>
  <c r="CC72" i="2"/>
  <c r="CG72" i="2"/>
  <c r="BU73" i="2"/>
  <c r="BY73" i="2"/>
  <c r="CC73" i="2"/>
  <c r="CG73" i="2"/>
  <c r="BU74" i="2"/>
  <c r="BY74" i="2"/>
  <c r="CC74" i="2"/>
  <c r="CG74" i="2"/>
  <c r="BU75" i="2"/>
  <c r="BY75" i="2"/>
  <c r="CC75" i="2"/>
  <c r="CG75" i="2"/>
  <c r="BU76" i="2"/>
  <c r="BY76" i="2"/>
  <c r="CC76" i="2"/>
  <c r="CG76" i="2"/>
  <c r="BU77" i="2"/>
  <c r="BY77" i="2"/>
  <c r="CC77" i="2"/>
  <c r="CG77" i="2"/>
  <c r="BU78" i="2"/>
  <c r="BY78" i="2"/>
  <c r="CC78" i="2"/>
  <c r="CG78" i="2"/>
  <c r="BU79" i="2"/>
  <c r="BY79" i="2"/>
  <c r="CC79" i="2"/>
  <c r="CG79" i="2"/>
  <c r="BU80" i="2"/>
  <c r="BY80" i="2"/>
  <c r="CC80" i="2"/>
  <c r="CG80" i="2"/>
  <c r="BU81" i="2"/>
  <c r="BY81" i="2"/>
  <c r="CC81" i="2"/>
  <c r="CG81" i="2"/>
  <c r="BU82" i="2"/>
  <c r="BY82" i="2"/>
  <c r="CC82" i="2"/>
  <c r="CG82" i="2"/>
  <c r="BU83" i="2"/>
  <c r="BY83" i="2"/>
  <c r="CC83" i="2"/>
  <c r="CG83" i="2"/>
  <c r="BU84" i="2"/>
  <c r="BY84" i="2"/>
  <c r="CC84" i="2"/>
  <c r="CG84" i="2"/>
  <c r="BU85" i="2"/>
  <c r="BY85" i="2"/>
  <c r="CC85" i="2"/>
  <c r="CG85" i="2"/>
  <c r="BU86" i="2"/>
  <c r="BY86" i="2"/>
  <c r="CC86" i="2"/>
  <c r="CG86" i="2"/>
  <c r="BU87" i="2"/>
  <c r="BY87" i="2"/>
  <c r="CC87" i="2"/>
  <c r="CG87" i="2"/>
  <c r="BU88" i="2"/>
  <c r="BY88" i="2"/>
  <c r="CC88" i="2"/>
  <c r="CG88" i="2"/>
  <c r="BU89" i="2"/>
  <c r="BY89" i="2"/>
  <c r="CC89" i="2"/>
  <c r="CG89" i="2"/>
  <c r="BU90" i="2"/>
  <c r="BY90" i="2"/>
  <c r="CC90" i="2"/>
  <c r="CG90" i="2"/>
  <c r="BU91" i="2"/>
  <c r="BY91" i="2"/>
  <c r="CC91" i="2"/>
  <c r="CG91" i="2"/>
  <c r="BU92" i="2"/>
  <c r="BY92" i="2"/>
  <c r="CC92" i="2"/>
  <c r="CG92" i="2"/>
  <c r="BU93" i="2"/>
  <c r="BY93" i="2"/>
  <c r="CC93" i="2"/>
  <c r="CG93" i="2"/>
  <c r="BU94" i="2"/>
  <c r="BY94" i="2"/>
  <c r="CC94" i="2"/>
  <c r="CG94" i="2"/>
  <c r="BU95" i="2"/>
  <c r="BY95" i="2"/>
  <c r="CC95" i="2"/>
  <c r="CG95" i="2"/>
  <c r="BU96" i="2"/>
  <c r="BY96" i="2"/>
  <c r="CC96" i="2"/>
  <c r="CG96" i="2"/>
  <c r="BU97" i="2"/>
  <c r="BY97" i="2"/>
  <c r="CC97" i="2"/>
  <c r="CG97" i="2"/>
  <c r="BU98" i="2"/>
  <c r="BY98" i="2"/>
  <c r="CC98" i="2"/>
  <c r="CG98" i="2"/>
  <c r="BU99" i="2"/>
  <c r="BY99" i="2"/>
  <c r="CC99" i="2"/>
  <c r="CG99" i="2"/>
  <c r="BU100" i="2"/>
  <c r="BY100" i="2"/>
  <c r="CC100" i="2"/>
  <c r="CG100" i="2"/>
  <c r="BU101" i="2"/>
  <c r="BY101" i="2"/>
  <c r="CC101" i="2"/>
  <c r="CG101" i="2"/>
  <c r="BU102" i="2"/>
  <c r="BY102" i="2"/>
  <c r="CC102" i="2"/>
  <c r="CG102" i="2"/>
  <c r="BU103" i="2"/>
  <c r="BY103" i="2"/>
  <c r="CC103" i="2"/>
  <c r="CG103" i="2"/>
  <c r="BU104" i="2"/>
  <c r="BY104" i="2"/>
  <c r="CC104" i="2"/>
  <c r="CG104" i="2"/>
  <c r="BU105" i="2"/>
  <c r="BY105" i="2"/>
  <c r="CC105" i="2"/>
  <c r="CG105" i="2"/>
  <c r="BU106" i="2"/>
  <c r="BY106" i="2"/>
  <c r="CC106" i="2"/>
  <c r="CG106" i="2"/>
  <c r="BU107" i="2"/>
  <c r="BY107" i="2"/>
  <c r="CC107" i="2"/>
  <c r="CG107" i="2"/>
  <c r="BU108" i="2"/>
  <c r="BY108" i="2"/>
  <c r="CC108" i="2"/>
  <c r="CG108" i="2"/>
  <c r="BU109" i="2"/>
  <c r="BY109" i="2"/>
  <c r="CC109" i="2"/>
  <c r="CG109" i="2"/>
  <c r="BU110" i="2"/>
  <c r="BY110" i="2"/>
  <c r="CC110" i="2"/>
  <c r="CG110" i="2"/>
  <c r="BU111" i="2"/>
  <c r="BY111" i="2"/>
  <c r="CC111" i="2"/>
  <c r="CG111" i="2"/>
  <c r="BU112" i="2"/>
  <c r="BY112" i="2"/>
  <c r="CC112" i="2"/>
  <c r="CG112" i="2"/>
  <c r="BU113" i="2"/>
  <c r="BY113" i="2"/>
  <c r="CC113" i="2"/>
  <c r="CG113" i="2"/>
  <c r="BU114" i="2"/>
  <c r="BY114" i="2"/>
  <c r="CC114" i="2"/>
  <c r="CG114" i="2"/>
  <c r="BU115" i="2"/>
  <c r="BY115" i="2"/>
  <c r="CC115" i="2"/>
  <c r="CG115" i="2"/>
  <c r="BU116" i="2"/>
  <c r="BY116" i="2"/>
  <c r="CC116" i="2"/>
  <c r="CG116" i="2"/>
  <c r="BU117" i="2"/>
  <c r="BY117" i="2"/>
  <c r="CC117" i="2"/>
  <c r="CG117" i="2"/>
  <c r="BU118" i="2"/>
  <c r="BY118" i="2"/>
  <c r="CC118" i="2"/>
  <c r="CG118" i="2"/>
  <c r="BU119" i="2"/>
  <c r="BY119" i="2"/>
  <c r="CC119" i="2"/>
  <c r="CG119" i="2"/>
  <c r="BU120" i="2"/>
  <c r="BY120" i="2"/>
  <c r="CC120" i="2"/>
  <c r="CG120" i="2"/>
  <c r="BU121" i="2"/>
  <c r="BY121" i="2"/>
  <c r="CC121" i="2"/>
  <c r="CG121" i="2"/>
  <c r="BU122" i="2"/>
  <c r="BY122" i="2"/>
  <c r="CC122" i="2"/>
  <c r="CG122" i="2"/>
  <c r="BU123" i="2"/>
  <c r="BY123" i="2"/>
  <c r="CC123" i="2"/>
  <c r="CG123" i="2"/>
  <c r="BU124" i="2"/>
  <c r="BY124" i="2"/>
  <c r="CC124" i="2"/>
  <c r="CG124" i="2"/>
  <c r="BU125" i="2"/>
  <c r="BY125" i="2"/>
  <c r="CC125" i="2"/>
  <c r="CG125" i="2"/>
  <c r="BU126" i="2"/>
  <c r="BY126" i="2"/>
  <c r="CC126" i="2"/>
  <c r="CG126" i="2"/>
  <c r="BU127" i="2"/>
  <c r="BY127" i="2"/>
  <c r="CC127" i="2"/>
  <c r="CG127" i="2"/>
  <c r="BU128" i="2"/>
  <c r="BY128" i="2"/>
  <c r="CC128" i="2"/>
  <c r="CG128" i="2"/>
  <c r="BU129" i="2"/>
  <c r="BY129" i="2"/>
  <c r="CC129" i="2"/>
  <c r="CG129" i="2"/>
  <c r="BU130" i="2"/>
  <c r="BY130" i="2"/>
  <c r="CC130" i="2"/>
  <c r="CG130" i="2"/>
  <c r="BU131" i="2"/>
  <c r="BY131" i="2"/>
  <c r="CC131" i="2"/>
  <c r="CG131" i="2"/>
  <c r="BU132" i="2"/>
  <c r="BY132" i="2"/>
  <c r="CC132" i="2"/>
  <c r="CG132" i="2"/>
  <c r="BU133" i="2"/>
  <c r="BY133" i="2"/>
  <c r="CC133" i="2"/>
  <c r="CG133" i="2"/>
  <c r="BU134" i="2"/>
  <c r="BY134" i="2"/>
  <c r="CC134" i="2"/>
  <c r="CG134" i="2"/>
  <c r="BU135" i="2"/>
  <c r="BY135" i="2"/>
  <c r="CC135" i="2"/>
  <c r="CG135" i="2"/>
  <c r="BU136" i="2"/>
  <c r="BY136" i="2"/>
  <c r="CC136" i="2"/>
  <c r="CG136" i="2"/>
  <c r="BU137" i="2"/>
  <c r="BY137" i="2"/>
  <c r="CC137" i="2"/>
  <c r="CG137" i="2"/>
  <c r="BU138" i="2"/>
  <c r="BY138" i="2"/>
  <c r="CC138" i="2"/>
  <c r="CG138" i="2"/>
  <c r="BU139" i="2"/>
  <c r="BY139" i="2"/>
  <c r="CC139" i="2"/>
  <c r="CG139" i="2"/>
  <c r="BU140" i="2"/>
  <c r="BY140" i="2"/>
  <c r="CC140" i="2"/>
  <c r="CG140" i="2"/>
  <c r="BU141" i="2"/>
  <c r="BY141" i="2"/>
  <c r="CC141" i="2"/>
  <c r="CG141" i="2"/>
  <c r="BU142" i="2"/>
  <c r="BY142" i="2"/>
  <c r="CC142" i="2"/>
  <c r="CG142" i="2"/>
  <c r="BU143" i="2"/>
  <c r="BY143" i="2"/>
  <c r="CC143" i="2"/>
  <c r="CG143" i="2"/>
  <c r="BU144" i="2"/>
  <c r="BY144" i="2"/>
  <c r="CC144" i="2"/>
  <c r="CG144" i="2"/>
  <c r="BU145" i="2"/>
  <c r="BY145" i="2"/>
  <c r="CC145" i="2"/>
  <c r="CG145" i="2"/>
  <c r="BU146" i="2"/>
  <c r="BY146" i="2"/>
  <c r="CC146" i="2"/>
  <c r="CG146" i="2"/>
  <c r="BU147" i="2"/>
  <c r="BY147" i="2"/>
  <c r="CC147" i="2"/>
  <c r="CG147" i="2"/>
  <c r="BU148" i="2"/>
  <c r="BY148" i="2"/>
  <c r="CC148" i="2"/>
  <c r="CG148" i="2"/>
  <c r="BU149" i="2"/>
  <c r="BY149" i="2"/>
  <c r="CC149" i="2"/>
  <c r="CG149" i="2"/>
  <c r="BU150" i="2"/>
  <c r="BY150" i="2"/>
  <c r="CC150" i="2"/>
  <c r="CG150" i="2"/>
  <c r="BU151" i="2"/>
  <c r="BY151" i="2"/>
  <c r="CC151" i="2"/>
  <c r="CG151" i="2"/>
  <c r="BU152" i="2"/>
  <c r="BY152" i="2"/>
  <c r="CC152" i="2"/>
  <c r="CG152" i="2"/>
  <c r="BU153" i="2"/>
  <c r="BY153" i="2"/>
  <c r="CC153" i="2"/>
  <c r="CG153" i="2"/>
  <c r="BU154" i="2"/>
  <c r="BY154" i="2"/>
  <c r="CC154" i="2"/>
  <c r="CG154" i="2"/>
  <c r="BU155" i="2"/>
  <c r="BY155" i="2"/>
  <c r="CC155" i="2"/>
  <c r="CG155" i="2"/>
  <c r="BU156" i="2"/>
  <c r="BY156" i="2"/>
  <c r="CC156" i="2"/>
  <c r="CG156" i="2"/>
  <c r="BU157" i="2"/>
  <c r="BY157" i="2"/>
  <c r="CC157" i="2"/>
  <c r="CG157" i="2"/>
  <c r="BU158" i="2"/>
  <c r="BY158" i="2"/>
  <c r="CC158" i="2"/>
  <c r="CG158" i="2"/>
  <c r="BU159" i="2"/>
  <c r="BY159" i="2"/>
  <c r="CC159" i="2"/>
  <c r="CG159" i="2"/>
  <c r="BU160" i="2"/>
  <c r="BY160" i="2"/>
  <c r="CC160" i="2"/>
  <c r="CG160" i="2"/>
  <c r="BU161" i="2"/>
  <c r="BY161" i="2"/>
  <c r="CC161" i="2"/>
  <c r="CG161" i="2"/>
  <c r="BU162" i="2"/>
  <c r="BY162" i="2"/>
  <c r="CC162" i="2"/>
  <c r="CG162" i="2"/>
  <c r="BU163" i="2"/>
  <c r="BY163" i="2"/>
  <c r="CC163" i="2"/>
  <c r="CG163" i="2"/>
  <c r="BU164" i="2"/>
  <c r="BY164" i="2"/>
  <c r="CC164" i="2"/>
  <c r="CG164" i="2"/>
  <c r="BU165" i="2"/>
  <c r="BY165" i="2"/>
  <c r="CC165" i="2"/>
  <c r="CG165" i="2"/>
  <c r="BU166" i="2"/>
  <c r="BY166" i="2"/>
  <c r="CC166" i="2"/>
  <c r="CG166" i="2"/>
  <c r="BU167" i="2"/>
  <c r="BY167" i="2"/>
  <c r="CC167" i="2"/>
  <c r="CG167" i="2"/>
  <c r="BU168" i="2"/>
  <c r="BY168" i="2"/>
  <c r="CC168" i="2"/>
  <c r="CG168" i="2"/>
  <c r="BU169" i="2"/>
  <c r="BY169" i="2"/>
  <c r="CC169" i="2"/>
  <c r="CG169" i="2"/>
  <c r="BU170" i="2"/>
  <c r="BY170" i="2"/>
  <c r="CC170" i="2"/>
  <c r="CG170" i="2"/>
  <c r="BU171" i="2"/>
  <c r="BY171" i="2"/>
  <c r="CC171" i="2"/>
  <c r="CG171" i="2"/>
  <c r="BU172" i="2"/>
  <c r="BY172" i="2"/>
  <c r="CC172" i="2"/>
  <c r="CG172" i="2"/>
  <c r="BU173" i="2"/>
  <c r="BY173" i="2"/>
  <c r="CC173" i="2"/>
  <c r="CG173" i="2"/>
  <c r="BU174" i="2"/>
  <c r="BY174" i="2"/>
  <c r="CC174" i="2"/>
  <c r="CG174" i="2"/>
  <c r="BU175" i="2"/>
  <c r="BY175" i="2"/>
  <c r="CC175" i="2"/>
  <c r="CG175" i="2"/>
  <c r="BU176" i="2"/>
  <c r="BY176" i="2"/>
  <c r="CC176" i="2"/>
  <c r="CG176" i="2"/>
  <c r="BU177" i="2"/>
  <c r="BY177" i="2"/>
  <c r="CC177" i="2"/>
  <c r="CG177" i="2"/>
  <c r="BU178" i="2"/>
  <c r="BY178" i="2"/>
  <c r="CC178" i="2"/>
  <c r="CG178" i="2"/>
  <c r="BU179" i="2"/>
  <c r="BY179" i="2"/>
  <c r="CC179" i="2"/>
  <c r="CG179" i="2"/>
  <c r="BU180" i="2"/>
  <c r="BY180" i="2"/>
  <c r="CC180" i="2"/>
  <c r="CG180" i="2"/>
  <c r="BU181" i="2"/>
  <c r="BY181" i="2"/>
  <c r="CC181" i="2"/>
  <c r="CG181" i="2"/>
  <c r="BU182" i="2"/>
  <c r="BY182" i="2"/>
  <c r="CC182" i="2"/>
  <c r="CG182" i="2"/>
  <c r="BU183" i="2"/>
  <c r="BY183" i="2"/>
  <c r="CC183" i="2"/>
  <c r="CG183" i="2"/>
  <c r="BU184" i="2"/>
  <c r="BY184" i="2"/>
  <c r="CC184" i="2"/>
  <c r="CG184" i="2"/>
  <c r="BU185" i="2"/>
  <c r="BY185" i="2"/>
  <c r="CC185" i="2"/>
  <c r="CG185" i="2"/>
  <c r="BU186" i="2"/>
  <c r="BY186" i="2"/>
  <c r="CC186" i="2"/>
  <c r="CG186" i="2"/>
  <c r="BU187" i="2"/>
  <c r="BY187" i="2"/>
  <c r="CC187" i="2"/>
  <c r="CG187" i="2"/>
  <c r="BU188" i="2"/>
  <c r="BY188" i="2"/>
  <c r="CC188" i="2"/>
  <c r="CG188" i="2"/>
  <c r="BU189" i="2"/>
  <c r="BY189" i="2"/>
  <c r="CC189" i="2"/>
  <c r="CG189" i="2"/>
  <c r="BU190" i="2"/>
  <c r="BY190" i="2"/>
  <c r="CC190" i="2"/>
  <c r="CG190" i="2"/>
  <c r="BU191" i="2"/>
  <c r="BY191" i="2"/>
  <c r="CC191" i="2"/>
  <c r="CG191" i="2"/>
  <c r="BU192" i="2"/>
  <c r="BY192" i="2"/>
  <c r="CC192" i="2"/>
  <c r="CG192" i="2"/>
  <c r="BU193" i="2"/>
  <c r="BY193" i="2"/>
  <c r="CC193" i="2"/>
  <c r="CG193" i="2"/>
  <c r="BU194" i="2"/>
  <c r="BY194" i="2"/>
  <c r="CC194" i="2"/>
  <c r="CG194" i="2"/>
  <c r="BU195" i="2"/>
  <c r="BY195" i="2"/>
  <c r="CC195" i="2"/>
  <c r="CG195" i="2"/>
  <c r="BU196" i="2"/>
  <c r="BY196" i="2"/>
  <c r="CC196" i="2"/>
  <c r="CG196" i="2"/>
  <c r="BU197" i="2"/>
  <c r="BY197" i="2"/>
  <c r="CC197" i="2"/>
  <c r="CG197" i="2"/>
  <c r="BU198" i="2"/>
  <c r="BY198" i="2"/>
  <c r="CC198" i="2"/>
  <c r="CG198" i="2"/>
  <c r="BU199" i="2"/>
  <c r="BY199" i="2"/>
  <c r="CC199" i="2"/>
  <c r="CG199" i="2"/>
  <c r="BU200" i="2"/>
  <c r="BY200" i="2"/>
  <c r="CC200" i="2"/>
  <c r="CG200" i="2"/>
  <c r="BU201" i="2"/>
  <c r="BY201" i="2"/>
  <c r="CC201" i="2"/>
  <c r="CG201" i="2"/>
  <c r="BU202" i="2"/>
  <c r="BY202" i="2"/>
  <c r="CC202" i="2"/>
  <c r="CG202" i="2"/>
  <c r="BU203" i="2"/>
  <c r="BY203" i="2"/>
  <c r="CC203" i="2"/>
  <c r="CG203" i="2"/>
  <c r="BU204" i="2"/>
  <c r="BY204" i="2"/>
  <c r="CC204" i="2"/>
  <c r="CG204" i="2"/>
  <c r="BU205" i="2"/>
  <c r="BY205" i="2"/>
  <c r="CC205" i="2"/>
  <c r="CG205" i="2"/>
  <c r="BU206" i="2"/>
  <c r="BY206" i="2"/>
  <c r="CC206" i="2"/>
  <c r="CG206" i="2"/>
  <c r="BU207" i="2"/>
  <c r="BY207" i="2"/>
  <c r="CC207" i="2"/>
  <c r="CG207" i="2"/>
  <c r="BU208" i="2"/>
  <c r="BY208" i="2"/>
  <c r="CC208" i="2"/>
  <c r="CG208" i="2"/>
  <c r="BU209" i="2"/>
  <c r="BY209" i="2"/>
  <c r="CC209" i="2"/>
  <c r="CG209" i="2"/>
  <c r="BU210" i="2"/>
  <c r="BY210" i="2"/>
  <c r="CC210" i="2"/>
  <c r="CG210" i="2"/>
  <c r="BU211" i="2"/>
  <c r="BY211" i="2"/>
  <c r="CC211" i="2"/>
  <c r="CG211" i="2"/>
  <c r="BU212" i="2"/>
  <c r="BY212" i="2"/>
  <c r="CC212" i="2"/>
  <c r="CG212" i="2"/>
  <c r="BU213" i="2"/>
  <c r="BY213" i="2"/>
  <c r="CC213" i="2"/>
  <c r="CG213" i="2"/>
  <c r="BU214" i="2"/>
  <c r="BY214" i="2"/>
  <c r="CC214" i="2"/>
  <c r="CG214" i="2"/>
  <c r="BU215" i="2"/>
  <c r="BY215" i="2"/>
  <c r="CC215" i="2"/>
  <c r="CG215" i="2"/>
  <c r="BU216" i="2"/>
  <c r="BY216" i="2"/>
  <c r="CC216" i="2"/>
  <c r="CG216" i="2"/>
  <c r="BU217" i="2"/>
  <c r="BY217" i="2"/>
  <c r="CC217" i="2"/>
  <c r="CG217" i="2"/>
  <c r="BU218" i="2"/>
  <c r="BY218" i="2"/>
  <c r="CC218" i="2"/>
  <c r="CG218" i="2"/>
  <c r="BU219" i="2"/>
  <c r="BY219" i="2"/>
  <c r="CC219" i="2"/>
  <c r="CG219" i="2"/>
  <c r="BU220" i="2"/>
  <c r="BY220" i="2"/>
  <c r="CC220" i="2"/>
  <c r="CG220" i="2"/>
  <c r="BU221" i="2"/>
  <c r="BY221" i="2"/>
  <c r="CC221" i="2"/>
  <c r="CG221" i="2"/>
  <c r="BU222" i="2"/>
  <c r="BY222" i="2"/>
  <c r="CC222" i="2"/>
  <c r="CG222" i="2"/>
  <c r="BU223" i="2"/>
  <c r="BY223" i="2"/>
  <c r="CC223" i="2"/>
  <c r="CG223" i="2"/>
  <c r="BU224" i="2"/>
  <c r="BY224" i="2"/>
  <c r="CC224" i="2"/>
  <c r="CG224" i="2"/>
  <c r="BU225" i="2"/>
  <c r="BY225" i="2"/>
  <c r="CC225" i="2"/>
  <c r="CG225" i="2"/>
  <c r="BU226" i="2"/>
  <c r="BY226" i="2"/>
  <c r="CC226" i="2"/>
  <c r="CG226" i="2"/>
  <c r="BU227" i="2"/>
  <c r="BY227" i="2"/>
  <c r="CC227" i="2"/>
  <c r="CG227" i="2"/>
  <c r="BU228" i="2"/>
  <c r="BY228" i="2"/>
  <c r="CC228" i="2"/>
  <c r="CG228" i="2"/>
  <c r="BU229" i="2"/>
  <c r="BY229" i="2"/>
  <c r="CC229" i="2"/>
  <c r="CG229" i="2"/>
  <c r="BU230" i="2"/>
  <c r="BY230" i="2"/>
  <c r="CC230" i="2"/>
  <c r="CG230" i="2"/>
  <c r="BU231" i="2"/>
  <c r="BY231" i="2"/>
  <c r="CC231" i="2"/>
  <c r="CG231" i="2"/>
  <c r="BU232" i="2"/>
  <c r="BY232" i="2"/>
  <c r="CC232" i="2"/>
  <c r="CG232" i="2"/>
  <c r="BU233" i="2"/>
  <c r="BY233" i="2"/>
  <c r="CC233" i="2"/>
  <c r="CG233" i="2"/>
  <c r="BU234" i="2"/>
  <c r="BY234" i="2"/>
  <c r="CC234" i="2"/>
  <c r="CG234" i="2"/>
  <c r="BU235" i="2"/>
  <c r="BY235" i="2"/>
  <c r="CC235" i="2"/>
  <c r="CG235" i="2"/>
  <c r="BU236" i="2"/>
  <c r="BY236" i="2"/>
  <c r="CC236" i="2"/>
  <c r="CG236" i="2"/>
  <c r="BU237" i="2"/>
  <c r="BY237" i="2"/>
  <c r="CC237" i="2"/>
  <c r="CG237" i="2"/>
  <c r="BU238" i="2"/>
  <c r="BY238" i="2"/>
  <c r="CC238" i="2"/>
  <c r="CG238" i="2"/>
  <c r="BU239" i="2"/>
  <c r="BY239" i="2"/>
  <c r="CC239" i="2"/>
  <c r="CG239" i="2"/>
  <c r="BU240" i="2"/>
  <c r="BY240" i="2"/>
  <c r="CC240" i="2"/>
  <c r="CG240" i="2"/>
  <c r="BU241" i="2"/>
  <c r="BY241" i="2"/>
  <c r="CC241" i="2"/>
  <c r="CG241" i="2"/>
  <c r="BU242" i="2"/>
  <c r="BY242" i="2"/>
  <c r="CC242" i="2"/>
  <c r="CG242" i="2"/>
  <c r="BU243" i="2"/>
  <c r="BY243" i="2"/>
  <c r="CC243" i="2"/>
  <c r="CG243" i="2"/>
  <c r="BU244" i="2"/>
  <c r="BY244" i="2"/>
  <c r="CC244" i="2"/>
  <c r="CG244" i="2"/>
  <c r="BU245" i="2"/>
  <c r="BY245" i="2"/>
  <c r="CC245" i="2"/>
  <c r="CG245" i="2"/>
  <c r="BU246" i="2"/>
  <c r="BY246" i="2"/>
  <c r="CC246" i="2"/>
  <c r="CG246" i="2"/>
  <c r="BU247" i="2"/>
  <c r="BY247" i="2"/>
  <c r="CC247" i="2"/>
  <c r="CG247" i="2"/>
  <c r="BU248" i="2"/>
  <c r="BY248" i="2"/>
  <c r="CC248" i="2"/>
  <c r="CG248" i="2"/>
  <c r="BU249" i="2"/>
  <c r="BY249" i="2"/>
  <c r="CC249" i="2"/>
  <c r="CG249" i="2"/>
  <c r="BU250" i="2"/>
  <c r="BY250" i="2"/>
  <c r="CC250" i="2"/>
  <c r="CG250" i="2"/>
  <c r="BU251" i="2"/>
  <c r="BY251" i="2"/>
  <c r="CC251" i="2"/>
  <c r="CG251" i="2"/>
  <c r="BU252" i="2"/>
  <c r="BY252" i="2"/>
  <c r="CC252" i="2"/>
  <c r="CG252" i="2"/>
  <c r="BU253" i="2"/>
  <c r="BY253" i="2"/>
  <c r="CC253" i="2"/>
  <c r="CG253" i="2"/>
  <c r="BU254" i="2"/>
  <c r="BY254" i="2"/>
  <c r="CC254" i="2"/>
  <c r="CG254" i="2"/>
  <c r="BU255" i="2"/>
  <c r="BY255" i="2"/>
  <c r="CC255" i="2"/>
  <c r="CG255" i="2"/>
  <c r="BU256" i="2"/>
  <c r="BY256" i="2"/>
  <c r="CC256" i="2"/>
  <c r="CG256" i="2"/>
  <c r="BR8" i="2"/>
  <c r="BX8" i="2"/>
  <c r="BT8" i="2"/>
  <c r="CD8" i="2"/>
  <c r="CB8" i="2"/>
  <c r="CF8" i="2"/>
  <c r="BV8" i="2"/>
  <c r="BZ8" i="2"/>
  <c r="O11" i="2" l="1"/>
  <c r="Q12" i="2"/>
  <c r="CB5" i="2"/>
  <c r="O10" i="2"/>
  <c r="BS5" i="2"/>
  <c r="CF5" i="2"/>
  <c r="BW5" i="2"/>
  <c r="O12" i="2"/>
  <c r="CA5" i="2"/>
  <c r="BT5" i="2"/>
  <c r="CE5" i="2"/>
  <c r="BX5" i="2"/>
  <c r="BH9" i="1"/>
  <c r="U7" i="1" l="1"/>
  <c r="T26" i="1"/>
  <c r="T22" i="1"/>
  <c r="T12" i="1"/>
  <c r="S27" i="1"/>
  <c r="U17" i="1"/>
  <c r="V26" i="1"/>
  <c r="U28" i="1"/>
  <c r="S11" i="1"/>
  <c r="S13" i="1"/>
  <c r="T23" i="1"/>
  <c r="U19" i="1"/>
  <c r="S28" i="1"/>
  <c r="T14" i="1"/>
  <c r="U9" i="1"/>
  <c r="T28" i="1"/>
  <c r="T25" i="1"/>
  <c r="T13" i="1"/>
  <c r="V19" i="1"/>
  <c r="S14" i="1"/>
  <c r="S21" i="1"/>
  <c r="S15" i="1"/>
  <c r="S12" i="1"/>
  <c r="T10" i="1"/>
  <c r="S17" i="1"/>
  <c r="V14" i="1"/>
  <c r="T17" i="1"/>
  <c r="T27" i="1"/>
  <c r="U22" i="1"/>
  <c r="S18" i="1"/>
  <c r="U13" i="1"/>
  <c r="U16" i="1"/>
  <c r="U11" i="1"/>
  <c r="V18" i="1"/>
  <c r="V9" i="1"/>
  <c r="V20" i="1"/>
  <c r="S24" i="1"/>
  <c r="V13" i="1"/>
  <c r="V23" i="1"/>
  <c r="S19" i="1"/>
  <c r="S10" i="1"/>
  <c r="T11" i="1"/>
  <c r="U18" i="1"/>
  <c r="U12" i="1"/>
  <c r="U15" i="1"/>
  <c r="T24" i="1"/>
  <c r="U20" i="1"/>
  <c r="T21" i="1"/>
  <c r="T16" i="1"/>
  <c r="V22" i="1"/>
  <c r="U27" i="1"/>
  <c r="V16" i="1"/>
  <c r="V21" i="1"/>
  <c r="T18" i="1"/>
  <c r="U25" i="1"/>
  <c r="U23" i="1"/>
  <c r="V11" i="1"/>
  <c r="V24" i="1"/>
  <c r="S25" i="1"/>
  <c r="U24" i="1"/>
  <c r="S31" i="1"/>
  <c r="U10" i="1"/>
  <c r="V10" i="1"/>
  <c r="U14" i="1"/>
  <c r="S16" i="1"/>
  <c r="V27" i="1"/>
  <c r="U26" i="1"/>
  <c r="V15" i="1"/>
  <c r="U21" i="1"/>
  <c r="T20" i="1"/>
  <c r="S22" i="1"/>
  <c r="S20" i="1"/>
  <c r="S23" i="1"/>
  <c r="S26" i="1"/>
  <c r="T19" i="1"/>
  <c r="T15" i="1"/>
  <c r="V25" i="1"/>
  <c r="V28" i="1"/>
  <c r="V12" i="1"/>
  <c r="V17" i="1"/>
  <c r="S9" i="1"/>
  <c r="S29" i="1"/>
  <c r="G9" i="1" l="1"/>
  <c r="M9" i="1"/>
  <c r="S30" i="1"/>
  <c r="T9" i="1"/>
  <c r="H10" i="1" l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9" i="1"/>
  <c r="BF8" i="1" l="1"/>
  <c r="BF9" i="1"/>
  <c r="BE10" i="1"/>
  <c r="BI10" i="1"/>
  <c r="BG10" i="1"/>
  <c r="P37" i="1" l="1"/>
  <c r="P38" i="1"/>
  <c r="P39" i="1"/>
  <c r="P40" i="1"/>
  <c r="P41" i="1"/>
  <c r="P42" i="1"/>
  <c r="P43" i="1"/>
  <c r="P36" i="1"/>
  <c r="N42" i="1"/>
  <c r="O42" i="1"/>
  <c r="N43" i="1"/>
  <c r="O43" i="1"/>
  <c r="M43" i="1"/>
  <c r="M42" i="1"/>
  <c r="N41" i="1"/>
  <c r="O41" i="1"/>
  <c r="N40" i="1"/>
  <c r="O40" i="1"/>
  <c r="M41" i="1"/>
  <c r="M40" i="1"/>
  <c r="N39" i="1"/>
  <c r="O39" i="1"/>
  <c r="N38" i="1"/>
  <c r="O38" i="1"/>
  <c r="M39" i="1"/>
  <c r="M38" i="1"/>
  <c r="M37" i="1"/>
  <c r="M36" i="1"/>
  <c r="N37" i="1"/>
  <c r="O37" i="1"/>
  <c r="N36" i="1"/>
  <c r="O36" i="1"/>
  <c r="Z22" i="1"/>
  <c r="AA10" i="1"/>
  <c r="AH23" i="1"/>
  <c r="AG22" i="1"/>
  <c r="AF9" i="1"/>
  <c r="Y23" i="1"/>
  <c r="AA23" i="1"/>
  <c r="AF10" i="1"/>
  <c r="AH10" i="1"/>
  <c r="AF22" i="1"/>
  <c r="AB22" i="1"/>
  <c r="AE23" i="1"/>
  <c r="AB23" i="1"/>
  <c r="AH22" i="1"/>
  <c r="AH9" i="1"/>
  <c r="Z10" i="1"/>
  <c r="AB10" i="1"/>
  <c r="AG9" i="1"/>
  <c r="AA22" i="1"/>
  <c r="AG23" i="1"/>
  <c r="Y22" i="1"/>
  <c r="AE9" i="1"/>
  <c r="Z23" i="1"/>
  <c r="AE10" i="1"/>
  <c r="AF23" i="1"/>
  <c r="AE22" i="1"/>
  <c r="Y10" i="1"/>
  <c r="AG10" i="1"/>
  <c r="I28" i="1" l="1"/>
  <c r="I27" i="1"/>
  <c r="I26" i="1"/>
  <c r="I25" i="1"/>
  <c r="I22" i="1"/>
  <c r="I23" i="1"/>
  <c r="I24" i="1"/>
  <c r="I21" i="1"/>
  <c r="K21" i="1" l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J21" i="1"/>
  <c r="J22" i="1"/>
  <c r="J23" i="1"/>
  <c r="J24" i="1"/>
  <c r="J25" i="1"/>
  <c r="J26" i="1"/>
  <c r="J27" i="1"/>
  <c r="J28" i="1"/>
  <c r="G10" i="1"/>
  <c r="G11" i="1"/>
  <c r="G12" i="1"/>
  <c r="G13" i="1"/>
  <c r="M13" i="1" s="1"/>
  <c r="G14" i="1"/>
  <c r="G15" i="1"/>
  <c r="M15" i="1" s="1"/>
  <c r="G16" i="1"/>
  <c r="M16" i="1" s="1"/>
  <c r="G17" i="1"/>
  <c r="M17" i="1" s="1"/>
  <c r="G18" i="1"/>
  <c r="M18" i="1" s="1"/>
  <c r="G19" i="1"/>
  <c r="M19" i="1" s="1"/>
  <c r="G20" i="1"/>
  <c r="M20" i="1" s="1"/>
  <c r="G21" i="1"/>
  <c r="G22" i="1"/>
  <c r="G23" i="1"/>
  <c r="M23" i="1" s="1"/>
  <c r="G24" i="1"/>
  <c r="M24" i="1" s="1"/>
  <c r="G25" i="1"/>
  <c r="M25" i="1" s="1"/>
  <c r="G26" i="1"/>
  <c r="M26" i="1" s="1"/>
  <c r="G27" i="1"/>
  <c r="M27" i="1" s="1"/>
  <c r="G28" i="1"/>
  <c r="M28" i="1" s="1"/>
  <c r="O12" i="1" l="1"/>
  <c r="N11" i="1"/>
  <c r="N10" i="1"/>
  <c r="M21" i="1"/>
  <c r="O10" i="1"/>
  <c r="M22" i="1"/>
  <c r="O11" i="1"/>
  <c r="M14" i="1"/>
  <c r="N12" i="1"/>
  <c r="N9" i="1"/>
  <c r="O9" i="1"/>
  <c r="M10" i="1"/>
  <c r="M12" i="1"/>
  <c r="M11" i="1"/>
  <c r="Z9" i="1"/>
  <c r="AB9" i="1"/>
  <c r="Y9" i="1"/>
  <c r="AA9" i="1"/>
  <c r="AE11" i="1" l="1"/>
  <c r="AH24" i="1"/>
  <c r="AG24" i="1"/>
  <c r="AF24" i="1"/>
  <c r="AE24" i="1"/>
  <c r="AF11" i="1"/>
  <c r="AH11" i="1"/>
  <c r="AG11" i="1"/>
  <c r="Z24" i="1"/>
  <c r="AB24" i="1"/>
  <c r="Y24" i="1"/>
  <c r="AA24" i="1"/>
  <c r="Y11" i="1"/>
  <c r="Z11" i="1"/>
  <c r="AA11" i="1"/>
  <c r="AB11" i="1"/>
</calcChain>
</file>

<file path=xl/comments1.xml><?xml version="1.0" encoding="utf-8"?>
<comments xmlns="http://schemas.openxmlformats.org/spreadsheetml/2006/main">
  <authors>
    <author>infomax</author>
  </authors>
  <commentList>
    <comment ref="Q29" author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금투협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최종호가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수익률</t>
        </r>
      </text>
    </comment>
    <comment ref="Q30" authorId="0">
      <text>
        <r>
          <rPr>
            <b/>
            <sz val="9"/>
            <color indexed="81"/>
            <rFont val="Tahoma"/>
            <family val="2"/>
          </rPr>
          <t>infomax: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금투협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최종호가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수익률</t>
        </r>
      </text>
    </comment>
  </commentList>
</comments>
</file>

<file path=xl/sharedStrings.xml><?xml version="1.0" encoding="utf-8"?>
<sst xmlns="http://schemas.openxmlformats.org/spreadsheetml/2006/main" count="752" uniqueCount="261">
  <si>
    <t>3월이하(당일)</t>
  </si>
  <si>
    <t>6월이하(당일)</t>
  </si>
  <si>
    <t>9월이하(당일)</t>
  </si>
  <si>
    <t>1년이하(당일)</t>
  </si>
  <si>
    <t>종목명</t>
  </si>
  <si>
    <t>구분</t>
  </si>
  <si>
    <t>3사평균 통안증권</t>
  </si>
  <si>
    <t>IR</t>
  </si>
  <si>
    <t>3사평균 금융채 은행채 AAA</t>
  </si>
  <si>
    <t>3사평균 금융채 은행채 AA+</t>
  </si>
  <si>
    <t>단기 COFIX</t>
  </si>
  <si>
    <t>ECO</t>
  </si>
  <si>
    <t>코드</t>
    <phoneticPr fontId="1" type="noConversion"/>
  </si>
  <si>
    <t>통안채</t>
    <phoneticPr fontId="1" type="noConversion"/>
  </si>
  <si>
    <t>3사평균 금융채 은행채 AA</t>
    <phoneticPr fontId="1" type="noConversion"/>
  </si>
  <si>
    <t>은행채 AA</t>
    <phoneticPr fontId="1" type="noConversion"/>
  </si>
  <si>
    <t>은행채 AA+</t>
    <phoneticPr fontId="1" type="noConversion"/>
  </si>
  <si>
    <t>3사평균 금융채 은행채 AA-</t>
    <phoneticPr fontId="1" type="noConversion"/>
  </si>
  <si>
    <t>은행채 AA-</t>
    <phoneticPr fontId="1" type="noConversion"/>
  </si>
  <si>
    <t>3사평균 금융채 카드채 AA+</t>
    <phoneticPr fontId="1" type="noConversion"/>
  </si>
  <si>
    <t>카드채 AA+</t>
  </si>
  <si>
    <t>3사평균 금융채 카드채 AA</t>
    <phoneticPr fontId="1" type="noConversion"/>
  </si>
  <si>
    <t>카드채 AA</t>
  </si>
  <si>
    <t>3사평균 금융채 카드채 AA-</t>
    <phoneticPr fontId="1" type="noConversion"/>
  </si>
  <si>
    <t>카드채 AA-</t>
    <phoneticPr fontId="1" type="noConversion"/>
  </si>
  <si>
    <t>3M</t>
    <phoneticPr fontId="1" type="noConversion"/>
  </si>
  <si>
    <t>6M</t>
    <phoneticPr fontId="1" type="noConversion"/>
  </si>
  <si>
    <t>9M</t>
    <phoneticPr fontId="1" type="noConversion"/>
  </si>
  <si>
    <t>1Y</t>
    <phoneticPr fontId="1" type="noConversion"/>
  </si>
  <si>
    <t>3사평균 회사채AAA(공모/무보증)</t>
    <phoneticPr fontId="1" type="noConversion"/>
  </si>
  <si>
    <t>회사채AAA</t>
  </si>
  <si>
    <t>3사평균 회사채AA+(공모/무보증)</t>
    <phoneticPr fontId="1" type="noConversion"/>
  </si>
  <si>
    <t>회사채AA+</t>
  </si>
  <si>
    <t>3사평균 회사채AA0(공모/무보증)</t>
    <phoneticPr fontId="1" type="noConversion"/>
  </si>
  <si>
    <t>회사채AA0</t>
  </si>
  <si>
    <t>3사평균 회사채AA-(공모/무보증)</t>
    <phoneticPr fontId="1" type="noConversion"/>
  </si>
  <si>
    <t>회사채AA-</t>
  </si>
  <si>
    <t>COFIX</t>
    <phoneticPr fontId="1" type="noConversion"/>
  </si>
  <si>
    <t>은행채</t>
    <phoneticPr fontId="1" type="noConversion"/>
  </si>
  <si>
    <t>회사채</t>
    <phoneticPr fontId="1" type="noConversion"/>
  </si>
  <si>
    <t>BONDKSDCAL08</t>
  </si>
  <si>
    <t>BONDKSDCAL09</t>
  </si>
  <si>
    <t>금투협 최종호가 CD(91일물)</t>
  </si>
  <si>
    <t>금투협 최종호가 CP(91일물)</t>
  </si>
  <si>
    <t>CD91</t>
    <phoneticPr fontId="1" type="noConversion"/>
  </si>
  <si>
    <t>CP91</t>
    <phoneticPr fontId="1" type="noConversion"/>
  </si>
  <si>
    <t>702812</t>
    <phoneticPr fontId="1" type="noConversion"/>
  </si>
  <si>
    <t>분류</t>
    <phoneticPr fontId="1" type="noConversion"/>
  </si>
  <si>
    <t>KAP</t>
    <phoneticPr fontId="1" type="noConversion"/>
  </si>
  <si>
    <t>KIS</t>
    <phoneticPr fontId="1" type="noConversion"/>
  </si>
  <si>
    <t>FN</t>
    <phoneticPr fontId="1" type="noConversion"/>
  </si>
  <si>
    <t>CD</t>
    <phoneticPr fontId="1" type="noConversion"/>
  </si>
  <si>
    <t>AAA</t>
    <phoneticPr fontId="1" type="noConversion"/>
  </si>
  <si>
    <t>AA+</t>
    <phoneticPr fontId="1" type="noConversion"/>
  </si>
  <si>
    <t>AA</t>
    <phoneticPr fontId="1" type="noConversion"/>
  </si>
  <si>
    <t>AA-</t>
    <phoneticPr fontId="1" type="noConversion"/>
  </si>
  <si>
    <t>CP</t>
    <phoneticPr fontId="1" type="noConversion"/>
  </si>
  <si>
    <t>A1</t>
    <phoneticPr fontId="1" type="noConversion"/>
  </si>
  <si>
    <t>A2</t>
    <phoneticPr fontId="1" type="noConversion"/>
  </si>
  <si>
    <t>A2+</t>
    <phoneticPr fontId="1" type="noConversion"/>
  </si>
  <si>
    <t>A2-</t>
    <phoneticPr fontId="1" type="noConversion"/>
  </si>
  <si>
    <t>14</t>
    <phoneticPr fontId="1" type="noConversion"/>
  </si>
  <si>
    <t>20</t>
    <phoneticPr fontId="1" type="noConversion"/>
  </si>
  <si>
    <t>21</t>
    <phoneticPr fontId="1" type="noConversion"/>
  </si>
  <si>
    <t>22</t>
    <phoneticPr fontId="1" type="noConversion"/>
  </si>
  <si>
    <t>23</t>
    <phoneticPr fontId="1" type="noConversion"/>
  </si>
  <si>
    <t>81</t>
    <phoneticPr fontId="1" type="noConversion"/>
  </si>
  <si>
    <t>27</t>
    <phoneticPr fontId="1" type="noConversion"/>
  </si>
  <si>
    <t>28</t>
    <phoneticPr fontId="1" type="noConversion"/>
  </si>
  <si>
    <t>55</t>
    <phoneticPr fontId="1" type="noConversion"/>
  </si>
  <si>
    <t>56</t>
    <phoneticPr fontId="1" type="noConversion"/>
  </si>
  <si>
    <t>57</t>
    <phoneticPr fontId="1" type="noConversion"/>
  </si>
  <si>
    <t>58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</si>
  <si>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</si>
  <si>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</si>
  <si>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</si>
  <si>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</si>
  <si>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3사</t>
    <phoneticPr fontId="1" type="noConversion"/>
  </si>
  <si>
    <t>4사</t>
    <phoneticPr fontId="1" type="noConversion"/>
  </si>
  <si>
    <t>NICE</t>
    <phoneticPr fontId="1" type="noConversion"/>
  </si>
  <si>
    <t>KIND</t>
    <phoneticPr fontId="1" type="noConversion"/>
  </si>
  <si>
    <t>BOND</t>
    <phoneticPr fontId="1" type="noConversion"/>
  </si>
  <si>
    <t>CDYLD</t>
    <phoneticPr fontId="1" type="noConversion"/>
  </si>
  <si>
    <t>CPYLD</t>
    <phoneticPr fontId="1" type="noConversion"/>
  </si>
  <si>
    <t>CD수익률 AAA 3사평균</t>
  </si>
  <si>
    <t>CD수익률 AA+ 3사평균</t>
  </si>
  <si>
    <t>CD수익률 AA 3사평균</t>
  </si>
  <si>
    <t>CD수익률 AA- 3사평균</t>
  </si>
  <si>
    <t>CP수익률 A1 3사평균</t>
  </si>
  <si>
    <t>CP수익률 A2+ 3사평균</t>
  </si>
  <si>
    <t>CP수익률 A2 3사평균</t>
  </si>
  <si>
    <t>CP수익률 A2- 3사평균</t>
  </si>
  <si>
    <t>1</t>
    <phoneticPr fontId="1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</si>
  <si>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</si>
  <si>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</si>
  <si>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</si>
  <si>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</si>
  <si>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</si>
  <si>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</si>
  <si>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</si>
  <si>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</si>
  <si>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</si>
  <si>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</si>
  <si>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</si>
  <si>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</si>
  <si>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</si>
  <si>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</si>
  <si>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</si>
  <si>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</si>
  <si>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</si>
  <si>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</si>
  <si>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ROW</t>
    <phoneticPr fontId="1" type="noConversion"/>
  </si>
  <si>
    <t>3사평균</t>
    <phoneticPr fontId="1" type="noConversion"/>
  </si>
  <si>
    <t>4사평균</t>
    <phoneticPr fontId="1" type="noConversion"/>
  </si>
  <si>
    <t>KAP</t>
    <phoneticPr fontId="1" type="noConversion"/>
  </si>
  <si>
    <t>KIS</t>
    <phoneticPr fontId="1" type="noConversion"/>
  </si>
  <si>
    <t>NICE</t>
    <phoneticPr fontId="1" type="noConversion"/>
  </si>
  <si>
    <t>FN</t>
    <phoneticPr fontId="1" type="noConversion"/>
  </si>
  <si>
    <t>KBPD000</t>
    <phoneticPr fontId="1" type="noConversion"/>
  </si>
  <si>
    <t>KBPE130</t>
    <phoneticPr fontId="1" type="noConversion"/>
  </si>
  <si>
    <t>KBPE140</t>
    <phoneticPr fontId="1" type="noConversion"/>
  </si>
  <si>
    <t>KBPE142</t>
    <phoneticPr fontId="1" type="noConversion"/>
  </si>
  <si>
    <t>KBPE204</t>
    <phoneticPr fontId="1" type="noConversion"/>
  </si>
  <si>
    <t>KBPE202</t>
    <phoneticPr fontId="1" type="noConversion"/>
  </si>
  <si>
    <t>KBPE200</t>
    <phoneticPr fontId="1" type="noConversion"/>
  </si>
  <si>
    <t>KBPF212</t>
    <phoneticPr fontId="1" type="noConversion"/>
  </si>
  <si>
    <t>KBPF221</t>
    <phoneticPr fontId="1" type="noConversion"/>
  </si>
  <si>
    <t>KBPF222</t>
    <phoneticPr fontId="1" type="noConversion"/>
  </si>
  <si>
    <t>KBPF223</t>
    <phoneticPr fontId="1" type="noConversion"/>
  </si>
  <si>
    <t>3월(적용일)</t>
    <phoneticPr fontId="1" type="noConversion"/>
  </si>
  <si>
    <t>6월(적용일)</t>
    <phoneticPr fontId="1" type="noConversion"/>
  </si>
  <si>
    <t>9월(적용일)</t>
    <phoneticPr fontId="1" type="noConversion"/>
  </si>
  <si>
    <t>1년(적용일)</t>
    <phoneticPr fontId="1" type="noConversion"/>
  </si>
  <si>
    <t>KIS4003000</t>
    <phoneticPr fontId="1" type="noConversion"/>
  </si>
  <si>
    <t>KIS5033110</t>
    <phoneticPr fontId="1" type="noConversion"/>
  </si>
  <si>
    <t>KIS5043121</t>
    <phoneticPr fontId="1" type="noConversion"/>
  </si>
  <si>
    <t>KIS5043122</t>
    <phoneticPr fontId="1" type="noConversion"/>
  </si>
  <si>
    <t>KIS5043123</t>
    <phoneticPr fontId="1" type="noConversion"/>
  </si>
  <si>
    <t>KIS9999119</t>
    <phoneticPr fontId="1" type="noConversion"/>
  </si>
  <si>
    <t>KIS9999111</t>
    <phoneticPr fontId="1" type="noConversion"/>
  </si>
  <si>
    <t>KIS9999112</t>
    <phoneticPr fontId="1" type="noConversion"/>
  </si>
  <si>
    <t>은행채 AAA</t>
    <phoneticPr fontId="1" type="noConversion"/>
  </si>
  <si>
    <t>KIS7010110</t>
    <phoneticPr fontId="1" type="noConversion"/>
  </si>
  <si>
    <t>KIS7010121</t>
    <phoneticPr fontId="1" type="noConversion"/>
  </si>
  <si>
    <t>KIS7010122</t>
    <phoneticPr fontId="1" type="noConversion"/>
  </si>
  <si>
    <t>KIS7010123</t>
    <phoneticPr fontId="1" type="noConversion"/>
  </si>
  <si>
    <t>NIC4000000</t>
    <phoneticPr fontId="1" type="noConversion"/>
  </si>
  <si>
    <t>2</t>
  </si>
  <si>
    <t>NIC5030110</t>
    <phoneticPr fontId="1" type="noConversion"/>
  </si>
  <si>
    <t>NIC5040111</t>
    <phoneticPr fontId="1" type="noConversion"/>
  </si>
  <si>
    <t>NIC5040112</t>
    <phoneticPr fontId="1" type="noConversion"/>
  </si>
  <si>
    <t>NIC5040113</t>
    <phoneticPr fontId="1" type="noConversion"/>
  </si>
  <si>
    <t>NIC6040111</t>
    <phoneticPr fontId="1" type="noConversion"/>
  </si>
  <si>
    <t>NIC6040112</t>
    <phoneticPr fontId="1" type="noConversion"/>
  </si>
  <si>
    <t>NIC6040113</t>
    <phoneticPr fontId="1" type="noConversion"/>
  </si>
  <si>
    <t>NIC7030110</t>
    <phoneticPr fontId="1" type="noConversion"/>
  </si>
  <si>
    <t>NIC7040111</t>
    <phoneticPr fontId="1" type="noConversion"/>
  </si>
  <si>
    <t>NIC7040112</t>
    <phoneticPr fontId="1" type="noConversion"/>
  </si>
  <si>
    <t>NIC7040113</t>
    <phoneticPr fontId="1" type="noConversion"/>
  </si>
  <si>
    <t>FNP4000000</t>
    <phoneticPr fontId="1" type="noConversion"/>
  </si>
  <si>
    <t>FNP6010121</t>
    <phoneticPr fontId="1" type="noConversion"/>
  </si>
  <si>
    <t>FNP5030110</t>
    <phoneticPr fontId="1" type="noConversion"/>
  </si>
  <si>
    <t>FNP5040121</t>
    <phoneticPr fontId="1" type="noConversion"/>
  </si>
  <si>
    <t>FNP5040122</t>
    <phoneticPr fontId="1" type="noConversion"/>
  </si>
  <si>
    <t>FNP5040123</t>
    <phoneticPr fontId="1" type="noConversion"/>
  </si>
  <si>
    <t>FNP6010122</t>
    <phoneticPr fontId="1" type="noConversion"/>
  </si>
  <si>
    <t>FNP6010123</t>
    <phoneticPr fontId="1" type="noConversion"/>
  </si>
  <si>
    <t>FNP7010110</t>
    <phoneticPr fontId="1" type="noConversion"/>
  </si>
  <si>
    <t>FNP7010121</t>
    <phoneticPr fontId="1" type="noConversion"/>
  </si>
  <si>
    <t>FNP7010122</t>
    <phoneticPr fontId="1" type="noConversion"/>
  </si>
  <si>
    <t>FNP7010123</t>
    <phoneticPr fontId="1" type="noConversion"/>
  </si>
  <si>
    <t>CODE</t>
    <phoneticPr fontId="1" type="noConversion"/>
  </si>
  <si>
    <t>CODE_SP1</t>
    <phoneticPr fontId="1" type="noConversion"/>
  </si>
  <si>
    <t>CODE_SP2</t>
    <phoneticPr fontId="1" type="noConversion"/>
  </si>
  <si>
    <t>카드채</t>
    <phoneticPr fontId="1" type="noConversion"/>
  </si>
  <si>
    <t>CD AAA</t>
    <phoneticPr fontId="1" type="noConversion"/>
  </si>
  <si>
    <t>CD AA+</t>
    <phoneticPr fontId="1" type="noConversion"/>
  </si>
  <si>
    <t>CD AA</t>
    <phoneticPr fontId="1" type="noConversion"/>
  </si>
  <si>
    <t>CD AA-</t>
    <phoneticPr fontId="1" type="noConversion"/>
  </si>
  <si>
    <t>CP A1</t>
    <phoneticPr fontId="1" type="noConversion"/>
  </si>
  <si>
    <t>CP A2+</t>
    <phoneticPr fontId="1" type="noConversion"/>
  </si>
  <si>
    <t>CP A2</t>
    <phoneticPr fontId="1" type="noConversion"/>
  </si>
  <si>
    <t>CP A2-</t>
    <phoneticPr fontId="1" type="noConversion"/>
  </si>
  <si>
    <t>통안채</t>
    <phoneticPr fontId="1" type="noConversion"/>
  </si>
  <si>
    <t>3사평균</t>
    <phoneticPr fontId="1" type="noConversion"/>
  </si>
  <si>
    <t>4사평균</t>
    <phoneticPr fontId="1" type="noConversion"/>
  </si>
  <si>
    <t>KAP</t>
    <phoneticPr fontId="1" type="noConversion"/>
  </si>
  <si>
    <t>KIS</t>
    <phoneticPr fontId="1" type="noConversion"/>
  </si>
  <si>
    <t>NICE</t>
    <phoneticPr fontId="1" type="noConversion"/>
  </si>
  <si>
    <t>FN</t>
    <phoneticPr fontId="1" type="noConversion"/>
  </si>
  <si>
    <t>기준</t>
    <phoneticPr fontId="1" type="noConversion"/>
  </si>
  <si>
    <t>상대</t>
    <phoneticPr fontId="1" type="noConversion"/>
  </si>
  <si>
    <t>Spread</t>
    <phoneticPr fontId="1" type="noConversion"/>
  </si>
  <si>
    <t>SP(bp)</t>
    <phoneticPr fontId="1" type="noConversion"/>
  </si>
  <si>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</si>
  <si>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</si>
  <si>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</si>
  <si>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</si>
  <si>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</si>
  <si>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</si>
  <si>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</si>
  <si>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</si>
  <si>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</si>
  <si>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</si>
  <si>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</si>
  <si>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</si>
  <si>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</si>
  <si>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</si>
  <si>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</si>
  <si>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대표수익률</t>
  </si>
  <si>
    <t>현재가</t>
    <phoneticPr fontId="1" type="noConversion"/>
  </si>
  <si>
    <t>CD91</t>
    <phoneticPr fontId="1" type="noConversion"/>
  </si>
  <si>
    <t>CP91</t>
    <phoneticPr fontId="1" type="noConversion"/>
  </si>
  <si>
    <t>No.</t>
    <phoneticPr fontId="1" type="noConversion"/>
  </si>
  <si>
    <t xml:space="preserve"> 평가사</t>
    <phoneticPr fontId="1" type="noConversion"/>
  </si>
  <si>
    <t>분류</t>
    <phoneticPr fontId="1" type="noConversion"/>
  </si>
  <si>
    <t>SP1</t>
    <phoneticPr fontId="1" type="noConversion"/>
  </si>
  <si>
    <t>SP2</t>
    <phoneticPr fontId="1" type="noConversion"/>
  </si>
  <si>
    <t>3M</t>
    <phoneticPr fontId="1" type="noConversion"/>
  </si>
  <si>
    <t>6M</t>
    <phoneticPr fontId="1" type="noConversion"/>
  </si>
  <si>
    <t>9M</t>
    <phoneticPr fontId="1" type="noConversion"/>
  </si>
  <si>
    <t>1Y</t>
    <phoneticPr fontId="1" type="noConversion"/>
  </si>
  <si>
    <t>3월이하(당일)</t>
    <phoneticPr fontId="1" type="noConversion"/>
  </si>
  <si>
    <t>만기</t>
    <phoneticPr fontId="1" type="noConversion"/>
  </si>
  <si>
    <t>만기</t>
    <phoneticPr fontId="1" type="noConversion"/>
  </si>
  <si>
    <t>Item_SP1</t>
    <phoneticPr fontId="1" type="noConversion"/>
  </si>
  <si>
    <t>Item_SP2</t>
    <phoneticPr fontId="1" type="noConversion"/>
  </si>
  <si>
    <t>통안증권</t>
    <phoneticPr fontId="1" type="noConversion"/>
  </si>
  <si>
    <t>금융채 은행채 AAA</t>
    <phoneticPr fontId="1" type="noConversion"/>
  </si>
  <si>
    <t>금융채 은행채 AA+</t>
    <phoneticPr fontId="1" type="noConversion"/>
  </si>
  <si>
    <t>금융채 은행채 AA</t>
    <phoneticPr fontId="1" type="noConversion"/>
  </si>
  <si>
    <t>금융채 은행채 AA-</t>
    <phoneticPr fontId="1" type="noConversion"/>
  </si>
  <si>
    <t>금융채 카드채 AA+</t>
    <phoneticPr fontId="1" type="noConversion"/>
  </si>
  <si>
    <t>금융채 카드채 AA</t>
    <phoneticPr fontId="1" type="noConversion"/>
  </si>
  <si>
    <t>금융채 카드채 AA-</t>
    <phoneticPr fontId="1" type="noConversion"/>
  </si>
  <si>
    <t>회사채AAA(공모/무보증)</t>
    <phoneticPr fontId="1" type="noConversion"/>
  </si>
  <si>
    <t>회사채AA+(공모/무보증)</t>
    <phoneticPr fontId="1" type="noConversion"/>
  </si>
  <si>
    <t>회사채AA0(공모/무보증)</t>
    <phoneticPr fontId="1" type="noConversion"/>
  </si>
  <si>
    <t>회사채AA-(공모/무보증)</t>
    <phoneticPr fontId="1" type="noConversion"/>
  </si>
  <si>
    <t>3사평균</t>
    <phoneticPr fontId="1" type="noConversion"/>
  </si>
  <si>
    <t>4사평균</t>
    <phoneticPr fontId="1" type="noConversion"/>
  </si>
  <si>
    <t>CD수익률 AAA</t>
    <phoneticPr fontId="1" type="noConversion"/>
  </si>
  <si>
    <t>CD수익률 AA+</t>
    <phoneticPr fontId="1" type="noConversion"/>
  </si>
  <si>
    <t>CD수익률 AA</t>
    <phoneticPr fontId="1" type="noConversion"/>
  </si>
  <si>
    <t>CD수익률 AA-</t>
    <phoneticPr fontId="1" type="noConversion"/>
  </si>
  <si>
    <t>CP수익률 A1</t>
    <phoneticPr fontId="1" type="noConversion"/>
  </si>
  <si>
    <t>CP수익률 A2+</t>
    <phoneticPr fontId="1" type="noConversion"/>
  </si>
  <si>
    <t>CP수익률 A2</t>
    <phoneticPr fontId="1" type="noConversion"/>
  </si>
  <si>
    <t>CP수익률 A2-</t>
    <phoneticPr fontId="1" type="noConversion"/>
  </si>
  <si>
    <t>금투협 최종호가 CD(91일물)</t>
    <phoneticPr fontId="1" type="noConversion"/>
  </si>
  <si>
    <t>spread(bp)</t>
    <phoneticPr fontId="1" type="noConversion"/>
  </si>
  <si>
    <t>기준금리</t>
    <phoneticPr fontId="1" type="noConversion"/>
  </si>
  <si>
    <t>상대금리</t>
    <phoneticPr fontId="1" type="noConversion"/>
  </si>
  <si>
    <t>KBPE144</t>
    <phoneticPr fontId="1" type="noConversion"/>
  </si>
  <si>
    <t>KBPE144</t>
    <phoneticPr fontId="1" type="noConversion"/>
  </si>
  <si>
    <t>Short Term Interest History Chart</t>
    <phoneticPr fontId="1" type="noConversion"/>
  </si>
  <si>
    <t>통안채</t>
    <phoneticPr fontId="1" type="noConversion"/>
  </si>
  <si>
    <t>Short Term Interest</t>
    <phoneticPr fontId="1" type="noConversion"/>
  </si>
  <si>
    <t>date</t>
    <phoneticPr fontId="1" type="noConversion"/>
  </si>
  <si>
    <t>일자</t>
    <phoneticPr fontId="1" type="noConversion"/>
  </si>
  <si>
    <t>단위: %, 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</si>
</sst>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0"/>
    <numFmt numFmtId="177" formatCode="0.000"/>
  </numFmts>
  <fonts count="12" x14ac:knownFonts="1">
    <font>
      <sz val="10"/>
      <color theme="1"/>
      <name val="돋움"/>
      <family val="2"/>
      <charset val="129"/>
    </font>
    <font>
      <sz val="8"/>
      <name val="돋움"/>
      <family val="2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theme="0"/>
      <name val="돋움"/>
      <family val="3"/>
      <charset val="129"/>
    </font>
    <font>
      <b/>
      <sz val="10"/>
      <color theme="1"/>
      <name val="돋움"/>
      <family val="3"/>
      <charset val="129"/>
    </font>
    <font>
      <b/>
      <sz val="12"/>
      <color theme="3" tint="-0.499984740745262"/>
      <name val="돋움"/>
      <family val="3"/>
      <charset val="129"/>
    </font>
    <font>
      <sz val="10"/>
      <color theme="1"/>
      <name val="돋움"/>
      <family val="3"/>
      <charset val="129"/>
    </font>
    <font>
      <b/>
      <sz val="12"/>
      <color theme="1"/>
      <name val="돋움"/>
      <family val="3"/>
      <charset val="129"/>
    </font>
    <font>
      <b/>
      <sz val="8"/>
      <color theme="1"/>
      <name val="돋움"/>
      <family val="3"/>
      <charset val="129"/>
    </font>
    <font>
      <b/>
      <i/>
      <sz val="10"/>
      <color theme="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rgb="FFE7F4FF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CC"/>
        <bgColor indexed="64"/>
      </patternFill>
    </fill>
  </fills>
  <borders count="3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medium">
        <color theme="0" tint="-0.24994659260841701"/>
      </right>
      <top/>
      <bottom/>
      <diagonal/>
    </border>
    <border>
      <left style="thin">
        <color rgb="FF2A4F74"/>
      </left>
      <right style="thin">
        <color rgb="FF2A4F74"/>
      </right>
      <top style="thin">
        <color rgb="FF2A4F74"/>
      </top>
      <bottom style="thin">
        <color rgb="FF2A4F74"/>
      </bottom>
      <diagonal/>
    </border>
    <border>
      <left style="thin">
        <color rgb="FF2A4F74"/>
      </left>
      <right/>
      <top style="thin">
        <color rgb="FF2A4F74"/>
      </top>
      <bottom style="thin">
        <color rgb="FF2A4F74"/>
      </bottom>
      <diagonal/>
    </border>
    <border>
      <left/>
      <right/>
      <top style="thin">
        <color rgb="FF2A4F74"/>
      </top>
      <bottom style="thin">
        <color rgb="FF2A4F74"/>
      </bottom>
      <diagonal/>
    </border>
    <border>
      <left/>
      <right style="thin">
        <color rgb="FF2A4F74"/>
      </right>
      <top style="thin">
        <color rgb="FF2A4F74"/>
      </top>
      <bottom style="thin">
        <color rgb="FF2A4F74"/>
      </bottom>
      <diagonal/>
    </border>
    <border>
      <left style="thin">
        <color rgb="FF2A4F74"/>
      </left>
      <right style="thin">
        <color rgb="FF2A4F74"/>
      </right>
      <top/>
      <bottom style="thin">
        <color rgb="FF2A4F74"/>
      </bottom>
      <diagonal/>
    </border>
    <border>
      <left style="thin">
        <color rgb="FF2A4F74"/>
      </left>
      <right style="thin">
        <color rgb="FF2A4F74"/>
      </right>
      <top style="thin">
        <color rgb="FF2A4F74"/>
      </top>
      <bottom/>
      <diagonal/>
    </border>
    <border>
      <left/>
      <right style="thin">
        <color theme="0" tint="-0.24994659260841701"/>
      </right>
      <top style="thin">
        <color theme="0" tint="-0.249977111117893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4659260841701"/>
      </right>
      <top/>
      <bottom/>
      <diagonal/>
    </border>
    <border>
      <left style="thin">
        <color theme="0" tint="-0.249977111117893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77111117893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77111117893"/>
      </right>
      <top style="thin">
        <color theme="0" tint="-0.24994659260841701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4659260841701"/>
      </right>
      <top style="thin">
        <color theme="0" tint="-0.24994659260841701"/>
      </top>
      <bottom style="thin">
        <color theme="0" tint="-0.249977111117893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77111117893"/>
      </bottom>
      <diagonal/>
    </border>
    <border>
      <left style="thin">
        <color theme="0" tint="-0.24994659260841701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2A4F74"/>
      </left>
      <right/>
      <top style="thin">
        <color rgb="FF2A4F74"/>
      </top>
      <bottom/>
      <diagonal/>
    </border>
    <border>
      <left/>
      <right style="thin">
        <color rgb="FF2A4F74"/>
      </right>
      <top style="thin">
        <color rgb="FF2A4F74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77111117893"/>
      </bottom>
      <diagonal/>
    </border>
    <border>
      <left/>
      <right style="thin">
        <color theme="0" tint="-0.24994659260841701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4659260841701"/>
      </right>
      <top style="thin">
        <color rgb="FF2A4F74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77111117893"/>
      </right>
      <top style="thin">
        <color rgb="FF2A4F74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77111117893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77111117893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77111117893"/>
      </right>
      <top style="thin">
        <color theme="0" tint="-0.24994659260841701"/>
      </top>
      <bottom style="thin">
        <color theme="0" tint="-0.249977111117893"/>
      </bottom>
      <diagonal/>
    </border>
    <border>
      <left style="thin">
        <color rgb="FF2A4F74"/>
      </left>
      <right style="double">
        <color rgb="FF2A4F74"/>
      </right>
      <top style="thin">
        <color rgb="FF2A4F74"/>
      </top>
      <bottom style="thin">
        <color rgb="FF2A4F7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49" fontId="0" fillId="0" borderId="0" xfId="0" applyNumberFormat="1" applyFill="1" applyAlignment="1">
      <alignment horizontal="left" vertical="center"/>
    </xf>
    <xf numFmtId="0" fontId="0" fillId="0" borderId="4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>
      <alignment vertical="center"/>
    </xf>
    <xf numFmtId="0" fontId="0" fillId="0" borderId="0" xfId="0">
      <alignment vertical="center"/>
    </xf>
    <xf numFmtId="0" fontId="0" fillId="0" borderId="2" xfId="0" applyFill="1" applyBorder="1" applyAlignment="1">
      <alignment vertical="center"/>
    </xf>
    <xf numFmtId="49" fontId="0" fillId="0" borderId="0" xfId="0" applyNumberFormat="1" applyFill="1" applyBorder="1" applyAlignment="1">
      <alignment horizontal="left" vertical="center"/>
    </xf>
    <xf numFmtId="49" fontId="0" fillId="0" borderId="7" xfId="0" applyNumberFormat="1" applyFill="1" applyBorder="1" applyAlignment="1">
      <alignment horizontal="left" vertical="center"/>
    </xf>
    <xf numFmtId="2" fontId="0" fillId="0" borderId="1" xfId="0" applyNumberFormat="1" applyBorder="1">
      <alignment vertical="center"/>
    </xf>
    <xf numFmtId="0" fontId="0" fillId="0" borderId="0" xfId="0" applyBorder="1">
      <alignment vertical="center"/>
    </xf>
    <xf numFmtId="49" fontId="5" fillId="3" borderId="12" xfId="0" applyNumberFormat="1" applyFont="1" applyFill="1" applyBorder="1" applyAlignment="1">
      <alignment horizontal="center" vertical="center"/>
    </xf>
    <xf numFmtId="0" fontId="0" fillId="0" borderId="19" xfId="0" applyFill="1" applyBorder="1" applyAlignment="1">
      <alignment vertical="center"/>
    </xf>
    <xf numFmtId="0" fontId="0" fillId="0" borderId="20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24" xfId="0" applyFill="1" applyBorder="1" applyAlignment="1">
      <alignment vertical="center"/>
    </xf>
    <xf numFmtId="0" fontId="0" fillId="0" borderId="25" xfId="0" applyFill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5" fillId="3" borderId="8" xfId="0" applyNumberFormat="1" applyFont="1" applyFill="1" applyBorder="1" applyAlignment="1">
      <alignment horizontal="center" vertical="center"/>
    </xf>
    <xf numFmtId="0" fontId="0" fillId="3" borderId="26" xfId="0" applyFill="1" applyBorder="1">
      <alignment vertical="center"/>
    </xf>
    <xf numFmtId="0" fontId="0" fillId="3" borderId="27" xfId="0" applyFill="1" applyBorder="1">
      <alignment vertical="center"/>
    </xf>
    <xf numFmtId="49" fontId="8" fillId="4" borderId="33" xfId="0" applyNumberFormat="1" applyFont="1" applyFill="1" applyBorder="1">
      <alignment vertical="center"/>
    </xf>
    <xf numFmtId="49" fontId="5" fillId="3" borderId="11" xfId="0" applyNumberFormat="1" applyFont="1" applyFill="1" applyBorder="1" applyAlignment="1">
      <alignment horizontal="center" vertical="center"/>
    </xf>
    <xf numFmtId="176" fontId="0" fillId="0" borderId="28" xfId="0" applyNumberFormat="1" applyFill="1" applyBorder="1">
      <alignment vertical="center"/>
    </xf>
    <xf numFmtId="176" fontId="0" fillId="0" borderId="29" xfId="0" applyNumberFormat="1" applyFill="1" applyBorder="1">
      <alignment vertical="center"/>
    </xf>
    <xf numFmtId="176" fontId="0" fillId="0" borderId="30" xfId="0" applyNumberFormat="1" applyFill="1" applyBorder="1">
      <alignment vertical="center"/>
    </xf>
    <xf numFmtId="176" fontId="0" fillId="0" borderId="14" xfId="0" applyNumberFormat="1" applyFill="1" applyBorder="1">
      <alignment vertical="center"/>
    </xf>
    <xf numFmtId="2" fontId="0" fillId="0" borderId="2" xfId="0" applyNumberFormat="1" applyFill="1" applyBorder="1">
      <alignment vertical="center"/>
    </xf>
    <xf numFmtId="177" fontId="0" fillId="0" borderId="3" xfId="0" applyNumberFormat="1" applyBorder="1">
      <alignment vertical="center"/>
    </xf>
    <xf numFmtId="177" fontId="0" fillId="0" borderId="1" xfId="0" applyNumberFormat="1" applyBorder="1">
      <alignment vertical="center"/>
    </xf>
    <xf numFmtId="14" fontId="0" fillId="0" borderId="0" xfId="0" applyNumberFormat="1">
      <alignment vertical="center"/>
    </xf>
    <xf numFmtId="14" fontId="10" fillId="6" borderId="13" xfId="0" applyNumberFormat="1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0" fillId="0" borderId="0" xfId="0">
      <alignment vertical="center"/>
    </xf>
    <xf numFmtId="49" fontId="6" fillId="4" borderId="16" xfId="0" applyNumberFormat="1" applyFont="1" applyFill="1" applyBorder="1" applyAlignment="1">
      <alignment horizontal="center" vertical="center"/>
    </xf>
    <xf numFmtId="49" fontId="6" fillId="4" borderId="17" xfId="0" applyNumberFormat="1" applyFont="1" applyFill="1" applyBorder="1" applyAlignment="1">
      <alignment horizontal="center" vertical="center"/>
    </xf>
    <xf numFmtId="49" fontId="5" fillId="3" borderId="8" xfId="0" applyNumberFormat="1" applyFont="1" applyFill="1" applyBorder="1" applyAlignment="1">
      <alignment horizontal="center" vertical="center"/>
    </xf>
    <xf numFmtId="49" fontId="5" fillId="3" borderId="36" xfId="0" applyNumberFormat="1" applyFont="1" applyFill="1" applyBorder="1" applyAlignment="1">
      <alignment horizontal="center" vertical="center"/>
    </xf>
    <xf numFmtId="49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49" fontId="6" fillId="4" borderId="31" xfId="0" applyNumberFormat="1" applyFont="1" applyFill="1" applyBorder="1" applyAlignment="1">
      <alignment horizontal="center" vertical="center"/>
    </xf>
    <xf numFmtId="49" fontId="6" fillId="4" borderId="32" xfId="0" applyNumberFormat="1" applyFont="1" applyFill="1" applyBorder="1" applyAlignment="1">
      <alignment horizontal="center" vertical="center"/>
    </xf>
    <xf numFmtId="49" fontId="6" fillId="4" borderId="21" xfId="0" applyNumberFormat="1" applyFont="1" applyFill="1" applyBorder="1" applyAlignment="1">
      <alignment horizontal="center" vertical="center"/>
    </xf>
    <xf numFmtId="49" fontId="6" fillId="4" borderId="35" xfId="0" applyNumberFormat="1" applyFont="1" applyFill="1" applyBorder="1" applyAlignment="1">
      <alignment horizontal="center" vertical="center"/>
    </xf>
    <xf numFmtId="49" fontId="6" fillId="4" borderId="18" xfId="0" applyNumberFormat="1" applyFont="1" applyFill="1" applyBorder="1" applyAlignment="1">
      <alignment horizontal="center" vertical="center"/>
    </xf>
    <xf numFmtId="49" fontId="6" fillId="4" borderId="34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336699"/>
      <color rgb="FF2A4F74"/>
      <color rgb="FFFFFFCC"/>
      <color rgb="FFE7F4FF"/>
      <color rgb="FF417AB4"/>
      <color rgb="FF9BBB59"/>
      <color rgb="FFDBE5F1"/>
      <color rgb="FFFF9999"/>
      <color rgb="FF00CC99"/>
      <color rgb="FF3366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4.2949999999999999</v>
        <stp/>
        <stp>P</stp>
        <stp>0</stp>
        <stp>IR</stp>
        <stp>BONDAVG55</stp>
        <stp>9월이하(당일)</stp>
        <stp>44943</stp>
        <stp/>
        <tr r="U17" s="1"/>
      </tp>
      <tp>
        <v>4.4269999999999996</v>
        <stp/>
        <stp>P</stp>
        <stp>0</stp>
        <stp>IR</stp>
        <stp>BONDAVG57</stp>
        <stp>9월이하(당일)</stp>
        <stp>44943</stp>
        <stp/>
        <tr r="U19" s="1"/>
      </tp>
      <tp>
        <v>4.391</v>
        <stp/>
        <stp>P</stp>
        <stp>0</stp>
        <stp>IR</stp>
        <stp>BONDAVG56</stp>
        <stp>9월이하(당일)</stp>
        <stp>44943</stp>
        <stp/>
        <tr r="U18" s="1"/>
      </tp>
      <tp>
        <v>4.4589999999999996</v>
        <stp/>
        <stp>P</stp>
        <stp>0</stp>
        <stp>IR</stp>
        <stp>BONDAVG58</stp>
        <stp>9월이하(당일)</stp>
        <stp>44943</stp>
        <stp/>
        <tr r="AA23" s="1"/>
        <tr r="U20" s="1"/>
      </tp>
      <tp>
        <v>3.5459999999999998</v>
        <stp/>
        <stp>P</stp>
        <stp>0</stp>
        <stp>IR</stp>
        <stp>BONDAVG14</stp>
        <stp>9월이하(당일)</stp>
        <stp>44943</stp>
        <stp/>
        <tr r="AA9" s="1"/>
        <tr r="AA22" s="1"/>
        <tr r="U9" s="1"/>
      </tp>
      <tp>
        <v>4.649</v>
        <stp/>
        <stp>P</stp>
        <stp>0</stp>
        <stp>IR</stp>
        <stp>BONDAVG27</stp>
        <stp>9월이하(당일)</stp>
        <stp>44943</stp>
        <stp/>
        <tr r="U15" s="1"/>
      </tp>
      <tp>
        <v>3.95</v>
        <stp/>
        <stp>P</stp>
        <stp>0</stp>
        <stp>IR</stp>
        <stp>BONDAVG21</stp>
        <stp>9월이하(당일)</stp>
        <stp>44943</stp>
        <stp/>
        <tr r="U11" s="1"/>
      </tp>
      <tp>
        <v>3.8929999999999998</v>
        <stp/>
        <stp>P</stp>
        <stp>0</stp>
        <stp>IR</stp>
        <stp>BONDAVG20</stp>
        <stp>9월이하(당일)</stp>
        <stp>44943</stp>
        <stp/>
        <tr r="AG9" s="1"/>
        <tr r="AA10" s="1"/>
        <tr r="U10" s="1"/>
      </tp>
      <tp>
        <v>4.3719999999999999</v>
        <stp/>
        <stp>P</stp>
        <stp>0</stp>
        <stp>IR</stp>
        <stp>BONDAVG23</stp>
        <stp>9월이하(당일)</stp>
        <stp>44943</stp>
        <stp/>
        <tr r="U13" s="1"/>
      </tp>
      <tp>
        <v>4.1210000000000004</v>
        <stp/>
        <stp>P</stp>
        <stp>0</stp>
        <stp>IR</stp>
        <stp>BONDAVG22</stp>
        <stp>9월이하(당일)</stp>
        <stp>44943</stp>
        <stp/>
        <tr r="U12" s="1"/>
      </tp>
      <tp>
        <v>4.843</v>
        <stp/>
        <stp>P</stp>
        <stp>0</stp>
        <stp>IR</stp>
        <stp>BONDAVG28</stp>
        <stp>9월이하(당일)</stp>
        <stp>44943</stp>
        <stp/>
        <tr r="AG23" s="1"/>
        <tr r="U16" s="1"/>
      </tp>
      <tp>
        <v>4.5750000000000002</v>
        <stp/>
        <stp>P</stp>
        <stp>0</stp>
        <stp>IR</stp>
        <stp>BONDAVG81</stp>
        <stp>9월이하(당일)</stp>
        <stp>44943</stp>
        <stp/>
        <tr r="AG10" s="1"/>
        <tr r="AG22" s="1"/>
        <tr r="U14" s="1"/>
      </tp>
      <tp>
        <v>4.28</v>
        <stp/>
        <stp>P</stp>
        <stp>0</stp>
        <stp>IR</stp>
        <stp>BONDAVG55</stp>
        <stp>6월이하(당일)</stp>
        <stp>44943</stp>
        <stp/>
        <tr r="T17" s="1"/>
      </tp>
      <tp>
        <v>4.41</v>
        <stp/>
        <stp>P</stp>
        <stp>0</stp>
        <stp>IR</stp>
        <stp>BONDAVG57</stp>
        <stp>6월이하(당일)</stp>
        <stp>44943</stp>
        <stp/>
        <tr r="T19" s="1"/>
      </tp>
      <tp>
        <v>4.3739999999999997</v>
        <stp/>
        <stp>P</stp>
        <stp>0</stp>
        <stp>IR</stp>
        <stp>BONDAVG56</stp>
        <stp>6월이하(당일)</stp>
        <stp>44943</stp>
        <stp/>
        <tr r="T18" s="1"/>
      </tp>
      <tp>
        <v>4.4420000000000002</v>
        <stp/>
        <stp>P</stp>
        <stp>0</stp>
        <stp>IR</stp>
        <stp>BONDAVG58</stp>
        <stp>6월이하(당일)</stp>
        <stp>44943</stp>
        <stp/>
        <tr r="Z23" s="1"/>
        <tr r="T20" s="1"/>
      </tp>
      <tp>
        <v>3.53</v>
        <stp/>
        <stp>P</stp>
        <stp>0</stp>
        <stp>IR</stp>
        <stp>BONDAVG14</stp>
        <stp>6월이하(당일)</stp>
        <stp>44943</stp>
        <stp/>
        <tr r="Z9" s="1"/>
        <tr r="Z22" s="1"/>
        <tr r="T9" s="1"/>
      </tp>
      <tp>
        <v>4.5060000000000002</v>
        <stp/>
        <stp>P</stp>
        <stp>0</stp>
        <stp>IR</stp>
        <stp>BONDAVG27</stp>
        <stp>6월이하(당일)</stp>
        <stp>44943</stp>
        <stp/>
        <tr r="T15" s="1"/>
      </tp>
      <tp>
        <v>3.9169999999999998</v>
        <stp/>
        <stp>P</stp>
        <stp>0</stp>
        <stp>IR</stp>
        <stp>BONDAVG21</stp>
        <stp>6월이하(당일)</stp>
        <stp>44943</stp>
        <stp/>
        <tr r="T11" s="1"/>
      </tp>
      <tp>
        <v>3.8730000000000002</v>
        <stp/>
        <stp>P</stp>
        <stp>0</stp>
        <stp>IR</stp>
        <stp>BONDAVG20</stp>
        <stp>6월이하(당일)</stp>
        <stp>44943</stp>
        <stp/>
        <tr r="Z10" s="1"/>
        <tr r="AF9" s="1"/>
        <tr r="T10" s="1"/>
      </tp>
      <tp>
        <v>4.3129999999999997</v>
        <stp/>
        <stp>P</stp>
        <stp>0</stp>
        <stp>IR</stp>
        <stp>BONDAVG23</stp>
        <stp>6월이하(당일)</stp>
        <stp>44943</stp>
        <stp/>
        <tr r="T13" s="1"/>
      </tp>
      <tp>
        <v>4.0819999999999999</v>
        <stp/>
        <stp>P</stp>
        <stp>0</stp>
        <stp>IR</stp>
        <stp>BONDAVG22</stp>
        <stp>6월이하(당일)</stp>
        <stp>44943</stp>
        <stp/>
        <tr r="T12" s="1"/>
      </tp>
      <tp>
        <v>4.6840000000000002</v>
        <stp/>
        <stp>P</stp>
        <stp>0</stp>
        <stp>IR</stp>
        <stp>BONDAVG28</stp>
        <stp>6월이하(당일)</stp>
        <stp>44943</stp>
        <stp/>
        <tr r="AF23" s="1"/>
        <tr r="T16" s="1"/>
      </tp>
      <tp>
        <v>4.4390000000000001</v>
        <stp/>
        <stp>P</stp>
        <stp>0</stp>
        <stp>IR</stp>
        <stp>BONDAVG81</stp>
        <stp>6월이하(당일)</stp>
        <stp>44943</stp>
        <stp/>
        <tr r="AF22" s="1"/>
        <tr r="AF10" s="1"/>
        <tr r="T14" s="1"/>
      </tp>
      <tp>
        <v>4.1130000000000004</v>
        <stp/>
        <stp>P</stp>
        <stp>0</stp>
        <stp>IR</stp>
        <stp>BONDAVG55</stp>
        <stp>3월이하(당일)</stp>
        <stp>44943</stp>
        <stp/>
        <tr r="S17" s="1"/>
      </tp>
      <tp>
        <v>4.2480000000000002</v>
        <stp/>
        <stp>P</stp>
        <stp>0</stp>
        <stp>IR</stp>
        <stp>BONDAVG57</stp>
        <stp>3월이하(당일)</stp>
        <stp>44943</stp>
        <stp/>
        <tr r="S19" s="1"/>
      </tp>
      <tp>
        <v>4.2140000000000004</v>
        <stp/>
        <stp>P</stp>
        <stp>0</stp>
        <stp>IR</stp>
        <stp>BONDAVG56</stp>
        <stp>3월이하(당일)</stp>
        <stp>44943</stp>
        <stp/>
        <tr r="S18" s="1"/>
      </tp>
      <tp>
        <v>4.2759999999999998</v>
        <stp/>
        <stp>P</stp>
        <stp>0</stp>
        <stp>IR</stp>
        <stp>BONDAVG58</stp>
        <stp>3월이하(당일)</stp>
        <stp>44943</stp>
        <stp/>
        <tr r="Y23" s="1"/>
        <tr r="S20" s="1"/>
      </tp>
      <tp>
        <v>3.5030000000000001</v>
        <stp/>
        <stp>P</stp>
        <stp>0</stp>
        <stp>IR</stp>
        <stp>BONDAVG14</stp>
        <stp>3월이하(당일)</stp>
        <stp>44943</stp>
        <stp/>
        <tr r="Y9" s="1"/>
        <tr r="Y22" s="1"/>
        <tr r="S9" s="1"/>
      </tp>
      <tp>
        <v>4.2690000000000001</v>
        <stp/>
        <stp>P</stp>
        <stp>0</stp>
        <stp>IR</stp>
        <stp>BONDAVG27</stp>
        <stp>3월이하(당일)</stp>
        <stp>44943</stp>
        <stp/>
        <tr r="S15" s="1"/>
      </tp>
      <tp>
        <v>3.7669999999999999</v>
        <stp/>
        <stp>P</stp>
        <stp>0</stp>
        <stp>IR</stp>
        <stp>BONDAVG21</stp>
        <stp>3월이하(당일)</stp>
        <stp>44943</stp>
        <stp/>
        <tr r="S11" s="1"/>
      </tp>
      <tp>
        <v>3.72</v>
        <stp/>
        <stp>P</stp>
        <stp>0</stp>
        <stp>IR</stp>
        <stp>BONDAVG20</stp>
        <stp>3월이하(당일)</stp>
        <stp>44943</stp>
        <stp/>
        <tr r="Y10" s="1"/>
        <tr r="AE9" s="1"/>
        <tr r="S10" s="1"/>
      </tp>
      <tp>
        <v>4.0830000000000002</v>
        <stp/>
        <stp>P</stp>
        <stp>0</stp>
        <stp>IR</stp>
        <stp>BONDAVG23</stp>
        <stp>3월이하(당일)</stp>
        <stp>44943</stp>
        <stp/>
        <tr r="S13" s="1"/>
      </tp>
      <tp>
        <v>3.923</v>
        <stp/>
        <stp>P</stp>
        <stp>0</stp>
        <stp>IR</stp>
        <stp>BONDAVG22</stp>
        <stp>3월이하(당일)</stp>
        <stp>44943</stp>
        <stp/>
        <tr r="S12" s="1"/>
      </tp>
      <tp>
        <v>4.3840000000000003</v>
        <stp/>
        <stp>P</stp>
        <stp>0</stp>
        <stp>IR</stp>
        <stp>BONDAVG28</stp>
        <stp>3월이하(당일)</stp>
        <stp>44943</stp>
        <stp/>
        <tr r="AE23" s="1"/>
        <tr r="S16" s="1"/>
      </tp>
      <tp>
        <v>4.2270000000000003</v>
        <stp/>
        <stp>P</stp>
        <stp>0</stp>
        <stp>IR</stp>
        <stp>BONDAVG81</stp>
        <stp>3월이하(당일)</stp>
        <stp>44943</stp>
        <stp/>
        <tr r="AE22" s="1"/>
        <tr r="AE10" s="1"/>
        <tr r="S14" s="1"/>
      </tp>
      <tp>
        <v>0</v>
        <stp/>
        <stp>H</stp>
        <stp>x10.eEtC</stp>
        <stp>243</stp>
        <stp>660072</stp>
        <tr r="BI10" s="1"/>
      </tp>
      <tp>
        <v>0</v>
        <stp/>
        <stp>H</stp>
        <stp>x11.eEtC</stp>
        <stp>244</stp>
        <stp>660072</stp>
        <tr r="BG10" s="1"/>
      </tp>
      <tp>
        <v>0</v>
        <stp/>
        <stp>H</stp>
        <stp>x9.eEtC</stp>
        <stp>242</stp>
        <stp>660072</stp>
        <tr r="BE10" s="1"/>
      </tp>
      <tp>
        <v>0</v>
        <stp/>
        <stp>H</stp>
        <stp>x8.eEtC</stp>
        <stp>241</stp>
        <stp>660072</stp>
        <tr r="BZ8" s="2"/>
      </tp>
      <tp>
        <v>0</v>
        <stp/>
        <stp>H</stp>
        <stp>x6.eEtC</stp>
        <stp>239</stp>
        <stp>660072</stp>
        <tr r="CF8" s="2"/>
      </tp>
      <tp>
        <v>0</v>
        <stp/>
        <stp>H</stp>
        <stp>x4.eEtC</stp>
        <stp>237</stp>
        <stp>660072</stp>
        <tr r="CD8" s="2"/>
      </tp>
      <tp>
        <v>0</v>
        <stp/>
        <stp>H</stp>
        <stp>x5.eEtC</stp>
        <stp>238</stp>
        <stp>660072</stp>
        <tr r="CB8" s="2"/>
      </tp>
      <tp>
        <v>0</v>
        <stp/>
        <stp>H</stp>
        <stp>x2.eEtC</stp>
        <stp>235</stp>
        <stp>660072</stp>
        <tr r="BX8" s="2"/>
      </tp>
      <tp>
        <v>0</v>
        <stp/>
        <stp>H</stp>
        <stp>x3.eEtC</stp>
        <stp>236</stp>
        <stp>660072</stp>
        <tr r="BT8" s="2"/>
      </tp>
      <tp>
        <v>0</v>
        <stp/>
        <stp>H</stp>
        <stp>x7.eEtC</stp>
        <stp>240</stp>
        <stp>660072</stp>
        <tr r="BV8" s="2"/>
      </tp>
      <tp>
        <v>0</v>
        <stp/>
        <stp>H</stp>
        <stp>x1.eEtC</stp>
        <stp>234</stp>
        <stp>660072</stp>
        <tr r="BR8" s="2"/>
      </tp>
      <tp>
        <v>3.97</v>
        <stp/>
        <stp>P</stp>
        <stp>0</stp>
        <stp>ECO</stp>
        <stp>702812</stp>
        <stp>현재가(일)</stp>
        <stp>44943</stp>
        <stp/>
        <tr r="S31" s="1"/>
      </tp>
      <tp>
        <v>4.3</v>
        <stp/>
        <stp>P</stp>
        <stp>0</stp>
        <stp>IR</stp>
        <stp>BONDAVG55</stp>
        <stp>1년이하(당일)</stp>
        <stp>44943</stp>
        <stp/>
        <tr r="V17" s="1"/>
      </tp>
      <tp>
        <v>4.4349999999999996</v>
        <stp/>
        <stp>P</stp>
        <stp>0</stp>
        <stp>IR</stp>
        <stp>BONDAVG57</stp>
        <stp>1년이하(당일)</stp>
        <stp>44943</stp>
        <stp/>
        <tr r="V19" s="1"/>
      </tp>
      <tp>
        <v>4.3979999999999997</v>
        <stp/>
        <stp>P</stp>
        <stp>0</stp>
        <stp>IR</stp>
        <stp>BONDAVG56</stp>
        <stp>1년이하(당일)</stp>
        <stp>44943</stp>
        <stp/>
        <tr r="V18" s="1"/>
      </tp>
      <tp>
        <v>4.4710000000000001</v>
        <stp/>
        <stp>P</stp>
        <stp>0</stp>
        <stp>IR</stp>
        <stp>BONDAVG58</stp>
        <stp>1년이하(당일)</stp>
        <stp>44943</stp>
        <stp/>
        <tr r="AB23" s="1"/>
        <tr r="V20" s="1"/>
      </tp>
      <tp>
        <v>3.55</v>
        <stp/>
        <stp>P</stp>
        <stp>0</stp>
        <stp>IR</stp>
        <stp>BONDAVG14</stp>
        <stp>1년이하(당일)</stp>
        <stp>44943</stp>
        <stp/>
        <tr r="AB9" s="1"/>
        <tr r="AB22" s="1"/>
        <tr r="V9" s="1"/>
      </tp>
      <tp>
        <v>4.6749999999999998</v>
        <stp/>
        <stp>P</stp>
        <stp>0</stp>
        <stp>IR</stp>
        <stp>BONDAVG27</stp>
        <stp>1년이하(당일)</stp>
        <stp>44943</stp>
        <stp/>
        <tr r="V15" s="1"/>
      </tp>
      <tp>
        <v>3.9630000000000001</v>
        <stp/>
        <stp>P</stp>
        <stp>0</stp>
        <stp>IR</stp>
        <stp>BONDAVG21</stp>
        <stp>1년이하(당일)</stp>
        <stp>44943</stp>
        <stp/>
        <tr r="V11" s="1"/>
      </tp>
      <tp>
        <v>3.9</v>
        <stp/>
        <stp>P</stp>
        <stp>0</stp>
        <stp>IR</stp>
        <stp>BONDAVG20</stp>
        <stp>1년이하(당일)</stp>
        <stp>44943</stp>
        <stp/>
        <tr r="AB10" s="1"/>
        <tr r="AH9" s="1"/>
        <tr r="V10" s="1"/>
      </tp>
      <tp>
        <v>4.4180000000000001</v>
        <stp/>
        <stp>P</stp>
        <stp>0</stp>
        <stp>IR</stp>
        <stp>BONDAVG23</stp>
        <stp>1년이하(당일)</stp>
        <stp>44943</stp>
        <stp/>
        <tr r="V13" s="1"/>
      </tp>
      <tp>
        <v>4.1520000000000001</v>
        <stp/>
        <stp>P</stp>
        <stp>0</stp>
        <stp>IR</stp>
        <stp>BONDAVG22</stp>
        <stp>1년이하(당일)</stp>
        <stp>44943</stp>
        <stp/>
        <tr r="V12" s="1"/>
      </tp>
      <tp>
        <v>4.9889999999999999</v>
        <stp/>
        <stp>P</stp>
        <stp>0</stp>
        <stp>IR</stp>
        <stp>BONDAVG28</stp>
        <stp>1년이하(당일)</stp>
        <stp>44943</stp>
        <stp/>
        <tr r="AH23" s="1"/>
        <tr r="V16" s="1"/>
      </tp>
      <tp>
        <v>4.5819999999999999</v>
        <stp/>
        <stp>P</stp>
        <stp>0</stp>
        <stp>IR</stp>
        <stp>BONDAVG81</stp>
        <stp>1년이하(당일)</stp>
        <stp>44943</stp>
        <stp/>
        <tr r="AH22" s="1"/>
        <tr r="AH10" s="1"/>
        <tr r="V14" s="1"/>
      </tp>
      <tp>
        <v>4.8899999999999997</v>
        <stp/>
        <stp>P</stp>
        <stp>0</stp>
        <stp>IR</stp>
        <stp>CPYLDAVG1</stp>
        <stp>1년(적용일)</stp>
        <stp>44943</stp>
        <stp/>
        <tr r="V25" s="1"/>
      </tp>
      <tp>
        <v>5.23</v>
        <stp/>
        <stp>P</stp>
        <stp>0</stp>
        <stp>IR</stp>
        <stp>CPYLDAVG2</stp>
        <stp>1년(적용일)</stp>
        <stp>44943</stp>
        <stp/>
        <tr r="V26" s="1"/>
      </tp>
      <tp>
        <v>5.44</v>
        <stp/>
        <stp>P</stp>
        <stp>0</stp>
        <stp>IR</stp>
        <stp>CPYLDAVG3</stp>
        <stp>1년(적용일)</stp>
        <stp>44943</stp>
        <stp/>
        <tr r="V27" s="1"/>
      </tp>
      <tp>
        <v>5.61</v>
        <stp/>
        <stp>P</stp>
        <stp>0</stp>
        <stp>IR</stp>
        <stp>CPYLDAVG4</stp>
        <stp>1년(적용일)</stp>
        <stp>44943</stp>
        <stp/>
        <tr r="V28" s="1"/>
      </tp>
      <tp>
        <v>4.8499999999999996</v>
        <stp/>
        <stp>P</stp>
        <stp>0</stp>
        <stp>IR</stp>
        <stp>CPYLDAVG1</stp>
        <stp>9월(적용일)</stp>
        <stp>44943</stp>
        <stp/>
        <tr r="U25" s="1"/>
      </tp>
      <tp>
        <v>5.17</v>
        <stp/>
        <stp>P</stp>
        <stp>0</stp>
        <stp>IR</stp>
        <stp>CPYLDAVG2</stp>
        <stp>9월(적용일)</stp>
        <stp>44943</stp>
        <stp/>
        <tr r="U26" s="1"/>
      </tp>
      <tp>
        <v>5.38</v>
        <stp/>
        <stp>P</stp>
        <stp>0</stp>
        <stp>IR</stp>
        <stp>CPYLDAVG3</stp>
        <stp>9월(적용일)</stp>
        <stp>44943</stp>
        <stp/>
        <tr r="U27" s="1"/>
      </tp>
      <tp>
        <v>5.56</v>
        <stp/>
        <stp>P</stp>
        <stp>0</stp>
        <stp>IR</stp>
        <stp>CPYLDAVG4</stp>
        <stp>9월(적용일)</stp>
        <stp>44943</stp>
        <stp/>
        <tr r="U28" s="1"/>
      </tp>
      <tp>
        <v>4.83</v>
        <stp/>
        <stp>P</stp>
        <stp>0</stp>
        <stp>IR</stp>
        <stp>CPYLDAVG1</stp>
        <stp>3월(적용일)</stp>
        <stp>44943</stp>
        <stp/>
        <tr r="S25" s="1"/>
      </tp>
      <tp>
        <v>5.15</v>
        <stp/>
        <stp>P</stp>
        <stp>0</stp>
        <stp>IR</stp>
        <stp>CPYLDAVG2</stp>
        <stp>3월(적용일)</stp>
        <stp>44943</stp>
        <stp/>
        <tr r="S26" s="1"/>
      </tp>
      <tp>
        <v>5.34</v>
        <stp/>
        <stp>P</stp>
        <stp>0</stp>
        <stp>IR</stp>
        <stp>CPYLDAVG3</stp>
        <stp>3월(적용일)</stp>
        <stp>44943</stp>
        <stp/>
        <tr r="S27" s="1"/>
      </tp>
      <tp>
        <v>5.5</v>
        <stp/>
        <stp>P</stp>
        <stp>0</stp>
        <stp>IR</stp>
        <stp>CPYLDAVG4</stp>
        <stp>3월(적용일)</stp>
        <stp>44943</stp>
        <stp/>
        <tr r="S28" s="1"/>
      </tp>
      <tp>
        <v>4.8600000000000003</v>
        <stp/>
        <stp>P</stp>
        <stp>0</stp>
        <stp>IR</stp>
        <stp>CPYLDAVG1</stp>
        <stp>6월(적용일)</stp>
        <stp>44943</stp>
        <stp/>
        <tr r="T25" s="1"/>
      </tp>
      <tp>
        <v>5.18</v>
        <stp/>
        <stp>P</stp>
        <stp>0</stp>
        <stp>IR</stp>
        <stp>CPYLDAVG2</stp>
        <stp>6월(적용일)</stp>
        <stp>44943</stp>
        <stp/>
        <tr r="T26" s="1"/>
      </tp>
      <tp>
        <v>5.39</v>
        <stp/>
        <stp>P</stp>
        <stp>0</stp>
        <stp>IR</stp>
        <stp>CPYLDAVG3</stp>
        <stp>6월(적용일)</stp>
        <stp>44943</stp>
        <stp/>
        <tr r="T27" s="1"/>
      </tp>
      <tp>
        <v>5.55</v>
        <stp/>
        <stp>P</stp>
        <stp>0</stp>
        <stp>IR</stp>
        <stp>CPYLDAVG4</stp>
        <stp>6월(적용일)</stp>
        <stp>44943</stp>
        <stp/>
        <tr r="T28" s="1"/>
      </tp>
      <tp>
        <v>3.84</v>
        <stp/>
        <stp>P</stp>
        <stp>0</stp>
        <stp>IR</stp>
        <stp>CDYLDAVG1</stp>
        <stp>1년(적용일)</stp>
        <stp>44943</stp>
        <stp/>
        <tr r="V21" s="1"/>
      </tp>
      <tp>
        <v>3.9</v>
        <stp/>
        <stp>P</stp>
        <stp>0</stp>
        <stp>IR</stp>
        <stp>CDYLDAVG2</stp>
        <stp>1년(적용일)</stp>
        <stp>44943</stp>
        <stp/>
        <tr r="V22" s="1"/>
      </tp>
      <tp>
        <v>4.08</v>
        <stp/>
        <stp>P</stp>
        <stp>0</stp>
        <stp>IR</stp>
        <stp>CDYLDAVG3</stp>
        <stp>1년(적용일)</stp>
        <stp>44943</stp>
        <stp/>
        <tr r="V23" s="1"/>
      </tp>
      <tp>
        <v>4.18</v>
        <stp/>
        <stp>P</stp>
        <stp>0</stp>
        <stp>IR</stp>
        <stp>CDYLDAVG4</stp>
        <stp>1년(적용일)</stp>
        <stp>44943</stp>
        <stp/>
        <tr r="V24" s="1"/>
      </tp>
      <tp>
        <v>3.82</v>
        <stp/>
        <stp>P</stp>
        <stp>0</stp>
        <stp>IR</stp>
        <stp>CDYLDAVG1</stp>
        <stp>9월(적용일)</stp>
        <stp>44943</stp>
        <stp/>
        <tr r="U21" s="1"/>
      </tp>
      <tp>
        <v>3.89</v>
        <stp/>
        <stp>P</stp>
        <stp>0</stp>
        <stp>IR</stp>
        <stp>CDYLDAVG2</stp>
        <stp>9월(적용일)</stp>
        <stp>44943</stp>
        <stp/>
        <tr r="U22" s="1"/>
      </tp>
      <tp>
        <v>4.04</v>
        <stp/>
        <stp>P</stp>
        <stp>0</stp>
        <stp>IR</stp>
        <stp>CDYLDAVG3</stp>
        <stp>9월(적용일)</stp>
        <stp>44943</stp>
        <stp/>
        <tr r="U23" s="1"/>
      </tp>
      <tp>
        <v>4.13</v>
        <stp/>
        <stp>P</stp>
        <stp>0</stp>
        <stp>IR</stp>
        <stp>CDYLDAVG4</stp>
        <stp>9월(적용일)</stp>
        <stp>44943</stp>
        <stp/>
        <tr r="U24" s="1"/>
      </tp>
      <tp>
        <v>3.74</v>
        <stp/>
        <stp>P</stp>
        <stp>0</stp>
        <stp>IR</stp>
        <stp>CDYLDAVG1</stp>
        <stp>3월(적용일)</stp>
        <stp>44943</stp>
        <stp/>
        <tr r="S21" s="1"/>
      </tp>
      <tp>
        <v>3.75</v>
        <stp/>
        <stp>P</stp>
        <stp>0</stp>
        <stp>IR</stp>
        <stp>CDYLDAVG2</stp>
        <stp>3월(적용일)</stp>
        <stp>44943</stp>
        <stp/>
        <tr r="S22" s="1"/>
      </tp>
      <tp>
        <v>3.83</v>
        <stp/>
        <stp>P</stp>
        <stp>0</stp>
        <stp>IR</stp>
        <stp>CDYLDAVG3</stp>
        <stp>3월(적용일)</stp>
        <stp>44943</stp>
        <stp/>
        <tr r="S23" s="1"/>
      </tp>
      <tp>
        <v>3.89</v>
        <stp/>
        <stp>P</stp>
        <stp>0</stp>
        <stp>IR</stp>
        <stp>CDYLDAVG4</stp>
        <stp>3월(적용일)</stp>
        <stp>44943</stp>
        <stp/>
        <tr r="S24" s="1"/>
      </tp>
      <tp>
        <v>3.77</v>
        <stp/>
        <stp>P</stp>
        <stp>0</stp>
        <stp>IR</stp>
        <stp>CDYLDAVG1</stp>
        <stp>6월(적용일)</stp>
        <stp>44943</stp>
        <stp/>
        <tr r="T21" s="1"/>
      </tp>
      <tp>
        <v>3.78</v>
        <stp/>
        <stp>P</stp>
        <stp>0</stp>
        <stp>IR</stp>
        <stp>CDYLDAVG2</stp>
        <stp>6월(적용일)</stp>
        <stp>44943</stp>
        <stp/>
        <tr r="T22" s="1"/>
      </tp>
      <tp>
        <v>3.9</v>
        <stp/>
        <stp>P</stp>
        <stp>0</stp>
        <stp>IR</stp>
        <stp>CDYLDAVG3</stp>
        <stp>6월(적용일)</stp>
        <stp>44943</stp>
        <stp/>
        <tr r="T23" s="1"/>
      </tp>
      <tp>
        <v>3.98</v>
        <stp/>
        <stp>P</stp>
        <stp>0</stp>
        <stp>IR</stp>
        <stp>CDYLDAVG4</stp>
        <stp>6월(적용일)</stp>
        <stp>44943</stp>
        <stp/>
        <tr r="T24" s="1"/>
      </tp>
      <tp>
        <v>3.74</v>
        <stp/>
        <stp>P</stp>
        <stp>0</stp>
        <stp>IR</stp>
        <stp>BONDKSDCAL08</stp>
        <stp>대표수익률</stp>
        <stp>44943</stp>
        <stp/>
        <tr r="S29" s="1"/>
      </tp>
      <tp>
        <v>4.83</v>
        <stp/>
        <stp>P</stp>
        <stp>0</stp>
        <stp>IR</stp>
        <stp>BONDKSDCAL09</stp>
        <stp>대표수익률</stp>
        <stp>44943</stp>
        <stp/>
        <tr r="S30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4317430909371613E-2"/>
          <c:y val="8.6021478892102488E-2"/>
          <c:w val="0.77956090782769794"/>
          <c:h val="0.6558432721905554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'Short Term Interest'!$X$11</c:f>
              <c:strCache>
                <c:ptCount val="1"/>
                <c:pt idx="0">
                  <c:v>SP(bp)</c:v>
                </c:pt>
              </c:strCache>
            </c:strRef>
          </c:tx>
          <c:spPr>
            <a:solidFill>
              <a:srgbClr val="00CC99"/>
            </a:solidFill>
            <a:effectLst/>
          </c:spPr>
          <c:invertIfNegative val="0"/>
          <c:cat>
            <c:strRef>
              <c:f>'Short Term Interest'!$Y$8:$AB$8</c:f>
              <c:strCache>
                <c:ptCount val="4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1Y</c:v>
                </c:pt>
              </c:strCache>
            </c:strRef>
          </c:cat>
          <c:val>
            <c:numRef>
              <c:f>'Short Term Interest'!$Y$11:$AB$11</c:f>
              <c:numCache>
                <c:formatCode>0.00</c:formatCode>
                <c:ptCount val="4"/>
                <c:pt idx="0">
                  <c:v>-21.70000000000001</c:v>
                </c:pt>
                <c:pt idx="1">
                  <c:v>-34.30000000000004</c:v>
                </c:pt>
                <c:pt idx="2">
                  <c:v>-34.699999999999996</c:v>
                </c:pt>
                <c:pt idx="3">
                  <c:v>-35.000000000000007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615808"/>
        <c:axId val="200614272"/>
      </c:barChart>
      <c:lineChart>
        <c:grouping val="standard"/>
        <c:varyColors val="0"/>
        <c:ser>
          <c:idx val="0"/>
          <c:order val="0"/>
          <c:tx>
            <c:strRef>
              <c:f>'Short Term Interest'!$X$9</c:f>
              <c:strCache>
                <c:ptCount val="1"/>
                <c:pt idx="0">
                  <c:v>기준</c:v>
                </c:pt>
              </c:strCache>
            </c:strRef>
          </c:tx>
          <c:spPr>
            <a:ln w="22225">
              <a:solidFill>
                <a:srgbClr val="0066FF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strRef>
              <c:f>'Short Term Interest'!$Y$8:$AB$8</c:f>
              <c:strCache>
                <c:ptCount val="4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1Y</c:v>
                </c:pt>
              </c:strCache>
            </c:strRef>
          </c:cat>
          <c:val>
            <c:numRef>
              <c:f>'Short Term Interest'!$Y$9:$AB$9</c:f>
              <c:numCache>
                <c:formatCode>0.000</c:formatCode>
                <c:ptCount val="4"/>
                <c:pt idx="0">
                  <c:v>3.5030000000000001</c:v>
                </c:pt>
                <c:pt idx="1">
                  <c:v>3.53</c:v>
                </c:pt>
                <c:pt idx="2">
                  <c:v>3.5459999999999998</c:v>
                </c:pt>
                <c:pt idx="3">
                  <c:v>3.55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'Short Term Interest'!$X$10</c:f>
              <c:strCache>
                <c:ptCount val="1"/>
                <c:pt idx="0">
                  <c:v>상대</c:v>
                </c:pt>
              </c:strCache>
            </c:strRef>
          </c:tx>
          <c:spPr>
            <a:ln w="22225">
              <a:solidFill>
                <a:srgbClr val="FF660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strRef>
              <c:f>'Short Term Interest'!$Y$8:$AB$8</c:f>
              <c:strCache>
                <c:ptCount val="4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1Y</c:v>
                </c:pt>
              </c:strCache>
            </c:strRef>
          </c:cat>
          <c:val>
            <c:numRef>
              <c:f>'Short Term Interest'!$Y$10:$AB$10</c:f>
              <c:numCache>
                <c:formatCode>0.000</c:formatCode>
                <c:ptCount val="4"/>
                <c:pt idx="0">
                  <c:v>3.72</c:v>
                </c:pt>
                <c:pt idx="1">
                  <c:v>3.8730000000000002</c:v>
                </c:pt>
                <c:pt idx="2">
                  <c:v>3.8929999999999998</c:v>
                </c:pt>
                <c:pt idx="3">
                  <c:v>3.9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648704"/>
        <c:axId val="170650240"/>
      </c:lineChart>
      <c:catAx>
        <c:axId val="1706487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0650240"/>
        <c:crosses val="autoZero"/>
        <c:auto val="1"/>
        <c:lblAlgn val="ctr"/>
        <c:lblOffset val="100"/>
        <c:noMultiLvlLbl val="0"/>
      </c:catAx>
      <c:valAx>
        <c:axId val="170650240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0648704"/>
        <c:crosses val="autoZero"/>
        <c:crossBetween val="between"/>
      </c:valAx>
      <c:valAx>
        <c:axId val="200614272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00615808"/>
        <c:crosses val="max"/>
        <c:crossBetween val="between"/>
      </c:valAx>
      <c:catAx>
        <c:axId val="2006158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00614272"/>
        <c:crosses val="autoZero"/>
        <c:auto val="1"/>
        <c:lblAlgn val="ctr"/>
        <c:lblOffset val="100"/>
        <c:noMultiLvlLbl val="0"/>
      </c:catAx>
    </c:plotArea>
    <c:legend>
      <c:legendPos val="b"/>
      <c:layout>
        <c:manualLayout>
          <c:xMode val="edge"/>
          <c:yMode val="edge"/>
          <c:x val="0.19787401574803146"/>
          <c:y val="0.87747942904397946"/>
          <c:w val="0.59735025659106045"/>
          <c:h val="0.1163774800583481"/>
        </c:manualLayout>
      </c:layout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showDLblsOverMax val="0"/>
  </c:chart>
  <c:spPr>
    <a:ln w="9525">
      <a:solidFill>
        <a:schemeClr val="bg1">
          <a:lumMod val="75000"/>
        </a:schemeClr>
      </a:solidFill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4317430909371613E-2"/>
          <c:y val="8.6021478892102488E-2"/>
          <c:w val="0.77956090782769794"/>
          <c:h val="0.68459460927913951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'Short Term Interest'!$X$24</c:f>
              <c:strCache>
                <c:ptCount val="1"/>
                <c:pt idx="0">
                  <c:v>SP(bp)</c:v>
                </c:pt>
              </c:strCache>
            </c:strRef>
          </c:tx>
          <c:spPr>
            <a:solidFill>
              <a:srgbClr val="00CC99"/>
            </a:solidFill>
          </c:spPr>
          <c:invertIfNegative val="0"/>
          <c:cat>
            <c:strRef>
              <c:f>'Short Term Interest'!$Y$21:$AB$21</c:f>
              <c:strCache>
                <c:ptCount val="4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1Y</c:v>
                </c:pt>
              </c:strCache>
            </c:strRef>
          </c:cat>
          <c:val>
            <c:numRef>
              <c:f>'Short Term Interest'!$Y$24:$AB$24</c:f>
              <c:numCache>
                <c:formatCode>0.00</c:formatCode>
                <c:ptCount val="4"/>
                <c:pt idx="0">
                  <c:v>-77.299999999999969</c:v>
                </c:pt>
                <c:pt idx="1">
                  <c:v>-91.200000000000031</c:v>
                </c:pt>
                <c:pt idx="2">
                  <c:v>-91.299999999999983</c:v>
                </c:pt>
                <c:pt idx="3">
                  <c:v>-92.100000000000023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934400"/>
        <c:axId val="144932864"/>
      </c:barChart>
      <c:lineChart>
        <c:grouping val="standard"/>
        <c:varyColors val="0"/>
        <c:ser>
          <c:idx val="0"/>
          <c:order val="0"/>
          <c:tx>
            <c:strRef>
              <c:f>'Short Term Interest'!$X$22</c:f>
              <c:strCache>
                <c:ptCount val="1"/>
                <c:pt idx="0">
                  <c:v>기준</c:v>
                </c:pt>
              </c:strCache>
            </c:strRef>
          </c:tx>
          <c:spPr>
            <a:ln w="22225">
              <a:solidFill>
                <a:srgbClr val="0066FF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strRef>
              <c:f>'Short Term Interest'!$Y$21:$AB$21</c:f>
              <c:strCache>
                <c:ptCount val="4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1Y</c:v>
                </c:pt>
              </c:strCache>
            </c:strRef>
          </c:cat>
          <c:val>
            <c:numRef>
              <c:f>'Short Term Interest'!$Y$22:$AB$22</c:f>
              <c:numCache>
                <c:formatCode>0.000</c:formatCode>
                <c:ptCount val="4"/>
                <c:pt idx="0">
                  <c:v>3.5030000000000001</c:v>
                </c:pt>
                <c:pt idx="1">
                  <c:v>3.53</c:v>
                </c:pt>
                <c:pt idx="2">
                  <c:v>3.5459999999999998</c:v>
                </c:pt>
                <c:pt idx="3">
                  <c:v>3.55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'Short Term Interest'!$X$23</c:f>
              <c:strCache>
                <c:ptCount val="1"/>
                <c:pt idx="0">
                  <c:v>상대</c:v>
                </c:pt>
              </c:strCache>
            </c:strRef>
          </c:tx>
          <c:spPr>
            <a:ln w="22225">
              <a:solidFill>
                <a:srgbClr val="FF660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strRef>
              <c:f>'Short Term Interest'!$Y$21:$AB$21</c:f>
              <c:strCache>
                <c:ptCount val="4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1Y</c:v>
                </c:pt>
              </c:strCache>
            </c:strRef>
          </c:cat>
          <c:val>
            <c:numRef>
              <c:f>'Short Term Interest'!$Y$23:$AB$23</c:f>
              <c:numCache>
                <c:formatCode>0.000</c:formatCode>
                <c:ptCount val="4"/>
                <c:pt idx="0">
                  <c:v>4.2759999999999998</c:v>
                </c:pt>
                <c:pt idx="1">
                  <c:v>4.4420000000000002</c:v>
                </c:pt>
                <c:pt idx="2">
                  <c:v>4.4589999999999996</c:v>
                </c:pt>
                <c:pt idx="3">
                  <c:v>4.4710000000000001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925440"/>
        <c:axId val="144926976"/>
      </c:lineChart>
      <c:catAx>
        <c:axId val="1449254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4926976"/>
        <c:crosses val="autoZero"/>
        <c:auto val="1"/>
        <c:lblAlgn val="ctr"/>
        <c:lblOffset val="100"/>
        <c:noMultiLvlLbl val="0"/>
      </c:catAx>
      <c:valAx>
        <c:axId val="144926976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4925440"/>
        <c:crosses val="autoZero"/>
        <c:crossBetween val="between"/>
      </c:valAx>
      <c:valAx>
        <c:axId val="144932864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4934400"/>
        <c:crosses val="max"/>
        <c:crossBetween val="between"/>
      </c:valAx>
      <c:catAx>
        <c:axId val="144934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44932864"/>
        <c:crosses val="autoZero"/>
        <c:auto val="1"/>
        <c:lblAlgn val="ctr"/>
        <c:lblOffset val="100"/>
        <c:noMultiLvlLbl val="0"/>
      </c:catAx>
    </c:plotArea>
    <c:legend>
      <c:legendPos val="b"/>
      <c:layout>
        <c:manualLayout>
          <c:xMode val="edge"/>
          <c:yMode val="edge"/>
          <c:x val="0.19787401574803146"/>
          <c:y val="0.87747942904397946"/>
          <c:w val="0.58856569399413294"/>
          <c:h val="0.1225205709560207"/>
        </c:manualLayout>
      </c:layout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showDLblsOverMax val="0"/>
  </c:chart>
  <c:spPr>
    <a:ln w="9525">
      <a:solidFill>
        <a:schemeClr val="bg1">
          <a:lumMod val="75000"/>
        </a:schemeClr>
      </a:solidFill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4317430909371613E-2"/>
          <c:y val="8.6021478892102488E-2"/>
          <c:w val="0.77956090782769794"/>
          <c:h val="0.6558432721905554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'Short Term Interest'!$AD$11</c:f>
              <c:strCache>
                <c:ptCount val="1"/>
                <c:pt idx="0">
                  <c:v>SP(bp)</c:v>
                </c:pt>
              </c:strCache>
            </c:strRef>
          </c:tx>
          <c:spPr>
            <a:solidFill>
              <a:srgbClr val="00CC99"/>
            </a:solidFill>
          </c:spPr>
          <c:invertIfNegative val="0"/>
          <c:cat>
            <c:strRef>
              <c:f>'Short Term Interest'!$AE$8:$AH$8</c:f>
              <c:strCache>
                <c:ptCount val="4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1Y</c:v>
                </c:pt>
              </c:strCache>
            </c:strRef>
          </c:cat>
          <c:val>
            <c:numRef>
              <c:f>'Short Term Interest'!$AE$11:$AH$11</c:f>
              <c:numCache>
                <c:formatCode>0.00</c:formatCode>
                <c:ptCount val="4"/>
                <c:pt idx="0">
                  <c:v>-50.70000000000001</c:v>
                </c:pt>
                <c:pt idx="1">
                  <c:v>-56.59999999999998</c:v>
                </c:pt>
                <c:pt idx="2">
                  <c:v>-68.200000000000045</c:v>
                </c:pt>
                <c:pt idx="3">
                  <c:v>-68.199999999999989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986880"/>
        <c:axId val="144976896"/>
      </c:barChart>
      <c:lineChart>
        <c:grouping val="standard"/>
        <c:varyColors val="0"/>
        <c:ser>
          <c:idx val="0"/>
          <c:order val="0"/>
          <c:tx>
            <c:strRef>
              <c:f>'Short Term Interest'!$AD$9</c:f>
              <c:strCache>
                <c:ptCount val="1"/>
                <c:pt idx="0">
                  <c:v>기준</c:v>
                </c:pt>
              </c:strCache>
            </c:strRef>
          </c:tx>
          <c:spPr>
            <a:ln w="22225">
              <a:solidFill>
                <a:srgbClr val="0066FF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strRef>
              <c:f>'Short Term Interest'!$AE$8:$AH$8</c:f>
              <c:strCache>
                <c:ptCount val="4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1Y</c:v>
                </c:pt>
              </c:strCache>
            </c:strRef>
          </c:cat>
          <c:val>
            <c:numRef>
              <c:f>'Short Term Interest'!$AE$9:$AH$9</c:f>
              <c:numCache>
                <c:formatCode>0.000</c:formatCode>
                <c:ptCount val="4"/>
                <c:pt idx="0">
                  <c:v>3.72</c:v>
                </c:pt>
                <c:pt idx="1">
                  <c:v>3.8730000000000002</c:v>
                </c:pt>
                <c:pt idx="2">
                  <c:v>3.8929999999999998</c:v>
                </c:pt>
                <c:pt idx="3">
                  <c:v>3.9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'Short Term Interest'!$AD$10</c:f>
              <c:strCache>
                <c:ptCount val="1"/>
                <c:pt idx="0">
                  <c:v>상대</c:v>
                </c:pt>
              </c:strCache>
            </c:strRef>
          </c:tx>
          <c:spPr>
            <a:ln w="22225">
              <a:solidFill>
                <a:srgbClr val="FF660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strRef>
              <c:f>'Short Term Interest'!$AE$8:$AH$8</c:f>
              <c:strCache>
                <c:ptCount val="4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1Y</c:v>
                </c:pt>
              </c:strCache>
            </c:strRef>
          </c:cat>
          <c:val>
            <c:numRef>
              <c:f>'Short Term Interest'!$AE$10:$AH$10</c:f>
              <c:numCache>
                <c:formatCode>0.000</c:formatCode>
                <c:ptCount val="4"/>
                <c:pt idx="0">
                  <c:v>4.2270000000000003</c:v>
                </c:pt>
                <c:pt idx="1">
                  <c:v>4.4390000000000001</c:v>
                </c:pt>
                <c:pt idx="2">
                  <c:v>4.5750000000000002</c:v>
                </c:pt>
                <c:pt idx="3">
                  <c:v>4.5819999999999999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973824"/>
        <c:axId val="144975360"/>
      </c:lineChart>
      <c:catAx>
        <c:axId val="1449738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4975360"/>
        <c:crosses val="autoZero"/>
        <c:auto val="1"/>
        <c:lblAlgn val="ctr"/>
        <c:lblOffset val="100"/>
        <c:noMultiLvlLbl val="0"/>
      </c:catAx>
      <c:valAx>
        <c:axId val="144975360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4973824"/>
        <c:crosses val="autoZero"/>
        <c:crossBetween val="between"/>
      </c:valAx>
      <c:valAx>
        <c:axId val="14497689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4986880"/>
        <c:crosses val="max"/>
        <c:crossBetween val="between"/>
      </c:valAx>
      <c:catAx>
        <c:axId val="14498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44976896"/>
        <c:crosses val="autoZero"/>
        <c:auto val="1"/>
        <c:lblAlgn val="ctr"/>
        <c:lblOffset val="100"/>
        <c:noMultiLvlLbl val="0"/>
      </c:catAx>
    </c:plotArea>
    <c:legend>
      <c:legendPos val="b"/>
      <c:layout>
        <c:manualLayout>
          <c:xMode val="edge"/>
          <c:yMode val="edge"/>
          <c:x val="0.19787401574803146"/>
          <c:y val="0.87747942904397946"/>
          <c:w val="0.59735025659106045"/>
          <c:h val="0.1163774800583481"/>
        </c:manualLayout>
      </c:layout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showDLblsOverMax val="0"/>
  </c:chart>
  <c:spPr>
    <a:ln w="9525">
      <a:solidFill>
        <a:schemeClr val="bg1">
          <a:lumMod val="75000"/>
        </a:schemeClr>
      </a:solidFill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4317430909371613E-2"/>
          <c:y val="8.6021478892102488E-2"/>
          <c:w val="0.77956090782769794"/>
          <c:h val="0.65584327219055549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'Short Term Interest'!$AD$24</c:f>
              <c:strCache>
                <c:ptCount val="1"/>
                <c:pt idx="0">
                  <c:v>SP(bp)</c:v>
                </c:pt>
              </c:strCache>
            </c:strRef>
          </c:tx>
          <c:spPr>
            <a:solidFill>
              <a:srgbClr val="00CC99"/>
            </a:solidFill>
          </c:spPr>
          <c:invertIfNegative val="0"/>
          <c:cat>
            <c:strRef>
              <c:f>'Short Term Interest'!$AE$21:$AH$21</c:f>
              <c:strCache>
                <c:ptCount val="4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1Y</c:v>
                </c:pt>
              </c:strCache>
            </c:strRef>
          </c:cat>
          <c:val>
            <c:numRef>
              <c:f>'Short Term Interest'!$AE$24:$AH$24</c:f>
              <c:numCache>
                <c:formatCode>0.00</c:formatCode>
                <c:ptCount val="4"/>
                <c:pt idx="0">
                  <c:v>-15.700000000000003</c:v>
                </c:pt>
                <c:pt idx="1">
                  <c:v>-24.500000000000011</c:v>
                </c:pt>
                <c:pt idx="2">
                  <c:v>-26.799999999999979</c:v>
                </c:pt>
                <c:pt idx="3">
                  <c:v>-40.700000000000003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036416"/>
        <c:axId val="145034624"/>
      </c:barChart>
      <c:lineChart>
        <c:grouping val="standard"/>
        <c:varyColors val="0"/>
        <c:ser>
          <c:idx val="0"/>
          <c:order val="0"/>
          <c:tx>
            <c:strRef>
              <c:f>'Short Term Interest'!$AD$22</c:f>
              <c:strCache>
                <c:ptCount val="1"/>
                <c:pt idx="0">
                  <c:v>기준</c:v>
                </c:pt>
              </c:strCache>
            </c:strRef>
          </c:tx>
          <c:spPr>
            <a:ln w="22225">
              <a:solidFill>
                <a:srgbClr val="0066FF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strRef>
              <c:f>'Short Term Interest'!$AE$21:$AH$21</c:f>
              <c:strCache>
                <c:ptCount val="4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1Y</c:v>
                </c:pt>
              </c:strCache>
            </c:strRef>
          </c:cat>
          <c:val>
            <c:numRef>
              <c:f>'Short Term Interest'!$AE$22:$AH$22</c:f>
              <c:numCache>
                <c:formatCode>0.000</c:formatCode>
                <c:ptCount val="4"/>
                <c:pt idx="0">
                  <c:v>4.2270000000000003</c:v>
                </c:pt>
                <c:pt idx="1">
                  <c:v>4.4390000000000001</c:v>
                </c:pt>
                <c:pt idx="2">
                  <c:v>4.5750000000000002</c:v>
                </c:pt>
                <c:pt idx="3">
                  <c:v>4.5819999999999999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'Short Term Interest'!$AD$23</c:f>
              <c:strCache>
                <c:ptCount val="1"/>
                <c:pt idx="0">
                  <c:v>상대</c:v>
                </c:pt>
              </c:strCache>
            </c:strRef>
          </c:tx>
          <c:spPr>
            <a:ln w="22225">
              <a:solidFill>
                <a:srgbClr val="FF660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strRef>
              <c:f>'Short Term Interest'!$AE$21:$AH$21</c:f>
              <c:strCache>
                <c:ptCount val="4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1Y</c:v>
                </c:pt>
              </c:strCache>
            </c:strRef>
          </c:cat>
          <c:val>
            <c:numRef>
              <c:f>'Short Term Interest'!$AE$23:$AH$23</c:f>
              <c:numCache>
                <c:formatCode>0.000</c:formatCode>
                <c:ptCount val="4"/>
                <c:pt idx="0">
                  <c:v>4.3840000000000003</c:v>
                </c:pt>
                <c:pt idx="1">
                  <c:v>4.6840000000000002</c:v>
                </c:pt>
                <c:pt idx="2">
                  <c:v>4.843</c:v>
                </c:pt>
                <c:pt idx="3">
                  <c:v>4.9889999999999999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031552"/>
        <c:axId val="145033088"/>
      </c:lineChart>
      <c:catAx>
        <c:axId val="1450315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5033088"/>
        <c:crosses val="autoZero"/>
        <c:auto val="1"/>
        <c:lblAlgn val="ctr"/>
        <c:lblOffset val="100"/>
        <c:noMultiLvlLbl val="0"/>
      </c:catAx>
      <c:valAx>
        <c:axId val="145033088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5031552"/>
        <c:crosses val="autoZero"/>
        <c:crossBetween val="between"/>
      </c:valAx>
      <c:valAx>
        <c:axId val="145034624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5036416"/>
        <c:crosses val="max"/>
        <c:crossBetween val="between"/>
      </c:valAx>
      <c:catAx>
        <c:axId val="145036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45034624"/>
        <c:crosses val="autoZero"/>
        <c:auto val="1"/>
        <c:lblAlgn val="ctr"/>
        <c:lblOffset val="100"/>
        <c:noMultiLvlLbl val="0"/>
      </c:catAx>
    </c:plotArea>
    <c:legend>
      <c:legendPos val="b"/>
      <c:layout>
        <c:manualLayout>
          <c:xMode val="edge"/>
          <c:yMode val="edge"/>
          <c:x val="0.19787401574803146"/>
          <c:y val="0.87747942904397946"/>
          <c:w val="0.59735025659106045"/>
          <c:h val="0.1163774800583481"/>
        </c:manualLayout>
      </c:layout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showDLblsOverMax val="0"/>
  </c:chart>
  <c:spPr>
    <a:ln w="9525">
      <a:solidFill>
        <a:schemeClr val="bg1">
          <a:lumMod val="75000"/>
        </a:schemeClr>
      </a:solidFill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CD/CP</a:t>
            </a:r>
            <a:endParaRPr lang="ko-KR" altLang="en-US"/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'Short Term Interest'!$BE$8</c:f>
              <c:strCache>
                <c:ptCount val="1"/>
                <c:pt idx="0">
                  <c:v>CD91</c:v>
                </c:pt>
              </c:strCache>
            </c:strRef>
          </c:tx>
          <c:spPr>
            <a:ln w="25400">
              <a:solidFill>
                <a:srgbClr val="00CC99"/>
              </a:solidFill>
            </a:ln>
          </c:spPr>
          <c:marker>
            <c:symbol val="none"/>
          </c:marker>
          <c:cat>
            <c:numRef>
              <c:f>'Short Term Interest'!$BE$12:$BE$33</c:f>
              <c:numCache>
                <c:formatCode>m/d/yyyy</c:formatCode>
                <c:ptCount val="22"/>
                <c:pt idx="0">
                  <c:v>44944</c:v>
                </c:pt>
                <c:pt idx="1">
                  <c:v>44943</c:v>
                </c:pt>
                <c:pt idx="2">
                  <c:v>44942</c:v>
                </c:pt>
                <c:pt idx="3">
                  <c:v>44939</c:v>
                </c:pt>
                <c:pt idx="4">
                  <c:v>44938</c:v>
                </c:pt>
                <c:pt idx="5">
                  <c:v>44937</c:v>
                </c:pt>
                <c:pt idx="6">
                  <c:v>44936</c:v>
                </c:pt>
                <c:pt idx="7">
                  <c:v>44935</c:v>
                </c:pt>
                <c:pt idx="8">
                  <c:v>44932</c:v>
                </c:pt>
                <c:pt idx="9">
                  <c:v>44931</c:v>
                </c:pt>
                <c:pt idx="10">
                  <c:v>44930</c:v>
                </c:pt>
                <c:pt idx="11">
                  <c:v>44929</c:v>
                </c:pt>
                <c:pt idx="12">
                  <c:v>44928</c:v>
                </c:pt>
              </c:numCache>
            </c:numRef>
          </c:cat>
          <c:val>
            <c:numRef>
              <c:f>'Short Term Interest'!$BF$12:$BF$33</c:f>
              <c:numCache>
                <c:formatCode>General</c:formatCode>
                <c:ptCount val="22"/>
                <c:pt idx="0">
                  <c:v>3.72</c:v>
                </c:pt>
                <c:pt idx="1">
                  <c:v>3.74</c:v>
                </c:pt>
                <c:pt idx="2">
                  <c:v>3.79</c:v>
                </c:pt>
                <c:pt idx="3">
                  <c:v>3.88</c:v>
                </c:pt>
                <c:pt idx="4">
                  <c:v>3.87</c:v>
                </c:pt>
                <c:pt idx="5">
                  <c:v>3.88</c:v>
                </c:pt>
                <c:pt idx="6">
                  <c:v>3.9</c:v>
                </c:pt>
                <c:pt idx="7">
                  <c:v>3.92</c:v>
                </c:pt>
                <c:pt idx="8">
                  <c:v>3.92</c:v>
                </c:pt>
                <c:pt idx="9">
                  <c:v>3.96</c:v>
                </c:pt>
                <c:pt idx="10">
                  <c:v>3.96</c:v>
                </c:pt>
                <c:pt idx="11">
                  <c:v>3.96</c:v>
                </c:pt>
                <c:pt idx="12">
                  <c:v>3.98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'Short Term Interest'!$BG$8</c:f>
              <c:strCache>
                <c:ptCount val="1"/>
                <c:pt idx="0">
                  <c:v>CP91</c:v>
                </c:pt>
              </c:strCache>
            </c:strRef>
          </c:tx>
          <c:spPr>
            <a:ln w="2540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'Short Term Interest'!$BE$12:$BE$33</c:f>
              <c:numCache>
                <c:formatCode>m/d/yyyy</c:formatCode>
                <c:ptCount val="22"/>
                <c:pt idx="0">
                  <c:v>44944</c:v>
                </c:pt>
                <c:pt idx="1">
                  <c:v>44943</c:v>
                </c:pt>
                <c:pt idx="2">
                  <c:v>44942</c:v>
                </c:pt>
                <c:pt idx="3">
                  <c:v>44939</c:v>
                </c:pt>
                <c:pt idx="4">
                  <c:v>44938</c:v>
                </c:pt>
                <c:pt idx="5">
                  <c:v>44937</c:v>
                </c:pt>
                <c:pt idx="6">
                  <c:v>44936</c:v>
                </c:pt>
                <c:pt idx="7">
                  <c:v>44935</c:v>
                </c:pt>
                <c:pt idx="8">
                  <c:v>44932</c:v>
                </c:pt>
                <c:pt idx="9">
                  <c:v>44931</c:v>
                </c:pt>
                <c:pt idx="10">
                  <c:v>44930</c:v>
                </c:pt>
                <c:pt idx="11">
                  <c:v>44929</c:v>
                </c:pt>
                <c:pt idx="12">
                  <c:v>44928</c:v>
                </c:pt>
              </c:numCache>
            </c:numRef>
          </c:cat>
          <c:val>
            <c:numRef>
              <c:f>'Short Term Interest'!$BG$12:$BG$33</c:f>
              <c:numCache>
                <c:formatCode>General</c:formatCode>
                <c:ptCount val="22"/>
                <c:pt idx="0">
                  <c:v>4.8099999999999996</c:v>
                </c:pt>
                <c:pt idx="1">
                  <c:v>4.83</c:v>
                </c:pt>
                <c:pt idx="2">
                  <c:v>4.8600000000000003</c:v>
                </c:pt>
                <c:pt idx="3">
                  <c:v>4.9000000000000004</c:v>
                </c:pt>
                <c:pt idx="4">
                  <c:v>4.87</c:v>
                </c:pt>
                <c:pt idx="5">
                  <c:v>4.9000000000000004</c:v>
                </c:pt>
                <c:pt idx="6">
                  <c:v>4.9400000000000004</c:v>
                </c:pt>
                <c:pt idx="7">
                  <c:v>4.97</c:v>
                </c:pt>
                <c:pt idx="8">
                  <c:v>5.01</c:v>
                </c:pt>
                <c:pt idx="9">
                  <c:v>5.0599999999999996</c:v>
                </c:pt>
                <c:pt idx="10">
                  <c:v>5.1100000000000003</c:v>
                </c:pt>
                <c:pt idx="11">
                  <c:v>5.15</c:v>
                </c:pt>
                <c:pt idx="12">
                  <c:v>5.18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071488"/>
        <c:axId val="145077376"/>
      </c:lineChart>
      <c:dateAx>
        <c:axId val="1450714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5077376"/>
        <c:crosses val="autoZero"/>
        <c:auto val="1"/>
        <c:lblOffset val="100"/>
        <c:baseTimeUnit val="days"/>
      </c:dateAx>
      <c:valAx>
        <c:axId val="1450773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5071488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0"/>
    <c:dispBlanksAs val="gap"/>
    <c:showDLblsOverMax val="0"/>
  </c:chart>
  <c:spPr>
    <a:ln w="9525">
      <a:solidFill>
        <a:schemeClr val="bg1">
          <a:lumMod val="75000"/>
        </a:schemeClr>
      </a:solidFill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en-US"/>
              <a:t>COFIX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'Short Term Interest'!$BI$10</c:f>
              <c:strCache>
                <c:ptCount val="1"/>
                <c:pt idx="0">
                  <c:v>COFIX</c:v>
                </c:pt>
              </c:strCache>
            </c:strRef>
          </c:tx>
          <c:spPr>
            <a:ln w="25400">
              <a:solidFill>
                <a:srgbClr val="0066FF"/>
              </a:solidFill>
            </a:ln>
          </c:spPr>
          <c:marker>
            <c:symbol val="none"/>
          </c:marker>
          <c:cat>
            <c:numRef>
              <c:f>'Short Term Interest'!$BI$12:$BI$61</c:f>
              <c:numCache>
                <c:formatCode>m/d/yyyy</c:formatCode>
                <c:ptCount val="50"/>
                <c:pt idx="0">
                  <c:v>44937</c:v>
                </c:pt>
                <c:pt idx="1">
                  <c:v>44930</c:v>
                </c:pt>
                <c:pt idx="2">
                  <c:v>44923</c:v>
                </c:pt>
                <c:pt idx="3">
                  <c:v>44916</c:v>
                </c:pt>
                <c:pt idx="4">
                  <c:v>44909</c:v>
                </c:pt>
                <c:pt idx="5">
                  <c:v>44902</c:v>
                </c:pt>
                <c:pt idx="6">
                  <c:v>44895</c:v>
                </c:pt>
                <c:pt idx="7">
                  <c:v>44888</c:v>
                </c:pt>
                <c:pt idx="8">
                  <c:v>44881</c:v>
                </c:pt>
                <c:pt idx="9">
                  <c:v>44874</c:v>
                </c:pt>
                <c:pt idx="10">
                  <c:v>44867</c:v>
                </c:pt>
                <c:pt idx="11">
                  <c:v>44860</c:v>
                </c:pt>
                <c:pt idx="12">
                  <c:v>44853</c:v>
                </c:pt>
                <c:pt idx="13">
                  <c:v>44847</c:v>
                </c:pt>
                <c:pt idx="14">
                  <c:v>44840</c:v>
                </c:pt>
                <c:pt idx="15">
                  <c:v>44832</c:v>
                </c:pt>
                <c:pt idx="16">
                  <c:v>44825</c:v>
                </c:pt>
                <c:pt idx="17">
                  <c:v>44819</c:v>
                </c:pt>
                <c:pt idx="18">
                  <c:v>44811</c:v>
                </c:pt>
                <c:pt idx="19">
                  <c:v>44804</c:v>
                </c:pt>
                <c:pt idx="20">
                  <c:v>44797</c:v>
                </c:pt>
                <c:pt idx="21">
                  <c:v>44791</c:v>
                </c:pt>
                <c:pt idx="22">
                  <c:v>44783</c:v>
                </c:pt>
                <c:pt idx="23">
                  <c:v>44776</c:v>
                </c:pt>
                <c:pt idx="24">
                  <c:v>44769</c:v>
                </c:pt>
                <c:pt idx="25">
                  <c:v>44762</c:v>
                </c:pt>
                <c:pt idx="26">
                  <c:v>44755</c:v>
                </c:pt>
                <c:pt idx="27">
                  <c:v>44748</c:v>
                </c:pt>
                <c:pt idx="28">
                  <c:v>44741</c:v>
                </c:pt>
                <c:pt idx="29">
                  <c:v>44734</c:v>
                </c:pt>
                <c:pt idx="30">
                  <c:v>44727</c:v>
                </c:pt>
                <c:pt idx="31">
                  <c:v>44721</c:v>
                </c:pt>
                <c:pt idx="32">
                  <c:v>44714</c:v>
                </c:pt>
                <c:pt idx="33">
                  <c:v>44706</c:v>
                </c:pt>
                <c:pt idx="34">
                  <c:v>44699</c:v>
                </c:pt>
                <c:pt idx="35">
                  <c:v>44692</c:v>
                </c:pt>
                <c:pt idx="36">
                  <c:v>44685</c:v>
                </c:pt>
                <c:pt idx="37">
                  <c:v>44678</c:v>
                </c:pt>
                <c:pt idx="38">
                  <c:v>44671</c:v>
                </c:pt>
                <c:pt idx="39">
                  <c:v>44664</c:v>
                </c:pt>
                <c:pt idx="40">
                  <c:v>44657</c:v>
                </c:pt>
                <c:pt idx="41">
                  <c:v>44650</c:v>
                </c:pt>
                <c:pt idx="42">
                  <c:v>44643</c:v>
                </c:pt>
                <c:pt idx="43">
                  <c:v>44636</c:v>
                </c:pt>
                <c:pt idx="44">
                  <c:v>44630</c:v>
                </c:pt>
                <c:pt idx="45">
                  <c:v>44623</c:v>
                </c:pt>
                <c:pt idx="46">
                  <c:v>44615</c:v>
                </c:pt>
                <c:pt idx="47">
                  <c:v>44608</c:v>
                </c:pt>
                <c:pt idx="48">
                  <c:v>44601</c:v>
                </c:pt>
                <c:pt idx="49">
                  <c:v>44587</c:v>
                </c:pt>
              </c:numCache>
            </c:numRef>
          </c:cat>
          <c:val>
            <c:numRef>
              <c:f>'Short Term Interest'!$BJ$12:$BJ$61</c:f>
              <c:numCache>
                <c:formatCode>General</c:formatCode>
                <c:ptCount val="50"/>
                <c:pt idx="0">
                  <c:v>3.97</c:v>
                </c:pt>
                <c:pt idx="1">
                  <c:v>4.0599999999999996</c:v>
                </c:pt>
                <c:pt idx="2">
                  <c:v>3.96</c:v>
                </c:pt>
                <c:pt idx="3">
                  <c:v>4.17</c:v>
                </c:pt>
                <c:pt idx="4">
                  <c:v>4.3</c:v>
                </c:pt>
                <c:pt idx="5">
                  <c:v>4.17</c:v>
                </c:pt>
                <c:pt idx="6">
                  <c:v>4.0999999999999996</c:v>
                </c:pt>
                <c:pt idx="7">
                  <c:v>4.0999999999999996</c:v>
                </c:pt>
                <c:pt idx="8">
                  <c:v>4.08</c:v>
                </c:pt>
                <c:pt idx="9">
                  <c:v>4.0599999999999996</c:v>
                </c:pt>
                <c:pt idx="10">
                  <c:v>3.88</c:v>
                </c:pt>
                <c:pt idx="11">
                  <c:v>3.84</c:v>
                </c:pt>
                <c:pt idx="12">
                  <c:v>3.53</c:v>
                </c:pt>
                <c:pt idx="13">
                  <c:v>3.31</c:v>
                </c:pt>
                <c:pt idx="14">
                  <c:v>3.51</c:v>
                </c:pt>
                <c:pt idx="15">
                  <c:v>3.09</c:v>
                </c:pt>
                <c:pt idx="16">
                  <c:v>2.96</c:v>
                </c:pt>
                <c:pt idx="17">
                  <c:v>2.86</c:v>
                </c:pt>
                <c:pt idx="18">
                  <c:v>2.82</c:v>
                </c:pt>
                <c:pt idx="19">
                  <c:v>2.69</c:v>
                </c:pt>
                <c:pt idx="20">
                  <c:v>2.76</c:v>
                </c:pt>
                <c:pt idx="21">
                  <c:v>2.64</c:v>
                </c:pt>
                <c:pt idx="22">
                  <c:v>2.58</c:v>
                </c:pt>
                <c:pt idx="23">
                  <c:v>2.57</c:v>
                </c:pt>
                <c:pt idx="24">
                  <c:v>2.5499999999999998</c:v>
                </c:pt>
                <c:pt idx="25">
                  <c:v>2.3199999999999998</c:v>
                </c:pt>
                <c:pt idx="26">
                  <c:v>2.06</c:v>
                </c:pt>
                <c:pt idx="27">
                  <c:v>2.16</c:v>
                </c:pt>
                <c:pt idx="28">
                  <c:v>2.0099999999999998</c:v>
                </c:pt>
                <c:pt idx="29">
                  <c:v>1.98</c:v>
                </c:pt>
                <c:pt idx="30">
                  <c:v>1.99</c:v>
                </c:pt>
                <c:pt idx="31">
                  <c:v>1.97</c:v>
                </c:pt>
                <c:pt idx="32">
                  <c:v>1.82</c:v>
                </c:pt>
                <c:pt idx="33">
                  <c:v>1.8</c:v>
                </c:pt>
                <c:pt idx="34">
                  <c:v>1.81</c:v>
                </c:pt>
                <c:pt idx="35">
                  <c:v>1.7</c:v>
                </c:pt>
                <c:pt idx="36">
                  <c:v>1.69</c:v>
                </c:pt>
                <c:pt idx="37">
                  <c:v>1.7</c:v>
                </c:pt>
                <c:pt idx="38">
                  <c:v>1.54</c:v>
                </c:pt>
                <c:pt idx="39">
                  <c:v>1.55</c:v>
                </c:pt>
                <c:pt idx="40">
                  <c:v>1.52</c:v>
                </c:pt>
                <c:pt idx="41">
                  <c:v>1.54</c:v>
                </c:pt>
                <c:pt idx="42">
                  <c:v>1.61</c:v>
                </c:pt>
                <c:pt idx="43">
                  <c:v>1.57</c:v>
                </c:pt>
                <c:pt idx="44">
                  <c:v>1.57</c:v>
                </c:pt>
                <c:pt idx="45">
                  <c:v>1.54</c:v>
                </c:pt>
                <c:pt idx="46">
                  <c:v>1.55</c:v>
                </c:pt>
                <c:pt idx="47">
                  <c:v>1.62</c:v>
                </c:pt>
                <c:pt idx="48">
                  <c:v>1.52</c:v>
                </c:pt>
                <c:pt idx="49">
                  <c:v>1.56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082240"/>
        <c:axId val="145083776"/>
      </c:lineChart>
      <c:dateAx>
        <c:axId val="1450822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5083776"/>
        <c:crosses val="autoZero"/>
        <c:auto val="1"/>
        <c:lblOffset val="100"/>
        <c:baseTimeUnit val="days"/>
      </c:dateAx>
      <c:valAx>
        <c:axId val="1450837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5082240"/>
        <c:crosses val="autoZero"/>
        <c:crossBetween val="between"/>
      </c:valAx>
    </c:plotArea>
    <c:plotVisOnly val="0"/>
    <c:dispBlanksAs val="gap"/>
    <c:showDLblsOverMax val="0"/>
  </c:chart>
  <c:spPr>
    <a:noFill/>
    <a:ln w="9525">
      <a:solidFill>
        <a:schemeClr val="bg1">
          <a:lumMod val="75000"/>
        </a:schemeClr>
      </a:solidFill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2"/>
          <c:order val="2"/>
          <c:tx>
            <c:strRef>
              <c:f>history_chart!$BU$9</c:f>
              <c:strCache>
                <c:ptCount val="1"/>
                <c:pt idx="0">
                  <c:v>spread(bp)</c:v>
                </c:pt>
              </c:strCache>
            </c:strRef>
          </c:tx>
          <c:spPr>
            <a:solidFill>
              <a:srgbClr val="DBE5F1"/>
            </a:solidFill>
            <a:effectLst/>
          </c:spPr>
          <c:cat>
            <c:numRef>
              <c:f>history_chart!$BR$10:$BR$256</c:f>
              <c:numCache>
                <c:formatCode>m/d/yyyy</c:formatCode>
                <c:ptCount val="247"/>
                <c:pt idx="0">
                  <c:v>44943</c:v>
                </c:pt>
                <c:pt idx="1">
                  <c:v>44942</c:v>
                </c:pt>
                <c:pt idx="2">
                  <c:v>44939</c:v>
                </c:pt>
                <c:pt idx="3">
                  <c:v>44938</c:v>
                </c:pt>
                <c:pt idx="4">
                  <c:v>44937</c:v>
                </c:pt>
                <c:pt idx="5">
                  <c:v>44936</c:v>
                </c:pt>
                <c:pt idx="6">
                  <c:v>44935</c:v>
                </c:pt>
                <c:pt idx="7">
                  <c:v>44932</c:v>
                </c:pt>
                <c:pt idx="8">
                  <c:v>44931</c:v>
                </c:pt>
                <c:pt idx="9">
                  <c:v>44930</c:v>
                </c:pt>
                <c:pt idx="10">
                  <c:v>44929</c:v>
                </c:pt>
                <c:pt idx="11">
                  <c:v>44928</c:v>
                </c:pt>
                <c:pt idx="12">
                  <c:v>44925</c:v>
                </c:pt>
                <c:pt idx="13">
                  <c:v>44924</c:v>
                </c:pt>
                <c:pt idx="14">
                  <c:v>44923</c:v>
                </c:pt>
                <c:pt idx="15">
                  <c:v>44922</c:v>
                </c:pt>
                <c:pt idx="16">
                  <c:v>44921</c:v>
                </c:pt>
                <c:pt idx="17">
                  <c:v>44918</c:v>
                </c:pt>
                <c:pt idx="18">
                  <c:v>44917</c:v>
                </c:pt>
                <c:pt idx="19">
                  <c:v>44916</c:v>
                </c:pt>
                <c:pt idx="20">
                  <c:v>44915</c:v>
                </c:pt>
                <c:pt idx="21">
                  <c:v>44914</c:v>
                </c:pt>
                <c:pt idx="22">
                  <c:v>44911</c:v>
                </c:pt>
                <c:pt idx="23">
                  <c:v>44910</c:v>
                </c:pt>
                <c:pt idx="24">
                  <c:v>44909</c:v>
                </c:pt>
                <c:pt idx="25">
                  <c:v>44908</c:v>
                </c:pt>
                <c:pt idx="26">
                  <c:v>44907</c:v>
                </c:pt>
                <c:pt idx="27">
                  <c:v>44904</c:v>
                </c:pt>
                <c:pt idx="28">
                  <c:v>44903</c:v>
                </c:pt>
                <c:pt idx="29">
                  <c:v>44902</c:v>
                </c:pt>
                <c:pt idx="30">
                  <c:v>44901</c:v>
                </c:pt>
                <c:pt idx="31">
                  <c:v>44900</c:v>
                </c:pt>
                <c:pt idx="32">
                  <c:v>44897</c:v>
                </c:pt>
                <c:pt idx="33">
                  <c:v>44896</c:v>
                </c:pt>
                <c:pt idx="34">
                  <c:v>44895</c:v>
                </c:pt>
                <c:pt idx="35">
                  <c:v>44894</c:v>
                </c:pt>
                <c:pt idx="36">
                  <c:v>44893</c:v>
                </c:pt>
                <c:pt idx="37">
                  <c:v>44890</c:v>
                </c:pt>
                <c:pt idx="38">
                  <c:v>44889</c:v>
                </c:pt>
                <c:pt idx="39">
                  <c:v>44888</c:v>
                </c:pt>
                <c:pt idx="40">
                  <c:v>44887</c:v>
                </c:pt>
                <c:pt idx="41">
                  <c:v>44886</c:v>
                </c:pt>
                <c:pt idx="42">
                  <c:v>44883</c:v>
                </c:pt>
                <c:pt idx="43">
                  <c:v>44882</c:v>
                </c:pt>
                <c:pt idx="44">
                  <c:v>44881</c:v>
                </c:pt>
                <c:pt idx="45">
                  <c:v>44880</c:v>
                </c:pt>
                <c:pt idx="46">
                  <c:v>44879</c:v>
                </c:pt>
                <c:pt idx="47">
                  <c:v>44876</c:v>
                </c:pt>
                <c:pt idx="48">
                  <c:v>44875</c:v>
                </c:pt>
                <c:pt idx="49">
                  <c:v>44874</c:v>
                </c:pt>
                <c:pt idx="50">
                  <c:v>44873</c:v>
                </c:pt>
                <c:pt idx="51">
                  <c:v>44872</c:v>
                </c:pt>
                <c:pt idx="52">
                  <c:v>44869</c:v>
                </c:pt>
                <c:pt idx="53">
                  <c:v>44868</c:v>
                </c:pt>
                <c:pt idx="54">
                  <c:v>44867</c:v>
                </c:pt>
                <c:pt idx="55">
                  <c:v>44866</c:v>
                </c:pt>
                <c:pt idx="56">
                  <c:v>44865</c:v>
                </c:pt>
                <c:pt idx="57">
                  <c:v>44862</c:v>
                </c:pt>
                <c:pt idx="58">
                  <c:v>44861</c:v>
                </c:pt>
                <c:pt idx="59">
                  <c:v>44860</c:v>
                </c:pt>
                <c:pt idx="60">
                  <c:v>44859</c:v>
                </c:pt>
                <c:pt idx="61">
                  <c:v>44858</c:v>
                </c:pt>
                <c:pt idx="62">
                  <c:v>44855</c:v>
                </c:pt>
                <c:pt idx="63">
                  <c:v>44854</c:v>
                </c:pt>
                <c:pt idx="64">
                  <c:v>44853</c:v>
                </c:pt>
                <c:pt idx="65">
                  <c:v>44852</c:v>
                </c:pt>
                <c:pt idx="66">
                  <c:v>44851</c:v>
                </c:pt>
                <c:pt idx="67">
                  <c:v>44848</c:v>
                </c:pt>
                <c:pt idx="68">
                  <c:v>44847</c:v>
                </c:pt>
                <c:pt idx="69">
                  <c:v>44846</c:v>
                </c:pt>
                <c:pt idx="70">
                  <c:v>44845</c:v>
                </c:pt>
                <c:pt idx="71">
                  <c:v>44841</c:v>
                </c:pt>
                <c:pt idx="72">
                  <c:v>44840</c:v>
                </c:pt>
                <c:pt idx="73">
                  <c:v>44839</c:v>
                </c:pt>
                <c:pt idx="74">
                  <c:v>44838</c:v>
                </c:pt>
                <c:pt idx="75">
                  <c:v>44834</c:v>
                </c:pt>
                <c:pt idx="76">
                  <c:v>44833</c:v>
                </c:pt>
                <c:pt idx="77">
                  <c:v>44832</c:v>
                </c:pt>
                <c:pt idx="78">
                  <c:v>44831</c:v>
                </c:pt>
                <c:pt idx="79">
                  <c:v>44830</c:v>
                </c:pt>
                <c:pt idx="80">
                  <c:v>44827</c:v>
                </c:pt>
                <c:pt idx="81">
                  <c:v>44826</c:v>
                </c:pt>
                <c:pt idx="82">
                  <c:v>44825</c:v>
                </c:pt>
                <c:pt idx="83">
                  <c:v>44824</c:v>
                </c:pt>
                <c:pt idx="84">
                  <c:v>44823</c:v>
                </c:pt>
                <c:pt idx="85">
                  <c:v>44820</c:v>
                </c:pt>
                <c:pt idx="86">
                  <c:v>44819</c:v>
                </c:pt>
                <c:pt idx="87">
                  <c:v>44818</c:v>
                </c:pt>
                <c:pt idx="88">
                  <c:v>44817</c:v>
                </c:pt>
                <c:pt idx="89">
                  <c:v>44812</c:v>
                </c:pt>
                <c:pt idx="90">
                  <c:v>44811</c:v>
                </c:pt>
                <c:pt idx="91">
                  <c:v>44810</c:v>
                </c:pt>
                <c:pt idx="92">
                  <c:v>44809</c:v>
                </c:pt>
                <c:pt idx="93">
                  <c:v>44806</c:v>
                </c:pt>
                <c:pt idx="94">
                  <c:v>44805</c:v>
                </c:pt>
                <c:pt idx="95">
                  <c:v>44804</c:v>
                </c:pt>
                <c:pt idx="96">
                  <c:v>44803</c:v>
                </c:pt>
                <c:pt idx="97">
                  <c:v>44802</c:v>
                </c:pt>
                <c:pt idx="98">
                  <c:v>44799</c:v>
                </c:pt>
                <c:pt idx="99">
                  <c:v>44798</c:v>
                </c:pt>
                <c:pt idx="100">
                  <c:v>44797</c:v>
                </c:pt>
                <c:pt idx="101">
                  <c:v>44796</c:v>
                </c:pt>
                <c:pt idx="102">
                  <c:v>44795</c:v>
                </c:pt>
                <c:pt idx="103">
                  <c:v>44792</c:v>
                </c:pt>
                <c:pt idx="104">
                  <c:v>44791</c:v>
                </c:pt>
                <c:pt idx="105">
                  <c:v>44790</c:v>
                </c:pt>
                <c:pt idx="106">
                  <c:v>44789</c:v>
                </c:pt>
                <c:pt idx="107">
                  <c:v>44785</c:v>
                </c:pt>
                <c:pt idx="108">
                  <c:v>44784</c:v>
                </c:pt>
                <c:pt idx="109">
                  <c:v>44783</c:v>
                </c:pt>
                <c:pt idx="110">
                  <c:v>44782</c:v>
                </c:pt>
                <c:pt idx="111">
                  <c:v>44781</c:v>
                </c:pt>
                <c:pt idx="112">
                  <c:v>44778</c:v>
                </c:pt>
                <c:pt idx="113">
                  <c:v>44777</c:v>
                </c:pt>
                <c:pt idx="114">
                  <c:v>44776</c:v>
                </c:pt>
                <c:pt idx="115">
                  <c:v>44775</c:v>
                </c:pt>
                <c:pt idx="116">
                  <c:v>44774</c:v>
                </c:pt>
                <c:pt idx="117">
                  <c:v>44771</c:v>
                </c:pt>
                <c:pt idx="118">
                  <c:v>44770</c:v>
                </c:pt>
                <c:pt idx="119">
                  <c:v>44769</c:v>
                </c:pt>
                <c:pt idx="120">
                  <c:v>44768</c:v>
                </c:pt>
                <c:pt idx="121">
                  <c:v>44767</c:v>
                </c:pt>
                <c:pt idx="122">
                  <c:v>44764</c:v>
                </c:pt>
                <c:pt idx="123">
                  <c:v>44763</c:v>
                </c:pt>
                <c:pt idx="124">
                  <c:v>44762</c:v>
                </c:pt>
                <c:pt idx="125">
                  <c:v>44761</c:v>
                </c:pt>
                <c:pt idx="126">
                  <c:v>44760</c:v>
                </c:pt>
                <c:pt idx="127">
                  <c:v>44757</c:v>
                </c:pt>
                <c:pt idx="128">
                  <c:v>44756</c:v>
                </c:pt>
                <c:pt idx="129">
                  <c:v>44755</c:v>
                </c:pt>
                <c:pt idx="130">
                  <c:v>44754</c:v>
                </c:pt>
                <c:pt idx="131">
                  <c:v>44753</c:v>
                </c:pt>
                <c:pt idx="132">
                  <c:v>44750</c:v>
                </c:pt>
                <c:pt idx="133">
                  <c:v>44749</c:v>
                </c:pt>
                <c:pt idx="134">
                  <c:v>44748</c:v>
                </c:pt>
                <c:pt idx="135">
                  <c:v>44747</c:v>
                </c:pt>
                <c:pt idx="136">
                  <c:v>44746</c:v>
                </c:pt>
                <c:pt idx="137">
                  <c:v>44743</c:v>
                </c:pt>
                <c:pt idx="138">
                  <c:v>44742</c:v>
                </c:pt>
                <c:pt idx="139">
                  <c:v>44741</c:v>
                </c:pt>
                <c:pt idx="140">
                  <c:v>44740</c:v>
                </c:pt>
                <c:pt idx="141">
                  <c:v>44739</c:v>
                </c:pt>
                <c:pt idx="142">
                  <c:v>44736</c:v>
                </c:pt>
                <c:pt idx="143">
                  <c:v>44735</c:v>
                </c:pt>
                <c:pt idx="144">
                  <c:v>44734</c:v>
                </c:pt>
                <c:pt idx="145">
                  <c:v>44733</c:v>
                </c:pt>
                <c:pt idx="146">
                  <c:v>44732</c:v>
                </c:pt>
                <c:pt idx="147">
                  <c:v>44729</c:v>
                </c:pt>
                <c:pt idx="148">
                  <c:v>44728</c:v>
                </c:pt>
                <c:pt idx="149">
                  <c:v>44727</c:v>
                </c:pt>
                <c:pt idx="150">
                  <c:v>44726</c:v>
                </c:pt>
                <c:pt idx="151">
                  <c:v>44725</c:v>
                </c:pt>
                <c:pt idx="152">
                  <c:v>44722</c:v>
                </c:pt>
                <c:pt idx="153">
                  <c:v>44721</c:v>
                </c:pt>
                <c:pt idx="154">
                  <c:v>44720</c:v>
                </c:pt>
                <c:pt idx="155">
                  <c:v>44719</c:v>
                </c:pt>
                <c:pt idx="156">
                  <c:v>44715</c:v>
                </c:pt>
                <c:pt idx="157">
                  <c:v>44714</c:v>
                </c:pt>
                <c:pt idx="158">
                  <c:v>44712</c:v>
                </c:pt>
                <c:pt idx="159">
                  <c:v>44711</c:v>
                </c:pt>
                <c:pt idx="160">
                  <c:v>44708</c:v>
                </c:pt>
                <c:pt idx="161">
                  <c:v>44707</c:v>
                </c:pt>
                <c:pt idx="162">
                  <c:v>44706</c:v>
                </c:pt>
                <c:pt idx="163">
                  <c:v>44705</c:v>
                </c:pt>
                <c:pt idx="164">
                  <c:v>44704</c:v>
                </c:pt>
                <c:pt idx="165">
                  <c:v>44701</c:v>
                </c:pt>
                <c:pt idx="166">
                  <c:v>44700</c:v>
                </c:pt>
                <c:pt idx="167">
                  <c:v>44699</c:v>
                </c:pt>
                <c:pt idx="168">
                  <c:v>44698</c:v>
                </c:pt>
                <c:pt idx="169">
                  <c:v>44697</c:v>
                </c:pt>
                <c:pt idx="170">
                  <c:v>44694</c:v>
                </c:pt>
                <c:pt idx="171">
                  <c:v>44693</c:v>
                </c:pt>
                <c:pt idx="172">
                  <c:v>44692</c:v>
                </c:pt>
                <c:pt idx="173">
                  <c:v>44691</c:v>
                </c:pt>
                <c:pt idx="174">
                  <c:v>44690</c:v>
                </c:pt>
                <c:pt idx="175">
                  <c:v>44687</c:v>
                </c:pt>
                <c:pt idx="176">
                  <c:v>44685</c:v>
                </c:pt>
                <c:pt idx="177">
                  <c:v>44684</c:v>
                </c:pt>
                <c:pt idx="178">
                  <c:v>44683</c:v>
                </c:pt>
                <c:pt idx="179">
                  <c:v>44680</c:v>
                </c:pt>
                <c:pt idx="180">
                  <c:v>44679</c:v>
                </c:pt>
                <c:pt idx="181">
                  <c:v>44678</c:v>
                </c:pt>
                <c:pt idx="182">
                  <c:v>44677</c:v>
                </c:pt>
                <c:pt idx="183">
                  <c:v>44676</c:v>
                </c:pt>
                <c:pt idx="184">
                  <c:v>44673</c:v>
                </c:pt>
                <c:pt idx="185">
                  <c:v>44672</c:v>
                </c:pt>
                <c:pt idx="186">
                  <c:v>44671</c:v>
                </c:pt>
                <c:pt idx="187">
                  <c:v>44670</c:v>
                </c:pt>
                <c:pt idx="188">
                  <c:v>44669</c:v>
                </c:pt>
                <c:pt idx="189">
                  <c:v>44666</c:v>
                </c:pt>
                <c:pt idx="190">
                  <c:v>44665</c:v>
                </c:pt>
                <c:pt idx="191">
                  <c:v>44664</c:v>
                </c:pt>
                <c:pt idx="192">
                  <c:v>44663</c:v>
                </c:pt>
                <c:pt idx="193">
                  <c:v>44662</c:v>
                </c:pt>
                <c:pt idx="194">
                  <c:v>44659</c:v>
                </c:pt>
                <c:pt idx="195">
                  <c:v>44658</c:v>
                </c:pt>
                <c:pt idx="196">
                  <c:v>44657</c:v>
                </c:pt>
                <c:pt idx="197">
                  <c:v>44656</c:v>
                </c:pt>
                <c:pt idx="198">
                  <c:v>44655</c:v>
                </c:pt>
                <c:pt idx="199">
                  <c:v>44652</c:v>
                </c:pt>
                <c:pt idx="200">
                  <c:v>44651</c:v>
                </c:pt>
                <c:pt idx="201">
                  <c:v>44650</c:v>
                </c:pt>
                <c:pt idx="202">
                  <c:v>44649</c:v>
                </c:pt>
                <c:pt idx="203">
                  <c:v>44648</c:v>
                </c:pt>
                <c:pt idx="204">
                  <c:v>44645</c:v>
                </c:pt>
                <c:pt idx="205">
                  <c:v>44644</c:v>
                </c:pt>
                <c:pt idx="206">
                  <c:v>44643</c:v>
                </c:pt>
                <c:pt idx="207">
                  <c:v>44642</c:v>
                </c:pt>
                <c:pt idx="208">
                  <c:v>44641</c:v>
                </c:pt>
                <c:pt idx="209">
                  <c:v>44638</c:v>
                </c:pt>
                <c:pt idx="210">
                  <c:v>44637</c:v>
                </c:pt>
                <c:pt idx="211">
                  <c:v>44636</c:v>
                </c:pt>
                <c:pt idx="212">
                  <c:v>44635</c:v>
                </c:pt>
                <c:pt idx="213">
                  <c:v>44634</c:v>
                </c:pt>
                <c:pt idx="214">
                  <c:v>44631</c:v>
                </c:pt>
                <c:pt idx="215">
                  <c:v>44630</c:v>
                </c:pt>
                <c:pt idx="216">
                  <c:v>44628</c:v>
                </c:pt>
                <c:pt idx="217">
                  <c:v>44627</c:v>
                </c:pt>
                <c:pt idx="218">
                  <c:v>44624</c:v>
                </c:pt>
                <c:pt idx="219">
                  <c:v>44623</c:v>
                </c:pt>
                <c:pt idx="220">
                  <c:v>44622</c:v>
                </c:pt>
                <c:pt idx="221">
                  <c:v>44620</c:v>
                </c:pt>
                <c:pt idx="222">
                  <c:v>44617</c:v>
                </c:pt>
                <c:pt idx="223">
                  <c:v>44616</c:v>
                </c:pt>
                <c:pt idx="224">
                  <c:v>44615</c:v>
                </c:pt>
                <c:pt idx="225">
                  <c:v>44614</c:v>
                </c:pt>
                <c:pt idx="226">
                  <c:v>44613</c:v>
                </c:pt>
                <c:pt idx="227">
                  <c:v>44610</c:v>
                </c:pt>
                <c:pt idx="228">
                  <c:v>44609</c:v>
                </c:pt>
                <c:pt idx="229">
                  <c:v>44608</c:v>
                </c:pt>
                <c:pt idx="230">
                  <c:v>44607</c:v>
                </c:pt>
                <c:pt idx="231">
                  <c:v>44606</c:v>
                </c:pt>
                <c:pt idx="232">
                  <c:v>44603</c:v>
                </c:pt>
                <c:pt idx="233">
                  <c:v>44602</c:v>
                </c:pt>
                <c:pt idx="234">
                  <c:v>44601</c:v>
                </c:pt>
                <c:pt idx="235">
                  <c:v>44600</c:v>
                </c:pt>
                <c:pt idx="236">
                  <c:v>44599</c:v>
                </c:pt>
                <c:pt idx="237">
                  <c:v>44596</c:v>
                </c:pt>
                <c:pt idx="238">
                  <c:v>44595</c:v>
                </c:pt>
                <c:pt idx="239">
                  <c:v>44589</c:v>
                </c:pt>
                <c:pt idx="240">
                  <c:v>44588</c:v>
                </c:pt>
                <c:pt idx="241">
                  <c:v>44587</c:v>
                </c:pt>
                <c:pt idx="242">
                  <c:v>44586</c:v>
                </c:pt>
                <c:pt idx="243">
                  <c:v>44585</c:v>
                </c:pt>
                <c:pt idx="244">
                  <c:v>44582</c:v>
                </c:pt>
                <c:pt idx="245">
                  <c:v>44581</c:v>
                </c:pt>
                <c:pt idx="246">
                  <c:v>44580</c:v>
                </c:pt>
              </c:numCache>
            </c:numRef>
          </c:cat>
          <c:val>
            <c:numRef>
              <c:f>history_chart!$BU$10:$BU$256</c:f>
              <c:numCache>
                <c:formatCode>General</c:formatCode>
                <c:ptCount val="247"/>
                <c:pt idx="0">
                  <c:v>-4.6999999999999709</c:v>
                </c:pt>
                <c:pt idx="1">
                  <c:v>-5.699999999999994</c:v>
                </c:pt>
                <c:pt idx="2">
                  <c:v>-2.3000000000000131</c:v>
                </c:pt>
                <c:pt idx="3">
                  <c:v>-10.499999999999998</c:v>
                </c:pt>
                <c:pt idx="4">
                  <c:v>-14.000000000000012</c:v>
                </c:pt>
                <c:pt idx="5">
                  <c:v>-17.300000000000004</c:v>
                </c:pt>
                <c:pt idx="6">
                  <c:v>-17.199999999999971</c:v>
                </c:pt>
                <c:pt idx="7">
                  <c:v>-19.399999999999995</c:v>
                </c:pt>
                <c:pt idx="8">
                  <c:v>-18.000000000000014</c:v>
                </c:pt>
                <c:pt idx="9">
                  <c:v>-19.799999999999997</c:v>
                </c:pt>
                <c:pt idx="10">
                  <c:v>-20.800000000000018</c:v>
                </c:pt>
                <c:pt idx="11">
                  <c:v>-22.600000000000044</c:v>
                </c:pt>
                <c:pt idx="12">
                  <c:v>-21.099999999999987</c:v>
                </c:pt>
                <c:pt idx="13">
                  <c:v>-21.099999999999987</c:v>
                </c:pt>
                <c:pt idx="14">
                  <c:v>-20.100000000000009</c:v>
                </c:pt>
                <c:pt idx="15">
                  <c:v>-22.900000000000009</c:v>
                </c:pt>
                <c:pt idx="16">
                  <c:v>-24.399999999999977</c:v>
                </c:pt>
                <c:pt idx="17">
                  <c:v>-23.999999999999979</c:v>
                </c:pt>
                <c:pt idx="18">
                  <c:v>-24.40000000000002</c:v>
                </c:pt>
                <c:pt idx="19">
                  <c:v>-25.4</c:v>
                </c:pt>
                <c:pt idx="20">
                  <c:v>-28.200000000000003</c:v>
                </c:pt>
                <c:pt idx="21">
                  <c:v>-26.200000000000003</c:v>
                </c:pt>
                <c:pt idx="22">
                  <c:v>-26.500000000000014</c:v>
                </c:pt>
                <c:pt idx="23">
                  <c:v>-26.499999999999968</c:v>
                </c:pt>
                <c:pt idx="24">
                  <c:v>-27</c:v>
                </c:pt>
                <c:pt idx="25">
                  <c:v>-27.199999999999982</c:v>
                </c:pt>
                <c:pt idx="26">
                  <c:v>-27.800000000000004</c:v>
                </c:pt>
                <c:pt idx="27">
                  <c:v>-28.500000000000014</c:v>
                </c:pt>
                <c:pt idx="28">
                  <c:v>-28.699999999999992</c:v>
                </c:pt>
                <c:pt idx="29">
                  <c:v>-29.400000000000006</c:v>
                </c:pt>
                <c:pt idx="30">
                  <c:v>-29.099999999999994</c:v>
                </c:pt>
                <c:pt idx="31">
                  <c:v>-29.400000000000006</c:v>
                </c:pt>
                <c:pt idx="32">
                  <c:v>-32.699999999999996</c:v>
                </c:pt>
                <c:pt idx="33">
                  <c:v>-35.999999999999986</c:v>
                </c:pt>
                <c:pt idx="34">
                  <c:v>-36.000000000000028</c:v>
                </c:pt>
                <c:pt idx="35">
                  <c:v>-39.200000000000031</c:v>
                </c:pt>
                <c:pt idx="36">
                  <c:v>-36.79999999999999</c:v>
                </c:pt>
                <c:pt idx="37">
                  <c:v>-35.000000000000007</c:v>
                </c:pt>
                <c:pt idx="38">
                  <c:v>-37.300000000000026</c:v>
                </c:pt>
                <c:pt idx="39">
                  <c:v>-48.8</c:v>
                </c:pt>
                <c:pt idx="40">
                  <c:v>-50.299999999999969</c:v>
                </c:pt>
                <c:pt idx="41">
                  <c:v>-47.100000000000009</c:v>
                </c:pt>
                <c:pt idx="42">
                  <c:v>-43.800000000000018</c:v>
                </c:pt>
                <c:pt idx="43">
                  <c:v>-44.500000000000028</c:v>
                </c:pt>
                <c:pt idx="44">
                  <c:v>-44.499999999999986</c:v>
                </c:pt>
                <c:pt idx="45">
                  <c:v>-42.300000000000004</c:v>
                </c:pt>
                <c:pt idx="46">
                  <c:v>-45.100000000000009</c:v>
                </c:pt>
                <c:pt idx="47">
                  <c:v>-45.000000000000014</c:v>
                </c:pt>
                <c:pt idx="48">
                  <c:v>-48</c:v>
                </c:pt>
                <c:pt idx="49">
                  <c:v>-48.999999999999979</c:v>
                </c:pt>
                <c:pt idx="50">
                  <c:v>-50.4</c:v>
                </c:pt>
                <c:pt idx="51">
                  <c:v>-52.999999999999979</c:v>
                </c:pt>
                <c:pt idx="52">
                  <c:v>-51.699999999999989</c:v>
                </c:pt>
                <c:pt idx="53">
                  <c:v>-52.300000000000011</c:v>
                </c:pt>
                <c:pt idx="54">
                  <c:v>-51.2</c:v>
                </c:pt>
                <c:pt idx="55">
                  <c:v>-47.000000000000021</c:v>
                </c:pt>
                <c:pt idx="56">
                  <c:v>-47.40000000000002</c:v>
                </c:pt>
                <c:pt idx="57">
                  <c:v>-45.199999999999996</c:v>
                </c:pt>
                <c:pt idx="58">
                  <c:v>-48</c:v>
                </c:pt>
                <c:pt idx="59">
                  <c:v>-49.40000000000002</c:v>
                </c:pt>
                <c:pt idx="60">
                  <c:v>-50.8</c:v>
                </c:pt>
                <c:pt idx="61">
                  <c:v>-53.30000000000004</c:v>
                </c:pt>
                <c:pt idx="62">
                  <c:v>-60.299999999999976</c:v>
                </c:pt>
                <c:pt idx="63">
                  <c:v>-55.100000000000016</c:v>
                </c:pt>
                <c:pt idx="64">
                  <c:v>-56.099999999999994</c:v>
                </c:pt>
                <c:pt idx="65">
                  <c:v>-53.2</c:v>
                </c:pt>
                <c:pt idx="66">
                  <c:v>-49.000000000000021</c:v>
                </c:pt>
                <c:pt idx="67">
                  <c:v>-46.200000000000017</c:v>
                </c:pt>
                <c:pt idx="68">
                  <c:v>-46.900000000000034</c:v>
                </c:pt>
                <c:pt idx="69">
                  <c:v>-45.000000000000014</c:v>
                </c:pt>
                <c:pt idx="70">
                  <c:v>-64.000000000000014</c:v>
                </c:pt>
                <c:pt idx="71">
                  <c:v>-66.700000000000031</c:v>
                </c:pt>
                <c:pt idx="72">
                  <c:v>-71.200000000000017</c:v>
                </c:pt>
                <c:pt idx="73">
                  <c:v>-77</c:v>
                </c:pt>
                <c:pt idx="74">
                  <c:v>-73.999999999999972</c:v>
                </c:pt>
                <c:pt idx="75">
                  <c:v>-80.499999999999972</c:v>
                </c:pt>
                <c:pt idx="76">
                  <c:v>-88.499999999999972</c:v>
                </c:pt>
                <c:pt idx="77">
                  <c:v>-87.700000000000017</c:v>
                </c:pt>
                <c:pt idx="78">
                  <c:v>-85.600000000000037</c:v>
                </c:pt>
                <c:pt idx="79">
                  <c:v>-91.700000000000031</c:v>
                </c:pt>
                <c:pt idx="80">
                  <c:v>-75.300000000000011</c:v>
                </c:pt>
                <c:pt idx="81">
                  <c:v>-70.599999999999994</c:v>
                </c:pt>
                <c:pt idx="82">
                  <c:v>-66.799999999999969</c:v>
                </c:pt>
                <c:pt idx="83">
                  <c:v>-64.999999999999986</c:v>
                </c:pt>
                <c:pt idx="84">
                  <c:v>-62.700000000000024</c:v>
                </c:pt>
                <c:pt idx="85">
                  <c:v>-61.79999999999999</c:v>
                </c:pt>
                <c:pt idx="86">
                  <c:v>-62.000000000000014</c:v>
                </c:pt>
                <c:pt idx="87">
                  <c:v>-57.600000000000009</c:v>
                </c:pt>
                <c:pt idx="88">
                  <c:v>-55.3</c:v>
                </c:pt>
                <c:pt idx="89">
                  <c:v>-55.600000000000009</c:v>
                </c:pt>
                <c:pt idx="90">
                  <c:v>-61.100000000000023</c:v>
                </c:pt>
                <c:pt idx="91">
                  <c:v>-61.100000000000023</c:v>
                </c:pt>
                <c:pt idx="92">
                  <c:v>-57.400000000000027</c:v>
                </c:pt>
                <c:pt idx="93">
                  <c:v>-59.899999999999977</c:v>
                </c:pt>
                <c:pt idx="94">
                  <c:v>-63.800000000000033</c:v>
                </c:pt>
                <c:pt idx="95">
                  <c:v>-61.499999999999979</c:v>
                </c:pt>
                <c:pt idx="96">
                  <c:v>-60.099999999999994</c:v>
                </c:pt>
                <c:pt idx="97">
                  <c:v>-61.000000000000028</c:v>
                </c:pt>
                <c:pt idx="98">
                  <c:v>-57.500000000000014</c:v>
                </c:pt>
                <c:pt idx="99">
                  <c:v>-58.099999999999994</c:v>
                </c:pt>
                <c:pt idx="100">
                  <c:v>-55.500000000000014</c:v>
                </c:pt>
                <c:pt idx="101">
                  <c:v>-56.000000000000007</c:v>
                </c:pt>
                <c:pt idx="102">
                  <c:v>-55.500000000000014</c:v>
                </c:pt>
                <c:pt idx="103">
                  <c:v>-54.900000000000034</c:v>
                </c:pt>
                <c:pt idx="104">
                  <c:v>-52.999999999999979</c:v>
                </c:pt>
                <c:pt idx="105">
                  <c:v>-51.29999999999999</c:v>
                </c:pt>
                <c:pt idx="106">
                  <c:v>-51.699999999999989</c:v>
                </c:pt>
                <c:pt idx="107">
                  <c:v>-54.699999999999974</c:v>
                </c:pt>
                <c:pt idx="108">
                  <c:v>-56.299999999999969</c:v>
                </c:pt>
                <c:pt idx="109">
                  <c:v>-57.699999999999996</c:v>
                </c:pt>
                <c:pt idx="110">
                  <c:v>-57.500000000000014</c:v>
                </c:pt>
                <c:pt idx="111">
                  <c:v>-58.300000000000018</c:v>
                </c:pt>
                <c:pt idx="112">
                  <c:v>-57.800000000000026</c:v>
                </c:pt>
                <c:pt idx="113">
                  <c:v>-59.799999999999983</c:v>
                </c:pt>
                <c:pt idx="114">
                  <c:v>-62.000000000000014</c:v>
                </c:pt>
                <c:pt idx="115">
                  <c:v>-64.700000000000017</c:v>
                </c:pt>
                <c:pt idx="116">
                  <c:v>-68.100000000000009</c:v>
                </c:pt>
                <c:pt idx="117">
                  <c:v>-66.800000000000011</c:v>
                </c:pt>
                <c:pt idx="118">
                  <c:v>-70.799999999999969</c:v>
                </c:pt>
                <c:pt idx="119">
                  <c:v>-70.599999999999994</c:v>
                </c:pt>
                <c:pt idx="120">
                  <c:v>-70.699999999999989</c:v>
                </c:pt>
                <c:pt idx="121">
                  <c:v>-71</c:v>
                </c:pt>
                <c:pt idx="122">
                  <c:v>-72.2</c:v>
                </c:pt>
                <c:pt idx="123">
                  <c:v>-73</c:v>
                </c:pt>
                <c:pt idx="124">
                  <c:v>-73</c:v>
                </c:pt>
                <c:pt idx="125">
                  <c:v>-70.599999999999994</c:v>
                </c:pt>
                <c:pt idx="126">
                  <c:v>-72.099999999999966</c:v>
                </c:pt>
                <c:pt idx="127">
                  <c:v>-72.699999999999989</c:v>
                </c:pt>
                <c:pt idx="128">
                  <c:v>-71.899999999999991</c:v>
                </c:pt>
                <c:pt idx="129">
                  <c:v>-65.3</c:v>
                </c:pt>
                <c:pt idx="130">
                  <c:v>-89.5</c:v>
                </c:pt>
                <c:pt idx="131">
                  <c:v>-93</c:v>
                </c:pt>
                <c:pt idx="132">
                  <c:v>-93.199999999999974</c:v>
                </c:pt>
                <c:pt idx="133">
                  <c:v>-91.899999999999977</c:v>
                </c:pt>
                <c:pt idx="134">
                  <c:v>-91.7</c:v>
                </c:pt>
                <c:pt idx="135">
                  <c:v>-93.6</c:v>
                </c:pt>
                <c:pt idx="136">
                  <c:v>-94.899999999999977</c:v>
                </c:pt>
                <c:pt idx="137">
                  <c:v>-95.300000000000011</c:v>
                </c:pt>
                <c:pt idx="138">
                  <c:v>-96.300000000000011</c:v>
                </c:pt>
                <c:pt idx="139">
                  <c:v>-88.9</c:v>
                </c:pt>
                <c:pt idx="140">
                  <c:v>-85.999999999999986</c:v>
                </c:pt>
                <c:pt idx="141">
                  <c:v>-83.899999999999991</c:v>
                </c:pt>
                <c:pt idx="142">
                  <c:v>-78.59999999999998</c:v>
                </c:pt>
                <c:pt idx="143">
                  <c:v>-76.899999999999991</c:v>
                </c:pt>
                <c:pt idx="144">
                  <c:v>-73.900000000000006</c:v>
                </c:pt>
                <c:pt idx="145">
                  <c:v>-75.099999999999994</c:v>
                </c:pt>
                <c:pt idx="146">
                  <c:v>-75.200000000000017</c:v>
                </c:pt>
                <c:pt idx="147">
                  <c:v>-76.900000000000006</c:v>
                </c:pt>
                <c:pt idx="148">
                  <c:v>-80.199999999999989</c:v>
                </c:pt>
                <c:pt idx="149">
                  <c:v>-80.300000000000011</c:v>
                </c:pt>
                <c:pt idx="150">
                  <c:v>-71.2</c:v>
                </c:pt>
                <c:pt idx="151">
                  <c:v>-67.899999999999977</c:v>
                </c:pt>
                <c:pt idx="152">
                  <c:v>-59.3</c:v>
                </c:pt>
                <c:pt idx="153">
                  <c:v>-55.59999999999998</c:v>
                </c:pt>
                <c:pt idx="154">
                  <c:v>-54.799999999999983</c:v>
                </c:pt>
                <c:pt idx="155">
                  <c:v>-54.6</c:v>
                </c:pt>
                <c:pt idx="156">
                  <c:v>-45.199999999999974</c:v>
                </c:pt>
                <c:pt idx="157">
                  <c:v>-40.399999999999991</c:v>
                </c:pt>
                <c:pt idx="158">
                  <c:v>-32.700000000000017</c:v>
                </c:pt>
                <c:pt idx="159">
                  <c:v>-27.999999999999979</c:v>
                </c:pt>
                <c:pt idx="160">
                  <c:v>-27.499999999999993</c:v>
                </c:pt>
                <c:pt idx="161">
                  <c:v>-25.999999999999979</c:v>
                </c:pt>
                <c:pt idx="162">
                  <c:v>-45.4</c:v>
                </c:pt>
                <c:pt idx="163">
                  <c:v>-46.100000000000009</c:v>
                </c:pt>
                <c:pt idx="164">
                  <c:v>-47.099999999999987</c:v>
                </c:pt>
                <c:pt idx="165">
                  <c:v>-46.70000000000001</c:v>
                </c:pt>
                <c:pt idx="166">
                  <c:v>-46.70000000000001</c:v>
                </c:pt>
                <c:pt idx="167">
                  <c:v>-46.199999999999996</c:v>
                </c:pt>
                <c:pt idx="168">
                  <c:v>-45.900000000000006</c:v>
                </c:pt>
                <c:pt idx="169">
                  <c:v>-46</c:v>
                </c:pt>
                <c:pt idx="170">
                  <c:v>-42.500000000000007</c:v>
                </c:pt>
                <c:pt idx="171">
                  <c:v>-42.899999999999984</c:v>
                </c:pt>
                <c:pt idx="172">
                  <c:v>-42.500000000000007</c:v>
                </c:pt>
                <c:pt idx="173">
                  <c:v>-42.900000000000006</c:v>
                </c:pt>
                <c:pt idx="174">
                  <c:v>-43.199999999999996</c:v>
                </c:pt>
                <c:pt idx="175">
                  <c:v>-51.099999999999987</c:v>
                </c:pt>
                <c:pt idx="176">
                  <c:v>-51.6</c:v>
                </c:pt>
                <c:pt idx="177">
                  <c:v>-47.70000000000001</c:v>
                </c:pt>
                <c:pt idx="178">
                  <c:v>-45.4</c:v>
                </c:pt>
                <c:pt idx="179">
                  <c:v>-43.299999999999983</c:v>
                </c:pt>
                <c:pt idx="180">
                  <c:v>-38.600000000000009</c:v>
                </c:pt>
                <c:pt idx="181">
                  <c:v>-33.9</c:v>
                </c:pt>
                <c:pt idx="182">
                  <c:v>-37.9</c:v>
                </c:pt>
                <c:pt idx="183">
                  <c:v>-39.900000000000006</c:v>
                </c:pt>
                <c:pt idx="184">
                  <c:v>-40.399999999999991</c:v>
                </c:pt>
                <c:pt idx="185">
                  <c:v>-39.700000000000003</c:v>
                </c:pt>
                <c:pt idx="186">
                  <c:v>-39.900000000000006</c:v>
                </c:pt>
                <c:pt idx="187">
                  <c:v>-41.199999999999989</c:v>
                </c:pt>
                <c:pt idx="188">
                  <c:v>-44.40000000000002</c:v>
                </c:pt>
                <c:pt idx="189">
                  <c:v>-44.900000000000006</c:v>
                </c:pt>
                <c:pt idx="190">
                  <c:v>-43.600000000000016</c:v>
                </c:pt>
                <c:pt idx="191">
                  <c:v>-72.2</c:v>
                </c:pt>
                <c:pt idx="192">
                  <c:v>-75.999999999999972</c:v>
                </c:pt>
                <c:pt idx="193">
                  <c:v>-75.700000000000017</c:v>
                </c:pt>
                <c:pt idx="194">
                  <c:v>-67.300000000000011</c:v>
                </c:pt>
                <c:pt idx="195">
                  <c:v>-63.400000000000013</c:v>
                </c:pt>
                <c:pt idx="196">
                  <c:v>-62.7</c:v>
                </c:pt>
                <c:pt idx="197">
                  <c:v>-59.099999999999994</c:v>
                </c:pt>
                <c:pt idx="198">
                  <c:v>-54.400000000000006</c:v>
                </c:pt>
                <c:pt idx="199">
                  <c:v>-51.499999999999993</c:v>
                </c:pt>
                <c:pt idx="200">
                  <c:v>-48.29999999999999</c:v>
                </c:pt>
                <c:pt idx="201">
                  <c:v>-47.299999999999983</c:v>
                </c:pt>
                <c:pt idx="202">
                  <c:v>-47.8</c:v>
                </c:pt>
                <c:pt idx="203">
                  <c:v>-47.8</c:v>
                </c:pt>
                <c:pt idx="204">
                  <c:v>-37.20000000000001</c:v>
                </c:pt>
                <c:pt idx="205">
                  <c:v>-37.999999999999986</c:v>
                </c:pt>
                <c:pt idx="206">
                  <c:v>-36.9</c:v>
                </c:pt>
                <c:pt idx="207">
                  <c:v>-33.999999999999986</c:v>
                </c:pt>
                <c:pt idx="208">
                  <c:v>-32.099999999999994</c:v>
                </c:pt>
                <c:pt idx="209">
                  <c:v>-33.099999999999994</c:v>
                </c:pt>
                <c:pt idx="210">
                  <c:v>-32.000000000000007</c:v>
                </c:pt>
                <c:pt idx="211">
                  <c:v>-32.999999999999986</c:v>
                </c:pt>
                <c:pt idx="212">
                  <c:v>-32.799999999999983</c:v>
                </c:pt>
                <c:pt idx="213">
                  <c:v>-32.299999999999997</c:v>
                </c:pt>
                <c:pt idx="214">
                  <c:v>-32.299999999999997</c:v>
                </c:pt>
                <c:pt idx="215">
                  <c:v>-31.699999999999996</c:v>
                </c:pt>
                <c:pt idx="216">
                  <c:v>-29.000000000000004</c:v>
                </c:pt>
                <c:pt idx="217">
                  <c:v>-30.200000000000003</c:v>
                </c:pt>
                <c:pt idx="218">
                  <c:v>-29.499999999999993</c:v>
                </c:pt>
                <c:pt idx="219">
                  <c:v>-30.499999999999993</c:v>
                </c:pt>
                <c:pt idx="220">
                  <c:v>-30.000000000000004</c:v>
                </c:pt>
                <c:pt idx="221">
                  <c:v>-31.499999999999993</c:v>
                </c:pt>
                <c:pt idx="222">
                  <c:v>-31.199999999999982</c:v>
                </c:pt>
                <c:pt idx="223">
                  <c:v>-30.699999999999996</c:v>
                </c:pt>
                <c:pt idx="224">
                  <c:v>-34.5</c:v>
                </c:pt>
                <c:pt idx="225">
                  <c:v>-33.999999999999986</c:v>
                </c:pt>
                <c:pt idx="226">
                  <c:v>-33.999999999999986</c:v>
                </c:pt>
                <c:pt idx="227">
                  <c:v>-33.199999999999989</c:v>
                </c:pt>
                <c:pt idx="228">
                  <c:v>-33.199999999999989</c:v>
                </c:pt>
                <c:pt idx="229">
                  <c:v>-32.499999999999993</c:v>
                </c:pt>
                <c:pt idx="230">
                  <c:v>-32.499999999999993</c:v>
                </c:pt>
                <c:pt idx="231">
                  <c:v>-31.800000000000004</c:v>
                </c:pt>
                <c:pt idx="232">
                  <c:v>-31.800000000000004</c:v>
                </c:pt>
                <c:pt idx="233">
                  <c:v>-31.000000000000007</c:v>
                </c:pt>
                <c:pt idx="234">
                  <c:v>-31.000000000000007</c:v>
                </c:pt>
                <c:pt idx="235">
                  <c:v>-31.499999999999993</c:v>
                </c:pt>
                <c:pt idx="236">
                  <c:v>-29.499999999999993</c:v>
                </c:pt>
                <c:pt idx="237">
                  <c:v>-29.499999999999993</c:v>
                </c:pt>
                <c:pt idx="238">
                  <c:v>-29.099999999999994</c:v>
                </c:pt>
                <c:pt idx="239">
                  <c:v>-28.200000000000003</c:v>
                </c:pt>
                <c:pt idx="240">
                  <c:v>-28.000000000000004</c:v>
                </c:pt>
                <c:pt idx="241">
                  <c:v>-26.799999999999979</c:v>
                </c:pt>
                <c:pt idx="242">
                  <c:v>-25.6</c:v>
                </c:pt>
                <c:pt idx="243">
                  <c:v>-24.300000000000011</c:v>
                </c:pt>
                <c:pt idx="244">
                  <c:v>-24.300000000000011</c:v>
                </c:pt>
                <c:pt idx="245">
                  <c:v>-23.599999999999998</c:v>
                </c:pt>
                <c:pt idx="246">
                  <c:v>-22.300000000000008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85120"/>
        <c:axId val="145266944"/>
      </c:areaChart>
      <c:lineChart>
        <c:grouping val="standard"/>
        <c:varyColors val="0"/>
        <c:ser>
          <c:idx val="0"/>
          <c:order val="0"/>
          <c:tx>
            <c:strRef>
              <c:f>history_chart!$BS$5</c:f>
              <c:strCache>
                <c:ptCount val="1"/>
                <c:pt idx="0">
                  <c:v>3사평균 통안증권</c:v>
                </c:pt>
              </c:strCache>
            </c:strRef>
          </c:tx>
          <c:spPr>
            <a:ln w="22225">
              <a:solidFill>
                <a:srgbClr val="0066FF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numRef>
              <c:f>history_chart!$BR$10:$BR$256</c:f>
              <c:numCache>
                <c:formatCode>m/d/yyyy</c:formatCode>
                <c:ptCount val="247"/>
                <c:pt idx="0">
                  <c:v>44943</c:v>
                </c:pt>
                <c:pt idx="1">
                  <c:v>44942</c:v>
                </c:pt>
                <c:pt idx="2">
                  <c:v>44939</c:v>
                </c:pt>
                <c:pt idx="3">
                  <c:v>44938</c:v>
                </c:pt>
                <c:pt idx="4">
                  <c:v>44937</c:v>
                </c:pt>
                <c:pt idx="5">
                  <c:v>44936</c:v>
                </c:pt>
                <c:pt idx="6">
                  <c:v>44935</c:v>
                </c:pt>
                <c:pt idx="7">
                  <c:v>44932</c:v>
                </c:pt>
                <c:pt idx="8">
                  <c:v>44931</c:v>
                </c:pt>
                <c:pt idx="9">
                  <c:v>44930</c:v>
                </c:pt>
                <c:pt idx="10">
                  <c:v>44929</c:v>
                </c:pt>
                <c:pt idx="11">
                  <c:v>44928</c:v>
                </c:pt>
                <c:pt idx="12">
                  <c:v>44925</c:v>
                </c:pt>
                <c:pt idx="13">
                  <c:v>44924</c:v>
                </c:pt>
                <c:pt idx="14">
                  <c:v>44923</c:v>
                </c:pt>
                <c:pt idx="15">
                  <c:v>44922</c:v>
                </c:pt>
                <c:pt idx="16">
                  <c:v>44921</c:v>
                </c:pt>
                <c:pt idx="17">
                  <c:v>44918</c:v>
                </c:pt>
                <c:pt idx="18">
                  <c:v>44917</c:v>
                </c:pt>
                <c:pt idx="19">
                  <c:v>44916</c:v>
                </c:pt>
                <c:pt idx="20">
                  <c:v>44915</c:v>
                </c:pt>
                <c:pt idx="21">
                  <c:v>44914</c:v>
                </c:pt>
                <c:pt idx="22">
                  <c:v>44911</c:v>
                </c:pt>
                <c:pt idx="23">
                  <c:v>44910</c:v>
                </c:pt>
                <c:pt idx="24">
                  <c:v>44909</c:v>
                </c:pt>
                <c:pt idx="25">
                  <c:v>44908</c:v>
                </c:pt>
                <c:pt idx="26">
                  <c:v>44907</c:v>
                </c:pt>
                <c:pt idx="27">
                  <c:v>44904</c:v>
                </c:pt>
                <c:pt idx="28">
                  <c:v>44903</c:v>
                </c:pt>
                <c:pt idx="29">
                  <c:v>44902</c:v>
                </c:pt>
                <c:pt idx="30">
                  <c:v>44901</c:v>
                </c:pt>
                <c:pt idx="31">
                  <c:v>44900</c:v>
                </c:pt>
                <c:pt idx="32">
                  <c:v>44897</c:v>
                </c:pt>
                <c:pt idx="33">
                  <c:v>44896</c:v>
                </c:pt>
                <c:pt idx="34">
                  <c:v>44895</c:v>
                </c:pt>
                <c:pt idx="35">
                  <c:v>44894</c:v>
                </c:pt>
                <c:pt idx="36">
                  <c:v>44893</c:v>
                </c:pt>
                <c:pt idx="37">
                  <c:v>44890</c:v>
                </c:pt>
                <c:pt idx="38">
                  <c:v>44889</c:v>
                </c:pt>
                <c:pt idx="39">
                  <c:v>44888</c:v>
                </c:pt>
                <c:pt idx="40">
                  <c:v>44887</c:v>
                </c:pt>
                <c:pt idx="41">
                  <c:v>44886</c:v>
                </c:pt>
                <c:pt idx="42">
                  <c:v>44883</c:v>
                </c:pt>
                <c:pt idx="43">
                  <c:v>44882</c:v>
                </c:pt>
                <c:pt idx="44">
                  <c:v>44881</c:v>
                </c:pt>
                <c:pt idx="45">
                  <c:v>44880</c:v>
                </c:pt>
                <c:pt idx="46">
                  <c:v>44879</c:v>
                </c:pt>
                <c:pt idx="47">
                  <c:v>44876</c:v>
                </c:pt>
                <c:pt idx="48">
                  <c:v>44875</c:v>
                </c:pt>
                <c:pt idx="49">
                  <c:v>44874</c:v>
                </c:pt>
                <c:pt idx="50">
                  <c:v>44873</c:v>
                </c:pt>
                <c:pt idx="51">
                  <c:v>44872</c:v>
                </c:pt>
                <c:pt idx="52">
                  <c:v>44869</c:v>
                </c:pt>
                <c:pt idx="53">
                  <c:v>44868</c:v>
                </c:pt>
                <c:pt idx="54">
                  <c:v>44867</c:v>
                </c:pt>
                <c:pt idx="55">
                  <c:v>44866</c:v>
                </c:pt>
                <c:pt idx="56">
                  <c:v>44865</c:v>
                </c:pt>
                <c:pt idx="57">
                  <c:v>44862</c:v>
                </c:pt>
                <c:pt idx="58">
                  <c:v>44861</c:v>
                </c:pt>
                <c:pt idx="59">
                  <c:v>44860</c:v>
                </c:pt>
                <c:pt idx="60">
                  <c:v>44859</c:v>
                </c:pt>
                <c:pt idx="61">
                  <c:v>44858</c:v>
                </c:pt>
                <c:pt idx="62">
                  <c:v>44855</c:v>
                </c:pt>
                <c:pt idx="63">
                  <c:v>44854</c:v>
                </c:pt>
                <c:pt idx="64">
                  <c:v>44853</c:v>
                </c:pt>
                <c:pt idx="65">
                  <c:v>44852</c:v>
                </c:pt>
                <c:pt idx="66">
                  <c:v>44851</c:v>
                </c:pt>
                <c:pt idx="67">
                  <c:v>44848</c:v>
                </c:pt>
                <c:pt idx="68">
                  <c:v>44847</c:v>
                </c:pt>
                <c:pt idx="69">
                  <c:v>44846</c:v>
                </c:pt>
                <c:pt idx="70">
                  <c:v>44845</c:v>
                </c:pt>
                <c:pt idx="71">
                  <c:v>44841</c:v>
                </c:pt>
                <c:pt idx="72">
                  <c:v>44840</c:v>
                </c:pt>
                <c:pt idx="73">
                  <c:v>44839</c:v>
                </c:pt>
                <c:pt idx="74">
                  <c:v>44838</c:v>
                </c:pt>
                <c:pt idx="75">
                  <c:v>44834</c:v>
                </c:pt>
                <c:pt idx="76">
                  <c:v>44833</c:v>
                </c:pt>
                <c:pt idx="77">
                  <c:v>44832</c:v>
                </c:pt>
                <c:pt idx="78">
                  <c:v>44831</c:v>
                </c:pt>
                <c:pt idx="79">
                  <c:v>44830</c:v>
                </c:pt>
                <c:pt idx="80">
                  <c:v>44827</c:v>
                </c:pt>
                <c:pt idx="81">
                  <c:v>44826</c:v>
                </c:pt>
                <c:pt idx="82">
                  <c:v>44825</c:v>
                </c:pt>
                <c:pt idx="83">
                  <c:v>44824</c:v>
                </c:pt>
                <c:pt idx="84">
                  <c:v>44823</c:v>
                </c:pt>
                <c:pt idx="85">
                  <c:v>44820</c:v>
                </c:pt>
                <c:pt idx="86">
                  <c:v>44819</c:v>
                </c:pt>
                <c:pt idx="87">
                  <c:v>44818</c:v>
                </c:pt>
                <c:pt idx="88">
                  <c:v>44817</c:v>
                </c:pt>
                <c:pt idx="89">
                  <c:v>44812</c:v>
                </c:pt>
                <c:pt idx="90">
                  <c:v>44811</c:v>
                </c:pt>
                <c:pt idx="91">
                  <c:v>44810</c:v>
                </c:pt>
                <c:pt idx="92">
                  <c:v>44809</c:v>
                </c:pt>
                <c:pt idx="93">
                  <c:v>44806</c:v>
                </c:pt>
                <c:pt idx="94">
                  <c:v>44805</c:v>
                </c:pt>
                <c:pt idx="95">
                  <c:v>44804</c:v>
                </c:pt>
                <c:pt idx="96">
                  <c:v>44803</c:v>
                </c:pt>
                <c:pt idx="97">
                  <c:v>44802</c:v>
                </c:pt>
                <c:pt idx="98">
                  <c:v>44799</c:v>
                </c:pt>
                <c:pt idx="99">
                  <c:v>44798</c:v>
                </c:pt>
                <c:pt idx="100">
                  <c:v>44797</c:v>
                </c:pt>
                <c:pt idx="101">
                  <c:v>44796</c:v>
                </c:pt>
                <c:pt idx="102">
                  <c:v>44795</c:v>
                </c:pt>
                <c:pt idx="103">
                  <c:v>44792</c:v>
                </c:pt>
                <c:pt idx="104">
                  <c:v>44791</c:v>
                </c:pt>
                <c:pt idx="105">
                  <c:v>44790</c:v>
                </c:pt>
                <c:pt idx="106">
                  <c:v>44789</c:v>
                </c:pt>
                <c:pt idx="107">
                  <c:v>44785</c:v>
                </c:pt>
                <c:pt idx="108">
                  <c:v>44784</c:v>
                </c:pt>
                <c:pt idx="109">
                  <c:v>44783</c:v>
                </c:pt>
                <c:pt idx="110">
                  <c:v>44782</c:v>
                </c:pt>
                <c:pt idx="111">
                  <c:v>44781</c:v>
                </c:pt>
                <c:pt idx="112">
                  <c:v>44778</c:v>
                </c:pt>
                <c:pt idx="113">
                  <c:v>44777</c:v>
                </c:pt>
                <c:pt idx="114">
                  <c:v>44776</c:v>
                </c:pt>
                <c:pt idx="115">
                  <c:v>44775</c:v>
                </c:pt>
                <c:pt idx="116">
                  <c:v>44774</c:v>
                </c:pt>
                <c:pt idx="117">
                  <c:v>44771</c:v>
                </c:pt>
                <c:pt idx="118">
                  <c:v>44770</c:v>
                </c:pt>
                <c:pt idx="119">
                  <c:v>44769</c:v>
                </c:pt>
                <c:pt idx="120">
                  <c:v>44768</c:v>
                </c:pt>
                <c:pt idx="121">
                  <c:v>44767</c:v>
                </c:pt>
                <c:pt idx="122">
                  <c:v>44764</c:v>
                </c:pt>
                <c:pt idx="123">
                  <c:v>44763</c:v>
                </c:pt>
                <c:pt idx="124">
                  <c:v>44762</c:v>
                </c:pt>
                <c:pt idx="125">
                  <c:v>44761</c:v>
                </c:pt>
                <c:pt idx="126">
                  <c:v>44760</c:v>
                </c:pt>
                <c:pt idx="127">
                  <c:v>44757</c:v>
                </c:pt>
                <c:pt idx="128">
                  <c:v>44756</c:v>
                </c:pt>
                <c:pt idx="129">
                  <c:v>44755</c:v>
                </c:pt>
                <c:pt idx="130">
                  <c:v>44754</c:v>
                </c:pt>
                <c:pt idx="131">
                  <c:v>44753</c:v>
                </c:pt>
                <c:pt idx="132">
                  <c:v>44750</c:v>
                </c:pt>
                <c:pt idx="133">
                  <c:v>44749</c:v>
                </c:pt>
                <c:pt idx="134">
                  <c:v>44748</c:v>
                </c:pt>
                <c:pt idx="135">
                  <c:v>44747</c:v>
                </c:pt>
                <c:pt idx="136">
                  <c:v>44746</c:v>
                </c:pt>
                <c:pt idx="137">
                  <c:v>44743</c:v>
                </c:pt>
                <c:pt idx="138">
                  <c:v>44742</c:v>
                </c:pt>
                <c:pt idx="139">
                  <c:v>44741</c:v>
                </c:pt>
                <c:pt idx="140">
                  <c:v>44740</c:v>
                </c:pt>
                <c:pt idx="141">
                  <c:v>44739</c:v>
                </c:pt>
                <c:pt idx="142">
                  <c:v>44736</c:v>
                </c:pt>
                <c:pt idx="143">
                  <c:v>44735</c:v>
                </c:pt>
                <c:pt idx="144">
                  <c:v>44734</c:v>
                </c:pt>
                <c:pt idx="145">
                  <c:v>44733</c:v>
                </c:pt>
                <c:pt idx="146">
                  <c:v>44732</c:v>
                </c:pt>
                <c:pt idx="147">
                  <c:v>44729</c:v>
                </c:pt>
                <c:pt idx="148">
                  <c:v>44728</c:v>
                </c:pt>
                <c:pt idx="149">
                  <c:v>44727</c:v>
                </c:pt>
                <c:pt idx="150">
                  <c:v>44726</c:v>
                </c:pt>
                <c:pt idx="151">
                  <c:v>44725</c:v>
                </c:pt>
                <c:pt idx="152">
                  <c:v>44722</c:v>
                </c:pt>
                <c:pt idx="153">
                  <c:v>44721</c:v>
                </c:pt>
                <c:pt idx="154">
                  <c:v>44720</c:v>
                </c:pt>
                <c:pt idx="155">
                  <c:v>44719</c:v>
                </c:pt>
                <c:pt idx="156">
                  <c:v>44715</c:v>
                </c:pt>
                <c:pt idx="157">
                  <c:v>44714</c:v>
                </c:pt>
                <c:pt idx="158">
                  <c:v>44712</c:v>
                </c:pt>
                <c:pt idx="159">
                  <c:v>44711</c:v>
                </c:pt>
                <c:pt idx="160">
                  <c:v>44708</c:v>
                </c:pt>
                <c:pt idx="161">
                  <c:v>44707</c:v>
                </c:pt>
                <c:pt idx="162">
                  <c:v>44706</c:v>
                </c:pt>
                <c:pt idx="163">
                  <c:v>44705</c:v>
                </c:pt>
                <c:pt idx="164">
                  <c:v>44704</c:v>
                </c:pt>
                <c:pt idx="165">
                  <c:v>44701</c:v>
                </c:pt>
                <c:pt idx="166">
                  <c:v>44700</c:v>
                </c:pt>
                <c:pt idx="167">
                  <c:v>44699</c:v>
                </c:pt>
                <c:pt idx="168">
                  <c:v>44698</c:v>
                </c:pt>
                <c:pt idx="169">
                  <c:v>44697</c:v>
                </c:pt>
                <c:pt idx="170">
                  <c:v>44694</c:v>
                </c:pt>
                <c:pt idx="171">
                  <c:v>44693</c:v>
                </c:pt>
                <c:pt idx="172">
                  <c:v>44692</c:v>
                </c:pt>
                <c:pt idx="173">
                  <c:v>44691</c:v>
                </c:pt>
                <c:pt idx="174">
                  <c:v>44690</c:v>
                </c:pt>
                <c:pt idx="175">
                  <c:v>44687</c:v>
                </c:pt>
                <c:pt idx="176">
                  <c:v>44685</c:v>
                </c:pt>
                <c:pt idx="177">
                  <c:v>44684</c:v>
                </c:pt>
                <c:pt idx="178">
                  <c:v>44683</c:v>
                </c:pt>
                <c:pt idx="179">
                  <c:v>44680</c:v>
                </c:pt>
                <c:pt idx="180">
                  <c:v>44679</c:v>
                </c:pt>
                <c:pt idx="181">
                  <c:v>44678</c:v>
                </c:pt>
                <c:pt idx="182">
                  <c:v>44677</c:v>
                </c:pt>
                <c:pt idx="183">
                  <c:v>44676</c:v>
                </c:pt>
                <c:pt idx="184">
                  <c:v>44673</c:v>
                </c:pt>
                <c:pt idx="185">
                  <c:v>44672</c:v>
                </c:pt>
                <c:pt idx="186">
                  <c:v>44671</c:v>
                </c:pt>
                <c:pt idx="187">
                  <c:v>44670</c:v>
                </c:pt>
                <c:pt idx="188">
                  <c:v>44669</c:v>
                </c:pt>
                <c:pt idx="189">
                  <c:v>44666</c:v>
                </c:pt>
                <c:pt idx="190">
                  <c:v>44665</c:v>
                </c:pt>
                <c:pt idx="191">
                  <c:v>44664</c:v>
                </c:pt>
                <c:pt idx="192">
                  <c:v>44663</c:v>
                </c:pt>
                <c:pt idx="193">
                  <c:v>44662</c:v>
                </c:pt>
                <c:pt idx="194">
                  <c:v>44659</c:v>
                </c:pt>
                <c:pt idx="195">
                  <c:v>44658</c:v>
                </c:pt>
                <c:pt idx="196">
                  <c:v>44657</c:v>
                </c:pt>
                <c:pt idx="197">
                  <c:v>44656</c:v>
                </c:pt>
                <c:pt idx="198">
                  <c:v>44655</c:v>
                </c:pt>
                <c:pt idx="199">
                  <c:v>44652</c:v>
                </c:pt>
                <c:pt idx="200">
                  <c:v>44651</c:v>
                </c:pt>
                <c:pt idx="201">
                  <c:v>44650</c:v>
                </c:pt>
                <c:pt idx="202">
                  <c:v>44649</c:v>
                </c:pt>
                <c:pt idx="203">
                  <c:v>44648</c:v>
                </c:pt>
                <c:pt idx="204">
                  <c:v>44645</c:v>
                </c:pt>
                <c:pt idx="205">
                  <c:v>44644</c:v>
                </c:pt>
                <c:pt idx="206">
                  <c:v>44643</c:v>
                </c:pt>
                <c:pt idx="207">
                  <c:v>44642</c:v>
                </c:pt>
                <c:pt idx="208">
                  <c:v>44641</c:v>
                </c:pt>
                <c:pt idx="209">
                  <c:v>44638</c:v>
                </c:pt>
                <c:pt idx="210">
                  <c:v>44637</c:v>
                </c:pt>
                <c:pt idx="211">
                  <c:v>44636</c:v>
                </c:pt>
                <c:pt idx="212">
                  <c:v>44635</c:v>
                </c:pt>
                <c:pt idx="213">
                  <c:v>44634</c:v>
                </c:pt>
                <c:pt idx="214">
                  <c:v>44631</c:v>
                </c:pt>
                <c:pt idx="215">
                  <c:v>44630</c:v>
                </c:pt>
                <c:pt idx="216">
                  <c:v>44628</c:v>
                </c:pt>
                <c:pt idx="217">
                  <c:v>44627</c:v>
                </c:pt>
                <c:pt idx="218">
                  <c:v>44624</c:v>
                </c:pt>
                <c:pt idx="219">
                  <c:v>44623</c:v>
                </c:pt>
                <c:pt idx="220">
                  <c:v>44622</c:v>
                </c:pt>
                <c:pt idx="221">
                  <c:v>44620</c:v>
                </c:pt>
                <c:pt idx="222">
                  <c:v>44617</c:v>
                </c:pt>
                <c:pt idx="223">
                  <c:v>44616</c:v>
                </c:pt>
                <c:pt idx="224">
                  <c:v>44615</c:v>
                </c:pt>
                <c:pt idx="225">
                  <c:v>44614</c:v>
                </c:pt>
                <c:pt idx="226">
                  <c:v>44613</c:v>
                </c:pt>
                <c:pt idx="227">
                  <c:v>44610</c:v>
                </c:pt>
                <c:pt idx="228">
                  <c:v>44609</c:v>
                </c:pt>
                <c:pt idx="229">
                  <c:v>44608</c:v>
                </c:pt>
                <c:pt idx="230">
                  <c:v>44607</c:v>
                </c:pt>
                <c:pt idx="231">
                  <c:v>44606</c:v>
                </c:pt>
                <c:pt idx="232">
                  <c:v>44603</c:v>
                </c:pt>
                <c:pt idx="233">
                  <c:v>44602</c:v>
                </c:pt>
                <c:pt idx="234">
                  <c:v>44601</c:v>
                </c:pt>
                <c:pt idx="235">
                  <c:v>44600</c:v>
                </c:pt>
                <c:pt idx="236">
                  <c:v>44599</c:v>
                </c:pt>
                <c:pt idx="237">
                  <c:v>44596</c:v>
                </c:pt>
                <c:pt idx="238">
                  <c:v>44595</c:v>
                </c:pt>
                <c:pt idx="239">
                  <c:v>44589</c:v>
                </c:pt>
                <c:pt idx="240">
                  <c:v>44588</c:v>
                </c:pt>
                <c:pt idx="241">
                  <c:v>44587</c:v>
                </c:pt>
                <c:pt idx="242">
                  <c:v>44586</c:v>
                </c:pt>
                <c:pt idx="243">
                  <c:v>44585</c:v>
                </c:pt>
                <c:pt idx="244">
                  <c:v>44582</c:v>
                </c:pt>
                <c:pt idx="245">
                  <c:v>44581</c:v>
                </c:pt>
                <c:pt idx="246">
                  <c:v>44580</c:v>
                </c:pt>
              </c:numCache>
            </c:numRef>
          </c:cat>
          <c:val>
            <c:numRef>
              <c:f>history_chart!$BS$10:$BS$256</c:f>
              <c:numCache>
                <c:formatCode>General</c:formatCode>
                <c:ptCount val="247"/>
                <c:pt idx="0">
                  <c:v>3.5030000000000001</c:v>
                </c:pt>
                <c:pt idx="1">
                  <c:v>3.5030000000000001</c:v>
                </c:pt>
                <c:pt idx="2">
                  <c:v>3.5049999999999999</c:v>
                </c:pt>
                <c:pt idx="3">
                  <c:v>3.44</c:v>
                </c:pt>
                <c:pt idx="4">
                  <c:v>3.415</c:v>
                </c:pt>
                <c:pt idx="5">
                  <c:v>3.41</c:v>
                </c:pt>
                <c:pt idx="6">
                  <c:v>3.4060000000000001</c:v>
                </c:pt>
                <c:pt idx="7">
                  <c:v>3.4159999999999999</c:v>
                </c:pt>
                <c:pt idx="8">
                  <c:v>3.4129999999999998</c:v>
                </c:pt>
                <c:pt idx="9">
                  <c:v>3.42</c:v>
                </c:pt>
                <c:pt idx="10">
                  <c:v>3.456</c:v>
                </c:pt>
                <c:pt idx="11">
                  <c:v>3.5059999999999998</c:v>
                </c:pt>
                <c:pt idx="12">
                  <c:v>3.5350000000000001</c:v>
                </c:pt>
                <c:pt idx="13">
                  <c:v>3.5350000000000001</c:v>
                </c:pt>
                <c:pt idx="14">
                  <c:v>3.5350000000000001</c:v>
                </c:pt>
                <c:pt idx="15">
                  <c:v>3.536</c:v>
                </c:pt>
                <c:pt idx="16">
                  <c:v>3.536</c:v>
                </c:pt>
                <c:pt idx="17">
                  <c:v>3.528</c:v>
                </c:pt>
                <c:pt idx="18">
                  <c:v>3.5009999999999999</c:v>
                </c:pt>
                <c:pt idx="19">
                  <c:v>3.5110000000000001</c:v>
                </c:pt>
                <c:pt idx="20">
                  <c:v>3.5030000000000001</c:v>
                </c:pt>
                <c:pt idx="21">
                  <c:v>3.4660000000000002</c:v>
                </c:pt>
                <c:pt idx="22">
                  <c:v>3.4529999999999998</c:v>
                </c:pt>
                <c:pt idx="23">
                  <c:v>3.45</c:v>
                </c:pt>
                <c:pt idx="24">
                  <c:v>3.44</c:v>
                </c:pt>
                <c:pt idx="25">
                  <c:v>3.4430000000000001</c:v>
                </c:pt>
                <c:pt idx="26">
                  <c:v>3.42</c:v>
                </c:pt>
                <c:pt idx="27">
                  <c:v>3.4039999999999999</c:v>
                </c:pt>
                <c:pt idx="28">
                  <c:v>3.415</c:v>
                </c:pt>
                <c:pt idx="29">
                  <c:v>3.3929999999999998</c:v>
                </c:pt>
                <c:pt idx="30">
                  <c:v>3.37</c:v>
                </c:pt>
                <c:pt idx="31">
                  <c:v>3.3479999999999999</c:v>
                </c:pt>
                <c:pt idx="32">
                  <c:v>3.3410000000000002</c:v>
                </c:pt>
                <c:pt idx="33">
                  <c:v>3.3580000000000001</c:v>
                </c:pt>
                <c:pt idx="34">
                  <c:v>3.4009999999999998</c:v>
                </c:pt>
                <c:pt idx="35">
                  <c:v>3.4009999999999998</c:v>
                </c:pt>
                <c:pt idx="36">
                  <c:v>3.39</c:v>
                </c:pt>
                <c:pt idx="37">
                  <c:v>3.3860000000000001</c:v>
                </c:pt>
                <c:pt idx="38">
                  <c:v>3.375</c:v>
                </c:pt>
                <c:pt idx="39">
                  <c:v>3.3650000000000002</c:v>
                </c:pt>
                <c:pt idx="40">
                  <c:v>3.3650000000000002</c:v>
                </c:pt>
                <c:pt idx="41">
                  <c:v>3.375</c:v>
                </c:pt>
                <c:pt idx="42">
                  <c:v>3.375</c:v>
                </c:pt>
                <c:pt idx="43">
                  <c:v>3.3879999999999999</c:v>
                </c:pt>
                <c:pt idx="44">
                  <c:v>3.3860000000000001</c:v>
                </c:pt>
                <c:pt idx="45">
                  <c:v>3.36</c:v>
                </c:pt>
                <c:pt idx="46">
                  <c:v>3.37</c:v>
                </c:pt>
                <c:pt idx="47">
                  <c:v>3.355</c:v>
                </c:pt>
                <c:pt idx="48">
                  <c:v>3.371</c:v>
                </c:pt>
                <c:pt idx="49">
                  <c:v>3.3610000000000002</c:v>
                </c:pt>
                <c:pt idx="50">
                  <c:v>3.351</c:v>
                </c:pt>
                <c:pt idx="51">
                  <c:v>3.3410000000000002</c:v>
                </c:pt>
                <c:pt idx="52">
                  <c:v>3.3260000000000001</c:v>
                </c:pt>
                <c:pt idx="53">
                  <c:v>3.32</c:v>
                </c:pt>
                <c:pt idx="54">
                  <c:v>3.2930000000000001</c:v>
                </c:pt>
                <c:pt idx="55">
                  <c:v>3.27</c:v>
                </c:pt>
                <c:pt idx="56">
                  <c:v>3.266</c:v>
                </c:pt>
                <c:pt idx="57">
                  <c:v>3.246</c:v>
                </c:pt>
                <c:pt idx="58">
                  <c:v>3.2480000000000002</c:v>
                </c:pt>
                <c:pt idx="59">
                  <c:v>3.2109999999999999</c:v>
                </c:pt>
                <c:pt idx="60">
                  <c:v>3.165</c:v>
                </c:pt>
                <c:pt idx="61">
                  <c:v>3.1629999999999998</c:v>
                </c:pt>
                <c:pt idx="62">
                  <c:v>3.153</c:v>
                </c:pt>
                <c:pt idx="63">
                  <c:v>3.09</c:v>
                </c:pt>
                <c:pt idx="64">
                  <c:v>3.07</c:v>
                </c:pt>
                <c:pt idx="65">
                  <c:v>3.048</c:v>
                </c:pt>
                <c:pt idx="66">
                  <c:v>3.0379999999999998</c:v>
                </c:pt>
                <c:pt idx="67">
                  <c:v>3.028</c:v>
                </c:pt>
                <c:pt idx="68">
                  <c:v>3.0209999999999999</c:v>
                </c:pt>
                <c:pt idx="69">
                  <c:v>3.0059999999999998</c:v>
                </c:pt>
                <c:pt idx="70">
                  <c:v>2.8380000000000001</c:v>
                </c:pt>
                <c:pt idx="71">
                  <c:v>2.7829999999999999</c:v>
                </c:pt>
                <c:pt idx="72">
                  <c:v>2.7759999999999998</c:v>
                </c:pt>
                <c:pt idx="73">
                  <c:v>2.78</c:v>
                </c:pt>
                <c:pt idx="74">
                  <c:v>2.7850000000000001</c:v>
                </c:pt>
                <c:pt idx="75">
                  <c:v>2.8050000000000002</c:v>
                </c:pt>
                <c:pt idx="76">
                  <c:v>2.8380000000000001</c:v>
                </c:pt>
                <c:pt idx="77">
                  <c:v>2.9009999999999998</c:v>
                </c:pt>
                <c:pt idx="78">
                  <c:v>2.8849999999999998</c:v>
                </c:pt>
                <c:pt idx="79">
                  <c:v>2.9009999999999998</c:v>
                </c:pt>
                <c:pt idx="80">
                  <c:v>2.8180000000000001</c:v>
                </c:pt>
                <c:pt idx="81">
                  <c:v>2.7850000000000001</c:v>
                </c:pt>
                <c:pt idx="82">
                  <c:v>2.6680000000000001</c:v>
                </c:pt>
                <c:pt idx="83">
                  <c:v>2.6680000000000001</c:v>
                </c:pt>
                <c:pt idx="84">
                  <c:v>2.6429999999999998</c:v>
                </c:pt>
                <c:pt idx="85">
                  <c:v>2.653</c:v>
                </c:pt>
                <c:pt idx="86">
                  <c:v>2.6509999999999998</c:v>
                </c:pt>
                <c:pt idx="87">
                  <c:v>2.6349999999999998</c:v>
                </c:pt>
                <c:pt idx="88">
                  <c:v>2.625</c:v>
                </c:pt>
                <c:pt idx="89">
                  <c:v>2.625</c:v>
                </c:pt>
                <c:pt idx="90">
                  <c:v>2.6349999999999998</c:v>
                </c:pt>
                <c:pt idx="91">
                  <c:v>2.6349999999999998</c:v>
                </c:pt>
                <c:pt idx="92">
                  <c:v>2.6509999999999998</c:v>
                </c:pt>
                <c:pt idx="93">
                  <c:v>2.661</c:v>
                </c:pt>
                <c:pt idx="94">
                  <c:v>2.6749999999999998</c:v>
                </c:pt>
                <c:pt idx="95">
                  <c:v>2.661</c:v>
                </c:pt>
                <c:pt idx="96">
                  <c:v>2.65</c:v>
                </c:pt>
                <c:pt idx="97">
                  <c:v>2.6629999999999998</c:v>
                </c:pt>
                <c:pt idx="98">
                  <c:v>2.6259999999999999</c:v>
                </c:pt>
                <c:pt idx="99">
                  <c:v>2.625</c:v>
                </c:pt>
                <c:pt idx="100">
                  <c:v>2.516</c:v>
                </c:pt>
                <c:pt idx="101">
                  <c:v>2.456</c:v>
                </c:pt>
                <c:pt idx="102">
                  <c:v>2.42</c:v>
                </c:pt>
                <c:pt idx="103">
                  <c:v>2.3809999999999998</c:v>
                </c:pt>
                <c:pt idx="104">
                  <c:v>2.371</c:v>
                </c:pt>
                <c:pt idx="105">
                  <c:v>2.37</c:v>
                </c:pt>
                <c:pt idx="106">
                  <c:v>2.363</c:v>
                </c:pt>
                <c:pt idx="107">
                  <c:v>2.3660000000000001</c:v>
                </c:pt>
                <c:pt idx="108">
                  <c:v>2.33</c:v>
                </c:pt>
                <c:pt idx="109">
                  <c:v>2.323</c:v>
                </c:pt>
                <c:pt idx="110">
                  <c:v>2.323</c:v>
                </c:pt>
                <c:pt idx="111">
                  <c:v>2.323</c:v>
                </c:pt>
                <c:pt idx="112">
                  <c:v>2.3079999999999998</c:v>
                </c:pt>
                <c:pt idx="113">
                  <c:v>2.3109999999999999</c:v>
                </c:pt>
                <c:pt idx="114">
                  <c:v>2.3199999999999998</c:v>
                </c:pt>
                <c:pt idx="115">
                  <c:v>2.323</c:v>
                </c:pt>
                <c:pt idx="116">
                  <c:v>2.33</c:v>
                </c:pt>
                <c:pt idx="117">
                  <c:v>2.31</c:v>
                </c:pt>
                <c:pt idx="118">
                  <c:v>2.3130000000000002</c:v>
                </c:pt>
                <c:pt idx="119">
                  <c:v>2.3050000000000002</c:v>
                </c:pt>
                <c:pt idx="120">
                  <c:v>2.3010000000000002</c:v>
                </c:pt>
                <c:pt idx="121">
                  <c:v>2.29</c:v>
                </c:pt>
                <c:pt idx="122">
                  <c:v>2.286</c:v>
                </c:pt>
                <c:pt idx="123">
                  <c:v>2.2909999999999999</c:v>
                </c:pt>
                <c:pt idx="124">
                  <c:v>2.2909999999999999</c:v>
                </c:pt>
                <c:pt idx="125">
                  <c:v>2.2850000000000001</c:v>
                </c:pt>
                <c:pt idx="126">
                  <c:v>2.2850000000000001</c:v>
                </c:pt>
                <c:pt idx="127">
                  <c:v>2.2810000000000001</c:v>
                </c:pt>
                <c:pt idx="128">
                  <c:v>2.2829999999999999</c:v>
                </c:pt>
                <c:pt idx="129">
                  <c:v>2.2549999999999999</c:v>
                </c:pt>
                <c:pt idx="130">
                  <c:v>2.04</c:v>
                </c:pt>
                <c:pt idx="131">
                  <c:v>1.9930000000000001</c:v>
                </c:pt>
                <c:pt idx="132">
                  <c:v>1.9730000000000001</c:v>
                </c:pt>
                <c:pt idx="133">
                  <c:v>1.9610000000000001</c:v>
                </c:pt>
                <c:pt idx="134">
                  <c:v>1.9330000000000001</c:v>
                </c:pt>
                <c:pt idx="135">
                  <c:v>1.9279999999999999</c:v>
                </c:pt>
                <c:pt idx="136">
                  <c:v>1.9279999999999999</c:v>
                </c:pt>
                <c:pt idx="137">
                  <c:v>1.921</c:v>
                </c:pt>
                <c:pt idx="138">
                  <c:v>1.891</c:v>
                </c:pt>
                <c:pt idx="139">
                  <c:v>1.8680000000000001</c:v>
                </c:pt>
                <c:pt idx="140">
                  <c:v>1.855</c:v>
                </c:pt>
                <c:pt idx="141">
                  <c:v>1.8460000000000001</c:v>
                </c:pt>
                <c:pt idx="142">
                  <c:v>1.8360000000000001</c:v>
                </c:pt>
                <c:pt idx="143">
                  <c:v>1.8360000000000001</c:v>
                </c:pt>
                <c:pt idx="144">
                  <c:v>1.8360000000000001</c:v>
                </c:pt>
                <c:pt idx="145">
                  <c:v>1.843</c:v>
                </c:pt>
                <c:pt idx="146">
                  <c:v>1.855</c:v>
                </c:pt>
                <c:pt idx="147">
                  <c:v>1.871</c:v>
                </c:pt>
                <c:pt idx="148">
                  <c:v>1.8680000000000001</c:v>
                </c:pt>
                <c:pt idx="149">
                  <c:v>1.841</c:v>
                </c:pt>
                <c:pt idx="150">
                  <c:v>1.776</c:v>
                </c:pt>
                <c:pt idx="151">
                  <c:v>1.766</c:v>
                </c:pt>
                <c:pt idx="152">
                  <c:v>1.73</c:v>
                </c:pt>
                <c:pt idx="153">
                  <c:v>1.7310000000000001</c:v>
                </c:pt>
                <c:pt idx="154">
                  <c:v>1.736</c:v>
                </c:pt>
                <c:pt idx="155">
                  <c:v>1.7430000000000001</c:v>
                </c:pt>
                <c:pt idx="156">
                  <c:v>1.7430000000000001</c:v>
                </c:pt>
                <c:pt idx="157">
                  <c:v>1.746</c:v>
                </c:pt>
                <c:pt idx="158">
                  <c:v>1.748</c:v>
                </c:pt>
                <c:pt idx="159">
                  <c:v>1.7450000000000001</c:v>
                </c:pt>
                <c:pt idx="160">
                  <c:v>1.75</c:v>
                </c:pt>
                <c:pt idx="161">
                  <c:v>1.75</c:v>
                </c:pt>
                <c:pt idx="162">
                  <c:v>1.538</c:v>
                </c:pt>
                <c:pt idx="163">
                  <c:v>1.5309999999999999</c:v>
                </c:pt>
                <c:pt idx="164">
                  <c:v>1.5309999999999999</c:v>
                </c:pt>
                <c:pt idx="165">
                  <c:v>1.52</c:v>
                </c:pt>
                <c:pt idx="166">
                  <c:v>1.52</c:v>
                </c:pt>
                <c:pt idx="167">
                  <c:v>1.518</c:v>
                </c:pt>
                <c:pt idx="168">
                  <c:v>1.508</c:v>
                </c:pt>
                <c:pt idx="169">
                  <c:v>1.4950000000000001</c:v>
                </c:pt>
                <c:pt idx="170">
                  <c:v>1.47</c:v>
                </c:pt>
                <c:pt idx="171">
                  <c:v>1.4510000000000001</c:v>
                </c:pt>
                <c:pt idx="172">
                  <c:v>1.45</c:v>
                </c:pt>
                <c:pt idx="173">
                  <c:v>1.448</c:v>
                </c:pt>
                <c:pt idx="174">
                  <c:v>1.448</c:v>
                </c:pt>
                <c:pt idx="175">
                  <c:v>1.4510000000000001</c:v>
                </c:pt>
                <c:pt idx="176">
                  <c:v>1.4530000000000001</c:v>
                </c:pt>
                <c:pt idx="177">
                  <c:v>1.46</c:v>
                </c:pt>
                <c:pt idx="178">
                  <c:v>1.4730000000000001</c:v>
                </c:pt>
                <c:pt idx="179">
                  <c:v>1.4610000000000001</c:v>
                </c:pt>
                <c:pt idx="180">
                  <c:v>1.466</c:v>
                </c:pt>
                <c:pt idx="181">
                  <c:v>1.4730000000000001</c:v>
                </c:pt>
                <c:pt idx="182">
                  <c:v>1.4750000000000001</c:v>
                </c:pt>
                <c:pt idx="183">
                  <c:v>1.478</c:v>
                </c:pt>
                <c:pt idx="184">
                  <c:v>1.5</c:v>
                </c:pt>
                <c:pt idx="185">
                  <c:v>1.5</c:v>
                </c:pt>
                <c:pt idx="186">
                  <c:v>1.506</c:v>
                </c:pt>
                <c:pt idx="187">
                  <c:v>1.51</c:v>
                </c:pt>
                <c:pt idx="188">
                  <c:v>1.5109999999999999</c:v>
                </c:pt>
                <c:pt idx="189">
                  <c:v>1.506</c:v>
                </c:pt>
                <c:pt idx="190">
                  <c:v>1.5029999999999999</c:v>
                </c:pt>
                <c:pt idx="191">
                  <c:v>1.33</c:v>
                </c:pt>
                <c:pt idx="192">
                  <c:v>1.33</c:v>
                </c:pt>
                <c:pt idx="193">
                  <c:v>1.33</c:v>
                </c:pt>
                <c:pt idx="194">
                  <c:v>1.3160000000000001</c:v>
                </c:pt>
                <c:pt idx="195">
                  <c:v>1.2949999999999999</c:v>
                </c:pt>
                <c:pt idx="196">
                  <c:v>1.29</c:v>
                </c:pt>
                <c:pt idx="197">
                  <c:v>1.286</c:v>
                </c:pt>
                <c:pt idx="198">
                  <c:v>1.2849999999999999</c:v>
                </c:pt>
                <c:pt idx="199">
                  <c:v>1.288</c:v>
                </c:pt>
                <c:pt idx="200">
                  <c:v>1.288</c:v>
                </c:pt>
                <c:pt idx="201">
                  <c:v>1.288</c:v>
                </c:pt>
                <c:pt idx="202">
                  <c:v>1.288</c:v>
                </c:pt>
                <c:pt idx="203">
                  <c:v>1.2829999999999999</c:v>
                </c:pt>
                <c:pt idx="204">
                  <c:v>1.2609999999999999</c:v>
                </c:pt>
                <c:pt idx="205">
                  <c:v>1.2230000000000001</c:v>
                </c:pt>
                <c:pt idx="206">
                  <c:v>1.206</c:v>
                </c:pt>
                <c:pt idx="207">
                  <c:v>1.2010000000000001</c:v>
                </c:pt>
                <c:pt idx="208">
                  <c:v>1.19</c:v>
                </c:pt>
                <c:pt idx="209">
                  <c:v>1.18</c:v>
                </c:pt>
                <c:pt idx="210">
                  <c:v>1.1759999999999999</c:v>
                </c:pt>
                <c:pt idx="211">
                  <c:v>1.171</c:v>
                </c:pt>
                <c:pt idx="212">
                  <c:v>1.173</c:v>
                </c:pt>
                <c:pt idx="213">
                  <c:v>1.18</c:v>
                </c:pt>
                <c:pt idx="214">
                  <c:v>1.1850000000000001</c:v>
                </c:pt>
                <c:pt idx="215">
                  <c:v>1.1930000000000001</c:v>
                </c:pt>
                <c:pt idx="216">
                  <c:v>1.1930000000000001</c:v>
                </c:pt>
                <c:pt idx="217">
                  <c:v>1.1930000000000001</c:v>
                </c:pt>
                <c:pt idx="218">
                  <c:v>1.1930000000000001</c:v>
                </c:pt>
                <c:pt idx="219">
                  <c:v>1.1930000000000001</c:v>
                </c:pt>
                <c:pt idx="220">
                  <c:v>1.198</c:v>
                </c:pt>
                <c:pt idx="221">
                  <c:v>1.2</c:v>
                </c:pt>
                <c:pt idx="222">
                  <c:v>1.2030000000000001</c:v>
                </c:pt>
                <c:pt idx="223">
                  <c:v>1.2030000000000001</c:v>
                </c:pt>
                <c:pt idx="224">
                  <c:v>1.206</c:v>
                </c:pt>
                <c:pt idx="225">
                  <c:v>1.2030000000000001</c:v>
                </c:pt>
                <c:pt idx="226">
                  <c:v>1.2050000000000001</c:v>
                </c:pt>
                <c:pt idx="227">
                  <c:v>1.2110000000000001</c:v>
                </c:pt>
                <c:pt idx="228">
                  <c:v>1.2110000000000001</c:v>
                </c:pt>
                <c:pt idx="229">
                  <c:v>1.218</c:v>
                </c:pt>
                <c:pt idx="230">
                  <c:v>1.218</c:v>
                </c:pt>
                <c:pt idx="231">
                  <c:v>1.22</c:v>
                </c:pt>
                <c:pt idx="232">
                  <c:v>1.22</c:v>
                </c:pt>
                <c:pt idx="233">
                  <c:v>1.208</c:v>
                </c:pt>
                <c:pt idx="234">
                  <c:v>1.208</c:v>
                </c:pt>
                <c:pt idx="235">
                  <c:v>1.2110000000000001</c:v>
                </c:pt>
                <c:pt idx="236">
                  <c:v>1.2130000000000001</c:v>
                </c:pt>
                <c:pt idx="237">
                  <c:v>1.2230000000000001</c:v>
                </c:pt>
                <c:pt idx="238">
                  <c:v>1.24</c:v>
                </c:pt>
                <c:pt idx="239">
                  <c:v>1.248</c:v>
                </c:pt>
                <c:pt idx="240">
                  <c:v>1.25</c:v>
                </c:pt>
                <c:pt idx="241">
                  <c:v>1.2470000000000001</c:v>
                </c:pt>
                <c:pt idx="242">
                  <c:v>1.244</c:v>
                </c:pt>
                <c:pt idx="243">
                  <c:v>1.24</c:v>
                </c:pt>
                <c:pt idx="244">
                  <c:v>1.24</c:v>
                </c:pt>
                <c:pt idx="245">
                  <c:v>1.2390000000000001</c:v>
                </c:pt>
                <c:pt idx="246">
                  <c:v>1.24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history_chart!$BT$5</c:f>
              <c:strCache>
                <c:ptCount val="1"/>
                <c:pt idx="0">
                  <c:v>3사평균 통안증권</c:v>
                </c:pt>
              </c:strCache>
            </c:strRef>
          </c:tx>
          <c:spPr>
            <a:ln w="22225">
              <a:solidFill>
                <a:srgbClr val="FF660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numRef>
              <c:f>history_chart!$BR$10:$BR$256</c:f>
              <c:numCache>
                <c:formatCode>m/d/yyyy</c:formatCode>
                <c:ptCount val="247"/>
                <c:pt idx="0">
                  <c:v>44943</c:v>
                </c:pt>
                <c:pt idx="1">
                  <c:v>44942</c:v>
                </c:pt>
                <c:pt idx="2">
                  <c:v>44939</c:v>
                </c:pt>
                <c:pt idx="3">
                  <c:v>44938</c:v>
                </c:pt>
                <c:pt idx="4">
                  <c:v>44937</c:v>
                </c:pt>
                <c:pt idx="5">
                  <c:v>44936</c:v>
                </c:pt>
                <c:pt idx="6">
                  <c:v>44935</c:v>
                </c:pt>
                <c:pt idx="7">
                  <c:v>44932</c:v>
                </c:pt>
                <c:pt idx="8">
                  <c:v>44931</c:v>
                </c:pt>
                <c:pt idx="9">
                  <c:v>44930</c:v>
                </c:pt>
                <c:pt idx="10">
                  <c:v>44929</c:v>
                </c:pt>
                <c:pt idx="11">
                  <c:v>44928</c:v>
                </c:pt>
                <c:pt idx="12">
                  <c:v>44925</c:v>
                </c:pt>
                <c:pt idx="13">
                  <c:v>44924</c:v>
                </c:pt>
                <c:pt idx="14">
                  <c:v>44923</c:v>
                </c:pt>
                <c:pt idx="15">
                  <c:v>44922</c:v>
                </c:pt>
                <c:pt idx="16">
                  <c:v>44921</c:v>
                </c:pt>
                <c:pt idx="17">
                  <c:v>44918</c:v>
                </c:pt>
                <c:pt idx="18">
                  <c:v>44917</c:v>
                </c:pt>
                <c:pt idx="19">
                  <c:v>44916</c:v>
                </c:pt>
                <c:pt idx="20">
                  <c:v>44915</c:v>
                </c:pt>
                <c:pt idx="21">
                  <c:v>44914</c:v>
                </c:pt>
                <c:pt idx="22">
                  <c:v>44911</c:v>
                </c:pt>
                <c:pt idx="23">
                  <c:v>44910</c:v>
                </c:pt>
                <c:pt idx="24">
                  <c:v>44909</c:v>
                </c:pt>
                <c:pt idx="25">
                  <c:v>44908</c:v>
                </c:pt>
                <c:pt idx="26">
                  <c:v>44907</c:v>
                </c:pt>
                <c:pt idx="27">
                  <c:v>44904</c:v>
                </c:pt>
                <c:pt idx="28">
                  <c:v>44903</c:v>
                </c:pt>
                <c:pt idx="29">
                  <c:v>44902</c:v>
                </c:pt>
                <c:pt idx="30">
                  <c:v>44901</c:v>
                </c:pt>
                <c:pt idx="31">
                  <c:v>44900</c:v>
                </c:pt>
                <c:pt idx="32">
                  <c:v>44897</c:v>
                </c:pt>
                <c:pt idx="33">
                  <c:v>44896</c:v>
                </c:pt>
                <c:pt idx="34">
                  <c:v>44895</c:v>
                </c:pt>
                <c:pt idx="35">
                  <c:v>44894</c:v>
                </c:pt>
                <c:pt idx="36">
                  <c:v>44893</c:v>
                </c:pt>
                <c:pt idx="37">
                  <c:v>44890</c:v>
                </c:pt>
                <c:pt idx="38">
                  <c:v>44889</c:v>
                </c:pt>
                <c:pt idx="39">
                  <c:v>44888</c:v>
                </c:pt>
                <c:pt idx="40">
                  <c:v>44887</c:v>
                </c:pt>
                <c:pt idx="41">
                  <c:v>44886</c:v>
                </c:pt>
                <c:pt idx="42">
                  <c:v>44883</c:v>
                </c:pt>
                <c:pt idx="43">
                  <c:v>44882</c:v>
                </c:pt>
                <c:pt idx="44">
                  <c:v>44881</c:v>
                </c:pt>
                <c:pt idx="45">
                  <c:v>44880</c:v>
                </c:pt>
                <c:pt idx="46">
                  <c:v>44879</c:v>
                </c:pt>
                <c:pt idx="47">
                  <c:v>44876</c:v>
                </c:pt>
                <c:pt idx="48">
                  <c:v>44875</c:v>
                </c:pt>
                <c:pt idx="49">
                  <c:v>44874</c:v>
                </c:pt>
                <c:pt idx="50">
                  <c:v>44873</c:v>
                </c:pt>
                <c:pt idx="51">
                  <c:v>44872</c:v>
                </c:pt>
                <c:pt idx="52">
                  <c:v>44869</c:v>
                </c:pt>
                <c:pt idx="53">
                  <c:v>44868</c:v>
                </c:pt>
                <c:pt idx="54">
                  <c:v>44867</c:v>
                </c:pt>
                <c:pt idx="55">
                  <c:v>44866</c:v>
                </c:pt>
                <c:pt idx="56">
                  <c:v>44865</c:v>
                </c:pt>
                <c:pt idx="57">
                  <c:v>44862</c:v>
                </c:pt>
                <c:pt idx="58">
                  <c:v>44861</c:v>
                </c:pt>
                <c:pt idx="59">
                  <c:v>44860</c:v>
                </c:pt>
                <c:pt idx="60">
                  <c:v>44859</c:v>
                </c:pt>
                <c:pt idx="61">
                  <c:v>44858</c:v>
                </c:pt>
                <c:pt idx="62">
                  <c:v>44855</c:v>
                </c:pt>
                <c:pt idx="63">
                  <c:v>44854</c:v>
                </c:pt>
                <c:pt idx="64">
                  <c:v>44853</c:v>
                </c:pt>
                <c:pt idx="65">
                  <c:v>44852</c:v>
                </c:pt>
                <c:pt idx="66">
                  <c:v>44851</c:v>
                </c:pt>
                <c:pt idx="67">
                  <c:v>44848</c:v>
                </c:pt>
                <c:pt idx="68">
                  <c:v>44847</c:v>
                </c:pt>
                <c:pt idx="69">
                  <c:v>44846</c:v>
                </c:pt>
                <c:pt idx="70">
                  <c:v>44845</c:v>
                </c:pt>
                <c:pt idx="71">
                  <c:v>44841</c:v>
                </c:pt>
                <c:pt idx="72">
                  <c:v>44840</c:v>
                </c:pt>
                <c:pt idx="73">
                  <c:v>44839</c:v>
                </c:pt>
                <c:pt idx="74">
                  <c:v>44838</c:v>
                </c:pt>
                <c:pt idx="75">
                  <c:v>44834</c:v>
                </c:pt>
                <c:pt idx="76">
                  <c:v>44833</c:v>
                </c:pt>
                <c:pt idx="77">
                  <c:v>44832</c:v>
                </c:pt>
                <c:pt idx="78">
                  <c:v>44831</c:v>
                </c:pt>
                <c:pt idx="79">
                  <c:v>44830</c:v>
                </c:pt>
                <c:pt idx="80">
                  <c:v>44827</c:v>
                </c:pt>
                <c:pt idx="81">
                  <c:v>44826</c:v>
                </c:pt>
                <c:pt idx="82">
                  <c:v>44825</c:v>
                </c:pt>
                <c:pt idx="83">
                  <c:v>44824</c:v>
                </c:pt>
                <c:pt idx="84">
                  <c:v>44823</c:v>
                </c:pt>
                <c:pt idx="85">
                  <c:v>44820</c:v>
                </c:pt>
                <c:pt idx="86">
                  <c:v>44819</c:v>
                </c:pt>
                <c:pt idx="87">
                  <c:v>44818</c:v>
                </c:pt>
                <c:pt idx="88">
                  <c:v>44817</c:v>
                </c:pt>
                <c:pt idx="89">
                  <c:v>44812</c:v>
                </c:pt>
                <c:pt idx="90">
                  <c:v>44811</c:v>
                </c:pt>
                <c:pt idx="91">
                  <c:v>44810</c:v>
                </c:pt>
                <c:pt idx="92">
                  <c:v>44809</c:v>
                </c:pt>
                <c:pt idx="93">
                  <c:v>44806</c:v>
                </c:pt>
                <c:pt idx="94">
                  <c:v>44805</c:v>
                </c:pt>
                <c:pt idx="95">
                  <c:v>44804</c:v>
                </c:pt>
                <c:pt idx="96">
                  <c:v>44803</c:v>
                </c:pt>
                <c:pt idx="97">
                  <c:v>44802</c:v>
                </c:pt>
                <c:pt idx="98">
                  <c:v>44799</c:v>
                </c:pt>
                <c:pt idx="99">
                  <c:v>44798</c:v>
                </c:pt>
                <c:pt idx="100">
                  <c:v>44797</c:v>
                </c:pt>
                <c:pt idx="101">
                  <c:v>44796</c:v>
                </c:pt>
                <c:pt idx="102">
                  <c:v>44795</c:v>
                </c:pt>
                <c:pt idx="103">
                  <c:v>44792</c:v>
                </c:pt>
                <c:pt idx="104">
                  <c:v>44791</c:v>
                </c:pt>
                <c:pt idx="105">
                  <c:v>44790</c:v>
                </c:pt>
                <c:pt idx="106">
                  <c:v>44789</c:v>
                </c:pt>
                <c:pt idx="107">
                  <c:v>44785</c:v>
                </c:pt>
                <c:pt idx="108">
                  <c:v>44784</c:v>
                </c:pt>
                <c:pt idx="109">
                  <c:v>44783</c:v>
                </c:pt>
                <c:pt idx="110">
                  <c:v>44782</c:v>
                </c:pt>
                <c:pt idx="111">
                  <c:v>44781</c:v>
                </c:pt>
                <c:pt idx="112">
                  <c:v>44778</c:v>
                </c:pt>
                <c:pt idx="113">
                  <c:v>44777</c:v>
                </c:pt>
                <c:pt idx="114">
                  <c:v>44776</c:v>
                </c:pt>
                <c:pt idx="115">
                  <c:v>44775</c:v>
                </c:pt>
                <c:pt idx="116">
                  <c:v>44774</c:v>
                </c:pt>
                <c:pt idx="117">
                  <c:v>44771</c:v>
                </c:pt>
                <c:pt idx="118">
                  <c:v>44770</c:v>
                </c:pt>
                <c:pt idx="119">
                  <c:v>44769</c:v>
                </c:pt>
                <c:pt idx="120">
                  <c:v>44768</c:v>
                </c:pt>
                <c:pt idx="121">
                  <c:v>44767</c:v>
                </c:pt>
                <c:pt idx="122">
                  <c:v>44764</c:v>
                </c:pt>
                <c:pt idx="123">
                  <c:v>44763</c:v>
                </c:pt>
                <c:pt idx="124">
                  <c:v>44762</c:v>
                </c:pt>
                <c:pt idx="125">
                  <c:v>44761</c:v>
                </c:pt>
                <c:pt idx="126">
                  <c:v>44760</c:v>
                </c:pt>
                <c:pt idx="127">
                  <c:v>44757</c:v>
                </c:pt>
                <c:pt idx="128">
                  <c:v>44756</c:v>
                </c:pt>
                <c:pt idx="129">
                  <c:v>44755</c:v>
                </c:pt>
                <c:pt idx="130">
                  <c:v>44754</c:v>
                </c:pt>
                <c:pt idx="131">
                  <c:v>44753</c:v>
                </c:pt>
                <c:pt idx="132">
                  <c:v>44750</c:v>
                </c:pt>
                <c:pt idx="133">
                  <c:v>44749</c:v>
                </c:pt>
                <c:pt idx="134">
                  <c:v>44748</c:v>
                </c:pt>
                <c:pt idx="135">
                  <c:v>44747</c:v>
                </c:pt>
                <c:pt idx="136">
                  <c:v>44746</c:v>
                </c:pt>
                <c:pt idx="137">
                  <c:v>44743</c:v>
                </c:pt>
                <c:pt idx="138">
                  <c:v>44742</c:v>
                </c:pt>
                <c:pt idx="139">
                  <c:v>44741</c:v>
                </c:pt>
                <c:pt idx="140">
                  <c:v>44740</c:v>
                </c:pt>
                <c:pt idx="141">
                  <c:v>44739</c:v>
                </c:pt>
                <c:pt idx="142">
                  <c:v>44736</c:v>
                </c:pt>
                <c:pt idx="143">
                  <c:v>44735</c:v>
                </c:pt>
                <c:pt idx="144">
                  <c:v>44734</c:v>
                </c:pt>
                <c:pt idx="145">
                  <c:v>44733</c:v>
                </c:pt>
                <c:pt idx="146">
                  <c:v>44732</c:v>
                </c:pt>
                <c:pt idx="147">
                  <c:v>44729</c:v>
                </c:pt>
                <c:pt idx="148">
                  <c:v>44728</c:v>
                </c:pt>
                <c:pt idx="149">
                  <c:v>44727</c:v>
                </c:pt>
                <c:pt idx="150">
                  <c:v>44726</c:v>
                </c:pt>
                <c:pt idx="151">
                  <c:v>44725</c:v>
                </c:pt>
                <c:pt idx="152">
                  <c:v>44722</c:v>
                </c:pt>
                <c:pt idx="153">
                  <c:v>44721</c:v>
                </c:pt>
                <c:pt idx="154">
                  <c:v>44720</c:v>
                </c:pt>
                <c:pt idx="155">
                  <c:v>44719</c:v>
                </c:pt>
                <c:pt idx="156">
                  <c:v>44715</c:v>
                </c:pt>
                <c:pt idx="157">
                  <c:v>44714</c:v>
                </c:pt>
                <c:pt idx="158">
                  <c:v>44712</c:v>
                </c:pt>
                <c:pt idx="159">
                  <c:v>44711</c:v>
                </c:pt>
                <c:pt idx="160">
                  <c:v>44708</c:v>
                </c:pt>
                <c:pt idx="161">
                  <c:v>44707</c:v>
                </c:pt>
                <c:pt idx="162">
                  <c:v>44706</c:v>
                </c:pt>
                <c:pt idx="163">
                  <c:v>44705</c:v>
                </c:pt>
                <c:pt idx="164">
                  <c:v>44704</c:v>
                </c:pt>
                <c:pt idx="165">
                  <c:v>44701</c:v>
                </c:pt>
                <c:pt idx="166">
                  <c:v>44700</c:v>
                </c:pt>
                <c:pt idx="167">
                  <c:v>44699</c:v>
                </c:pt>
                <c:pt idx="168">
                  <c:v>44698</c:v>
                </c:pt>
                <c:pt idx="169">
                  <c:v>44697</c:v>
                </c:pt>
                <c:pt idx="170">
                  <c:v>44694</c:v>
                </c:pt>
                <c:pt idx="171">
                  <c:v>44693</c:v>
                </c:pt>
                <c:pt idx="172">
                  <c:v>44692</c:v>
                </c:pt>
                <c:pt idx="173">
                  <c:v>44691</c:v>
                </c:pt>
                <c:pt idx="174">
                  <c:v>44690</c:v>
                </c:pt>
                <c:pt idx="175">
                  <c:v>44687</c:v>
                </c:pt>
                <c:pt idx="176">
                  <c:v>44685</c:v>
                </c:pt>
                <c:pt idx="177">
                  <c:v>44684</c:v>
                </c:pt>
                <c:pt idx="178">
                  <c:v>44683</c:v>
                </c:pt>
                <c:pt idx="179">
                  <c:v>44680</c:v>
                </c:pt>
                <c:pt idx="180">
                  <c:v>44679</c:v>
                </c:pt>
                <c:pt idx="181">
                  <c:v>44678</c:v>
                </c:pt>
                <c:pt idx="182">
                  <c:v>44677</c:v>
                </c:pt>
                <c:pt idx="183">
                  <c:v>44676</c:v>
                </c:pt>
                <c:pt idx="184">
                  <c:v>44673</c:v>
                </c:pt>
                <c:pt idx="185">
                  <c:v>44672</c:v>
                </c:pt>
                <c:pt idx="186">
                  <c:v>44671</c:v>
                </c:pt>
                <c:pt idx="187">
                  <c:v>44670</c:v>
                </c:pt>
                <c:pt idx="188">
                  <c:v>44669</c:v>
                </c:pt>
                <c:pt idx="189">
                  <c:v>44666</c:v>
                </c:pt>
                <c:pt idx="190">
                  <c:v>44665</c:v>
                </c:pt>
                <c:pt idx="191">
                  <c:v>44664</c:v>
                </c:pt>
                <c:pt idx="192">
                  <c:v>44663</c:v>
                </c:pt>
                <c:pt idx="193">
                  <c:v>44662</c:v>
                </c:pt>
                <c:pt idx="194">
                  <c:v>44659</c:v>
                </c:pt>
                <c:pt idx="195">
                  <c:v>44658</c:v>
                </c:pt>
                <c:pt idx="196">
                  <c:v>44657</c:v>
                </c:pt>
                <c:pt idx="197">
                  <c:v>44656</c:v>
                </c:pt>
                <c:pt idx="198">
                  <c:v>44655</c:v>
                </c:pt>
                <c:pt idx="199">
                  <c:v>44652</c:v>
                </c:pt>
                <c:pt idx="200">
                  <c:v>44651</c:v>
                </c:pt>
                <c:pt idx="201">
                  <c:v>44650</c:v>
                </c:pt>
                <c:pt idx="202">
                  <c:v>44649</c:v>
                </c:pt>
                <c:pt idx="203">
                  <c:v>44648</c:v>
                </c:pt>
                <c:pt idx="204">
                  <c:v>44645</c:v>
                </c:pt>
                <c:pt idx="205">
                  <c:v>44644</c:v>
                </c:pt>
                <c:pt idx="206">
                  <c:v>44643</c:v>
                </c:pt>
                <c:pt idx="207">
                  <c:v>44642</c:v>
                </c:pt>
                <c:pt idx="208">
                  <c:v>44641</c:v>
                </c:pt>
                <c:pt idx="209">
                  <c:v>44638</c:v>
                </c:pt>
                <c:pt idx="210">
                  <c:v>44637</c:v>
                </c:pt>
                <c:pt idx="211">
                  <c:v>44636</c:v>
                </c:pt>
                <c:pt idx="212">
                  <c:v>44635</c:v>
                </c:pt>
                <c:pt idx="213">
                  <c:v>44634</c:v>
                </c:pt>
                <c:pt idx="214">
                  <c:v>44631</c:v>
                </c:pt>
                <c:pt idx="215">
                  <c:v>44630</c:v>
                </c:pt>
                <c:pt idx="216">
                  <c:v>44628</c:v>
                </c:pt>
                <c:pt idx="217">
                  <c:v>44627</c:v>
                </c:pt>
                <c:pt idx="218">
                  <c:v>44624</c:v>
                </c:pt>
                <c:pt idx="219">
                  <c:v>44623</c:v>
                </c:pt>
                <c:pt idx="220">
                  <c:v>44622</c:v>
                </c:pt>
                <c:pt idx="221">
                  <c:v>44620</c:v>
                </c:pt>
                <c:pt idx="222">
                  <c:v>44617</c:v>
                </c:pt>
                <c:pt idx="223">
                  <c:v>44616</c:v>
                </c:pt>
                <c:pt idx="224">
                  <c:v>44615</c:v>
                </c:pt>
                <c:pt idx="225">
                  <c:v>44614</c:v>
                </c:pt>
                <c:pt idx="226">
                  <c:v>44613</c:v>
                </c:pt>
                <c:pt idx="227">
                  <c:v>44610</c:v>
                </c:pt>
                <c:pt idx="228">
                  <c:v>44609</c:v>
                </c:pt>
                <c:pt idx="229">
                  <c:v>44608</c:v>
                </c:pt>
                <c:pt idx="230">
                  <c:v>44607</c:v>
                </c:pt>
                <c:pt idx="231">
                  <c:v>44606</c:v>
                </c:pt>
                <c:pt idx="232">
                  <c:v>44603</c:v>
                </c:pt>
                <c:pt idx="233">
                  <c:v>44602</c:v>
                </c:pt>
                <c:pt idx="234">
                  <c:v>44601</c:v>
                </c:pt>
                <c:pt idx="235">
                  <c:v>44600</c:v>
                </c:pt>
                <c:pt idx="236">
                  <c:v>44599</c:v>
                </c:pt>
                <c:pt idx="237">
                  <c:v>44596</c:v>
                </c:pt>
                <c:pt idx="238">
                  <c:v>44595</c:v>
                </c:pt>
                <c:pt idx="239">
                  <c:v>44589</c:v>
                </c:pt>
                <c:pt idx="240">
                  <c:v>44588</c:v>
                </c:pt>
                <c:pt idx="241">
                  <c:v>44587</c:v>
                </c:pt>
                <c:pt idx="242">
                  <c:v>44586</c:v>
                </c:pt>
                <c:pt idx="243">
                  <c:v>44585</c:v>
                </c:pt>
                <c:pt idx="244">
                  <c:v>44582</c:v>
                </c:pt>
                <c:pt idx="245">
                  <c:v>44581</c:v>
                </c:pt>
                <c:pt idx="246">
                  <c:v>44580</c:v>
                </c:pt>
              </c:numCache>
            </c:numRef>
          </c:cat>
          <c:val>
            <c:numRef>
              <c:f>history_chart!$BT$10:$BT$256</c:f>
              <c:numCache>
                <c:formatCode>General</c:formatCode>
                <c:ptCount val="247"/>
                <c:pt idx="0">
                  <c:v>3.55</c:v>
                </c:pt>
                <c:pt idx="1">
                  <c:v>3.56</c:v>
                </c:pt>
                <c:pt idx="2">
                  <c:v>3.528</c:v>
                </c:pt>
                <c:pt idx="3">
                  <c:v>3.5449999999999999</c:v>
                </c:pt>
                <c:pt idx="4">
                  <c:v>3.5550000000000002</c:v>
                </c:pt>
                <c:pt idx="5">
                  <c:v>3.5830000000000002</c:v>
                </c:pt>
                <c:pt idx="6">
                  <c:v>3.5779999999999998</c:v>
                </c:pt>
                <c:pt idx="7">
                  <c:v>3.61</c:v>
                </c:pt>
                <c:pt idx="8">
                  <c:v>3.593</c:v>
                </c:pt>
                <c:pt idx="9">
                  <c:v>3.6179999999999999</c:v>
                </c:pt>
                <c:pt idx="10">
                  <c:v>3.6640000000000001</c:v>
                </c:pt>
                <c:pt idx="11">
                  <c:v>3.7320000000000002</c:v>
                </c:pt>
                <c:pt idx="12">
                  <c:v>3.746</c:v>
                </c:pt>
                <c:pt idx="13">
                  <c:v>3.746</c:v>
                </c:pt>
                <c:pt idx="14">
                  <c:v>3.7360000000000002</c:v>
                </c:pt>
                <c:pt idx="15">
                  <c:v>3.7650000000000001</c:v>
                </c:pt>
                <c:pt idx="16">
                  <c:v>3.78</c:v>
                </c:pt>
                <c:pt idx="17">
                  <c:v>3.7679999999999998</c:v>
                </c:pt>
                <c:pt idx="18">
                  <c:v>3.7450000000000001</c:v>
                </c:pt>
                <c:pt idx="19">
                  <c:v>3.7650000000000001</c:v>
                </c:pt>
                <c:pt idx="20">
                  <c:v>3.7850000000000001</c:v>
                </c:pt>
                <c:pt idx="21">
                  <c:v>3.7280000000000002</c:v>
                </c:pt>
                <c:pt idx="22">
                  <c:v>3.718</c:v>
                </c:pt>
                <c:pt idx="23">
                  <c:v>3.7149999999999999</c:v>
                </c:pt>
                <c:pt idx="24">
                  <c:v>3.71</c:v>
                </c:pt>
                <c:pt idx="25">
                  <c:v>3.7149999999999999</c:v>
                </c:pt>
                <c:pt idx="26">
                  <c:v>3.698</c:v>
                </c:pt>
                <c:pt idx="27">
                  <c:v>3.6890000000000001</c:v>
                </c:pt>
                <c:pt idx="28">
                  <c:v>3.702</c:v>
                </c:pt>
                <c:pt idx="29">
                  <c:v>3.6869999999999998</c:v>
                </c:pt>
                <c:pt idx="30">
                  <c:v>3.661</c:v>
                </c:pt>
                <c:pt idx="31">
                  <c:v>3.6419999999999999</c:v>
                </c:pt>
                <c:pt idx="32">
                  <c:v>3.6680000000000001</c:v>
                </c:pt>
                <c:pt idx="33">
                  <c:v>3.718</c:v>
                </c:pt>
                <c:pt idx="34">
                  <c:v>3.7610000000000001</c:v>
                </c:pt>
                <c:pt idx="35">
                  <c:v>3.7930000000000001</c:v>
                </c:pt>
                <c:pt idx="36">
                  <c:v>3.758</c:v>
                </c:pt>
                <c:pt idx="37">
                  <c:v>3.7360000000000002</c:v>
                </c:pt>
                <c:pt idx="38">
                  <c:v>3.7480000000000002</c:v>
                </c:pt>
                <c:pt idx="39">
                  <c:v>3.8530000000000002</c:v>
                </c:pt>
                <c:pt idx="40">
                  <c:v>3.8679999999999999</c:v>
                </c:pt>
                <c:pt idx="41">
                  <c:v>3.8460000000000001</c:v>
                </c:pt>
                <c:pt idx="42">
                  <c:v>3.8130000000000002</c:v>
                </c:pt>
                <c:pt idx="43">
                  <c:v>3.8330000000000002</c:v>
                </c:pt>
                <c:pt idx="44">
                  <c:v>3.831</c:v>
                </c:pt>
                <c:pt idx="45">
                  <c:v>3.7829999999999999</c:v>
                </c:pt>
                <c:pt idx="46">
                  <c:v>3.8210000000000002</c:v>
                </c:pt>
                <c:pt idx="47">
                  <c:v>3.8050000000000002</c:v>
                </c:pt>
                <c:pt idx="48">
                  <c:v>3.851</c:v>
                </c:pt>
                <c:pt idx="49">
                  <c:v>3.851</c:v>
                </c:pt>
                <c:pt idx="50">
                  <c:v>3.855</c:v>
                </c:pt>
                <c:pt idx="51">
                  <c:v>3.871</c:v>
                </c:pt>
                <c:pt idx="52">
                  <c:v>3.843</c:v>
                </c:pt>
                <c:pt idx="53">
                  <c:v>3.843</c:v>
                </c:pt>
                <c:pt idx="54">
                  <c:v>3.8050000000000002</c:v>
                </c:pt>
                <c:pt idx="55">
                  <c:v>3.74</c:v>
                </c:pt>
                <c:pt idx="56">
                  <c:v>3.74</c:v>
                </c:pt>
                <c:pt idx="57">
                  <c:v>3.698</c:v>
                </c:pt>
                <c:pt idx="58">
                  <c:v>3.7280000000000002</c:v>
                </c:pt>
                <c:pt idx="59">
                  <c:v>3.7050000000000001</c:v>
                </c:pt>
                <c:pt idx="60">
                  <c:v>3.673</c:v>
                </c:pt>
                <c:pt idx="61">
                  <c:v>3.6960000000000002</c:v>
                </c:pt>
                <c:pt idx="62">
                  <c:v>3.7559999999999998</c:v>
                </c:pt>
                <c:pt idx="63">
                  <c:v>3.641</c:v>
                </c:pt>
                <c:pt idx="64">
                  <c:v>3.6309999999999998</c:v>
                </c:pt>
                <c:pt idx="65">
                  <c:v>3.58</c:v>
                </c:pt>
                <c:pt idx="66">
                  <c:v>3.528</c:v>
                </c:pt>
                <c:pt idx="67">
                  <c:v>3.49</c:v>
                </c:pt>
                <c:pt idx="68">
                  <c:v>3.49</c:v>
                </c:pt>
                <c:pt idx="69">
                  <c:v>3.456</c:v>
                </c:pt>
                <c:pt idx="70">
                  <c:v>3.4780000000000002</c:v>
                </c:pt>
                <c:pt idx="71">
                  <c:v>3.45</c:v>
                </c:pt>
                <c:pt idx="72">
                  <c:v>3.488</c:v>
                </c:pt>
                <c:pt idx="73">
                  <c:v>3.55</c:v>
                </c:pt>
                <c:pt idx="74">
                  <c:v>3.5249999999999999</c:v>
                </c:pt>
                <c:pt idx="75">
                  <c:v>3.61</c:v>
                </c:pt>
                <c:pt idx="76">
                  <c:v>3.7229999999999999</c:v>
                </c:pt>
                <c:pt idx="77">
                  <c:v>3.778</c:v>
                </c:pt>
                <c:pt idx="78">
                  <c:v>3.7410000000000001</c:v>
                </c:pt>
                <c:pt idx="79">
                  <c:v>3.8180000000000001</c:v>
                </c:pt>
                <c:pt idx="80">
                  <c:v>3.5710000000000002</c:v>
                </c:pt>
                <c:pt idx="81">
                  <c:v>3.4910000000000001</c:v>
                </c:pt>
                <c:pt idx="82">
                  <c:v>3.3359999999999999</c:v>
                </c:pt>
                <c:pt idx="83">
                  <c:v>3.3180000000000001</c:v>
                </c:pt>
                <c:pt idx="84">
                  <c:v>3.27</c:v>
                </c:pt>
                <c:pt idx="85">
                  <c:v>3.2709999999999999</c:v>
                </c:pt>
                <c:pt idx="86">
                  <c:v>3.2709999999999999</c:v>
                </c:pt>
                <c:pt idx="87">
                  <c:v>3.2109999999999999</c:v>
                </c:pt>
                <c:pt idx="88">
                  <c:v>3.1779999999999999</c:v>
                </c:pt>
                <c:pt idx="89">
                  <c:v>3.181</c:v>
                </c:pt>
                <c:pt idx="90">
                  <c:v>3.246</c:v>
                </c:pt>
                <c:pt idx="91">
                  <c:v>3.246</c:v>
                </c:pt>
                <c:pt idx="92">
                  <c:v>3.2250000000000001</c:v>
                </c:pt>
                <c:pt idx="93">
                  <c:v>3.26</c:v>
                </c:pt>
                <c:pt idx="94">
                  <c:v>3.3130000000000002</c:v>
                </c:pt>
                <c:pt idx="95">
                  <c:v>3.2759999999999998</c:v>
                </c:pt>
                <c:pt idx="96">
                  <c:v>3.2509999999999999</c:v>
                </c:pt>
                <c:pt idx="97">
                  <c:v>3.2730000000000001</c:v>
                </c:pt>
                <c:pt idx="98">
                  <c:v>3.2010000000000001</c:v>
                </c:pt>
                <c:pt idx="99">
                  <c:v>3.206</c:v>
                </c:pt>
                <c:pt idx="100">
                  <c:v>3.0710000000000002</c:v>
                </c:pt>
                <c:pt idx="101">
                  <c:v>3.016</c:v>
                </c:pt>
                <c:pt idx="102">
                  <c:v>2.9750000000000001</c:v>
                </c:pt>
                <c:pt idx="103">
                  <c:v>2.93</c:v>
                </c:pt>
                <c:pt idx="104">
                  <c:v>2.9009999999999998</c:v>
                </c:pt>
                <c:pt idx="105">
                  <c:v>2.883</c:v>
                </c:pt>
                <c:pt idx="106">
                  <c:v>2.88</c:v>
                </c:pt>
                <c:pt idx="107">
                  <c:v>2.9129999999999998</c:v>
                </c:pt>
                <c:pt idx="108">
                  <c:v>2.8929999999999998</c:v>
                </c:pt>
                <c:pt idx="109">
                  <c:v>2.9</c:v>
                </c:pt>
                <c:pt idx="110">
                  <c:v>2.8980000000000001</c:v>
                </c:pt>
                <c:pt idx="111">
                  <c:v>2.9060000000000001</c:v>
                </c:pt>
                <c:pt idx="112">
                  <c:v>2.8860000000000001</c:v>
                </c:pt>
                <c:pt idx="113">
                  <c:v>2.9089999999999998</c:v>
                </c:pt>
                <c:pt idx="114">
                  <c:v>2.94</c:v>
                </c:pt>
                <c:pt idx="115">
                  <c:v>2.97</c:v>
                </c:pt>
                <c:pt idx="116">
                  <c:v>3.0110000000000001</c:v>
                </c:pt>
                <c:pt idx="117">
                  <c:v>2.9780000000000002</c:v>
                </c:pt>
                <c:pt idx="118">
                  <c:v>3.0209999999999999</c:v>
                </c:pt>
                <c:pt idx="119">
                  <c:v>3.0110000000000001</c:v>
                </c:pt>
                <c:pt idx="120">
                  <c:v>3.008</c:v>
                </c:pt>
                <c:pt idx="121">
                  <c:v>3</c:v>
                </c:pt>
                <c:pt idx="122">
                  <c:v>3.008</c:v>
                </c:pt>
                <c:pt idx="123">
                  <c:v>3.0209999999999999</c:v>
                </c:pt>
                <c:pt idx="124">
                  <c:v>3.0209999999999999</c:v>
                </c:pt>
                <c:pt idx="125">
                  <c:v>2.9910000000000001</c:v>
                </c:pt>
                <c:pt idx="126">
                  <c:v>3.0059999999999998</c:v>
                </c:pt>
                <c:pt idx="127">
                  <c:v>3.008</c:v>
                </c:pt>
                <c:pt idx="128">
                  <c:v>3.0019999999999998</c:v>
                </c:pt>
                <c:pt idx="129">
                  <c:v>2.9079999999999999</c:v>
                </c:pt>
                <c:pt idx="130">
                  <c:v>2.9350000000000001</c:v>
                </c:pt>
                <c:pt idx="131">
                  <c:v>2.923</c:v>
                </c:pt>
                <c:pt idx="132">
                  <c:v>2.9049999999999998</c:v>
                </c:pt>
                <c:pt idx="133">
                  <c:v>2.88</c:v>
                </c:pt>
                <c:pt idx="134">
                  <c:v>2.85</c:v>
                </c:pt>
                <c:pt idx="135">
                  <c:v>2.8639999999999999</c:v>
                </c:pt>
                <c:pt idx="136">
                  <c:v>2.8769999999999998</c:v>
                </c:pt>
                <c:pt idx="137">
                  <c:v>2.8740000000000001</c:v>
                </c:pt>
                <c:pt idx="138">
                  <c:v>2.8540000000000001</c:v>
                </c:pt>
                <c:pt idx="139">
                  <c:v>2.7570000000000001</c:v>
                </c:pt>
                <c:pt idx="140">
                  <c:v>2.7149999999999999</c:v>
                </c:pt>
                <c:pt idx="141">
                  <c:v>2.6850000000000001</c:v>
                </c:pt>
                <c:pt idx="142">
                  <c:v>2.6219999999999999</c:v>
                </c:pt>
                <c:pt idx="143">
                  <c:v>2.605</c:v>
                </c:pt>
                <c:pt idx="144">
                  <c:v>2.5750000000000002</c:v>
                </c:pt>
                <c:pt idx="145">
                  <c:v>2.5939999999999999</c:v>
                </c:pt>
                <c:pt idx="146">
                  <c:v>2.6070000000000002</c:v>
                </c:pt>
                <c:pt idx="147">
                  <c:v>2.64</c:v>
                </c:pt>
                <c:pt idx="148">
                  <c:v>2.67</c:v>
                </c:pt>
                <c:pt idx="149">
                  <c:v>2.6440000000000001</c:v>
                </c:pt>
                <c:pt idx="150">
                  <c:v>2.488</c:v>
                </c:pt>
                <c:pt idx="151">
                  <c:v>2.4449999999999998</c:v>
                </c:pt>
                <c:pt idx="152">
                  <c:v>2.323</c:v>
                </c:pt>
                <c:pt idx="153">
                  <c:v>2.2869999999999999</c:v>
                </c:pt>
                <c:pt idx="154">
                  <c:v>2.2839999999999998</c:v>
                </c:pt>
                <c:pt idx="155">
                  <c:v>2.2890000000000001</c:v>
                </c:pt>
                <c:pt idx="156">
                  <c:v>2.1949999999999998</c:v>
                </c:pt>
                <c:pt idx="157">
                  <c:v>2.15</c:v>
                </c:pt>
                <c:pt idx="158">
                  <c:v>2.0750000000000002</c:v>
                </c:pt>
                <c:pt idx="159">
                  <c:v>2.0249999999999999</c:v>
                </c:pt>
                <c:pt idx="160">
                  <c:v>2.0249999999999999</c:v>
                </c:pt>
                <c:pt idx="161">
                  <c:v>2.0099999999999998</c:v>
                </c:pt>
                <c:pt idx="162">
                  <c:v>1.992</c:v>
                </c:pt>
                <c:pt idx="163">
                  <c:v>1.992</c:v>
                </c:pt>
                <c:pt idx="164">
                  <c:v>2.0019999999999998</c:v>
                </c:pt>
                <c:pt idx="165">
                  <c:v>1.9870000000000001</c:v>
                </c:pt>
                <c:pt idx="166">
                  <c:v>1.9870000000000001</c:v>
                </c:pt>
                <c:pt idx="167">
                  <c:v>1.98</c:v>
                </c:pt>
                <c:pt idx="168">
                  <c:v>1.9670000000000001</c:v>
                </c:pt>
                <c:pt idx="169">
                  <c:v>1.9550000000000001</c:v>
                </c:pt>
                <c:pt idx="170">
                  <c:v>1.895</c:v>
                </c:pt>
                <c:pt idx="171">
                  <c:v>1.88</c:v>
                </c:pt>
                <c:pt idx="172">
                  <c:v>1.875</c:v>
                </c:pt>
                <c:pt idx="173">
                  <c:v>1.877</c:v>
                </c:pt>
                <c:pt idx="174">
                  <c:v>1.88</c:v>
                </c:pt>
                <c:pt idx="175">
                  <c:v>1.962</c:v>
                </c:pt>
                <c:pt idx="176">
                  <c:v>1.9690000000000001</c:v>
                </c:pt>
                <c:pt idx="177">
                  <c:v>1.9370000000000001</c:v>
                </c:pt>
                <c:pt idx="178">
                  <c:v>1.927</c:v>
                </c:pt>
                <c:pt idx="179">
                  <c:v>1.8939999999999999</c:v>
                </c:pt>
                <c:pt idx="180">
                  <c:v>1.8520000000000001</c:v>
                </c:pt>
                <c:pt idx="181">
                  <c:v>1.8120000000000001</c:v>
                </c:pt>
                <c:pt idx="182">
                  <c:v>1.8540000000000001</c:v>
                </c:pt>
                <c:pt idx="183">
                  <c:v>1.877</c:v>
                </c:pt>
                <c:pt idx="184">
                  <c:v>1.9039999999999999</c:v>
                </c:pt>
                <c:pt idx="185">
                  <c:v>1.897</c:v>
                </c:pt>
                <c:pt idx="186">
                  <c:v>1.905</c:v>
                </c:pt>
                <c:pt idx="187">
                  <c:v>1.9219999999999999</c:v>
                </c:pt>
                <c:pt idx="188">
                  <c:v>1.9550000000000001</c:v>
                </c:pt>
                <c:pt idx="189">
                  <c:v>1.9550000000000001</c:v>
                </c:pt>
                <c:pt idx="190">
                  <c:v>1.9390000000000001</c:v>
                </c:pt>
                <c:pt idx="191">
                  <c:v>2.052</c:v>
                </c:pt>
                <c:pt idx="192">
                  <c:v>2.09</c:v>
                </c:pt>
                <c:pt idx="193">
                  <c:v>2.0870000000000002</c:v>
                </c:pt>
                <c:pt idx="194">
                  <c:v>1.9890000000000001</c:v>
                </c:pt>
                <c:pt idx="195">
                  <c:v>1.929</c:v>
                </c:pt>
                <c:pt idx="196">
                  <c:v>1.917</c:v>
                </c:pt>
                <c:pt idx="197">
                  <c:v>1.877</c:v>
                </c:pt>
                <c:pt idx="198">
                  <c:v>1.829</c:v>
                </c:pt>
                <c:pt idx="199">
                  <c:v>1.8029999999999999</c:v>
                </c:pt>
                <c:pt idx="200">
                  <c:v>1.7709999999999999</c:v>
                </c:pt>
                <c:pt idx="201">
                  <c:v>1.7609999999999999</c:v>
                </c:pt>
                <c:pt idx="202">
                  <c:v>1.766</c:v>
                </c:pt>
                <c:pt idx="203">
                  <c:v>1.7609999999999999</c:v>
                </c:pt>
                <c:pt idx="204">
                  <c:v>1.633</c:v>
                </c:pt>
                <c:pt idx="205">
                  <c:v>1.603</c:v>
                </c:pt>
                <c:pt idx="206">
                  <c:v>1.575</c:v>
                </c:pt>
                <c:pt idx="207">
                  <c:v>1.5409999999999999</c:v>
                </c:pt>
                <c:pt idx="208">
                  <c:v>1.5109999999999999</c:v>
                </c:pt>
                <c:pt idx="209">
                  <c:v>1.5109999999999999</c:v>
                </c:pt>
                <c:pt idx="210">
                  <c:v>1.496</c:v>
                </c:pt>
                <c:pt idx="211">
                  <c:v>1.5009999999999999</c:v>
                </c:pt>
                <c:pt idx="212">
                  <c:v>1.5009999999999999</c:v>
                </c:pt>
                <c:pt idx="213">
                  <c:v>1.5029999999999999</c:v>
                </c:pt>
                <c:pt idx="214">
                  <c:v>1.508</c:v>
                </c:pt>
                <c:pt idx="215">
                  <c:v>1.51</c:v>
                </c:pt>
                <c:pt idx="216">
                  <c:v>1.4830000000000001</c:v>
                </c:pt>
                <c:pt idx="217">
                  <c:v>1.4950000000000001</c:v>
                </c:pt>
                <c:pt idx="218">
                  <c:v>1.488</c:v>
                </c:pt>
                <c:pt idx="219">
                  <c:v>1.498</c:v>
                </c:pt>
                <c:pt idx="220">
                  <c:v>1.498</c:v>
                </c:pt>
                <c:pt idx="221">
                  <c:v>1.5149999999999999</c:v>
                </c:pt>
                <c:pt idx="222">
                  <c:v>1.5149999999999999</c:v>
                </c:pt>
                <c:pt idx="223">
                  <c:v>1.51</c:v>
                </c:pt>
                <c:pt idx="224">
                  <c:v>1.5509999999999999</c:v>
                </c:pt>
                <c:pt idx="225">
                  <c:v>1.5429999999999999</c:v>
                </c:pt>
                <c:pt idx="226">
                  <c:v>1.5449999999999999</c:v>
                </c:pt>
                <c:pt idx="227">
                  <c:v>1.5429999999999999</c:v>
                </c:pt>
                <c:pt idx="228">
                  <c:v>1.5429999999999999</c:v>
                </c:pt>
                <c:pt idx="229">
                  <c:v>1.5429999999999999</c:v>
                </c:pt>
                <c:pt idx="230">
                  <c:v>1.5429999999999999</c:v>
                </c:pt>
                <c:pt idx="231">
                  <c:v>1.538</c:v>
                </c:pt>
                <c:pt idx="232">
                  <c:v>1.538</c:v>
                </c:pt>
                <c:pt idx="233">
                  <c:v>1.518</c:v>
                </c:pt>
                <c:pt idx="234">
                  <c:v>1.518</c:v>
                </c:pt>
                <c:pt idx="235">
                  <c:v>1.526</c:v>
                </c:pt>
                <c:pt idx="236">
                  <c:v>1.508</c:v>
                </c:pt>
                <c:pt idx="237">
                  <c:v>1.518</c:v>
                </c:pt>
                <c:pt idx="238">
                  <c:v>1.5309999999999999</c:v>
                </c:pt>
                <c:pt idx="239">
                  <c:v>1.53</c:v>
                </c:pt>
                <c:pt idx="240">
                  <c:v>1.53</c:v>
                </c:pt>
                <c:pt idx="241">
                  <c:v>1.5149999999999999</c:v>
                </c:pt>
                <c:pt idx="242">
                  <c:v>1.5</c:v>
                </c:pt>
                <c:pt idx="243">
                  <c:v>1.4830000000000001</c:v>
                </c:pt>
                <c:pt idx="244">
                  <c:v>1.4830000000000001</c:v>
                </c:pt>
                <c:pt idx="245">
                  <c:v>1.4750000000000001</c:v>
                </c:pt>
                <c:pt idx="246">
                  <c:v>1.4630000000000001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263616"/>
        <c:axId val="145265408"/>
      </c:lineChart>
      <c:dateAx>
        <c:axId val="1452636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5265408"/>
        <c:crosses val="autoZero"/>
        <c:auto val="1"/>
        <c:lblOffset val="100"/>
        <c:baseTimeUnit val="days"/>
      </c:dateAx>
      <c:valAx>
        <c:axId val="1452654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5263616"/>
        <c:crosses val="autoZero"/>
        <c:crossBetween val="between"/>
      </c:valAx>
      <c:valAx>
        <c:axId val="1452669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5285120"/>
        <c:crosses val="max"/>
        <c:crossBetween val="between"/>
      </c:valAx>
      <c:dateAx>
        <c:axId val="14528512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45266944"/>
        <c:crosses val="autoZero"/>
        <c:auto val="1"/>
        <c:lblOffset val="100"/>
        <c:baseTimeUnit val="days"/>
      </c:dateAx>
    </c:plotArea>
    <c:legend>
      <c:legendPos val="b"/>
      <c:layout/>
      <c:overlay val="0"/>
      <c:txPr>
        <a:bodyPr/>
        <a:lstStyle/>
        <a:p>
          <a:pPr>
            <a:defRPr sz="800">
              <a:latin typeface="+mj-ea"/>
              <a:ea typeface="+mj-ea"/>
            </a:defRPr>
          </a:pPr>
          <a:endParaRPr lang="ko-KR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2"/>
          <c:order val="2"/>
          <c:tx>
            <c:strRef>
              <c:f>history_chart!$BY$9</c:f>
              <c:strCache>
                <c:ptCount val="1"/>
                <c:pt idx="0">
                  <c:v>spread(bp)</c:v>
                </c:pt>
              </c:strCache>
            </c:strRef>
          </c:tx>
          <c:spPr>
            <a:solidFill>
              <a:srgbClr val="DBE5F1"/>
            </a:solidFill>
          </c:spPr>
          <c:cat>
            <c:numRef>
              <c:f>history_chart!$BV$10:$BV$256</c:f>
              <c:numCache>
                <c:formatCode>m/d/yyyy</c:formatCode>
                <c:ptCount val="247"/>
                <c:pt idx="0">
                  <c:v>44943</c:v>
                </c:pt>
                <c:pt idx="1">
                  <c:v>44942</c:v>
                </c:pt>
                <c:pt idx="2">
                  <c:v>44939</c:v>
                </c:pt>
                <c:pt idx="3">
                  <c:v>44938</c:v>
                </c:pt>
                <c:pt idx="4">
                  <c:v>44937</c:v>
                </c:pt>
                <c:pt idx="5">
                  <c:v>44936</c:v>
                </c:pt>
                <c:pt idx="6">
                  <c:v>44935</c:v>
                </c:pt>
                <c:pt idx="7">
                  <c:v>44932</c:v>
                </c:pt>
                <c:pt idx="8">
                  <c:v>44931</c:v>
                </c:pt>
                <c:pt idx="9">
                  <c:v>44930</c:v>
                </c:pt>
                <c:pt idx="10">
                  <c:v>44929</c:v>
                </c:pt>
                <c:pt idx="11">
                  <c:v>44928</c:v>
                </c:pt>
                <c:pt idx="12">
                  <c:v>44925</c:v>
                </c:pt>
                <c:pt idx="13">
                  <c:v>44924</c:v>
                </c:pt>
                <c:pt idx="14">
                  <c:v>44923</c:v>
                </c:pt>
                <c:pt idx="15">
                  <c:v>44922</c:v>
                </c:pt>
                <c:pt idx="16">
                  <c:v>44921</c:v>
                </c:pt>
                <c:pt idx="17">
                  <c:v>44918</c:v>
                </c:pt>
                <c:pt idx="18">
                  <c:v>44917</c:v>
                </c:pt>
                <c:pt idx="19">
                  <c:v>44916</c:v>
                </c:pt>
                <c:pt idx="20">
                  <c:v>44915</c:v>
                </c:pt>
                <c:pt idx="21">
                  <c:v>44914</c:v>
                </c:pt>
                <c:pt idx="22">
                  <c:v>44911</c:v>
                </c:pt>
                <c:pt idx="23">
                  <c:v>44910</c:v>
                </c:pt>
                <c:pt idx="24">
                  <c:v>44909</c:v>
                </c:pt>
                <c:pt idx="25">
                  <c:v>44908</c:v>
                </c:pt>
                <c:pt idx="26">
                  <c:v>44907</c:v>
                </c:pt>
                <c:pt idx="27">
                  <c:v>44904</c:v>
                </c:pt>
                <c:pt idx="28">
                  <c:v>44903</c:v>
                </c:pt>
                <c:pt idx="29">
                  <c:v>44902</c:v>
                </c:pt>
                <c:pt idx="30">
                  <c:v>44901</c:v>
                </c:pt>
                <c:pt idx="31">
                  <c:v>44900</c:v>
                </c:pt>
                <c:pt idx="32">
                  <c:v>44897</c:v>
                </c:pt>
                <c:pt idx="33">
                  <c:v>44896</c:v>
                </c:pt>
                <c:pt idx="34">
                  <c:v>44895</c:v>
                </c:pt>
                <c:pt idx="35">
                  <c:v>44894</c:v>
                </c:pt>
                <c:pt idx="36">
                  <c:v>44893</c:v>
                </c:pt>
                <c:pt idx="37">
                  <c:v>44890</c:v>
                </c:pt>
                <c:pt idx="38">
                  <c:v>44889</c:v>
                </c:pt>
                <c:pt idx="39">
                  <c:v>44888</c:v>
                </c:pt>
                <c:pt idx="40">
                  <c:v>44887</c:v>
                </c:pt>
                <c:pt idx="41">
                  <c:v>44886</c:v>
                </c:pt>
                <c:pt idx="42">
                  <c:v>44883</c:v>
                </c:pt>
                <c:pt idx="43">
                  <c:v>44882</c:v>
                </c:pt>
                <c:pt idx="44">
                  <c:v>44881</c:v>
                </c:pt>
                <c:pt idx="45">
                  <c:v>44880</c:v>
                </c:pt>
                <c:pt idx="46">
                  <c:v>44879</c:v>
                </c:pt>
                <c:pt idx="47">
                  <c:v>44876</c:v>
                </c:pt>
                <c:pt idx="48">
                  <c:v>44875</c:v>
                </c:pt>
                <c:pt idx="49">
                  <c:v>44874</c:v>
                </c:pt>
                <c:pt idx="50">
                  <c:v>44873</c:v>
                </c:pt>
                <c:pt idx="51">
                  <c:v>44872</c:v>
                </c:pt>
                <c:pt idx="52">
                  <c:v>44869</c:v>
                </c:pt>
                <c:pt idx="53">
                  <c:v>44868</c:v>
                </c:pt>
                <c:pt idx="54">
                  <c:v>44867</c:v>
                </c:pt>
                <c:pt idx="55">
                  <c:v>44866</c:v>
                </c:pt>
                <c:pt idx="56">
                  <c:v>44865</c:v>
                </c:pt>
                <c:pt idx="57">
                  <c:v>44862</c:v>
                </c:pt>
                <c:pt idx="58">
                  <c:v>44861</c:v>
                </c:pt>
                <c:pt idx="59">
                  <c:v>44860</c:v>
                </c:pt>
                <c:pt idx="60">
                  <c:v>44859</c:v>
                </c:pt>
                <c:pt idx="61">
                  <c:v>44858</c:v>
                </c:pt>
                <c:pt idx="62">
                  <c:v>44855</c:v>
                </c:pt>
                <c:pt idx="63">
                  <c:v>44854</c:v>
                </c:pt>
                <c:pt idx="64">
                  <c:v>44853</c:v>
                </c:pt>
                <c:pt idx="65">
                  <c:v>44852</c:v>
                </c:pt>
                <c:pt idx="66">
                  <c:v>44851</c:v>
                </c:pt>
                <c:pt idx="67">
                  <c:v>44848</c:v>
                </c:pt>
                <c:pt idx="68">
                  <c:v>44847</c:v>
                </c:pt>
                <c:pt idx="69">
                  <c:v>44846</c:v>
                </c:pt>
                <c:pt idx="70">
                  <c:v>44845</c:v>
                </c:pt>
                <c:pt idx="71">
                  <c:v>44841</c:v>
                </c:pt>
                <c:pt idx="72">
                  <c:v>44840</c:v>
                </c:pt>
                <c:pt idx="73">
                  <c:v>44839</c:v>
                </c:pt>
                <c:pt idx="74">
                  <c:v>44838</c:v>
                </c:pt>
                <c:pt idx="75">
                  <c:v>44834</c:v>
                </c:pt>
                <c:pt idx="76">
                  <c:v>44833</c:v>
                </c:pt>
                <c:pt idx="77">
                  <c:v>44832</c:v>
                </c:pt>
                <c:pt idx="78">
                  <c:v>44831</c:v>
                </c:pt>
                <c:pt idx="79">
                  <c:v>44830</c:v>
                </c:pt>
                <c:pt idx="80">
                  <c:v>44827</c:v>
                </c:pt>
                <c:pt idx="81">
                  <c:v>44826</c:v>
                </c:pt>
                <c:pt idx="82">
                  <c:v>44825</c:v>
                </c:pt>
                <c:pt idx="83">
                  <c:v>44824</c:v>
                </c:pt>
                <c:pt idx="84">
                  <c:v>44823</c:v>
                </c:pt>
                <c:pt idx="85">
                  <c:v>44820</c:v>
                </c:pt>
                <c:pt idx="86">
                  <c:v>44819</c:v>
                </c:pt>
                <c:pt idx="87">
                  <c:v>44818</c:v>
                </c:pt>
                <c:pt idx="88">
                  <c:v>44817</c:v>
                </c:pt>
                <c:pt idx="89">
                  <c:v>44812</c:v>
                </c:pt>
                <c:pt idx="90">
                  <c:v>44811</c:v>
                </c:pt>
                <c:pt idx="91">
                  <c:v>44810</c:v>
                </c:pt>
                <c:pt idx="92">
                  <c:v>44809</c:v>
                </c:pt>
                <c:pt idx="93">
                  <c:v>44806</c:v>
                </c:pt>
                <c:pt idx="94">
                  <c:v>44805</c:v>
                </c:pt>
                <c:pt idx="95">
                  <c:v>44804</c:v>
                </c:pt>
                <c:pt idx="96">
                  <c:v>44803</c:v>
                </c:pt>
                <c:pt idx="97">
                  <c:v>44802</c:v>
                </c:pt>
                <c:pt idx="98">
                  <c:v>44799</c:v>
                </c:pt>
                <c:pt idx="99">
                  <c:v>44798</c:v>
                </c:pt>
                <c:pt idx="100">
                  <c:v>44797</c:v>
                </c:pt>
                <c:pt idx="101">
                  <c:v>44796</c:v>
                </c:pt>
                <c:pt idx="102">
                  <c:v>44795</c:v>
                </c:pt>
                <c:pt idx="103">
                  <c:v>44792</c:v>
                </c:pt>
                <c:pt idx="104">
                  <c:v>44791</c:v>
                </c:pt>
                <c:pt idx="105">
                  <c:v>44790</c:v>
                </c:pt>
                <c:pt idx="106">
                  <c:v>44789</c:v>
                </c:pt>
                <c:pt idx="107">
                  <c:v>44785</c:v>
                </c:pt>
                <c:pt idx="108">
                  <c:v>44784</c:v>
                </c:pt>
                <c:pt idx="109">
                  <c:v>44783</c:v>
                </c:pt>
                <c:pt idx="110">
                  <c:v>44782</c:v>
                </c:pt>
                <c:pt idx="111">
                  <c:v>44781</c:v>
                </c:pt>
                <c:pt idx="112">
                  <c:v>44778</c:v>
                </c:pt>
                <c:pt idx="113">
                  <c:v>44777</c:v>
                </c:pt>
                <c:pt idx="114">
                  <c:v>44776</c:v>
                </c:pt>
                <c:pt idx="115">
                  <c:v>44775</c:v>
                </c:pt>
                <c:pt idx="116">
                  <c:v>44774</c:v>
                </c:pt>
                <c:pt idx="117">
                  <c:v>44771</c:v>
                </c:pt>
                <c:pt idx="118">
                  <c:v>44770</c:v>
                </c:pt>
                <c:pt idx="119">
                  <c:v>44769</c:v>
                </c:pt>
                <c:pt idx="120">
                  <c:v>44768</c:v>
                </c:pt>
                <c:pt idx="121">
                  <c:v>44767</c:v>
                </c:pt>
                <c:pt idx="122">
                  <c:v>44764</c:v>
                </c:pt>
                <c:pt idx="123">
                  <c:v>44763</c:v>
                </c:pt>
                <c:pt idx="124">
                  <c:v>44762</c:v>
                </c:pt>
                <c:pt idx="125">
                  <c:v>44761</c:v>
                </c:pt>
                <c:pt idx="126">
                  <c:v>44760</c:v>
                </c:pt>
                <c:pt idx="127">
                  <c:v>44757</c:v>
                </c:pt>
                <c:pt idx="128">
                  <c:v>44756</c:v>
                </c:pt>
                <c:pt idx="129">
                  <c:v>44755</c:v>
                </c:pt>
                <c:pt idx="130">
                  <c:v>44754</c:v>
                </c:pt>
                <c:pt idx="131">
                  <c:v>44753</c:v>
                </c:pt>
                <c:pt idx="132">
                  <c:v>44750</c:v>
                </c:pt>
                <c:pt idx="133">
                  <c:v>44749</c:v>
                </c:pt>
                <c:pt idx="134">
                  <c:v>44748</c:v>
                </c:pt>
                <c:pt idx="135">
                  <c:v>44747</c:v>
                </c:pt>
                <c:pt idx="136">
                  <c:v>44746</c:v>
                </c:pt>
                <c:pt idx="137">
                  <c:v>44743</c:v>
                </c:pt>
                <c:pt idx="138">
                  <c:v>44742</c:v>
                </c:pt>
                <c:pt idx="139">
                  <c:v>44741</c:v>
                </c:pt>
                <c:pt idx="140">
                  <c:v>44740</c:v>
                </c:pt>
                <c:pt idx="141">
                  <c:v>44739</c:v>
                </c:pt>
                <c:pt idx="142">
                  <c:v>44736</c:v>
                </c:pt>
                <c:pt idx="143">
                  <c:v>44735</c:v>
                </c:pt>
                <c:pt idx="144">
                  <c:v>44734</c:v>
                </c:pt>
                <c:pt idx="145">
                  <c:v>44733</c:v>
                </c:pt>
                <c:pt idx="146">
                  <c:v>44732</c:v>
                </c:pt>
                <c:pt idx="147">
                  <c:v>44729</c:v>
                </c:pt>
                <c:pt idx="148">
                  <c:v>44728</c:v>
                </c:pt>
                <c:pt idx="149">
                  <c:v>44727</c:v>
                </c:pt>
                <c:pt idx="150">
                  <c:v>44726</c:v>
                </c:pt>
                <c:pt idx="151">
                  <c:v>44725</c:v>
                </c:pt>
                <c:pt idx="152">
                  <c:v>44722</c:v>
                </c:pt>
                <c:pt idx="153">
                  <c:v>44721</c:v>
                </c:pt>
                <c:pt idx="154">
                  <c:v>44720</c:v>
                </c:pt>
                <c:pt idx="155">
                  <c:v>44719</c:v>
                </c:pt>
                <c:pt idx="156">
                  <c:v>44715</c:v>
                </c:pt>
                <c:pt idx="157">
                  <c:v>44714</c:v>
                </c:pt>
                <c:pt idx="158">
                  <c:v>44712</c:v>
                </c:pt>
                <c:pt idx="159">
                  <c:v>44711</c:v>
                </c:pt>
                <c:pt idx="160">
                  <c:v>44708</c:v>
                </c:pt>
                <c:pt idx="161">
                  <c:v>44707</c:v>
                </c:pt>
                <c:pt idx="162">
                  <c:v>44706</c:v>
                </c:pt>
                <c:pt idx="163">
                  <c:v>44705</c:v>
                </c:pt>
                <c:pt idx="164">
                  <c:v>44704</c:v>
                </c:pt>
                <c:pt idx="165">
                  <c:v>44701</c:v>
                </c:pt>
                <c:pt idx="166">
                  <c:v>44700</c:v>
                </c:pt>
                <c:pt idx="167">
                  <c:v>44699</c:v>
                </c:pt>
                <c:pt idx="168">
                  <c:v>44698</c:v>
                </c:pt>
                <c:pt idx="169">
                  <c:v>44697</c:v>
                </c:pt>
                <c:pt idx="170">
                  <c:v>44694</c:v>
                </c:pt>
                <c:pt idx="171">
                  <c:v>44693</c:v>
                </c:pt>
                <c:pt idx="172">
                  <c:v>44692</c:v>
                </c:pt>
                <c:pt idx="173">
                  <c:v>44691</c:v>
                </c:pt>
                <c:pt idx="174">
                  <c:v>44690</c:v>
                </c:pt>
                <c:pt idx="175">
                  <c:v>44687</c:v>
                </c:pt>
                <c:pt idx="176">
                  <c:v>44685</c:v>
                </c:pt>
                <c:pt idx="177">
                  <c:v>44684</c:v>
                </c:pt>
                <c:pt idx="178">
                  <c:v>44683</c:v>
                </c:pt>
                <c:pt idx="179">
                  <c:v>44680</c:v>
                </c:pt>
                <c:pt idx="180">
                  <c:v>44679</c:v>
                </c:pt>
                <c:pt idx="181">
                  <c:v>44678</c:v>
                </c:pt>
                <c:pt idx="182">
                  <c:v>44677</c:v>
                </c:pt>
                <c:pt idx="183">
                  <c:v>44676</c:v>
                </c:pt>
                <c:pt idx="184">
                  <c:v>44673</c:v>
                </c:pt>
                <c:pt idx="185">
                  <c:v>44672</c:v>
                </c:pt>
                <c:pt idx="186">
                  <c:v>44671</c:v>
                </c:pt>
                <c:pt idx="187">
                  <c:v>44670</c:v>
                </c:pt>
                <c:pt idx="188">
                  <c:v>44669</c:v>
                </c:pt>
                <c:pt idx="189">
                  <c:v>44666</c:v>
                </c:pt>
                <c:pt idx="190">
                  <c:v>44665</c:v>
                </c:pt>
                <c:pt idx="191">
                  <c:v>44664</c:v>
                </c:pt>
                <c:pt idx="192">
                  <c:v>44663</c:v>
                </c:pt>
                <c:pt idx="193">
                  <c:v>44662</c:v>
                </c:pt>
                <c:pt idx="194">
                  <c:v>44659</c:v>
                </c:pt>
                <c:pt idx="195">
                  <c:v>44658</c:v>
                </c:pt>
                <c:pt idx="196">
                  <c:v>44657</c:v>
                </c:pt>
                <c:pt idx="197">
                  <c:v>44656</c:v>
                </c:pt>
                <c:pt idx="198">
                  <c:v>44655</c:v>
                </c:pt>
                <c:pt idx="199">
                  <c:v>44652</c:v>
                </c:pt>
                <c:pt idx="200">
                  <c:v>44651</c:v>
                </c:pt>
                <c:pt idx="201">
                  <c:v>44650</c:v>
                </c:pt>
                <c:pt idx="202">
                  <c:v>44649</c:v>
                </c:pt>
                <c:pt idx="203">
                  <c:v>44648</c:v>
                </c:pt>
                <c:pt idx="204">
                  <c:v>44645</c:v>
                </c:pt>
                <c:pt idx="205">
                  <c:v>44644</c:v>
                </c:pt>
                <c:pt idx="206">
                  <c:v>44643</c:v>
                </c:pt>
                <c:pt idx="207">
                  <c:v>44642</c:v>
                </c:pt>
                <c:pt idx="208">
                  <c:v>44641</c:v>
                </c:pt>
                <c:pt idx="209">
                  <c:v>44638</c:v>
                </c:pt>
                <c:pt idx="210">
                  <c:v>44637</c:v>
                </c:pt>
                <c:pt idx="211">
                  <c:v>44636</c:v>
                </c:pt>
                <c:pt idx="212">
                  <c:v>44635</c:v>
                </c:pt>
                <c:pt idx="213">
                  <c:v>44634</c:v>
                </c:pt>
                <c:pt idx="214">
                  <c:v>44631</c:v>
                </c:pt>
                <c:pt idx="215">
                  <c:v>44630</c:v>
                </c:pt>
                <c:pt idx="216">
                  <c:v>44628</c:v>
                </c:pt>
                <c:pt idx="217">
                  <c:v>44627</c:v>
                </c:pt>
                <c:pt idx="218">
                  <c:v>44624</c:v>
                </c:pt>
                <c:pt idx="219">
                  <c:v>44623</c:v>
                </c:pt>
                <c:pt idx="220">
                  <c:v>44622</c:v>
                </c:pt>
                <c:pt idx="221">
                  <c:v>44620</c:v>
                </c:pt>
                <c:pt idx="222">
                  <c:v>44617</c:v>
                </c:pt>
                <c:pt idx="223">
                  <c:v>44616</c:v>
                </c:pt>
                <c:pt idx="224">
                  <c:v>44615</c:v>
                </c:pt>
                <c:pt idx="225">
                  <c:v>44614</c:v>
                </c:pt>
                <c:pt idx="226">
                  <c:v>44613</c:v>
                </c:pt>
                <c:pt idx="227">
                  <c:v>44610</c:v>
                </c:pt>
                <c:pt idx="228">
                  <c:v>44609</c:v>
                </c:pt>
                <c:pt idx="229">
                  <c:v>44608</c:v>
                </c:pt>
                <c:pt idx="230">
                  <c:v>44607</c:v>
                </c:pt>
                <c:pt idx="231">
                  <c:v>44606</c:v>
                </c:pt>
                <c:pt idx="232">
                  <c:v>44603</c:v>
                </c:pt>
                <c:pt idx="233">
                  <c:v>44602</c:v>
                </c:pt>
                <c:pt idx="234">
                  <c:v>44601</c:v>
                </c:pt>
                <c:pt idx="235">
                  <c:v>44600</c:v>
                </c:pt>
                <c:pt idx="236">
                  <c:v>44599</c:v>
                </c:pt>
                <c:pt idx="237">
                  <c:v>44596</c:v>
                </c:pt>
                <c:pt idx="238">
                  <c:v>44595</c:v>
                </c:pt>
                <c:pt idx="239">
                  <c:v>44589</c:v>
                </c:pt>
                <c:pt idx="240">
                  <c:v>44588</c:v>
                </c:pt>
                <c:pt idx="241">
                  <c:v>44587</c:v>
                </c:pt>
                <c:pt idx="242">
                  <c:v>44586</c:v>
                </c:pt>
                <c:pt idx="243">
                  <c:v>44585</c:v>
                </c:pt>
                <c:pt idx="244">
                  <c:v>44582</c:v>
                </c:pt>
                <c:pt idx="245">
                  <c:v>44581</c:v>
                </c:pt>
                <c:pt idx="246">
                  <c:v>44580</c:v>
                </c:pt>
              </c:numCache>
            </c:numRef>
          </c:cat>
          <c:val>
            <c:numRef>
              <c:f>history_chart!$BY$10:$BY$256</c:f>
              <c:numCache>
                <c:formatCode>General</c:formatCode>
                <c:ptCount val="247"/>
                <c:pt idx="0">
                  <c:v>4.6999999999999709</c:v>
                </c:pt>
                <c:pt idx="1">
                  <c:v>4.7999999999999599</c:v>
                </c:pt>
                <c:pt idx="2">
                  <c:v>4.7000000000000153</c:v>
                </c:pt>
                <c:pt idx="3">
                  <c:v>4.6999999999999709</c:v>
                </c:pt>
                <c:pt idx="4">
                  <c:v>4.6999999999999709</c:v>
                </c:pt>
                <c:pt idx="5">
                  <c:v>4.7000000000000153</c:v>
                </c:pt>
                <c:pt idx="6">
                  <c:v>4.6999999999999709</c:v>
                </c:pt>
                <c:pt idx="7">
                  <c:v>4.6999999999999709</c:v>
                </c:pt>
                <c:pt idx="8">
                  <c:v>4.7000000000000153</c:v>
                </c:pt>
                <c:pt idx="9">
                  <c:v>4.7000000000000153</c:v>
                </c:pt>
                <c:pt idx="10">
                  <c:v>4.6999999999999709</c:v>
                </c:pt>
                <c:pt idx="11">
                  <c:v>4.8000000000000043</c:v>
                </c:pt>
                <c:pt idx="12">
                  <c:v>4.8000000000000043</c:v>
                </c:pt>
                <c:pt idx="13">
                  <c:v>4.8000000000000043</c:v>
                </c:pt>
                <c:pt idx="14">
                  <c:v>4.6999999999999709</c:v>
                </c:pt>
                <c:pt idx="15">
                  <c:v>4.8000000000000043</c:v>
                </c:pt>
                <c:pt idx="16">
                  <c:v>4.7000000000000597</c:v>
                </c:pt>
                <c:pt idx="17">
                  <c:v>4.8000000000000043</c:v>
                </c:pt>
                <c:pt idx="18">
                  <c:v>4.6999999999999709</c:v>
                </c:pt>
                <c:pt idx="19">
                  <c:v>4.8000000000000043</c:v>
                </c:pt>
                <c:pt idx="20">
                  <c:v>4.6999999999999709</c:v>
                </c:pt>
                <c:pt idx="21">
                  <c:v>4.3999999999999595</c:v>
                </c:pt>
                <c:pt idx="22">
                  <c:v>4.4000000000000483</c:v>
                </c:pt>
                <c:pt idx="23">
                  <c:v>4.4000000000000483</c:v>
                </c:pt>
                <c:pt idx="24">
                  <c:v>4.4000000000000483</c:v>
                </c:pt>
                <c:pt idx="25">
                  <c:v>4.4000000000000483</c:v>
                </c:pt>
                <c:pt idx="26">
                  <c:v>4.3999999999999595</c:v>
                </c:pt>
                <c:pt idx="27">
                  <c:v>4.4000000000000483</c:v>
                </c:pt>
                <c:pt idx="28">
                  <c:v>4.4000000000000483</c:v>
                </c:pt>
                <c:pt idx="29">
                  <c:v>4.3999999999999595</c:v>
                </c:pt>
                <c:pt idx="30">
                  <c:v>4.3999999999999595</c:v>
                </c:pt>
                <c:pt idx="31">
                  <c:v>4.3999999999999595</c:v>
                </c:pt>
                <c:pt idx="32">
                  <c:v>4.3999999999999595</c:v>
                </c:pt>
                <c:pt idx="33">
                  <c:v>4.3999999999999595</c:v>
                </c:pt>
                <c:pt idx="34">
                  <c:v>4.4000000000000483</c:v>
                </c:pt>
                <c:pt idx="35">
                  <c:v>4.3999999999999595</c:v>
                </c:pt>
                <c:pt idx="36">
                  <c:v>4.3999999999999595</c:v>
                </c:pt>
                <c:pt idx="37">
                  <c:v>4.3999999999999595</c:v>
                </c:pt>
                <c:pt idx="38">
                  <c:v>4.4000000000000483</c:v>
                </c:pt>
                <c:pt idx="39">
                  <c:v>4.4000000000000483</c:v>
                </c:pt>
                <c:pt idx="40">
                  <c:v>4.4000000000000483</c:v>
                </c:pt>
                <c:pt idx="41">
                  <c:v>4.3999999999999595</c:v>
                </c:pt>
                <c:pt idx="42">
                  <c:v>4.4000000000000483</c:v>
                </c:pt>
                <c:pt idx="43">
                  <c:v>4.4000000000000483</c:v>
                </c:pt>
                <c:pt idx="44">
                  <c:v>4.3999999999999595</c:v>
                </c:pt>
                <c:pt idx="45">
                  <c:v>4.3999999999999595</c:v>
                </c:pt>
                <c:pt idx="46">
                  <c:v>4.4000000000000483</c:v>
                </c:pt>
                <c:pt idx="47">
                  <c:v>4.3999999999999595</c:v>
                </c:pt>
                <c:pt idx="48">
                  <c:v>4.3999999999999595</c:v>
                </c:pt>
                <c:pt idx="49">
                  <c:v>4.3999999999999595</c:v>
                </c:pt>
                <c:pt idx="50">
                  <c:v>4.4000000000000483</c:v>
                </c:pt>
                <c:pt idx="51">
                  <c:v>4.4000000000000039</c:v>
                </c:pt>
                <c:pt idx="52">
                  <c:v>4.4000000000000039</c:v>
                </c:pt>
                <c:pt idx="53">
                  <c:v>4.4000000000000039</c:v>
                </c:pt>
                <c:pt idx="54">
                  <c:v>4.4000000000000039</c:v>
                </c:pt>
                <c:pt idx="55">
                  <c:v>4.4000000000000039</c:v>
                </c:pt>
                <c:pt idx="56">
                  <c:v>4.4000000000000039</c:v>
                </c:pt>
                <c:pt idx="57">
                  <c:v>4.4000000000000039</c:v>
                </c:pt>
                <c:pt idx="58">
                  <c:v>4.4000000000000039</c:v>
                </c:pt>
                <c:pt idx="59">
                  <c:v>4.4000000000000039</c:v>
                </c:pt>
                <c:pt idx="60">
                  <c:v>4.4000000000000039</c:v>
                </c:pt>
                <c:pt idx="61">
                  <c:v>4.4000000000000039</c:v>
                </c:pt>
                <c:pt idx="62">
                  <c:v>4.4000000000000039</c:v>
                </c:pt>
                <c:pt idx="63">
                  <c:v>4.4000000000000039</c:v>
                </c:pt>
                <c:pt idx="64">
                  <c:v>4.4000000000000039</c:v>
                </c:pt>
                <c:pt idx="65">
                  <c:v>4.4000000000000039</c:v>
                </c:pt>
                <c:pt idx="66">
                  <c:v>4.4000000000000039</c:v>
                </c:pt>
                <c:pt idx="67">
                  <c:v>4.4000000000000039</c:v>
                </c:pt>
                <c:pt idx="68">
                  <c:v>4.4000000000000039</c:v>
                </c:pt>
                <c:pt idx="69">
                  <c:v>4.4000000000000039</c:v>
                </c:pt>
                <c:pt idx="70">
                  <c:v>4.4000000000000039</c:v>
                </c:pt>
                <c:pt idx="71">
                  <c:v>4.4000000000000039</c:v>
                </c:pt>
                <c:pt idx="72">
                  <c:v>4.4000000000000039</c:v>
                </c:pt>
                <c:pt idx="73">
                  <c:v>4.4000000000000039</c:v>
                </c:pt>
                <c:pt idx="74">
                  <c:v>4.4000000000000039</c:v>
                </c:pt>
                <c:pt idx="75">
                  <c:v>4.4000000000000039</c:v>
                </c:pt>
                <c:pt idx="76">
                  <c:v>4.4000000000000039</c:v>
                </c:pt>
                <c:pt idx="77">
                  <c:v>4.3999999999999595</c:v>
                </c:pt>
                <c:pt idx="78">
                  <c:v>4.4000000000000039</c:v>
                </c:pt>
                <c:pt idx="79">
                  <c:v>4.4000000000000039</c:v>
                </c:pt>
                <c:pt idx="80">
                  <c:v>4.4000000000000039</c:v>
                </c:pt>
                <c:pt idx="81">
                  <c:v>4.4000000000000039</c:v>
                </c:pt>
                <c:pt idx="82">
                  <c:v>4.4000000000000039</c:v>
                </c:pt>
                <c:pt idx="83">
                  <c:v>4.4000000000000039</c:v>
                </c:pt>
                <c:pt idx="84">
                  <c:v>4.4000000000000039</c:v>
                </c:pt>
                <c:pt idx="85">
                  <c:v>4.4000000000000039</c:v>
                </c:pt>
                <c:pt idx="86">
                  <c:v>4.4000000000000039</c:v>
                </c:pt>
                <c:pt idx="87">
                  <c:v>4.4000000000000039</c:v>
                </c:pt>
                <c:pt idx="88">
                  <c:v>4.4000000000000039</c:v>
                </c:pt>
                <c:pt idx="89">
                  <c:v>4.4000000000000039</c:v>
                </c:pt>
                <c:pt idx="90">
                  <c:v>4.4000000000000039</c:v>
                </c:pt>
                <c:pt idx="91">
                  <c:v>4.4000000000000039</c:v>
                </c:pt>
                <c:pt idx="92">
                  <c:v>4.4000000000000039</c:v>
                </c:pt>
                <c:pt idx="93">
                  <c:v>4.4000000000000039</c:v>
                </c:pt>
                <c:pt idx="94">
                  <c:v>4.4000000000000039</c:v>
                </c:pt>
                <c:pt idx="95">
                  <c:v>4.4000000000000039</c:v>
                </c:pt>
                <c:pt idx="96">
                  <c:v>4.4000000000000039</c:v>
                </c:pt>
                <c:pt idx="97">
                  <c:v>4.4000000000000039</c:v>
                </c:pt>
                <c:pt idx="98">
                  <c:v>4.4000000000000039</c:v>
                </c:pt>
                <c:pt idx="99">
                  <c:v>4.4000000000000039</c:v>
                </c:pt>
                <c:pt idx="100">
                  <c:v>4.4000000000000039</c:v>
                </c:pt>
                <c:pt idx="101">
                  <c:v>4.3999999999999595</c:v>
                </c:pt>
                <c:pt idx="102">
                  <c:v>4.4000000000000039</c:v>
                </c:pt>
                <c:pt idx="103">
                  <c:v>4.4000000000000039</c:v>
                </c:pt>
                <c:pt idx="104">
                  <c:v>4.4000000000000039</c:v>
                </c:pt>
                <c:pt idx="105">
                  <c:v>4.4000000000000039</c:v>
                </c:pt>
                <c:pt idx="106">
                  <c:v>4.4000000000000039</c:v>
                </c:pt>
                <c:pt idx="107">
                  <c:v>4.4000000000000039</c:v>
                </c:pt>
                <c:pt idx="108">
                  <c:v>4.4000000000000039</c:v>
                </c:pt>
                <c:pt idx="109">
                  <c:v>4.2000000000000259</c:v>
                </c:pt>
                <c:pt idx="110">
                  <c:v>4.3000000000000149</c:v>
                </c:pt>
                <c:pt idx="111">
                  <c:v>4.1999999999999815</c:v>
                </c:pt>
                <c:pt idx="112">
                  <c:v>4.3000000000000149</c:v>
                </c:pt>
                <c:pt idx="113">
                  <c:v>4.1999999999999815</c:v>
                </c:pt>
                <c:pt idx="114">
                  <c:v>4.1999999999999815</c:v>
                </c:pt>
                <c:pt idx="115">
                  <c:v>4.1999999999999815</c:v>
                </c:pt>
                <c:pt idx="116">
                  <c:v>4.1999999999999815</c:v>
                </c:pt>
                <c:pt idx="117">
                  <c:v>4.3000000000000149</c:v>
                </c:pt>
                <c:pt idx="118">
                  <c:v>4.1999999999999815</c:v>
                </c:pt>
                <c:pt idx="119">
                  <c:v>4.1999999999999815</c:v>
                </c:pt>
                <c:pt idx="120">
                  <c:v>4.1999999999999815</c:v>
                </c:pt>
                <c:pt idx="121">
                  <c:v>4.2000000000000259</c:v>
                </c:pt>
                <c:pt idx="122">
                  <c:v>4.3000000000000149</c:v>
                </c:pt>
                <c:pt idx="123">
                  <c:v>4.1999999999999815</c:v>
                </c:pt>
                <c:pt idx="124">
                  <c:v>4.3000000000000149</c:v>
                </c:pt>
                <c:pt idx="125">
                  <c:v>4.2000000000000259</c:v>
                </c:pt>
                <c:pt idx="126">
                  <c:v>4.1999999999999815</c:v>
                </c:pt>
                <c:pt idx="127">
                  <c:v>4.2000000000000259</c:v>
                </c:pt>
                <c:pt idx="128">
                  <c:v>4.1999999999999815</c:v>
                </c:pt>
                <c:pt idx="129">
                  <c:v>4.3000000000000149</c:v>
                </c:pt>
                <c:pt idx="130">
                  <c:v>4.2000000000000259</c:v>
                </c:pt>
                <c:pt idx="131">
                  <c:v>4.1999999999999815</c:v>
                </c:pt>
                <c:pt idx="132">
                  <c:v>4.2000000000000259</c:v>
                </c:pt>
                <c:pt idx="133">
                  <c:v>4.1999999999999815</c:v>
                </c:pt>
                <c:pt idx="134">
                  <c:v>4.1999999999999815</c:v>
                </c:pt>
                <c:pt idx="135">
                  <c:v>4.2000000000000259</c:v>
                </c:pt>
                <c:pt idx="136">
                  <c:v>4.1999999999999815</c:v>
                </c:pt>
                <c:pt idx="137">
                  <c:v>4.3000000000000149</c:v>
                </c:pt>
                <c:pt idx="138">
                  <c:v>4.3000000000000149</c:v>
                </c:pt>
                <c:pt idx="139">
                  <c:v>4.2000000000000259</c:v>
                </c:pt>
                <c:pt idx="140">
                  <c:v>4.1999999999999815</c:v>
                </c:pt>
                <c:pt idx="141">
                  <c:v>4.3000000000000149</c:v>
                </c:pt>
                <c:pt idx="142">
                  <c:v>4.1999999999999815</c:v>
                </c:pt>
                <c:pt idx="143">
                  <c:v>4.1999999999999815</c:v>
                </c:pt>
                <c:pt idx="144">
                  <c:v>4.2000000000000259</c:v>
                </c:pt>
                <c:pt idx="145">
                  <c:v>4.2000000000000259</c:v>
                </c:pt>
                <c:pt idx="146">
                  <c:v>4.1999999999999815</c:v>
                </c:pt>
                <c:pt idx="147">
                  <c:v>4.3000000000000149</c:v>
                </c:pt>
                <c:pt idx="148">
                  <c:v>4.2000000000000259</c:v>
                </c:pt>
                <c:pt idx="149">
                  <c:v>4.2000000000000259</c:v>
                </c:pt>
                <c:pt idx="150">
                  <c:v>4.1999999999999815</c:v>
                </c:pt>
                <c:pt idx="151">
                  <c:v>4.2999999999999705</c:v>
                </c:pt>
                <c:pt idx="152">
                  <c:v>4.2000000000000037</c:v>
                </c:pt>
                <c:pt idx="153">
                  <c:v>4.2999999999999927</c:v>
                </c:pt>
                <c:pt idx="154">
                  <c:v>4.1999999999999815</c:v>
                </c:pt>
                <c:pt idx="155">
                  <c:v>4.3000000000000149</c:v>
                </c:pt>
                <c:pt idx="156">
                  <c:v>4.2999999999999705</c:v>
                </c:pt>
                <c:pt idx="157">
                  <c:v>4.2000000000000037</c:v>
                </c:pt>
                <c:pt idx="158">
                  <c:v>4.2999999999999705</c:v>
                </c:pt>
                <c:pt idx="159">
                  <c:v>4.2999999999999927</c:v>
                </c:pt>
                <c:pt idx="160">
                  <c:v>4.2000000000000037</c:v>
                </c:pt>
                <c:pt idx="161">
                  <c:v>4.2000000000000037</c:v>
                </c:pt>
                <c:pt idx="162">
                  <c:v>4.3000000000000149</c:v>
                </c:pt>
                <c:pt idx="163">
                  <c:v>4.2000000000000037</c:v>
                </c:pt>
                <c:pt idx="164">
                  <c:v>4.2000000000000037</c:v>
                </c:pt>
                <c:pt idx="165">
                  <c:v>4.2000000000000037</c:v>
                </c:pt>
                <c:pt idx="166">
                  <c:v>4.2999999999999927</c:v>
                </c:pt>
                <c:pt idx="167">
                  <c:v>4.2000000000000037</c:v>
                </c:pt>
                <c:pt idx="168">
                  <c:v>4.2999999999999927</c:v>
                </c:pt>
                <c:pt idx="169">
                  <c:v>4.1999999999999815</c:v>
                </c:pt>
                <c:pt idx="170">
                  <c:v>4.2000000000000037</c:v>
                </c:pt>
                <c:pt idx="171">
                  <c:v>4.2000000000000037</c:v>
                </c:pt>
                <c:pt idx="172">
                  <c:v>4.2000000000000037</c:v>
                </c:pt>
                <c:pt idx="173">
                  <c:v>4.2000000000000037</c:v>
                </c:pt>
                <c:pt idx="174">
                  <c:v>4.2000000000000037</c:v>
                </c:pt>
                <c:pt idx="175">
                  <c:v>4.2000000000000037</c:v>
                </c:pt>
                <c:pt idx="176">
                  <c:v>4.2999999999999927</c:v>
                </c:pt>
                <c:pt idx="177">
                  <c:v>4.3000000000000149</c:v>
                </c:pt>
                <c:pt idx="178">
                  <c:v>4.2000000000000037</c:v>
                </c:pt>
                <c:pt idx="179">
                  <c:v>4.2000000000000037</c:v>
                </c:pt>
                <c:pt idx="180">
                  <c:v>4.3000000000000149</c:v>
                </c:pt>
                <c:pt idx="181">
                  <c:v>4.2000000000000037</c:v>
                </c:pt>
                <c:pt idx="182">
                  <c:v>4.2000000000000037</c:v>
                </c:pt>
                <c:pt idx="183">
                  <c:v>4.3000000000000149</c:v>
                </c:pt>
                <c:pt idx="184">
                  <c:v>4.3000000000000149</c:v>
                </c:pt>
                <c:pt idx="185">
                  <c:v>4.3000000000000149</c:v>
                </c:pt>
                <c:pt idx="186">
                  <c:v>4.2000000000000037</c:v>
                </c:pt>
                <c:pt idx="187">
                  <c:v>4.2000000000000037</c:v>
                </c:pt>
                <c:pt idx="188">
                  <c:v>4.2999999999999927</c:v>
                </c:pt>
                <c:pt idx="189">
                  <c:v>4.2000000000000037</c:v>
                </c:pt>
                <c:pt idx="190">
                  <c:v>4.2000000000000037</c:v>
                </c:pt>
                <c:pt idx="191">
                  <c:v>4.2000000000000037</c:v>
                </c:pt>
                <c:pt idx="192">
                  <c:v>4.2000000000000037</c:v>
                </c:pt>
                <c:pt idx="193">
                  <c:v>4.2000000000000037</c:v>
                </c:pt>
                <c:pt idx="194">
                  <c:v>4.2000000000000037</c:v>
                </c:pt>
                <c:pt idx="195">
                  <c:v>4.2000000000000037</c:v>
                </c:pt>
                <c:pt idx="196">
                  <c:v>4.2000000000000037</c:v>
                </c:pt>
                <c:pt idx="197">
                  <c:v>4.2999999999999927</c:v>
                </c:pt>
                <c:pt idx="198">
                  <c:v>4.2000000000000037</c:v>
                </c:pt>
                <c:pt idx="199">
                  <c:v>4.2000000000000037</c:v>
                </c:pt>
                <c:pt idx="200">
                  <c:v>4.2999999999999927</c:v>
                </c:pt>
                <c:pt idx="201">
                  <c:v>4.3000000000000149</c:v>
                </c:pt>
                <c:pt idx="202">
                  <c:v>4.2000000000000037</c:v>
                </c:pt>
                <c:pt idx="203">
                  <c:v>4.2000000000000037</c:v>
                </c:pt>
                <c:pt idx="204">
                  <c:v>4.2000000000000037</c:v>
                </c:pt>
                <c:pt idx="205">
                  <c:v>4.2000000000000037</c:v>
                </c:pt>
                <c:pt idx="206">
                  <c:v>4.1999999999999815</c:v>
                </c:pt>
                <c:pt idx="207">
                  <c:v>4.1999999999999815</c:v>
                </c:pt>
                <c:pt idx="208">
                  <c:v>4.2999999999999927</c:v>
                </c:pt>
                <c:pt idx="209">
                  <c:v>4.2999999999999927</c:v>
                </c:pt>
                <c:pt idx="210">
                  <c:v>4.2000000000000037</c:v>
                </c:pt>
                <c:pt idx="211">
                  <c:v>4.3000000000000149</c:v>
                </c:pt>
                <c:pt idx="212">
                  <c:v>4.3000000000000149</c:v>
                </c:pt>
                <c:pt idx="213">
                  <c:v>4.2000000000000037</c:v>
                </c:pt>
                <c:pt idx="214">
                  <c:v>4.2000000000000037</c:v>
                </c:pt>
                <c:pt idx="215">
                  <c:v>4.2000000000000037</c:v>
                </c:pt>
                <c:pt idx="216">
                  <c:v>4.2000000000000037</c:v>
                </c:pt>
                <c:pt idx="217">
                  <c:v>4.2000000000000037</c:v>
                </c:pt>
                <c:pt idx="218">
                  <c:v>4.3000000000000149</c:v>
                </c:pt>
                <c:pt idx="219">
                  <c:v>4.3000000000000149</c:v>
                </c:pt>
                <c:pt idx="220">
                  <c:v>4.2000000000000037</c:v>
                </c:pt>
                <c:pt idx="221">
                  <c:v>4.2000000000000037</c:v>
                </c:pt>
                <c:pt idx="222">
                  <c:v>4.2999999999999927</c:v>
                </c:pt>
                <c:pt idx="223">
                  <c:v>4.2000000000000037</c:v>
                </c:pt>
                <c:pt idx="224">
                  <c:v>4.2999999999999927</c:v>
                </c:pt>
                <c:pt idx="225">
                  <c:v>4.2000000000000037</c:v>
                </c:pt>
                <c:pt idx="226">
                  <c:v>4.2000000000000037</c:v>
                </c:pt>
                <c:pt idx="227">
                  <c:v>4.2000000000000037</c:v>
                </c:pt>
                <c:pt idx="228">
                  <c:v>4.2000000000000037</c:v>
                </c:pt>
                <c:pt idx="229">
                  <c:v>4.2000000000000037</c:v>
                </c:pt>
                <c:pt idx="230">
                  <c:v>4.2999999999999927</c:v>
                </c:pt>
                <c:pt idx="231">
                  <c:v>4.2000000000000037</c:v>
                </c:pt>
                <c:pt idx="232">
                  <c:v>4.2000000000000037</c:v>
                </c:pt>
                <c:pt idx="233">
                  <c:v>4.2000000000000037</c:v>
                </c:pt>
                <c:pt idx="234">
                  <c:v>4.2000000000000037</c:v>
                </c:pt>
                <c:pt idx="235">
                  <c:v>4.1999999999999815</c:v>
                </c:pt>
                <c:pt idx="236">
                  <c:v>4.2000000000000037</c:v>
                </c:pt>
                <c:pt idx="237">
                  <c:v>4.2999999999999927</c:v>
                </c:pt>
                <c:pt idx="238">
                  <c:v>4.3000000000000149</c:v>
                </c:pt>
                <c:pt idx="239">
                  <c:v>4.2000000000000037</c:v>
                </c:pt>
                <c:pt idx="240">
                  <c:v>4.2000000000000037</c:v>
                </c:pt>
                <c:pt idx="241">
                  <c:v>4.3000000000000149</c:v>
                </c:pt>
                <c:pt idx="242">
                  <c:v>4.2000000000000037</c:v>
                </c:pt>
                <c:pt idx="243">
                  <c:v>4.2000000000000037</c:v>
                </c:pt>
                <c:pt idx="244">
                  <c:v>4.2000000000000037</c:v>
                </c:pt>
                <c:pt idx="245">
                  <c:v>4.2000000000000037</c:v>
                </c:pt>
                <c:pt idx="246">
                  <c:v>4.2000000000000037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41920"/>
        <c:axId val="143840384"/>
      </c:areaChart>
      <c:lineChart>
        <c:grouping val="standard"/>
        <c:varyColors val="0"/>
        <c:ser>
          <c:idx val="0"/>
          <c:order val="0"/>
          <c:tx>
            <c:strRef>
              <c:f>history_chart!$BW$5</c:f>
              <c:strCache>
                <c:ptCount val="1"/>
                <c:pt idx="0">
                  <c:v>3사평균 금융채 은행채 AA+</c:v>
                </c:pt>
              </c:strCache>
            </c:strRef>
          </c:tx>
          <c:spPr>
            <a:ln w="22225">
              <a:solidFill>
                <a:srgbClr val="0066FF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numRef>
              <c:f>history_chart!$BV$10:$BV$256</c:f>
              <c:numCache>
                <c:formatCode>m/d/yyyy</c:formatCode>
                <c:ptCount val="247"/>
                <c:pt idx="0">
                  <c:v>44943</c:v>
                </c:pt>
                <c:pt idx="1">
                  <c:v>44942</c:v>
                </c:pt>
                <c:pt idx="2">
                  <c:v>44939</c:v>
                </c:pt>
                <c:pt idx="3">
                  <c:v>44938</c:v>
                </c:pt>
                <c:pt idx="4">
                  <c:v>44937</c:v>
                </c:pt>
                <c:pt idx="5">
                  <c:v>44936</c:v>
                </c:pt>
                <c:pt idx="6">
                  <c:v>44935</c:v>
                </c:pt>
                <c:pt idx="7">
                  <c:v>44932</c:v>
                </c:pt>
                <c:pt idx="8">
                  <c:v>44931</c:v>
                </c:pt>
                <c:pt idx="9">
                  <c:v>44930</c:v>
                </c:pt>
                <c:pt idx="10">
                  <c:v>44929</c:v>
                </c:pt>
                <c:pt idx="11">
                  <c:v>44928</c:v>
                </c:pt>
                <c:pt idx="12">
                  <c:v>44925</c:v>
                </c:pt>
                <c:pt idx="13">
                  <c:v>44924</c:v>
                </c:pt>
                <c:pt idx="14">
                  <c:v>44923</c:v>
                </c:pt>
                <c:pt idx="15">
                  <c:v>44922</c:v>
                </c:pt>
                <c:pt idx="16">
                  <c:v>44921</c:v>
                </c:pt>
                <c:pt idx="17">
                  <c:v>44918</c:v>
                </c:pt>
                <c:pt idx="18">
                  <c:v>44917</c:v>
                </c:pt>
                <c:pt idx="19">
                  <c:v>44916</c:v>
                </c:pt>
                <c:pt idx="20">
                  <c:v>44915</c:v>
                </c:pt>
                <c:pt idx="21">
                  <c:v>44914</c:v>
                </c:pt>
                <c:pt idx="22">
                  <c:v>44911</c:v>
                </c:pt>
                <c:pt idx="23">
                  <c:v>44910</c:v>
                </c:pt>
                <c:pt idx="24">
                  <c:v>44909</c:v>
                </c:pt>
                <c:pt idx="25">
                  <c:v>44908</c:v>
                </c:pt>
                <c:pt idx="26">
                  <c:v>44907</c:v>
                </c:pt>
                <c:pt idx="27">
                  <c:v>44904</c:v>
                </c:pt>
                <c:pt idx="28">
                  <c:v>44903</c:v>
                </c:pt>
                <c:pt idx="29">
                  <c:v>44902</c:v>
                </c:pt>
                <c:pt idx="30">
                  <c:v>44901</c:v>
                </c:pt>
                <c:pt idx="31">
                  <c:v>44900</c:v>
                </c:pt>
                <c:pt idx="32">
                  <c:v>44897</c:v>
                </c:pt>
                <c:pt idx="33">
                  <c:v>44896</c:v>
                </c:pt>
                <c:pt idx="34">
                  <c:v>44895</c:v>
                </c:pt>
                <c:pt idx="35">
                  <c:v>44894</c:v>
                </c:pt>
                <c:pt idx="36">
                  <c:v>44893</c:v>
                </c:pt>
                <c:pt idx="37">
                  <c:v>44890</c:v>
                </c:pt>
                <c:pt idx="38">
                  <c:v>44889</c:v>
                </c:pt>
                <c:pt idx="39">
                  <c:v>44888</c:v>
                </c:pt>
                <c:pt idx="40">
                  <c:v>44887</c:v>
                </c:pt>
                <c:pt idx="41">
                  <c:v>44886</c:v>
                </c:pt>
                <c:pt idx="42">
                  <c:v>44883</c:v>
                </c:pt>
                <c:pt idx="43">
                  <c:v>44882</c:v>
                </c:pt>
                <c:pt idx="44">
                  <c:v>44881</c:v>
                </c:pt>
                <c:pt idx="45">
                  <c:v>44880</c:v>
                </c:pt>
                <c:pt idx="46">
                  <c:v>44879</c:v>
                </c:pt>
                <c:pt idx="47">
                  <c:v>44876</c:v>
                </c:pt>
                <c:pt idx="48">
                  <c:v>44875</c:v>
                </c:pt>
                <c:pt idx="49">
                  <c:v>44874</c:v>
                </c:pt>
                <c:pt idx="50">
                  <c:v>44873</c:v>
                </c:pt>
                <c:pt idx="51">
                  <c:v>44872</c:v>
                </c:pt>
                <c:pt idx="52">
                  <c:v>44869</c:v>
                </c:pt>
                <c:pt idx="53">
                  <c:v>44868</c:v>
                </c:pt>
                <c:pt idx="54">
                  <c:v>44867</c:v>
                </c:pt>
                <c:pt idx="55">
                  <c:v>44866</c:v>
                </c:pt>
                <c:pt idx="56">
                  <c:v>44865</c:v>
                </c:pt>
                <c:pt idx="57">
                  <c:v>44862</c:v>
                </c:pt>
                <c:pt idx="58">
                  <c:v>44861</c:v>
                </c:pt>
                <c:pt idx="59">
                  <c:v>44860</c:v>
                </c:pt>
                <c:pt idx="60">
                  <c:v>44859</c:v>
                </c:pt>
                <c:pt idx="61">
                  <c:v>44858</c:v>
                </c:pt>
                <c:pt idx="62">
                  <c:v>44855</c:v>
                </c:pt>
                <c:pt idx="63">
                  <c:v>44854</c:v>
                </c:pt>
                <c:pt idx="64">
                  <c:v>44853</c:v>
                </c:pt>
                <c:pt idx="65">
                  <c:v>44852</c:v>
                </c:pt>
                <c:pt idx="66">
                  <c:v>44851</c:v>
                </c:pt>
                <c:pt idx="67">
                  <c:v>44848</c:v>
                </c:pt>
                <c:pt idx="68">
                  <c:v>44847</c:v>
                </c:pt>
                <c:pt idx="69">
                  <c:v>44846</c:v>
                </c:pt>
                <c:pt idx="70">
                  <c:v>44845</c:v>
                </c:pt>
                <c:pt idx="71">
                  <c:v>44841</c:v>
                </c:pt>
                <c:pt idx="72">
                  <c:v>44840</c:v>
                </c:pt>
                <c:pt idx="73">
                  <c:v>44839</c:v>
                </c:pt>
                <c:pt idx="74">
                  <c:v>44838</c:v>
                </c:pt>
                <c:pt idx="75">
                  <c:v>44834</c:v>
                </c:pt>
                <c:pt idx="76">
                  <c:v>44833</c:v>
                </c:pt>
                <c:pt idx="77">
                  <c:v>44832</c:v>
                </c:pt>
                <c:pt idx="78">
                  <c:v>44831</c:v>
                </c:pt>
                <c:pt idx="79">
                  <c:v>44830</c:v>
                </c:pt>
                <c:pt idx="80">
                  <c:v>44827</c:v>
                </c:pt>
                <c:pt idx="81">
                  <c:v>44826</c:v>
                </c:pt>
                <c:pt idx="82">
                  <c:v>44825</c:v>
                </c:pt>
                <c:pt idx="83">
                  <c:v>44824</c:v>
                </c:pt>
                <c:pt idx="84">
                  <c:v>44823</c:v>
                </c:pt>
                <c:pt idx="85">
                  <c:v>44820</c:v>
                </c:pt>
                <c:pt idx="86">
                  <c:v>44819</c:v>
                </c:pt>
                <c:pt idx="87">
                  <c:v>44818</c:v>
                </c:pt>
                <c:pt idx="88">
                  <c:v>44817</c:v>
                </c:pt>
                <c:pt idx="89">
                  <c:v>44812</c:v>
                </c:pt>
                <c:pt idx="90">
                  <c:v>44811</c:v>
                </c:pt>
                <c:pt idx="91">
                  <c:v>44810</c:v>
                </c:pt>
                <c:pt idx="92">
                  <c:v>44809</c:v>
                </c:pt>
                <c:pt idx="93">
                  <c:v>44806</c:v>
                </c:pt>
                <c:pt idx="94">
                  <c:v>44805</c:v>
                </c:pt>
                <c:pt idx="95">
                  <c:v>44804</c:v>
                </c:pt>
                <c:pt idx="96">
                  <c:v>44803</c:v>
                </c:pt>
                <c:pt idx="97">
                  <c:v>44802</c:v>
                </c:pt>
                <c:pt idx="98">
                  <c:v>44799</c:v>
                </c:pt>
                <c:pt idx="99">
                  <c:v>44798</c:v>
                </c:pt>
                <c:pt idx="100">
                  <c:v>44797</c:v>
                </c:pt>
                <c:pt idx="101">
                  <c:v>44796</c:v>
                </c:pt>
                <c:pt idx="102">
                  <c:v>44795</c:v>
                </c:pt>
                <c:pt idx="103">
                  <c:v>44792</c:v>
                </c:pt>
                <c:pt idx="104">
                  <c:v>44791</c:v>
                </c:pt>
                <c:pt idx="105">
                  <c:v>44790</c:v>
                </c:pt>
                <c:pt idx="106">
                  <c:v>44789</c:v>
                </c:pt>
                <c:pt idx="107">
                  <c:v>44785</c:v>
                </c:pt>
                <c:pt idx="108">
                  <c:v>44784</c:v>
                </c:pt>
                <c:pt idx="109">
                  <c:v>44783</c:v>
                </c:pt>
                <c:pt idx="110">
                  <c:v>44782</c:v>
                </c:pt>
                <c:pt idx="111">
                  <c:v>44781</c:v>
                </c:pt>
                <c:pt idx="112">
                  <c:v>44778</c:v>
                </c:pt>
                <c:pt idx="113">
                  <c:v>44777</c:v>
                </c:pt>
                <c:pt idx="114">
                  <c:v>44776</c:v>
                </c:pt>
                <c:pt idx="115">
                  <c:v>44775</c:v>
                </c:pt>
                <c:pt idx="116">
                  <c:v>44774</c:v>
                </c:pt>
                <c:pt idx="117">
                  <c:v>44771</c:v>
                </c:pt>
                <c:pt idx="118">
                  <c:v>44770</c:v>
                </c:pt>
                <c:pt idx="119">
                  <c:v>44769</c:v>
                </c:pt>
                <c:pt idx="120">
                  <c:v>44768</c:v>
                </c:pt>
                <c:pt idx="121">
                  <c:v>44767</c:v>
                </c:pt>
                <c:pt idx="122">
                  <c:v>44764</c:v>
                </c:pt>
                <c:pt idx="123">
                  <c:v>44763</c:v>
                </c:pt>
                <c:pt idx="124">
                  <c:v>44762</c:v>
                </c:pt>
                <c:pt idx="125">
                  <c:v>44761</c:v>
                </c:pt>
                <c:pt idx="126">
                  <c:v>44760</c:v>
                </c:pt>
                <c:pt idx="127">
                  <c:v>44757</c:v>
                </c:pt>
                <c:pt idx="128">
                  <c:v>44756</c:v>
                </c:pt>
                <c:pt idx="129">
                  <c:v>44755</c:v>
                </c:pt>
                <c:pt idx="130">
                  <c:v>44754</c:v>
                </c:pt>
                <c:pt idx="131">
                  <c:v>44753</c:v>
                </c:pt>
                <c:pt idx="132">
                  <c:v>44750</c:v>
                </c:pt>
                <c:pt idx="133">
                  <c:v>44749</c:v>
                </c:pt>
                <c:pt idx="134">
                  <c:v>44748</c:v>
                </c:pt>
                <c:pt idx="135">
                  <c:v>44747</c:v>
                </c:pt>
                <c:pt idx="136">
                  <c:v>44746</c:v>
                </c:pt>
                <c:pt idx="137">
                  <c:v>44743</c:v>
                </c:pt>
                <c:pt idx="138">
                  <c:v>44742</c:v>
                </c:pt>
                <c:pt idx="139">
                  <c:v>44741</c:v>
                </c:pt>
                <c:pt idx="140">
                  <c:v>44740</c:v>
                </c:pt>
                <c:pt idx="141">
                  <c:v>44739</c:v>
                </c:pt>
                <c:pt idx="142">
                  <c:v>44736</c:v>
                </c:pt>
                <c:pt idx="143">
                  <c:v>44735</c:v>
                </c:pt>
                <c:pt idx="144">
                  <c:v>44734</c:v>
                </c:pt>
                <c:pt idx="145">
                  <c:v>44733</c:v>
                </c:pt>
                <c:pt idx="146">
                  <c:v>44732</c:v>
                </c:pt>
                <c:pt idx="147">
                  <c:v>44729</c:v>
                </c:pt>
                <c:pt idx="148">
                  <c:v>44728</c:v>
                </c:pt>
                <c:pt idx="149">
                  <c:v>44727</c:v>
                </c:pt>
                <c:pt idx="150">
                  <c:v>44726</c:v>
                </c:pt>
                <c:pt idx="151">
                  <c:v>44725</c:v>
                </c:pt>
                <c:pt idx="152">
                  <c:v>44722</c:v>
                </c:pt>
                <c:pt idx="153">
                  <c:v>44721</c:v>
                </c:pt>
                <c:pt idx="154">
                  <c:v>44720</c:v>
                </c:pt>
                <c:pt idx="155">
                  <c:v>44719</c:v>
                </c:pt>
                <c:pt idx="156">
                  <c:v>44715</c:v>
                </c:pt>
                <c:pt idx="157">
                  <c:v>44714</c:v>
                </c:pt>
                <c:pt idx="158">
                  <c:v>44712</c:v>
                </c:pt>
                <c:pt idx="159">
                  <c:v>44711</c:v>
                </c:pt>
                <c:pt idx="160">
                  <c:v>44708</c:v>
                </c:pt>
                <c:pt idx="161">
                  <c:v>44707</c:v>
                </c:pt>
                <c:pt idx="162">
                  <c:v>44706</c:v>
                </c:pt>
                <c:pt idx="163">
                  <c:v>44705</c:v>
                </c:pt>
                <c:pt idx="164">
                  <c:v>44704</c:v>
                </c:pt>
                <c:pt idx="165">
                  <c:v>44701</c:v>
                </c:pt>
                <c:pt idx="166">
                  <c:v>44700</c:v>
                </c:pt>
                <c:pt idx="167">
                  <c:v>44699</c:v>
                </c:pt>
                <c:pt idx="168">
                  <c:v>44698</c:v>
                </c:pt>
                <c:pt idx="169">
                  <c:v>44697</c:v>
                </c:pt>
                <c:pt idx="170">
                  <c:v>44694</c:v>
                </c:pt>
                <c:pt idx="171">
                  <c:v>44693</c:v>
                </c:pt>
                <c:pt idx="172">
                  <c:v>44692</c:v>
                </c:pt>
                <c:pt idx="173">
                  <c:v>44691</c:v>
                </c:pt>
                <c:pt idx="174">
                  <c:v>44690</c:v>
                </c:pt>
                <c:pt idx="175">
                  <c:v>44687</c:v>
                </c:pt>
                <c:pt idx="176">
                  <c:v>44685</c:v>
                </c:pt>
                <c:pt idx="177">
                  <c:v>44684</c:v>
                </c:pt>
                <c:pt idx="178">
                  <c:v>44683</c:v>
                </c:pt>
                <c:pt idx="179">
                  <c:v>44680</c:v>
                </c:pt>
                <c:pt idx="180">
                  <c:v>44679</c:v>
                </c:pt>
                <c:pt idx="181">
                  <c:v>44678</c:v>
                </c:pt>
                <c:pt idx="182">
                  <c:v>44677</c:v>
                </c:pt>
                <c:pt idx="183">
                  <c:v>44676</c:v>
                </c:pt>
                <c:pt idx="184">
                  <c:v>44673</c:v>
                </c:pt>
                <c:pt idx="185">
                  <c:v>44672</c:v>
                </c:pt>
                <c:pt idx="186">
                  <c:v>44671</c:v>
                </c:pt>
                <c:pt idx="187">
                  <c:v>44670</c:v>
                </c:pt>
                <c:pt idx="188">
                  <c:v>44669</c:v>
                </c:pt>
                <c:pt idx="189">
                  <c:v>44666</c:v>
                </c:pt>
                <c:pt idx="190">
                  <c:v>44665</c:v>
                </c:pt>
                <c:pt idx="191">
                  <c:v>44664</c:v>
                </c:pt>
                <c:pt idx="192">
                  <c:v>44663</c:v>
                </c:pt>
                <c:pt idx="193">
                  <c:v>44662</c:v>
                </c:pt>
                <c:pt idx="194">
                  <c:v>44659</c:v>
                </c:pt>
                <c:pt idx="195">
                  <c:v>44658</c:v>
                </c:pt>
                <c:pt idx="196">
                  <c:v>44657</c:v>
                </c:pt>
                <c:pt idx="197">
                  <c:v>44656</c:v>
                </c:pt>
                <c:pt idx="198">
                  <c:v>44655</c:v>
                </c:pt>
                <c:pt idx="199">
                  <c:v>44652</c:v>
                </c:pt>
                <c:pt idx="200">
                  <c:v>44651</c:v>
                </c:pt>
                <c:pt idx="201">
                  <c:v>44650</c:v>
                </c:pt>
                <c:pt idx="202">
                  <c:v>44649</c:v>
                </c:pt>
                <c:pt idx="203">
                  <c:v>44648</c:v>
                </c:pt>
                <c:pt idx="204">
                  <c:v>44645</c:v>
                </c:pt>
                <c:pt idx="205">
                  <c:v>44644</c:v>
                </c:pt>
                <c:pt idx="206">
                  <c:v>44643</c:v>
                </c:pt>
                <c:pt idx="207">
                  <c:v>44642</c:v>
                </c:pt>
                <c:pt idx="208">
                  <c:v>44641</c:v>
                </c:pt>
                <c:pt idx="209">
                  <c:v>44638</c:v>
                </c:pt>
                <c:pt idx="210">
                  <c:v>44637</c:v>
                </c:pt>
                <c:pt idx="211">
                  <c:v>44636</c:v>
                </c:pt>
                <c:pt idx="212">
                  <c:v>44635</c:v>
                </c:pt>
                <c:pt idx="213">
                  <c:v>44634</c:v>
                </c:pt>
                <c:pt idx="214">
                  <c:v>44631</c:v>
                </c:pt>
                <c:pt idx="215">
                  <c:v>44630</c:v>
                </c:pt>
                <c:pt idx="216">
                  <c:v>44628</c:v>
                </c:pt>
                <c:pt idx="217">
                  <c:v>44627</c:v>
                </c:pt>
                <c:pt idx="218">
                  <c:v>44624</c:v>
                </c:pt>
                <c:pt idx="219">
                  <c:v>44623</c:v>
                </c:pt>
                <c:pt idx="220">
                  <c:v>44622</c:v>
                </c:pt>
                <c:pt idx="221">
                  <c:v>44620</c:v>
                </c:pt>
                <c:pt idx="222">
                  <c:v>44617</c:v>
                </c:pt>
                <c:pt idx="223">
                  <c:v>44616</c:v>
                </c:pt>
                <c:pt idx="224">
                  <c:v>44615</c:v>
                </c:pt>
                <c:pt idx="225">
                  <c:v>44614</c:v>
                </c:pt>
                <c:pt idx="226">
                  <c:v>44613</c:v>
                </c:pt>
                <c:pt idx="227">
                  <c:v>44610</c:v>
                </c:pt>
                <c:pt idx="228">
                  <c:v>44609</c:v>
                </c:pt>
                <c:pt idx="229">
                  <c:v>44608</c:v>
                </c:pt>
                <c:pt idx="230">
                  <c:v>44607</c:v>
                </c:pt>
                <c:pt idx="231">
                  <c:v>44606</c:v>
                </c:pt>
                <c:pt idx="232">
                  <c:v>44603</c:v>
                </c:pt>
                <c:pt idx="233">
                  <c:v>44602</c:v>
                </c:pt>
                <c:pt idx="234">
                  <c:v>44601</c:v>
                </c:pt>
                <c:pt idx="235">
                  <c:v>44600</c:v>
                </c:pt>
                <c:pt idx="236">
                  <c:v>44599</c:v>
                </c:pt>
                <c:pt idx="237">
                  <c:v>44596</c:v>
                </c:pt>
                <c:pt idx="238">
                  <c:v>44595</c:v>
                </c:pt>
                <c:pt idx="239">
                  <c:v>44589</c:v>
                </c:pt>
                <c:pt idx="240">
                  <c:v>44588</c:v>
                </c:pt>
                <c:pt idx="241">
                  <c:v>44587</c:v>
                </c:pt>
                <c:pt idx="242">
                  <c:v>44586</c:v>
                </c:pt>
                <c:pt idx="243">
                  <c:v>44585</c:v>
                </c:pt>
                <c:pt idx="244">
                  <c:v>44582</c:v>
                </c:pt>
                <c:pt idx="245">
                  <c:v>44581</c:v>
                </c:pt>
                <c:pt idx="246">
                  <c:v>44580</c:v>
                </c:pt>
              </c:numCache>
            </c:numRef>
          </c:cat>
          <c:val>
            <c:numRef>
              <c:f>history_chart!$BW$10:$BW$256</c:f>
              <c:numCache>
                <c:formatCode>General</c:formatCode>
                <c:ptCount val="247"/>
                <c:pt idx="0">
                  <c:v>3.7669999999999999</c:v>
                </c:pt>
                <c:pt idx="1">
                  <c:v>3.7959999999999998</c:v>
                </c:pt>
                <c:pt idx="2">
                  <c:v>3.8130000000000002</c:v>
                </c:pt>
                <c:pt idx="3">
                  <c:v>3.7959999999999998</c:v>
                </c:pt>
                <c:pt idx="4">
                  <c:v>3.7909999999999999</c:v>
                </c:pt>
                <c:pt idx="5">
                  <c:v>3.8029999999999999</c:v>
                </c:pt>
                <c:pt idx="6">
                  <c:v>3.8159999999999998</c:v>
                </c:pt>
                <c:pt idx="7">
                  <c:v>3.8559999999999999</c:v>
                </c:pt>
                <c:pt idx="8">
                  <c:v>3.8860000000000001</c:v>
                </c:pt>
                <c:pt idx="9">
                  <c:v>3.9279999999999999</c:v>
                </c:pt>
                <c:pt idx="10">
                  <c:v>3.9929999999999999</c:v>
                </c:pt>
                <c:pt idx="11">
                  <c:v>4.0650000000000004</c:v>
                </c:pt>
                <c:pt idx="12">
                  <c:v>4.0999999999999996</c:v>
                </c:pt>
                <c:pt idx="13">
                  <c:v>4.0999999999999996</c:v>
                </c:pt>
                <c:pt idx="14">
                  <c:v>4.1029999999999998</c:v>
                </c:pt>
                <c:pt idx="15">
                  <c:v>4.1100000000000003</c:v>
                </c:pt>
                <c:pt idx="16">
                  <c:v>4.1210000000000004</c:v>
                </c:pt>
                <c:pt idx="17">
                  <c:v>4.125</c:v>
                </c:pt>
                <c:pt idx="18">
                  <c:v>4.1079999999999997</c:v>
                </c:pt>
                <c:pt idx="19">
                  <c:v>4.125</c:v>
                </c:pt>
                <c:pt idx="20">
                  <c:v>4.1280000000000001</c:v>
                </c:pt>
                <c:pt idx="21">
                  <c:v>4.0979999999999999</c:v>
                </c:pt>
                <c:pt idx="22">
                  <c:v>4.0880000000000001</c:v>
                </c:pt>
                <c:pt idx="23">
                  <c:v>4.0860000000000003</c:v>
                </c:pt>
                <c:pt idx="24">
                  <c:v>4.0780000000000003</c:v>
                </c:pt>
                <c:pt idx="25">
                  <c:v>4.0830000000000002</c:v>
                </c:pt>
                <c:pt idx="26">
                  <c:v>4.0599999999999996</c:v>
                </c:pt>
                <c:pt idx="27">
                  <c:v>4.056</c:v>
                </c:pt>
                <c:pt idx="28">
                  <c:v>4.0590000000000002</c:v>
                </c:pt>
                <c:pt idx="29">
                  <c:v>4.0419999999999998</c:v>
                </c:pt>
                <c:pt idx="30">
                  <c:v>4.0339999999999998</c:v>
                </c:pt>
                <c:pt idx="31">
                  <c:v>4.0339999999999998</c:v>
                </c:pt>
                <c:pt idx="32">
                  <c:v>4.0439999999999996</c:v>
                </c:pt>
                <c:pt idx="33">
                  <c:v>4.0759999999999996</c:v>
                </c:pt>
                <c:pt idx="34">
                  <c:v>4.1210000000000004</c:v>
                </c:pt>
                <c:pt idx="35">
                  <c:v>4.1219999999999999</c:v>
                </c:pt>
                <c:pt idx="36">
                  <c:v>4.1139999999999999</c:v>
                </c:pt>
                <c:pt idx="37">
                  <c:v>4.109</c:v>
                </c:pt>
                <c:pt idx="38">
                  <c:v>4.0960000000000001</c:v>
                </c:pt>
                <c:pt idx="39">
                  <c:v>4.1040000000000001</c:v>
                </c:pt>
                <c:pt idx="40">
                  <c:v>4.1020000000000003</c:v>
                </c:pt>
                <c:pt idx="41">
                  <c:v>4.101</c:v>
                </c:pt>
                <c:pt idx="42">
                  <c:v>4.0960000000000001</c:v>
                </c:pt>
                <c:pt idx="43">
                  <c:v>4.1040000000000001</c:v>
                </c:pt>
                <c:pt idx="44">
                  <c:v>4.101</c:v>
                </c:pt>
                <c:pt idx="45">
                  <c:v>4.077</c:v>
                </c:pt>
                <c:pt idx="46">
                  <c:v>4.0890000000000004</c:v>
                </c:pt>
                <c:pt idx="47">
                  <c:v>4.0659999999999998</c:v>
                </c:pt>
                <c:pt idx="48">
                  <c:v>4.0839999999999996</c:v>
                </c:pt>
                <c:pt idx="49">
                  <c:v>4.0709999999999997</c:v>
                </c:pt>
                <c:pt idx="50">
                  <c:v>4.0540000000000003</c:v>
                </c:pt>
                <c:pt idx="51">
                  <c:v>4.0369999999999999</c:v>
                </c:pt>
                <c:pt idx="52">
                  <c:v>4.016</c:v>
                </c:pt>
                <c:pt idx="53">
                  <c:v>3.9969999999999999</c:v>
                </c:pt>
                <c:pt idx="54">
                  <c:v>3.9710000000000001</c:v>
                </c:pt>
                <c:pt idx="55">
                  <c:v>3.9369999999999998</c:v>
                </c:pt>
                <c:pt idx="56">
                  <c:v>3.9209999999999998</c:v>
                </c:pt>
                <c:pt idx="57">
                  <c:v>3.8940000000000001</c:v>
                </c:pt>
                <c:pt idx="58">
                  <c:v>3.8820000000000001</c:v>
                </c:pt>
                <c:pt idx="59">
                  <c:v>3.8340000000000001</c:v>
                </c:pt>
                <c:pt idx="60">
                  <c:v>3.774</c:v>
                </c:pt>
                <c:pt idx="61">
                  <c:v>3.754</c:v>
                </c:pt>
                <c:pt idx="62">
                  <c:v>3.726</c:v>
                </c:pt>
                <c:pt idx="63">
                  <c:v>3.6320000000000001</c:v>
                </c:pt>
                <c:pt idx="64">
                  <c:v>3.5920000000000001</c:v>
                </c:pt>
                <c:pt idx="65">
                  <c:v>3.5489999999999999</c:v>
                </c:pt>
                <c:pt idx="66">
                  <c:v>3.5169999999999999</c:v>
                </c:pt>
                <c:pt idx="67">
                  <c:v>3.4990000000000001</c:v>
                </c:pt>
                <c:pt idx="68">
                  <c:v>3.4790000000000001</c:v>
                </c:pt>
                <c:pt idx="69">
                  <c:v>3.4540000000000002</c:v>
                </c:pt>
                <c:pt idx="70">
                  <c:v>3.3140000000000001</c:v>
                </c:pt>
                <c:pt idx="71">
                  <c:v>3.2440000000000002</c:v>
                </c:pt>
                <c:pt idx="72">
                  <c:v>3.222</c:v>
                </c:pt>
                <c:pt idx="73">
                  <c:v>3.2120000000000002</c:v>
                </c:pt>
                <c:pt idx="74">
                  <c:v>3.1920000000000002</c:v>
                </c:pt>
                <c:pt idx="75">
                  <c:v>3.1890000000000001</c:v>
                </c:pt>
                <c:pt idx="76">
                  <c:v>3.2189999999999999</c:v>
                </c:pt>
                <c:pt idx="77">
                  <c:v>3.2519999999999998</c:v>
                </c:pt>
                <c:pt idx="78">
                  <c:v>3.2240000000000002</c:v>
                </c:pt>
                <c:pt idx="79">
                  <c:v>3.2240000000000002</c:v>
                </c:pt>
                <c:pt idx="80">
                  <c:v>3.137</c:v>
                </c:pt>
                <c:pt idx="81">
                  <c:v>3.101</c:v>
                </c:pt>
                <c:pt idx="82">
                  <c:v>2.976</c:v>
                </c:pt>
                <c:pt idx="83">
                  <c:v>2.9660000000000002</c:v>
                </c:pt>
                <c:pt idx="84">
                  <c:v>2.9430000000000001</c:v>
                </c:pt>
                <c:pt idx="85">
                  <c:v>2.9449999999999998</c:v>
                </c:pt>
                <c:pt idx="86">
                  <c:v>2.9409999999999998</c:v>
                </c:pt>
                <c:pt idx="87">
                  <c:v>2.923</c:v>
                </c:pt>
                <c:pt idx="88">
                  <c:v>2.915</c:v>
                </c:pt>
                <c:pt idx="89">
                  <c:v>2.91</c:v>
                </c:pt>
                <c:pt idx="90">
                  <c:v>2.923</c:v>
                </c:pt>
                <c:pt idx="91">
                  <c:v>2.9260000000000002</c:v>
                </c:pt>
                <c:pt idx="92">
                  <c:v>2.9279999999999999</c:v>
                </c:pt>
                <c:pt idx="93">
                  <c:v>2.9329999999999998</c:v>
                </c:pt>
                <c:pt idx="94">
                  <c:v>2.9510000000000001</c:v>
                </c:pt>
                <c:pt idx="95">
                  <c:v>2.9350000000000001</c:v>
                </c:pt>
                <c:pt idx="96">
                  <c:v>2.92</c:v>
                </c:pt>
                <c:pt idx="97">
                  <c:v>2.931</c:v>
                </c:pt>
                <c:pt idx="98">
                  <c:v>2.903</c:v>
                </c:pt>
                <c:pt idx="99">
                  <c:v>2.903</c:v>
                </c:pt>
                <c:pt idx="100">
                  <c:v>2.8050000000000002</c:v>
                </c:pt>
                <c:pt idx="101">
                  <c:v>2.7559999999999998</c:v>
                </c:pt>
                <c:pt idx="102">
                  <c:v>2.7309999999999999</c:v>
                </c:pt>
                <c:pt idx="103">
                  <c:v>2.7050000000000001</c:v>
                </c:pt>
                <c:pt idx="104">
                  <c:v>2.698</c:v>
                </c:pt>
                <c:pt idx="105">
                  <c:v>2.698</c:v>
                </c:pt>
                <c:pt idx="106">
                  <c:v>2.6949999999999998</c:v>
                </c:pt>
                <c:pt idx="107">
                  <c:v>2.7050000000000001</c:v>
                </c:pt>
                <c:pt idx="108">
                  <c:v>2.6909999999999998</c:v>
                </c:pt>
                <c:pt idx="109">
                  <c:v>2.6880000000000002</c:v>
                </c:pt>
                <c:pt idx="110">
                  <c:v>2.6850000000000001</c:v>
                </c:pt>
                <c:pt idx="111">
                  <c:v>2.6859999999999999</c:v>
                </c:pt>
                <c:pt idx="112">
                  <c:v>2.6739999999999999</c:v>
                </c:pt>
                <c:pt idx="113">
                  <c:v>2.6819999999999999</c:v>
                </c:pt>
                <c:pt idx="114">
                  <c:v>2.69</c:v>
                </c:pt>
                <c:pt idx="115">
                  <c:v>2.6869999999999998</c:v>
                </c:pt>
                <c:pt idx="116">
                  <c:v>2.69</c:v>
                </c:pt>
                <c:pt idx="117">
                  <c:v>2.6739999999999999</c:v>
                </c:pt>
                <c:pt idx="118">
                  <c:v>2.6819999999999999</c:v>
                </c:pt>
                <c:pt idx="119">
                  <c:v>2.67</c:v>
                </c:pt>
                <c:pt idx="120">
                  <c:v>2.665</c:v>
                </c:pt>
                <c:pt idx="121">
                  <c:v>2.6520000000000001</c:v>
                </c:pt>
                <c:pt idx="122">
                  <c:v>2.649</c:v>
                </c:pt>
                <c:pt idx="123">
                  <c:v>2.6549999999999998</c:v>
                </c:pt>
                <c:pt idx="124">
                  <c:v>2.649</c:v>
                </c:pt>
                <c:pt idx="125">
                  <c:v>2.64</c:v>
                </c:pt>
                <c:pt idx="126">
                  <c:v>2.6419999999999999</c:v>
                </c:pt>
                <c:pt idx="127">
                  <c:v>2.64</c:v>
                </c:pt>
                <c:pt idx="128">
                  <c:v>2.6469999999999998</c:v>
                </c:pt>
                <c:pt idx="129">
                  <c:v>2.629</c:v>
                </c:pt>
                <c:pt idx="130">
                  <c:v>2.5550000000000002</c:v>
                </c:pt>
                <c:pt idx="131">
                  <c:v>2.52</c:v>
                </c:pt>
                <c:pt idx="132">
                  <c:v>2.5070000000000001</c:v>
                </c:pt>
                <c:pt idx="133">
                  <c:v>2.492</c:v>
                </c:pt>
                <c:pt idx="134">
                  <c:v>2.4649999999999999</c:v>
                </c:pt>
                <c:pt idx="135">
                  <c:v>2.4620000000000002</c:v>
                </c:pt>
                <c:pt idx="136">
                  <c:v>2.4569999999999999</c:v>
                </c:pt>
                <c:pt idx="137">
                  <c:v>2.444</c:v>
                </c:pt>
                <c:pt idx="138">
                  <c:v>2.4140000000000001</c:v>
                </c:pt>
                <c:pt idx="139">
                  <c:v>2.37</c:v>
                </c:pt>
                <c:pt idx="140">
                  <c:v>2.335</c:v>
                </c:pt>
                <c:pt idx="141">
                  <c:v>2.3090000000000002</c:v>
                </c:pt>
                <c:pt idx="142">
                  <c:v>2.2869999999999999</c:v>
                </c:pt>
                <c:pt idx="143">
                  <c:v>2.27</c:v>
                </c:pt>
                <c:pt idx="144">
                  <c:v>2.2450000000000001</c:v>
                </c:pt>
                <c:pt idx="145">
                  <c:v>2.2320000000000002</c:v>
                </c:pt>
                <c:pt idx="146">
                  <c:v>2.2269999999999999</c:v>
                </c:pt>
                <c:pt idx="147">
                  <c:v>2.234</c:v>
                </c:pt>
                <c:pt idx="148">
                  <c:v>2.2170000000000001</c:v>
                </c:pt>
                <c:pt idx="149">
                  <c:v>2.1800000000000002</c:v>
                </c:pt>
                <c:pt idx="150">
                  <c:v>2.1019999999999999</c:v>
                </c:pt>
                <c:pt idx="151">
                  <c:v>2.0739999999999998</c:v>
                </c:pt>
                <c:pt idx="152">
                  <c:v>2.0350000000000001</c:v>
                </c:pt>
                <c:pt idx="153">
                  <c:v>2.024</c:v>
                </c:pt>
                <c:pt idx="154">
                  <c:v>2.0169999999999999</c:v>
                </c:pt>
                <c:pt idx="155">
                  <c:v>2.0150000000000001</c:v>
                </c:pt>
                <c:pt idx="156">
                  <c:v>2.0099999999999998</c:v>
                </c:pt>
                <c:pt idx="157">
                  <c:v>2.016</c:v>
                </c:pt>
                <c:pt idx="158">
                  <c:v>2.0099999999999998</c:v>
                </c:pt>
                <c:pt idx="159">
                  <c:v>2</c:v>
                </c:pt>
                <c:pt idx="160">
                  <c:v>1.996</c:v>
                </c:pt>
                <c:pt idx="161">
                  <c:v>1.9930000000000001</c:v>
                </c:pt>
                <c:pt idx="162">
                  <c:v>1.86</c:v>
                </c:pt>
                <c:pt idx="163">
                  <c:v>1.8460000000000001</c:v>
                </c:pt>
                <c:pt idx="164">
                  <c:v>1.837</c:v>
                </c:pt>
                <c:pt idx="165">
                  <c:v>1.8169999999999999</c:v>
                </c:pt>
                <c:pt idx="166">
                  <c:v>1.8089999999999999</c:v>
                </c:pt>
                <c:pt idx="167">
                  <c:v>1.8</c:v>
                </c:pt>
                <c:pt idx="168">
                  <c:v>1.7789999999999999</c:v>
                </c:pt>
                <c:pt idx="169">
                  <c:v>1.7569999999999999</c:v>
                </c:pt>
                <c:pt idx="170">
                  <c:v>1.732</c:v>
                </c:pt>
                <c:pt idx="171">
                  <c:v>1.7150000000000001</c:v>
                </c:pt>
                <c:pt idx="172">
                  <c:v>1.7070000000000001</c:v>
                </c:pt>
                <c:pt idx="173">
                  <c:v>1.6970000000000001</c:v>
                </c:pt>
                <c:pt idx="174">
                  <c:v>1.6919999999999999</c:v>
                </c:pt>
                <c:pt idx="175">
                  <c:v>1.6870000000000001</c:v>
                </c:pt>
                <c:pt idx="176">
                  <c:v>1.6839999999999999</c:v>
                </c:pt>
                <c:pt idx="177">
                  <c:v>1.6890000000000001</c:v>
                </c:pt>
                <c:pt idx="178">
                  <c:v>1.6930000000000001</c:v>
                </c:pt>
                <c:pt idx="179">
                  <c:v>1.6859999999999999</c:v>
                </c:pt>
                <c:pt idx="180">
                  <c:v>1.6850000000000001</c:v>
                </c:pt>
                <c:pt idx="181">
                  <c:v>1.6930000000000001</c:v>
                </c:pt>
                <c:pt idx="182">
                  <c:v>1.6919999999999999</c:v>
                </c:pt>
                <c:pt idx="183">
                  <c:v>1.6890000000000001</c:v>
                </c:pt>
                <c:pt idx="184">
                  <c:v>1.7030000000000001</c:v>
                </c:pt>
                <c:pt idx="185">
                  <c:v>1.7030000000000001</c:v>
                </c:pt>
                <c:pt idx="186">
                  <c:v>1.7090000000000001</c:v>
                </c:pt>
                <c:pt idx="187">
                  <c:v>1.7090000000000001</c:v>
                </c:pt>
                <c:pt idx="188">
                  <c:v>1.708</c:v>
                </c:pt>
                <c:pt idx="189">
                  <c:v>1.7</c:v>
                </c:pt>
                <c:pt idx="190">
                  <c:v>1.6950000000000001</c:v>
                </c:pt>
                <c:pt idx="191">
                  <c:v>1.615</c:v>
                </c:pt>
                <c:pt idx="192">
                  <c:v>1.615</c:v>
                </c:pt>
                <c:pt idx="193">
                  <c:v>1.617</c:v>
                </c:pt>
                <c:pt idx="194">
                  <c:v>1.61</c:v>
                </c:pt>
                <c:pt idx="195">
                  <c:v>1.595</c:v>
                </c:pt>
                <c:pt idx="196">
                  <c:v>1.5920000000000001</c:v>
                </c:pt>
                <c:pt idx="197">
                  <c:v>1.589</c:v>
                </c:pt>
                <c:pt idx="198">
                  <c:v>1.5940000000000001</c:v>
                </c:pt>
                <c:pt idx="199">
                  <c:v>1.599</c:v>
                </c:pt>
                <c:pt idx="200">
                  <c:v>1.603</c:v>
                </c:pt>
                <c:pt idx="201">
                  <c:v>1.6080000000000001</c:v>
                </c:pt>
                <c:pt idx="202">
                  <c:v>1.611</c:v>
                </c:pt>
                <c:pt idx="203">
                  <c:v>1.6060000000000001</c:v>
                </c:pt>
                <c:pt idx="204">
                  <c:v>1.581</c:v>
                </c:pt>
                <c:pt idx="205">
                  <c:v>1.546</c:v>
                </c:pt>
                <c:pt idx="206">
                  <c:v>1.5289999999999999</c:v>
                </c:pt>
                <c:pt idx="207">
                  <c:v>1.5209999999999999</c:v>
                </c:pt>
                <c:pt idx="208">
                  <c:v>1.508</c:v>
                </c:pt>
                <c:pt idx="209">
                  <c:v>1.498</c:v>
                </c:pt>
                <c:pt idx="210">
                  <c:v>1.4910000000000001</c:v>
                </c:pt>
                <c:pt idx="211">
                  <c:v>1.4830000000000001</c:v>
                </c:pt>
                <c:pt idx="212">
                  <c:v>1.4830000000000001</c:v>
                </c:pt>
                <c:pt idx="213">
                  <c:v>1.4830000000000001</c:v>
                </c:pt>
                <c:pt idx="214">
                  <c:v>1.4790000000000001</c:v>
                </c:pt>
                <c:pt idx="215">
                  <c:v>1.484</c:v>
                </c:pt>
                <c:pt idx="216">
                  <c:v>1.484</c:v>
                </c:pt>
                <c:pt idx="217">
                  <c:v>1.482</c:v>
                </c:pt>
                <c:pt idx="218">
                  <c:v>1.4810000000000001</c:v>
                </c:pt>
                <c:pt idx="219">
                  <c:v>1.4810000000000001</c:v>
                </c:pt>
                <c:pt idx="220">
                  <c:v>1.482</c:v>
                </c:pt>
                <c:pt idx="221">
                  <c:v>1.484</c:v>
                </c:pt>
                <c:pt idx="222">
                  <c:v>1.486</c:v>
                </c:pt>
                <c:pt idx="223">
                  <c:v>1.484</c:v>
                </c:pt>
                <c:pt idx="224">
                  <c:v>1.486</c:v>
                </c:pt>
                <c:pt idx="225">
                  <c:v>1.484</c:v>
                </c:pt>
                <c:pt idx="226">
                  <c:v>1.484</c:v>
                </c:pt>
                <c:pt idx="227">
                  <c:v>1.4890000000000001</c:v>
                </c:pt>
                <c:pt idx="228">
                  <c:v>1.4890000000000001</c:v>
                </c:pt>
                <c:pt idx="229">
                  <c:v>1.4930000000000001</c:v>
                </c:pt>
                <c:pt idx="230">
                  <c:v>1.492</c:v>
                </c:pt>
                <c:pt idx="231">
                  <c:v>1.4930000000000001</c:v>
                </c:pt>
                <c:pt idx="232">
                  <c:v>1.498</c:v>
                </c:pt>
                <c:pt idx="233">
                  <c:v>1.496</c:v>
                </c:pt>
                <c:pt idx="234">
                  <c:v>1.502</c:v>
                </c:pt>
                <c:pt idx="235">
                  <c:v>1.5069999999999999</c:v>
                </c:pt>
                <c:pt idx="236">
                  <c:v>1.512</c:v>
                </c:pt>
                <c:pt idx="237">
                  <c:v>1.524</c:v>
                </c:pt>
                <c:pt idx="238">
                  <c:v>1.544</c:v>
                </c:pt>
                <c:pt idx="239">
                  <c:v>1.5549999999999999</c:v>
                </c:pt>
                <c:pt idx="240">
                  <c:v>1.56</c:v>
                </c:pt>
                <c:pt idx="241">
                  <c:v>1.5640000000000001</c:v>
                </c:pt>
                <c:pt idx="242">
                  <c:v>1.56</c:v>
                </c:pt>
                <c:pt idx="243">
                  <c:v>1.5569999999999999</c:v>
                </c:pt>
                <c:pt idx="244">
                  <c:v>1.5549999999999999</c:v>
                </c:pt>
                <c:pt idx="245">
                  <c:v>1.5549999999999999</c:v>
                </c:pt>
                <c:pt idx="246">
                  <c:v>1.5569999999999999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history_chart!$BX$5</c:f>
              <c:strCache>
                <c:ptCount val="1"/>
                <c:pt idx="0">
                  <c:v>3사평균 금융채 은행채 AAA</c:v>
                </c:pt>
              </c:strCache>
            </c:strRef>
          </c:tx>
          <c:spPr>
            <a:ln w="22225">
              <a:solidFill>
                <a:srgbClr val="FF660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numRef>
              <c:f>history_chart!$BV$10:$BV$256</c:f>
              <c:numCache>
                <c:formatCode>m/d/yyyy</c:formatCode>
                <c:ptCount val="247"/>
                <c:pt idx="0">
                  <c:v>44943</c:v>
                </c:pt>
                <c:pt idx="1">
                  <c:v>44942</c:v>
                </c:pt>
                <c:pt idx="2">
                  <c:v>44939</c:v>
                </c:pt>
                <c:pt idx="3">
                  <c:v>44938</c:v>
                </c:pt>
                <c:pt idx="4">
                  <c:v>44937</c:v>
                </c:pt>
                <c:pt idx="5">
                  <c:v>44936</c:v>
                </c:pt>
                <c:pt idx="6">
                  <c:v>44935</c:v>
                </c:pt>
                <c:pt idx="7">
                  <c:v>44932</c:v>
                </c:pt>
                <c:pt idx="8">
                  <c:v>44931</c:v>
                </c:pt>
                <c:pt idx="9">
                  <c:v>44930</c:v>
                </c:pt>
                <c:pt idx="10">
                  <c:v>44929</c:v>
                </c:pt>
                <c:pt idx="11">
                  <c:v>44928</c:v>
                </c:pt>
                <c:pt idx="12">
                  <c:v>44925</c:v>
                </c:pt>
                <c:pt idx="13">
                  <c:v>44924</c:v>
                </c:pt>
                <c:pt idx="14">
                  <c:v>44923</c:v>
                </c:pt>
                <c:pt idx="15">
                  <c:v>44922</c:v>
                </c:pt>
                <c:pt idx="16">
                  <c:v>44921</c:v>
                </c:pt>
                <c:pt idx="17">
                  <c:v>44918</c:v>
                </c:pt>
                <c:pt idx="18">
                  <c:v>44917</c:v>
                </c:pt>
                <c:pt idx="19">
                  <c:v>44916</c:v>
                </c:pt>
                <c:pt idx="20">
                  <c:v>44915</c:v>
                </c:pt>
                <c:pt idx="21">
                  <c:v>44914</c:v>
                </c:pt>
                <c:pt idx="22">
                  <c:v>44911</c:v>
                </c:pt>
                <c:pt idx="23">
                  <c:v>44910</c:v>
                </c:pt>
                <c:pt idx="24">
                  <c:v>44909</c:v>
                </c:pt>
                <c:pt idx="25">
                  <c:v>44908</c:v>
                </c:pt>
                <c:pt idx="26">
                  <c:v>44907</c:v>
                </c:pt>
                <c:pt idx="27">
                  <c:v>44904</c:v>
                </c:pt>
                <c:pt idx="28">
                  <c:v>44903</c:v>
                </c:pt>
                <c:pt idx="29">
                  <c:v>44902</c:v>
                </c:pt>
                <c:pt idx="30">
                  <c:v>44901</c:v>
                </c:pt>
                <c:pt idx="31">
                  <c:v>44900</c:v>
                </c:pt>
                <c:pt idx="32">
                  <c:v>44897</c:v>
                </c:pt>
                <c:pt idx="33">
                  <c:v>44896</c:v>
                </c:pt>
                <c:pt idx="34">
                  <c:v>44895</c:v>
                </c:pt>
                <c:pt idx="35">
                  <c:v>44894</c:v>
                </c:pt>
                <c:pt idx="36">
                  <c:v>44893</c:v>
                </c:pt>
                <c:pt idx="37">
                  <c:v>44890</c:v>
                </c:pt>
                <c:pt idx="38">
                  <c:v>44889</c:v>
                </c:pt>
                <c:pt idx="39">
                  <c:v>44888</c:v>
                </c:pt>
                <c:pt idx="40">
                  <c:v>44887</c:v>
                </c:pt>
                <c:pt idx="41">
                  <c:v>44886</c:v>
                </c:pt>
                <c:pt idx="42">
                  <c:v>44883</c:v>
                </c:pt>
                <c:pt idx="43">
                  <c:v>44882</c:v>
                </c:pt>
                <c:pt idx="44">
                  <c:v>44881</c:v>
                </c:pt>
                <c:pt idx="45">
                  <c:v>44880</c:v>
                </c:pt>
                <c:pt idx="46">
                  <c:v>44879</c:v>
                </c:pt>
                <c:pt idx="47">
                  <c:v>44876</c:v>
                </c:pt>
                <c:pt idx="48">
                  <c:v>44875</c:v>
                </c:pt>
                <c:pt idx="49">
                  <c:v>44874</c:v>
                </c:pt>
                <c:pt idx="50">
                  <c:v>44873</c:v>
                </c:pt>
                <c:pt idx="51">
                  <c:v>44872</c:v>
                </c:pt>
                <c:pt idx="52">
                  <c:v>44869</c:v>
                </c:pt>
                <c:pt idx="53">
                  <c:v>44868</c:v>
                </c:pt>
                <c:pt idx="54">
                  <c:v>44867</c:v>
                </c:pt>
                <c:pt idx="55">
                  <c:v>44866</c:v>
                </c:pt>
                <c:pt idx="56">
                  <c:v>44865</c:v>
                </c:pt>
                <c:pt idx="57">
                  <c:v>44862</c:v>
                </c:pt>
                <c:pt idx="58">
                  <c:v>44861</c:v>
                </c:pt>
                <c:pt idx="59">
                  <c:v>44860</c:v>
                </c:pt>
                <c:pt idx="60">
                  <c:v>44859</c:v>
                </c:pt>
                <c:pt idx="61">
                  <c:v>44858</c:v>
                </c:pt>
                <c:pt idx="62">
                  <c:v>44855</c:v>
                </c:pt>
                <c:pt idx="63">
                  <c:v>44854</c:v>
                </c:pt>
                <c:pt idx="64">
                  <c:v>44853</c:v>
                </c:pt>
                <c:pt idx="65">
                  <c:v>44852</c:v>
                </c:pt>
                <c:pt idx="66">
                  <c:v>44851</c:v>
                </c:pt>
                <c:pt idx="67">
                  <c:v>44848</c:v>
                </c:pt>
                <c:pt idx="68">
                  <c:v>44847</c:v>
                </c:pt>
                <c:pt idx="69">
                  <c:v>44846</c:v>
                </c:pt>
                <c:pt idx="70">
                  <c:v>44845</c:v>
                </c:pt>
                <c:pt idx="71">
                  <c:v>44841</c:v>
                </c:pt>
                <c:pt idx="72">
                  <c:v>44840</c:v>
                </c:pt>
                <c:pt idx="73">
                  <c:v>44839</c:v>
                </c:pt>
                <c:pt idx="74">
                  <c:v>44838</c:v>
                </c:pt>
                <c:pt idx="75">
                  <c:v>44834</c:v>
                </c:pt>
                <c:pt idx="76">
                  <c:v>44833</c:v>
                </c:pt>
                <c:pt idx="77">
                  <c:v>44832</c:v>
                </c:pt>
                <c:pt idx="78">
                  <c:v>44831</c:v>
                </c:pt>
                <c:pt idx="79">
                  <c:v>44830</c:v>
                </c:pt>
                <c:pt idx="80">
                  <c:v>44827</c:v>
                </c:pt>
                <c:pt idx="81">
                  <c:v>44826</c:v>
                </c:pt>
                <c:pt idx="82">
                  <c:v>44825</c:v>
                </c:pt>
                <c:pt idx="83">
                  <c:v>44824</c:v>
                </c:pt>
                <c:pt idx="84">
                  <c:v>44823</c:v>
                </c:pt>
                <c:pt idx="85">
                  <c:v>44820</c:v>
                </c:pt>
                <c:pt idx="86">
                  <c:v>44819</c:v>
                </c:pt>
                <c:pt idx="87">
                  <c:v>44818</c:v>
                </c:pt>
                <c:pt idx="88">
                  <c:v>44817</c:v>
                </c:pt>
                <c:pt idx="89">
                  <c:v>44812</c:v>
                </c:pt>
                <c:pt idx="90">
                  <c:v>44811</c:v>
                </c:pt>
                <c:pt idx="91">
                  <c:v>44810</c:v>
                </c:pt>
                <c:pt idx="92">
                  <c:v>44809</c:v>
                </c:pt>
                <c:pt idx="93">
                  <c:v>44806</c:v>
                </c:pt>
                <c:pt idx="94">
                  <c:v>44805</c:v>
                </c:pt>
                <c:pt idx="95">
                  <c:v>44804</c:v>
                </c:pt>
                <c:pt idx="96">
                  <c:v>44803</c:v>
                </c:pt>
                <c:pt idx="97">
                  <c:v>44802</c:v>
                </c:pt>
                <c:pt idx="98">
                  <c:v>44799</c:v>
                </c:pt>
                <c:pt idx="99">
                  <c:v>44798</c:v>
                </c:pt>
                <c:pt idx="100">
                  <c:v>44797</c:v>
                </c:pt>
                <c:pt idx="101">
                  <c:v>44796</c:v>
                </c:pt>
                <c:pt idx="102">
                  <c:v>44795</c:v>
                </c:pt>
                <c:pt idx="103">
                  <c:v>44792</c:v>
                </c:pt>
                <c:pt idx="104">
                  <c:v>44791</c:v>
                </c:pt>
                <c:pt idx="105">
                  <c:v>44790</c:v>
                </c:pt>
                <c:pt idx="106">
                  <c:v>44789</c:v>
                </c:pt>
                <c:pt idx="107">
                  <c:v>44785</c:v>
                </c:pt>
                <c:pt idx="108">
                  <c:v>44784</c:v>
                </c:pt>
                <c:pt idx="109">
                  <c:v>44783</c:v>
                </c:pt>
                <c:pt idx="110">
                  <c:v>44782</c:v>
                </c:pt>
                <c:pt idx="111">
                  <c:v>44781</c:v>
                </c:pt>
                <c:pt idx="112">
                  <c:v>44778</c:v>
                </c:pt>
                <c:pt idx="113">
                  <c:v>44777</c:v>
                </c:pt>
                <c:pt idx="114">
                  <c:v>44776</c:v>
                </c:pt>
                <c:pt idx="115">
                  <c:v>44775</c:v>
                </c:pt>
                <c:pt idx="116">
                  <c:v>44774</c:v>
                </c:pt>
                <c:pt idx="117">
                  <c:v>44771</c:v>
                </c:pt>
                <c:pt idx="118">
                  <c:v>44770</c:v>
                </c:pt>
                <c:pt idx="119">
                  <c:v>44769</c:v>
                </c:pt>
                <c:pt idx="120">
                  <c:v>44768</c:v>
                </c:pt>
                <c:pt idx="121">
                  <c:v>44767</c:v>
                </c:pt>
                <c:pt idx="122">
                  <c:v>44764</c:v>
                </c:pt>
                <c:pt idx="123">
                  <c:v>44763</c:v>
                </c:pt>
                <c:pt idx="124">
                  <c:v>44762</c:v>
                </c:pt>
                <c:pt idx="125">
                  <c:v>44761</c:v>
                </c:pt>
                <c:pt idx="126">
                  <c:v>44760</c:v>
                </c:pt>
                <c:pt idx="127">
                  <c:v>44757</c:v>
                </c:pt>
                <c:pt idx="128">
                  <c:v>44756</c:v>
                </c:pt>
                <c:pt idx="129">
                  <c:v>44755</c:v>
                </c:pt>
                <c:pt idx="130">
                  <c:v>44754</c:v>
                </c:pt>
                <c:pt idx="131">
                  <c:v>44753</c:v>
                </c:pt>
                <c:pt idx="132">
                  <c:v>44750</c:v>
                </c:pt>
                <c:pt idx="133">
                  <c:v>44749</c:v>
                </c:pt>
                <c:pt idx="134">
                  <c:v>44748</c:v>
                </c:pt>
                <c:pt idx="135">
                  <c:v>44747</c:v>
                </c:pt>
                <c:pt idx="136">
                  <c:v>44746</c:v>
                </c:pt>
                <c:pt idx="137">
                  <c:v>44743</c:v>
                </c:pt>
                <c:pt idx="138">
                  <c:v>44742</c:v>
                </c:pt>
                <c:pt idx="139">
                  <c:v>44741</c:v>
                </c:pt>
                <c:pt idx="140">
                  <c:v>44740</c:v>
                </c:pt>
                <c:pt idx="141">
                  <c:v>44739</c:v>
                </c:pt>
                <c:pt idx="142">
                  <c:v>44736</c:v>
                </c:pt>
                <c:pt idx="143">
                  <c:v>44735</c:v>
                </c:pt>
                <c:pt idx="144">
                  <c:v>44734</c:v>
                </c:pt>
                <c:pt idx="145">
                  <c:v>44733</c:v>
                </c:pt>
                <c:pt idx="146">
                  <c:v>44732</c:v>
                </c:pt>
                <c:pt idx="147">
                  <c:v>44729</c:v>
                </c:pt>
                <c:pt idx="148">
                  <c:v>44728</c:v>
                </c:pt>
                <c:pt idx="149">
                  <c:v>44727</c:v>
                </c:pt>
                <c:pt idx="150">
                  <c:v>44726</c:v>
                </c:pt>
                <c:pt idx="151">
                  <c:v>44725</c:v>
                </c:pt>
                <c:pt idx="152">
                  <c:v>44722</c:v>
                </c:pt>
                <c:pt idx="153">
                  <c:v>44721</c:v>
                </c:pt>
                <c:pt idx="154">
                  <c:v>44720</c:v>
                </c:pt>
                <c:pt idx="155">
                  <c:v>44719</c:v>
                </c:pt>
                <c:pt idx="156">
                  <c:v>44715</c:v>
                </c:pt>
                <c:pt idx="157">
                  <c:v>44714</c:v>
                </c:pt>
                <c:pt idx="158">
                  <c:v>44712</c:v>
                </c:pt>
                <c:pt idx="159">
                  <c:v>44711</c:v>
                </c:pt>
                <c:pt idx="160">
                  <c:v>44708</c:v>
                </c:pt>
                <c:pt idx="161">
                  <c:v>44707</c:v>
                </c:pt>
                <c:pt idx="162">
                  <c:v>44706</c:v>
                </c:pt>
                <c:pt idx="163">
                  <c:v>44705</c:v>
                </c:pt>
                <c:pt idx="164">
                  <c:v>44704</c:v>
                </c:pt>
                <c:pt idx="165">
                  <c:v>44701</c:v>
                </c:pt>
                <c:pt idx="166">
                  <c:v>44700</c:v>
                </c:pt>
                <c:pt idx="167">
                  <c:v>44699</c:v>
                </c:pt>
                <c:pt idx="168">
                  <c:v>44698</c:v>
                </c:pt>
                <c:pt idx="169">
                  <c:v>44697</c:v>
                </c:pt>
                <c:pt idx="170">
                  <c:v>44694</c:v>
                </c:pt>
                <c:pt idx="171">
                  <c:v>44693</c:v>
                </c:pt>
                <c:pt idx="172">
                  <c:v>44692</c:v>
                </c:pt>
                <c:pt idx="173">
                  <c:v>44691</c:v>
                </c:pt>
                <c:pt idx="174">
                  <c:v>44690</c:v>
                </c:pt>
                <c:pt idx="175">
                  <c:v>44687</c:v>
                </c:pt>
                <c:pt idx="176">
                  <c:v>44685</c:v>
                </c:pt>
                <c:pt idx="177">
                  <c:v>44684</c:v>
                </c:pt>
                <c:pt idx="178">
                  <c:v>44683</c:v>
                </c:pt>
                <c:pt idx="179">
                  <c:v>44680</c:v>
                </c:pt>
                <c:pt idx="180">
                  <c:v>44679</c:v>
                </c:pt>
                <c:pt idx="181">
                  <c:v>44678</c:v>
                </c:pt>
                <c:pt idx="182">
                  <c:v>44677</c:v>
                </c:pt>
                <c:pt idx="183">
                  <c:v>44676</c:v>
                </c:pt>
                <c:pt idx="184">
                  <c:v>44673</c:v>
                </c:pt>
                <c:pt idx="185">
                  <c:v>44672</c:v>
                </c:pt>
                <c:pt idx="186">
                  <c:v>44671</c:v>
                </c:pt>
                <c:pt idx="187">
                  <c:v>44670</c:v>
                </c:pt>
                <c:pt idx="188">
                  <c:v>44669</c:v>
                </c:pt>
                <c:pt idx="189">
                  <c:v>44666</c:v>
                </c:pt>
                <c:pt idx="190">
                  <c:v>44665</c:v>
                </c:pt>
                <c:pt idx="191">
                  <c:v>44664</c:v>
                </c:pt>
                <c:pt idx="192">
                  <c:v>44663</c:v>
                </c:pt>
                <c:pt idx="193">
                  <c:v>44662</c:v>
                </c:pt>
                <c:pt idx="194">
                  <c:v>44659</c:v>
                </c:pt>
                <c:pt idx="195">
                  <c:v>44658</c:v>
                </c:pt>
                <c:pt idx="196">
                  <c:v>44657</c:v>
                </c:pt>
                <c:pt idx="197">
                  <c:v>44656</c:v>
                </c:pt>
                <c:pt idx="198">
                  <c:v>44655</c:v>
                </c:pt>
                <c:pt idx="199">
                  <c:v>44652</c:v>
                </c:pt>
                <c:pt idx="200">
                  <c:v>44651</c:v>
                </c:pt>
                <c:pt idx="201">
                  <c:v>44650</c:v>
                </c:pt>
                <c:pt idx="202">
                  <c:v>44649</c:v>
                </c:pt>
                <c:pt idx="203">
                  <c:v>44648</c:v>
                </c:pt>
                <c:pt idx="204">
                  <c:v>44645</c:v>
                </c:pt>
                <c:pt idx="205">
                  <c:v>44644</c:v>
                </c:pt>
                <c:pt idx="206">
                  <c:v>44643</c:v>
                </c:pt>
                <c:pt idx="207">
                  <c:v>44642</c:v>
                </c:pt>
                <c:pt idx="208">
                  <c:v>44641</c:v>
                </c:pt>
                <c:pt idx="209">
                  <c:v>44638</c:v>
                </c:pt>
                <c:pt idx="210">
                  <c:v>44637</c:v>
                </c:pt>
                <c:pt idx="211">
                  <c:v>44636</c:v>
                </c:pt>
                <c:pt idx="212">
                  <c:v>44635</c:v>
                </c:pt>
                <c:pt idx="213">
                  <c:v>44634</c:v>
                </c:pt>
                <c:pt idx="214">
                  <c:v>44631</c:v>
                </c:pt>
                <c:pt idx="215">
                  <c:v>44630</c:v>
                </c:pt>
                <c:pt idx="216">
                  <c:v>44628</c:v>
                </c:pt>
                <c:pt idx="217">
                  <c:v>44627</c:v>
                </c:pt>
                <c:pt idx="218">
                  <c:v>44624</c:v>
                </c:pt>
                <c:pt idx="219">
                  <c:v>44623</c:v>
                </c:pt>
                <c:pt idx="220">
                  <c:v>44622</c:v>
                </c:pt>
                <c:pt idx="221">
                  <c:v>44620</c:v>
                </c:pt>
                <c:pt idx="222">
                  <c:v>44617</c:v>
                </c:pt>
                <c:pt idx="223">
                  <c:v>44616</c:v>
                </c:pt>
                <c:pt idx="224">
                  <c:v>44615</c:v>
                </c:pt>
                <c:pt idx="225">
                  <c:v>44614</c:v>
                </c:pt>
                <c:pt idx="226">
                  <c:v>44613</c:v>
                </c:pt>
                <c:pt idx="227">
                  <c:v>44610</c:v>
                </c:pt>
                <c:pt idx="228">
                  <c:v>44609</c:v>
                </c:pt>
                <c:pt idx="229">
                  <c:v>44608</c:v>
                </c:pt>
                <c:pt idx="230">
                  <c:v>44607</c:v>
                </c:pt>
                <c:pt idx="231">
                  <c:v>44606</c:v>
                </c:pt>
                <c:pt idx="232">
                  <c:v>44603</c:v>
                </c:pt>
                <c:pt idx="233">
                  <c:v>44602</c:v>
                </c:pt>
                <c:pt idx="234">
                  <c:v>44601</c:v>
                </c:pt>
                <c:pt idx="235">
                  <c:v>44600</c:v>
                </c:pt>
                <c:pt idx="236">
                  <c:v>44599</c:v>
                </c:pt>
                <c:pt idx="237">
                  <c:v>44596</c:v>
                </c:pt>
                <c:pt idx="238">
                  <c:v>44595</c:v>
                </c:pt>
                <c:pt idx="239">
                  <c:v>44589</c:v>
                </c:pt>
                <c:pt idx="240">
                  <c:v>44588</c:v>
                </c:pt>
                <c:pt idx="241">
                  <c:v>44587</c:v>
                </c:pt>
                <c:pt idx="242">
                  <c:v>44586</c:v>
                </c:pt>
                <c:pt idx="243">
                  <c:v>44585</c:v>
                </c:pt>
                <c:pt idx="244">
                  <c:v>44582</c:v>
                </c:pt>
                <c:pt idx="245">
                  <c:v>44581</c:v>
                </c:pt>
                <c:pt idx="246">
                  <c:v>44580</c:v>
                </c:pt>
              </c:numCache>
            </c:numRef>
          </c:cat>
          <c:val>
            <c:numRef>
              <c:f>history_chart!$BX$10:$BX$256</c:f>
              <c:numCache>
                <c:formatCode>General</c:formatCode>
                <c:ptCount val="247"/>
                <c:pt idx="0">
                  <c:v>3.72</c:v>
                </c:pt>
                <c:pt idx="1">
                  <c:v>3.7480000000000002</c:v>
                </c:pt>
                <c:pt idx="2">
                  <c:v>3.766</c:v>
                </c:pt>
                <c:pt idx="3">
                  <c:v>3.7490000000000001</c:v>
                </c:pt>
                <c:pt idx="4">
                  <c:v>3.7440000000000002</c:v>
                </c:pt>
                <c:pt idx="5">
                  <c:v>3.7559999999999998</c:v>
                </c:pt>
                <c:pt idx="6">
                  <c:v>3.7690000000000001</c:v>
                </c:pt>
                <c:pt idx="7">
                  <c:v>3.8090000000000002</c:v>
                </c:pt>
                <c:pt idx="8">
                  <c:v>3.839</c:v>
                </c:pt>
                <c:pt idx="9">
                  <c:v>3.8809999999999998</c:v>
                </c:pt>
                <c:pt idx="10">
                  <c:v>3.9460000000000002</c:v>
                </c:pt>
                <c:pt idx="11">
                  <c:v>4.0170000000000003</c:v>
                </c:pt>
                <c:pt idx="12">
                  <c:v>4.0519999999999996</c:v>
                </c:pt>
                <c:pt idx="13">
                  <c:v>4.0519999999999996</c:v>
                </c:pt>
                <c:pt idx="14">
                  <c:v>4.056</c:v>
                </c:pt>
                <c:pt idx="15">
                  <c:v>4.0620000000000003</c:v>
                </c:pt>
                <c:pt idx="16">
                  <c:v>4.0739999999999998</c:v>
                </c:pt>
                <c:pt idx="17">
                  <c:v>4.077</c:v>
                </c:pt>
                <c:pt idx="18">
                  <c:v>4.0609999999999999</c:v>
                </c:pt>
                <c:pt idx="19">
                  <c:v>4.077</c:v>
                </c:pt>
                <c:pt idx="20">
                  <c:v>4.0810000000000004</c:v>
                </c:pt>
                <c:pt idx="21">
                  <c:v>4.0540000000000003</c:v>
                </c:pt>
                <c:pt idx="22">
                  <c:v>4.0439999999999996</c:v>
                </c:pt>
                <c:pt idx="23">
                  <c:v>4.0419999999999998</c:v>
                </c:pt>
                <c:pt idx="24">
                  <c:v>4.0339999999999998</c:v>
                </c:pt>
                <c:pt idx="25">
                  <c:v>4.0389999999999997</c:v>
                </c:pt>
                <c:pt idx="26">
                  <c:v>4.016</c:v>
                </c:pt>
                <c:pt idx="27">
                  <c:v>4.0119999999999996</c:v>
                </c:pt>
                <c:pt idx="28">
                  <c:v>4.0149999999999997</c:v>
                </c:pt>
                <c:pt idx="29">
                  <c:v>3.9980000000000002</c:v>
                </c:pt>
                <c:pt idx="30">
                  <c:v>3.99</c:v>
                </c:pt>
                <c:pt idx="31">
                  <c:v>3.99</c:v>
                </c:pt>
                <c:pt idx="32">
                  <c:v>4</c:v>
                </c:pt>
                <c:pt idx="33">
                  <c:v>4.032</c:v>
                </c:pt>
                <c:pt idx="34">
                  <c:v>4.077</c:v>
                </c:pt>
                <c:pt idx="35">
                  <c:v>4.0780000000000003</c:v>
                </c:pt>
                <c:pt idx="36">
                  <c:v>4.07</c:v>
                </c:pt>
                <c:pt idx="37">
                  <c:v>4.0650000000000004</c:v>
                </c:pt>
                <c:pt idx="38">
                  <c:v>4.0519999999999996</c:v>
                </c:pt>
                <c:pt idx="39">
                  <c:v>4.0599999999999996</c:v>
                </c:pt>
                <c:pt idx="40">
                  <c:v>4.0579999999999998</c:v>
                </c:pt>
                <c:pt idx="41">
                  <c:v>4.0570000000000004</c:v>
                </c:pt>
                <c:pt idx="42">
                  <c:v>4.0519999999999996</c:v>
                </c:pt>
                <c:pt idx="43">
                  <c:v>4.0599999999999996</c:v>
                </c:pt>
                <c:pt idx="44">
                  <c:v>4.0570000000000004</c:v>
                </c:pt>
                <c:pt idx="45">
                  <c:v>4.0330000000000004</c:v>
                </c:pt>
                <c:pt idx="46">
                  <c:v>4.0449999999999999</c:v>
                </c:pt>
                <c:pt idx="47">
                  <c:v>4.0220000000000002</c:v>
                </c:pt>
                <c:pt idx="48">
                  <c:v>4.04</c:v>
                </c:pt>
                <c:pt idx="49">
                  <c:v>4.0270000000000001</c:v>
                </c:pt>
                <c:pt idx="50">
                  <c:v>4.01</c:v>
                </c:pt>
                <c:pt idx="51">
                  <c:v>3.9929999999999999</c:v>
                </c:pt>
                <c:pt idx="52">
                  <c:v>3.972</c:v>
                </c:pt>
                <c:pt idx="53">
                  <c:v>3.9529999999999998</c:v>
                </c:pt>
                <c:pt idx="54">
                  <c:v>3.927</c:v>
                </c:pt>
                <c:pt idx="55">
                  <c:v>3.8929999999999998</c:v>
                </c:pt>
                <c:pt idx="56">
                  <c:v>3.8769999999999998</c:v>
                </c:pt>
                <c:pt idx="57">
                  <c:v>3.85</c:v>
                </c:pt>
                <c:pt idx="58">
                  <c:v>3.8380000000000001</c:v>
                </c:pt>
                <c:pt idx="59">
                  <c:v>3.79</c:v>
                </c:pt>
                <c:pt idx="60">
                  <c:v>3.73</c:v>
                </c:pt>
                <c:pt idx="61">
                  <c:v>3.71</c:v>
                </c:pt>
                <c:pt idx="62">
                  <c:v>3.6819999999999999</c:v>
                </c:pt>
                <c:pt idx="63">
                  <c:v>3.5880000000000001</c:v>
                </c:pt>
                <c:pt idx="64">
                  <c:v>3.548</c:v>
                </c:pt>
                <c:pt idx="65">
                  <c:v>3.5049999999999999</c:v>
                </c:pt>
                <c:pt idx="66">
                  <c:v>3.4729999999999999</c:v>
                </c:pt>
                <c:pt idx="67">
                  <c:v>3.4550000000000001</c:v>
                </c:pt>
                <c:pt idx="68">
                  <c:v>3.4350000000000001</c:v>
                </c:pt>
                <c:pt idx="69">
                  <c:v>3.41</c:v>
                </c:pt>
                <c:pt idx="70">
                  <c:v>3.27</c:v>
                </c:pt>
                <c:pt idx="71">
                  <c:v>3.2</c:v>
                </c:pt>
                <c:pt idx="72">
                  <c:v>3.1779999999999999</c:v>
                </c:pt>
                <c:pt idx="73">
                  <c:v>3.1680000000000001</c:v>
                </c:pt>
                <c:pt idx="74">
                  <c:v>3.1480000000000001</c:v>
                </c:pt>
                <c:pt idx="75">
                  <c:v>3.145</c:v>
                </c:pt>
                <c:pt idx="76">
                  <c:v>3.1749999999999998</c:v>
                </c:pt>
                <c:pt idx="77">
                  <c:v>3.2080000000000002</c:v>
                </c:pt>
                <c:pt idx="78">
                  <c:v>3.18</c:v>
                </c:pt>
                <c:pt idx="79">
                  <c:v>3.18</c:v>
                </c:pt>
                <c:pt idx="80">
                  <c:v>3.093</c:v>
                </c:pt>
                <c:pt idx="81">
                  <c:v>3.0569999999999999</c:v>
                </c:pt>
                <c:pt idx="82">
                  <c:v>2.9319999999999999</c:v>
                </c:pt>
                <c:pt idx="83">
                  <c:v>2.9220000000000002</c:v>
                </c:pt>
                <c:pt idx="84">
                  <c:v>2.899</c:v>
                </c:pt>
                <c:pt idx="85">
                  <c:v>2.9009999999999998</c:v>
                </c:pt>
                <c:pt idx="86">
                  <c:v>2.8969999999999998</c:v>
                </c:pt>
                <c:pt idx="87">
                  <c:v>2.879</c:v>
                </c:pt>
                <c:pt idx="88">
                  <c:v>2.871</c:v>
                </c:pt>
                <c:pt idx="89">
                  <c:v>2.8660000000000001</c:v>
                </c:pt>
                <c:pt idx="90">
                  <c:v>2.879</c:v>
                </c:pt>
                <c:pt idx="91">
                  <c:v>2.8820000000000001</c:v>
                </c:pt>
                <c:pt idx="92">
                  <c:v>2.8839999999999999</c:v>
                </c:pt>
                <c:pt idx="93">
                  <c:v>2.8889999999999998</c:v>
                </c:pt>
                <c:pt idx="94">
                  <c:v>2.907</c:v>
                </c:pt>
                <c:pt idx="95">
                  <c:v>2.891</c:v>
                </c:pt>
                <c:pt idx="96">
                  <c:v>2.8759999999999999</c:v>
                </c:pt>
                <c:pt idx="97">
                  <c:v>2.887</c:v>
                </c:pt>
                <c:pt idx="98">
                  <c:v>2.859</c:v>
                </c:pt>
                <c:pt idx="99">
                  <c:v>2.859</c:v>
                </c:pt>
                <c:pt idx="100">
                  <c:v>2.7610000000000001</c:v>
                </c:pt>
                <c:pt idx="101">
                  <c:v>2.7120000000000002</c:v>
                </c:pt>
                <c:pt idx="102">
                  <c:v>2.6869999999999998</c:v>
                </c:pt>
                <c:pt idx="103">
                  <c:v>2.661</c:v>
                </c:pt>
                <c:pt idx="104">
                  <c:v>2.6539999999999999</c:v>
                </c:pt>
                <c:pt idx="105">
                  <c:v>2.6539999999999999</c:v>
                </c:pt>
                <c:pt idx="106">
                  <c:v>2.6509999999999998</c:v>
                </c:pt>
                <c:pt idx="107">
                  <c:v>2.661</c:v>
                </c:pt>
                <c:pt idx="108">
                  <c:v>2.6469999999999998</c:v>
                </c:pt>
                <c:pt idx="109">
                  <c:v>2.6459999999999999</c:v>
                </c:pt>
                <c:pt idx="110">
                  <c:v>2.6419999999999999</c:v>
                </c:pt>
                <c:pt idx="111">
                  <c:v>2.6440000000000001</c:v>
                </c:pt>
                <c:pt idx="112">
                  <c:v>2.6309999999999998</c:v>
                </c:pt>
                <c:pt idx="113">
                  <c:v>2.64</c:v>
                </c:pt>
                <c:pt idx="114">
                  <c:v>2.6480000000000001</c:v>
                </c:pt>
                <c:pt idx="115">
                  <c:v>2.645</c:v>
                </c:pt>
                <c:pt idx="116">
                  <c:v>2.6480000000000001</c:v>
                </c:pt>
                <c:pt idx="117">
                  <c:v>2.6309999999999998</c:v>
                </c:pt>
                <c:pt idx="118">
                  <c:v>2.64</c:v>
                </c:pt>
                <c:pt idx="119">
                  <c:v>2.6280000000000001</c:v>
                </c:pt>
                <c:pt idx="120">
                  <c:v>2.6230000000000002</c:v>
                </c:pt>
                <c:pt idx="121">
                  <c:v>2.61</c:v>
                </c:pt>
                <c:pt idx="122">
                  <c:v>2.6059999999999999</c:v>
                </c:pt>
                <c:pt idx="123">
                  <c:v>2.613</c:v>
                </c:pt>
                <c:pt idx="124">
                  <c:v>2.6059999999999999</c:v>
                </c:pt>
                <c:pt idx="125">
                  <c:v>2.5979999999999999</c:v>
                </c:pt>
                <c:pt idx="126">
                  <c:v>2.6</c:v>
                </c:pt>
                <c:pt idx="127">
                  <c:v>2.5979999999999999</c:v>
                </c:pt>
                <c:pt idx="128">
                  <c:v>2.605</c:v>
                </c:pt>
                <c:pt idx="129">
                  <c:v>2.5859999999999999</c:v>
                </c:pt>
                <c:pt idx="130">
                  <c:v>2.5129999999999999</c:v>
                </c:pt>
                <c:pt idx="131">
                  <c:v>2.4780000000000002</c:v>
                </c:pt>
                <c:pt idx="132">
                  <c:v>2.4649999999999999</c:v>
                </c:pt>
                <c:pt idx="133">
                  <c:v>2.4500000000000002</c:v>
                </c:pt>
                <c:pt idx="134">
                  <c:v>2.423</c:v>
                </c:pt>
                <c:pt idx="135">
                  <c:v>2.42</c:v>
                </c:pt>
                <c:pt idx="136">
                  <c:v>2.415</c:v>
                </c:pt>
                <c:pt idx="137">
                  <c:v>2.4009999999999998</c:v>
                </c:pt>
                <c:pt idx="138">
                  <c:v>2.371</c:v>
                </c:pt>
                <c:pt idx="139">
                  <c:v>2.3279999999999998</c:v>
                </c:pt>
                <c:pt idx="140">
                  <c:v>2.2930000000000001</c:v>
                </c:pt>
                <c:pt idx="141">
                  <c:v>2.266</c:v>
                </c:pt>
                <c:pt idx="142">
                  <c:v>2.2450000000000001</c:v>
                </c:pt>
                <c:pt idx="143">
                  <c:v>2.2280000000000002</c:v>
                </c:pt>
                <c:pt idx="144">
                  <c:v>2.2029999999999998</c:v>
                </c:pt>
                <c:pt idx="145">
                  <c:v>2.19</c:v>
                </c:pt>
                <c:pt idx="146">
                  <c:v>2.1850000000000001</c:v>
                </c:pt>
                <c:pt idx="147">
                  <c:v>2.1909999999999998</c:v>
                </c:pt>
                <c:pt idx="148">
                  <c:v>2.1749999999999998</c:v>
                </c:pt>
                <c:pt idx="149">
                  <c:v>2.1379999999999999</c:v>
                </c:pt>
                <c:pt idx="150">
                  <c:v>2.06</c:v>
                </c:pt>
                <c:pt idx="151">
                  <c:v>2.0310000000000001</c:v>
                </c:pt>
                <c:pt idx="152">
                  <c:v>1.9930000000000001</c:v>
                </c:pt>
                <c:pt idx="153">
                  <c:v>1.9810000000000001</c:v>
                </c:pt>
                <c:pt idx="154">
                  <c:v>1.9750000000000001</c:v>
                </c:pt>
                <c:pt idx="155">
                  <c:v>1.972</c:v>
                </c:pt>
                <c:pt idx="156">
                  <c:v>1.9670000000000001</c:v>
                </c:pt>
                <c:pt idx="157">
                  <c:v>1.974</c:v>
                </c:pt>
                <c:pt idx="158">
                  <c:v>1.9670000000000001</c:v>
                </c:pt>
                <c:pt idx="159">
                  <c:v>1.9570000000000001</c:v>
                </c:pt>
                <c:pt idx="160">
                  <c:v>1.954</c:v>
                </c:pt>
                <c:pt idx="161">
                  <c:v>1.9510000000000001</c:v>
                </c:pt>
                <c:pt idx="162">
                  <c:v>1.8169999999999999</c:v>
                </c:pt>
                <c:pt idx="163">
                  <c:v>1.804</c:v>
                </c:pt>
                <c:pt idx="164">
                  <c:v>1.7949999999999999</c:v>
                </c:pt>
                <c:pt idx="165">
                  <c:v>1.7749999999999999</c:v>
                </c:pt>
                <c:pt idx="166">
                  <c:v>1.766</c:v>
                </c:pt>
                <c:pt idx="167">
                  <c:v>1.758</c:v>
                </c:pt>
                <c:pt idx="168">
                  <c:v>1.736</c:v>
                </c:pt>
                <c:pt idx="169">
                  <c:v>1.7150000000000001</c:v>
                </c:pt>
                <c:pt idx="170">
                  <c:v>1.69</c:v>
                </c:pt>
                <c:pt idx="171">
                  <c:v>1.673</c:v>
                </c:pt>
                <c:pt idx="172">
                  <c:v>1.665</c:v>
                </c:pt>
                <c:pt idx="173">
                  <c:v>1.655</c:v>
                </c:pt>
                <c:pt idx="174">
                  <c:v>1.65</c:v>
                </c:pt>
                <c:pt idx="175">
                  <c:v>1.645</c:v>
                </c:pt>
                <c:pt idx="176">
                  <c:v>1.641</c:v>
                </c:pt>
                <c:pt idx="177">
                  <c:v>1.6459999999999999</c:v>
                </c:pt>
                <c:pt idx="178">
                  <c:v>1.651</c:v>
                </c:pt>
                <c:pt idx="179">
                  <c:v>1.6439999999999999</c:v>
                </c:pt>
                <c:pt idx="180">
                  <c:v>1.6419999999999999</c:v>
                </c:pt>
                <c:pt idx="181">
                  <c:v>1.651</c:v>
                </c:pt>
                <c:pt idx="182">
                  <c:v>1.65</c:v>
                </c:pt>
                <c:pt idx="183">
                  <c:v>1.6459999999999999</c:v>
                </c:pt>
                <c:pt idx="184">
                  <c:v>1.66</c:v>
                </c:pt>
                <c:pt idx="185">
                  <c:v>1.66</c:v>
                </c:pt>
                <c:pt idx="186">
                  <c:v>1.667</c:v>
                </c:pt>
                <c:pt idx="187">
                  <c:v>1.667</c:v>
                </c:pt>
                <c:pt idx="188">
                  <c:v>1.665</c:v>
                </c:pt>
                <c:pt idx="189">
                  <c:v>1.6579999999999999</c:v>
                </c:pt>
                <c:pt idx="190">
                  <c:v>1.653</c:v>
                </c:pt>
                <c:pt idx="191">
                  <c:v>1.573</c:v>
                </c:pt>
                <c:pt idx="192">
                  <c:v>1.573</c:v>
                </c:pt>
                <c:pt idx="193">
                  <c:v>1.575</c:v>
                </c:pt>
                <c:pt idx="194">
                  <c:v>1.5680000000000001</c:v>
                </c:pt>
                <c:pt idx="195">
                  <c:v>1.5529999999999999</c:v>
                </c:pt>
                <c:pt idx="196">
                  <c:v>1.55</c:v>
                </c:pt>
                <c:pt idx="197">
                  <c:v>1.546</c:v>
                </c:pt>
                <c:pt idx="198">
                  <c:v>1.552</c:v>
                </c:pt>
                <c:pt idx="199">
                  <c:v>1.5569999999999999</c:v>
                </c:pt>
                <c:pt idx="200">
                  <c:v>1.56</c:v>
                </c:pt>
                <c:pt idx="201">
                  <c:v>1.5649999999999999</c:v>
                </c:pt>
                <c:pt idx="202">
                  <c:v>1.569</c:v>
                </c:pt>
                <c:pt idx="203">
                  <c:v>1.5640000000000001</c:v>
                </c:pt>
                <c:pt idx="204">
                  <c:v>1.5389999999999999</c:v>
                </c:pt>
                <c:pt idx="205">
                  <c:v>1.504</c:v>
                </c:pt>
                <c:pt idx="206">
                  <c:v>1.4870000000000001</c:v>
                </c:pt>
                <c:pt idx="207">
                  <c:v>1.4790000000000001</c:v>
                </c:pt>
                <c:pt idx="208">
                  <c:v>1.4650000000000001</c:v>
                </c:pt>
                <c:pt idx="209">
                  <c:v>1.4550000000000001</c:v>
                </c:pt>
                <c:pt idx="210">
                  <c:v>1.4490000000000001</c:v>
                </c:pt>
                <c:pt idx="211">
                  <c:v>1.44</c:v>
                </c:pt>
                <c:pt idx="212">
                  <c:v>1.44</c:v>
                </c:pt>
                <c:pt idx="213">
                  <c:v>1.4410000000000001</c:v>
                </c:pt>
                <c:pt idx="214">
                  <c:v>1.4370000000000001</c:v>
                </c:pt>
                <c:pt idx="215">
                  <c:v>1.4419999999999999</c:v>
                </c:pt>
                <c:pt idx="216">
                  <c:v>1.4419999999999999</c:v>
                </c:pt>
                <c:pt idx="217">
                  <c:v>1.44</c:v>
                </c:pt>
                <c:pt idx="218">
                  <c:v>1.4379999999999999</c:v>
                </c:pt>
                <c:pt idx="219">
                  <c:v>1.4379999999999999</c:v>
                </c:pt>
                <c:pt idx="220">
                  <c:v>1.44</c:v>
                </c:pt>
                <c:pt idx="221">
                  <c:v>1.4419999999999999</c:v>
                </c:pt>
                <c:pt idx="222">
                  <c:v>1.4430000000000001</c:v>
                </c:pt>
                <c:pt idx="223">
                  <c:v>1.4419999999999999</c:v>
                </c:pt>
                <c:pt idx="224">
                  <c:v>1.4430000000000001</c:v>
                </c:pt>
                <c:pt idx="225">
                  <c:v>1.4419999999999999</c:v>
                </c:pt>
                <c:pt idx="226">
                  <c:v>1.4419999999999999</c:v>
                </c:pt>
                <c:pt idx="227">
                  <c:v>1.4470000000000001</c:v>
                </c:pt>
                <c:pt idx="228">
                  <c:v>1.4470000000000001</c:v>
                </c:pt>
                <c:pt idx="229">
                  <c:v>1.4510000000000001</c:v>
                </c:pt>
                <c:pt idx="230">
                  <c:v>1.4490000000000001</c:v>
                </c:pt>
                <c:pt idx="231">
                  <c:v>1.4510000000000001</c:v>
                </c:pt>
                <c:pt idx="232">
                  <c:v>1.456</c:v>
                </c:pt>
                <c:pt idx="233">
                  <c:v>1.454</c:v>
                </c:pt>
                <c:pt idx="234">
                  <c:v>1.46</c:v>
                </c:pt>
                <c:pt idx="235">
                  <c:v>1.4650000000000001</c:v>
                </c:pt>
                <c:pt idx="236">
                  <c:v>1.47</c:v>
                </c:pt>
                <c:pt idx="237">
                  <c:v>1.4810000000000001</c:v>
                </c:pt>
                <c:pt idx="238">
                  <c:v>1.5009999999999999</c:v>
                </c:pt>
                <c:pt idx="239">
                  <c:v>1.5129999999999999</c:v>
                </c:pt>
                <c:pt idx="240">
                  <c:v>1.518</c:v>
                </c:pt>
                <c:pt idx="241">
                  <c:v>1.5209999999999999</c:v>
                </c:pt>
                <c:pt idx="242">
                  <c:v>1.518</c:v>
                </c:pt>
                <c:pt idx="243">
                  <c:v>1.5149999999999999</c:v>
                </c:pt>
                <c:pt idx="244">
                  <c:v>1.5129999999999999</c:v>
                </c:pt>
                <c:pt idx="245">
                  <c:v>1.5129999999999999</c:v>
                </c:pt>
                <c:pt idx="246">
                  <c:v>1.5149999999999999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837056"/>
        <c:axId val="143838592"/>
      </c:lineChart>
      <c:dateAx>
        <c:axId val="1438370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38592"/>
        <c:crosses val="autoZero"/>
        <c:auto val="1"/>
        <c:lblOffset val="100"/>
        <c:baseTimeUnit val="days"/>
      </c:dateAx>
      <c:valAx>
        <c:axId val="1438385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37056"/>
        <c:crosses val="autoZero"/>
        <c:crossBetween val="between"/>
      </c:valAx>
      <c:valAx>
        <c:axId val="1438403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3841920"/>
        <c:crosses val="max"/>
        <c:crossBetween val="between"/>
      </c:valAx>
      <c:dateAx>
        <c:axId val="14384192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43840384"/>
        <c:crosses val="autoZero"/>
        <c:auto val="1"/>
        <c:lblOffset val="100"/>
        <c:baseTimeUnit val="days"/>
      </c:dateAx>
    </c:plotArea>
    <c:legend>
      <c:legendPos val="b"/>
      <c:layout/>
      <c:overlay val="0"/>
      <c:txPr>
        <a:bodyPr/>
        <a:lstStyle/>
        <a:p>
          <a:pPr>
            <a:defRPr sz="800">
              <a:latin typeface="+mj-ea"/>
              <a:ea typeface="+mj-ea"/>
            </a:defRPr>
          </a:pPr>
          <a:endParaRPr lang="ko-KR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2"/>
          <c:order val="2"/>
          <c:tx>
            <c:strRef>
              <c:f>history_chart!$CC$9</c:f>
              <c:strCache>
                <c:ptCount val="1"/>
                <c:pt idx="0">
                  <c:v>spread(bp)</c:v>
                </c:pt>
              </c:strCache>
            </c:strRef>
          </c:tx>
          <c:spPr>
            <a:solidFill>
              <a:srgbClr val="DBE5F1"/>
            </a:solidFill>
          </c:spPr>
          <c:cat>
            <c:numRef>
              <c:f>history_chart!$BZ$10:$BZ$256</c:f>
              <c:numCache>
                <c:formatCode>m/d/yyyy</c:formatCode>
                <c:ptCount val="247"/>
                <c:pt idx="0">
                  <c:v>44943</c:v>
                </c:pt>
                <c:pt idx="1">
                  <c:v>44942</c:v>
                </c:pt>
                <c:pt idx="2">
                  <c:v>44939</c:v>
                </c:pt>
                <c:pt idx="3">
                  <c:v>44938</c:v>
                </c:pt>
                <c:pt idx="4">
                  <c:v>44937</c:v>
                </c:pt>
                <c:pt idx="5">
                  <c:v>44936</c:v>
                </c:pt>
                <c:pt idx="6">
                  <c:v>44935</c:v>
                </c:pt>
                <c:pt idx="7">
                  <c:v>44932</c:v>
                </c:pt>
                <c:pt idx="8">
                  <c:v>44931</c:v>
                </c:pt>
                <c:pt idx="9">
                  <c:v>44930</c:v>
                </c:pt>
                <c:pt idx="10">
                  <c:v>44929</c:v>
                </c:pt>
                <c:pt idx="11">
                  <c:v>44928</c:v>
                </c:pt>
                <c:pt idx="12">
                  <c:v>44925</c:v>
                </c:pt>
                <c:pt idx="13">
                  <c:v>44924</c:v>
                </c:pt>
                <c:pt idx="14">
                  <c:v>44923</c:v>
                </c:pt>
                <c:pt idx="15">
                  <c:v>44922</c:v>
                </c:pt>
                <c:pt idx="16">
                  <c:v>44921</c:v>
                </c:pt>
                <c:pt idx="17">
                  <c:v>44918</c:v>
                </c:pt>
                <c:pt idx="18">
                  <c:v>44917</c:v>
                </c:pt>
                <c:pt idx="19">
                  <c:v>44916</c:v>
                </c:pt>
                <c:pt idx="20">
                  <c:v>44915</c:v>
                </c:pt>
                <c:pt idx="21">
                  <c:v>44914</c:v>
                </c:pt>
                <c:pt idx="22">
                  <c:v>44911</c:v>
                </c:pt>
                <c:pt idx="23">
                  <c:v>44910</c:v>
                </c:pt>
                <c:pt idx="24">
                  <c:v>44909</c:v>
                </c:pt>
                <c:pt idx="25">
                  <c:v>44908</c:v>
                </c:pt>
                <c:pt idx="26">
                  <c:v>44907</c:v>
                </c:pt>
                <c:pt idx="27">
                  <c:v>44904</c:v>
                </c:pt>
                <c:pt idx="28">
                  <c:v>44903</c:v>
                </c:pt>
                <c:pt idx="29">
                  <c:v>44902</c:v>
                </c:pt>
                <c:pt idx="30">
                  <c:v>44901</c:v>
                </c:pt>
                <c:pt idx="31">
                  <c:v>44900</c:v>
                </c:pt>
                <c:pt idx="32">
                  <c:v>44897</c:v>
                </c:pt>
                <c:pt idx="33">
                  <c:v>44896</c:v>
                </c:pt>
                <c:pt idx="34">
                  <c:v>44895</c:v>
                </c:pt>
                <c:pt idx="35">
                  <c:v>44894</c:v>
                </c:pt>
                <c:pt idx="36">
                  <c:v>44893</c:v>
                </c:pt>
                <c:pt idx="37">
                  <c:v>44890</c:v>
                </c:pt>
                <c:pt idx="38">
                  <c:v>44889</c:v>
                </c:pt>
                <c:pt idx="39">
                  <c:v>44888</c:v>
                </c:pt>
                <c:pt idx="40">
                  <c:v>44887</c:v>
                </c:pt>
                <c:pt idx="41">
                  <c:v>44886</c:v>
                </c:pt>
                <c:pt idx="42">
                  <c:v>44883</c:v>
                </c:pt>
                <c:pt idx="43">
                  <c:v>44882</c:v>
                </c:pt>
                <c:pt idx="44">
                  <c:v>44881</c:v>
                </c:pt>
                <c:pt idx="45">
                  <c:v>44880</c:v>
                </c:pt>
                <c:pt idx="46">
                  <c:v>44879</c:v>
                </c:pt>
                <c:pt idx="47">
                  <c:v>44876</c:v>
                </c:pt>
                <c:pt idx="48">
                  <c:v>44875</c:v>
                </c:pt>
                <c:pt idx="49">
                  <c:v>44874</c:v>
                </c:pt>
                <c:pt idx="50">
                  <c:v>44873</c:v>
                </c:pt>
                <c:pt idx="51">
                  <c:v>44872</c:v>
                </c:pt>
                <c:pt idx="52">
                  <c:v>44869</c:v>
                </c:pt>
                <c:pt idx="53">
                  <c:v>44868</c:v>
                </c:pt>
                <c:pt idx="54">
                  <c:v>44867</c:v>
                </c:pt>
                <c:pt idx="55">
                  <c:v>44866</c:v>
                </c:pt>
                <c:pt idx="56">
                  <c:v>44865</c:v>
                </c:pt>
                <c:pt idx="57">
                  <c:v>44862</c:v>
                </c:pt>
                <c:pt idx="58">
                  <c:v>44861</c:v>
                </c:pt>
                <c:pt idx="59">
                  <c:v>44860</c:v>
                </c:pt>
                <c:pt idx="60">
                  <c:v>44859</c:v>
                </c:pt>
                <c:pt idx="61">
                  <c:v>44858</c:v>
                </c:pt>
                <c:pt idx="62">
                  <c:v>44855</c:v>
                </c:pt>
                <c:pt idx="63">
                  <c:v>44854</c:v>
                </c:pt>
                <c:pt idx="64">
                  <c:v>44853</c:v>
                </c:pt>
                <c:pt idx="65">
                  <c:v>44852</c:v>
                </c:pt>
                <c:pt idx="66">
                  <c:v>44851</c:v>
                </c:pt>
                <c:pt idx="67">
                  <c:v>44848</c:v>
                </c:pt>
                <c:pt idx="68">
                  <c:v>44847</c:v>
                </c:pt>
                <c:pt idx="69">
                  <c:v>44846</c:v>
                </c:pt>
                <c:pt idx="70">
                  <c:v>44845</c:v>
                </c:pt>
                <c:pt idx="71">
                  <c:v>44841</c:v>
                </c:pt>
                <c:pt idx="72">
                  <c:v>44840</c:v>
                </c:pt>
                <c:pt idx="73">
                  <c:v>44839</c:v>
                </c:pt>
                <c:pt idx="74">
                  <c:v>44838</c:v>
                </c:pt>
                <c:pt idx="75">
                  <c:v>44834</c:v>
                </c:pt>
                <c:pt idx="76">
                  <c:v>44833</c:v>
                </c:pt>
                <c:pt idx="77">
                  <c:v>44832</c:v>
                </c:pt>
                <c:pt idx="78">
                  <c:v>44831</c:v>
                </c:pt>
                <c:pt idx="79">
                  <c:v>44830</c:v>
                </c:pt>
                <c:pt idx="80">
                  <c:v>44827</c:v>
                </c:pt>
                <c:pt idx="81">
                  <c:v>44826</c:v>
                </c:pt>
                <c:pt idx="82">
                  <c:v>44825</c:v>
                </c:pt>
                <c:pt idx="83">
                  <c:v>44824</c:v>
                </c:pt>
                <c:pt idx="84">
                  <c:v>44823</c:v>
                </c:pt>
                <c:pt idx="85">
                  <c:v>44820</c:v>
                </c:pt>
                <c:pt idx="86">
                  <c:v>44819</c:v>
                </c:pt>
                <c:pt idx="87">
                  <c:v>44818</c:v>
                </c:pt>
                <c:pt idx="88">
                  <c:v>44817</c:v>
                </c:pt>
                <c:pt idx="89">
                  <c:v>44812</c:v>
                </c:pt>
                <c:pt idx="90">
                  <c:v>44811</c:v>
                </c:pt>
                <c:pt idx="91">
                  <c:v>44810</c:v>
                </c:pt>
                <c:pt idx="92">
                  <c:v>44809</c:v>
                </c:pt>
                <c:pt idx="93">
                  <c:v>44806</c:v>
                </c:pt>
                <c:pt idx="94">
                  <c:v>44805</c:v>
                </c:pt>
                <c:pt idx="95">
                  <c:v>44804</c:v>
                </c:pt>
                <c:pt idx="96">
                  <c:v>44803</c:v>
                </c:pt>
                <c:pt idx="97">
                  <c:v>44802</c:v>
                </c:pt>
                <c:pt idx="98">
                  <c:v>44799</c:v>
                </c:pt>
                <c:pt idx="99">
                  <c:v>44798</c:v>
                </c:pt>
                <c:pt idx="100">
                  <c:v>44797</c:v>
                </c:pt>
                <c:pt idx="101">
                  <c:v>44796</c:v>
                </c:pt>
                <c:pt idx="102">
                  <c:v>44795</c:v>
                </c:pt>
                <c:pt idx="103">
                  <c:v>44792</c:v>
                </c:pt>
                <c:pt idx="104">
                  <c:v>44791</c:v>
                </c:pt>
                <c:pt idx="105">
                  <c:v>44790</c:v>
                </c:pt>
                <c:pt idx="106">
                  <c:v>44789</c:v>
                </c:pt>
                <c:pt idx="107">
                  <c:v>44785</c:v>
                </c:pt>
                <c:pt idx="108">
                  <c:v>44784</c:v>
                </c:pt>
                <c:pt idx="109">
                  <c:v>44783</c:v>
                </c:pt>
                <c:pt idx="110">
                  <c:v>44782</c:v>
                </c:pt>
                <c:pt idx="111">
                  <c:v>44781</c:v>
                </c:pt>
                <c:pt idx="112">
                  <c:v>44778</c:v>
                </c:pt>
                <c:pt idx="113">
                  <c:v>44777</c:v>
                </c:pt>
                <c:pt idx="114">
                  <c:v>44776</c:v>
                </c:pt>
                <c:pt idx="115">
                  <c:v>44775</c:v>
                </c:pt>
                <c:pt idx="116">
                  <c:v>44774</c:v>
                </c:pt>
                <c:pt idx="117">
                  <c:v>44771</c:v>
                </c:pt>
                <c:pt idx="118">
                  <c:v>44770</c:v>
                </c:pt>
                <c:pt idx="119">
                  <c:v>44769</c:v>
                </c:pt>
                <c:pt idx="120">
                  <c:v>44768</c:v>
                </c:pt>
                <c:pt idx="121">
                  <c:v>44767</c:v>
                </c:pt>
                <c:pt idx="122">
                  <c:v>44764</c:v>
                </c:pt>
                <c:pt idx="123">
                  <c:v>44763</c:v>
                </c:pt>
                <c:pt idx="124">
                  <c:v>44762</c:v>
                </c:pt>
                <c:pt idx="125">
                  <c:v>44761</c:v>
                </c:pt>
                <c:pt idx="126">
                  <c:v>44760</c:v>
                </c:pt>
                <c:pt idx="127">
                  <c:v>44757</c:v>
                </c:pt>
                <c:pt idx="128">
                  <c:v>44756</c:v>
                </c:pt>
                <c:pt idx="129">
                  <c:v>44755</c:v>
                </c:pt>
                <c:pt idx="130">
                  <c:v>44754</c:v>
                </c:pt>
                <c:pt idx="131">
                  <c:v>44753</c:v>
                </c:pt>
                <c:pt idx="132">
                  <c:v>44750</c:v>
                </c:pt>
                <c:pt idx="133">
                  <c:v>44749</c:v>
                </c:pt>
                <c:pt idx="134">
                  <c:v>44748</c:v>
                </c:pt>
                <c:pt idx="135">
                  <c:v>44747</c:v>
                </c:pt>
                <c:pt idx="136">
                  <c:v>44746</c:v>
                </c:pt>
                <c:pt idx="137">
                  <c:v>44743</c:v>
                </c:pt>
                <c:pt idx="138">
                  <c:v>44742</c:v>
                </c:pt>
                <c:pt idx="139">
                  <c:v>44741</c:v>
                </c:pt>
                <c:pt idx="140">
                  <c:v>44740</c:v>
                </c:pt>
                <c:pt idx="141">
                  <c:v>44739</c:v>
                </c:pt>
                <c:pt idx="142">
                  <c:v>44736</c:v>
                </c:pt>
                <c:pt idx="143">
                  <c:v>44735</c:v>
                </c:pt>
                <c:pt idx="144">
                  <c:v>44734</c:v>
                </c:pt>
                <c:pt idx="145">
                  <c:v>44733</c:v>
                </c:pt>
                <c:pt idx="146">
                  <c:v>44732</c:v>
                </c:pt>
                <c:pt idx="147">
                  <c:v>44729</c:v>
                </c:pt>
                <c:pt idx="148">
                  <c:v>44728</c:v>
                </c:pt>
                <c:pt idx="149">
                  <c:v>44727</c:v>
                </c:pt>
                <c:pt idx="150">
                  <c:v>44726</c:v>
                </c:pt>
                <c:pt idx="151">
                  <c:v>44725</c:v>
                </c:pt>
                <c:pt idx="152">
                  <c:v>44722</c:v>
                </c:pt>
                <c:pt idx="153">
                  <c:v>44721</c:v>
                </c:pt>
                <c:pt idx="154">
                  <c:v>44720</c:v>
                </c:pt>
                <c:pt idx="155">
                  <c:v>44719</c:v>
                </c:pt>
                <c:pt idx="156">
                  <c:v>44715</c:v>
                </c:pt>
                <c:pt idx="157">
                  <c:v>44714</c:v>
                </c:pt>
                <c:pt idx="158">
                  <c:v>44712</c:v>
                </c:pt>
                <c:pt idx="159">
                  <c:v>44711</c:v>
                </c:pt>
                <c:pt idx="160">
                  <c:v>44708</c:v>
                </c:pt>
                <c:pt idx="161">
                  <c:v>44707</c:v>
                </c:pt>
                <c:pt idx="162">
                  <c:v>44706</c:v>
                </c:pt>
                <c:pt idx="163">
                  <c:v>44705</c:v>
                </c:pt>
                <c:pt idx="164">
                  <c:v>44704</c:v>
                </c:pt>
                <c:pt idx="165">
                  <c:v>44701</c:v>
                </c:pt>
                <c:pt idx="166">
                  <c:v>44700</c:v>
                </c:pt>
                <c:pt idx="167">
                  <c:v>44699</c:v>
                </c:pt>
                <c:pt idx="168">
                  <c:v>44698</c:v>
                </c:pt>
                <c:pt idx="169">
                  <c:v>44697</c:v>
                </c:pt>
                <c:pt idx="170">
                  <c:v>44694</c:v>
                </c:pt>
                <c:pt idx="171">
                  <c:v>44693</c:v>
                </c:pt>
                <c:pt idx="172">
                  <c:v>44692</c:v>
                </c:pt>
                <c:pt idx="173">
                  <c:v>44691</c:v>
                </c:pt>
                <c:pt idx="174">
                  <c:v>44690</c:v>
                </c:pt>
                <c:pt idx="175">
                  <c:v>44687</c:v>
                </c:pt>
                <c:pt idx="176">
                  <c:v>44685</c:v>
                </c:pt>
                <c:pt idx="177">
                  <c:v>44684</c:v>
                </c:pt>
                <c:pt idx="178">
                  <c:v>44683</c:v>
                </c:pt>
                <c:pt idx="179">
                  <c:v>44680</c:v>
                </c:pt>
                <c:pt idx="180">
                  <c:v>44679</c:v>
                </c:pt>
                <c:pt idx="181">
                  <c:v>44678</c:v>
                </c:pt>
                <c:pt idx="182">
                  <c:v>44677</c:v>
                </c:pt>
                <c:pt idx="183">
                  <c:v>44676</c:v>
                </c:pt>
                <c:pt idx="184">
                  <c:v>44673</c:v>
                </c:pt>
                <c:pt idx="185">
                  <c:v>44672</c:v>
                </c:pt>
                <c:pt idx="186">
                  <c:v>44671</c:v>
                </c:pt>
                <c:pt idx="187">
                  <c:v>44670</c:v>
                </c:pt>
                <c:pt idx="188">
                  <c:v>44669</c:v>
                </c:pt>
                <c:pt idx="189">
                  <c:v>44666</c:v>
                </c:pt>
                <c:pt idx="190">
                  <c:v>44665</c:v>
                </c:pt>
                <c:pt idx="191">
                  <c:v>44664</c:v>
                </c:pt>
                <c:pt idx="192">
                  <c:v>44663</c:v>
                </c:pt>
                <c:pt idx="193">
                  <c:v>44662</c:v>
                </c:pt>
                <c:pt idx="194">
                  <c:v>44659</c:v>
                </c:pt>
                <c:pt idx="195">
                  <c:v>44658</c:v>
                </c:pt>
                <c:pt idx="196">
                  <c:v>44657</c:v>
                </c:pt>
                <c:pt idx="197">
                  <c:v>44656</c:v>
                </c:pt>
                <c:pt idx="198">
                  <c:v>44655</c:v>
                </c:pt>
                <c:pt idx="199">
                  <c:v>44652</c:v>
                </c:pt>
                <c:pt idx="200">
                  <c:v>44651</c:v>
                </c:pt>
                <c:pt idx="201">
                  <c:v>44650</c:v>
                </c:pt>
                <c:pt idx="202">
                  <c:v>44649</c:v>
                </c:pt>
                <c:pt idx="203">
                  <c:v>44648</c:v>
                </c:pt>
                <c:pt idx="204">
                  <c:v>44645</c:v>
                </c:pt>
                <c:pt idx="205">
                  <c:v>44644</c:v>
                </c:pt>
                <c:pt idx="206">
                  <c:v>44643</c:v>
                </c:pt>
                <c:pt idx="207">
                  <c:v>44642</c:v>
                </c:pt>
                <c:pt idx="208">
                  <c:v>44641</c:v>
                </c:pt>
                <c:pt idx="209">
                  <c:v>44638</c:v>
                </c:pt>
                <c:pt idx="210">
                  <c:v>44637</c:v>
                </c:pt>
                <c:pt idx="211">
                  <c:v>44636</c:v>
                </c:pt>
                <c:pt idx="212">
                  <c:v>44635</c:v>
                </c:pt>
                <c:pt idx="213">
                  <c:v>44634</c:v>
                </c:pt>
                <c:pt idx="214">
                  <c:v>44631</c:v>
                </c:pt>
                <c:pt idx="215">
                  <c:v>44630</c:v>
                </c:pt>
                <c:pt idx="216">
                  <c:v>44628</c:v>
                </c:pt>
                <c:pt idx="217">
                  <c:v>44627</c:v>
                </c:pt>
                <c:pt idx="218">
                  <c:v>44624</c:v>
                </c:pt>
                <c:pt idx="219">
                  <c:v>44623</c:v>
                </c:pt>
                <c:pt idx="220">
                  <c:v>44622</c:v>
                </c:pt>
                <c:pt idx="221">
                  <c:v>44620</c:v>
                </c:pt>
                <c:pt idx="222">
                  <c:v>44617</c:v>
                </c:pt>
                <c:pt idx="223">
                  <c:v>44616</c:v>
                </c:pt>
                <c:pt idx="224">
                  <c:v>44615</c:v>
                </c:pt>
                <c:pt idx="225">
                  <c:v>44614</c:v>
                </c:pt>
                <c:pt idx="226">
                  <c:v>44613</c:v>
                </c:pt>
                <c:pt idx="227">
                  <c:v>44610</c:v>
                </c:pt>
                <c:pt idx="228">
                  <c:v>44609</c:v>
                </c:pt>
                <c:pt idx="229">
                  <c:v>44608</c:v>
                </c:pt>
                <c:pt idx="230">
                  <c:v>44607</c:v>
                </c:pt>
                <c:pt idx="231">
                  <c:v>44606</c:v>
                </c:pt>
                <c:pt idx="232">
                  <c:v>44603</c:v>
                </c:pt>
                <c:pt idx="233">
                  <c:v>44602</c:v>
                </c:pt>
                <c:pt idx="234">
                  <c:v>44601</c:v>
                </c:pt>
                <c:pt idx="235">
                  <c:v>44600</c:v>
                </c:pt>
                <c:pt idx="236">
                  <c:v>44599</c:v>
                </c:pt>
                <c:pt idx="237">
                  <c:v>44596</c:v>
                </c:pt>
                <c:pt idx="238">
                  <c:v>44595</c:v>
                </c:pt>
                <c:pt idx="239">
                  <c:v>44589</c:v>
                </c:pt>
                <c:pt idx="240">
                  <c:v>44588</c:v>
                </c:pt>
                <c:pt idx="241">
                  <c:v>44587</c:v>
                </c:pt>
                <c:pt idx="242">
                  <c:v>44586</c:v>
                </c:pt>
                <c:pt idx="243">
                  <c:v>44585</c:v>
                </c:pt>
                <c:pt idx="244">
                  <c:v>44582</c:v>
                </c:pt>
                <c:pt idx="245">
                  <c:v>44581</c:v>
                </c:pt>
                <c:pt idx="246">
                  <c:v>44580</c:v>
                </c:pt>
              </c:numCache>
            </c:numRef>
          </c:cat>
          <c:val>
            <c:numRef>
              <c:f>history_chart!$CC$10:$CC$256</c:f>
              <c:numCache>
                <c:formatCode>General</c:formatCode>
                <c:ptCount val="247"/>
                <c:pt idx="0">
                  <c:v>-44.700000000000053</c:v>
                </c:pt>
                <c:pt idx="1">
                  <c:v>-44.600000000000016</c:v>
                </c:pt>
                <c:pt idx="2">
                  <c:v>-46.099999999999987</c:v>
                </c:pt>
                <c:pt idx="3">
                  <c:v>-45.799999999999976</c:v>
                </c:pt>
                <c:pt idx="4">
                  <c:v>-46.899999999999984</c:v>
                </c:pt>
                <c:pt idx="5">
                  <c:v>-48.200000000000017</c:v>
                </c:pt>
                <c:pt idx="6">
                  <c:v>-49.300000000000033</c:v>
                </c:pt>
                <c:pt idx="7">
                  <c:v>-50.100000000000037</c:v>
                </c:pt>
                <c:pt idx="8">
                  <c:v>-50.300000000000011</c:v>
                </c:pt>
                <c:pt idx="9">
                  <c:v>-50.600000000000023</c:v>
                </c:pt>
                <c:pt idx="10">
                  <c:v>-51.099999999999966</c:v>
                </c:pt>
                <c:pt idx="11">
                  <c:v>-51.399999999999935</c:v>
                </c:pt>
                <c:pt idx="12">
                  <c:v>-50.900000000000034</c:v>
                </c:pt>
                <c:pt idx="13">
                  <c:v>-50.900000000000034</c:v>
                </c:pt>
                <c:pt idx="14">
                  <c:v>-51.40000000000002</c:v>
                </c:pt>
                <c:pt idx="15">
                  <c:v>-51.499999999999972</c:v>
                </c:pt>
                <c:pt idx="16">
                  <c:v>-52.299999999999969</c:v>
                </c:pt>
                <c:pt idx="17">
                  <c:v>-52.200000000000024</c:v>
                </c:pt>
                <c:pt idx="18">
                  <c:v>-52.200000000000024</c:v>
                </c:pt>
                <c:pt idx="19">
                  <c:v>-51.900000000000013</c:v>
                </c:pt>
                <c:pt idx="20">
                  <c:v>-52.400000000000006</c:v>
                </c:pt>
                <c:pt idx="21">
                  <c:v>-52.59999999999998</c:v>
                </c:pt>
                <c:pt idx="22">
                  <c:v>-53.699999999999989</c:v>
                </c:pt>
                <c:pt idx="23">
                  <c:v>-53.79999999999994</c:v>
                </c:pt>
                <c:pt idx="24">
                  <c:v>-54.399999999999963</c:v>
                </c:pt>
                <c:pt idx="25">
                  <c:v>-54.099999999999952</c:v>
                </c:pt>
                <c:pt idx="26">
                  <c:v>-53.700000000000081</c:v>
                </c:pt>
                <c:pt idx="27">
                  <c:v>-53.000000000000028</c:v>
                </c:pt>
                <c:pt idx="28">
                  <c:v>-51.999999999999957</c:v>
                </c:pt>
                <c:pt idx="29">
                  <c:v>-52.099999999999994</c:v>
                </c:pt>
                <c:pt idx="30">
                  <c:v>-50.499999999999986</c:v>
                </c:pt>
                <c:pt idx="31">
                  <c:v>-49.399999999999977</c:v>
                </c:pt>
                <c:pt idx="32">
                  <c:v>-49.000000000000021</c:v>
                </c:pt>
                <c:pt idx="33">
                  <c:v>-48.500000000000028</c:v>
                </c:pt>
                <c:pt idx="34">
                  <c:v>-48.799999999999955</c:v>
                </c:pt>
                <c:pt idx="35">
                  <c:v>-47.200000000000045</c:v>
                </c:pt>
                <c:pt idx="36">
                  <c:v>-45.399999999999977</c:v>
                </c:pt>
                <c:pt idx="37">
                  <c:v>-44.200000000000017</c:v>
                </c:pt>
                <c:pt idx="38">
                  <c:v>-43.799999999999969</c:v>
                </c:pt>
                <c:pt idx="39">
                  <c:v>-40.899999999999977</c:v>
                </c:pt>
                <c:pt idx="40">
                  <c:v>-40.399999999999991</c:v>
                </c:pt>
                <c:pt idx="41">
                  <c:v>-40.500000000000028</c:v>
                </c:pt>
                <c:pt idx="42">
                  <c:v>-40.000000000000036</c:v>
                </c:pt>
                <c:pt idx="43">
                  <c:v>-39.200000000000031</c:v>
                </c:pt>
                <c:pt idx="44">
                  <c:v>-37.999999999999986</c:v>
                </c:pt>
                <c:pt idx="45">
                  <c:v>-36.899999999999977</c:v>
                </c:pt>
                <c:pt idx="46">
                  <c:v>-35.999999999999943</c:v>
                </c:pt>
                <c:pt idx="47">
                  <c:v>-36.20000000000001</c:v>
                </c:pt>
                <c:pt idx="48">
                  <c:v>-36.000000000000028</c:v>
                </c:pt>
                <c:pt idx="49">
                  <c:v>-35.200000000000031</c:v>
                </c:pt>
                <c:pt idx="50">
                  <c:v>-34.899999999999935</c:v>
                </c:pt>
                <c:pt idx="51">
                  <c:v>-35.099999999999994</c:v>
                </c:pt>
                <c:pt idx="52">
                  <c:v>-34.999999999999964</c:v>
                </c:pt>
                <c:pt idx="53">
                  <c:v>-34.700000000000045</c:v>
                </c:pt>
                <c:pt idx="54">
                  <c:v>-33.000000000000007</c:v>
                </c:pt>
                <c:pt idx="55">
                  <c:v>-32.200000000000053</c:v>
                </c:pt>
                <c:pt idx="56">
                  <c:v>-32.299999999999997</c:v>
                </c:pt>
                <c:pt idx="57">
                  <c:v>-31.899999999999995</c:v>
                </c:pt>
                <c:pt idx="58">
                  <c:v>-31.899999999999949</c:v>
                </c:pt>
                <c:pt idx="59">
                  <c:v>-31.999999999999986</c:v>
                </c:pt>
                <c:pt idx="60">
                  <c:v>-31.899999999999995</c:v>
                </c:pt>
                <c:pt idx="61">
                  <c:v>-31.499999999999993</c:v>
                </c:pt>
                <c:pt idx="62">
                  <c:v>-31.700000000000017</c:v>
                </c:pt>
                <c:pt idx="63">
                  <c:v>-32.399999999999984</c:v>
                </c:pt>
                <c:pt idx="64">
                  <c:v>-32.699999999999996</c:v>
                </c:pt>
                <c:pt idx="65">
                  <c:v>-31.899999999999995</c:v>
                </c:pt>
                <c:pt idx="66">
                  <c:v>-32.200000000000003</c:v>
                </c:pt>
                <c:pt idx="67">
                  <c:v>-31.999999999999986</c:v>
                </c:pt>
                <c:pt idx="68">
                  <c:v>-31.699999999999974</c:v>
                </c:pt>
                <c:pt idx="69">
                  <c:v>-30.699999999999996</c:v>
                </c:pt>
                <c:pt idx="70">
                  <c:v>-30.699999999999996</c:v>
                </c:pt>
                <c:pt idx="71">
                  <c:v>-31.499999999999993</c:v>
                </c:pt>
                <c:pt idx="72">
                  <c:v>-32.100000000000016</c:v>
                </c:pt>
                <c:pt idx="73">
                  <c:v>-32.699999999999996</c:v>
                </c:pt>
                <c:pt idx="74">
                  <c:v>-32.099999999999973</c:v>
                </c:pt>
                <c:pt idx="75">
                  <c:v>-33.000000000000007</c:v>
                </c:pt>
                <c:pt idx="76">
                  <c:v>-32.699999999999996</c:v>
                </c:pt>
                <c:pt idx="77">
                  <c:v>-33.100000000000037</c:v>
                </c:pt>
                <c:pt idx="78">
                  <c:v>-33.399999999999963</c:v>
                </c:pt>
                <c:pt idx="79">
                  <c:v>-32.999999999999964</c:v>
                </c:pt>
                <c:pt idx="80">
                  <c:v>-32.699999999999996</c:v>
                </c:pt>
                <c:pt idx="81">
                  <c:v>-32.299999999999997</c:v>
                </c:pt>
                <c:pt idx="82">
                  <c:v>-32.699999999999996</c:v>
                </c:pt>
                <c:pt idx="83">
                  <c:v>-33.299999999999976</c:v>
                </c:pt>
                <c:pt idx="84">
                  <c:v>-33.5</c:v>
                </c:pt>
                <c:pt idx="85">
                  <c:v>-33.9</c:v>
                </c:pt>
                <c:pt idx="86">
                  <c:v>-34.20000000000001</c:v>
                </c:pt>
                <c:pt idx="87">
                  <c:v>-34.299999999999997</c:v>
                </c:pt>
                <c:pt idx="88">
                  <c:v>-33.9</c:v>
                </c:pt>
                <c:pt idx="89">
                  <c:v>-33.9</c:v>
                </c:pt>
                <c:pt idx="90">
                  <c:v>-33.5</c:v>
                </c:pt>
                <c:pt idx="91">
                  <c:v>-33.299999999999976</c:v>
                </c:pt>
                <c:pt idx="92">
                  <c:v>-33.300000000000018</c:v>
                </c:pt>
                <c:pt idx="93">
                  <c:v>-33.5</c:v>
                </c:pt>
                <c:pt idx="94">
                  <c:v>-33.000000000000007</c:v>
                </c:pt>
                <c:pt idx="95">
                  <c:v>-32.899999999999977</c:v>
                </c:pt>
                <c:pt idx="96">
                  <c:v>-33.300000000000018</c:v>
                </c:pt>
                <c:pt idx="97">
                  <c:v>-32.799999999999983</c:v>
                </c:pt>
                <c:pt idx="98">
                  <c:v>-32.799999999999983</c:v>
                </c:pt>
                <c:pt idx="99">
                  <c:v>-33.000000000000007</c:v>
                </c:pt>
                <c:pt idx="100">
                  <c:v>-32.899999999999977</c:v>
                </c:pt>
                <c:pt idx="101">
                  <c:v>-32.500000000000014</c:v>
                </c:pt>
                <c:pt idx="102">
                  <c:v>-32.500000000000014</c:v>
                </c:pt>
                <c:pt idx="103">
                  <c:v>-32.799999999999983</c:v>
                </c:pt>
                <c:pt idx="104">
                  <c:v>-32.299999999999997</c:v>
                </c:pt>
                <c:pt idx="105">
                  <c:v>-32.500000000000014</c:v>
                </c:pt>
                <c:pt idx="106">
                  <c:v>-32.800000000000026</c:v>
                </c:pt>
                <c:pt idx="107">
                  <c:v>-32.600000000000009</c:v>
                </c:pt>
                <c:pt idx="108">
                  <c:v>-31.700000000000017</c:v>
                </c:pt>
                <c:pt idx="109">
                  <c:v>-31.899999999999995</c:v>
                </c:pt>
                <c:pt idx="110">
                  <c:v>-31.999999999999986</c:v>
                </c:pt>
                <c:pt idx="111">
                  <c:v>-31.700000000000017</c:v>
                </c:pt>
                <c:pt idx="112">
                  <c:v>-31.400000000000006</c:v>
                </c:pt>
                <c:pt idx="113">
                  <c:v>-30.699999999999996</c:v>
                </c:pt>
                <c:pt idx="114">
                  <c:v>-29.899999999999991</c:v>
                </c:pt>
                <c:pt idx="115">
                  <c:v>-30.100000000000016</c:v>
                </c:pt>
                <c:pt idx="116">
                  <c:v>-30.600000000000005</c:v>
                </c:pt>
                <c:pt idx="117">
                  <c:v>-30.200000000000003</c:v>
                </c:pt>
                <c:pt idx="118">
                  <c:v>-29.700000000000017</c:v>
                </c:pt>
                <c:pt idx="119">
                  <c:v>-29.400000000000006</c:v>
                </c:pt>
                <c:pt idx="120">
                  <c:v>-29.099999999999994</c:v>
                </c:pt>
                <c:pt idx="121">
                  <c:v>-29.199999999999982</c:v>
                </c:pt>
                <c:pt idx="122">
                  <c:v>-29.400000000000006</c:v>
                </c:pt>
                <c:pt idx="123">
                  <c:v>-29.300000000000015</c:v>
                </c:pt>
                <c:pt idx="124">
                  <c:v>-29.400000000000006</c:v>
                </c:pt>
                <c:pt idx="125">
                  <c:v>-28.89999999999997</c:v>
                </c:pt>
                <c:pt idx="126">
                  <c:v>-28.200000000000003</c:v>
                </c:pt>
                <c:pt idx="127">
                  <c:v>-27.59999999999998</c:v>
                </c:pt>
                <c:pt idx="128">
                  <c:v>-26.400000000000023</c:v>
                </c:pt>
                <c:pt idx="129">
                  <c:v>-25.999999999999979</c:v>
                </c:pt>
                <c:pt idx="130">
                  <c:v>-24.099999999999966</c:v>
                </c:pt>
                <c:pt idx="131">
                  <c:v>-24.100000000000009</c:v>
                </c:pt>
                <c:pt idx="132">
                  <c:v>-23.199999999999974</c:v>
                </c:pt>
                <c:pt idx="133">
                  <c:v>-22.599999999999998</c:v>
                </c:pt>
                <c:pt idx="134">
                  <c:v>-22.800000000000018</c:v>
                </c:pt>
                <c:pt idx="135">
                  <c:v>-22.899999999999963</c:v>
                </c:pt>
                <c:pt idx="136">
                  <c:v>-22.700000000000031</c:v>
                </c:pt>
                <c:pt idx="137">
                  <c:v>-22.199999999999996</c:v>
                </c:pt>
                <c:pt idx="138">
                  <c:v>-21.499999999999986</c:v>
                </c:pt>
                <c:pt idx="139">
                  <c:v>-22.100000000000009</c:v>
                </c:pt>
                <c:pt idx="140">
                  <c:v>-23.799999999999997</c:v>
                </c:pt>
                <c:pt idx="141">
                  <c:v>-23.899999999999988</c:v>
                </c:pt>
                <c:pt idx="142">
                  <c:v>-23.4</c:v>
                </c:pt>
                <c:pt idx="143">
                  <c:v>-23.799999999999997</c:v>
                </c:pt>
                <c:pt idx="144">
                  <c:v>-24.799999999999976</c:v>
                </c:pt>
                <c:pt idx="145">
                  <c:v>-25.4</c:v>
                </c:pt>
                <c:pt idx="146">
                  <c:v>-25.4</c:v>
                </c:pt>
                <c:pt idx="147">
                  <c:v>-24.699999999999989</c:v>
                </c:pt>
                <c:pt idx="148">
                  <c:v>-24.6</c:v>
                </c:pt>
                <c:pt idx="149">
                  <c:v>-24.6</c:v>
                </c:pt>
                <c:pt idx="150">
                  <c:v>-25.4</c:v>
                </c:pt>
                <c:pt idx="151">
                  <c:v>-26.500000000000014</c:v>
                </c:pt>
                <c:pt idx="152">
                  <c:v>-26.799999999999979</c:v>
                </c:pt>
                <c:pt idx="153">
                  <c:v>-27.899999999999991</c:v>
                </c:pt>
                <c:pt idx="154">
                  <c:v>-28.699999999999992</c:v>
                </c:pt>
                <c:pt idx="155">
                  <c:v>-29.299999999999969</c:v>
                </c:pt>
                <c:pt idx="156">
                  <c:v>-29.300000000000015</c:v>
                </c:pt>
                <c:pt idx="157">
                  <c:v>-28.699999999999992</c:v>
                </c:pt>
                <c:pt idx="158">
                  <c:v>-28.800000000000026</c:v>
                </c:pt>
                <c:pt idx="159">
                  <c:v>-28.799999999999983</c:v>
                </c:pt>
                <c:pt idx="160">
                  <c:v>-29.199999999999982</c:v>
                </c:pt>
                <c:pt idx="161">
                  <c:v>-28.299999999999969</c:v>
                </c:pt>
                <c:pt idx="162">
                  <c:v>-27.89999999999997</c:v>
                </c:pt>
                <c:pt idx="163">
                  <c:v>-27.499999999999993</c:v>
                </c:pt>
                <c:pt idx="164">
                  <c:v>-27.400000000000023</c:v>
                </c:pt>
                <c:pt idx="165">
                  <c:v>-28.099999999999991</c:v>
                </c:pt>
                <c:pt idx="166">
                  <c:v>-28.300000000000015</c:v>
                </c:pt>
                <c:pt idx="167">
                  <c:v>-28.400000000000002</c:v>
                </c:pt>
                <c:pt idx="168">
                  <c:v>-29.499999999999993</c:v>
                </c:pt>
                <c:pt idx="169">
                  <c:v>-30.099999999999994</c:v>
                </c:pt>
                <c:pt idx="170">
                  <c:v>-30.099999999999994</c:v>
                </c:pt>
                <c:pt idx="171">
                  <c:v>-30.099999999999994</c:v>
                </c:pt>
                <c:pt idx="172">
                  <c:v>-30.800000000000004</c:v>
                </c:pt>
                <c:pt idx="173">
                  <c:v>-31.400000000000006</c:v>
                </c:pt>
                <c:pt idx="174">
                  <c:v>-31.900000000000016</c:v>
                </c:pt>
                <c:pt idx="175">
                  <c:v>-32.599999999999987</c:v>
                </c:pt>
                <c:pt idx="176">
                  <c:v>-32.9</c:v>
                </c:pt>
                <c:pt idx="177">
                  <c:v>-33.400000000000006</c:v>
                </c:pt>
                <c:pt idx="178">
                  <c:v>-33.5</c:v>
                </c:pt>
                <c:pt idx="179">
                  <c:v>-32.90000000000002</c:v>
                </c:pt>
                <c:pt idx="180">
                  <c:v>-33.299999999999976</c:v>
                </c:pt>
                <c:pt idx="181">
                  <c:v>-32.699999999999996</c:v>
                </c:pt>
                <c:pt idx="182">
                  <c:v>-32.800000000000004</c:v>
                </c:pt>
                <c:pt idx="183">
                  <c:v>-33.400000000000006</c:v>
                </c:pt>
                <c:pt idx="184">
                  <c:v>-33.799999999999983</c:v>
                </c:pt>
                <c:pt idx="185">
                  <c:v>-33.799999999999983</c:v>
                </c:pt>
                <c:pt idx="186">
                  <c:v>-33.9</c:v>
                </c:pt>
                <c:pt idx="187">
                  <c:v>-34.20000000000001</c:v>
                </c:pt>
                <c:pt idx="188">
                  <c:v>-34.5</c:v>
                </c:pt>
                <c:pt idx="189">
                  <c:v>-34.5</c:v>
                </c:pt>
                <c:pt idx="190">
                  <c:v>-34.599999999999987</c:v>
                </c:pt>
                <c:pt idx="191">
                  <c:v>-34.600000000000009</c:v>
                </c:pt>
                <c:pt idx="192">
                  <c:v>-34.299999999999997</c:v>
                </c:pt>
                <c:pt idx="193">
                  <c:v>-33.800000000000011</c:v>
                </c:pt>
                <c:pt idx="194">
                  <c:v>-32.599999999999987</c:v>
                </c:pt>
                <c:pt idx="195">
                  <c:v>-31.600000000000005</c:v>
                </c:pt>
                <c:pt idx="196">
                  <c:v>-31.799999999999983</c:v>
                </c:pt>
                <c:pt idx="197">
                  <c:v>-31.200000000000006</c:v>
                </c:pt>
                <c:pt idx="198">
                  <c:v>-30.599999999999984</c:v>
                </c:pt>
                <c:pt idx="199">
                  <c:v>-29.600000000000005</c:v>
                </c:pt>
                <c:pt idx="200">
                  <c:v>-29.000000000000004</c:v>
                </c:pt>
                <c:pt idx="201">
                  <c:v>-28.29999999999999</c:v>
                </c:pt>
                <c:pt idx="202">
                  <c:v>-27.899999999999991</c:v>
                </c:pt>
                <c:pt idx="203">
                  <c:v>-27.899999999999991</c:v>
                </c:pt>
                <c:pt idx="204">
                  <c:v>-27.900000000000013</c:v>
                </c:pt>
                <c:pt idx="205">
                  <c:v>-28.000000000000004</c:v>
                </c:pt>
                <c:pt idx="206">
                  <c:v>-28.400000000000002</c:v>
                </c:pt>
                <c:pt idx="207">
                  <c:v>-28.700000000000014</c:v>
                </c:pt>
                <c:pt idx="208">
                  <c:v>-28.800000000000004</c:v>
                </c:pt>
                <c:pt idx="209">
                  <c:v>-29.200000000000003</c:v>
                </c:pt>
                <c:pt idx="210">
                  <c:v>-29.199999999999982</c:v>
                </c:pt>
                <c:pt idx="211">
                  <c:v>-29.499999999999993</c:v>
                </c:pt>
                <c:pt idx="212">
                  <c:v>-29.799999999999983</c:v>
                </c:pt>
                <c:pt idx="213">
                  <c:v>-30.199999999999982</c:v>
                </c:pt>
                <c:pt idx="214">
                  <c:v>-30.399999999999984</c:v>
                </c:pt>
                <c:pt idx="215">
                  <c:v>-30.400000000000006</c:v>
                </c:pt>
                <c:pt idx="216">
                  <c:v>-30.200000000000003</c:v>
                </c:pt>
                <c:pt idx="217">
                  <c:v>-30.299999999999994</c:v>
                </c:pt>
                <c:pt idx="218">
                  <c:v>-30.399999999999984</c:v>
                </c:pt>
                <c:pt idx="219">
                  <c:v>-30.399999999999984</c:v>
                </c:pt>
                <c:pt idx="220">
                  <c:v>-31.099999999999994</c:v>
                </c:pt>
                <c:pt idx="221">
                  <c:v>-31.200000000000006</c:v>
                </c:pt>
                <c:pt idx="222">
                  <c:v>-31.499999999999993</c:v>
                </c:pt>
                <c:pt idx="223">
                  <c:v>-31.699999999999996</c:v>
                </c:pt>
                <c:pt idx="224">
                  <c:v>-31.699999999999996</c:v>
                </c:pt>
                <c:pt idx="225">
                  <c:v>-31.200000000000006</c:v>
                </c:pt>
                <c:pt idx="226">
                  <c:v>-31.600000000000005</c:v>
                </c:pt>
                <c:pt idx="227">
                  <c:v>-31.999999999999986</c:v>
                </c:pt>
                <c:pt idx="228">
                  <c:v>-31.999999999999986</c:v>
                </c:pt>
                <c:pt idx="229">
                  <c:v>-32.099999999999994</c:v>
                </c:pt>
                <c:pt idx="230">
                  <c:v>-32.200000000000003</c:v>
                </c:pt>
                <c:pt idx="231">
                  <c:v>-32.399999999999984</c:v>
                </c:pt>
                <c:pt idx="232">
                  <c:v>-32.099999999999994</c:v>
                </c:pt>
                <c:pt idx="233">
                  <c:v>-31.400000000000006</c:v>
                </c:pt>
                <c:pt idx="234">
                  <c:v>-31.000000000000007</c:v>
                </c:pt>
                <c:pt idx="235">
                  <c:v>-31.300000000000018</c:v>
                </c:pt>
                <c:pt idx="236">
                  <c:v>-30.800000000000004</c:v>
                </c:pt>
                <c:pt idx="237">
                  <c:v>-30.499999999999993</c:v>
                </c:pt>
                <c:pt idx="238">
                  <c:v>-30.000000000000004</c:v>
                </c:pt>
                <c:pt idx="239">
                  <c:v>-29.900000000000016</c:v>
                </c:pt>
                <c:pt idx="240">
                  <c:v>-29.000000000000004</c:v>
                </c:pt>
                <c:pt idx="241">
                  <c:v>-28.000000000000004</c:v>
                </c:pt>
                <c:pt idx="242">
                  <c:v>-27.899999999999991</c:v>
                </c:pt>
                <c:pt idx="243">
                  <c:v>-27.200000000000003</c:v>
                </c:pt>
                <c:pt idx="244">
                  <c:v>-27.400000000000002</c:v>
                </c:pt>
                <c:pt idx="245">
                  <c:v>-27.300000000000011</c:v>
                </c:pt>
                <c:pt idx="246">
                  <c:v>-27.200000000000003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21088"/>
        <c:axId val="144519552"/>
      </c:areaChart>
      <c:lineChart>
        <c:grouping val="standard"/>
        <c:varyColors val="0"/>
        <c:ser>
          <c:idx val="0"/>
          <c:order val="0"/>
          <c:tx>
            <c:strRef>
              <c:f>history_chart!$CA$5</c:f>
              <c:strCache>
                <c:ptCount val="1"/>
                <c:pt idx="0">
                  <c:v>3사평균 금융채 은행채 AA+</c:v>
                </c:pt>
              </c:strCache>
            </c:strRef>
          </c:tx>
          <c:spPr>
            <a:ln w="22225">
              <a:solidFill>
                <a:srgbClr val="0066FF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numRef>
              <c:f>history_chart!$BZ$10:$BZ$256</c:f>
              <c:numCache>
                <c:formatCode>m/d/yyyy</c:formatCode>
                <c:ptCount val="247"/>
                <c:pt idx="0">
                  <c:v>44943</c:v>
                </c:pt>
                <c:pt idx="1">
                  <c:v>44942</c:v>
                </c:pt>
                <c:pt idx="2">
                  <c:v>44939</c:v>
                </c:pt>
                <c:pt idx="3">
                  <c:v>44938</c:v>
                </c:pt>
                <c:pt idx="4">
                  <c:v>44937</c:v>
                </c:pt>
                <c:pt idx="5">
                  <c:v>44936</c:v>
                </c:pt>
                <c:pt idx="6">
                  <c:v>44935</c:v>
                </c:pt>
                <c:pt idx="7">
                  <c:v>44932</c:v>
                </c:pt>
                <c:pt idx="8">
                  <c:v>44931</c:v>
                </c:pt>
                <c:pt idx="9">
                  <c:v>44930</c:v>
                </c:pt>
                <c:pt idx="10">
                  <c:v>44929</c:v>
                </c:pt>
                <c:pt idx="11">
                  <c:v>44928</c:v>
                </c:pt>
                <c:pt idx="12">
                  <c:v>44925</c:v>
                </c:pt>
                <c:pt idx="13">
                  <c:v>44924</c:v>
                </c:pt>
                <c:pt idx="14">
                  <c:v>44923</c:v>
                </c:pt>
                <c:pt idx="15">
                  <c:v>44922</c:v>
                </c:pt>
                <c:pt idx="16">
                  <c:v>44921</c:v>
                </c:pt>
                <c:pt idx="17">
                  <c:v>44918</c:v>
                </c:pt>
                <c:pt idx="18">
                  <c:v>44917</c:v>
                </c:pt>
                <c:pt idx="19">
                  <c:v>44916</c:v>
                </c:pt>
                <c:pt idx="20">
                  <c:v>44915</c:v>
                </c:pt>
                <c:pt idx="21">
                  <c:v>44914</c:v>
                </c:pt>
                <c:pt idx="22">
                  <c:v>44911</c:v>
                </c:pt>
                <c:pt idx="23">
                  <c:v>44910</c:v>
                </c:pt>
                <c:pt idx="24">
                  <c:v>44909</c:v>
                </c:pt>
                <c:pt idx="25">
                  <c:v>44908</c:v>
                </c:pt>
                <c:pt idx="26">
                  <c:v>44907</c:v>
                </c:pt>
                <c:pt idx="27">
                  <c:v>44904</c:v>
                </c:pt>
                <c:pt idx="28">
                  <c:v>44903</c:v>
                </c:pt>
                <c:pt idx="29">
                  <c:v>44902</c:v>
                </c:pt>
                <c:pt idx="30">
                  <c:v>44901</c:v>
                </c:pt>
                <c:pt idx="31">
                  <c:v>44900</c:v>
                </c:pt>
                <c:pt idx="32">
                  <c:v>44897</c:v>
                </c:pt>
                <c:pt idx="33">
                  <c:v>44896</c:v>
                </c:pt>
                <c:pt idx="34">
                  <c:v>44895</c:v>
                </c:pt>
                <c:pt idx="35">
                  <c:v>44894</c:v>
                </c:pt>
                <c:pt idx="36">
                  <c:v>44893</c:v>
                </c:pt>
                <c:pt idx="37">
                  <c:v>44890</c:v>
                </c:pt>
                <c:pt idx="38">
                  <c:v>44889</c:v>
                </c:pt>
                <c:pt idx="39">
                  <c:v>44888</c:v>
                </c:pt>
                <c:pt idx="40">
                  <c:v>44887</c:v>
                </c:pt>
                <c:pt idx="41">
                  <c:v>44886</c:v>
                </c:pt>
                <c:pt idx="42">
                  <c:v>44883</c:v>
                </c:pt>
                <c:pt idx="43">
                  <c:v>44882</c:v>
                </c:pt>
                <c:pt idx="44">
                  <c:v>44881</c:v>
                </c:pt>
                <c:pt idx="45">
                  <c:v>44880</c:v>
                </c:pt>
                <c:pt idx="46">
                  <c:v>44879</c:v>
                </c:pt>
                <c:pt idx="47">
                  <c:v>44876</c:v>
                </c:pt>
                <c:pt idx="48">
                  <c:v>44875</c:v>
                </c:pt>
                <c:pt idx="49">
                  <c:v>44874</c:v>
                </c:pt>
                <c:pt idx="50">
                  <c:v>44873</c:v>
                </c:pt>
                <c:pt idx="51">
                  <c:v>44872</c:v>
                </c:pt>
                <c:pt idx="52">
                  <c:v>44869</c:v>
                </c:pt>
                <c:pt idx="53">
                  <c:v>44868</c:v>
                </c:pt>
                <c:pt idx="54">
                  <c:v>44867</c:v>
                </c:pt>
                <c:pt idx="55">
                  <c:v>44866</c:v>
                </c:pt>
                <c:pt idx="56">
                  <c:v>44865</c:v>
                </c:pt>
                <c:pt idx="57">
                  <c:v>44862</c:v>
                </c:pt>
                <c:pt idx="58">
                  <c:v>44861</c:v>
                </c:pt>
                <c:pt idx="59">
                  <c:v>44860</c:v>
                </c:pt>
                <c:pt idx="60">
                  <c:v>44859</c:v>
                </c:pt>
                <c:pt idx="61">
                  <c:v>44858</c:v>
                </c:pt>
                <c:pt idx="62">
                  <c:v>44855</c:v>
                </c:pt>
                <c:pt idx="63">
                  <c:v>44854</c:v>
                </c:pt>
                <c:pt idx="64">
                  <c:v>44853</c:v>
                </c:pt>
                <c:pt idx="65">
                  <c:v>44852</c:v>
                </c:pt>
                <c:pt idx="66">
                  <c:v>44851</c:v>
                </c:pt>
                <c:pt idx="67">
                  <c:v>44848</c:v>
                </c:pt>
                <c:pt idx="68">
                  <c:v>44847</c:v>
                </c:pt>
                <c:pt idx="69">
                  <c:v>44846</c:v>
                </c:pt>
                <c:pt idx="70">
                  <c:v>44845</c:v>
                </c:pt>
                <c:pt idx="71">
                  <c:v>44841</c:v>
                </c:pt>
                <c:pt idx="72">
                  <c:v>44840</c:v>
                </c:pt>
                <c:pt idx="73">
                  <c:v>44839</c:v>
                </c:pt>
                <c:pt idx="74">
                  <c:v>44838</c:v>
                </c:pt>
                <c:pt idx="75">
                  <c:v>44834</c:v>
                </c:pt>
                <c:pt idx="76">
                  <c:v>44833</c:v>
                </c:pt>
                <c:pt idx="77">
                  <c:v>44832</c:v>
                </c:pt>
                <c:pt idx="78">
                  <c:v>44831</c:v>
                </c:pt>
                <c:pt idx="79">
                  <c:v>44830</c:v>
                </c:pt>
                <c:pt idx="80">
                  <c:v>44827</c:v>
                </c:pt>
                <c:pt idx="81">
                  <c:v>44826</c:v>
                </c:pt>
                <c:pt idx="82">
                  <c:v>44825</c:v>
                </c:pt>
                <c:pt idx="83">
                  <c:v>44824</c:v>
                </c:pt>
                <c:pt idx="84">
                  <c:v>44823</c:v>
                </c:pt>
                <c:pt idx="85">
                  <c:v>44820</c:v>
                </c:pt>
                <c:pt idx="86">
                  <c:v>44819</c:v>
                </c:pt>
                <c:pt idx="87">
                  <c:v>44818</c:v>
                </c:pt>
                <c:pt idx="88">
                  <c:v>44817</c:v>
                </c:pt>
                <c:pt idx="89">
                  <c:v>44812</c:v>
                </c:pt>
                <c:pt idx="90">
                  <c:v>44811</c:v>
                </c:pt>
                <c:pt idx="91">
                  <c:v>44810</c:v>
                </c:pt>
                <c:pt idx="92">
                  <c:v>44809</c:v>
                </c:pt>
                <c:pt idx="93">
                  <c:v>44806</c:v>
                </c:pt>
                <c:pt idx="94">
                  <c:v>44805</c:v>
                </c:pt>
                <c:pt idx="95">
                  <c:v>44804</c:v>
                </c:pt>
                <c:pt idx="96">
                  <c:v>44803</c:v>
                </c:pt>
                <c:pt idx="97">
                  <c:v>44802</c:v>
                </c:pt>
                <c:pt idx="98">
                  <c:v>44799</c:v>
                </c:pt>
                <c:pt idx="99">
                  <c:v>44798</c:v>
                </c:pt>
                <c:pt idx="100">
                  <c:v>44797</c:v>
                </c:pt>
                <c:pt idx="101">
                  <c:v>44796</c:v>
                </c:pt>
                <c:pt idx="102">
                  <c:v>44795</c:v>
                </c:pt>
                <c:pt idx="103">
                  <c:v>44792</c:v>
                </c:pt>
                <c:pt idx="104">
                  <c:v>44791</c:v>
                </c:pt>
                <c:pt idx="105">
                  <c:v>44790</c:v>
                </c:pt>
                <c:pt idx="106">
                  <c:v>44789</c:v>
                </c:pt>
                <c:pt idx="107">
                  <c:v>44785</c:v>
                </c:pt>
                <c:pt idx="108">
                  <c:v>44784</c:v>
                </c:pt>
                <c:pt idx="109">
                  <c:v>44783</c:v>
                </c:pt>
                <c:pt idx="110">
                  <c:v>44782</c:v>
                </c:pt>
                <c:pt idx="111">
                  <c:v>44781</c:v>
                </c:pt>
                <c:pt idx="112">
                  <c:v>44778</c:v>
                </c:pt>
                <c:pt idx="113">
                  <c:v>44777</c:v>
                </c:pt>
                <c:pt idx="114">
                  <c:v>44776</c:v>
                </c:pt>
                <c:pt idx="115">
                  <c:v>44775</c:v>
                </c:pt>
                <c:pt idx="116">
                  <c:v>44774</c:v>
                </c:pt>
                <c:pt idx="117">
                  <c:v>44771</c:v>
                </c:pt>
                <c:pt idx="118">
                  <c:v>44770</c:v>
                </c:pt>
                <c:pt idx="119">
                  <c:v>44769</c:v>
                </c:pt>
                <c:pt idx="120">
                  <c:v>44768</c:v>
                </c:pt>
                <c:pt idx="121">
                  <c:v>44767</c:v>
                </c:pt>
                <c:pt idx="122">
                  <c:v>44764</c:v>
                </c:pt>
                <c:pt idx="123">
                  <c:v>44763</c:v>
                </c:pt>
                <c:pt idx="124">
                  <c:v>44762</c:v>
                </c:pt>
                <c:pt idx="125">
                  <c:v>44761</c:v>
                </c:pt>
                <c:pt idx="126">
                  <c:v>44760</c:v>
                </c:pt>
                <c:pt idx="127">
                  <c:v>44757</c:v>
                </c:pt>
                <c:pt idx="128">
                  <c:v>44756</c:v>
                </c:pt>
                <c:pt idx="129">
                  <c:v>44755</c:v>
                </c:pt>
                <c:pt idx="130">
                  <c:v>44754</c:v>
                </c:pt>
                <c:pt idx="131">
                  <c:v>44753</c:v>
                </c:pt>
                <c:pt idx="132">
                  <c:v>44750</c:v>
                </c:pt>
                <c:pt idx="133">
                  <c:v>44749</c:v>
                </c:pt>
                <c:pt idx="134">
                  <c:v>44748</c:v>
                </c:pt>
                <c:pt idx="135">
                  <c:v>44747</c:v>
                </c:pt>
                <c:pt idx="136">
                  <c:v>44746</c:v>
                </c:pt>
                <c:pt idx="137">
                  <c:v>44743</c:v>
                </c:pt>
                <c:pt idx="138">
                  <c:v>44742</c:v>
                </c:pt>
                <c:pt idx="139">
                  <c:v>44741</c:v>
                </c:pt>
                <c:pt idx="140">
                  <c:v>44740</c:v>
                </c:pt>
                <c:pt idx="141">
                  <c:v>44739</c:v>
                </c:pt>
                <c:pt idx="142">
                  <c:v>44736</c:v>
                </c:pt>
                <c:pt idx="143">
                  <c:v>44735</c:v>
                </c:pt>
                <c:pt idx="144">
                  <c:v>44734</c:v>
                </c:pt>
                <c:pt idx="145">
                  <c:v>44733</c:v>
                </c:pt>
                <c:pt idx="146">
                  <c:v>44732</c:v>
                </c:pt>
                <c:pt idx="147">
                  <c:v>44729</c:v>
                </c:pt>
                <c:pt idx="148">
                  <c:v>44728</c:v>
                </c:pt>
                <c:pt idx="149">
                  <c:v>44727</c:v>
                </c:pt>
                <c:pt idx="150">
                  <c:v>44726</c:v>
                </c:pt>
                <c:pt idx="151">
                  <c:v>44725</c:v>
                </c:pt>
                <c:pt idx="152">
                  <c:v>44722</c:v>
                </c:pt>
                <c:pt idx="153">
                  <c:v>44721</c:v>
                </c:pt>
                <c:pt idx="154">
                  <c:v>44720</c:v>
                </c:pt>
                <c:pt idx="155">
                  <c:v>44719</c:v>
                </c:pt>
                <c:pt idx="156">
                  <c:v>44715</c:v>
                </c:pt>
                <c:pt idx="157">
                  <c:v>44714</c:v>
                </c:pt>
                <c:pt idx="158">
                  <c:v>44712</c:v>
                </c:pt>
                <c:pt idx="159">
                  <c:v>44711</c:v>
                </c:pt>
                <c:pt idx="160">
                  <c:v>44708</c:v>
                </c:pt>
                <c:pt idx="161">
                  <c:v>44707</c:v>
                </c:pt>
                <c:pt idx="162">
                  <c:v>44706</c:v>
                </c:pt>
                <c:pt idx="163">
                  <c:v>44705</c:v>
                </c:pt>
                <c:pt idx="164">
                  <c:v>44704</c:v>
                </c:pt>
                <c:pt idx="165">
                  <c:v>44701</c:v>
                </c:pt>
                <c:pt idx="166">
                  <c:v>44700</c:v>
                </c:pt>
                <c:pt idx="167">
                  <c:v>44699</c:v>
                </c:pt>
                <c:pt idx="168">
                  <c:v>44698</c:v>
                </c:pt>
                <c:pt idx="169">
                  <c:v>44697</c:v>
                </c:pt>
                <c:pt idx="170">
                  <c:v>44694</c:v>
                </c:pt>
                <c:pt idx="171">
                  <c:v>44693</c:v>
                </c:pt>
                <c:pt idx="172">
                  <c:v>44692</c:v>
                </c:pt>
                <c:pt idx="173">
                  <c:v>44691</c:v>
                </c:pt>
                <c:pt idx="174">
                  <c:v>44690</c:v>
                </c:pt>
                <c:pt idx="175">
                  <c:v>44687</c:v>
                </c:pt>
                <c:pt idx="176">
                  <c:v>44685</c:v>
                </c:pt>
                <c:pt idx="177">
                  <c:v>44684</c:v>
                </c:pt>
                <c:pt idx="178">
                  <c:v>44683</c:v>
                </c:pt>
                <c:pt idx="179">
                  <c:v>44680</c:v>
                </c:pt>
                <c:pt idx="180">
                  <c:v>44679</c:v>
                </c:pt>
                <c:pt idx="181">
                  <c:v>44678</c:v>
                </c:pt>
                <c:pt idx="182">
                  <c:v>44677</c:v>
                </c:pt>
                <c:pt idx="183">
                  <c:v>44676</c:v>
                </c:pt>
                <c:pt idx="184">
                  <c:v>44673</c:v>
                </c:pt>
                <c:pt idx="185">
                  <c:v>44672</c:v>
                </c:pt>
                <c:pt idx="186">
                  <c:v>44671</c:v>
                </c:pt>
                <c:pt idx="187">
                  <c:v>44670</c:v>
                </c:pt>
                <c:pt idx="188">
                  <c:v>44669</c:v>
                </c:pt>
                <c:pt idx="189">
                  <c:v>44666</c:v>
                </c:pt>
                <c:pt idx="190">
                  <c:v>44665</c:v>
                </c:pt>
                <c:pt idx="191">
                  <c:v>44664</c:v>
                </c:pt>
                <c:pt idx="192">
                  <c:v>44663</c:v>
                </c:pt>
                <c:pt idx="193">
                  <c:v>44662</c:v>
                </c:pt>
                <c:pt idx="194">
                  <c:v>44659</c:v>
                </c:pt>
                <c:pt idx="195">
                  <c:v>44658</c:v>
                </c:pt>
                <c:pt idx="196">
                  <c:v>44657</c:v>
                </c:pt>
                <c:pt idx="197">
                  <c:v>44656</c:v>
                </c:pt>
                <c:pt idx="198">
                  <c:v>44655</c:v>
                </c:pt>
                <c:pt idx="199">
                  <c:v>44652</c:v>
                </c:pt>
                <c:pt idx="200">
                  <c:v>44651</c:v>
                </c:pt>
                <c:pt idx="201">
                  <c:v>44650</c:v>
                </c:pt>
                <c:pt idx="202">
                  <c:v>44649</c:v>
                </c:pt>
                <c:pt idx="203">
                  <c:v>44648</c:v>
                </c:pt>
                <c:pt idx="204">
                  <c:v>44645</c:v>
                </c:pt>
                <c:pt idx="205">
                  <c:v>44644</c:v>
                </c:pt>
                <c:pt idx="206">
                  <c:v>44643</c:v>
                </c:pt>
                <c:pt idx="207">
                  <c:v>44642</c:v>
                </c:pt>
                <c:pt idx="208">
                  <c:v>44641</c:v>
                </c:pt>
                <c:pt idx="209">
                  <c:v>44638</c:v>
                </c:pt>
                <c:pt idx="210">
                  <c:v>44637</c:v>
                </c:pt>
                <c:pt idx="211">
                  <c:v>44636</c:v>
                </c:pt>
                <c:pt idx="212">
                  <c:v>44635</c:v>
                </c:pt>
                <c:pt idx="213">
                  <c:v>44634</c:v>
                </c:pt>
                <c:pt idx="214">
                  <c:v>44631</c:v>
                </c:pt>
                <c:pt idx="215">
                  <c:v>44630</c:v>
                </c:pt>
                <c:pt idx="216">
                  <c:v>44628</c:v>
                </c:pt>
                <c:pt idx="217">
                  <c:v>44627</c:v>
                </c:pt>
                <c:pt idx="218">
                  <c:v>44624</c:v>
                </c:pt>
                <c:pt idx="219">
                  <c:v>44623</c:v>
                </c:pt>
                <c:pt idx="220">
                  <c:v>44622</c:v>
                </c:pt>
                <c:pt idx="221">
                  <c:v>44620</c:v>
                </c:pt>
                <c:pt idx="222">
                  <c:v>44617</c:v>
                </c:pt>
                <c:pt idx="223">
                  <c:v>44616</c:v>
                </c:pt>
                <c:pt idx="224">
                  <c:v>44615</c:v>
                </c:pt>
                <c:pt idx="225">
                  <c:v>44614</c:v>
                </c:pt>
                <c:pt idx="226">
                  <c:v>44613</c:v>
                </c:pt>
                <c:pt idx="227">
                  <c:v>44610</c:v>
                </c:pt>
                <c:pt idx="228">
                  <c:v>44609</c:v>
                </c:pt>
                <c:pt idx="229">
                  <c:v>44608</c:v>
                </c:pt>
                <c:pt idx="230">
                  <c:v>44607</c:v>
                </c:pt>
                <c:pt idx="231">
                  <c:v>44606</c:v>
                </c:pt>
                <c:pt idx="232">
                  <c:v>44603</c:v>
                </c:pt>
                <c:pt idx="233">
                  <c:v>44602</c:v>
                </c:pt>
                <c:pt idx="234">
                  <c:v>44601</c:v>
                </c:pt>
                <c:pt idx="235">
                  <c:v>44600</c:v>
                </c:pt>
                <c:pt idx="236">
                  <c:v>44599</c:v>
                </c:pt>
                <c:pt idx="237">
                  <c:v>44596</c:v>
                </c:pt>
                <c:pt idx="238">
                  <c:v>44595</c:v>
                </c:pt>
                <c:pt idx="239">
                  <c:v>44589</c:v>
                </c:pt>
                <c:pt idx="240">
                  <c:v>44588</c:v>
                </c:pt>
                <c:pt idx="241">
                  <c:v>44587</c:v>
                </c:pt>
                <c:pt idx="242">
                  <c:v>44586</c:v>
                </c:pt>
                <c:pt idx="243">
                  <c:v>44585</c:v>
                </c:pt>
                <c:pt idx="244">
                  <c:v>44582</c:v>
                </c:pt>
                <c:pt idx="245">
                  <c:v>44581</c:v>
                </c:pt>
                <c:pt idx="246">
                  <c:v>44580</c:v>
                </c:pt>
              </c:numCache>
            </c:numRef>
          </c:cat>
          <c:val>
            <c:numRef>
              <c:f>history_chart!$CA$10:$CA$256</c:f>
              <c:numCache>
                <c:formatCode>General</c:formatCode>
                <c:ptCount val="247"/>
                <c:pt idx="0">
                  <c:v>3.7669999999999999</c:v>
                </c:pt>
                <c:pt idx="1">
                  <c:v>3.7959999999999998</c:v>
                </c:pt>
                <c:pt idx="2">
                  <c:v>3.8130000000000002</c:v>
                </c:pt>
                <c:pt idx="3">
                  <c:v>3.7959999999999998</c:v>
                </c:pt>
                <c:pt idx="4">
                  <c:v>3.7909999999999999</c:v>
                </c:pt>
                <c:pt idx="5">
                  <c:v>3.8029999999999999</c:v>
                </c:pt>
                <c:pt idx="6">
                  <c:v>3.8159999999999998</c:v>
                </c:pt>
                <c:pt idx="7">
                  <c:v>3.8559999999999999</c:v>
                </c:pt>
                <c:pt idx="8">
                  <c:v>3.8860000000000001</c:v>
                </c:pt>
                <c:pt idx="9">
                  <c:v>3.9279999999999999</c:v>
                </c:pt>
                <c:pt idx="10">
                  <c:v>3.9929999999999999</c:v>
                </c:pt>
                <c:pt idx="11">
                  <c:v>4.0650000000000004</c:v>
                </c:pt>
                <c:pt idx="12">
                  <c:v>4.0999999999999996</c:v>
                </c:pt>
                <c:pt idx="13">
                  <c:v>4.0999999999999996</c:v>
                </c:pt>
                <c:pt idx="14">
                  <c:v>4.1029999999999998</c:v>
                </c:pt>
                <c:pt idx="15">
                  <c:v>4.1100000000000003</c:v>
                </c:pt>
                <c:pt idx="16">
                  <c:v>4.1210000000000004</c:v>
                </c:pt>
                <c:pt idx="17">
                  <c:v>4.125</c:v>
                </c:pt>
                <c:pt idx="18">
                  <c:v>4.1079999999999997</c:v>
                </c:pt>
                <c:pt idx="19">
                  <c:v>4.125</c:v>
                </c:pt>
                <c:pt idx="20">
                  <c:v>4.1280000000000001</c:v>
                </c:pt>
                <c:pt idx="21">
                  <c:v>4.0979999999999999</c:v>
                </c:pt>
                <c:pt idx="22">
                  <c:v>4.0880000000000001</c:v>
                </c:pt>
                <c:pt idx="23">
                  <c:v>4.0860000000000003</c:v>
                </c:pt>
                <c:pt idx="24">
                  <c:v>4.0780000000000003</c:v>
                </c:pt>
                <c:pt idx="25">
                  <c:v>4.0830000000000002</c:v>
                </c:pt>
                <c:pt idx="26">
                  <c:v>4.0599999999999996</c:v>
                </c:pt>
                <c:pt idx="27">
                  <c:v>4.056</c:v>
                </c:pt>
                <c:pt idx="28">
                  <c:v>4.0590000000000002</c:v>
                </c:pt>
                <c:pt idx="29">
                  <c:v>4.0419999999999998</c:v>
                </c:pt>
                <c:pt idx="30">
                  <c:v>4.0339999999999998</c:v>
                </c:pt>
                <c:pt idx="31">
                  <c:v>4.0339999999999998</c:v>
                </c:pt>
                <c:pt idx="32">
                  <c:v>4.0439999999999996</c:v>
                </c:pt>
                <c:pt idx="33">
                  <c:v>4.0759999999999996</c:v>
                </c:pt>
                <c:pt idx="34">
                  <c:v>4.1210000000000004</c:v>
                </c:pt>
                <c:pt idx="35">
                  <c:v>4.1219999999999999</c:v>
                </c:pt>
                <c:pt idx="36">
                  <c:v>4.1139999999999999</c:v>
                </c:pt>
                <c:pt idx="37">
                  <c:v>4.109</c:v>
                </c:pt>
                <c:pt idx="38">
                  <c:v>4.0960000000000001</c:v>
                </c:pt>
                <c:pt idx="39">
                  <c:v>4.1040000000000001</c:v>
                </c:pt>
                <c:pt idx="40">
                  <c:v>4.1020000000000003</c:v>
                </c:pt>
                <c:pt idx="41">
                  <c:v>4.101</c:v>
                </c:pt>
                <c:pt idx="42">
                  <c:v>4.0960000000000001</c:v>
                </c:pt>
                <c:pt idx="43">
                  <c:v>4.1040000000000001</c:v>
                </c:pt>
                <c:pt idx="44">
                  <c:v>4.101</c:v>
                </c:pt>
                <c:pt idx="45">
                  <c:v>4.077</c:v>
                </c:pt>
                <c:pt idx="46">
                  <c:v>4.0890000000000004</c:v>
                </c:pt>
                <c:pt idx="47">
                  <c:v>4.0659999999999998</c:v>
                </c:pt>
                <c:pt idx="48">
                  <c:v>4.0839999999999996</c:v>
                </c:pt>
                <c:pt idx="49">
                  <c:v>4.0709999999999997</c:v>
                </c:pt>
                <c:pt idx="50">
                  <c:v>4.0540000000000003</c:v>
                </c:pt>
                <c:pt idx="51">
                  <c:v>4.0369999999999999</c:v>
                </c:pt>
                <c:pt idx="52">
                  <c:v>4.016</c:v>
                </c:pt>
                <c:pt idx="53">
                  <c:v>3.9969999999999999</c:v>
                </c:pt>
                <c:pt idx="54">
                  <c:v>3.9710000000000001</c:v>
                </c:pt>
                <c:pt idx="55">
                  <c:v>3.9369999999999998</c:v>
                </c:pt>
                <c:pt idx="56">
                  <c:v>3.9209999999999998</c:v>
                </c:pt>
                <c:pt idx="57">
                  <c:v>3.8940000000000001</c:v>
                </c:pt>
                <c:pt idx="58">
                  <c:v>3.8820000000000001</c:v>
                </c:pt>
                <c:pt idx="59">
                  <c:v>3.8340000000000001</c:v>
                </c:pt>
                <c:pt idx="60">
                  <c:v>3.774</c:v>
                </c:pt>
                <c:pt idx="61">
                  <c:v>3.754</c:v>
                </c:pt>
                <c:pt idx="62">
                  <c:v>3.726</c:v>
                </c:pt>
                <c:pt idx="63">
                  <c:v>3.6320000000000001</c:v>
                </c:pt>
                <c:pt idx="64">
                  <c:v>3.5920000000000001</c:v>
                </c:pt>
                <c:pt idx="65">
                  <c:v>3.5489999999999999</c:v>
                </c:pt>
                <c:pt idx="66">
                  <c:v>3.5169999999999999</c:v>
                </c:pt>
                <c:pt idx="67">
                  <c:v>3.4990000000000001</c:v>
                </c:pt>
                <c:pt idx="68">
                  <c:v>3.4790000000000001</c:v>
                </c:pt>
                <c:pt idx="69">
                  <c:v>3.4540000000000002</c:v>
                </c:pt>
                <c:pt idx="70">
                  <c:v>3.3140000000000001</c:v>
                </c:pt>
                <c:pt idx="71">
                  <c:v>3.2440000000000002</c:v>
                </c:pt>
                <c:pt idx="72">
                  <c:v>3.222</c:v>
                </c:pt>
                <c:pt idx="73">
                  <c:v>3.2120000000000002</c:v>
                </c:pt>
                <c:pt idx="74">
                  <c:v>3.1920000000000002</c:v>
                </c:pt>
                <c:pt idx="75">
                  <c:v>3.1890000000000001</c:v>
                </c:pt>
                <c:pt idx="76">
                  <c:v>3.2189999999999999</c:v>
                </c:pt>
                <c:pt idx="77">
                  <c:v>3.2519999999999998</c:v>
                </c:pt>
                <c:pt idx="78">
                  <c:v>3.2240000000000002</c:v>
                </c:pt>
                <c:pt idx="79">
                  <c:v>3.2240000000000002</c:v>
                </c:pt>
                <c:pt idx="80">
                  <c:v>3.137</c:v>
                </c:pt>
                <c:pt idx="81">
                  <c:v>3.101</c:v>
                </c:pt>
                <c:pt idx="82">
                  <c:v>2.976</c:v>
                </c:pt>
                <c:pt idx="83">
                  <c:v>2.9660000000000002</c:v>
                </c:pt>
                <c:pt idx="84">
                  <c:v>2.9430000000000001</c:v>
                </c:pt>
                <c:pt idx="85">
                  <c:v>2.9449999999999998</c:v>
                </c:pt>
                <c:pt idx="86">
                  <c:v>2.9409999999999998</c:v>
                </c:pt>
                <c:pt idx="87">
                  <c:v>2.923</c:v>
                </c:pt>
                <c:pt idx="88">
                  <c:v>2.915</c:v>
                </c:pt>
                <c:pt idx="89">
                  <c:v>2.91</c:v>
                </c:pt>
                <c:pt idx="90">
                  <c:v>2.923</c:v>
                </c:pt>
                <c:pt idx="91">
                  <c:v>2.9260000000000002</c:v>
                </c:pt>
                <c:pt idx="92">
                  <c:v>2.9279999999999999</c:v>
                </c:pt>
                <c:pt idx="93">
                  <c:v>2.9329999999999998</c:v>
                </c:pt>
                <c:pt idx="94">
                  <c:v>2.9510000000000001</c:v>
                </c:pt>
                <c:pt idx="95">
                  <c:v>2.9350000000000001</c:v>
                </c:pt>
                <c:pt idx="96">
                  <c:v>2.92</c:v>
                </c:pt>
                <c:pt idx="97">
                  <c:v>2.931</c:v>
                </c:pt>
                <c:pt idx="98">
                  <c:v>2.903</c:v>
                </c:pt>
                <c:pt idx="99">
                  <c:v>2.903</c:v>
                </c:pt>
                <c:pt idx="100">
                  <c:v>2.8050000000000002</c:v>
                </c:pt>
                <c:pt idx="101">
                  <c:v>2.7559999999999998</c:v>
                </c:pt>
                <c:pt idx="102">
                  <c:v>2.7309999999999999</c:v>
                </c:pt>
                <c:pt idx="103">
                  <c:v>2.7050000000000001</c:v>
                </c:pt>
                <c:pt idx="104">
                  <c:v>2.698</c:v>
                </c:pt>
                <c:pt idx="105">
                  <c:v>2.698</c:v>
                </c:pt>
                <c:pt idx="106">
                  <c:v>2.6949999999999998</c:v>
                </c:pt>
                <c:pt idx="107">
                  <c:v>2.7050000000000001</c:v>
                </c:pt>
                <c:pt idx="108">
                  <c:v>2.6909999999999998</c:v>
                </c:pt>
                <c:pt idx="109">
                  <c:v>2.6880000000000002</c:v>
                </c:pt>
                <c:pt idx="110">
                  <c:v>2.6850000000000001</c:v>
                </c:pt>
                <c:pt idx="111">
                  <c:v>2.6859999999999999</c:v>
                </c:pt>
                <c:pt idx="112">
                  <c:v>2.6739999999999999</c:v>
                </c:pt>
                <c:pt idx="113">
                  <c:v>2.6819999999999999</c:v>
                </c:pt>
                <c:pt idx="114">
                  <c:v>2.69</c:v>
                </c:pt>
                <c:pt idx="115">
                  <c:v>2.6869999999999998</c:v>
                </c:pt>
                <c:pt idx="116">
                  <c:v>2.69</c:v>
                </c:pt>
                <c:pt idx="117">
                  <c:v>2.6739999999999999</c:v>
                </c:pt>
                <c:pt idx="118">
                  <c:v>2.6819999999999999</c:v>
                </c:pt>
                <c:pt idx="119">
                  <c:v>2.67</c:v>
                </c:pt>
                <c:pt idx="120">
                  <c:v>2.665</c:v>
                </c:pt>
                <c:pt idx="121">
                  <c:v>2.6520000000000001</c:v>
                </c:pt>
                <c:pt idx="122">
                  <c:v>2.649</c:v>
                </c:pt>
                <c:pt idx="123">
                  <c:v>2.6549999999999998</c:v>
                </c:pt>
                <c:pt idx="124">
                  <c:v>2.649</c:v>
                </c:pt>
                <c:pt idx="125">
                  <c:v>2.64</c:v>
                </c:pt>
                <c:pt idx="126">
                  <c:v>2.6419999999999999</c:v>
                </c:pt>
                <c:pt idx="127">
                  <c:v>2.64</c:v>
                </c:pt>
                <c:pt idx="128">
                  <c:v>2.6469999999999998</c:v>
                </c:pt>
                <c:pt idx="129">
                  <c:v>2.629</c:v>
                </c:pt>
                <c:pt idx="130">
                  <c:v>2.5550000000000002</c:v>
                </c:pt>
                <c:pt idx="131">
                  <c:v>2.52</c:v>
                </c:pt>
                <c:pt idx="132">
                  <c:v>2.5070000000000001</c:v>
                </c:pt>
                <c:pt idx="133">
                  <c:v>2.492</c:v>
                </c:pt>
                <c:pt idx="134">
                  <c:v>2.4649999999999999</c:v>
                </c:pt>
                <c:pt idx="135">
                  <c:v>2.4620000000000002</c:v>
                </c:pt>
                <c:pt idx="136">
                  <c:v>2.4569999999999999</c:v>
                </c:pt>
                <c:pt idx="137">
                  <c:v>2.444</c:v>
                </c:pt>
                <c:pt idx="138">
                  <c:v>2.4140000000000001</c:v>
                </c:pt>
                <c:pt idx="139">
                  <c:v>2.37</c:v>
                </c:pt>
                <c:pt idx="140">
                  <c:v>2.335</c:v>
                </c:pt>
                <c:pt idx="141">
                  <c:v>2.3090000000000002</c:v>
                </c:pt>
                <c:pt idx="142">
                  <c:v>2.2869999999999999</c:v>
                </c:pt>
                <c:pt idx="143">
                  <c:v>2.27</c:v>
                </c:pt>
                <c:pt idx="144">
                  <c:v>2.2450000000000001</c:v>
                </c:pt>
                <c:pt idx="145">
                  <c:v>2.2320000000000002</c:v>
                </c:pt>
                <c:pt idx="146">
                  <c:v>2.2269999999999999</c:v>
                </c:pt>
                <c:pt idx="147">
                  <c:v>2.234</c:v>
                </c:pt>
                <c:pt idx="148">
                  <c:v>2.2170000000000001</c:v>
                </c:pt>
                <c:pt idx="149">
                  <c:v>2.1800000000000002</c:v>
                </c:pt>
                <c:pt idx="150">
                  <c:v>2.1019999999999999</c:v>
                </c:pt>
                <c:pt idx="151">
                  <c:v>2.0739999999999998</c:v>
                </c:pt>
                <c:pt idx="152">
                  <c:v>2.0350000000000001</c:v>
                </c:pt>
                <c:pt idx="153">
                  <c:v>2.024</c:v>
                </c:pt>
                <c:pt idx="154">
                  <c:v>2.0169999999999999</c:v>
                </c:pt>
                <c:pt idx="155">
                  <c:v>2.0150000000000001</c:v>
                </c:pt>
                <c:pt idx="156">
                  <c:v>2.0099999999999998</c:v>
                </c:pt>
                <c:pt idx="157">
                  <c:v>2.016</c:v>
                </c:pt>
                <c:pt idx="158">
                  <c:v>2.0099999999999998</c:v>
                </c:pt>
                <c:pt idx="159">
                  <c:v>2</c:v>
                </c:pt>
                <c:pt idx="160">
                  <c:v>1.996</c:v>
                </c:pt>
                <c:pt idx="161">
                  <c:v>1.9930000000000001</c:v>
                </c:pt>
                <c:pt idx="162">
                  <c:v>1.86</c:v>
                </c:pt>
                <c:pt idx="163">
                  <c:v>1.8460000000000001</c:v>
                </c:pt>
                <c:pt idx="164">
                  <c:v>1.837</c:v>
                </c:pt>
                <c:pt idx="165">
                  <c:v>1.8169999999999999</c:v>
                </c:pt>
                <c:pt idx="166">
                  <c:v>1.8089999999999999</c:v>
                </c:pt>
                <c:pt idx="167">
                  <c:v>1.8</c:v>
                </c:pt>
                <c:pt idx="168">
                  <c:v>1.7789999999999999</c:v>
                </c:pt>
                <c:pt idx="169">
                  <c:v>1.7569999999999999</c:v>
                </c:pt>
                <c:pt idx="170">
                  <c:v>1.732</c:v>
                </c:pt>
                <c:pt idx="171">
                  <c:v>1.7150000000000001</c:v>
                </c:pt>
                <c:pt idx="172">
                  <c:v>1.7070000000000001</c:v>
                </c:pt>
                <c:pt idx="173">
                  <c:v>1.6970000000000001</c:v>
                </c:pt>
                <c:pt idx="174">
                  <c:v>1.6919999999999999</c:v>
                </c:pt>
                <c:pt idx="175">
                  <c:v>1.6870000000000001</c:v>
                </c:pt>
                <c:pt idx="176">
                  <c:v>1.6839999999999999</c:v>
                </c:pt>
                <c:pt idx="177">
                  <c:v>1.6890000000000001</c:v>
                </c:pt>
                <c:pt idx="178">
                  <c:v>1.6930000000000001</c:v>
                </c:pt>
                <c:pt idx="179">
                  <c:v>1.6859999999999999</c:v>
                </c:pt>
                <c:pt idx="180">
                  <c:v>1.6850000000000001</c:v>
                </c:pt>
                <c:pt idx="181">
                  <c:v>1.6930000000000001</c:v>
                </c:pt>
                <c:pt idx="182">
                  <c:v>1.6919999999999999</c:v>
                </c:pt>
                <c:pt idx="183">
                  <c:v>1.6890000000000001</c:v>
                </c:pt>
                <c:pt idx="184">
                  <c:v>1.7030000000000001</c:v>
                </c:pt>
                <c:pt idx="185">
                  <c:v>1.7030000000000001</c:v>
                </c:pt>
                <c:pt idx="186">
                  <c:v>1.7090000000000001</c:v>
                </c:pt>
                <c:pt idx="187">
                  <c:v>1.7090000000000001</c:v>
                </c:pt>
                <c:pt idx="188">
                  <c:v>1.708</c:v>
                </c:pt>
                <c:pt idx="189">
                  <c:v>1.7</c:v>
                </c:pt>
                <c:pt idx="190">
                  <c:v>1.6950000000000001</c:v>
                </c:pt>
                <c:pt idx="191">
                  <c:v>1.615</c:v>
                </c:pt>
                <c:pt idx="192">
                  <c:v>1.615</c:v>
                </c:pt>
                <c:pt idx="193">
                  <c:v>1.617</c:v>
                </c:pt>
                <c:pt idx="194">
                  <c:v>1.61</c:v>
                </c:pt>
                <c:pt idx="195">
                  <c:v>1.595</c:v>
                </c:pt>
                <c:pt idx="196">
                  <c:v>1.5920000000000001</c:v>
                </c:pt>
                <c:pt idx="197">
                  <c:v>1.589</c:v>
                </c:pt>
                <c:pt idx="198">
                  <c:v>1.5940000000000001</c:v>
                </c:pt>
                <c:pt idx="199">
                  <c:v>1.599</c:v>
                </c:pt>
                <c:pt idx="200">
                  <c:v>1.603</c:v>
                </c:pt>
                <c:pt idx="201">
                  <c:v>1.6080000000000001</c:v>
                </c:pt>
                <c:pt idx="202">
                  <c:v>1.611</c:v>
                </c:pt>
                <c:pt idx="203">
                  <c:v>1.6060000000000001</c:v>
                </c:pt>
                <c:pt idx="204">
                  <c:v>1.581</c:v>
                </c:pt>
                <c:pt idx="205">
                  <c:v>1.546</c:v>
                </c:pt>
                <c:pt idx="206">
                  <c:v>1.5289999999999999</c:v>
                </c:pt>
                <c:pt idx="207">
                  <c:v>1.5209999999999999</c:v>
                </c:pt>
                <c:pt idx="208">
                  <c:v>1.508</c:v>
                </c:pt>
                <c:pt idx="209">
                  <c:v>1.498</c:v>
                </c:pt>
                <c:pt idx="210">
                  <c:v>1.4910000000000001</c:v>
                </c:pt>
                <c:pt idx="211">
                  <c:v>1.4830000000000001</c:v>
                </c:pt>
                <c:pt idx="212">
                  <c:v>1.4830000000000001</c:v>
                </c:pt>
                <c:pt idx="213">
                  <c:v>1.4830000000000001</c:v>
                </c:pt>
                <c:pt idx="214">
                  <c:v>1.4790000000000001</c:v>
                </c:pt>
                <c:pt idx="215">
                  <c:v>1.484</c:v>
                </c:pt>
                <c:pt idx="216">
                  <c:v>1.484</c:v>
                </c:pt>
                <c:pt idx="217">
                  <c:v>1.482</c:v>
                </c:pt>
                <c:pt idx="218">
                  <c:v>1.4810000000000001</c:v>
                </c:pt>
                <c:pt idx="219">
                  <c:v>1.4810000000000001</c:v>
                </c:pt>
                <c:pt idx="220">
                  <c:v>1.482</c:v>
                </c:pt>
                <c:pt idx="221">
                  <c:v>1.484</c:v>
                </c:pt>
                <c:pt idx="222">
                  <c:v>1.486</c:v>
                </c:pt>
                <c:pt idx="223">
                  <c:v>1.484</c:v>
                </c:pt>
                <c:pt idx="224">
                  <c:v>1.486</c:v>
                </c:pt>
                <c:pt idx="225">
                  <c:v>1.484</c:v>
                </c:pt>
                <c:pt idx="226">
                  <c:v>1.484</c:v>
                </c:pt>
                <c:pt idx="227">
                  <c:v>1.4890000000000001</c:v>
                </c:pt>
                <c:pt idx="228">
                  <c:v>1.4890000000000001</c:v>
                </c:pt>
                <c:pt idx="229">
                  <c:v>1.4930000000000001</c:v>
                </c:pt>
                <c:pt idx="230">
                  <c:v>1.492</c:v>
                </c:pt>
                <c:pt idx="231">
                  <c:v>1.4930000000000001</c:v>
                </c:pt>
                <c:pt idx="232">
                  <c:v>1.498</c:v>
                </c:pt>
                <c:pt idx="233">
                  <c:v>1.496</c:v>
                </c:pt>
                <c:pt idx="234">
                  <c:v>1.502</c:v>
                </c:pt>
                <c:pt idx="235">
                  <c:v>1.5069999999999999</c:v>
                </c:pt>
                <c:pt idx="236">
                  <c:v>1.512</c:v>
                </c:pt>
                <c:pt idx="237">
                  <c:v>1.524</c:v>
                </c:pt>
                <c:pt idx="238">
                  <c:v>1.544</c:v>
                </c:pt>
                <c:pt idx="239">
                  <c:v>1.5549999999999999</c:v>
                </c:pt>
                <c:pt idx="240">
                  <c:v>1.56</c:v>
                </c:pt>
                <c:pt idx="241">
                  <c:v>1.5640000000000001</c:v>
                </c:pt>
                <c:pt idx="242">
                  <c:v>1.56</c:v>
                </c:pt>
                <c:pt idx="243">
                  <c:v>1.5569999999999999</c:v>
                </c:pt>
                <c:pt idx="244">
                  <c:v>1.5549999999999999</c:v>
                </c:pt>
                <c:pt idx="245">
                  <c:v>1.5549999999999999</c:v>
                </c:pt>
                <c:pt idx="246">
                  <c:v>1.5569999999999999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history_chart!$CB$5</c:f>
              <c:strCache>
                <c:ptCount val="1"/>
                <c:pt idx="0">
                  <c:v>3사평균 회사채AA+(공모/무보증)</c:v>
                </c:pt>
              </c:strCache>
            </c:strRef>
          </c:tx>
          <c:spPr>
            <a:ln w="22225">
              <a:solidFill>
                <a:srgbClr val="FF660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numRef>
              <c:f>history_chart!$BZ$10:$BZ$256</c:f>
              <c:numCache>
                <c:formatCode>m/d/yyyy</c:formatCode>
                <c:ptCount val="247"/>
                <c:pt idx="0">
                  <c:v>44943</c:v>
                </c:pt>
                <c:pt idx="1">
                  <c:v>44942</c:v>
                </c:pt>
                <c:pt idx="2">
                  <c:v>44939</c:v>
                </c:pt>
                <c:pt idx="3">
                  <c:v>44938</c:v>
                </c:pt>
                <c:pt idx="4">
                  <c:v>44937</c:v>
                </c:pt>
                <c:pt idx="5">
                  <c:v>44936</c:v>
                </c:pt>
                <c:pt idx="6">
                  <c:v>44935</c:v>
                </c:pt>
                <c:pt idx="7">
                  <c:v>44932</c:v>
                </c:pt>
                <c:pt idx="8">
                  <c:v>44931</c:v>
                </c:pt>
                <c:pt idx="9">
                  <c:v>44930</c:v>
                </c:pt>
                <c:pt idx="10">
                  <c:v>44929</c:v>
                </c:pt>
                <c:pt idx="11">
                  <c:v>44928</c:v>
                </c:pt>
                <c:pt idx="12">
                  <c:v>44925</c:v>
                </c:pt>
                <c:pt idx="13">
                  <c:v>44924</c:v>
                </c:pt>
                <c:pt idx="14">
                  <c:v>44923</c:v>
                </c:pt>
                <c:pt idx="15">
                  <c:v>44922</c:v>
                </c:pt>
                <c:pt idx="16">
                  <c:v>44921</c:v>
                </c:pt>
                <c:pt idx="17">
                  <c:v>44918</c:v>
                </c:pt>
                <c:pt idx="18">
                  <c:v>44917</c:v>
                </c:pt>
                <c:pt idx="19">
                  <c:v>44916</c:v>
                </c:pt>
                <c:pt idx="20">
                  <c:v>44915</c:v>
                </c:pt>
                <c:pt idx="21">
                  <c:v>44914</c:v>
                </c:pt>
                <c:pt idx="22">
                  <c:v>44911</c:v>
                </c:pt>
                <c:pt idx="23">
                  <c:v>44910</c:v>
                </c:pt>
                <c:pt idx="24">
                  <c:v>44909</c:v>
                </c:pt>
                <c:pt idx="25">
                  <c:v>44908</c:v>
                </c:pt>
                <c:pt idx="26">
                  <c:v>44907</c:v>
                </c:pt>
                <c:pt idx="27">
                  <c:v>44904</c:v>
                </c:pt>
                <c:pt idx="28">
                  <c:v>44903</c:v>
                </c:pt>
                <c:pt idx="29">
                  <c:v>44902</c:v>
                </c:pt>
                <c:pt idx="30">
                  <c:v>44901</c:v>
                </c:pt>
                <c:pt idx="31">
                  <c:v>44900</c:v>
                </c:pt>
                <c:pt idx="32">
                  <c:v>44897</c:v>
                </c:pt>
                <c:pt idx="33">
                  <c:v>44896</c:v>
                </c:pt>
                <c:pt idx="34">
                  <c:v>44895</c:v>
                </c:pt>
                <c:pt idx="35">
                  <c:v>44894</c:v>
                </c:pt>
                <c:pt idx="36">
                  <c:v>44893</c:v>
                </c:pt>
                <c:pt idx="37">
                  <c:v>44890</c:v>
                </c:pt>
                <c:pt idx="38">
                  <c:v>44889</c:v>
                </c:pt>
                <c:pt idx="39">
                  <c:v>44888</c:v>
                </c:pt>
                <c:pt idx="40">
                  <c:v>44887</c:v>
                </c:pt>
                <c:pt idx="41">
                  <c:v>44886</c:v>
                </c:pt>
                <c:pt idx="42">
                  <c:v>44883</c:v>
                </c:pt>
                <c:pt idx="43">
                  <c:v>44882</c:v>
                </c:pt>
                <c:pt idx="44">
                  <c:v>44881</c:v>
                </c:pt>
                <c:pt idx="45">
                  <c:v>44880</c:v>
                </c:pt>
                <c:pt idx="46">
                  <c:v>44879</c:v>
                </c:pt>
                <c:pt idx="47">
                  <c:v>44876</c:v>
                </c:pt>
                <c:pt idx="48">
                  <c:v>44875</c:v>
                </c:pt>
                <c:pt idx="49">
                  <c:v>44874</c:v>
                </c:pt>
                <c:pt idx="50">
                  <c:v>44873</c:v>
                </c:pt>
                <c:pt idx="51">
                  <c:v>44872</c:v>
                </c:pt>
                <c:pt idx="52">
                  <c:v>44869</c:v>
                </c:pt>
                <c:pt idx="53">
                  <c:v>44868</c:v>
                </c:pt>
                <c:pt idx="54">
                  <c:v>44867</c:v>
                </c:pt>
                <c:pt idx="55">
                  <c:v>44866</c:v>
                </c:pt>
                <c:pt idx="56">
                  <c:v>44865</c:v>
                </c:pt>
                <c:pt idx="57">
                  <c:v>44862</c:v>
                </c:pt>
                <c:pt idx="58">
                  <c:v>44861</c:v>
                </c:pt>
                <c:pt idx="59">
                  <c:v>44860</c:v>
                </c:pt>
                <c:pt idx="60">
                  <c:v>44859</c:v>
                </c:pt>
                <c:pt idx="61">
                  <c:v>44858</c:v>
                </c:pt>
                <c:pt idx="62">
                  <c:v>44855</c:v>
                </c:pt>
                <c:pt idx="63">
                  <c:v>44854</c:v>
                </c:pt>
                <c:pt idx="64">
                  <c:v>44853</c:v>
                </c:pt>
                <c:pt idx="65">
                  <c:v>44852</c:v>
                </c:pt>
                <c:pt idx="66">
                  <c:v>44851</c:v>
                </c:pt>
                <c:pt idx="67">
                  <c:v>44848</c:v>
                </c:pt>
                <c:pt idx="68">
                  <c:v>44847</c:v>
                </c:pt>
                <c:pt idx="69">
                  <c:v>44846</c:v>
                </c:pt>
                <c:pt idx="70">
                  <c:v>44845</c:v>
                </c:pt>
                <c:pt idx="71">
                  <c:v>44841</c:v>
                </c:pt>
                <c:pt idx="72">
                  <c:v>44840</c:v>
                </c:pt>
                <c:pt idx="73">
                  <c:v>44839</c:v>
                </c:pt>
                <c:pt idx="74">
                  <c:v>44838</c:v>
                </c:pt>
                <c:pt idx="75">
                  <c:v>44834</c:v>
                </c:pt>
                <c:pt idx="76">
                  <c:v>44833</c:v>
                </c:pt>
                <c:pt idx="77">
                  <c:v>44832</c:v>
                </c:pt>
                <c:pt idx="78">
                  <c:v>44831</c:v>
                </c:pt>
                <c:pt idx="79">
                  <c:v>44830</c:v>
                </c:pt>
                <c:pt idx="80">
                  <c:v>44827</c:v>
                </c:pt>
                <c:pt idx="81">
                  <c:v>44826</c:v>
                </c:pt>
                <c:pt idx="82">
                  <c:v>44825</c:v>
                </c:pt>
                <c:pt idx="83">
                  <c:v>44824</c:v>
                </c:pt>
                <c:pt idx="84">
                  <c:v>44823</c:v>
                </c:pt>
                <c:pt idx="85">
                  <c:v>44820</c:v>
                </c:pt>
                <c:pt idx="86">
                  <c:v>44819</c:v>
                </c:pt>
                <c:pt idx="87">
                  <c:v>44818</c:v>
                </c:pt>
                <c:pt idx="88">
                  <c:v>44817</c:v>
                </c:pt>
                <c:pt idx="89">
                  <c:v>44812</c:v>
                </c:pt>
                <c:pt idx="90">
                  <c:v>44811</c:v>
                </c:pt>
                <c:pt idx="91">
                  <c:v>44810</c:v>
                </c:pt>
                <c:pt idx="92">
                  <c:v>44809</c:v>
                </c:pt>
                <c:pt idx="93">
                  <c:v>44806</c:v>
                </c:pt>
                <c:pt idx="94">
                  <c:v>44805</c:v>
                </c:pt>
                <c:pt idx="95">
                  <c:v>44804</c:v>
                </c:pt>
                <c:pt idx="96">
                  <c:v>44803</c:v>
                </c:pt>
                <c:pt idx="97">
                  <c:v>44802</c:v>
                </c:pt>
                <c:pt idx="98">
                  <c:v>44799</c:v>
                </c:pt>
                <c:pt idx="99">
                  <c:v>44798</c:v>
                </c:pt>
                <c:pt idx="100">
                  <c:v>44797</c:v>
                </c:pt>
                <c:pt idx="101">
                  <c:v>44796</c:v>
                </c:pt>
                <c:pt idx="102">
                  <c:v>44795</c:v>
                </c:pt>
                <c:pt idx="103">
                  <c:v>44792</c:v>
                </c:pt>
                <c:pt idx="104">
                  <c:v>44791</c:v>
                </c:pt>
                <c:pt idx="105">
                  <c:v>44790</c:v>
                </c:pt>
                <c:pt idx="106">
                  <c:v>44789</c:v>
                </c:pt>
                <c:pt idx="107">
                  <c:v>44785</c:v>
                </c:pt>
                <c:pt idx="108">
                  <c:v>44784</c:v>
                </c:pt>
                <c:pt idx="109">
                  <c:v>44783</c:v>
                </c:pt>
                <c:pt idx="110">
                  <c:v>44782</c:v>
                </c:pt>
                <c:pt idx="111">
                  <c:v>44781</c:v>
                </c:pt>
                <c:pt idx="112">
                  <c:v>44778</c:v>
                </c:pt>
                <c:pt idx="113">
                  <c:v>44777</c:v>
                </c:pt>
                <c:pt idx="114">
                  <c:v>44776</c:v>
                </c:pt>
                <c:pt idx="115">
                  <c:v>44775</c:v>
                </c:pt>
                <c:pt idx="116">
                  <c:v>44774</c:v>
                </c:pt>
                <c:pt idx="117">
                  <c:v>44771</c:v>
                </c:pt>
                <c:pt idx="118">
                  <c:v>44770</c:v>
                </c:pt>
                <c:pt idx="119">
                  <c:v>44769</c:v>
                </c:pt>
                <c:pt idx="120">
                  <c:v>44768</c:v>
                </c:pt>
                <c:pt idx="121">
                  <c:v>44767</c:v>
                </c:pt>
                <c:pt idx="122">
                  <c:v>44764</c:v>
                </c:pt>
                <c:pt idx="123">
                  <c:v>44763</c:v>
                </c:pt>
                <c:pt idx="124">
                  <c:v>44762</c:v>
                </c:pt>
                <c:pt idx="125">
                  <c:v>44761</c:v>
                </c:pt>
                <c:pt idx="126">
                  <c:v>44760</c:v>
                </c:pt>
                <c:pt idx="127">
                  <c:v>44757</c:v>
                </c:pt>
                <c:pt idx="128">
                  <c:v>44756</c:v>
                </c:pt>
                <c:pt idx="129">
                  <c:v>44755</c:v>
                </c:pt>
                <c:pt idx="130">
                  <c:v>44754</c:v>
                </c:pt>
                <c:pt idx="131">
                  <c:v>44753</c:v>
                </c:pt>
                <c:pt idx="132">
                  <c:v>44750</c:v>
                </c:pt>
                <c:pt idx="133">
                  <c:v>44749</c:v>
                </c:pt>
                <c:pt idx="134">
                  <c:v>44748</c:v>
                </c:pt>
                <c:pt idx="135">
                  <c:v>44747</c:v>
                </c:pt>
                <c:pt idx="136">
                  <c:v>44746</c:v>
                </c:pt>
                <c:pt idx="137">
                  <c:v>44743</c:v>
                </c:pt>
                <c:pt idx="138">
                  <c:v>44742</c:v>
                </c:pt>
                <c:pt idx="139">
                  <c:v>44741</c:v>
                </c:pt>
                <c:pt idx="140">
                  <c:v>44740</c:v>
                </c:pt>
                <c:pt idx="141">
                  <c:v>44739</c:v>
                </c:pt>
                <c:pt idx="142">
                  <c:v>44736</c:v>
                </c:pt>
                <c:pt idx="143">
                  <c:v>44735</c:v>
                </c:pt>
                <c:pt idx="144">
                  <c:v>44734</c:v>
                </c:pt>
                <c:pt idx="145">
                  <c:v>44733</c:v>
                </c:pt>
                <c:pt idx="146">
                  <c:v>44732</c:v>
                </c:pt>
                <c:pt idx="147">
                  <c:v>44729</c:v>
                </c:pt>
                <c:pt idx="148">
                  <c:v>44728</c:v>
                </c:pt>
                <c:pt idx="149">
                  <c:v>44727</c:v>
                </c:pt>
                <c:pt idx="150">
                  <c:v>44726</c:v>
                </c:pt>
                <c:pt idx="151">
                  <c:v>44725</c:v>
                </c:pt>
                <c:pt idx="152">
                  <c:v>44722</c:v>
                </c:pt>
                <c:pt idx="153">
                  <c:v>44721</c:v>
                </c:pt>
                <c:pt idx="154">
                  <c:v>44720</c:v>
                </c:pt>
                <c:pt idx="155">
                  <c:v>44719</c:v>
                </c:pt>
                <c:pt idx="156">
                  <c:v>44715</c:v>
                </c:pt>
                <c:pt idx="157">
                  <c:v>44714</c:v>
                </c:pt>
                <c:pt idx="158">
                  <c:v>44712</c:v>
                </c:pt>
                <c:pt idx="159">
                  <c:v>44711</c:v>
                </c:pt>
                <c:pt idx="160">
                  <c:v>44708</c:v>
                </c:pt>
                <c:pt idx="161">
                  <c:v>44707</c:v>
                </c:pt>
                <c:pt idx="162">
                  <c:v>44706</c:v>
                </c:pt>
                <c:pt idx="163">
                  <c:v>44705</c:v>
                </c:pt>
                <c:pt idx="164">
                  <c:v>44704</c:v>
                </c:pt>
                <c:pt idx="165">
                  <c:v>44701</c:v>
                </c:pt>
                <c:pt idx="166">
                  <c:v>44700</c:v>
                </c:pt>
                <c:pt idx="167">
                  <c:v>44699</c:v>
                </c:pt>
                <c:pt idx="168">
                  <c:v>44698</c:v>
                </c:pt>
                <c:pt idx="169">
                  <c:v>44697</c:v>
                </c:pt>
                <c:pt idx="170">
                  <c:v>44694</c:v>
                </c:pt>
                <c:pt idx="171">
                  <c:v>44693</c:v>
                </c:pt>
                <c:pt idx="172">
                  <c:v>44692</c:v>
                </c:pt>
                <c:pt idx="173">
                  <c:v>44691</c:v>
                </c:pt>
                <c:pt idx="174">
                  <c:v>44690</c:v>
                </c:pt>
                <c:pt idx="175">
                  <c:v>44687</c:v>
                </c:pt>
                <c:pt idx="176">
                  <c:v>44685</c:v>
                </c:pt>
                <c:pt idx="177">
                  <c:v>44684</c:v>
                </c:pt>
                <c:pt idx="178">
                  <c:v>44683</c:v>
                </c:pt>
                <c:pt idx="179">
                  <c:v>44680</c:v>
                </c:pt>
                <c:pt idx="180">
                  <c:v>44679</c:v>
                </c:pt>
                <c:pt idx="181">
                  <c:v>44678</c:v>
                </c:pt>
                <c:pt idx="182">
                  <c:v>44677</c:v>
                </c:pt>
                <c:pt idx="183">
                  <c:v>44676</c:v>
                </c:pt>
                <c:pt idx="184">
                  <c:v>44673</c:v>
                </c:pt>
                <c:pt idx="185">
                  <c:v>44672</c:v>
                </c:pt>
                <c:pt idx="186">
                  <c:v>44671</c:v>
                </c:pt>
                <c:pt idx="187">
                  <c:v>44670</c:v>
                </c:pt>
                <c:pt idx="188">
                  <c:v>44669</c:v>
                </c:pt>
                <c:pt idx="189">
                  <c:v>44666</c:v>
                </c:pt>
                <c:pt idx="190">
                  <c:v>44665</c:v>
                </c:pt>
                <c:pt idx="191">
                  <c:v>44664</c:v>
                </c:pt>
                <c:pt idx="192">
                  <c:v>44663</c:v>
                </c:pt>
                <c:pt idx="193">
                  <c:v>44662</c:v>
                </c:pt>
                <c:pt idx="194">
                  <c:v>44659</c:v>
                </c:pt>
                <c:pt idx="195">
                  <c:v>44658</c:v>
                </c:pt>
                <c:pt idx="196">
                  <c:v>44657</c:v>
                </c:pt>
                <c:pt idx="197">
                  <c:v>44656</c:v>
                </c:pt>
                <c:pt idx="198">
                  <c:v>44655</c:v>
                </c:pt>
                <c:pt idx="199">
                  <c:v>44652</c:v>
                </c:pt>
                <c:pt idx="200">
                  <c:v>44651</c:v>
                </c:pt>
                <c:pt idx="201">
                  <c:v>44650</c:v>
                </c:pt>
                <c:pt idx="202">
                  <c:v>44649</c:v>
                </c:pt>
                <c:pt idx="203">
                  <c:v>44648</c:v>
                </c:pt>
                <c:pt idx="204">
                  <c:v>44645</c:v>
                </c:pt>
                <c:pt idx="205">
                  <c:v>44644</c:v>
                </c:pt>
                <c:pt idx="206">
                  <c:v>44643</c:v>
                </c:pt>
                <c:pt idx="207">
                  <c:v>44642</c:v>
                </c:pt>
                <c:pt idx="208">
                  <c:v>44641</c:v>
                </c:pt>
                <c:pt idx="209">
                  <c:v>44638</c:v>
                </c:pt>
                <c:pt idx="210">
                  <c:v>44637</c:v>
                </c:pt>
                <c:pt idx="211">
                  <c:v>44636</c:v>
                </c:pt>
                <c:pt idx="212">
                  <c:v>44635</c:v>
                </c:pt>
                <c:pt idx="213">
                  <c:v>44634</c:v>
                </c:pt>
                <c:pt idx="214">
                  <c:v>44631</c:v>
                </c:pt>
                <c:pt idx="215">
                  <c:v>44630</c:v>
                </c:pt>
                <c:pt idx="216">
                  <c:v>44628</c:v>
                </c:pt>
                <c:pt idx="217">
                  <c:v>44627</c:v>
                </c:pt>
                <c:pt idx="218">
                  <c:v>44624</c:v>
                </c:pt>
                <c:pt idx="219">
                  <c:v>44623</c:v>
                </c:pt>
                <c:pt idx="220">
                  <c:v>44622</c:v>
                </c:pt>
                <c:pt idx="221">
                  <c:v>44620</c:v>
                </c:pt>
                <c:pt idx="222">
                  <c:v>44617</c:v>
                </c:pt>
                <c:pt idx="223">
                  <c:v>44616</c:v>
                </c:pt>
                <c:pt idx="224">
                  <c:v>44615</c:v>
                </c:pt>
                <c:pt idx="225">
                  <c:v>44614</c:v>
                </c:pt>
                <c:pt idx="226">
                  <c:v>44613</c:v>
                </c:pt>
                <c:pt idx="227">
                  <c:v>44610</c:v>
                </c:pt>
                <c:pt idx="228">
                  <c:v>44609</c:v>
                </c:pt>
                <c:pt idx="229">
                  <c:v>44608</c:v>
                </c:pt>
                <c:pt idx="230">
                  <c:v>44607</c:v>
                </c:pt>
                <c:pt idx="231">
                  <c:v>44606</c:v>
                </c:pt>
                <c:pt idx="232">
                  <c:v>44603</c:v>
                </c:pt>
                <c:pt idx="233">
                  <c:v>44602</c:v>
                </c:pt>
                <c:pt idx="234">
                  <c:v>44601</c:v>
                </c:pt>
                <c:pt idx="235">
                  <c:v>44600</c:v>
                </c:pt>
                <c:pt idx="236">
                  <c:v>44599</c:v>
                </c:pt>
                <c:pt idx="237">
                  <c:v>44596</c:v>
                </c:pt>
                <c:pt idx="238">
                  <c:v>44595</c:v>
                </c:pt>
                <c:pt idx="239">
                  <c:v>44589</c:v>
                </c:pt>
                <c:pt idx="240">
                  <c:v>44588</c:v>
                </c:pt>
                <c:pt idx="241">
                  <c:v>44587</c:v>
                </c:pt>
                <c:pt idx="242">
                  <c:v>44586</c:v>
                </c:pt>
                <c:pt idx="243">
                  <c:v>44585</c:v>
                </c:pt>
                <c:pt idx="244">
                  <c:v>44582</c:v>
                </c:pt>
                <c:pt idx="245">
                  <c:v>44581</c:v>
                </c:pt>
                <c:pt idx="246">
                  <c:v>44580</c:v>
                </c:pt>
              </c:numCache>
            </c:numRef>
          </c:cat>
          <c:val>
            <c:numRef>
              <c:f>history_chart!$CB$10:$CB$256</c:f>
              <c:numCache>
                <c:formatCode>General</c:formatCode>
                <c:ptCount val="247"/>
                <c:pt idx="0">
                  <c:v>4.2140000000000004</c:v>
                </c:pt>
                <c:pt idx="1">
                  <c:v>4.242</c:v>
                </c:pt>
                <c:pt idx="2">
                  <c:v>4.274</c:v>
                </c:pt>
                <c:pt idx="3">
                  <c:v>4.2539999999999996</c:v>
                </c:pt>
                <c:pt idx="4">
                  <c:v>4.26</c:v>
                </c:pt>
                <c:pt idx="5">
                  <c:v>4.2850000000000001</c:v>
                </c:pt>
                <c:pt idx="6">
                  <c:v>4.3090000000000002</c:v>
                </c:pt>
                <c:pt idx="7">
                  <c:v>4.3570000000000002</c:v>
                </c:pt>
                <c:pt idx="8">
                  <c:v>4.3890000000000002</c:v>
                </c:pt>
                <c:pt idx="9">
                  <c:v>4.4340000000000002</c:v>
                </c:pt>
                <c:pt idx="10">
                  <c:v>4.5039999999999996</c:v>
                </c:pt>
                <c:pt idx="11">
                  <c:v>4.5789999999999997</c:v>
                </c:pt>
                <c:pt idx="12">
                  <c:v>4.609</c:v>
                </c:pt>
                <c:pt idx="13">
                  <c:v>4.609</c:v>
                </c:pt>
                <c:pt idx="14">
                  <c:v>4.617</c:v>
                </c:pt>
                <c:pt idx="15">
                  <c:v>4.625</c:v>
                </c:pt>
                <c:pt idx="16">
                  <c:v>4.6440000000000001</c:v>
                </c:pt>
                <c:pt idx="17">
                  <c:v>4.6470000000000002</c:v>
                </c:pt>
                <c:pt idx="18">
                  <c:v>4.63</c:v>
                </c:pt>
                <c:pt idx="19">
                  <c:v>4.6440000000000001</c:v>
                </c:pt>
                <c:pt idx="20">
                  <c:v>4.6520000000000001</c:v>
                </c:pt>
                <c:pt idx="21">
                  <c:v>4.6239999999999997</c:v>
                </c:pt>
                <c:pt idx="22">
                  <c:v>4.625</c:v>
                </c:pt>
                <c:pt idx="23">
                  <c:v>4.6239999999999997</c:v>
                </c:pt>
                <c:pt idx="24">
                  <c:v>4.6219999999999999</c:v>
                </c:pt>
                <c:pt idx="25">
                  <c:v>4.6239999999999997</c:v>
                </c:pt>
                <c:pt idx="26">
                  <c:v>4.5970000000000004</c:v>
                </c:pt>
                <c:pt idx="27">
                  <c:v>4.5860000000000003</c:v>
                </c:pt>
                <c:pt idx="28">
                  <c:v>4.5789999999999997</c:v>
                </c:pt>
                <c:pt idx="29">
                  <c:v>4.5629999999999997</c:v>
                </c:pt>
                <c:pt idx="30">
                  <c:v>4.5389999999999997</c:v>
                </c:pt>
                <c:pt idx="31">
                  <c:v>4.5279999999999996</c:v>
                </c:pt>
                <c:pt idx="32">
                  <c:v>4.5339999999999998</c:v>
                </c:pt>
                <c:pt idx="33">
                  <c:v>4.5609999999999999</c:v>
                </c:pt>
                <c:pt idx="34">
                  <c:v>4.609</c:v>
                </c:pt>
                <c:pt idx="35">
                  <c:v>4.5940000000000003</c:v>
                </c:pt>
                <c:pt idx="36">
                  <c:v>4.5679999999999996</c:v>
                </c:pt>
                <c:pt idx="37">
                  <c:v>4.5510000000000002</c:v>
                </c:pt>
                <c:pt idx="38">
                  <c:v>4.5339999999999998</c:v>
                </c:pt>
                <c:pt idx="39">
                  <c:v>4.5129999999999999</c:v>
                </c:pt>
                <c:pt idx="40">
                  <c:v>4.5060000000000002</c:v>
                </c:pt>
                <c:pt idx="41">
                  <c:v>4.5060000000000002</c:v>
                </c:pt>
                <c:pt idx="42">
                  <c:v>4.4960000000000004</c:v>
                </c:pt>
                <c:pt idx="43">
                  <c:v>4.4960000000000004</c:v>
                </c:pt>
                <c:pt idx="44">
                  <c:v>4.4809999999999999</c:v>
                </c:pt>
                <c:pt idx="45">
                  <c:v>4.4459999999999997</c:v>
                </c:pt>
                <c:pt idx="46">
                  <c:v>4.4489999999999998</c:v>
                </c:pt>
                <c:pt idx="47">
                  <c:v>4.4279999999999999</c:v>
                </c:pt>
                <c:pt idx="48">
                  <c:v>4.444</c:v>
                </c:pt>
                <c:pt idx="49">
                  <c:v>4.423</c:v>
                </c:pt>
                <c:pt idx="50">
                  <c:v>4.4029999999999996</c:v>
                </c:pt>
                <c:pt idx="51">
                  <c:v>4.3879999999999999</c:v>
                </c:pt>
                <c:pt idx="52">
                  <c:v>4.3659999999999997</c:v>
                </c:pt>
                <c:pt idx="53">
                  <c:v>4.3440000000000003</c:v>
                </c:pt>
                <c:pt idx="54">
                  <c:v>4.3010000000000002</c:v>
                </c:pt>
                <c:pt idx="55">
                  <c:v>4.2590000000000003</c:v>
                </c:pt>
                <c:pt idx="56">
                  <c:v>4.2439999999999998</c:v>
                </c:pt>
                <c:pt idx="57">
                  <c:v>4.2130000000000001</c:v>
                </c:pt>
                <c:pt idx="58">
                  <c:v>4.2009999999999996</c:v>
                </c:pt>
                <c:pt idx="59">
                  <c:v>4.1539999999999999</c:v>
                </c:pt>
                <c:pt idx="60">
                  <c:v>4.093</c:v>
                </c:pt>
                <c:pt idx="61">
                  <c:v>4.069</c:v>
                </c:pt>
                <c:pt idx="62">
                  <c:v>4.0430000000000001</c:v>
                </c:pt>
                <c:pt idx="63">
                  <c:v>3.956</c:v>
                </c:pt>
                <c:pt idx="64">
                  <c:v>3.919</c:v>
                </c:pt>
                <c:pt idx="65">
                  <c:v>3.8679999999999999</c:v>
                </c:pt>
                <c:pt idx="66">
                  <c:v>3.839</c:v>
                </c:pt>
                <c:pt idx="67">
                  <c:v>3.819</c:v>
                </c:pt>
                <c:pt idx="68">
                  <c:v>3.7959999999999998</c:v>
                </c:pt>
                <c:pt idx="69">
                  <c:v>3.7610000000000001</c:v>
                </c:pt>
                <c:pt idx="70">
                  <c:v>3.621</c:v>
                </c:pt>
                <c:pt idx="71">
                  <c:v>3.5590000000000002</c:v>
                </c:pt>
                <c:pt idx="72">
                  <c:v>3.5430000000000001</c:v>
                </c:pt>
                <c:pt idx="73">
                  <c:v>3.5390000000000001</c:v>
                </c:pt>
                <c:pt idx="74">
                  <c:v>3.5129999999999999</c:v>
                </c:pt>
                <c:pt idx="75">
                  <c:v>3.5190000000000001</c:v>
                </c:pt>
                <c:pt idx="76">
                  <c:v>3.5459999999999998</c:v>
                </c:pt>
                <c:pt idx="77">
                  <c:v>3.5830000000000002</c:v>
                </c:pt>
                <c:pt idx="78">
                  <c:v>3.5579999999999998</c:v>
                </c:pt>
                <c:pt idx="79">
                  <c:v>3.5539999999999998</c:v>
                </c:pt>
                <c:pt idx="80">
                  <c:v>3.464</c:v>
                </c:pt>
                <c:pt idx="81">
                  <c:v>3.4239999999999999</c:v>
                </c:pt>
                <c:pt idx="82">
                  <c:v>3.3029999999999999</c:v>
                </c:pt>
                <c:pt idx="83">
                  <c:v>3.2989999999999999</c:v>
                </c:pt>
                <c:pt idx="84">
                  <c:v>3.278</c:v>
                </c:pt>
                <c:pt idx="85">
                  <c:v>3.2839999999999998</c:v>
                </c:pt>
                <c:pt idx="86">
                  <c:v>3.2829999999999999</c:v>
                </c:pt>
                <c:pt idx="87">
                  <c:v>3.266</c:v>
                </c:pt>
                <c:pt idx="88">
                  <c:v>3.254</c:v>
                </c:pt>
                <c:pt idx="89">
                  <c:v>3.2490000000000001</c:v>
                </c:pt>
                <c:pt idx="90">
                  <c:v>3.258</c:v>
                </c:pt>
                <c:pt idx="91">
                  <c:v>3.2589999999999999</c:v>
                </c:pt>
                <c:pt idx="92">
                  <c:v>3.2610000000000001</c:v>
                </c:pt>
                <c:pt idx="93">
                  <c:v>3.2679999999999998</c:v>
                </c:pt>
                <c:pt idx="94">
                  <c:v>3.2810000000000001</c:v>
                </c:pt>
                <c:pt idx="95">
                  <c:v>3.2639999999999998</c:v>
                </c:pt>
                <c:pt idx="96">
                  <c:v>3.2530000000000001</c:v>
                </c:pt>
                <c:pt idx="97">
                  <c:v>3.2589999999999999</c:v>
                </c:pt>
                <c:pt idx="98">
                  <c:v>3.2309999999999999</c:v>
                </c:pt>
                <c:pt idx="99">
                  <c:v>3.2330000000000001</c:v>
                </c:pt>
                <c:pt idx="100">
                  <c:v>3.1339999999999999</c:v>
                </c:pt>
                <c:pt idx="101">
                  <c:v>3.081</c:v>
                </c:pt>
                <c:pt idx="102">
                  <c:v>3.056</c:v>
                </c:pt>
                <c:pt idx="103">
                  <c:v>3.0329999999999999</c:v>
                </c:pt>
                <c:pt idx="104">
                  <c:v>3.0209999999999999</c:v>
                </c:pt>
                <c:pt idx="105">
                  <c:v>3.0230000000000001</c:v>
                </c:pt>
                <c:pt idx="106">
                  <c:v>3.0230000000000001</c:v>
                </c:pt>
                <c:pt idx="107">
                  <c:v>3.0310000000000001</c:v>
                </c:pt>
                <c:pt idx="108">
                  <c:v>3.008</c:v>
                </c:pt>
                <c:pt idx="109">
                  <c:v>3.0070000000000001</c:v>
                </c:pt>
                <c:pt idx="110">
                  <c:v>3.0049999999999999</c:v>
                </c:pt>
                <c:pt idx="111">
                  <c:v>3.0030000000000001</c:v>
                </c:pt>
                <c:pt idx="112">
                  <c:v>2.988</c:v>
                </c:pt>
                <c:pt idx="113">
                  <c:v>2.9889999999999999</c:v>
                </c:pt>
                <c:pt idx="114">
                  <c:v>2.9889999999999999</c:v>
                </c:pt>
                <c:pt idx="115">
                  <c:v>2.988</c:v>
                </c:pt>
                <c:pt idx="116">
                  <c:v>2.996</c:v>
                </c:pt>
                <c:pt idx="117">
                  <c:v>2.976</c:v>
                </c:pt>
                <c:pt idx="118">
                  <c:v>2.9790000000000001</c:v>
                </c:pt>
                <c:pt idx="119">
                  <c:v>2.964</c:v>
                </c:pt>
                <c:pt idx="120">
                  <c:v>2.956</c:v>
                </c:pt>
                <c:pt idx="121">
                  <c:v>2.944</c:v>
                </c:pt>
                <c:pt idx="122">
                  <c:v>2.9430000000000001</c:v>
                </c:pt>
                <c:pt idx="123">
                  <c:v>2.948</c:v>
                </c:pt>
                <c:pt idx="124">
                  <c:v>2.9430000000000001</c:v>
                </c:pt>
                <c:pt idx="125">
                  <c:v>2.9289999999999998</c:v>
                </c:pt>
                <c:pt idx="126">
                  <c:v>2.9239999999999999</c:v>
                </c:pt>
                <c:pt idx="127">
                  <c:v>2.9159999999999999</c:v>
                </c:pt>
                <c:pt idx="128">
                  <c:v>2.911</c:v>
                </c:pt>
                <c:pt idx="129">
                  <c:v>2.8889999999999998</c:v>
                </c:pt>
                <c:pt idx="130">
                  <c:v>2.7959999999999998</c:v>
                </c:pt>
                <c:pt idx="131">
                  <c:v>2.7610000000000001</c:v>
                </c:pt>
                <c:pt idx="132">
                  <c:v>2.7389999999999999</c:v>
                </c:pt>
                <c:pt idx="133">
                  <c:v>2.718</c:v>
                </c:pt>
                <c:pt idx="134">
                  <c:v>2.6930000000000001</c:v>
                </c:pt>
                <c:pt idx="135">
                  <c:v>2.6909999999999998</c:v>
                </c:pt>
                <c:pt idx="136">
                  <c:v>2.6840000000000002</c:v>
                </c:pt>
                <c:pt idx="137">
                  <c:v>2.6659999999999999</c:v>
                </c:pt>
                <c:pt idx="138">
                  <c:v>2.629</c:v>
                </c:pt>
                <c:pt idx="139">
                  <c:v>2.5910000000000002</c:v>
                </c:pt>
                <c:pt idx="140">
                  <c:v>2.573</c:v>
                </c:pt>
                <c:pt idx="141">
                  <c:v>2.548</c:v>
                </c:pt>
                <c:pt idx="142">
                  <c:v>2.5209999999999999</c:v>
                </c:pt>
                <c:pt idx="143">
                  <c:v>2.508</c:v>
                </c:pt>
                <c:pt idx="144">
                  <c:v>2.4929999999999999</c:v>
                </c:pt>
                <c:pt idx="145">
                  <c:v>2.4860000000000002</c:v>
                </c:pt>
                <c:pt idx="146">
                  <c:v>2.4809999999999999</c:v>
                </c:pt>
                <c:pt idx="147">
                  <c:v>2.4809999999999999</c:v>
                </c:pt>
                <c:pt idx="148">
                  <c:v>2.4630000000000001</c:v>
                </c:pt>
                <c:pt idx="149">
                  <c:v>2.4260000000000002</c:v>
                </c:pt>
                <c:pt idx="150">
                  <c:v>2.3559999999999999</c:v>
                </c:pt>
                <c:pt idx="151">
                  <c:v>2.339</c:v>
                </c:pt>
                <c:pt idx="152">
                  <c:v>2.3029999999999999</c:v>
                </c:pt>
                <c:pt idx="153">
                  <c:v>2.3029999999999999</c:v>
                </c:pt>
                <c:pt idx="154">
                  <c:v>2.3039999999999998</c:v>
                </c:pt>
                <c:pt idx="155">
                  <c:v>2.3079999999999998</c:v>
                </c:pt>
                <c:pt idx="156">
                  <c:v>2.3029999999999999</c:v>
                </c:pt>
                <c:pt idx="157">
                  <c:v>2.3029999999999999</c:v>
                </c:pt>
                <c:pt idx="158">
                  <c:v>2.298</c:v>
                </c:pt>
                <c:pt idx="159">
                  <c:v>2.2879999999999998</c:v>
                </c:pt>
                <c:pt idx="160">
                  <c:v>2.2879999999999998</c:v>
                </c:pt>
                <c:pt idx="161">
                  <c:v>2.2759999999999998</c:v>
                </c:pt>
                <c:pt idx="162">
                  <c:v>2.1389999999999998</c:v>
                </c:pt>
                <c:pt idx="163">
                  <c:v>2.121</c:v>
                </c:pt>
                <c:pt idx="164">
                  <c:v>2.1110000000000002</c:v>
                </c:pt>
                <c:pt idx="165">
                  <c:v>2.0979999999999999</c:v>
                </c:pt>
                <c:pt idx="166">
                  <c:v>2.0920000000000001</c:v>
                </c:pt>
                <c:pt idx="167">
                  <c:v>2.0840000000000001</c:v>
                </c:pt>
                <c:pt idx="168">
                  <c:v>2.0739999999999998</c:v>
                </c:pt>
                <c:pt idx="169">
                  <c:v>2.0579999999999998</c:v>
                </c:pt>
                <c:pt idx="170">
                  <c:v>2.0329999999999999</c:v>
                </c:pt>
                <c:pt idx="171">
                  <c:v>2.016</c:v>
                </c:pt>
                <c:pt idx="172">
                  <c:v>2.0150000000000001</c:v>
                </c:pt>
                <c:pt idx="173">
                  <c:v>2.0110000000000001</c:v>
                </c:pt>
                <c:pt idx="174">
                  <c:v>2.0110000000000001</c:v>
                </c:pt>
                <c:pt idx="175">
                  <c:v>2.0129999999999999</c:v>
                </c:pt>
                <c:pt idx="176">
                  <c:v>2.0129999999999999</c:v>
                </c:pt>
                <c:pt idx="177">
                  <c:v>2.0230000000000001</c:v>
                </c:pt>
                <c:pt idx="178">
                  <c:v>2.028</c:v>
                </c:pt>
                <c:pt idx="179">
                  <c:v>2.0150000000000001</c:v>
                </c:pt>
                <c:pt idx="180">
                  <c:v>2.0179999999999998</c:v>
                </c:pt>
                <c:pt idx="181">
                  <c:v>2.02</c:v>
                </c:pt>
                <c:pt idx="182">
                  <c:v>2.02</c:v>
                </c:pt>
                <c:pt idx="183">
                  <c:v>2.0230000000000001</c:v>
                </c:pt>
                <c:pt idx="184">
                  <c:v>2.0409999999999999</c:v>
                </c:pt>
                <c:pt idx="185">
                  <c:v>2.0409999999999999</c:v>
                </c:pt>
                <c:pt idx="186">
                  <c:v>2.048</c:v>
                </c:pt>
                <c:pt idx="187">
                  <c:v>2.0510000000000002</c:v>
                </c:pt>
                <c:pt idx="188">
                  <c:v>2.0529999999999999</c:v>
                </c:pt>
                <c:pt idx="189">
                  <c:v>2.0449999999999999</c:v>
                </c:pt>
                <c:pt idx="190">
                  <c:v>2.0409999999999999</c:v>
                </c:pt>
                <c:pt idx="191">
                  <c:v>1.9610000000000001</c:v>
                </c:pt>
                <c:pt idx="192">
                  <c:v>1.958</c:v>
                </c:pt>
                <c:pt idx="193">
                  <c:v>1.9550000000000001</c:v>
                </c:pt>
                <c:pt idx="194">
                  <c:v>1.9359999999999999</c:v>
                </c:pt>
                <c:pt idx="195">
                  <c:v>1.911</c:v>
                </c:pt>
                <c:pt idx="196">
                  <c:v>1.91</c:v>
                </c:pt>
                <c:pt idx="197">
                  <c:v>1.901</c:v>
                </c:pt>
                <c:pt idx="198">
                  <c:v>1.9</c:v>
                </c:pt>
                <c:pt idx="199">
                  <c:v>1.895</c:v>
                </c:pt>
                <c:pt idx="200">
                  <c:v>1.893</c:v>
                </c:pt>
                <c:pt idx="201">
                  <c:v>1.891</c:v>
                </c:pt>
                <c:pt idx="202">
                  <c:v>1.89</c:v>
                </c:pt>
                <c:pt idx="203">
                  <c:v>1.885</c:v>
                </c:pt>
                <c:pt idx="204">
                  <c:v>1.86</c:v>
                </c:pt>
                <c:pt idx="205">
                  <c:v>1.8260000000000001</c:v>
                </c:pt>
                <c:pt idx="206">
                  <c:v>1.8129999999999999</c:v>
                </c:pt>
                <c:pt idx="207">
                  <c:v>1.8080000000000001</c:v>
                </c:pt>
                <c:pt idx="208">
                  <c:v>1.796</c:v>
                </c:pt>
                <c:pt idx="209">
                  <c:v>1.79</c:v>
                </c:pt>
                <c:pt idx="210">
                  <c:v>1.7829999999999999</c:v>
                </c:pt>
                <c:pt idx="211">
                  <c:v>1.778</c:v>
                </c:pt>
                <c:pt idx="212">
                  <c:v>1.7809999999999999</c:v>
                </c:pt>
                <c:pt idx="213">
                  <c:v>1.7849999999999999</c:v>
                </c:pt>
                <c:pt idx="214">
                  <c:v>1.7829999999999999</c:v>
                </c:pt>
                <c:pt idx="215">
                  <c:v>1.788</c:v>
                </c:pt>
                <c:pt idx="216">
                  <c:v>1.786</c:v>
                </c:pt>
                <c:pt idx="217">
                  <c:v>1.7849999999999999</c:v>
                </c:pt>
                <c:pt idx="218">
                  <c:v>1.7849999999999999</c:v>
                </c:pt>
                <c:pt idx="219">
                  <c:v>1.7849999999999999</c:v>
                </c:pt>
                <c:pt idx="220">
                  <c:v>1.7929999999999999</c:v>
                </c:pt>
                <c:pt idx="221">
                  <c:v>1.796</c:v>
                </c:pt>
                <c:pt idx="222">
                  <c:v>1.8009999999999999</c:v>
                </c:pt>
                <c:pt idx="223">
                  <c:v>1.8009999999999999</c:v>
                </c:pt>
                <c:pt idx="224">
                  <c:v>1.8029999999999999</c:v>
                </c:pt>
                <c:pt idx="225">
                  <c:v>1.796</c:v>
                </c:pt>
                <c:pt idx="226">
                  <c:v>1.8</c:v>
                </c:pt>
                <c:pt idx="227">
                  <c:v>1.8089999999999999</c:v>
                </c:pt>
                <c:pt idx="228">
                  <c:v>1.8089999999999999</c:v>
                </c:pt>
                <c:pt idx="229">
                  <c:v>1.8140000000000001</c:v>
                </c:pt>
                <c:pt idx="230">
                  <c:v>1.8140000000000001</c:v>
                </c:pt>
                <c:pt idx="231">
                  <c:v>1.8169999999999999</c:v>
                </c:pt>
                <c:pt idx="232">
                  <c:v>1.819</c:v>
                </c:pt>
                <c:pt idx="233">
                  <c:v>1.81</c:v>
                </c:pt>
                <c:pt idx="234">
                  <c:v>1.8120000000000001</c:v>
                </c:pt>
                <c:pt idx="235">
                  <c:v>1.82</c:v>
                </c:pt>
                <c:pt idx="236">
                  <c:v>1.82</c:v>
                </c:pt>
                <c:pt idx="237">
                  <c:v>1.829</c:v>
                </c:pt>
                <c:pt idx="238">
                  <c:v>1.8440000000000001</c:v>
                </c:pt>
                <c:pt idx="239">
                  <c:v>1.8540000000000001</c:v>
                </c:pt>
                <c:pt idx="240">
                  <c:v>1.85</c:v>
                </c:pt>
                <c:pt idx="241">
                  <c:v>1.8440000000000001</c:v>
                </c:pt>
                <c:pt idx="242">
                  <c:v>1.839</c:v>
                </c:pt>
                <c:pt idx="243">
                  <c:v>1.829</c:v>
                </c:pt>
                <c:pt idx="244">
                  <c:v>1.829</c:v>
                </c:pt>
                <c:pt idx="245">
                  <c:v>1.8280000000000001</c:v>
                </c:pt>
                <c:pt idx="246">
                  <c:v>1.829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857216"/>
        <c:axId val="192858752"/>
      </c:lineChart>
      <c:dateAx>
        <c:axId val="1928572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2858752"/>
        <c:crosses val="autoZero"/>
        <c:auto val="1"/>
        <c:lblOffset val="100"/>
        <c:baseTimeUnit val="days"/>
      </c:dateAx>
      <c:valAx>
        <c:axId val="1928587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+mn-ea"/>
                <a:ea typeface="+mn-ea"/>
              </a:defRPr>
            </a:pPr>
            <a:endParaRPr lang="ko-KR"/>
          </a:p>
        </c:txPr>
        <c:crossAx val="192857216"/>
        <c:crosses val="autoZero"/>
        <c:crossBetween val="between"/>
      </c:valAx>
      <c:valAx>
        <c:axId val="1445195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4521088"/>
        <c:crosses val="max"/>
        <c:crossBetween val="between"/>
      </c:valAx>
      <c:dateAx>
        <c:axId val="14452108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44519552"/>
        <c:crosses val="autoZero"/>
        <c:auto val="1"/>
        <c:lblOffset val="100"/>
        <c:baseTimeUnit val="days"/>
      </c:dateAx>
    </c:plotArea>
    <c:legend>
      <c:legendPos val="b"/>
      <c:layout/>
      <c:overlay val="0"/>
      <c:txPr>
        <a:bodyPr/>
        <a:lstStyle/>
        <a:p>
          <a:pPr>
            <a:defRPr sz="800">
              <a:latin typeface="+mj-ea"/>
              <a:ea typeface="+mj-ea"/>
            </a:defRPr>
          </a:pPr>
          <a:endParaRPr lang="ko-KR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2"/>
          <c:order val="2"/>
          <c:tx>
            <c:strRef>
              <c:f>history_chart!$CG$9</c:f>
              <c:strCache>
                <c:ptCount val="1"/>
                <c:pt idx="0">
                  <c:v>spread(bp)</c:v>
                </c:pt>
              </c:strCache>
            </c:strRef>
          </c:tx>
          <c:spPr>
            <a:solidFill>
              <a:srgbClr val="DBE5F1"/>
            </a:solidFill>
          </c:spPr>
          <c:cat>
            <c:numRef>
              <c:f>history_chart!$CD$10:$CD$256</c:f>
              <c:numCache>
                <c:formatCode>m/d/yyyy</c:formatCode>
                <c:ptCount val="247"/>
                <c:pt idx="0">
                  <c:v>44943</c:v>
                </c:pt>
                <c:pt idx="1">
                  <c:v>44942</c:v>
                </c:pt>
                <c:pt idx="2">
                  <c:v>44939</c:v>
                </c:pt>
                <c:pt idx="3">
                  <c:v>44938</c:v>
                </c:pt>
                <c:pt idx="4">
                  <c:v>44937</c:v>
                </c:pt>
                <c:pt idx="5">
                  <c:v>44936</c:v>
                </c:pt>
                <c:pt idx="6">
                  <c:v>44935</c:v>
                </c:pt>
                <c:pt idx="7">
                  <c:v>44932</c:v>
                </c:pt>
                <c:pt idx="8">
                  <c:v>44931</c:v>
                </c:pt>
                <c:pt idx="9">
                  <c:v>44930</c:v>
                </c:pt>
                <c:pt idx="10">
                  <c:v>44929</c:v>
                </c:pt>
                <c:pt idx="11">
                  <c:v>44928</c:v>
                </c:pt>
                <c:pt idx="12">
                  <c:v>44925</c:v>
                </c:pt>
                <c:pt idx="13">
                  <c:v>44924</c:v>
                </c:pt>
                <c:pt idx="14">
                  <c:v>44923</c:v>
                </c:pt>
                <c:pt idx="15">
                  <c:v>44922</c:v>
                </c:pt>
                <c:pt idx="16">
                  <c:v>44921</c:v>
                </c:pt>
                <c:pt idx="17">
                  <c:v>44918</c:v>
                </c:pt>
                <c:pt idx="18">
                  <c:v>44917</c:v>
                </c:pt>
                <c:pt idx="19">
                  <c:v>44916</c:v>
                </c:pt>
                <c:pt idx="20">
                  <c:v>44915</c:v>
                </c:pt>
                <c:pt idx="21">
                  <c:v>44914</c:v>
                </c:pt>
                <c:pt idx="22">
                  <c:v>44911</c:v>
                </c:pt>
                <c:pt idx="23">
                  <c:v>44910</c:v>
                </c:pt>
                <c:pt idx="24">
                  <c:v>44909</c:v>
                </c:pt>
                <c:pt idx="25">
                  <c:v>44908</c:v>
                </c:pt>
                <c:pt idx="26">
                  <c:v>44907</c:v>
                </c:pt>
                <c:pt idx="27">
                  <c:v>44904</c:v>
                </c:pt>
                <c:pt idx="28">
                  <c:v>44903</c:v>
                </c:pt>
                <c:pt idx="29">
                  <c:v>44902</c:v>
                </c:pt>
                <c:pt idx="30">
                  <c:v>44901</c:v>
                </c:pt>
                <c:pt idx="31">
                  <c:v>44900</c:v>
                </c:pt>
                <c:pt idx="32">
                  <c:v>44897</c:v>
                </c:pt>
                <c:pt idx="33">
                  <c:v>44896</c:v>
                </c:pt>
                <c:pt idx="34">
                  <c:v>44895</c:v>
                </c:pt>
                <c:pt idx="35">
                  <c:v>44894</c:v>
                </c:pt>
                <c:pt idx="36">
                  <c:v>44893</c:v>
                </c:pt>
                <c:pt idx="37">
                  <c:v>44890</c:v>
                </c:pt>
                <c:pt idx="38">
                  <c:v>44889</c:v>
                </c:pt>
                <c:pt idx="39">
                  <c:v>44888</c:v>
                </c:pt>
                <c:pt idx="40">
                  <c:v>44887</c:v>
                </c:pt>
                <c:pt idx="41">
                  <c:v>44886</c:v>
                </c:pt>
                <c:pt idx="42">
                  <c:v>44883</c:v>
                </c:pt>
                <c:pt idx="43">
                  <c:v>44882</c:v>
                </c:pt>
                <c:pt idx="44">
                  <c:v>44881</c:v>
                </c:pt>
                <c:pt idx="45">
                  <c:v>44880</c:v>
                </c:pt>
                <c:pt idx="46">
                  <c:v>44879</c:v>
                </c:pt>
                <c:pt idx="47">
                  <c:v>44876</c:v>
                </c:pt>
                <c:pt idx="48">
                  <c:v>44875</c:v>
                </c:pt>
                <c:pt idx="49">
                  <c:v>44874</c:v>
                </c:pt>
                <c:pt idx="50">
                  <c:v>44873</c:v>
                </c:pt>
                <c:pt idx="51">
                  <c:v>44872</c:v>
                </c:pt>
                <c:pt idx="52">
                  <c:v>44869</c:v>
                </c:pt>
                <c:pt idx="53">
                  <c:v>44868</c:v>
                </c:pt>
                <c:pt idx="54">
                  <c:v>44867</c:v>
                </c:pt>
                <c:pt idx="55">
                  <c:v>44866</c:v>
                </c:pt>
                <c:pt idx="56">
                  <c:v>44865</c:v>
                </c:pt>
                <c:pt idx="57">
                  <c:v>44862</c:v>
                </c:pt>
                <c:pt idx="58">
                  <c:v>44861</c:v>
                </c:pt>
                <c:pt idx="59">
                  <c:v>44860</c:v>
                </c:pt>
                <c:pt idx="60">
                  <c:v>44859</c:v>
                </c:pt>
                <c:pt idx="61">
                  <c:v>44858</c:v>
                </c:pt>
                <c:pt idx="62">
                  <c:v>44855</c:v>
                </c:pt>
                <c:pt idx="63">
                  <c:v>44854</c:v>
                </c:pt>
                <c:pt idx="64">
                  <c:v>44853</c:v>
                </c:pt>
                <c:pt idx="65">
                  <c:v>44852</c:v>
                </c:pt>
                <c:pt idx="66">
                  <c:v>44851</c:v>
                </c:pt>
                <c:pt idx="67">
                  <c:v>44848</c:v>
                </c:pt>
                <c:pt idx="68">
                  <c:v>44847</c:v>
                </c:pt>
                <c:pt idx="69">
                  <c:v>44846</c:v>
                </c:pt>
                <c:pt idx="70">
                  <c:v>44845</c:v>
                </c:pt>
                <c:pt idx="71">
                  <c:v>44841</c:v>
                </c:pt>
                <c:pt idx="72">
                  <c:v>44840</c:v>
                </c:pt>
                <c:pt idx="73">
                  <c:v>44839</c:v>
                </c:pt>
                <c:pt idx="74">
                  <c:v>44838</c:v>
                </c:pt>
                <c:pt idx="75">
                  <c:v>44834</c:v>
                </c:pt>
                <c:pt idx="76">
                  <c:v>44833</c:v>
                </c:pt>
                <c:pt idx="77">
                  <c:v>44832</c:v>
                </c:pt>
                <c:pt idx="78">
                  <c:v>44831</c:v>
                </c:pt>
                <c:pt idx="79">
                  <c:v>44830</c:v>
                </c:pt>
                <c:pt idx="80">
                  <c:v>44827</c:v>
                </c:pt>
                <c:pt idx="81">
                  <c:v>44826</c:v>
                </c:pt>
                <c:pt idx="82">
                  <c:v>44825</c:v>
                </c:pt>
                <c:pt idx="83">
                  <c:v>44824</c:v>
                </c:pt>
                <c:pt idx="84">
                  <c:v>44823</c:v>
                </c:pt>
                <c:pt idx="85">
                  <c:v>44820</c:v>
                </c:pt>
                <c:pt idx="86">
                  <c:v>44819</c:v>
                </c:pt>
                <c:pt idx="87">
                  <c:v>44818</c:v>
                </c:pt>
                <c:pt idx="88">
                  <c:v>44817</c:v>
                </c:pt>
                <c:pt idx="89">
                  <c:v>44812</c:v>
                </c:pt>
                <c:pt idx="90">
                  <c:v>44811</c:v>
                </c:pt>
                <c:pt idx="91">
                  <c:v>44810</c:v>
                </c:pt>
                <c:pt idx="92">
                  <c:v>44809</c:v>
                </c:pt>
                <c:pt idx="93">
                  <c:v>44806</c:v>
                </c:pt>
                <c:pt idx="94">
                  <c:v>44805</c:v>
                </c:pt>
                <c:pt idx="95">
                  <c:v>44804</c:v>
                </c:pt>
                <c:pt idx="96">
                  <c:v>44803</c:v>
                </c:pt>
                <c:pt idx="97">
                  <c:v>44802</c:v>
                </c:pt>
                <c:pt idx="98">
                  <c:v>44799</c:v>
                </c:pt>
                <c:pt idx="99">
                  <c:v>44798</c:v>
                </c:pt>
                <c:pt idx="100">
                  <c:v>44797</c:v>
                </c:pt>
                <c:pt idx="101">
                  <c:v>44796</c:v>
                </c:pt>
                <c:pt idx="102">
                  <c:v>44795</c:v>
                </c:pt>
                <c:pt idx="103">
                  <c:v>44792</c:v>
                </c:pt>
                <c:pt idx="104">
                  <c:v>44791</c:v>
                </c:pt>
                <c:pt idx="105">
                  <c:v>44790</c:v>
                </c:pt>
                <c:pt idx="106">
                  <c:v>44789</c:v>
                </c:pt>
                <c:pt idx="107">
                  <c:v>44785</c:v>
                </c:pt>
                <c:pt idx="108">
                  <c:v>44784</c:v>
                </c:pt>
                <c:pt idx="109">
                  <c:v>44783</c:v>
                </c:pt>
                <c:pt idx="110">
                  <c:v>44782</c:v>
                </c:pt>
                <c:pt idx="111">
                  <c:v>44781</c:v>
                </c:pt>
                <c:pt idx="112">
                  <c:v>44778</c:v>
                </c:pt>
                <c:pt idx="113">
                  <c:v>44777</c:v>
                </c:pt>
                <c:pt idx="114">
                  <c:v>44776</c:v>
                </c:pt>
                <c:pt idx="115">
                  <c:v>44775</c:v>
                </c:pt>
                <c:pt idx="116">
                  <c:v>44774</c:v>
                </c:pt>
                <c:pt idx="117">
                  <c:v>44771</c:v>
                </c:pt>
                <c:pt idx="118">
                  <c:v>44770</c:v>
                </c:pt>
                <c:pt idx="119">
                  <c:v>44769</c:v>
                </c:pt>
                <c:pt idx="120">
                  <c:v>44768</c:v>
                </c:pt>
                <c:pt idx="121">
                  <c:v>44767</c:v>
                </c:pt>
                <c:pt idx="122">
                  <c:v>44764</c:v>
                </c:pt>
                <c:pt idx="123">
                  <c:v>44763</c:v>
                </c:pt>
                <c:pt idx="124">
                  <c:v>44762</c:v>
                </c:pt>
                <c:pt idx="125">
                  <c:v>44761</c:v>
                </c:pt>
                <c:pt idx="126">
                  <c:v>44760</c:v>
                </c:pt>
                <c:pt idx="127">
                  <c:v>44757</c:v>
                </c:pt>
                <c:pt idx="128">
                  <c:v>44756</c:v>
                </c:pt>
                <c:pt idx="129">
                  <c:v>44755</c:v>
                </c:pt>
                <c:pt idx="130">
                  <c:v>44754</c:v>
                </c:pt>
                <c:pt idx="131">
                  <c:v>44753</c:v>
                </c:pt>
                <c:pt idx="132">
                  <c:v>44750</c:v>
                </c:pt>
                <c:pt idx="133">
                  <c:v>44749</c:v>
                </c:pt>
                <c:pt idx="134">
                  <c:v>44748</c:v>
                </c:pt>
                <c:pt idx="135">
                  <c:v>44747</c:v>
                </c:pt>
                <c:pt idx="136">
                  <c:v>44746</c:v>
                </c:pt>
                <c:pt idx="137">
                  <c:v>44743</c:v>
                </c:pt>
                <c:pt idx="138">
                  <c:v>44742</c:v>
                </c:pt>
                <c:pt idx="139">
                  <c:v>44741</c:v>
                </c:pt>
                <c:pt idx="140">
                  <c:v>44740</c:v>
                </c:pt>
                <c:pt idx="141">
                  <c:v>44739</c:v>
                </c:pt>
                <c:pt idx="142">
                  <c:v>44736</c:v>
                </c:pt>
                <c:pt idx="143">
                  <c:v>44735</c:v>
                </c:pt>
                <c:pt idx="144">
                  <c:v>44734</c:v>
                </c:pt>
                <c:pt idx="145">
                  <c:v>44733</c:v>
                </c:pt>
                <c:pt idx="146">
                  <c:v>44732</c:v>
                </c:pt>
                <c:pt idx="147">
                  <c:v>44729</c:v>
                </c:pt>
                <c:pt idx="148">
                  <c:v>44728</c:v>
                </c:pt>
                <c:pt idx="149">
                  <c:v>44727</c:v>
                </c:pt>
                <c:pt idx="150">
                  <c:v>44726</c:v>
                </c:pt>
                <c:pt idx="151">
                  <c:v>44725</c:v>
                </c:pt>
                <c:pt idx="152">
                  <c:v>44722</c:v>
                </c:pt>
                <c:pt idx="153">
                  <c:v>44721</c:v>
                </c:pt>
                <c:pt idx="154">
                  <c:v>44720</c:v>
                </c:pt>
                <c:pt idx="155">
                  <c:v>44719</c:v>
                </c:pt>
                <c:pt idx="156">
                  <c:v>44715</c:v>
                </c:pt>
                <c:pt idx="157">
                  <c:v>44714</c:v>
                </c:pt>
                <c:pt idx="158">
                  <c:v>44712</c:v>
                </c:pt>
                <c:pt idx="159">
                  <c:v>44711</c:v>
                </c:pt>
                <c:pt idx="160">
                  <c:v>44708</c:v>
                </c:pt>
                <c:pt idx="161">
                  <c:v>44707</c:v>
                </c:pt>
                <c:pt idx="162">
                  <c:v>44706</c:v>
                </c:pt>
                <c:pt idx="163">
                  <c:v>44705</c:v>
                </c:pt>
                <c:pt idx="164">
                  <c:v>44704</c:v>
                </c:pt>
                <c:pt idx="165">
                  <c:v>44701</c:v>
                </c:pt>
                <c:pt idx="166">
                  <c:v>44700</c:v>
                </c:pt>
                <c:pt idx="167">
                  <c:v>44699</c:v>
                </c:pt>
                <c:pt idx="168">
                  <c:v>44698</c:v>
                </c:pt>
                <c:pt idx="169">
                  <c:v>44697</c:v>
                </c:pt>
                <c:pt idx="170">
                  <c:v>44694</c:v>
                </c:pt>
                <c:pt idx="171">
                  <c:v>44693</c:v>
                </c:pt>
                <c:pt idx="172">
                  <c:v>44692</c:v>
                </c:pt>
                <c:pt idx="173">
                  <c:v>44691</c:v>
                </c:pt>
                <c:pt idx="174">
                  <c:v>44690</c:v>
                </c:pt>
                <c:pt idx="175">
                  <c:v>44687</c:v>
                </c:pt>
                <c:pt idx="176">
                  <c:v>44685</c:v>
                </c:pt>
                <c:pt idx="177">
                  <c:v>44684</c:v>
                </c:pt>
                <c:pt idx="178">
                  <c:v>44683</c:v>
                </c:pt>
                <c:pt idx="179">
                  <c:v>44680</c:v>
                </c:pt>
                <c:pt idx="180">
                  <c:v>44679</c:v>
                </c:pt>
                <c:pt idx="181">
                  <c:v>44678</c:v>
                </c:pt>
                <c:pt idx="182">
                  <c:v>44677</c:v>
                </c:pt>
                <c:pt idx="183">
                  <c:v>44676</c:v>
                </c:pt>
                <c:pt idx="184">
                  <c:v>44673</c:v>
                </c:pt>
                <c:pt idx="185">
                  <c:v>44672</c:v>
                </c:pt>
                <c:pt idx="186">
                  <c:v>44671</c:v>
                </c:pt>
                <c:pt idx="187">
                  <c:v>44670</c:v>
                </c:pt>
                <c:pt idx="188">
                  <c:v>44669</c:v>
                </c:pt>
                <c:pt idx="189">
                  <c:v>44666</c:v>
                </c:pt>
                <c:pt idx="190">
                  <c:v>44665</c:v>
                </c:pt>
                <c:pt idx="191">
                  <c:v>44664</c:v>
                </c:pt>
                <c:pt idx="192">
                  <c:v>44663</c:v>
                </c:pt>
                <c:pt idx="193">
                  <c:v>44662</c:v>
                </c:pt>
                <c:pt idx="194">
                  <c:v>44659</c:v>
                </c:pt>
                <c:pt idx="195">
                  <c:v>44658</c:v>
                </c:pt>
                <c:pt idx="196">
                  <c:v>44657</c:v>
                </c:pt>
                <c:pt idx="197">
                  <c:v>44656</c:v>
                </c:pt>
                <c:pt idx="198">
                  <c:v>44655</c:v>
                </c:pt>
                <c:pt idx="199">
                  <c:v>44652</c:v>
                </c:pt>
                <c:pt idx="200">
                  <c:v>44651</c:v>
                </c:pt>
                <c:pt idx="201">
                  <c:v>44650</c:v>
                </c:pt>
                <c:pt idx="202">
                  <c:v>44649</c:v>
                </c:pt>
                <c:pt idx="203">
                  <c:v>44648</c:v>
                </c:pt>
                <c:pt idx="204">
                  <c:v>44645</c:v>
                </c:pt>
                <c:pt idx="205">
                  <c:v>44644</c:v>
                </c:pt>
                <c:pt idx="206">
                  <c:v>44643</c:v>
                </c:pt>
                <c:pt idx="207">
                  <c:v>44642</c:v>
                </c:pt>
                <c:pt idx="208">
                  <c:v>44641</c:v>
                </c:pt>
                <c:pt idx="209">
                  <c:v>44638</c:v>
                </c:pt>
                <c:pt idx="210">
                  <c:v>44637</c:v>
                </c:pt>
                <c:pt idx="211">
                  <c:v>44636</c:v>
                </c:pt>
                <c:pt idx="212">
                  <c:v>44635</c:v>
                </c:pt>
                <c:pt idx="213">
                  <c:v>44634</c:v>
                </c:pt>
                <c:pt idx="214">
                  <c:v>44631</c:v>
                </c:pt>
                <c:pt idx="215">
                  <c:v>44630</c:v>
                </c:pt>
                <c:pt idx="216">
                  <c:v>44628</c:v>
                </c:pt>
                <c:pt idx="217">
                  <c:v>44627</c:v>
                </c:pt>
                <c:pt idx="218">
                  <c:v>44624</c:v>
                </c:pt>
                <c:pt idx="219">
                  <c:v>44623</c:v>
                </c:pt>
                <c:pt idx="220">
                  <c:v>44622</c:v>
                </c:pt>
                <c:pt idx="221">
                  <c:v>44620</c:v>
                </c:pt>
                <c:pt idx="222">
                  <c:v>44617</c:v>
                </c:pt>
                <c:pt idx="223">
                  <c:v>44616</c:v>
                </c:pt>
                <c:pt idx="224">
                  <c:v>44615</c:v>
                </c:pt>
                <c:pt idx="225">
                  <c:v>44614</c:v>
                </c:pt>
                <c:pt idx="226">
                  <c:v>44613</c:v>
                </c:pt>
                <c:pt idx="227">
                  <c:v>44610</c:v>
                </c:pt>
                <c:pt idx="228">
                  <c:v>44609</c:v>
                </c:pt>
                <c:pt idx="229">
                  <c:v>44608</c:v>
                </c:pt>
                <c:pt idx="230">
                  <c:v>44607</c:v>
                </c:pt>
                <c:pt idx="231">
                  <c:v>44606</c:v>
                </c:pt>
                <c:pt idx="232">
                  <c:v>44603</c:v>
                </c:pt>
                <c:pt idx="233">
                  <c:v>44602</c:v>
                </c:pt>
                <c:pt idx="234">
                  <c:v>44601</c:v>
                </c:pt>
                <c:pt idx="235">
                  <c:v>44600</c:v>
                </c:pt>
                <c:pt idx="236">
                  <c:v>44599</c:v>
                </c:pt>
                <c:pt idx="237">
                  <c:v>44596</c:v>
                </c:pt>
                <c:pt idx="238">
                  <c:v>44595</c:v>
                </c:pt>
                <c:pt idx="239">
                  <c:v>44589</c:v>
                </c:pt>
                <c:pt idx="240">
                  <c:v>44588</c:v>
                </c:pt>
                <c:pt idx="241">
                  <c:v>44587</c:v>
                </c:pt>
                <c:pt idx="242">
                  <c:v>44586</c:v>
                </c:pt>
                <c:pt idx="243">
                  <c:v>44585</c:v>
                </c:pt>
                <c:pt idx="244">
                  <c:v>44582</c:v>
                </c:pt>
                <c:pt idx="245">
                  <c:v>44581</c:v>
                </c:pt>
                <c:pt idx="246">
                  <c:v>44580</c:v>
                </c:pt>
              </c:numCache>
            </c:numRef>
          </c:cat>
          <c:val>
            <c:numRef>
              <c:f>history_chart!$CG$10:$CG$256</c:f>
              <c:numCache>
                <c:formatCode>General</c:formatCode>
                <c:ptCount val="247"/>
                <c:pt idx="0">
                  <c:v>25.8</c:v>
                </c:pt>
                <c:pt idx="1">
                  <c:v>27.000000000000046</c:v>
                </c:pt>
                <c:pt idx="2">
                  <c:v>26.799999999999979</c:v>
                </c:pt>
                <c:pt idx="3">
                  <c:v>31.99999999999994</c:v>
                </c:pt>
                <c:pt idx="4">
                  <c:v>35.60000000000008</c:v>
                </c:pt>
                <c:pt idx="5">
                  <c:v>36.899999999999977</c:v>
                </c:pt>
                <c:pt idx="6">
                  <c:v>38.199999999999967</c:v>
                </c:pt>
                <c:pt idx="7">
                  <c:v>39.200000000000031</c:v>
                </c:pt>
                <c:pt idx="8">
                  <c:v>41.300000000000026</c:v>
                </c:pt>
                <c:pt idx="9">
                  <c:v>41.699999999999982</c:v>
                </c:pt>
                <c:pt idx="10">
                  <c:v>41.999999999999993</c:v>
                </c:pt>
                <c:pt idx="11">
                  <c:v>44.699999999999918</c:v>
                </c:pt>
                <c:pt idx="12">
                  <c:v>46.8</c:v>
                </c:pt>
                <c:pt idx="13">
                  <c:v>46.8</c:v>
                </c:pt>
                <c:pt idx="14">
                  <c:v>49.399999999999977</c:v>
                </c:pt>
                <c:pt idx="15">
                  <c:v>53.699999999999989</c:v>
                </c:pt>
                <c:pt idx="16">
                  <c:v>55.200000000000045</c:v>
                </c:pt>
                <c:pt idx="17">
                  <c:v>56.500000000000043</c:v>
                </c:pt>
                <c:pt idx="18">
                  <c:v>59.100000000000023</c:v>
                </c:pt>
                <c:pt idx="19">
                  <c:v>62.199999999999989</c:v>
                </c:pt>
                <c:pt idx="20">
                  <c:v>65.000000000000028</c:v>
                </c:pt>
                <c:pt idx="21">
                  <c:v>65.199999999999932</c:v>
                </c:pt>
                <c:pt idx="22">
                  <c:v>67.100000000000023</c:v>
                </c:pt>
                <c:pt idx="23">
                  <c:v>69.299999999999955</c:v>
                </c:pt>
                <c:pt idx="24">
                  <c:v>70.700000000000074</c:v>
                </c:pt>
                <c:pt idx="25">
                  <c:v>73.299999999999969</c:v>
                </c:pt>
                <c:pt idx="26">
                  <c:v>75.499999999999986</c:v>
                </c:pt>
                <c:pt idx="27">
                  <c:v>76.999999999999957</c:v>
                </c:pt>
                <c:pt idx="28">
                  <c:v>78.199999999999918</c:v>
                </c:pt>
                <c:pt idx="29">
                  <c:v>78.899999999999977</c:v>
                </c:pt>
                <c:pt idx="30">
                  <c:v>79.599999999999937</c:v>
                </c:pt>
                <c:pt idx="31">
                  <c:v>79.999999999999986</c:v>
                </c:pt>
                <c:pt idx="32">
                  <c:v>81.800000000000054</c:v>
                </c:pt>
                <c:pt idx="33">
                  <c:v>84.200000000000045</c:v>
                </c:pt>
                <c:pt idx="34">
                  <c:v>86.399999999999991</c:v>
                </c:pt>
                <c:pt idx="35">
                  <c:v>87.899999999999949</c:v>
                </c:pt>
                <c:pt idx="36">
                  <c:v>87.199999999999989</c:v>
                </c:pt>
                <c:pt idx="37">
                  <c:v>86.899999999999977</c:v>
                </c:pt>
                <c:pt idx="38">
                  <c:v>87.300000000000026</c:v>
                </c:pt>
                <c:pt idx="39">
                  <c:v>87.999999999999986</c:v>
                </c:pt>
                <c:pt idx="40">
                  <c:v>87.899999999999949</c:v>
                </c:pt>
                <c:pt idx="41">
                  <c:v>86.599999999999966</c:v>
                </c:pt>
                <c:pt idx="42">
                  <c:v>84.600000000000009</c:v>
                </c:pt>
                <c:pt idx="43">
                  <c:v>84.399999999999949</c:v>
                </c:pt>
                <c:pt idx="44">
                  <c:v>84.200000000000045</c:v>
                </c:pt>
                <c:pt idx="45">
                  <c:v>82.599999999999966</c:v>
                </c:pt>
                <c:pt idx="46">
                  <c:v>82.400000000000077</c:v>
                </c:pt>
                <c:pt idx="47">
                  <c:v>81.899999999999991</c:v>
                </c:pt>
                <c:pt idx="48">
                  <c:v>82.30000000000004</c:v>
                </c:pt>
                <c:pt idx="49">
                  <c:v>82.899999999999977</c:v>
                </c:pt>
                <c:pt idx="50">
                  <c:v>82.499999999999929</c:v>
                </c:pt>
                <c:pt idx="51">
                  <c:v>82.000000000000028</c:v>
                </c:pt>
                <c:pt idx="52">
                  <c:v>80.399999999999935</c:v>
                </c:pt>
                <c:pt idx="53">
                  <c:v>80.3</c:v>
                </c:pt>
                <c:pt idx="54">
                  <c:v>79.900000000000034</c:v>
                </c:pt>
                <c:pt idx="55">
                  <c:v>78.599999999999966</c:v>
                </c:pt>
                <c:pt idx="56">
                  <c:v>77.80000000000004</c:v>
                </c:pt>
                <c:pt idx="57">
                  <c:v>75.199999999999974</c:v>
                </c:pt>
                <c:pt idx="58">
                  <c:v>75.199999999999974</c:v>
                </c:pt>
                <c:pt idx="59">
                  <c:v>73.099999999999994</c:v>
                </c:pt>
                <c:pt idx="60">
                  <c:v>70.5</c:v>
                </c:pt>
                <c:pt idx="61">
                  <c:v>69.80000000000004</c:v>
                </c:pt>
                <c:pt idx="62">
                  <c:v>69.200000000000017</c:v>
                </c:pt>
                <c:pt idx="63">
                  <c:v>64.699999999999932</c:v>
                </c:pt>
                <c:pt idx="64">
                  <c:v>62.9</c:v>
                </c:pt>
                <c:pt idx="65">
                  <c:v>59.19999999999996</c:v>
                </c:pt>
                <c:pt idx="66">
                  <c:v>57.299999999999955</c:v>
                </c:pt>
                <c:pt idx="67">
                  <c:v>55.099999999999973</c:v>
                </c:pt>
                <c:pt idx="68">
                  <c:v>55.100000000000016</c:v>
                </c:pt>
                <c:pt idx="69">
                  <c:v>54.699999999999974</c:v>
                </c:pt>
                <c:pt idx="70">
                  <c:v>61.90000000000002</c:v>
                </c:pt>
                <c:pt idx="71">
                  <c:v>62.300000000000026</c:v>
                </c:pt>
                <c:pt idx="72">
                  <c:v>62.000000000000014</c:v>
                </c:pt>
                <c:pt idx="73">
                  <c:v>61.90000000000002</c:v>
                </c:pt>
                <c:pt idx="74">
                  <c:v>62.9</c:v>
                </c:pt>
                <c:pt idx="75">
                  <c:v>63.600000000000009</c:v>
                </c:pt>
                <c:pt idx="76">
                  <c:v>63.69999999999996</c:v>
                </c:pt>
                <c:pt idx="77">
                  <c:v>63.90000000000002</c:v>
                </c:pt>
                <c:pt idx="78">
                  <c:v>63.000000000000036</c:v>
                </c:pt>
                <c:pt idx="79">
                  <c:v>64.599999999999994</c:v>
                </c:pt>
                <c:pt idx="80">
                  <c:v>59.100000000000023</c:v>
                </c:pt>
                <c:pt idx="81">
                  <c:v>56.099999999999994</c:v>
                </c:pt>
                <c:pt idx="82">
                  <c:v>53.2</c:v>
                </c:pt>
                <c:pt idx="83">
                  <c:v>51.6</c:v>
                </c:pt>
                <c:pt idx="84">
                  <c:v>48.500000000000028</c:v>
                </c:pt>
                <c:pt idx="85">
                  <c:v>47.900000000000006</c:v>
                </c:pt>
                <c:pt idx="86">
                  <c:v>46.899999999999984</c:v>
                </c:pt>
                <c:pt idx="87">
                  <c:v>45.900000000000006</c:v>
                </c:pt>
                <c:pt idx="88">
                  <c:v>44.900000000000027</c:v>
                </c:pt>
                <c:pt idx="89">
                  <c:v>43.900000000000006</c:v>
                </c:pt>
                <c:pt idx="90">
                  <c:v>42.500000000000028</c:v>
                </c:pt>
                <c:pt idx="91">
                  <c:v>41.299999999999983</c:v>
                </c:pt>
                <c:pt idx="92">
                  <c:v>39.700000000000024</c:v>
                </c:pt>
                <c:pt idx="93">
                  <c:v>39.900000000000006</c:v>
                </c:pt>
                <c:pt idx="94">
                  <c:v>39.1</c:v>
                </c:pt>
                <c:pt idx="95">
                  <c:v>38.09999999999998</c:v>
                </c:pt>
                <c:pt idx="96">
                  <c:v>37.400000000000013</c:v>
                </c:pt>
                <c:pt idx="97">
                  <c:v>37.1</c:v>
                </c:pt>
                <c:pt idx="98">
                  <c:v>34.399999999999984</c:v>
                </c:pt>
                <c:pt idx="99">
                  <c:v>34.400000000000034</c:v>
                </c:pt>
                <c:pt idx="100">
                  <c:v>34.899999999999977</c:v>
                </c:pt>
                <c:pt idx="101">
                  <c:v>35.599999999999987</c:v>
                </c:pt>
                <c:pt idx="102">
                  <c:v>34.90000000000002</c:v>
                </c:pt>
                <c:pt idx="103">
                  <c:v>35.199999999999989</c:v>
                </c:pt>
                <c:pt idx="104">
                  <c:v>36.199999999999967</c:v>
                </c:pt>
                <c:pt idx="105">
                  <c:v>36.500000000000021</c:v>
                </c:pt>
                <c:pt idx="106">
                  <c:v>37.400000000000013</c:v>
                </c:pt>
                <c:pt idx="107">
                  <c:v>38.100000000000023</c:v>
                </c:pt>
                <c:pt idx="108">
                  <c:v>39.000000000000014</c:v>
                </c:pt>
                <c:pt idx="109">
                  <c:v>39.999999999999993</c:v>
                </c:pt>
                <c:pt idx="110">
                  <c:v>40.400000000000034</c:v>
                </c:pt>
                <c:pt idx="111">
                  <c:v>40.899999999999977</c:v>
                </c:pt>
                <c:pt idx="112">
                  <c:v>40.79999999999999</c:v>
                </c:pt>
                <c:pt idx="113">
                  <c:v>40.79999999999999</c:v>
                </c:pt>
                <c:pt idx="114">
                  <c:v>41.900000000000006</c:v>
                </c:pt>
                <c:pt idx="115">
                  <c:v>41.800000000000011</c:v>
                </c:pt>
                <c:pt idx="116">
                  <c:v>42.200000000000017</c:v>
                </c:pt>
                <c:pt idx="117">
                  <c:v>42.7</c:v>
                </c:pt>
                <c:pt idx="118">
                  <c:v>42.8</c:v>
                </c:pt>
                <c:pt idx="119">
                  <c:v>43.599999999999994</c:v>
                </c:pt>
                <c:pt idx="120">
                  <c:v>44.300000000000004</c:v>
                </c:pt>
                <c:pt idx="121">
                  <c:v>43.700000000000031</c:v>
                </c:pt>
                <c:pt idx="122">
                  <c:v>43.599999999999994</c:v>
                </c:pt>
                <c:pt idx="123">
                  <c:v>43.100000000000009</c:v>
                </c:pt>
                <c:pt idx="124">
                  <c:v>42.399999999999991</c:v>
                </c:pt>
                <c:pt idx="125">
                  <c:v>40.499999999999979</c:v>
                </c:pt>
                <c:pt idx="126">
                  <c:v>40.200000000000017</c:v>
                </c:pt>
                <c:pt idx="127">
                  <c:v>39.599999999999994</c:v>
                </c:pt>
                <c:pt idx="128">
                  <c:v>39.299999999999983</c:v>
                </c:pt>
                <c:pt idx="129">
                  <c:v>34.999999999999964</c:v>
                </c:pt>
                <c:pt idx="130">
                  <c:v>39.400000000000013</c:v>
                </c:pt>
                <c:pt idx="131">
                  <c:v>36.79999999999999</c:v>
                </c:pt>
                <c:pt idx="132">
                  <c:v>35.9</c:v>
                </c:pt>
                <c:pt idx="133">
                  <c:v>34.90000000000002</c:v>
                </c:pt>
                <c:pt idx="134">
                  <c:v>33.599999999999987</c:v>
                </c:pt>
                <c:pt idx="135">
                  <c:v>33.400000000000006</c:v>
                </c:pt>
                <c:pt idx="136">
                  <c:v>33.199999999999989</c:v>
                </c:pt>
                <c:pt idx="137">
                  <c:v>33.099999999999994</c:v>
                </c:pt>
                <c:pt idx="138">
                  <c:v>32.699999999999996</c:v>
                </c:pt>
                <c:pt idx="139">
                  <c:v>31.799999999999962</c:v>
                </c:pt>
                <c:pt idx="140">
                  <c:v>30.200000000000003</c:v>
                </c:pt>
                <c:pt idx="141">
                  <c:v>30.399999999999984</c:v>
                </c:pt>
                <c:pt idx="142">
                  <c:v>29.400000000000006</c:v>
                </c:pt>
                <c:pt idx="143">
                  <c:v>29.700000000000017</c:v>
                </c:pt>
                <c:pt idx="144">
                  <c:v>28.900000000000013</c:v>
                </c:pt>
                <c:pt idx="145">
                  <c:v>28.100000000000016</c:v>
                </c:pt>
                <c:pt idx="146">
                  <c:v>26.100000000000012</c:v>
                </c:pt>
                <c:pt idx="147">
                  <c:v>24.6</c:v>
                </c:pt>
                <c:pt idx="148">
                  <c:v>24.2</c:v>
                </c:pt>
                <c:pt idx="149">
                  <c:v>21.099999999999987</c:v>
                </c:pt>
                <c:pt idx="150">
                  <c:v>15.900000000000025</c:v>
                </c:pt>
                <c:pt idx="151">
                  <c:v>14.500000000000002</c:v>
                </c:pt>
                <c:pt idx="152">
                  <c:v>12.700000000000022</c:v>
                </c:pt>
                <c:pt idx="153">
                  <c:v>12.1</c:v>
                </c:pt>
                <c:pt idx="154">
                  <c:v>11.299999999999999</c:v>
                </c:pt>
                <c:pt idx="155">
                  <c:v>10.499999999999998</c:v>
                </c:pt>
                <c:pt idx="156">
                  <c:v>9.5000000000000195</c:v>
                </c:pt>
                <c:pt idx="157">
                  <c:v>10.000000000000009</c:v>
                </c:pt>
                <c:pt idx="158">
                  <c:v>9.6999999999999975</c:v>
                </c:pt>
                <c:pt idx="159">
                  <c:v>8.6000000000000298</c:v>
                </c:pt>
                <c:pt idx="160">
                  <c:v>8.0999999999999961</c:v>
                </c:pt>
                <c:pt idx="161">
                  <c:v>8.8000000000000078</c:v>
                </c:pt>
                <c:pt idx="162">
                  <c:v>12.1</c:v>
                </c:pt>
                <c:pt idx="163">
                  <c:v>11.7</c:v>
                </c:pt>
                <c:pt idx="164">
                  <c:v>11.900000000000022</c:v>
                </c:pt>
                <c:pt idx="165">
                  <c:v>10.700000000000021</c:v>
                </c:pt>
                <c:pt idx="166">
                  <c:v>9.2999999999999972</c:v>
                </c:pt>
                <c:pt idx="167">
                  <c:v>8.0999999999999961</c:v>
                </c:pt>
                <c:pt idx="168">
                  <c:v>6.899999999999995</c:v>
                </c:pt>
                <c:pt idx="169">
                  <c:v>6.4999999999999947</c:v>
                </c:pt>
                <c:pt idx="170">
                  <c:v>6.3000000000000167</c:v>
                </c:pt>
                <c:pt idx="171">
                  <c:v>5.400000000000027</c:v>
                </c:pt>
                <c:pt idx="172">
                  <c:v>4.8000000000000043</c:v>
                </c:pt>
                <c:pt idx="173">
                  <c:v>4.5999999999999819</c:v>
                </c:pt>
                <c:pt idx="174">
                  <c:v>4.4000000000000039</c:v>
                </c:pt>
                <c:pt idx="175">
                  <c:v>4.4999999999999929</c:v>
                </c:pt>
                <c:pt idx="176">
                  <c:v>4.6000000000000263</c:v>
                </c:pt>
                <c:pt idx="177">
                  <c:v>3.8999999999999702</c:v>
                </c:pt>
                <c:pt idx="178">
                  <c:v>4.1999999999999815</c:v>
                </c:pt>
                <c:pt idx="179">
                  <c:v>4.0000000000000036</c:v>
                </c:pt>
                <c:pt idx="180">
                  <c:v>4.2000000000000259</c:v>
                </c:pt>
                <c:pt idx="181">
                  <c:v>4.5999999999999819</c:v>
                </c:pt>
                <c:pt idx="182">
                  <c:v>4.1999999999999815</c:v>
                </c:pt>
                <c:pt idx="183">
                  <c:v>4.0000000000000036</c:v>
                </c:pt>
                <c:pt idx="184">
                  <c:v>4.6000000000000263</c:v>
                </c:pt>
                <c:pt idx="185">
                  <c:v>5.0000000000000266</c:v>
                </c:pt>
                <c:pt idx="186">
                  <c:v>5.3999999999999826</c:v>
                </c:pt>
                <c:pt idx="187">
                  <c:v>5.8999999999999719</c:v>
                </c:pt>
                <c:pt idx="188">
                  <c:v>6.4999999999999947</c:v>
                </c:pt>
                <c:pt idx="189">
                  <c:v>6.1999999999999833</c:v>
                </c:pt>
                <c:pt idx="190">
                  <c:v>6.3000000000000167</c:v>
                </c:pt>
                <c:pt idx="191">
                  <c:v>11.000000000000011</c:v>
                </c:pt>
                <c:pt idx="192">
                  <c:v>11.400000000000009</c:v>
                </c:pt>
                <c:pt idx="193">
                  <c:v>11.899999999999977</c:v>
                </c:pt>
                <c:pt idx="194">
                  <c:v>10.7</c:v>
                </c:pt>
                <c:pt idx="195">
                  <c:v>10.199999999999987</c:v>
                </c:pt>
                <c:pt idx="196">
                  <c:v>9.4000000000000092</c:v>
                </c:pt>
                <c:pt idx="197">
                  <c:v>9.4999999999999964</c:v>
                </c:pt>
                <c:pt idx="198">
                  <c:v>9.2000000000000082</c:v>
                </c:pt>
                <c:pt idx="199">
                  <c:v>9.2000000000000082</c:v>
                </c:pt>
                <c:pt idx="200">
                  <c:v>9.2999999999999758</c:v>
                </c:pt>
                <c:pt idx="201">
                  <c:v>8.9999999999999858</c:v>
                </c:pt>
                <c:pt idx="202">
                  <c:v>9.0999999999999979</c:v>
                </c:pt>
                <c:pt idx="203">
                  <c:v>8.4999999999999964</c:v>
                </c:pt>
                <c:pt idx="204">
                  <c:v>5.600000000000005</c:v>
                </c:pt>
                <c:pt idx="205">
                  <c:v>5.2000000000000046</c:v>
                </c:pt>
                <c:pt idx="206">
                  <c:v>4.4000000000000039</c:v>
                </c:pt>
                <c:pt idx="207">
                  <c:v>3.8999999999999924</c:v>
                </c:pt>
                <c:pt idx="208">
                  <c:v>3.2000000000000028</c:v>
                </c:pt>
                <c:pt idx="209">
                  <c:v>2.2999999999999909</c:v>
                </c:pt>
                <c:pt idx="210">
                  <c:v>2.200000000000002</c:v>
                </c:pt>
                <c:pt idx="211">
                  <c:v>2.6000000000000023</c:v>
                </c:pt>
                <c:pt idx="212">
                  <c:v>2.0000000000000018</c:v>
                </c:pt>
                <c:pt idx="213">
                  <c:v>2.200000000000002</c:v>
                </c:pt>
                <c:pt idx="214">
                  <c:v>1.9000000000000128</c:v>
                </c:pt>
                <c:pt idx="215">
                  <c:v>2.2999999999999909</c:v>
                </c:pt>
                <c:pt idx="216">
                  <c:v>2.100000000000013</c:v>
                </c:pt>
                <c:pt idx="217">
                  <c:v>2.5000000000000133</c:v>
                </c:pt>
                <c:pt idx="218">
                  <c:v>3.0000000000000027</c:v>
                </c:pt>
                <c:pt idx="219">
                  <c:v>3.400000000000003</c:v>
                </c:pt>
                <c:pt idx="220">
                  <c:v>3.400000000000003</c:v>
                </c:pt>
                <c:pt idx="221">
                  <c:v>3.8000000000000034</c:v>
                </c:pt>
                <c:pt idx="222">
                  <c:v>3.8999999999999924</c:v>
                </c:pt>
                <c:pt idx="223">
                  <c:v>4.2999999999999927</c:v>
                </c:pt>
                <c:pt idx="224">
                  <c:v>5.2000000000000046</c:v>
                </c:pt>
                <c:pt idx="225">
                  <c:v>6.2000000000000055</c:v>
                </c:pt>
                <c:pt idx="226">
                  <c:v>6.4000000000000057</c:v>
                </c:pt>
                <c:pt idx="227">
                  <c:v>6.0999999999999943</c:v>
                </c:pt>
                <c:pt idx="228">
                  <c:v>6.6999999999999948</c:v>
                </c:pt>
                <c:pt idx="229">
                  <c:v>6.6999999999999948</c:v>
                </c:pt>
                <c:pt idx="230">
                  <c:v>7.4999999999999956</c:v>
                </c:pt>
                <c:pt idx="231">
                  <c:v>7.6999999999999957</c:v>
                </c:pt>
                <c:pt idx="232">
                  <c:v>8.1999999999999851</c:v>
                </c:pt>
                <c:pt idx="233">
                  <c:v>8.3999999999999844</c:v>
                </c:pt>
                <c:pt idx="234">
                  <c:v>8.6000000000000085</c:v>
                </c:pt>
                <c:pt idx="235">
                  <c:v>8.6999999999999957</c:v>
                </c:pt>
                <c:pt idx="236">
                  <c:v>9.6999999999999975</c:v>
                </c:pt>
                <c:pt idx="237">
                  <c:v>9.8999999999999986</c:v>
                </c:pt>
                <c:pt idx="238">
                  <c:v>10.20000000000001</c:v>
                </c:pt>
                <c:pt idx="239">
                  <c:v>10.400000000000009</c:v>
                </c:pt>
                <c:pt idx="240">
                  <c:v>10.80000000000001</c:v>
                </c:pt>
                <c:pt idx="241">
                  <c:v>11.800000000000011</c:v>
                </c:pt>
                <c:pt idx="242">
                  <c:v>11.899999999999999</c:v>
                </c:pt>
                <c:pt idx="243">
                  <c:v>12.1</c:v>
                </c:pt>
                <c:pt idx="244">
                  <c:v>11.899999999999999</c:v>
                </c:pt>
                <c:pt idx="245">
                  <c:v>11.5</c:v>
                </c:pt>
                <c:pt idx="246">
                  <c:v>11.999999999999989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57184"/>
        <c:axId val="144555392"/>
      </c:areaChart>
      <c:lineChart>
        <c:grouping val="standard"/>
        <c:varyColors val="0"/>
        <c:ser>
          <c:idx val="0"/>
          <c:order val="0"/>
          <c:tx>
            <c:strRef>
              <c:f>history_chart!$CE$5</c:f>
              <c:strCache>
                <c:ptCount val="1"/>
                <c:pt idx="0">
                  <c:v>3사평균 금융채 카드채 AA</c:v>
                </c:pt>
              </c:strCache>
            </c:strRef>
          </c:tx>
          <c:spPr>
            <a:ln w="22225">
              <a:solidFill>
                <a:srgbClr val="0066FF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numRef>
              <c:f>history_chart!$CD$10:$CD$256</c:f>
              <c:numCache>
                <c:formatCode>m/d/yyyy</c:formatCode>
                <c:ptCount val="247"/>
                <c:pt idx="0">
                  <c:v>44943</c:v>
                </c:pt>
                <c:pt idx="1">
                  <c:v>44942</c:v>
                </c:pt>
                <c:pt idx="2">
                  <c:v>44939</c:v>
                </c:pt>
                <c:pt idx="3">
                  <c:v>44938</c:v>
                </c:pt>
                <c:pt idx="4">
                  <c:v>44937</c:v>
                </c:pt>
                <c:pt idx="5">
                  <c:v>44936</c:v>
                </c:pt>
                <c:pt idx="6">
                  <c:v>44935</c:v>
                </c:pt>
                <c:pt idx="7">
                  <c:v>44932</c:v>
                </c:pt>
                <c:pt idx="8">
                  <c:v>44931</c:v>
                </c:pt>
                <c:pt idx="9">
                  <c:v>44930</c:v>
                </c:pt>
                <c:pt idx="10">
                  <c:v>44929</c:v>
                </c:pt>
                <c:pt idx="11">
                  <c:v>44928</c:v>
                </c:pt>
                <c:pt idx="12">
                  <c:v>44925</c:v>
                </c:pt>
                <c:pt idx="13">
                  <c:v>44924</c:v>
                </c:pt>
                <c:pt idx="14">
                  <c:v>44923</c:v>
                </c:pt>
                <c:pt idx="15">
                  <c:v>44922</c:v>
                </c:pt>
                <c:pt idx="16">
                  <c:v>44921</c:v>
                </c:pt>
                <c:pt idx="17">
                  <c:v>44918</c:v>
                </c:pt>
                <c:pt idx="18">
                  <c:v>44917</c:v>
                </c:pt>
                <c:pt idx="19">
                  <c:v>44916</c:v>
                </c:pt>
                <c:pt idx="20">
                  <c:v>44915</c:v>
                </c:pt>
                <c:pt idx="21">
                  <c:v>44914</c:v>
                </c:pt>
                <c:pt idx="22">
                  <c:v>44911</c:v>
                </c:pt>
                <c:pt idx="23">
                  <c:v>44910</c:v>
                </c:pt>
                <c:pt idx="24">
                  <c:v>44909</c:v>
                </c:pt>
                <c:pt idx="25">
                  <c:v>44908</c:v>
                </c:pt>
                <c:pt idx="26">
                  <c:v>44907</c:v>
                </c:pt>
                <c:pt idx="27">
                  <c:v>44904</c:v>
                </c:pt>
                <c:pt idx="28">
                  <c:v>44903</c:v>
                </c:pt>
                <c:pt idx="29">
                  <c:v>44902</c:v>
                </c:pt>
                <c:pt idx="30">
                  <c:v>44901</c:v>
                </c:pt>
                <c:pt idx="31">
                  <c:v>44900</c:v>
                </c:pt>
                <c:pt idx="32">
                  <c:v>44897</c:v>
                </c:pt>
                <c:pt idx="33">
                  <c:v>44896</c:v>
                </c:pt>
                <c:pt idx="34">
                  <c:v>44895</c:v>
                </c:pt>
                <c:pt idx="35">
                  <c:v>44894</c:v>
                </c:pt>
                <c:pt idx="36">
                  <c:v>44893</c:v>
                </c:pt>
                <c:pt idx="37">
                  <c:v>44890</c:v>
                </c:pt>
                <c:pt idx="38">
                  <c:v>44889</c:v>
                </c:pt>
                <c:pt idx="39">
                  <c:v>44888</c:v>
                </c:pt>
                <c:pt idx="40">
                  <c:v>44887</c:v>
                </c:pt>
                <c:pt idx="41">
                  <c:v>44886</c:v>
                </c:pt>
                <c:pt idx="42">
                  <c:v>44883</c:v>
                </c:pt>
                <c:pt idx="43">
                  <c:v>44882</c:v>
                </c:pt>
                <c:pt idx="44">
                  <c:v>44881</c:v>
                </c:pt>
                <c:pt idx="45">
                  <c:v>44880</c:v>
                </c:pt>
                <c:pt idx="46">
                  <c:v>44879</c:v>
                </c:pt>
                <c:pt idx="47">
                  <c:v>44876</c:v>
                </c:pt>
                <c:pt idx="48">
                  <c:v>44875</c:v>
                </c:pt>
                <c:pt idx="49">
                  <c:v>44874</c:v>
                </c:pt>
                <c:pt idx="50">
                  <c:v>44873</c:v>
                </c:pt>
                <c:pt idx="51">
                  <c:v>44872</c:v>
                </c:pt>
                <c:pt idx="52">
                  <c:v>44869</c:v>
                </c:pt>
                <c:pt idx="53">
                  <c:v>44868</c:v>
                </c:pt>
                <c:pt idx="54">
                  <c:v>44867</c:v>
                </c:pt>
                <c:pt idx="55">
                  <c:v>44866</c:v>
                </c:pt>
                <c:pt idx="56">
                  <c:v>44865</c:v>
                </c:pt>
                <c:pt idx="57">
                  <c:v>44862</c:v>
                </c:pt>
                <c:pt idx="58">
                  <c:v>44861</c:v>
                </c:pt>
                <c:pt idx="59">
                  <c:v>44860</c:v>
                </c:pt>
                <c:pt idx="60">
                  <c:v>44859</c:v>
                </c:pt>
                <c:pt idx="61">
                  <c:v>44858</c:v>
                </c:pt>
                <c:pt idx="62">
                  <c:v>44855</c:v>
                </c:pt>
                <c:pt idx="63">
                  <c:v>44854</c:v>
                </c:pt>
                <c:pt idx="64">
                  <c:v>44853</c:v>
                </c:pt>
                <c:pt idx="65">
                  <c:v>44852</c:v>
                </c:pt>
                <c:pt idx="66">
                  <c:v>44851</c:v>
                </c:pt>
                <c:pt idx="67">
                  <c:v>44848</c:v>
                </c:pt>
                <c:pt idx="68">
                  <c:v>44847</c:v>
                </c:pt>
                <c:pt idx="69">
                  <c:v>44846</c:v>
                </c:pt>
                <c:pt idx="70">
                  <c:v>44845</c:v>
                </c:pt>
                <c:pt idx="71">
                  <c:v>44841</c:v>
                </c:pt>
                <c:pt idx="72">
                  <c:v>44840</c:v>
                </c:pt>
                <c:pt idx="73">
                  <c:v>44839</c:v>
                </c:pt>
                <c:pt idx="74">
                  <c:v>44838</c:v>
                </c:pt>
                <c:pt idx="75">
                  <c:v>44834</c:v>
                </c:pt>
                <c:pt idx="76">
                  <c:v>44833</c:v>
                </c:pt>
                <c:pt idx="77">
                  <c:v>44832</c:v>
                </c:pt>
                <c:pt idx="78">
                  <c:v>44831</c:v>
                </c:pt>
                <c:pt idx="79">
                  <c:v>44830</c:v>
                </c:pt>
                <c:pt idx="80">
                  <c:v>44827</c:v>
                </c:pt>
                <c:pt idx="81">
                  <c:v>44826</c:v>
                </c:pt>
                <c:pt idx="82">
                  <c:v>44825</c:v>
                </c:pt>
                <c:pt idx="83">
                  <c:v>44824</c:v>
                </c:pt>
                <c:pt idx="84">
                  <c:v>44823</c:v>
                </c:pt>
                <c:pt idx="85">
                  <c:v>44820</c:v>
                </c:pt>
                <c:pt idx="86">
                  <c:v>44819</c:v>
                </c:pt>
                <c:pt idx="87">
                  <c:v>44818</c:v>
                </c:pt>
                <c:pt idx="88">
                  <c:v>44817</c:v>
                </c:pt>
                <c:pt idx="89">
                  <c:v>44812</c:v>
                </c:pt>
                <c:pt idx="90">
                  <c:v>44811</c:v>
                </c:pt>
                <c:pt idx="91">
                  <c:v>44810</c:v>
                </c:pt>
                <c:pt idx="92">
                  <c:v>44809</c:v>
                </c:pt>
                <c:pt idx="93">
                  <c:v>44806</c:v>
                </c:pt>
                <c:pt idx="94">
                  <c:v>44805</c:v>
                </c:pt>
                <c:pt idx="95">
                  <c:v>44804</c:v>
                </c:pt>
                <c:pt idx="96">
                  <c:v>44803</c:v>
                </c:pt>
                <c:pt idx="97">
                  <c:v>44802</c:v>
                </c:pt>
                <c:pt idx="98">
                  <c:v>44799</c:v>
                </c:pt>
                <c:pt idx="99">
                  <c:v>44798</c:v>
                </c:pt>
                <c:pt idx="100">
                  <c:v>44797</c:v>
                </c:pt>
                <c:pt idx="101">
                  <c:v>44796</c:v>
                </c:pt>
                <c:pt idx="102">
                  <c:v>44795</c:v>
                </c:pt>
                <c:pt idx="103">
                  <c:v>44792</c:v>
                </c:pt>
                <c:pt idx="104">
                  <c:v>44791</c:v>
                </c:pt>
                <c:pt idx="105">
                  <c:v>44790</c:v>
                </c:pt>
                <c:pt idx="106">
                  <c:v>44789</c:v>
                </c:pt>
                <c:pt idx="107">
                  <c:v>44785</c:v>
                </c:pt>
                <c:pt idx="108">
                  <c:v>44784</c:v>
                </c:pt>
                <c:pt idx="109">
                  <c:v>44783</c:v>
                </c:pt>
                <c:pt idx="110">
                  <c:v>44782</c:v>
                </c:pt>
                <c:pt idx="111">
                  <c:v>44781</c:v>
                </c:pt>
                <c:pt idx="112">
                  <c:v>44778</c:v>
                </c:pt>
                <c:pt idx="113">
                  <c:v>44777</c:v>
                </c:pt>
                <c:pt idx="114">
                  <c:v>44776</c:v>
                </c:pt>
                <c:pt idx="115">
                  <c:v>44775</c:v>
                </c:pt>
                <c:pt idx="116">
                  <c:v>44774</c:v>
                </c:pt>
                <c:pt idx="117">
                  <c:v>44771</c:v>
                </c:pt>
                <c:pt idx="118">
                  <c:v>44770</c:v>
                </c:pt>
                <c:pt idx="119">
                  <c:v>44769</c:v>
                </c:pt>
                <c:pt idx="120">
                  <c:v>44768</c:v>
                </c:pt>
                <c:pt idx="121">
                  <c:v>44767</c:v>
                </c:pt>
                <c:pt idx="122">
                  <c:v>44764</c:v>
                </c:pt>
                <c:pt idx="123">
                  <c:v>44763</c:v>
                </c:pt>
                <c:pt idx="124">
                  <c:v>44762</c:v>
                </c:pt>
                <c:pt idx="125">
                  <c:v>44761</c:v>
                </c:pt>
                <c:pt idx="126">
                  <c:v>44760</c:v>
                </c:pt>
                <c:pt idx="127">
                  <c:v>44757</c:v>
                </c:pt>
                <c:pt idx="128">
                  <c:v>44756</c:v>
                </c:pt>
                <c:pt idx="129">
                  <c:v>44755</c:v>
                </c:pt>
                <c:pt idx="130">
                  <c:v>44754</c:v>
                </c:pt>
                <c:pt idx="131">
                  <c:v>44753</c:v>
                </c:pt>
                <c:pt idx="132">
                  <c:v>44750</c:v>
                </c:pt>
                <c:pt idx="133">
                  <c:v>44749</c:v>
                </c:pt>
                <c:pt idx="134">
                  <c:v>44748</c:v>
                </c:pt>
                <c:pt idx="135">
                  <c:v>44747</c:v>
                </c:pt>
                <c:pt idx="136">
                  <c:v>44746</c:v>
                </c:pt>
                <c:pt idx="137">
                  <c:v>44743</c:v>
                </c:pt>
                <c:pt idx="138">
                  <c:v>44742</c:v>
                </c:pt>
                <c:pt idx="139">
                  <c:v>44741</c:v>
                </c:pt>
                <c:pt idx="140">
                  <c:v>44740</c:v>
                </c:pt>
                <c:pt idx="141">
                  <c:v>44739</c:v>
                </c:pt>
                <c:pt idx="142">
                  <c:v>44736</c:v>
                </c:pt>
                <c:pt idx="143">
                  <c:v>44735</c:v>
                </c:pt>
                <c:pt idx="144">
                  <c:v>44734</c:v>
                </c:pt>
                <c:pt idx="145">
                  <c:v>44733</c:v>
                </c:pt>
                <c:pt idx="146">
                  <c:v>44732</c:v>
                </c:pt>
                <c:pt idx="147">
                  <c:v>44729</c:v>
                </c:pt>
                <c:pt idx="148">
                  <c:v>44728</c:v>
                </c:pt>
                <c:pt idx="149">
                  <c:v>44727</c:v>
                </c:pt>
                <c:pt idx="150">
                  <c:v>44726</c:v>
                </c:pt>
                <c:pt idx="151">
                  <c:v>44725</c:v>
                </c:pt>
                <c:pt idx="152">
                  <c:v>44722</c:v>
                </c:pt>
                <c:pt idx="153">
                  <c:v>44721</c:v>
                </c:pt>
                <c:pt idx="154">
                  <c:v>44720</c:v>
                </c:pt>
                <c:pt idx="155">
                  <c:v>44719</c:v>
                </c:pt>
                <c:pt idx="156">
                  <c:v>44715</c:v>
                </c:pt>
                <c:pt idx="157">
                  <c:v>44714</c:v>
                </c:pt>
                <c:pt idx="158">
                  <c:v>44712</c:v>
                </c:pt>
                <c:pt idx="159">
                  <c:v>44711</c:v>
                </c:pt>
                <c:pt idx="160">
                  <c:v>44708</c:v>
                </c:pt>
                <c:pt idx="161">
                  <c:v>44707</c:v>
                </c:pt>
                <c:pt idx="162">
                  <c:v>44706</c:v>
                </c:pt>
                <c:pt idx="163">
                  <c:v>44705</c:v>
                </c:pt>
                <c:pt idx="164">
                  <c:v>44704</c:v>
                </c:pt>
                <c:pt idx="165">
                  <c:v>44701</c:v>
                </c:pt>
                <c:pt idx="166">
                  <c:v>44700</c:v>
                </c:pt>
                <c:pt idx="167">
                  <c:v>44699</c:v>
                </c:pt>
                <c:pt idx="168">
                  <c:v>44698</c:v>
                </c:pt>
                <c:pt idx="169">
                  <c:v>44697</c:v>
                </c:pt>
                <c:pt idx="170">
                  <c:v>44694</c:v>
                </c:pt>
                <c:pt idx="171">
                  <c:v>44693</c:v>
                </c:pt>
                <c:pt idx="172">
                  <c:v>44692</c:v>
                </c:pt>
                <c:pt idx="173">
                  <c:v>44691</c:v>
                </c:pt>
                <c:pt idx="174">
                  <c:v>44690</c:v>
                </c:pt>
                <c:pt idx="175">
                  <c:v>44687</c:v>
                </c:pt>
                <c:pt idx="176">
                  <c:v>44685</c:v>
                </c:pt>
                <c:pt idx="177">
                  <c:v>44684</c:v>
                </c:pt>
                <c:pt idx="178">
                  <c:v>44683</c:v>
                </c:pt>
                <c:pt idx="179">
                  <c:v>44680</c:v>
                </c:pt>
                <c:pt idx="180">
                  <c:v>44679</c:v>
                </c:pt>
                <c:pt idx="181">
                  <c:v>44678</c:v>
                </c:pt>
                <c:pt idx="182">
                  <c:v>44677</c:v>
                </c:pt>
                <c:pt idx="183">
                  <c:v>44676</c:v>
                </c:pt>
                <c:pt idx="184">
                  <c:v>44673</c:v>
                </c:pt>
                <c:pt idx="185">
                  <c:v>44672</c:v>
                </c:pt>
                <c:pt idx="186">
                  <c:v>44671</c:v>
                </c:pt>
                <c:pt idx="187">
                  <c:v>44670</c:v>
                </c:pt>
                <c:pt idx="188">
                  <c:v>44669</c:v>
                </c:pt>
                <c:pt idx="189">
                  <c:v>44666</c:v>
                </c:pt>
                <c:pt idx="190">
                  <c:v>44665</c:v>
                </c:pt>
                <c:pt idx="191">
                  <c:v>44664</c:v>
                </c:pt>
                <c:pt idx="192">
                  <c:v>44663</c:v>
                </c:pt>
                <c:pt idx="193">
                  <c:v>44662</c:v>
                </c:pt>
                <c:pt idx="194">
                  <c:v>44659</c:v>
                </c:pt>
                <c:pt idx="195">
                  <c:v>44658</c:v>
                </c:pt>
                <c:pt idx="196">
                  <c:v>44657</c:v>
                </c:pt>
                <c:pt idx="197">
                  <c:v>44656</c:v>
                </c:pt>
                <c:pt idx="198">
                  <c:v>44655</c:v>
                </c:pt>
                <c:pt idx="199">
                  <c:v>44652</c:v>
                </c:pt>
                <c:pt idx="200">
                  <c:v>44651</c:v>
                </c:pt>
                <c:pt idx="201">
                  <c:v>44650</c:v>
                </c:pt>
                <c:pt idx="202">
                  <c:v>44649</c:v>
                </c:pt>
                <c:pt idx="203">
                  <c:v>44648</c:v>
                </c:pt>
                <c:pt idx="204">
                  <c:v>44645</c:v>
                </c:pt>
                <c:pt idx="205">
                  <c:v>44644</c:v>
                </c:pt>
                <c:pt idx="206">
                  <c:v>44643</c:v>
                </c:pt>
                <c:pt idx="207">
                  <c:v>44642</c:v>
                </c:pt>
                <c:pt idx="208">
                  <c:v>44641</c:v>
                </c:pt>
                <c:pt idx="209">
                  <c:v>44638</c:v>
                </c:pt>
                <c:pt idx="210">
                  <c:v>44637</c:v>
                </c:pt>
                <c:pt idx="211">
                  <c:v>44636</c:v>
                </c:pt>
                <c:pt idx="212">
                  <c:v>44635</c:v>
                </c:pt>
                <c:pt idx="213">
                  <c:v>44634</c:v>
                </c:pt>
                <c:pt idx="214">
                  <c:v>44631</c:v>
                </c:pt>
                <c:pt idx="215">
                  <c:v>44630</c:v>
                </c:pt>
                <c:pt idx="216">
                  <c:v>44628</c:v>
                </c:pt>
                <c:pt idx="217">
                  <c:v>44627</c:v>
                </c:pt>
                <c:pt idx="218">
                  <c:v>44624</c:v>
                </c:pt>
                <c:pt idx="219">
                  <c:v>44623</c:v>
                </c:pt>
                <c:pt idx="220">
                  <c:v>44622</c:v>
                </c:pt>
                <c:pt idx="221">
                  <c:v>44620</c:v>
                </c:pt>
                <c:pt idx="222">
                  <c:v>44617</c:v>
                </c:pt>
                <c:pt idx="223">
                  <c:v>44616</c:v>
                </c:pt>
                <c:pt idx="224">
                  <c:v>44615</c:v>
                </c:pt>
                <c:pt idx="225">
                  <c:v>44614</c:v>
                </c:pt>
                <c:pt idx="226">
                  <c:v>44613</c:v>
                </c:pt>
                <c:pt idx="227">
                  <c:v>44610</c:v>
                </c:pt>
                <c:pt idx="228">
                  <c:v>44609</c:v>
                </c:pt>
                <c:pt idx="229">
                  <c:v>44608</c:v>
                </c:pt>
                <c:pt idx="230">
                  <c:v>44607</c:v>
                </c:pt>
                <c:pt idx="231">
                  <c:v>44606</c:v>
                </c:pt>
                <c:pt idx="232">
                  <c:v>44603</c:v>
                </c:pt>
                <c:pt idx="233">
                  <c:v>44602</c:v>
                </c:pt>
                <c:pt idx="234">
                  <c:v>44601</c:v>
                </c:pt>
                <c:pt idx="235">
                  <c:v>44600</c:v>
                </c:pt>
                <c:pt idx="236">
                  <c:v>44599</c:v>
                </c:pt>
                <c:pt idx="237">
                  <c:v>44596</c:v>
                </c:pt>
                <c:pt idx="238">
                  <c:v>44595</c:v>
                </c:pt>
                <c:pt idx="239">
                  <c:v>44589</c:v>
                </c:pt>
                <c:pt idx="240">
                  <c:v>44588</c:v>
                </c:pt>
                <c:pt idx="241">
                  <c:v>44587</c:v>
                </c:pt>
                <c:pt idx="242">
                  <c:v>44586</c:v>
                </c:pt>
                <c:pt idx="243">
                  <c:v>44585</c:v>
                </c:pt>
                <c:pt idx="244">
                  <c:v>44582</c:v>
                </c:pt>
                <c:pt idx="245">
                  <c:v>44581</c:v>
                </c:pt>
                <c:pt idx="246">
                  <c:v>44580</c:v>
                </c:pt>
              </c:numCache>
            </c:numRef>
          </c:cat>
          <c:val>
            <c:numRef>
              <c:f>history_chart!$CE$10:$CE$256</c:f>
              <c:numCache>
                <c:formatCode>General</c:formatCode>
                <c:ptCount val="247"/>
                <c:pt idx="0">
                  <c:v>4.5060000000000002</c:v>
                </c:pt>
                <c:pt idx="1">
                  <c:v>4.5460000000000003</c:v>
                </c:pt>
                <c:pt idx="2">
                  <c:v>4.5759999999999996</c:v>
                </c:pt>
                <c:pt idx="3">
                  <c:v>4.6079999999999997</c:v>
                </c:pt>
                <c:pt idx="4">
                  <c:v>4.6500000000000004</c:v>
                </c:pt>
                <c:pt idx="5">
                  <c:v>4.6879999999999997</c:v>
                </c:pt>
                <c:pt idx="6">
                  <c:v>4.7249999999999996</c:v>
                </c:pt>
                <c:pt idx="7">
                  <c:v>4.7830000000000004</c:v>
                </c:pt>
                <c:pt idx="8">
                  <c:v>4.8360000000000003</c:v>
                </c:pt>
                <c:pt idx="9">
                  <c:v>4.8849999999999998</c:v>
                </c:pt>
                <c:pt idx="10">
                  <c:v>4.9580000000000002</c:v>
                </c:pt>
                <c:pt idx="11">
                  <c:v>5.0599999999999996</c:v>
                </c:pt>
                <c:pt idx="12">
                  <c:v>5.1109999999999998</c:v>
                </c:pt>
                <c:pt idx="13">
                  <c:v>5.1109999999999998</c:v>
                </c:pt>
                <c:pt idx="14">
                  <c:v>5.1449999999999996</c:v>
                </c:pt>
                <c:pt idx="15">
                  <c:v>5.1959999999999997</c:v>
                </c:pt>
                <c:pt idx="16">
                  <c:v>5.23</c:v>
                </c:pt>
                <c:pt idx="17">
                  <c:v>5.2460000000000004</c:v>
                </c:pt>
                <c:pt idx="18">
                  <c:v>5.2549999999999999</c:v>
                </c:pt>
                <c:pt idx="19">
                  <c:v>5.3</c:v>
                </c:pt>
                <c:pt idx="20">
                  <c:v>5.3360000000000003</c:v>
                </c:pt>
                <c:pt idx="21">
                  <c:v>5.31</c:v>
                </c:pt>
                <c:pt idx="22">
                  <c:v>5.33</c:v>
                </c:pt>
                <c:pt idx="23">
                  <c:v>5.351</c:v>
                </c:pt>
                <c:pt idx="24">
                  <c:v>5.3630000000000004</c:v>
                </c:pt>
                <c:pt idx="25">
                  <c:v>5.391</c:v>
                </c:pt>
                <c:pt idx="26">
                  <c:v>5.3860000000000001</c:v>
                </c:pt>
                <c:pt idx="27">
                  <c:v>5.39</c:v>
                </c:pt>
                <c:pt idx="28">
                  <c:v>5.3949999999999996</c:v>
                </c:pt>
                <c:pt idx="29">
                  <c:v>5.3860000000000001</c:v>
                </c:pt>
                <c:pt idx="30">
                  <c:v>5.3689999999999998</c:v>
                </c:pt>
                <c:pt idx="31">
                  <c:v>5.3620000000000001</c:v>
                </c:pt>
                <c:pt idx="32">
                  <c:v>5.3860000000000001</c:v>
                </c:pt>
                <c:pt idx="33">
                  <c:v>5.4370000000000003</c:v>
                </c:pt>
                <c:pt idx="34">
                  <c:v>5.5069999999999997</c:v>
                </c:pt>
                <c:pt idx="35">
                  <c:v>5.5069999999999997</c:v>
                </c:pt>
                <c:pt idx="36">
                  <c:v>5.4740000000000002</c:v>
                </c:pt>
                <c:pt idx="37">
                  <c:v>5.4539999999999997</c:v>
                </c:pt>
                <c:pt idx="38">
                  <c:v>5.4409999999999998</c:v>
                </c:pt>
                <c:pt idx="39">
                  <c:v>5.4269999999999996</c:v>
                </c:pt>
                <c:pt idx="40">
                  <c:v>5.4189999999999996</c:v>
                </c:pt>
                <c:pt idx="41">
                  <c:v>5.4059999999999997</c:v>
                </c:pt>
                <c:pt idx="42">
                  <c:v>5.3760000000000003</c:v>
                </c:pt>
                <c:pt idx="43">
                  <c:v>5.3739999999999997</c:v>
                </c:pt>
                <c:pt idx="44">
                  <c:v>5.3570000000000002</c:v>
                </c:pt>
                <c:pt idx="45">
                  <c:v>5.306</c:v>
                </c:pt>
                <c:pt idx="46">
                  <c:v>5.3070000000000004</c:v>
                </c:pt>
                <c:pt idx="47">
                  <c:v>5.2809999999999997</c:v>
                </c:pt>
                <c:pt idx="48">
                  <c:v>5.3010000000000002</c:v>
                </c:pt>
                <c:pt idx="49">
                  <c:v>5.2859999999999996</c:v>
                </c:pt>
                <c:pt idx="50">
                  <c:v>5.2619999999999996</c:v>
                </c:pt>
                <c:pt idx="51">
                  <c:v>5.242</c:v>
                </c:pt>
                <c:pt idx="52">
                  <c:v>5.2039999999999997</c:v>
                </c:pt>
                <c:pt idx="53">
                  <c:v>5.181</c:v>
                </c:pt>
                <c:pt idx="54">
                  <c:v>5.1340000000000003</c:v>
                </c:pt>
                <c:pt idx="55">
                  <c:v>5.0789999999999997</c:v>
                </c:pt>
                <c:pt idx="56">
                  <c:v>5.056</c:v>
                </c:pt>
                <c:pt idx="57">
                  <c:v>4.9989999999999997</c:v>
                </c:pt>
                <c:pt idx="58">
                  <c:v>4.9870000000000001</c:v>
                </c:pt>
                <c:pt idx="59">
                  <c:v>4.9189999999999996</c:v>
                </c:pt>
                <c:pt idx="60">
                  <c:v>4.8319999999999999</c:v>
                </c:pt>
                <c:pt idx="61">
                  <c:v>4.8010000000000002</c:v>
                </c:pt>
                <c:pt idx="62">
                  <c:v>4.7690000000000001</c:v>
                </c:pt>
                <c:pt idx="63">
                  <c:v>4.6369999999999996</c:v>
                </c:pt>
                <c:pt idx="64">
                  <c:v>4.5819999999999999</c:v>
                </c:pt>
                <c:pt idx="65">
                  <c:v>4.4939999999999998</c:v>
                </c:pt>
                <c:pt idx="66">
                  <c:v>4.4459999999999997</c:v>
                </c:pt>
                <c:pt idx="67">
                  <c:v>4.4039999999999999</c:v>
                </c:pt>
                <c:pt idx="68">
                  <c:v>4.3810000000000002</c:v>
                </c:pt>
                <c:pt idx="69">
                  <c:v>4.3419999999999996</c:v>
                </c:pt>
                <c:pt idx="70">
                  <c:v>4.274</c:v>
                </c:pt>
                <c:pt idx="71">
                  <c:v>4.2160000000000002</c:v>
                </c:pt>
                <c:pt idx="72">
                  <c:v>4.1970000000000001</c:v>
                </c:pt>
                <c:pt idx="73">
                  <c:v>4.1920000000000002</c:v>
                </c:pt>
                <c:pt idx="74">
                  <c:v>4.1760000000000002</c:v>
                </c:pt>
                <c:pt idx="75">
                  <c:v>4.1890000000000001</c:v>
                </c:pt>
                <c:pt idx="76">
                  <c:v>4.2169999999999996</c:v>
                </c:pt>
                <c:pt idx="77">
                  <c:v>4.2560000000000002</c:v>
                </c:pt>
                <c:pt idx="78">
                  <c:v>4.2220000000000004</c:v>
                </c:pt>
                <c:pt idx="79">
                  <c:v>4.234</c:v>
                </c:pt>
                <c:pt idx="80">
                  <c:v>4.0890000000000004</c:v>
                </c:pt>
                <c:pt idx="81">
                  <c:v>4.0190000000000001</c:v>
                </c:pt>
                <c:pt idx="82">
                  <c:v>3.8690000000000002</c:v>
                </c:pt>
                <c:pt idx="83">
                  <c:v>3.8490000000000002</c:v>
                </c:pt>
                <c:pt idx="84">
                  <c:v>3.7970000000000002</c:v>
                </c:pt>
                <c:pt idx="85">
                  <c:v>3.7970000000000002</c:v>
                </c:pt>
                <c:pt idx="86">
                  <c:v>3.786</c:v>
                </c:pt>
                <c:pt idx="87">
                  <c:v>3.7589999999999999</c:v>
                </c:pt>
                <c:pt idx="88">
                  <c:v>3.7370000000000001</c:v>
                </c:pt>
                <c:pt idx="89">
                  <c:v>3.722</c:v>
                </c:pt>
                <c:pt idx="90">
                  <c:v>3.7170000000000001</c:v>
                </c:pt>
                <c:pt idx="91">
                  <c:v>3.706</c:v>
                </c:pt>
                <c:pt idx="92">
                  <c:v>3.6920000000000002</c:v>
                </c:pt>
                <c:pt idx="93">
                  <c:v>3.7010000000000001</c:v>
                </c:pt>
                <c:pt idx="94">
                  <c:v>3.706</c:v>
                </c:pt>
                <c:pt idx="95">
                  <c:v>3.6789999999999998</c:v>
                </c:pt>
                <c:pt idx="96">
                  <c:v>3.661</c:v>
                </c:pt>
                <c:pt idx="97">
                  <c:v>3.6640000000000001</c:v>
                </c:pt>
                <c:pt idx="98">
                  <c:v>3.609</c:v>
                </c:pt>
                <c:pt idx="99">
                  <c:v>3.6110000000000002</c:v>
                </c:pt>
                <c:pt idx="100">
                  <c:v>3.5169999999999999</c:v>
                </c:pt>
                <c:pt idx="101">
                  <c:v>3.4710000000000001</c:v>
                </c:pt>
                <c:pt idx="102">
                  <c:v>3.4390000000000001</c:v>
                </c:pt>
                <c:pt idx="103">
                  <c:v>3.419</c:v>
                </c:pt>
                <c:pt idx="104">
                  <c:v>3.4169999999999998</c:v>
                </c:pt>
                <c:pt idx="105">
                  <c:v>3.4220000000000002</c:v>
                </c:pt>
                <c:pt idx="106">
                  <c:v>3.431</c:v>
                </c:pt>
                <c:pt idx="107">
                  <c:v>3.4460000000000002</c:v>
                </c:pt>
                <c:pt idx="108">
                  <c:v>3.4319999999999999</c:v>
                </c:pt>
                <c:pt idx="109">
                  <c:v>3.4409999999999998</c:v>
                </c:pt>
                <c:pt idx="110">
                  <c:v>3.4420000000000002</c:v>
                </c:pt>
                <c:pt idx="111">
                  <c:v>3.444</c:v>
                </c:pt>
                <c:pt idx="112">
                  <c:v>3.427</c:v>
                </c:pt>
                <c:pt idx="113">
                  <c:v>3.4289999999999998</c:v>
                </c:pt>
                <c:pt idx="114">
                  <c:v>3.4369999999999998</c:v>
                </c:pt>
                <c:pt idx="115">
                  <c:v>3.4340000000000002</c:v>
                </c:pt>
                <c:pt idx="116">
                  <c:v>3.4460000000000002</c:v>
                </c:pt>
                <c:pt idx="117">
                  <c:v>3.431</c:v>
                </c:pt>
                <c:pt idx="118">
                  <c:v>3.4359999999999999</c:v>
                </c:pt>
                <c:pt idx="119">
                  <c:v>3.4289999999999998</c:v>
                </c:pt>
                <c:pt idx="120">
                  <c:v>3.427</c:v>
                </c:pt>
                <c:pt idx="121">
                  <c:v>3.41</c:v>
                </c:pt>
                <c:pt idx="122">
                  <c:v>3.407</c:v>
                </c:pt>
                <c:pt idx="123">
                  <c:v>3.407</c:v>
                </c:pt>
                <c:pt idx="124">
                  <c:v>3.395</c:v>
                </c:pt>
                <c:pt idx="125">
                  <c:v>3.363</c:v>
                </c:pt>
                <c:pt idx="126">
                  <c:v>3.355</c:v>
                </c:pt>
                <c:pt idx="127">
                  <c:v>3.34</c:v>
                </c:pt>
                <c:pt idx="128">
                  <c:v>3.3319999999999999</c:v>
                </c:pt>
                <c:pt idx="129">
                  <c:v>3.2679999999999998</c:v>
                </c:pt>
                <c:pt idx="130">
                  <c:v>3.218</c:v>
                </c:pt>
                <c:pt idx="131">
                  <c:v>3.157</c:v>
                </c:pt>
                <c:pt idx="132">
                  <c:v>3.1269999999999998</c:v>
                </c:pt>
                <c:pt idx="133">
                  <c:v>3.0950000000000002</c:v>
                </c:pt>
                <c:pt idx="134">
                  <c:v>3.0569999999999999</c:v>
                </c:pt>
                <c:pt idx="135">
                  <c:v>3.0529999999999999</c:v>
                </c:pt>
                <c:pt idx="136">
                  <c:v>3.0449999999999999</c:v>
                </c:pt>
                <c:pt idx="137">
                  <c:v>3.0249999999999999</c:v>
                </c:pt>
                <c:pt idx="138">
                  <c:v>2.9849999999999999</c:v>
                </c:pt>
                <c:pt idx="139">
                  <c:v>2.9369999999999998</c:v>
                </c:pt>
                <c:pt idx="140">
                  <c:v>2.903</c:v>
                </c:pt>
                <c:pt idx="141">
                  <c:v>2.88</c:v>
                </c:pt>
                <c:pt idx="142">
                  <c:v>2.843</c:v>
                </c:pt>
                <c:pt idx="143">
                  <c:v>2.8330000000000002</c:v>
                </c:pt>
                <c:pt idx="144">
                  <c:v>2.81</c:v>
                </c:pt>
                <c:pt idx="145">
                  <c:v>2.7949999999999999</c:v>
                </c:pt>
                <c:pt idx="146">
                  <c:v>2.77</c:v>
                </c:pt>
                <c:pt idx="147">
                  <c:v>2.7549999999999999</c:v>
                </c:pt>
                <c:pt idx="148">
                  <c:v>2.7330000000000001</c:v>
                </c:pt>
                <c:pt idx="149">
                  <c:v>2.665</c:v>
                </c:pt>
                <c:pt idx="150">
                  <c:v>2.5430000000000001</c:v>
                </c:pt>
                <c:pt idx="151">
                  <c:v>2.5129999999999999</c:v>
                </c:pt>
                <c:pt idx="152">
                  <c:v>2.4580000000000002</c:v>
                </c:pt>
                <c:pt idx="153">
                  <c:v>2.452</c:v>
                </c:pt>
                <c:pt idx="154">
                  <c:v>2.4460000000000002</c:v>
                </c:pt>
                <c:pt idx="155">
                  <c:v>2.4409999999999998</c:v>
                </c:pt>
                <c:pt idx="156">
                  <c:v>2.4260000000000002</c:v>
                </c:pt>
                <c:pt idx="157">
                  <c:v>2.431</c:v>
                </c:pt>
                <c:pt idx="158">
                  <c:v>2.423</c:v>
                </c:pt>
                <c:pt idx="159">
                  <c:v>2.4020000000000001</c:v>
                </c:pt>
                <c:pt idx="160">
                  <c:v>2.3969999999999998</c:v>
                </c:pt>
                <c:pt idx="161">
                  <c:v>2.3919999999999999</c:v>
                </c:pt>
                <c:pt idx="162">
                  <c:v>2.2890000000000001</c:v>
                </c:pt>
                <c:pt idx="163">
                  <c:v>2.266</c:v>
                </c:pt>
                <c:pt idx="164">
                  <c:v>2.258</c:v>
                </c:pt>
                <c:pt idx="165">
                  <c:v>2.2330000000000001</c:v>
                </c:pt>
                <c:pt idx="166">
                  <c:v>2.2130000000000001</c:v>
                </c:pt>
                <c:pt idx="167">
                  <c:v>2.1930000000000001</c:v>
                </c:pt>
                <c:pt idx="168">
                  <c:v>2.1709999999999998</c:v>
                </c:pt>
                <c:pt idx="169">
                  <c:v>2.1509999999999998</c:v>
                </c:pt>
                <c:pt idx="170">
                  <c:v>2.1240000000000001</c:v>
                </c:pt>
                <c:pt idx="171">
                  <c:v>2.0990000000000002</c:v>
                </c:pt>
                <c:pt idx="172">
                  <c:v>2.0910000000000002</c:v>
                </c:pt>
                <c:pt idx="173">
                  <c:v>2.0859999999999999</c:v>
                </c:pt>
                <c:pt idx="174">
                  <c:v>2.0840000000000001</c:v>
                </c:pt>
                <c:pt idx="175">
                  <c:v>2.0859999999999999</c:v>
                </c:pt>
                <c:pt idx="176">
                  <c:v>2.0870000000000002</c:v>
                </c:pt>
                <c:pt idx="177">
                  <c:v>2.09</c:v>
                </c:pt>
                <c:pt idx="178">
                  <c:v>2.0979999999999999</c:v>
                </c:pt>
                <c:pt idx="179">
                  <c:v>2.0830000000000002</c:v>
                </c:pt>
                <c:pt idx="180">
                  <c:v>2.0880000000000001</c:v>
                </c:pt>
                <c:pt idx="181">
                  <c:v>2.0939999999999999</c:v>
                </c:pt>
                <c:pt idx="182">
                  <c:v>2.09</c:v>
                </c:pt>
                <c:pt idx="183">
                  <c:v>2.0910000000000002</c:v>
                </c:pt>
                <c:pt idx="184">
                  <c:v>2.1160000000000001</c:v>
                </c:pt>
                <c:pt idx="185">
                  <c:v>2.12</c:v>
                </c:pt>
                <c:pt idx="186">
                  <c:v>2.13</c:v>
                </c:pt>
                <c:pt idx="187">
                  <c:v>2.1389999999999998</c:v>
                </c:pt>
                <c:pt idx="188">
                  <c:v>2.1459999999999999</c:v>
                </c:pt>
                <c:pt idx="189">
                  <c:v>2.1349999999999998</c:v>
                </c:pt>
                <c:pt idx="190">
                  <c:v>2.133</c:v>
                </c:pt>
                <c:pt idx="191">
                  <c:v>2.1</c:v>
                </c:pt>
                <c:pt idx="192">
                  <c:v>2.1</c:v>
                </c:pt>
                <c:pt idx="193">
                  <c:v>2.1019999999999999</c:v>
                </c:pt>
                <c:pt idx="194">
                  <c:v>2.0720000000000001</c:v>
                </c:pt>
                <c:pt idx="195">
                  <c:v>2.0419999999999998</c:v>
                </c:pt>
                <c:pt idx="196">
                  <c:v>2.032</c:v>
                </c:pt>
                <c:pt idx="197">
                  <c:v>2.0249999999999999</c:v>
                </c:pt>
                <c:pt idx="198">
                  <c:v>2.02</c:v>
                </c:pt>
                <c:pt idx="199">
                  <c:v>2.0150000000000001</c:v>
                </c:pt>
                <c:pt idx="200">
                  <c:v>2.0139999999999998</c:v>
                </c:pt>
                <c:pt idx="201">
                  <c:v>2.0099999999999998</c:v>
                </c:pt>
                <c:pt idx="202">
                  <c:v>2.0089999999999999</c:v>
                </c:pt>
                <c:pt idx="203">
                  <c:v>1.998</c:v>
                </c:pt>
                <c:pt idx="204">
                  <c:v>1.944</c:v>
                </c:pt>
                <c:pt idx="205">
                  <c:v>1.907</c:v>
                </c:pt>
                <c:pt idx="206">
                  <c:v>1.885</c:v>
                </c:pt>
                <c:pt idx="207">
                  <c:v>1.875</c:v>
                </c:pt>
                <c:pt idx="208">
                  <c:v>1.857</c:v>
                </c:pt>
                <c:pt idx="209">
                  <c:v>1.841</c:v>
                </c:pt>
                <c:pt idx="210">
                  <c:v>1.833</c:v>
                </c:pt>
                <c:pt idx="211">
                  <c:v>1.8320000000000001</c:v>
                </c:pt>
                <c:pt idx="212">
                  <c:v>1.83</c:v>
                </c:pt>
                <c:pt idx="213">
                  <c:v>1.835</c:v>
                </c:pt>
                <c:pt idx="214">
                  <c:v>1.83</c:v>
                </c:pt>
                <c:pt idx="215">
                  <c:v>1.839</c:v>
                </c:pt>
                <c:pt idx="216">
                  <c:v>1.8360000000000001</c:v>
                </c:pt>
                <c:pt idx="217">
                  <c:v>1.8380000000000001</c:v>
                </c:pt>
                <c:pt idx="218">
                  <c:v>1.843</c:v>
                </c:pt>
                <c:pt idx="219">
                  <c:v>1.847</c:v>
                </c:pt>
                <c:pt idx="220">
                  <c:v>1.855</c:v>
                </c:pt>
                <c:pt idx="221">
                  <c:v>1.863</c:v>
                </c:pt>
                <c:pt idx="222">
                  <c:v>1.869</c:v>
                </c:pt>
                <c:pt idx="223">
                  <c:v>1.873</c:v>
                </c:pt>
                <c:pt idx="224">
                  <c:v>1.883</c:v>
                </c:pt>
                <c:pt idx="225">
                  <c:v>1.887</c:v>
                </c:pt>
                <c:pt idx="226">
                  <c:v>1.893</c:v>
                </c:pt>
                <c:pt idx="227">
                  <c:v>1.8979999999999999</c:v>
                </c:pt>
                <c:pt idx="228">
                  <c:v>1.9039999999999999</c:v>
                </c:pt>
                <c:pt idx="229">
                  <c:v>1.909</c:v>
                </c:pt>
                <c:pt idx="230">
                  <c:v>1.917</c:v>
                </c:pt>
                <c:pt idx="231">
                  <c:v>1.9239999999999999</c:v>
                </c:pt>
                <c:pt idx="232">
                  <c:v>1.9319999999999999</c:v>
                </c:pt>
                <c:pt idx="233">
                  <c:v>1.9259999999999999</c:v>
                </c:pt>
                <c:pt idx="234">
                  <c:v>1.931</c:v>
                </c:pt>
                <c:pt idx="235">
                  <c:v>1.94</c:v>
                </c:pt>
                <c:pt idx="236">
                  <c:v>1.95</c:v>
                </c:pt>
                <c:pt idx="237">
                  <c:v>1.96</c:v>
                </c:pt>
                <c:pt idx="238">
                  <c:v>1.978</c:v>
                </c:pt>
                <c:pt idx="239">
                  <c:v>1.99</c:v>
                </c:pt>
                <c:pt idx="240">
                  <c:v>1.9910000000000001</c:v>
                </c:pt>
                <c:pt idx="241">
                  <c:v>1.994</c:v>
                </c:pt>
                <c:pt idx="242">
                  <c:v>1.99</c:v>
                </c:pt>
                <c:pt idx="243">
                  <c:v>1.9830000000000001</c:v>
                </c:pt>
                <c:pt idx="244">
                  <c:v>1.9810000000000001</c:v>
                </c:pt>
                <c:pt idx="245">
                  <c:v>1.9750000000000001</c:v>
                </c:pt>
                <c:pt idx="246">
                  <c:v>1.982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history_chart!$CF$5</c:f>
              <c:strCache>
                <c:ptCount val="1"/>
                <c:pt idx="0">
                  <c:v>3사평균 회사채AA0(공모/무보증)</c:v>
                </c:pt>
              </c:strCache>
            </c:strRef>
          </c:tx>
          <c:spPr>
            <a:ln w="22225">
              <a:solidFill>
                <a:srgbClr val="FF660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numRef>
              <c:f>history_chart!$CD$10:$CD$256</c:f>
              <c:numCache>
                <c:formatCode>m/d/yyyy</c:formatCode>
                <c:ptCount val="247"/>
                <c:pt idx="0">
                  <c:v>44943</c:v>
                </c:pt>
                <c:pt idx="1">
                  <c:v>44942</c:v>
                </c:pt>
                <c:pt idx="2">
                  <c:v>44939</c:v>
                </c:pt>
                <c:pt idx="3">
                  <c:v>44938</c:v>
                </c:pt>
                <c:pt idx="4">
                  <c:v>44937</c:v>
                </c:pt>
                <c:pt idx="5">
                  <c:v>44936</c:v>
                </c:pt>
                <c:pt idx="6">
                  <c:v>44935</c:v>
                </c:pt>
                <c:pt idx="7">
                  <c:v>44932</c:v>
                </c:pt>
                <c:pt idx="8">
                  <c:v>44931</c:v>
                </c:pt>
                <c:pt idx="9">
                  <c:v>44930</c:v>
                </c:pt>
                <c:pt idx="10">
                  <c:v>44929</c:v>
                </c:pt>
                <c:pt idx="11">
                  <c:v>44928</c:v>
                </c:pt>
                <c:pt idx="12">
                  <c:v>44925</c:v>
                </c:pt>
                <c:pt idx="13">
                  <c:v>44924</c:v>
                </c:pt>
                <c:pt idx="14">
                  <c:v>44923</c:v>
                </c:pt>
                <c:pt idx="15">
                  <c:v>44922</c:v>
                </c:pt>
                <c:pt idx="16">
                  <c:v>44921</c:v>
                </c:pt>
                <c:pt idx="17">
                  <c:v>44918</c:v>
                </c:pt>
                <c:pt idx="18">
                  <c:v>44917</c:v>
                </c:pt>
                <c:pt idx="19">
                  <c:v>44916</c:v>
                </c:pt>
                <c:pt idx="20">
                  <c:v>44915</c:v>
                </c:pt>
                <c:pt idx="21">
                  <c:v>44914</c:v>
                </c:pt>
                <c:pt idx="22">
                  <c:v>44911</c:v>
                </c:pt>
                <c:pt idx="23">
                  <c:v>44910</c:v>
                </c:pt>
                <c:pt idx="24">
                  <c:v>44909</c:v>
                </c:pt>
                <c:pt idx="25">
                  <c:v>44908</c:v>
                </c:pt>
                <c:pt idx="26">
                  <c:v>44907</c:v>
                </c:pt>
                <c:pt idx="27">
                  <c:v>44904</c:v>
                </c:pt>
                <c:pt idx="28">
                  <c:v>44903</c:v>
                </c:pt>
                <c:pt idx="29">
                  <c:v>44902</c:v>
                </c:pt>
                <c:pt idx="30">
                  <c:v>44901</c:v>
                </c:pt>
                <c:pt idx="31">
                  <c:v>44900</c:v>
                </c:pt>
                <c:pt idx="32">
                  <c:v>44897</c:v>
                </c:pt>
                <c:pt idx="33">
                  <c:v>44896</c:v>
                </c:pt>
                <c:pt idx="34">
                  <c:v>44895</c:v>
                </c:pt>
                <c:pt idx="35">
                  <c:v>44894</c:v>
                </c:pt>
                <c:pt idx="36">
                  <c:v>44893</c:v>
                </c:pt>
                <c:pt idx="37">
                  <c:v>44890</c:v>
                </c:pt>
                <c:pt idx="38">
                  <c:v>44889</c:v>
                </c:pt>
                <c:pt idx="39">
                  <c:v>44888</c:v>
                </c:pt>
                <c:pt idx="40">
                  <c:v>44887</c:v>
                </c:pt>
                <c:pt idx="41">
                  <c:v>44886</c:v>
                </c:pt>
                <c:pt idx="42">
                  <c:v>44883</c:v>
                </c:pt>
                <c:pt idx="43">
                  <c:v>44882</c:v>
                </c:pt>
                <c:pt idx="44">
                  <c:v>44881</c:v>
                </c:pt>
                <c:pt idx="45">
                  <c:v>44880</c:v>
                </c:pt>
                <c:pt idx="46">
                  <c:v>44879</c:v>
                </c:pt>
                <c:pt idx="47">
                  <c:v>44876</c:v>
                </c:pt>
                <c:pt idx="48">
                  <c:v>44875</c:v>
                </c:pt>
                <c:pt idx="49">
                  <c:v>44874</c:v>
                </c:pt>
                <c:pt idx="50">
                  <c:v>44873</c:v>
                </c:pt>
                <c:pt idx="51">
                  <c:v>44872</c:v>
                </c:pt>
                <c:pt idx="52">
                  <c:v>44869</c:v>
                </c:pt>
                <c:pt idx="53">
                  <c:v>44868</c:v>
                </c:pt>
                <c:pt idx="54">
                  <c:v>44867</c:v>
                </c:pt>
                <c:pt idx="55">
                  <c:v>44866</c:v>
                </c:pt>
                <c:pt idx="56">
                  <c:v>44865</c:v>
                </c:pt>
                <c:pt idx="57">
                  <c:v>44862</c:v>
                </c:pt>
                <c:pt idx="58">
                  <c:v>44861</c:v>
                </c:pt>
                <c:pt idx="59">
                  <c:v>44860</c:v>
                </c:pt>
                <c:pt idx="60">
                  <c:v>44859</c:v>
                </c:pt>
                <c:pt idx="61">
                  <c:v>44858</c:v>
                </c:pt>
                <c:pt idx="62">
                  <c:v>44855</c:v>
                </c:pt>
                <c:pt idx="63">
                  <c:v>44854</c:v>
                </c:pt>
                <c:pt idx="64">
                  <c:v>44853</c:v>
                </c:pt>
                <c:pt idx="65">
                  <c:v>44852</c:v>
                </c:pt>
                <c:pt idx="66">
                  <c:v>44851</c:v>
                </c:pt>
                <c:pt idx="67">
                  <c:v>44848</c:v>
                </c:pt>
                <c:pt idx="68">
                  <c:v>44847</c:v>
                </c:pt>
                <c:pt idx="69">
                  <c:v>44846</c:v>
                </c:pt>
                <c:pt idx="70">
                  <c:v>44845</c:v>
                </c:pt>
                <c:pt idx="71">
                  <c:v>44841</c:v>
                </c:pt>
                <c:pt idx="72">
                  <c:v>44840</c:v>
                </c:pt>
                <c:pt idx="73">
                  <c:v>44839</c:v>
                </c:pt>
                <c:pt idx="74">
                  <c:v>44838</c:v>
                </c:pt>
                <c:pt idx="75">
                  <c:v>44834</c:v>
                </c:pt>
                <c:pt idx="76">
                  <c:v>44833</c:v>
                </c:pt>
                <c:pt idx="77">
                  <c:v>44832</c:v>
                </c:pt>
                <c:pt idx="78">
                  <c:v>44831</c:v>
                </c:pt>
                <c:pt idx="79">
                  <c:v>44830</c:v>
                </c:pt>
                <c:pt idx="80">
                  <c:v>44827</c:v>
                </c:pt>
                <c:pt idx="81">
                  <c:v>44826</c:v>
                </c:pt>
                <c:pt idx="82">
                  <c:v>44825</c:v>
                </c:pt>
                <c:pt idx="83">
                  <c:v>44824</c:v>
                </c:pt>
                <c:pt idx="84">
                  <c:v>44823</c:v>
                </c:pt>
                <c:pt idx="85">
                  <c:v>44820</c:v>
                </c:pt>
                <c:pt idx="86">
                  <c:v>44819</c:v>
                </c:pt>
                <c:pt idx="87">
                  <c:v>44818</c:v>
                </c:pt>
                <c:pt idx="88">
                  <c:v>44817</c:v>
                </c:pt>
                <c:pt idx="89">
                  <c:v>44812</c:v>
                </c:pt>
                <c:pt idx="90">
                  <c:v>44811</c:v>
                </c:pt>
                <c:pt idx="91">
                  <c:v>44810</c:v>
                </c:pt>
                <c:pt idx="92">
                  <c:v>44809</c:v>
                </c:pt>
                <c:pt idx="93">
                  <c:v>44806</c:v>
                </c:pt>
                <c:pt idx="94">
                  <c:v>44805</c:v>
                </c:pt>
                <c:pt idx="95">
                  <c:v>44804</c:v>
                </c:pt>
                <c:pt idx="96">
                  <c:v>44803</c:v>
                </c:pt>
                <c:pt idx="97">
                  <c:v>44802</c:v>
                </c:pt>
                <c:pt idx="98">
                  <c:v>44799</c:v>
                </c:pt>
                <c:pt idx="99">
                  <c:v>44798</c:v>
                </c:pt>
                <c:pt idx="100">
                  <c:v>44797</c:v>
                </c:pt>
                <c:pt idx="101">
                  <c:v>44796</c:v>
                </c:pt>
                <c:pt idx="102">
                  <c:v>44795</c:v>
                </c:pt>
                <c:pt idx="103">
                  <c:v>44792</c:v>
                </c:pt>
                <c:pt idx="104">
                  <c:v>44791</c:v>
                </c:pt>
                <c:pt idx="105">
                  <c:v>44790</c:v>
                </c:pt>
                <c:pt idx="106">
                  <c:v>44789</c:v>
                </c:pt>
                <c:pt idx="107">
                  <c:v>44785</c:v>
                </c:pt>
                <c:pt idx="108">
                  <c:v>44784</c:v>
                </c:pt>
                <c:pt idx="109">
                  <c:v>44783</c:v>
                </c:pt>
                <c:pt idx="110">
                  <c:v>44782</c:v>
                </c:pt>
                <c:pt idx="111">
                  <c:v>44781</c:v>
                </c:pt>
                <c:pt idx="112">
                  <c:v>44778</c:v>
                </c:pt>
                <c:pt idx="113">
                  <c:v>44777</c:v>
                </c:pt>
                <c:pt idx="114">
                  <c:v>44776</c:v>
                </c:pt>
                <c:pt idx="115">
                  <c:v>44775</c:v>
                </c:pt>
                <c:pt idx="116">
                  <c:v>44774</c:v>
                </c:pt>
                <c:pt idx="117">
                  <c:v>44771</c:v>
                </c:pt>
                <c:pt idx="118">
                  <c:v>44770</c:v>
                </c:pt>
                <c:pt idx="119">
                  <c:v>44769</c:v>
                </c:pt>
                <c:pt idx="120">
                  <c:v>44768</c:v>
                </c:pt>
                <c:pt idx="121">
                  <c:v>44767</c:v>
                </c:pt>
                <c:pt idx="122">
                  <c:v>44764</c:v>
                </c:pt>
                <c:pt idx="123">
                  <c:v>44763</c:v>
                </c:pt>
                <c:pt idx="124">
                  <c:v>44762</c:v>
                </c:pt>
                <c:pt idx="125">
                  <c:v>44761</c:v>
                </c:pt>
                <c:pt idx="126">
                  <c:v>44760</c:v>
                </c:pt>
                <c:pt idx="127">
                  <c:v>44757</c:v>
                </c:pt>
                <c:pt idx="128">
                  <c:v>44756</c:v>
                </c:pt>
                <c:pt idx="129">
                  <c:v>44755</c:v>
                </c:pt>
                <c:pt idx="130">
                  <c:v>44754</c:v>
                </c:pt>
                <c:pt idx="131">
                  <c:v>44753</c:v>
                </c:pt>
                <c:pt idx="132">
                  <c:v>44750</c:v>
                </c:pt>
                <c:pt idx="133">
                  <c:v>44749</c:v>
                </c:pt>
                <c:pt idx="134">
                  <c:v>44748</c:v>
                </c:pt>
                <c:pt idx="135">
                  <c:v>44747</c:v>
                </c:pt>
                <c:pt idx="136">
                  <c:v>44746</c:v>
                </c:pt>
                <c:pt idx="137">
                  <c:v>44743</c:v>
                </c:pt>
                <c:pt idx="138">
                  <c:v>44742</c:v>
                </c:pt>
                <c:pt idx="139">
                  <c:v>44741</c:v>
                </c:pt>
                <c:pt idx="140">
                  <c:v>44740</c:v>
                </c:pt>
                <c:pt idx="141">
                  <c:v>44739</c:v>
                </c:pt>
                <c:pt idx="142">
                  <c:v>44736</c:v>
                </c:pt>
                <c:pt idx="143">
                  <c:v>44735</c:v>
                </c:pt>
                <c:pt idx="144">
                  <c:v>44734</c:v>
                </c:pt>
                <c:pt idx="145">
                  <c:v>44733</c:v>
                </c:pt>
                <c:pt idx="146">
                  <c:v>44732</c:v>
                </c:pt>
                <c:pt idx="147">
                  <c:v>44729</c:v>
                </c:pt>
                <c:pt idx="148">
                  <c:v>44728</c:v>
                </c:pt>
                <c:pt idx="149">
                  <c:v>44727</c:v>
                </c:pt>
                <c:pt idx="150">
                  <c:v>44726</c:v>
                </c:pt>
                <c:pt idx="151">
                  <c:v>44725</c:v>
                </c:pt>
                <c:pt idx="152">
                  <c:v>44722</c:v>
                </c:pt>
                <c:pt idx="153">
                  <c:v>44721</c:v>
                </c:pt>
                <c:pt idx="154">
                  <c:v>44720</c:v>
                </c:pt>
                <c:pt idx="155">
                  <c:v>44719</c:v>
                </c:pt>
                <c:pt idx="156">
                  <c:v>44715</c:v>
                </c:pt>
                <c:pt idx="157">
                  <c:v>44714</c:v>
                </c:pt>
                <c:pt idx="158">
                  <c:v>44712</c:v>
                </c:pt>
                <c:pt idx="159">
                  <c:v>44711</c:v>
                </c:pt>
                <c:pt idx="160">
                  <c:v>44708</c:v>
                </c:pt>
                <c:pt idx="161">
                  <c:v>44707</c:v>
                </c:pt>
                <c:pt idx="162">
                  <c:v>44706</c:v>
                </c:pt>
                <c:pt idx="163">
                  <c:v>44705</c:v>
                </c:pt>
                <c:pt idx="164">
                  <c:v>44704</c:v>
                </c:pt>
                <c:pt idx="165">
                  <c:v>44701</c:v>
                </c:pt>
                <c:pt idx="166">
                  <c:v>44700</c:v>
                </c:pt>
                <c:pt idx="167">
                  <c:v>44699</c:v>
                </c:pt>
                <c:pt idx="168">
                  <c:v>44698</c:v>
                </c:pt>
                <c:pt idx="169">
                  <c:v>44697</c:v>
                </c:pt>
                <c:pt idx="170">
                  <c:v>44694</c:v>
                </c:pt>
                <c:pt idx="171">
                  <c:v>44693</c:v>
                </c:pt>
                <c:pt idx="172">
                  <c:v>44692</c:v>
                </c:pt>
                <c:pt idx="173">
                  <c:v>44691</c:v>
                </c:pt>
                <c:pt idx="174">
                  <c:v>44690</c:v>
                </c:pt>
                <c:pt idx="175">
                  <c:v>44687</c:v>
                </c:pt>
                <c:pt idx="176">
                  <c:v>44685</c:v>
                </c:pt>
                <c:pt idx="177">
                  <c:v>44684</c:v>
                </c:pt>
                <c:pt idx="178">
                  <c:v>44683</c:v>
                </c:pt>
                <c:pt idx="179">
                  <c:v>44680</c:v>
                </c:pt>
                <c:pt idx="180">
                  <c:v>44679</c:v>
                </c:pt>
                <c:pt idx="181">
                  <c:v>44678</c:v>
                </c:pt>
                <c:pt idx="182">
                  <c:v>44677</c:v>
                </c:pt>
                <c:pt idx="183">
                  <c:v>44676</c:v>
                </c:pt>
                <c:pt idx="184">
                  <c:v>44673</c:v>
                </c:pt>
                <c:pt idx="185">
                  <c:v>44672</c:v>
                </c:pt>
                <c:pt idx="186">
                  <c:v>44671</c:v>
                </c:pt>
                <c:pt idx="187">
                  <c:v>44670</c:v>
                </c:pt>
                <c:pt idx="188">
                  <c:v>44669</c:v>
                </c:pt>
                <c:pt idx="189">
                  <c:v>44666</c:v>
                </c:pt>
                <c:pt idx="190">
                  <c:v>44665</c:v>
                </c:pt>
                <c:pt idx="191">
                  <c:v>44664</c:v>
                </c:pt>
                <c:pt idx="192">
                  <c:v>44663</c:v>
                </c:pt>
                <c:pt idx="193">
                  <c:v>44662</c:v>
                </c:pt>
                <c:pt idx="194">
                  <c:v>44659</c:v>
                </c:pt>
                <c:pt idx="195">
                  <c:v>44658</c:v>
                </c:pt>
                <c:pt idx="196">
                  <c:v>44657</c:v>
                </c:pt>
                <c:pt idx="197">
                  <c:v>44656</c:v>
                </c:pt>
                <c:pt idx="198">
                  <c:v>44655</c:v>
                </c:pt>
                <c:pt idx="199">
                  <c:v>44652</c:v>
                </c:pt>
                <c:pt idx="200">
                  <c:v>44651</c:v>
                </c:pt>
                <c:pt idx="201">
                  <c:v>44650</c:v>
                </c:pt>
                <c:pt idx="202">
                  <c:v>44649</c:v>
                </c:pt>
                <c:pt idx="203">
                  <c:v>44648</c:v>
                </c:pt>
                <c:pt idx="204">
                  <c:v>44645</c:v>
                </c:pt>
                <c:pt idx="205">
                  <c:v>44644</c:v>
                </c:pt>
                <c:pt idx="206">
                  <c:v>44643</c:v>
                </c:pt>
                <c:pt idx="207">
                  <c:v>44642</c:v>
                </c:pt>
                <c:pt idx="208">
                  <c:v>44641</c:v>
                </c:pt>
                <c:pt idx="209">
                  <c:v>44638</c:v>
                </c:pt>
                <c:pt idx="210">
                  <c:v>44637</c:v>
                </c:pt>
                <c:pt idx="211">
                  <c:v>44636</c:v>
                </c:pt>
                <c:pt idx="212">
                  <c:v>44635</c:v>
                </c:pt>
                <c:pt idx="213">
                  <c:v>44634</c:v>
                </c:pt>
                <c:pt idx="214">
                  <c:v>44631</c:v>
                </c:pt>
                <c:pt idx="215">
                  <c:v>44630</c:v>
                </c:pt>
                <c:pt idx="216">
                  <c:v>44628</c:v>
                </c:pt>
                <c:pt idx="217">
                  <c:v>44627</c:v>
                </c:pt>
                <c:pt idx="218">
                  <c:v>44624</c:v>
                </c:pt>
                <c:pt idx="219">
                  <c:v>44623</c:v>
                </c:pt>
                <c:pt idx="220">
                  <c:v>44622</c:v>
                </c:pt>
                <c:pt idx="221">
                  <c:v>44620</c:v>
                </c:pt>
                <c:pt idx="222">
                  <c:v>44617</c:v>
                </c:pt>
                <c:pt idx="223">
                  <c:v>44616</c:v>
                </c:pt>
                <c:pt idx="224">
                  <c:v>44615</c:v>
                </c:pt>
                <c:pt idx="225">
                  <c:v>44614</c:v>
                </c:pt>
                <c:pt idx="226">
                  <c:v>44613</c:v>
                </c:pt>
                <c:pt idx="227">
                  <c:v>44610</c:v>
                </c:pt>
                <c:pt idx="228">
                  <c:v>44609</c:v>
                </c:pt>
                <c:pt idx="229">
                  <c:v>44608</c:v>
                </c:pt>
                <c:pt idx="230">
                  <c:v>44607</c:v>
                </c:pt>
                <c:pt idx="231">
                  <c:v>44606</c:v>
                </c:pt>
                <c:pt idx="232">
                  <c:v>44603</c:v>
                </c:pt>
                <c:pt idx="233">
                  <c:v>44602</c:v>
                </c:pt>
                <c:pt idx="234">
                  <c:v>44601</c:v>
                </c:pt>
                <c:pt idx="235">
                  <c:v>44600</c:v>
                </c:pt>
                <c:pt idx="236">
                  <c:v>44599</c:v>
                </c:pt>
                <c:pt idx="237">
                  <c:v>44596</c:v>
                </c:pt>
                <c:pt idx="238">
                  <c:v>44595</c:v>
                </c:pt>
                <c:pt idx="239">
                  <c:v>44589</c:v>
                </c:pt>
                <c:pt idx="240">
                  <c:v>44588</c:v>
                </c:pt>
                <c:pt idx="241">
                  <c:v>44587</c:v>
                </c:pt>
                <c:pt idx="242">
                  <c:v>44586</c:v>
                </c:pt>
                <c:pt idx="243">
                  <c:v>44585</c:v>
                </c:pt>
                <c:pt idx="244">
                  <c:v>44582</c:v>
                </c:pt>
                <c:pt idx="245">
                  <c:v>44581</c:v>
                </c:pt>
                <c:pt idx="246">
                  <c:v>44580</c:v>
                </c:pt>
              </c:numCache>
            </c:numRef>
          </c:cat>
          <c:val>
            <c:numRef>
              <c:f>history_chart!$CF$10:$CF$256</c:f>
              <c:numCache>
                <c:formatCode>General</c:formatCode>
                <c:ptCount val="247"/>
                <c:pt idx="0">
                  <c:v>4.2480000000000002</c:v>
                </c:pt>
                <c:pt idx="1">
                  <c:v>4.2759999999999998</c:v>
                </c:pt>
                <c:pt idx="2">
                  <c:v>4.3079999999999998</c:v>
                </c:pt>
                <c:pt idx="3">
                  <c:v>4.2880000000000003</c:v>
                </c:pt>
                <c:pt idx="4">
                  <c:v>4.2939999999999996</c:v>
                </c:pt>
                <c:pt idx="5">
                  <c:v>4.319</c:v>
                </c:pt>
                <c:pt idx="6">
                  <c:v>4.343</c:v>
                </c:pt>
                <c:pt idx="7">
                  <c:v>4.391</c:v>
                </c:pt>
                <c:pt idx="8">
                  <c:v>4.423</c:v>
                </c:pt>
                <c:pt idx="9">
                  <c:v>4.468</c:v>
                </c:pt>
                <c:pt idx="10">
                  <c:v>4.5380000000000003</c:v>
                </c:pt>
                <c:pt idx="11">
                  <c:v>4.6130000000000004</c:v>
                </c:pt>
                <c:pt idx="12">
                  <c:v>4.6429999999999998</c:v>
                </c:pt>
                <c:pt idx="13">
                  <c:v>4.6429999999999998</c:v>
                </c:pt>
                <c:pt idx="14">
                  <c:v>4.6509999999999998</c:v>
                </c:pt>
                <c:pt idx="15">
                  <c:v>4.6589999999999998</c:v>
                </c:pt>
                <c:pt idx="16">
                  <c:v>4.6779999999999999</c:v>
                </c:pt>
                <c:pt idx="17">
                  <c:v>4.681</c:v>
                </c:pt>
                <c:pt idx="18">
                  <c:v>4.6639999999999997</c:v>
                </c:pt>
                <c:pt idx="19">
                  <c:v>4.6779999999999999</c:v>
                </c:pt>
                <c:pt idx="20">
                  <c:v>4.6859999999999999</c:v>
                </c:pt>
                <c:pt idx="21">
                  <c:v>4.6580000000000004</c:v>
                </c:pt>
                <c:pt idx="22">
                  <c:v>4.6589999999999998</c:v>
                </c:pt>
                <c:pt idx="23">
                  <c:v>4.6580000000000004</c:v>
                </c:pt>
                <c:pt idx="24">
                  <c:v>4.6559999999999997</c:v>
                </c:pt>
                <c:pt idx="25">
                  <c:v>4.6580000000000004</c:v>
                </c:pt>
                <c:pt idx="26">
                  <c:v>4.6310000000000002</c:v>
                </c:pt>
                <c:pt idx="27">
                  <c:v>4.62</c:v>
                </c:pt>
                <c:pt idx="28">
                  <c:v>4.6130000000000004</c:v>
                </c:pt>
                <c:pt idx="29">
                  <c:v>4.5970000000000004</c:v>
                </c:pt>
                <c:pt idx="30">
                  <c:v>4.5730000000000004</c:v>
                </c:pt>
                <c:pt idx="31">
                  <c:v>4.5620000000000003</c:v>
                </c:pt>
                <c:pt idx="32">
                  <c:v>4.5679999999999996</c:v>
                </c:pt>
                <c:pt idx="33">
                  <c:v>4.5949999999999998</c:v>
                </c:pt>
                <c:pt idx="34">
                  <c:v>4.6429999999999998</c:v>
                </c:pt>
                <c:pt idx="35">
                  <c:v>4.6280000000000001</c:v>
                </c:pt>
                <c:pt idx="36">
                  <c:v>4.6020000000000003</c:v>
                </c:pt>
                <c:pt idx="37">
                  <c:v>4.585</c:v>
                </c:pt>
                <c:pt idx="38">
                  <c:v>4.5679999999999996</c:v>
                </c:pt>
                <c:pt idx="39">
                  <c:v>4.5469999999999997</c:v>
                </c:pt>
                <c:pt idx="40">
                  <c:v>4.54</c:v>
                </c:pt>
                <c:pt idx="41">
                  <c:v>4.54</c:v>
                </c:pt>
                <c:pt idx="42">
                  <c:v>4.53</c:v>
                </c:pt>
                <c:pt idx="43">
                  <c:v>4.53</c:v>
                </c:pt>
                <c:pt idx="44">
                  <c:v>4.5149999999999997</c:v>
                </c:pt>
                <c:pt idx="45">
                  <c:v>4.4800000000000004</c:v>
                </c:pt>
                <c:pt idx="46">
                  <c:v>4.4829999999999997</c:v>
                </c:pt>
                <c:pt idx="47">
                  <c:v>4.4619999999999997</c:v>
                </c:pt>
                <c:pt idx="48">
                  <c:v>4.4779999999999998</c:v>
                </c:pt>
                <c:pt idx="49">
                  <c:v>4.4569999999999999</c:v>
                </c:pt>
                <c:pt idx="50">
                  <c:v>4.4370000000000003</c:v>
                </c:pt>
                <c:pt idx="51">
                  <c:v>4.4219999999999997</c:v>
                </c:pt>
                <c:pt idx="52">
                  <c:v>4.4000000000000004</c:v>
                </c:pt>
                <c:pt idx="53">
                  <c:v>4.3780000000000001</c:v>
                </c:pt>
                <c:pt idx="54">
                  <c:v>4.335</c:v>
                </c:pt>
                <c:pt idx="55">
                  <c:v>4.2930000000000001</c:v>
                </c:pt>
                <c:pt idx="56">
                  <c:v>4.2779999999999996</c:v>
                </c:pt>
                <c:pt idx="57">
                  <c:v>4.2469999999999999</c:v>
                </c:pt>
                <c:pt idx="58">
                  <c:v>4.2350000000000003</c:v>
                </c:pt>
                <c:pt idx="59">
                  <c:v>4.1879999999999997</c:v>
                </c:pt>
                <c:pt idx="60">
                  <c:v>4.1269999999999998</c:v>
                </c:pt>
                <c:pt idx="61">
                  <c:v>4.1029999999999998</c:v>
                </c:pt>
                <c:pt idx="62">
                  <c:v>4.077</c:v>
                </c:pt>
                <c:pt idx="63">
                  <c:v>3.99</c:v>
                </c:pt>
                <c:pt idx="64">
                  <c:v>3.9529999999999998</c:v>
                </c:pt>
                <c:pt idx="65">
                  <c:v>3.9020000000000001</c:v>
                </c:pt>
                <c:pt idx="66">
                  <c:v>3.8730000000000002</c:v>
                </c:pt>
                <c:pt idx="67">
                  <c:v>3.8530000000000002</c:v>
                </c:pt>
                <c:pt idx="68">
                  <c:v>3.83</c:v>
                </c:pt>
                <c:pt idx="69">
                  <c:v>3.7949999999999999</c:v>
                </c:pt>
                <c:pt idx="70">
                  <c:v>3.6549999999999998</c:v>
                </c:pt>
                <c:pt idx="71">
                  <c:v>3.593</c:v>
                </c:pt>
                <c:pt idx="72">
                  <c:v>3.577</c:v>
                </c:pt>
                <c:pt idx="73">
                  <c:v>3.573</c:v>
                </c:pt>
                <c:pt idx="74">
                  <c:v>3.5470000000000002</c:v>
                </c:pt>
                <c:pt idx="75">
                  <c:v>3.5529999999999999</c:v>
                </c:pt>
                <c:pt idx="76">
                  <c:v>3.58</c:v>
                </c:pt>
                <c:pt idx="77">
                  <c:v>3.617</c:v>
                </c:pt>
                <c:pt idx="78">
                  <c:v>3.5920000000000001</c:v>
                </c:pt>
                <c:pt idx="79">
                  <c:v>3.5880000000000001</c:v>
                </c:pt>
                <c:pt idx="80">
                  <c:v>3.4980000000000002</c:v>
                </c:pt>
                <c:pt idx="81">
                  <c:v>3.4580000000000002</c:v>
                </c:pt>
                <c:pt idx="82">
                  <c:v>3.3370000000000002</c:v>
                </c:pt>
                <c:pt idx="83">
                  <c:v>3.3330000000000002</c:v>
                </c:pt>
                <c:pt idx="84">
                  <c:v>3.3119999999999998</c:v>
                </c:pt>
                <c:pt idx="85">
                  <c:v>3.3180000000000001</c:v>
                </c:pt>
                <c:pt idx="86">
                  <c:v>3.3170000000000002</c:v>
                </c:pt>
                <c:pt idx="87">
                  <c:v>3.3</c:v>
                </c:pt>
                <c:pt idx="88">
                  <c:v>3.2879999999999998</c:v>
                </c:pt>
                <c:pt idx="89">
                  <c:v>3.2829999999999999</c:v>
                </c:pt>
                <c:pt idx="90">
                  <c:v>3.2919999999999998</c:v>
                </c:pt>
                <c:pt idx="91">
                  <c:v>3.2930000000000001</c:v>
                </c:pt>
                <c:pt idx="92">
                  <c:v>3.2949999999999999</c:v>
                </c:pt>
                <c:pt idx="93">
                  <c:v>3.302</c:v>
                </c:pt>
                <c:pt idx="94">
                  <c:v>3.3149999999999999</c:v>
                </c:pt>
                <c:pt idx="95">
                  <c:v>3.298</c:v>
                </c:pt>
                <c:pt idx="96">
                  <c:v>3.2869999999999999</c:v>
                </c:pt>
                <c:pt idx="97">
                  <c:v>3.2930000000000001</c:v>
                </c:pt>
                <c:pt idx="98">
                  <c:v>3.2650000000000001</c:v>
                </c:pt>
                <c:pt idx="99">
                  <c:v>3.2669999999999999</c:v>
                </c:pt>
                <c:pt idx="100">
                  <c:v>3.1680000000000001</c:v>
                </c:pt>
                <c:pt idx="101">
                  <c:v>3.1150000000000002</c:v>
                </c:pt>
                <c:pt idx="102">
                  <c:v>3.09</c:v>
                </c:pt>
                <c:pt idx="103">
                  <c:v>3.0670000000000002</c:v>
                </c:pt>
                <c:pt idx="104">
                  <c:v>3.0550000000000002</c:v>
                </c:pt>
                <c:pt idx="105">
                  <c:v>3.0569999999999999</c:v>
                </c:pt>
                <c:pt idx="106">
                  <c:v>3.0569999999999999</c:v>
                </c:pt>
                <c:pt idx="107">
                  <c:v>3.0649999999999999</c:v>
                </c:pt>
                <c:pt idx="108">
                  <c:v>3.0419999999999998</c:v>
                </c:pt>
                <c:pt idx="109">
                  <c:v>3.0409999999999999</c:v>
                </c:pt>
                <c:pt idx="110">
                  <c:v>3.0379999999999998</c:v>
                </c:pt>
                <c:pt idx="111">
                  <c:v>3.0350000000000001</c:v>
                </c:pt>
                <c:pt idx="112">
                  <c:v>3.0190000000000001</c:v>
                </c:pt>
                <c:pt idx="113">
                  <c:v>3.0209999999999999</c:v>
                </c:pt>
                <c:pt idx="114">
                  <c:v>3.0179999999999998</c:v>
                </c:pt>
                <c:pt idx="115">
                  <c:v>3.016</c:v>
                </c:pt>
                <c:pt idx="116">
                  <c:v>3.024</c:v>
                </c:pt>
                <c:pt idx="117">
                  <c:v>3.004</c:v>
                </c:pt>
                <c:pt idx="118">
                  <c:v>3.008</c:v>
                </c:pt>
                <c:pt idx="119">
                  <c:v>2.9929999999999999</c:v>
                </c:pt>
                <c:pt idx="120">
                  <c:v>2.984</c:v>
                </c:pt>
                <c:pt idx="121">
                  <c:v>2.9729999999999999</c:v>
                </c:pt>
                <c:pt idx="122">
                  <c:v>2.9710000000000001</c:v>
                </c:pt>
                <c:pt idx="123">
                  <c:v>2.976</c:v>
                </c:pt>
                <c:pt idx="124">
                  <c:v>2.9710000000000001</c:v>
                </c:pt>
                <c:pt idx="125">
                  <c:v>2.9580000000000002</c:v>
                </c:pt>
                <c:pt idx="126">
                  <c:v>2.9529999999999998</c:v>
                </c:pt>
                <c:pt idx="127">
                  <c:v>2.944</c:v>
                </c:pt>
                <c:pt idx="128">
                  <c:v>2.9390000000000001</c:v>
                </c:pt>
                <c:pt idx="129">
                  <c:v>2.9180000000000001</c:v>
                </c:pt>
                <c:pt idx="130">
                  <c:v>2.8239999999999998</c:v>
                </c:pt>
                <c:pt idx="131">
                  <c:v>2.7890000000000001</c:v>
                </c:pt>
                <c:pt idx="132">
                  <c:v>2.7679999999999998</c:v>
                </c:pt>
                <c:pt idx="133">
                  <c:v>2.746</c:v>
                </c:pt>
                <c:pt idx="134">
                  <c:v>2.7210000000000001</c:v>
                </c:pt>
                <c:pt idx="135">
                  <c:v>2.7189999999999999</c:v>
                </c:pt>
                <c:pt idx="136">
                  <c:v>2.7130000000000001</c:v>
                </c:pt>
                <c:pt idx="137">
                  <c:v>2.694</c:v>
                </c:pt>
                <c:pt idx="138">
                  <c:v>2.6579999999999999</c:v>
                </c:pt>
                <c:pt idx="139">
                  <c:v>2.6190000000000002</c:v>
                </c:pt>
                <c:pt idx="140">
                  <c:v>2.601</c:v>
                </c:pt>
                <c:pt idx="141">
                  <c:v>2.5760000000000001</c:v>
                </c:pt>
                <c:pt idx="142">
                  <c:v>2.5489999999999999</c:v>
                </c:pt>
                <c:pt idx="143">
                  <c:v>2.536</c:v>
                </c:pt>
                <c:pt idx="144">
                  <c:v>2.5209999999999999</c:v>
                </c:pt>
                <c:pt idx="145">
                  <c:v>2.5139999999999998</c:v>
                </c:pt>
                <c:pt idx="146">
                  <c:v>2.5089999999999999</c:v>
                </c:pt>
                <c:pt idx="147">
                  <c:v>2.5089999999999999</c:v>
                </c:pt>
                <c:pt idx="148">
                  <c:v>2.4910000000000001</c:v>
                </c:pt>
                <c:pt idx="149">
                  <c:v>2.4540000000000002</c:v>
                </c:pt>
                <c:pt idx="150">
                  <c:v>2.3839999999999999</c:v>
                </c:pt>
                <c:pt idx="151">
                  <c:v>2.3679999999999999</c:v>
                </c:pt>
                <c:pt idx="152">
                  <c:v>2.331</c:v>
                </c:pt>
                <c:pt idx="153">
                  <c:v>2.331</c:v>
                </c:pt>
                <c:pt idx="154">
                  <c:v>2.3330000000000002</c:v>
                </c:pt>
                <c:pt idx="155">
                  <c:v>2.3359999999999999</c:v>
                </c:pt>
                <c:pt idx="156">
                  <c:v>2.331</c:v>
                </c:pt>
                <c:pt idx="157">
                  <c:v>2.331</c:v>
                </c:pt>
                <c:pt idx="158">
                  <c:v>2.3260000000000001</c:v>
                </c:pt>
                <c:pt idx="159">
                  <c:v>2.3159999999999998</c:v>
                </c:pt>
                <c:pt idx="160">
                  <c:v>2.3159999999999998</c:v>
                </c:pt>
                <c:pt idx="161">
                  <c:v>2.3039999999999998</c:v>
                </c:pt>
                <c:pt idx="162">
                  <c:v>2.1680000000000001</c:v>
                </c:pt>
                <c:pt idx="163">
                  <c:v>2.149</c:v>
                </c:pt>
                <c:pt idx="164">
                  <c:v>2.1389999999999998</c:v>
                </c:pt>
                <c:pt idx="165">
                  <c:v>2.1259999999999999</c:v>
                </c:pt>
                <c:pt idx="166">
                  <c:v>2.12</c:v>
                </c:pt>
                <c:pt idx="167">
                  <c:v>2.1120000000000001</c:v>
                </c:pt>
                <c:pt idx="168">
                  <c:v>2.1019999999999999</c:v>
                </c:pt>
                <c:pt idx="169">
                  <c:v>2.0859999999999999</c:v>
                </c:pt>
                <c:pt idx="170">
                  <c:v>2.0609999999999999</c:v>
                </c:pt>
                <c:pt idx="171">
                  <c:v>2.0449999999999999</c:v>
                </c:pt>
                <c:pt idx="172">
                  <c:v>2.0430000000000001</c:v>
                </c:pt>
                <c:pt idx="173">
                  <c:v>2.04</c:v>
                </c:pt>
                <c:pt idx="174">
                  <c:v>2.04</c:v>
                </c:pt>
                <c:pt idx="175">
                  <c:v>2.0409999999999999</c:v>
                </c:pt>
                <c:pt idx="176">
                  <c:v>2.0409999999999999</c:v>
                </c:pt>
                <c:pt idx="177">
                  <c:v>2.0510000000000002</c:v>
                </c:pt>
                <c:pt idx="178">
                  <c:v>2.056</c:v>
                </c:pt>
                <c:pt idx="179">
                  <c:v>2.0430000000000001</c:v>
                </c:pt>
                <c:pt idx="180">
                  <c:v>2.0459999999999998</c:v>
                </c:pt>
                <c:pt idx="181">
                  <c:v>2.048</c:v>
                </c:pt>
                <c:pt idx="182">
                  <c:v>2.048</c:v>
                </c:pt>
                <c:pt idx="183">
                  <c:v>2.0510000000000002</c:v>
                </c:pt>
                <c:pt idx="184">
                  <c:v>2.0699999999999998</c:v>
                </c:pt>
                <c:pt idx="185">
                  <c:v>2.0699999999999998</c:v>
                </c:pt>
                <c:pt idx="186">
                  <c:v>2.0760000000000001</c:v>
                </c:pt>
                <c:pt idx="187">
                  <c:v>2.08</c:v>
                </c:pt>
                <c:pt idx="188">
                  <c:v>2.081</c:v>
                </c:pt>
                <c:pt idx="189">
                  <c:v>2.073</c:v>
                </c:pt>
                <c:pt idx="190">
                  <c:v>2.0699999999999998</c:v>
                </c:pt>
                <c:pt idx="191">
                  <c:v>1.99</c:v>
                </c:pt>
                <c:pt idx="192">
                  <c:v>1.986</c:v>
                </c:pt>
                <c:pt idx="193">
                  <c:v>1.9830000000000001</c:v>
                </c:pt>
                <c:pt idx="194">
                  <c:v>1.9650000000000001</c:v>
                </c:pt>
                <c:pt idx="195">
                  <c:v>1.94</c:v>
                </c:pt>
                <c:pt idx="196">
                  <c:v>1.9379999999999999</c:v>
                </c:pt>
                <c:pt idx="197">
                  <c:v>1.93</c:v>
                </c:pt>
                <c:pt idx="198">
                  <c:v>1.9279999999999999</c:v>
                </c:pt>
                <c:pt idx="199">
                  <c:v>1.923</c:v>
                </c:pt>
                <c:pt idx="200">
                  <c:v>1.921</c:v>
                </c:pt>
                <c:pt idx="201">
                  <c:v>1.92</c:v>
                </c:pt>
                <c:pt idx="202">
                  <c:v>1.9179999999999999</c:v>
                </c:pt>
                <c:pt idx="203">
                  <c:v>1.913</c:v>
                </c:pt>
                <c:pt idx="204">
                  <c:v>1.8879999999999999</c:v>
                </c:pt>
                <c:pt idx="205">
                  <c:v>1.855</c:v>
                </c:pt>
                <c:pt idx="206">
                  <c:v>1.841</c:v>
                </c:pt>
                <c:pt idx="207">
                  <c:v>1.8360000000000001</c:v>
                </c:pt>
                <c:pt idx="208">
                  <c:v>1.825</c:v>
                </c:pt>
                <c:pt idx="209">
                  <c:v>1.8180000000000001</c:v>
                </c:pt>
                <c:pt idx="210">
                  <c:v>1.8109999999999999</c:v>
                </c:pt>
                <c:pt idx="211">
                  <c:v>1.806</c:v>
                </c:pt>
                <c:pt idx="212">
                  <c:v>1.81</c:v>
                </c:pt>
                <c:pt idx="213">
                  <c:v>1.8129999999999999</c:v>
                </c:pt>
                <c:pt idx="214">
                  <c:v>1.8109999999999999</c:v>
                </c:pt>
                <c:pt idx="215">
                  <c:v>1.8160000000000001</c:v>
                </c:pt>
                <c:pt idx="216">
                  <c:v>1.8149999999999999</c:v>
                </c:pt>
                <c:pt idx="217">
                  <c:v>1.8129999999999999</c:v>
                </c:pt>
                <c:pt idx="218">
                  <c:v>1.8129999999999999</c:v>
                </c:pt>
                <c:pt idx="219">
                  <c:v>1.8129999999999999</c:v>
                </c:pt>
                <c:pt idx="220">
                  <c:v>1.821</c:v>
                </c:pt>
                <c:pt idx="221">
                  <c:v>1.825</c:v>
                </c:pt>
                <c:pt idx="222">
                  <c:v>1.83</c:v>
                </c:pt>
                <c:pt idx="223">
                  <c:v>1.83</c:v>
                </c:pt>
                <c:pt idx="224">
                  <c:v>1.831</c:v>
                </c:pt>
                <c:pt idx="225">
                  <c:v>1.825</c:v>
                </c:pt>
                <c:pt idx="226">
                  <c:v>1.829</c:v>
                </c:pt>
                <c:pt idx="227">
                  <c:v>1.837</c:v>
                </c:pt>
                <c:pt idx="228">
                  <c:v>1.837</c:v>
                </c:pt>
                <c:pt idx="229">
                  <c:v>1.8420000000000001</c:v>
                </c:pt>
                <c:pt idx="230">
                  <c:v>1.8420000000000001</c:v>
                </c:pt>
                <c:pt idx="231">
                  <c:v>1.847</c:v>
                </c:pt>
                <c:pt idx="232">
                  <c:v>1.85</c:v>
                </c:pt>
                <c:pt idx="233">
                  <c:v>1.8420000000000001</c:v>
                </c:pt>
                <c:pt idx="234">
                  <c:v>1.845</c:v>
                </c:pt>
                <c:pt idx="235">
                  <c:v>1.853</c:v>
                </c:pt>
                <c:pt idx="236">
                  <c:v>1.853</c:v>
                </c:pt>
                <c:pt idx="237">
                  <c:v>1.861</c:v>
                </c:pt>
                <c:pt idx="238">
                  <c:v>1.8759999999999999</c:v>
                </c:pt>
                <c:pt idx="239">
                  <c:v>1.8859999999999999</c:v>
                </c:pt>
                <c:pt idx="240">
                  <c:v>1.883</c:v>
                </c:pt>
                <c:pt idx="241">
                  <c:v>1.8759999999999999</c:v>
                </c:pt>
                <c:pt idx="242">
                  <c:v>1.871</c:v>
                </c:pt>
                <c:pt idx="243">
                  <c:v>1.8620000000000001</c:v>
                </c:pt>
                <c:pt idx="244">
                  <c:v>1.8620000000000001</c:v>
                </c:pt>
                <c:pt idx="245">
                  <c:v>1.86</c:v>
                </c:pt>
                <c:pt idx="246">
                  <c:v>1.8620000000000001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552320"/>
        <c:axId val="144553856"/>
      </c:lineChart>
      <c:dateAx>
        <c:axId val="1445523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4553856"/>
        <c:crosses val="autoZero"/>
        <c:auto val="1"/>
        <c:lblOffset val="100"/>
        <c:baseTimeUnit val="days"/>
      </c:dateAx>
      <c:valAx>
        <c:axId val="1445538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4552320"/>
        <c:crosses val="autoZero"/>
        <c:crossBetween val="between"/>
      </c:valAx>
      <c:valAx>
        <c:axId val="1445553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44557184"/>
        <c:crosses val="max"/>
        <c:crossBetween val="between"/>
      </c:valAx>
      <c:dateAx>
        <c:axId val="14455718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44555392"/>
        <c:crosses val="autoZero"/>
        <c:auto val="1"/>
        <c:lblOffset val="100"/>
        <c:baseTimeUnit val="days"/>
      </c:dateAx>
    </c:plotArea>
    <c:legend>
      <c:legendPos val="b"/>
      <c:layout/>
      <c:overlay val="0"/>
      <c:txPr>
        <a:bodyPr/>
        <a:lstStyle/>
        <a:p>
          <a:pPr>
            <a:defRPr sz="800">
              <a:latin typeface="+mj-ea"/>
              <a:ea typeface="+mj-ea"/>
            </a:defRPr>
          </a:pPr>
          <a:endParaRPr lang="ko-KR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trlProps/ctrlProp1.xml><?xml version="1.0" encoding="utf-8"?>
<formControlPr xmlns="http://schemas.microsoft.com/office/spreadsheetml/2009/9/main" objectType="Drop" dropStyle="combo" dx="15" fmlaLink="$B$34" fmlaRange="$B$35:$B$40" val="0"/>
</file>

<file path=xl/ctrlProps/ctrlProp2.xml><?xml version="1.0" encoding="utf-8"?>
<formControlPr xmlns="http://schemas.microsoft.com/office/spreadsheetml/2009/9/main" objectType="Drop" dropLines="10" dropStyle="combo" dx="15" fmlaLink="$C$35" fmlaRange="$C$36:$C$55" val="0"/>
</file>

<file path=xl/ctrlProps/ctrlProp3.xml><?xml version="1.0" encoding="utf-8"?>
<formControlPr xmlns="http://schemas.microsoft.com/office/spreadsheetml/2009/9/main" objectType="Drop" dropLines="10" dropStyle="combo" dx="15" fmlaLink="$D$35" fmlaRange="$D$36:$D$55" sel="2" val="0"/>
</file>

<file path=xl/ctrlProps/ctrlProp4.xml><?xml version="1.0" encoding="utf-8"?>
<formControlPr xmlns="http://schemas.microsoft.com/office/spreadsheetml/2009/9/main" objectType="Drop" dropStyle="combo" dx="15" fmlaLink="$E$35" fmlaRange="$E$36:$E$41" val="0"/>
</file>

<file path=xl/ctrlProps/ctrlProp5.xml><?xml version="1.0" encoding="utf-8"?>
<formControlPr xmlns="http://schemas.microsoft.com/office/spreadsheetml/2009/9/main" objectType="Drop" dropStyle="combo" dx="15" fmlaLink="$E$57" fmlaRange="$E$36:$E$41" val="0"/>
</file>

<file path=xl/ctrlProps/ctrlProp6.xml><?xml version="1.0" encoding="utf-8"?>
<formControlPr xmlns="http://schemas.microsoft.com/office/spreadsheetml/2009/9/main" objectType="Drop" dropLines="10" dropStyle="combo" dx="15" fmlaLink="$C$57" fmlaRange="$C$36:$C$55" val="0"/>
</file>

<file path=xl/ctrlProps/ctrlProp7.xml><?xml version="1.0" encoding="utf-8"?>
<formControlPr xmlns="http://schemas.microsoft.com/office/spreadsheetml/2009/9/main" objectType="Drop" dropLines="10" dropStyle="combo" dx="15" fmlaLink="$D$57" fmlaRange="$D$36:$D$55" sel="12" val="10"/>
</file>

<file path=xl/ctrlProps/ctrlProp8.xml><?xml version="1.0" encoding="utf-8"?>
<formControlPr xmlns="http://schemas.microsoft.com/office/spreadsheetml/2009/9/main" objectType="Drop" dropLines="10" dropStyle="combo" dx="15" fmlaLink="$G$35" fmlaRange="$C$36:$C$55" sel="2" val="0"/>
</file>

<file path=xl/ctrlProps/ctrlProp9.xml><?xml version="1.0" encoding="utf-8"?>
<formControlPr xmlns="http://schemas.microsoft.com/office/spreadsheetml/2009/9/main" objectType="Drop" dropLines="10" dropStyle="combo" dx="15" fmlaLink="$H$35" fmlaRange="$D$36:$D$55" sel="6" val="5"/>
</file>

<file path=xl/ctrlProps/ctrlProp10.xml><?xml version="1.0" encoding="utf-8"?>
<formControlPr xmlns="http://schemas.microsoft.com/office/spreadsheetml/2009/9/main" objectType="Drop" dropStyle="combo" dx="15" fmlaLink="$I$35" fmlaRange="$E$36:$E$41" val="0"/>
</file>

<file path=xl/ctrlProps/ctrlProp11.xml><?xml version="1.0" encoding="utf-8"?>
<formControlPr xmlns="http://schemas.microsoft.com/office/spreadsheetml/2009/9/main" objectType="Drop" dropStyle="combo" dx="15" fmlaLink="$I$57" fmlaRange="$E$36:$E$41" val="0"/>
</file>

<file path=xl/ctrlProps/ctrlProp12.xml><?xml version="1.0" encoding="utf-8"?>
<formControlPr xmlns="http://schemas.microsoft.com/office/spreadsheetml/2009/9/main" objectType="Drop" dropLines="10" dropStyle="combo" dx="15" fmlaLink="$G$57" fmlaRange="$C$36:$C$55" sel="6" val="5"/>
</file>

<file path=xl/ctrlProps/ctrlProp13.xml><?xml version="1.0" encoding="utf-8"?>
<formControlPr xmlns="http://schemas.microsoft.com/office/spreadsheetml/2009/9/main" objectType="Drop" dropLines="10" dropStyle="combo" dx="15" fmlaLink="$H$57" fmlaRange="$D$36:$D$55" sel="8" val="6"/>
</file>

<file path=xl/ctrlProps/ctrlProp14.xml><?xml version="1.0" encoding="utf-8"?>
<formControlPr xmlns="http://schemas.microsoft.com/office/spreadsheetml/2009/9/main" objectType="Drop" dropLines="10" dropStyle="combo" dx="15" fmlaLink="$G$37" fmlaRange="$B$36:$B$41" val="0"/>
</file>

<file path=xl/ctrlProps/ctrlProp15.xml><?xml version="1.0" encoding="utf-8"?>
<formControlPr xmlns="http://schemas.microsoft.com/office/spreadsheetml/2009/9/main" objectType="Drop" dropLines="10" dropStyle="combo" dx="15" fmlaLink="$H$37" fmlaRange="$C$35:$C$54" val="0"/>
</file>

<file path=xl/ctrlProps/ctrlProp16.xml><?xml version="1.0" encoding="utf-8"?>
<formControlPr xmlns="http://schemas.microsoft.com/office/spreadsheetml/2009/9/main" objectType="Drop" dropLines="10" dropStyle="combo" dx="15" fmlaLink="$J$37" fmlaRange="$B$36:$B$41" val="0"/>
</file>

<file path=xl/ctrlProps/ctrlProp17.xml><?xml version="1.0" encoding="utf-8"?>
<formControlPr xmlns="http://schemas.microsoft.com/office/spreadsheetml/2009/9/main" objectType="Drop" dropLines="10" dropStyle="combo" dx="15" fmlaLink="$K$37" fmlaRange="$C$35:$C$54" val="0"/>
</file>

<file path=xl/ctrlProps/ctrlProp18.xml><?xml version="1.0" encoding="utf-8"?>
<formControlPr xmlns="http://schemas.microsoft.com/office/spreadsheetml/2009/9/main" objectType="Drop" dropLines="10" dropStyle="combo" dx="15" fmlaLink="$I$37" fmlaRange="$B$43:$B$46" val="0"/>
</file>

<file path=xl/ctrlProps/ctrlProp19.xml><?xml version="1.0" encoding="utf-8"?>
<formControlPr xmlns="http://schemas.microsoft.com/office/spreadsheetml/2009/9/main" objectType="Drop" dropLines="10" dropStyle="combo" dx="15" fmlaLink="$L$37" fmlaRange="$B$43:$B$46" sel="4" val="0"/>
</file>

<file path=xl/ctrlProps/ctrlProp20.xml><?xml version="1.0" encoding="utf-8"?>
<formControlPr xmlns="http://schemas.microsoft.com/office/spreadsheetml/2009/9/main" objectType="Drop" dropLines="10" dropStyle="combo" dx="15" fmlaLink="$G$38" fmlaRange="$B$36:$B$41" val="0"/>
</file>

<file path=xl/ctrlProps/ctrlProp21.xml><?xml version="1.0" encoding="utf-8"?>
<formControlPr xmlns="http://schemas.microsoft.com/office/spreadsheetml/2009/9/main" objectType="Drop" dropLines="10" dropStyle="combo" dx="15" fmlaLink="$H$38" fmlaRange="$C$35:$C$54" sel="3" val="2"/>
</file>

<file path=xl/ctrlProps/ctrlProp22.xml><?xml version="1.0" encoding="utf-8"?>
<formControlPr xmlns="http://schemas.microsoft.com/office/spreadsheetml/2009/9/main" objectType="Drop" dropLines="10" dropStyle="combo" dx="15" fmlaLink="$J$38" fmlaRange="$B$36:$B$41" val="0"/>
</file>

<file path=xl/ctrlProps/ctrlProp23.xml><?xml version="1.0" encoding="utf-8"?>
<formControlPr xmlns="http://schemas.microsoft.com/office/spreadsheetml/2009/9/main" objectType="Drop" dropLines="10" dropStyle="combo" dx="15" fmlaLink="$K$38" fmlaRange="$C$35:$C$54" sel="2" val="0"/>
</file>

<file path=xl/ctrlProps/ctrlProp24.xml><?xml version="1.0" encoding="utf-8"?>
<formControlPr xmlns="http://schemas.microsoft.com/office/spreadsheetml/2009/9/main" objectType="Drop" dropLines="10" dropStyle="combo" dx="15" fmlaLink="$I$38" fmlaRange="$B$43:$B$46" val="0"/>
</file>

<file path=xl/ctrlProps/ctrlProp25.xml><?xml version="1.0" encoding="utf-8"?>
<formControlPr xmlns="http://schemas.microsoft.com/office/spreadsheetml/2009/9/main" objectType="Drop" dropLines="10" dropStyle="combo" dx="15" fmlaLink="$L$38" fmlaRange="$B$43:$B$46" val="0"/>
</file>

<file path=xl/ctrlProps/ctrlProp26.xml><?xml version="1.0" encoding="utf-8"?>
<formControlPr xmlns="http://schemas.microsoft.com/office/spreadsheetml/2009/9/main" objectType="Drop" dropLines="10" dropStyle="combo" dx="15" fmlaLink="$G$39" fmlaRange="$B$36:$B$41" val="0"/>
</file>

<file path=xl/ctrlProps/ctrlProp27.xml><?xml version="1.0" encoding="utf-8"?>
<formControlPr xmlns="http://schemas.microsoft.com/office/spreadsheetml/2009/9/main" objectType="Drop" dropLines="10" dropStyle="combo" dx="15" fmlaLink="$H$39" fmlaRange="$C$35:$C$54" sel="3" val="2"/>
</file>

<file path=xl/ctrlProps/ctrlProp28.xml><?xml version="1.0" encoding="utf-8"?>
<formControlPr xmlns="http://schemas.microsoft.com/office/spreadsheetml/2009/9/main" objectType="Drop" dropLines="10" dropStyle="combo" dx="15" fmlaLink="$J$39" fmlaRange="$B$36:$B$41" val="0"/>
</file>

<file path=xl/ctrlProps/ctrlProp29.xml><?xml version="1.0" encoding="utf-8"?>
<formControlPr xmlns="http://schemas.microsoft.com/office/spreadsheetml/2009/9/main" objectType="Drop" dropLines="10" dropStyle="combo" dx="15" fmlaLink="$K$39" fmlaRange="$C$35:$C$54" sel="10" val="0"/>
</file>

<file path=xl/ctrlProps/ctrlProp30.xml><?xml version="1.0" encoding="utf-8"?>
<formControlPr xmlns="http://schemas.microsoft.com/office/spreadsheetml/2009/9/main" objectType="Drop" dropLines="10" dropStyle="combo" dx="15" fmlaLink="$I$39" fmlaRange="$B$43:$B$46" val="0"/>
</file>

<file path=xl/ctrlProps/ctrlProp31.xml><?xml version="1.0" encoding="utf-8"?>
<formControlPr xmlns="http://schemas.microsoft.com/office/spreadsheetml/2009/9/main" objectType="Drop" dropLines="10" dropStyle="combo" dx="15" fmlaLink="$L$39" fmlaRange="$B$43:$B$46" val="0"/>
</file>

<file path=xl/ctrlProps/ctrlProp32.xml><?xml version="1.0" encoding="utf-8"?>
<formControlPr xmlns="http://schemas.microsoft.com/office/spreadsheetml/2009/9/main" objectType="Drop" dropLines="10" dropStyle="combo" dx="15" fmlaLink="$G$40" fmlaRange="$B$36:$B$41" val="0"/>
</file>

<file path=xl/ctrlProps/ctrlProp33.xml><?xml version="1.0" encoding="utf-8"?>
<formControlPr xmlns="http://schemas.microsoft.com/office/spreadsheetml/2009/9/main" objectType="Drop" dropLines="10" dropStyle="combo" dx="15" fmlaLink="$H$40" fmlaRange="$C$35:$C$54" sel="7" val="2"/>
</file>

<file path=xl/ctrlProps/ctrlProp34.xml><?xml version="1.0" encoding="utf-8"?>
<formControlPr xmlns="http://schemas.microsoft.com/office/spreadsheetml/2009/9/main" objectType="Drop" dropLines="10" dropStyle="combo" dx="15" fmlaLink="$J$40" fmlaRange="$B$36:$B$41" val="0"/>
</file>

<file path=xl/ctrlProps/ctrlProp35.xml><?xml version="1.0" encoding="utf-8"?>
<formControlPr xmlns="http://schemas.microsoft.com/office/spreadsheetml/2009/9/main" objectType="Drop" dropLines="10" dropStyle="combo" dx="15" fmlaLink="$K$40" fmlaRange="$C$35:$C$54" sel="11" val="10"/>
</file>

<file path=xl/ctrlProps/ctrlProp36.xml><?xml version="1.0" encoding="utf-8"?>
<formControlPr xmlns="http://schemas.microsoft.com/office/spreadsheetml/2009/9/main" objectType="Drop" dropLines="10" dropStyle="combo" dx="15" fmlaLink="$I$40" fmlaRange="$B$43:$B$46" sel="2" val="0"/>
</file>

<file path=xl/ctrlProps/ctrlProp37.xml><?xml version="1.0" encoding="utf-8"?>
<formControlPr xmlns="http://schemas.microsoft.com/office/spreadsheetml/2009/9/main" objectType="Drop" dropLines="10" dropStyle="combo" dx="15" fmlaLink="$L$40" fmlaRange="$B$43:$B$46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11</xdr:row>
      <xdr:rowOff>40584</xdr:rowOff>
    </xdr:from>
    <xdr:to>
      <xdr:col>27</xdr:col>
      <xdr:colOff>619125</xdr:colOff>
      <xdr:row>18</xdr:row>
      <xdr:rowOff>150122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57149</xdr:colOff>
      <xdr:row>24</xdr:row>
      <xdr:rowOff>41916</xdr:rowOff>
    </xdr:from>
    <xdr:to>
      <xdr:col>28</xdr:col>
      <xdr:colOff>9524</xdr:colOff>
      <xdr:row>30</xdr:row>
      <xdr:rowOff>223839</xdr:rowOff>
    </xdr:to>
    <xdr:graphicFrame macro="">
      <xdr:nvGraphicFramePr>
        <xdr:cNvPr id="7" name="차트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1</xdr:colOff>
      <xdr:row>11</xdr:row>
      <xdr:rowOff>40584</xdr:rowOff>
    </xdr:from>
    <xdr:to>
      <xdr:col>34</xdr:col>
      <xdr:colOff>9525</xdr:colOff>
      <xdr:row>18</xdr:row>
      <xdr:rowOff>150122</xdr:rowOff>
    </xdr:to>
    <xdr:graphicFrame macro="">
      <xdr:nvGraphicFramePr>
        <xdr:cNvPr id="14" name="차트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0</xdr:colOff>
      <xdr:row>24</xdr:row>
      <xdr:rowOff>41414</xdr:rowOff>
    </xdr:from>
    <xdr:to>
      <xdr:col>33</xdr:col>
      <xdr:colOff>619124</xdr:colOff>
      <xdr:row>31</xdr:row>
      <xdr:rowOff>9527</xdr:rowOff>
    </xdr:to>
    <xdr:graphicFrame macro="">
      <xdr:nvGraphicFramePr>
        <xdr:cNvPr id="15" name="차트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85725</xdr:colOff>
      <xdr:row>6</xdr:row>
      <xdr:rowOff>1</xdr:rowOff>
    </xdr:from>
    <xdr:to>
      <xdr:col>41</xdr:col>
      <xdr:colOff>19050</xdr:colOff>
      <xdr:row>18</xdr:row>
      <xdr:rowOff>142876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76200</xdr:colOff>
      <xdr:row>19</xdr:row>
      <xdr:rowOff>4762</xdr:rowOff>
    </xdr:from>
    <xdr:to>
      <xdr:col>41</xdr:col>
      <xdr:colOff>33131</xdr:colOff>
      <xdr:row>31</xdr:row>
      <xdr:rowOff>4762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19</xdr:col>
      <xdr:colOff>95250</xdr:colOff>
      <xdr:row>28</xdr:row>
      <xdr:rowOff>180976</xdr:rowOff>
    </xdr:from>
    <xdr:to>
      <xdr:col>21</xdr:col>
      <xdr:colOff>491475</xdr:colOff>
      <xdr:row>30</xdr:row>
      <xdr:rowOff>76199</xdr:rowOff>
    </xdr:to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" r="21412"/>
        <a:stretch/>
      </xdr:blipFill>
      <xdr:spPr>
        <a:xfrm>
          <a:off x="2143125" y="5781676"/>
          <a:ext cx="1653525" cy="35242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0</xdr:rowOff>
        </xdr:from>
        <xdr:to>
          <xdr:col>18</xdr:col>
          <xdr:colOff>0</xdr:colOff>
          <xdr:row>6</xdr:row>
          <xdr:rowOff>219075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6</xdr:row>
          <xdr:rowOff>9525</xdr:rowOff>
        </xdr:from>
        <xdr:to>
          <xdr:col>26</xdr:col>
          <xdr:colOff>0</xdr:colOff>
          <xdr:row>6</xdr:row>
          <xdr:rowOff>190500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47625</xdr:colOff>
          <xdr:row>6</xdr:row>
          <xdr:rowOff>9525</xdr:rowOff>
        </xdr:from>
        <xdr:to>
          <xdr:col>28</xdr:col>
          <xdr:colOff>9525</xdr:colOff>
          <xdr:row>6</xdr:row>
          <xdr:rowOff>190500</xdr:rowOff>
        </xdr:to>
        <xdr:sp macro="" textlink="">
          <xdr:nvSpPr>
            <xdr:cNvPr id="1029" name="Drop Down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9525</xdr:colOff>
          <xdr:row>6</xdr:row>
          <xdr:rowOff>9525</xdr:rowOff>
        </xdr:from>
        <xdr:to>
          <xdr:col>23</xdr:col>
          <xdr:colOff>723900</xdr:colOff>
          <xdr:row>6</xdr:row>
          <xdr:rowOff>200025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18</xdr:row>
          <xdr:rowOff>219075</xdr:rowOff>
        </xdr:from>
        <xdr:to>
          <xdr:col>23</xdr:col>
          <xdr:colOff>723900</xdr:colOff>
          <xdr:row>19</xdr:row>
          <xdr:rowOff>200025</xdr:rowOff>
        </xdr:to>
        <xdr:sp macro="" textlink="">
          <xdr:nvSpPr>
            <xdr:cNvPr id="1031" name="Drop Down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47625</xdr:colOff>
          <xdr:row>18</xdr:row>
          <xdr:rowOff>219075</xdr:rowOff>
        </xdr:from>
        <xdr:to>
          <xdr:col>25</xdr:col>
          <xdr:colOff>590550</xdr:colOff>
          <xdr:row>19</xdr:row>
          <xdr:rowOff>190500</xdr:rowOff>
        </xdr:to>
        <xdr:sp macro="" textlink="">
          <xdr:nvSpPr>
            <xdr:cNvPr id="1032" name="Drop Down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38100</xdr:colOff>
          <xdr:row>18</xdr:row>
          <xdr:rowOff>219075</xdr:rowOff>
        </xdr:from>
        <xdr:to>
          <xdr:col>28</xdr:col>
          <xdr:colOff>0</xdr:colOff>
          <xdr:row>19</xdr:row>
          <xdr:rowOff>190500</xdr:rowOff>
        </xdr:to>
        <xdr:sp macro="" textlink="">
          <xdr:nvSpPr>
            <xdr:cNvPr id="1033" name="Drop Down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57150</xdr:colOff>
          <xdr:row>6</xdr:row>
          <xdr:rowOff>9525</xdr:rowOff>
        </xdr:from>
        <xdr:to>
          <xdr:col>31</xdr:col>
          <xdr:colOff>581025</xdr:colOff>
          <xdr:row>6</xdr:row>
          <xdr:rowOff>190500</xdr:rowOff>
        </xdr:to>
        <xdr:sp macro="" textlink="">
          <xdr:nvSpPr>
            <xdr:cNvPr id="1034" name="Drop Down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19050</xdr:colOff>
          <xdr:row>6</xdr:row>
          <xdr:rowOff>9525</xdr:rowOff>
        </xdr:from>
        <xdr:to>
          <xdr:col>34</xdr:col>
          <xdr:colOff>0</xdr:colOff>
          <xdr:row>6</xdr:row>
          <xdr:rowOff>190500</xdr:rowOff>
        </xdr:to>
        <xdr:sp macro="" textlink="">
          <xdr:nvSpPr>
            <xdr:cNvPr id="1035" name="Drop Down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9525</xdr:colOff>
          <xdr:row>6</xdr:row>
          <xdr:rowOff>9525</xdr:rowOff>
        </xdr:from>
        <xdr:to>
          <xdr:col>30</xdr:col>
          <xdr:colOff>0</xdr:colOff>
          <xdr:row>6</xdr:row>
          <xdr:rowOff>190500</xdr:rowOff>
        </xdr:to>
        <xdr:sp macro="" textlink="">
          <xdr:nvSpPr>
            <xdr:cNvPr id="1036" name="Drop Down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9525</xdr:colOff>
          <xdr:row>18</xdr:row>
          <xdr:rowOff>219075</xdr:rowOff>
        </xdr:from>
        <xdr:to>
          <xdr:col>29</xdr:col>
          <xdr:colOff>714375</xdr:colOff>
          <xdr:row>19</xdr:row>
          <xdr:rowOff>200025</xdr:rowOff>
        </xdr:to>
        <xdr:sp macro="" textlink="">
          <xdr:nvSpPr>
            <xdr:cNvPr id="1037" name="Drop Down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38100</xdr:colOff>
          <xdr:row>18</xdr:row>
          <xdr:rowOff>219075</xdr:rowOff>
        </xdr:from>
        <xdr:to>
          <xdr:col>31</xdr:col>
          <xdr:colOff>581025</xdr:colOff>
          <xdr:row>19</xdr:row>
          <xdr:rowOff>200025</xdr:rowOff>
        </xdr:to>
        <xdr:sp macro="" textlink="">
          <xdr:nvSpPr>
            <xdr:cNvPr id="1038" name="Drop Down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19050</xdr:colOff>
          <xdr:row>18</xdr:row>
          <xdr:rowOff>219075</xdr:rowOff>
        </xdr:from>
        <xdr:to>
          <xdr:col>34</xdr:col>
          <xdr:colOff>0</xdr:colOff>
          <xdr:row>19</xdr:row>
          <xdr:rowOff>200025</xdr:rowOff>
        </xdr:to>
        <xdr:sp macro="" textlink="">
          <xdr:nvSpPr>
            <xdr:cNvPr id="1039" name="Drop Down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1243</xdr:rowOff>
    </xdr:from>
    <xdr:to>
      <xdr:col>28</xdr:col>
      <xdr:colOff>442913</xdr:colOff>
      <xdr:row>26</xdr:row>
      <xdr:rowOff>67918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4763</xdr:colOff>
      <xdr:row>6</xdr:row>
      <xdr:rowOff>1243</xdr:rowOff>
    </xdr:from>
    <xdr:to>
      <xdr:col>41</xdr:col>
      <xdr:colOff>445293</xdr:colOff>
      <xdr:row>26</xdr:row>
      <xdr:rowOff>65537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29</xdr:row>
      <xdr:rowOff>228209</xdr:rowOff>
    </xdr:from>
    <xdr:to>
      <xdr:col>28</xdr:col>
      <xdr:colOff>445294</xdr:colOff>
      <xdr:row>50</xdr:row>
      <xdr:rowOff>41539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188119</xdr:colOff>
      <xdr:row>29</xdr:row>
      <xdr:rowOff>228209</xdr:rowOff>
    </xdr:from>
    <xdr:to>
      <xdr:col>42</xdr:col>
      <xdr:colOff>9526</xdr:colOff>
      <xdr:row>50</xdr:row>
      <xdr:rowOff>32014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5</xdr:row>
          <xdr:rowOff>0</xdr:rowOff>
        </xdr:from>
        <xdr:to>
          <xdr:col>18</xdr:col>
          <xdr:colOff>400050</xdr:colOff>
          <xdr:row>5</xdr:row>
          <xdr:rowOff>190500</xdr:rowOff>
        </xdr:to>
        <xdr:sp macro="" textlink="">
          <xdr:nvSpPr>
            <xdr:cNvPr id="2051" name="Drop Down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28575</xdr:colOff>
          <xdr:row>5</xdr:row>
          <xdr:rowOff>0</xdr:rowOff>
        </xdr:from>
        <xdr:to>
          <xdr:col>21</xdr:col>
          <xdr:colOff>209550</xdr:colOff>
          <xdr:row>5</xdr:row>
          <xdr:rowOff>190500</xdr:rowOff>
        </xdr:to>
        <xdr:sp macro="" textlink="">
          <xdr:nvSpPr>
            <xdr:cNvPr id="2052" name="Drop Down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57150</xdr:colOff>
          <xdr:row>5</xdr:row>
          <xdr:rowOff>0</xdr:rowOff>
        </xdr:from>
        <xdr:to>
          <xdr:col>24</xdr:col>
          <xdr:colOff>400050</xdr:colOff>
          <xdr:row>5</xdr:row>
          <xdr:rowOff>190500</xdr:rowOff>
        </xdr:to>
        <xdr:sp macro="" textlink="">
          <xdr:nvSpPr>
            <xdr:cNvPr id="2053" name="Drop Down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38100</xdr:colOff>
          <xdr:row>5</xdr:row>
          <xdr:rowOff>0</xdr:rowOff>
        </xdr:from>
        <xdr:to>
          <xdr:col>27</xdr:col>
          <xdr:colOff>209550</xdr:colOff>
          <xdr:row>5</xdr:row>
          <xdr:rowOff>190500</xdr:rowOff>
        </xdr:to>
        <xdr:sp macro="" textlink="">
          <xdr:nvSpPr>
            <xdr:cNvPr id="2054" name="Drop Down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285750</xdr:colOff>
          <xdr:row>5</xdr:row>
          <xdr:rowOff>0</xdr:rowOff>
        </xdr:from>
        <xdr:to>
          <xdr:col>22</xdr:col>
          <xdr:colOff>381000</xdr:colOff>
          <xdr:row>5</xdr:row>
          <xdr:rowOff>190500</xdr:rowOff>
        </xdr:to>
        <xdr:sp macro="" textlink="">
          <xdr:nvSpPr>
            <xdr:cNvPr id="2055" name="Drop Down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295275</xdr:colOff>
          <xdr:row>5</xdr:row>
          <xdr:rowOff>0</xdr:rowOff>
        </xdr:from>
        <xdr:to>
          <xdr:col>28</xdr:col>
          <xdr:colOff>390525</xdr:colOff>
          <xdr:row>5</xdr:row>
          <xdr:rowOff>190500</xdr:rowOff>
        </xdr:to>
        <xdr:sp macro="" textlink="">
          <xdr:nvSpPr>
            <xdr:cNvPr id="2056" name="Drop Down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47625</xdr:colOff>
          <xdr:row>5</xdr:row>
          <xdr:rowOff>0</xdr:rowOff>
        </xdr:from>
        <xdr:to>
          <xdr:col>31</xdr:col>
          <xdr:colOff>390525</xdr:colOff>
          <xdr:row>5</xdr:row>
          <xdr:rowOff>190500</xdr:rowOff>
        </xdr:to>
        <xdr:sp macro="" textlink="">
          <xdr:nvSpPr>
            <xdr:cNvPr id="2079" name="Drop Down 31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438150</xdr:colOff>
          <xdr:row>5</xdr:row>
          <xdr:rowOff>0</xdr:rowOff>
        </xdr:from>
        <xdr:to>
          <xdr:col>34</xdr:col>
          <xdr:colOff>171450</xdr:colOff>
          <xdr:row>5</xdr:row>
          <xdr:rowOff>190500</xdr:rowOff>
        </xdr:to>
        <xdr:sp macro="" textlink="">
          <xdr:nvSpPr>
            <xdr:cNvPr id="2080" name="Drop Down 32" hidden="1">
              <a:extLst>
                <a:ext uri="{63B3BB69-23CF-44E3-9099-C40C66FF867C}">
                  <a14:compatExt spid="_x0000_s20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57150</xdr:colOff>
          <xdr:row>5</xdr:row>
          <xdr:rowOff>0</xdr:rowOff>
        </xdr:from>
        <xdr:to>
          <xdr:col>37</xdr:col>
          <xdr:colOff>400050</xdr:colOff>
          <xdr:row>5</xdr:row>
          <xdr:rowOff>190500</xdr:rowOff>
        </xdr:to>
        <xdr:sp macro="" textlink="">
          <xdr:nvSpPr>
            <xdr:cNvPr id="2081" name="Drop Down 33" hidden="1">
              <a:extLst>
                <a:ext uri="{63B3BB69-23CF-44E3-9099-C40C66FF867C}">
                  <a14:compatExt spid="_x0000_s20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38100</xdr:colOff>
          <xdr:row>5</xdr:row>
          <xdr:rowOff>0</xdr:rowOff>
        </xdr:from>
        <xdr:to>
          <xdr:col>40</xdr:col>
          <xdr:colOff>219075</xdr:colOff>
          <xdr:row>5</xdr:row>
          <xdr:rowOff>190500</xdr:rowOff>
        </xdr:to>
        <xdr:sp macro="" textlink="">
          <xdr:nvSpPr>
            <xdr:cNvPr id="2082" name="Drop Down 34" hidden="1">
              <a:extLst>
                <a:ext uri="{63B3BB69-23CF-44E3-9099-C40C66FF867C}">
                  <a14:compatExt spid="_x0000_s20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219075</xdr:colOff>
          <xdr:row>5</xdr:row>
          <xdr:rowOff>0</xdr:rowOff>
        </xdr:from>
        <xdr:to>
          <xdr:col>35</xdr:col>
          <xdr:colOff>390525</xdr:colOff>
          <xdr:row>5</xdr:row>
          <xdr:rowOff>200025</xdr:rowOff>
        </xdr:to>
        <xdr:sp macro="" textlink="">
          <xdr:nvSpPr>
            <xdr:cNvPr id="2083" name="Drop Down 35" hidden="1">
              <a:extLst>
                <a:ext uri="{63B3BB69-23CF-44E3-9099-C40C66FF867C}">
                  <a14:compatExt spid="_x0000_s20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304800</xdr:colOff>
          <xdr:row>5</xdr:row>
          <xdr:rowOff>0</xdr:rowOff>
        </xdr:from>
        <xdr:to>
          <xdr:col>41</xdr:col>
          <xdr:colOff>400050</xdr:colOff>
          <xdr:row>5</xdr:row>
          <xdr:rowOff>190500</xdr:rowOff>
        </xdr:to>
        <xdr:sp macro="" textlink="">
          <xdr:nvSpPr>
            <xdr:cNvPr id="2084" name="Drop Down 36" hidden="1">
              <a:extLst>
                <a:ext uri="{63B3BB69-23CF-44E3-9099-C40C66FF867C}">
                  <a14:compatExt spid="_x0000_s20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29</xdr:row>
          <xdr:rowOff>9525</xdr:rowOff>
        </xdr:from>
        <xdr:to>
          <xdr:col>18</xdr:col>
          <xdr:colOff>400050</xdr:colOff>
          <xdr:row>29</xdr:row>
          <xdr:rowOff>200025</xdr:rowOff>
        </xdr:to>
        <xdr:sp macro="" textlink="">
          <xdr:nvSpPr>
            <xdr:cNvPr id="2085" name="Drop Down 37" hidden="1">
              <a:extLst>
                <a:ext uri="{63B3BB69-23CF-44E3-9099-C40C66FF867C}">
                  <a14:compatExt spid="_x0000_s20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19050</xdr:colOff>
          <xdr:row>29</xdr:row>
          <xdr:rowOff>0</xdr:rowOff>
        </xdr:from>
        <xdr:to>
          <xdr:col>21</xdr:col>
          <xdr:colOff>200025</xdr:colOff>
          <xdr:row>29</xdr:row>
          <xdr:rowOff>190500</xdr:rowOff>
        </xdr:to>
        <xdr:sp macro="" textlink="">
          <xdr:nvSpPr>
            <xdr:cNvPr id="2086" name="Drop Down 38" hidden="1">
              <a:extLst>
                <a:ext uri="{63B3BB69-23CF-44E3-9099-C40C66FF867C}">
                  <a14:compatExt spid="_x0000_s20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95250</xdr:colOff>
          <xdr:row>29</xdr:row>
          <xdr:rowOff>0</xdr:rowOff>
        </xdr:from>
        <xdr:to>
          <xdr:col>24</xdr:col>
          <xdr:colOff>438150</xdr:colOff>
          <xdr:row>29</xdr:row>
          <xdr:rowOff>190500</xdr:rowOff>
        </xdr:to>
        <xdr:sp macro="" textlink="">
          <xdr:nvSpPr>
            <xdr:cNvPr id="2087" name="Drop Down 39" hidden="1">
              <a:extLst>
                <a:ext uri="{63B3BB69-23CF-44E3-9099-C40C66FF867C}">
                  <a14:compatExt spid="_x0000_s20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57150</xdr:colOff>
          <xdr:row>29</xdr:row>
          <xdr:rowOff>0</xdr:rowOff>
        </xdr:from>
        <xdr:to>
          <xdr:col>27</xdr:col>
          <xdr:colOff>238125</xdr:colOff>
          <xdr:row>29</xdr:row>
          <xdr:rowOff>190500</xdr:rowOff>
        </xdr:to>
        <xdr:sp macro="" textlink="">
          <xdr:nvSpPr>
            <xdr:cNvPr id="2088" name="Drop Down 40" hidden="1">
              <a:extLst>
                <a:ext uri="{63B3BB69-23CF-44E3-9099-C40C66FF867C}">
                  <a14:compatExt spid="_x0000_s20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266700</xdr:colOff>
          <xdr:row>29</xdr:row>
          <xdr:rowOff>0</xdr:rowOff>
        </xdr:from>
        <xdr:to>
          <xdr:col>22</xdr:col>
          <xdr:colOff>361950</xdr:colOff>
          <xdr:row>29</xdr:row>
          <xdr:rowOff>190500</xdr:rowOff>
        </xdr:to>
        <xdr:sp macro="" textlink="">
          <xdr:nvSpPr>
            <xdr:cNvPr id="2089" name="Drop Down 41" hidden="1">
              <a:extLst>
                <a:ext uri="{63B3BB69-23CF-44E3-9099-C40C66FF867C}">
                  <a14:compatExt spid="_x0000_s20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295275</xdr:colOff>
          <xdr:row>29</xdr:row>
          <xdr:rowOff>0</xdr:rowOff>
        </xdr:from>
        <xdr:to>
          <xdr:col>28</xdr:col>
          <xdr:colOff>390525</xdr:colOff>
          <xdr:row>29</xdr:row>
          <xdr:rowOff>190500</xdr:rowOff>
        </xdr:to>
        <xdr:sp macro="" textlink="">
          <xdr:nvSpPr>
            <xdr:cNvPr id="2090" name="Drop Down 42" hidden="1">
              <a:extLst>
                <a:ext uri="{63B3BB69-23CF-44E3-9099-C40C66FF867C}">
                  <a14:compatExt spid="_x0000_s20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66675</xdr:colOff>
          <xdr:row>29</xdr:row>
          <xdr:rowOff>0</xdr:rowOff>
        </xdr:from>
        <xdr:to>
          <xdr:col>31</xdr:col>
          <xdr:colOff>409575</xdr:colOff>
          <xdr:row>29</xdr:row>
          <xdr:rowOff>190500</xdr:rowOff>
        </xdr:to>
        <xdr:sp macro="" textlink="">
          <xdr:nvSpPr>
            <xdr:cNvPr id="2091" name="Drop Down 43" hidden="1">
              <a:extLst>
                <a:ext uri="{63B3BB69-23CF-44E3-9099-C40C66FF867C}">
                  <a14:compatExt spid="_x0000_s20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29</xdr:row>
          <xdr:rowOff>0</xdr:rowOff>
        </xdr:from>
        <xdr:to>
          <xdr:col>34</xdr:col>
          <xdr:colOff>238125</xdr:colOff>
          <xdr:row>29</xdr:row>
          <xdr:rowOff>190500</xdr:rowOff>
        </xdr:to>
        <xdr:sp macro="" textlink="">
          <xdr:nvSpPr>
            <xdr:cNvPr id="2092" name="Drop Down 44" hidden="1">
              <a:extLst>
                <a:ext uri="{63B3BB69-23CF-44E3-9099-C40C66FF867C}">
                  <a14:compatExt spid="_x0000_s20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76200</xdr:colOff>
          <xdr:row>29</xdr:row>
          <xdr:rowOff>0</xdr:rowOff>
        </xdr:from>
        <xdr:to>
          <xdr:col>37</xdr:col>
          <xdr:colOff>419100</xdr:colOff>
          <xdr:row>29</xdr:row>
          <xdr:rowOff>190500</xdr:rowOff>
        </xdr:to>
        <xdr:sp macro="" textlink="">
          <xdr:nvSpPr>
            <xdr:cNvPr id="2093" name="Drop Down 45" hidden="1">
              <a:extLst>
                <a:ext uri="{63B3BB69-23CF-44E3-9099-C40C66FF867C}">
                  <a14:compatExt spid="_x0000_s20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47625</xdr:colOff>
          <xdr:row>29</xdr:row>
          <xdr:rowOff>0</xdr:rowOff>
        </xdr:from>
        <xdr:to>
          <xdr:col>40</xdr:col>
          <xdr:colOff>228600</xdr:colOff>
          <xdr:row>29</xdr:row>
          <xdr:rowOff>190500</xdr:rowOff>
        </xdr:to>
        <xdr:sp macro="" textlink="">
          <xdr:nvSpPr>
            <xdr:cNvPr id="2094" name="Drop Down 46" hidden="1">
              <a:extLst>
                <a:ext uri="{63B3BB69-23CF-44E3-9099-C40C66FF867C}">
                  <a14:compatExt spid="_x0000_s20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333375</xdr:colOff>
          <xdr:row>28</xdr:row>
          <xdr:rowOff>38100</xdr:rowOff>
        </xdr:from>
        <xdr:to>
          <xdr:col>35</xdr:col>
          <xdr:colOff>371475</xdr:colOff>
          <xdr:row>29</xdr:row>
          <xdr:rowOff>190500</xdr:rowOff>
        </xdr:to>
        <xdr:sp macro="" textlink="">
          <xdr:nvSpPr>
            <xdr:cNvPr id="2095" name="Drop Down 47" hidden="1">
              <a:extLst>
                <a:ext uri="{63B3BB69-23CF-44E3-9099-C40C66FF867C}">
                  <a14:compatExt spid="_x0000_s20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295275</xdr:colOff>
          <xdr:row>29</xdr:row>
          <xdr:rowOff>0</xdr:rowOff>
        </xdr:from>
        <xdr:to>
          <xdr:col>41</xdr:col>
          <xdr:colOff>390525</xdr:colOff>
          <xdr:row>29</xdr:row>
          <xdr:rowOff>190500</xdr:rowOff>
        </xdr:to>
        <xdr:sp macro="" textlink="">
          <xdr:nvSpPr>
            <xdr:cNvPr id="2096" name="Drop Down 48" hidden="1">
              <a:extLst>
                <a:ext uri="{63B3BB69-23CF-44E3-9099-C40C66FF867C}">
                  <a14:compatExt spid="_x0000_s20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omments" Target="../comments1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18" Type="http://schemas.openxmlformats.org/officeDocument/2006/relationships/ctrlProp" Target="../ctrlProps/ctrlProp28.xml"/><Relationship Id="rId26" Type="http://schemas.openxmlformats.org/officeDocument/2006/relationships/ctrlProp" Target="../ctrlProps/ctrlProp36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31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7" Type="http://schemas.openxmlformats.org/officeDocument/2006/relationships/ctrlProp" Target="../ctrlProps/ctrlProp27.xml"/><Relationship Id="rId25" Type="http://schemas.openxmlformats.org/officeDocument/2006/relationships/ctrlProp" Target="../ctrlProps/ctrlProp35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26.xml"/><Relationship Id="rId20" Type="http://schemas.openxmlformats.org/officeDocument/2006/relationships/ctrlProp" Target="../ctrlProps/ctrlProp30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24" Type="http://schemas.openxmlformats.org/officeDocument/2006/relationships/ctrlProp" Target="../ctrlProps/ctrlProp34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23" Type="http://schemas.openxmlformats.org/officeDocument/2006/relationships/ctrlProp" Target="../ctrlProps/ctrlProp33.xml"/><Relationship Id="rId10" Type="http://schemas.openxmlformats.org/officeDocument/2006/relationships/ctrlProp" Target="../ctrlProps/ctrlProp20.xml"/><Relationship Id="rId19" Type="http://schemas.openxmlformats.org/officeDocument/2006/relationships/ctrlProp" Target="../ctrlProps/ctrlProp29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22" Type="http://schemas.openxmlformats.org/officeDocument/2006/relationships/ctrlProp" Target="../ctrlProps/ctrlProp32.xml"/><Relationship Id="rId27" Type="http://schemas.openxmlformats.org/officeDocument/2006/relationships/ctrlProp" Target="../ctrlProps/ctrlProp3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1:BR111"/>
  <sheetViews>
    <sheetView showGridLines="0" tabSelected="1" zoomScaleNormal="100" workbookViewId="0"/>
  </sheetViews>
  <sheetFormatPr defaultRowHeight="12" x14ac:dyDescent="0.15"/>
  <cols>
    <col min="1" max="1" width="1.5" style="7" customWidth="1"/>
    <col min="2" max="2" width="30" style="7" hidden="1" customWidth="1"/>
    <col min="3" max="3" width="6.33203125" style="7" hidden="1" customWidth="1"/>
    <col min="4" max="4" width="19.1640625" style="7" hidden="1" customWidth="1"/>
    <col min="5" max="6" width="6.33203125" style="7" hidden="1" customWidth="1"/>
    <col min="7" max="7" width="8.1640625" style="7" hidden="1" customWidth="1"/>
    <col min="8" max="8" width="7" style="7" hidden="1" customWidth="1"/>
    <col min="9" max="9" width="7.83203125" style="7" hidden="1" customWidth="1"/>
    <col min="10" max="10" width="8.1640625" style="7" hidden="1" customWidth="1"/>
    <col min="11" max="12" width="6.6640625" style="7" hidden="1" customWidth="1"/>
    <col min="13" max="16" width="20.33203125" style="7" hidden="1" customWidth="1"/>
    <col min="17" max="17" width="9.33203125" style="7" customWidth="1"/>
    <col min="18" max="18" width="13.33203125" style="7" customWidth="1"/>
    <col min="19" max="22" width="11" style="7" customWidth="1"/>
    <col min="23" max="23" width="1.1640625" style="7" customWidth="1"/>
    <col min="24" max="24" width="12.83203125" style="7" customWidth="1"/>
    <col min="25" max="28" width="10.83203125" style="7" customWidth="1"/>
    <col min="29" max="29" width="1.1640625" style="7" customWidth="1"/>
    <col min="30" max="30" width="12.83203125" style="7" customWidth="1"/>
    <col min="31" max="34" width="10.83203125" style="7" customWidth="1"/>
    <col min="35" max="56" width="11" style="7" customWidth="1"/>
    <col min="57" max="59" width="11" style="7" hidden="1" customWidth="1"/>
    <col min="60" max="60" width="13.33203125" style="7" hidden="1" customWidth="1"/>
    <col min="61" max="61" width="21.6640625" style="7" hidden="1" customWidth="1"/>
    <col min="62" max="62" width="11.6640625" style="7" hidden="1" customWidth="1"/>
    <col min="63" max="67" width="0" style="7" hidden="1" customWidth="1"/>
    <col min="68" max="68" width="3" style="7" hidden="1" customWidth="1"/>
    <col min="69" max="70" width="0" style="7" hidden="1" customWidth="1"/>
    <col min="71" max="16384" width="9.33203125" style="7"/>
  </cols>
  <sheetData>
    <row r="1" spans="2:70" ht="9.9499999999999993" customHeight="1" x14ac:dyDescent="0.15"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2:70" ht="20.100000000000001" customHeight="1" x14ac:dyDescent="0.15">
      <c r="Q2" s="37" t="s">
        <v>257</v>
      </c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</row>
    <row r="3" spans="2:70" ht="8.25" customHeight="1" x14ac:dyDescent="0.15"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 spans="2:70" hidden="1" x14ac:dyDescent="0.15">
      <c r="Q4"/>
      <c r="R4"/>
      <c r="S4" s="9" t="s">
        <v>129</v>
      </c>
      <c r="T4" s="9" t="s">
        <v>130</v>
      </c>
      <c r="U4" s="9" t="s">
        <v>131</v>
      </c>
      <c r="V4" s="10" t="s">
        <v>132</v>
      </c>
      <c r="W4"/>
      <c r="X4"/>
      <c r="Y4"/>
      <c r="Z4"/>
      <c r="AA4"/>
      <c r="AB4"/>
      <c r="AC4"/>
      <c r="AD4"/>
      <c r="AE4"/>
      <c r="AF4"/>
      <c r="AG4"/>
      <c r="AH4"/>
      <c r="AI4"/>
    </row>
    <row r="5" spans="2:70" hidden="1" x14ac:dyDescent="0.15">
      <c r="S5" s="9" t="s">
        <v>0</v>
      </c>
      <c r="T5" s="9" t="s">
        <v>1</v>
      </c>
      <c r="U5" s="9" t="s">
        <v>2</v>
      </c>
      <c r="V5" s="10" t="s">
        <v>3</v>
      </c>
    </row>
    <row r="6" spans="2:70" ht="15" hidden="1" customHeight="1" x14ac:dyDescent="0.15">
      <c r="Q6"/>
      <c r="R6"/>
      <c r="S6"/>
      <c r="T6"/>
      <c r="U6"/>
      <c r="V6"/>
      <c r="W6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/>
    </row>
    <row r="7" spans="2:70" ht="18" customHeight="1" x14ac:dyDescent="0.15">
      <c r="G7" s="7">
        <v>1</v>
      </c>
      <c r="H7" s="7">
        <v>2</v>
      </c>
      <c r="I7" s="7">
        <v>3</v>
      </c>
      <c r="J7" s="7">
        <v>4</v>
      </c>
      <c r="K7" s="7">
        <v>5</v>
      </c>
      <c r="L7" s="7">
        <v>6</v>
      </c>
      <c r="Q7" s="23"/>
      <c r="R7" s="24"/>
      <c r="S7" s="36" t="s">
        <v>258</v>
      </c>
      <c r="T7" s="36"/>
      <c r="U7" s="35">
        <f ca="1">WORKDAY(TODAY(),-1)</f>
        <v>44943</v>
      </c>
      <c r="V7" s="35"/>
      <c r="W7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/>
    </row>
    <row r="8" spans="2:70" ht="16.5" customHeight="1" x14ac:dyDescent="0.15">
      <c r="B8" s="7" t="s">
        <v>4</v>
      </c>
      <c r="C8" s="7" t="s">
        <v>5</v>
      </c>
      <c r="D8" s="7" t="s">
        <v>12</v>
      </c>
      <c r="E8" s="7" t="s">
        <v>80</v>
      </c>
      <c r="F8" s="7" t="s">
        <v>111</v>
      </c>
      <c r="G8" s="7" t="s">
        <v>77</v>
      </c>
      <c r="H8" s="7" t="s">
        <v>78</v>
      </c>
      <c r="I8" s="7" t="s">
        <v>48</v>
      </c>
      <c r="J8" s="7" t="s">
        <v>49</v>
      </c>
      <c r="K8" s="7" t="s">
        <v>79</v>
      </c>
      <c r="L8" s="7" t="s">
        <v>50</v>
      </c>
      <c r="M8" s="7" t="s">
        <v>171</v>
      </c>
      <c r="N8" s="7" t="s">
        <v>172</v>
      </c>
      <c r="O8" s="7" t="s">
        <v>173</v>
      </c>
      <c r="Q8" s="41" t="s">
        <v>47</v>
      </c>
      <c r="R8" s="42"/>
      <c r="S8" s="26" t="s">
        <v>25</v>
      </c>
      <c r="T8" s="22" t="s">
        <v>26</v>
      </c>
      <c r="U8" s="22" t="s">
        <v>27</v>
      </c>
      <c r="V8" s="22" t="s">
        <v>28</v>
      </c>
      <c r="W8"/>
      <c r="X8" s="13" t="s">
        <v>192</v>
      </c>
      <c r="Y8" s="13" t="s">
        <v>25</v>
      </c>
      <c r="Z8" s="13" t="s">
        <v>26</v>
      </c>
      <c r="AA8" s="13" t="s">
        <v>27</v>
      </c>
      <c r="AB8" s="13" t="s">
        <v>28</v>
      </c>
      <c r="AC8"/>
      <c r="AD8" s="13" t="s">
        <v>192</v>
      </c>
      <c r="AE8" s="13" t="s">
        <v>25</v>
      </c>
      <c r="AF8" s="13" t="s">
        <v>26</v>
      </c>
      <c r="AG8" s="13" t="s">
        <v>27</v>
      </c>
      <c r="AH8" s="13" t="s">
        <v>28</v>
      </c>
      <c r="AI8" s="1"/>
      <c r="AJ8" s="1"/>
      <c r="AK8" s="1"/>
      <c r="AL8" s="1"/>
      <c r="AM8" s="1"/>
      <c r="AN8" s="1"/>
      <c r="AO8" s="1"/>
      <c r="BE8" s="7" t="s">
        <v>211</v>
      </c>
      <c r="BF8" s="34">
        <f ca="1">TODAY()-365</f>
        <v>44579</v>
      </c>
      <c r="BG8" s="7" t="s">
        <v>212</v>
      </c>
      <c r="BJ8" s="7">
        <v>100</v>
      </c>
    </row>
    <row r="9" spans="2:70" ht="18" customHeight="1" x14ac:dyDescent="0.15">
      <c r="B9" s="7" t="s">
        <v>6</v>
      </c>
      <c r="C9" s="7" t="s">
        <v>7</v>
      </c>
      <c r="D9" s="7" t="s">
        <v>81</v>
      </c>
      <c r="E9" s="7" t="s">
        <v>61</v>
      </c>
      <c r="F9" s="7" t="s">
        <v>92</v>
      </c>
      <c r="G9" s="7" t="str">
        <f>"AVG"&amp;$E9</f>
        <v>AVG14</v>
      </c>
      <c r="H9" s="7" t="str">
        <f>"AV4"&amp;$E9</f>
        <v>AV414</v>
      </c>
      <c r="I9" s="7" t="s">
        <v>118</v>
      </c>
      <c r="J9" s="7" t="s">
        <v>133</v>
      </c>
      <c r="K9" s="7" t="s">
        <v>146</v>
      </c>
      <c r="L9" s="7" t="s">
        <v>159</v>
      </c>
      <c r="M9" s="7" t="str">
        <f>$D9&amp;INDEX($G$9:$L$28,$F9,$B$34)</f>
        <v>BONDAVG14</v>
      </c>
      <c r="N9" s="7" t="str">
        <f>INDEX($D$9:$D$28,$C$35,1)&amp;INDEX($G$9:$L$28,$C$35,$E$35)</f>
        <v>BONDAVG14</v>
      </c>
      <c r="O9" s="7" t="str">
        <f>INDEX($D$9:$D$28,$D$35,1)&amp;INDEX($G$9:$L$28,$D$35,$E$35)</f>
        <v>BONDAVG20</v>
      </c>
      <c r="Q9" s="45" t="s">
        <v>256</v>
      </c>
      <c r="R9" s="46"/>
      <c r="S9" s="27">
        <f ca="1">_xll.IMDP($C9,$M9,S$5,$U$7)</f>
        <v>3.5030000000000001</v>
      </c>
      <c r="T9" s="27">
        <f ca="1">_xll.IMDP($C9,$M9,T$5,$U$7)</f>
        <v>3.53</v>
      </c>
      <c r="U9" s="28">
        <f ca="1">_xll.IMDP($C9,$M9,U$5,$U$7)</f>
        <v>3.5459999999999998</v>
      </c>
      <c r="V9" s="29">
        <f ca="1">_xll.IMDP($C9,$M9,V$5,$U$7)</f>
        <v>3.55</v>
      </c>
      <c r="W9"/>
      <c r="X9" s="20" t="s">
        <v>190</v>
      </c>
      <c r="Y9" s="32">
        <f ca="1">_xll.IMDP("IR",$N$9,M$36,$U$7)</f>
        <v>3.5030000000000001</v>
      </c>
      <c r="Z9" s="32">
        <f ca="1">_xll.IMDP("IR",$N$9,N$36,$U$7)</f>
        <v>3.53</v>
      </c>
      <c r="AA9" s="32">
        <f ca="1">_xll.IMDP("IR",$N$9,O$36,$U$7)</f>
        <v>3.5459999999999998</v>
      </c>
      <c r="AB9" s="32">
        <f ca="1">_xll.IMDP("IR",$N$9,P$36,$U$7)</f>
        <v>3.55</v>
      </c>
      <c r="AC9"/>
      <c r="AD9" s="20" t="s">
        <v>190</v>
      </c>
      <c r="AE9" s="32">
        <f ca="1">_xll.IMDP("IR",$N$10,M$38,$U$7)</f>
        <v>3.72</v>
      </c>
      <c r="AF9" s="32">
        <f ca="1">_xll.IMDP("IR",$N$10,N$38,$U$7)</f>
        <v>3.8730000000000002</v>
      </c>
      <c r="AG9" s="32">
        <f ca="1">_xll.IMDP("IR",$N$10,O$38,$U$7)</f>
        <v>3.8929999999999998</v>
      </c>
      <c r="AH9" s="32">
        <f ca="1">_xll.IMDP("IR",$N$10,P$38,$U$7)</f>
        <v>3.9</v>
      </c>
      <c r="AI9"/>
      <c r="BE9" s="7" t="s">
        <v>198</v>
      </c>
      <c r="BF9" s="34">
        <f ca="1">EOMONTH(BH9,-1)</f>
        <v>44926</v>
      </c>
      <c r="BG9" s="7" t="s">
        <v>199</v>
      </c>
      <c r="BH9" s="34">
        <f ca="1">TODAY()</f>
        <v>44944</v>
      </c>
      <c r="BI9" s="7" t="s">
        <v>200</v>
      </c>
      <c r="BJ9" s="7">
        <v>30</v>
      </c>
      <c r="BK9" s="7" t="s">
        <v>201</v>
      </c>
      <c r="BL9" s="7" t="s">
        <v>202</v>
      </c>
      <c r="BM9" s="7" t="s">
        <v>203</v>
      </c>
      <c r="BN9" s="7" t="s">
        <v>204</v>
      </c>
      <c r="BO9" s="7" t="s">
        <v>205</v>
      </c>
      <c r="BP9" s="7">
        <v>0</v>
      </c>
      <c r="BQ9" s="7" t="s">
        <v>206</v>
      </c>
      <c r="BR9" s="7" t="s">
        <v>207</v>
      </c>
    </row>
    <row r="10" spans="2:70" ht="18" customHeight="1" x14ac:dyDescent="0.15">
      <c r="B10" s="7" t="s">
        <v>8</v>
      </c>
      <c r="C10" s="7" t="s">
        <v>7</v>
      </c>
      <c r="D10" s="7" t="s">
        <v>81</v>
      </c>
      <c r="E10" s="7" t="s">
        <v>62</v>
      </c>
      <c r="F10" s="7" t="s">
        <v>147</v>
      </c>
      <c r="G10" s="7" t="str">
        <f t="shared" ref="G10:G28" si="0">"AVG"&amp;$E10</f>
        <v>AVG20</v>
      </c>
      <c r="H10" s="7" t="str">
        <f t="shared" ref="H10:H28" si="1">"AV4"&amp;$E10</f>
        <v>AV420</v>
      </c>
      <c r="I10" s="7" t="s">
        <v>119</v>
      </c>
      <c r="J10" s="7" t="s">
        <v>134</v>
      </c>
      <c r="K10" s="7" t="s">
        <v>148</v>
      </c>
      <c r="L10" s="7" t="s">
        <v>161</v>
      </c>
      <c r="M10" s="7" t="str">
        <f>$D10&amp;INDEX($G$9:$L$28,$F10,$B$34)</f>
        <v>BONDAVG20</v>
      </c>
      <c r="N10" s="7" t="str">
        <f>INDEX($D$9:$D$28,$G$35,1)&amp;INDEX($G$9:$L$28,$G$35,$I$35)</f>
        <v>BONDAVG20</v>
      </c>
      <c r="O10" s="7" t="str">
        <f>INDEX($D$9:$D$28,$H$35,1)&amp;INDEX($G$9:$L$28,$H$35,$I$35)</f>
        <v>BONDAVG81</v>
      </c>
      <c r="Q10" s="43" t="s">
        <v>38</v>
      </c>
      <c r="R10" s="25" t="s">
        <v>141</v>
      </c>
      <c r="S10" s="30">
        <f ca="1">_xll.IMDP($C10,$M10,S$5,$U$7)</f>
        <v>3.72</v>
      </c>
      <c r="T10" s="30">
        <f ca="1">_xll.IMDP($C10,$M10,T$5,$U$7)</f>
        <v>3.8730000000000002</v>
      </c>
      <c r="U10" s="30">
        <f ca="1">_xll.IMDP($C10,$M10,U$5,$U$7)</f>
        <v>3.8929999999999998</v>
      </c>
      <c r="V10" s="30">
        <f ca="1">_xll.IMDP($C10,$M10,V$5,$U$7)</f>
        <v>3.9</v>
      </c>
      <c r="W10"/>
      <c r="X10" s="21" t="s">
        <v>191</v>
      </c>
      <c r="Y10" s="33">
        <f ca="1">_xll.IMDP("IR",$O$9,M$37,$U$7)</f>
        <v>3.72</v>
      </c>
      <c r="Z10" s="33">
        <f ca="1">_xll.IMDP("IR",$O$9,N$37,$U$7)</f>
        <v>3.8730000000000002</v>
      </c>
      <c r="AA10" s="33">
        <f ca="1">_xll.IMDP("IR",$O$9,O$37,$U$7)</f>
        <v>3.8929999999999998</v>
      </c>
      <c r="AB10" s="33">
        <f ca="1">_xll.IMDP("IR",$O$9,P$37,$U$7)</f>
        <v>3.9</v>
      </c>
      <c r="AC10"/>
      <c r="AD10" s="21" t="s">
        <v>191</v>
      </c>
      <c r="AE10" s="33">
        <f ca="1">_xll.IMDP("IR",$O$10,M$39,$U$7)</f>
        <v>4.2270000000000003</v>
      </c>
      <c r="AF10" s="33">
        <f ca="1">_xll.IMDP("IR",$O$10,N$39,$U$7)</f>
        <v>4.4390000000000001</v>
      </c>
      <c r="AG10" s="33">
        <f ca="1">_xll.IMDP("IR",$O$10,O$39,$U$7)</f>
        <v>4.5750000000000002</v>
      </c>
      <c r="AH10" s="33">
        <f ca="1">_xll.IMDP("IR",$O$10,P$39,$U$7)</f>
        <v>4.5819999999999999</v>
      </c>
      <c r="AI10"/>
      <c r="BE10" s="7" t="str">
        <f ca="1">_xll.IMDH("IR","BONDKSDCAL08",$BE$11:$BF$11,$BF$9,$BH$9,$BJ$9,"Per="&amp;$BL$9&amp;",sort="&amp;$BN$9&amp;",real=true,Bizday="&amp;$BP$9&amp;",Quote="&amp;$BR$9&amp;",Pos=20,Orient=V,Title=금투협 최종호가 CD(91일물),DtFmt=1,TmFmt=1,unit=true")</f>
        <v>금투협 최종호가 CD(91일물)</v>
      </c>
      <c r="BG10" s="7" t="str">
        <f ca="1">_xll.IMDH("IR","BONDKSDCAL09",$BG$11,$BF$9,$BH$9,$BJ$9,"Per="&amp;$BL$9&amp;",sort="&amp;$BN$9&amp;",real=true,Bizday="&amp;$BP$9&amp;",Quote="&amp;$BR$9&amp;",Pos=20,Orient=V,Title=금투협 최종호가 CP(91일물),DtFmt=1,TmFmt=1,unit=true")</f>
        <v>금투협 최종호가 CP(91일물)</v>
      </c>
      <c r="BI10" s="7" t="str">
        <f ca="1">_xll.IMDH("ECO","702812",$BI$11:$BJ$11,$BF$8,$BH$9,$BJ$8,"Per="&amp;$BL$9&amp;",sort="&amp;$BN$9&amp;",real=true,Bizday="&amp;$BP$9&amp;",Quote="&amp;$BR$9&amp;",Pos=20,Orient=V,Title=COFIX,DtFmt=1,TmFmt=1,unit=true")</f>
        <v>COFIX</v>
      </c>
      <c r="BJ10" s="7" t="s">
        <v>260</v>
      </c>
    </row>
    <row r="11" spans="2:70" ht="18" customHeight="1" x14ac:dyDescent="0.15">
      <c r="B11" s="7" t="s">
        <v>9</v>
      </c>
      <c r="C11" s="7" t="s">
        <v>7</v>
      </c>
      <c r="D11" s="7" t="s">
        <v>81</v>
      </c>
      <c r="E11" s="7" t="s">
        <v>63</v>
      </c>
      <c r="F11" s="7" t="s">
        <v>93</v>
      </c>
      <c r="G11" s="7" t="str">
        <f t="shared" si="0"/>
        <v>AVG21</v>
      </c>
      <c r="H11" s="7" t="str">
        <f t="shared" si="1"/>
        <v>AV421</v>
      </c>
      <c r="I11" s="7" t="s">
        <v>253</v>
      </c>
      <c r="J11" s="7" t="s">
        <v>135</v>
      </c>
      <c r="K11" s="7" t="s">
        <v>149</v>
      </c>
      <c r="L11" s="7" t="s">
        <v>162</v>
      </c>
      <c r="M11" s="7" t="str">
        <f t="shared" ref="M11:M28" si="2">$D11&amp;INDEX($G$9:$L$28,$F11,$B$34)</f>
        <v>BONDAVG21</v>
      </c>
      <c r="N11" s="7" t="str">
        <f>INDEX($D$9:$D$28,$C$57,1)&amp;INDEX($G$9:$L$28,$C$57,$E$57)</f>
        <v>BONDAVG14</v>
      </c>
      <c r="O11" s="7" t="str">
        <f>INDEX($D$9:$D$28,$D$57,1)&amp;INDEX($G$9:$L$28,$D$57,$E$57)</f>
        <v>BONDAVG58</v>
      </c>
      <c r="Q11" s="43"/>
      <c r="R11" s="25" t="s">
        <v>16</v>
      </c>
      <c r="S11" s="30">
        <f ca="1">_xll.IMDP($C11,$M11,S$5,$U$7)</f>
        <v>3.7669999999999999</v>
      </c>
      <c r="T11" s="30">
        <f ca="1">_xll.IMDP($C11,$M11,T$5,$U$7)</f>
        <v>3.9169999999999998</v>
      </c>
      <c r="U11" s="30">
        <f ca="1">_xll.IMDP($C11,$M11,U$5,$U$7)</f>
        <v>3.95</v>
      </c>
      <c r="V11" s="30">
        <f ca="1">_xll.IMDP($C11,$M11,V$5,$U$7)</f>
        <v>3.9630000000000001</v>
      </c>
      <c r="W11"/>
      <c r="X11" s="21" t="s">
        <v>193</v>
      </c>
      <c r="Y11" s="11">
        <f ca="1">(Y9-Y10)*100</f>
        <v>-21.70000000000001</v>
      </c>
      <c r="Z11" s="11">
        <f ca="1">(Z9-Z10)*100</f>
        <v>-34.30000000000004</v>
      </c>
      <c r="AA11" s="11">
        <f ca="1">(AA9-AA10)*100</f>
        <v>-34.699999999999996</v>
      </c>
      <c r="AB11" s="11">
        <f ca="1">(AB9-AB10)*100</f>
        <v>-35.000000000000007</v>
      </c>
      <c r="AC11"/>
      <c r="AD11" s="21" t="s">
        <v>193</v>
      </c>
      <c r="AE11" s="11">
        <f ca="1">(AE9-AE10)*100</f>
        <v>-50.70000000000001</v>
      </c>
      <c r="AF11" s="11">
        <f ca="1">(AF9-AF10)*100</f>
        <v>-56.59999999999998</v>
      </c>
      <c r="AG11" s="11">
        <f ca="1">(AG9-AG10)*100</f>
        <v>-68.200000000000045</v>
      </c>
      <c r="AH11" s="11">
        <f ca="1">(AH9-AH10)*100</f>
        <v>-68.199999999999989</v>
      </c>
      <c r="AI11"/>
      <c r="BE11" s="7" t="s">
        <v>208</v>
      </c>
      <c r="BF11" s="7" t="s">
        <v>209</v>
      </c>
      <c r="BG11" s="7" t="s">
        <v>209</v>
      </c>
      <c r="BI11" s="7" t="s">
        <v>259</v>
      </c>
      <c r="BJ11" s="7" t="s">
        <v>210</v>
      </c>
    </row>
    <row r="12" spans="2:70" ht="18" customHeight="1" x14ac:dyDescent="0.15">
      <c r="B12" s="7" t="s">
        <v>14</v>
      </c>
      <c r="C12" s="7" t="s">
        <v>7</v>
      </c>
      <c r="D12" s="7" t="s">
        <v>81</v>
      </c>
      <c r="E12" s="7" t="s">
        <v>64</v>
      </c>
      <c r="F12" s="7" t="s">
        <v>94</v>
      </c>
      <c r="G12" s="7" t="str">
        <f t="shared" si="0"/>
        <v>AVG22</v>
      </c>
      <c r="H12" s="7" t="str">
        <f t="shared" si="1"/>
        <v>AV422</v>
      </c>
      <c r="I12" s="7" t="s">
        <v>120</v>
      </c>
      <c r="J12" s="7" t="s">
        <v>136</v>
      </c>
      <c r="K12" s="7" t="s">
        <v>150</v>
      </c>
      <c r="L12" s="7" t="s">
        <v>163</v>
      </c>
      <c r="M12" s="7" t="str">
        <f t="shared" si="2"/>
        <v>BONDAVG22</v>
      </c>
      <c r="N12" s="7" t="str">
        <f>INDEX($D$9:$D$28,$G$57,1)&amp;INDEX($G$9:$L$28,$G$57,$I$57)</f>
        <v>BONDAVG81</v>
      </c>
      <c r="O12" s="7" t="str">
        <f>INDEX($D$9:$D$28,$H$57,1)&amp;INDEX($G$9:$L$28,$H$57,$I$57)</f>
        <v>BONDAVG28</v>
      </c>
      <c r="Q12" s="43"/>
      <c r="R12" s="25" t="s">
        <v>15</v>
      </c>
      <c r="S12" s="30">
        <f ca="1">_xll.IMDP($C12,$M12,S$5,$U$7)</f>
        <v>3.923</v>
      </c>
      <c r="T12" s="30">
        <f ca="1">_xll.IMDP($C12,$M12,T$5,$U$7)</f>
        <v>4.0819999999999999</v>
      </c>
      <c r="U12" s="30">
        <f ca="1">_xll.IMDP($C12,$M12,U$5,$U$7)</f>
        <v>4.1210000000000004</v>
      </c>
      <c r="V12" s="30">
        <f ca="1">_xll.IMDP($C12,$M12,V$5,$U$7)</f>
        <v>4.1520000000000001</v>
      </c>
      <c r="W12"/>
      <c r="X12"/>
      <c r="Y12"/>
      <c r="Z12"/>
      <c r="AA12"/>
      <c r="AB12"/>
      <c r="AC12"/>
      <c r="AD12"/>
      <c r="AE12"/>
      <c r="AF12"/>
      <c r="AG12"/>
      <c r="AH12"/>
      <c r="AI12"/>
      <c r="BE12" s="34">
        <v>44944</v>
      </c>
      <c r="BF12" s="7">
        <v>3.72</v>
      </c>
      <c r="BG12" s="7">
        <v>4.8099999999999996</v>
      </c>
      <c r="BI12" s="34">
        <v>44937</v>
      </c>
      <c r="BJ12" s="7">
        <v>3.97</v>
      </c>
    </row>
    <row r="13" spans="2:70" ht="18" customHeight="1" x14ac:dyDescent="0.15">
      <c r="B13" s="7" t="s">
        <v>17</v>
      </c>
      <c r="C13" s="7" t="s">
        <v>7</v>
      </c>
      <c r="D13" s="7" t="s">
        <v>81</v>
      </c>
      <c r="E13" s="7" t="s">
        <v>65</v>
      </c>
      <c r="F13" s="7" t="s">
        <v>95</v>
      </c>
      <c r="G13" s="7" t="str">
        <f t="shared" si="0"/>
        <v>AVG23</v>
      </c>
      <c r="H13" s="7" t="str">
        <f t="shared" si="1"/>
        <v>AV423</v>
      </c>
      <c r="I13" s="7" t="s">
        <v>121</v>
      </c>
      <c r="J13" s="7" t="s">
        <v>137</v>
      </c>
      <c r="K13" s="7" t="s">
        <v>151</v>
      </c>
      <c r="L13" s="7" t="s">
        <v>164</v>
      </c>
      <c r="M13" s="7" t="str">
        <f t="shared" si="2"/>
        <v>BONDAVG23</v>
      </c>
      <c r="Q13" s="43"/>
      <c r="R13" s="25" t="s">
        <v>18</v>
      </c>
      <c r="S13" s="30">
        <f ca="1">_xll.IMDP($C13,$M13,S$5,$U$7)</f>
        <v>4.0830000000000002</v>
      </c>
      <c r="T13" s="30">
        <f ca="1">_xll.IMDP($C13,$M13,T$5,$U$7)</f>
        <v>4.3129999999999997</v>
      </c>
      <c r="U13" s="30">
        <f ca="1">_xll.IMDP($C13,$M13,U$5,$U$7)</f>
        <v>4.3719999999999999</v>
      </c>
      <c r="V13" s="30">
        <f ca="1">_xll.IMDP($C13,$M13,V$5,$U$7)</f>
        <v>4.4180000000000001</v>
      </c>
      <c r="W13"/>
      <c r="X13"/>
      <c r="Y13"/>
      <c r="Z13"/>
      <c r="AA13"/>
      <c r="AB13"/>
      <c r="AC13"/>
      <c r="AD13"/>
      <c r="AE13"/>
      <c r="AF13"/>
      <c r="AG13"/>
      <c r="AH13"/>
      <c r="AI13"/>
      <c r="BE13" s="34">
        <v>44943</v>
      </c>
      <c r="BF13" s="7">
        <v>3.74</v>
      </c>
      <c r="BG13" s="7">
        <v>4.83</v>
      </c>
      <c r="BI13" s="34">
        <v>44930</v>
      </c>
      <c r="BJ13" s="7">
        <v>4.0599999999999996</v>
      </c>
    </row>
    <row r="14" spans="2:70" ht="18" customHeight="1" x14ac:dyDescent="0.15">
      <c r="B14" s="7" t="s">
        <v>19</v>
      </c>
      <c r="C14" s="7" t="s">
        <v>7</v>
      </c>
      <c r="D14" s="7" t="s">
        <v>81</v>
      </c>
      <c r="E14" s="7" t="s">
        <v>66</v>
      </c>
      <c r="F14" s="7" t="s">
        <v>96</v>
      </c>
      <c r="G14" s="7" t="str">
        <f t="shared" si="0"/>
        <v>AVG81</v>
      </c>
      <c r="H14" s="7" t="str">
        <f t="shared" si="1"/>
        <v>AV481</v>
      </c>
      <c r="I14" s="7" t="s">
        <v>122</v>
      </c>
      <c r="J14" s="7" t="s">
        <v>138</v>
      </c>
      <c r="K14" s="7" t="s">
        <v>152</v>
      </c>
      <c r="L14" s="7" t="s">
        <v>160</v>
      </c>
      <c r="M14" s="7" t="str">
        <f t="shared" si="2"/>
        <v>BONDAVG81</v>
      </c>
      <c r="Q14" s="39" t="s">
        <v>174</v>
      </c>
      <c r="R14" s="25" t="s">
        <v>20</v>
      </c>
      <c r="S14" s="30">
        <f ca="1">_xll.IMDP($C14,$M14,S$5,$U$7)</f>
        <v>4.2270000000000003</v>
      </c>
      <c r="T14" s="30">
        <f ca="1">_xll.IMDP($C14,$M14,T$5,$U$7)</f>
        <v>4.4390000000000001</v>
      </c>
      <c r="U14" s="30">
        <f ca="1">_xll.IMDP($C14,$M14,U$5,$U$7)</f>
        <v>4.5750000000000002</v>
      </c>
      <c r="V14" s="30">
        <f ca="1">_xll.IMDP($C14,$M14,V$5,$U$7)</f>
        <v>4.5819999999999999</v>
      </c>
      <c r="W14"/>
      <c r="X14"/>
      <c r="Y14"/>
      <c r="Z14"/>
      <c r="AA14"/>
      <c r="AB14"/>
      <c r="AC14"/>
      <c r="AD14"/>
      <c r="AE14"/>
      <c r="AF14"/>
      <c r="AG14"/>
      <c r="AH14"/>
      <c r="AI14"/>
      <c r="BE14" s="34">
        <v>44942</v>
      </c>
      <c r="BF14" s="7">
        <v>3.79</v>
      </c>
      <c r="BG14" s="7">
        <v>4.8600000000000003</v>
      </c>
      <c r="BI14" s="34">
        <v>44923</v>
      </c>
      <c r="BJ14" s="7">
        <v>3.96</v>
      </c>
    </row>
    <row r="15" spans="2:70" ht="18" customHeight="1" x14ac:dyDescent="0.15">
      <c r="B15" s="7" t="s">
        <v>21</v>
      </c>
      <c r="C15" s="7" t="s">
        <v>7</v>
      </c>
      <c r="D15" s="7" t="s">
        <v>81</v>
      </c>
      <c r="E15" s="7" t="s">
        <v>67</v>
      </c>
      <c r="F15" s="7" t="s">
        <v>97</v>
      </c>
      <c r="G15" s="7" t="str">
        <f t="shared" si="0"/>
        <v>AVG27</v>
      </c>
      <c r="H15" s="7" t="str">
        <f t="shared" si="1"/>
        <v>AV427</v>
      </c>
      <c r="I15" s="7" t="s">
        <v>123</v>
      </c>
      <c r="J15" s="7" t="s">
        <v>139</v>
      </c>
      <c r="K15" s="7" t="s">
        <v>153</v>
      </c>
      <c r="L15" s="7" t="s">
        <v>165</v>
      </c>
      <c r="M15" s="7" t="str">
        <f t="shared" si="2"/>
        <v>BONDAVG27</v>
      </c>
      <c r="Q15" s="39"/>
      <c r="R15" s="25" t="s">
        <v>22</v>
      </c>
      <c r="S15" s="30">
        <f ca="1">_xll.IMDP($C15,$M15,S$5,$U$7)</f>
        <v>4.2690000000000001</v>
      </c>
      <c r="T15" s="30">
        <f ca="1">_xll.IMDP($C15,$M15,T$5,$U$7)</f>
        <v>4.5060000000000002</v>
      </c>
      <c r="U15" s="30">
        <f ca="1">_xll.IMDP($C15,$M15,U$5,$U$7)</f>
        <v>4.649</v>
      </c>
      <c r="V15" s="30">
        <f ca="1">_xll.IMDP($C15,$M15,V$5,$U$7)</f>
        <v>4.6749999999999998</v>
      </c>
      <c r="W15"/>
      <c r="X15"/>
      <c r="Y15"/>
      <c r="Z15"/>
      <c r="AA15"/>
      <c r="AB15"/>
      <c r="AC15"/>
      <c r="AD15"/>
      <c r="AE15"/>
      <c r="AF15"/>
      <c r="AG15"/>
      <c r="AH15"/>
      <c r="AI15"/>
      <c r="BE15" s="34">
        <v>44939</v>
      </c>
      <c r="BF15" s="7">
        <v>3.88</v>
      </c>
      <c r="BG15" s="7">
        <v>4.9000000000000004</v>
      </c>
      <c r="BI15" s="34">
        <v>44916</v>
      </c>
      <c r="BJ15" s="7">
        <v>4.17</v>
      </c>
    </row>
    <row r="16" spans="2:70" ht="18" customHeight="1" x14ac:dyDescent="0.15">
      <c r="B16" s="7" t="s">
        <v>23</v>
      </c>
      <c r="C16" s="7" t="s">
        <v>7</v>
      </c>
      <c r="D16" s="7" t="s">
        <v>81</v>
      </c>
      <c r="E16" s="7" t="s">
        <v>68</v>
      </c>
      <c r="F16" s="7" t="s">
        <v>98</v>
      </c>
      <c r="G16" s="7" t="str">
        <f t="shared" si="0"/>
        <v>AVG28</v>
      </c>
      <c r="H16" s="7" t="str">
        <f t="shared" si="1"/>
        <v>AV428</v>
      </c>
      <c r="I16" s="7" t="s">
        <v>124</v>
      </c>
      <c r="J16" s="7" t="s">
        <v>140</v>
      </c>
      <c r="K16" s="7" t="s">
        <v>154</v>
      </c>
      <c r="L16" s="7" t="s">
        <v>166</v>
      </c>
      <c r="M16" s="7" t="str">
        <f t="shared" si="2"/>
        <v>BONDAVG28</v>
      </c>
      <c r="Q16" s="40"/>
      <c r="R16" s="25" t="s">
        <v>24</v>
      </c>
      <c r="S16" s="30">
        <f ca="1">_xll.IMDP($C16,$M16,S$5,$U$7)</f>
        <v>4.3840000000000003</v>
      </c>
      <c r="T16" s="30">
        <f ca="1">_xll.IMDP($C16,$M16,T$5,$U$7)</f>
        <v>4.6840000000000002</v>
      </c>
      <c r="U16" s="30">
        <f ca="1">_xll.IMDP($C16,$M16,U$5,$U$7)</f>
        <v>4.843</v>
      </c>
      <c r="V16" s="30">
        <f ca="1">_xll.IMDP($C16,$M16,V$5,$U$7)</f>
        <v>4.9889999999999999</v>
      </c>
      <c r="W16" s="6"/>
      <c r="X16"/>
      <c r="Y16"/>
      <c r="Z16"/>
      <c r="AA16"/>
      <c r="AB16"/>
      <c r="AC16"/>
      <c r="AD16"/>
      <c r="AE16"/>
      <c r="AF16"/>
      <c r="AG16"/>
      <c r="AH16"/>
      <c r="AI16"/>
      <c r="BE16" s="34">
        <v>44938</v>
      </c>
      <c r="BF16" s="7">
        <v>3.87</v>
      </c>
      <c r="BG16" s="7">
        <v>4.87</v>
      </c>
      <c r="BI16" s="34">
        <v>44909</v>
      </c>
      <c r="BJ16" s="7">
        <v>4.3</v>
      </c>
    </row>
    <row r="17" spans="2:62" ht="18" customHeight="1" x14ac:dyDescent="0.15">
      <c r="B17" s="7" t="s">
        <v>29</v>
      </c>
      <c r="C17" s="7" t="s">
        <v>7</v>
      </c>
      <c r="D17" s="7" t="s">
        <v>81</v>
      </c>
      <c r="E17" s="7" t="s">
        <v>69</v>
      </c>
      <c r="F17" s="7" t="s">
        <v>99</v>
      </c>
      <c r="G17" s="7" t="str">
        <f t="shared" si="0"/>
        <v>AVG55</v>
      </c>
      <c r="H17" s="7" t="str">
        <f t="shared" si="1"/>
        <v>AV455</v>
      </c>
      <c r="I17" s="7" t="s">
        <v>125</v>
      </c>
      <c r="J17" s="7" t="s">
        <v>142</v>
      </c>
      <c r="K17" s="7" t="s">
        <v>155</v>
      </c>
      <c r="L17" s="7" t="s">
        <v>167</v>
      </c>
      <c r="M17" s="7" t="str">
        <f t="shared" si="2"/>
        <v>BONDAVG55</v>
      </c>
      <c r="Q17" s="43" t="s">
        <v>39</v>
      </c>
      <c r="R17" s="25" t="s">
        <v>30</v>
      </c>
      <c r="S17" s="30">
        <f ca="1">_xll.IMDP($C17,$M17,S$5,$U$7)</f>
        <v>4.1130000000000004</v>
      </c>
      <c r="T17" s="30">
        <f ca="1">_xll.IMDP($C17,$M17,T$5,$U$7)</f>
        <v>4.28</v>
      </c>
      <c r="U17" s="30">
        <f ca="1">_xll.IMDP($C17,$M17,U$5,$U$7)</f>
        <v>4.2949999999999999</v>
      </c>
      <c r="V17" s="30">
        <f ca="1">_xll.IMDP($C17,$M17,V$5,$U$7)</f>
        <v>4.3</v>
      </c>
      <c r="W17" s="6"/>
      <c r="X17"/>
      <c r="Y17"/>
      <c r="Z17"/>
      <c r="AA17"/>
      <c r="AB17"/>
      <c r="AC17"/>
      <c r="AD17"/>
      <c r="AE17"/>
      <c r="AF17"/>
      <c r="AG17"/>
      <c r="AH17"/>
      <c r="AI17"/>
      <c r="BE17" s="34">
        <v>44937</v>
      </c>
      <c r="BF17" s="7">
        <v>3.88</v>
      </c>
      <c r="BG17" s="7">
        <v>4.9000000000000004</v>
      </c>
      <c r="BI17" s="34">
        <v>44902</v>
      </c>
      <c r="BJ17" s="7">
        <v>4.17</v>
      </c>
    </row>
    <row r="18" spans="2:62" ht="18" customHeight="1" x14ac:dyDescent="0.15">
      <c r="B18" s="7" t="s">
        <v>31</v>
      </c>
      <c r="C18" s="7" t="s">
        <v>7</v>
      </c>
      <c r="D18" s="7" t="s">
        <v>81</v>
      </c>
      <c r="E18" s="7" t="s">
        <v>70</v>
      </c>
      <c r="F18" s="7" t="s">
        <v>100</v>
      </c>
      <c r="G18" s="7" t="str">
        <f t="shared" si="0"/>
        <v>AVG56</v>
      </c>
      <c r="H18" s="7" t="str">
        <f t="shared" si="1"/>
        <v>AV456</v>
      </c>
      <c r="I18" s="7" t="s">
        <v>126</v>
      </c>
      <c r="J18" s="7" t="s">
        <v>143</v>
      </c>
      <c r="K18" s="7" t="s">
        <v>156</v>
      </c>
      <c r="L18" s="7" t="s">
        <v>168</v>
      </c>
      <c r="M18" s="7" t="str">
        <f t="shared" si="2"/>
        <v>BONDAVG56</v>
      </c>
      <c r="Q18" s="43"/>
      <c r="R18" s="25" t="s">
        <v>32</v>
      </c>
      <c r="S18" s="30">
        <f ca="1">_xll.IMDP($C18,$M18,S$5,$U$7)</f>
        <v>4.2140000000000004</v>
      </c>
      <c r="T18" s="30">
        <f ca="1">_xll.IMDP($C18,$M18,T$5,$U$7)</f>
        <v>4.3739999999999997</v>
      </c>
      <c r="U18" s="30">
        <f ca="1">_xll.IMDP($C18,$M18,U$5,$U$7)</f>
        <v>4.391</v>
      </c>
      <c r="V18" s="30">
        <f ca="1">_xll.IMDP($C18,$M18,V$5,$U$7)</f>
        <v>4.3979999999999997</v>
      </c>
      <c r="W18" s="6"/>
      <c r="X18"/>
      <c r="Y18"/>
      <c r="Z18"/>
      <c r="AA18"/>
      <c r="AB18"/>
      <c r="AC18"/>
      <c r="AD18"/>
      <c r="AE18"/>
      <c r="AF18"/>
      <c r="AG18"/>
      <c r="AH18"/>
      <c r="AI18"/>
      <c r="BE18" s="34">
        <v>44936</v>
      </c>
      <c r="BF18" s="7">
        <v>3.9</v>
      </c>
      <c r="BG18" s="7">
        <v>4.9400000000000004</v>
      </c>
      <c r="BI18" s="34">
        <v>44895</v>
      </c>
      <c r="BJ18" s="7">
        <v>4.0999999999999996</v>
      </c>
    </row>
    <row r="19" spans="2:62" ht="18" customHeight="1" x14ac:dyDescent="0.15">
      <c r="B19" s="7" t="s">
        <v>33</v>
      </c>
      <c r="C19" s="7" t="s">
        <v>7</v>
      </c>
      <c r="D19" s="7" t="s">
        <v>81</v>
      </c>
      <c r="E19" s="7" t="s">
        <v>71</v>
      </c>
      <c r="F19" s="7" t="s">
        <v>101</v>
      </c>
      <c r="G19" s="7" t="str">
        <f t="shared" si="0"/>
        <v>AVG57</v>
      </c>
      <c r="H19" s="7" t="str">
        <f t="shared" si="1"/>
        <v>AV457</v>
      </c>
      <c r="I19" s="7" t="s">
        <v>127</v>
      </c>
      <c r="J19" s="7" t="s">
        <v>144</v>
      </c>
      <c r="K19" s="7" t="s">
        <v>157</v>
      </c>
      <c r="L19" s="7" t="s">
        <v>169</v>
      </c>
      <c r="M19" s="7" t="str">
        <f t="shared" si="2"/>
        <v>BONDAVG57</v>
      </c>
      <c r="Q19" s="43"/>
      <c r="R19" s="25" t="s">
        <v>34</v>
      </c>
      <c r="S19" s="30">
        <f ca="1">_xll.IMDP($C19,$M19,S$5,$U$7)</f>
        <v>4.2480000000000002</v>
      </c>
      <c r="T19" s="30">
        <f ca="1">_xll.IMDP($C19,$M19,T$5,$U$7)</f>
        <v>4.41</v>
      </c>
      <c r="U19" s="30">
        <f ca="1">_xll.IMDP($C19,$M19,U$5,$U$7)</f>
        <v>4.4269999999999996</v>
      </c>
      <c r="V19" s="30">
        <f ca="1">_xll.IMDP($C19,$M19,V$5,$U$7)</f>
        <v>4.4349999999999996</v>
      </c>
      <c r="W19" s="6"/>
      <c r="X19"/>
      <c r="Y19"/>
      <c r="Z19"/>
      <c r="AA19"/>
      <c r="AB19"/>
      <c r="AC19"/>
      <c r="AD19"/>
      <c r="AE19"/>
      <c r="AF19"/>
      <c r="AG19"/>
      <c r="AH19"/>
      <c r="AI19"/>
      <c r="BE19" s="34">
        <v>44935</v>
      </c>
      <c r="BF19" s="7">
        <v>3.92</v>
      </c>
      <c r="BG19" s="7">
        <v>4.97</v>
      </c>
      <c r="BI19" s="34">
        <v>44888</v>
      </c>
      <c r="BJ19" s="7">
        <v>4.0999999999999996</v>
      </c>
    </row>
    <row r="20" spans="2:62" ht="18" customHeight="1" x14ac:dyDescent="0.15">
      <c r="B20" s="7" t="s">
        <v>35</v>
      </c>
      <c r="C20" s="7" t="s">
        <v>7</v>
      </c>
      <c r="D20" s="7" t="s">
        <v>81</v>
      </c>
      <c r="E20" s="7" t="s">
        <v>72</v>
      </c>
      <c r="F20" s="7" t="s">
        <v>102</v>
      </c>
      <c r="G20" s="7" t="str">
        <f t="shared" si="0"/>
        <v>AVG58</v>
      </c>
      <c r="H20" s="7" t="str">
        <f t="shared" si="1"/>
        <v>AV458</v>
      </c>
      <c r="I20" s="7" t="s">
        <v>128</v>
      </c>
      <c r="J20" s="7" t="s">
        <v>145</v>
      </c>
      <c r="K20" s="7" t="s">
        <v>158</v>
      </c>
      <c r="L20" s="7" t="s">
        <v>170</v>
      </c>
      <c r="M20" s="7" t="str">
        <f t="shared" si="2"/>
        <v>BONDAVG58</v>
      </c>
      <c r="Q20" s="43"/>
      <c r="R20" s="25" t="s">
        <v>36</v>
      </c>
      <c r="S20" s="30">
        <f ca="1">_xll.IMDP($C20,$M20,S$5,$U$7)</f>
        <v>4.2759999999999998</v>
      </c>
      <c r="T20" s="30">
        <f ca="1">_xll.IMDP($C20,$M20,T$5,$U$7)</f>
        <v>4.4420000000000002</v>
      </c>
      <c r="U20" s="30">
        <f ca="1">_xll.IMDP($C20,$M20,U$5,$U$7)</f>
        <v>4.4589999999999996</v>
      </c>
      <c r="V20" s="30">
        <f ca="1">_xll.IMDP($C20,$M20,V$5,$U$7)</f>
        <v>4.4710000000000001</v>
      </c>
      <c r="W20" s="6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/>
      <c r="BE20" s="34">
        <v>44932</v>
      </c>
      <c r="BF20" s="7">
        <v>3.92</v>
      </c>
      <c r="BG20" s="7">
        <v>5.01</v>
      </c>
      <c r="BI20" s="34">
        <v>44881</v>
      </c>
      <c r="BJ20" s="7">
        <v>4.08</v>
      </c>
    </row>
    <row r="21" spans="2:62" ht="18" customHeight="1" x14ac:dyDescent="0.15">
      <c r="B21" s="7" t="s">
        <v>84</v>
      </c>
      <c r="C21" s="7" t="s">
        <v>7</v>
      </c>
      <c r="D21" s="7" t="s">
        <v>82</v>
      </c>
      <c r="E21" s="7" t="s">
        <v>73</v>
      </c>
      <c r="F21" s="7" t="s">
        <v>103</v>
      </c>
      <c r="G21" s="7" t="str">
        <f t="shared" si="0"/>
        <v>AVG1</v>
      </c>
      <c r="H21" s="7" t="str">
        <f t="shared" si="1"/>
        <v>AV41</v>
      </c>
      <c r="I21" s="7" t="str">
        <f>"KBP"&amp;$E21</f>
        <v>KBP1</v>
      </c>
      <c r="J21" s="7" t="str">
        <f t="shared" ref="J21:J28" si="3">"KIS"&amp;$E21</f>
        <v>KIS1</v>
      </c>
      <c r="K21" s="7" t="str">
        <f t="shared" ref="K21:K28" si="4">"NIC"&amp;$E21</f>
        <v>NIC1</v>
      </c>
      <c r="L21" s="7" t="str">
        <f t="shared" ref="L21:L28" si="5">"FNP"&amp;$E21</f>
        <v>FNP1</v>
      </c>
      <c r="M21" s="7" t="str">
        <f t="shared" si="2"/>
        <v>CDYLDAVG1</v>
      </c>
      <c r="Q21" s="43" t="s">
        <v>51</v>
      </c>
      <c r="R21" s="25" t="s">
        <v>52</v>
      </c>
      <c r="S21" s="31">
        <f ca="1">_xll.IMDP($C21,$M21,S$4,$U$7)</f>
        <v>3.74</v>
      </c>
      <c r="T21" s="31">
        <f ca="1">_xll.IMDP($C21,$M21,T$4,$U$7)</f>
        <v>3.77</v>
      </c>
      <c r="U21" s="31">
        <f ca="1">_xll.IMDP($C21,$M21,U$4,$U$7)</f>
        <v>3.82</v>
      </c>
      <c r="V21" s="31">
        <f ca="1">_xll.IMDP($C21,$M21,V$4,$U$7)</f>
        <v>3.84</v>
      </c>
      <c r="W21" s="6"/>
      <c r="X21" s="13" t="s">
        <v>192</v>
      </c>
      <c r="Y21" s="13" t="s">
        <v>25</v>
      </c>
      <c r="Z21" s="13" t="s">
        <v>26</v>
      </c>
      <c r="AA21" s="13" t="s">
        <v>27</v>
      </c>
      <c r="AB21" s="13" t="s">
        <v>28</v>
      </c>
      <c r="AC21"/>
      <c r="AD21" s="13" t="s">
        <v>192</v>
      </c>
      <c r="AE21" s="13" t="s">
        <v>25</v>
      </c>
      <c r="AF21" s="13" t="s">
        <v>26</v>
      </c>
      <c r="AG21" s="13" t="s">
        <v>27</v>
      </c>
      <c r="AH21" s="13" t="s">
        <v>28</v>
      </c>
      <c r="AI21"/>
      <c r="BE21" s="34">
        <v>44931</v>
      </c>
      <c r="BF21" s="7">
        <v>3.96</v>
      </c>
      <c r="BG21" s="7">
        <v>5.0599999999999996</v>
      </c>
      <c r="BI21" s="34">
        <v>44874</v>
      </c>
      <c r="BJ21" s="7">
        <v>4.0599999999999996</v>
      </c>
    </row>
    <row r="22" spans="2:62" ht="18" customHeight="1" x14ac:dyDescent="0.15">
      <c r="B22" s="7" t="s">
        <v>85</v>
      </c>
      <c r="C22" s="7" t="s">
        <v>7</v>
      </c>
      <c r="D22" s="7" t="s">
        <v>82</v>
      </c>
      <c r="E22" s="7" t="s">
        <v>74</v>
      </c>
      <c r="F22" s="7" t="s">
        <v>104</v>
      </c>
      <c r="G22" s="7" t="str">
        <f t="shared" si="0"/>
        <v>AVG2</v>
      </c>
      <c r="H22" s="7" t="str">
        <f t="shared" si="1"/>
        <v>AV42</v>
      </c>
      <c r="I22" s="7" t="str">
        <f t="shared" ref="I22:I28" si="6">"KBP"&amp;$E22</f>
        <v>KBP2</v>
      </c>
      <c r="J22" s="7" t="str">
        <f t="shared" si="3"/>
        <v>KIS2</v>
      </c>
      <c r="K22" s="7" t="str">
        <f t="shared" si="4"/>
        <v>NIC2</v>
      </c>
      <c r="L22" s="7" t="str">
        <f t="shared" si="5"/>
        <v>FNP2</v>
      </c>
      <c r="M22" s="7" t="str">
        <f t="shared" si="2"/>
        <v>CDYLDAVG2</v>
      </c>
      <c r="Q22" s="43"/>
      <c r="R22" s="25" t="s">
        <v>53</v>
      </c>
      <c r="S22" s="31">
        <f ca="1">_xll.IMDP($C22,$M22,S$4,$U$7)</f>
        <v>3.75</v>
      </c>
      <c r="T22" s="31">
        <f ca="1">_xll.IMDP($C22,$M22,T$4,$U$7)</f>
        <v>3.78</v>
      </c>
      <c r="U22" s="31">
        <f ca="1">_xll.IMDP($C22,$M22,U$4,$U$7)</f>
        <v>3.89</v>
      </c>
      <c r="V22" s="31">
        <f ca="1">_xll.IMDP($C22,$M22,V$4,$U$7)</f>
        <v>3.9</v>
      </c>
      <c r="W22" s="6"/>
      <c r="X22" s="20" t="s">
        <v>190</v>
      </c>
      <c r="Y22" s="32">
        <f ca="1">_xll.IMDP("IR",$N$11,M$40,$U$7)</f>
        <v>3.5030000000000001</v>
      </c>
      <c r="Z22" s="32">
        <f ca="1">_xll.IMDP("IR",$N$11,N$40,$U$7)</f>
        <v>3.53</v>
      </c>
      <c r="AA22" s="32">
        <f ca="1">_xll.IMDP("IR",$N$11,O$40,$U$7)</f>
        <v>3.5459999999999998</v>
      </c>
      <c r="AB22" s="32">
        <f ca="1">_xll.IMDP("IR",$N$11,P$40,$U$7)</f>
        <v>3.55</v>
      </c>
      <c r="AC22"/>
      <c r="AD22" s="20" t="s">
        <v>190</v>
      </c>
      <c r="AE22" s="32">
        <f ca="1">_xll.IMDP("IR",$N$12,M$42,$U$7)</f>
        <v>4.2270000000000003</v>
      </c>
      <c r="AF22" s="32">
        <f ca="1">_xll.IMDP("IR",$N$12,N$42,$U$7)</f>
        <v>4.4390000000000001</v>
      </c>
      <c r="AG22" s="32">
        <f ca="1">_xll.IMDP("IR",$N$12,O$42,$U$7)</f>
        <v>4.5750000000000002</v>
      </c>
      <c r="AH22" s="32">
        <f ca="1">_xll.IMDP("IR",$N$12,P$42,$U$7)</f>
        <v>4.5819999999999999</v>
      </c>
      <c r="AI22"/>
      <c r="BE22" s="34">
        <v>44930</v>
      </c>
      <c r="BF22" s="7">
        <v>3.96</v>
      </c>
      <c r="BG22" s="7">
        <v>5.1100000000000003</v>
      </c>
      <c r="BI22" s="34">
        <v>44867</v>
      </c>
      <c r="BJ22" s="7">
        <v>3.88</v>
      </c>
    </row>
    <row r="23" spans="2:62" ht="18" customHeight="1" x14ac:dyDescent="0.15">
      <c r="B23" s="7" t="s">
        <v>86</v>
      </c>
      <c r="C23" s="7" t="s">
        <v>7</v>
      </c>
      <c r="D23" s="7" t="s">
        <v>82</v>
      </c>
      <c r="E23" s="7" t="s">
        <v>75</v>
      </c>
      <c r="F23" s="7" t="s">
        <v>105</v>
      </c>
      <c r="G23" s="7" t="str">
        <f t="shared" si="0"/>
        <v>AVG3</v>
      </c>
      <c r="H23" s="7" t="str">
        <f t="shared" si="1"/>
        <v>AV43</v>
      </c>
      <c r="I23" s="7" t="str">
        <f t="shared" si="6"/>
        <v>KBP3</v>
      </c>
      <c r="J23" s="7" t="str">
        <f t="shared" si="3"/>
        <v>KIS3</v>
      </c>
      <c r="K23" s="7" t="str">
        <f t="shared" si="4"/>
        <v>NIC3</v>
      </c>
      <c r="L23" s="7" t="str">
        <f t="shared" si="5"/>
        <v>FNP3</v>
      </c>
      <c r="M23" s="7" t="str">
        <f t="shared" si="2"/>
        <v>CDYLDAVG3</v>
      </c>
      <c r="Q23" s="43"/>
      <c r="R23" s="25" t="s">
        <v>54</v>
      </c>
      <c r="S23" s="31">
        <f ca="1">_xll.IMDP($C23,$M23,S$4,$U$7)</f>
        <v>3.83</v>
      </c>
      <c r="T23" s="31">
        <f ca="1">_xll.IMDP($C23,$M23,T$4,$U$7)</f>
        <v>3.9</v>
      </c>
      <c r="U23" s="31">
        <f ca="1">_xll.IMDP($C23,$M23,U$4,$U$7)</f>
        <v>4.04</v>
      </c>
      <c r="V23" s="31">
        <f ca="1">_xll.IMDP($C23,$M23,V$4,$U$7)</f>
        <v>4.08</v>
      </c>
      <c r="W23" s="6"/>
      <c r="X23" s="21" t="s">
        <v>191</v>
      </c>
      <c r="Y23" s="33">
        <f ca="1">_xll.IMDP("IR",$O$11,M$41,$U$7)</f>
        <v>4.2759999999999998</v>
      </c>
      <c r="Z23" s="33">
        <f ca="1">_xll.IMDP("IR",$O$11,N$41,$U$7)</f>
        <v>4.4420000000000002</v>
      </c>
      <c r="AA23" s="33">
        <f ca="1">_xll.IMDP("IR",$O$11,O$41,$U$7)</f>
        <v>4.4589999999999996</v>
      </c>
      <c r="AB23" s="33">
        <f ca="1">_xll.IMDP("IR",$O$11,P$41,$U$7)</f>
        <v>4.4710000000000001</v>
      </c>
      <c r="AC23"/>
      <c r="AD23" s="21" t="s">
        <v>191</v>
      </c>
      <c r="AE23" s="33">
        <f ca="1">_xll.IMDP("IR",$O$12,M$43,$U$7)</f>
        <v>4.3840000000000003</v>
      </c>
      <c r="AF23" s="33">
        <f ca="1">_xll.IMDP("IR",$O$12,N$43,$U$7)</f>
        <v>4.6840000000000002</v>
      </c>
      <c r="AG23" s="33">
        <f ca="1">_xll.IMDP("IR",$O$12,O$43,$U$7)</f>
        <v>4.843</v>
      </c>
      <c r="AH23" s="33">
        <f ca="1">_xll.IMDP("IR",$O$12,P$43,$U$7)</f>
        <v>4.9889999999999999</v>
      </c>
      <c r="AI23"/>
      <c r="BE23" s="34">
        <v>44929</v>
      </c>
      <c r="BF23" s="7">
        <v>3.96</v>
      </c>
      <c r="BG23" s="7">
        <v>5.15</v>
      </c>
      <c r="BI23" s="34">
        <v>44860</v>
      </c>
      <c r="BJ23" s="7">
        <v>3.84</v>
      </c>
    </row>
    <row r="24" spans="2:62" ht="18" customHeight="1" x14ac:dyDescent="0.15">
      <c r="B24" s="7" t="s">
        <v>87</v>
      </c>
      <c r="C24" s="7" t="s">
        <v>7</v>
      </c>
      <c r="D24" s="7" t="s">
        <v>82</v>
      </c>
      <c r="E24" s="7" t="s">
        <v>76</v>
      </c>
      <c r="F24" s="7" t="s">
        <v>106</v>
      </c>
      <c r="G24" s="7" t="str">
        <f t="shared" si="0"/>
        <v>AVG4</v>
      </c>
      <c r="H24" s="7" t="str">
        <f t="shared" si="1"/>
        <v>AV44</v>
      </c>
      <c r="I24" s="7" t="str">
        <f t="shared" si="6"/>
        <v>KBP4</v>
      </c>
      <c r="J24" s="7" t="str">
        <f t="shared" si="3"/>
        <v>KIS4</v>
      </c>
      <c r="K24" s="7" t="str">
        <f t="shared" si="4"/>
        <v>NIC4</v>
      </c>
      <c r="L24" s="7" t="str">
        <f t="shared" si="5"/>
        <v>FNP4</v>
      </c>
      <c r="M24" s="7" t="str">
        <f t="shared" si="2"/>
        <v>CDYLDAVG4</v>
      </c>
      <c r="Q24" s="43"/>
      <c r="R24" s="25" t="s">
        <v>55</v>
      </c>
      <c r="S24" s="31">
        <f ca="1">_xll.IMDP($C24,$M24,S$4,$U$7)</f>
        <v>3.89</v>
      </c>
      <c r="T24" s="31">
        <f ca="1">_xll.IMDP($C24,$M24,T$4,$U$7)</f>
        <v>3.98</v>
      </c>
      <c r="U24" s="31">
        <f ca="1">_xll.IMDP($C24,$M24,U$4,$U$7)</f>
        <v>4.13</v>
      </c>
      <c r="V24" s="31">
        <f ca="1">_xll.IMDP($C24,$M24,V$4,$U$7)</f>
        <v>4.18</v>
      </c>
      <c r="W24" s="6"/>
      <c r="X24" s="21" t="s">
        <v>193</v>
      </c>
      <c r="Y24" s="11">
        <f ca="1">(Y22-Y23)*100</f>
        <v>-77.299999999999969</v>
      </c>
      <c r="Z24" s="11">
        <f ca="1">(Z22-Z23)*100</f>
        <v>-91.200000000000031</v>
      </c>
      <c r="AA24" s="11">
        <f ca="1">(AA22-AA23)*100</f>
        <v>-91.299999999999983</v>
      </c>
      <c r="AB24" s="11">
        <f ca="1">(AB22-AB23)*100</f>
        <v>-92.100000000000023</v>
      </c>
      <c r="AC24"/>
      <c r="AD24" s="21" t="s">
        <v>193</v>
      </c>
      <c r="AE24" s="11">
        <f ca="1">(AE22-AE23)*100</f>
        <v>-15.700000000000003</v>
      </c>
      <c r="AF24" s="11">
        <f ca="1">(AF22-AF23)*100</f>
        <v>-24.500000000000011</v>
      </c>
      <c r="AG24" s="11">
        <f ca="1">(AG22-AG23)*100</f>
        <v>-26.799999999999979</v>
      </c>
      <c r="AH24" s="11">
        <f ca="1">(AH22-AH23)*100</f>
        <v>-40.700000000000003</v>
      </c>
      <c r="AI24"/>
      <c r="BE24" s="34">
        <v>44928</v>
      </c>
      <c r="BF24" s="7">
        <v>3.98</v>
      </c>
      <c r="BG24" s="7">
        <v>5.18</v>
      </c>
      <c r="BI24" s="34">
        <v>44853</v>
      </c>
      <c r="BJ24" s="7">
        <v>3.53</v>
      </c>
    </row>
    <row r="25" spans="2:62" ht="18" customHeight="1" x14ac:dyDescent="0.15">
      <c r="B25" s="7" t="s">
        <v>88</v>
      </c>
      <c r="C25" s="7" t="s">
        <v>7</v>
      </c>
      <c r="D25" s="7" t="s">
        <v>83</v>
      </c>
      <c r="E25" s="7" t="s">
        <v>73</v>
      </c>
      <c r="F25" s="7" t="s">
        <v>107</v>
      </c>
      <c r="G25" s="7" t="str">
        <f t="shared" si="0"/>
        <v>AVG1</v>
      </c>
      <c r="H25" s="7" t="str">
        <f t="shared" si="1"/>
        <v>AV41</v>
      </c>
      <c r="I25" s="7" t="str">
        <f>"KBP"&amp;$E25</f>
        <v>KBP1</v>
      </c>
      <c r="J25" s="7" t="str">
        <f t="shared" si="3"/>
        <v>KIS1</v>
      </c>
      <c r="K25" s="7" t="str">
        <f t="shared" si="4"/>
        <v>NIC1</v>
      </c>
      <c r="L25" s="7" t="str">
        <f t="shared" si="5"/>
        <v>FNP1</v>
      </c>
      <c r="M25" s="7" t="str">
        <f t="shared" si="2"/>
        <v>CPYLDAVG1</v>
      </c>
      <c r="Q25" s="44" t="s">
        <v>56</v>
      </c>
      <c r="R25" s="25" t="s">
        <v>57</v>
      </c>
      <c r="S25" s="31">
        <f ca="1">_xll.IMDP($C25,$M25,S$4,$U$7)</f>
        <v>4.83</v>
      </c>
      <c r="T25" s="31">
        <f ca="1">_xll.IMDP($C25,$M25,T$4,$U$7)</f>
        <v>4.8600000000000003</v>
      </c>
      <c r="U25" s="31">
        <f ca="1">_xll.IMDP($C25,$M25,U$4,$U$7)</f>
        <v>4.8499999999999996</v>
      </c>
      <c r="V25" s="31">
        <f ca="1">_xll.IMDP($C25,$M25,V$4,$U$7)</f>
        <v>4.8899999999999997</v>
      </c>
      <c r="W25" s="6"/>
      <c r="X25"/>
      <c r="Y25"/>
      <c r="Z25"/>
      <c r="AA25"/>
      <c r="AB25"/>
      <c r="AC25"/>
      <c r="AD25"/>
      <c r="AE25"/>
      <c r="AF25"/>
      <c r="AG25"/>
      <c r="AH25"/>
      <c r="AI25"/>
      <c r="BE25" s="34"/>
      <c r="BI25" s="34">
        <v>44847</v>
      </c>
      <c r="BJ25" s="7">
        <v>3.31</v>
      </c>
    </row>
    <row r="26" spans="2:62" ht="18" customHeight="1" x14ac:dyDescent="0.15">
      <c r="B26" s="7" t="s">
        <v>89</v>
      </c>
      <c r="C26" s="7" t="s">
        <v>7</v>
      </c>
      <c r="D26" s="7" t="s">
        <v>83</v>
      </c>
      <c r="E26" s="7" t="s">
        <v>74</v>
      </c>
      <c r="F26" s="7" t="s">
        <v>108</v>
      </c>
      <c r="G26" s="7" t="str">
        <f t="shared" si="0"/>
        <v>AVG2</v>
      </c>
      <c r="H26" s="7" t="str">
        <f t="shared" si="1"/>
        <v>AV42</v>
      </c>
      <c r="I26" s="7" t="str">
        <f t="shared" si="6"/>
        <v>KBP2</v>
      </c>
      <c r="J26" s="7" t="str">
        <f t="shared" si="3"/>
        <v>KIS2</v>
      </c>
      <c r="K26" s="7" t="str">
        <f t="shared" si="4"/>
        <v>NIC2</v>
      </c>
      <c r="L26" s="7" t="str">
        <f t="shared" si="5"/>
        <v>FNP2</v>
      </c>
      <c r="M26" s="7" t="str">
        <f t="shared" si="2"/>
        <v>CPYLDAVG2</v>
      </c>
      <c r="Q26" s="44"/>
      <c r="R26" s="25" t="s">
        <v>59</v>
      </c>
      <c r="S26" s="31">
        <f ca="1">_xll.IMDP($C26,$M26,S$4,$U$7)</f>
        <v>5.15</v>
      </c>
      <c r="T26" s="31">
        <f ca="1">_xll.IMDP($C26,$M26,T$4,$U$7)</f>
        <v>5.18</v>
      </c>
      <c r="U26" s="31">
        <f ca="1">_xll.IMDP($C26,$M26,U$4,$U$7)</f>
        <v>5.17</v>
      </c>
      <c r="V26" s="31">
        <f ca="1">_xll.IMDP($C26,$M26,V$4,$U$7)</f>
        <v>5.23</v>
      </c>
      <c r="W26" s="6"/>
      <c r="X26"/>
      <c r="Y26"/>
      <c r="Z26"/>
      <c r="AA26"/>
      <c r="AB26"/>
      <c r="AC26"/>
      <c r="AD26"/>
      <c r="AE26"/>
      <c r="AF26"/>
      <c r="AG26"/>
      <c r="AH26"/>
      <c r="AI26"/>
      <c r="BE26" s="34"/>
      <c r="BI26" s="34">
        <v>44840</v>
      </c>
      <c r="BJ26" s="7">
        <v>3.51</v>
      </c>
    </row>
    <row r="27" spans="2:62" ht="18" customHeight="1" x14ac:dyDescent="0.15">
      <c r="B27" s="7" t="s">
        <v>90</v>
      </c>
      <c r="C27" s="7" t="s">
        <v>7</v>
      </c>
      <c r="D27" s="7" t="s">
        <v>83</v>
      </c>
      <c r="E27" s="7" t="s">
        <v>75</v>
      </c>
      <c r="F27" s="7" t="s">
        <v>109</v>
      </c>
      <c r="G27" s="7" t="str">
        <f t="shared" si="0"/>
        <v>AVG3</v>
      </c>
      <c r="H27" s="7" t="str">
        <f t="shared" si="1"/>
        <v>AV43</v>
      </c>
      <c r="I27" s="7" t="str">
        <f t="shared" si="6"/>
        <v>KBP3</v>
      </c>
      <c r="J27" s="7" t="str">
        <f t="shared" si="3"/>
        <v>KIS3</v>
      </c>
      <c r="K27" s="7" t="str">
        <f t="shared" si="4"/>
        <v>NIC3</v>
      </c>
      <c r="L27" s="7" t="str">
        <f t="shared" si="5"/>
        <v>FNP3</v>
      </c>
      <c r="M27" s="7" t="str">
        <f t="shared" si="2"/>
        <v>CPYLDAVG3</v>
      </c>
      <c r="Q27" s="44"/>
      <c r="R27" s="25" t="s">
        <v>58</v>
      </c>
      <c r="S27" s="31">
        <f ca="1">_xll.IMDP($C27,$M27,S$4,$U$7)</f>
        <v>5.34</v>
      </c>
      <c r="T27" s="31">
        <f ca="1">_xll.IMDP($C27,$M27,T$4,$U$7)</f>
        <v>5.39</v>
      </c>
      <c r="U27" s="31">
        <f ca="1">_xll.IMDP($C27,$M27,U$4,$U$7)</f>
        <v>5.38</v>
      </c>
      <c r="V27" s="31">
        <f ca="1">_xll.IMDP($C27,$M27,V$4,$U$7)</f>
        <v>5.44</v>
      </c>
      <c r="W27" s="6"/>
      <c r="X27"/>
      <c r="Y27"/>
      <c r="Z27"/>
      <c r="AA27"/>
      <c r="AB27"/>
      <c r="AC27"/>
      <c r="AD27"/>
      <c r="AE27"/>
      <c r="AF27"/>
      <c r="AG27"/>
      <c r="AH27"/>
      <c r="AI27"/>
      <c r="BE27" s="34"/>
      <c r="BI27" s="34">
        <v>44832</v>
      </c>
      <c r="BJ27" s="7">
        <v>3.09</v>
      </c>
    </row>
    <row r="28" spans="2:62" ht="18" customHeight="1" x14ac:dyDescent="0.15">
      <c r="B28" s="7" t="s">
        <v>91</v>
      </c>
      <c r="C28" s="7" t="s">
        <v>7</v>
      </c>
      <c r="D28" s="7" t="s">
        <v>83</v>
      </c>
      <c r="E28" s="7" t="s">
        <v>76</v>
      </c>
      <c r="F28" s="7" t="s">
        <v>110</v>
      </c>
      <c r="G28" s="7" t="str">
        <f t="shared" si="0"/>
        <v>AVG4</v>
      </c>
      <c r="H28" s="7" t="str">
        <f t="shared" si="1"/>
        <v>AV44</v>
      </c>
      <c r="I28" s="7" t="str">
        <f t="shared" si="6"/>
        <v>KBP4</v>
      </c>
      <c r="J28" s="7" t="str">
        <f t="shared" si="3"/>
        <v>KIS4</v>
      </c>
      <c r="K28" s="7" t="str">
        <f t="shared" si="4"/>
        <v>NIC4</v>
      </c>
      <c r="L28" s="7" t="str">
        <f t="shared" si="5"/>
        <v>FNP4</v>
      </c>
      <c r="M28" s="7" t="str">
        <f t="shared" si="2"/>
        <v>CPYLDAVG4</v>
      </c>
      <c r="Q28" s="44"/>
      <c r="R28" s="25" t="s">
        <v>60</v>
      </c>
      <c r="S28" s="31">
        <f ca="1">_xll.IMDP($C28,$M28,S$4,$U$7)</f>
        <v>5.5</v>
      </c>
      <c r="T28" s="31">
        <f ca="1">_xll.IMDP($C28,$M28,T$4,$U$7)</f>
        <v>5.55</v>
      </c>
      <c r="U28" s="31">
        <f ca="1">_xll.IMDP($C28,$M28,U$4,$U$7)</f>
        <v>5.56</v>
      </c>
      <c r="V28" s="31">
        <f ca="1">_xll.IMDP($C28,$M28,V$4,$U$7)</f>
        <v>5.61</v>
      </c>
      <c r="W28" s="6"/>
      <c r="X28"/>
      <c r="Y28"/>
      <c r="Z28"/>
      <c r="AA28"/>
      <c r="AB28"/>
      <c r="AC28"/>
      <c r="AD28"/>
      <c r="AE28"/>
      <c r="AF28"/>
      <c r="AG28"/>
      <c r="AH28"/>
      <c r="AI28"/>
      <c r="BE28" s="34"/>
      <c r="BI28" s="34">
        <v>44825</v>
      </c>
      <c r="BJ28" s="7">
        <v>2.96</v>
      </c>
    </row>
    <row r="29" spans="2:62" ht="18" customHeight="1" x14ac:dyDescent="0.15">
      <c r="B29" s="7" t="s">
        <v>42</v>
      </c>
      <c r="C29" s="7" t="s">
        <v>7</v>
      </c>
      <c r="D29" s="7" t="s">
        <v>40</v>
      </c>
      <c r="Q29" s="49" t="s">
        <v>44</v>
      </c>
      <c r="R29" s="50"/>
      <c r="S29" s="8">
        <f ca="1">_xll.IMDP($C29,$D29,IF($U$7=TODAY(),"수익률","대표수익률"),$U$7)</f>
        <v>3.74</v>
      </c>
      <c r="T29" s="2"/>
      <c r="U29" s="3"/>
      <c r="V29" s="14"/>
      <c r="W29" s="5"/>
      <c r="X29"/>
      <c r="Y29"/>
      <c r="Z29"/>
      <c r="AA29"/>
      <c r="AB29"/>
      <c r="AC29"/>
      <c r="AD29"/>
      <c r="AE29"/>
      <c r="AF29"/>
      <c r="AG29"/>
      <c r="AH29"/>
      <c r="AI29"/>
      <c r="BE29" s="34"/>
      <c r="BI29" s="34">
        <v>44819</v>
      </c>
      <c r="BJ29" s="7">
        <v>2.86</v>
      </c>
    </row>
    <row r="30" spans="2:62" ht="18" customHeight="1" x14ac:dyDescent="0.15">
      <c r="B30" s="7" t="s">
        <v>43</v>
      </c>
      <c r="C30" s="7" t="s">
        <v>7</v>
      </c>
      <c r="D30" s="7" t="s">
        <v>41</v>
      </c>
      <c r="Q30" s="49" t="s">
        <v>45</v>
      </c>
      <c r="R30" s="50"/>
      <c r="S30" s="8">
        <f ca="1">_xll.IMDP($C30,$D30,IF($U$7=TODAY(),"수익률","대표수익률"),$U$7)</f>
        <v>4.83</v>
      </c>
      <c r="T30" s="4"/>
      <c r="U30" s="5"/>
      <c r="V30" s="15"/>
      <c r="W30" s="5"/>
      <c r="X30"/>
      <c r="Y30"/>
      <c r="Z30"/>
      <c r="AA30"/>
      <c r="AB30"/>
      <c r="AC30"/>
      <c r="AD30"/>
      <c r="AE30"/>
      <c r="AF30"/>
      <c r="AG30"/>
      <c r="AH30"/>
      <c r="AI30"/>
      <c r="BE30" s="34"/>
      <c r="BI30" s="34">
        <v>44811</v>
      </c>
      <c r="BJ30" s="7">
        <v>2.82</v>
      </c>
    </row>
    <row r="31" spans="2:62" ht="18" customHeight="1" x14ac:dyDescent="0.15">
      <c r="B31" s="7" t="s">
        <v>10</v>
      </c>
      <c r="C31" s="7" t="s">
        <v>11</v>
      </c>
      <c r="D31" s="7" t="s">
        <v>46</v>
      </c>
      <c r="Q31" s="47" t="s">
        <v>37</v>
      </c>
      <c r="R31" s="48"/>
      <c r="S31" s="16">
        <f ca="1">_xll.IMDP($C31,$D31,"현재가(일)",$U$7)</f>
        <v>3.97</v>
      </c>
      <c r="T31" s="17"/>
      <c r="U31" s="18"/>
      <c r="V31" s="19"/>
      <c r="W31" s="5"/>
      <c r="X31"/>
      <c r="Y31"/>
      <c r="Z31"/>
      <c r="AA31"/>
      <c r="AB31"/>
      <c r="AC31"/>
      <c r="AD31"/>
      <c r="AE31"/>
      <c r="AF31"/>
      <c r="AG31"/>
      <c r="AH31"/>
      <c r="AI31"/>
      <c r="BE31" s="34"/>
      <c r="BI31" s="34">
        <v>44804</v>
      </c>
      <c r="BJ31" s="7">
        <v>2.69</v>
      </c>
    </row>
    <row r="32" spans="2:62" ht="18" customHeight="1" x14ac:dyDescent="0.15">
      <c r="BE32" s="34"/>
      <c r="BI32" s="34">
        <v>44797</v>
      </c>
      <c r="BJ32" s="7">
        <v>2.76</v>
      </c>
    </row>
    <row r="33" spans="2:62" ht="18" customHeight="1" x14ac:dyDescent="0.15">
      <c r="BE33" s="34"/>
      <c r="BI33" s="34">
        <v>44791</v>
      </c>
      <c r="BJ33" s="7">
        <v>2.64</v>
      </c>
    </row>
    <row r="34" spans="2:62" x14ac:dyDescent="0.15">
      <c r="B34" s="7">
        <v>1</v>
      </c>
      <c r="C34" s="38" t="s">
        <v>194</v>
      </c>
      <c r="D34" s="38"/>
      <c r="E34" s="38"/>
      <c r="G34" s="38" t="s">
        <v>195</v>
      </c>
      <c r="H34" s="38"/>
      <c r="I34" s="38"/>
      <c r="BE34" s="34"/>
      <c r="BI34" s="34">
        <v>44783</v>
      </c>
      <c r="BJ34" s="7">
        <v>2.58</v>
      </c>
    </row>
    <row r="35" spans="2:62" x14ac:dyDescent="0.15">
      <c r="B35" s="7" t="s">
        <v>112</v>
      </c>
      <c r="C35" s="7">
        <v>1</v>
      </c>
      <c r="D35" s="7">
        <v>2</v>
      </c>
      <c r="E35" s="7">
        <v>1</v>
      </c>
      <c r="G35" s="7">
        <v>2</v>
      </c>
      <c r="H35" s="7">
        <v>6</v>
      </c>
      <c r="I35" s="7">
        <v>1</v>
      </c>
      <c r="BE35" s="34"/>
      <c r="BI35" s="34">
        <v>44776</v>
      </c>
      <c r="BJ35" s="7">
        <v>2.57</v>
      </c>
    </row>
    <row r="36" spans="2:62" x14ac:dyDescent="0.15">
      <c r="B36" s="7" t="s">
        <v>113</v>
      </c>
      <c r="C36" s="7" t="s">
        <v>183</v>
      </c>
      <c r="D36" s="7" t="s">
        <v>183</v>
      </c>
      <c r="E36" s="7" t="s">
        <v>184</v>
      </c>
      <c r="G36" s="7" t="s">
        <v>13</v>
      </c>
      <c r="H36" s="7" t="s">
        <v>13</v>
      </c>
      <c r="I36" s="7" t="s">
        <v>112</v>
      </c>
      <c r="K36" s="7" t="s">
        <v>194</v>
      </c>
      <c r="L36" s="7" t="s">
        <v>190</v>
      </c>
      <c r="M36" s="7" t="str">
        <f>IF($C$35&gt;12,S$4,S$5)</f>
        <v>3월이하(당일)</v>
      </c>
      <c r="N36" s="7" t="str">
        <f>IF($C$35&gt;12,T$4,T$5)</f>
        <v>6월이하(당일)</v>
      </c>
      <c r="O36" s="7" t="str">
        <f>IF($C$35&gt;12,U$4,U$5)</f>
        <v>9월이하(당일)</v>
      </c>
      <c r="P36" s="7" t="str">
        <f>IF($C$35&gt;12,V$4,V$5)</f>
        <v>1년이하(당일)</v>
      </c>
      <c r="BE36" s="34"/>
      <c r="BI36" s="34">
        <v>44769</v>
      </c>
      <c r="BJ36" s="7">
        <v>2.5499999999999998</v>
      </c>
    </row>
    <row r="37" spans="2:62" x14ac:dyDescent="0.15">
      <c r="B37" s="7" t="s">
        <v>114</v>
      </c>
      <c r="C37" s="7" t="s">
        <v>141</v>
      </c>
      <c r="D37" s="7" t="s">
        <v>141</v>
      </c>
      <c r="E37" s="7" t="s">
        <v>185</v>
      </c>
      <c r="G37" s="7" t="s">
        <v>141</v>
      </c>
      <c r="H37" s="7" t="s">
        <v>141</v>
      </c>
      <c r="I37" s="7" t="s">
        <v>113</v>
      </c>
      <c r="L37" s="7" t="s">
        <v>191</v>
      </c>
      <c r="M37" s="7" t="str">
        <f>IF($D$35&gt;12,S$4,S$5)</f>
        <v>3월이하(당일)</v>
      </c>
      <c r="N37" s="7" t="str">
        <f>IF($D$35&gt;12,T$4,T$5)</f>
        <v>6월이하(당일)</v>
      </c>
      <c r="O37" s="7" t="str">
        <f>IF($D$35&gt;12,U$4,U$5)</f>
        <v>9월이하(당일)</v>
      </c>
      <c r="P37" s="7" t="str">
        <f>IF($D$35&gt;12,V$4,V$5)</f>
        <v>1년이하(당일)</v>
      </c>
      <c r="BE37" s="34"/>
      <c r="BI37" s="34">
        <v>44762</v>
      </c>
      <c r="BJ37" s="7">
        <v>2.3199999999999998</v>
      </c>
    </row>
    <row r="38" spans="2:62" x14ac:dyDescent="0.15">
      <c r="B38" s="7" t="s">
        <v>115</v>
      </c>
      <c r="C38" s="7" t="s">
        <v>16</v>
      </c>
      <c r="D38" s="7" t="s">
        <v>16</v>
      </c>
      <c r="E38" s="7" t="s">
        <v>186</v>
      </c>
      <c r="G38" s="7" t="s">
        <v>16</v>
      </c>
      <c r="H38" s="7" t="s">
        <v>16</v>
      </c>
      <c r="I38" s="7" t="s">
        <v>48</v>
      </c>
      <c r="K38" s="7" t="s">
        <v>195</v>
      </c>
      <c r="L38" s="7" t="s">
        <v>190</v>
      </c>
      <c r="M38" s="7" t="str">
        <f>IF($G$35&gt;12,S$4,S$5)</f>
        <v>3월이하(당일)</v>
      </c>
      <c r="N38" s="7" t="str">
        <f>IF($G$35&gt;12,T$4,T$5)</f>
        <v>6월이하(당일)</v>
      </c>
      <c r="O38" s="7" t="str">
        <f>IF($G$35&gt;12,U$4,U$5)</f>
        <v>9월이하(당일)</v>
      </c>
      <c r="P38" s="7" t="str">
        <f>IF($G$35&gt;12,V$4,V$5)</f>
        <v>1년이하(당일)</v>
      </c>
      <c r="BE38" s="34"/>
      <c r="BI38" s="34">
        <v>44755</v>
      </c>
      <c r="BJ38" s="7">
        <v>2.06</v>
      </c>
    </row>
    <row r="39" spans="2:62" x14ac:dyDescent="0.15">
      <c r="B39" s="7" t="s">
        <v>116</v>
      </c>
      <c r="C39" s="7" t="s">
        <v>15</v>
      </c>
      <c r="D39" s="7" t="s">
        <v>15</v>
      </c>
      <c r="E39" s="7" t="s">
        <v>187</v>
      </c>
      <c r="G39" s="7" t="s">
        <v>15</v>
      </c>
      <c r="H39" s="7" t="s">
        <v>15</v>
      </c>
      <c r="I39" s="7" t="s">
        <v>49</v>
      </c>
      <c r="L39" s="7" t="s">
        <v>191</v>
      </c>
      <c r="M39" s="7" t="str">
        <f>IF($H$35&gt;12,S$4,S$5)</f>
        <v>3월이하(당일)</v>
      </c>
      <c r="N39" s="7" t="str">
        <f>IF($H$35&gt;12,T$4,T$5)</f>
        <v>6월이하(당일)</v>
      </c>
      <c r="O39" s="7" t="str">
        <f>IF($H$35&gt;12,U$4,U$5)</f>
        <v>9월이하(당일)</v>
      </c>
      <c r="P39" s="7" t="str">
        <f>IF($H$35&gt;12,V$4,V$5)</f>
        <v>1년이하(당일)</v>
      </c>
      <c r="BE39" s="34"/>
      <c r="BI39" s="34">
        <v>44748</v>
      </c>
      <c r="BJ39" s="7">
        <v>2.16</v>
      </c>
    </row>
    <row r="40" spans="2:62" x14ac:dyDescent="0.15">
      <c r="B40" s="7" t="s">
        <v>117</v>
      </c>
      <c r="C40" s="7" t="s">
        <v>18</v>
      </c>
      <c r="D40" s="7" t="s">
        <v>18</v>
      </c>
      <c r="E40" s="7" t="s">
        <v>188</v>
      </c>
      <c r="G40" s="7" t="s">
        <v>18</v>
      </c>
      <c r="H40" s="7" t="s">
        <v>18</v>
      </c>
      <c r="I40" s="7" t="s">
        <v>79</v>
      </c>
      <c r="K40" s="7" t="s">
        <v>196</v>
      </c>
      <c r="L40" s="7" t="s">
        <v>190</v>
      </c>
      <c r="M40" s="7" t="str">
        <f>IF($C$57&gt;12,S$4,S$5)</f>
        <v>3월이하(당일)</v>
      </c>
      <c r="N40" s="7" t="str">
        <f>IF($C$57&gt;12,T$4,T$5)</f>
        <v>6월이하(당일)</v>
      </c>
      <c r="O40" s="7" t="str">
        <f>IF($C$57&gt;12,U$4,U$5)</f>
        <v>9월이하(당일)</v>
      </c>
      <c r="P40" s="7" t="str">
        <f>IF($C$57&gt;12,V$4,V$5)</f>
        <v>1년이하(당일)</v>
      </c>
      <c r="BE40" s="34"/>
      <c r="BI40" s="34">
        <v>44741</v>
      </c>
      <c r="BJ40" s="7">
        <v>2.0099999999999998</v>
      </c>
    </row>
    <row r="41" spans="2:62" x14ac:dyDescent="0.15">
      <c r="C41" s="7" t="s">
        <v>20</v>
      </c>
      <c r="D41" s="7" t="s">
        <v>20</v>
      </c>
      <c r="E41" s="7" t="s">
        <v>189</v>
      </c>
      <c r="G41" s="7" t="s">
        <v>20</v>
      </c>
      <c r="H41" s="7" t="s">
        <v>20</v>
      </c>
      <c r="I41" s="7" t="s">
        <v>50</v>
      </c>
      <c r="L41" s="7" t="s">
        <v>191</v>
      </c>
      <c r="M41" s="7" t="str">
        <f>IF($D$57&gt;12,S$4,S$5)</f>
        <v>3월이하(당일)</v>
      </c>
      <c r="N41" s="7" t="str">
        <f>IF($D$57&gt;12,T$4,T$5)</f>
        <v>6월이하(당일)</v>
      </c>
      <c r="O41" s="7" t="str">
        <f>IF($D$57&gt;12,U$4,U$5)</f>
        <v>9월이하(당일)</v>
      </c>
      <c r="P41" s="7" t="str">
        <f>IF($D$57&gt;12,V$4,V$5)</f>
        <v>1년이하(당일)</v>
      </c>
      <c r="BE41" s="34"/>
      <c r="BI41" s="34">
        <v>44734</v>
      </c>
      <c r="BJ41" s="7">
        <v>1.98</v>
      </c>
    </row>
    <row r="42" spans="2:62" x14ac:dyDescent="0.15">
      <c r="C42" s="7" t="s">
        <v>22</v>
      </c>
      <c r="D42" s="7" t="s">
        <v>22</v>
      </c>
      <c r="G42" s="7" t="s">
        <v>22</v>
      </c>
      <c r="H42" s="7" t="s">
        <v>22</v>
      </c>
      <c r="K42" s="7" t="s">
        <v>197</v>
      </c>
      <c r="L42" s="7" t="s">
        <v>190</v>
      </c>
      <c r="M42" s="7" t="str">
        <f>IF($G$57&gt;12,S$4,S$5)</f>
        <v>3월이하(당일)</v>
      </c>
      <c r="N42" s="7" t="str">
        <f>IF($G$57&gt;12,T$4,T$5)</f>
        <v>6월이하(당일)</v>
      </c>
      <c r="O42" s="7" t="str">
        <f>IF($G$57&gt;12,U$4,U$5)</f>
        <v>9월이하(당일)</v>
      </c>
      <c r="P42" s="7" t="str">
        <f>IF($G$57&gt;12,V$4,V$5)</f>
        <v>1년이하(당일)</v>
      </c>
      <c r="BI42" s="34">
        <v>44727</v>
      </c>
      <c r="BJ42" s="7">
        <v>1.99</v>
      </c>
    </row>
    <row r="43" spans="2:62" x14ac:dyDescent="0.15">
      <c r="C43" s="7" t="s">
        <v>24</v>
      </c>
      <c r="D43" s="7" t="s">
        <v>24</v>
      </c>
      <c r="G43" s="7" t="s">
        <v>24</v>
      </c>
      <c r="H43" s="7" t="s">
        <v>24</v>
      </c>
      <c r="L43" s="7" t="s">
        <v>191</v>
      </c>
      <c r="M43" s="7" t="str">
        <f>IF($H$57&gt;12,S$4,S$5)</f>
        <v>3월이하(당일)</v>
      </c>
      <c r="N43" s="7" t="str">
        <f>IF($H$57&gt;12,T$4,T$5)</f>
        <v>6월이하(당일)</v>
      </c>
      <c r="O43" s="7" t="str">
        <f>IF($H$57&gt;12,U$4,U$5)</f>
        <v>9월이하(당일)</v>
      </c>
      <c r="P43" s="7" t="str">
        <f>IF($H$57&gt;12,V$4,V$5)</f>
        <v>1년이하(당일)</v>
      </c>
      <c r="BI43" s="34">
        <v>44721</v>
      </c>
      <c r="BJ43" s="7">
        <v>1.97</v>
      </c>
    </row>
    <row r="44" spans="2:62" x14ac:dyDescent="0.15">
      <c r="C44" s="7" t="s">
        <v>30</v>
      </c>
      <c r="D44" s="7" t="s">
        <v>30</v>
      </c>
      <c r="G44" s="7" t="s">
        <v>30</v>
      </c>
      <c r="H44" s="7" t="s">
        <v>30</v>
      </c>
      <c r="BI44" s="34">
        <v>44714</v>
      </c>
      <c r="BJ44" s="7">
        <v>1.82</v>
      </c>
    </row>
    <row r="45" spans="2:62" x14ac:dyDescent="0.15">
      <c r="C45" s="7" t="s">
        <v>32</v>
      </c>
      <c r="D45" s="7" t="s">
        <v>32</v>
      </c>
      <c r="G45" s="7" t="s">
        <v>32</v>
      </c>
      <c r="H45" s="7" t="s">
        <v>32</v>
      </c>
      <c r="BI45" s="34">
        <v>44706</v>
      </c>
      <c r="BJ45" s="7">
        <v>1.8</v>
      </c>
    </row>
    <row r="46" spans="2:62" x14ac:dyDescent="0.15">
      <c r="C46" s="7" t="s">
        <v>34</v>
      </c>
      <c r="D46" s="7" t="s">
        <v>34</v>
      </c>
      <c r="G46" s="7" t="s">
        <v>34</v>
      </c>
      <c r="H46" s="7" t="s">
        <v>34</v>
      </c>
      <c r="BI46" s="34">
        <v>44699</v>
      </c>
      <c r="BJ46" s="7">
        <v>1.81</v>
      </c>
    </row>
    <row r="47" spans="2:62" x14ac:dyDescent="0.15">
      <c r="C47" s="7" t="s">
        <v>36</v>
      </c>
      <c r="D47" s="7" t="s">
        <v>36</v>
      </c>
      <c r="G47" s="7" t="s">
        <v>36</v>
      </c>
      <c r="H47" s="7" t="s">
        <v>36</v>
      </c>
      <c r="BI47" s="34">
        <v>44692</v>
      </c>
      <c r="BJ47" s="7">
        <v>1.7</v>
      </c>
    </row>
    <row r="48" spans="2:62" x14ac:dyDescent="0.15">
      <c r="C48" s="7" t="s">
        <v>175</v>
      </c>
      <c r="D48" s="7" t="s">
        <v>175</v>
      </c>
      <c r="G48" s="7" t="s">
        <v>175</v>
      </c>
      <c r="H48" s="7" t="s">
        <v>175</v>
      </c>
      <c r="BI48" s="34">
        <v>44685</v>
      </c>
      <c r="BJ48" s="7">
        <v>1.69</v>
      </c>
    </row>
    <row r="49" spans="3:62" x14ac:dyDescent="0.15">
      <c r="C49" s="7" t="s">
        <v>176</v>
      </c>
      <c r="D49" s="7" t="s">
        <v>176</v>
      </c>
      <c r="G49" s="7" t="s">
        <v>176</v>
      </c>
      <c r="H49" s="7" t="s">
        <v>176</v>
      </c>
      <c r="BI49" s="34">
        <v>44678</v>
      </c>
      <c r="BJ49" s="7">
        <v>1.7</v>
      </c>
    </row>
    <row r="50" spans="3:62" x14ac:dyDescent="0.15">
      <c r="C50" s="7" t="s">
        <v>177</v>
      </c>
      <c r="D50" s="7" t="s">
        <v>177</v>
      </c>
      <c r="G50" s="7" t="s">
        <v>177</v>
      </c>
      <c r="H50" s="7" t="s">
        <v>177</v>
      </c>
      <c r="BI50" s="34">
        <v>44671</v>
      </c>
      <c r="BJ50" s="7">
        <v>1.54</v>
      </c>
    </row>
    <row r="51" spans="3:62" x14ac:dyDescent="0.15">
      <c r="C51" s="7" t="s">
        <v>178</v>
      </c>
      <c r="D51" s="7" t="s">
        <v>178</v>
      </c>
      <c r="G51" s="7" t="s">
        <v>178</v>
      </c>
      <c r="H51" s="7" t="s">
        <v>178</v>
      </c>
      <c r="BI51" s="34">
        <v>44664</v>
      </c>
      <c r="BJ51" s="7">
        <v>1.55</v>
      </c>
    </row>
    <row r="52" spans="3:62" x14ac:dyDescent="0.15">
      <c r="C52" s="7" t="s">
        <v>179</v>
      </c>
      <c r="D52" s="7" t="s">
        <v>179</v>
      </c>
      <c r="G52" s="7" t="s">
        <v>179</v>
      </c>
      <c r="H52" s="7" t="s">
        <v>179</v>
      </c>
      <c r="BI52" s="34">
        <v>44657</v>
      </c>
      <c r="BJ52" s="7">
        <v>1.52</v>
      </c>
    </row>
    <row r="53" spans="3:62" x14ac:dyDescent="0.15">
      <c r="C53" s="7" t="s">
        <v>180</v>
      </c>
      <c r="D53" s="7" t="s">
        <v>180</v>
      </c>
      <c r="G53" s="7" t="s">
        <v>180</v>
      </c>
      <c r="H53" s="7" t="s">
        <v>180</v>
      </c>
      <c r="BI53" s="34">
        <v>44650</v>
      </c>
      <c r="BJ53" s="7">
        <v>1.54</v>
      </c>
    </row>
    <row r="54" spans="3:62" x14ac:dyDescent="0.15">
      <c r="C54" s="7" t="s">
        <v>181</v>
      </c>
      <c r="D54" s="7" t="s">
        <v>181</v>
      </c>
      <c r="G54" s="7" t="s">
        <v>181</v>
      </c>
      <c r="H54" s="7" t="s">
        <v>181</v>
      </c>
      <c r="BI54" s="34">
        <v>44643</v>
      </c>
      <c r="BJ54" s="7">
        <v>1.61</v>
      </c>
    </row>
    <row r="55" spans="3:62" x14ac:dyDescent="0.15">
      <c r="C55" s="7" t="s">
        <v>182</v>
      </c>
      <c r="D55" s="7" t="s">
        <v>182</v>
      </c>
      <c r="G55" s="7" t="s">
        <v>182</v>
      </c>
      <c r="H55" s="7" t="s">
        <v>182</v>
      </c>
      <c r="BI55" s="34">
        <v>44636</v>
      </c>
      <c r="BJ55" s="7">
        <v>1.57</v>
      </c>
    </row>
    <row r="56" spans="3:62" x14ac:dyDescent="0.15">
      <c r="C56" s="38" t="s">
        <v>196</v>
      </c>
      <c r="D56" s="38"/>
      <c r="E56" s="38"/>
      <c r="G56" s="38" t="s">
        <v>197</v>
      </c>
      <c r="H56" s="38"/>
      <c r="I56" s="38"/>
      <c r="BI56" s="34">
        <v>44630</v>
      </c>
      <c r="BJ56" s="7">
        <v>1.57</v>
      </c>
    </row>
    <row r="57" spans="3:62" x14ac:dyDescent="0.15">
      <c r="C57" s="7">
        <v>1</v>
      </c>
      <c r="D57" s="7">
        <v>12</v>
      </c>
      <c r="E57" s="7">
        <v>1</v>
      </c>
      <c r="G57" s="7">
        <v>6</v>
      </c>
      <c r="H57" s="7">
        <v>8</v>
      </c>
      <c r="I57" s="7">
        <v>1</v>
      </c>
      <c r="BI57" s="34">
        <v>44623</v>
      </c>
      <c r="BJ57" s="7">
        <v>1.54</v>
      </c>
    </row>
    <row r="58" spans="3:62" x14ac:dyDescent="0.15">
      <c r="C58" s="7" t="s">
        <v>13</v>
      </c>
      <c r="D58" s="7" t="s">
        <v>13</v>
      </c>
      <c r="E58" s="7" t="s">
        <v>112</v>
      </c>
      <c r="G58" s="7" t="s">
        <v>13</v>
      </c>
      <c r="H58" s="7" t="s">
        <v>13</v>
      </c>
      <c r="I58" s="7" t="s">
        <v>112</v>
      </c>
      <c r="BI58" s="34">
        <v>44615</v>
      </c>
      <c r="BJ58" s="7">
        <v>1.55</v>
      </c>
    </row>
    <row r="59" spans="3:62" x14ac:dyDescent="0.15">
      <c r="C59" s="7" t="s">
        <v>141</v>
      </c>
      <c r="D59" s="7" t="s">
        <v>141</v>
      </c>
      <c r="E59" s="7" t="s">
        <v>113</v>
      </c>
      <c r="G59" s="7" t="s">
        <v>141</v>
      </c>
      <c r="H59" s="7" t="s">
        <v>141</v>
      </c>
      <c r="I59" s="7" t="s">
        <v>113</v>
      </c>
      <c r="BI59" s="34">
        <v>44608</v>
      </c>
      <c r="BJ59" s="7">
        <v>1.62</v>
      </c>
    </row>
    <row r="60" spans="3:62" x14ac:dyDescent="0.15">
      <c r="C60" s="7" t="s">
        <v>16</v>
      </c>
      <c r="D60" s="7" t="s">
        <v>16</v>
      </c>
      <c r="E60" s="7" t="s">
        <v>48</v>
      </c>
      <c r="G60" s="7" t="s">
        <v>16</v>
      </c>
      <c r="H60" s="7" t="s">
        <v>16</v>
      </c>
      <c r="I60" s="7" t="s">
        <v>48</v>
      </c>
      <c r="BI60" s="34">
        <v>44601</v>
      </c>
      <c r="BJ60" s="7">
        <v>1.52</v>
      </c>
    </row>
    <row r="61" spans="3:62" x14ac:dyDescent="0.15">
      <c r="C61" s="7" t="s">
        <v>15</v>
      </c>
      <c r="D61" s="7" t="s">
        <v>15</v>
      </c>
      <c r="E61" s="7" t="s">
        <v>49</v>
      </c>
      <c r="G61" s="7" t="s">
        <v>15</v>
      </c>
      <c r="H61" s="7" t="s">
        <v>15</v>
      </c>
      <c r="I61" s="7" t="s">
        <v>49</v>
      </c>
      <c r="BI61" s="34">
        <v>44587</v>
      </c>
      <c r="BJ61" s="7">
        <v>1.56</v>
      </c>
    </row>
    <row r="62" spans="3:62" x14ac:dyDescent="0.15">
      <c r="C62" s="7" t="s">
        <v>18</v>
      </c>
      <c r="D62" s="7" t="s">
        <v>18</v>
      </c>
      <c r="E62" s="7" t="s">
        <v>79</v>
      </c>
      <c r="G62" s="7" t="s">
        <v>18</v>
      </c>
      <c r="H62" s="7" t="s">
        <v>18</v>
      </c>
      <c r="I62" s="7" t="s">
        <v>79</v>
      </c>
      <c r="BI62" s="34">
        <v>44580</v>
      </c>
      <c r="BJ62" s="7">
        <v>1.4</v>
      </c>
    </row>
    <row r="63" spans="3:62" x14ac:dyDescent="0.15">
      <c r="C63" s="7" t="s">
        <v>20</v>
      </c>
      <c r="D63" s="7" t="s">
        <v>20</v>
      </c>
      <c r="E63" s="7" t="s">
        <v>50</v>
      </c>
      <c r="G63" s="7" t="s">
        <v>20</v>
      </c>
      <c r="H63" s="7" t="s">
        <v>20</v>
      </c>
      <c r="I63" s="7" t="s">
        <v>50</v>
      </c>
      <c r="BI63" s="34"/>
    </row>
    <row r="64" spans="3:62" x14ac:dyDescent="0.15">
      <c r="C64" s="7" t="s">
        <v>22</v>
      </c>
      <c r="D64" s="7" t="s">
        <v>22</v>
      </c>
      <c r="G64" s="7" t="s">
        <v>22</v>
      </c>
      <c r="H64" s="7" t="s">
        <v>22</v>
      </c>
      <c r="BI64" s="34"/>
    </row>
    <row r="65" spans="3:61" x14ac:dyDescent="0.15">
      <c r="C65" s="7" t="s">
        <v>24</v>
      </c>
      <c r="D65" s="7" t="s">
        <v>24</v>
      </c>
      <c r="G65" s="7" t="s">
        <v>24</v>
      </c>
      <c r="H65" s="7" t="s">
        <v>24</v>
      </c>
      <c r="BI65" s="34"/>
    </row>
    <row r="66" spans="3:61" x14ac:dyDescent="0.15">
      <c r="C66" s="7" t="s">
        <v>30</v>
      </c>
      <c r="D66" s="7" t="s">
        <v>30</v>
      </c>
      <c r="G66" s="7" t="s">
        <v>30</v>
      </c>
      <c r="H66" s="7" t="s">
        <v>30</v>
      </c>
      <c r="BI66" s="34"/>
    </row>
    <row r="67" spans="3:61" x14ac:dyDescent="0.15">
      <c r="C67" s="7" t="s">
        <v>32</v>
      </c>
      <c r="D67" s="7" t="s">
        <v>32</v>
      </c>
      <c r="G67" s="7" t="s">
        <v>32</v>
      </c>
      <c r="H67" s="7" t="s">
        <v>32</v>
      </c>
      <c r="BI67" s="34"/>
    </row>
    <row r="68" spans="3:61" x14ac:dyDescent="0.15">
      <c r="C68" s="7" t="s">
        <v>34</v>
      </c>
      <c r="D68" s="7" t="s">
        <v>34</v>
      </c>
      <c r="G68" s="7" t="s">
        <v>34</v>
      </c>
      <c r="H68" s="7" t="s">
        <v>34</v>
      </c>
      <c r="BI68" s="34"/>
    </row>
    <row r="69" spans="3:61" x14ac:dyDescent="0.15">
      <c r="C69" s="7" t="s">
        <v>36</v>
      </c>
      <c r="D69" s="7" t="s">
        <v>36</v>
      </c>
      <c r="G69" s="7" t="s">
        <v>36</v>
      </c>
      <c r="H69" s="7" t="s">
        <v>36</v>
      </c>
      <c r="BI69" s="34"/>
    </row>
    <row r="70" spans="3:61" x14ac:dyDescent="0.15">
      <c r="C70" s="7" t="s">
        <v>175</v>
      </c>
      <c r="D70" s="7" t="s">
        <v>175</v>
      </c>
      <c r="G70" s="7" t="s">
        <v>175</v>
      </c>
      <c r="H70" s="7" t="s">
        <v>175</v>
      </c>
      <c r="BI70" s="34"/>
    </row>
    <row r="71" spans="3:61" x14ac:dyDescent="0.15">
      <c r="C71" s="7" t="s">
        <v>176</v>
      </c>
      <c r="D71" s="7" t="s">
        <v>176</v>
      </c>
      <c r="G71" s="7" t="s">
        <v>176</v>
      </c>
      <c r="H71" s="7" t="s">
        <v>176</v>
      </c>
      <c r="BI71" s="34"/>
    </row>
    <row r="72" spans="3:61" x14ac:dyDescent="0.15">
      <c r="C72" s="7" t="s">
        <v>177</v>
      </c>
      <c r="D72" s="7" t="s">
        <v>177</v>
      </c>
      <c r="G72" s="7" t="s">
        <v>177</v>
      </c>
      <c r="H72" s="7" t="s">
        <v>177</v>
      </c>
      <c r="BI72" s="34"/>
    </row>
    <row r="73" spans="3:61" x14ac:dyDescent="0.15">
      <c r="C73" s="7" t="s">
        <v>178</v>
      </c>
      <c r="D73" s="7" t="s">
        <v>178</v>
      </c>
      <c r="G73" s="7" t="s">
        <v>178</v>
      </c>
      <c r="H73" s="7" t="s">
        <v>178</v>
      </c>
      <c r="BI73" s="34"/>
    </row>
    <row r="74" spans="3:61" x14ac:dyDescent="0.15">
      <c r="C74" s="7" t="s">
        <v>179</v>
      </c>
      <c r="D74" s="7" t="s">
        <v>179</v>
      </c>
      <c r="G74" s="7" t="s">
        <v>179</v>
      </c>
      <c r="H74" s="7" t="s">
        <v>179</v>
      </c>
      <c r="BI74" s="34"/>
    </row>
    <row r="75" spans="3:61" x14ac:dyDescent="0.15">
      <c r="C75" s="7" t="s">
        <v>180</v>
      </c>
      <c r="D75" s="7" t="s">
        <v>180</v>
      </c>
      <c r="G75" s="7" t="s">
        <v>180</v>
      </c>
      <c r="H75" s="7" t="s">
        <v>180</v>
      </c>
      <c r="BI75" s="34"/>
    </row>
    <row r="76" spans="3:61" x14ac:dyDescent="0.15">
      <c r="C76" s="7" t="s">
        <v>181</v>
      </c>
      <c r="D76" s="7" t="s">
        <v>181</v>
      </c>
      <c r="G76" s="7" t="s">
        <v>181</v>
      </c>
      <c r="H76" s="7" t="s">
        <v>181</v>
      </c>
      <c r="BI76" s="34"/>
    </row>
    <row r="77" spans="3:61" x14ac:dyDescent="0.15">
      <c r="C77" s="7" t="s">
        <v>182</v>
      </c>
      <c r="D77" s="7" t="s">
        <v>182</v>
      </c>
      <c r="G77" s="7" t="s">
        <v>182</v>
      </c>
      <c r="H77" s="7" t="s">
        <v>182</v>
      </c>
      <c r="BI77" s="34"/>
    </row>
    <row r="78" spans="3:61" x14ac:dyDescent="0.15">
      <c r="BI78" s="34"/>
    </row>
    <row r="79" spans="3:61" x14ac:dyDescent="0.15">
      <c r="BI79" s="34"/>
    </row>
    <row r="80" spans="3:61" x14ac:dyDescent="0.15">
      <c r="BI80" s="34"/>
    </row>
    <row r="81" spans="61:61" x14ac:dyDescent="0.15">
      <c r="BI81" s="34"/>
    </row>
    <row r="82" spans="61:61" x14ac:dyDescent="0.15">
      <c r="BI82" s="34"/>
    </row>
    <row r="83" spans="61:61" x14ac:dyDescent="0.15">
      <c r="BI83" s="34"/>
    </row>
    <row r="84" spans="61:61" x14ac:dyDescent="0.15">
      <c r="BI84" s="34"/>
    </row>
    <row r="85" spans="61:61" x14ac:dyDescent="0.15">
      <c r="BI85" s="34"/>
    </row>
    <row r="86" spans="61:61" x14ac:dyDescent="0.15">
      <c r="BI86" s="34"/>
    </row>
    <row r="87" spans="61:61" x14ac:dyDescent="0.15">
      <c r="BI87" s="34"/>
    </row>
    <row r="88" spans="61:61" x14ac:dyDescent="0.15">
      <c r="BI88" s="34"/>
    </row>
    <row r="89" spans="61:61" x14ac:dyDescent="0.15">
      <c r="BI89" s="34"/>
    </row>
    <row r="90" spans="61:61" x14ac:dyDescent="0.15">
      <c r="BI90" s="34"/>
    </row>
    <row r="91" spans="61:61" x14ac:dyDescent="0.15">
      <c r="BI91" s="34"/>
    </row>
    <row r="92" spans="61:61" x14ac:dyDescent="0.15">
      <c r="BI92" s="34"/>
    </row>
    <row r="93" spans="61:61" x14ac:dyDescent="0.15">
      <c r="BI93" s="34"/>
    </row>
    <row r="94" spans="61:61" x14ac:dyDescent="0.15">
      <c r="BI94" s="34"/>
    </row>
    <row r="95" spans="61:61" x14ac:dyDescent="0.15">
      <c r="BI95" s="34"/>
    </row>
    <row r="96" spans="61:61" x14ac:dyDescent="0.15">
      <c r="BI96" s="34"/>
    </row>
    <row r="97" spans="61:61" x14ac:dyDescent="0.15">
      <c r="BI97" s="34"/>
    </row>
    <row r="98" spans="61:61" x14ac:dyDescent="0.15">
      <c r="BI98" s="34"/>
    </row>
    <row r="99" spans="61:61" x14ac:dyDescent="0.15">
      <c r="BI99" s="34"/>
    </row>
    <row r="100" spans="61:61" x14ac:dyDescent="0.15">
      <c r="BI100" s="34"/>
    </row>
    <row r="101" spans="61:61" x14ac:dyDescent="0.15">
      <c r="BI101" s="34"/>
    </row>
    <row r="102" spans="61:61" x14ac:dyDescent="0.15">
      <c r="BI102" s="34"/>
    </row>
    <row r="103" spans="61:61" x14ac:dyDescent="0.15">
      <c r="BI103" s="34"/>
    </row>
    <row r="104" spans="61:61" x14ac:dyDescent="0.15">
      <c r="BI104" s="34"/>
    </row>
    <row r="105" spans="61:61" x14ac:dyDescent="0.15">
      <c r="BI105" s="34"/>
    </row>
    <row r="106" spans="61:61" x14ac:dyDescent="0.15">
      <c r="BI106" s="34"/>
    </row>
    <row r="107" spans="61:61" x14ac:dyDescent="0.15">
      <c r="BI107" s="34"/>
    </row>
    <row r="108" spans="61:61" x14ac:dyDescent="0.15">
      <c r="BI108" s="34"/>
    </row>
    <row r="109" spans="61:61" x14ac:dyDescent="0.15">
      <c r="BI109" s="34"/>
    </row>
    <row r="110" spans="61:61" x14ac:dyDescent="0.15">
      <c r="BI110" s="34"/>
    </row>
    <row r="111" spans="61:61" x14ac:dyDescent="0.15">
      <c r="BI111" s="34"/>
    </row>
  </sheetData>
  <mergeCells count="17">
    <mergeCell ref="C56:E56"/>
    <mergeCell ref="G56:I56"/>
    <mergeCell ref="Q31:R31"/>
    <mergeCell ref="Q30:R30"/>
    <mergeCell ref="Q29:R29"/>
    <mergeCell ref="U7:V7"/>
    <mergeCell ref="S7:T7"/>
    <mergeCell ref="Q2:AO2"/>
    <mergeCell ref="C34:E34"/>
    <mergeCell ref="G34:I34"/>
    <mergeCell ref="Q14:Q16"/>
    <mergeCell ref="Q8:R8"/>
    <mergeCell ref="Q21:Q24"/>
    <mergeCell ref="Q25:Q28"/>
    <mergeCell ref="Q9:R9"/>
    <mergeCell ref="Q10:Q13"/>
    <mergeCell ref="Q17:Q20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Drop Down 3">
              <controlPr defaultSize="0" autoLine="0" autoPict="0">
                <anchor moveWithCells="1">
                  <from>
                    <xdr:col>1</xdr:col>
                    <xdr:colOff>0</xdr:colOff>
                    <xdr:row>3</xdr:row>
                    <xdr:rowOff>0</xdr:rowOff>
                  </from>
                  <to>
                    <xdr:col>18</xdr:col>
                    <xdr:colOff>0</xdr:colOff>
                    <xdr:row>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Drop Down 4">
              <controlPr defaultSize="0" autoLine="0" autoPict="0">
                <anchor moveWithCells="1">
                  <from>
                    <xdr:col>24</xdr:col>
                    <xdr:colOff>47625</xdr:colOff>
                    <xdr:row>6</xdr:row>
                    <xdr:rowOff>9525</xdr:rowOff>
                  </from>
                  <to>
                    <xdr:col>26</xdr:col>
                    <xdr:colOff>0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Drop Down 5">
              <controlPr defaultSize="0" autoLine="0" autoPict="0">
                <anchor moveWithCells="1">
                  <from>
                    <xdr:col>26</xdr:col>
                    <xdr:colOff>47625</xdr:colOff>
                    <xdr:row>6</xdr:row>
                    <xdr:rowOff>9525</xdr:rowOff>
                  </from>
                  <to>
                    <xdr:col>28</xdr:col>
                    <xdr:colOff>9525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Drop Down 6">
              <controlPr defaultSize="0" autoLine="0" autoPict="0">
                <anchor moveWithCells="1">
                  <from>
                    <xdr:col>23</xdr:col>
                    <xdr:colOff>9525</xdr:colOff>
                    <xdr:row>6</xdr:row>
                    <xdr:rowOff>9525</xdr:rowOff>
                  </from>
                  <to>
                    <xdr:col>23</xdr:col>
                    <xdr:colOff>723900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Drop Down 7">
              <controlPr defaultSize="0" autoLine="0" autoPict="0">
                <anchor moveWithCells="1">
                  <from>
                    <xdr:col>23</xdr:col>
                    <xdr:colOff>0</xdr:colOff>
                    <xdr:row>18</xdr:row>
                    <xdr:rowOff>219075</xdr:rowOff>
                  </from>
                  <to>
                    <xdr:col>23</xdr:col>
                    <xdr:colOff>723900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Drop Down 8">
              <controlPr defaultSize="0" autoLine="0" autoPict="0">
                <anchor moveWithCells="1">
                  <from>
                    <xdr:col>24</xdr:col>
                    <xdr:colOff>47625</xdr:colOff>
                    <xdr:row>18</xdr:row>
                    <xdr:rowOff>219075</xdr:rowOff>
                  </from>
                  <to>
                    <xdr:col>25</xdr:col>
                    <xdr:colOff>590550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Drop Down 9">
              <controlPr defaultSize="0" autoLine="0" autoPict="0">
                <anchor moveWithCells="1">
                  <from>
                    <xdr:col>26</xdr:col>
                    <xdr:colOff>38100</xdr:colOff>
                    <xdr:row>18</xdr:row>
                    <xdr:rowOff>219075</xdr:rowOff>
                  </from>
                  <to>
                    <xdr:col>28</xdr:col>
                    <xdr:colOff>0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Drop Down 10">
              <controlPr defaultSize="0" autoLine="0" autoPict="0">
                <anchor moveWithCells="1">
                  <from>
                    <xdr:col>30</xdr:col>
                    <xdr:colOff>57150</xdr:colOff>
                    <xdr:row>6</xdr:row>
                    <xdr:rowOff>9525</xdr:rowOff>
                  </from>
                  <to>
                    <xdr:col>31</xdr:col>
                    <xdr:colOff>581025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Drop Down 11">
              <controlPr defaultSize="0" autoLine="0" autoPict="0">
                <anchor moveWithCells="1">
                  <from>
                    <xdr:col>32</xdr:col>
                    <xdr:colOff>19050</xdr:colOff>
                    <xdr:row>6</xdr:row>
                    <xdr:rowOff>9525</xdr:rowOff>
                  </from>
                  <to>
                    <xdr:col>34</xdr:col>
                    <xdr:colOff>0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Drop Down 12">
              <controlPr defaultSize="0" autoLine="0" autoPict="0">
                <anchor moveWithCells="1">
                  <from>
                    <xdr:col>29</xdr:col>
                    <xdr:colOff>9525</xdr:colOff>
                    <xdr:row>6</xdr:row>
                    <xdr:rowOff>9525</xdr:rowOff>
                  </from>
                  <to>
                    <xdr:col>30</xdr:col>
                    <xdr:colOff>0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Drop Down 13">
              <controlPr defaultSize="0" autoLine="0" autoPict="0">
                <anchor moveWithCells="1">
                  <from>
                    <xdr:col>29</xdr:col>
                    <xdr:colOff>9525</xdr:colOff>
                    <xdr:row>18</xdr:row>
                    <xdr:rowOff>219075</xdr:rowOff>
                  </from>
                  <to>
                    <xdr:col>29</xdr:col>
                    <xdr:colOff>714375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Drop Down 14">
              <controlPr defaultSize="0" autoLine="0" autoPict="0">
                <anchor moveWithCells="1">
                  <from>
                    <xdr:col>30</xdr:col>
                    <xdr:colOff>38100</xdr:colOff>
                    <xdr:row>18</xdr:row>
                    <xdr:rowOff>219075</xdr:rowOff>
                  </from>
                  <to>
                    <xdr:col>31</xdr:col>
                    <xdr:colOff>581025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Drop Down 15">
              <controlPr defaultSize="0" autoLine="0" autoPict="0">
                <anchor moveWithCells="1">
                  <from>
                    <xdr:col>32</xdr:col>
                    <xdr:colOff>19050</xdr:colOff>
                    <xdr:row>18</xdr:row>
                    <xdr:rowOff>219075</xdr:rowOff>
                  </from>
                  <to>
                    <xdr:col>34</xdr:col>
                    <xdr:colOff>0</xdr:colOff>
                    <xdr:row>19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1:CG10008"/>
  <sheetViews>
    <sheetView showGridLines="0" zoomScale="95" zoomScaleNormal="95" workbookViewId="0"/>
  </sheetViews>
  <sheetFormatPr defaultRowHeight="12" x14ac:dyDescent="0.15"/>
  <cols>
    <col min="1" max="1" width="2" style="7" customWidth="1"/>
    <col min="2" max="2" width="19.33203125" style="7" hidden="1" customWidth="1"/>
    <col min="3" max="3" width="6.33203125" style="7" hidden="1" customWidth="1"/>
    <col min="4" max="4" width="19.1640625" style="7" hidden="1" customWidth="1"/>
    <col min="5" max="6" width="6.33203125" style="7" hidden="1" customWidth="1"/>
    <col min="7" max="7" width="8.1640625" style="7" hidden="1" customWidth="1"/>
    <col min="8" max="8" width="7" style="7" hidden="1" customWidth="1"/>
    <col min="9" max="9" width="7.83203125" style="7" hidden="1" customWidth="1"/>
    <col min="10" max="10" width="8.1640625" style="7" hidden="1" customWidth="1"/>
    <col min="11" max="12" width="6.6640625" style="7" hidden="1" customWidth="1"/>
    <col min="13" max="13" width="20.33203125" style="7" hidden="1" customWidth="1"/>
    <col min="14" max="14" width="32.1640625" style="7" hidden="1" customWidth="1"/>
    <col min="15" max="15" width="20.33203125" style="7" hidden="1" customWidth="1"/>
    <col min="16" max="16" width="34.5" style="7" hidden="1" customWidth="1"/>
    <col min="17" max="17" width="20.33203125" style="7" hidden="1" customWidth="1"/>
    <col min="18" max="29" width="7.83203125" style="7" customWidth="1"/>
    <col min="30" max="30" width="3.33203125" style="7" customWidth="1"/>
    <col min="31" max="42" width="7.83203125" style="7" customWidth="1"/>
    <col min="43" max="69" width="9.33203125" style="7"/>
    <col min="70" max="70" width="11" style="7" customWidth="1"/>
    <col min="71" max="71" width="16.6640625" style="7" customWidth="1"/>
    <col min="72" max="72" width="11" style="7" customWidth="1"/>
    <col min="73" max="73" width="13.33203125" style="7" customWidth="1"/>
    <col min="74" max="74" width="16.83203125" style="7" customWidth="1"/>
    <col min="75" max="75" width="11.6640625" style="7" customWidth="1"/>
    <col min="76" max="76" width="9.33203125" style="7"/>
    <col min="77" max="77" width="12.6640625" style="7" customWidth="1"/>
    <col min="78" max="78" width="13.5" style="7" bestFit="1" customWidth="1"/>
    <col min="79" max="81" width="9.33203125" style="7"/>
    <col min="82" max="82" width="13.5" style="7" bestFit="1" customWidth="1"/>
    <col min="83" max="16384" width="9.33203125" style="7"/>
  </cols>
  <sheetData>
    <row r="1" spans="2:85" ht="9.9499999999999993" customHeight="1" x14ac:dyDescent="0.15"/>
    <row r="2" spans="2:85" ht="20.100000000000001" customHeight="1" x14ac:dyDescent="0.15">
      <c r="R2" s="51" t="s">
        <v>255</v>
      </c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2:85" ht="9.9499999999999993" customHeight="1" x14ac:dyDescent="0.15"/>
    <row r="4" spans="2:85" ht="16.5" customHeight="1" x14ac:dyDescent="0.15">
      <c r="R4" s="52" t="s">
        <v>251</v>
      </c>
      <c r="S4" s="53"/>
      <c r="T4" s="53"/>
      <c r="U4" s="53"/>
      <c r="V4" s="53"/>
      <c r="W4" s="54"/>
      <c r="X4" s="52" t="s">
        <v>252</v>
      </c>
      <c r="Y4" s="53"/>
      <c r="Z4" s="53"/>
      <c r="AA4" s="53"/>
      <c r="AB4" s="53"/>
      <c r="AC4" s="54"/>
      <c r="AE4" s="52" t="s">
        <v>251</v>
      </c>
      <c r="AF4" s="53"/>
      <c r="AG4" s="53"/>
      <c r="AH4" s="53"/>
      <c r="AI4" s="53"/>
      <c r="AJ4" s="54"/>
      <c r="AK4" s="52" t="s">
        <v>252</v>
      </c>
      <c r="AL4" s="53"/>
      <c r="AM4" s="53"/>
      <c r="AN4" s="53"/>
      <c r="AO4" s="53"/>
      <c r="AP4" s="54"/>
    </row>
    <row r="5" spans="2:85" ht="3" customHeight="1" x14ac:dyDescent="0.15">
      <c r="BS5" s="7" t="str">
        <f>$N$9</f>
        <v>3사평균 통안증권</v>
      </c>
      <c r="BT5" s="7" t="str">
        <f>$P$9</f>
        <v>3사평균 통안증권</v>
      </c>
      <c r="BW5" s="7" t="str">
        <f>$N$10</f>
        <v>3사평균 금융채 은행채 AA+</v>
      </c>
      <c r="BX5" s="7" t="str">
        <f>$P$10</f>
        <v>3사평균 금융채 은행채 AAA</v>
      </c>
      <c r="CA5" s="7" t="str">
        <f>$N$11</f>
        <v>3사평균 금융채 은행채 AA+</v>
      </c>
      <c r="CB5" s="7" t="str">
        <f>$P$11</f>
        <v>3사평균 회사채AA+(공모/무보증)</v>
      </c>
      <c r="CE5" s="7" t="str">
        <f>$N$12</f>
        <v>3사평균 금융채 카드채 AA</v>
      </c>
      <c r="CF5" s="7" t="str">
        <f>$P$12</f>
        <v>3사평균 회사채AA0(공모/무보증)</v>
      </c>
    </row>
    <row r="6" spans="2:85" ht="18" customHeight="1" x14ac:dyDescent="0.15">
      <c r="BR6" s="7" t="s">
        <v>44</v>
      </c>
      <c r="BS6" s="7">
        <f ca="1">TODAY()-365</f>
        <v>44579</v>
      </c>
      <c r="BT6" s="7" t="s">
        <v>45</v>
      </c>
      <c r="BW6" s="7">
        <v>100</v>
      </c>
    </row>
    <row r="7" spans="2:85" ht="6" customHeight="1" x14ac:dyDescent="0.15">
      <c r="G7" s="7">
        <v>1</v>
      </c>
      <c r="H7" s="7">
        <v>2</v>
      </c>
      <c r="I7" s="7">
        <v>3</v>
      </c>
      <c r="J7" s="7">
        <v>4</v>
      </c>
      <c r="K7" s="7">
        <v>5</v>
      </c>
      <c r="L7" s="7">
        <v>6</v>
      </c>
      <c r="BR7" s="7" t="s">
        <v>198</v>
      </c>
      <c r="BS7" s="7">
        <f ca="1">BU7-365</f>
        <v>44579</v>
      </c>
      <c r="BT7" s="7" t="s">
        <v>199</v>
      </c>
      <c r="BU7" s="7">
        <f ca="1">TODAY()</f>
        <v>44944</v>
      </c>
      <c r="BV7" s="7" t="s">
        <v>200</v>
      </c>
      <c r="BW7" s="7">
        <v>9999</v>
      </c>
      <c r="BX7" s="7" t="s">
        <v>201</v>
      </c>
      <c r="BY7" s="7" t="s">
        <v>202</v>
      </c>
      <c r="BZ7" s="7" t="s">
        <v>203</v>
      </c>
      <c r="CA7" s="7" t="s">
        <v>204</v>
      </c>
      <c r="CB7" s="7" t="s">
        <v>205</v>
      </c>
      <c r="CC7" s="7">
        <v>0</v>
      </c>
      <c r="CD7" s="7" t="s">
        <v>206</v>
      </c>
      <c r="CE7" s="7" t="s">
        <v>207</v>
      </c>
    </row>
    <row r="8" spans="2:85" x14ac:dyDescent="0.15">
      <c r="B8" s="7" t="s">
        <v>4</v>
      </c>
      <c r="C8" s="7" t="s">
        <v>5</v>
      </c>
      <c r="D8" s="7" t="s">
        <v>12</v>
      </c>
      <c r="E8" s="7" t="s">
        <v>80</v>
      </c>
      <c r="F8" s="7" t="s">
        <v>111</v>
      </c>
      <c r="G8" s="7" t="s">
        <v>239</v>
      </c>
      <c r="H8" s="7" t="s">
        <v>240</v>
      </c>
      <c r="I8" s="7" t="s">
        <v>48</v>
      </c>
      <c r="J8" s="7" t="s">
        <v>49</v>
      </c>
      <c r="K8" s="7" t="s">
        <v>79</v>
      </c>
      <c r="L8" s="7" t="s">
        <v>50</v>
      </c>
      <c r="M8" s="7" t="s">
        <v>171</v>
      </c>
      <c r="N8" s="7" t="s">
        <v>225</v>
      </c>
      <c r="O8" s="7" t="s">
        <v>172</v>
      </c>
      <c r="P8" s="7" t="s">
        <v>226</v>
      </c>
      <c r="Q8" s="7" t="s">
        <v>173</v>
      </c>
      <c r="BR8" s="7" t="str">
        <f ca="1">_xll.IMDH("IR",$O$9,BR9:BS9,$BS$7,$BU$7,$BW$7,"Per="&amp;$BY$7&amp;",sort="&amp;$CA$7&amp;",real=true,Bizday="&amp;$CC$7&amp;",Quote="&amp;$CE$7&amp;",Pos=20,Orient=V,Title="&amp;N9&amp;",DtFmt=1,TmFmt=1,unit=true")</f>
        <v>3사평균 통안증권</v>
      </c>
      <c r="BT8" s="7" t="str">
        <f ca="1">_xll.IMDH("IR",$Q$9,BT9,$BS$7,$BU$7,$BW$7,"Per="&amp;$BY$7&amp;",sort="&amp;$CA$7&amp;",real=true,Bizday="&amp;$CC$7&amp;",Quote="&amp;$CE$7&amp;",Pos=20,Orient=V,Title="&amp;$P$9&amp;",DtFmt=1,TmFmt=1,unit=true")</f>
        <v>3사평균 통안증권</v>
      </c>
      <c r="BV8" s="7" t="str">
        <f ca="1">_xll.IMDH("IR",$O$10,BV9:BW9,$BS$7,$BU$7,$BW$7,"Per="&amp;$BY$7&amp;",sort="&amp;$CA$7&amp;",real=true,Bizday="&amp;$CC$7&amp;",Quote="&amp;$CE$7&amp;",Pos=20,Orient=V,Title="&amp;$N$10&amp;",DtFmt=1,TmFmt=1,unit=true")</f>
        <v>3사평균 금융채 은행채 AA+</v>
      </c>
      <c r="BX8" s="7" t="str">
        <f ca="1">_xll.IMDH("IR",$Q$10,BX9,$BS$7,$BU$7,$BW$7,"Per="&amp;$BY$7&amp;",sort="&amp;$CA$7&amp;",real=true,Bizday="&amp;$CC$7&amp;",Quote="&amp;$CE$7&amp;",Pos=20,Orient=V,Title="&amp;$P$10&amp;",DtFmt=1,TmFmt=1,unit=true")</f>
        <v>3사평균 금융채 은행채 AAA</v>
      </c>
      <c r="BZ8" s="7" t="str">
        <f ca="1">_xll.IMDH("IR",$O$11,BZ9:CA9,$BS$7,$BU$7,$BW$7,"Per="&amp;$BY$7&amp;",sort="&amp;$CA$7&amp;",real=true,Bizday="&amp;$CC$7&amp;",Quote="&amp;$CE$7&amp;",Pos=20,Orient=V,Title="&amp;$N$11&amp;",DtFmt=1,TmFmt=1,unit=true")</f>
        <v>3사평균 금융채 은행채 AA+</v>
      </c>
      <c r="CB8" s="7" t="str">
        <f ca="1">_xll.IMDH("IR",$Q$11,CB9,$BS$7,$BU$7,$BW$7,"Per="&amp;$BY$7&amp;",sort="&amp;$CA$7&amp;",real=true,Bizday="&amp;$CC$7&amp;",Quote="&amp;$CE$7&amp;",Pos=20,Orient=V,Title="&amp;$P$11&amp;",DtFmt=1,TmFmt=1,unit=true")</f>
        <v>3사평균 회사채AA+(공모/무보증)</v>
      </c>
      <c r="CD8" s="7" t="str">
        <f ca="1">_xll.IMDH("IR",$O$12,CD9:CE9,$BS$7,$BU$7,$BW$7,"Per="&amp;$BY$7&amp;",sort="&amp;$CA$7&amp;",real=true,Bizday="&amp;$CC$7&amp;",Quote="&amp;$CE$7&amp;",Pos=20,Orient=V,Title="&amp;$N$12&amp;",DtFmt=1,TmFmt=1,unit=true")</f>
        <v>3사평균 금융채 카드채 AA</v>
      </c>
      <c r="CF8" s="7" t="str">
        <f ca="1">_xll.IMDH("IR",$Q$12,CF9,$BS$7,$BU$7,$BW$7,"Per="&amp;$BY$7&amp;",sort="&amp;$CA$7&amp;",real=true,Bizday="&amp;$CC$7&amp;",Quote="&amp;$CE$7&amp;",Pos=20,Orient=V,Title="&amp;$P$12&amp;",DtFmt=1,TmFmt=1,unit=true")</f>
        <v>3사평균 회사채AA0(공모/무보증)</v>
      </c>
    </row>
    <row r="9" spans="2:85" x14ac:dyDescent="0.15">
      <c r="B9" s="7" t="s">
        <v>227</v>
      </c>
      <c r="C9" s="7" t="s">
        <v>7</v>
      </c>
      <c r="D9" s="7" t="s">
        <v>81</v>
      </c>
      <c r="E9" s="7" t="s">
        <v>61</v>
      </c>
      <c r="F9" s="7" t="s">
        <v>73</v>
      </c>
      <c r="G9" s="7" t="str">
        <f>"AVG"&amp;$E9</f>
        <v>AVG14</v>
      </c>
      <c r="H9" s="7" t="str">
        <f>"AV4"&amp;$E9</f>
        <v>AV414</v>
      </c>
      <c r="I9" s="7" t="s">
        <v>118</v>
      </c>
      <c r="J9" s="7" t="s">
        <v>133</v>
      </c>
      <c r="K9" s="7" t="s">
        <v>146</v>
      </c>
      <c r="L9" s="7" t="s">
        <v>159</v>
      </c>
      <c r="M9" s="7" t="str">
        <f>$D9&amp;INDEX($G$9:$L$28,$F9,$B$35)</f>
        <v>BONDAVG14</v>
      </c>
      <c r="N9" s="7" t="str">
        <f>INDEX($G$8:$L$8,1,G37)&amp;" "&amp;INDEX($B$9:$B$28,$H$37,1)</f>
        <v>3사평균 통안증권</v>
      </c>
      <c r="O9" s="7" t="str">
        <f>INDEX($D$9:$D$28,$H$37,1)&amp;INDEX($G$9:$L$28,$H$37,$G$37)</f>
        <v>BONDAVG14</v>
      </c>
      <c r="P9" s="7" t="str">
        <f>INDEX($G$8:$L$8,1,J37)&amp;" "&amp;INDEX($B$9:$B$28,$K$37,1)</f>
        <v>3사평균 통안증권</v>
      </c>
      <c r="Q9" s="7" t="str">
        <f>INDEX($D$9:$D$28,$K$37,1)&amp;INDEX($G$9:$L$28,$K$37,$J$37)</f>
        <v>BONDAVG14</v>
      </c>
      <c r="BR9" s="7" t="s">
        <v>208</v>
      </c>
      <c r="BS9" s="7" t="str">
        <f>$L$42</f>
        <v>3월이하(당일)</v>
      </c>
      <c r="BT9" s="7" t="str">
        <f>$L$43</f>
        <v>1년이하(당일)</v>
      </c>
      <c r="BU9" s="7" t="s">
        <v>250</v>
      </c>
      <c r="BV9" s="7" t="s">
        <v>208</v>
      </c>
      <c r="BW9" s="7" t="str">
        <f>$L$44</f>
        <v>3월이하(당일)</v>
      </c>
      <c r="BX9" s="7" t="str">
        <f>$L$45</f>
        <v>3월이하(당일)</v>
      </c>
      <c r="BY9" s="7" t="s">
        <v>250</v>
      </c>
      <c r="BZ9" s="7" t="s">
        <v>208</v>
      </c>
      <c r="CA9" s="7" t="str">
        <f>$L$46</f>
        <v>3월이하(당일)</v>
      </c>
      <c r="CB9" s="7" t="str">
        <f>$L$47</f>
        <v>3월이하(당일)</v>
      </c>
      <c r="CC9" s="7" t="s">
        <v>250</v>
      </c>
      <c r="CD9" s="7" t="s">
        <v>208</v>
      </c>
      <c r="CE9" s="7" t="str">
        <f>$L$48</f>
        <v>6월이하(당일)</v>
      </c>
      <c r="CF9" s="7" t="str">
        <f>$L$49</f>
        <v>3월이하(당일)</v>
      </c>
      <c r="CG9" s="7" t="s">
        <v>250</v>
      </c>
    </row>
    <row r="10" spans="2:85" x14ac:dyDescent="0.15">
      <c r="B10" s="7" t="s">
        <v>228</v>
      </c>
      <c r="C10" s="7" t="s">
        <v>7</v>
      </c>
      <c r="D10" s="7" t="s">
        <v>81</v>
      </c>
      <c r="E10" s="7" t="s">
        <v>62</v>
      </c>
      <c r="F10" s="7" t="s">
        <v>147</v>
      </c>
      <c r="G10" s="7" t="str">
        <f t="shared" ref="G10:G20" si="0">"AVG"&amp;$E10</f>
        <v>AVG20</v>
      </c>
      <c r="H10" s="7" t="str">
        <f t="shared" ref="H10:H28" si="1">"AV4"&amp;$E10</f>
        <v>AV420</v>
      </c>
      <c r="I10" s="7" t="s">
        <v>119</v>
      </c>
      <c r="J10" s="7" t="s">
        <v>134</v>
      </c>
      <c r="K10" s="7" t="s">
        <v>148</v>
      </c>
      <c r="L10" s="7" t="s">
        <v>161</v>
      </c>
      <c r="M10" s="7" t="str">
        <f t="shared" ref="M10:M28" si="2">$D10&amp;INDEX($G$9:$L$28,$F10,$B$35)</f>
        <v>BONDAVG20</v>
      </c>
      <c r="N10" s="7" t="str">
        <f>INDEX($G$8:$L$8,1,$G$38)&amp;" "&amp;INDEX($B$9:$B$28,$H$38,1)</f>
        <v>3사평균 금융채 은행채 AA+</v>
      </c>
      <c r="O10" s="7" t="str">
        <f>INDEX($D$9:$D$28,$H$38,1)&amp;INDEX($G$9:$L$28,$H$38,$G$38)</f>
        <v>BONDAVG21</v>
      </c>
      <c r="P10" s="7" t="str">
        <f>INDEX($G$8:$L$8,1,J38)&amp;" "&amp;INDEX($B$9:$B$28,$K$38,1)</f>
        <v>3사평균 금융채 은행채 AAA</v>
      </c>
      <c r="Q10" s="7" t="str">
        <f>INDEX($D$9:$D$28,$K$38,1)&amp;INDEX($G$9:$L$28,$K$38,$J$38)</f>
        <v>BONDAVG20</v>
      </c>
      <c r="BR10" s="34">
        <v>44943</v>
      </c>
      <c r="BS10" s="7">
        <v>3.5030000000000001</v>
      </c>
      <c r="BT10" s="7">
        <v>3.55</v>
      </c>
      <c r="BU10" s="7">
        <f>(BS10-BT10)*100</f>
        <v>-4.6999999999999709</v>
      </c>
      <c r="BV10" s="34">
        <v>44943</v>
      </c>
      <c r="BW10" s="7">
        <v>3.7669999999999999</v>
      </c>
      <c r="BX10" s="7">
        <v>3.72</v>
      </c>
      <c r="BY10" s="7">
        <f>(BW10-BX10)*100</f>
        <v>4.6999999999999709</v>
      </c>
      <c r="BZ10" s="34">
        <v>44943</v>
      </c>
      <c r="CA10" s="7">
        <v>3.7669999999999999</v>
      </c>
      <c r="CB10" s="7">
        <v>4.2140000000000004</v>
      </c>
      <c r="CC10" s="7">
        <f>(CA10-CB10)*100</f>
        <v>-44.700000000000053</v>
      </c>
      <c r="CD10" s="34">
        <v>44943</v>
      </c>
      <c r="CE10" s="7">
        <v>4.5060000000000002</v>
      </c>
      <c r="CF10" s="7">
        <v>4.2480000000000002</v>
      </c>
      <c r="CG10" s="7">
        <f>(CE10-CF10)*100</f>
        <v>25.8</v>
      </c>
    </row>
    <row r="11" spans="2:85" x14ac:dyDescent="0.15">
      <c r="B11" s="7" t="s">
        <v>229</v>
      </c>
      <c r="C11" s="7" t="s">
        <v>7</v>
      </c>
      <c r="D11" s="7" t="s">
        <v>81</v>
      </c>
      <c r="E11" s="7" t="s">
        <v>63</v>
      </c>
      <c r="F11" s="7" t="s">
        <v>93</v>
      </c>
      <c r="G11" s="7" t="str">
        <f t="shared" si="0"/>
        <v>AVG21</v>
      </c>
      <c r="H11" s="7" t="str">
        <f t="shared" si="1"/>
        <v>AV421</v>
      </c>
      <c r="I11" s="7" t="s">
        <v>254</v>
      </c>
      <c r="J11" s="7" t="s">
        <v>135</v>
      </c>
      <c r="K11" s="7" t="s">
        <v>149</v>
      </c>
      <c r="L11" s="7" t="s">
        <v>162</v>
      </c>
      <c r="M11" s="7" t="str">
        <f t="shared" si="2"/>
        <v>BONDAVG21</v>
      </c>
      <c r="N11" s="7" t="str">
        <f>INDEX($G$8:$L$8,1,$G$39)&amp;" "&amp;INDEX($B$9:$B$28,$H$39,1)</f>
        <v>3사평균 금융채 은행채 AA+</v>
      </c>
      <c r="O11" s="7" t="str">
        <f>INDEX($D$9:$D$28,$H$39,1)&amp;INDEX($G$9:$L$28,$H$39,$G$39)</f>
        <v>BONDAVG21</v>
      </c>
      <c r="P11" s="7" t="str">
        <f>INDEX($G$8:$L$8,1,J39)&amp;" "&amp;INDEX($B$9:$B$28,$K$39,1)</f>
        <v>3사평균 회사채AA+(공모/무보증)</v>
      </c>
      <c r="Q11" s="7" t="str">
        <f>INDEX($D$9:$D$28,$K$39,1)&amp;INDEX($G$9:$L$28,$K$39,$J$39)</f>
        <v>BONDAVG56</v>
      </c>
      <c r="BR11" s="34">
        <v>44942</v>
      </c>
      <c r="BS11" s="7">
        <v>3.5030000000000001</v>
      </c>
      <c r="BT11" s="7">
        <v>3.56</v>
      </c>
      <c r="BU11" s="7">
        <f t="shared" ref="BU11:BU74" si="3">(BS11-BT11)*100</f>
        <v>-5.699999999999994</v>
      </c>
      <c r="BV11" s="34">
        <v>44942</v>
      </c>
      <c r="BW11" s="7">
        <v>3.7959999999999998</v>
      </c>
      <c r="BX11" s="7">
        <v>3.7480000000000002</v>
      </c>
      <c r="BY11" s="7">
        <f t="shared" ref="BY11:BY75" si="4">(BW11-BX11)*100</f>
        <v>4.7999999999999599</v>
      </c>
      <c r="BZ11" s="34">
        <v>44942</v>
      </c>
      <c r="CA11" s="7">
        <v>3.7959999999999998</v>
      </c>
      <c r="CB11" s="7">
        <v>4.242</v>
      </c>
      <c r="CC11" s="7">
        <f t="shared" ref="CC11:CC75" si="5">(CA11-CB11)*100</f>
        <v>-44.600000000000016</v>
      </c>
      <c r="CD11" s="34">
        <v>44942</v>
      </c>
      <c r="CE11" s="7">
        <v>4.5460000000000003</v>
      </c>
      <c r="CF11" s="7">
        <v>4.2759999999999998</v>
      </c>
      <c r="CG11" s="7">
        <f t="shared" ref="CG11:CG75" si="6">(CE11-CF11)*100</f>
        <v>27.000000000000046</v>
      </c>
    </row>
    <row r="12" spans="2:85" x14ac:dyDescent="0.15">
      <c r="B12" s="7" t="s">
        <v>230</v>
      </c>
      <c r="C12" s="7" t="s">
        <v>7</v>
      </c>
      <c r="D12" s="7" t="s">
        <v>81</v>
      </c>
      <c r="E12" s="7" t="s">
        <v>64</v>
      </c>
      <c r="F12" s="7" t="s">
        <v>94</v>
      </c>
      <c r="G12" s="7" t="str">
        <f t="shared" si="0"/>
        <v>AVG22</v>
      </c>
      <c r="H12" s="7" t="str">
        <f t="shared" si="1"/>
        <v>AV422</v>
      </c>
      <c r="I12" s="7" t="s">
        <v>120</v>
      </c>
      <c r="J12" s="7" t="s">
        <v>136</v>
      </c>
      <c r="K12" s="7" t="s">
        <v>150</v>
      </c>
      <c r="L12" s="7" t="s">
        <v>163</v>
      </c>
      <c r="M12" s="7" t="str">
        <f t="shared" si="2"/>
        <v>BONDAVG22</v>
      </c>
      <c r="N12" s="7" t="str">
        <f>INDEX($G$8:$L$8,1,$G$40)&amp;" "&amp;INDEX($B$9:$B$28,$H$40,1)</f>
        <v>3사평균 금융채 카드채 AA</v>
      </c>
      <c r="O12" s="7" t="str">
        <f>INDEX($D$9:$D$28,$H$40,1)&amp;INDEX($G$9:$L$28,$H$40,$G$40)</f>
        <v>BONDAVG27</v>
      </c>
      <c r="P12" s="7" t="str">
        <f>INDEX($G$8:$L$8,1,J40)&amp;" "&amp;INDEX($B$9:$B$28,$K$40,1)</f>
        <v>3사평균 회사채AA0(공모/무보증)</v>
      </c>
      <c r="Q12" s="7" t="str">
        <f>INDEX($D$9:$D$28,$K$40,1)&amp;INDEX($G$9:$L$28,$K$40,$J$40)</f>
        <v>BONDAVG57</v>
      </c>
      <c r="BR12" s="34">
        <v>44939</v>
      </c>
      <c r="BS12" s="7">
        <v>3.5049999999999999</v>
      </c>
      <c r="BT12" s="7">
        <v>3.528</v>
      </c>
      <c r="BU12" s="7">
        <f t="shared" si="3"/>
        <v>-2.3000000000000131</v>
      </c>
      <c r="BV12" s="34">
        <v>44939</v>
      </c>
      <c r="BW12" s="7">
        <v>3.8130000000000002</v>
      </c>
      <c r="BX12" s="7">
        <v>3.766</v>
      </c>
      <c r="BY12" s="7">
        <f t="shared" si="4"/>
        <v>4.7000000000000153</v>
      </c>
      <c r="BZ12" s="34">
        <v>44939</v>
      </c>
      <c r="CA12" s="7">
        <v>3.8130000000000002</v>
      </c>
      <c r="CB12" s="7">
        <v>4.274</v>
      </c>
      <c r="CC12" s="7">
        <f t="shared" si="5"/>
        <v>-46.099999999999987</v>
      </c>
      <c r="CD12" s="34">
        <v>44939</v>
      </c>
      <c r="CE12" s="7">
        <v>4.5759999999999996</v>
      </c>
      <c r="CF12" s="7">
        <v>4.3079999999999998</v>
      </c>
      <c r="CG12" s="7">
        <f t="shared" si="6"/>
        <v>26.799999999999979</v>
      </c>
    </row>
    <row r="13" spans="2:85" x14ac:dyDescent="0.15">
      <c r="B13" s="7" t="s">
        <v>231</v>
      </c>
      <c r="C13" s="7" t="s">
        <v>7</v>
      </c>
      <c r="D13" s="7" t="s">
        <v>81</v>
      </c>
      <c r="E13" s="7" t="s">
        <v>65</v>
      </c>
      <c r="F13" s="7" t="s">
        <v>95</v>
      </c>
      <c r="G13" s="7" t="str">
        <f t="shared" si="0"/>
        <v>AVG23</v>
      </c>
      <c r="H13" s="7" t="str">
        <f t="shared" si="1"/>
        <v>AV423</v>
      </c>
      <c r="I13" s="7" t="s">
        <v>121</v>
      </c>
      <c r="J13" s="7" t="s">
        <v>137</v>
      </c>
      <c r="K13" s="7" t="s">
        <v>151</v>
      </c>
      <c r="L13" s="7" t="s">
        <v>164</v>
      </c>
      <c r="M13" s="7" t="str">
        <f t="shared" si="2"/>
        <v>BONDAVG23</v>
      </c>
      <c r="BR13" s="34">
        <v>44938</v>
      </c>
      <c r="BS13" s="7">
        <v>3.44</v>
      </c>
      <c r="BT13" s="7">
        <v>3.5449999999999999</v>
      </c>
      <c r="BU13" s="7">
        <f t="shared" si="3"/>
        <v>-10.499999999999998</v>
      </c>
      <c r="BV13" s="34">
        <v>44938</v>
      </c>
      <c r="BW13" s="7">
        <v>3.7959999999999998</v>
      </c>
      <c r="BX13" s="7">
        <v>3.7490000000000001</v>
      </c>
      <c r="BY13" s="7">
        <f t="shared" si="4"/>
        <v>4.6999999999999709</v>
      </c>
      <c r="BZ13" s="34">
        <v>44938</v>
      </c>
      <c r="CA13" s="7">
        <v>3.7959999999999998</v>
      </c>
      <c r="CB13" s="7">
        <v>4.2539999999999996</v>
      </c>
      <c r="CC13" s="7">
        <f t="shared" si="5"/>
        <v>-45.799999999999976</v>
      </c>
      <c r="CD13" s="34">
        <v>44938</v>
      </c>
      <c r="CE13" s="7">
        <v>4.6079999999999997</v>
      </c>
      <c r="CF13" s="7">
        <v>4.2880000000000003</v>
      </c>
      <c r="CG13" s="7">
        <f t="shared" si="6"/>
        <v>31.99999999999994</v>
      </c>
    </row>
    <row r="14" spans="2:85" x14ac:dyDescent="0.15">
      <c r="B14" s="7" t="s">
        <v>232</v>
      </c>
      <c r="C14" s="7" t="s">
        <v>7</v>
      </c>
      <c r="D14" s="7" t="s">
        <v>81</v>
      </c>
      <c r="E14" s="7" t="s">
        <v>66</v>
      </c>
      <c r="F14" s="7" t="s">
        <v>96</v>
      </c>
      <c r="G14" s="7" t="str">
        <f t="shared" si="0"/>
        <v>AVG81</v>
      </c>
      <c r="H14" s="7" t="str">
        <f t="shared" si="1"/>
        <v>AV481</v>
      </c>
      <c r="I14" s="7" t="s">
        <v>122</v>
      </c>
      <c r="J14" s="7" t="s">
        <v>138</v>
      </c>
      <c r="K14" s="7" t="s">
        <v>152</v>
      </c>
      <c r="L14" s="7" t="s">
        <v>160</v>
      </c>
      <c r="M14" s="7" t="str">
        <f t="shared" si="2"/>
        <v>BONDAVG81</v>
      </c>
      <c r="BR14" s="34">
        <v>44937</v>
      </c>
      <c r="BS14" s="7">
        <v>3.415</v>
      </c>
      <c r="BT14" s="7">
        <v>3.5550000000000002</v>
      </c>
      <c r="BU14" s="7">
        <f t="shared" si="3"/>
        <v>-14.000000000000012</v>
      </c>
      <c r="BV14" s="34">
        <v>44937</v>
      </c>
      <c r="BW14" s="7">
        <v>3.7909999999999999</v>
      </c>
      <c r="BX14" s="7">
        <v>3.7440000000000002</v>
      </c>
      <c r="BY14" s="7">
        <f t="shared" si="4"/>
        <v>4.6999999999999709</v>
      </c>
      <c r="BZ14" s="34">
        <v>44937</v>
      </c>
      <c r="CA14" s="7">
        <v>3.7909999999999999</v>
      </c>
      <c r="CB14" s="7">
        <v>4.26</v>
      </c>
      <c r="CC14" s="7">
        <f t="shared" si="5"/>
        <v>-46.899999999999984</v>
      </c>
      <c r="CD14" s="34">
        <v>44937</v>
      </c>
      <c r="CE14" s="7">
        <v>4.6500000000000004</v>
      </c>
      <c r="CF14" s="7">
        <v>4.2939999999999996</v>
      </c>
      <c r="CG14" s="7">
        <f t="shared" si="6"/>
        <v>35.60000000000008</v>
      </c>
    </row>
    <row r="15" spans="2:85" x14ac:dyDescent="0.15">
      <c r="B15" s="7" t="s">
        <v>233</v>
      </c>
      <c r="C15" s="7" t="s">
        <v>7</v>
      </c>
      <c r="D15" s="7" t="s">
        <v>81</v>
      </c>
      <c r="E15" s="7" t="s">
        <v>67</v>
      </c>
      <c r="F15" s="7" t="s">
        <v>97</v>
      </c>
      <c r="G15" s="7" t="str">
        <f t="shared" si="0"/>
        <v>AVG27</v>
      </c>
      <c r="H15" s="7" t="str">
        <f t="shared" si="1"/>
        <v>AV427</v>
      </c>
      <c r="I15" s="7" t="s">
        <v>123</v>
      </c>
      <c r="J15" s="7" t="s">
        <v>139</v>
      </c>
      <c r="K15" s="7" t="s">
        <v>153</v>
      </c>
      <c r="L15" s="7" t="s">
        <v>165</v>
      </c>
      <c r="M15" s="7" t="str">
        <f t="shared" si="2"/>
        <v>BONDAVG27</v>
      </c>
      <c r="BR15" s="34">
        <v>44936</v>
      </c>
      <c r="BS15" s="7">
        <v>3.41</v>
      </c>
      <c r="BT15" s="7">
        <v>3.5830000000000002</v>
      </c>
      <c r="BU15" s="7">
        <f t="shared" si="3"/>
        <v>-17.300000000000004</v>
      </c>
      <c r="BV15" s="34">
        <v>44936</v>
      </c>
      <c r="BW15" s="7">
        <v>3.8029999999999999</v>
      </c>
      <c r="BX15" s="7">
        <v>3.7559999999999998</v>
      </c>
      <c r="BY15" s="7">
        <f t="shared" si="4"/>
        <v>4.7000000000000153</v>
      </c>
      <c r="BZ15" s="34">
        <v>44936</v>
      </c>
      <c r="CA15" s="7">
        <v>3.8029999999999999</v>
      </c>
      <c r="CB15" s="7">
        <v>4.2850000000000001</v>
      </c>
      <c r="CC15" s="7">
        <f t="shared" si="5"/>
        <v>-48.200000000000017</v>
      </c>
      <c r="CD15" s="34">
        <v>44936</v>
      </c>
      <c r="CE15" s="7">
        <v>4.6879999999999997</v>
      </c>
      <c r="CF15" s="7">
        <v>4.319</v>
      </c>
      <c r="CG15" s="7">
        <f t="shared" si="6"/>
        <v>36.899999999999977</v>
      </c>
    </row>
    <row r="16" spans="2:85" x14ac:dyDescent="0.15">
      <c r="B16" s="7" t="s">
        <v>234</v>
      </c>
      <c r="C16" s="7" t="s">
        <v>7</v>
      </c>
      <c r="D16" s="7" t="s">
        <v>81</v>
      </c>
      <c r="E16" s="7" t="s">
        <v>68</v>
      </c>
      <c r="F16" s="7" t="s">
        <v>98</v>
      </c>
      <c r="G16" s="7" t="str">
        <f t="shared" si="0"/>
        <v>AVG28</v>
      </c>
      <c r="H16" s="7" t="str">
        <f t="shared" si="1"/>
        <v>AV428</v>
      </c>
      <c r="I16" s="7" t="s">
        <v>124</v>
      </c>
      <c r="J16" s="7" t="s">
        <v>140</v>
      </c>
      <c r="K16" s="7" t="s">
        <v>154</v>
      </c>
      <c r="L16" s="7" t="s">
        <v>166</v>
      </c>
      <c r="M16" s="7" t="str">
        <f t="shared" si="2"/>
        <v>BONDAVG28</v>
      </c>
      <c r="BR16" s="34">
        <v>44935</v>
      </c>
      <c r="BS16" s="7">
        <v>3.4060000000000001</v>
      </c>
      <c r="BT16" s="7">
        <v>3.5779999999999998</v>
      </c>
      <c r="BU16" s="7">
        <f t="shared" si="3"/>
        <v>-17.199999999999971</v>
      </c>
      <c r="BV16" s="34">
        <v>44935</v>
      </c>
      <c r="BW16" s="7">
        <v>3.8159999999999998</v>
      </c>
      <c r="BX16" s="7">
        <v>3.7690000000000001</v>
      </c>
      <c r="BY16" s="7">
        <f t="shared" si="4"/>
        <v>4.6999999999999709</v>
      </c>
      <c r="BZ16" s="34">
        <v>44935</v>
      </c>
      <c r="CA16" s="7">
        <v>3.8159999999999998</v>
      </c>
      <c r="CB16" s="7">
        <v>4.3090000000000002</v>
      </c>
      <c r="CC16" s="7">
        <f t="shared" si="5"/>
        <v>-49.300000000000033</v>
      </c>
      <c r="CD16" s="34">
        <v>44935</v>
      </c>
      <c r="CE16" s="7">
        <v>4.7249999999999996</v>
      </c>
      <c r="CF16" s="7">
        <v>4.343</v>
      </c>
      <c r="CG16" s="7">
        <f t="shared" si="6"/>
        <v>38.199999999999967</v>
      </c>
    </row>
    <row r="17" spans="2:85" x14ac:dyDescent="0.15">
      <c r="B17" s="7" t="s">
        <v>235</v>
      </c>
      <c r="C17" s="7" t="s">
        <v>7</v>
      </c>
      <c r="D17" s="7" t="s">
        <v>81</v>
      </c>
      <c r="E17" s="7" t="s">
        <v>69</v>
      </c>
      <c r="F17" s="7" t="s">
        <v>99</v>
      </c>
      <c r="G17" s="7" t="str">
        <f t="shared" si="0"/>
        <v>AVG55</v>
      </c>
      <c r="H17" s="7" t="str">
        <f t="shared" si="1"/>
        <v>AV455</v>
      </c>
      <c r="I17" s="7" t="s">
        <v>125</v>
      </c>
      <c r="J17" s="7" t="s">
        <v>142</v>
      </c>
      <c r="K17" s="7" t="s">
        <v>155</v>
      </c>
      <c r="L17" s="7" t="s">
        <v>167</v>
      </c>
      <c r="M17" s="7" t="str">
        <f t="shared" si="2"/>
        <v>BONDAVG55</v>
      </c>
      <c r="BR17" s="34">
        <v>44932</v>
      </c>
      <c r="BS17" s="7">
        <v>3.4159999999999999</v>
      </c>
      <c r="BT17" s="7">
        <v>3.61</v>
      </c>
      <c r="BU17" s="7">
        <f t="shared" si="3"/>
        <v>-19.399999999999995</v>
      </c>
      <c r="BV17" s="34">
        <v>44932</v>
      </c>
      <c r="BW17" s="7">
        <v>3.8559999999999999</v>
      </c>
      <c r="BX17" s="7">
        <v>3.8090000000000002</v>
      </c>
      <c r="BY17" s="7">
        <f t="shared" si="4"/>
        <v>4.6999999999999709</v>
      </c>
      <c r="BZ17" s="34">
        <v>44932</v>
      </c>
      <c r="CA17" s="7">
        <v>3.8559999999999999</v>
      </c>
      <c r="CB17" s="7">
        <v>4.3570000000000002</v>
      </c>
      <c r="CC17" s="7">
        <f t="shared" si="5"/>
        <v>-50.100000000000037</v>
      </c>
      <c r="CD17" s="34">
        <v>44932</v>
      </c>
      <c r="CE17" s="7">
        <v>4.7830000000000004</v>
      </c>
      <c r="CF17" s="7">
        <v>4.391</v>
      </c>
      <c r="CG17" s="7">
        <f t="shared" si="6"/>
        <v>39.200000000000031</v>
      </c>
    </row>
    <row r="18" spans="2:85" x14ac:dyDescent="0.15">
      <c r="B18" s="7" t="s">
        <v>236</v>
      </c>
      <c r="C18" s="7" t="s">
        <v>7</v>
      </c>
      <c r="D18" s="7" t="s">
        <v>81</v>
      </c>
      <c r="E18" s="7" t="s">
        <v>70</v>
      </c>
      <c r="F18" s="7" t="s">
        <v>100</v>
      </c>
      <c r="G18" s="7" t="str">
        <f t="shared" si="0"/>
        <v>AVG56</v>
      </c>
      <c r="H18" s="7" t="str">
        <f t="shared" si="1"/>
        <v>AV456</v>
      </c>
      <c r="I18" s="7" t="s">
        <v>126</v>
      </c>
      <c r="J18" s="7" t="s">
        <v>143</v>
      </c>
      <c r="K18" s="7" t="s">
        <v>156</v>
      </c>
      <c r="L18" s="7" t="s">
        <v>168</v>
      </c>
      <c r="M18" s="7" t="str">
        <f t="shared" si="2"/>
        <v>BONDAVG56</v>
      </c>
      <c r="BR18" s="34">
        <v>44931</v>
      </c>
      <c r="BS18" s="7">
        <v>3.4129999999999998</v>
      </c>
      <c r="BT18" s="7">
        <v>3.593</v>
      </c>
      <c r="BU18" s="7">
        <f t="shared" si="3"/>
        <v>-18.000000000000014</v>
      </c>
      <c r="BV18" s="34">
        <v>44931</v>
      </c>
      <c r="BW18" s="7">
        <v>3.8860000000000001</v>
      </c>
      <c r="BX18" s="7">
        <v>3.839</v>
      </c>
      <c r="BY18" s="7">
        <f t="shared" si="4"/>
        <v>4.7000000000000153</v>
      </c>
      <c r="BZ18" s="34">
        <v>44931</v>
      </c>
      <c r="CA18" s="7">
        <v>3.8860000000000001</v>
      </c>
      <c r="CB18" s="7">
        <v>4.3890000000000002</v>
      </c>
      <c r="CC18" s="7">
        <f t="shared" si="5"/>
        <v>-50.300000000000011</v>
      </c>
      <c r="CD18" s="34">
        <v>44931</v>
      </c>
      <c r="CE18" s="7">
        <v>4.8360000000000003</v>
      </c>
      <c r="CF18" s="7">
        <v>4.423</v>
      </c>
      <c r="CG18" s="7">
        <f t="shared" si="6"/>
        <v>41.300000000000026</v>
      </c>
    </row>
    <row r="19" spans="2:85" x14ac:dyDescent="0.15">
      <c r="B19" s="7" t="s">
        <v>237</v>
      </c>
      <c r="C19" s="7" t="s">
        <v>7</v>
      </c>
      <c r="D19" s="7" t="s">
        <v>81</v>
      </c>
      <c r="E19" s="7" t="s">
        <v>71</v>
      </c>
      <c r="F19" s="7" t="s">
        <v>101</v>
      </c>
      <c r="G19" s="7" t="str">
        <f t="shared" si="0"/>
        <v>AVG57</v>
      </c>
      <c r="H19" s="7" t="str">
        <f t="shared" si="1"/>
        <v>AV457</v>
      </c>
      <c r="I19" s="7" t="s">
        <v>127</v>
      </c>
      <c r="J19" s="7" t="s">
        <v>144</v>
      </c>
      <c r="K19" s="7" t="s">
        <v>157</v>
      </c>
      <c r="L19" s="7" t="s">
        <v>169</v>
      </c>
      <c r="M19" s="7" t="str">
        <f t="shared" si="2"/>
        <v>BONDAVG57</v>
      </c>
      <c r="BR19" s="34">
        <v>44930</v>
      </c>
      <c r="BS19" s="7">
        <v>3.42</v>
      </c>
      <c r="BT19" s="7">
        <v>3.6179999999999999</v>
      </c>
      <c r="BU19" s="7">
        <f t="shared" si="3"/>
        <v>-19.799999999999997</v>
      </c>
      <c r="BV19" s="34">
        <v>44930</v>
      </c>
      <c r="BW19" s="7">
        <v>3.9279999999999999</v>
      </c>
      <c r="BX19" s="7">
        <v>3.8809999999999998</v>
      </c>
      <c r="BY19" s="7">
        <f t="shared" si="4"/>
        <v>4.7000000000000153</v>
      </c>
      <c r="BZ19" s="34">
        <v>44930</v>
      </c>
      <c r="CA19" s="7">
        <v>3.9279999999999999</v>
      </c>
      <c r="CB19" s="7">
        <v>4.4340000000000002</v>
      </c>
      <c r="CC19" s="7">
        <f t="shared" si="5"/>
        <v>-50.600000000000023</v>
      </c>
      <c r="CD19" s="34">
        <v>44930</v>
      </c>
      <c r="CE19" s="7">
        <v>4.8849999999999998</v>
      </c>
      <c r="CF19" s="7">
        <v>4.468</v>
      </c>
      <c r="CG19" s="7">
        <f t="shared" si="6"/>
        <v>41.699999999999982</v>
      </c>
    </row>
    <row r="20" spans="2:85" x14ac:dyDescent="0.15">
      <c r="B20" s="7" t="s">
        <v>238</v>
      </c>
      <c r="C20" s="7" t="s">
        <v>7</v>
      </c>
      <c r="D20" s="7" t="s">
        <v>81</v>
      </c>
      <c r="E20" s="7" t="s">
        <v>72</v>
      </c>
      <c r="F20" s="7" t="s">
        <v>102</v>
      </c>
      <c r="G20" s="7" t="str">
        <f t="shared" si="0"/>
        <v>AVG58</v>
      </c>
      <c r="H20" s="7" t="str">
        <f t="shared" si="1"/>
        <v>AV458</v>
      </c>
      <c r="I20" s="7" t="s">
        <v>128</v>
      </c>
      <c r="J20" s="7" t="s">
        <v>145</v>
      </c>
      <c r="K20" s="7" t="s">
        <v>158</v>
      </c>
      <c r="L20" s="7" t="s">
        <v>170</v>
      </c>
      <c r="M20" s="7" t="str">
        <f t="shared" si="2"/>
        <v>BONDAVG58</v>
      </c>
      <c r="BR20" s="34">
        <v>44929</v>
      </c>
      <c r="BS20" s="7">
        <v>3.456</v>
      </c>
      <c r="BT20" s="7">
        <v>3.6640000000000001</v>
      </c>
      <c r="BU20" s="7">
        <f t="shared" si="3"/>
        <v>-20.800000000000018</v>
      </c>
      <c r="BV20" s="34">
        <v>44929</v>
      </c>
      <c r="BW20" s="7">
        <v>3.9929999999999999</v>
      </c>
      <c r="BX20" s="7">
        <v>3.9460000000000002</v>
      </c>
      <c r="BY20" s="7">
        <f t="shared" si="4"/>
        <v>4.6999999999999709</v>
      </c>
      <c r="BZ20" s="34">
        <v>44929</v>
      </c>
      <c r="CA20" s="7">
        <v>3.9929999999999999</v>
      </c>
      <c r="CB20" s="7">
        <v>4.5039999999999996</v>
      </c>
      <c r="CC20" s="7">
        <f t="shared" si="5"/>
        <v>-51.099999999999966</v>
      </c>
      <c r="CD20" s="34">
        <v>44929</v>
      </c>
      <c r="CE20" s="7">
        <v>4.9580000000000002</v>
      </c>
      <c r="CF20" s="7">
        <v>4.5380000000000003</v>
      </c>
      <c r="CG20" s="7">
        <f t="shared" si="6"/>
        <v>41.999999999999993</v>
      </c>
    </row>
    <row r="21" spans="2:85" x14ac:dyDescent="0.15">
      <c r="B21" s="7" t="s">
        <v>241</v>
      </c>
      <c r="C21" s="7" t="s">
        <v>7</v>
      </c>
      <c r="D21" s="7" t="s">
        <v>82</v>
      </c>
      <c r="E21" s="7" t="s">
        <v>73</v>
      </c>
      <c r="F21" s="7" t="s">
        <v>103</v>
      </c>
      <c r="G21" s="7" t="str">
        <f>"AVG"&amp;$E21</f>
        <v>AVG1</v>
      </c>
      <c r="H21" s="7" t="str">
        <f t="shared" si="1"/>
        <v>AV41</v>
      </c>
      <c r="I21" s="7" t="str">
        <f>"KBP"&amp;$E21</f>
        <v>KBP1</v>
      </c>
      <c r="J21" s="7" t="str">
        <f>"KIS"&amp;$E21</f>
        <v>KIS1</v>
      </c>
      <c r="K21" s="7" t="str">
        <f t="shared" ref="K21:K28" si="7">"NIC"&amp;$F21</f>
        <v>NIC13</v>
      </c>
      <c r="L21" s="7" t="str">
        <f t="shared" ref="L21:L28" si="8">"FNP"&amp;$F21</f>
        <v>FNP13</v>
      </c>
      <c r="M21" s="7" t="str">
        <f t="shared" si="2"/>
        <v>CDYLDAVG1</v>
      </c>
      <c r="BR21" s="34">
        <v>44928</v>
      </c>
      <c r="BS21" s="7">
        <v>3.5059999999999998</v>
      </c>
      <c r="BT21" s="7">
        <v>3.7320000000000002</v>
      </c>
      <c r="BU21" s="7">
        <f t="shared" si="3"/>
        <v>-22.600000000000044</v>
      </c>
      <c r="BV21" s="34">
        <v>44928</v>
      </c>
      <c r="BW21" s="7">
        <v>4.0650000000000004</v>
      </c>
      <c r="BX21" s="7">
        <v>4.0170000000000003</v>
      </c>
      <c r="BY21" s="7">
        <f t="shared" si="4"/>
        <v>4.8000000000000043</v>
      </c>
      <c r="BZ21" s="34">
        <v>44928</v>
      </c>
      <c r="CA21" s="7">
        <v>4.0650000000000004</v>
      </c>
      <c r="CB21" s="7">
        <v>4.5789999999999997</v>
      </c>
      <c r="CC21" s="7">
        <f t="shared" si="5"/>
        <v>-51.399999999999935</v>
      </c>
      <c r="CD21" s="34">
        <v>44928</v>
      </c>
      <c r="CE21" s="7">
        <v>5.0599999999999996</v>
      </c>
      <c r="CF21" s="7">
        <v>4.6130000000000004</v>
      </c>
      <c r="CG21" s="7">
        <f t="shared" si="6"/>
        <v>44.699999999999918</v>
      </c>
    </row>
    <row r="22" spans="2:85" x14ac:dyDescent="0.15">
      <c r="B22" s="7" t="s">
        <v>242</v>
      </c>
      <c r="C22" s="7" t="s">
        <v>7</v>
      </c>
      <c r="D22" s="7" t="s">
        <v>82</v>
      </c>
      <c r="E22" s="7" t="s">
        <v>74</v>
      </c>
      <c r="F22" s="7" t="s">
        <v>104</v>
      </c>
      <c r="G22" s="7" t="str">
        <f t="shared" ref="G22:G28" si="9">"AVG"&amp;$E22</f>
        <v>AVG2</v>
      </c>
      <c r="H22" s="7" t="str">
        <f t="shared" si="1"/>
        <v>AV42</v>
      </c>
      <c r="I22" s="7" t="str">
        <f t="shared" ref="I22:I28" si="10">"KBP"&amp;$E22</f>
        <v>KBP2</v>
      </c>
      <c r="J22" s="7" t="str">
        <f t="shared" ref="J22:J28" si="11">"KIS"&amp;$E22</f>
        <v>KIS2</v>
      </c>
      <c r="K22" s="7" t="str">
        <f t="shared" si="7"/>
        <v>NIC14</v>
      </c>
      <c r="L22" s="7" t="str">
        <f t="shared" si="8"/>
        <v>FNP14</v>
      </c>
      <c r="M22" s="7" t="str">
        <f t="shared" si="2"/>
        <v>CDYLDAVG2</v>
      </c>
      <c r="BR22" s="34">
        <v>44925</v>
      </c>
      <c r="BS22" s="7">
        <v>3.5350000000000001</v>
      </c>
      <c r="BT22" s="7">
        <v>3.746</v>
      </c>
      <c r="BU22" s="7">
        <f t="shared" si="3"/>
        <v>-21.099999999999987</v>
      </c>
      <c r="BV22" s="34">
        <v>44925</v>
      </c>
      <c r="BW22" s="7">
        <v>4.0999999999999996</v>
      </c>
      <c r="BX22" s="7">
        <v>4.0519999999999996</v>
      </c>
      <c r="BY22" s="7">
        <f t="shared" si="4"/>
        <v>4.8000000000000043</v>
      </c>
      <c r="BZ22" s="34">
        <v>44925</v>
      </c>
      <c r="CA22" s="7">
        <v>4.0999999999999996</v>
      </c>
      <c r="CB22" s="7">
        <v>4.609</v>
      </c>
      <c r="CC22" s="7">
        <f t="shared" si="5"/>
        <v>-50.900000000000034</v>
      </c>
      <c r="CD22" s="34">
        <v>44925</v>
      </c>
      <c r="CE22" s="7">
        <v>5.1109999999999998</v>
      </c>
      <c r="CF22" s="7">
        <v>4.6429999999999998</v>
      </c>
      <c r="CG22" s="7">
        <f t="shared" si="6"/>
        <v>46.8</v>
      </c>
    </row>
    <row r="23" spans="2:85" x14ac:dyDescent="0.15">
      <c r="B23" s="7" t="s">
        <v>243</v>
      </c>
      <c r="C23" s="7" t="s">
        <v>7</v>
      </c>
      <c r="D23" s="7" t="s">
        <v>82</v>
      </c>
      <c r="E23" s="7" t="s">
        <v>75</v>
      </c>
      <c r="F23" s="7" t="s">
        <v>105</v>
      </c>
      <c r="G23" s="7" t="str">
        <f t="shared" si="9"/>
        <v>AVG3</v>
      </c>
      <c r="H23" s="7" t="str">
        <f t="shared" si="1"/>
        <v>AV43</v>
      </c>
      <c r="I23" s="7" t="str">
        <f t="shared" si="10"/>
        <v>KBP3</v>
      </c>
      <c r="J23" s="7" t="str">
        <f t="shared" si="11"/>
        <v>KIS3</v>
      </c>
      <c r="K23" s="7" t="str">
        <f t="shared" si="7"/>
        <v>NIC15</v>
      </c>
      <c r="L23" s="7" t="str">
        <f t="shared" si="8"/>
        <v>FNP15</v>
      </c>
      <c r="M23" s="7" t="str">
        <f t="shared" si="2"/>
        <v>CDYLDAVG3</v>
      </c>
      <c r="BR23" s="34">
        <v>44924</v>
      </c>
      <c r="BS23" s="7">
        <v>3.5350000000000001</v>
      </c>
      <c r="BT23" s="7">
        <v>3.746</v>
      </c>
      <c r="BU23" s="7">
        <f t="shared" si="3"/>
        <v>-21.099999999999987</v>
      </c>
      <c r="BV23" s="34">
        <v>44924</v>
      </c>
      <c r="BW23" s="7">
        <v>4.0999999999999996</v>
      </c>
      <c r="BX23" s="7">
        <v>4.0519999999999996</v>
      </c>
      <c r="BY23" s="7">
        <f t="shared" si="4"/>
        <v>4.8000000000000043</v>
      </c>
      <c r="BZ23" s="34">
        <v>44924</v>
      </c>
      <c r="CA23" s="7">
        <v>4.0999999999999996</v>
      </c>
      <c r="CB23" s="7">
        <v>4.609</v>
      </c>
      <c r="CC23" s="7">
        <f t="shared" si="5"/>
        <v>-50.900000000000034</v>
      </c>
      <c r="CD23" s="34">
        <v>44924</v>
      </c>
      <c r="CE23" s="7">
        <v>5.1109999999999998</v>
      </c>
      <c r="CF23" s="7">
        <v>4.6429999999999998</v>
      </c>
      <c r="CG23" s="7">
        <f t="shared" si="6"/>
        <v>46.8</v>
      </c>
    </row>
    <row r="24" spans="2:85" x14ac:dyDescent="0.15">
      <c r="B24" s="7" t="s">
        <v>244</v>
      </c>
      <c r="C24" s="7" t="s">
        <v>7</v>
      </c>
      <c r="D24" s="7" t="s">
        <v>82</v>
      </c>
      <c r="E24" s="7" t="s">
        <v>76</v>
      </c>
      <c r="F24" s="7" t="s">
        <v>106</v>
      </c>
      <c r="G24" s="7" t="str">
        <f t="shared" si="9"/>
        <v>AVG4</v>
      </c>
      <c r="H24" s="7" t="str">
        <f t="shared" si="1"/>
        <v>AV44</v>
      </c>
      <c r="I24" s="7" t="str">
        <f t="shared" si="10"/>
        <v>KBP4</v>
      </c>
      <c r="J24" s="7" t="str">
        <f t="shared" si="11"/>
        <v>KIS4</v>
      </c>
      <c r="K24" s="7" t="str">
        <f t="shared" si="7"/>
        <v>NIC16</v>
      </c>
      <c r="L24" s="7" t="str">
        <f t="shared" si="8"/>
        <v>FNP16</v>
      </c>
      <c r="M24" s="7" t="str">
        <f t="shared" si="2"/>
        <v>CDYLDAVG4</v>
      </c>
      <c r="BR24" s="34">
        <v>44923</v>
      </c>
      <c r="BS24" s="7">
        <v>3.5350000000000001</v>
      </c>
      <c r="BT24" s="7">
        <v>3.7360000000000002</v>
      </c>
      <c r="BU24" s="7">
        <f t="shared" si="3"/>
        <v>-20.100000000000009</v>
      </c>
      <c r="BV24" s="34">
        <v>44923</v>
      </c>
      <c r="BW24" s="7">
        <v>4.1029999999999998</v>
      </c>
      <c r="BX24" s="7">
        <v>4.056</v>
      </c>
      <c r="BY24" s="7">
        <f t="shared" si="4"/>
        <v>4.6999999999999709</v>
      </c>
      <c r="BZ24" s="34">
        <v>44923</v>
      </c>
      <c r="CA24" s="7">
        <v>4.1029999999999998</v>
      </c>
      <c r="CB24" s="7">
        <v>4.617</v>
      </c>
      <c r="CC24" s="7">
        <f t="shared" si="5"/>
        <v>-51.40000000000002</v>
      </c>
      <c r="CD24" s="34">
        <v>44923</v>
      </c>
      <c r="CE24" s="7">
        <v>5.1449999999999996</v>
      </c>
      <c r="CF24" s="7">
        <v>4.6509999999999998</v>
      </c>
      <c r="CG24" s="7">
        <f t="shared" si="6"/>
        <v>49.399999999999977</v>
      </c>
    </row>
    <row r="25" spans="2:85" x14ac:dyDescent="0.15">
      <c r="B25" s="7" t="s">
        <v>245</v>
      </c>
      <c r="C25" s="7" t="s">
        <v>7</v>
      </c>
      <c r="D25" s="7" t="s">
        <v>83</v>
      </c>
      <c r="E25" s="7" t="s">
        <v>73</v>
      </c>
      <c r="F25" s="7" t="s">
        <v>107</v>
      </c>
      <c r="G25" s="7" t="str">
        <f t="shared" si="9"/>
        <v>AVG1</v>
      </c>
      <c r="H25" s="7" t="str">
        <f t="shared" si="1"/>
        <v>AV41</v>
      </c>
      <c r="I25" s="7" t="str">
        <f t="shared" si="10"/>
        <v>KBP1</v>
      </c>
      <c r="J25" s="7" t="str">
        <f t="shared" si="11"/>
        <v>KIS1</v>
      </c>
      <c r="K25" s="7" t="str">
        <f t="shared" si="7"/>
        <v>NIC17</v>
      </c>
      <c r="L25" s="7" t="str">
        <f t="shared" si="8"/>
        <v>FNP17</v>
      </c>
      <c r="M25" s="7" t="str">
        <f t="shared" si="2"/>
        <v>CPYLDAVG1</v>
      </c>
      <c r="BR25" s="34">
        <v>44922</v>
      </c>
      <c r="BS25" s="7">
        <v>3.536</v>
      </c>
      <c r="BT25" s="7">
        <v>3.7650000000000001</v>
      </c>
      <c r="BU25" s="7">
        <f t="shared" si="3"/>
        <v>-22.900000000000009</v>
      </c>
      <c r="BV25" s="34">
        <v>44922</v>
      </c>
      <c r="BW25" s="7">
        <v>4.1100000000000003</v>
      </c>
      <c r="BX25" s="7">
        <v>4.0620000000000003</v>
      </c>
      <c r="BY25" s="7">
        <f t="shared" si="4"/>
        <v>4.8000000000000043</v>
      </c>
      <c r="BZ25" s="34">
        <v>44922</v>
      </c>
      <c r="CA25" s="7">
        <v>4.1100000000000003</v>
      </c>
      <c r="CB25" s="7">
        <v>4.625</v>
      </c>
      <c r="CC25" s="7">
        <f t="shared" si="5"/>
        <v>-51.499999999999972</v>
      </c>
      <c r="CD25" s="34">
        <v>44922</v>
      </c>
      <c r="CE25" s="7">
        <v>5.1959999999999997</v>
      </c>
      <c r="CF25" s="7">
        <v>4.6589999999999998</v>
      </c>
      <c r="CG25" s="7">
        <f t="shared" si="6"/>
        <v>53.699999999999989</v>
      </c>
    </row>
    <row r="26" spans="2:85" x14ac:dyDescent="0.15">
      <c r="B26" s="7" t="s">
        <v>246</v>
      </c>
      <c r="C26" s="7" t="s">
        <v>7</v>
      </c>
      <c r="D26" s="7" t="s">
        <v>83</v>
      </c>
      <c r="E26" s="7" t="s">
        <v>74</v>
      </c>
      <c r="F26" s="7" t="s">
        <v>108</v>
      </c>
      <c r="G26" s="7" t="str">
        <f t="shared" si="9"/>
        <v>AVG2</v>
      </c>
      <c r="H26" s="7" t="str">
        <f t="shared" si="1"/>
        <v>AV42</v>
      </c>
      <c r="I26" s="7" t="str">
        <f t="shared" si="10"/>
        <v>KBP2</v>
      </c>
      <c r="J26" s="7" t="str">
        <f t="shared" si="11"/>
        <v>KIS2</v>
      </c>
      <c r="K26" s="7" t="str">
        <f t="shared" si="7"/>
        <v>NIC18</v>
      </c>
      <c r="L26" s="7" t="str">
        <f t="shared" si="8"/>
        <v>FNP18</v>
      </c>
      <c r="M26" s="7" t="str">
        <f t="shared" si="2"/>
        <v>CPYLDAVG2</v>
      </c>
      <c r="BR26" s="34">
        <v>44921</v>
      </c>
      <c r="BS26" s="7">
        <v>3.536</v>
      </c>
      <c r="BT26" s="7">
        <v>3.78</v>
      </c>
      <c r="BU26" s="7">
        <f t="shared" si="3"/>
        <v>-24.399999999999977</v>
      </c>
      <c r="BV26" s="34">
        <v>44921</v>
      </c>
      <c r="BW26" s="7">
        <v>4.1210000000000004</v>
      </c>
      <c r="BX26" s="7">
        <v>4.0739999999999998</v>
      </c>
      <c r="BY26" s="7">
        <f t="shared" si="4"/>
        <v>4.7000000000000597</v>
      </c>
      <c r="BZ26" s="34">
        <v>44921</v>
      </c>
      <c r="CA26" s="7">
        <v>4.1210000000000004</v>
      </c>
      <c r="CB26" s="7">
        <v>4.6440000000000001</v>
      </c>
      <c r="CC26" s="7">
        <f t="shared" si="5"/>
        <v>-52.299999999999969</v>
      </c>
      <c r="CD26" s="34">
        <v>44921</v>
      </c>
      <c r="CE26" s="7">
        <v>5.23</v>
      </c>
      <c r="CF26" s="7">
        <v>4.6779999999999999</v>
      </c>
      <c r="CG26" s="7">
        <f t="shared" si="6"/>
        <v>55.200000000000045</v>
      </c>
    </row>
    <row r="27" spans="2:85" x14ac:dyDescent="0.15">
      <c r="B27" s="7" t="s">
        <v>247</v>
      </c>
      <c r="C27" s="7" t="s">
        <v>7</v>
      </c>
      <c r="D27" s="7" t="s">
        <v>83</v>
      </c>
      <c r="E27" s="7" t="s">
        <v>75</v>
      </c>
      <c r="F27" s="7" t="s">
        <v>109</v>
      </c>
      <c r="G27" s="7" t="str">
        <f t="shared" si="9"/>
        <v>AVG3</v>
      </c>
      <c r="H27" s="7" t="str">
        <f t="shared" si="1"/>
        <v>AV43</v>
      </c>
      <c r="I27" s="7" t="str">
        <f t="shared" si="10"/>
        <v>KBP3</v>
      </c>
      <c r="J27" s="7" t="str">
        <f t="shared" si="11"/>
        <v>KIS3</v>
      </c>
      <c r="K27" s="7" t="str">
        <f t="shared" si="7"/>
        <v>NIC19</v>
      </c>
      <c r="L27" s="7" t="str">
        <f t="shared" si="8"/>
        <v>FNP19</v>
      </c>
      <c r="M27" s="7" t="str">
        <f t="shared" si="2"/>
        <v>CPYLDAVG3</v>
      </c>
      <c r="BR27" s="34">
        <v>44918</v>
      </c>
      <c r="BS27" s="7">
        <v>3.528</v>
      </c>
      <c r="BT27" s="7">
        <v>3.7679999999999998</v>
      </c>
      <c r="BU27" s="7">
        <f t="shared" si="3"/>
        <v>-23.999999999999979</v>
      </c>
      <c r="BV27" s="34">
        <v>44918</v>
      </c>
      <c r="BW27" s="7">
        <v>4.125</v>
      </c>
      <c r="BX27" s="7">
        <v>4.077</v>
      </c>
      <c r="BY27" s="7">
        <f t="shared" si="4"/>
        <v>4.8000000000000043</v>
      </c>
      <c r="BZ27" s="34">
        <v>44918</v>
      </c>
      <c r="CA27" s="7">
        <v>4.125</v>
      </c>
      <c r="CB27" s="7">
        <v>4.6470000000000002</v>
      </c>
      <c r="CC27" s="7">
        <f t="shared" si="5"/>
        <v>-52.200000000000024</v>
      </c>
      <c r="CD27" s="34">
        <v>44918</v>
      </c>
      <c r="CE27" s="7">
        <v>5.2460000000000004</v>
      </c>
      <c r="CF27" s="7">
        <v>4.681</v>
      </c>
      <c r="CG27" s="7">
        <f t="shared" si="6"/>
        <v>56.500000000000043</v>
      </c>
    </row>
    <row r="28" spans="2:85" ht="16.5" customHeight="1" x14ac:dyDescent="0.15">
      <c r="B28" s="7" t="s">
        <v>248</v>
      </c>
      <c r="C28" s="7" t="s">
        <v>7</v>
      </c>
      <c r="D28" s="7" t="s">
        <v>83</v>
      </c>
      <c r="E28" s="7" t="s">
        <v>76</v>
      </c>
      <c r="F28" s="7" t="s">
        <v>110</v>
      </c>
      <c r="G28" s="7" t="str">
        <f t="shared" si="9"/>
        <v>AVG4</v>
      </c>
      <c r="H28" s="7" t="str">
        <f t="shared" si="1"/>
        <v>AV44</v>
      </c>
      <c r="I28" s="7" t="str">
        <f t="shared" si="10"/>
        <v>KBP4</v>
      </c>
      <c r="J28" s="7" t="str">
        <f t="shared" si="11"/>
        <v>KIS4</v>
      </c>
      <c r="K28" s="7" t="str">
        <f t="shared" si="7"/>
        <v>NIC20</v>
      </c>
      <c r="L28" s="7" t="str">
        <f t="shared" si="8"/>
        <v>FNP20</v>
      </c>
      <c r="M28" s="7" t="str">
        <f t="shared" si="2"/>
        <v>CPYLDAVG4</v>
      </c>
      <c r="R28" s="52" t="s">
        <v>251</v>
      </c>
      <c r="S28" s="53"/>
      <c r="T28" s="53"/>
      <c r="U28" s="53"/>
      <c r="V28" s="53"/>
      <c r="W28" s="54"/>
      <c r="X28" s="52" t="s">
        <v>252</v>
      </c>
      <c r="Y28" s="53"/>
      <c r="Z28" s="53"/>
      <c r="AA28" s="53"/>
      <c r="AB28" s="53"/>
      <c r="AC28" s="54"/>
      <c r="AE28" s="52" t="s">
        <v>251</v>
      </c>
      <c r="AF28" s="53"/>
      <c r="AG28" s="53"/>
      <c r="AH28" s="53"/>
      <c r="AI28" s="53"/>
      <c r="AJ28" s="54"/>
      <c r="AK28" s="52" t="s">
        <v>252</v>
      </c>
      <c r="AL28" s="53"/>
      <c r="AM28" s="53"/>
      <c r="AN28" s="53"/>
      <c r="AO28" s="53"/>
      <c r="AP28" s="54"/>
      <c r="BR28" s="34">
        <v>44917</v>
      </c>
      <c r="BS28" s="7">
        <v>3.5009999999999999</v>
      </c>
      <c r="BT28" s="7">
        <v>3.7450000000000001</v>
      </c>
      <c r="BU28" s="7">
        <f t="shared" si="3"/>
        <v>-24.40000000000002</v>
      </c>
      <c r="BV28" s="34">
        <v>44917</v>
      </c>
      <c r="BW28" s="7">
        <v>4.1079999999999997</v>
      </c>
      <c r="BX28" s="7">
        <v>4.0609999999999999</v>
      </c>
      <c r="BY28" s="7">
        <f t="shared" si="4"/>
        <v>4.6999999999999709</v>
      </c>
      <c r="BZ28" s="34">
        <v>44917</v>
      </c>
      <c r="CA28" s="7">
        <v>4.1079999999999997</v>
      </c>
      <c r="CB28" s="7">
        <v>4.63</v>
      </c>
      <c r="CC28" s="7">
        <f t="shared" si="5"/>
        <v>-52.200000000000024</v>
      </c>
      <c r="CD28" s="34">
        <v>44917</v>
      </c>
      <c r="CE28" s="7">
        <v>5.2549999999999999</v>
      </c>
      <c r="CF28" s="7">
        <v>4.6639999999999997</v>
      </c>
      <c r="CG28" s="7">
        <f t="shared" si="6"/>
        <v>59.100000000000023</v>
      </c>
    </row>
    <row r="29" spans="2:85" ht="3" customHeight="1" x14ac:dyDescent="0.15">
      <c r="B29" s="7" t="s">
        <v>249</v>
      </c>
      <c r="C29" s="7" t="s">
        <v>7</v>
      </c>
      <c r="D29" s="7" t="s">
        <v>40</v>
      </c>
      <c r="BR29" s="34">
        <v>44916</v>
      </c>
      <c r="BS29" s="7">
        <v>3.5110000000000001</v>
      </c>
      <c r="BT29" s="7">
        <v>3.7650000000000001</v>
      </c>
      <c r="BU29" s="7">
        <f t="shared" si="3"/>
        <v>-25.4</v>
      </c>
      <c r="BV29" s="34">
        <v>44916</v>
      </c>
      <c r="BW29" s="7">
        <v>4.125</v>
      </c>
      <c r="BX29" s="7">
        <v>4.077</v>
      </c>
      <c r="BY29" s="7">
        <f t="shared" si="4"/>
        <v>4.8000000000000043</v>
      </c>
      <c r="BZ29" s="34">
        <v>44916</v>
      </c>
      <c r="CA29" s="7">
        <v>4.125</v>
      </c>
      <c r="CB29" s="7">
        <v>4.6440000000000001</v>
      </c>
      <c r="CC29" s="7">
        <f t="shared" si="5"/>
        <v>-51.900000000000013</v>
      </c>
      <c r="CD29" s="34">
        <v>44916</v>
      </c>
      <c r="CE29" s="7">
        <v>5.3</v>
      </c>
      <c r="CF29" s="7">
        <v>4.6779999999999999</v>
      </c>
      <c r="CG29" s="7">
        <f t="shared" si="6"/>
        <v>62.199999999999989</v>
      </c>
    </row>
    <row r="30" spans="2:85" ht="18" customHeight="1" x14ac:dyDescent="0.15">
      <c r="BR30" s="34">
        <v>44915</v>
      </c>
      <c r="BS30" s="7">
        <v>3.5030000000000001</v>
      </c>
      <c r="BT30" s="7">
        <v>3.7850000000000001</v>
      </c>
      <c r="BU30" s="7">
        <f t="shared" si="3"/>
        <v>-28.200000000000003</v>
      </c>
      <c r="BV30" s="34">
        <v>44915</v>
      </c>
      <c r="BW30" s="7">
        <v>4.1280000000000001</v>
      </c>
      <c r="BX30" s="7">
        <v>4.0810000000000004</v>
      </c>
      <c r="BY30" s="7">
        <f t="shared" si="4"/>
        <v>4.6999999999999709</v>
      </c>
      <c r="BZ30" s="34">
        <v>44915</v>
      </c>
      <c r="CA30" s="7">
        <v>4.1280000000000001</v>
      </c>
      <c r="CB30" s="7">
        <v>4.6520000000000001</v>
      </c>
      <c r="CC30" s="7">
        <f t="shared" si="5"/>
        <v>-52.400000000000006</v>
      </c>
      <c r="CD30" s="34">
        <v>44915</v>
      </c>
      <c r="CE30" s="7">
        <v>5.3360000000000003</v>
      </c>
      <c r="CF30" s="7">
        <v>4.6859999999999999</v>
      </c>
      <c r="CG30" s="7">
        <f t="shared" si="6"/>
        <v>65.000000000000028</v>
      </c>
    </row>
    <row r="31" spans="2:85" x14ac:dyDescent="0.15">
      <c r="B31" s="7" t="s">
        <v>43</v>
      </c>
      <c r="C31" s="7" t="s">
        <v>7</v>
      </c>
      <c r="D31" s="7" t="s">
        <v>41</v>
      </c>
      <c r="BR31" s="34">
        <v>44914</v>
      </c>
      <c r="BS31" s="7">
        <v>3.4660000000000002</v>
      </c>
      <c r="BT31" s="7">
        <v>3.7280000000000002</v>
      </c>
      <c r="BU31" s="7">
        <f t="shared" si="3"/>
        <v>-26.200000000000003</v>
      </c>
      <c r="BV31" s="34">
        <v>44914</v>
      </c>
      <c r="BW31" s="7">
        <v>4.0979999999999999</v>
      </c>
      <c r="BX31" s="7">
        <v>4.0540000000000003</v>
      </c>
      <c r="BY31" s="7">
        <f t="shared" si="4"/>
        <v>4.3999999999999595</v>
      </c>
      <c r="BZ31" s="34">
        <v>44914</v>
      </c>
      <c r="CA31" s="7">
        <v>4.0979999999999999</v>
      </c>
      <c r="CB31" s="7">
        <v>4.6239999999999997</v>
      </c>
      <c r="CC31" s="7">
        <f t="shared" si="5"/>
        <v>-52.59999999999998</v>
      </c>
      <c r="CD31" s="34">
        <v>44914</v>
      </c>
      <c r="CE31" s="7">
        <v>5.31</v>
      </c>
      <c r="CF31" s="7">
        <v>4.6580000000000004</v>
      </c>
      <c r="CG31" s="7">
        <f t="shared" si="6"/>
        <v>65.199999999999932</v>
      </c>
    </row>
    <row r="32" spans="2:85" x14ac:dyDescent="0.15">
      <c r="B32" s="7" t="s">
        <v>10</v>
      </c>
      <c r="C32" s="7" t="s">
        <v>11</v>
      </c>
      <c r="D32" s="7" t="s">
        <v>46</v>
      </c>
      <c r="BR32" s="34">
        <v>44911</v>
      </c>
      <c r="BS32" s="7">
        <v>3.4529999999999998</v>
      </c>
      <c r="BT32" s="7">
        <v>3.718</v>
      </c>
      <c r="BU32" s="7">
        <f t="shared" si="3"/>
        <v>-26.500000000000014</v>
      </c>
      <c r="BV32" s="34">
        <v>44911</v>
      </c>
      <c r="BW32" s="7">
        <v>4.0880000000000001</v>
      </c>
      <c r="BX32" s="7">
        <v>4.0439999999999996</v>
      </c>
      <c r="BY32" s="7">
        <f t="shared" si="4"/>
        <v>4.4000000000000483</v>
      </c>
      <c r="BZ32" s="34">
        <v>44911</v>
      </c>
      <c r="CA32" s="7">
        <v>4.0880000000000001</v>
      </c>
      <c r="CB32" s="7">
        <v>4.625</v>
      </c>
      <c r="CC32" s="7">
        <f t="shared" si="5"/>
        <v>-53.699999999999989</v>
      </c>
      <c r="CD32" s="34">
        <v>44911</v>
      </c>
      <c r="CE32" s="7">
        <v>5.33</v>
      </c>
      <c r="CF32" s="7">
        <v>4.6589999999999998</v>
      </c>
      <c r="CG32" s="7">
        <f t="shared" si="6"/>
        <v>67.100000000000023</v>
      </c>
    </row>
    <row r="33" spans="2:85" x14ac:dyDescent="0.15">
      <c r="BR33" s="34">
        <v>44910</v>
      </c>
      <c r="BS33" s="7">
        <v>3.45</v>
      </c>
      <c r="BT33" s="7">
        <v>3.7149999999999999</v>
      </c>
      <c r="BU33" s="7">
        <f t="shared" si="3"/>
        <v>-26.499999999999968</v>
      </c>
      <c r="BV33" s="34">
        <v>44910</v>
      </c>
      <c r="BW33" s="7">
        <v>4.0860000000000003</v>
      </c>
      <c r="BX33" s="7">
        <v>4.0419999999999998</v>
      </c>
      <c r="BY33" s="7">
        <f t="shared" si="4"/>
        <v>4.4000000000000483</v>
      </c>
      <c r="BZ33" s="34">
        <v>44910</v>
      </c>
      <c r="CA33" s="7">
        <v>4.0860000000000003</v>
      </c>
      <c r="CB33" s="7">
        <v>4.6239999999999997</v>
      </c>
      <c r="CC33" s="7">
        <f t="shared" si="5"/>
        <v>-53.79999999999994</v>
      </c>
      <c r="CD33" s="34">
        <v>44910</v>
      </c>
      <c r="CE33" s="7">
        <v>5.351</v>
      </c>
      <c r="CF33" s="7">
        <v>4.6580000000000004</v>
      </c>
      <c r="CG33" s="7">
        <f t="shared" si="6"/>
        <v>69.299999999999955</v>
      </c>
    </row>
    <row r="34" spans="2:85" x14ac:dyDescent="0.15">
      <c r="BR34" s="34">
        <v>44909</v>
      </c>
      <c r="BS34" s="7">
        <v>3.44</v>
      </c>
      <c r="BT34" s="7">
        <v>3.71</v>
      </c>
      <c r="BU34" s="7">
        <f t="shared" si="3"/>
        <v>-27</v>
      </c>
      <c r="BV34" s="34">
        <v>44909</v>
      </c>
      <c r="BW34" s="7">
        <v>4.0780000000000003</v>
      </c>
      <c r="BX34" s="7">
        <v>4.0339999999999998</v>
      </c>
      <c r="BY34" s="7">
        <f t="shared" si="4"/>
        <v>4.4000000000000483</v>
      </c>
      <c r="BZ34" s="34">
        <v>44909</v>
      </c>
      <c r="CA34" s="7">
        <v>4.0780000000000003</v>
      </c>
      <c r="CB34" s="7">
        <v>4.6219999999999999</v>
      </c>
      <c r="CC34" s="7">
        <f t="shared" si="5"/>
        <v>-54.399999999999963</v>
      </c>
      <c r="CD34" s="34">
        <v>44909</v>
      </c>
      <c r="CE34" s="7">
        <v>5.3630000000000004</v>
      </c>
      <c r="CF34" s="7">
        <v>4.6559999999999997</v>
      </c>
      <c r="CG34" s="7">
        <f t="shared" si="6"/>
        <v>70.700000000000074</v>
      </c>
    </row>
    <row r="35" spans="2:85" x14ac:dyDescent="0.15">
      <c r="B35" s="7">
        <v>1</v>
      </c>
      <c r="C35" s="7" t="s">
        <v>13</v>
      </c>
      <c r="D35" s="7" t="s">
        <v>13</v>
      </c>
      <c r="G35" s="38" t="s">
        <v>216</v>
      </c>
      <c r="H35" s="38"/>
      <c r="I35" s="38"/>
      <c r="J35" s="38" t="s">
        <v>217</v>
      </c>
      <c r="K35" s="38"/>
      <c r="L35" s="38"/>
      <c r="BR35" s="34">
        <v>44908</v>
      </c>
      <c r="BS35" s="7">
        <v>3.4430000000000001</v>
      </c>
      <c r="BT35" s="7">
        <v>3.7149999999999999</v>
      </c>
      <c r="BU35" s="7">
        <f t="shared" si="3"/>
        <v>-27.199999999999982</v>
      </c>
      <c r="BV35" s="34">
        <v>44908</v>
      </c>
      <c r="BW35" s="7">
        <v>4.0830000000000002</v>
      </c>
      <c r="BX35" s="7">
        <v>4.0389999999999997</v>
      </c>
      <c r="BY35" s="7">
        <f t="shared" si="4"/>
        <v>4.4000000000000483</v>
      </c>
      <c r="BZ35" s="34">
        <v>44908</v>
      </c>
      <c r="CA35" s="7">
        <v>4.0830000000000002</v>
      </c>
      <c r="CB35" s="7">
        <v>4.6239999999999997</v>
      </c>
      <c r="CC35" s="7">
        <f t="shared" si="5"/>
        <v>-54.099999999999952</v>
      </c>
      <c r="CD35" s="34">
        <v>44908</v>
      </c>
      <c r="CE35" s="7">
        <v>5.391</v>
      </c>
      <c r="CF35" s="7">
        <v>4.6580000000000004</v>
      </c>
      <c r="CG35" s="7">
        <f t="shared" si="6"/>
        <v>73.299999999999969</v>
      </c>
    </row>
    <row r="36" spans="2:85" x14ac:dyDescent="0.15">
      <c r="B36" s="7" t="s">
        <v>112</v>
      </c>
      <c r="C36" s="7" t="s">
        <v>141</v>
      </c>
      <c r="D36" s="7" t="s">
        <v>141</v>
      </c>
      <c r="F36" s="7" t="s">
        <v>213</v>
      </c>
      <c r="G36" s="7" t="s">
        <v>214</v>
      </c>
      <c r="H36" s="7" t="s">
        <v>215</v>
      </c>
      <c r="I36" s="7" t="s">
        <v>223</v>
      </c>
      <c r="J36" s="7" t="s">
        <v>214</v>
      </c>
      <c r="K36" s="7" t="s">
        <v>215</v>
      </c>
      <c r="L36" s="7" t="s">
        <v>224</v>
      </c>
      <c r="BR36" s="34">
        <v>44907</v>
      </c>
      <c r="BS36" s="7">
        <v>3.42</v>
      </c>
      <c r="BT36" s="7">
        <v>3.698</v>
      </c>
      <c r="BU36" s="7">
        <f t="shared" si="3"/>
        <v>-27.800000000000004</v>
      </c>
      <c r="BV36" s="34">
        <v>44907</v>
      </c>
      <c r="BW36" s="7">
        <v>4.0599999999999996</v>
      </c>
      <c r="BX36" s="7">
        <v>4.016</v>
      </c>
      <c r="BY36" s="7">
        <f t="shared" si="4"/>
        <v>4.3999999999999595</v>
      </c>
      <c r="BZ36" s="34">
        <v>44907</v>
      </c>
      <c r="CA36" s="7">
        <v>4.0599999999999996</v>
      </c>
      <c r="CB36" s="7">
        <v>4.5970000000000004</v>
      </c>
      <c r="CC36" s="7">
        <f t="shared" si="5"/>
        <v>-53.700000000000081</v>
      </c>
      <c r="CD36" s="34">
        <v>44907</v>
      </c>
      <c r="CE36" s="7">
        <v>5.3860000000000001</v>
      </c>
      <c r="CF36" s="7">
        <v>4.6310000000000002</v>
      </c>
      <c r="CG36" s="7">
        <f t="shared" si="6"/>
        <v>75.499999999999986</v>
      </c>
    </row>
    <row r="37" spans="2:85" x14ac:dyDescent="0.15">
      <c r="B37" s="7" t="s">
        <v>113</v>
      </c>
      <c r="C37" s="7" t="s">
        <v>16</v>
      </c>
      <c r="D37" s="7" t="s">
        <v>16</v>
      </c>
      <c r="F37" s="7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4</v>
      </c>
      <c r="BR37" s="34">
        <v>44904</v>
      </c>
      <c r="BS37" s="7">
        <v>3.4039999999999999</v>
      </c>
      <c r="BT37" s="7">
        <v>3.6890000000000001</v>
      </c>
      <c r="BU37" s="7">
        <f t="shared" si="3"/>
        <v>-28.500000000000014</v>
      </c>
      <c r="BV37" s="34">
        <v>44904</v>
      </c>
      <c r="BW37" s="7">
        <v>4.056</v>
      </c>
      <c r="BX37" s="7">
        <v>4.0119999999999996</v>
      </c>
      <c r="BY37" s="7">
        <f t="shared" si="4"/>
        <v>4.4000000000000483</v>
      </c>
      <c r="BZ37" s="34">
        <v>44904</v>
      </c>
      <c r="CA37" s="7">
        <v>4.056</v>
      </c>
      <c r="CB37" s="7">
        <v>4.5860000000000003</v>
      </c>
      <c r="CC37" s="7">
        <f t="shared" si="5"/>
        <v>-53.000000000000028</v>
      </c>
      <c r="CD37" s="34">
        <v>44904</v>
      </c>
      <c r="CE37" s="7">
        <v>5.39</v>
      </c>
      <c r="CF37" s="7">
        <v>4.62</v>
      </c>
      <c r="CG37" s="7">
        <f t="shared" si="6"/>
        <v>76.999999999999957</v>
      </c>
    </row>
    <row r="38" spans="2:85" x14ac:dyDescent="0.15">
      <c r="B38" s="7" t="s">
        <v>48</v>
      </c>
      <c r="C38" s="7" t="s">
        <v>15</v>
      </c>
      <c r="D38" s="7" t="s">
        <v>15</v>
      </c>
      <c r="F38" s="7">
        <v>2</v>
      </c>
      <c r="G38" s="7">
        <v>1</v>
      </c>
      <c r="H38" s="7">
        <v>3</v>
      </c>
      <c r="I38" s="7">
        <v>1</v>
      </c>
      <c r="J38" s="7">
        <v>1</v>
      </c>
      <c r="K38" s="7">
        <v>2</v>
      </c>
      <c r="L38" s="7">
        <v>1</v>
      </c>
      <c r="BR38" s="34">
        <v>44903</v>
      </c>
      <c r="BS38" s="7">
        <v>3.415</v>
      </c>
      <c r="BT38" s="7">
        <v>3.702</v>
      </c>
      <c r="BU38" s="7">
        <f t="shared" si="3"/>
        <v>-28.699999999999992</v>
      </c>
      <c r="BV38" s="34">
        <v>44903</v>
      </c>
      <c r="BW38" s="7">
        <v>4.0590000000000002</v>
      </c>
      <c r="BX38" s="7">
        <v>4.0149999999999997</v>
      </c>
      <c r="BY38" s="7">
        <f t="shared" si="4"/>
        <v>4.4000000000000483</v>
      </c>
      <c r="BZ38" s="34">
        <v>44903</v>
      </c>
      <c r="CA38" s="7">
        <v>4.0590000000000002</v>
      </c>
      <c r="CB38" s="7">
        <v>4.5789999999999997</v>
      </c>
      <c r="CC38" s="7">
        <f t="shared" si="5"/>
        <v>-51.999999999999957</v>
      </c>
      <c r="CD38" s="34">
        <v>44903</v>
      </c>
      <c r="CE38" s="7">
        <v>5.3949999999999996</v>
      </c>
      <c r="CF38" s="7">
        <v>4.6130000000000004</v>
      </c>
      <c r="CG38" s="7">
        <f t="shared" si="6"/>
        <v>78.199999999999918</v>
      </c>
    </row>
    <row r="39" spans="2:85" x14ac:dyDescent="0.15">
      <c r="B39" s="7" t="s">
        <v>49</v>
      </c>
      <c r="C39" s="7" t="s">
        <v>18</v>
      </c>
      <c r="D39" s="7" t="s">
        <v>18</v>
      </c>
      <c r="F39" s="7">
        <v>3</v>
      </c>
      <c r="G39" s="7">
        <v>1</v>
      </c>
      <c r="H39" s="7">
        <v>3</v>
      </c>
      <c r="I39" s="7">
        <v>1</v>
      </c>
      <c r="J39" s="7">
        <v>1</v>
      </c>
      <c r="K39" s="7">
        <v>10</v>
      </c>
      <c r="L39" s="7">
        <v>1</v>
      </c>
      <c r="BR39" s="34">
        <v>44902</v>
      </c>
      <c r="BS39" s="7">
        <v>3.3929999999999998</v>
      </c>
      <c r="BT39" s="7">
        <v>3.6869999999999998</v>
      </c>
      <c r="BU39" s="7">
        <f t="shared" si="3"/>
        <v>-29.400000000000006</v>
      </c>
      <c r="BV39" s="34">
        <v>44902</v>
      </c>
      <c r="BW39" s="7">
        <v>4.0419999999999998</v>
      </c>
      <c r="BX39" s="7">
        <v>3.9980000000000002</v>
      </c>
      <c r="BY39" s="7">
        <f t="shared" si="4"/>
        <v>4.3999999999999595</v>
      </c>
      <c r="BZ39" s="34">
        <v>44902</v>
      </c>
      <c r="CA39" s="7">
        <v>4.0419999999999998</v>
      </c>
      <c r="CB39" s="7">
        <v>4.5629999999999997</v>
      </c>
      <c r="CC39" s="7">
        <f t="shared" si="5"/>
        <v>-52.099999999999994</v>
      </c>
      <c r="CD39" s="34">
        <v>44902</v>
      </c>
      <c r="CE39" s="7">
        <v>5.3860000000000001</v>
      </c>
      <c r="CF39" s="7">
        <v>4.5970000000000004</v>
      </c>
      <c r="CG39" s="7">
        <f t="shared" si="6"/>
        <v>78.899999999999977</v>
      </c>
    </row>
    <row r="40" spans="2:85" x14ac:dyDescent="0.15">
      <c r="B40" s="7" t="s">
        <v>79</v>
      </c>
      <c r="C40" s="7" t="s">
        <v>20</v>
      </c>
      <c r="D40" s="7" t="s">
        <v>20</v>
      </c>
      <c r="F40" s="7">
        <v>4</v>
      </c>
      <c r="G40" s="7">
        <v>1</v>
      </c>
      <c r="H40" s="7">
        <v>7</v>
      </c>
      <c r="I40" s="7">
        <v>2</v>
      </c>
      <c r="J40" s="7">
        <v>1</v>
      </c>
      <c r="K40" s="7">
        <v>11</v>
      </c>
      <c r="L40" s="7">
        <v>1</v>
      </c>
      <c r="BR40" s="34">
        <v>44901</v>
      </c>
      <c r="BS40" s="7">
        <v>3.37</v>
      </c>
      <c r="BT40" s="7">
        <v>3.661</v>
      </c>
      <c r="BU40" s="7">
        <f t="shared" si="3"/>
        <v>-29.099999999999994</v>
      </c>
      <c r="BV40" s="34">
        <v>44901</v>
      </c>
      <c r="BW40" s="7">
        <v>4.0339999999999998</v>
      </c>
      <c r="BX40" s="7">
        <v>3.99</v>
      </c>
      <c r="BY40" s="7">
        <f t="shared" si="4"/>
        <v>4.3999999999999595</v>
      </c>
      <c r="BZ40" s="34">
        <v>44901</v>
      </c>
      <c r="CA40" s="7">
        <v>4.0339999999999998</v>
      </c>
      <c r="CB40" s="7">
        <v>4.5389999999999997</v>
      </c>
      <c r="CC40" s="7">
        <f t="shared" si="5"/>
        <v>-50.499999999999986</v>
      </c>
      <c r="CD40" s="34">
        <v>44901</v>
      </c>
      <c r="CE40" s="7">
        <v>5.3689999999999998</v>
      </c>
      <c r="CF40" s="7">
        <v>4.5730000000000004</v>
      </c>
      <c r="CG40" s="7">
        <f t="shared" si="6"/>
        <v>79.599999999999937</v>
      </c>
    </row>
    <row r="41" spans="2:85" x14ac:dyDescent="0.15">
      <c r="B41" s="7" t="s">
        <v>50</v>
      </c>
      <c r="C41" s="7" t="s">
        <v>22</v>
      </c>
      <c r="D41" s="7" t="s">
        <v>22</v>
      </c>
      <c r="BR41" s="34">
        <v>44900</v>
      </c>
      <c r="BS41" s="7">
        <v>3.3479999999999999</v>
      </c>
      <c r="BT41" s="7">
        <v>3.6419999999999999</v>
      </c>
      <c r="BU41" s="7">
        <f t="shared" si="3"/>
        <v>-29.400000000000006</v>
      </c>
      <c r="BV41" s="34">
        <v>44900</v>
      </c>
      <c r="BW41" s="7">
        <v>4.0339999999999998</v>
      </c>
      <c r="BX41" s="7">
        <v>3.99</v>
      </c>
      <c r="BY41" s="7">
        <f t="shared" si="4"/>
        <v>4.3999999999999595</v>
      </c>
      <c r="BZ41" s="34">
        <v>44900</v>
      </c>
      <c r="CA41" s="7">
        <v>4.0339999999999998</v>
      </c>
      <c r="CB41" s="7">
        <v>4.5279999999999996</v>
      </c>
      <c r="CC41" s="7">
        <f t="shared" si="5"/>
        <v>-49.399999999999977</v>
      </c>
      <c r="CD41" s="34">
        <v>44900</v>
      </c>
      <c r="CE41" s="7">
        <v>5.3620000000000001</v>
      </c>
      <c r="CF41" s="7">
        <v>4.5620000000000003</v>
      </c>
      <c r="CG41" s="7">
        <f t="shared" si="6"/>
        <v>79.999999999999986</v>
      </c>
    </row>
    <row r="42" spans="2:85" x14ac:dyDescent="0.15">
      <c r="B42" s="7" t="s">
        <v>223</v>
      </c>
      <c r="C42" s="7" t="s">
        <v>24</v>
      </c>
      <c r="D42" s="7" t="s">
        <v>24</v>
      </c>
      <c r="F42" s="7" t="s">
        <v>222</v>
      </c>
      <c r="G42" s="7" t="s">
        <v>129</v>
      </c>
      <c r="J42" s="7" t="s">
        <v>194</v>
      </c>
      <c r="K42" s="7" t="s">
        <v>190</v>
      </c>
      <c r="L42" s="7" t="str">
        <f>IF($H$37&lt;13,INDEX($F$42:$G$45,$I$37,1),INDEX($F$42:$G$45,$I$37,2))</f>
        <v>3월이하(당일)</v>
      </c>
      <c r="BR42" s="34">
        <v>44897</v>
      </c>
      <c r="BS42" s="7">
        <v>3.3410000000000002</v>
      </c>
      <c r="BT42" s="7">
        <v>3.6680000000000001</v>
      </c>
      <c r="BU42" s="7">
        <f t="shared" si="3"/>
        <v>-32.699999999999996</v>
      </c>
      <c r="BV42" s="34">
        <v>44897</v>
      </c>
      <c r="BW42" s="7">
        <v>4.0439999999999996</v>
      </c>
      <c r="BX42" s="7">
        <v>4</v>
      </c>
      <c r="BY42" s="7">
        <f t="shared" si="4"/>
        <v>4.3999999999999595</v>
      </c>
      <c r="BZ42" s="34">
        <v>44897</v>
      </c>
      <c r="CA42" s="7">
        <v>4.0439999999999996</v>
      </c>
      <c r="CB42" s="7">
        <v>4.5339999999999998</v>
      </c>
      <c r="CC42" s="7">
        <f t="shared" si="5"/>
        <v>-49.000000000000021</v>
      </c>
      <c r="CD42" s="34">
        <v>44897</v>
      </c>
      <c r="CE42" s="7">
        <v>5.3860000000000001</v>
      </c>
      <c r="CF42" s="7">
        <v>4.5679999999999996</v>
      </c>
      <c r="CG42" s="7">
        <f t="shared" si="6"/>
        <v>81.800000000000054</v>
      </c>
    </row>
    <row r="43" spans="2:85" x14ac:dyDescent="0.15">
      <c r="B43" s="7" t="s">
        <v>218</v>
      </c>
      <c r="C43" s="7" t="s">
        <v>30</v>
      </c>
      <c r="D43" s="7" t="s">
        <v>30</v>
      </c>
      <c r="F43" s="7" t="s">
        <v>1</v>
      </c>
      <c r="G43" s="7" t="s">
        <v>130</v>
      </c>
      <c r="K43" s="7" t="s">
        <v>191</v>
      </c>
      <c r="L43" s="7" t="str">
        <f>IF($K$37&lt;13,INDEX($F$42:$G$45,$L$37,1),INDEX($F$42:$G$45,$L$37,2))</f>
        <v>1년이하(당일)</v>
      </c>
      <c r="BR43" s="34">
        <v>44896</v>
      </c>
      <c r="BS43" s="7">
        <v>3.3580000000000001</v>
      </c>
      <c r="BT43" s="7">
        <v>3.718</v>
      </c>
      <c r="BU43" s="7">
        <f t="shared" si="3"/>
        <v>-35.999999999999986</v>
      </c>
      <c r="BV43" s="34">
        <v>44896</v>
      </c>
      <c r="BW43" s="7">
        <v>4.0759999999999996</v>
      </c>
      <c r="BX43" s="7">
        <v>4.032</v>
      </c>
      <c r="BY43" s="7">
        <f t="shared" si="4"/>
        <v>4.3999999999999595</v>
      </c>
      <c r="BZ43" s="34">
        <v>44896</v>
      </c>
      <c r="CA43" s="7">
        <v>4.0759999999999996</v>
      </c>
      <c r="CB43" s="7">
        <v>4.5609999999999999</v>
      </c>
      <c r="CC43" s="7">
        <f t="shared" si="5"/>
        <v>-48.500000000000028</v>
      </c>
      <c r="CD43" s="34">
        <v>44896</v>
      </c>
      <c r="CE43" s="7">
        <v>5.4370000000000003</v>
      </c>
      <c r="CF43" s="7">
        <v>4.5949999999999998</v>
      </c>
      <c r="CG43" s="7">
        <f t="shared" si="6"/>
        <v>84.200000000000045</v>
      </c>
    </row>
    <row r="44" spans="2:85" x14ac:dyDescent="0.15">
      <c r="B44" s="7" t="s">
        <v>219</v>
      </c>
      <c r="C44" s="7" t="s">
        <v>32</v>
      </c>
      <c r="D44" s="7" t="s">
        <v>32</v>
      </c>
      <c r="F44" s="7" t="s">
        <v>2</v>
      </c>
      <c r="G44" s="7" t="s">
        <v>131</v>
      </c>
      <c r="J44" s="7" t="s">
        <v>195</v>
      </c>
      <c r="K44" s="7" t="s">
        <v>190</v>
      </c>
      <c r="L44" s="7" t="str">
        <f>IF($H$38&lt;13,INDEX($F$42:$G$45,$I$38,1),INDEX($F$42:$G$45,$I$38,2))</f>
        <v>3월이하(당일)</v>
      </c>
      <c r="BR44" s="34">
        <v>44895</v>
      </c>
      <c r="BS44" s="7">
        <v>3.4009999999999998</v>
      </c>
      <c r="BT44" s="7">
        <v>3.7610000000000001</v>
      </c>
      <c r="BU44" s="7">
        <f t="shared" si="3"/>
        <v>-36.000000000000028</v>
      </c>
      <c r="BV44" s="34">
        <v>44895</v>
      </c>
      <c r="BW44" s="7">
        <v>4.1210000000000004</v>
      </c>
      <c r="BX44" s="7">
        <v>4.077</v>
      </c>
      <c r="BY44" s="7">
        <f t="shared" si="4"/>
        <v>4.4000000000000483</v>
      </c>
      <c r="BZ44" s="34">
        <v>44895</v>
      </c>
      <c r="CA44" s="7">
        <v>4.1210000000000004</v>
      </c>
      <c r="CB44" s="7">
        <v>4.609</v>
      </c>
      <c r="CC44" s="7">
        <f t="shared" si="5"/>
        <v>-48.799999999999955</v>
      </c>
      <c r="CD44" s="34">
        <v>44895</v>
      </c>
      <c r="CE44" s="7">
        <v>5.5069999999999997</v>
      </c>
      <c r="CF44" s="7">
        <v>4.6429999999999998</v>
      </c>
      <c r="CG44" s="7">
        <f t="shared" si="6"/>
        <v>86.399999999999991</v>
      </c>
    </row>
    <row r="45" spans="2:85" x14ac:dyDescent="0.15">
      <c r="B45" s="7" t="s">
        <v>220</v>
      </c>
      <c r="C45" s="7" t="s">
        <v>34</v>
      </c>
      <c r="D45" s="7" t="s">
        <v>34</v>
      </c>
      <c r="F45" s="7" t="s">
        <v>3</v>
      </c>
      <c r="G45" s="7" t="s">
        <v>132</v>
      </c>
      <c r="K45" s="7" t="s">
        <v>191</v>
      </c>
      <c r="L45" s="7" t="str">
        <f>IF($K$38&lt;13,INDEX($F$42:$G$45,$L$38,1),INDEX($F$42:$G$45,$L$38,2))</f>
        <v>3월이하(당일)</v>
      </c>
      <c r="BR45" s="34">
        <v>44894</v>
      </c>
      <c r="BS45" s="7">
        <v>3.4009999999999998</v>
      </c>
      <c r="BT45" s="7">
        <v>3.7930000000000001</v>
      </c>
      <c r="BU45" s="7">
        <f t="shared" si="3"/>
        <v>-39.200000000000031</v>
      </c>
      <c r="BV45" s="34">
        <v>44894</v>
      </c>
      <c r="BW45" s="7">
        <v>4.1219999999999999</v>
      </c>
      <c r="BX45" s="7">
        <v>4.0780000000000003</v>
      </c>
      <c r="BY45" s="7">
        <f t="shared" si="4"/>
        <v>4.3999999999999595</v>
      </c>
      <c r="BZ45" s="34">
        <v>44894</v>
      </c>
      <c r="CA45" s="7">
        <v>4.1219999999999999</v>
      </c>
      <c r="CB45" s="7">
        <v>4.5940000000000003</v>
      </c>
      <c r="CC45" s="7">
        <f t="shared" si="5"/>
        <v>-47.200000000000045</v>
      </c>
      <c r="CD45" s="34">
        <v>44894</v>
      </c>
      <c r="CE45" s="7">
        <v>5.5069999999999997</v>
      </c>
      <c r="CF45" s="7">
        <v>4.6280000000000001</v>
      </c>
      <c r="CG45" s="7">
        <f t="shared" si="6"/>
        <v>87.899999999999949</v>
      </c>
    </row>
    <row r="46" spans="2:85" x14ac:dyDescent="0.15">
      <c r="B46" s="7" t="s">
        <v>221</v>
      </c>
      <c r="C46" s="7" t="s">
        <v>36</v>
      </c>
      <c r="D46" s="7" t="s">
        <v>36</v>
      </c>
      <c r="J46" s="7" t="s">
        <v>196</v>
      </c>
      <c r="K46" s="7" t="s">
        <v>190</v>
      </c>
      <c r="L46" s="7" t="str">
        <f>IF($H$39&lt;13,INDEX($F$42:$G$45,$I$39,1),INDEX($F$42:$G$45,$I$39,2))</f>
        <v>3월이하(당일)</v>
      </c>
      <c r="BR46" s="34">
        <v>44893</v>
      </c>
      <c r="BS46" s="7">
        <v>3.39</v>
      </c>
      <c r="BT46" s="7">
        <v>3.758</v>
      </c>
      <c r="BU46" s="7">
        <f t="shared" si="3"/>
        <v>-36.79999999999999</v>
      </c>
      <c r="BV46" s="34">
        <v>44893</v>
      </c>
      <c r="BW46" s="7">
        <v>4.1139999999999999</v>
      </c>
      <c r="BX46" s="7">
        <v>4.07</v>
      </c>
      <c r="BY46" s="7">
        <f t="shared" si="4"/>
        <v>4.3999999999999595</v>
      </c>
      <c r="BZ46" s="34">
        <v>44893</v>
      </c>
      <c r="CA46" s="7">
        <v>4.1139999999999999</v>
      </c>
      <c r="CB46" s="7">
        <v>4.5679999999999996</v>
      </c>
      <c r="CC46" s="7">
        <f t="shared" si="5"/>
        <v>-45.399999999999977</v>
      </c>
      <c r="CD46" s="34">
        <v>44893</v>
      </c>
      <c r="CE46" s="7">
        <v>5.4740000000000002</v>
      </c>
      <c r="CF46" s="7">
        <v>4.6020000000000003</v>
      </c>
      <c r="CG46" s="7">
        <f t="shared" si="6"/>
        <v>87.199999999999989</v>
      </c>
    </row>
    <row r="47" spans="2:85" x14ac:dyDescent="0.15">
      <c r="C47" s="7" t="s">
        <v>175</v>
      </c>
      <c r="D47" s="7" t="s">
        <v>175</v>
      </c>
      <c r="K47" s="7" t="s">
        <v>191</v>
      </c>
      <c r="L47" s="7" t="str">
        <f>IF($K$39&lt;13,INDEX($F$42:$G$45,$L$39,1),INDEX($F$42:$G$45,$L$39,2))</f>
        <v>3월이하(당일)</v>
      </c>
      <c r="BR47" s="34">
        <v>44890</v>
      </c>
      <c r="BS47" s="7">
        <v>3.3860000000000001</v>
      </c>
      <c r="BT47" s="7">
        <v>3.7360000000000002</v>
      </c>
      <c r="BU47" s="7">
        <f t="shared" si="3"/>
        <v>-35.000000000000007</v>
      </c>
      <c r="BV47" s="34">
        <v>44890</v>
      </c>
      <c r="BW47" s="7">
        <v>4.109</v>
      </c>
      <c r="BX47" s="7">
        <v>4.0650000000000004</v>
      </c>
      <c r="BY47" s="7">
        <f t="shared" si="4"/>
        <v>4.3999999999999595</v>
      </c>
      <c r="BZ47" s="34">
        <v>44890</v>
      </c>
      <c r="CA47" s="7">
        <v>4.109</v>
      </c>
      <c r="CB47" s="7">
        <v>4.5510000000000002</v>
      </c>
      <c r="CC47" s="7">
        <f t="shared" si="5"/>
        <v>-44.200000000000017</v>
      </c>
      <c r="CD47" s="34">
        <v>44890</v>
      </c>
      <c r="CE47" s="7">
        <v>5.4539999999999997</v>
      </c>
      <c r="CF47" s="7">
        <v>4.585</v>
      </c>
      <c r="CG47" s="7">
        <f t="shared" si="6"/>
        <v>86.899999999999977</v>
      </c>
    </row>
    <row r="48" spans="2:85" x14ac:dyDescent="0.15">
      <c r="C48" s="7" t="s">
        <v>176</v>
      </c>
      <c r="D48" s="7" t="s">
        <v>176</v>
      </c>
      <c r="J48" s="7" t="s">
        <v>197</v>
      </c>
      <c r="K48" s="7" t="s">
        <v>190</v>
      </c>
      <c r="L48" s="7" t="str">
        <f>IF($H$40&lt;13,INDEX($F$42:$G$45,$I$40,1),INDEX($F$42:$G$45,$I$40,2))</f>
        <v>6월이하(당일)</v>
      </c>
      <c r="BR48" s="34">
        <v>44889</v>
      </c>
      <c r="BS48" s="7">
        <v>3.375</v>
      </c>
      <c r="BT48" s="7">
        <v>3.7480000000000002</v>
      </c>
      <c r="BU48" s="7">
        <f t="shared" si="3"/>
        <v>-37.300000000000026</v>
      </c>
      <c r="BV48" s="34">
        <v>44889</v>
      </c>
      <c r="BW48" s="7">
        <v>4.0960000000000001</v>
      </c>
      <c r="BX48" s="7">
        <v>4.0519999999999996</v>
      </c>
      <c r="BY48" s="7">
        <f t="shared" si="4"/>
        <v>4.4000000000000483</v>
      </c>
      <c r="BZ48" s="34">
        <v>44889</v>
      </c>
      <c r="CA48" s="7">
        <v>4.0960000000000001</v>
      </c>
      <c r="CB48" s="7">
        <v>4.5339999999999998</v>
      </c>
      <c r="CC48" s="7">
        <f t="shared" si="5"/>
        <v>-43.799999999999969</v>
      </c>
      <c r="CD48" s="34">
        <v>44889</v>
      </c>
      <c r="CE48" s="7">
        <v>5.4409999999999998</v>
      </c>
      <c r="CF48" s="7">
        <v>4.5679999999999996</v>
      </c>
      <c r="CG48" s="7">
        <f t="shared" si="6"/>
        <v>87.300000000000026</v>
      </c>
    </row>
    <row r="49" spans="3:85" x14ac:dyDescent="0.15">
      <c r="C49" s="7" t="s">
        <v>177</v>
      </c>
      <c r="D49" s="7" t="s">
        <v>177</v>
      </c>
      <c r="K49" s="7" t="s">
        <v>191</v>
      </c>
      <c r="L49" s="7" t="str">
        <f>IF($K$40&lt;13,INDEX($F$42:$G$45,$L$40,1),INDEX($F$42:$G$45,$L$40,2))</f>
        <v>3월이하(당일)</v>
      </c>
      <c r="BR49" s="34">
        <v>44888</v>
      </c>
      <c r="BS49" s="7">
        <v>3.3650000000000002</v>
      </c>
      <c r="BT49" s="7">
        <v>3.8530000000000002</v>
      </c>
      <c r="BU49" s="7">
        <f t="shared" si="3"/>
        <v>-48.8</v>
      </c>
      <c r="BV49" s="34">
        <v>44888</v>
      </c>
      <c r="BW49" s="7">
        <v>4.1040000000000001</v>
      </c>
      <c r="BX49" s="7">
        <v>4.0599999999999996</v>
      </c>
      <c r="BY49" s="7">
        <f t="shared" si="4"/>
        <v>4.4000000000000483</v>
      </c>
      <c r="BZ49" s="34">
        <v>44888</v>
      </c>
      <c r="CA49" s="7">
        <v>4.1040000000000001</v>
      </c>
      <c r="CB49" s="7">
        <v>4.5129999999999999</v>
      </c>
      <c r="CC49" s="7">
        <f t="shared" si="5"/>
        <v>-40.899999999999977</v>
      </c>
      <c r="CD49" s="34">
        <v>44888</v>
      </c>
      <c r="CE49" s="7">
        <v>5.4269999999999996</v>
      </c>
      <c r="CF49" s="7">
        <v>4.5469999999999997</v>
      </c>
      <c r="CG49" s="7">
        <f t="shared" si="6"/>
        <v>87.999999999999986</v>
      </c>
    </row>
    <row r="50" spans="3:85" x14ac:dyDescent="0.15">
      <c r="C50" s="7" t="s">
        <v>178</v>
      </c>
      <c r="D50" s="7" t="s">
        <v>178</v>
      </c>
      <c r="BR50" s="34">
        <v>44887</v>
      </c>
      <c r="BS50" s="7">
        <v>3.3650000000000002</v>
      </c>
      <c r="BT50" s="7">
        <v>3.8679999999999999</v>
      </c>
      <c r="BU50" s="7">
        <f t="shared" si="3"/>
        <v>-50.299999999999969</v>
      </c>
      <c r="BV50" s="34">
        <v>44887</v>
      </c>
      <c r="BW50" s="7">
        <v>4.1020000000000003</v>
      </c>
      <c r="BX50" s="7">
        <v>4.0579999999999998</v>
      </c>
      <c r="BY50" s="7">
        <f t="shared" si="4"/>
        <v>4.4000000000000483</v>
      </c>
      <c r="BZ50" s="34">
        <v>44887</v>
      </c>
      <c r="CA50" s="7">
        <v>4.1020000000000003</v>
      </c>
      <c r="CB50" s="7">
        <v>4.5060000000000002</v>
      </c>
      <c r="CC50" s="7">
        <f t="shared" si="5"/>
        <v>-40.399999999999991</v>
      </c>
      <c r="CD50" s="34">
        <v>44887</v>
      </c>
      <c r="CE50" s="7">
        <v>5.4189999999999996</v>
      </c>
      <c r="CF50" s="7">
        <v>4.54</v>
      </c>
      <c r="CG50" s="7">
        <f t="shared" si="6"/>
        <v>87.899999999999949</v>
      </c>
    </row>
    <row r="51" spans="3:85" x14ac:dyDescent="0.15">
      <c r="C51" s="7" t="s">
        <v>179</v>
      </c>
      <c r="D51" s="7" t="s">
        <v>179</v>
      </c>
      <c r="BR51" s="34">
        <v>44886</v>
      </c>
      <c r="BS51" s="7">
        <v>3.375</v>
      </c>
      <c r="BT51" s="7">
        <v>3.8460000000000001</v>
      </c>
      <c r="BU51" s="7">
        <f t="shared" si="3"/>
        <v>-47.100000000000009</v>
      </c>
      <c r="BV51" s="34">
        <v>44886</v>
      </c>
      <c r="BW51" s="7">
        <v>4.101</v>
      </c>
      <c r="BX51" s="7">
        <v>4.0570000000000004</v>
      </c>
      <c r="BY51" s="7">
        <f t="shared" si="4"/>
        <v>4.3999999999999595</v>
      </c>
      <c r="BZ51" s="34">
        <v>44886</v>
      </c>
      <c r="CA51" s="7">
        <v>4.101</v>
      </c>
      <c r="CB51" s="7">
        <v>4.5060000000000002</v>
      </c>
      <c r="CC51" s="7">
        <f t="shared" si="5"/>
        <v>-40.500000000000028</v>
      </c>
      <c r="CD51" s="34">
        <v>44886</v>
      </c>
      <c r="CE51" s="7">
        <v>5.4059999999999997</v>
      </c>
      <c r="CF51" s="7">
        <v>4.54</v>
      </c>
      <c r="CG51" s="7">
        <f t="shared" si="6"/>
        <v>86.599999999999966</v>
      </c>
    </row>
    <row r="52" spans="3:85" x14ac:dyDescent="0.15">
      <c r="C52" s="7" t="s">
        <v>180</v>
      </c>
      <c r="D52" s="7" t="s">
        <v>180</v>
      </c>
      <c r="BR52" s="34">
        <v>44883</v>
      </c>
      <c r="BS52" s="7">
        <v>3.375</v>
      </c>
      <c r="BT52" s="7">
        <v>3.8130000000000002</v>
      </c>
      <c r="BU52" s="7">
        <f t="shared" si="3"/>
        <v>-43.800000000000018</v>
      </c>
      <c r="BV52" s="34">
        <v>44883</v>
      </c>
      <c r="BW52" s="7">
        <v>4.0960000000000001</v>
      </c>
      <c r="BX52" s="7">
        <v>4.0519999999999996</v>
      </c>
      <c r="BY52" s="7">
        <f t="shared" si="4"/>
        <v>4.4000000000000483</v>
      </c>
      <c r="BZ52" s="34">
        <v>44883</v>
      </c>
      <c r="CA52" s="7">
        <v>4.0960000000000001</v>
      </c>
      <c r="CB52" s="7">
        <v>4.4960000000000004</v>
      </c>
      <c r="CC52" s="7">
        <f t="shared" si="5"/>
        <v>-40.000000000000036</v>
      </c>
      <c r="CD52" s="34">
        <v>44883</v>
      </c>
      <c r="CE52" s="7">
        <v>5.3760000000000003</v>
      </c>
      <c r="CF52" s="7">
        <v>4.53</v>
      </c>
      <c r="CG52" s="7">
        <f t="shared" si="6"/>
        <v>84.600000000000009</v>
      </c>
    </row>
    <row r="53" spans="3:85" x14ac:dyDescent="0.15">
      <c r="C53" s="7" t="s">
        <v>181</v>
      </c>
      <c r="D53" s="7" t="s">
        <v>181</v>
      </c>
      <c r="BR53" s="34">
        <v>44882</v>
      </c>
      <c r="BS53" s="7">
        <v>3.3879999999999999</v>
      </c>
      <c r="BT53" s="7">
        <v>3.8330000000000002</v>
      </c>
      <c r="BU53" s="7">
        <f t="shared" si="3"/>
        <v>-44.500000000000028</v>
      </c>
      <c r="BV53" s="34">
        <v>44882</v>
      </c>
      <c r="BW53" s="7">
        <v>4.1040000000000001</v>
      </c>
      <c r="BX53" s="7">
        <v>4.0599999999999996</v>
      </c>
      <c r="BY53" s="7">
        <f t="shared" si="4"/>
        <v>4.4000000000000483</v>
      </c>
      <c r="BZ53" s="34">
        <v>44882</v>
      </c>
      <c r="CA53" s="7">
        <v>4.1040000000000001</v>
      </c>
      <c r="CB53" s="7">
        <v>4.4960000000000004</v>
      </c>
      <c r="CC53" s="7">
        <f t="shared" si="5"/>
        <v>-39.200000000000031</v>
      </c>
      <c r="CD53" s="34">
        <v>44882</v>
      </c>
      <c r="CE53" s="7">
        <v>5.3739999999999997</v>
      </c>
      <c r="CF53" s="7">
        <v>4.53</v>
      </c>
      <c r="CG53" s="7">
        <f t="shared" si="6"/>
        <v>84.399999999999949</v>
      </c>
    </row>
    <row r="54" spans="3:85" x14ac:dyDescent="0.15">
      <c r="C54" s="7" t="s">
        <v>182</v>
      </c>
      <c r="D54" s="7" t="s">
        <v>182</v>
      </c>
      <c r="BR54" s="34">
        <v>44881</v>
      </c>
      <c r="BS54" s="7">
        <v>3.3860000000000001</v>
      </c>
      <c r="BT54" s="7">
        <v>3.831</v>
      </c>
      <c r="BU54" s="7">
        <f t="shared" si="3"/>
        <v>-44.499999999999986</v>
      </c>
      <c r="BV54" s="34">
        <v>44881</v>
      </c>
      <c r="BW54" s="7">
        <v>4.101</v>
      </c>
      <c r="BX54" s="7">
        <v>4.0570000000000004</v>
      </c>
      <c r="BY54" s="7">
        <f t="shared" si="4"/>
        <v>4.3999999999999595</v>
      </c>
      <c r="BZ54" s="34">
        <v>44881</v>
      </c>
      <c r="CA54" s="7">
        <v>4.101</v>
      </c>
      <c r="CB54" s="7">
        <v>4.4809999999999999</v>
      </c>
      <c r="CC54" s="7">
        <f t="shared" si="5"/>
        <v>-37.999999999999986</v>
      </c>
      <c r="CD54" s="34">
        <v>44881</v>
      </c>
      <c r="CE54" s="7">
        <v>5.3570000000000002</v>
      </c>
      <c r="CF54" s="7">
        <v>4.5149999999999997</v>
      </c>
      <c r="CG54" s="7">
        <f t="shared" si="6"/>
        <v>84.200000000000045</v>
      </c>
    </row>
    <row r="55" spans="3:85" x14ac:dyDescent="0.15">
      <c r="BR55" s="34">
        <v>44880</v>
      </c>
      <c r="BS55" s="7">
        <v>3.36</v>
      </c>
      <c r="BT55" s="7">
        <v>3.7829999999999999</v>
      </c>
      <c r="BU55" s="7">
        <f t="shared" si="3"/>
        <v>-42.300000000000004</v>
      </c>
      <c r="BV55" s="34">
        <v>44880</v>
      </c>
      <c r="BW55" s="7">
        <v>4.077</v>
      </c>
      <c r="BX55" s="7">
        <v>4.0330000000000004</v>
      </c>
      <c r="BY55" s="7">
        <f t="shared" si="4"/>
        <v>4.3999999999999595</v>
      </c>
      <c r="BZ55" s="34">
        <v>44880</v>
      </c>
      <c r="CA55" s="7">
        <v>4.077</v>
      </c>
      <c r="CB55" s="7">
        <v>4.4459999999999997</v>
      </c>
      <c r="CC55" s="7">
        <f t="shared" si="5"/>
        <v>-36.899999999999977</v>
      </c>
      <c r="CD55" s="34">
        <v>44880</v>
      </c>
      <c r="CE55" s="7">
        <v>5.306</v>
      </c>
      <c r="CF55" s="7">
        <v>4.4800000000000004</v>
      </c>
      <c r="CG55" s="7">
        <f t="shared" si="6"/>
        <v>82.599999999999966</v>
      </c>
    </row>
    <row r="56" spans="3:85" x14ac:dyDescent="0.15">
      <c r="BR56" s="34">
        <v>44879</v>
      </c>
      <c r="BS56" s="7">
        <v>3.37</v>
      </c>
      <c r="BT56" s="7">
        <v>3.8210000000000002</v>
      </c>
      <c r="BU56" s="7">
        <f t="shared" si="3"/>
        <v>-45.100000000000009</v>
      </c>
      <c r="BV56" s="34">
        <v>44879</v>
      </c>
      <c r="BW56" s="7">
        <v>4.0890000000000004</v>
      </c>
      <c r="BX56" s="7">
        <v>4.0449999999999999</v>
      </c>
      <c r="BY56" s="7">
        <f t="shared" si="4"/>
        <v>4.4000000000000483</v>
      </c>
      <c r="BZ56" s="34">
        <v>44879</v>
      </c>
      <c r="CA56" s="7">
        <v>4.0890000000000004</v>
      </c>
      <c r="CB56" s="7">
        <v>4.4489999999999998</v>
      </c>
      <c r="CC56" s="7">
        <f t="shared" si="5"/>
        <v>-35.999999999999943</v>
      </c>
      <c r="CD56" s="34">
        <v>44879</v>
      </c>
      <c r="CE56" s="7">
        <v>5.3070000000000004</v>
      </c>
      <c r="CF56" s="7">
        <v>4.4829999999999997</v>
      </c>
      <c r="CG56" s="7">
        <f t="shared" si="6"/>
        <v>82.400000000000077</v>
      </c>
    </row>
    <row r="57" spans="3:85" x14ac:dyDescent="0.15">
      <c r="BR57" s="34">
        <v>44876</v>
      </c>
      <c r="BS57" s="7">
        <v>3.355</v>
      </c>
      <c r="BT57" s="7">
        <v>3.8050000000000002</v>
      </c>
      <c r="BU57" s="7">
        <f t="shared" si="3"/>
        <v>-45.000000000000014</v>
      </c>
      <c r="BV57" s="34">
        <v>44876</v>
      </c>
      <c r="BW57" s="7">
        <v>4.0659999999999998</v>
      </c>
      <c r="BX57" s="7">
        <v>4.0220000000000002</v>
      </c>
      <c r="BY57" s="7">
        <f t="shared" si="4"/>
        <v>4.3999999999999595</v>
      </c>
      <c r="BZ57" s="34">
        <v>44876</v>
      </c>
      <c r="CA57" s="7">
        <v>4.0659999999999998</v>
      </c>
      <c r="CB57" s="7">
        <v>4.4279999999999999</v>
      </c>
      <c r="CC57" s="7">
        <f t="shared" si="5"/>
        <v>-36.20000000000001</v>
      </c>
      <c r="CD57" s="34">
        <v>44876</v>
      </c>
      <c r="CE57" s="7">
        <v>5.2809999999999997</v>
      </c>
      <c r="CF57" s="7">
        <v>4.4619999999999997</v>
      </c>
      <c r="CG57" s="7">
        <f t="shared" si="6"/>
        <v>81.899999999999991</v>
      </c>
    </row>
    <row r="58" spans="3:85" x14ac:dyDescent="0.15">
      <c r="BR58" s="34">
        <v>44875</v>
      </c>
      <c r="BS58" s="7">
        <v>3.371</v>
      </c>
      <c r="BT58" s="7">
        <v>3.851</v>
      </c>
      <c r="BU58" s="7">
        <f t="shared" si="3"/>
        <v>-48</v>
      </c>
      <c r="BV58" s="34">
        <v>44875</v>
      </c>
      <c r="BW58" s="7">
        <v>4.0839999999999996</v>
      </c>
      <c r="BX58" s="7">
        <v>4.04</v>
      </c>
      <c r="BY58" s="7">
        <f t="shared" si="4"/>
        <v>4.3999999999999595</v>
      </c>
      <c r="BZ58" s="34">
        <v>44875</v>
      </c>
      <c r="CA58" s="7">
        <v>4.0839999999999996</v>
      </c>
      <c r="CB58" s="7">
        <v>4.444</v>
      </c>
      <c r="CC58" s="7">
        <f t="shared" si="5"/>
        <v>-36.000000000000028</v>
      </c>
      <c r="CD58" s="34">
        <v>44875</v>
      </c>
      <c r="CE58" s="7">
        <v>5.3010000000000002</v>
      </c>
      <c r="CF58" s="7">
        <v>4.4779999999999998</v>
      </c>
      <c r="CG58" s="7">
        <f t="shared" si="6"/>
        <v>82.30000000000004</v>
      </c>
    </row>
    <row r="59" spans="3:85" x14ac:dyDescent="0.15">
      <c r="BR59" s="34">
        <v>44874</v>
      </c>
      <c r="BS59" s="7">
        <v>3.3610000000000002</v>
      </c>
      <c r="BT59" s="7">
        <v>3.851</v>
      </c>
      <c r="BU59" s="7">
        <f t="shared" si="3"/>
        <v>-48.999999999999979</v>
      </c>
      <c r="BV59" s="34">
        <v>44874</v>
      </c>
      <c r="BW59" s="7">
        <v>4.0709999999999997</v>
      </c>
      <c r="BX59" s="7">
        <v>4.0270000000000001</v>
      </c>
      <c r="BY59" s="7">
        <f t="shared" si="4"/>
        <v>4.3999999999999595</v>
      </c>
      <c r="BZ59" s="34">
        <v>44874</v>
      </c>
      <c r="CA59" s="7">
        <v>4.0709999999999997</v>
      </c>
      <c r="CB59" s="7">
        <v>4.423</v>
      </c>
      <c r="CC59" s="7">
        <f t="shared" si="5"/>
        <v>-35.200000000000031</v>
      </c>
      <c r="CD59" s="34">
        <v>44874</v>
      </c>
      <c r="CE59" s="7">
        <v>5.2859999999999996</v>
      </c>
      <c r="CF59" s="7">
        <v>4.4569999999999999</v>
      </c>
      <c r="CG59" s="7">
        <f t="shared" si="6"/>
        <v>82.899999999999977</v>
      </c>
    </row>
    <row r="60" spans="3:85" x14ac:dyDescent="0.15">
      <c r="BR60" s="34">
        <v>44873</v>
      </c>
      <c r="BS60" s="7">
        <v>3.351</v>
      </c>
      <c r="BT60" s="7">
        <v>3.855</v>
      </c>
      <c r="BU60" s="7">
        <f t="shared" si="3"/>
        <v>-50.4</v>
      </c>
      <c r="BV60" s="34">
        <v>44873</v>
      </c>
      <c r="BW60" s="7">
        <v>4.0540000000000003</v>
      </c>
      <c r="BX60" s="7">
        <v>4.01</v>
      </c>
      <c r="BY60" s="7">
        <f t="shared" si="4"/>
        <v>4.4000000000000483</v>
      </c>
      <c r="BZ60" s="34">
        <v>44873</v>
      </c>
      <c r="CA60" s="7">
        <v>4.0540000000000003</v>
      </c>
      <c r="CB60" s="7">
        <v>4.4029999999999996</v>
      </c>
      <c r="CC60" s="7">
        <f t="shared" si="5"/>
        <v>-34.899999999999935</v>
      </c>
      <c r="CD60" s="34">
        <v>44873</v>
      </c>
      <c r="CE60" s="7">
        <v>5.2619999999999996</v>
      </c>
      <c r="CF60" s="7">
        <v>4.4370000000000003</v>
      </c>
      <c r="CG60" s="7">
        <f t="shared" si="6"/>
        <v>82.499999999999929</v>
      </c>
    </row>
    <row r="61" spans="3:85" x14ac:dyDescent="0.15">
      <c r="BR61" s="34">
        <v>44872</v>
      </c>
      <c r="BS61" s="7">
        <v>3.3410000000000002</v>
      </c>
      <c r="BT61" s="7">
        <v>3.871</v>
      </c>
      <c r="BU61" s="7">
        <f t="shared" si="3"/>
        <v>-52.999999999999979</v>
      </c>
      <c r="BV61" s="34">
        <v>44872</v>
      </c>
      <c r="BW61" s="7">
        <v>4.0369999999999999</v>
      </c>
      <c r="BX61" s="7">
        <v>3.9929999999999999</v>
      </c>
      <c r="BY61" s="7">
        <f t="shared" si="4"/>
        <v>4.4000000000000039</v>
      </c>
      <c r="BZ61" s="34">
        <v>44872</v>
      </c>
      <c r="CA61" s="7">
        <v>4.0369999999999999</v>
      </c>
      <c r="CB61" s="7">
        <v>4.3879999999999999</v>
      </c>
      <c r="CC61" s="7">
        <f t="shared" si="5"/>
        <v>-35.099999999999994</v>
      </c>
      <c r="CD61" s="34">
        <v>44872</v>
      </c>
      <c r="CE61" s="7">
        <v>5.242</v>
      </c>
      <c r="CF61" s="7">
        <v>4.4219999999999997</v>
      </c>
      <c r="CG61" s="7">
        <f t="shared" si="6"/>
        <v>82.000000000000028</v>
      </c>
    </row>
    <row r="62" spans="3:85" x14ac:dyDescent="0.15">
      <c r="BR62" s="34">
        <v>44869</v>
      </c>
      <c r="BS62" s="7">
        <v>3.3260000000000001</v>
      </c>
      <c r="BT62" s="7">
        <v>3.843</v>
      </c>
      <c r="BU62" s="7">
        <f t="shared" si="3"/>
        <v>-51.699999999999989</v>
      </c>
      <c r="BV62" s="34">
        <v>44869</v>
      </c>
      <c r="BW62" s="7">
        <v>4.016</v>
      </c>
      <c r="BX62" s="7">
        <v>3.972</v>
      </c>
      <c r="BY62" s="7">
        <f t="shared" si="4"/>
        <v>4.4000000000000039</v>
      </c>
      <c r="BZ62" s="34">
        <v>44869</v>
      </c>
      <c r="CA62" s="7">
        <v>4.016</v>
      </c>
      <c r="CB62" s="7">
        <v>4.3659999999999997</v>
      </c>
      <c r="CC62" s="7">
        <f t="shared" si="5"/>
        <v>-34.999999999999964</v>
      </c>
      <c r="CD62" s="34">
        <v>44869</v>
      </c>
      <c r="CE62" s="7">
        <v>5.2039999999999997</v>
      </c>
      <c r="CF62" s="7">
        <v>4.4000000000000004</v>
      </c>
      <c r="CG62" s="7">
        <f t="shared" si="6"/>
        <v>80.399999999999935</v>
      </c>
    </row>
    <row r="63" spans="3:85" x14ac:dyDescent="0.15">
      <c r="BR63" s="34">
        <v>44868</v>
      </c>
      <c r="BS63" s="7">
        <v>3.32</v>
      </c>
      <c r="BT63" s="7">
        <v>3.843</v>
      </c>
      <c r="BU63" s="7">
        <f t="shared" si="3"/>
        <v>-52.300000000000011</v>
      </c>
      <c r="BV63" s="34">
        <v>44868</v>
      </c>
      <c r="BW63" s="7">
        <v>3.9969999999999999</v>
      </c>
      <c r="BX63" s="7">
        <v>3.9529999999999998</v>
      </c>
      <c r="BY63" s="7">
        <f t="shared" si="4"/>
        <v>4.4000000000000039</v>
      </c>
      <c r="BZ63" s="34">
        <v>44868</v>
      </c>
      <c r="CA63" s="7">
        <v>3.9969999999999999</v>
      </c>
      <c r="CB63" s="7">
        <v>4.3440000000000003</v>
      </c>
      <c r="CC63" s="7">
        <f t="shared" si="5"/>
        <v>-34.700000000000045</v>
      </c>
      <c r="CD63" s="34">
        <v>44868</v>
      </c>
      <c r="CE63" s="7">
        <v>5.181</v>
      </c>
      <c r="CF63" s="7">
        <v>4.3780000000000001</v>
      </c>
      <c r="CG63" s="7">
        <f t="shared" si="6"/>
        <v>80.3</v>
      </c>
    </row>
    <row r="64" spans="3:85" x14ac:dyDescent="0.15">
      <c r="BR64" s="34">
        <v>44867</v>
      </c>
      <c r="BS64" s="7">
        <v>3.2930000000000001</v>
      </c>
      <c r="BT64" s="7">
        <v>3.8050000000000002</v>
      </c>
      <c r="BU64" s="7">
        <f t="shared" si="3"/>
        <v>-51.2</v>
      </c>
      <c r="BV64" s="34">
        <v>44867</v>
      </c>
      <c r="BW64" s="7">
        <v>3.9710000000000001</v>
      </c>
      <c r="BX64" s="7">
        <v>3.927</v>
      </c>
      <c r="BY64" s="7">
        <f t="shared" si="4"/>
        <v>4.4000000000000039</v>
      </c>
      <c r="BZ64" s="34">
        <v>44867</v>
      </c>
      <c r="CA64" s="7">
        <v>3.9710000000000001</v>
      </c>
      <c r="CB64" s="7">
        <v>4.3010000000000002</v>
      </c>
      <c r="CC64" s="7">
        <f t="shared" si="5"/>
        <v>-33.000000000000007</v>
      </c>
      <c r="CD64" s="34">
        <v>44867</v>
      </c>
      <c r="CE64" s="7">
        <v>5.1340000000000003</v>
      </c>
      <c r="CF64" s="7">
        <v>4.335</v>
      </c>
      <c r="CG64" s="7">
        <f t="shared" si="6"/>
        <v>79.900000000000034</v>
      </c>
    </row>
    <row r="65" spans="70:85" x14ac:dyDescent="0.15">
      <c r="BR65" s="34">
        <v>44866</v>
      </c>
      <c r="BS65" s="7">
        <v>3.27</v>
      </c>
      <c r="BT65" s="7">
        <v>3.74</v>
      </c>
      <c r="BU65" s="7">
        <f t="shared" si="3"/>
        <v>-47.000000000000021</v>
      </c>
      <c r="BV65" s="34">
        <v>44866</v>
      </c>
      <c r="BW65" s="7">
        <v>3.9369999999999998</v>
      </c>
      <c r="BX65" s="7">
        <v>3.8929999999999998</v>
      </c>
      <c r="BY65" s="7">
        <f t="shared" si="4"/>
        <v>4.4000000000000039</v>
      </c>
      <c r="BZ65" s="34">
        <v>44866</v>
      </c>
      <c r="CA65" s="7">
        <v>3.9369999999999998</v>
      </c>
      <c r="CB65" s="7">
        <v>4.2590000000000003</v>
      </c>
      <c r="CC65" s="7">
        <f t="shared" si="5"/>
        <v>-32.200000000000053</v>
      </c>
      <c r="CD65" s="34">
        <v>44866</v>
      </c>
      <c r="CE65" s="7">
        <v>5.0789999999999997</v>
      </c>
      <c r="CF65" s="7">
        <v>4.2930000000000001</v>
      </c>
      <c r="CG65" s="7">
        <f t="shared" si="6"/>
        <v>78.599999999999966</v>
      </c>
    </row>
    <row r="66" spans="70:85" x14ac:dyDescent="0.15">
      <c r="BR66" s="34">
        <v>44865</v>
      </c>
      <c r="BS66" s="7">
        <v>3.266</v>
      </c>
      <c r="BT66" s="7">
        <v>3.74</v>
      </c>
      <c r="BU66" s="7">
        <f t="shared" si="3"/>
        <v>-47.40000000000002</v>
      </c>
      <c r="BV66" s="34">
        <v>44865</v>
      </c>
      <c r="BW66" s="7">
        <v>3.9209999999999998</v>
      </c>
      <c r="BX66" s="7">
        <v>3.8769999999999998</v>
      </c>
      <c r="BY66" s="7">
        <f t="shared" si="4"/>
        <v>4.4000000000000039</v>
      </c>
      <c r="BZ66" s="34">
        <v>44865</v>
      </c>
      <c r="CA66" s="7">
        <v>3.9209999999999998</v>
      </c>
      <c r="CB66" s="7">
        <v>4.2439999999999998</v>
      </c>
      <c r="CC66" s="7">
        <f t="shared" si="5"/>
        <v>-32.299999999999997</v>
      </c>
      <c r="CD66" s="34">
        <v>44865</v>
      </c>
      <c r="CE66" s="7">
        <v>5.056</v>
      </c>
      <c r="CF66" s="7">
        <v>4.2779999999999996</v>
      </c>
      <c r="CG66" s="7">
        <f t="shared" si="6"/>
        <v>77.80000000000004</v>
      </c>
    </row>
    <row r="67" spans="70:85" x14ac:dyDescent="0.15">
      <c r="BR67" s="34">
        <v>44862</v>
      </c>
      <c r="BS67" s="7">
        <v>3.246</v>
      </c>
      <c r="BT67" s="7">
        <v>3.698</v>
      </c>
      <c r="BU67" s="7">
        <f t="shared" si="3"/>
        <v>-45.199999999999996</v>
      </c>
      <c r="BV67" s="34">
        <v>44862</v>
      </c>
      <c r="BW67" s="7">
        <v>3.8940000000000001</v>
      </c>
      <c r="BX67" s="7">
        <v>3.85</v>
      </c>
      <c r="BY67" s="7">
        <f t="shared" si="4"/>
        <v>4.4000000000000039</v>
      </c>
      <c r="BZ67" s="34">
        <v>44862</v>
      </c>
      <c r="CA67" s="7">
        <v>3.8940000000000001</v>
      </c>
      <c r="CB67" s="7">
        <v>4.2130000000000001</v>
      </c>
      <c r="CC67" s="7">
        <f t="shared" si="5"/>
        <v>-31.899999999999995</v>
      </c>
      <c r="CD67" s="34">
        <v>44862</v>
      </c>
      <c r="CE67" s="7">
        <v>4.9989999999999997</v>
      </c>
      <c r="CF67" s="7">
        <v>4.2469999999999999</v>
      </c>
      <c r="CG67" s="7">
        <f t="shared" si="6"/>
        <v>75.199999999999974</v>
      </c>
    </row>
    <row r="68" spans="70:85" x14ac:dyDescent="0.15">
      <c r="BR68" s="34">
        <v>44861</v>
      </c>
      <c r="BS68" s="7">
        <v>3.2480000000000002</v>
      </c>
      <c r="BT68" s="7">
        <v>3.7280000000000002</v>
      </c>
      <c r="BU68" s="7">
        <f t="shared" si="3"/>
        <v>-48</v>
      </c>
      <c r="BV68" s="34">
        <v>44861</v>
      </c>
      <c r="BW68" s="7">
        <v>3.8820000000000001</v>
      </c>
      <c r="BX68" s="7">
        <v>3.8380000000000001</v>
      </c>
      <c r="BY68" s="7">
        <f t="shared" si="4"/>
        <v>4.4000000000000039</v>
      </c>
      <c r="BZ68" s="34">
        <v>44861</v>
      </c>
      <c r="CA68" s="7">
        <v>3.8820000000000001</v>
      </c>
      <c r="CB68" s="7">
        <v>4.2009999999999996</v>
      </c>
      <c r="CC68" s="7">
        <f t="shared" si="5"/>
        <v>-31.899999999999949</v>
      </c>
      <c r="CD68" s="34">
        <v>44861</v>
      </c>
      <c r="CE68" s="7">
        <v>4.9870000000000001</v>
      </c>
      <c r="CF68" s="7">
        <v>4.2350000000000003</v>
      </c>
      <c r="CG68" s="7">
        <f t="shared" si="6"/>
        <v>75.199999999999974</v>
      </c>
    </row>
    <row r="69" spans="70:85" x14ac:dyDescent="0.15">
      <c r="BR69" s="34">
        <v>44860</v>
      </c>
      <c r="BS69" s="7">
        <v>3.2109999999999999</v>
      </c>
      <c r="BT69" s="7">
        <v>3.7050000000000001</v>
      </c>
      <c r="BU69" s="7">
        <f t="shared" si="3"/>
        <v>-49.40000000000002</v>
      </c>
      <c r="BV69" s="34">
        <v>44860</v>
      </c>
      <c r="BW69" s="7">
        <v>3.8340000000000001</v>
      </c>
      <c r="BX69" s="7">
        <v>3.79</v>
      </c>
      <c r="BY69" s="7">
        <f t="shared" si="4"/>
        <v>4.4000000000000039</v>
      </c>
      <c r="BZ69" s="34">
        <v>44860</v>
      </c>
      <c r="CA69" s="7">
        <v>3.8340000000000001</v>
      </c>
      <c r="CB69" s="7">
        <v>4.1539999999999999</v>
      </c>
      <c r="CC69" s="7">
        <f t="shared" si="5"/>
        <v>-31.999999999999986</v>
      </c>
      <c r="CD69" s="34">
        <v>44860</v>
      </c>
      <c r="CE69" s="7">
        <v>4.9189999999999996</v>
      </c>
      <c r="CF69" s="7">
        <v>4.1879999999999997</v>
      </c>
      <c r="CG69" s="7">
        <f t="shared" si="6"/>
        <v>73.099999999999994</v>
      </c>
    </row>
    <row r="70" spans="70:85" x14ac:dyDescent="0.15">
      <c r="BR70" s="34">
        <v>44859</v>
      </c>
      <c r="BS70" s="7">
        <v>3.165</v>
      </c>
      <c r="BT70" s="7">
        <v>3.673</v>
      </c>
      <c r="BU70" s="7">
        <f t="shared" si="3"/>
        <v>-50.8</v>
      </c>
      <c r="BV70" s="34">
        <v>44859</v>
      </c>
      <c r="BW70" s="7">
        <v>3.774</v>
      </c>
      <c r="BX70" s="7">
        <v>3.73</v>
      </c>
      <c r="BY70" s="7">
        <f t="shared" si="4"/>
        <v>4.4000000000000039</v>
      </c>
      <c r="BZ70" s="34">
        <v>44859</v>
      </c>
      <c r="CA70" s="7">
        <v>3.774</v>
      </c>
      <c r="CB70" s="7">
        <v>4.093</v>
      </c>
      <c r="CC70" s="7">
        <f t="shared" si="5"/>
        <v>-31.899999999999995</v>
      </c>
      <c r="CD70" s="34">
        <v>44859</v>
      </c>
      <c r="CE70" s="7">
        <v>4.8319999999999999</v>
      </c>
      <c r="CF70" s="7">
        <v>4.1269999999999998</v>
      </c>
      <c r="CG70" s="7">
        <f t="shared" si="6"/>
        <v>70.5</v>
      </c>
    </row>
    <row r="71" spans="70:85" x14ac:dyDescent="0.15">
      <c r="BR71" s="34">
        <v>44858</v>
      </c>
      <c r="BS71" s="7">
        <v>3.1629999999999998</v>
      </c>
      <c r="BT71" s="7">
        <v>3.6960000000000002</v>
      </c>
      <c r="BU71" s="7">
        <f t="shared" si="3"/>
        <v>-53.30000000000004</v>
      </c>
      <c r="BV71" s="34">
        <v>44858</v>
      </c>
      <c r="BW71" s="7">
        <v>3.754</v>
      </c>
      <c r="BX71" s="7">
        <v>3.71</v>
      </c>
      <c r="BY71" s="7">
        <f t="shared" si="4"/>
        <v>4.4000000000000039</v>
      </c>
      <c r="BZ71" s="34">
        <v>44858</v>
      </c>
      <c r="CA71" s="7">
        <v>3.754</v>
      </c>
      <c r="CB71" s="7">
        <v>4.069</v>
      </c>
      <c r="CC71" s="7">
        <f t="shared" si="5"/>
        <v>-31.499999999999993</v>
      </c>
      <c r="CD71" s="34">
        <v>44858</v>
      </c>
      <c r="CE71" s="7">
        <v>4.8010000000000002</v>
      </c>
      <c r="CF71" s="7">
        <v>4.1029999999999998</v>
      </c>
      <c r="CG71" s="7">
        <f t="shared" si="6"/>
        <v>69.80000000000004</v>
      </c>
    </row>
    <row r="72" spans="70:85" x14ac:dyDescent="0.15">
      <c r="BR72" s="34">
        <v>44855</v>
      </c>
      <c r="BS72" s="7">
        <v>3.153</v>
      </c>
      <c r="BT72" s="7">
        <v>3.7559999999999998</v>
      </c>
      <c r="BU72" s="7">
        <f t="shared" si="3"/>
        <v>-60.299999999999976</v>
      </c>
      <c r="BV72" s="34">
        <v>44855</v>
      </c>
      <c r="BW72" s="7">
        <v>3.726</v>
      </c>
      <c r="BX72" s="7">
        <v>3.6819999999999999</v>
      </c>
      <c r="BY72" s="7">
        <f t="shared" si="4"/>
        <v>4.4000000000000039</v>
      </c>
      <c r="BZ72" s="34">
        <v>44855</v>
      </c>
      <c r="CA72" s="7">
        <v>3.726</v>
      </c>
      <c r="CB72" s="7">
        <v>4.0430000000000001</v>
      </c>
      <c r="CC72" s="7">
        <f t="shared" si="5"/>
        <v>-31.700000000000017</v>
      </c>
      <c r="CD72" s="34">
        <v>44855</v>
      </c>
      <c r="CE72" s="7">
        <v>4.7690000000000001</v>
      </c>
      <c r="CF72" s="7">
        <v>4.077</v>
      </c>
      <c r="CG72" s="7">
        <f t="shared" si="6"/>
        <v>69.200000000000017</v>
      </c>
    </row>
    <row r="73" spans="70:85" x14ac:dyDescent="0.15">
      <c r="BR73" s="34">
        <v>44854</v>
      </c>
      <c r="BS73" s="7">
        <v>3.09</v>
      </c>
      <c r="BT73" s="7">
        <v>3.641</v>
      </c>
      <c r="BU73" s="7">
        <f t="shared" si="3"/>
        <v>-55.100000000000016</v>
      </c>
      <c r="BV73" s="34">
        <v>44854</v>
      </c>
      <c r="BW73" s="7">
        <v>3.6320000000000001</v>
      </c>
      <c r="BX73" s="7">
        <v>3.5880000000000001</v>
      </c>
      <c r="BY73" s="7">
        <f t="shared" si="4"/>
        <v>4.4000000000000039</v>
      </c>
      <c r="BZ73" s="34">
        <v>44854</v>
      </c>
      <c r="CA73" s="7">
        <v>3.6320000000000001</v>
      </c>
      <c r="CB73" s="7">
        <v>3.956</v>
      </c>
      <c r="CC73" s="7">
        <f t="shared" si="5"/>
        <v>-32.399999999999984</v>
      </c>
      <c r="CD73" s="34">
        <v>44854</v>
      </c>
      <c r="CE73" s="7">
        <v>4.6369999999999996</v>
      </c>
      <c r="CF73" s="7">
        <v>3.99</v>
      </c>
      <c r="CG73" s="7">
        <f t="shared" si="6"/>
        <v>64.699999999999932</v>
      </c>
    </row>
    <row r="74" spans="70:85" x14ac:dyDescent="0.15">
      <c r="BR74" s="34">
        <v>44853</v>
      </c>
      <c r="BS74" s="7">
        <v>3.07</v>
      </c>
      <c r="BT74" s="7">
        <v>3.6309999999999998</v>
      </c>
      <c r="BU74" s="7">
        <f t="shared" si="3"/>
        <v>-56.099999999999994</v>
      </c>
      <c r="BV74" s="34">
        <v>44853</v>
      </c>
      <c r="BW74" s="7">
        <v>3.5920000000000001</v>
      </c>
      <c r="BX74" s="7">
        <v>3.548</v>
      </c>
      <c r="BY74" s="7">
        <f t="shared" si="4"/>
        <v>4.4000000000000039</v>
      </c>
      <c r="BZ74" s="34">
        <v>44853</v>
      </c>
      <c r="CA74" s="7">
        <v>3.5920000000000001</v>
      </c>
      <c r="CB74" s="7">
        <v>3.919</v>
      </c>
      <c r="CC74" s="7">
        <f t="shared" si="5"/>
        <v>-32.699999999999996</v>
      </c>
      <c r="CD74" s="34">
        <v>44853</v>
      </c>
      <c r="CE74" s="7">
        <v>4.5819999999999999</v>
      </c>
      <c r="CF74" s="7">
        <v>3.9529999999999998</v>
      </c>
      <c r="CG74" s="7">
        <f t="shared" si="6"/>
        <v>62.9</v>
      </c>
    </row>
    <row r="75" spans="70:85" x14ac:dyDescent="0.15">
      <c r="BR75" s="34">
        <v>44852</v>
      </c>
      <c r="BS75" s="7">
        <v>3.048</v>
      </c>
      <c r="BT75" s="7">
        <v>3.58</v>
      </c>
      <c r="BU75" s="7">
        <f t="shared" ref="BU75:BU138" si="12">(BS75-BT75)*100</f>
        <v>-53.2</v>
      </c>
      <c r="BV75" s="34">
        <v>44852</v>
      </c>
      <c r="BW75" s="7">
        <v>3.5489999999999999</v>
      </c>
      <c r="BX75" s="7">
        <v>3.5049999999999999</v>
      </c>
      <c r="BY75" s="7">
        <f t="shared" si="4"/>
        <v>4.4000000000000039</v>
      </c>
      <c r="BZ75" s="34">
        <v>44852</v>
      </c>
      <c r="CA75" s="7">
        <v>3.5489999999999999</v>
      </c>
      <c r="CB75" s="7">
        <v>3.8679999999999999</v>
      </c>
      <c r="CC75" s="7">
        <f t="shared" si="5"/>
        <v>-31.899999999999995</v>
      </c>
      <c r="CD75" s="34">
        <v>44852</v>
      </c>
      <c r="CE75" s="7">
        <v>4.4939999999999998</v>
      </c>
      <c r="CF75" s="7">
        <v>3.9020000000000001</v>
      </c>
      <c r="CG75" s="7">
        <f t="shared" si="6"/>
        <v>59.19999999999996</v>
      </c>
    </row>
    <row r="76" spans="70:85" x14ac:dyDescent="0.15">
      <c r="BR76" s="34">
        <v>44851</v>
      </c>
      <c r="BS76" s="7">
        <v>3.0379999999999998</v>
      </c>
      <c r="BT76" s="7">
        <v>3.528</v>
      </c>
      <c r="BU76" s="7">
        <f t="shared" si="12"/>
        <v>-49.000000000000021</v>
      </c>
      <c r="BV76" s="34">
        <v>44851</v>
      </c>
      <c r="BW76" s="7">
        <v>3.5169999999999999</v>
      </c>
      <c r="BX76" s="7">
        <v>3.4729999999999999</v>
      </c>
      <c r="BY76" s="7">
        <f t="shared" ref="BY76:BY139" si="13">(BW76-BX76)*100</f>
        <v>4.4000000000000039</v>
      </c>
      <c r="BZ76" s="34">
        <v>44851</v>
      </c>
      <c r="CA76" s="7">
        <v>3.5169999999999999</v>
      </c>
      <c r="CB76" s="7">
        <v>3.839</v>
      </c>
      <c r="CC76" s="7">
        <f t="shared" ref="CC76:CC139" si="14">(CA76-CB76)*100</f>
        <v>-32.200000000000003</v>
      </c>
      <c r="CD76" s="34">
        <v>44851</v>
      </c>
      <c r="CE76" s="7">
        <v>4.4459999999999997</v>
      </c>
      <c r="CF76" s="7">
        <v>3.8730000000000002</v>
      </c>
      <c r="CG76" s="7">
        <f t="shared" ref="CG76:CG139" si="15">(CE76-CF76)*100</f>
        <v>57.299999999999955</v>
      </c>
    </row>
    <row r="77" spans="70:85" x14ac:dyDescent="0.15">
      <c r="BR77" s="34">
        <v>44848</v>
      </c>
      <c r="BS77" s="7">
        <v>3.028</v>
      </c>
      <c r="BT77" s="7">
        <v>3.49</v>
      </c>
      <c r="BU77" s="7">
        <f t="shared" si="12"/>
        <v>-46.200000000000017</v>
      </c>
      <c r="BV77" s="34">
        <v>44848</v>
      </c>
      <c r="BW77" s="7">
        <v>3.4990000000000001</v>
      </c>
      <c r="BX77" s="7">
        <v>3.4550000000000001</v>
      </c>
      <c r="BY77" s="7">
        <f t="shared" si="13"/>
        <v>4.4000000000000039</v>
      </c>
      <c r="BZ77" s="34">
        <v>44848</v>
      </c>
      <c r="CA77" s="7">
        <v>3.4990000000000001</v>
      </c>
      <c r="CB77" s="7">
        <v>3.819</v>
      </c>
      <c r="CC77" s="7">
        <f t="shared" si="14"/>
        <v>-31.999999999999986</v>
      </c>
      <c r="CD77" s="34">
        <v>44848</v>
      </c>
      <c r="CE77" s="7">
        <v>4.4039999999999999</v>
      </c>
      <c r="CF77" s="7">
        <v>3.8530000000000002</v>
      </c>
      <c r="CG77" s="7">
        <f t="shared" si="15"/>
        <v>55.099999999999973</v>
      </c>
    </row>
    <row r="78" spans="70:85" x14ac:dyDescent="0.15">
      <c r="BR78" s="34">
        <v>44847</v>
      </c>
      <c r="BS78" s="7">
        <v>3.0209999999999999</v>
      </c>
      <c r="BT78" s="7">
        <v>3.49</v>
      </c>
      <c r="BU78" s="7">
        <f t="shared" si="12"/>
        <v>-46.900000000000034</v>
      </c>
      <c r="BV78" s="34">
        <v>44847</v>
      </c>
      <c r="BW78" s="7">
        <v>3.4790000000000001</v>
      </c>
      <c r="BX78" s="7">
        <v>3.4350000000000001</v>
      </c>
      <c r="BY78" s="7">
        <f t="shared" si="13"/>
        <v>4.4000000000000039</v>
      </c>
      <c r="BZ78" s="34">
        <v>44847</v>
      </c>
      <c r="CA78" s="7">
        <v>3.4790000000000001</v>
      </c>
      <c r="CB78" s="7">
        <v>3.7959999999999998</v>
      </c>
      <c r="CC78" s="7">
        <f t="shared" si="14"/>
        <v>-31.699999999999974</v>
      </c>
      <c r="CD78" s="34">
        <v>44847</v>
      </c>
      <c r="CE78" s="7">
        <v>4.3810000000000002</v>
      </c>
      <c r="CF78" s="7">
        <v>3.83</v>
      </c>
      <c r="CG78" s="7">
        <f t="shared" si="15"/>
        <v>55.100000000000016</v>
      </c>
    </row>
    <row r="79" spans="70:85" x14ac:dyDescent="0.15">
      <c r="BR79" s="34">
        <v>44846</v>
      </c>
      <c r="BS79" s="7">
        <v>3.0059999999999998</v>
      </c>
      <c r="BT79" s="7">
        <v>3.456</v>
      </c>
      <c r="BU79" s="7">
        <f t="shared" si="12"/>
        <v>-45.000000000000014</v>
      </c>
      <c r="BV79" s="34">
        <v>44846</v>
      </c>
      <c r="BW79" s="7">
        <v>3.4540000000000002</v>
      </c>
      <c r="BX79" s="7">
        <v>3.41</v>
      </c>
      <c r="BY79" s="7">
        <f t="shared" si="13"/>
        <v>4.4000000000000039</v>
      </c>
      <c r="BZ79" s="34">
        <v>44846</v>
      </c>
      <c r="CA79" s="7">
        <v>3.4540000000000002</v>
      </c>
      <c r="CB79" s="7">
        <v>3.7610000000000001</v>
      </c>
      <c r="CC79" s="7">
        <f t="shared" si="14"/>
        <v>-30.699999999999996</v>
      </c>
      <c r="CD79" s="34">
        <v>44846</v>
      </c>
      <c r="CE79" s="7">
        <v>4.3419999999999996</v>
      </c>
      <c r="CF79" s="7">
        <v>3.7949999999999999</v>
      </c>
      <c r="CG79" s="7">
        <f t="shared" si="15"/>
        <v>54.699999999999974</v>
      </c>
    </row>
    <row r="80" spans="70:85" x14ac:dyDescent="0.15">
      <c r="BR80" s="34">
        <v>44845</v>
      </c>
      <c r="BS80" s="7">
        <v>2.8380000000000001</v>
      </c>
      <c r="BT80" s="7">
        <v>3.4780000000000002</v>
      </c>
      <c r="BU80" s="7">
        <f t="shared" si="12"/>
        <v>-64.000000000000014</v>
      </c>
      <c r="BV80" s="34">
        <v>44845</v>
      </c>
      <c r="BW80" s="7">
        <v>3.3140000000000001</v>
      </c>
      <c r="BX80" s="7">
        <v>3.27</v>
      </c>
      <c r="BY80" s="7">
        <f t="shared" si="13"/>
        <v>4.4000000000000039</v>
      </c>
      <c r="BZ80" s="34">
        <v>44845</v>
      </c>
      <c r="CA80" s="7">
        <v>3.3140000000000001</v>
      </c>
      <c r="CB80" s="7">
        <v>3.621</v>
      </c>
      <c r="CC80" s="7">
        <f t="shared" si="14"/>
        <v>-30.699999999999996</v>
      </c>
      <c r="CD80" s="34">
        <v>44845</v>
      </c>
      <c r="CE80" s="7">
        <v>4.274</v>
      </c>
      <c r="CF80" s="7">
        <v>3.6549999999999998</v>
      </c>
      <c r="CG80" s="7">
        <f t="shared" si="15"/>
        <v>61.90000000000002</v>
      </c>
    </row>
    <row r="81" spans="70:85" x14ac:dyDescent="0.15">
      <c r="BR81" s="34">
        <v>44841</v>
      </c>
      <c r="BS81" s="7">
        <v>2.7829999999999999</v>
      </c>
      <c r="BT81" s="7">
        <v>3.45</v>
      </c>
      <c r="BU81" s="7">
        <f t="shared" si="12"/>
        <v>-66.700000000000031</v>
      </c>
      <c r="BV81" s="34">
        <v>44841</v>
      </c>
      <c r="BW81" s="7">
        <v>3.2440000000000002</v>
      </c>
      <c r="BX81" s="7">
        <v>3.2</v>
      </c>
      <c r="BY81" s="7">
        <f t="shared" si="13"/>
        <v>4.4000000000000039</v>
      </c>
      <c r="BZ81" s="34">
        <v>44841</v>
      </c>
      <c r="CA81" s="7">
        <v>3.2440000000000002</v>
      </c>
      <c r="CB81" s="7">
        <v>3.5590000000000002</v>
      </c>
      <c r="CC81" s="7">
        <f t="shared" si="14"/>
        <v>-31.499999999999993</v>
      </c>
      <c r="CD81" s="34">
        <v>44841</v>
      </c>
      <c r="CE81" s="7">
        <v>4.2160000000000002</v>
      </c>
      <c r="CF81" s="7">
        <v>3.593</v>
      </c>
      <c r="CG81" s="7">
        <f t="shared" si="15"/>
        <v>62.300000000000026</v>
      </c>
    </row>
    <row r="82" spans="70:85" x14ac:dyDescent="0.15">
      <c r="BR82" s="34">
        <v>44840</v>
      </c>
      <c r="BS82" s="7">
        <v>2.7759999999999998</v>
      </c>
      <c r="BT82" s="7">
        <v>3.488</v>
      </c>
      <c r="BU82" s="7">
        <f t="shared" si="12"/>
        <v>-71.200000000000017</v>
      </c>
      <c r="BV82" s="34">
        <v>44840</v>
      </c>
      <c r="BW82" s="7">
        <v>3.222</v>
      </c>
      <c r="BX82" s="7">
        <v>3.1779999999999999</v>
      </c>
      <c r="BY82" s="7">
        <f t="shared" si="13"/>
        <v>4.4000000000000039</v>
      </c>
      <c r="BZ82" s="34">
        <v>44840</v>
      </c>
      <c r="CA82" s="7">
        <v>3.222</v>
      </c>
      <c r="CB82" s="7">
        <v>3.5430000000000001</v>
      </c>
      <c r="CC82" s="7">
        <f t="shared" si="14"/>
        <v>-32.100000000000016</v>
      </c>
      <c r="CD82" s="34">
        <v>44840</v>
      </c>
      <c r="CE82" s="7">
        <v>4.1970000000000001</v>
      </c>
      <c r="CF82" s="7">
        <v>3.577</v>
      </c>
      <c r="CG82" s="7">
        <f t="shared" si="15"/>
        <v>62.000000000000014</v>
      </c>
    </row>
    <row r="83" spans="70:85" x14ac:dyDescent="0.15">
      <c r="BR83" s="34">
        <v>44839</v>
      </c>
      <c r="BS83" s="7">
        <v>2.78</v>
      </c>
      <c r="BT83" s="7">
        <v>3.55</v>
      </c>
      <c r="BU83" s="7">
        <f t="shared" si="12"/>
        <v>-77</v>
      </c>
      <c r="BV83" s="34">
        <v>44839</v>
      </c>
      <c r="BW83" s="7">
        <v>3.2120000000000002</v>
      </c>
      <c r="BX83" s="7">
        <v>3.1680000000000001</v>
      </c>
      <c r="BY83" s="7">
        <f t="shared" si="13"/>
        <v>4.4000000000000039</v>
      </c>
      <c r="BZ83" s="34">
        <v>44839</v>
      </c>
      <c r="CA83" s="7">
        <v>3.2120000000000002</v>
      </c>
      <c r="CB83" s="7">
        <v>3.5390000000000001</v>
      </c>
      <c r="CC83" s="7">
        <f t="shared" si="14"/>
        <v>-32.699999999999996</v>
      </c>
      <c r="CD83" s="34">
        <v>44839</v>
      </c>
      <c r="CE83" s="7">
        <v>4.1920000000000002</v>
      </c>
      <c r="CF83" s="7">
        <v>3.573</v>
      </c>
      <c r="CG83" s="7">
        <f t="shared" si="15"/>
        <v>61.90000000000002</v>
      </c>
    </row>
    <row r="84" spans="70:85" x14ac:dyDescent="0.15">
      <c r="BR84" s="34">
        <v>44838</v>
      </c>
      <c r="BS84" s="7">
        <v>2.7850000000000001</v>
      </c>
      <c r="BT84" s="7">
        <v>3.5249999999999999</v>
      </c>
      <c r="BU84" s="7">
        <f t="shared" si="12"/>
        <v>-73.999999999999972</v>
      </c>
      <c r="BV84" s="34">
        <v>44838</v>
      </c>
      <c r="BW84" s="7">
        <v>3.1920000000000002</v>
      </c>
      <c r="BX84" s="7">
        <v>3.1480000000000001</v>
      </c>
      <c r="BY84" s="7">
        <f t="shared" si="13"/>
        <v>4.4000000000000039</v>
      </c>
      <c r="BZ84" s="34">
        <v>44838</v>
      </c>
      <c r="CA84" s="7">
        <v>3.1920000000000002</v>
      </c>
      <c r="CB84" s="7">
        <v>3.5129999999999999</v>
      </c>
      <c r="CC84" s="7">
        <f t="shared" si="14"/>
        <v>-32.099999999999973</v>
      </c>
      <c r="CD84" s="34">
        <v>44838</v>
      </c>
      <c r="CE84" s="7">
        <v>4.1760000000000002</v>
      </c>
      <c r="CF84" s="7">
        <v>3.5470000000000002</v>
      </c>
      <c r="CG84" s="7">
        <f t="shared" si="15"/>
        <v>62.9</v>
      </c>
    </row>
    <row r="85" spans="70:85" x14ac:dyDescent="0.15">
      <c r="BR85" s="34">
        <v>44834</v>
      </c>
      <c r="BS85" s="7">
        <v>2.8050000000000002</v>
      </c>
      <c r="BT85" s="7">
        <v>3.61</v>
      </c>
      <c r="BU85" s="7">
        <f t="shared" si="12"/>
        <v>-80.499999999999972</v>
      </c>
      <c r="BV85" s="34">
        <v>44834</v>
      </c>
      <c r="BW85" s="7">
        <v>3.1890000000000001</v>
      </c>
      <c r="BX85" s="7">
        <v>3.145</v>
      </c>
      <c r="BY85" s="7">
        <f t="shared" si="13"/>
        <v>4.4000000000000039</v>
      </c>
      <c r="BZ85" s="34">
        <v>44834</v>
      </c>
      <c r="CA85" s="7">
        <v>3.1890000000000001</v>
      </c>
      <c r="CB85" s="7">
        <v>3.5190000000000001</v>
      </c>
      <c r="CC85" s="7">
        <f t="shared" si="14"/>
        <v>-33.000000000000007</v>
      </c>
      <c r="CD85" s="34">
        <v>44834</v>
      </c>
      <c r="CE85" s="7">
        <v>4.1890000000000001</v>
      </c>
      <c r="CF85" s="7">
        <v>3.5529999999999999</v>
      </c>
      <c r="CG85" s="7">
        <f t="shared" si="15"/>
        <v>63.600000000000009</v>
      </c>
    </row>
    <row r="86" spans="70:85" x14ac:dyDescent="0.15">
      <c r="BR86" s="34">
        <v>44833</v>
      </c>
      <c r="BS86" s="7">
        <v>2.8380000000000001</v>
      </c>
      <c r="BT86" s="7">
        <v>3.7229999999999999</v>
      </c>
      <c r="BU86" s="7">
        <f t="shared" si="12"/>
        <v>-88.499999999999972</v>
      </c>
      <c r="BV86" s="34">
        <v>44833</v>
      </c>
      <c r="BW86" s="7">
        <v>3.2189999999999999</v>
      </c>
      <c r="BX86" s="7">
        <v>3.1749999999999998</v>
      </c>
      <c r="BY86" s="7">
        <f t="shared" si="13"/>
        <v>4.4000000000000039</v>
      </c>
      <c r="BZ86" s="34">
        <v>44833</v>
      </c>
      <c r="CA86" s="7">
        <v>3.2189999999999999</v>
      </c>
      <c r="CB86" s="7">
        <v>3.5459999999999998</v>
      </c>
      <c r="CC86" s="7">
        <f t="shared" si="14"/>
        <v>-32.699999999999996</v>
      </c>
      <c r="CD86" s="34">
        <v>44833</v>
      </c>
      <c r="CE86" s="7">
        <v>4.2169999999999996</v>
      </c>
      <c r="CF86" s="7">
        <v>3.58</v>
      </c>
      <c r="CG86" s="7">
        <f t="shared" si="15"/>
        <v>63.69999999999996</v>
      </c>
    </row>
    <row r="87" spans="70:85" x14ac:dyDescent="0.15">
      <c r="BR87" s="34">
        <v>44832</v>
      </c>
      <c r="BS87" s="7">
        <v>2.9009999999999998</v>
      </c>
      <c r="BT87" s="7">
        <v>3.778</v>
      </c>
      <c r="BU87" s="7">
        <f t="shared" si="12"/>
        <v>-87.700000000000017</v>
      </c>
      <c r="BV87" s="34">
        <v>44832</v>
      </c>
      <c r="BW87" s="7">
        <v>3.2519999999999998</v>
      </c>
      <c r="BX87" s="7">
        <v>3.2080000000000002</v>
      </c>
      <c r="BY87" s="7">
        <f t="shared" si="13"/>
        <v>4.3999999999999595</v>
      </c>
      <c r="BZ87" s="34">
        <v>44832</v>
      </c>
      <c r="CA87" s="7">
        <v>3.2519999999999998</v>
      </c>
      <c r="CB87" s="7">
        <v>3.5830000000000002</v>
      </c>
      <c r="CC87" s="7">
        <f t="shared" si="14"/>
        <v>-33.100000000000037</v>
      </c>
      <c r="CD87" s="34">
        <v>44832</v>
      </c>
      <c r="CE87" s="7">
        <v>4.2560000000000002</v>
      </c>
      <c r="CF87" s="7">
        <v>3.617</v>
      </c>
      <c r="CG87" s="7">
        <f t="shared" si="15"/>
        <v>63.90000000000002</v>
      </c>
    </row>
    <row r="88" spans="70:85" x14ac:dyDescent="0.15">
      <c r="BR88" s="34">
        <v>44831</v>
      </c>
      <c r="BS88" s="7">
        <v>2.8849999999999998</v>
      </c>
      <c r="BT88" s="7">
        <v>3.7410000000000001</v>
      </c>
      <c r="BU88" s="7">
        <f t="shared" si="12"/>
        <v>-85.600000000000037</v>
      </c>
      <c r="BV88" s="34">
        <v>44831</v>
      </c>
      <c r="BW88" s="7">
        <v>3.2240000000000002</v>
      </c>
      <c r="BX88" s="7">
        <v>3.18</v>
      </c>
      <c r="BY88" s="7">
        <f t="shared" si="13"/>
        <v>4.4000000000000039</v>
      </c>
      <c r="BZ88" s="34">
        <v>44831</v>
      </c>
      <c r="CA88" s="7">
        <v>3.2240000000000002</v>
      </c>
      <c r="CB88" s="7">
        <v>3.5579999999999998</v>
      </c>
      <c r="CC88" s="7">
        <f t="shared" si="14"/>
        <v>-33.399999999999963</v>
      </c>
      <c r="CD88" s="34">
        <v>44831</v>
      </c>
      <c r="CE88" s="7">
        <v>4.2220000000000004</v>
      </c>
      <c r="CF88" s="7">
        <v>3.5920000000000001</v>
      </c>
      <c r="CG88" s="7">
        <f t="shared" si="15"/>
        <v>63.000000000000036</v>
      </c>
    </row>
    <row r="89" spans="70:85" x14ac:dyDescent="0.15">
      <c r="BR89" s="34">
        <v>44830</v>
      </c>
      <c r="BS89" s="7">
        <v>2.9009999999999998</v>
      </c>
      <c r="BT89" s="7">
        <v>3.8180000000000001</v>
      </c>
      <c r="BU89" s="7">
        <f t="shared" si="12"/>
        <v>-91.700000000000031</v>
      </c>
      <c r="BV89" s="34">
        <v>44830</v>
      </c>
      <c r="BW89" s="7">
        <v>3.2240000000000002</v>
      </c>
      <c r="BX89" s="7">
        <v>3.18</v>
      </c>
      <c r="BY89" s="7">
        <f t="shared" si="13"/>
        <v>4.4000000000000039</v>
      </c>
      <c r="BZ89" s="34">
        <v>44830</v>
      </c>
      <c r="CA89" s="7">
        <v>3.2240000000000002</v>
      </c>
      <c r="CB89" s="7">
        <v>3.5539999999999998</v>
      </c>
      <c r="CC89" s="7">
        <f t="shared" si="14"/>
        <v>-32.999999999999964</v>
      </c>
      <c r="CD89" s="34">
        <v>44830</v>
      </c>
      <c r="CE89" s="7">
        <v>4.234</v>
      </c>
      <c r="CF89" s="7">
        <v>3.5880000000000001</v>
      </c>
      <c r="CG89" s="7">
        <f t="shared" si="15"/>
        <v>64.599999999999994</v>
      </c>
    </row>
    <row r="90" spans="70:85" x14ac:dyDescent="0.15">
      <c r="BR90" s="34">
        <v>44827</v>
      </c>
      <c r="BS90" s="7">
        <v>2.8180000000000001</v>
      </c>
      <c r="BT90" s="7">
        <v>3.5710000000000002</v>
      </c>
      <c r="BU90" s="7">
        <f t="shared" si="12"/>
        <v>-75.300000000000011</v>
      </c>
      <c r="BV90" s="34">
        <v>44827</v>
      </c>
      <c r="BW90" s="7">
        <v>3.137</v>
      </c>
      <c r="BX90" s="7">
        <v>3.093</v>
      </c>
      <c r="BY90" s="7">
        <f t="shared" si="13"/>
        <v>4.4000000000000039</v>
      </c>
      <c r="BZ90" s="34">
        <v>44827</v>
      </c>
      <c r="CA90" s="7">
        <v>3.137</v>
      </c>
      <c r="CB90" s="7">
        <v>3.464</v>
      </c>
      <c r="CC90" s="7">
        <f t="shared" si="14"/>
        <v>-32.699999999999996</v>
      </c>
      <c r="CD90" s="34">
        <v>44827</v>
      </c>
      <c r="CE90" s="7">
        <v>4.0890000000000004</v>
      </c>
      <c r="CF90" s="7">
        <v>3.4980000000000002</v>
      </c>
      <c r="CG90" s="7">
        <f t="shared" si="15"/>
        <v>59.100000000000023</v>
      </c>
    </row>
    <row r="91" spans="70:85" x14ac:dyDescent="0.15">
      <c r="BR91" s="34">
        <v>44826</v>
      </c>
      <c r="BS91" s="7">
        <v>2.7850000000000001</v>
      </c>
      <c r="BT91" s="7">
        <v>3.4910000000000001</v>
      </c>
      <c r="BU91" s="7">
        <f t="shared" si="12"/>
        <v>-70.599999999999994</v>
      </c>
      <c r="BV91" s="34">
        <v>44826</v>
      </c>
      <c r="BW91" s="7">
        <v>3.101</v>
      </c>
      <c r="BX91" s="7">
        <v>3.0569999999999999</v>
      </c>
      <c r="BY91" s="7">
        <f t="shared" si="13"/>
        <v>4.4000000000000039</v>
      </c>
      <c r="BZ91" s="34">
        <v>44826</v>
      </c>
      <c r="CA91" s="7">
        <v>3.101</v>
      </c>
      <c r="CB91" s="7">
        <v>3.4239999999999999</v>
      </c>
      <c r="CC91" s="7">
        <f t="shared" si="14"/>
        <v>-32.299999999999997</v>
      </c>
      <c r="CD91" s="34">
        <v>44826</v>
      </c>
      <c r="CE91" s="7">
        <v>4.0190000000000001</v>
      </c>
      <c r="CF91" s="7">
        <v>3.4580000000000002</v>
      </c>
      <c r="CG91" s="7">
        <f t="shared" si="15"/>
        <v>56.099999999999994</v>
      </c>
    </row>
    <row r="92" spans="70:85" x14ac:dyDescent="0.15">
      <c r="BR92" s="34">
        <v>44825</v>
      </c>
      <c r="BS92" s="7">
        <v>2.6680000000000001</v>
      </c>
      <c r="BT92" s="7">
        <v>3.3359999999999999</v>
      </c>
      <c r="BU92" s="7">
        <f t="shared" si="12"/>
        <v>-66.799999999999969</v>
      </c>
      <c r="BV92" s="34">
        <v>44825</v>
      </c>
      <c r="BW92" s="7">
        <v>2.976</v>
      </c>
      <c r="BX92" s="7">
        <v>2.9319999999999999</v>
      </c>
      <c r="BY92" s="7">
        <f t="shared" si="13"/>
        <v>4.4000000000000039</v>
      </c>
      <c r="BZ92" s="34">
        <v>44825</v>
      </c>
      <c r="CA92" s="7">
        <v>2.976</v>
      </c>
      <c r="CB92" s="7">
        <v>3.3029999999999999</v>
      </c>
      <c r="CC92" s="7">
        <f t="shared" si="14"/>
        <v>-32.699999999999996</v>
      </c>
      <c r="CD92" s="34">
        <v>44825</v>
      </c>
      <c r="CE92" s="7">
        <v>3.8690000000000002</v>
      </c>
      <c r="CF92" s="7">
        <v>3.3370000000000002</v>
      </c>
      <c r="CG92" s="7">
        <f t="shared" si="15"/>
        <v>53.2</v>
      </c>
    </row>
    <row r="93" spans="70:85" x14ac:dyDescent="0.15">
      <c r="BR93" s="34">
        <v>44824</v>
      </c>
      <c r="BS93" s="7">
        <v>2.6680000000000001</v>
      </c>
      <c r="BT93" s="7">
        <v>3.3180000000000001</v>
      </c>
      <c r="BU93" s="7">
        <f t="shared" si="12"/>
        <v>-64.999999999999986</v>
      </c>
      <c r="BV93" s="34">
        <v>44824</v>
      </c>
      <c r="BW93" s="7">
        <v>2.9660000000000002</v>
      </c>
      <c r="BX93" s="7">
        <v>2.9220000000000002</v>
      </c>
      <c r="BY93" s="7">
        <f t="shared" si="13"/>
        <v>4.4000000000000039</v>
      </c>
      <c r="BZ93" s="34">
        <v>44824</v>
      </c>
      <c r="CA93" s="7">
        <v>2.9660000000000002</v>
      </c>
      <c r="CB93" s="7">
        <v>3.2989999999999999</v>
      </c>
      <c r="CC93" s="7">
        <f t="shared" si="14"/>
        <v>-33.299999999999976</v>
      </c>
      <c r="CD93" s="34">
        <v>44824</v>
      </c>
      <c r="CE93" s="7">
        <v>3.8490000000000002</v>
      </c>
      <c r="CF93" s="7">
        <v>3.3330000000000002</v>
      </c>
      <c r="CG93" s="7">
        <f t="shared" si="15"/>
        <v>51.6</v>
      </c>
    </row>
    <row r="94" spans="70:85" x14ac:dyDescent="0.15">
      <c r="BR94" s="34">
        <v>44823</v>
      </c>
      <c r="BS94" s="7">
        <v>2.6429999999999998</v>
      </c>
      <c r="BT94" s="7">
        <v>3.27</v>
      </c>
      <c r="BU94" s="7">
        <f t="shared" si="12"/>
        <v>-62.700000000000024</v>
      </c>
      <c r="BV94" s="34">
        <v>44823</v>
      </c>
      <c r="BW94" s="7">
        <v>2.9430000000000001</v>
      </c>
      <c r="BX94" s="7">
        <v>2.899</v>
      </c>
      <c r="BY94" s="7">
        <f t="shared" si="13"/>
        <v>4.4000000000000039</v>
      </c>
      <c r="BZ94" s="34">
        <v>44823</v>
      </c>
      <c r="CA94" s="7">
        <v>2.9430000000000001</v>
      </c>
      <c r="CB94" s="7">
        <v>3.278</v>
      </c>
      <c r="CC94" s="7">
        <f t="shared" si="14"/>
        <v>-33.5</v>
      </c>
      <c r="CD94" s="34">
        <v>44823</v>
      </c>
      <c r="CE94" s="7">
        <v>3.7970000000000002</v>
      </c>
      <c r="CF94" s="7">
        <v>3.3119999999999998</v>
      </c>
      <c r="CG94" s="7">
        <f t="shared" si="15"/>
        <v>48.500000000000028</v>
      </c>
    </row>
    <row r="95" spans="70:85" x14ac:dyDescent="0.15">
      <c r="BR95" s="34">
        <v>44820</v>
      </c>
      <c r="BS95" s="7">
        <v>2.653</v>
      </c>
      <c r="BT95" s="7">
        <v>3.2709999999999999</v>
      </c>
      <c r="BU95" s="7">
        <f t="shared" si="12"/>
        <v>-61.79999999999999</v>
      </c>
      <c r="BV95" s="34">
        <v>44820</v>
      </c>
      <c r="BW95" s="7">
        <v>2.9449999999999998</v>
      </c>
      <c r="BX95" s="7">
        <v>2.9009999999999998</v>
      </c>
      <c r="BY95" s="7">
        <f t="shared" si="13"/>
        <v>4.4000000000000039</v>
      </c>
      <c r="BZ95" s="34">
        <v>44820</v>
      </c>
      <c r="CA95" s="7">
        <v>2.9449999999999998</v>
      </c>
      <c r="CB95" s="7">
        <v>3.2839999999999998</v>
      </c>
      <c r="CC95" s="7">
        <f t="shared" si="14"/>
        <v>-33.9</v>
      </c>
      <c r="CD95" s="34">
        <v>44820</v>
      </c>
      <c r="CE95" s="7">
        <v>3.7970000000000002</v>
      </c>
      <c r="CF95" s="7">
        <v>3.3180000000000001</v>
      </c>
      <c r="CG95" s="7">
        <f t="shared" si="15"/>
        <v>47.900000000000006</v>
      </c>
    </row>
    <row r="96" spans="70:85" x14ac:dyDescent="0.15">
      <c r="BR96" s="34">
        <v>44819</v>
      </c>
      <c r="BS96" s="7">
        <v>2.6509999999999998</v>
      </c>
      <c r="BT96" s="7">
        <v>3.2709999999999999</v>
      </c>
      <c r="BU96" s="7">
        <f t="shared" si="12"/>
        <v>-62.000000000000014</v>
      </c>
      <c r="BV96" s="34">
        <v>44819</v>
      </c>
      <c r="BW96" s="7">
        <v>2.9409999999999998</v>
      </c>
      <c r="BX96" s="7">
        <v>2.8969999999999998</v>
      </c>
      <c r="BY96" s="7">
        <f t="shared" si="13"/>
        <v>4.4000000000000039</v>
      </c>
      <c r="BZ96" s="34">
        <v>44819</v>
      </c>
      <c r="CA96" s="7">
        <v>2.9409999999999998</v>
      </c>
      <c r="CB96" s="7">
        <v>3.2829999999999999</v>
      </c>
      <c r="CC96" s="7">
        <f t="shared" si="14"/>
        <v>-34.20000000000001</v>
      </c>
      <c r="CD96" s="34">
        <v>44819</v>
      </c>
      <c r="CE96" s="7">
        <v>3.786</v>
      </c>
      <c r="CF96" s="7">
        <v>3.3170000000000002</v>
      </c>
      <c r="CG96" s="7">
        <f t="shared" si="15"/>
        <v>46.899999999999984</v>
      </c>
    </row>
    <row r="97" spans="70:85" x14ac:dyDescent="0.15">
      <c r="BR97" s="34">
        <v>44818</v>
      </c>
      <c r="BS97" s="7">
        <v>2.6349999999999998</v>
      </c>
      <c r="BT97" s="7">
        <v>3.2109999999999999</v>
      </c>
      <c r="BU97" s="7">
        <f t="shared" si="12"/>
        <v>-57.600000000000009</v>
      </c>
      <c r="BV97" s="34">
        <v>44818</v>
      </c>
      <c r="BW97" s="7">
        <v>2.923</v>
      </c>
      <c r="BX97" s="7">
        <v>2.879</v>
      </c>
      <c r="BY97" s="7">
        <f t="shared" si="13"/>
        <v>4.4000000000000039</v>
      </c>
      <c r="BZ97" s="34">
        <v>44818</v>
      </c>
      <c r="CA97" s="7">
        <v>2.923</v>
      </c>
      <c r="CB97" s="7">
        <v>3.266</v>
      </c>
      <c r="CC97" s="7">
        <f t="shared" si="14"/>
        <v>-34.299999999999997</v>
      </c>
      <c r="CD97" s="34">
        <v>44818</v>
      </c>
      <c r="CE97" s="7">
        <v>3.7589999999999999</v>
      </c>
      <c r="CF97" s="7">
        <v>3.3</v>
      </c>
      <c r="CG97" s="7">
        <f t="shared" si="15"/>
        <v>45.900000000000006</v>
      </c>
    </row>
    <row r="98" spans="70:85" x14ac:dyDescent="0.15">
      <c r="BR98" s="34">
        <v>44817</v>
      </c>
      <c r="BS98" s="7">
        <v>2.625</v>
      </c>
      <c r="BT98" s="7">
        <v>3.1779999999999999</v>
      </c>
      <c r="BU98" s="7">
        <f t="shared" si="12"/>
        <v>-55.3</v>
      </c>
      <c r="BV98" s="34">
        <v>44817</v>
      </c>
      <c r="BW98" s="7">
        <v>2.915</v>
      </c>
      <c r="BX98" s="7">
        <v>2.871</v>
      </c>
      <c r="BY98" s="7">
        <f t="shared" si="13"/>
        <v>4.4000000000000039</v>
      </c>
      <c r="BZ98" s="34">
        <v>44817</v>
      </c>
      <c r="CA98" s="7">
        <v>2.915</v>
      </c>
      <c r="CB98" s="7">
        <v>3.254</v>
      </c>
      <c r="CC98" s="7">
        <f t="shared" si="14"/>
        <v>-33.9</v>
      </c>
      <c r="CD98" s="34">
        <v>44817</v>
      </c>
      <c r="CE98" s="7">
        <v>3.7370000000000001</v>
      </c>
      <c r="CF98" s="7">
        <v>3.2879999999999998</v>
      </c>
      <c r="CG98" s="7">
        <f t="shared" si="15"/>
        <v>44.900000000000027</v>
      </c>
    </row>
    <row r="99" spans="70:85" x14ac:dyDescent="0.15">
      <c r="BR99" s="34">
        <v>44812</v>
      </c>
      <c r="BS99" s="7">
        <v>2.625</v>
      </c>
      <c r="BT99" s="7">
        <v>3.181</v>
      </c>
      <c r="BU99" s="7">
        <f t="shared" si="12"/>
        <v>-55.600000000000009</v>
      </c>
      <c r="BV99" s="34">
        <v>44812</v>
      </c>
      <c r="BW99" s="7">
        <v>2.91</v>
      </c>
      <c r="BX99" s="7">
        <v>2.8660000000000001</v>
      </c>
      <c r="BY99" s="7">
        <f t="shared" si="13"/>
        <v>4.4000000000000039</v>
      </c>
      <c r="BZ99" s="34">
        <v>44812</v>
      </c>
      <c r="CA99" s="7">
        <v>2.91</v>
      </c>
      <c r="CB99" s="7">
        <v>3.2490000000000001</v>
      </c>
      <c r="CC99" s="7">
        <f t="shared" si="14"/>
        <v>-33.9</v>
      </c>
      <c r="CD99" s="34">
        <v>44812</v>
      </c>
      <c r="CE99" s="7">
        <v>3.722</v>
      </c>
      <c r="CF99" s="7">
        <v>3.2829999999999999</v>
      </c>
      <c r="CG99" s="7">
        <f t="shared" si="15"/>
        <v>43.900000000000006</v>
      </c>
    </row>
    <row r="100" spans="70:85" x14ac:dyDescent="0.15">
      <c r="BR100" s="34">
        <v>44811</v>
      </c>
      <c r="BS100" s="7">
        <v>2.6349999999999998</v>
      </c>
      <c r="BT100" s="7">
        <v>3.246</v>
      </c>
      <c r="BU100" s="7">
        <f t="shared" si="12"/>
        <v>-61.100000000000023</v>
      </c>
      <c r="BV100" s="34">
        <v>44811</v>
      </c>
      <c r="BW100" s="7">
        <v>2.923</v>
      </c>
      <c r="BX100" s="7">
        <v>2.879</v>
      </c>
      <c r="BY100" s="7">
        <f t="shared" si="13"/>
        <v>4.4000000000000039</v>
      </c>
      <c r="BZ100" s="34">
        <v>44811</v>
      </c>
      <c r="CA100" s="7">
        <v>2.923</v>
      </c>
      <c r="CB100" s="7">
        <v>3.258</v>
      </c>
      <c r="CC100" s="7">
        <f t="shared" si="14"/>
        <v>-33.5</v>
      </c>
      <c r="CD100" s="34">
        <v>44811</v>
      </c>
      <c r="CE100" s="7">
        <v>3.7170000000000001</v>
      </c>
      <c r="CF100" s="7">
        <v>3.2919999999999998</v>
      </c>
      <c r="CG100" s="7">
        <f t="shared" si="15"/>
        <v>42.500000000000028</v>
      </c>
    </row>
    <row r="101" spans="70:85" x14ac:dyDescent="0.15">
      <c r="BR101" s="34">
        <v>44810</v>
      </c>
      <c r="BS101" s="7">
        <v>2.6349999999999998</v>
      </c>
      <c r="BT101" s="7">
        <v>3.246</v>
      </c>
      <c r="BU101" s="7">
        <f t="shared" si="12"/>
        <v>-61.100000000000023</v>
      </c>
      <c r="BV101" s="34">
        <v>44810</v>
      </c>
      <c r="BW101" s="7">
        <v>2.9260000000000002</v>
      </c>
      <c r="BX101" s="7">
        <v>2.8820000000000001</v>
      </c>
      <c r="BY101" s="7">
        <f t="shared" si="13"/>
        <v>4.4000000000000039</v>
      </c>
      <c r="BZ101" s="34">
        <v>44810</v>
      </c>
      <c r="CA101" s="7">
        <v>2.9260000000000002</v>
      </c>
      <c r="CB101" s="7">
        <v>3.2589999999999999</v>
      </c>
      <c r="CC101" s="7">
        <f t="shared" si="14"/>
        <v>-33.299999999999976</v>
      </c>
      <c r="CD101" s="34">
        <v>44810</v>
      </c>
      <c r="CE101" s="7">
        <v>3.706</v>
      </c>
      <c r="CF101" s="7">
        <v>3.2930000000000001</v>
      </c>
      <c r="CG101" s="7">
        <f t="shared" si="15"/>
        <v>41.299999999999983</v>
      </c>
    </row>
    <row r="102" spans="70:85" x14ac:dyDescent="0.15">
      <c r="BR102" s="34">
        <v>44809</v>
      </c>
      <c r="BS102" s="7">
        <v>2.6509999999999998</v>
      </c>
      <c r="BT102" s="7">
        <v>3.2250000000000001</v>
      </c>
      <c r="BU102" s="7">
        <f t="shared" si="12"/>
        <v>-57.400000000000027</v>
      </c>
      <c r="BV102" s="34">
        <v>44809</v>
      </c>
      <c r="BW102" s="7">
        <v>2.9279999999999999</v>
      </c>
      <c r="BX102" s="7">
        <v>2.8839999999999999</v>
      </c>
      <c r="BY102" s="7">
        <f t="shared" si="13"/>
        <v>4.4000000000000039</v>
      </c>
      <c r="BZ102" s="34">
        <v>44809</v>
      </c>
      <c r="CA102" s="7">
        <v>2.9279999999999999</v>
      </c>
      <c r="CB102" s="7">
        <v>3.2610000000000001</v>
      </c>
      <c r="CC102" s="7">
        <f t="shared" si="14"/>
        <v>-33.300000000000018</v>
      </c>
      <c r="CD102" s="34">
        <v>44809</v>
      </c>
      <c r="CE102" s="7">
        <v>3.6920000000000002</v>
      </c>
      <c r="CF102" s="7">
        <v>3.2949999999999999</v>
      </c>
      <c r="CG102" s="7">
        <f t="shared" si="15"/>
        <v>39.700000000000024</v>
      </c>
    </row>
    <row r="103" spans="70:85" x14ac:dyDescent="0.15">
      <c r="BR103" s="34">
        <v>44806</v>
      </c>
      <c r="BS103" s="7">
        <v>2.661</v>
      </c>
      <c r="BT103" s="7">
        <v>3.26</v>
      </c>
      <c r="BU103" s="7">
        <f t="shared" si="12"/>
        <v>-59.899999999999977</v>
      </c>
      <c r="BV103" s="34">
        <v>44806</v>
      </c>
      <c r="BW103" s="7">
        <v>2.9329999999999998</v>
      </c>
      <c r="BX103" s="7">
        <v>2.8889999999999998</v>
      </c>
      <c r="BY103" s="7">
        <f t="shared" si="13"/>
        <v>4.4000000000000039</v>
      </c>
      <c r="BZ103" s="34">
        <v>44806</v>
      </c>
      <c r="CA103" s="7">
        <v>2.9329999999999998</v>
      </c>
      <c r="CB103" s="7">
        <v>3.2679999999999998</v>
      </c>
      <c r="CC103" s="7">
        <f t="shared" si="14"/>
        <v>-33.5</v>
      </c>
      <c r="CD103" s="34">
        <v>44806</v>
      </c>
      <c r="CE103" s="7">
        <v>3.7010000000000001</v>
      </c>
      <c r="CF103" s="7">
        <v>3.302</v>
      </c>
      <c r="CG103" s="7">
        <f t="shared" si="15"/>
        <v>39.900000000000006</v>
      </c>
    </row>
    <row r="104" spans="70:85" x14ac:dyDescent="0.15">
      <c r="BR104" s="34">
        <v>44805</v>
      </c>
      <c r="BS104" s="7">
        <v>2.6749999999999998</v>
      </c>
      <c r="BT104" s="7">
        <v>3.3130000000000002</v>
      </c>
      <c r="BU104" s="7">
        <f t="shared" si="12"/>
        <v>-63.800000000000033</v>
      </c>
      <c r="BV104" s="34">
        <v>44805</v>
      </c>
      <c r="BW104" s="7">
        <v>2.9510000000000001</v>
      </c>
      <c r="BX104" s="7">
        <v>2.907</v>
      </c>
      <c r="BY104" s="7">
        <f t="shared" si="13"/>
        <v>4.4000000000000039</v>
      </c>
      <c r="BZ104" s="34">
        <v>44805</v>
      </c>
      <c r="CA104" s="7">
        <v>2.9510000000000001</v>
      </c>
      <c r="CB104" s="7">
        <v>3.2810000000000001</v>
      </c>
      <c r="CC104" s="7">
        <f t="shared" si="14"/>
        <v>-33.000000000000007</v>
      </c>
      <c r="CD104" s="34">
        <v>44805</v>
      </c>
      <c r="CE104" s="7">
        <v>3.706</v>
      </c>
      <c r="CF104" s="7">
        <v>3.3149999999999999</v>
      </c>
      <c r="CG104" s="7">
        <f t="shared" si="15"/>
        <v>39.1</v>
      </c>
    </row>
    <row r="105" spans="70:85" x14ac:dyDescent="0.15">
      <c r="BR105" s="34">
        <v>44804</v>
      </c>
      <c r="BS105" s="7">
        <v>2.661</v>
      </c>
      <c r="BT105" s="7">
        <v>3.2759999999999998</v>
      </c>
      <c r="BU105" s="7">
        <f t="shared" si="12"/>
        <v>-61.499999999999979</v>
      </c>
      <c r="BV105" s="34">
        <v>44804</v>
      </c>
      <c r="BW105" s="7">
        <v>2.9350000000000001</v>
      </c>
      <c r="BX105" s="7">
        <v>2.891</v>
      </c>
      <c r="BY105" s="7">
        <f t="shared" si="13"/>
        <v>4.4000000000000039</v>
      </c>
      <c r="BZ105" s="34">
        <v>44804</v>
      </c>
      <c r="CA105" s="7">
        <v>2.9350000000000001</v>
      </c>
      <c r="CB105" s="7">
        <v>3.2639999999999998</v>
      </c>
      <c r="CC105" s="7">
        <f t="shared" si="14"/>
        <v>-32.899999999999977</v>
      </c>
      <c r="CD105" s="34">
        <v>44804</v>
      </c>
      <c r="CE105" s="7">
        <v>3.6789999999999998</v>
      </c>
      <c r="CF105" s="7">
        <v>3.298</v>
      </c>
      <c r="CG105" s="7">
        <f t="shared" si="15"/>
        <v>38.09999999999998</v>
      </c>
    </row>
    <row r="106" spans="70:85" x14ac:dyDescent="0.15">
      <c r="BR106" s="34">
        <v>44803</v>
      </c>
      <c r="BS106" s="7">
        <v>2.65</v>
      </c>
      <c r="BT106" s="7">
        <v>3.2509999999999999</v>
      </c>
      <c r="BU106" s="7">
        <f t="shared" si="12"/>
        <v>-60.099999999999994</v>
      </c>
      <c r="BV106" s="34">
        <v>44803</v>
      </c>
      <c r="BW106" s="7">
        <v>2.92</v>
      </c>
      <c r="BX106" s="7">
        <v>2.8759999999999999</v>
      </c>
      <c r="BY106" s="7">
        <f t="shared" si="13"/>
        <v>4.4000000000000039</v>
      </c>
      <c r="BZ106" s="34">
        <v>44803</v>
      </c>
      <c r="CA106" s="7">
        <v>2.92</v>
      </c>
      <c r="CB106" s="7">
        <v>3.2530000000000001</v>
      </c>
      <c r="CC106" s="7">
        <f t="shared" si="14"/>
        <v>-33.300000000000018</v>
      </c>
      <c r="CD106" s="34">
        <v>44803</v>
      </c>
      <c r="CE106" s="7">
        <v>3.661</v>
      </c>
      <c r="CF106" s="7">
        <v>3.2869999999999999</v>
      </c>
      <c r="CG106" s="7">
        <f t="shared" si="15"/>
        <v>37.400000000000013</v>
      </c>
    </row>
    <row r="107" spans="70:85" x14ac:dyDescent="0.15">
      <c r="BR107" s="34">
        <v>44802</v>
      </c>
      <c r="BS107" s="7">
        <v>2.6629999999999998</v>
      </c>
      <c r="BT107" s="7">
        <v>3.2730000000000001</v>
      </c>
      <c r="BU107" s="7">
        <f t="shared" si="12"/>
        <v>-61.000000000000028</v>
      </c>
      <c r="BV107" s="34">
        <v>44802</v>
      </c>
      <c r="BW107" s="7">
        <v>2.931</v>
      </c>
      <c r="BX107" s="7">
        <v>2.887</v>
      </c>
      <c r="BY107" s="7">
        <f t="shared" si="13"/>
        <v>4.4000000000000039</v>
      </c>
      <c r="BZ107" s="34">
        <v>44802</v>
      </c>
      <c r="CA107" s="7">
        <v>2.931</v>
      </c>
      <c r="CB107" s="7">
        <v>3.2589999999999999</v>
      </c>
      <c r="CC107" s="7">
        <f t="shared" si="14"/>
        <v>-32.799999999999983</v>
      </c>
      <c r="CD107" s="34">
        <v>44802</v>
      </c>
      <c r="CE107" s="7">
        <v>3.6640000000000001</v>
      </c>
      <c r="CF107" s="7">
        <v>3.2930000000000001</v>
      </c>
      <c r="CG107" s="7">
        <f t="shared" si="15"/>
        <v>37.1</v>
      </c>
    </row>
    <row r="108" spans="70:85" x14ac:dyDescent="0.15">
      <c r="BR108" s="34">
        <v>44799</v>
      </c>
      <c r="BS108" s="7">
        <v>2.6259999999999999</v>
      </c>
      <c r="BT108" s="7">
        <v>3.2010000000000001</v>
      </c>
      <c r="BU108" s="7">
        <f t="shared" si="12"/>
        <v>-57.500000000000014</v>
      </c>
      <c r="BV108" s="34">
        <v>44799</v>
      </c>
      <c r="BW108" s="7">
        <v>2.903</v>
      </c>
      <c r="BX108" s="7">
        <v>2.859</v>
      </c>
      <c r="BY108" s="7">
        <f t="shared" si="13"/>
        <v>4.4000000000000039</v>
      </c>
      <c r="BZ108" s="34">
        <v>44799</v>
      </c>
      <c r="CA108" s="7">
        <v>2.903</v>
      </c>
      <c r="CB108" s="7">
        <v>3.2309999999999999</v>
      </c>
      <c r="CC108" s="7">
        <f t="shared" si="14"/>
        <v>-32.799999999999983</v>
      </c>
      <c r="CD108" s="34">
        <v>44799</v>
      </c>
      <c r="CE108" s="7">
        <v>3.609</v>
      </c>
      <c r="CF108" s="7">
        <v>3.2650000000000001</v>
      </c>
      <c r="CG108" s="7">
        <f t="shared" si="15"/>
        <v>34.399999999999984</v>
      </c>
    </row>
    <row r="109" spans="70:85" x14ac:dyDescent="0.15">
      <c r="BR109" s="34">
        <v>44798</v>
      </c>
      <c r="BS109" s="7">
        <v>2.625</v>
      </c>
      <c r="BT109" s="7">
        <v>3.206</v>
      </c>
      <c r="BU109" s="7">
        <f t="shared" si="12"/>
        <v>-58.099999999999994</v>
      </c>
      <c r="BV109" s="34">
        <v>44798</v>
      </c>
      <c r="BW109" s="7">
        <v>2.903</v>
      </c>
      <c r="BX109" s="7">
        <v>2.859</v>
      </c>
      <c r="BY109" s="7">
        <f t="shared" si="13"/>
        <v>4.4000000000000039</v>
      </c>
      <c r="BZ109" s="34">
        <v>44798</v>
      </c>
      <c r="CA109" s="7">
        <v>2.903</v>
      </c>
      <c r="CB109" s="7">
        <v>3.2330000000000001</v>
      </c>
      <c r="CC109" s="7">
        <f t="shared" si="14"/>
        <v>-33.000000000000007</v>
      </c>
      <c r="CD109" s="34">
        <v>44798</v>
      </c>
      <c r="CE109" s="7">
        <v>3.6110000000000002</v>
      </c>
      <c r="CF109" s="7">
        <v>3.2669999999999999</v>
      </c>
      <c r="CG109" s="7">
        <f t="shared" si="15"/>
        <v>34.400000000000034</v>
      </c>
    </row>
    <row r="110" spans="70:85" x14ac:dyDescent="0.15">
      <c r="BR110" s="34">
        <v>44797</v>
      </c>
      <c r="BS110" s="7">
        <v>2.516</v>
      </c>
      <c r="BT110" s="7">
        <v>3.0710000000000002</v>
      </c>
      <c r="BU110" s="7">
        <f t="shared" si="12"/>
        <v>-55.500000000000014</v>
      </c>
      <c r="BV110" s="34">
        <v>44797</v>
      </c>
      <c r="BW110" s="7">
        <v>2.8050000000000002</v>
      </c>
      <c r="BX110" s="7">
        <v>2.7610000000000001</v>
      </c>
      <c r="BY110" s="7">
        <f t="shared" si="13"/>
        <v>4.4000000000000039</v>
      </c>
      <c r="BZ110" s="34">
        <v>44797</v>
      </c>
      <c r="CA110" s="7">
        <v>2.8050000000000002</v>
      </c>
      <c r="CB110" s="7">
        <v>3.1339999999999999</v>
      </c>
      <c r="CC110" s="7">
        <f t="shared" si="14"/>
        <v>-32.899999999999977</v>
      </c>
      <c r="CD110" s="34">
        <v>44797</v>
      </c>
      <c r="CE110" s="7">
        <v>3.5169999999999999</v>
      </c>
      <c r="CF110" s="7">
        <v>3.1680000000000001</v>
      </c>
      <c r="CG110" s="7">
        <f t="shared" si="15"/>
        <v>34.899999999999977</v>
      </c>
    </row>
    <row r="111" spans="70:85" x14ac:dyDescent="0.15">
      <c r="BR111" s="34">
        <v>44796</v>
      </c>
      <c r="BS111" s="7">
        <v>2.456</v>
      </c>
      <c r="BT111" s="7">
        <v>3.016</v>
      </c>
      <c r="BU111" s="7">
        <f t="shared" si="12"/>
        <v>-56.000000000000007</v>
      </c>
      <c r="BV111" s="34">
        <v>44796</v>
      </c>
      <c r="BW111" s="7">
        <v>2.7559999999999998</v>
      </c>
      <c r="BX111" s="7">
        <v>2.7120000000000002</v>
      </c>
      <c r="BY111" s="7">
        <f t="shared" si="13"/>
        <v>4.3999999999999595</v>
      </c>
      <c r="BZ111" s="34">
        <v>44796</v>
      </c>
      <c r="CA111" s="7">
        <v>2.7559999999999998</v>
      </c>
      <c r="CB111" s="7">
        <v>3.081</v>
      </c>
      <c r="CC111" s="7">
        <f t="shared" si="14"/>
        <v>-32.500000000000014</v>
      </c>
      <c r="CD111" s="34">
        <v>44796</v>
      </c>
      <c r="CE111" s="7">
        <v>3.4710000000000001</v>
      </c>
      <c r="CF111" s="7">
        <v>3.1150000000000002</v>
      </c>
      <c r="CG111" s="7">
        <f t="shared" si="15"/>
        <v>35.599999999999987</v>
      </c>
    </row>
    <row r="112" spans="70:85" x14ac:dyDescent="0.15">
      <c r="BR112" s="34">
        <v>44795</v>
      </c>
      <c r="BS112" s="7">
        <v>2.42</v>
      </c>
      <c r="BT112" s="7">
        <v>2.9750000000000001</v>
      </c>
      <c r="BU112" s="7">
        <f t="shared" si="12"/>
        <v>-55.500000000000014</v>
      </c>
      <c r="BV112" s="34">
        <v>44795</v>
      </c>
      <c r="BW112" s="7">
        <v>2.7309999999999999</v>
      </c>
      <c r="BX112" s="7">
        <v>2.6869999999999998</v>
      </c>
      <c r="BY112" s="7">
        <f t="shared" si="13"/>
        <v>4.4000000000000039</v>
      </c>
      <c r="BZ112" s="34">
        <v>44795</v>
      </c>
      <c r="CA112" s="7">
        <v>2.7309999999999999</v>
      </c>
      <c r="CB112" s="7">
        <v>3.056</v>
      </c>
      <c r="CC112" s="7">
        <f t="shared" si="14"/>
        <v>-32.500000000000014</v>
      </c>
      <c r="CD112" s="34">
        <v>44795</v>
      </c>
      <c r="CE112" s="7">
        <v>3.4390000000000001</v>
      </c>
      <c r="CF112" s="7">
        <v>3.09</v>
      </c>
      <c r="CG112" s="7">
        <f t="shared" si="15"/>
        <v>34.90000000000002</v>
      </c>
    </row>
    <row r="113" spans="70:85" x14ac:dyDescent="0.15">
      <c r="BR113" s="34">
        <v>44792</v>
      </c>
      <c r="BS113" s="7">
        <v>2.3809999999999998</v>
      </c>
      <c r="BT113" s="7">
        <v>2.93</v>
      </c>
      <c r="BU113" s="7">
        <f t="shared" si="12"/>
        <v>-54.900000000000034</v>
      </c>
      <c r="BV113" s="34">
        <v>44792</v>
      </c>
      <c r="BW113" s="7">
        <v>2.7050000000000001</v>
      </c>
      <c r="BX113" s="7">
        <v>2.661</v>
      </c>
      <c r="BY113" s="7">
        <f t="shared" si="13"/>
        <v>4.4000000000000039</v>
      </c>
      <c r="BZ113" s="34">
        <v>44792</v>
      </c>
      <c r="CA113" s="7">
        <v>2.7050000000000001</v>
      </c>
      <c r="CB113" s="7">
        <v>3.0329999999999999</v>
      </c>
      <c r="CC113" s="7">
        <f t="shared" si="14"/>
        <v>-32.799999999999983</v>
      </c>
      <c r="CD113" s="34">
        <v>44792</v>
      </c>
      <c r="CE113" s="7">
        <v>3.419</v>
      </c>
      <c r="CF113" s="7">
        <v>3.0670000000000002</v>
      </c>
      <c r="CG113" s="7">
        <f t="shared" si="15"/>
        <v>35.199999999999989</v>
      </c>
    </row>
    <row r="114" spans="70:85" x14ac:dyDescent="0.15">
      <c r="BR114" s="34">
        <v>44791</v>
      </c>
      <c r="BS114" s="7">
        <v>2.371</v>
      </c>
      <c r="BT114" s="7">
        <v>2.9009999999999998</v>
      </c>
      <c r="BU114" s="7">
        <f t="shared" si="12"/>
        <v>-52.999999999999979</v>
      </c>
      <c r="BV114" s="34">
        <v>44791</v>
      </c>
      <c r="BW114" s="7">
        <v>2.698</v>
      </c>
      <c r="BX114" s="7">
        <v>2.6539999999999999</v>
      </c>
      <c r="BY114" s="7">
        <f t="shared" si="13"/>
        <v>4.4000000000000039</v>
      </c>
      <c r="BZ114" s="34">
        <v>44791</v>
      </c>
      <c r="CA114" s="7">
        <v>2.698</v>
      </c>
      <c r="CB114" s="7">
        <v>3.0209999999999999</v>
      </c>
      <c r="CC114" s="7">
        <f t="shared" si="14"/>
        <v>-32.299999999999997</v>
      </c>
      <c r="CD114" s="34">
        <v>44791</v>
      </c>
      <c r="CE114" s="7">
        <v>3.4169999999999998</v>
      </c>
      <c r="CF114" s="7">
        <v>3.0550000000000002</v>
      </c>
      <c r="CG114" s="7">
        <f t="shared" si="15"/>
        <v>36.199999999999967</v>
      </c>
    </row>
    <row r="115" spans="70:85" x14ac:dyDescent="0.15">
      <c r="BR115" s="34">
        <v>44790</v>
      </c>
      <c r="BS115" s="7">
        <v>2.37</v>
      </c>
      <c r="BT115" s="7">
        <v>2.883</v>
      </c>
      <c r="BU115" s="7">
        <f t="shared" si="12"/>
        <v>-51.29999999999999</v>
      </c>
      <c r="BV115" s="34">
        <v>44790</v>
      </c>
      <c r="BW115" s="7">
        <v>2.698</v>
      </c>
      <c r="BX115" s="7">
        <v>2.6539999999999999</v>
      </c>
      <c r="BY115" s="7">
        <f t="shared" si="13"/>
        <v>4.4000000000000039</v>
      </c>
      <c r="BZ115" s="34">
        <v>44790</v>
      </c>
      <c r="CA115" s="7">
        <v>2.698</v>
      </c>
      <c r="CB115" s="7">
        <v>3.0230000000000001</v>
      </c>
      <c r="CC115" s="7">
        <f t="shared" si="14"/>
        <v>-32.500000000000014</v>
      </c>
      <c r="CD115" s="34">
        <v>44790</v>
      </c>
      <c r="CE115" s="7">
        <v>3.4220000000000002</v>
      </c>
      <c r="CF115" s="7">
        <v>3.0569999999999999</v>
      </c>
      <c r="CG115" s="7">
        <f t="shared" si="15"/>
        <v>36.500000000000021</v>
      </c>
    </row>
    <row r="116" spans="70:85" x14ac:dyDescent="0.15">
      <c r="BR116" s="34">
        <v>44789</v>
      </c>
      <c r="BS116" s="7">
        <v>2.363</v>
      </c>
      <c r="BT116" s="7">
        <v>2.88</v>
      </c>
      <c r="BU116" s="7">
        <f t="shared" si="12"/>
        <v>-51.699999999999989</v>
      </c>
      <c r="BV116" s="34">
        <v>44789</v>
      </c>
      <c r="BW116" s="7">
        <v>2.6949999999999998</v>
      </c>
      <c r="BX116" s="7">
        <v>2.6509999999999998</v>
      </c>
      <c r="BY116" s="7">
        <f t="shared" si="13"/>
        <v>4.4000000000000039</v>
      </c>
      <c r="BZ116" s="34">
        <v>44789</v>
      </c>
      <c r="CA116" s="7">
        <v>2.6949999999999998</v>
      </c>
      <c r="CB116" s="7">
        <v>3.0230000000000001</v>
      </c>
      <c r="CC116" s="7">
        <f t="shared" si="14"/>
        <v>-32.800000000000026</v>
      </c>
      <c r="CD116" s="34">
        <v>44789</v>
      </c>
      <c r="CE116" s="7">
        <v>3.431</v>
      </c>
      <c r="CF116" s="7">
        <v>3.0569999999999999</v>
      </c>
      <c r="CG116" s="7">
        <f t="shared" si="15"/>
        <v>37.400000000000013</v>
      </c>
    </row>
    <row r="117" spans="70:85" x14ac:dyDescent="0.15">
      <c r="BR117" s="34">
        <v>44785</v>
      </c>
      <c r="BS117" s="7">
        <v>2.3660000000000001</v>
      </c>
      <c r="BT117" s="7">
        <v>2.9129999999999998</v>
      </c>
      <c r="BU117" s="7">
        <f t="shared" si="12"/>
        <v>-54.699999999999974</v>
      </c>
      <c r="BV117" s="34">
        <v>44785</v>
      </c>
      <c r="BW117" s="7">
        <v>2.7050000000000001</v>
      </c>
      <c r="BX117" s="7">
        <v>2.661</v>
      </c>
      <c r="BY117" s="7">
        <f t="shared" si="13"/>
        <v>4.4000000000000039</v>
      </c>
      <c r="BZ117" s="34">
        <v>44785</v>
      </c>
      <c r="CA117" s="7">
        <v>2.7050000000000001</v>
      </c>
      <c r="CB117" s="7">
        <v>3.0310000000000001</v>
      </c>
      <c r="CC117" s="7">
        <f t="shared" si="14"/>
        <v>-32.600000000000009</v>
      </c>
      <c r="CD117" s="34">
        <v>44785</v>
      </c>
      <c r="CE117" s="7">
        <v>3.4460000000000002</v>
      </c>
      <c r="CF117" s="7">
        <v>3.0649999999999999</v>
      </c>
      <c r="CG117" s="7">
        <f t="shared" si="15"/>
        <v>38.100000000000023</v>
      </c>
    </row>
    <row r="118" spans="70:85" x14ac:dyDescent="0.15">
      <c r="BR118" s="34">
        <v>44784</v>
      </c>
      <c r="BS118" s="7">
        <v>2.33</v>
      </c>
      <c r="BT118" s="7">
        <v>2.8929999999999998</v>
      </c>
      <c r="BU118" s="7">
        <f t="shared" si="12"/>
        <v>-56.299999999999969</v>
      </c>
      <c r="BV118" s="34">
        <v>44784</v>
      </c>
      <c r="BW118" s="7">
        <v>2.6909999999999998</v>
      </c>
      <c r="BX118" s="7">
        <v>2.6469999999999998</v>
      </c>
      <c r="BY118" s="7">
        <f t="shared" si="13"/>
        <v>4.4000000000000039</v>
      </c>
      <c r="BZ118" s="34">
        <v>44784</v>
      </c>
      <c r="CA118" s="7">
        <v>2.6909999999999998</v>
      </c>
      <c r="CB118" s="7">
        <v>3.008</v>
      </c>
      <c r="CC118" s="7">
        <f t="shared" si="14"/>
        <v>-31.700000000000017</v>
      </c>
      <c r="CD118" s="34">
        <v>44784</v>
      </c>
      <c r="CE118" s="7">
        <v>3.4319999999999999</v>
      </c>
      <c r="CF118" s="7">
        <v>3.0419999999999998</v>
      </c>
      <c r="CG118" s="7">
        <f t="shared" si="15"/>
        <v>39.000000000000014</v>
      </c>
    </row>
    <row r="119" spans="70:85" x14ac:dyDescent="0.15">
      <c r="BR119" s="34">
        <v>44783</v>
      </c>
      <c r="BS119" s="7">
        <v>2.323</v>
      </c>
      <c r="BT119" s="7">
        <v>2.9</v>
      </c>
      <c r="BU119" s="7">
        <f t="shared" si="12"/>
        <v>-57.699999999999996</v>
      </c>
      <c r="BV119" s="34">
        <v>44783</v>
      </c>
      <c r="BW119" s="7">
        <v>2.6880000000000002</v>
      </c>
      <c r="BX119" s="7">
        <v>2.6459999999999999</v>
      </c>
      <c r="BY119" s="7">
        <f t="shared" si="13"/>
        <v>4.2000000000000259</v>
      </c>
      <c r="BZ119" s="34">
        <v>44783</v>
      </c>
      <c r="CA119" s="7">
        <v>2.6880000000000002</v>
      </c>
      <c r="CB119" s="7">
        <v>3.0070000000000001</v>
      </c>
      <c r="CC119" s="7">
        <f t="shared" si="14"/>
        <v>-31.899999999999995</v>
      </c>
      <c r="CD119" s="34">
        <v>44783</v>
      </c>
      <c r="CE119" s="7">
        <v>3.4409999999999998</v>
      </c>
      <c r="CF119" s="7">
        <v>3.0409999999999999</v>
      </c>
      <c r="CG119" s="7">
        <f t="shared" si="15"/>
        <v>39.999999999999993</v>
      </c>
    </row>
    <row r="120" spans="70:85" x14ac:dyDescent="0.15">
      <c r="BR120" s="34">
        <v>44782</v>
      </c>
      <c r="BS120" s="7">
        <v>2.323</v>
      </c>
      <c r="BT120" s="7">
        <v>2.8980000000000001</v>
      </c>
      <c r="BU120" s="7">
        <f t="shared" si="12"/>
        <v>-57.500000000000014</v>
      </c>
      <c r="BV120" s="34">
        <v>44782</v>
      </c>
      <c r="BW120" s="7">
        <v>2.6850000000000001</v>
      </c>
      <c r="BX120" s="7">
        <v>2.6419999999999999</v>
      </c>
      <c r="BY120" s="7">
        <f t="shared" si="13"/>
        <v>4.3000000000000149</v>
      </c>
      <c r="BZ120" s="34">
        <v>44782</v>
      </c>
      <c r="CA120" s="7">
        <v>2.6850000000000001</v>
      </c>
      <c r="CB120" s="7">
        <v>3.0049999999999999</v>
      </c>
      <c r="CC120" s="7">
        <f t="shared" si="14"/>
        <v>-31.999999999999986</v>
      </c>
      <c r="CD120" s="34">
        <v>44782</v>
      </c>
      <c r="CE120" s="7">
        <v>3.4420000000000002</v>
      </c>
      <c r="CF120" s="7">
        <v>3.0379999999999998</v>
      </c>
      <c r="CG120" s="7">
        <f t="shared" si="15"/>
        <v>40.400000000000034</v>
      </c>
    </row>
    <row r="121" spans="70:85" x14ac:dyDescent="0.15">
      <c r="BR121" s="34">
        <v>44781</v>
      </c>
      <c r="BS121" s="7">
        <v>2.323</v>
      </c>
      <c r="BT121" s="7">
        <v>2.9060000000000001</v>
      </c>
      <c r="BU121" s="7">
        <f t="shared" si="12"/>
        <v>-58.300000000000018</v>
      </c>
      <c r="BV121" s="34">
        <v>44781</v>
      </c>
      <c r="BW121" s="7">
        <v>2.6859999999999999</v>
      </c>
      <c r="BX121" s="7">
        <v>2.6440000000000001</v>
      </c>
      <c r="BY121" s="7">
        <f t="shared" si="13"/>
        <v>4.1999999999999815</v>
      </c>
      <c r="BZ121" s="34">
        <v>44781</v>
      </c>
      <c r="CA121" s="7">
        <v>2.6859999999999999</v>
      </c>
      <c r="CB121" s="7">
        <v>3.0030000000000001</v>
      </c>
      <c r="CC121" s="7">
        <f t="shared" si="14"/>
        <v>-31.700000000000017</v>
      </c>
      <c r="CD121" s="34">
        <v>44781</v>
      </c>
      <c r="CE121" s="7">
        <v>3.444</v>
      </c>
      <c r="CF121" s="7">
        <v>3.0350000000000001</v>
      </c>
      <c r="CG121" s="7">
        <f t="shared" si="15"/>
        <v>40.899999999999977</v>
      </c>
    </row>
    <row r="122" spans="70:85" x14ac:dyDescent="0.15">
      <c r="BR122" s="34">
        <v>44778</v>
      </c>
      <c r="BS122" s="7">
        <v>2.3079999999999998</v>
      </c>
      <c r="BT122" s="7">
        <v>2.8860000000000001</v>
      </c>
      <c r="BU122" s="7">
        <f t="shared" si="12"/>
        <v>-57.800000000000026</v>
      </c>
      <c r="BV122" s="34">
        <v>44778</v>
      </c>
      <c r="BW122" s="7">
        <v>2.6739999999999999</v>
      </c>
      <c r="BX122" s="7">
        <v>2.6309999999999998</v>
      </c>
      <c r="BY122" s="7">
        <f t="shared" si="13"/>
        <v>4.3000000000000149</v>
      </c>
      <c r="BZ122" s="34">
        <v>44778</v>
      </c>
      <c r="CA122" s="7">
        <v>2.6739999999999999</v>
      </c>
      <c r="CB122" s="7">
        <v>2.988</v>
      </c>
      <c r="CC122" s="7">
        <f t="shared" si="14"/>
        <v>-31.400000000000006</v>
      </c>
      <c r="CD122" s="34">
        <v>44778</v>
      </c>
      <c r="CE122" s="7">
        <v>3.427</v>
      </c>
      <c r="CF122" s="7">
        <v>3.0190000000000001</v>
      </c>
      <c r="CG122" s="7">
        <f t="shared" si="15"/>
        <v>40.79999999999999</v>
      </c>
    </row>
    <row r="123" spans="70:85" x14ac:dyDescent="0.15">
      <c r="BR123" s="34">
        <v>44777</v>
      </c>
      <c r="BS123" s="7">
        <v>2.3109999999999999</v>
      </c>
      <c r="BT123" s="7">
        <v>2.9089999999999998</v>
      </c>
      <c r="BU123" s="7">
        <f t="shared" si="12"/>
        <v>-59.799999999999983</v>
      </c>
      <c r="BV123" s="34">
        <v>44777</v>
      </c>
      <c r="BW123" s="7">
        <v>2.6819999999999999</v>
      </c>
      <c r="BX123" s="7">
        <v>2.64</v>
      </c>
      <c r="BY123" s="7">
        <f t="shared" si="13"/>
        <v>4.1999999999999815</v>
      </c>
      <c r="BZ123" s="34">
        <v>44777</v>
      </c>
      <c r="CA123" s="7">
        <v>2.6819999999999999</v>
      </c>
      <c r="CB123" s="7">
        <v>2.9889999999999999</v>
      </c>
      <c r="CC123" s="7">
        <f t="shared" si="14"/>
        <v>-30.699999999999996</v>
      </c>
      <c r="CD123" s="34">
        <v>44777</v>
      </c>
      <c r="CE123" s="7">
        <v>3.4289999999999998</v>
      </c>
      <c r="CF123" s="7">
        <v>3.0209999999999999</v>
      </c>
      <c r="CG123" s="7">
        <f t="shared" si="15"/>
        <v>40.79999999999999</v>
      </c>
    </row>
    <row r="124" spans="70:85" x14ac:dyDescent="0.15">
      <c r="BR124" s="34">
        <v>44776</v>
      </c>
      <c r="BS124" s="7">
        <v>2.3199999999999998</v>
      </c>
      <c r="BT124" s="7">
        <v>2.94</v>
      </c>
      <c r="BU124" s="7">
        <f t="shared" si="12"/>
        <v>-62.000000000000014</v>
      </c>
      <c r="BV124" s="34">
        <v>44776</v>
      </c>
      <c r="BW124" s="7">
        <v>2.69</v>
      </c>
      <c r="BX124" s="7">
        <v>2.6480000000000001</v>
      </c>
      <c r="BY124" s="7">
        <f t="shared" si="13"/>
        <v>4.1999999999999815</v>
      </c>
      <c r="BZ124" s="34">
        <v>44776</v>
      </c>
      <c r="CA124" s="7">
        <v>2.69</v>
      </c>
      <c r="CB124" s="7">
        <v>2.9889999999999999</v>
      </c>
      <c r="CC124" s="7">
        <f t="shared" si="14"/>
        <v>-29.899999999999991</v>
      </c>
      <c r="CD124" s="34">
        <v>44776</v>
      </c>
      <c r="CE124" s="7">
        <v>3.4369999999999998</v>
      </c>
      <c r="CF124" s="7">
        <v>3.0179999999999998</v>
      </c>
      <c r="CG124" s="7">
        <f t="shared" si="15"/>
        <v>41.900000000000006</v>
      </c>
    </row>
    <row r="125" spans="70:85" x14ac:dyDescent="0.15">
      <c r="BR125" s="34">
        <v>44775</v>
      </c>
      <c r="BS125" s="7">
        <v>2.323</v>
      </c>
      <c r="BT125" s="7">
        <v>2.97</v>
      </c>
      <c r="BU125" s="7">
        <f t="shared" si="12"/>
        <v>-64.700000000000017</v>
      </c>
      <c r="BV125" s="34">
        <v>44775</v>
      </c>
      <c r="BW125" s="7">
        <v>2.6869999999999998</v>
      </c>
      <c r="BX125" s="7">
        <v>2.645</v>
      </c>
      <c r="BY125" s="7">
        <f t="shared" si="13"/>
        <v>4.1999999999999815</v>
      </c>
      <c r="BZ125" s="34">
        <v>44775</v>
      </c>
      <c r="CA125" s="7">
        <v>2.6869999999999998</v>
      </c>
      <c r="CB125" s="7">
        <v>2.988</v>
      </c>
      <c r="CC125" s="7">
        <f t="shared" si="14"/>
        <v>-30.100000000000016</v>
      </c>
      <c r="CD125" s="34">
        <v>44775</v>
      </c>
      <c r="CE125" s="7">
        <v>3.4340000000000002</v>
      </c>
      <c r="CF125" s="7">
        <v>3.016</v>
      </c>
      <c r="CG125" s="7">
        <f t="shared" si="15"/>
        <v>41.800000000000011</v>
      </c>
    </row>
    <row r="126" spans="70:85" x14ac:dyDescent="0.15">
      <c r="BR126" s="34">
        <v>44774</v>
      </c>
      <c r="BS126" s="7">
        <v>2.33</v>
      </c>
      <c r="BT126" s="7">
        <v>3.0110000000000001</v>
      </c>
      <c r="BU126" s="7">
        <f t="shared" si="12"/>
        <v>-68.100000000000009</v>
      </c>
      <c r="BV126" s="34">
        <v>44774</v>
      </c>
      <c r="BW126" s="7">
        <v>2.69</v>
      </c>
      <c r="BX126" s="7">
        <v>2.6480000000000001</v>
      </c>
      <c r="BY126" s="7">
        <f t="shared" si="13"/>
        <v>4.1999999999999815</v>
      </c>
      <c r="BZ126" s="34">
        <v>44774</v>
      </c>
      <c r="CA126" s="7">
        <v>2.69</v>
      </c>
      <c r="CB126" s="7">
        <v>2.996</v>
      </c>
      <c r="CC126" s="7">
        <f t="shared" si="14"/>
        <v>-30.600000000000005</v>
      </c>
      <c r="CD126" s="34">
        <v>44774</v>
      </c>
      <c r="CE126" s="7">
        <v>3.4460000000000002</v>
      </c>
      <c r="CF126" s="7">
        <v>3.024</v>
      </c>
      <c r="CG126" s="7">
        <f t="shared" si="15"/>
        <v>42.200000000000017</v>
      </c>
    </row>
    <row r="127" spans="70:85" x14ac:dyDescent="0.15">
      <c r="BR127" s="34">
        <v>44771</v>
      </c>
      <c r="BS127" s="7">
        <v>2.31</v>
      </c>
      <c r="BT127" s="7">
        <v>2.9780000000000002</v>
      </c>
      <c r="BU127" s="7">
        <f t="shared" si="12"/>
        <v>-66.800000000000011</v>
      </c>
      <c r="BV127" s="34">
        <v>44771</v>
      </c>
      <c r="BW127" s="7">
        <v>2.6739999999999999</v>
      </c>
      <c r="BX127" s="7">
        <v>2.6309999999999998</v>
      </c>
      <c r="BY127" s="7">
        <f t="shared" si="13"/>
        <v>4.3000000000000149</v>
      </c>
      <c r="BZ127" s="34">
        <v>44771</v>
      </c>
      <c r="CA127" s="7">
        <v>2.6739999999999999</v>
      </c>
      <c r="CB127" s="7">
        <v>2.976</v>
      </c>
      <c r="CC127" s="7">
        <f t="shared" si="14"/>
        <v>-30.200000000000003</v>
      </c>
      <c r="CD127" s="34">
        <v>44771</v>
      </c>
      <c r="CE127" s="7">
        <v>3.431</v>
      </c>
      <c r="CF127" s="7">
        <v>3.004</v>
      </c>
      <c r="CG127" s="7">
        <f t="shared" si="15"/>
        <v>42.7</v>
      </c>
    </row>
    <row r="128" spans="70:85" x14ac:dyDescent="0.15">
      <c r="BR128" s="34">
        <v>44770</v>
      </c>
      <c r="BS128" s="7">
        <v>2.3130000000000002</v>
      </c>
      <c r="BT128" s="7">
        <v>3.0209999999999999</v>
      </c>
      <c r="BU128" s="7">
        <f t="shared" si="12"/>
        <v>-70.799999999999969</v>
      </c>
      <c r="BV128" s="34">
        <v>44770</v>
      </c>
      <c r="BW128" s="7">
        <v>2.6819999999999999</v>
      </c>
      <c r="BX128" s="7">
        <v>2.64</v>
      </c>
      <c r="BY128" s="7">
        <f t="shared" si="13"/>
        <v>4.1999999999999815</v>
      </c>
      <c r="BZ128" s="34">
        <v>44770</v>
      </c>
      <c r="CA128" s="7">
        <v>2.6819999999999999</v>
      </c>
      <c r="CB128" s="7">
        <v>2.9790000000000001</v>
      </c>
      <c r="CC128" s="7">
        <f t="shared" si="14"/>
        <v>-29.700000000000017</v>
      </c>
      <c r="CD128" s="34">
        <v>44770</v>
      </c>
      <c r="CE128" s="7">
        <v>3.4359999999999999</v>
      </c>
      <c r="CF128" s="7">
        <v>3.008</v>
      </c>
      <c r="CG128" s="7">
        <f t="shared" si="15"/>
        <v>42.8</v>
      </c>
    </row>
    <row r="129" spans="70:85" x14ac:dyDescent="0.15">
      <c r="BR129" s="34">
        <v>44769</v>
      </c>
      <c r="BS129" s="7">
        <v>2.3050000000000002</v>
      </c>
      <c r="BT129" s="7">
        <v>3.0110000000000001</v>
      </c>
      <c r="BU129" s="7">
        <f t="shared" si="12"/>
        <v>-70.599999999999994</v>
      </c>
      <c r="BV129" s="34">
        <v>44769</v>
      </c>
      <c r="BW129" s="7">
        <v>2.67</v>
      </c>
      <c r="BX129" s="7">
        <v>2.6280000000000001</v>
      </c>
      <c r="BY129" s="7">
        <f t="shared" si="13"/>
        <v>4.1999999999999815</v>
      </c>
      <c r="BZ129" s="34">
        <v>44769</v>
      </c>
      <c r="CA129" s="7">
        <v>2.67</v>
      </c>
      <c r="CB129" s="7">
        <v>2.964</v>
      </c>
      <c r="CC129" s="7">
        <f t="shared" si="14"/>
        <v>-29.400000000000006</v>
      </c>
      <c r="CD129" s="34">
        <v>44769</v>
      </c>
      <c r="CE129" s="7">
        <v>3.4289999999999998</v>
      </c>
      <c r="CF129" s="7">
        <v>2.9929999999999999</v>
      </c>
      <c r="CG129" s="7">
        <f t="shared" si="15"/>
        <v>43.599999999999994</v>
      </c>
    </row>
    <row r="130" spans="70:85" x14ac:dyDescent="0.15">
      <c r="BR130" s="34">
        <v>44768</v>
      </c>
      <c r="BS130" s="7">
        <v>2.3010000000000002</v>
      </c>
      <c r="BT130" s="7">
        <v>3.008</v>
      </c>
      <c r="BU130" s="7">
        <f t="shared" si="12"/>
        <v>-70.699999999999989</v>
      </c>
      <c r="BV130" s="34">
        <v>44768</v>
      </c>
      <c r="BW130" s="7">
        <v>2.665</v>
      </c>
      <c r="BX130" s="7">
        <v>2.6230000000000002</v>
      </c>
      <c r="BY130" s="7">
        <f t="shared" si="13"/>
        <v>4.1999999999999815</v>
      </c>
      <c r="BZ130" s="34">
        <v>44768</v>
      </c>
      <c r="CA130" s="7">
        <v>2.665</v>
      </c>
      <c r="CB130" s="7">
        <v>2.956</v>
      </c>
      <c r="CC130" s="7">
        <f t="shared" si="14"/>
        <v>-29.099999999999994</v>
      </c>
      <c r="CD130" s="34">
        <v>44768</v>
      </c>
      <c r="CE130" s="7">
        <v>3.427</v>
      </c>
      <c r="CF130" s="7">
        <v>2.984</v>
      </c>
      <c r="CG130" s="7">
        <f t="shared" si="15"/>
        <v>44.300000000000004</v>
      </c>
    </row>
    <row r="131" spans="70:85" x14ac:dyDescent="0.15">
      <c r="BR131" s="34">
        <v>44767</v>
      </c>
      <c r="BS131" s="7">
        <v>2.29</v>
      </c>
      <c r="BT131" s="7">
        <v>3</v>
      </c>
      <c r="BU131" s="7">
        <f t="shared" si="12"/>
        <v>-71</v>
      </c>
      <c r="BV131" s="34">
        <v>44767</v>
      </c>
      <c r="BW131" s="7">
        <v>2.6520000000000001</v>
      </c>
      <c r="BX131" s="7">
        <v>2.61</v>
      </c>
      <c r="BY131" s="7">
        <f t="shared" si="13"/>
        <v>4.2000000000000259</v>
      </c>
      <c r="BZ131" s="34">
        <v>44767</v>
      </c>
      <c r="CA131" s="7">
        <v>2.6520000000000001</v>
      </c>
      <c r="CB131" s="7">
        <v>2.944</v>
      </c>
      <c r="CC131" s="7">
        <f t="shared" si="14"/>
        <v>-29.199999999999982</v>
      </c>
      <c r="CD131" s="34">
        <v>44767</v>
      </c>
      <c r="CE131" s="7">
        <v>3.41</v>
      </c>
      <c r="CF131" s="7">
        <v>2.9729999999999999</v>
      </c>
      <c r="CG131" s="7">
        <f t="shared" si="15"/>
        <v>43.700000000000031</v>
      </c>
    </row>
    <row r="132" spans="70:85" x14ac:dyDescent="0.15">
      <c r="BR132" s="34">
        <v>44764</v>
      </c>
      <c r="BS132" s="7">
        <v>2.286</v>
      </c>
      <c r="BT132" s="7">
        <v>3.008</v>
      </c>
      <c r="BU132" s="7">
        <f t="shared" si="12"/>
        <v>-72.2</v>
      </c>
      <c r="BV132" s="34">
        <v>44764</v>
      </c>
      <c r="BW132" s="7">
        <v>2.649</v>
      </c>
      <c r="BX132" s="7">
        <v>2.6059999999999999</v>
      </c>
      <c r="BY132" s="7">
        <f t="shared" si="13"/>
        <v>4.3000000000000149</v>
      </c>
      <c r="BZ132" s="34">
        <v>44764</v>
      </c>
      <c r="CA132" s="7">
        <v>2.649</v>
      </c>
      <c r="CB132" s="7">
        <v>2.9430000000000001</v>
      </c>
      <c r="CC132" s="7">
        <f t="shared" si="14"/>
        <v>-29.400000000000006</v>
      </c>
      <c r="CD132" s="34">
        <v>44764</v>
      </c>
      <c r="CE132" s="7">
        <v>3.407</v>
      </c>
      <c r="CF132" s="7">
        <v>2.9710000000000001</v>
      </c>
      <c r="CG132" s="7">
        <f t="shared" si="15"/>
        <v>43.599999999999994</v>
      </c>
    </row>
    <row r="133" spans="70:85" x14ac:dyDescent="0.15">
      <c r="BR133" s="34">
        <v>44763</v>
      </c>
      <c r="BS133" s="7">
        <v>2.2909999999999999</v>
      </c>
      <c r="BT133" s="7">
        <v>3.0209999999999999</v>
      </c>
      <c r="BU133" s="7">
        <f t="shared" si="12"/>
        <v>-73</v>
      </c>
      <c r="BV133" s="34">
        <v>44763</v>
      </c>
      <c r="BW133" s="7">
        <v>2.6549999999999998</v>
      </c>
      <c r="BX133" s="7">
        <v>2.613</v>
      </c>
      <c r="BY133" s="7">
        <f t="shared" si="13"/>
        <v>4.1999999999999815</v>
      </c>
      <c r="BZ133" s="34">
        <v>44763</v>
      </c>
      <c r="CA133" s="7">
        <v>2.6549999999999998</v>
      </c>
      <c r="CB133" s="7">
        <v>2.948</v>
      </c>
      <c r="CC133" s="7">
        <f t="shared" si="14"/>
        <v>-29.300000000000015</v>
      </c>
      <c r="CD133" s="34">
        <v>44763</v>
      </c>
      <c r="CE133" s="7">
        <v>3.407</v>
      </c>
      <c r="CF133" s="7">
        <v>2.976</v>
      </c>
      <c r="CG133" s="7">
        <f t="shared" si="15"/>
        <v>43.100000000000009</v>
      </c>
    </row>
    <row r="134" spans="70:85" x14ac:dyDescent="0.15">
      <c r="BR134" s="34">
        <v>44762</v>
      </c>
      <c r="BS134" s="7">
        <v>2.2909999999999999</v>
      </c>
      <c r="BT134" s="7">
        <v>3.0209999999999999</v>
      </c>
      <c r="BU134" s="7">
        <f t="shared" si="12"/>
        <v>-73</v>
      </c>
      <c r="BV134" s="34">
        <v>44762</v>
      </c>
      <c r="BW134" s="7">
        <v>2.649</v>
      </c>
      <c r="BX134" s="7">
        <v>2.6059999999999999</v>
      </c>
      <c r="BY134" s="7">
        <f t="shared" si="13"/>
        <v>4.3000000000000149</v>
      </c>
      <c r="BZ134" s="34">
        <v>44762</v>
      </c>
      <c r="CA134" s="7">
        <v>2.649</v>
      </c>
      <c r="CB134" s="7">
        <v>2.9430000000000001</v>
      </c>
      <c r="CC134" s="7">
        <f t="shared" si="14"/>
        <v>-29.400000000000006</v>
      </c>
      <c r="CD134" s="34">
        <v>44762</v>
      </c>
      <c r="CE134" s="7">
        <v>3.395</v>
      </c>
      <c r="CF134" s="7">
        <v>2.9710000000000001</v>
      </c>
      <c r="CG134" s="7">
        <f t="shared" si="15"/>
        <v>42.399999999999991</v>
      </c>
    </row>
    <row r="135" spans="70:85" x14ac:dyDescent="0.15">
      <c r="BR135" s="34">
        <v>44761</v>
      </c>
      <c r="BS135" s="7">
        <v>2.2850000000000001</v>
      </c>
      <c r="BT135" s="7">
        <v>2.9910000000000001</v>
      </c>
      <c r="BU135" s="7">
        <f t="shared" si="12"/>
        <v>-70.599999999999994</v>
      </c>
      <c r="BV135" s="34">
        <v>44761</v>
      </c>
      <c r="BW135" s="7">
        <v>2.64</v>
      </c>
      <c r="BX135" s="7">
        <v>2.5979999999999999</v>
      </c>
      <c r="BY135" s="7">
        <f t="shared" si="13"/>
        <v>4.2000000000000259</v>
      </c>
      <c r="BZ135" s="34">
        <v>44761</v>
      </c>
      <c r="CA135" s="7">
        <v>2.64</v>
      </c>
      <c r="CB135" s="7">
        <v>2.9289999999999998</v>
      </c>
      <c r="CC135" s="7">
        <f t="shared" si="14"/>
        <v>-28.89999999999997</v>
      </c>
      <c r="CD135" s="34">
        <v>44761</v>
      </c>
      <c r="CE135" s="7">
        <v>3.363</v>
      </c>
      <c r="CF135" s="7">
        <v>2.9580000000000002</v>
      </c>
      <c r="CG135" s="7">
        <f t="shared" si="15"/>
        <v>40.499999999999979</v>
      </c>
    </row>
    <row r="136" spans="70:85" x14ac:dyDescent="0.15">
      <c r="BR136" s="34">
        <v>44760</v>
      </c>
      <c r="BS136" s="7">
        <v>2.2850000000000001</v>
      </c>
      <c r="BT136" s="7">
        <v>3.0059999999999998</v>
      </c>
      <c r="BU136" s="7">
        <f t="shared" si="12"/>
        <v>-72.099999999999966</v>
      </c>
      <c r="BV136" s="34">
        <v>44760</v>
      </c>
      <c r="BW136" s="7">
        <v>2.6419999999999999</v>
      </c>
      <c r="BX136" s="7">
        <v>2.6</v>
      </c>
      <c r="BY136" s="7">
        <f t="shared" si="13"/>
        <v>4.1999999999999815</v>
      </c>
      <c r="BZ136" s="34">
        <v>44760</v>
      </c>
      <c r="CA136" s="7">
        <v>2.6419999999999999</v>
      </c>
      <c r="CB136" s="7">
        <v>2.9239999999999999</v>
      </c>
      <c r="CC136" s="7">
        <f t="shared" si="14"/>
        <v>-28.200000000000003</v>
      </c>
      <c r="CD136" s="34">
        <v>44760</v>
      </c>
      <c r="CE136" s="7">
        <v>3.355</v>
      </c>
      <c r="CF136" s="7">
        <v>2.9529999999999998</v>
      </c>
      <c r="CG136" s="7">
        <f t="shared" si="15"/>
        <v>40.200000000000017</v>
      </c>
    </row>
    <row r="137" spans="70:85" x14ac:dyDescent="0.15">
      <c r="BR137" s="34">
        <v>44757</v>
      </c>
      <c r="BS137" s="7">
        <v>2.2810000000000001</v>
      </c>
      <c r="BT137" s="7">
        <v>3.008</v>
      </c>
      <c r="BU137" s="7">
        <f t="shared" si="12"/>
        <v>-72.699999999999989</v>
      </c>
      <c r="BV137" s="34">
        <v>44757</v>
      </c>
      <c r="BW137" s="7">
        <v>2.64</v>
      </c>
      <c r="BX137" s="7">
        <v>2.5979999999999999</v>
      </c>
      <c r="BY137" s="7">
        <f t="shared" si="13"/>
        <v>4.2000000000000259</v>
      </c>
      <c r="BZ137" s="34">
        <v>44757</v>
      </c>
      <c r="CA137" s="7">
        <v>2.64</v>
      </c>
      <c r="CB137" s="7">
        <v>2.9159999999999999</v>
      </c>
      <c r="CC137" s="7">
        <f t="shared" si="14"/>
        <v>-27.59999999999998</v>
      </c>
      <c r="CD137" s="34">
        <v>44757</v>
      </c>
      <c r="CE137" s="7">
        <v>3.34</v>
      </c>
      <c r="CF137" s="7">
        <v>2.944</v>
      </c>
      <c r="CG137" s="7">
        <f t="shared" si="15"/>
        <v>39.599999999999994</v>
      </c>
    </row>
    <row r="138" spans="70:85" x14ac:dyDescent="0.15">
      <c r="BR138" s="34">
        <v>44756</v>
      </c>
      <c r="BS138" s="7">
        <v>2.2829999999999999</v>
      </c>
      <c r="BT138" s="7">
        <v>3.0019999999999998</v>
      </c>
      <c r="BU138" s="7">
        <f t="shared" si="12"/>
        <v>-71.899999999999991</v>
      </c>
      <c r="BV138" s="34">
        <v>44756</v>
      </c>
      <c r="BW138" s="7">
        <v>2.6469999999999998</v>
      </c>
      <c r="BX138" s="7">
        <v>2.605</v>
      </c>
      <c r="BY138" s="7">
        <f t="shared" si="13"/>
        <v>4.1999999999999815</v>
      </c>
      <c r="BZ138" s="34">
        <v>44756</v>
      </c>
      <c r="CA138" s="7">
        <v>2.6469999999999998</v>
      </c>
      <c r="CB138" s="7">
        <v>2.911</v>
      </c>
      <c r="CC138" s="7">
        <f t="shared" si="14"/>
        <v>-26.400000000000023</v>
      </c>
      <c r="CD138" s="34">
        <v>44756</v>
      </c>
      <c r="CE138" s="7">
        <v>3.3319999999999999</v>
      </c>
      <c r="CF138" s="7">
        <v>2.9390000000000001</v>
      </c>
      <c r="CG138" s="7">
        <f t="shared" si="15"/>
        <v>39.299999999999983</v>
      </c>
    </row>
    <row r="139" spans="70:85" x14ac:dyDescent="0.15">
      <c r="BR139" s="34">
        <v>44755</v>
      </c>
      <c r="BS139" s="7">
        <v>2.2549999999999999</v>
      </c>
      <c r="BT139" s="7">
        <v>2.9079999999999999</v>
      </c>
      <c r="BU139" s="7">
        <f t="shared" ref="BU139:BU202" si="16">(BS139-BT139)*100</f>
        <v>-65.3</v>
      </c>
      <c r="BV139" s="34">
        <v>44755</v>
      </c>
      <c r="BW139" s="7">
        <v>2.629</v>
      </c>
      <c r="BX139" s="7">
        <v>2.5859999999999999</v>
      </c>
      <c r="BY139" s="7">
        <f t="shared" si="13"/>
        <v>4.3000000000000149</v>
      </c>
      <c r="BZ139" s="34">
        <v>44755</v>
      </c>
      <c r="CA139" s="7">
        <v>2.629</v>
      </c>
      <c r="CB139" s="7">
        <v>2.8889999999999998</v>
      </c>
      <c r="CC139" s="7">
        <f t="shared" si="14"/>
        <v>-25.999999999999979</v>
      </c>
      <c r="CD139" s="34">
        <v>44755</v>
      </c>
      <c r="CE139" s="7">
        <v>3.2679999999999998</v>
      </c>
      <c r="CF139" s="7">
        <v>2.9180000000000001</v>
      </c>
      <c r="CG139" s="7">
        <f t="shared" si="15"/>
        <v>34.999999999999964</v>
      </c>
    </row>
    <row r="140" spans="70:85" x14ac:dyDescent="0.15">
      <c r="BR140" s="34">
        <v>44754</v>
      </c>
      <c r="BS140" s="7">
        <v>2.04</v>
      </c>
      <c r="BT140" s="7">
        <v>2.9350000000000001</v>
      </c>
      <c r="BU140" s="7">
        <f t="shared" si="16"/>
        <v>-89.5</v>
      </c>
      <c r="BV140" s="34">
        <v>44754</v>
      </c>
      <c r="BW140" s="7">
        <v>2.5550000000000002</v>
      </c>
      <c r="BX140" s="7">
        <v>2.5129999999999999</v>
      </c>
      <c r="BY140" s="7">
        <f t="shared" ref="BY140:BY203" si="17">(BW140-BX140)*100</f>
        <v>4.2000000000000259</v>
      </c>
      <c r="BZ140" s="34">
        <v>44754</v>
      </c>
      <c r="CA140" s="7">
        <v>2.5550000000000002</v>
      </c>
      <c r="CB140" s="7">
        <v>2.7959999999999998</v>
      </c>
      <c r="CC140" s="7">
        <f t="shared" ref="CC140:CC203" si="18">(CA140-CB140)*100</f>
        <v>-24.099999999999966</v>
      </c>
      <c r="CD140" s="34">
        <v>44754</v>
      </c>
      <c r="CE140" s="7">
        <v>3.218</v>
      </c>
      <c r="CF140" s="7">
        <v>2.8239999999999998</v>
      </c>
      <c r="CG140" s="7">
        <f t="shared" ref="CG140:CG203" si="19">(CE140-CF140)*100</f>
        <v>39.400000000000013</v>
      </c>
    </row>
    <row r="141" spans="70:85" x14ac:dyDescent="0.15">
      <c r="BR141" s="34">
        <v>44753</v>
      </c>
      <c r="BS141" s="7">
        <v>1.9930000000000001</v>
      </c>
      <c r="BT141" s="7">
        <v>2.923</v>
      </c>
      <c r="BU141" s="7">
        <f t="shared" si="16"/>
        <v>-93</v>
      </c>
      <c r="BV141" s="34">
        <v>44753</v>
      </c>
      <c r="BW141" s="7">
        <v>2.52</v>
      </c>
      <c r="BX141" s="7">
        <v>2.4780000000000002</v>
      </c>
      <c r="BY141" s="7">
        <f t="shared" si="17"/>
        <v>4.1999999999999815</v>
      </c>
      <c r="BZ141" s="34">
        <v>44753</v>
      </c>
      <c r="CA141" s="7">
        <v>2.52</v>
      </c>
      <c r="CB141" s="7">
        <v>2.7610000000000001</v>
      </c>
      <c r="CC141" s="7">
        <f t="shared" si="18"/>
        <v>-24.100000000000009</v>
      </c>
      <c r="CD141" s="34">
        <v>44753</v>
      </c>
      <c r="CE141" s="7">
        <v>3.157</v>
      </c>
      <c r="CF141" s="7">
        <v>2.7890000000000001</v>
      </c>
      <c r="CG141" s="7">
        <f t="shared" si="19"/>
        <v>36.79999999999999</v>
      </c>
    </row>
    <row r="142" spans="70:85" x14ac:dyDescent="0.15">
      <c r="BR142" s="34">
        <v>44750</v>
      </c>
      <c r="BS142" s="7">
        <v>1.9730000000000001</v>
      </c>
      <c r="BT142" s="7">
        <v>2.9049999999999998</v>
      </c>
      <c r="BU142" s="7">
        <f t="shared" si="16"/>
        <v>-93.199999999999974</v>
      </c>
      <c r="BV142" s="34">
        <v>44750</v>
      </c>
      <c r="BW142" s="7">
        <v>2.5070000000000001</v>
      </c>
      <c r="BX142" s="7">
        <v>2.4649999999999999</v>
      </c>
      <c r="BY142" s="7">
        <f t="shared" si="17"/>
        <v>4.2000000000000259</v>
      </c>
      <c r="BZ142" s="34">
        <v>44750</v>
      </c>
      <c r="CA142" s="7">
        <v>2.5070000000000001</v>
      </c>
      <c r="CB142" s="7">
        <v>2.7389999999999999</v>
      </c>
      <c r="CC142" s="7">
        <f t="shared" si="18"/>
        <v>-23.199999999999974</v>
      </c>
      <c r="CD142" s="34">
        <v>44750</v>
      </c>
      <c r="CE142" s="7">
        <v>3.1269999999999998</v>
      </c>
      <c r="CF142" s="7">
        <v>2.7679999999999998</v>
      </c>
      <c r="CG142" s="7">
        <f t="shared" si="19"/>
        <v>35.9</v>
      </c>
    </row>
    <row r="143" spans="70:85" x14ac:dyDescent="0.15">
      <c r="BR143" s="34">
        <v>44749</v>
      </c>
      <c r="BS143" s="7">
        <v>1.9610000000000001</v>
      </c>
      <c r="BT143" s="7">
        <v>2.88</v>
      </c>
      <c r="BU143" s="7">
        <f t="shared" si="16"/>
        <v>-91.899999999999977</v>
      </c>
      <c r="BV143" s="34">
        <v>44749</v>
      </c>
      <c r="BW143" s="7">
        <v>2.492</v>
      </c>
      <c r="BX143" s="7">
        <v>2.4500000000000002</v>
      </c>
      <c r="BY143" s="7">
        <f t="shared" si="17"/>
        <v>4.1999999999999815</v>
      </c>
      <c r="BZ143" s="34">
        <v>44749</v>
      </c>
      <c r="CA143" s="7">
        <v>2.492</v>
      </c>
      <c r="CB143" s="7">
        <v>2.718</v>
      </c>
      <c r="CC143" s="7">
        <f t="shared" si="18"/>
        <v>-22.599999999999998</v>
      </c>
      <c r="CD143" s="34">
        <v>44749</v>
      </c>
      <c r="CE143" s="7">
        <v>3.0950000000000002</v>
      </c>
      <c r="CF143" s="7">
        <v>2.746</v>
      </c>
      <c r="CG143" s="7">
        <f t="shared" si="19"/>
        <v>34.90000000000002</v>
      </c>
    </row>
    <row r="144" spans="70:85" x14ac:dyDescent="0.15">
      <c r="BR144" s="34">
        <v>44748</v>
      </c>
      <c r="BS144" s="7">
        <v>1.9330000000000001</v>
      </c>
      <c r="BT144" s="7">
        <v>2.85</v>
      </c>
      <c r="BU144" s="7">
        <f t="shared" si="16"/>
        <v>-91.7</v>
      </c>
      <c r="BV144" s="34">
        <v>44748</v>
      </c>
      <c r="BW144" s="7">
        <v>2.4649999999999999</v>
      </c>
      <c r="BX144" s="7">
        <v>2.423</v>
      </c>
      <c r="BY144" s="7">
        <f t="shared" si="17"/>
        <v>4.1999999999999815</v>
      </c>
      <c r="BZ144" s="34">
        <v>44748</v>
      </c>
      <c r="CA144" s="7">
        <v>2.4649999999999999</v>
      </c>
      <c r="CB144" s="7">
        <v>2.6930000000000001</v>
      </c>
      <c r="CC144" s="7">
        <f t="shared" si="18"/>
        <v>-22.800000000000018</v>
      </c>
      <c r="CD144" s="34">
        <v>44748</v>
      </c>
      <c r="CE144" s="7">
        <v>3.0569999999999999</v>
      </c>
      <c r="CF144" s="7">
        <v>2.7210000000000001</v>
      </c>
      <c r="CG144" s="7">
        <f t="shared" si="19"/>
        <v>33.599999999999987</v>
      </c>
    </row>
    <row r="145" spans="70:85" x14ac:dyDescent="0.15">
      <c r="BR145" s="34">
        <v>44747</v>
      </c>
      <c r="BS145" s="7">
        <v>1.9279999999999999</v>
      </c>
      <c r="BT145" s="7">
        <v>2.8639999999999999</v>
      </c>
      <c r="BU145" s="7">
        <f t="shared" si="16"/>
        <v>-93.6</v>
      </c>
      <c r="BV145" s="34">
        <v>44747</v>
      </c>
      <c r="BW145" s="7">
        <v>2.4620000000000002</v>
      </c>
      <c r="BX145" s="7">
        <v>2.42</v>
      </c>
      <c r="BY145" s="7">
        <f t="shared" si="17"/>
        <v>4.2000000000000259</v>
      </c>
      <c r="BZ145" s="34">
        <v>44747</v>
      </c>
      <c r="CA145" s="7">
        <v>2.4620000000000002</v>
      </c>
      <c r="CB145" s="7">
        <v>2.6909999999999998</v>
      </c>
      <c r="CC145" s="7">
        <f t="shared" si="18"/>
        <v>-22.899999999999963</v>
      </c>
      <c r="CD145" s="34">
        <v>44747</v>
      </c>
      <c r="CE145" s="7">
        <v>3.0529999999999999</v>
      </c>
      <c r="CF145" s="7">
        <v>2.7189999999999999</v>
      </c>
      <c r="CG145" s="7">
        <f t="shared" si="19"/>
        <v>33.400000000000006</v>
      </c>
    </row>
    <row r="146" spans="70:85" x14ac:dyDescent="0.15">
      <c r="BR146" s="34">
        <v>44746</v>
      </c>
      <c r="BS146" s="7">
        <v>1.9279999999999999</v>
      </c>
      <c r="BT146" s="7">
        <v>2.8769999999999998</v>
      </c>
      <c r="BU146" s="7">
        <f t="shared" si="16"/>
        <v>-94.899999999999977</v>
      </c>
      <c r="BV146" s="34">
        <v>44746</v>
      </c>
      <c r="BW146" s="7">
        <v>2.4569999999999999</v>
      </c>
      <c r="BX146" s="7">
        <v>2.415</v>
      </c>
      <c r="BY146" s="7">
        <f t="shared" si="17"/>
        <v>4.1999999999999815</v>
      </c>
      <c r="BZ146" s="34">
        <v>44746</v>
      </c>
      <c r="CA146" s="7">
        <v>2.4569999999999999</v>
      </c>
      <c r="CB146" s="7">
        <v>2.6840000000000002</v>
      </c>
      <c r="CC146" s="7">
        <f t="shared" si="18"/>
        <v>-22.700000000000031</v>
      </c>
      <c r="CD146" s="34">
        <v>44746</v>
      </c>
      <c r="CE146" s="7">
        <v>3.0449999999999999</v>
      </c>
      <c r="CF146" s="7">
        <v>2.7130000000000001</v>
      </c>
      <c r="CG146" s="7">
        <f t="shared" si="19"/>
        <v>33.199999999999989</v>
      </c>
    </row>
    <row r="147" spans="70:85" x14ac:dyDescent="0.15">
      <c r="BR147" s="34">
        <v>44743</v>
      </c>
      <c r="BS147" s="7">
        <v>1.921</v>
      </c>
      <c r="BT147" s="7">
        <v>2.8740000000000001</v>
      </c>
      <c r="BU147" s="7">
        <f t="shared" si="16"/>
        <v>-95.300000000000011</v>
      </c>
      <c r="BV147" s="34">
        <v>44743</v>
      </c>
      <c r="BW147" s="7">
        <v>2.444</v>
      </c>
      <c r="BX147" s="7">
        <v>2.4009999999999998</v>
      </c>
      <c r="BY147" s="7">
        <f t="shared" si="17"/>
        <v>4.3000000000000149</v>
      </c>
      <c r="BZ147" s="34">
        <v>44743</v>
      </c>
      <c r="CA147" s="7">
        <v>2.444</v>
      </c>
      <c r="CB147" s="7">
        <v>2.6659999999999999</v>
      </c>
      <c r="CC147" s="7">
        <f t="shared" si="18"/>
        <v>-22.199999999999996</v>
      </c>
      <c r="CD147" s="34">
        <v>44743</v>
      </c>
      <c r="CE147" s="7">
        <v>3.0249999999999999</v>
      </c>
      <c r="CF147" s="7">
        <v>2.694</v>
      </c>
      <c r="CG147" s="7">
        <f t="shared" si="19"/>
        <v>33.099999999999994</v>
      </c>
    </row>
    <row r="148" spans="70:85" x14ac:dyDescent="0.15">
      <c r="BR148" s="34">
        <v>44742</v>
      </c>
      <c r="BS148" s="7">
        <v>1.891</v>
      </c>
      <c r="BT148" s="7">
        <v>2.8540000000000001</v>
      </c>
      <c r="BU148" s="7">
        <f t="shared" si="16"/>
        <v>-96.300000000000011</v>
      </c>
      <c r="BV148" s="34">
        <v>44742</v>
      </c>
      <c r="BW148" s="7">
        <v>2.4140000000000001</v>
      </c>
      <c r="BX148" s="7">
        <v>2.371</v>
      </c>
      <c r="BY148" s="7">
        <f t="shared" si="17"/>
        <v>4.3000000000000149</v>
      </c>
      <c r="BZ148" s="34">
        <v>44742</v>
      </c>
      <c r="CA148" s="7">
        <v>2.4140000000000001</v>
      </c>
      <c r="CB148" s="7">
        <v>2.629</v>
      </c>
      <c r="CC148" s="7">
        <f t="shared" si="18"/>
        <v>-21.499999999999986</v>
      </c>
      <c r="CD148" s="34">
        <v>44742</v>
      </c>
      <c r="CE148" s="7">
        <v>2.9849999999999999</v>
      </c>
      <c r="CF148" s="7">
        <v>2.6579999999999999</v>
      </c>
      <c r="CG148" s="7">
        <f t="shared" si="19"/>
        <v>32.699999999999996</v>
      </c>
    </row>
    <row r="149" spans="70:85" x14ac:dyDescent="0.15">
      <c r="BR149" s="34">
        <v>44741</v>
      </c>
      <c r="BS149" s="7">
        <v>1.8680000000000001</v>
      </c>
      <c r="BT149" s="7">
        <v>2.7570000000000001</v>
      </c>
      <c r="BU149" s="7">
        <f t="shared" si="16"/>
        <v>-88.9</v>
      </c>
      <c r="BV149" s="34">
        <v>44741</v>
      </c>
      <c r="BW149" s="7">
        <v>2.37</v>
      </c>
      <c r="BX149" s="7">
        <v>2.3279999999999998</v>
      </c>
      <c r="BY149" s="7">
        <f t="shared" si="17"/>
        <v>4.2000000000000259</v>
      </c>
      <c r="BZ149" s="34">
        <v>44741</v>
      </c>
      <c r="CA149" s="7">
        <v>2.37</v>
      </c>
      <c r="CB149" s="7">
        <v>2.5910000000000002</v>
      </c>
      <c r="CC149" s="7">
        <f t="shared" si="18"/>
        <v>-22.100000000000009</v>
      </c>
      <c r="CD149" s="34">
        <v>44741</v>
      </c>
      <c r="CE149" s="7">
        <v>2.9369999999999998</v>
      </c>
      <c r="CF149" s="7">
        <v>2.6190000000000002</v>
      </c>
      <c r="CG149" s="7">
        <f t="shared" si="19"/>
        <v>31.799999999999962</v>
      </c>
    </row>
    <row r="150" spans="70:85" x14ac:dyDescent="0.15">
      <c r="BR150" s="34">
        <v>44740</v>
      </c>
      <c r="BS150" s="7">
        <v>1.855</v>
      </c>
      <c r="BT150" s="7">
        <v>2.7149999999999999</v>
      </c>
      <c r="BU150" s="7">
        <f t="shared" si="16"/>
        <v>-85.999999999999986</v>
      </c>
      <c r="BV150" s="34">
        <v>44740</v>
      </c>
      <c r="BW150" s="7">
        <v>2.335</v>
      </c>
      <c r="BX150" s="7">
        <v>2.2930000000000001</v>
      </c>
      <c r="BY150" s="7">
        <f t="shared" si="17"/>
        <v>4.1999999999999815</v>
      </c>
      <c r="BZ150" s="34">
        <v>44740</v>
      </c>
      <c r="CA150" s="7">
        <v>2.335</v>
      </c>
      <c r="CB150" s="7">
        <v>2.573</v>
      </c>
      <c r="CC150" s="7">
        <f t="shared" si="18"/>
        <v>-23.799999999999997</v>
      </c>
      <c r="CD150" s="34">
        <v>44740</v>
      </c>
      <c r="CE150" s="7">
        <v>2.903</v>
      </c>
      <c r="CF150" s="7">
        <v>2.601</v>
      </c>
      <c r="CG150" s="7">
        <f t="shared" si="19"/>
        <v>30.200000000000003</v>
      </c>
    </row>
    <row r="151" spans="70:85" x14ac:dyDescent="0.15">
      <c r="BR151" s="34">
        <v>44739</v>
      </c>
      <c r="BS151" s="7">
        <v>1.8460000000000001</v>
      </c>
      <c r="BT151" s="7">
        <v>2.6850000000000001</v>
      </c>
      <c r="BU151" s="7">
        <f t="shared" si="16"/>
        <v>-83.899999999999991</v>
      </c>
      <c r="BV151" s="34">
        <v>44739</v>
      </c>
      <c r="BW151" s="7">
        <v>2.3090000000000002</v>
      </c>
      <c r="BX151" s="7">
        <v>2.266</v>
      </c>
      <c r="BY151" s="7">
        <f t="shared" si="17"/>
        <v>4.3000000000000149</v>
      </c>
      <c r="BZ151" s="34">
        <v>44739</v>
      </c>
      <c r="CA151" s="7">
        <v>2.3090000000000002</v>
      </c>
      <c r="CB151" s="7">
        <v>2.548</v>
      </c>
      <c r="CC151" s="7">
        <f t="shared" si="18"/>
        <v>-23.899999999999988</v>
      </c>
      <c r="CD151" s="34">
        <v>44739</v>
      </c>
      <c r="CE151" s="7">
        <v>2.88</v>
      </c>
      <c r="CF151" s="7">
        <v>2.5760000000000001</v>
      </c>
      <c r="CG151" s="7">
        <f t="shared" si="19"/>
        <v>30.399999999999984</v>
      </c>
    </row>
    <row r="152" spans="70:85" x14ac:dyDescent="0.15">
      <c r="BR152" s="34">
        <v>44736</v>
      </c>
      <c r="BS152" s="7">
        <v>1.8360000000000001</v>
      </c>
      <c r="BT152" s="7">
        <v>2.6219999999999999</v>
      </c>
      <c r="BU152" s="7">
        <f t="shared" si="16"/>
        <v>-78.59999999999998</v>
      </c>
      <c r="BV152" s="34">
        <v>44736</v>
      </c>
      <c r="BW152" s="7">
        <v>2.2869999999999999</v>
      </c>
      <c r="BX152" s="7">
        <v>2.2450000000000001</v>
      </c>
      <c r="BY152" s="7">
        <f t="shared" si="17"/>
        <v>4.1999999999999815</v>
      </c>
      <c r="BZ152" s="34">
        <v>44736</v>
      </c>
      <c r="CA152" s="7">
        <v>2.2869999999999999</v>
      </c>
      <c r="CB152" s="7">
        <v>2.5209999999999999</v>
      </c>
      <c r="CC152" s="7">
        <f t="shared" si="18"/>
        <v>-23.4</v>
      </c>
      <c r="CD152" s="34">
        <v>44736</v>
      </c>
      <c r="CE152" s="7">
        <v>2.843</v>
      </c>
      <c r="CF152" s="7">
        <v>2.5489999999999999</v>
      </c>
      <c r="CG152" s="7">
        <f t="shared" si="19"/>
        <v>29.400000000000006</v>
      </c>
    </row>
    <row r="153" spans="70:85" x14ac:dyDescent="0.15">
      <c r="BR153" s="34">
        <v>44735</v>
      </c>
      <c r="BS153" s="7">
        <v>1.8360000000000001</v>
      </c>
      <c r="BT153" s="7">
        <v>2.605</v>
      </c>
      <c r="BU153" s="7">
        <f t="shared" si="16"/>
        <v>-76.899999999999991</v>
      </c>
      <c r="BV153" s="34">
        <v>44735</v>
      </c>
      <c r="BW153" s="7">
        <v>2.27</v>
      </c>
      <c r="BX153" s="7">
        <v>2.2280000000000002</v>
      </c>
      <c r="BY153" s="7">
        <f t="shared" si="17"/>
        <v>4.1999999999999815</v>
      </c>
      <c r="BZ153" s="34">
        <v>44735</v>
      </c>
      <c r="CA153" s="7">
        <v>2.27</v>
      </c>
      <c r="CB153" s="7">
        <v>2.508</v>
      </c>
      <c r="CC153" s="7">
        <f t="shared" si="18"/>
        <v>-23.799999999999997</v>
      </c>
      <c r="CD153" s="34">
        <v>44735</v>
      </c>
      <c r="CE153" s="7">
        <v>2.8330000000000002</v>
      </c>
      <c r="CF153" s="7">
        <v>2.536</v>
      </c>
      <c r="CG153" s="7">
        <f t="shared" si="19"/>
        <v>29.700000000000017</v>
      </c>
    </row>
    <row r="154" spans="70:85" x14ac:dyDescent="0.15">
      <c r="BR154" s="34">
        <v>44734</v>
      </c>
      <c r="BS154" s="7">
        <v>1.8360000000000001</v>
      </c>
      <c r="BT154" s="7">
        <v>2.5750000000000002</v>
      </c>
      <c r="BU154" s="7">
        <f t="shared" si="16"/>
        <v>-73.900000000000006</v>
      </c>
      <c r="BV154" s="34">
        <v>44734</v>
      </c>
      <c r="BW154" s="7">
        <v>2.2450000000000001</v>
      </c>
      <c r="BX154" s="7">
        <v>2.2029999999999998</v>
      </c>
      <c r="BY154" s="7">
        <f t="shared" si="17"/>
        <v>4.2000000000000259</v>
      </c>
      <c r="BZ154" s="34">
        <v>44734</v>
      </c>
      <c r="CA154" s="7">
        <v>2.2450000000000001</v>
      </c>
      <c r="CB154" s="7">
        <v>2.4929999999999999</v>
      </c>
      <c r="CC154" s="7">
        <f t="shared" si="18"/>
        <v>-24.799999999999976</v>
      </c>
      <c r="CD154" s="34">
        <v>44734</v>
      </c>
      <c r="CE154" s="7">
        <v>2.81</v>
      </c>
      <c r="CF154" s="7">
        <v>2.5209999999999999</v>
      </c>
      <c r="CG154" s="7">
        <f t="shared" si="19"/>
        <v>28.900000000000013</v>
      </c>
    </row>
    <row r="155" spans="70:85" x14ac:dyDescent="0.15">
      <c r="BR155" s="34">
        <v>44733</v>
      </c>
      <c r="BS155" s="7">
        <v>1.843</v>
      </c>
      <c r="BT155" s="7">
        <v>2.5939999999999999</v>
      </c>
      <c r="BU155" s="7">
        <f t="shared" si="16"/>
        <v>-75.099999999999994</v>
      </c>
      <c r="BV155" s="34">
        <v>44733</v>
      </c>
      <c r="BW155" s="7">
        <v>2.2320000000000002</v>
      </c>
      <c r="BX155" s="7">
        <v>2.19</v>
      </c>
      <c r="BY155" s="7">
        <f t="shared" si="17"/>
        <v>4.2000000000000259</v>
      </c>
      <c r="BZ155" s="34">
        <v>44733</v>
      </c>
      <c r="CA155" s="7">
        <v>2.2320000000000002</v>
      </c>
      <c r="CB155" s="7">
        <v>2.4860000000000002</v>
      </c>
      <c r="CC155" s="7">
        <f t="shared" si="18"/>
        <v>-25.4</v>
      </c>
      <c r="CD155" s="34">
        <v>44733</v>
      </c>
      <c r="CE155" s="7">
        <v>2.7949999999999999</v>
      </c>
      <c r="CF155" s="7">
        <v>2.5139999999999998</v>
      </c>
      <c r="CG155" s="7">
        <f t="shared" si="19"/>
        <v>28.100000000000016</v>
      </c>
    </row>
    <row r="156" spans="70:85" x14ac:dyDescent="0.15">
      <c r="BR156" s="34">
        <v>44732</v>
      </c>
      <c r="BS156" s="7">
        <v>1.855</v>
      </c>
      <c r="BT156" s="7">
        <v>2.6070000000000002</v>
      </c>
      <c r="BU156" s="7">
        <f t="shared" si="16"/>
        <v>-75.200000000000017</v>
      </c>
      <c r="BV156" s="34">
        <v>44732</v>
      </c>
      <c r="BW156" s="7">
        <v>2.2269999999999999</v>
      </c>
      <c r="BX156" s="7">
        <v>2.1850000000000001</v>
      </c>
      <c r="BY156" s="7">
        <f t="shared" si="17"/>
        <v>4.1999999999999815</v>
      </c>
      <c r="BZ156" s="34">
        <v>44732</v>
      </c>
      <c r="CA156" s="7">
        <v>2.2269999999999999</v>
      </c>
      <c r="CB156" s="7">
        <v>2.4809999999999999</v>
      </c>
      <c r="CC156" s="7">
        <f t="shared" si="18"/>
        <v>-25.4</v>
      </c>
      <c r="CD156" s="34">
        <v>44732</v>
      </c>
      <c r="CE156" s="7">
        <v>2.77</v>
      </c>
      <c r="CF156" s="7">
        <v>2.5089999999999999</v>
      </c>
      <c r="CG156" s="7">
        <f t="shared" si="19"/>
        <v>26.100000000000012</v>
      </c>
    </row>
    <row r="157" spans="70:85" x14ac:dyDescent="0.15">
      <c r="BR157" s="34">
        <v>44729</v>
      </c>
      <c r="BS157" s="7">
        <v>1.871</v>
      </c>
      <c r="BT157" s="7">
        <v>2.64</v>
      </c>
      <c r="BU157" s="7">
        <f t="shared" si="16"/>
        <v>-76.900000000000006</v>
      </c>
      <c r="BV157" s="34">
        <v>44729</v>
      </c>
      <c r="BW157" s="7">
        <v>2.234</v>
      </c>
      <c r="BX157" s="7">
        <v>2.1909999999999998</v>
      </c>
      <c r="BY157" s="7">
        <f t="shared" si="17"/>
        <v>4.3000000000000149</v>
      </c>
      <c r="BZ157" s="34">
        <v>44729</v>
      </c>
      <c r="CA157" s="7">
        <v>2.234</v>
      </c>
      <c r="CB157" s="7">
        <v>2.4809999999999999</v>
      </c>
      <c r="CC157" s="7">
        <f t="shared" si="18"/>
        <v>-24.699999999999989</v>
      </c>
      <c r="CD157" s="34">
        <v>44729</v>
      </c>
      <c r="CE157" s="7">
        <v>2.7549999999999999</v>
      </c>
      <c r="CF157" s="7">
        <v>2.5089999999999999</v>
      </c>
      <c r="CG157" s="7">
        <f t="shared" si="19"/>
        <v>24.6</v>
      </c>
    </row>
    <row r="158" spans="70:85" x14ac:dyDescent="0.15">
      <c r="BR158" s="34">
        <v>44728</v>
      </c>
      <c r="BS158" s="7">
        <v>1.8680000000000001</v>
      </c>
      <c r="BT158" s="7">
        <v>2.67</v>
      </c>
      <c r="BU158" s="7">
        <f t="shared" si="16"/>
        <v>-80.199999999999989</v>
      </c>
      <c r="BV158" s="34">
        <v>44728</v>
      </c>
      <c r="BW158" s="7">
        <v>2.2170000000000001</v>
      </c>
      <c r="BX158" s="7">
        <v>2.1749999999999998</v>
      </c>
      <c r="BY158" s="7">
        <f t="shared" si="17"/>
        <v>4.2000000000000259</v>
      </c>
      <c r="BZ158" s="34">
        <v>44728</v>
      </c>
      <c r="CA158" s="7">
        <v>2.2170000000000001</v>
      </c>
      <c r="CB158" s="7">
        <v>2.4630000000000001</v>
      </c>
      <c r="CC158" s="7">
        <f t="shared" si="18"/>
        <v>-24.6</v>
      </c>
      <c r="CD158" s="34">
        <v>44728</v>
      </c>
      <c r="CE158" s="7">
        <v>2.7330000000000001</v>
      </c>
      <c r="CF158" s="7">
        <v>2.4910000000000001</v>
      </c>
      <c r="CG158" s="7">
        <f t="shared" si="19"/>
        <v>24.2</v>
      </c>
    </row>
    <row r="159" spans="70:85" x14ac:dyDescent="0.15">
      <c r="BR159" s="34">
        <v>44727</v>
      </c>
      <c r="BS159" s="7">
        <v>1.841</v>
      </c>
      <c r="BT159" s="7">
        <v>2.6440000000000001</v>
      </c>
      <c r="BU159" s="7">
        <f t="shared" si="16"/>
        <v>-80.300000000000011</v>
      </c>
      <c r="BV159" s="34">
        <v>44727</v>
      </c>
      <c r="BW159" s="7">
        <v>2.1800000000000002</v>
      </c>
      <c r="BX159" s="7">
        <v>2.1379999999999999</v>
      </c>
      <c r="BY159" s="7">
        <f t="shared" si="17"/>
        <v>4.2000000000000259</v>
      </c>
      <c r="BZ159" s="34">
        <v>44727</v>
      </c>
      <c r="CA159" s="7">
        <v>2.1800000000000002</v>
      </c>
      <c r="CB159" s="7">
        <v>2.4260000000000002</v>
      </c>
      <c r="CC159" s="7">
        <f t="shared" si="18"/>
        <v>-24.6</v>
      </c>
      <c r="CD159" s="34">
        <v>44727</v>
      </c>
      <c r="CE159" s="7">
        <v>2.665</v>
      </c>
      <c r="CF159" s="7">
        <v>2.4540000000000002</v>
      </c>
      <c r="CG159" s="7">
        <f t="shared" si="19"/>
        <v>21.099999999999987</v>
      </c>
    </row>
    <row r="160" spans="70:85" x14ac:dyDescent="0.15">
      <c r="BR160" s="34">
        <v>44726</v>
      </c>
      <c r="BS160" s="7">
        <v>1.776</v>
      </c>
      <c r="BT160" s="7">
        <v>2.488</v>
      </c>
      <c r="BU160" s="7">
        <f t="shared" si="16"/>
        <v>-71.2</v>
      </c>
      <c r="BV160" s="34">
        <v>44726</v>
      </c>
      <c r="BW160" s="7">
        <v>2.1019999999999999</v>
      </c>
      <c r="BX160" s="7">
        <v>2.06</v>
      </c>
      <c r="BY160" s="7">
        <f t="shared" si="17"/>
        <v>4.1999999999999815</v>
      </c>
      <c r="BZ160" s="34">
        <v>44726</v>
      </c>
      <c r="CA160" s="7">
        <v>2.1019999999999999</v>
      </c>
      <c r="CB160" s="7">
        <v>2.3559999999999999</v>
      </c>
      <c r="CC160" s="7">
        <f t="shared" si="18"/>
        <v>-25.4</v>
      </c>
      <c r="CD160" s="34">
        <v>44726</v>
      </c>
      <c r="CE160" s="7">
        <v>2.5430000000000001</v>
      </c>
      <c r="CF160" s="7">
        <v>2.3839999999999999</v>
      </c>
      <c r="CG160" s="7">
        <f t="shared" si="19"/>
        <v>15.900000000000025</v>
      </c>
    </row>
    <row r="161" spans="70:85" x14ac:dyDescent="0.15">
      <c r="BR161" s="34">
        <v>44725</v>
      </c>
      <c r="BS161" s="7">
        <v>1.766</v>
      </c>
      <c r="BT161" s="7">
        <v>2.4449999999999998</v>
      </c>
      <c r="BU161" s="7">
        <f t="shared" si="16"/>
        <v>-67.899999999999977</v>
      </c>
      <c r="BV161" s="34">
        <v>44725</v>
      </c>
      <c r="BW161" s="7">
        <v>2.0739999999999998</v>
      </c>
      <c r="BX161" s="7">
        <v>2.0310000000000001</v>
      </c>
      <c r="BY161" s="7">
        <f t="shared" si="17"/>
        <v>4.2999999999999705</v>
      </c>
      <c r="BZ161" s="34">
        <v>44725</v>
      </c>
      <c r="CA161" s="7">
        <v>2.0739999999999998</v>
      </c>
      <c r="CB161" s="7">
        <v>2.339</v>
      </c>
      <c r="CC161" s="7">
        <f t="shared" si="18"/>
        <v>-26.500000000000014</v>
      </c>
      <c r="CD161" s="34">
        <v>44725</v>
      </c>
      <c r="CE161" s="7">
        <v>2.5129999999999999</v>
      </c>
      <c r="CF161" s="7">
        <v>2.3679999999999999</v>
      </c>
      <c r="CG161" s="7">
        <f t="shared" si="19"/>
        <v>14.500000000000002</v>
      </c>
    </row>
    <row r="162" spans="70:85" x14ac:dyDescent="0.15">
      <c r="BR162" s="34">
        <v>44722</v>
      </c>
      <c r="BS162" s="7">
        <v>1.73</v>
      </c>
      <c r="BT162" s="7">
        <v>2.323</v>
      </c>
      <c r="BU162" s="7">
        <f t="shared" si="16"/>
        <v>-59.3</v>
      </c>
      <c r="BV162" s="34">
        <v>44722</v>
      </c>
      <c r="BW162" s="7">
        <v>2.0350000000000001</v>
      </c>
      <c r="BX162" s="7">
        <v>1.9930000000000001</v>
      </c>
      <c r="BY162" s="7">
        <f t="shared" si="17"/>
        <v>4.2000000000000037</v>
      </c>
      <c r="BZ162" s="34">
        <v>44722</v>
      </c>
      <c r="CA162" s="7">
        <v>2.0350000000000001</v>
      </c>
      <c r="CB162" s="7">
        <v>2.3029999999999999</v>
      </c>
      <c r="CC162" s="7">
        <f t="shared" si="18"/>
        <v>-26.799999999999979</v>
      </c>
      <c r="CD162" s="34">
        <v>44722</v>
      </c>
      <c r="CE162" s="7">
        <v>2.4580000000000002</v>
      </c>
      <c r="CF162" s="7">
        <v>2.331</v>
      </c>
      <c r="CG162" s="7">
        <f t="shared" si="19"/>
        <v>12.700000000000022</v>
      </c>
    </row>
    <row r="163" spans="70:85" x14ac:dyDescent="0.15">
      <c r="BR163" s="34">
        <v>44721</v>
      </c>
      <c r="BS163" s="7">
        <v>1.7310000000000001</v>
      </c>
      <c r="BT163" s="7">
        <v>2.2869999999999999</v>
      </c>
      <c r="BU163" s="7">
        <f t="shared" si="16"/>
        <v>-55.59999999999998</v>
      </c>
      <c r="BV163" s="34">
        <v>44721</v>
      </c>
      <c r="BW163" s="7">
        <v>2.024</v>
      </c>
      <c r="BX163" s="7">
        <v>1.9810000000000001</v>
      </c>
      <c r="BY163" s="7">
        <f t="shared" si="17"/>
        <v>4.2999999999999927</v>
      </c>
      <c r="BZ163" s="34">
        <v>44721</v>
      </c>
      <c r="CA163" s="7">
        <v>2.024</v>
      </c>
      <c r="CB163" s="7">
        <v>2.3029999999999999</v>
      </c>
      <c r="CC163" s="7">
        <f t="shared" si="18"/>
        <v>-27.899999999999991</v>
      </c>
      <c r="CD163" s="34">
        <v>44721</v>
      </c>
      <c r="CE163" s="7">
        <v>2.452</v>
      </c>
      <c r="CF163" s="7">
        <v>2.331</v>
      </c>
      <c r="CG163" s="7">
        <f t="shared" si="19"/>
        <v>12.1</v>
      </c>
    </row>
    <row r="164" spans="70:85" x14ac:dyDescent="0.15">
      <c r="BR164" s="34">
        <v>44720</v>
      </c>
      <c r="BS164" s="7">
        <v>1.736</v>
      </c>
      <c r="BT164" s="7">
        <v>2.2839999999999998</v>
      </c>
      <c r="BU164" s="7">
        <f t="shared" si="16"/>
        <v>-54.799999999999983</v>
      </c>
      <c r="BV164" s="34">
        <v>44720</v>
      </c>
      <c r="BW164" s="7">
        <v>2.0169999999999999</v>
      </c>
      <c r="BX164" s="7">
        <v>1.9750000000000001</v>
      </c>
      <c r="BY164" s="7">
        <f t="shared" si="17"/>
        <v>4.1999999999999815</v>
      </c>
      <c r="BZ164" s="34">
        <v>44720</v>
      </c>
      <c r="CA164" s="7">
        <v>2.0169999999999999</v>
      </c>
      <c r="CB164" s="7">
        <v>2.3039999999999998</v>
      </c>
      <c r="CC164" s="7">
        <f t="shared" si="18"/>
        <v>-28.699999999999992</v>
      </c>
      <c r="CD164" s="34">
        <v>44720</v>
      </c>
      <c r="CE164" s="7">
        <v>2.4460000000000002</v>
      </c>
      <c r="CF164" s="7">
        <v>2.3330000000000002</v>
      </c>
      <c r="CG164" s="7">
        <f t="shared" si="19"/>
        <v>11.299999999999999</v>
      </c>
    </row>
    <row r="165" spans="70:85" x14ac:dyDescent="0.15">
      <c r="BR165" s="34">
        <v>44719</v>
      </c>
      <c r="BS165" s="7">
        <v>1.7430000000000001</v>
      </c>
      <c r="BT165" s="7">
        <v>2.2890000000000001</v>
      </c>
      <c r="BU165" s="7">
        <f t="shared" si="16"/>
        <v>-54.6</v>
      </c>
      <c r="BV165" s="34">
        <v>44719</v>
      </c>
      <c r="BW165" s="7">
        <v>2.0150000000000001</v>
      </c>
      <c r="BX165" s="7">
        <v>1.972</v>
      </c>
      <c r="BY165" s="7">
        <f t="shared" si="17"/>
        <v>4.3000000000000149</v>
      </c>
      <c r="BZ165" s="34">
        <v>44719</v>
      </c>
      <c r="CA165" s="7">
        <v>2.0150000000000001</v>
      </c>
      <c r="CB165" s="7">
        <v>2.3079999999999998</v>
      </c>
      <c r="CC165" s="7">
        <f t="shared" si="18"/>
        <v>-29.299999999999969</v>
      </c>
      <c r="CD165" s="34">
        <v>44719</v>
      </c>
      <c r="CE165" s="7">
        <v>2.4409999999999998</v>
      </c>
      <c r="CF165" s="7">
        <v>2.3359999999999999</v>
      </c>
      <c r="CG165" s="7">
        <f t="shared" si="19"/>
        <v>10.499999999999998</v>
      </c>
    </row>
    <row r="166" spans="70:85" x14ac:dyDescent="0.15">
      <c r="BR166" s="34">
        <v>44715</v>
      </c>
      <c r="BS166" s="7">
        <v>1.7430000000000001</v>
      </c>
      <c r="BT166" s="7">
        <v>2.1949999999999998</v>
      </c>
      <c r="BU166" s="7">
        <f t="shared" si="16"/>
        <v>-45.199999999999974</v>
      </c>
      <c r="BV166" s="34">
        <v>44715</v>
      </c>
      <c r="BW166" s="7">
        <v>2.0099999999999998</v>
      </c>
      <c r="BX166" s="7">
        <v>1.9670000000000001</v>
      </c>
      <c r="BY166" s="7">
        <f t="shared" si="17"/>
        <v>4.2999999999999705</v>
      </c>
      <c r="BZ166" s="34">
        <v>44715</v>
      </c>
      <c r="CA166" s="7">
        <v>2.0099999999999998</v>
      </c>
      <c r="CB166" s="7">
        <v>2.3029999999999999</v>
      </c>
      <c r="CC166" s="7">
        <f t="shared" si="18"/>
        <v>-29.300000000000015</v>
      </c>
      <c r="CD166" s="34">
        <v>44715</v>
      </c>
      <c r="CE166" s="7">
        <v>2.4260000000000002</v>
      </c>
      <c r="CF166" s="7">
        <v>2.331</v>
      </c>
      <c r="CG166" s="7">
        <f t="shared" si="19"/>
        <v>9.5000000000000195</v>
      </c>
    </row>
    <row r="167" spans="70:85" x14ac:dyDescent="0.15">
      <c r="BR167" s="34">
        <v>44714</v>
      </c>
      <c r="BS167" s="7">
        <v>1.746</v>
      </c>
      <c r="BT167" s="7">
        <v>2.15</v>
      </c>
      <c r="BU167" s="7">
        <f t="shared" si="16"/>
        <v>-40.399999999999991</v>
      </c>
      <c r="BV167" s="34">
        <v>44714</v>
      </c>
      <c r="BW167" s="7">
        <v>2.016</v>
      </c>
      <c r="BX167" s="7">
        <v>1.974</v>
      </c>
      <c r="BY167" s="7">
        <f t="shared" si="17"/>
        <v>4.2000000000000037</v>
      </c>
      <c r="BZ167" s="34">
        <v>44714</v>
      </c>
      <c r="CA167" s="7">
        <v>2.016</v>
      </c>
      <c r="CB167" s="7">
        <v>2.3029999999999999</v>
      </c>
      <c r="CC167" s="7">
        <f t="shared" si="18"/>
        <v>-28.699999999999992</v>
      </c>
      <c r="CD167" s="34">
        <v>44714</v>
      </c>
      <c r="CE167" s="7">
        <v>2.431</v>
      </c>
      <c r="CF167" s="7">
        <v>2.331</v>
      </c>
      <c r="CG167" s="7">
        <f t="shared" si="19"/>
        <v>10.000000000000009</v>
      </c>
    </row>
    <row r="168" spans="70:85" x14ac:dyDescent="0.15">
      <c r="BR168" s="34">
        <v>44712</v>
      </c>
      <c r="BS168" s="7">
        <v>1.748</v>
      </c>
      <c r="BT168" s="7">
        <v>2.0750000000000002</v>
      </c>
      <c r="BU168" s="7">
        <f t="shared" si="16"/>
        <v>-32.700000000000017</v>
      </c>
      <c r="BV168" s="34">
        <v>44712</v>
      </c>
      <c r="BW168" s="7">
        <v>2.0099999999999998</v>
      </c>
      <c r="BX168" s="7">
        <v>1.9670000000000001</v>
      </c>
      <c r="BY168" s="7">
        <f t="shared" si="17"/>
        <v>4.2999999999999705</v>
      </c>
      <c r="BZ168" s="34">
        <v>44712</v>
      </c>
      <c r="CA168" s="7">
        <v>2.0099999999999998</v>
      </c>
      <c r="CB168" s="7">
        <v>2.298</v>
      </c>
      <c r="CC168" s="7">
        <f t="shared" si="18"/>
        <v>-28.800000000000026</v>
      </c>
      <c r="CD168" s="34">
        <v>44712</v>
      </c>
      <c r="CE168" s="7">
        <v>2.423</v>
      </c>
      <c r="CF168" s="7">
        <v>2.3260000000000001</v>
      </c>
      <c r="CG168" s="7">
        <f t="shared" si="19"/>
        <v>9.6999999999999975</v>
      </c>
    </row>
    <row r="169" spans="70:85" x14ac:dyDescent="0.15">
      <c r="BR169" s="34">
        <v>44711</v>
      </c>
      <c r="BS169" s="7">
        <v>1.7450000000000001</v>
      </c>
      <c r="BT169" s="7">
        <v>2.0249999999999999</v>
      </c>
      <c r="BU169" s="7">
        <f t="shared" si="16"/>
        <v>-27.999999999999979</v>
      </c>
      <c r="BV169" s="34">
        <v>44711</v>
      </c>
      <c r="BW169" s="7">
        <v>2</v>
      </c>
      <c r="BX169" s="7">
        <v>1.9570000000000001</v>
      </c>
      <c r="BY169" s="7">
        <f t="shared" si="17"/>
        <v>4.2999999999999927</v>
      </c>
      <c r="BZ169" s="34">
        <v>44711</v>
      </c>
      <c r="CA169" s="7">
        <v>2</v>
      </c>
      <c r="CB169" s="7">
        <v>2.2879999999999998</v>
      </c>
      <c r="CC169" s="7">
        <f t="shared" si="18"/>
        <v>-28.799999999999983</v>
      </c>
      <c r="CD169" s="34">
        <v>44711</v>
      </c>
      <c r="CE169" s="7">
        <v>2.4020000000000001</v>
      </c>
      <c r="CF169" s="7">
        <v>2.3159999999999998</v>
      </c>
      <c r="CG169" s="7">
        <f t="shared" si="19"/>
        <v>8.6000000000000298</v>
      </c>
    </row>
    <row r="170" spans="70:85" x14ac:dyDescent="0.15">
      <c r="BR170" s="34">
        <v>44708</v>
      </c>
      <c r="BS170" s="7">
        <v>1.75</v>
      </c>
      <c r="BT170" s="7">
        <v>2.0249999999999999</v>
      </c>
      <c r="BU170" s="7">
        <f t="shared" si="16"/>
        <v>-27.499999999999993</v>
      </c>
      <c r="BV170" s="34">
        <v>44708</v>
      </c>
      <c r="BW170" s="7">
        <v>1.996</v>
      </c>
      <c r="BX170" s="7">
        <v>1.954</v>
      </c>
      <c r="BY170" s="7">
        <f t="shared" si="17"/>
        <v>4.2000000000000037</v>
      </c>
      <c r="BZ170" s="34">
        <v>44708</v>
      </c>
      <c r="CA170" s="7">
        <v>1.996</v>
      </c>
      <c r="CB170" s="7">
        <v>2.2879999999999998</v>
      </c>
      <c r="CC170" s="7">
        <f t="shared" si="18"/>
        <v>-29.199999999999982</v>
      </c>
      <c r="CD170" s="34">
        <v>44708</v>
      </c>
      <c r="CE170" s="7">
        <v>2.3969999999999998</v>
      </c>
      <c r="CF170" s="7">
        <v>2.3159999999999998</v>
      </c>
      <c r="CG170" s="7">
        <f t="shared" si="19"/>
        <v>8.0999999999999961</v>
      </c>
    </row>
    <row r="171" spans="70:85" x14ac:dyDescent="0.15">
      <c r="BR171" s="34">
        <v>44707</v>
      </c>
      <c r="BS171" s="7">
        <v>1.75</v>
      </c>
      <c r="BT171" s="7">
        <v>2.0099999999999998</v>
      </c>
      <c r="BU171" s="7">
        <f t="shared" si="16"/>
        <v>-25.999999999999979</v>
      </c>
      <c r="BV171" s="34">
        <v>44707</v>
      </c>
      <c r="BW171" s="7">
        <v>1.9930000000000001</v>
      </c>
      <c r="BX171" s="7">
        <v>1.9510000000000001</v>
      </c>
      <c r="BY171" s="7">
        <f t="shared" si="17"/>
        <v>4.2000000000000037</v>
      </c>
      <c r="BZ171" s="34">
        <v>44707</v>
      </c>
      <c r="CA171" s="7">
        <v>1.9930000000000001</v>
      </c>
      <c r="CB171" s="7">
        <v>2.2759999999999998</v>
      </c>
      <c r="CC171" s="7">
        <f t="shared" si="18"/>
        <v>-28.299999999999969</v>
      </c>
      <c r="CD171" s="34">
        <v>44707</v>
      </c>
      <c r="CE171" s="7">
        <v>2.3919999999999999</v>
      </c>
      <c r="CF171" s="7">
        <v>2.3039999999999998</v>
      </c>
      <c r="CG171" s="7">
        <f t="shared" si="19"/>
        <v>8.8000000000000078</v>
      </c>
    </row>
    <row r="172" spans="70:85" x14ac:dyDescent="0.15">
      <c r="BR172" s="34">
        <v>44706</v>
      </c>
      <c r="BS172" s="7">
        <v>1.538</v>
      </c>
      <c r="BT172" s="7">
        <v>1.992</v>
      </c>
      <c r="BU172" s="7">
        <f t="shared" si="16"/>
        <v>-45.4</v>
      </c>
      <c r="BV172" s="34">
        <v>44706</v>
      </c>
      <c r="BW172" s="7">
        <v>1.86</v>
      </c>
      <c r="BX172" s="7">
        <v>1.8169999999999999</v>
      </c>
      <c r="BY172" s="7">
        <f t="shared" si="17"/>
        <v>4.3000000000000149</v>
      </c>
      <c r="BZ172" s="34">
        <v>44706</v>
      </c>
      <c r="CA172" s="7">
        <v>1.86</v>
      </c>
      <c r="CB172" s="7">
        <v>2.1389999999999998</v>
      </c>
      <c r="CC172" s="7">
        <f t="shared" si="18"/>
        <v>-27.89999999999997</v>
      </c>
      <c r="CD172" s="34">
        <v>44706</v>
      </c>
      <c r="CE172" s="7">
        <v>2.2890000000000001</v>
      </c>
      <c r="CF172" s="7">
        <v>2.1680000000000001</v>
      </c>
      <c r="CG172" s="7">
        <f t="shared" si="19"/>
        <v>12.1</v>
      </c>
    </row>
    <row r="173" spans="70:85" x14ac:dyDescent="0.15">
      <c r="BR173" s="34">
        <v>44705</v>
      </c>
      <c r="BS173" s="7">
        <v>1.5309999999999999</v>
      </c>
      <c r="BT173" s="7">
        <v>1.992</v>
      </c>
      <c r="BU173" s="7">
        <f t="shared" si="16"/>
        <v>-46.100000000000009</v>
      </c>
      <c r="BV173" s="34">
        <v>44705</v>
      </c>
      <c r="BW173" s="7">
        <v>1.8460000000000001</v>
      </c>
      <c r="BX173" s="7">
        <v>1.804</v>
      </c>
      <c r="BY173" s="7">
        <f t="shared" si="17"/>
        <v>4.2000000000000037</v>
      </c>
      <c r="BZ173" s="34">
        <v>44705</v>
      </c>
      <c r="CA173" s="7">
        <v>1.8460000000000001</v>
      </c>
      <c r="CB173" s="7">
        <v>2.121</v>
      </c>
      <c r="CC173" s="7">
        <f t="shared" si="18"/>
        <v>-27.499999999999993</v>
      </c>
      <c r="CD173" s="34">
        <v>44705</v>
      </c>
      <c r="CE173" s="7">
        <v>2.266</v>
      </c>
      <c r="CF173" s="7">
        <v>2.149</v>
      </c>
      <c r="CG173" s="7">
        <f t="shared" si="19"/>
        <v>11.7</v>
      </c>
    </row>
    <row r="174" spans="70:85" x14ac:dyDescent="0.15">
      <c r="BR174" s="34">
        <v>44704</v>
      </c>
      <c r="BS174" s="7">
        <v>1.5309999999999999</v>
      </c>
      <c r="BT174" s="7">
        <v>2.0019999999999998</v>
      </c>
      <c r="BU174" s="7">
        <f t="shared" si="16"/>
        <v>-47.099999999999987</v>
      </c>
      <c r="BV174" s="34">
        <v>44704</v>
      </c>
      <c r="BW174" s="7">
        <v>1.837</v>
      </c>
      <c r="BX174" s="7">
        <v>1.7949999999999999</v>
      </c>
      <c r="BY174" s="7">
        <f t="shared" si="17"/>
        <v>4.2000000000000037</v>
      </c>
      <c r="BZ174" s="34">
        <v>44704</v>
      </c>
      <c r="CA174" s="7">
        <v>1.837</v>
      </c>
      <c r="CB174" s="7">
        <v>2.1110000000000002</v>
      </c>
      <c r="CC174" s="7">
        <f t="shared" si="18"/>
        <v>-27.400000000000023</v>
      </c>
      <c r="CD174" s="34">
        <v>44704</v>
      </c>
      <c r="CE174" s="7">
        <v>2.258</v>
      </c>
      <c r="CF174" s="7">
        <v>2.1389999999999998</v>
      </c>
      <c r="CG174" s="7">
        <f t="shared" si="19"/>
        <v>11.900000000000022</v>
      </c>
    </row>
    <row r="175" spans="70:85" x14ac:dyDescent="0.15">
      <c r="BR175" s="34">
        <v>44701</v>
      </c>
      <c r="BS175" s="7">
        <v>1.52</v>
      </c>
      <c r="BT175" s="7">
        <v>1.9870000000000001</v>
      </c>
      <c r="BU175" s="7">
        <f t="shared" si="16"/>
        <v>-46.70000000000001</v>
      </c>
      <c r="BV175" s="34">
        <v>44701</v>
      </c>
      <c r="BW175" s="7">
        <v>1.8169999999999999</v>
      </c>
      <c r="BX175" s="7">
        <v>1.7749999999999999</v>
      </c>
      <c r="BY175" s="7">
        <f t="shared" si="17"/>
        <v>4.2000000000000037</v>
      </c>
      <c r="BZ175" s="34">
        <v>44701</v>
      </c>
      <c r="CA175" s="7">
        <v>1.8169999999999999</v>
      </c>
      <c r="CB175" s="7">
        <v>2.0979999999999999</v>
      </c>
      <c r="CC175" s="7">
        <f t="shared" si="18"/>
        <v>-28.099999999999991</v>
      </c>
      <c r="CD175" s="34">
        <v>44701</v>
      </c>
      <c r="CE175" s="7">
        <v>2.2330000000000001</v>
      </c>
      <c r="CF175" s="7">
        <v>2.1259999999999999</v>
      </c>
      <c r="CG175" s="7">
        <f t="shared" si="19"/>
        <v>10.700000000000021</v>
      </c>
    </row>
    <row r="176" spans="70:85" x14ac:dyDescent="0.15">
      <c r="BR176" s="34">
        <v>44700</v>
      </c>
      <c r="BS176" s="7">
        <v>1.52</v>
      </c>
      <c r="BT176" s="7">
        <v>1.9870000000000001</v>
      </c>
      <c r="BU176" s="7">
        <f t="shared" si="16"/>
        <v>-46.70000000000001</v>
      </c>
      <c r="BV176" s="34">
        <v>44700</v>
      </c>
      <c r="BW176" s="7">
        <v>1.8089999999999999</v>
      </c>
      <c r="BX176" s="7">
        <v>1.766</v>
      </c>
      <c r="BY176" s="7">
        <f t="shared" si="17"/>
        <v>4.2999999999999927</v>
      </c>
      <c r="BZ176" s="34">
        <v>44700</v>
      </c>
      <c r="CA176" s="7">
        <v>1.8089999999999999</v>
      </c>
      <c r="CB176" s="7">
        <v>2.0920000000000001</v>
      </c>
      <c r="CC176" s="7">
        <f t="shared" si="18"/>
        <v>-28.300000000000015</v>
      </c>
      <c r="CD176" s="34">
        <v>44700</v>
      </c>
      <c r="CE176" s="7">
        <v>2.2130000000000001</v>
      </c>
      <c r="CF176" s="7">
        <v>2.12</v>
      </c>
      <c r="CG176" s="7">
        <f t="shared" si="19"/>
        <v>9.2999999999999972</v>
      </c>
    </row>
    <row r="177" spans="70:85" x14ac:dyDescent="0.15">
      <c r="BR177" s="34">
        <v>44699</v>
      </c>
      <c r="BS177" s="7">
        <v>1.518</v>
      </c>
      <c r="BT177" s="7">
        <v>1.98</v>
      </c>
      <c r="BU177" s="7">
        <f t="shared" si="16"/>
        <v>-46.199999999999996</v>
      </c>
      <c r="BV177" s="34">
        <v>44699</v>
      </c>
      <c r="BW177" s="7">
        <v>1.8</v>
      </c>
      <c r="BX177" s="7">
        <v>1.758</v>
      </c>
      <c r="BY177" s="7">
        <f t="shared" si="17"/>
        <v>4.2000000000000037</v>
      </c>
      <c r="BZ177" s="34">
        <v>44699</v>
      </c>
      <c r="CA177" s="7">
        <v>1.8</v>
      </c>
      <c r="CB177" s="7">
        <v>2.0840000000000001</v>
      </c>
      <c r="CC177" s="7">
        <f t="shared" si="18"/>
        <v>-28.400000000000002</v>
      </c>
      <c r="CD177" s="34">
        <v>44699</v>
      </c>
      <c r="CE177" s="7">
        <v>2.1930000000000001</v>
      </c>
      <c r="CF177" s="7">
        <v>2.1120000000000001</v>
      </c>
      <c r="CG177" s="7">
        <f t="shared" si="19"/>
        <v>8.0999999999999961</v>
      </c>
    </row>
    <row r="178" spans="70:85" x14ac:dyDescent="0.15">
      <c r="BR178" s="34">
        <v>44698</v>
      </c>
      <c r="BS178" s="7">
        <v>1.508</v>
      </c>
      <c r="BT178" s="7">
        <v>1.9670000000000001</v>
      </c>
      <c r="BU178" s="7">
        <f t="shared" si="16"/>
        <v>-45.900000000000006</v>
      </c>
      <c r="BV178" s="34">
        <v>44698</v>
      </c>
      <c r="BW178" s="7">
        <v>1.7789999999999999</v>
      </c>
      <c r="BX178" s="7">
        <v>1.736</v>
      </c>
      <c r="BY178" s="7">
        <f t="shared" si="17"/>
        <v>4.2999999999999927</v>
      </c>
      <c r="BZ178" s="34">
        <v>44698</v>
      </c>
      <c r="CA178" s="7">
        <v>1.7789999999999999</v>
      </c>
      <c r="CB178" s="7">
        <v>2.0739999999999998</v>
      </c>
      <c r="CC178" s="7">
        <f t="shared" si="18"/>
        <v>-29.499999999999993</v>
      </c>
      <c r="CD178" s="34">
        <v>44698</v>
      </c>
      <c r="CE178" s="7">
        <v>2.1709999999999998</v>
      </c>
      <c r="CF178" s="7">
        <v>2.1019999999999999</v>
      </c>
      <c r="CG178" s="7">
        <f t="shared" si="19"/>
        <v>6.899999999999995</v>
      </c>
    </row>
    <row r="179" spans="70:85" x14ac:dyDescent="0.15">
      <c r="BR179" s="34">
        <v>44697</v>
      </c>
      <c r="BS179" s="7">
        <v>1.4950000000000001</v>
      </c>
      <c r="BT179" s="7">
        <v>1.9550000000000001</v>
      </c>
      <c r="BU179" s="7">
        <f t="shared" si="16"/>
        <v>-46</v>
      </c>
      <c r="BV179" s="34">
        <v>44697</v>
      </c>
      <c r="BW179" s="7">
        <v>1.7569999999999999</v>
      </c>
      <c r="BX179" s="7">
        <v>1.7150000000000001</v>
      </c>
      <c r="BY179" s="7">
        <f t="shared" si="17"/>
        <v>4.1999999999999815</v>
      </c>
      <c r="BZ179" s="34">
        <v>44697</v>
      </c>
      <c r="CA179" s="7">
        <v>1.7569999999999999</v>
      </c>
      <c r="CB179" s="7">
        <v>2.0579999999999998</v>
      </c>
      <c r="CC179" s="7">
        <f t="shared" si="18"/>
        <v>-30.099999999999994</v>
      </c>
      <c r="CD179" s="34">
        <v>44697</v>
      </c>
      <c r="CE179" s="7">
        <v>2.1509999999999998</v>
      </c>
      <c r="CF179" s="7">
        <v>2.0859999999999999</v>
      </c>
      <c r="CG179" s="7">
        <f t="shared" si="19"/>
        <v>6.4999999999999947</v>
      </c>
    </row>
    <row r="180" spans="70:85" x14ac:dyDescent="0.15">
      <c r="BR180" s="34">
        <v>44694</v>
      </c>
      <c r="BS180" s="7">
        <v>1.47</v>
      </c>
      <c r="BT180" s="7">
        <v>1.895</v>
      </c>
      <c r="BU180" s="7">
        <f t="shared" si="16"/>
        <v>-42.500000000000007</v>
      </c>
      <c r="BV180" s="34">
        <v>44694</v>
      </c>
      <c r="BW180" s="7">
        <v>1.732</v>
      </c>
      <c r="BX180" s="7">
        <v>1.69</v>
      </c>
      <c r="BY180" s="7">
        <f t="shared" si="17"/>
        <v>4.2000000000000037</v>
      </c>
      <c r="BZ180" s="34">
        <v>44694</v>
      </c>
      <c r="CA180" s="7">
        <v>1.732</v>
      </c>
      <c r="CB180" s="7">
        <v>2.0329999999999999</v>
      </c>
      <c r="CC180" s="7">
        <f t="shared" si="18"/>
        <v>-30.099999999999994</v>
      </c>
      <c r="CD180" s="34">
        <v>44694</v>
      </c>
      <c r="CE180" s="7">
        <v>2.1240000000000001</v>
      </c>
      <c r="CF180" s="7">
        <v>2.0609999999999999</v>
      </c>
      <c r="CG180" s="7">
        <f t="shared" si="19"/>
        <v>6.3000000000000167</v>
      </c>
    </row>
    <row r="181" spans="70:85" x14ac:dyDescent="0.15">
      <c r="BR181" s="34">
        <v>44693</v>
      </c>
      <c r="BS181" s="7">
        <v>1.4510000000000001</v>
      </c>
      <c r="BT181" s="7">
        <v>1.88</v>
      </c>
      <c r="BU181" s="7">
        <f t="shared" si="16"/>
        <v>-42.899999999999984</v>
      </c>
      <c r="BV181" s="34">
        <v>44693</v>
      </c>
      <c r="BW181" s="7">
        <v>1.7150000000000001</v>
      </c>
      <c r="BX181" s="7">
        <v>1.673</v>
      </c>
      <c r="BY181" s="7">
        <f t="shared" si="17"/>
        <v>4.2000000000000037</v>
      </c>
      <c r="BZ181" s="34">
        <v>44693</v>
      </c>
      <c r="CA181" s="7">
        <v>1.7150000000000001</v>
      </c>
      <c r="CB181" s="7">
        <v>2.016</v>
      </c>
      <c r="CC181" s="7">
        <f t="shared" si="18"/>
        <v>-30.099999999999994</v>
      </c>
      <c r="CD181" s="34">
        <v>44693</v>
      </c>
      <c r="CE181" s="7">
        <v>2.0990000000000002</v>
      </c>
      <c r="CF181" s="7">
        <v>2.0449999999999999</v>
      </c>
      <c r="CG181" s="7">
        <f t="shared" si="19"/>
        <v>5.400000000000027</v>
      </c>
    </row>
    <row r="182" spans="70:85" x14ac:dyDescent="0.15">
      <c r="BR182" s="34">
        <v>44692</v>
      </c>
      <c r="BS182" s="7">
        <v>1.45</v>
      </c>
      <c r="BT182" s="7">
        <v>1.875</v>
      </c>
      <c r="BU182" s="7">
        <f t="shared" si="16"/>
        <v>-42.500000000000007</v>
      </c>
      <c r="BV182" s="34">
        <v>44692</v>
      </c>
      <c r="BW182" s="7">
        <v>1.7070000000000001</v>
      </c>
      <c r="BX182" s="7">
        <v>1.665</v>
      </c>
      <c r="BY182" s="7">
        <f t="shared" si="17"/>
        <v>4.2000000000000037</v>
      </c>
      <c r="BZ182" s="34">
        <v>44692</v>
      </c>
      <c r="CA182" s="7">
        <v>1.7070000000000001</v>
      </c>
      <c r="CB182" s="7">
        <v>2.0150000000000001</v>
      </c>
      <c r="CC182" s="7">
        <f t="shared" si="18"/>
        <v>-30.800000000000004</v>
      </c>
      <c r="CD182" s="34">
        <v>44692</v>
      </c>
      <c r="CE182" s="7">
        <v>2.0910000000000002</v>
      </c>
      <c r="CF182" s="7">
        <v>2.0430000000000001</v>
      </c>
      <c r="CG182" s="7">
        <f t="shared" si="19"/>
        <v>4.8000000000000043</v>
      </c>
    </row>
    <row r="183" spans="70:85" x14ac:dyDescent="0.15">
      <c r="BR183" s="34">
        <v>44691</v>
      </c>
      <c r="BS183" s="7">
        <v>1.448</v>
      </c>
      <c r="BT183" s="7">
        <v>1.877</v>
      </c>
      <c r="BU183" s="7">
        <f t="shared" si="16"/>
        <v>-42.900000000000006</v>
      </c>
      <c r="BV183" s="34">
        <v>44691</v>
      </c>
      <c r="BW183" s="7">
        <v>1.6970000000000001</v>
      </c>
      <c r="BX183" s="7">
        <v>1.655</v>
      </c>
      <c r="BY183" s="7">
        <f t="shared" si="17"/>
        <v>4.2000000000000037</v>
      </c>
      <c r="BZ183" s="34">
        <v>44691</v>
      </c>
      <c r="CA183" s="7">
        <v>1.6970000000000001</v>
      </c>
      <c r="CB183" s="7">
        <v>2.0110000000000001</v>
      </c>
      <c r="CC183" s="7">
        <f t="shared" si="18"/>
        <v>-31.400000000000006</v>
      </c>
      <c r="CD183" s="34">
        <v>44691</v>
      </c>
      <c r="CE183" s="7">
        <v>2.0859999999999999</v>
      </c>
      <c r="CF183" s="7">
        <v>2.04</v>
      </c>
      <c r="CG183" s="7">
        <f t="shared" si="19"/>
        <v>4.5999999999999819</v>
      </c>
    </row>
    <row r="184" spans="70:85" x14ac:dyDescent="0.15">
      <c r="BR184" s="34">
        <v>44690</v>
      </c>
      <c r="BS184" s="7">
        <v>1.448</v>
      </c>
      <c r="BT184" s="7">
        <v>1.88</v>
      </c>
      <c r="BU184" s="7">
        <f t="shared" si="16"/>
        <v>-43.199999999999996</v>
      </c>
      <c r="BV184" s="34">
        <v>44690</v>
      </c>
      <c r="BW184" s="7">
        <v>1.6919999999999999</v>
      </c>
      <c r="BX184" s="7">
        <v>1.65</v>
      </c>
      <c r="BY184" s="7">
        <f t="shared" si="17"/>
        <v>4.2000000000000037</v>
      </c>
      <c r="BZ184" s="34">
        <v>44690</v>
      </c>
      <c r="CA184" s="7">
        <v>1.6919999999999999</v>
      </c>
      <c r="CB184" s="7">
        <v>2.0110000000000001</v>
      </c>
      <c r="CC184" s="7">
        <f t="shared" si="18"/>
        <v>-31.900000000000016</v>
      </c>
      <c r="CD184" s="34">
        <v>44690</v>
      </c>
      <c r="CE184" s="7">
        <v>2.0840000000000001</v>
      </c>
      <c r="CF184" s="7">
        <v>2.04</v>
      </c>
      <c r="CG184" s="7">
        <f t="shared" si="19"/>
        <v>4.4000000000000039</v>
      </c>
    </row>
    <row r="185" spans="70:85" x14ac:dyDescent="0.15">
      <c r="BR185" s="34">
        <v>44687</v>
      </c>
      <c r="BS185" s="7">
        <v>1.4510000000000001</v>
      </c>
      <c r="BT185" s="7">
        <v>1.962</v>
      </c>
      <c r="BU185" s="7">
        <f t="shared" si="16"/>
        <v>-51.099999999999987</v>
      </c>
      <c r="BV185" s="34">
        <v>44687</v>
      </c>
      <c r="BW185" s="7">
        <v>1.6870000000000001</v>
      </c>
      <c r="BX185" s="7">
        <v>1.645</v>
      </c>
      <c r="BY185" s="7">
        <f t="shared" si="17"/>
        <v>4.2000000000000037</v>
      </c>
      <c r="BZ185" s="34">
        <v>44687</v>
      </c>
      <c r="CA185" s="7">
        <v>1.6870000000000001</v>
      </c>
      <c r="CB185" s="7">
        <v>2.0129999999999999</v>
      </c>
      <c r="CC185" s="7">
        <f t="shared" si="18"/>
        <v>-32.599999999999987</v>
      </c>
      <c r="CD185" s="34">
        <v>44687</v>
      </c>
      <c r="CE185" s="7">
        <v>2.0859999999999999</v>
      </c>
      <c r="CF185" s="7">
        <v>2.0409999999999999</v>
      </c>
      <c r="CG185" s="7">
        <f t="shared" si="19"/>
        <v>4.4999999999999929</v>
      </c>
    </row>
    <row r="186" spans="70:85" x14ac:dyDescent="0.15">
      <c r="BR186" s="34">
        <v>44685</v>
      </c>
      <c r="BS186" s="7">
        <v>1.4530000000000001</v>
      </c>
      <c r="BT186" s="7">
        <v>1.9690000000000001</v>
      </c>
      <c r="BU186" s="7">
        <f t="shared" si="16"/>
        <v>-51.6</v>
      </c>
      <c r="BV186" s="34">
        <v>44685</v>
      </c>
      <c r="BW186" s="7">
        <v>1.6839999999999999</v>
      </c>
      <c r="BX186" s="7">
        <v>1.641</v>
      </c>
      <c r="BY186" s="7">
        <f t="shared" si="17"/>
        <v>4.2999999999999927</v>
      </c>
      <c r="BZ186" s="34">
        <v>44685</v>
      </c>
      <c r="CA186" s="7">
        <v>1.6839999999999999</v>
      </c>
      <c r="CB186" s="7">
        <v>2.0129999999999999</v>
      </c>
      <c r="CC186" s="7">
        <f t="shared" si="18"/>
        <v>-32.9</v>
      </c>
      <c r="CD186" s="34">
        <v>44685</v>
      </c>
      <c r="CE186" s="7">
        <v>2.0870000000000002</v>
      </c>
      <c r="CF186" s="7">
        <v>2.0409999999999999</v>
      </c>
      <c r="CG186" s="7">
        <f t="shared" si="19"/>
        <v>4.6000000000000263</v>
      </c>
    </row>
    <row r="187" spans="70:85" x14ac:dyDescent="0.15">
      <c r="BR187" s="34">
        <v>44684</v>
      </c>
      <c r="BS187" s="7">
        <v>1.46</v>
      </c>
      <c r="BT187" s="7">
        <v>1.9370000000000001</v>
      </c>
      <c r="BU187" s="7">
        <f t="shared" si="16"/>
        <v>-47.70000000000001</v>
      </c>
      <c r="BV187" s="34">
        <v>44684</v>
      </c>
      <c r="BW187" s="7">
        <v>1.6890000000000001</v>
      </c>
      <c r="BX187" s="7">
        <v>1.6459999999999999</v>
      </c>
      <c r="BY187" s="7">
        <f t="shared" si="17"/>
        <v>4.3000000000000149</v>
      </c>
      <c r="BZ187" s="34">
        <v>44684</v>
      </c>
      <c r="CA187" s="7">
        <v>1.6890000000000001</v>
      </c>
      <c r="CB187" s="7">
        <v>2.0230000000000001</v>
      </c>
      <c r="CC187" s="7">
        <f t="shared" si="18"/>
        <v>-33.400000000000006</v>
      </c>
      <c r="CD187" s="34">
        <v>44684</v>
      </c>
      <c r="CE187" s="7">
        <v>2.09</v>
      </c>
      <c r="CF187" s="7">
        <v>2.0510000000000002</v>
      </c>
      <c r="CG187" s="7">
        <f t="shared" si="19"/>
        <v>3.8999999999999702</v>
      </c>
    </row>
    <row r="188" spans="70:85" x14ac:dyDescent="0.15">
      <c r="BR188" s="34">
        <v>44683</v>
      </c>
      <c r="BS188" s="7">
        <v>1.4730000000000001</v>
      </c>
      <c r="BT188" s="7">
        <v>1.927</v>
      </c>
      <c r="BU188" s="7">
        <f t="shared" si="16"/>
        <v>-45.4</v>
      </c>
      <c r="BV188" s="34">
        <v>44683</v>
      </c>
      <c r="BW188" s="7">
        <v>1.6930000000000001</v>
      </c>
      <c r="BX188" s="7">
        <v>1.651</v>
      </c>
      <c r="BY188" s="7">
        <f t="shared" si="17"/>
        <v>4.2000000000000037</v>
      </c>
      <c r="BZ188" s="34">
        <v>44683</v>
      </c>
      <c r="CA188" s="7">
        <v>1.6930000000000001</v>
      </c>
      <c r="CB188" s="7">
        <v>2.028</v>
      </c>
      <c r="CC188" s="7">
        <f t="shared" si="18"/>
        <v>-33.5</v>
      </c>
      <c r="CD188" s="34">
        <v>44683</v>
      </c>
      <c r="CE188" s="7">
        <v>2.0979999999999999</v>
      </c>
      <c r="CF188" s="7">
        <v>2.056</v>
      </c>
      <c r="CG188" s="7">
        <f t="shared" si="19"/>
        <v>4.1999999999999815</v>
      </c>
    </row>
    <row r="189" spans="70:85" x14ac:dyDescent="0.15">
      <c r="BR189" s="34">
        <v>44680</v>
      </c>
      <c r="BS189" s="7">
        <v>1.4610000000000001</v>
      </c>
      <c r="BT189" s="7">
        <v>1.8939999999999999</v>
      </c>
      <c r="BU189" s="7">
        <f t="shared" si="16"/>
        <v>-43.299999999999983</v>
      </c>
      <c r="BV189" s="34">
        <v>44680</v>
      </c>
      <c r="BW189" s="7">
        <v>1.6859999999999999</v>
      </c>
      <c r="BX189" s="7">
        <v>1.6439999999999999</v>
      </c>
      <c r="BY189" s="7">
        <f t="shared" si="17"/>
        <v>4.2000000000000037</v>
      </c>
      <c r="BZ189" s="34">
        <v>44680</v>
      </c>
      <c r="CA189" s="7">
        <v>1.6859999999999999</v>
      </c>
      <c r="CB189" s="7">
        <v>2.0150000000000001</v>
      </c>
      <c r="CC189" s="7">
        <f t="shared" si="18"/>
        <v>-32.90000000000002</v>
      </c>
      <c r="CD189" s="34">
        <v>44680</v>
      </c>
      <c r="CE189" s="7">
        <v>2.0830000000000002</v>
      </c>
      <c r="CF189" s="7">
        <v>2.0430000000000001</v>
      </c>
      <c r="CG189" s="7">
        <f t="shared" si="19"/>
        <v>4.0000000000000036</v>
      </c>
    </row>
    <row r="190" spans="70:85" x14ac:dyDescent="0.15">
      <c r="BR190" s="34">
        <v>44679</v>
      </c>
      <c r="BS190" s="7">
        <v>1.466</v>
      </c>
      <c r="BT190" s="7">
        <v>1.8520000000000001</v>
      </c>
      <c r="BU190" s="7">
        <f t="shared" si="16"/>
        <v>-38.600000000000009</v>
      </c>
      <c r="BV190" s="34">
        <v>44679</v>
      </c>
      <c r="BW190" s="7">
        <v>1.6850000000000001</v>
      </c>
      <c r="BX190" s="7">
        <v>1.6419999999999999</v>
      </c>
      <c r="BY190" s="7">
        <f t="shared" si="17"/>
        <v>4.3000000000000149</v>
      </c>
      <c r="BZ190" s="34">
        <v>44679</v>
      </c>
      <c r="CA190" s="7">
        <v>1.6850000000000001</v>
      </c>
      <c r="CB190" s="7">
        <v>2.0179999999999998</v>
      </c>
      <c r="CC190" s="7">
        <f t="shared" si="18"/>
        <v>-33.299999999999976</v>
      </c>
      <c r="CD190" s="34">
        <v>44679</v>
      </c>
      <c r="CE190" s="7">
        <v>2.0880000000000001</v>
      </c>
      <c r="CF190" s="7">
        <v>2.0459999999999998</v>
      </c>
      <c r="CG190" s="7">
        <f t="shared" si="19"/>
        <v>4.2000000000000259</v>
      </c>
    </row>
    <row r="191" spans="70:85" x14ac:dyDescent="0.15">
      <c r="BR191" s="34">
        <v>44678</v>
      </c>
      <c r="BS191" s="7">
        <v>1.4730000000000001</v>
      </c>
      <c r="BT191" s="7">
        <v>1.8120000000000001</v>
      </c>
      <c r="BU191" s="7">
        <f t="shared" si="16"/>
        <v>-33.9</v>
      </c>
      <c r="BV191" s="34">
        <v>44678</v>
      </c>
      <c r="BW191" s="7">
        <v>1.6930000000000001</v>
      </c>
      <c r="BX191" s="7">
        <v>1.651</v>
      </c>
      <c r="BY191" s="7">
        <f t="shared" si="17"/>
        <v>4.2000000000000037</v>
      </c>
      <c r="BZ191" s="34">
        <v>44678</v>
      </c>
      <c r="CA191" s="7">
        <v>1.6930000000000001</v>
      </c>
      <c r="CB191" s="7">
        <v>2.02</v>
      </c>
      <c r="CC191" s="7">
        <f t="shared" si="18"/>
        <v>-32.699999999999996</v>
      </c>
      <c r="CD191" s="34">
        <v>44678</v>
      </c>
      <c r="CE191" s="7">
        <v>2.0939999999999999</v>
      </c>
      <c r="CF191" s="7">
        <v>2.048</v>
      </c>
      <c r="CG191" s="7">
        <f t="shared" si="19"/>
        <v>4.5999999999999819</v>
      </c>
    </row>
    <row r="192" spans="70:85" x14ac:dyDescent="0.15">
      <c r="BR192" s="34">
        <v>44677</v>
      </c>
      <c r="BS192" s="7">
        <v>1.4750000000000001</v>
      </c>
      <c r="BT192" s="7">
        <v>1.8540000000000001</v>
      </c>
      <c r="BU192" s="7">
        <f t="shared" si="16"/>
        <v>-37.9</v>
      </c>
      <c r="BV192" s="34">
        <v>44677</v>
      </c>
      <c r="BW192" s="7">
        <v>1.6919999999999999</v>
      </c>
      <c r="BX192" s="7">
        <v>1.65</v>
      </c>
      <c r="BY192" s="7">
        <f t="shared" si="17"/>
        <v>4.2000000000000037</v>
      </c>
      <c r="BZ192" s="34">
        <v>44677</v>
      </c>
      <c r="CA192" s="7">
        <v>1.6919999999999999</v>
      </c>
      <c r="CB192" s="7">
        <v>2.02</v>
      </c>
      <c r="CC192" s="7">
        <f t="shared" si="18"/>
        <v>-32.800000000000004</v>
      </c>
      <c r="CD192" s="34">
        <v>44677</v>
      </c>
      <c r="CE192" s="7">
        <v>2.09</v>
      </c>
      <c r="CF192" s="7">
        <v>2.048</v>
      </c>
      <c r="CG192" s="7">
        <f t="shared" si="19"/>
        <v>4.1999999999999815</v>
      </c>
    </row>
    <row r="193" spans="70:85" x14ac:dyDescent="0.15">
      <c r="BR193" s="34">
        <v>44676</v>
      </c>
      <c r="BS193" s="7">
        <v>1.478</v>
      </c>
      <c r="BT193" s="7">
        <v>1.877</v>
      </c>
      <c r="BU193" s="7">
        <f t="shared" si="16"/>
        <v>-39.900000000000006</v>
      </c>
      <c r="BV193" s="34">
        <v>44676</v>
      </c>
      <c r="BW193" s="7">
        <v>1.6890000000000001</v>
      </c>
      <c r="BX193" s="7">
        <v>1.6459999999999999</v>
      </c>
      <c r="BY193" s="7">
        <f t="shared" si="17"/>
        <v>4.3000000000000149</v>
      </c>
      <c r="BZ193" s="34">
        <v>44676</v>
      </c>
      <c r="CA193" s="7">
        <v>1.6890000000000001</v>
      </c>
      <c r="CB193" s="7">
        <v>2.0230000000000001</v>
      </c>
      <c r="CC193" s="7">
        <f t="shared" si="18"/>
        <v>-33.400000000000006</v>
      </c>
      <c r="CD193" s="34">
        <v>44676</v>
      </c>
      <c r="CE193" s="7">
        <v>2.0910000000000002</v>
      </c>
      <c r="CF193" s="7">
        <v>2.0510000000000002</v>
      </c>
      <c r="CG193" s="7">
        <f t="shared" si="19"/>
        <v>4.0000000000000036</v>
      </c>
    </row>
    <row r="194" spans="70:85" x14ac:dyDescent="0.15">
      <c r="BR194" s="34">
        <v>44673</v>
      </c>
      <c r="BS194" s="7">
        <v>1.5</v>
      </c>
      <c r="BT194" s="7">
        <v>1.9039999999999999</v>
      </c>
      <c r="BU194" s="7">
        <f t="shared" si="16"/>
        <v>-40.399999999999991</v>
      </c>
      <c r="BV194" s="34">
        <v>44673</v>
      </c>
      <c r="BW194" s="7">
        <v>1.7030000000000001</v>
      </c>
      <c r="BX194" s="7">
        <v>1.66</v>
      </c>
      <c r="BY194" s="7">
        <f t="shared" si="17"/>
        <v>4.3000000000000149</v>
      </c>
      <c r="BZ194" s="34">
        <v>44673</v>
      </c>
      <c r="CA194" s="7">
        <v>1.7030000000000001</v>
      </c>
      <c r="CB194" s="7">
        <v>2.0409999999999999</v>
      </c>
      <c r="CC194" s="7">
        <f t="shared" si="18"/>
        <v>-33.799999999999983</v>
      </c>
      <c r="CD194" s="34">
        <v>44673</v>
      </c>
      <c r="CE194" s="7">
        <v>2.1160000000000001</v>
      </c>
      <c r="CF194" s="7">
        <v>2.0699999999999998</v>
      </c>
      <c r="CG194" s="7">
        <f t="shared" si="19"/>
        <v>4.6000000000000263</v>
      </c>
    </row>
    <row r="195" spans="70:85" x14ac:dyDescent="0.15">
      <c r="BR195" s="34">
        <v>44672</v>
      </c>
      <c r="BS195" s="7">
        <v>1.5</v>
      </c>
      <c r="BT195" s="7">
        <v>1.897</v>
      </c>
      <c r="BU195" s="7">
        <f t="shared" si="16"/>
        <v>-39.700000000000003</v>
      </c>
      <c r="BV195" s="34">
        <v>44672</v>
      </c>
      <c r="BW195" s="7">
        <v>1.7030000000000001</v>
      </c>
      <c r="BX195" s="7">
        <v>1.66</v>
      </c>
      <c r="BY195" s="7">
        <f t="shared" si="17"/>
        <v>4.3000000000000149</v>
      </c>
      <c r="BZ195" s="34">
        <v>44672</v>
      </c>
      <c r="CA195" s="7">
        <v>1.7030000000000001</v>
      </c>
      <c r="CB195" s="7">
        <v>2.0409999999999999</v>
      </c>
      <c r="CC195" s="7">
        <f t="shared" si="18"/>
        <v>-33.799999999999983</v>
      </c>
      <c r="CD195" s="34">
        <v>44672</v>
      </c>
      <c r="CE195" s="7">
        <v>2.12</v>
      </c>
      <c r="CF195" s="7">
        <v>2.0699999999999998</v>
      </c>
      <c r="CG195" s="7">
        <f t="shared" si="19"/>
        <v>5.0000000000000266</v>
      </c>
    </row>
    <row r="196" spans="70:85" x14ac:dyDescent="0.15">
      <c r="BR196" s="34">
        <v>44671</v>
      </c>
      <c r="BS196" s="7">
        <v>1.506</v>
      </c>
      <c r="BT196" s="7">
        <v>1.905</v>
      </c>
      <c r="BU196" s="7">
        <f t="shared" si="16"/>
        <v>-39.900000000000006</v>
      </c>
      <c r="BV196" s="34">
        <v>44671</v>
      </c>
      <c r="BW196" s="7">
        <v>1.7090000000000001</v>
      </c>
      <c r="BX196" s="7">
        <v>1.667</v>
      </c>
      <c r="BY196" s="7">
        <f t="shared" si="17"/>
        <v>4.2000000000000037</v>
      </c>
      <c r="BZ196" s="34">
        <v>44671</v>
      </c>
      <c r="CA196" s="7">
        <v>1.7090000000000001</v>
      </c>
      <c r="CB196" s="7">
        <v>2.048</v>
      </c>
      <c r="CC196" s="7">
        <f t="shared" si="18"/>
        <v>-33.9</v>
      </c>
      <c r="CD196" s="34">
        <v>44671</v>
      </c>
      <c r="CE196" s="7">
        <v>2.13</v>
      </c>
      <c r="CF196" s="7">
        <v>2.0760000000000001</v>
      </c>
      <c r="CG196" s="7">
        <f t="shared" si="19"/>
        <v>5.3999999999999826</v>
      </c>
    </row>
    <row r="197" spans="70:85" x14ac:dyDescent="0.15">
      <c r="BR197" s="34">
        <v>44670</v>
      </c>
      <c r="BS197" s="7">
        <v>1.51</v>
      </c>
      <c r="BT197" s="7">
        <v>1.9219999999999999</v>
      </c>
      <c r="BU197" s="7">
        <f t="shared" si="16"/>
        <v>-41.199999999999989</v>
      </c>
      <c r="BV197" s="34">
        <v>44670</v>
      </c>
      <c r="BW197" s="7">
        <v>1.7090000000000001</v>
      </c>
      <c r="BX197" s="7">
        <v>1.667</v>
      </c>
      <c r="BY197" s="7">
        <f t="shared" si="17"/>
        <v>4.2000000000000037</v>
      </c>
      <c r="BZ197" s="34">
        <v>44670</v>
      </c>
      <c r="CA197" s="7">
        <v>1.7090000000000001</v>
      </c>
      <c r="CB197" s="7">
        <v>2.0510000000000002</v>
      </c>
      <c r="CC197" s="7">
        <f t="shared" si="18"/>
        <v>-34.20000000000001</v>
      </c>
      <c r="CD197" s="34">
        <v>44670</v>
      </c>
      <c r="CE197" s="7">
        <v>2.1389999999999998</v>
      </c>
      <c r="CF197" s="7">
        <v>2.08</v>
      </c>
      <c r="CG197" s="7">
        <f t="shared" si="19"/>
        <v>5.8999999999999719</v>
      </c>
    </row>
    <row r="198" spans="70:85" x14ac:dyDescent="0.15">
      <c r="BR198" s="34">
        <v>44669</v>
      </c>
      <c r="BS198" s="7">
        <v>1.5109999999999999</v>
      </c>
      <c r="BT198" s="7">
        <v>1.9550000000000001</v>
      </c>
      <c r="BU198" s="7">
        <f t="shared" si="16"/>
        <v>-44.40000000000002</v>
      </c>
      <c r="BV198" s="34">
        <v>44669</v>
      </c>
      <c r="BW198" s="7">
        <v>1.708</v>
      </c>
      <c r="BX198" s="7">
        <v>1.665</v>
      </c>
      <c r="BY198" s="7">
        <f t="shared" si="17"/>
        <v>4.2999999999999927</v>
      </c>
      <c r="BZ198" s="34">
        <v>44669</v>
      </c>
      <c r="CA198" s="7">
        <v>1.708</v>
      </c>
      <c r="CB198" s="7">
        <v>2.0529999999999999</v>
      </c>
      <c r="CC198" s="7">
        <f t="shared" si="18"/>
        <v>-34.5</v>
      </c>
      <c r="CD198" s="34">
        <v>44669</v>
      </c>
      <c r="CE198" s="7">
        <v>2.1459999999999999</v>
      </c>
      <c r="CF198" s="7">
        <v>2.081</v>
      </c>
      <c r="CG198" s="7">
        <f t="shared" si="19"/>
        <v>6.4999999999999947</v>
      </c>
    </row>
    <row r="199" spans="70:85" x14ac:dyDescent="0.15">
      <c r="BR199" s="34">
        <v>44666</v>
      </c>
      <c r="BS199" s="7">
        <v>1.506</v>
      </c>
      <c r="BT199" s="7">
        <v>1.9550000000000001</v>
      </c>
      <c r="BU199" s="7">
        <f t="shared" si="16"/>
        <v>-44.900000000000006</v>
      </c>
      <c r="BV199" s="34">
        <v>44666</v>
      </c>
      <c r="BW199" s="7">
        <v>1.7</v>
      </c>
      <c r="BX199" s="7">
        <v>1.6579999999999999</v>
      </c>
      <c r="BY199" s="7">
        <f t="shared" si="17"/>
        <v>4.2000000000000037</v>
      </c>
      <c r="BZ199" s="34">
        <v>44666</v>
      </c>
      <c r="CA199" s="7">
        <v>1.7</v>
      </c>
      <c r="CB199" s="7">
        <v>2.0449999999999999</v>
      </c>
      <c r="CC199" s="7">
        <f t="shared" si="18"/>
        <v>-34.5</v>
      </c>
      <c r="CD199" s="34">
        <v>44666</v>
      </c>
      <c r="CE199" s="7">
        <v>2.1349999999999998</v>
      </c>
      <c r="CF199" s="7">
        <v>2.073</v>
      </c>
      <c r="CG199" s="7">
        <f t="shared" si="19"/>
        <v>6.1999999999999833</v>
      </c>
    </row>
    <row r="200" spans="70:85" x14ac:dyDescent="0.15">
      <c r="BR200" s="34">
        <v>44665</v>
      </c>
      <c r="BS200" s="7">
        <v>1.5029999999999999</v>
      </c>
      <c r="BT200" s="7">
        <v>1.9390000000000001</v>
      </c>
      <c r="BU200" s="7">
        <f t="shared" si="16"/>
        <v>-43.600000000000016</v>
      </c>
      <c r="BV200" s="34">
        <v>44665</v>
      </c>
      <c r="BW200" s="7">
        <v>1.6950000000000001</v>
      </c>
      <c r="BX200" s="7">
        <v>1.653</v>
      </c>
      <c r="BY200" s="7">
        <f t="shared" si="17"/>
        <v>4.2000000000000037</v>
      </c>
      <c r="BZ200" s="34">
        <v>44665</v>
      </c>
      <c r="CA200" s="7">
        <v>1.6950000000000001</v>
      </c>
      <c r="CB200" s="7">
        <v>2.0409999999999999</v>
      </c>
      <c r="CC200" s="7">
        <f t="shared" si="18"/>
        <v>-34.599999999999987</v>
      </c>
      <c r="CD200" s="34">
        <v>44665</v>
      </c>
      <c r="CE200" s="7">
        <v>2.133</v>
      </c>
      <c r="CF200" s="7">
        <v>2.0699999999999998</v>
      </c>
      <c r="CG200" s="7">
        <f t="shared" si="19"/>
        <v>6.3000000000000167</v>
      </c>
    </row>
    <row r="201" spans="70:85" x14ac:dyDescent="0.15">
      <c r="BR201" s="34">
        <v>44664</v>
      </c>
      <c r="BS201" s="7">
        <v>1.33</v>
      </c>
      <c r="BT201" s="7">
        <v>2.052</v>
      </c>
      <c r="BU201" s="7">
        <f t="shared" si="16"/>
        <v>-72.2</v>
      </c>
      <c r="BV201" s="34">
        <v>44664</v>
      </c>
      <c r="BW201" s="7">
        <v>1.615</v>
      </c>
      <c r="BX201" s="7">
        <v>1.573</v>
      </c>
      <c r="BY201" s="7">
        <f t="shared" si="17"/>
        <v>4.2000000000000037</v>
      </c>
      <c r="BZ201" s="34">
        <v>44664</v>
      </c>
      <c r="CA201" s="7">
        <v>1.615</v>
      </c>
      <c r="CB201" s="7">
        <v>1.9610000000000001</v>
      </c>
      <c r="CC201" s="7">
        <f t="shared" si="18"/>
        <v>-34.600000000000009</v>
      </c>
      <c r="CD201" s="34">
        <v>44664</v>
      </c>
      <c r="CE201" s="7">
        <v>2.1</v>
      </c>
      <c r="CF201" s="7">
        <v>1.99</v>
      </c>
      <c r="CG201" s="7">
        <f t="shared" si="19"/>
        <v>11.000000000000011</v>
      </c>
    </row>
    <row r="202" spans="70:85" x14ac:dyDescent="0.15">
      <c r="BR202" s="34">
        <v>44663</v>
      </c>
      <c r="BS202" s="7">
        <v>1.33</v>
      </c>
      <c r="BT202" s="7">
        <v>2.09</v>
      </c>
      <c r="BU202" s="7">
        <f t="shared" si="16"/>
        <v>-75.999999999999972</v>
      </c>
      <c r="BV202" s="34">
        <v>44663</v>
      </c>
      <c r="BW202" s="7">
        <v>1.615</v>
      </c>
      <c r="BX202" s="7">
        <v>1.573</v>
      </c>
      <c r="BY202" s="7">
        <f t="shared" si="17"/>
        <v>4.2000000000000037</v>
      </c>
      <c r="BZ202" s="34">
        <v>44663</v>
      </c>
      <c r="CA202" s="7">
        <v>1.615</v>
      </c>
      <c r="CB202" s="7">
        <v>1.958</v>
      </c>
      <c r="CC202" s="7">
        <f t="shared" si="18"/>
        <v>-34.299999999999997</v>
      </c>
      <c r="CD202" s="34">
        <v>44663</v>
      </c>
      <c r="CE202" s="7">
        <v>2.1</v>
      </c>
      <c r="CF202" s="7">
        <v>1.986</v>
      </c>
      <c r="CG202" s="7">
        <f t="shared" si="19"/>
        <v>11.400000000000009</v>
      </c>
    </row>
    <row r="203" spans="70:85" x14ac:dyDescent="0.15">
      <c r="BR203" s="34">
        <v>44662</v>
      </c>
      <c r="BS203" s="7">
        <v>1.33</v>
      </c>
      <c r="BT203" s="7">
        <v>2.0870000000000002</v>
      </c>
      <c r="BU203" s="7">
        <f t="shared" ref="BU203:BU256" si="20">(BS203-BT203)*100</f>
        <v>-75.700000000000017</v>
      </c>
      <c r="BV203" s="34">
        <v>44662</v>
      </c>
      <c r="BW203" s="7">
        <v>1.617</v>
      </c>
      <c r="BX203" s="7">
        <v>1.575</v>
      </c>
      <c r="BY203" s="7">
        <f t="shared" si="17"/>
        <v>4.2000000000000037</v>
      </c>
      <c r="BZ203" s="34">
        <v>44662</v>
      </c>
      <c r="CA203" s="7">
        <v>1.617</v>
      </c>
      <c r="CB203" s="7">
        <v>1.9550000000000001</v>
      </c>
      <c r="CC203" s="7">
        <f t="shared" si="18"/>
        <v>-33.800000000000011</v>
      </c>
      <c r="CD203" s="34">
        <v>44662</v>
      </c>
      <c r="CE203" s="7">
        <v>2.1019999999999999</v>
      </c>
      <c r="CF203" s="7">
        <v>1.9830000000000001</v>
      </c>
      <c r="CG203" s="7">
        <f t="shared" si="19"/>
        <v>11.899999999999977</v>
      </c>
    </row>
    <row r="204" spans="70:85" x14ac:dyDescent="0.15">
      <c r="BR204" s="34">
        <v>44659</v>
      </c>
      <c r="BS204" s="7">
        <v>1.3160000000000001</v>
      </c>
      <c r="BT204" s="7">
        <v>1.9890000000000001</v>
      </c>
      <c r="BU204" s="7">
        <f t="shared" si="20"/>
        <v>-67.300000000000011</v>
      </c>
      <c r="BV204" s="34">
        <v>44659</v>
      </c>
      <c r="BW204" s="7">
        <v>1.61</v>
      </c>
      <c r="BX204" s="7">
        <v>1.5680000000000001</v>
      </c>
      <c r="BY204" s="7">
        <f t="shared" ref="BY204:BY256" si="21">(BW204-BX204)*100</f>
        <v>4.2000000000000037</v>
      </c>
      <c r="BZ204" s="34">
        <v>44659</v>
      </c>
      <c r="CA204" s="7">
        <v>1.61</v>
      </c>
      <c r="CB204" s="7">
        <v>1.9359999999999999</v>
      </c>
      <c r="CC204" s="7">
        <f t="shared" ref="CC204:CC256" si="22">(CA204-CB204)*100</f>
        <v>-32.599999999999987</v>
      </c>
      <c r="CD204" s="34">
        <v>44659</v>
      </c>
      <c r="CE204" s="7">
        <v>2.0720000000000001</v>
      </c>
      <c r="CF204" s="7">
        <v>1.9650000000000001</v>
      </c>
      <c r="CG204" s="7">
        <f t="shared" ref="CG204:CG256" si="23">(CE204-CF204)*100</f>
        <v>10.7</v>
      </c>
    </row>
    <row r="205" spans="70:85" x14ac:dyDescent="0.15">
      <c r="BR205" s="34">
        <v>44658</v>
      </c>
      <c r="BS205" s="7">
        <v>1.2949999999999999</v>
      </c>
      <c r="BT205" s="7">
        <v>1.929</v>
      </c>
      <c r="BU205" s="7">
        <f t="shared" si="20"/>
        <v>-63.400000000000013</v>
      </c>
      <c r="BV205" s="34">
        <v>44658</v>
      </c>
      <c r="BW205" s="7">
        <v>1.595</v>
      </c>
      <c r="BX205" s="7">
        <v>1.5529999999999999</v>
      </c>
      <c r="BY205" s="7">
        <f t="shared" si="21"/>
        <v>4.2000000000000037</v>
      </c>
      <c r="BZ205" s="34">
        <v>44658</v>
      </c>
      <c r="CA205" s="7">
        <v>1.595</v>
      </c>
      <c r="CB205" s="7">
        <v>1.911</v>
      </c>
      <c r="CC205" s="7">
        <f t="shared" si="22"/>
        <v>-31.600000000000005</v>
      </c>
      <c r="CD205" s="34">
        <v>44658</v>
      </c>
      <c r="CE205" s="7">
        <v>2.0419999999999998</v>
      </c>
      <c r="CF205" s="7">
        <v>1.94</v>
      </c>
      <c r="CG205" s="7">
        <f t="shared" si="23"/>
        <v>10.199999999999987</v>
      </c>
    </row>
    <row r="206" spans="70:85" x14ac:dyDescent="0.15">
      <c r="BR206" s="34">
        <v>44657</v>
      </c>
      <c r="BS206" s="7">
        <v>1.29</v>
      </c>
      <c r="BT206" s="7">
        <v>1.917</v>
      </c>
      <c r="BU206" s="7">
        <f t="shared" si="20"/>
        <v>-62.7</v>
      </c>
      <c r="BV206" s="34">
        <v>44657</v>
      </c>
      <c r="BW206" s="7">
        <v>1.5920000000000001</v>
      </c>
      <c r="BX206" s="7">
        <v>1.55</v>
      </c>
      <c r="BY206" s="7">
        <f t="shared" si="21"/>
        <v>4.2000000000000037</v>
      </c>
      <c r="BZ206" s="34">
        <v>44657</v>
      </c>
      <c r="CA206" s="7">
        <v>1.5920000000000001</v>
      </c>
      <c r="CB206" s="7">
        <v>1.91</v>
      </c>
      <c r="CC206" s="7">
        <f t="shared" si="22"/>
        <v>-31.799999999999983</v>
      </c>
      <c r="CD206" s="34">
        <v>44657</v>
      </c>
      <c r="CE206" s="7">
        <v>2.032</v>
      </c>
      <c r="CF206" s="7">
        <v>1.9379999999999999</v>
      </c>
      <c r="CG206" s="7">
        <f t="shared" si="23"/>
        <v>9.4000000000000092</v>
      </c>
    </row>
    <row r="207" spans="70:85" x14ac:dyDescent="0.15">
      <c r="BR207" s="34">
        <v>44656</v>
      </c>
      <c r="BS207" s="7">
        <v>1.286</v>
      </c>
      <c r="BT207" s="7">
        <v>1.877</v>
      </c>
      <c r="BU207" s="7">
        <f t="shared" si="20"/>
        <v>-59.099999999999994</v>
      </c>
      <c r="BV207" s="34">
        <v>44656</v>
      </c>
      <c r="BW207" s="7">
        <v>1.589</v>
      </c>
      <c r="BX207" s="7">
        <v>1.546</v>
      </c>
      <c r="BY207" s="7">
        <f t="shared" si="21"/>
        <v>4.2999999999999927</v>
      </c>
      <c r="BZ207" s="34">
        <v>44656</v>
      </c>
      <c r="CA207" s="7">
        <v>1.589</v>
      </c>
      <c r="CB207" s="7">
        <v>1.901</v>
      </c>
      <c r="CC207" s="7">
        <f t="shared" si="22"/>
        <v>-31.200000000000006</v>
      </c>
      <c r="CD207" s="34">
        <v>44656</v>
      </c>
      <c r="CE207" s="7">
        <v>2.0249999999999999</v>
      </c>
      <c r="CF207" s="7">
        <v>1.93</v>
      </c>
      <c r="CG207" s="7">
        <f t="shared" si="23"/>
        <v>9.4999999999999964</v>
      </c>
    </row>
    <row r="208" spans="70:85" x14ac:dyDescent="0.15">
      <c r="BR208" s="34">
        <v>44655</v>
      </c>
      <c r="BS208" s="7">
        <v>1.2849999999999999</v>
      </c>
      <c r="BT208" s="7">
        <v>1.829</v>
      </c>
      <c r="BU208" s="7">
        <f t="shared" si="20"/>
        <v>-54.400000000000006</v>
      </c>
      <c r="BV208" s="34">
        <v>44655</v>
      </c>
      <c r="BW208" s="7">
        <v>1.5940000000000001</v>
      </c>
      <c r="BX208" s="7">
        <v>1.552</v>
      </c>
      <c r="BY208" s="7">
        <f t="shared" si="21"/>
        <v>4.2000000000000037</v>
      </c>
      <c r="BZ208" s="34">
        <v>44655</v>
      </c>
      <c r="CA208" s="7">
        <v>1.5940000000000001</v>
      </c>
      <c r="CB208" s="7">
        <v>1.9</v>
      </c>
      <c r="CC208" s="7">
        <f t="shared" si="22"/>
        <v>-30.599999999999984</v>
      </c>
      <c r="CD208" s="34">
        <v>44655</v>
      </c>
      <c r="CE208" s="7">
        <v>2.02</v>
      </c>
      <c r="CF208" s="7">
        <v>1.9279999999999999</v>
      </c>
      <c r="CG208" s="7">
        <f t="shared" si="23"/>
        <v>9.2000000000000082</v>
      </c>
    </row>
    <row r="209" spans="70:85" x14ac:dyDescent="0.15">
      <c r="BR209" s="34">
        <v>44652</v>
      </c>
      <c r="BS209" s="7">
        <v>1.288</v>
      </c>
      <c r="BT209" s="7">
        <v>1.8029999999999999</v>
      </c>
      <c r="BU209" s="7">
        <f t="shared" si="20"/>
        <v>-51.499999999999993</v>
      </c>
      <c r="BV209" s="34">
        <v>44652</v>
      </c>
      <c r="BW209" s="7">
        <v>1.599</v>
      </c>
      <c r="BX209" s="7">
        <v>1.5569999999999999</v>
      </c>
      <c r="BY209" s="7">
        <f t="shared" si="21"/>
        <v>4.2000000000000037</v>
      </c>
      <c r="BZ209" s="34">
        <v>44652</v>
      </c>
      <c r="CA209" s="7">
        <v>1.599</v>
      </c>
      <c r="CB209" s="7">
        <v>1.895</v>
      </c>
      <c r="CC209" s="7">
        <f t="shared" si="22"/>
        <v>-29.600000000000005</v>
      </c>
      <c r="CD209" s="34">
        <v>44652</v>
      </c>
      <c r="CE209" s="7">
        <v>2.0150000000000001</v>
      </c>
      <c r="CF209" s="7">
        <v>1.923</v>
      </c>
      <c r="CG209" s="7">
        <f t="shared" si="23"/>
        <v>9.2000000000000082</v>
      </c>
    </row>
    <row r="210" spans="70:85" x14ac:dyDescent="0.15">
      <c r="BR210" s="34">
        <v>44651</v>
      </c>
      <c r="BS210" s="7">
        <v>1.288</v>
      </c>
      <c r="BT210" s="7">
        <v>1.7709999999999999</v>
      </c>
      <c r="BU210" s="7">
        <f t="shared" si="20"/>
        <v>-48.29999999999999</v>
      </c>
      <c r="BV210" s="34">
        <v>44651</v>
      </c>
      <c r="BW210" s="7">
        <v>1.603</v>
      </c>
      <c r="BX210" s="7">
        <v>1.56</v>
      </c>
      <c r="BY210" s="7">
        <f t="shared" si="21"/>
        <v>4.2999999999999927</v>
      </c>
      <c r="BZ210" s="34">
        <v>44651</v>
      </c>
      <c r="CA210" s="7">
        <v>1.603</v>
      </c>
      <c r="CB210" s="7">
        <v>1.893</v>
      </c>
      <c r="CC210" s="7">
        <f t="shared" si="22"/>
        <v>-29.000000000000004</v>
      </c>
      <c r="CD210" s="34">
        <v>44651</v>
      </c>
      <c r="CE210" s="7">
        <v>2.0139999999999998</v>
      </c>
      <c r="CF210" s="7">
        <v>1.921</v>
      </c>
      <c r="CG210" s="7">
        <f t="shared" si="23"/>
        <v>9.2999999999999758</v>
      </c>
    </row>
    <row r="211" spans="70:85" x14ac:dyDescent="0.15">
      <c r="BR211" s="34">
        <v>44650</v>
      </c>
      <c r="BS211" s="7">
        <v>1.288</v>
      </c>
      <c r="BT211" s="7">
        <v>1.7609999999999999</v>
      </c>
      <c r="BU211" s="7">
        <f t="shared" si="20"/>
        <v>-47.299999999999983</v>
      </c>
      <c r="BV211" s="34">
        <v>44650</v>
      </c>
      <c r="BW211" s="7">
        <v>1.6080000000000001</v>
      </c>
      <c r="BX211" s="7">
        <v>1.5649999999999999</v>
      </c>
      <c r="BY211" s="7">
        <f t="shared" si="21"/>
        <v>4.3000000000000149</v>
      </c>
      <c r="BZ211" s="34">
        <v>44650</v>
      </c>
      <c r="CA211" s="7">
        <v>1.6080000000000001</v>
      </c>
      <c r="CB211" s="7">
        <v>1.891</v>
      </c>
      <c r="CC211" s="7">
        <f t="shared" si="22"/>
        <v>-28.29999999999999</v>
      </c>
      <c r="CD211" s="34">
        <v>44650</v>
      </c>
      <c r="CE211" s="7">
        <v>2.0099999999999998</v>
      </c>
      <c r="CF211" s="7">
        <v>1.92</v>
      </c>
      <c r="CG211" s="7">
        <f t="shared" si="23"/>
        <v>8.9999999999999858</v>
      </c>
    </row>
    <row r="212" spans="70:85" x14ac:dyDescent="0.15">
      <c r="BR212" s="34">
        <v>44649</v>
      </c>
      <c r="BS212" s="7">
        <v>1.288</v>
      </c>
      <c r="BT212" s="7">
        <v>1.766</v>
      </c>
      <c r="BU212" s="7">
        <f t="shared" si="20"/>
        <v>-47.8</v>
      </c>
      <c r="BV212" s="34">
        <v>44649</v>
      </c>
      <c r="BW212" s="7">
        <v>1.611</v>
      </c>
      <c r="BX212" s="7">
        <v>1.569</v>
      </c>
      <c r="BY212" s="7">
        <f t="shared" si="21"/>
        <v>4.2000000000000037</v>
      </c>
      <c r="BZ212" s="34">
        <v>44649</v>
      </c>
      <c r="CA212" s="7">
        <v>1.611</v>
      </c>
      <c r="CB212" s="7">
        <v>1.89</v>
      </c>
      <c r="CC212" s="7">
        <f t="shared" si="22"/>
        <v>-27.899999999999991</v>
      </c>
      <c r="CD212" s="34">
        <v>44649</v>
      </c>
      <c r="CE212" s="7">
        <v>2.0089999999999999</v>
      </c>
      <c r="CF212" s="7">
        <v>1.9179999999999999</v>
      </c>
      <c r="CG212" s="7">
        <f t="shared" si="23"/>
        <v>9.0999999999999979</v>
      </c>
    </row>
    <row r="213" spans="70:85" x14ac:dyDescent="0.15">
      <c r="BR213" s="34">
        <v>44648</v>
      </c>
      <c r="BS213" s="7">
        <v>1.2829999999999999</v>
      </c>
      <c r="BT213" s="7">
        <v>1.7609999999999999</v>
      </c>
      <c r="BU213" s="7">
        <f t="shared" si="20"/>
        <v>-47.8</v>
      </c>
      <c r="BV213" s="34">
        <v>44648</v>
      </c>
      <c r="BW213" s="7">
        <v>1.6060000000000001</v>
      </c>
      <c r="BX213" s="7">
        <v>1.5640000000000001</v>
      </c>
      <c r="BY213" s="7">
        <f t="shared" si="21"/>
        <v>4.2000000000000037</v>
      </c>
      <c r="BZ213" s="34">
        <v>44648</v>
      </c>
      <c r="CA213" s="7">
        <v>1.6060000000000001</v>
      </c>
      <c r="CB213" s="7">
        <v>1.885</v>
      </c>
      <c r="CC213" s="7">
        <f t="shared" si="22"/>
        <v>-27.899999999999991</v>
      </c>
      <c r="CD213" s="34">
        <v>44648</v>
      </c>
      <c r="CE213" s="7">
        <v>1.998</v>
      </c>
      <c r="CF213" s="7">
        <v>1.913</v>
      </c>
      <c r="CG213" s="7">
        <f t="shared" si="23"/>
        <v>8.4999999999999964</v>
      </c>
    </row>
    <row r="214" spans="70:85" x14ac:dyDescent="0.15">
      <c r="BR214" s="34">
        <v>44645</v>
      </c>
      <c r="BS214" s="7">
        <v>1.2609999999999999</v>
      </c>
      <c r="BT214" s="7">
        <v>1.633</v>
      </c>
      <c r="BU214" s="7">
        <f t="shared" si="20"/>
        <v>-37.20000000000001</v>
      </c>
      <c r="BV214" s="34">
        <v>44645</v>
      </c>
      <c r="BW214" s="7">
        <v>1.581</v>
      </c>
      <c r="BX214" s="7">
        <v>1.5389999999999999</v>
      </c>
      <c r="BY214" s="7">
        <f t="shared" si="21"/>
        <v>4.2000000000000037</v>
      </c>
      <c r="BZ214" s="34">
        <v>44645</v>
      </c>
      <c r="CA214" s="7">
        <v>1.581</v>
      </c>
      <c r="CB214" s="7">
        <v>1.86</v>
      </c>
      <c r="CC214" s="7">
        <f t="shared" si="22"/>
        <v>-27.900000000000013</v>
      </c>
      <c r="CD214" s="34">
        <v>44645</v>
      </c>
      <c r="CE214" s="7">
        <v>1.944</v>
      </c>
      <c r="CF214" s="7">
        <v>1.8879999999999999</v>
      </c>
      <c r="CG214" s="7">
        <f t="shared" si="23"/>
        <v>5.600000000000005</v>
      </c>
    </row>
    <row r="215" spans="70:85" x14ac:dyDescent="0.15">
      <c r="BR215" s="34">
        <v>44644</v>
      </c>
      <c r="BS215" s="7">
        <v>1.2230000000000001</v>
      </c>
      <c r="BT215" s="7">
        <v>1.603</v>
      </c>
      <c r="BU215" s="7">
        <f t="shared" si="20"/>
        <v>-37.999999999999986</v>
      </c>
      <c r="BV215" s="34">
        <v>44644</v>
      </c>
      <c r="BW215" s="7">
        <v>1.546</v>
      </c>
      <c r="BX215" s="7">
        <v>1.504</v>
      </c>
      <c r="BY215" s="7">
        <f t="shared" si="21"/>
        <v>4.2000000000000037</v>
      </c>
      <c r="BZ215" s="34">
        <v>44644</v>
      </c>
      <c r="CA215" s="7">
        <v>1.546</v>
      </c>
      <c r="CB215" s="7">
        <v>1.8260000000000001</v>
      </c>
      <c r="CC215" s="7">
        <f t="shared" si="22"/>
        <v>-28.000000000000004</v>
      </c>
      <c r="CD215" s="34">
        <v>44644</v>
      </c>
      <c r="CE215" s="7">
        <v>1.907</v>
      </c>
      <c r="CF215" s="7">
        <v>1.855</v>
      </c>
      <c r="CG215" s="7">
        <f t="shared" si="23"/>
        <v>5.2000000000000046</v>
      </c>
    </row>
    <row r="216" spans="70:85" x14ac:dyDescent="0.15">
      <c r="BR216" s="34">
        <v>44643</v>
      </c>
      <c r="BS216" s="7">
        <v>1.206</v>
      </c>
      <c r="BT216" s="7">
        <v>1.575</v>
      </c>
      <c r="BU216" s="7">
        <f t="shared" si="20"/>
        <v>-36.9</v>
      </c>
      <c r="BV216" s="34">
        <v>44643</v>
      </c>
      <c r="BW216" s="7">
        <v>1.5289999999999999</v>
      </c>
      <c r="BX216" s="7">
        <v>1.4870000000000001</v>
      </c>
      <c r="BY216" s="7">
        <f t="shared" si="21"/>
        <v>4.1999999999999815</v>
      </c>
      <c r="BZ216" s="34">
        <v>44643</v>
      </c>
      <c r="CA216" s="7">
        <v>1.5289999999999999</v>
      </c>
      <c r="CB216" s="7">
        <v>1.8129999999999999</v>
      </c>
      <c r="CC216" s="7">
        <f t="shared" si="22"/>
        <v>-28.400000000000002</v>
      </c>
      <c r="CD216" s="34">
        <v>44643</v>
      </c>
      <c r="CE216" s="7">
        <v>1.885</v>
      </c>
      <c r="CF216" s="7">
        <v>1.841</v>
      </c>
      <c r="CG216" s="7">
        <f t="shared" si="23"/>
        <v>4.4000000000000039</v>
      </c>
    </row>
    <row r="217" spans="70:85" x14ac:dyDescent="0.15">
      <c r="BR217" s="34">
        <v>44642</v>
      </c>
      <c r="BS217" s="7">
        <v>1.2010000000000001</v>
      </c>
      <c r="BT217" s="7">
        <v>1.5409999999999999</v>
      </c>
      <c r="BU217" s="7">
        <f t="shared" si="20"/>
        <v>-33.999999999999986</v>
      </c>
      <c r="BV217" s="34">
        <v>44642</v>
      </c>
      <c r="BW217" s="7">
        <v>1.5209999999999999</v>
      </c>
      <c r="BX217" s="7">
        <v>1.4790000000000001</v>
      </c>
      <c r="BY217" s="7">
        <f t="shared" si="21"/>
        <v>4.1999999999999815</v>
      </c>
      <c r="BZ217" s="34">
        <v>44642</v>
      </c>
      <c r="CA217" s="7">
        <v>1.5209999999999999</v>
      </c>
      <c r="CB217" s="7">
        <v>1.8080000000000001</v>
      </c>
      <c r="CC217" s="7">
        <f t="shared" si="22"/>
        <v>-28.700000000000014</v>
      </c>
      <c r="CD217" s="34">
        <v>44642</v>
      </c>
      <c r="CE217" s="7">
        <v>1.875</v>
      </c>
      <c r="CF217" s="7">
        <v>1.8360000000000001</v>
      </c>
      <c r="CG217" s="7">
        <f t="shared" si="23"/>
        <v>3.8999999999999924</v>
      </c>
    </row>
    <row r="218" spans="70:85" x14ac:dyDescent="0.15">
      <c r="BR218" s="34">
        <v>44641</v>
      </c>
      <c r="BS218" s="7">
        <v>1.19</v>
      </c>
      <c r="BT218" s="7">
        <v>1.5109999999999999</v>
      </c>
      <c r="BU218" s="7">
        <f t="shared" si="20"/>
        <v>-32.099999999999994</v>
      </c>
      <c r="BV218" s="34">
        <v>44641</v>
      </c>
      <c r="BW218" s="7">
        <v>1.508</v>
      </c>
      <c r="BX218" s="7">
        <v>1.4650000000000001</v>
      </c>
      <c r="BY218" s="7">
        <f t="shared" si="21"/>
        <v>4.2999999999999927</v>
      </c>
      <c r="BZ218" s="34">
        <v>44641</v>
      </c>
      <c r="CA218" s="7">
        <v>1.508</v>
      </c>
      <c r="CB218" s="7">
        <v>1.796</v>
      </c>
      <c r="CC218" s="7">
        <f t="shared" si="22"/>
        <v>-28.800000000000004</v>
      </c>
      <c r="CD218" s="34">
        <v>44641</v>
      </c>
      <c r="CE218" s="7">
        <v>1.857</v>
      </c>
      <c r="CF218" s="7">
        <v>1.825</v>
      </c>
      <c r="CG218" s="7">
        <f t="shared" si="23"/>
        <v>3.2000000000000028</v>
      </c>
    </row>
    <row r="219" spans="70:85" x14ac:dyDescent="0.15">
      <c r="BR219" s="34">
        <v>44638</v>
      </c>
      <c r="BS219" s="7">
        <v>1.18</v>
      </c>
      <c r="BT219" s="7">
        <v>1.5109999999999999</v>
      </c>
      <c r="BU219" s="7">
        <f t="shared" si="20"/>
        <v>-33.099999999999994</v>
      </c>
      <c r="BV219" s="34">
        <v>44638</v>
      </c>
      <c r="BW219" s="7">
        <v>1.498</v>
      </c>
      <c r="BX219" s="7">
        <v>1.4550000000000001</v>
      </c>
      <c r="BY219" s="7">
        <f t="shared" si="21"/>
        <v>4.2999999999999927</v>
      </c>
      <c r="BZ219" s="34">
        <v>44638</v>
      </c>
      <c r="CA219" s="7">
        <v>1.498</v>
      </c>
      <c r="CB219" s="7">
        <v>1.79</v>
      </c>
      <c r="CC219" s="7">
        <f t="shared" si="22"/>
        <v>-29.200000000000003</v>
      </c>
      <c r="CD219" s="34">
        <v>44638</v>
      </c>
      <c r="CE219" s="7">
        <v>1.841</v>
      </c>
      <c r="CF219" s="7">
        <v>1.8180000000000001</v>
      </c>
      <c r="CG219" s="7">
        <f t="shared" si="23"/>
        <v>2.2999999999999909</v>
      </c>
    </row>
    <row r="220" spans="70:85" x14ac:dyDescent="0.15">
      <c r="BR220" s="34">
        <v>44637</v>
      </c>
      <c r="BS220" s="7">
        <v>1.1759999999999999</v>
      </c>
      <c r="BT220" s="7">
        <v>1.496</v>
      </c>
      <c r="BU220" s="7">
        <f t="shared" si="20"/>
        <v>-32.000000000000007</v>
      </c>
      <c r="BV220" s="34">
        <v>44637</v>
      </c>
      <c r="BW220" s="7">
        <v>1.4910000000000001</v>
      </c>
      <c r="BX220" s="7">
        <v>1.4490000000000001</v>
      </c>
      <c r="BY220" s="7">
        <f t="shared" si="21"/>
        <v>4.2000000000000037</v>
      </c>
      <c r="BZ220" s="34">
        <v>44637</v>
      </c>
      <c r="CA220" s="7">
        <v>1.4910000000000001</v>
      </c>
      <c r="CB220" s="7">
        <v>1.7829999999999999</v>
      </c>
      <c r="CC220" s="7">
        <f t="shared" si="22"/>
        <v>-29.199999999999982</v>
      </c>
      <c r="CD220" s="34">
        <v>44637</v>
      </c>
      <c r="CE220" s="7">
        <v>1.833</v>
      </c>
      <c r="CF220" s="7">
        <v>1.8109999999999999</v>
      </c>
      <c r="CG220" s="7">
        <f t="shared" si="23"/>
        <v>2.200000000000002</v>
      </c>
    </row>
    <row r="221" spans="70:85" x14ac:dyDescent="0.15">
      <c r="BR221" s="34">
        <v>44636</v>
      </c>
      <c r="BS221" s="7">
        <v>1.171</v>
      </c>
      <c r="BT221" s="7">
        <v>1.5009999999999999</v>
      </c>
      <c r="BU221" s="7">
        <f t="shared" si="20"/>
        <v>-32.999999999999986</v>
      </c>
      <c r="BV221" s="34">
        <v>44636</v>
      </c>
      <c r="BW221" s="7">
        <v>1.4830000000000001</v>
      </c>
      <c r="BX221" s="7">
        <v>1.44</v>
      </c>
      <c r="BY221" s="7">
        <f t="shared" si="21"/>
        <v>4.3000000000000149</v>
      </c>
      <c r="BZ221" s="34">
        <v>44636</v>
      </c>
      <c r="CA221" s="7">
        <v>1.4830000000000001</v>
      </c>
      <c r="CB221" s="7">
        <v>1.778</v>
      </c>
      <c r="CC221" s="7">
        <f t="shared" si="22"/>
        <v>-29.499999999999993</v>
      </c>
      <c r="CD221" s="34">
        <v>44636</v>
      </c>
      <c r="CE221" s="7">
        <v>1.8320000000000001</v>
      </c>
      <c r="CF221" s="7">
        <v>1.806</v>
      </c>
      <c r="CG221" s="7">
        <f t="shared" si="23"/>
        <v>2.6000000000000023</v>
      </c>
    </row>
    <row r="222" spans="70:85" x14ac:dyDescent="0.15">
      <c r="BR222" s="34">
        <v>44635</v>
      </c>
      <c r="BS222" s="7">
        <v>1.173</v>
      </c>
      <c r="BT222" s="7">
        <v>1.5009999999999999</v>
      </c>
      <c r="BU222" s="7">
        <f t="shared" si="20"/>
        <v>-32.799999999999983</v>
      </c>
      <c r="BV222" s="34">
        <v>44635</v>
      </c>
      <c r="BW222" s="7">
        <v>1.4830000000000001</v>
      </c>
      <c r="BX222" s="7">
        <v>1.44</v>
      </c>
      <c r="BY222" s="7">
        <f t="shared" si="21"/>
        <v>4.3000000000000149</v>
      </c>
      <c r="BZ222" s="34">
        <v>44635</v>
      </c>
      <c r="CA222" s="7">
        <v>1.4830000000000001</v>
      </c>
      <c r="CB222" s="7">
        <v>1.7809999999999999</v>
      </c>
      <c r="CC222" s="7">
        <f t="shared" si="22"/>
        <v>-29.799999999999983</v>
      </c>
      <c r="CD222" s="34">
        <v>44635</v>
      </c>
      <c r="CE222" s="7">
        <v>1.83</v>
      </c>
      <c r="CF222" s="7">
        <v>1.81</v>
      </c>
      <c r="CG222" s="7">
        <f t="shared" si="23"/>
        <v>2.0000000000000018</v>
      </c>
    </row>
    <row r="223" spans="70:85" x14ac:dyDescent="0.15">
      <c r="BR223" s="34">
        <v>44634</v>
      </c>
      <c r="BS223" s="7">
        <v>1.18</v>
      </c>
      <c r="BT223" s="7">
        <v>1.5029999999999999</v>
      </c>
      <c r="BU223" s="7">
        <f t="shared" si="20"/>
        <v>-32.299999999999997</v>
      </c>
      <c r="BV223" s="34">
        <v>44634</v>
      </c>
      <c r="BW223" s="7">
        <v>1.4830000000000001</v>
      </c>
      <c r="BX223" s="7">
        <v>1.4410000000000001</v>
      </c>
      <c r="BY223" s="7">
        <f t="shared" si="21"/>
        <v>4.2000000000000037</v>
      </c>
      <c r="BZ223" s="34">
        <v>44634</v>
      </c>
      <c r="CA223" s="7">
        <v>1.4830000000000001</v>
      </c>
      <c r="CB223" s="7">
        <v>1.7849999999999999</v>
      </c>
      <c r="CC223" s="7">
        <f t="shared" si="22"/>
        <v>-30.199999999999982</v>
      </c>
      <c r="CD223" s="34">
        <v>44634</v>
      </c>
      <c r="CE223" s="7">
        <v>1.835</v>
      </c>
      <c r="CF223" s="7">
        <v>1.8129999999999999</v>
      </c>
      <c r="CG223" s="7">
        <f t="shared" si="23"/>
        <v>2.200000000000002</v>
      </c>
    </row>
    <row r="224" spans="70:85" x14ac:dyDescent="0.15">
      <c r="BR224" s="34">
        <v>44631</v>
      </c>
      <c r="BS224" s="7">
        <v>1.1850000000000001</v>
      </c>
      <c r="BT224" s="7">
        <v>1.508</v>
      </c>
      <c r="BU224" s="7">
        <f t="shared" si="20"/>
        <v>-32.299999999999997</v>
      </c>
      <c r="BV224" s="34">
        <v>44631</v>
      </c>
      <c r="BW224" s="7">
        <v>1.4790000000000001</v>
      </c>
      <c r="BX224" s="7">
        <v>1.4370000000000001</v>
      </c>
      <c r="BY224" s="7">
        <f t="shared" si="21"/>
        <v>4.2000000000000037</v>
      </c>
      <c r="BZ224" s="34">
        <v>44631</v>
      </c>
      <c r="CA224" s="7">
        <v>1.4790000000000001</v>
      </c>
      <c r="CB224" s="7">
        <v>1.7829999999999999</v>
      </c>
      <c r="CC224" s="7">
        <f t="shared" si="22"/>
        <v>-30.399999999999984</v>
      </c>
      <c r="CD224" s="34">
        <v>44631</v>
      </c>
      <c r="CE224" s="7">
        <v>1.83</v>
      </c>
      <c r="CF224" s="7">
        <v>1.8109999999999999</v>
      </c>
      <c r="CG224" s="7">
        <f t="shared" si="23"/>
        <v>1.9000000000000128</v>
      </c>
    </row>
    <row r="225" spans="70:85" x14ac:dyDescent="0.15">
      <c r="BR225" s="34">
        <v>44630</v>
      </c>
      <c r="BS225" s="7">
        <v>1.1930000000000001</v>
      </c>
      <c r="BT225" s="7">
        <v>1.51</v>
      </c>
      <c r="BU225" s="7">
        <f t="shared" si="20"/>
        <v>-31.699999999999996</v>
      </c>
      <c r="BV225" s="34">
        <v>44630</v>
      </c>
      <c r="BW225" s="7">
        <v>1.484</v>
      </c>
      <c r="BX225" s="7">
        <v>1.4419999999999999</v>
      </c>
      <c r="BY225" s="7">
        <f t="shared" si="21"/>
        <v>4.2000000000000037</v>
      </c>
      <c r="BZ225" s="34">
        <v>44630</v>
      </c>
      <c r="CA225" s="7">
        <v>1.484</v>
      </c>
      <c r="CB225" s="7">
        <v>1.788</v>
      </c>
      <c r="CC225" s="7">
        <f t="shared" si="22"/>
        <v>-30.400000000000006</v>
      </c>
      <c r="CD225" s="34">
        <v>44630</v>
      </c>
      <c r="CE225" s="7">
        <v>1.839</v>
      </c>
      <c r="CF225" s="7">
        <v>1.8160000000000001</v>
      </c>
      <c r="CG225" s="7">
        <f t="shared" si="23"/>
        <v>2.2999999999999909</v>
      </c>
    </row>
    <row r="226" spans="70:85" x14ac:dyDescent="0.15">
      <c r="BR226" s="34">
        <v>44628</v>
      </c>
      <c r="BS226" s="7">
        <v>1.1930000000000001</v>
      </c>
      <c r="BT226" s="7">
        <v>1.4830000000000001</v>
      </c>
      <c r="BU226" s="7">
        <f t="shared" si="20"/>
        <v>-29.000000000000004</v>
      </c>
      <c r="BV226" s="34">
        <v>44628</v>
      </c>
      <c r="BW226" s="7">
        <v>1.484</v>
      </c>
      <c r="BX226" s="7">
        <v>1.4419999999999999</v>
      </c>
      <c r="BY226" s="7">
        <f t="shared" si="21"/>
        <v>4.2000000000000037</v>
      </c>
      <c r="BZ226" s="34">
        <v>44628</v>
      </c>
      <c r="CA226" s="7">
        <v>1.484</v>
      </c>
      <c r="CB226" s="7">
        <v>1.786</v>
      </c>
      <c r="CC226" s="7">
        <f t="shared" si="22"/>
        <v>-30.200000000000003</v>
      </c>
      <c r="CD226" s="34">
        <v>44628</v>
      </c>
      <c r="CE226" s="7">
        <v>1.8360000000000001</v>
      </c>
      <c r="CF226" s="7">
        <v>1.8149999999999999</v>
      </c>
      <c r="CG226" s="7">
        <f t="shared" si="23"/>
        <v>2.100000000000013</v>
      </c>
    </row>
    <row r="227" spans="70:85" x14ac:dyDescent="0.15">
      <c r="BR227" s="34">
        <v>44627</v>
      </c>
      <c r="BS227" s="7">
        <v>1.1930000000000001</v>
      </c>
      <c r="BT227" s="7">
        <v>1.4950000000000001</v>
      </c>
      <c r="BU227" s="7">
        <f t="shared" si="20"/>
        <v>-30.200000000000003</v>
      </c>
      <c r="BV227" s="34">
        <v>44627</v>
      </c>
      <c r="BW227" s="7">
        <v>1.482</v>
      </c>
      <c r="BX227" s="7">
        <v>1.44</v>
      </c>
      <c r="BY227" s="7">
        <f t="shared" si="21"/>
        <v>4.2000000000000037</v>
      </c>
      <c r="BZ227" s="34">
        <v>44627</v>
      </c>
      <c r="CA227" s="7">
        <v>1.482</v>
      </c>
      <c r="CB227" s="7">
        <v>1.7849999999999999</v>
      </c>
      <c r="CC227" s="7">
        <f t="shared" si="22"/>
        <v>-30.299999999999994</v>
      </c>
      <c r="CD227" s="34">
        <v>44627</v>
      </c>
      <c r="CE227" s="7">
        <v>1.8380000000000001</v>
      </c>
      <c r="CF227" s="7">
        <v>1.8129999999999999</v>
      </c>
      <c r="CG227" s="7">
        <f t="shared" si="23"/>
        <v>2.5000000000000133</v>
      </c>
    </row>
    <row r="228" spans="70:85" x14ac:dyDescent="0.15">
      <c r="BR228" s="34">
        <v>44624</v>
      </c>
      <c r="BS228" s="7">
        <v>1.1930000000000001</v>
      </c>
      <c r="BT228" s="7">
        <v>1.488</v>
      </c>
      <c r="BU228" s="7">
        <f t="shared" si="20"/>
        <v>-29.499999999999993</v>
      </c>
      <c r="BV228" s="34">
        <v>44624</v>
      </c>
      <c r="BW228" s="7">
        <v>1.4810000000000001</v>
      </c>
      <c r="BX228" s="7">
        <v>1.4379999999999999</v>
      </c>
      <c r="BY228" s="7">
        <f t="shared" si="21"/>
        <v>4.3000000000000149</v>
      </c>
      <c r="BZ228" s="34">
        <v>44624</v>
      </c>
      <c r="CA228" s="7">
        <v>1.4810000000000001</v>
      </c>
      <c r="CB228" s="7">
        <v>1.7849999999999999</v>
      </c>
      <c r="CC228" s="7">
        <f t="shared" si="22"/>
        <v>-30.399999999999984</v>
      </c>
      <c r="CD228" s="34">
        <v>44624</v>
      </c>
      <c r="CE228" s="7">
        <v>1.843</v>
      </c>
      <c r="CF228" s="7">
        <v>1.8129999999999999</v>
      </c>
      <c r="CG228" s="7">
        <f t="shared" si="23"/>
        <v>3.0000000000000027</v>
      </c>
    </row>
    <row r="229" spans="70:85" x14ac:dyDescent="0.15">
      <c r="BR229" s="34">
        <v>44623</v>
      </c>
      <c r="BS229" s="7">
        <v>1.1930000000000001</v>
      </c>
      <c r="BT229" s="7">
        <v>1.498</v>
      </c>
      <c r="BU229" s="7">
        <f t="shared" si="20"/>
        <v>-30.499999999999993</v>
      </c>
      <c r="BV229" s="34">
        <v>44623</v>
      </c>
      <c r="BW229" s="7">
        <v>1.4810000000000001</v>
      </c>
      <c r="BX229" s="7">
        <v>1.4379999999999999</v>
      </c>
      <c r="BY229" s="7">
        <f t="shared" si="21"/>
        <v>4.3000000000000149</v>
      </c>
      <c r="BZ229" s="34">
        <v>44623</v>
      </c>
      <c r="CA229" s="7">
        <v>1.4810000000000001</v>
      </c>
      <c r="CB229" s="7">
        <v>1.7849999999999999</v>
      </c>
      <c r="CC229" s="7">
        <f t="shared" si="22"/>
        <v>-30.399999999999984</v>
      </c>
      <c r="CD229" s="34">
        <v>44623</v>
      </c>
      <c r="CE229" s="7">
        <v>1.847</v>
      </c>
      <c r="CF229" s="7">
        <v>1.8129999999999999</v>
      </c>
      <c r="CG229" s="7">
        <f t="shared" si="23"/>
        <v>3.400000000000003</v>
      </c>
    </row>
    <row r="230" spans="70:85" x14ac:dyDescent="0.15">
      <c r="BR230" s="34">
        <v>44622</v>
      </c>
      <c r="BS230" s="7">
        <v>1.198</v>
      </c>
      <c r="BT230" s="7">
        <v>1.498</v>
      </c>
      <c r="BU230" s="7">
        <f t="shared" si="20"/>
        <v>-30.000000000000004</v>
      </c>
      <c r="BV230" s="34">
        <v>44622</v>
      </c>
      <c r="BW230" s="7">
        <v>1.482</v>
      </c>
      <c r="BX230" s="7">
        <v>1.44</v>
      </c>
      <c r="BY230" s="7">
        <f t="shared" si="21"/>
        <v>4.2000000000000037</v>
      </c>
      <c r="BZ230" s="34">
        <v>44622</v>
      </c>
      <c r="CA230" s="7">
        <v>1.482</v>
      </c>
      <c r="CB230" s="7">
        <v>1.7929999999999999</v>
      </c>
      <c r="CC230" s="7">
        <f t="shared" si="22"/>
        <v>-31.099999999999994</v>
      </c>
      <c r="CD230" s="34">
        <v>44622</v>
      </c>
      <c r="CE230" s="7">
        <v>1.855</v>
      </c>
      <c r="CF230" s="7">
        <v>1.821</v>
      </c>
      <c r="CG230" s="7">
        <f t="shared" si="23"/>
        <v>3.400000000000003</v>
      </c>
    </row>
    <row r="231" spans="70:85" x14ac:dyDescent="0.15">
      <c r="BR231" s="34">
        <v>44620</v>
      </c>
      <c r="BS231" s="7">
        <v>1.2</v>
      </c>
      <c r="BT231" s="7">
        <v>1.5149999999999999</v>
      </c>
      <c r="BU231" s="7">
        <f t="shared" si="20"/>
        <v>-31.499999999999993</v>
      </c>
      <c r="BV231" s="34">
        <v>44620</v>
      </c>
      <c r="BW231" s="7">
        <v>1.484</v>
      </c>
      <c r="BX231" s="7">
        <v>1.4419999999999999</v>
      </c>
      <c r="BY231" s="7">
        <f t="shared" si="21"/>
        <v>4.2000000000000037</v>
      </c>
      <c r="BZ231" s="34">
        <v>44620</v>
      </c>
      <c r="CA231" s="7">
        <v>1.484</v>
      </c>
      <c r="CB231" s="7">
        <v>1.796</v>
      </c>
      <c r="CC231" s="7">
        <f t="shared" si="22"/>
        <v>-31.200000000000006</v>
      </c>
      <c r="CD231" s="34">
        <v>44620</v>
      </c>
      <c r="CE231" s="7">
        <v>1.863</v>
      </c>
      <c r="CF231" s="7">
        <v>1.825</v>
      </c>
      <c r="CG231" s="7">
        <f t="shared" si="23"/>
        <v>3.8000000000000034</v>
      </c>
    </row>
    <row r="232" spans="70:85" x14ac:dyDescent="0.15">
      <c r="BR232" s="34">
        <v>44617</v>
      </c>
      <c r="BS232" s="7">
        <v>1.2030000000000001</v>
      </c>
      <c r="BT232" s="7">
        <v>1.5149999999999999</v>
      </c>
      <c r="BU232" s="7">
        <f t="shared" si="20"/>
        <v>-31.199999999999982</v>
      </c>
      <c r="BV232" s="34">
        <v>44617</v>
      </c>
      <c r="BW232" s="7">
        <v>1.486</v>
      </c>
      <c r="BX232" s="7">
        <v>1.4430000000000001</v>
      </c>
      <c r="BY232" s="7">
        <f t="shared" si="21"/>
        <v>4.2999999999999927</v>
      </c>
      <c r="BZ232" s="34">
        <v>44617</v>
      </c>
      <c r="CA232" s="7">
        <v>1.486</v>
      </c>
      <c r="CB232" s="7">
        <v>1.8009999999999999</v>
      </c>
      <c r="CC232" s="7">
        <f t="shared" si="22"/>
        <v>-31.499999999999993</v>
      </c>
      <c r="CD232" s="34">
        <v>44617</v>
      </c>
      <c r="CE232" s="7">
        <v>1.869</v>
      </c>
      <c r="CF232" s="7">
        <v>1.83</v>
      </c>
      <c r="CG232" s="7">
        <f t="shared" si="23"/>
        <v>3.8999999999999924</v>
      </c>
    </row>
    <row r="233" spans="70:85" x14ac:dyDescent="0.15">
      <c r="BR233" s="34">
        <v>44616</v>
      </c>
      <c r="BS233" s="7">
        <v>1.2030000000000001</v>
      </c>
      <c r="BT233" s="7">
        <v>1.51</v>
      </c>
      <c r="BU233" s="7">
        <f t="shared" si="20"/>
        <v>-30.699999999999996</v>
      </c>
      <c r="BV233" s="34">
        <v>44616</v>
      </c>
      <c r="BW233" s="7">
        <v>1.484</v>
      </c>
      <c r="BX233" s="7">
        <v>1.4419999999999999</v>
      </c>
      <c r="BY233" s="7">
        <f t="shared" si="21"/>
        <v>4.2000000000000037</v>
      </c>
      <c r="BZ233" s="34">
        <v>44616</v>
      </c>
      <c r="CA233" s="7">
        <v>1.484</v>
      </c>
      <c r="CB233" s="7">
        <v>1.8009999999999999</v>
      </c>
      <c r="CC233" s="7">
        <f t="shared" si="22"/>
        <v>-31.699999999999996</v>
      </c>
      <c r="CD233" s="34">
        <v>44616</v>
      </c>
      <c r="CE233" s="7">
        <v>1.873</v>
      </c>
      <c r="CF233" s="7">
        <v>1.83</v>
      </c>
      <c r="CG233" s="7">
        <f t="shared" si="23"/>
        <v>4.2999999999999927</v>
      </c>
    </row>
    <row r="234" spans="70:85" x14ac:dyDescent="0.15">
      <c r="BR234" s="34">
        <v>44615</v>
      </c>
      <c r="BS234" s="7">
        <v>1.206</v>
      </c>
      <c r="BT234" s="7">
        <v>1.5509999999999999</v>
      </c>
      <c r="BU234" s="7">
        <f t="shared" si="20"/>
        <v>-34.5</v>
      </c>
      <c r="BV234" s="34">
        <v>44615</v>
      </c>
      <c r="BW234" s="7">
        <v>1.486</v>
      </c>
      <c r="BX234" s="7">
        <v>1.4430000000000001</v>
      </c>
      <c r="BY234" s="7">
        <f t="shared" si="21"/>
        <v>4.2999999999999927</v>
      </c>
      <c r="BZ234" s="34">
        <v>44615</v>
      </c>
      <c r="CA234" s="7">
        <v>1.486</v>
      </c>
      <c r="CB234" s="7">
        <v>1.8029999999999999</v>
      </c>
      <c r="CC234" s="7">
        <f t="shared" si="22"/>
        <v>-31.699999999999996</v>
      </c>
      <c r="CD234" s="34">
        <v>44615</v>
      </c>
      <c r="CE234" s="7">
        <v>1.883</v>
      </c>
      <c r="CF234" s="7">
        <v>1.831</v>
      </c>
      <c r="CG234" s="7">
        <f t="shared" si="23"/>
        <v>5.2000000000000046</v>
      </c>
    </row>
    <row r="235" spans="70:85" x14ac:dyDescent="0.15">
      <c r="BR235" s="34">
        <v>44614</v>
      </c>
      <c r="BS235" s="7">
        <v>1.2030000000000001</v>
      </c>
      <c r="BT235" s="7">
        <v>1.5429999999999999</v>
      </c>
      <c r="BU235" s="7">
        <f t="shared" si="20"/>
        <v>-33.999999999999986</v>
      </c>
      <c r="BV235" s="34">
        <v>44614</v>
      </c>
      <c r="BW235" s="7">
        <v>1.484</v>
      </c>
      <c r="BX235" s="7">
        <v>1.4419999999999999</v>
      </c>
      <c r="BY235" s="7">
        <f t="shared" si="21"/>
        <v>4.2000000000000037</v>
      </c>
      <c r="BZ235" s="34">
        <v>44614</v>
      </c>
      <c r="CA235" s="7">
        <v>1.484</v>
      </c>
      <c r="CB235" s="7">
        <v>1.796</v>
      </c>
      <c r="CC235" s="7">
        <f t="shared" si="22"/>
        <v>-31.200000000000006</v>
      </c>
      <c r="CD235" s="34">
        <v>44614</v>
      </c>
      <c r="CE235" s="7">
        <v>1.887</v>
      </c>
      <c r="CF235" s="7">
        <v>1.825</v>
      </c>
      <c r="CG235" s="7">
        <f t="shared" si="23"/>
        <v>6.2000000000000055</v>
      </c>
    </row>
    <row r="236" spans="70:85" x14ac:dyDescent="0.15">
      <c r="BR236" s="34">
        <v>44613</v>
      </c>
      <c r="BS236" s="7">
        <v>1.2050000000000001</v>
      </c>
      <c r="BT236" s="7">
        <v>1.5449999999999999</v>
      </c>
      <c r="BU236" s="7">
        <f t="shared" si="20"/>
        <v>-33.999999999999986</v>
      </c>
      <c r="BV236" s="34">
        <v>44613</v>
      </c>
      <c r="BW236" s="7">
        <v>1.484</v>
      </c>
      <c r="BX236" s="7">
        <v>1.4419999999999999</v>
      </c>
      <c r="BY236" s="7">
        <f t="shared" si="21"/>
        <v>4.2000000000000037</v>
      </c>
      <c r="BZ236" s="34">
        <v>44613</v>
      </c>
      <c r="CA236" s="7">
        <v>1.484</v>
      </c>
      <c r="CB236" s="7">
        <v>1.8</v>
      </c>
      <c r="CC236" s="7">
        <f t="shared" si="22"/>
        <v>-31.600000000000005</v>
      </c>
      <c r="CD236" s="34">
        <v>44613</v>
      </c>
      <c r="CE236" s="7">
        <v>1.893</v>
      </c>
      <c r="CF236" s="7">
        <v>1.829</v>
      </c>
      <c r="CG236" s="7">
        <f t="shared" si="23"/>
        <v>6.4000000000000057</v>
      </c>
    </row>
    <row r="237" spans="70:85" x14ac:dyDescent="0.15">
      <c r="BR237" s="34">
        <v>44610</v>
      </c>
      <c r="BS237" s="7">
        <v>1.2110000000000001</v>
      </c>
      <c r="BT237" s="7">
        <v>1.5429999999999999</v>
      </c>
      <c r="BU237" s="7">
        <f t="shared" si="20"/>
        <v>-33.199999999999989</v>
      </c>
      <c r="BV237" s="34">
        <v>44610</v>
      </c>
      <c r="BW237" s="7">
        <v>1.4890000000000001</v>
      </c>
      <c r="BX237" s="7">
        <v>1.4470000000000001</v>
      </c>
      <c r="BY237" s="7">
        <f t="shared" si="21"/>
        <v>4.2000000000000037</v>
      </c>
      <c r="BZ237" s="34">
        <v>44610</v>
      </c>
      <c r="CA237" s="7">
        <v>1.4890000000000001</v>
      </c>
      <c r="CB237" s="7">
        <v>1.8089999999999999</v>
      </c>
      <c r="CC237" s="7">
        <f t="shared" si="22"/>
        <v>-31.999999999999986</v>
      </c>
      <c r="CD237" s="34">
        <v>44610</v>
      </c>
      <c r="CE237" s="7">
        <v>1.8979999999999999</v>
      </c>
      <c r="CF237" s="7">
        <v>1.837</v>
      </c>
      <c r="CG237" s="7">
        <f t="shared" si="23"/>
        <v>6.0999999999999943</v>
      </c>
    </row>
    <row r="238" spans="70:85" x14ac:dyDescent="0.15">
      <c r="BR238" s="34">
        <v>44609</v>
      </c>
      <c r="BS238" s="7">
        <v>1.2110000000000001</v>
      </c>
      <c r="BT238" s="7">
        <v>1.5429999999999999</v>
      </c>
      <c r="BU238" s="7">
        <f t="shared" si="20"/>
        <v>-33.199999999999989</v>
      </c>
      <c r="BV238" s="34">
        <v>44609</v>
      </c>
      <c r="BW238" s="7">
        <v>1.4890000000000001</v>
      </c>
      <c r="BX238" s="7">
        <v>1.4470000000000001</v>
      </c>
      <c r="BY238" s="7">
        <f t="shared" si="21"/>
        <v>4.2000000000000037</v>
      </c>
      <c r="BZ238" s="34">
        <v>44609</v>
      </c>
      <c r="CA238" s="7">
        <v>1.4890000000000001</v>
      </c>
      <c r="CB238" s="7">
        <v>1.8089999999999999</v>
      </c>
      <c r="CC238" s="7">
        <f t="shared" si="22"/>
        <v>-31.999999999999986</v>
      </c>
      <c r="CD238" s="34">
        <v>44609</v>
      </c>
      <c r="CE238" s="7">
        <v>1.9039999999999999</v>
      </c>
      <c r="CF238" s="7">
        <v>1.837</v>
      </c>
      <c r="CG238" s="7">
        <f t="shared" si="23"/>
        <v>6.6999999999999948</v>
      </c>
    </row>
    <row r="239" spans="70:85" x14ac:dyDescent="0.15">
      <c r="BR239" s="34">
        <v>44608</v>
      </c>
      <c r="BS239" s="7">
        <v>1.218</v>
      </c>
      <c r="BT239" s="7">
        <v>1.5429999999999999</v>
      </c>
      <c r="BU239" s="7">
        <f t="shared" si="20"/>
        <v>-32.499999999999993</v>
      </c>
      <c r="BV239" s="34">
        <v>44608</v>
      </c>
      <c r="BW239" s="7">
        <v>1.4930000000000001</v>
      </c>
      <c r="BX239" s="7">
        <v>1.4510000000000001</v>
      </c>
      <c r="BY239" s="7">
        <f t="shared" si="21"/>
        <v>4.2000000000000037</v>
      </c>
      <c r="BZ239" s="34">
        <v>44608</v>
      </c>
      <c r="CA239" s="7">
        <v>1.4930000000000001</v>
      </c>
      <c r="CB239" s="7">
        <v>1.8140000000000001</v>
      </c>
      <c r="CC239" s="7">
        <f t="shared" si="22"/>
        <v>-32.099999999999994</v>
      </c>
      <c r="CD239" s="34">
        <v>44608</v>
      </c>
      <c r="CE239" s="7">
        <v>1.909</v>
      </c>
      <c r="CF239" s="7">
        <v>1.8420000000000001</v>
      </c>
      <c r="CG239" s="7">
        <f t="shared" si="23"/>
        <v>6.6999999999999948</v>
      </c>
    </row>
    <row r="240" spans="70:85" x14ac:dyDescent="0.15">
      <c r="BR240" s="34">
        <v>44607</v>
      </c>
      <c r="BS240" s="7">
        <v>1.218</v>
      </c>
      <c r="BT240" s="7">
        <v>1.5429999999999999</v>
      </c>
      <c r="BU240" s="7">
        <f t="shared" si="20"/>
        <v>-32.499999999999993</v>
      </c>
      <c r="BV240" s="34">
        <v>44607</v>
      </c>
      <c r="BW240" s="7">
        <v>1.492</v>
      </c>
      <c r="BX240" s="7">
        <v>1.4490000000000001</v>
      </c>
      <c r="BY240" s="7">
        <f t="shared" si="21"/>
        <v>4.2999999999999927</v>
      </c>
      <c r="BZ240" s="34">
        <v>44607</v>
      </c>
      <c r="CA240" s="7">
        <v>1.492</v>
      </c>
      <c r="CB240" s="7">
        <v>1.8140000000000001</v>
      </c>
      <c r="CC240" s="7">
        <f t="shared" si="22"/>
        <v>-32.200000000000003</v>
      </c>
      <c r="CD240" s="34">
        <v>44607</v>
      </c>
      <c r="CE240" s="7">
        <v>1.917</v>
      </c>
      <c r="CF240" s="7">
        <v>1.8420000000000001</v>
      </c>
      <c r="CG240" s="7">
        <f t="shared" si="23"/>
        <v>7.4999999999999956</v>
      </c>
    </row>
    <row r="241" spans="70:85" x14ac:dyDescent="0.15">
      <c r="BR241" s="34">
        <v>44606</v>
      </c>
      <c r="BS241" s="7">
        <v>1.22</v>
      </c>
      <c r="BT241" s="7">
        <v>1.538</v>
      </c>
      <c r="BU241" s="7">
        <f t="shared" si="20"/>
        <v>-31.800000000000004</v>
      </c>
      <c r="BV241" s="34">
        <v>44606</v>
      </c>
      <c r="BW241" s="7">
        <v>1.4930000000000001</v>
      </c>
      <c r="BX241" s="7">
        <v>1.4510000000000001</v>
      </c>
      <c r="BY241" s="7">
        <f t="shared" si="21"/>
        <v>4.2000000000000037</v>
      </c>
      <c r="BZ241" s="34">
        <v>44606</v>
      </c>
      <c r="CA241" s="7">
        <v>1.4930000000000001</v>
      </c>
      <c r="CB241" s="7">
        <v>1.8169999999999999</v>
      </c>
      <c r="CC241" s="7">
        <f t="shared" si="22"/>
        <v>-32.399999999999984</v>
      </c>
      <c r="CD241" s="34">
        <v>44606</v>
      </c>
      <c r="CE241" s="7">
        <v>1.9239999999999999</v>
      </c>
      <c r="CF241" s="7">
        <v>1.847</v>
      </c>
      <c r="CG241" s="7">
        <f t="shared" si="23"/>
        <v>7.6999999999999957</v>
      </c>
    </row>
    <row r="242" spans="70:85" x14ac:dyDescent="0.15">
      <c r="BR242" s="34">
        <v>44603</v>
      </c>
      <c r="BS242" s="7">
        <v>1.22</v>
      </c>
      <c r="BT242" s="7">
        <v>1.538</v>
      </c>
      <c r="BU242" s="7">
        <f t="shared" si="20"/>
        <v>-31.800000000000004</v>
      </c>
      <c r="BV242" s="34">
        <v>44603</v>
      </c>
      <c r="BW242" s="7">
        <v>1.498</v>
      </c>
      <c r="BX242" s="7">
        <v>1.456</v>
      </c>
      <c r="BY242" s="7">
        <f t="shared" si="21"/>
        <v>4.2000000000000037</v>
      </c>
      <c r="BZ242" s="34">
        <v>44603</v>
      </c>
      <c r="CA242" s="7">
        <v>1.498</v>
      </c>
      <c r="CB242" s="7">
        <v>1.819</v>
      </c>
      <c r="CC242" s="7">
        <f t="shared" si="22"/>
        <v>-32.099999999999994</v>
      </c>
      <c r="CD242" s="34">
        <v>44603</v>
      </c>
      <c r="CE242" s="7">
        <v>1.9319999999999999</v>
      </c>
      <c r="CF242" s="7">
        <v>1.85</v>
      </c>
      <c r="CG242" s="7">
        <f t="shared" si="23"/>
        <v>8.1999999999999851</v>
      </c>
    </row>
    <row r="243" spans="70:85" x14ac:dyDescent="0.15">
      <c r="BR243" s="34">
        <v>44602</v>
      </c>
      <c r="BS243" s="7">
        <v>1.208</v>
      </c>
      <c r="BT243" s="7">
        <v>1.518</v>
      </c>
      <c r="BU243" s="7">
        <f t="shared" si="20"/>
        <v>-31.000000000000007</v>
      </c>
      <c r="BV243" s="34">
        <v>44602</v>
      </c>
      <c r="BW243" s="7">
        <v>1.496</v>
      </c>
      <c r="BX243" s="7">
        <v>1.454</v>
      </c>
      <c r="BY243" s="7">
        <f t="shared" si="21"/>
        <v>4.2000000000000037</v>
      </c>
      <c r="BZ243" s="34">
        <v>44602</v>
      </c>
      <c r="CA243" s="7">
        <v>1.496</v>
      </c>
      <c r="CB243" s="7">
        <v>1.81</v>
      </c>
      <c r="CC243" s="7">
        <f t="shared" si="22"/>
        <v>-31.400000000000006</v>
      </c>
      <c r="CD243" s="34">
        <v>44602</v>
      </c>
      <c r="CE243" s="7">
        <v>1.9259999999999999</v>
      </c>
      <c r="CF243" s="7">
        <v>1.8420000000000001</v>
      </c>
      <c r="CG243" s="7">
        <f t="shared" si="23"/>
        <v>8.3999999999999844</v>
      </c>
    </row>
    <row r="244" spans="70:85" x14ac:dyDescent="0.15">
      <c r="BR244" s="34">
        <v>44601</v>
      </c>
      <c r="BS244" s="7">
        <v>1.208</v>
      </c>
      <c r="BT244" s="7">
        <v>1.518</v>
      </c>
      <c r="BU244" s="7">
        <f t="shared" si="20"/>
        <v>-31.000000000000007</v>
      </c>
      <c r="BV244" s="34">
        <v>44601</v>
      </c>
      <c r="BW244" s="7">
        <v>1.502</v>
      </c>
      <c r="BX244" s="7">
        <v>1.46</v>
      </c>
      <c r="BY244" s="7">
        <f t="shared" si="21"/>
        <v>4.2000000000000037</v>
      </c>
      <c r="BZ244" s="34">
        <v>44601</v>
      </c>
      <c r="CA244" s="7">
        <v>1.502</v>
      </c>
      <c r="CB244" s="7">
        <v>1.8120000000000001</v>
      </c>
      <c r="CC244" s="7">
        <f t="shared" si="22"/>
        <v>-31.000000000000007</v>
      </c>
      <c r="CD244" s="34">
        <v>44601</v>
      </c>
      <c r="CE244" s="7">
        <v>1.931</v>
      </c>
      <c r="CF244" s="7">
        <v>1.845</v>
      </c>
      <c r="CG244" s="7">
        <f t="shared" si="23"/>
        <v>8.6000000000000085</v>
      </c>
    </row>
    <row r="245" spans="70:85" x14ac:dyDescent="0.15">
      <c r="BR245" s="34">
        <v>44600</v>
      </c>
      <c r="BS245" s="7">
        <v>1.2110000000000001</v>
      </c>
      <c r="BT245" s="7">
        <v>1.526</v>
      </c>
      <c r="BU245" s="7">
        <f t="shared" si="20"/>
        <v>-31.499999999999993</v>
      </c>
      <c r="BV245" s="34">
        <v>44600</v>
      </c>
      <c r="BW245" s="7">
        <v>1.5069999999999999</v>
      </c>
      <c r="BX245" s="7">
        <v>1.4650000000000001</v>
      </c>
      <c r="BY245" s="7">
        <f t="shared" si="21"/>
        <v>4.1999999999999815</v>
      </c>
      <c r="BZ245" s="34">
        <v>44600</v>
      </c>
      <c r="CA245" s="7">
        <v>1.5069999999999999</v>
      </c>
      <c r="CB245" s="7">
        <v>1.82</v>
      </c>
      <c r="CC245" s="7">
        <f t="shared" si="22"/>
        <v>-31.300000000000018</v>
      </c>
      <c r="CD245" s="34">
        <v>44600</v>
      </c>
      <c r="CE245" s="7">
        <v>1.94</v>
      </c>
      <c r="CF245" s="7">
        <v>1.853</v>
      </c>
      <c r="CG245" s="7">
        <f t="shared" si="23"/>
        <v>8.6999999999999957</v>
      </c>
    </row>
    <row r="246" spans="70:85" x14ac:dyDescent="0.15">
      <c r="BR246" s="34">
        <v>44599</v>
      </c>
      <c r="BS246" s="7">
        <v>1.2130000000000001</v>
      </c>
      <c r="BT246" s="7">
        <v>1.508</v>
      </c>
      <c r="BU246" s="7">
        <f t="shared" si="20"/>
        <v>-29.499999999999993</v>
      </c>
      <c r="BV246" s="34">
        <v>44599</v>
      </c>
      <c r="BW246" s="7">
        <v>1.512</v>
      </c>
      <c r="BX246" s="7">
        <v>1.47</v>
      </c>
      <c r="BY246" s="7">
        <f t="shared" si="21"/>
        <v>4.2000000000000037</v>
      </c>
      <c r="BZ246" s="34">
        <v>44599</v>
      </c>
      <c r="CA246" s="7">
        <v>1.512</v>
      </c>
      <c r="CB246" s="7">
        <v>1.82</v>
      </c>
      <c r="CC246" s="7">
        <f t="shared" si="22"/>
        <v>-30.800000000000004</v>
      </c>
      <c r="CD246" s="34">
        <v>44599</v>
      </c>
      <c r="CE246" s="7">
        <v>1.95</v>
      </c>
      <c r="CF246" s="7">
        <v>1.853</v>
      </c>
      <c r="CG246" s="7">
        <f t="shared" si="23"/>
        <v>9.6999999999999975</v>
      </c>
    </row>
    <row r="247" spans="70:85" x14ac:dyDescent="0.15">
      <c r="BR247" s="34">
        <v>44596</v>
      </c>
      <c r="BS247" s="7">
        <v>1.2230000000000001</v>
      </c>
      <c r="BT247" s="7">
        <v>1.518</v>
      </c>
      <c r="BU247" s="7">
        <f t="shared" si="20"/>
        <v>-29.499999999999993</v>
      </c>
      <c r="BV247" s="34">
        <v>44596</v>
      </c>
      <c r="BW247" s="7">
        <v>1.524</v>
      </c>
      <c r="BX247" s="7">
        <v>1.4810000000000001</v>
      </c>
      <c r="BY247" s="7">
        <f t="shared" si="21"/>
        <v>4.2999999999999927</v>
      </c>
      <c r="BZ247" s="34">
        <v>44596</v>
      </c>
      <c r="CA247" s="7">
        <v>1.524</v>
      </c>
      <c r="CB247" s="7">
        <v>1.829</v>
      </c>
      <c r="CC247" s="7">
        <f t="shared" si="22"/>
        <v>-30.499999999999993</v>
      </c>
      <c r="CD247" s="34">
        <v>44596</v>
      </c>
      <c r="CE247" s="7">
        <v>1.96</v>
      </c>
      <c r="CF247" s="7">
        <v>1.861</v>
      </c>
      <c r="CG247" s="7">
        <f t="shared" si="23"/>
        <v>9.8999999999999986</v>
      </c>
    </row>
    <row r="248" spans="70:85" x14ac:dyDescent="0.15">
      <c r="BR248" s="34">
        <v>44595</v>
      </c>
      <c r="BS248" s="7">
        <v>1.24</v>
      </c>
      <c r="BT248" s="7">
        <v>1.5309999999999999</v>
      </c>
      <c r="BU248" s="7">
        <f t="shared" si="20"/>
        <v>-29.099999999999994</v>
      </c>
      <c r="BV248" s="34">
        <v>44595</v>
      </c>
      <c r="BW248" s="7">
        <v>1.544</v>
      </c>
      <c r="BX248" s="7">
        <v>1.5009999999999999</v>
      </c>
      <c r="BY248" s="7">
        <f t="shared" si="21"/>
        <v>4.3000000000000149</v>
      </c>
      <c r="BZ248" s="34">
        <v>44595</v>
      </c>
      <c r="CA248" s="7">
        <v>1.544</v>
      </c>
      <c r="CB248" s="7">
        <v>1.8440000000000001</v>
      </c>
      <c r="CC248" s="7">
        <f t="shared" si="22"/>
        <v>-30.000000000000004</v>
      </c>
      <c r="CD248" s="34">
        <v>44595</v>
      </c>
      <c r="CE248" s="7">
        <v>1.978</v>
      </c>
      <c r="CF248" s="7">
        <v>1.8759999999999999</v>
      </c>
      <c r="CG248" s="7">
        <f t="shared" si="23"/>
        <v>10.20000000000001</v>
      </c>
    </row>
    <row r="249" spans="70:85" x14ac:dyDescent="0.15">
      <c r="BR249" s="34">
        <v>44589</v>
      </c>
      <c r="BS249" s="7">
        <v>1.248</v>
      </c>
      <c r="BT249" s="7">
        <v>1.53</v>
      </c>
      <c r="BU249" s="7">
        <f t="shared" si="20"/>
        <v>-28.200000000000003</v>
      </c>
      <c r="BV249" s="34">
        <v>44589</v>
      </c>
      <c r="BW249" s="7">
        <v>1.5549999999999999</v>
      </c>
      <c r="BX249" s="7">
        <v>1.5129999999999999</v>
      </c>
      <c r="BY249" s="7">
        <f t="shared" si="21"/>
        <v>4.2000000000000037</v>
      </c>
      <c r="BZ249" s="34">
        <v>44589</v>
      </c>
      <c r="CA249" s="7">
        <v>1.5549999999999999</v>
      </c>
      <c r="CB249" s="7">
        <v>1.8540000000000001</v>
      </c>
      <c r="CC249" s="7">
        <f t="shared" si="22"/>
        <v>-29.900000000000016</v>
      </c>
      <c r="CD249" s="34">
        <v>44589</v>
      </c>
      <c r="CE249" s="7">
        <v>1.99</v>
      </c>
      <c r="CF249" s="7">
        <v>1.8859999999999999</v>
      </c>
      <c r="CG249" s="7">
        <f t="shared" si="23"/>
        <v>10.400000000000009</v>
      </c>
    </row>
    <row r="250" spans="70:85" x14ac:dyDescent="0.15">
      <c r="BR250" s="34">
        <v>44588</v>
      </c>
      <c r="BS250" s="7">
        <v>1.25</v>
      </c>
      <c r="BT250" s="7">
        <v>1.53</v>
      </c>
      <c r="BU250" s="7">
        <f t="shared" si="20"/>
        <v>-28.000000000000004</v>
      </c>
      <c r="BV250" s="34">
        <v>44588</v>
      </c>
      <c r="BW250" s="7">
        <v>1.56</v>
      </c>
      <c r="BX250" s="7">
        <v>1.518</v>
      </c>
      <c r="BY250" s="7">
        <f t="shared" si="21"/>
        <v>4.2000000000000037</v>
      </c>
      <c r="BZ250" s="34">
        <v>44588</v>
      </c>
      <c r="CA250" s="7">
        <v>1.56</v>
      </c>
      <c r="CB250" s="7">
        <v>1.85</v>
      </c>
      <c r="CC250" s="7">
        <f t="shared" si="22"/>
        <v>-29.000000000000004</v>
      </c>
      <c r="CD250" s="34">
        <v>44588</v>
      </c>
      <c r="CE250" s="7">
        <v>1.9910000000000001</v>
      </c>
      <c r="CF250" s="7">
        <v>1.883</v>
      </c>
      <c r="CG250" s="7">
        <f t="shared" si="23"/>
        <v>10.80000000000001</v>
      </c>
    </row>
    <row r="251" spans="70:85" x14ac:dyDescent="0.15">
      <c r="BR251" s="34">
        <v>44587</v>
      </c>
      <c r="BS251" s="7">
        <v>1.2470000000000001</v>
      </c>
      <c r="BT251" s="7">
        <v>1.5149999999999999</v>
      </c>
      <c r="BU251" s="7">
        <f t="shared" si="20"/>
        <v>-26.799999999999979</v>
      </c>
      <c r="BV251" s="34">
        <v>44587</v>
      </c>
      <c r="BW251" s="7">
        <v>1.5640000000000001</v>
      </c>
      <c r="BX251" s="7">
        <v>1.5209999999999999</v>
      </c>
      <c r="BY251" s="7">
        <f t="shared" si="21"/>
        <v>4.3000000000000149</v>
      </c>
      <c r="BZ251" s="34">
        <v>44587</v>
      </c>
      <c r="CA251" s="7">
        <v>1.5640000000000001</v>
      </c>
      <c r="CB251" s="7">
        <v>1.8440000000000001</v>
      </c>
      <c r="CC251" s="7">
        <f t="shared" si="22"/>
        <v>-28.000000000000004</v>
      </c>
      <c r="CD251" s="34">
        <v>44587</v>
      </c>
      <c r="CE251" s="7">
        <v>1.994</v>
      </c>
      <c r="CF251" s="7">
        <v>1.8759999999999999</v>
      </c>
      <c r="CG251" s="7">
        <f t="shared" si="23"/>
        <v>11.800000000000011</v>
      </c>
    </row>
    <row r="252" spans="70:85" x14ac:dyDescent="0.15">
      <c r="BR252" s="34">
        <v>44586</v>
      </c>
      <c r="BS252" s="7">
        <v>1.244</v>
      </c>
      <c r="BT252" s="7">
        <v>1.5</v>
      </c>
      <c r="BU252" s="7">
        <f t="shared" si="20"/>
        <v>-25.6</v>
      </c>
      <c r="BV252" s="34">
        <v>44586</v>
      </c>
      <c r="BW252" s="7">
        <v>1.56</v>
      </c>
      <c r="BX252" s="7">
        <v>1.518</v>
      </c>
      <c r="BY252" s="7">
        <f t="shared" si="21"/>
        <v>4.2000000000000037</v>
      </c>
      <c r="BZ252" s="34">
        <v>44586</v>
      </c>
      <c r="CA252" s="7">
        <v>1.56</v>
      </c>
      <c r="CB252" s="7">
        <v>1.839</v>
      </c>
      <c r="CC252" s="7">
        <f t="shared" si="22"/>
        <v>-27.899999999999991</v>
      </c>
      <c r="CD252" s="34">
        <v>44586</v>
      </c>
      <c r="CE252" s="7">
        <v>1.99</v>
      </c>
      <c r="CF252" s="7">
        <v>1.871</v>
      </c>
      <c r="CG252" s="7">
        <f t="shared" si="23"/>
        <v>11.899999999999999</v>
      </c>
    </row>
    <row r="253" spans="70:85" x14ac:dyDescent="0.15">
      <c r="BR253" s="34">
        <v>44585</v>
      </c>
      <c r="BS253" s="7">
        <v>1.24</v>
      </c>
      <c r="BT253" s="7">
        <v>1.4830000000000001</v>
      </c>
      <c r="BU253" s="7">
        <f t="shared" si="20"/>
        <v>-24.300000000000011</v>
      </c>
      <c r="BV253" s="34">
        <v>44585</v>
      </c>
      <c r="BW253" s="7">
        <v>1.5569999999999999</v>
      </c>
      <c r="BX253" s="7">
        <v>1.5149999999999999</v>
      </c>
      <c r="BY253" s="7">
        <f t="shared" si="21"/>
        <v>4.2000000000000037</v>
      </c>
      <c r="BZ253" s="34">
        <v>44585</v>
      </c>
      <c r="CA253" s="7">
        <v>1.5569999999999999</v>
      </c>
      <c r="CB253" s="7">
        <v>1.829</v>
      </c>
      <c r="CC253" s="7">
        <f t="shared" si="22"/>
        <v>-27.200000000000003</v>
      </c>
      <c r="CD253" s="34">
        <v>44585</v>
      </c>
      <c r="CE253" s="7">
        <v>1.9830000000000001</v>
      </c>
      <c r="CF253" s="7">
        <v>1.8620000000000001</v>
      </c>
      <c r="CG253" s="7">
        <f t="shared" si="23"/>
        <v>12.1</v>
      </c>
    </row>
    <row r="254" spans="70:85" x14ac:dyDescent="0.15">
      <c r="BR254" s="34">
        <v>44582</v>
      </c>
      <c r="BS254" s="7">
        <v>1.24</v>
      </c>
      <c r="BT254" s="7">
        <v>1.4830000000000001</v>
      </c>
      <c r="BU254" s="7">
        <f t="shared" si="20"/>
        <v>-24.300000000000011</v>
      </c>
      <c r="BV254" s="34">
        <v>44582</v>
      </c>
      <c r="BW254" s="7">
        <v>1.5549999999999999</v>
      </c>
      <c r="BX254" s="7">
        <v>1.5129999999999999</v>
      </c>
      <c r="BY254" s="7">
        <f t="shared" si="21"/>
        <v>4.2000000000000037</v>
      </c>
      <c r="BZ254" s="34">
        <v>44582</v>
      </c>
      <c r="CA254" s="7">
        <v>1.5549999999999999</v>
      </c>
      <c r="CB254" s="7">
        <v>1.829</v>
      </c>
      <c r="CC254" s="7">
        <f t="shared" si="22"/>
        <v>-27.400000000000002</v>
      </c>
      <c r="CD254" s="34">
        <v>44582</v>
      </c>
      <c r="CE254" s="7">
        <v>1.9810000000000001</v>
      </c>
      <c r="CF254" s="7">
        <v>1.8620000000000001</v>
      </c>
      <c r="CG254" s="7">
        <f t="shared" si="23"/>
        <v>11.899999999999999</v>
      </c>
    </row>
    <row r="255" spans="70:85" x14ac:dyDescent="0.15">
      <c r="BR255" s="34">
        <v>44581</v>
      </c>
      <c r="BS255" s="7">
        <v>1.2390000000000001</v>
      </c>
      <c r="BT255" s="7">
        <v>1.4750000000000001</v>
      </c>
      <c r="BU255" s="7">
        <f t="shared" si="20"/>
        <v>-23.599999999999998</v>
      </c>
      <c r="BV255" s="34">
        <v>44581</v>
      </c>
      <c r="BW255" s="7">
        <v>1.5549999999999999</v>
      </c>
      <c r="BX255" s="7">
        <v>1.5129999999999999</v>
      </c>
      <c r="BY255" s="7">
        <f t="shared" si="21"/>
        <v>4.2000000000000037</v>
      </c>
      <c r="BZ255" s="34">
        <v>44581</v>
      </c>
      <c r="CA255" s="7">
        <v>1.5549999999999999</v>
      </c>
      <c r="CB255" s="7">
        <v>1.8280000000000001</v>
      </c>
      <c r="CC255" s="7">
        <f t="shared" si="22"/>
        <v>-27.300000000000011</v>
      </c>
      <c r="CD255" s="34">
        <v>44581</v>
      </c>
      <c r="CE255" s="7">
        <v>1.9750000000000001</v>
      </c>
      <c r="CF255" s="7">
        <v>1.86</v>
      </c>
      <c r="CG255" s="7">
        <f t="shared" si="23"/>
        <v>11.5</v>
      </c>
    </row>
    <row r="256" spans="70:85" x14ac:dyDescent="0.15">
      <c r="BR256" s="34">
        <v>44580</v>
      </c>
      <c r="BS256" s="7">
        <v>1.24</v>
      </c>
      <c r="BT256" s="7">
        <v>1.4630000000000001</v>
      </c>
      <c r="BU256" s="7">
        <f t="shared" si="20"/>
        <v>-22.300000000000008</v>
      </c>
      <c r="BV256" s="34">
        <v>44580</v>
      </c>
      <c r="BW256" s="7">
        <v>1.5569999999999999</v>
      </c>
      <c r="BX256" s="7">
        <v>1.5149999999999999</v>
      </c>
      <c r="BY256" s="7">
        <f t="shared" si="21"/>
        <v>4.2000000000000037</v>
      </c>
      <c r="BZ256" s="34">
        <v>44580</v>
      </c>
      <c r="CA256" s="7">
        <v>1.5569999999999999</v>
      </c>
      <c r="CB256" s="7">
        <v>1.829</v>
      </c>
      <c r="CC256" s="7">
        <f t="shared" si="22"/>
        <v>-27.200000000000003</v>
      </c>
      <c r="CD256" s="34">
        <v>44580</v>
      </c>
      <c r="CE256" s="7">
        <v>1.982</v>
      </c>
      <c r="CF256" s="7">
        <v>1.8620000000000001</v>
      </c>
      <c r="CG256" s="7">
        <f t="shared" si="23"/>
        <v>11.999999999999989</v>
      </c>
    </row>
    <row r="257" spans="70:84" x14ac:dyDescent="0.15">
      <c r="BR257" s="34">
        <v>44579</v>
      </c>
      <c r="BS257" s="7">
        <v>1.2430000000000001</v>
      </c>
      <c r="BT257" s="7">
        <v>1.47</v>
      </c>
      <c r="BV257" s="34">
        <v>44579</v>
      </c>
      <c r="BW257" s="7">
        <v>1.5629999999999999</v>
      </c>
      <c r="BX257" s="7">
        <v>1.5209999999999999</v>
      </c>
      <c r="BZ257" s="34">
        <v>44579</v>
      </c>
      <c r="CA257" s="7">
        <v>1.5629999999999999</v>
      </c>
      <c r="CB257" s="7">
        <v>1.8340000000000001</v>
      </c>
      <c r="CD257" s="34">
        <v>44579</v>
      </c>
      <c r="CE257" s="7">
        <v>1.9890000000000001</v>
      </c>
      <c r="CF257" s="7">
        <v>1.8660000000000001</v>
      </c>
    </row>
    <row r="258" spans="70:84" x14ac:dyDescent="0.15">
      <c r="BR258" s="34"/>
      <c r="BV258" s="34"/>
      <c r="BZ258" s="34"/>
      <c r="CD258" s="34"/>
    </row>
    <row r="259" spans="70:84" x14ac:dyDescent="0.15">
      <c r="BR259" s="34"/>
      <c r="BV259" s="34"/>
      <c r="BZ259" s="34"/>
      <c r="CD259" s="34"/>
    </row>
    <row r="260" spans="70:84" x14ac:dyDescent="0.15">
      <c r="BR260" s="34"/>
      <c r="BV260" s="34"/>
      <c r="BZ260" s="34"/>
      <c r="CD260" s="34"/>
    </row>
    <row r="261" spans="70:84" x14ac:dyDescent="0.15">
      <c r="BR261" s="34"/>
      <c r="BV261" s="34"/>
      <c r="BZ261" s="34"/>
      <c r="CD261" s="34"/>
    </row>
    <row r="262" spans="70:84" x14ac:dyDescent="0.15">
      <c r="BR262" s="34"/>
      <c r="BV262" s="34"/>
      <c r="BZ262" s="34"/>
      <c r="CD262" s="34"/>
    </row>
    <row r="263" spans="70:84" x14ac:dyDescent="0.15">
      <c r="BR263" s="34"/>
      <c r="BV263" s="34"/>
      <c r="BZ263" s="34"/>
      <c r="CD263" s="34"/>
    </row>
    <row r="264" spans="70:84" x14ac:dyDescent="0.15">
      <c r="BR264" s="34"/>
      <c r="BV264" s="34"/>
      <c r="BZ264" s="34"/>
      <c r="CD264" s="34"/>
    </row>
    <row r="265" spans="70:84" x14ac:dyDescent="0.15">
      <c r="BR265" s="34"/>
      <c r="BV265" s="34"/>
      <c r="BZ265" s="34"/>
      <c r="CD265" s="34"/>
    </row>
    <row r="266" spans="70:84" x14ac:dyDescent="0.15">
      <c r="BR266" s="34"/>
      <c r="BV266" s="34"/>
      <c r="BZ266" s="34"/>
      <c r="CD266" s="34"/>
    </row>
    <row r="267" spans="70:84" x14ac:dyDescent="0.15">
      <c r="BR267" s="34"/>
      <c r="BV267" s="34"/>
      <c r="BZ267" s="34"/>
      <c r="CD267" s="34"/>
    </row>
    <row r="268" spans="70:84" x14ac:dyDescent="0.15">
      <c r="BR268" s="34"/>
      <c r="BV268" s="34"/>
      <c r="BZ268" s="34"/>
      <c r="CD268" s="34"/>
    </row>
    <row r="269" spans="70:84" x14ac:dyDescent="0.15">
      <c r="BR269" s="34"/>
      <c r="BV269" s="34"/>
      <c r="BZ269" s="34"/>
      <c r="CD269" s="34"/>
    </row>
    <row r="270" spans="70:84" x14ac:dyDescent="0.15">
      <c r="BR270" s="34"/>
      <c r="BV270" s="34"/>
      <c r="BZ270" s="34"/>
      <c r="CD270" s="34"/>
    </row>
    <row r="271" spans="70:84" x14ac:dyDescent="0.15">
      <c r="BR271" s="34"/>
      <c r="BV271" s="34"/>
      <c r="BZ271" s="34"/>
      <c r="CD271" s="34"/>
    </row>
    <row r="272" spans="70:84" x14ac:dyDescent="0.15">
      <c r="BR272" s="34"/>
      <c r="BV272" s="34"/>
      <c r="BZ272" s="34"/>
      <c r="CD272" s="34"/>
    </row>
    <row r="273" spans="70:82" x14ac:dyDescent="0.15">
      <c r="BR273" s="34"/>
      <c r="BV273" s="34"/>
      <c r="BZ273" s="34"/>
      <c r="CD273" s="34"/>
    </row>
    <row r="274" spans="70:82" x14ac:dyDescent="0.15">
      <c r="BR274" s="34"/>
      <c r="BV274" s="34"/>
      <c r="BZ274" s="34"/>
      <c r="CD274" s="34"/>
    </row>
    <row r="275" spans="70:82" x14ac:dyDescent="0.15">
      <c r="BR275" s="34"/>
      <c r="BV275" s="34"/>
      <c r="BZ275" s="34"/>
      <c r="CD275" s="34"/>
    </row>
    <row r="276" spans="70:82" x14ac:dyDescent="0.15">
      <c r="BR276" s="34"/>
      <c r="BV276" s="34"/>
      <c r="BZ276" s="34"/>
      <c r="CD276" s="34"/>
    </row>
    <row r="277" spans="70:82" x14ac:dyDescent="0.15">
      <c r="BR277" s="34"/>
      <c r="BV277" s="34"/>
      <c r="BZ277" s="34"/>
      <c r="CD277" s="34"/>
    </row>
    <row r="278" spans="70:82" x14ac:dyDescent="0.15">
      <c r="BR278" s="34"/>
      <c r="BV278" s="34"/>
      <c r="BZ278" s="34"/>
      <c r="CD278" s="34"/>
    </row>
    <row r="279" spans="70:82" x14ac:dyDescent="0.15">
      <c r="BR279" s="34"/>
      <c r="BV279" s="34"/>
      <c r="BZ279" s="34"/>
      <c r="CD279" s="34"/>
    </row>
    <row r="280" spans="70:82" x14ac:dyDescent="0.15">
      <c r="BR280" s="34"/>
      <c r="BV280" s="34"/>
      <c r="BZ280" s="34"/>
      <c r="CD280" s="34"/>
    </row>
    <row r="281" spans="70:82" x14ac:dyDescent="0.15">
      <c r="BR281" s="34"/>
      <c r="BV281" s="34"/>
      <c r="BZ281" s="34"/>
      <c r="CD281" s="34"/>
    </row>
    <row r="282" spans="70:82" x14ac:dyDescent="0.15">
      <c r="BR282" s="34"/>
      <c r="BV282" s="34"/>
      <c r="BZ282" s="34"/>
      <c r="CD282" s="34"/>
    </row>
    <row r="283" spans="70:82" x14ac:dyDescent="0.15">
      <c r="BR283" s="34"/>
      <c r="BV283" s="34"/>
      <c r="BZ283" s="34"/>
      <c r="CD283" s="34"/>
    </row>
    <row r="284" spans="70:82" x14ac:dyDescent="0.15">
      <c r="BR284" s="34"/>
      <c r="BV284" s="34"/>
      <c r="BZ284" s="34"/>
      <c r="CD284" s="34"/>
    </row>
    <row r="285" spans="70:82" x14ac:dyDescent="0.15">
      <c r="BR285" s="34"/>
      <c r="BV285" s="34"/>
      <c r="BZ285" s="34"/>
      <c r="CD285" s="34"/>
    </row>
    <row r="286" spans="70:82" x14ac:dyDescent="0.15">
      <c r="BR286" s="34"/>
      <c r="BV286" s="34"/>
      <c r="BZ286" s="34"/>
      <c r="CD286" s="34"/>
    </row>
    <row r="287" spans="70:82" x14ac:dyDescent="0.15">
      <c r="BR287" s="34"/>
      <c r="BV287" s="34"/>
      <c r="BZ287" s="34"/>
      <c r="CD287" s="34"/>
    </row>
    <row r="288" spans="70:82" x14ac:dyDescent="0.15">
      <c r="BR288" s="34"/>
      <c r="BV288" s="34"/>
      <c r="BZ288" s="34"/>
      <c r="CD288" s="34"/>
    </row>
    <row r="289" spans="70:82" x14ac:dyDescent="0.15">
      <c r="BR289" s="34"/>
      <c r="BV289" s="34"/>
      <c r="BZ289" s="34"/>
      <c r="CD289" s="34"/>
    </row>
    <row r="290" spans="70:82" x14ac:dyDescent="0.15">
      <c r="BR290" s="34"/>
      <c r="BV290" s="34"/>
      <c r="BZ290" s="34"/>
      <c r="CD290" s="34"/>
    </row>
    <row r="291" spans="70:82" x14ac:dyDescent="0.15">
      <c r="BR291" s="34"/>
      <c r="BV291" s="34"/>
      <c r="BZ291" s="34"/>
      <c r="CD291" s="34"/>
    </row>
    <row r="292" spans="70:82" x14ac:dyDescent="0.15">
      <c r="BR292" s="34"/>
      <c r="BV292" s="34"/>
      <c r="BZ292" s="34"/>
      <c r="CD292" s="34"/>
    </row>
    <row r="293" spans="70:82" x14ac:dyDescent="0.15">
      <c r="BR293" s="34"/>
      <c r="BV293" s="34"/>
      <c r="BZ293" s="34"/>
      <c r="CD293" s="34"/>
    </row>
    <row r="294" spans="70:82" x14ac:dyDescent="0.15">
      <c r="BR294" s="34"/>
      <c r="BV294" s="34"/>
      <c r="BZ294" s="34"/>
      <c r="CD294" s="34"/>
    </row>
    <row r="295" spans="70:82" x14ac:dyDescent="0.15">
      <c r="BR295" s="34"/>
      <c r="BV295" s="34"/>
      <c r="BZ295" s="34"/>
      <c r="CD295" s="34"/>
    </row>
    <row r="296" spans="70:82" x14ac:dyDescent="0.15">
      <c r="BR296" s="34"/>
      <c r="BV296" s="34"/>
      <c r="BZ296" s="34"/>
      <c r="CD296" s="34"/>
    </row>
    <row r="297" spans="70:82" x14ac:dyDescent="0.15">
      <c r="BR297" s="34"/>
      <c r="BV297" s="34"/>
      <c r="BZ297" s="34"/>
      <c r="CD297" s="34"/>
    </row>
    <row r="298" spans="70:82" x14ac:dyDescent="0.15">
      <c r="BR298" s="34"/>
      <c r="BV298" s="34"/>
      <c r="BZ298" s="34"/>
      <c r="CD298" s="34"/>
    </row>
    <row r="299" spans="70:82" x14ac:dyDescent="0.15">
      <c r="BR299" s="34"/>
      <c r="BV299" s="34"/>
      <c r="BZ299" s="34"/>
      <c r="CD299" s="34"/>
    </row>
    <row r="300" spans="70:82" x14ac:dyDescent="0.15">
      <c r="BR300" s="34"/>
      <c r="BV300" s="34"/>
      <c r="BZ300" s="34"/>
      <c r="CD300" s="34"/>
    </row>
    <row r="301" spans="70:82" x14ac:dyDescent="0.15">
      <c r="BR301" s="34"/>
      <c r="BV301" s="34"/>
      <c r="BZ301" s="34"/>
      <c r="CD301" s="34"/>
    </row>
    <row r="302" spans="70:82" x14ac:dyDescent="0.15">
      <c r="BR302" s="34"/>
      <c r="BV302" s="34"/>
      <c r="BZ302" s="34"/>
      <c r="CD302" s="34"/>
    </row>
    <row r="303" spans="70:82" x14ac:dyDescent="0.15">
      <c r="BR303" s="34"/>
      <c r="BV303" s="34"/>
      <c r="BZ303" s="34"/>
      <c r="CD303" s="34"/>
    </row>
    <row r="304" spans="70:82" x14ac:dyDescent="0.15">
      <c r="BR304" s="34"/>
      <c r="BV304" s="34"/>
      <c r="BZ304" s="34"/>
      <c r="CD304" s="34"/>
    </row>
    <row r="305" spans="70:82" x14ac:dyDescent="0.15">
      <c r="BR305" s="34"/>
      <c r="BV305" s="34"/>
      <c r="BZ305" s="34"/>
      <c r="CD305" s="34"/>
    </row>
    <row r="306" spans="70:82" x14ac:dyDescent="0.15">
      <c r="BR306" s="34"/>
      <c r="BV306" s="34"/>
      <c r="BZ306" s="34"/>
      <c r="CD306" s="34"/>
    </row>
    <row r="307" spans="70:82" x14ac:dyDescent="0.15">
      <c r="BR307" s="34"/>
      <c r="BV307" s="34"/>
      <c r="BZ307" s="34"/>
      <c r="CD307" s="34"/>
    </row>
    <row r="308" spans="70:82" x14ac:dyDescent="0.15">
      <c r="BR308" s="34"/>
      <c r="BV308" s="34"/>
      <c r="BZ308" s="34"/>
      <c r="CD308" s="34"/>
    </row>
    <row r="309" spans="70:82" x14ac:dyDescent="0.15">
      <c r="BR309" s="34"/>
      <c r="BV309" s="34"/>
      <c r="BZ309" s="34"/>
      <c r="CD309" s="34"/>
    </row>
    <row r="310" spans="70:82" x14ac:dyDescent="0.15">
      <c r="BR310" s="34"/>
      <c r="BV310" s="34"/>
      <c r="BZ310" s="34"/>
      <c r="CD310" s="34"/>
    </row>
    <row r="311" spans="70:82" x14ac:dyDescent="0.15">
      <c r="BR311" s="34"/>
      <c r="BV311" s="34"/>
      <c r="BZ311" s="34"/>
      <c r="CD311" s="34"/>
    </row>
    <row r="312" spans="70:82" x14ac:dyDescent="0.15">
      <c r="BR312" s="34"/>
      <c r="BV312" s="34"/>
      <c r="BZ312" s="34"/>
      <c r="CD312" s="34"/>
    </row>
    <row r="313" spans="70:82" x14ac:dyDescent="0.15">
      <c r="BR313" s="34"/>
      <c r="BV313" s="34"/>
      <c r="BZ313" s="34"/>
      <c r="CD313" s="34"/>
    </row>
    <row r="314" spans="70:82" x14ac:dyDescent="0.15">
      <c r="BR314" s="34"/>
      <c r="BV314" s="34"/>
      <c r="BZ314" s="34"/>
      <c r="CD314" s="34"/>
    </row>
    <row r="315" spans="70:82" x14ac:dyDescent="0.15">
      <c r="BR315" s="34"/>
      <c r="BV315" s="34"/>
      <c r="BZ315" s="34"/>
      <c r="CD315" s="34"/>
    </row>
    <row r="316" spans="70:82" x14ac:dyDescent="0.15">
      <c r="BR316" s="34"/>
      <c r="BV316" s="34"/>
      <c r="BZ316" s="34"/>
      <c r="CD316" s="34"/>
    </row>
    <row r="317" spans="70:82" x14ac:dyDescent="0.15">
      <c r="BR317" s="34"/>
      <c r="BV317" s="34"/>
      <c r="BZ317" s="34"/>
      <c r="CD317" s="34"/>
    </row>
    <row r="318" spans="70:82" x14ac:dyDescent="0.15">
      <c r="BR318" s="34"/>
      <c r="BV318" s="34"/>
      <c r="BZ318" s="34"/>
      <c r="CD318" s="34"/>
    </row>
    <row r="319" spans="70:82" x14ac:dyDescent="0.15">
      <c r="BR319" s="34"/>
      <c r="BV319" s="34"/>
      <c r="BZ319" s="34"/>
      <c r="CD319" s="34"/>
    </row>
    <row r="320" spans="70:82" x14ac:dyDescent="0.15">
      <c r="BR320" s="34"/>
      <c r="BV320" s="34"/>
      <c r="BZ320" s="34"/>
      <c r="CD320" s="34"/>
    </row>
    <row r="321" spans="70:82" x14ac:dyDescent="0.15">
      <c r="BR321" s="34"/>
      <c r="BV321" s="34"/>
      <c r="BZ321" s="34"/>
      <c r="CD321" s="34"/>
    </row>
    <row r="322" spans="70:82" x14ac:dyDescent="0.15">
      <c r="BR322" s="34"/>
      <c r="BV322" s="34"/>
      <c r="BZ322" s="34"/>
      <c r="CD322" s="34"/>
    </row>
    <row r="323" spans="70:82" x14ac:dyDescent="0.15">
      <c r="BR323" s="34"/>
      <c r="BV323" s="34"/>
      <c r="BZ323" s="34"/>
      <c r="CD323" s="34"/>
    </row>
    <row r="324" spans="70:82" x14ac:dyDescent="0.15">
      <c r="BR324" s="34"/>
      <c r="BV324" s="34"/>
      <c r="BZ324" s="34"/>
      <c r="CD324" s="34"/>
    </row>
    <row r="325" spans="70:82" x14ac:dyDescent="0.15">
      <c r="BR325" s="34"/>
      <c r="BV325" s="34"/>
      <c r="BZ325" s="34"/>
      <c r="CD325" s="34"/>
    </row>
    <row r="326" spans="70:82" x14ac:dyDescent="0.15">
      <c r="BR326" s="34"/>
      <c r="BV326" s="34"/>
      <c r="BZ326" s="34"/>
      <c r="CD326" s="34"/>
    </row>
    <row r="327" spans="70:82" x14ac:dyDescent="0.15">
      <c r="BR327" s="34"/>
      <c r="BV327" s="34"/>
      <c r="BZ327" s="34"/>
      <c r="CD327" s="34"/>
    </row>
    <row r="328" spans="70:82" x14ac:dyDescent="0.15">
      <c r="BR328" s="34"/>
      <c r="BV328" s="34"/>
      <c r="BZ328" s="34"/>
      <c r="CD328" s="34"/>
    </row>
    <row r="329" spans="70:82" x14ac:dyDescent="0.15">
      <c r="BR329" s="34"/>
      <c r="BV329" s="34"/>
      <c r="BZ329" s="34"/>
      <c r="CD329" s="34"/>
    </row>
    <row r="330" spans="70:82" x14ac:dyDescent="0.15">
      <c r="BR330" s="34"/>
      <c r="BV330" s="34"/>
      <c r="BZ330" s="34"/>
      <c r="CD330" s="34"/>
    </row>
    <row r="331" spans="70:82" x14ac:dyDescent="0.15">
      <c r="BR331" s="34"/>
      <c r="BV331" s="34"/>
      <c r="BZ331" s="34"/>
      <c r="CD331" s="34"/>
    </row>
    <row r="332" spans="70:82" x14ac:dyDescent="0.15">
      <c r="BR332" s="34"/>
      <c r="BV332" s="34"/>
      <c r="BZ332" s="34"/>
      <c r="CD332" s="34"/>
    </row>
    <row r="333" spans="70:82" x14ac:dyDescent="0.15">
      <c r="BR333" s="34"/>
      <c r="BV333" s="34"/>
      <c r="BZ333" s="34"/>
      <c r="CD333" s="34"/>
    </row>
    <row r="334" spans="70:82" x14ac:dyDescent="0.15">
      <c r="BR334" s="34"/>
      <c r="BV334" s="34"/>
      <c r="BZ334" s="34"/>
      <c r="CD334" s="34"/>
    </row>
    <row r="335" spans="70:82" x14ac:dyDescent="0.15">
      <c r="BR335" s="34"/>
      <c r="BV335" s="34"/>
      <c r="BZ335" s="34"/>
      <c r="CD335" s="34"/>
    </row>
    <row r="336" spans="70:82" x14ac:dyDescent="0.15">
      <c r="BR336" s="34"/>
      <c r="BV336" s="34"/>
      <c r="BZ336" s="34"/>
      <c r="CD336" s="34"/>
    </row>
    <row r="337" spans="70:82" x14ac:dyDescent="0.15">
      <c r="BR337" s="34"/>
      <c r="BV337" s="34"/>
      <c r="BZ337" s="34"/>
      <c r="CD337" s="34"/>
    </row>
    <row r="338" spans="70:82" x14ac:dyDescent="0.15">
      <c r="BR338" s="34"/>
      <c r="BV338" s="34"/>
      <c r="BZ338" s="34"/>
      <c r="CD338" s="34"/>
    </row>
    <row r="339" spans="70:82" x14ac:dyDescent="0.15">
      <c r="BR339" s="34"/>
      <c r="BV339" s="34"/>
      <c r="BZ339" s="34"/>
      <c r="CD339" s="34"/>
    </row>
    <row r="340" spans="70:82" x14ac:dyDescent="0.15">
      <c r="BR340" s="34"/>
      <c r="BV340" s="34"/>
      <c r="BZ340" s="34"/>
      <c r="CD340" s="34"/>
    </row>
    <row r="341" spans="70:82" x14ac:dyDescent="0.15">
      <c r="BR341" s="34"/>
      <c r="BV341" s="34"/>
      <c r="BZ341" s="34"/>
      <c r="CD341" s="34"/>
    </row>
    <row r="342" spans="70:82" x14ac:dyDescent="0.15">
      <c r="BR342" s="34"/>
      <c r="BV342" s="34"/>
      <c r="BZ342" s="34"/>
      <c r="CD342" s="34"/>
    </row>
    <row r="343" spans="70:82" x14ac:dyDescent="0.15">
      <c r="BR343" s="34"/>
      <c r="BV343" s="34"/>
      <c r="BZ343" s="34"/>
      <c r="CD343" s="34"/>
    </row>
    <row r="344" spans="70:82" x14ac:dyDescent="0.15">
      <c r="BR344" s="34"/>
      <c r="BV344" s="34"/>
      <c r="BZ344" s="34"/>
      <c r="CD344" s="34"/>
    </row>
    <row r="345" spans="70:82" x14ac:dyDescent="0.15">
      <c r="BR345" s="34"/>
      <c r="BV345" s="34"/>
      <c r="BZ345" s="34"/>
      <c r="CD345" s="34"/>
    </row>
    <row r="346" spans="70:82" x14ac:dyDescent="0.15">
      <c r="BR346" s="34"/>
      <c r="BV346" s="34"/>
      <c r="BZ346" s="34"/>
      <c r="CD346" s="34"/>
    </row>
    <row r="347" spans="70:82" x14ac:dyDescent="0.15">
      <c r="BR347" s="34"/>
      <c r="BV347" s="34"/>
      <c r="BZ347" s="34"/>
      <c r="CD347" s="34"/>
    </row>
    <row r="348" spans="70:82" x14ac:dyDescent="0.15">
      <c r="BR348" s="34"/>
      <c r="BV348" s="34"/>
      <c r="BZ348" s="34"/>
      <c r="CD348" s="34"/>
    </row>
    <row r="349" spans="70:82" x14ac:dyDescent="0.15">
      <c r="BR349" s="34"/>
      <c r="BV349" s="34"/>
      <c r="BZ349" s="34"/>
      <c r="CD349" s="34"/>
    </row>
    <row r="350" spans="70:82" x14ac:dyDescent="0.15">
      <c r="BR350" s="34"/>
      <c r="BV350" s="34"/>
      <c r="BZ350" s="34"/>
      <c r="CD350" s="34"/>
    </row>
    <row r="351" spans="70:82" x14ac:dyDescent="0.15">
      <c r="BR351" s="34"/>
      <c r="BV351" s="34"/>
      <c r="BZ351" s="34"/>
      <c r="CD351" s="34"/>
    </row>
    <row r="352" spans="70:82" x14ac:dyDescent="0.15">
      <c r="BR352" s="34"/>
      <c r="BV352" s="34"/>
      <c r="BZ352" s="34"/>
      <c r="CD352" s="34"/>
    </row>
    <row r="353" spans="70:82" x14ac:dyDescent="0.15">
      <c r="BR353" s="34"/>
      <c r="BV353" s="34"/>
      <c r="BZ353" s="34"/>
      <c r="CD353" s="34"/>
    </row>
    <row r="354" spans="70:82" x14ac:dyDescent="0.15">
      <c r="BR354" s="34"/>
      <c r="BV354" s="34"/>
      <c r="BZ354" s="34"/>
      <c r="CD354" s="34"/>
    </row>
    <row r="355" spans="70:82" x14ac:dyDescent="0.15">
      <c r="BR355" s="34"/>
      <c r="BV355" s="34"/>
      <c r="BZ355" s="34"/>
      <c r="CD355" s="34"/>
    </row>
    <row r="356" spans="70:82" x14ac:dyDescent="0.15">
      <c r="BR356" s="34"/>
      <c r="BV356" s="34"/>
      <c r="BZ356" s="34"/>
      <c r="CD356" s="34"/>
    </row>
    <row r="357" spans="70:82" x14ac:dyDescent="0.15">
      <c r="BR357" s="34"/>
      <c r="BV357" s="34"/>
      <c r="BZ357" s="34"/>
      <c r="CD357" s="34"/>
    </row>
    <row r="358" spans="70:82" x14ac:dyDescent="0.15">
      <c r="BR358" s="34"/>
      <c r="BV358" s="34"/>
      <c r="BZ358" s="34"/>
      <c r="CD358" s="34"/>
    </row>
    <row r="359" spans="70:82" x14ac:dyDescent="0.15">
      <c r="BR359" s="34"/>
      <c r="BV359" s="34"/>
      <c r="BZ359" s="34"/>
      <c r="CD359" s="34"/>
    </row>
    <row r="360" spans="70:82" x14ac:dyDescent="0.15">
      <c r="BR360" s="34"/>
      <c r="BV360" s="34"/>
      <c r="BZ360" s="34"/>
      <c r="CD360" s="34"/>
    </row>
    <row r="361" spans="70:82" x14ac:dyDescent="0.15">
      <c r="BR361" s="34"/>
      <c r="BV361" s="34"/>
      <c r="BZ361" s="34"/>
      <c r="CD361" s="34"/>
    </row>
    <row r="362" spans="70:82" x14ac:dyDescent="0.15">
      <c r="BR362" s="34"/>
      <c r="BV362" s="34"/>
      <c r="BZ362" s="34"/>
      <c r="CD362" s="34"/>
    </row>
    <row r="363" spans="70:82" x14ac:dyDescent="0.15">
      <c r="BR363" s="34"/>
      <c r="BV363" s="34"/>
      <c r="BZ363" s="34"/>
      <c r="CD363" s="34"/>
    </row>
    <row r="364" spans="70:82" x14ac:dyDescent="0.15">
      <c r="BR364" s="34"/>
      <c r="BV364" s="34"/>
      <c r="BZ364" s="34"/>
      <c r="CD364" s="34"/>
    </row>
    <row r="365" spans="70:82" x14ac:dyDescent="0.15">
      <c r="BR365" s="34"/>
      <c r="BV365" s="34"/>
      <c r="BZ365" s="34"/>
      <c r="CD365" s="34"/>
    </row>
    <row r="366" spans="70:82" x14ac:dyDescent="0.15">
      <c r="BR366" s="34"/>
      <c r="BV366" s="34"/>
      <c r="BZ366" s="34"/>
      <c r="CD366" s="34"/>
    </row>
    <row r="367" spans="70:82" x14ac:dyDescent="0.15">
      <c r="BR367" s="34"/>
      <c r="BV367" s="34"/>
      <c r="BZ367" s="34"/>
      <c r="CD367" s="34"/>
    </row>
    <row r="368" spans="70:82" x14ac:dyDescent="0.15">
      <c r="BR368" s="34"/>
      <c r="BV368" s="34"/>
      <c r="BZ368" s="34"/>
      <c r="CD368" s="34"/>
    </row>
    <row r="369" spans="70:82" x14ac:dyDescent="0.15">
      <c r="BR369" s="34"/>
      <c r="BV369" s="34"/>
      <c r="BZ369" s="34"/>
      <c r="CD369" s="34"/>
    </row>
    <row r="370" spans="70:82" x14ac:dyDescent="0.15">
      <c r="BR370" s="34"/>
      <c r="BV370" s="34"/>
      <c r="BZ370" s="34"/>
      <c r="CD370" s="34"/>
    </row>
    <row r="371" spans="70:82" x14ac:dyDescent="0.15">
      <c r="BR371" s="34"/>
      <c r="BV371" s="34"/>
      <c r="BZ371" s="34"/>
      <c r="CD371" s="34"/>
    </row>
    <row r="372" spans="70:82" x14ac:dyDescent="0.15">
      <c r="BR372" s="34"/>
      <c r="BV372" s="34"/>
      <c r="BZ372" s="34"/>
      <c r="CD372" s="34"/>
    </row>
    <row r="373" spans="70:82" x14ac:dyDescent="0.15">
      <c r="BR373" s="34"/>
      <c r="BV373" s="34"/>
      <c r="BZ373" s="34"/>
      <c r="CD373" s="34"/>
    </row>
    <row r="374" spans="70:82" x14ac:dyDescent="0.15">
      <c r="BR374" s="34"/>
      <c r="BV374" s="34"/>
      <c r="BZ374" s="34"/>
      <c r="CD374" s="34"/>
    </row>
    <row r="375" spans="70:82" x14ac:dyDescent="0.15">
      <c r="BR375" s="34"/>
      <c r="BV375" s="34"/>
      <c r="BZ375" s="34"/>
      <c r="CD375" s="34"/>
    </row>
    <row r="376" spans="70:82" x14ac:dyDescent="0.15">
      <c r="BR376" s="34"/>
      <c r="BV376" s="34"/>
      <c r="BZ376" s="34"/>
      <c r="CD376" s="34"/>
    </row>
    <row r="377" spans="70:82" x14ac:dyDescent="0.15">
      <c r="BR377" s="34"/>
      <c r="BV377" s="34"/>
      <c r="BZ377" s="34"/>
      <c r="CD377" s="34"/>
    </row>
    <row r="378" spans="70:82" x14ac:dyDescent="0.15">
      <c r="BR378" s="34"/>
      <c r="BV378" s="34"/>
      <c r="BZ378" s="34"/>
      <c r="CD378" s="34"/>
    </row>
    <row r="379" spans="70:82" x14ac:dyDescent="0.15">
      <c r="BR379" s="34"/>
      <c r="BV379" s="34"/>
      <c r="BZ379" s="34"/>
      <c r="CD379" s="34"/>
    </row>
    <row r="380" spans="70:82" x14ac:dyDescent="0.15">
      <c r="BR380" s="34"/>
      <c r="BV380" s="34"/>
      <c r="BZ380" s="34"/>
      <c r="CD380" s="34"/>
    </row>
    <row r="381" spans="70:82" x14ac:dyDescent="0.15">
      <c r="BR381" s="34"/>
      <c r="BV381" s="34"/>
      <c r="BZ381" s="34"/>
      <c r="CD381" s="34"/>
    </row>
    <row r="382" spans="70:82" x14ac:dyDescent="0.15">
      <c r="BR382" s="34"/>
      <c r="BV382" s="34"/>
      <c r="BZ382" s="34"/>
      <c r="CD382" s="34"/>
    </row>
    <row r="383" spans="70:82" x14ac:dyDescent="0.15">
      <c r="BR383" s="34"/>
      <c r="BV383" s="34"/>
      <c r="BZ383" s="34"/>
      <c r="CD383" s="34"/>
    </row>
    <row r="384" spans="70:82" x14ac:dyDescent="0.15">
      <c r="BR384" s="34"/>
      <c r="BV384" s="34"/>
      <c r="BZ384" s="34"/>
      <c r="CD384" s="34"/>
    </row>
    <row r="385" spans="70:82" x14ac:dyDescent="0.15">
      <c r="BR385" s="34"/>
      <c r="BV385" s="34"/>
      <c r="BZ385" s="34"/>
      <c r="CD385" s="34"/>
    </row>
    <row r="386" spans="70:82" x14ac:dyDescent="0.15">
      <c r="BR386" s="34"/>
      <c r="BV386" s="34"/>
      <c r="BZ386" s="34"/>
      <c r="CD386" s="34"/>
    </row>
    <row r="387" spans="70:82" x14ac:dyDescent="0.15">
      <c r="BR387" s="34"/>
      <c r="BV387" s="34"/>
      <c r="BZ387" s="34"/>
      <c r="CD387" s="34"/>
    </row>
    <row r="388" spans="70:82" x14ac:dyDescent="0.15">
      <c r="BR388" s="34"/>
      <c r="BV388" s="34"/>
      <c r="BZ388" s="34"/>
      <c r="CD388" s="34"/>
    </row>
    <row r="389" spans="70:82" x14ac:dyDescent="0.15">
      <c r="BR389" s="34"/>
      <c r="BV389" s="34"/>
      <c r="BZ389" s="34"/>
      <c r="CD389" s="34"/>
    </row>
    <row r="390" spans="70:82" x14ac:dyDescent="0.15">
      <c r="BR390" s="34"/>
      <c r="BV390" s="34"/>
      <c r="BZ390" s="34"/>
      <c r="CD390" s="34"/>
    </row>
    <row r="391" spans="70:82" x14ac:dyDescent="0.15">
      <c r="BR391" s="34"/>
      <c r="BV391" s="34"/>
      <c r="BZ391" s="34"/>
      <c r="CD391" s="34"/>
    </row>
    <row r="392" spans="70:82" x14ac:dyDescent="0.15">
      <c r="BR392" s="34"/>
      <c r="BV392" s="34"/>
      <c r="BZ392" s="34"/>
      <c r="CD392" s="34"/>
    </row>
    <row r="393" spans="70:82" x14ac:dyDescent="0.15">
      <c r="BR393" s="34"/>
      <c r="BV393" s="34"/>
      <c r="BZ393" s="34"/>
      <c r="CD393" s="34"/>
    </row>
    <row r="394" spans="70:82" x14ac:dyDescent="0.15">
      <c r="BR394" s="34"/>
      <c r="BV394" s="34"/>
      <c r="BZ394" s="34"/>
      <c r="CD394" s="34"/>
    </row>
    <row r="395" spans="70:82" x14ac:dyDescent="0.15">
      <c r="BR395" s="34"/>
      <c r="BV395" s="34"/>
      <c r="BZ395" s="34"/>
      <c r="CD395" s="34"/>
    </row>
    <row r="396" spans="70:82" x14ac:dyDescent="0.15">
      <c r="BR396" s="34"/>
      <c r="BV396" s="34"/>
      <c r="BZ396" s="34"/>
      <c r="CD396" s="34"/>
    </row>
    <row r="397" spans="70:82" x14ac:dyDescent="0.15">
      <c r="BR397" s="34"/>
      <c r="BV397" s="34"/>
      <c r="BZ397" s="34"/>
      <c r="CD397" s="34"/>
    </row>
    <row r="398" spans="70:82" x14ac:dyDescent="0.15">
      <c r="BR398" s="34"/>
      <c r="BV398" s="34"/>
      <c r="BZ398" s="34"/>
      <c r="CD398" s="34"/>
    </row>
    <row r="399" spans="70:82" x14ac:dyDescent="0.15">
      <c r="BR399" s="34"/>
      <c r="BV399" s="34"/>
      <c r="BZ399" s="34"/>
      <c r="CD399" s="34"/>
    </row>
    <row r="400" spans="70:82" x14ac:dyDescent="0.15">
      <c r="BR400" s="34"/>
      <c r="BV400" s="34"/>
      <c r="BZ400" s="34"/>
      <c r="CD400" s="34"/>
    </row>
    <row r="401" spans="70:82" x14ac:dyDescent="0.15">
      <c r="BR401" s="34"/>
      <c r="BV401" s="34"/>
      <c r="BZ401" s="34"/>
      <c r="CD401" s="34"/>
    </row>
    <row r="402" spans="70:82" x14ac:dyDescent="0.15">
      <c r="BR402" s="34"/>
      <c r="BV402" s="34"/>
      <c r="BZ402" s="34"/>
      <c r="CD402" s="34"/>
    </row>
    <row r="403" spans="70:82" x14ac:dyDescent="0.15">
      <c r="BR403" s="34"/>
      <c r="BV403" s="34"/>
      <c r="BZ403" s="34"/>
      <c r="CD403" s="34"/>
    </row>
    <row r="404" spans="70:82" x14ac:dyDescent="0.15">
      <c r="BR404" s="34"/>
      <c r="BV404" s="34"/>
      <c r="BZ404" s="34"/>
      <c r="CD404" s="34"/>
    </row>
    <row r="405" spans="70:82" x14ac:dyDescent="0.15">
      <c r="BR405" s="34"/>
      <c r="BV405" s="34"/>
      <c r="BZ405" s="34"/>
      <c r="CD405" s="34"/>
    </row>
    <row r="406" spans="70:82" x14ac:dyDescent="0.15">
      <c r="BR406" s="34"/>
      <c r="BV406" s="34"/>
      <c r="BZ406" s="34"/>
      <c r="CD406" s="34"/>
    </row>
    <row r="407" spans="70:82" x14ac:dyDescent="0.15">
      <c r="BR407" s="34"/>
      <c r="BV407" s="34"/>
      <c r="BZ407" s="34"/>
      <c r="CD407" s="34"/>
    </row>
    <row r="408" spans="70:82" x14ac:dyDescent="0.15">
      <c r="BR408" s="34"/>
      <c r="BV408" s="34"/>
      <c r="BZ408" s="34"/>
      <c r="CD408" s="34"/>
    </row>
    <row r="409" spans="70:82" x14ac:dyDescent="0.15">
      <c r="BR409" s="34"/>
      <c r="BV409" s="34"/>
      <c r="BZ409" s="34"/>
      <c r="CD409" s="34"/>
    </row>
    <row r="410" spans="70:82" x14ac:dyDescent="0.15">
      <c r="BR410" s="34"/>
      <c r="BV410" s="34"/>
      <c r="BZ410" s="34"/>
      <c r="CD410" s="34"/>
    </row>
    <row r="411" spans="70:82" x14ac:dyDescent="0.15">
      <c r="BR411" s="34"/>
      <c r="BV411" s="34"/>
      <c r="BZ411" s="34"/>
      <c r="CD411" s="34"/>
    </row>
    <row r="412" spans="70:82" x14ac:dyDescent="0.15">
      <c r="BR412" s="34"/>
      <c r="BV412" s="34"/>
      <c r="BZ412" s="34"/>
      <c r="CD412" s="34"/>
    </row>
    <row r="413" spans="70:82" x14ac:dyDescent="0.15">
      <c r="BR413" s="34"/>
      <c r="BV413" s="34"/>
      <c r="BZ413" s="34"/>
      <c r="CD413" s="34"/>
    </row>
    <row r="414" spans="70:82" x14ac:dyDescent="0.15">
      <c r="BR414" s="34"/>
      <c r="BV414" s="34"/>
      <c r="BZ414" s="34"/>
      <c r="CD414" s="34"/>
    </row>
    <row r="415" spans="70:82" x14ac:dyDescent="0.15">
      <c r="BR415" s="34"/>
      <c r="BV415" s="34"/>
      <c r="BZ415" s="34"/>
      <c r="CD415" s="34"/>
    </row>
    <row r="416" spans="70:82" x14ac:dyDescent="0.15">
      <c r="BR416" s="34"/>
      <c r="BV416" s="34"/>
      <c r="BZ416" s="34"/>
      <c r="CD416" s="34"/>
    </row>
    <row r="417" spans="70:82" x14ac:dyDescent="0.15">
      <c r="BR417" s="34"/>
      <c r="BV417" s="34"/>
      <c r="BZ417" s="34"/>
      <c r="CD417" s="34"/>
    </row>
    <row r="418" spans="70:82" x14ac:dyDescent="0.15">
      <c r="BR418" s="34"/>
      <c r="BV418" s="34"/>
      <c r="BZ418" s="34"/>
      <c r="CD418" s="34"/>
    </row>
    <row r="419" spans="70:82" x14ac:dyDescent="0.15">
      <c r="BR419" s="34"/>
      <c r="BV419" s="34"/>
      <c r="BZ419" s="34"/>
      <c r="CD419" s="34"/>
    </row>
    <row r="420" spans="70:82" x14ac:dyDescent="0.15">
      <c r="BR420" s="34"/>
      <c r="BV420" s="34"/>
      <c r="BZ420" s="34"/>
      <c r="CD420" s="34"/>
    </row>
    <row r="421" spans="70:82" x14ac:dyDescent="0.15">
      <c r="BR421" s="34"/>
      <c r="BV421" s="34"/>
      <c r="BZ421" s="34"/>
      <c r="CD421" s="34"/>
    </row>
    <row r="422" spans="70:82" x14ac:dyDescent="0.15">
      <c r="BR422" s="34"/>
      <c r="BV422" s="34"/>
      <c r="BZ422" s="34"/>
      <c r="CD422" s="34"/>
    </row>
    <row r="423" spans="70:82" x14ac:dyDescent="0.15">
      <c r="BR423" s="34"/>
      <c r="BV423" s="34"/>
      <c r="BZ423" s="34"/>
      <c r="CD423" s="34"/>
    </row>
    <row r="424" spans="70:82" x14ac:dyDescent="0.15">
      <c r="BR424" s="34"/>
      <c r="BV424" s="34"/>
      <c r="BZ424" s="34"/>
      <c r="CD424" s="34"/>
    </row>
    <row r="425" spans="70:82" x14ac:dyDescent="0.15">
      <c r="BR425" s="34"/>
      <c r="BV425" s="34"/>
      <c r="BZ425" s="34"/>
      <c r="CD425" s="34"/>
    </row>
    <row r="426" spans="70:82" x14ac:dyDescent="0.15">
      <c r="BR426" s="34"/>
      <c r="BV426" s="34"/>
      <c r="BZ426" s="34"/>
      <c r="CD426" s="34"/>
    </row>
    <row r="427" spans="70:82" x14ac:dyDescent="0.15">
      <c r="BR427" s="34"/>
      <c r="BV427" s="34"/>
      <c r="BZ427" s="34"/>
      <c r="CD427" s="34"/>
    </row>
    <row r="428" spans="70:82" x14ac:dyDescent="0.15">
      <c r="BR428" s="34"/>
      <c r="BV428" s="34"/>
      <c r="BZ428" s="34"/>
      <c r="CD428" s="34"/>
    </row>
    <row r="429" spans="70:82" x14ac:dyDescent="0.15">
      <c r="BR429" s="34"/>
      <c r="BV429" s="34"/>
      <c r="BZ429" s="34"/>
      <c r="CD429" s="34"/>
    </row>
    <row r="430" spans="70:82" x14ac:dyDescent="0.15">
      <c r="BR430" s="34"/>
      <c r="BV430" s="34"/>
      <c r="BZ430" s="34"/>
      <c r="CD430" s="34"/>
    </row>
    <row r="431" spans="70:82" x14ac:dyDescent="0.15">
      <c r="BR431" s="34"/>
      <c r="BV431" s="34"/>
      <c r="BZ431" s="34"/>
      <c r="CD431" s="34"/>
    </row>
    <row r="432" spans="70:82" x14ac:dyDescent="0.15">
      <c r="BR432" s="34"/>
      <c r="BV432" s="34"/>
      <c r="BZ432" s="34"/>
      <c r="CD432" s="34"/>
    </row>
    <row r="433" spans="70:82" x14ac:dyDescent="0.15">
      <c r="BR433" s="34"/>
      <c r="BV433" s="34"/>
      <c r="BZ433" s="34"/>
      <c r="CD433" s="34"/>
    </row>
    <row r="434" spans="70:82" x14ac:dyDescent="0.15">
      <c r="BR434" s="34"/>
      <c r="BV434" s="34"/>
      <c r="BZ434" s="34"/>
      <c r="CD434" s="34"/>
    </row>
    <row r="435" spans="70:82" x14ac:dyDescent="0.15">
      <c r="BR435" s="34"/>
      <c r="BV435" s="34"/>
      <c r="BZ435" s="34"/>
      <c r="CD435" s="34"/>
    </row>
    <row r="436" spans="70:82" x14ac:dyDescent="0.15">
      <c r="BR436" s="34"/>
      <c r="BV436" s="34"/>
      <c r="BZ436" s="34"/>
      <c r="CD436" s="34"/>
    </row>
    <row r="437" spans="70:82" x14ac:dyDescent="0.15">
      <c r="BR437" s="34"/>
      <c r="BV437" s="34"/>
      <c r="BZ437" s="34"/>
      <c r="CD437" s="34"/>
    </row>
    <row r="438" spans="70:82" x14ac:dyDescent="0.15">
      <c r="BR438" s="34"/>
      <c r="BV438" s="34"/>
      <c r="BZ438" s="34"/>
      <c r="CD438" s="34"/>
    </row>
    <row r="439" spans="70:82" x14ac:dyDescent="0.15">
      <c r="BR439" s="34"/>
      <c r="BV439" s="34"/>
      <c r="BZ439" s="34"/>
      <c r="CD439" s="34"/>
    </row>
    <row r="440" spans="70:82" x14ac:dyDescent="0.15">
      <c r="BR440" s="34"/>
      <c r="BV440" s="34"/>
      <c r="BZ440" s="34"/>
      <c r="CD440" s="34"/>
    </row>
    <row r="441" spans="70:82" x14ac:dyDescent="0.15">
      <c r="BR441" s="34"/>
      <c r="BV441" s="34"/>
      <c r="BZ441" s="34"/>
      <c r="CD441" s="34"/>
    </row>
    <row r="442" spans="70:82" x14ac:dyDescent="0.15">
      <c r="BR442" s="34"/>
      <c r="BV442" s="34"/>
      <c r="BZ442" s="34"/>
      <c r="CD442" s="34"/>
    </row>
    <row r="443" spans="70:82" x14ac:dyDescent="0.15">
      <c r="BR443" s="34"/>
      <c r="BV443" s="34"/>
      <c r="BZ443" s="34"/>
      <c r="CD443" s="34"/>
    </row>
    <row r="444" spans="70:82" x14ac:dyDescent="0.15">
      <c r="BR444" s="34"/>
      <c r="BV444" s="34"/>
      <c r="BZ444" s="34"/>
      <c r="CD444" s="34"/>
    </row>
    <row r="445" spans="70:82" x14ac:dyDescent="0.15">
      <c r="BR445" s="34"/>
      <c r="BV445" s="34"/>
      <c r="BZ445" s="34"/>
      <c r="CD445" s="34"/>
    </row>
    <row r="446" spans="70:82" x14ac:dyDescent="0.15">
      <c r="BR446" s="34"/>
      <c r="BV446" s="34"/>
      <c r="BZ446" s="34"/>
      <c r="CD446" s="34"/>
    </row>
    <row r="447" spans="70:82" x14ac:dyDescent="0.15">
      <c r="BR447" s="34"/>
      <c r="BV447" s="34"/>
      <c r="BZ447" s="34"/>
      <c r="CD447" s="34"/>
    </row>
    <row r="448" spans="70:82" x14ac:dyDescent="0.15">
      <c r="BR448" s="34"/>
      <c r="BV448" s="34"/>
      <c r="BZ448" s="34"/>
      <c r="CD448" s="34"/>
    </row>
    <row r="449" spans="70:82" x14ac:dyDescent="0.15">
      <c r="BR449" s="34"/>
      <c r="BV449" s="34"/>
      <c r="BZ449" s="34"/>
      <c r="CD449" s="34"/>
    </row>
    <row r="450" spans="70:82" x14ac:dyDescent="0.15">
      <c r="BR450" s="34"/>
      <c r="BV450" s="34"/>
      <c r="BZ450" s="34"/>
      <c r="CD450" s="34"/>
    </row>
    <row r="451" spans="70:82" x14ac:dyDescent="0.15">
      <c r="BR451" s="34"/>
      <c r="BV451" s="34"/>
      <c r="BZ451" s="34"/>
      <c r="CD451" s="34"/>
    </row>
    <row r="452" spans="70:82" x14ac:dyDescent="0.15">
      <c r="BR452" s="34"/>
      <c r="BV452" s="34"/>
      <c r="BZ452" s="34"/>
      <c r="CD452" s="34"/>
    </row>
    <row r="453" spans="70:82" x14ac:dyDescent="0.15">
      <c r="BR453" s="34"/>
      <c r="BV453" s="34"/>
      <c r="BZ453" s="34"/>
      <c r="CD453" s="34"/>
    </row>
    <row r="454" spans="70:82" x14ac:dyDescent="0.15">
      <c r="BR454" s="34"/>
      <c r="BV454" s="34"/>
      <c r="BZ454" s="34"/>
      <c r="CD454" s="34"/>
    </row>
    <row r="455" spans="70:82" x14ac:dyDescent="0.15">
      <c r="BR455" s="34"/>
      <c r="BV455" s="34"/>
      <c r="BZ455" s="34"/>
      <c r="CD455" s="34"/>
    </row>
    <row r="456" spans="70:82" x14ac:dyDescent="0.15">
      <c r="BR456" s="34"/>
      <c r="BV456" s="34"/>
      <c r="BZ456" s="34"/>
      <c r="CD456" s="34"/>
    </row>
    <row r="457" spans="70:82" x14ac:dyDescent="0.15">
      <c r="BR457" s="34"/>
      <c r="BV457" s="34"/>
      <c r="BZ457" s="34"/>
      <c r="CD457" s="34"/>
    </row>
    <row r="458" spans="70:82" x14ac:dyDescent="0.15">
      <c r="BR458" s="34"/>
      <c r="BV458" s="34"/>
      <c r="BZ458" s="34"/>
      <c r="CD458" s="34"/>
    </row>
    <row r="459" spans="70:82" x14ac:dyDescent="0.15">
      <c r="BR459" s="34"/>
      <c r="BV459" s="34"/>
      <c r="BZ459" s="34"/>
      <c r="CD459" s="34"/>
    </row>
    <row r="460" spans="70:82" x14ac:dyDescent="0.15">
      <c r="BR460" s="34"/>
      <c r="BV460" s="34"/>
      <c r="BZ460" s="34"/>
      <c r="CD460" s="34"/>
    </row>
    <row r="461" spans="70:82" x14ac:dyDescent="0.15">
      <c r="BR461" s="34"/>
      <c r="BV461" s="34"/>
      <c r="BZ461" s="34"/>
      <c r="CD461" s="34"/>
    </row>
    <row r="462" spans="70:82" x14ac:dyDescent="0.15">
      <c r="BR462" s="34"/>
      <c r="BV462" s="34"/>
      <c r="BZ462" s="34"/>
      <c r="CD462" s="34"/>
    </row>
    <row r="463" spans="70:82" x14ac:dyDescent="0.15">
      <c r="BR463" s="34"/>
      <c r="BV463" s="34"/>
      <c r="BZ463" s="34"/>
      <c r="CD463" s="34"/>
    </row>
    <row r="464" spans="70:82" x14ac:dyDescent="0.15">
      <c r="BR464" s="34"/>
      <c r="BV464" s="34"/>
      <c r="BZ464" s="34"/>
      <c r="CD464" s="34"/>
    </row>
    <row r="465" spans="70:82" x14ac:dyDescent="0.15">
      <c r="BR465" s="34"/>
      <c r="BV465" s="34"/>
      <c r="BZ465" s="34"/>
      <c r="CD465" s="34"/>
    </row>
    <row r="466" spans="70:82" x14ac:dyDescent="0.15">
      <c r="BR466" s="34"/>
      <c r="BV466" s="34"/>
      <c r="BZ466" s="34"/>
      <c r="CD466" s="34"/>
    </row>
    <row r="467" spans="70:82" x14ac:dyDescent="0.15">
      <c r="BR467" s="34"/>
      <c r="BV467" s="34"/>
      <c r="BZ467" s="34"/>
      <c r="CD467" s="34"/>
    </row>
    <row r="468" spans="70:82" x14ac:dyDescent="0.15">
      <c r="BR468" s="34"/>
      <c r="BV468" s="34"/>
      <c r="BZ468" s="34"/>
      <c r="CD468" s="34"/>
    </row>
    <row r="469" spans="70:82" x14ac:dyDescent="0.15">
      <c r="BR469" s="34"/>
      <c r="BV469" s="34"/>
      <c r="BZ469" s="34"/>
      <c r="CD469" s="34"/>
    </row>
    <row r="470" spans="70:82" x14ac:dyDescent="0.15">
      <c r="BR470" s="34"/>
      <c r="BV470" s="34"/>
      <c r="BZ470" s="34"/>
      <c r="CD470" s="34"/>
    </row>
    <row r="471" spans="70:82" x14ac:dyDescent="0.15">
      <c r="BR471" s="34"/>
      <c r="BV471" s="34"/>
      <c r="BZ471" s="34"/>
      <c r="CD471" s="34"/>
    </row>
    <row r="472" spans="70:82" x14ac:dyDescent="0.15">
      <c r="BR472" s="34"/>
      <c r="BV472" s="34"/>
      <c r="BZ472" s="34"/>
      <c r="CD472" s="34"/>
    </row>
    <row r="473" spans="70:82" x14ac:dyDescent="0.15">
      <c r="BR473" s="34"/>
      <c r="BV473" s="34"/>
      <c r="BZ473" s="34"/>
      <c r="CD473" s="34"/>
    </row>
    <row r="474" spans="70:82" x14ac:dyDescent="0.15">
      <c r="BR474" s="34"/>
      <c r="BV474" s="34"/>
      <c r="BZ474" s="34"/>
      <c r="CD474" s="34"/>
    </row>
    <row r="475" spans="70:82" x14ac:dyDescent="0.15">
      <c r="BR475" s="34"/>
      <c r="BV475" s="34"/>
      <c r="BZ475" s="34"/>
      <c r="CD475" s="34"/>
    </row>
    <row r="476" spans="70:82" x14ac:dyDescent="0.15">
      <c r="BR476" s="34"/>
      <c r="BV476" s="34"/>
      <c r="BZ476" s="34"/>
      <c r="CD476" s="34"/>
    </row>
    <row r="477" spans="70:82" x14ac:dyDescent="0.15">
      <c r="BR477" s="34"/>
      <c r="BV477" s="34"/>
      <c r="BZ477" s="34"/>
      <c r="CD477" s="34"/>
    </row>
    <row r="478" spans="70:82" x14ac:dyDescent="0.15">
      <c r="BR478" s="34"/>
      <c r="BV478" s="34"/>
      <c r="BZ478" s="34"/>
      <c r="CD478" s="34"/>
    </row>
    <row r="479" spans="70:82" x14ac:dyDescent="0.15">
      <c r="BR479" s="34"/>
      <c r="BV479" s="34"/>
      <c r="BZ479" s="34"/>
      <c r="CD479" s="34"/>
    </row>
    <row r="480" spans="70:82" x14ac:dyDescent="0.15">
      <c r="BR480" s="34"/>
      <c r="BV480" s="34"/>
      <c r="BZ480" s="34"/>
      <c r="CD480" s="34"/>
    </row>
    <row r="481" spans="70:82" x14ac:dyDescent="0.15">
      <c r="BR481" s="34"/>
      <c r="BV481" s="34"/>
      <c r="BZ481" s="34"/>
      <c r="CD481" s="34"/>
    </row>
    <row r="482" spans="70:82" x14ac:dyDescent="0.15">
      <c r="BR482" s="34"/>
      <c r="BV482" s="34"/>
      <c r="BZ482" s="34"/>
      <c r="CD482" s="34"/>
    </row>
    <row r="483" spans="70:82" x14ac:dyDescent="0.15">
      <c r="BR483" s="34"/>
      <c r="BV483" s="34"/>
      <c r="BZ483" s="34"/>
      <c r="CD483" s="34"/>
    </row>
    <row r="484" spans="70:82" x14ac:dyDescent="0.15">
      <c r="BR484" s="34"/>
      <c r="BV484" s="34"/>
      <c r="BZ484" s="34"/>
      <c r="CD484" s="34"/>
    </row>
    <row r="485" spans="70:82" x14ac:dyDescent="0.15">
      <c r="BR485" s="34"/>
      <c r="BV485" s="34"/>
      <c r="BZ485" s="34"/>
      <c r="CD485" s="34"/>
    </row>
    <row r="486" spans="70:82" x14ac:dyDescent="0.15">
      <c r="BR486" s="34"/>
      <c r="BV486" s="34"/>
      <c r="BZ486" s="34"/>
      <c r="CD486" s="34"/>
    </row>
    <row r="487" spans="70:82" x14ac:dyDescent="0.15">
      <c r="BR487" s="34"/>
      <c r="BV487" s="34"/>
      <c r="BZ487" s="34"/>
      <c r="CD487" s="34"/>
    </row>
    <row r="488" spans="70:82" x14ac:dyDescent="0.15">
      <c r="BR488" s="34"/>
      <c r="BV488" s="34"/>
      <c r="BZ488" s="34"/>
      <c r="CD488" s="34"/>
    </row>
    <row r="489" spans="70:82" x14ac:dyDescent="0.15">
      <c r="BR489" s="34"/>
      <c r="BV489" s="34"/>
      <c r="BZ489" s="34"/>
      <c r="CD489" s="34"/>
    </row>
    <row r="490" spans="70:82" x14ac:dyDescent="0.15">
      <c r="BR490" s="34"/>
      <c r="BV490" s="34"/>
      <c r="BZ490" s="34"/>
      <c r="CD490" s="34"/>
    </row>
    <row r="491" spans="70:82" x14ac:dyDescent="0.15">
      <c r="BR491" s="34"/>
      <c r="BV491" s="34"/>
      <c r="BZ491" s="34"/>
      <c r="CD491" s="34"/>
    </row>
    <row r="492" spans="70:82" x14ac:dyDescent="0.15">
      <c r="BR492" s="34"/>
      <c r="BV492" s="34"/>
      <c r="BZ492" s="34"/>
      <c r="CD492" s="34"/>
    </row>
    <row r="493" spans="70:82" x14ac:dyDescent="0.15">
      <c r="BR493" s="34"/>
      <c r="BV493" s="34"/>
      <c r="BZ493" s="34"/>
      <c r="CD493" s="34"/>
    </row>
    <row r="494" spans="70:82" x14ac:dyDescent="0.15">
      <c r="BR494" s="34"/>
      <c r="BV494" s="34"/>
      <c r="BZ494" s="34"/>
      <c r="CD494" s="34"/>
    </row>
    <row r="495" spans="70:82" x14ac:dyDescent="0.15">
      <c r="BR495" s="34"/>
      <c r="BV495" s="34"/>
      <c r="BZ495" s="34"/>
      <c r="CD495" s="34"/>
    </row>
    <row r="496" spans="70:82" x14ac:dyDescent="0.15">
      <c r="BR496" s="34"/>
      <c r="BV496" s="34"/>
      <c r="BZ496" s="34"/>
      <c r="CD496" s="34"/>
    </row>
    <row r="497" spans="70:82" x14ac:dyDescent="0.15">
      <c r="BR497" s="34"/>
      <c r="BV497" s="34"/>
      <c r="BZ497" s="34"/>
      <c r="CD497" s="34"/>
    </row>
    <row r="498" spans="70:82" x14ac:dyDescent="0.15">
      <c r="BR498" s="34"/>
      <c r="BV498" s="34"/>
      <c r="BZ498" s="34"/>
      <c r="CD498" s="34"/>
    </row>
    <row r="499" spans="70:82" x14ac:dyDescent="0.15">
      <c r="BR499" s="34"/>
      <c r="BV499" s="34"/>
      <c r="BZ499" s="34"/>
      <c r="CD499" s="34"/>
    </row>
    <row r="500" spans="70:82" x14ac:dyDescent="0.15">
      <c r="BR500" s="34"/>
      <c r="BV500" s="34"/>
      <c r="BZ500" s="34"/>
      <c r="CD500" s="34"/>
    </row>
    <row r="501" spans="70:82" x14ac:dyDescent="0.15">
      <c r="BR501" s="34"/>
      <c r="BV501" s="34"/>
      <c r="BZ501" s="34"/>
      <c r="CD501" s="34"/>
    </row>
    <row r="502" spans="70:82" x14ac:dyDescent="0.15">
      <c r="BR502" s="34"/>
      <c r="BV502" s="34"/>
      <c r="BZ502" s="34"/>
      <c r="CD502" s="34"/>
    </row>
    <row r="503" spans="70:82" x14ac:dyDescent="0.15">
      <c r="BR503" s="34"/>
      <c r="BV503" s="34"/>
      <c r="BZ503" s="34"/>
      <c r="CD503" s="34"/>
    </row>
    <row r="504" spans="70:82" x14ac:dyDescent="0.15">
      <c r="BR504" s="34"/>
      <c r="BV504" s="34"/>
      <c r="BZ504" s="34"/>
      <c r="CD504" s="34"/>
    </row>
    <row r="505" spans="70:82" x14ac:dyDescent="0.15">
      <c r="BR505" s="34"/>
      <c r="BV505" s="34"/>
      <c r="BZ505" s="34"/>
      <c r="CD505" s="34"/>
    </row>
    <row r="506" spans="70:82" x14ac:dyDescent="0.15">
      <c r="BR506" s="34"/>
      <c r="BV506" s="34"/>
      <c r="BZ506" s="34"/>
      <c r="CD506" s="34"/>
    </row>
    <row r="507" spans="70:82" x14ac:dyDescent="0.15">
      <c r="BR507" s="34"/>
      <c r="BV507" s="34"/>
      <c r="BZ507" s="34"/>
      <c r="CD507" s="34"/>
    </row>
    <row r="508" spans="70:82" x14ac:dyDescent="0.15">
      <c r="BR508" s="34"/>
      <c r="BV508" s="34"/>
      <c r="BZ508" s="34"/>
      <c r="CD508" s="34"/>
    </row>
    <row r="509" spans="70:82" x14ac:dyDescent="0.15">
      <c r="BR509" s="34"/>
      <c r="BV509" s="34"/>
      <c r="BZ509" s="34"/>
      <c r="CD509" s="34"/>
    </row>
    <row r="510" spans="70:82" x14ac:dyDescent="0.15">
      <c r="BR510" s="34"/>
      <c r="BV510" s="34"/>
      <c r="BZ510" s="34"/>
      <c r="CD510" s="34"/>
    </row>
    <row r="511" spans="70:82" x14ac:dyDescent="0.15">
      <c r="BR511" s="34"/>
      <c r="BV511" s="34"/>
      <c r="BZ511" s="34"/>
      <c r="CD511" s="34"/>
    </row>
    <row r="512" spans="70:82" x14ac:dyDescent="0.15">
      <c r="BR512" s="34"/>
      <c r="BV512" s="34"/>
      <c r="BZ512" s="34"/>
      <c r="CD512" s="34"/>
    </row>
    <row r="513" spans="70:82" x14ac:dyDescent="0.15">
      <c r="BR513" s="34"/>
      <c r="BV513" s="34"/>
      <c r="BZ513" s="34"/>
      <c r="CD513" s="34"/>
    </row>
    <row r="514" spans="70:82" x14ac:dyDescent="0.15">
      <c r="BR514" s="34"/>
      <c r="BV514" s="34"/>
      <c r="BZ514" s="34"/>
      <c r="CD514" s="34"/>
    </row>
    <row r="515" spans="70:82" x14ac:dyDescent="0.15">
      <c r="BR515" s="34"/>
      <c r="BV515" s="34"/>
      <c r="BZ515" s="34"/>
      <c r="CD515" s="34"/>
    </row>
    <row r="516" spans="70:82" x14ac:dyDescent="0.15">
      <c r="BR516" s="34"/>
      <c r="BV516" s="34"/>
      <c r="BZ516" s="34"/>
      <c r="CD516" s="34"/>
    </row>
    <row r="517" spans="70:82" x14ac:dyDescent="0.15">
      <c r="BR517" s="34"/>
      <c r="BV517" s="34"/>
      <c r="BZ517" s="34"/>
      <c r="CD517" s="34"/>
    </row>
    <row r="518" spans="70:82" x14ac:dyDescent="0.15">
      <c r="BR518" s="34"/>
      <c r="BV518" s="34"/>
      <c r="BZ518" s="34"/>
      <c r="CD518" s="34"/>
    </row>
    <row r="519" spans="70:82" x14ac:dyDescent="0.15">
      <c r="BR519" s="34"/>
      <c r="BV519" s="34"/>
      <c r="BZ519" s="34"/>
      <c r="CD519" s="34"/>
    </row>
    <row r="520" spans="70:82" x14ac:dyDescent="0.15">
      <c r="BR520" s="34"/>
      <c r="BV520" s="34"/>
      <c r="BZ520" s="34"/>
      <c r="CD520" s="34"/>
    </row>
    <row r="521" spans="70:82" x14ac:dyDescent="0.15">
      <c r="BR521" s="34"/>
      <c r="BV521" s="34"/>
      <c r="BZ521" s="34"/>
      <c r="CD521" s="34"/>
    </row>
    <row r="522" spans="70:82" x14ac:dyDescent="0.15">
      <c r="BR522" s="34"/>
      <c r="BV522" s="34"/>
      <c r="BZ522" s="34"/>
      <c r="CD522" s="34"/>
    </row>
    <row r="523" spans="70:82" x14ac:dyDescent="0.15">
      <c r="BR523" s="34"/>
      <c r="BV523" s="34"/>
      <c r="BZ523" s="34"/>
      <c r="CD523" s="34"/>
    </row>
    <row r="524" spans="70:82" x14ac:dyDescent="0.15">
      <c r="BR524" s="34"/>
      <c r="BV524" s="34"/>
      <c r="BZ524" s="34"/>
      <c r="CD524" s="34"/>
    </row>
    <row r="525" spans="70:82" x14ac:dyDescent="0.15">
      <c r="BR525" s="34"/>
      <c r="BV525" s="34"/>
      <c r="BZ525" s="34"/>
      <c r="CD525" s="34"/>
    </row>
    <row r="526" spans="70:82" x14ac:dyDescent="0.15">
      <c r="BR526" s="34"/>
      <c r="BV526" s="34"/>
      <c r="BZ526" s="34"/>
      <c r="CD526" s="34"/>
    </row>
    <row r="527" spans="70:82" x14ac:dyDescent="0.15">
      <c r="BR527" s="34"/>
      <c r="BV527" s="34"/>
      <c r="BZ527" s="34"/>
      <c r="CD527" s="34"/>
    </row>
    <row r="528" spans="70:82" x14ac:dyDescent="0.15">
      <c r="BR528" s="34"/>
      <c r="BV528" s="34"/>
      <c r="BZ528" s="34"/>
      <c r="CD528" s="34"/>
    </row>
    <row r="529" spans="70:82" x14ac:dyDescent="0.15">
      <c r="BR529" s="34"/>
      <c r="BV529" s="34"/>
      <c r="BZ529" s="34"/>
      <c r="CD529" s="34"/>
    </row>
    <row r="530" spans="70:82" x14ac:dyDescent="0.15">
      <c r="BR530" s="34"/>
      <c r="BV530" s="34"/>
      <c r="BZ530" s="34"/>
      <c r="CD530" s="34"/>
    </row>
    <row r="531" spans="70:82" x14ac:dyDescent="0.15">
      <c r="BR531" s="34"/>
      <c r="BV531" s="34"/>
      <c r="BZ531" s="34"/>
      <c r="CD531" s="34"/>
    </row>
    <row r="532" spans="70:82" x14ac:dyDescent="0.15">
      <c r="BR532" s="34"/>
      <c r="BV532" s="34"/>
      <c r="BZ532" s="34"/>
      <c r="CD532" s="34"/>
    </row>
    <row r="533" spans="70:82" x14ac:dyDescent="0.15">
      <c r="BR533" s="34"/>
      <c r="BV533" s="34"/>
      <c r="BZ533" s="34"/>
      <c r="CD533" s="34"/>
    </row>
    <row r="534" spans="70:82" x14ac:dyDescent="0.15">
      <c r="BR534" s="34"/>
      <c r="BV534" s="34"/>
      <c r="BZ534" s="34"/>
      <c r="CD534" s="34"/>
    </row>
    <row r="535" spans="70:82" x14ac:dyDescent="0.15">
      <c r="BR535" s="34"/>
      <c r="BV535" s="34"/>
      <c r="BZ535" s="34"/>
      <c r="CD535" s="34"/>
    </row>
    <row r="536" spans="70:82" x14ac:dyDescent="0.15">
      <c r="BR536" s="34"/>
      <c r="BV536" s="34"/>
      <c r="BZ536" s="34"/>
      <c r="CD536" s="34"/>
    </row>
    <row r="537" spans="70:82" x14ac:dyDescent="0.15">
      <c r="BR537" s="34"/>
      <c r="BV537" s="34"/>
      <c r="BZ537" s="34"/>
      <c r="CD537" s="34"/>
    </row>
    <row r="538" spans="70:82" x14ac:dyDescent="0.15">
      <c r="BR538" s="34"/>
      <c r="BV538" s="34"/>
      <c r="BZ538" s="34"/>
      <c r="CD538" s="34"/>
    </row>
    <row r="539" spans="70:82" x14ac:dyDescent="0.15">
      <c r="BR539" s="34"/>
      <c r="BV539" s="34"/>
      <c r="BZ539" s="34"/>
      <c r="CD539" s="34"/>
    </row>
    <row r="540" spans="70:82" x14ac:dyDescent="0.15">
      <c r="BR540" s="34"/>
      <c r="BV540" s="34"/>
      <c r="BZ540" s="34"/>
      <c r="CD540" s="34"/>
    </row>
    <row r="541" spans="70:82" x14ac:dyDescent="0.15">
      <c r="BR541" s="34"/>
      <c r="BV541" s="34"/>
      <c r="BZ541" s="34"/>
      <c r="CD541" s="34"/>
    </row>
    <row r="542" spans="70:82" x14ac:dyDescent="0.15">
      <c r="BR542" s="34"/>
      <c r="BV542" s="34"/>
      <c r="BZ542" s="34"/>
      <c r="CD542" s="34"/>
    </row>
    <row r="543" spans="70:82" x14ac:dyDescent="0.15">
      <c r="BR543" s="34"/>
      <c r="BV543" s="34"/>
      <c r="BZ543" s="34"/>
      <c r="CD543" s="34"/>
    </row>
    <row r="544" spans="70:82" x14ac:dyDescent="0.15">
      <c r="BR544" s="34"/>
      <c r="BV544" s="34"/>
      <c r="BZ544" s="34"/>
      <c r="CD544" s="34"/>
    </row>
    <row r="545" spans="70:82" x14ac:dyDescent="0.15">
      <c r="BR545" s="34"/>
      <c r="BV545" s="34"/>
      <c r="BZ545" s="34"/>
      <c r="CD545" s="34"/>
    </row>
    <row r="546" spans="70:82" x14ac:dyDescent="0.15">
      <c r="BR546" s="34"/>
      <c r="BV546" s="34"/>
      <c r="BZ546" s="34"/>
      <c r="CD546" s="34"/>
    </row>
    <row r="547" spans="70:82" x14ac:dyDescent="0.15">
      <c r="BR547" s="34"/>
      <c r="BV547" s="34"/>
      <c r="BZ547" s="34"/>
      <c r="CD547" s="34"/>
    </row>
    <row r="548" spans="70:82" x14ac:dyDescent="0.15">
      <c r="BR548" s="34"/>
      <c r="BV548" s="34"/>
      <c r="BZ548" s="34"/>
      <c r="CD548" s="34"/>
    </row>
    <row r="549" spans="70:82" x14ac:dyDescent="0.15">
      <c r="BR549" s="34"/>
      <c r="BV549" s="34"/>
      <c r="BZ549" s="34"/>
      <c r="CD549" s="34"/>
    </row>
    <row r="550" spans="70:82" x14ac:dyDescent="0.15">
      <c r="BR550" s="34"/>
      <c r="BV550" s="34"/>
      <c r="BZ550" s="34"/>
      <c r="CD550" s="34"/>
    </row>
    <row r="551" spans="70:82" x14ac:dyDescent="0.15">
      <c r="BR551" s="34"/>
      <c r="BV551" s="34"/>
      <c r="BZ551" s="34"/>
      <c r="CD551" s="34"/>
    </row>
    <row r="552" spans="70:82" x14ac:dyDescent="0.15">
      <c r="BR552" s="34"/>
      <c r="BV552" s="34"/>
      <c r="BZ552" s="34"/>
      <c r="CD552" s="34"/>
    </row>
    <row r="553" spans="70:82" x14ac:dyDescent="0.15">
      <c r="BR553" s="34"/>
      <c r="BV553" s="34"/>
      <c r="BZ553" s="34"/>
      <c r="CD553" s="34"/>
    </row>
    <row r="554" spans="70:82" x14ac:dyDescent="0.15">
      <c r="BR554" s="34"/>
      <c r="BV554" s="34"/>
      <c r="BZ554" s="34"/>
      <c r="CD554" s="34"/>
    </row>
    <row r="555" spans="70:82" x14ac:dyDescent="0.15">
      <c r="BR555" s="34"/>
      <c r="BV555" s="34"/>
      <c r="BZ555" s="34"/>
      <c r="CD555" s="34"/>
    </row>
    <row r="556" spans="70:82" x14ac:dyDescent="0.15">
      <c r="BR556" s="34"/>
      <c r="BV556" s="34"/>
      <c r="BZ556" s="34"/>
      <c r="CD556" s="34"/>
    </row>
    <row r="557" spans="70:82" x14ac:dyDescent="0.15">
      <c r="BR557" s="34"/>
      <c r="BV557" s="34"/>
      <c r="BZ557" s="34"/>
      <c r="CD557" s="34"/>
    </row>
    <row r="558" spans="70:82" x14ac:dyDescent="0.15">
      <c r="BR558" s="34"/>
      <c r="BV558" s="34"/>
      <c r="BZ558" s="34"/>
      <c r="CD558" s="34"/>
    </row>
    <row r="559" spans="70:82" x14ac:dyDescent="0.15">
      <c r="BR559" s="34"/>
      <c r="BV559" s="34"/>
      <c r="BZ559" s="34"/>
      <c r="CD559" s="34"/>
    </row>
    <row r="560" spans="70:82" x14ac:dyDescent="0.15">
      <c r="BR560" s="34"/>
      <c r="BV560" s="34"/>
      <c r="BZ560" s="34"/>
      <c r="CD560" s="34"/>
    </row>
    <row r="561" spans="70:82" x14ac:dyDescent="0.15">
      <c r="BR561" s="34"/>
      <c r="BV561" s="34"/>
      <c r="BZ561" s="34"/>
      <c r="CD561" s="34"/>
    </row>
    <row r="562" spans="70:82" x14ac:dyDescent="0.15">
      <c r="BR562" s="34"/>
      <c r="BV562" s="34"/>
      <c r="BZ562" s="34"/>
      <c r="CD562" s="34"/>
    </row>
    <row r="563" spans="70:82" x14ac:dyDescent="0.15">
      <c r="BR563" s="34"/>
      <c r="BV563" s="34"/>
      <c r="BZ563" s="34"/>
      <c r="CD563" s="34"/>
    </row>
    <row r="564" spans="70:82" x14ac:dyDescent="0.15">
      <c r="BR564" s="34"/>
      <c r="BV564" s="34"/>
      <c r="BZ564" s="34"/>
      <c r="CD564" s="34"/>
    </row>
    <row r="565" spans="70:82" x14ac:dyDescent="0.15">
      <c r="BR565" s="34"/>
      <c r="BV565" s="34"/>
      <c r="BZ565" s="34"/>
      <c r="CD565" s="34"/>
    </row>
    <row r="566" spans="70:82" x14ac:dyDescent="0.15">
      <c r="BR566" s="34"/>
      <c r="BV566" s="34"/>
      <c r="BZ566" s="34"/>
      <c r="CD566" s="34"/>
    </row>
    <row r="567" spans="70:82" x14ac:dyDescent="0.15">
      <c r="BR567" s="34"/>
      <c r="BV567" s="34"/>
      <c r="BZ567" s="34"/>
      <c r="CD567" s="34"/>
    </row>
    <row r="568" spans="70:82" x14ac:dyDescent="0.15">
      <c r="BR568" s="34"/>
      <c r="BV568" s="34"/>
      <c r="BZ568" s="34"/>
      <c r="CD568" s="34"/>
    </row>
    <row r="569" spans="70:82" x14ac:dyDescent="0.15">
      <c r="BR569" s="34"/>
      <c r="BV569" s="34"/>
      <c r="BZ569" s="34"/>
      <c r="CD569" s="34"/>
    </row>
    <row r="570" spans="70:82" x14ac:dyDescent="0.15">
      <c r="BR570" s="34"/>
      <c r="BV570" s="34"/>
      <c r="BZ570" s="34"/>
      <c r="CD570" s="34"/>
    </row>
    <row r="571" spans="70:82" x14ac:dyDescent="0.15">
      <c r="BR571" s="34"/>
      <c r="BV571" s="34"/>
      <c r="BZ571" s="34"/>
      <c r="CD571" s="34"/>
    </row>
    <row r="572" spans="70:82" x14ac:dyDescent="0.15">
      <c r="BR572" s="34"/>
      <c r="BV572" s="34"/>
      <c r="BZ572" s="34"/>
      <c r="CD572" s="34"/>
    </row>
    <row r="573" spans="70:82" x14ac:dyDescent="0.15">
      <c r="BR573" s="34"/>
      <c r="BV573" s="34"/>
      <c r="BZ573" s="34"/>
      <c r="CD573" s="34"/>
    </row>
    <row r="574" spans="70:82" x14ac:dyDescent="0.15">
      <c r="BR574" s="34"/>
      <c r="BV574" s="34"/>
      <c r="BZ574" s="34"/>
      <c r="CD574" s="34"/>
    </row>
    <row r="575" spans="70:82" x14ac:dyDescent="0.15">
      <c r="BR575" s="34"/>
      <c r="BV575" s="34"/>
      <c r="BZ575" s="34"/>
      <c r="CD575" s="34"/>
    </row>
    <row r="576" spans="70:82" x14ac:dyDescent="0.15">
      <c r="BR576" s="34"/>
      <c r="BV576" s="34"/>
      <c r="BZ576" s="34"/>
      <c r="CD576" s="34"/>
    </row>
    <row r="577" spans="70:82" x14ac:dyDescent="0.15">
      <c r="BR577" s="34"/>
      <c r="BV577" s="34"/>
      <c r="BZ577" s="34"/>
      <c r="CD577" s="34"/>
    </row>
    <row r="578" spans="70:82" x14ac:dyDescent="0.15">
      <c r="BR578" s="34"/>
      <c r="BV578" s="34"/>
      <c r="BZ578" s="34"/>
      <c r="CD578" s="34"/>
    </row>
    <row r="579" spans="70:82" x14ac:dyDescent="0.15">
      <c r="BR579" s="34"/>
      <c r="BV579" s="34"/>
      <c r="BZ579" s="34"/>
      <c r="CD579" s="34"/>
    </row>
    <row r="580" spans="70:82" x14ac:dyDescent="0.15">
      <c r="BR580" s="34"/>
      <c r="BV580" s="34"/>
      <c r="BZ580" s="34"/>
      <c r="CD580" s="34"/>
    </row>
    <row r="581" spans="70:82" x14ac:dyDescent="0.15">
      <c r="BR581" s="34"/>
      <c r="BV581" s="34"/>
      <c r="BZ581" s="34"/>
      <c r="CD581" s="34"/>
    </row>
    <row r="582" spans="70:82" x14ac:dyDescent="0.15">
      <c r="BR582" s="34"/>
      <c r="BV582" s="34"/>
      <c r="BZ582" s="34"/>
      <c r="CD582" s="34"/>
    </row>
    <row r="583" spans="70:82" x14ac:dyDescent="0.15">
      <c r="BR583" s="34"/>
      <c r="BV583" s="34"/>
      <c r="BZ583" s="34"/>
      <c r="CD583" s="34"/>
    </row>
    <row r="584" spans="70:82" x14ac:dyDescent="0.15">
      <c r="BR584" s="34"/>
      <c r="BV584" s="34"/>
      <c r="BZ584" s="34"/>
      <c r="CD584" s="34"/>
    </row>
    <row r="585" spans="70:82" x14ac:dyDescent="0.15">
      <c r="BR585" s="34"/>
      <c r="BV585" s="34"/>
      <c r="BZ585" s="34"/>
      <c r="CD585" s="34"/>
    </row>
    <row r="586" spans="70:82" x14ac:dyDescent="0.15">
      <c r="BR586" s="34"/>
      <c r="BV586" s="34"/>
      <c r="BZ586" s="34"/>
      <c r="CD586" s="34"/>
    </row>
    <row r="587" spans="70:82" x14ac:dyDescent="0.15">
      <c r="BR587" s="34"/>
      <c r="BV587" s="34"/>
      <c r="BZ587" s="34"/>
      <c r="CD587" s="34"/>
    </row>
    <row r="588" spans="70:82" x14ac:dyDescent="0.15">
      <c r="BR588" s="34"/>
      <c r="BV588" s="34"/>
      <c r="BZ588" s="34"/>
      <c r="CD588" s="34"/>
    </row>
    <row r="589" spans="70:82" x14ac:dyDescent="0.15">
      <c r="BR589" s="34"/>
      <c r="BV589" s="34"/>
      <c r="BZ589" s="34"/>
      <c r="CD589" s="34"/>
    </row>
    <row r="590" spans="70:82" x14ac:dyDescent="0.15">
      <c r="BR590" s="34"/>
      <c r="BV590" s="34"/>
      <c r="BZ590" s="34"/>
      <c r="CD590" s="34"/>
    </row>
    <row r="591" spans="70:82" x14ac:dyDescent="0.15">
      <c r="BR591" s="34"/>
      <c r="BV591" s="34"/>
      <c r="BZ591" s="34"/>
      <c r="CD591" s="34"/>
    </row>
    <row r="592" spans="70:82" x14ac:dyDescent="0.15">
      <c r="BR592" s="34"/>
      <c r="BV592" s="34"/>
      <c r="BZ592" s="34"/>
      <c r="CD592" s="34"/>
    </row>
    <row r="593" spans="70:82" x14ac:dyDescent="0.15">
      <c r="BR593" s="34"/>
      <c r="BV593" s="34"/>
      <c r="BZ593" s="34"/>
      <c r="CD593" s="34"/>
    </row>
    <row r="594" spans="70:82" x14ac:dyDescent="0.15">
      <c r="BR594" s="34"/>
      <c r="BV594" s="34"/>
      <c r="BZ594" s="34"/>
      <c r="CD594" s="34"/>
    </row>
    <row r="595" spans="70:82" x14ac:dyDescent="0.15">
      <c r="BR595" s="34"/>
      <c r="BV595" s="34"/>
      <c r="BZ595" s="34"/>
      <c r="CD595" s="34"/>
    </row>
    <row r="596" spans="70:82" x14ac:dyDescent="0.15">
      <c r="BR596" s="34"/>
      <c r="BV596" s="34"/>
      <c r="BZ596" s="34"/>
      <c r="CD596" s="34"/>
    </row>
    <row r="597" spans="70:82" x14ac:dyDescent="0.15">
      <c r="BR597" s="34"/>
      <c r="BV597" s="34"/>
      <c r="BZ597" s="34"/>
      <c r="CD597" s="34"/>
    </row>
    <row r="598" spans="70:82" x14ac:dyDescent="0.15">
      <c r="BR598" s="34"/>
      <c r="BV598" s="34"/>
      <c r="BZ598" s="34"/>
      <c r="CD598" s="34"/>
    </row>
    <row r="599" spans="70:82" x14ac:dyDescent="0.15">
      <c r="BR599" s="34"/>
      <c r="BV599" s="34"/>
      <c r="BZ599" s="34"/>
      <c r="CD599" s="34"/>
    </row>
    <row r="600" spans="70:82" x14ac:dyDescent="0.15">
      <c r="BR600" s="34"/>
      <c r="BV600" s="34"/>
      <c r="BZ600" s="34"/>
      <c r="CD600" s="34"/>
    </row>
    <row r="601" spans="70:82" x14ac:dyDescent="0.15">
      <c r="BR601" s="34"/>
      <c r="BV601" s="34"/>
      <c r="BZ601" s="34"/>
      <c r="CD601" s="34"/>
    </row>
    <row r="602" spans="70:82" x14ac:dyDescent="0.15">
      <c r="BR602" s="34"/>
      <c r="BV602" s="34"/>
      <c r="BZ602" s="34"/>
      <c r="CD602" s="34"/>
    </row>
    <row r="603" spans="70:82" x14ac:dyDescent="0.15">
      <c r="BR603" s="34"/>
      <c r="BV603" s="34"/>
      <c r="BZ603" s="34"/>
      <c r="CD603" s="34"/>
    </row>
    <row r="604" spans="70:82" x14ac:dyDescent="0.15">
      <c r="BR604" s="34"/>
      <c r="BV604" s="34"/>
      <c r="BZ604" s="34"/>
      <c r="CD604" s="34"/>
    </row>
    <row r="605" spans="70:82" x14ac:dyDescent="0.15">
      <c r="BR605" s="34"/>
      <c r="BV605" s="34"/>
      <c r="BZ605" s="34"/>
      <c r="CD605" s="34"/>
    </row>
    <row r="606" spans="70:82" x14ac:dyDescent="0.15">
      <c r="BR606" s="34"/>
      <c r="BV606" s="34"/>
      <c r="BZ606" s="34"/>
      <c r="CD606" s="34"/>
    </row>
    <row r="607" spans="70:82" x14ac:dyDescent="0.15">
      <c r="BR607" s="34"/>
      <c r="BV607" s="34"/>
      <c r="BZ607" s="34"/>
      <c r="CD607" s="34"/>
    </row>
    <row r="608" spans="70:82" x14ac:dyDescent="0.15">
      <c r="BR608" s="34"/>
      <c r="BV608" s="34"/>
      <c r="BZ608" s="34"/>
      <c r="CD608" s="34"/>
    </row>
    <row r="609" spans="70:82" x14ac:dyDescent="0.15">
      <c r="BR609" s="34"/>
      <c r="BV609" s="34"/>
      <c r="BZ609" s="34"/>
      <c r="CD609" s="34"/>
    </row>
    <row r="610" spans="70:82" x14ac:dyDescent="0.15">
      <c r="BR610" s="34"/>
      <c r="BV610" s="34"/>
      <c r="BZ610" s="34"/>
      <c r="CD610" s="34"/>
    </row>
    <row r="611" spans="70:82" x14ac:dyDescent="0.15">
      <c r="BR611" s="34"/>
      <c r="BV611" s="34"/>
      <c r="BZ611" s="34"/>
      <c r="CD611" s="34"/>
    </row>
    <row r="612" spans="70:82" x14ac:dyDescent="0.15">
      <c r="BR612" s="34"/>
      <c r="BV612" s="34"/>
      <c r="BZ612" s="34"/>
      <c r="CD612" s="34"/>
    </row>
    <row r="613" spans="70:82" x14ac:dyDescent="0.15">
      <c r="BR613" s="34"/>
      <c r="BV613" s="34"/>
      <c r="BZ613" s="34"/>
      <c r="CD613" s="34"/>
    </row>
    <row r="614" spans="70:82" x14ac:dyDescent="0.15">
      <c r="BR614" s="34"/>
      <c r="BV614" s="34"/>
      <c r="BZ614" s="34"/>
      <c r="CD614" s="34"/>
    </row>
    <row r="615" spans="70:82" x14ac:dyDescent="0.15">
      <c r="BR615" s="34"/>
      <c r="BV615" s="34"/>
      <c r="BZ615" s="34"/>
      <c r="CD615" s="34"/>
    </row>
    <row r="616" spans="70:82" x14ac:dyDescent="0.15">
      <c r="BR616" s="34"/>
      <c r="BV616" s="34"/>
      <c r="BZ616" s="34"/>
      <c r="CD616" s="34"/>
    </row>
    <row r="617" spans="70:82" x14ac:dyDescent="0.15">
      <c r="BR617" s="34"/>
      <c r="BV617" s="34"/>
      <c r="BZ617" s="34"/>
      <c r="CD617" s="34"/>
    </row>
    <row r="618" spans="70:82" x14ac:dyDescent="0.15">
      <c r="BR618" s="34"/>
      <c r="BV618" s="34"/>
      <c r="BZ618" s="34"/>
      <c r="CD618" s="34"/>
    </row>
    <row r="619" spans="70:82" x14ac:dyDescent="0.15">
      <c r="BR619" s="34"/>
      <c r="BV619" s="34"/>
      <c r="BZ619" s="34"/>
      <c r="CD619" s="34"/>
    </row>
    <row r="620" spans="70:82" x14ac:dyDescent="0.15">
      <c r="BR620" s="34"/>
      <c r="BV620" s="34"/>
      <c r="BZ620" s="34"/>
      <c r="CD620" s="34"/>
    </row>
    <row r="621" spans="70:82" x14ac:dyDescent="0.15">
      <c r="BR621" s="34"/>
      <c r="BV621" s="34"/>
      <c r="BZ621" s="34"/>
      <c r="CD621" s="34"/>
    </row>
    <row r="622" spans="70:82" x14ac:dyDescent="0.15">
      <c r="BR622" s="34"/>
      <c r="BV622" s="34"/>
      <c r="BZ622" s="34"/>
      <c r="CD622" s="34"/>
    </row>
    <row r="623" spans="70:82" x14ac:dyDescent="0.15">
      <c r="BR623" s="34"/>
      <c r="BV623" s="34"/>
      <c r="BZ623" s="34"/>
      <c r="CD623" s="34"/>
    </row>
    <row r="624" spans="70:82" x14ac:dyDescent="0.15">
      <c r="BR624" s="34"/>
      <c r="BV624" s="34"/>
      <c r="BZ624" s="34"/>
      <c r="CD624" s="34"/>
    </row>
    <row r="625" spans="70:82" x14ac:dyDescent="0.15">
      <c r="BR625" s="34"/>
      <c r="BV625" s="34"/>
      <c r="BZ625" s="34"/>
      <c r="CD625" s="34"/>
    </row>
    <row r="626" spans="70:82" x14ac:dyDescent="0.15">
      <c r="BR626" s="34"/>
      <c r="BV626" s="34"/>
      <c r="BZ626" s="34"/>
      <c r="CD626" s="34"/>
    </row>
    <row r="627" spans="70:82" x14ac:dyDescent="0.15">
      <c r="BR627" s="34"/>
      <c r="BV627" s="34"/>
      <c r="BZ627" s="34"/>
      <c r="CD627" s="34"/>
    </row>
    <row r="628" spans="70:82" x14ac:dyDescent="0.15">
      <c r="BR628" s="34"/>
      <c r="BV628" s="34"/>
      <c r="BZ628" s="34"/>
      <c r="CD628" s="34"/>
    </row>
    <row r="629" spans="70:82" x14ac:dyDescent="0.15">
      <c r="BR629" s="34"/>
      <c r="BV629" s="34"/>
      <c r="BZ629" s="34"/>
      <c r="CD629" s="34"/>
    </row>
    <row r="630" spans="70:82" x14ac:dyDescent="0.15">
      <c r="BR630" s="34"/>
      <c r="BV630" s="34"/>
      <c r="BZ630" s="34"/>
      <c r="CD630" s="34"/>
    </row>
    <row r="631" spans="70:82" x14ac:dyDescent="0.15">
      <c r="BR631" s="34"/>
      <c r="BV631" s="34"/>
      <c r="BZ631" s="34"/>
      <c r="CD631" s="34"/>
    </row>
    <row r="632" spans="70:82" x14ac:dyDescent="0.15">
      <c r="BR632" s="34"/>
      <c r="BV632" s="34"/>
      <c r="BZ632" s="34"/>
      <c r="CD632" s="34"/>
    </row>
    <row r="633" spans="70:82" x14ac:dyDescent="0.15">
      <c r="BR633" s="34"/>
      <c r="BV633" s="34"/>
      <c r="BZ633" s="34"/>
      <c r="CD633" s="34"/>
    </row>
    <row r="634" spans="70:82" x14ac:dyDescent="0.15">
      <c r="BR634" s="34"/>
      <c r="BV634" s="34"/>
      <c r="BZ634" s="34"/>
      <c r="CD634" s="34"/>
    </row>
    <row r="635" spans="70:82" x14ac:dyDescent="0.15">
      <c r="BR635" s="34"/>
      <c r="BV635" s="34"/>
      <c r="BZ635" s="34"/>
      <c r="CD635" s="34"/>
    </row>
    <row r="636" spans="70:82" x14ac:dyDescent="0.15">
      <c r="BR636" s="34"/>
      <c r="BV636" s="34"/>
      <c r="BZ636" s="34"/>
      <c r="CD636" s="34"/>
    </row>
    <row r="637" spans="70:82" x14ac:dyDescent="0.15">
      <c r="BR637" s="34"/>
      <c r="BV637" s="34"/>
      <c r="BZ637" s="34"/>
      <c r="CD637" s="34"/>
    </row>
    <row r="638" spans="70:82" x14ac:dyDescent="0.15">
      <c r="BR638" s="34"/>
      <c r="BV638" s="34"/>
      <c r="BZ638" s="34"/>
      <c r="CD638" s="34"/>
    </row>
    <row r="639" spans="70:82" x14ac:dyDescent="0.15">
      <c r="BR639" s="34"/>
      <c r="BV639" s="34"/>
      <c r="BZ639" s="34"/>
      <c r="CD639" s="34"/>
    </row>
    <row r="640" spans="70:82" x14ac:dyDescent="0.15">
      <c r="BR640" s="34"/>
      <c r="BV640" s="34"/>
      <c r="BZ640" s="34"/>
      <c r="CD640" s="34"/>
    </row>
    <row r="641" spans="70:82" x14ac:dyDescent="0.15">
      <c r="BR641" s="34"/>
      <c r="BV641" s="34"/>
      <c r="BZ641" s="34"/>
      <c r="CD641" s="34"/>
    </row>
    <row r="642" spans="70:82" x14ac:dyDescent="0.15">
      <c r="BR642" s="34"/>
      <c r="BV642" s="34"/>
      <c r="BZ642" s="34"/>
      <c r="CD642" s="34"/>
    </row>
    <row r="643" spans="70:82" x14ac:dyDescent="0.15">
      <c r="BR643" s="34"/>
      <c r="BV643" s="34"/>
      <c r="BZ643" s="34"/>
      <c r="CD643" s="34"/>
    </row>
    <row r="644" spans="70:82" x14ac:dyDescent="0.15">
      <c r="BR644" s="34"/>
      <c r="BV644" s="34"/>
      <c r="BZ644" s="34"/>
      <c r="CD644" s="34"/>
    </row>
    <row r="645" spans="70:82" x14ac:dyDescent="0.15">
      <c r="BR645" s="34"/>
      <c r="BV645" s="34"/>
      <c r="BZ645" s="34"/>
      <c r="CD645" s="34"/>
    </row>
    <row r="646" spans="70:82" x14ac:dyDescent="0.15">
      <c r="BR646" s="34"/>
      <c r="BV646" s="34"/>
      <c r="BZ646" s="34"/>
      <c r="CD646" s="34"/>
    </row>
    <row r="647" spans="70:82" x14ac:dyDescent="0.15">
      <c r="BR647" s="34"/>
      <c r="BV647" s="34"/>
      <c r="BZ647" s="34"/>
      <c r="CD647" s="34"/>
    </row>
    <row r="648" spans="70:82" x14ac:dyDescent="0.15">
      <c r="BR648" s="34"/>
      <c r="BV648" s="34"/>
      <c r="BZ648" s="34"/>
      <c r="CD648" s="34"/>
    </row>
    <row r="649" spans="70:82" x14ac:dyDescent="0.15">
      <c r="BR649" s="34"/>
      <c r="BV649" s="34"/>
      <c r="BZ649" s="34"/>
      <c r="CD649" s="34"/>
    </row>
    <row r="650" spans="70:82" x14ac:dyDescent="0.15">
      <c r="BR650" s="34"/>
      <c r="BV650" s="34"/>
      <c r="BZ650" s="34"/>
      <c r="CD650" s="34"/>
    </row>
    <row r="651" spans="70:82" x14ac:dyDescent="0.15">
      <c r="BR651" s="34"/>
      <c r="BV651" s="34"/>
      <c r="BZ651" s="34"/>
      <c r="CD651" s="34"/>
    </row>
    <row r="652" spans="70:82" x14ac:dyDescent="0.15">
      <c r="BR652" s="34"/>
      <c r="BV652" s="34"/>
      <c r="BZ652" s="34"/>
      <c r="CD652" s="34"/>
    </row>
    <row r="653" spans="70:82" x14ac:dyDescent="0.15">
      <c r="BR653" s="34"/>
      <c r="BV653" s="34"/>
      <c r="BZ653" s="34"/>
      <c r="CD653" s="34"/>
    </row>
    <row r="654" spans="70:82" x14ac:dyDescent="0.15">
      <c r="BR654" s="34"/>
      <c r="BV654" s="34"/>
      <c r="BZ654" s="34"/>
      <c r="CD654" s="34"/>
    </row>
    <row r="655" spans="70:82" x14ac:dyDescent="0.15">
      <c r="BR655" s="34"/>
      <c r="BV655" s="34"/>
      <c r="BZ655" s="34"/>
      <c r="CD655" s="34"/>
    </row>
    <row r="656" spans="70:82" x14ac:dyDescent="0.15">
      <c r="BR656" s="34"/>
      <c r="BV656" s="34"/>
      <c r="BZ656" s="34"/>
      <c r="CD656" s="34"/>
    </row>
    <row r="657" spans="70:82" x14ac:dyDescent="0.15">
      <c r="BR657" s="34"/>
      <c r="BV657" s="34"/>
      <c r="BZ657" s="34"/>
      <c r="CD657" s="34"/>
    </row>
    <row r="658" spans="70:82" x14ac:dyDescent="0.15">
      <c r="BR658" s="34"/>
      <c r="BV658" s="34"/>
      <c r="BZ658" s="34"/>
      <c r="CD658" s="34"/>
    </row>
    <row r="659" spans="70:82" x14ac:dyDescent="0.15">
      <c r="BR659" s="34"/>
      <c r="BV659" s="34"/>
      <c r="BZ659" s="34"/>
      <c r="CD659" s="34"/>
    </row>
    <row r="660" spans="70:82" x14ac:dyDescent="0.15">
      <c r="BR660" s="34"/>
      <c r="BV660" s="34"/>
      <c r="BZ660" s="34"/>
      <c r="CD660" s="34"/>
    </row>
    <row r="661" spans="70:82" x14ac:dyDescent="0.15">
      <c r="BR661" s="34"/>
      <c r="BV661" s="34"/>
      <c r="BZ661" s="34"/>
      <c r="CD661" s="34"/>
    </row>
    <row r="662" spans="70:82" x14ac:dyDescent="0.15">
      <c r="BR662" s="34"/>
      <c r="BV662" s="34"/>
      <c r="BZ662" s="34"/>
      <c r="CD662" s="34"/>
    </row>
    <row r="663" spans="70:82" x14ac:dyDescent="0.15">
      <c r="BR663" s="34"/>
      <c r="BV663" s="34"/>
      <c r="BZ663" s="34"/>
      <c r="CD663" s="34"/>
    </row>
    <row r="664" spans="70:82" x14ac:dyDescent="0.15">
      <c r="BR664" s="34"/>
      <c r="BV664" s="34"/>
      <c r="BZ664" s="34"/>
      <c r="CD664" s="34"/>
    </row>
    <row r="665" spans="70:82" x14ac:dyDescent="0.15">
      <c r="BR665" s="34"/>
      <c r="BV665" s="34"/>
      <c r="BZ665" s="34"/>
      <c r="CD665" s="34"/>
    </row>
    <row r="666" spans="70:82" x14ac:dyDescent="0.15">
      <c r="BR666" s="34"/>
      <c r="BV666" s="34"/>
      <c r="BZ666" s="34"/>
      <c r="CD666" s="34"/>
    </row>
    <row r="667" spans="70:82" x14ac:dyDescent="0.15">
      <c r="BR667" s="34"/>
      <c r="BV667" s="34"/>
      <c r="BZ667" s="34"/>
      <c r="CD667" s="34"/>
    </row>
    <row r="668" spans="70:82" x14ac:dyDescent="0.15">
      <c r="BR668" s="34"/>
      <c r="BV668" s="34"/>
      <c r="BZ668" s="34"/>
      <c r="CD668" s="34"/>
    </row>
    <row r="669" spans="70:82" x14ac:dyDescent="0.15">
      <c r="BR669" s="34"/>
      <c r="BV669" s="34"/>
      <c r="BZ669" s="34"/>
      <c r="CD669" s="34"/>
    </row>
    <row r="670" spans="70:82" x14ac:dyDescent="0.15">
      <c r="BR670" s="34"/>
      <c r="BV670" s="34"/>
      <c r="BZ670" s="34"/>
      <c r="CD670" s="34"/>
    </row>
    <row r="671" spans="70:82" x14ac:dyDescent="0.15">
      <c r="BR671" s="34"/>
      <c r="BV671" s="34"/>
      <c r="BZ671" s="34"/>
      <c r="CD671" s="34"/>
    </row>
    <row r="672" spans="70:82" x14ac:dyDescent="0.15">
      <c r="BR672" s="34"/>
      <c r="BV672" s="34"/>
      <c r="BZ672" s="34"/>
      <c r="CD672" s="34"/>
    </row>
    <row r="673" spans="70:82" x14ac:dyDescent="0.15">
      <c r="BR673" s="34"/>
      <c r="BV673" s="34"/>
      <c r="BZ673" s="34"/>
      <c r="CD673" s="34"/>
    </row>
    <row r="674" spans="70:82" x14ac:dyDescent="0.15">
      <c r="BR674" s="34"/>
      <c r="BV674" s="34"/>
      <c r="BZ674" s="34"/>
      <c r="CD674" s="34"/>
    </row>
    <row r="675" spans="70:82" x14ac:dyDescent="0.15">
      <c r="BR675" s="34"/>
      <c r="BV675" s="34"/>
      <c r="BZ675" s="34"/>
      <c r="CD675" s="34"/>
    </row>
    <row r="676" spans="70:82" x14ac:dyDescent="0.15">
      <c r="BR676" s="34"/>
      <c r="BV676" s="34"/>
      <c r="BZ676" s="34"/>
      <c r="CD676" s="34"/>
    </row>
    <row r="677" spans="70:82" x14ac:dyDescent="0.15">
      <c r="BR677" s="34"/>
      <c r="BV677" s="34"/>
      <c r="BZ677" s="34"/>
      <c r="CD677" s="34"/>
    </row>
    <row r="678" spans="70:82" x14ac:dyDescent="0.15">
      <c r="BR678" s="34"/>
      <c r="BV678" s="34"/>
      <c r="BZ678" s="34"/>
      <c r="CD678" s="34"/>
    </row>
    <row r="679" spans="70:82" x14ac:dyDescent="0.15">
      <c r="BR679" s="34"/>
      <c r="BV679" s="34"/>
      <c r="BZ679" s="34"/>
      <c r="CD679" s="34"/>
    </row>
    <row r="680" spans="70:82" x14ac:dyDescent="0.15">
      <c r="BR680" s="34"/>
      <c r="BV680" s="34"/>
      <c r="BZ680" s="34"/>
      <c r="CD680" s="34"/>
    </row>
    <row r="681" spans="70:82" x14ac:dyDescent="0.15">
      <c r="BR681" s="34"/>
      <c r="BV681" s="34"/>
      <c r="BZ681" s="34"/>
      <c r="CD681" s="34"/>
    </row>
    <row r="682" spans="70:82" x14ac:dyDescent="0.15">
      <c r="BR682" s="34"/>
      <c r="BV682" s="34"/>
      <c r="BZ682" s="34"/>
      <c r="CD682" s="34"/>
    </row>
    <row r="683" spans="70:82" x14ac:dyDescent="0.15">
      <c r="BR683" s="34"/>
      <c r="BV683" s="34"/>
      <c r="BZ683" s="34"/>
      <c r="CD683" s="34"/>
    </row>
    <row r="684" spans="70:82" x14ac:dyDescent="0.15">
      <c r="BR684" s="34"/>
      <c r="BV684" s="34"/>
      <c r="BZ684" s="34"/>
      <c r="CD684" s="34"/>
    </row>
    <row r="685" spans="70:82" x14ac:dyDescent="0.15">
      <c r="BR685" s="34"/>
      <c r="BV685" s="34"/>
      <c r="BZ685" s="34"/>
      <c r="CD685" s="34"/>
    </row>
    <row r="686" spans="70:82" x14ac:dyDescent="0.15">
      <c r="BR686" s="34"/>
      <c r="BV686" s="34"/>
      <c r="BZ686" s="34"/>
      <c r="CD686" s="34"/>
    </row>
    <row r="687" spans="70:82" x14ac:dyDescent="0.15">
      <c r="BR687" s="34"/>
      <c r="BV687" s="34"/>
      <c r="BZ687" s="34"/>
      <c r="CD687" s="34"/>
    </row>
    <row r="688" spans="70:82" x14ac:dyDescent="0.15">
      <c r="BR688" s="34"/>
      <c r="BV688" s="34"/>
      <c r="BZ688" s="34"/>
      <c r="CD688" s="34"/>
    </row>
    <row r="689" spans="70:82" x14ac:dyDescent="0.15">
      <c r="BR689" s="34"/>
      <c r="BV689" s="34"/>
      <c r="BZ689" s="34"/>
      <c r="CD689" s="34"/>
    </row>
    <row r="690" spans="70:82" x14ac:dyDescent="0.15">
      <c r="BR690" s="34"/>
      <c r="BV690" s="34"/>
      <c r="BZ690" s="34"/>
      <c r="CD690" s="34"/>
    </row>
    <row r="691" spans="70:82" x14ac:dyDescent="0.15">
      <c r="BR691" s="34"/>
      <c r="BV691" s="34"/>
      <c r="BZ691" s="34"/>
      <c r="CD691" s="34"/>
    </row>
    <row r="692" spans="70:82" x14ac:dyDescent="0.15">
      <c r="BR692" s="34"/>
      <c r="BV692" s="34"/>
      <c r="BZ692" s="34"/>
      <c r="CD692" s="34"/>
    </row>
    <row r="693" spans="70:82" x14ac:dyDescent="0.15">
      <c r="BR693" s="34"/>
      <c r="BV693" s="34"/>
      <c r="BZ693" s="34"/>
      <c r="CD693" s="34"/>
    </row>
    <row r="694" spans="70:82" x14ac:dyDescent="0.15">
      <c r="BR694" s="34"/>
      <c r="BV694" s="34"/>
      <c r="BZ694" s="34"/>
      <c r="CD694" s="34"/>
    </row>
    <row r="695" spans="70:82" x14ac:dyDescent="0.15">
      <c r="BR695" s="34"/>
      <c r="BV695" s="34"/>
      <c r="BZ695" s="34"/>
      <c r="CD695" s="34"/>
    </row>
    <row r="696" spans="70:82" x14ac:dyDescent="0.15">
      <c r="BR696" s="34"/>
      <c r="BV696" s="34"/>
      <c r="BZ696" s="34"/>
      <c r="CD696" s="34"/>
    </row>
    <row r="697" spans="70:82" x14ac:dyDescent="0.15">
      <c r="BR697" s="34"/>
      <c r="BV697" s="34"/>
      <c r="BZ697" s="34"/>
      <c r="CD697" s="34"/>
    </row>
    <row r="698" spans="70:82" x14ac:dyDescent="0.15">
      <c r="BR698" s="34"/>
      <c r="BV698" s="34"/>
      <c r="BZ698" s="34"/>
      <c r="CD698" s="34"/>
    </row>
    <row r="699" spans="70:82" x14ac:dyDescent="0.15">
      <c r="BR699" s="34"/>
      <c r="BV699" s="34"/>
      <c r="BZ699" s="34"/>
      <c r="CD699" s="34"/>
    </row>
    <row r="700" spans="70:82" x14ac:dyDescent="0.15">
      <c r="BR700" s="34"/>
      <c r="BV700" s="34"/>
      <c r="BZ700" s="34"/>
      <c r="CD700" s="34"/>
    </row>
    <row r="701" spans="70:82" x14ac:dyDescent="0.15">
      <c r="BR701" s="34"/>
      <c r="BV701" s="34"/>
      <c r="BZ701" s="34"/>
      <c r="CD701" s="34"/>
    </row>
    <row r="702" spans="70:82" x14ac:dyDescent="0.15">
      <c r="BR702" s="34"/>
      <c r="BV702" s="34"/>
      <c r="BZ702" s="34"/>
      <c r="CD702" s="34"/>
    </row>
    <row r="703" spans="70:82" x14ac:dyDescent="0.15">
      <c r="BR703" s="34"/>
      <c r="BV703" s="34"/>
      <c r="BZ703" s="34"/>
      <c r="CD703" s="34"/>
    </row>
    <row r="704" spans="70:82" x14ac:dyDescent="0.15">
      <c r="BR704" s="34"/>
      <c r="BV704" s="34"/>
      <c r="BZ704" s="34"/>
      <c r="CD704" s="34"/>
    </row>
    <row r="705" spans="70:82" x14ac:dyDescent="0.15">
      <c r="BR705" s="34"/>
      <c r="BV705" s="34"/>
      <c r="BZ705" s="34"/>
      <c r="CD705" s="34"/>
    </row>
    <row r="706" spans="70:82" x14ac:dyDescent="0.15">
      <c r="BR706" s="34"/>
      <c r="BV706" s="34"/>
      <c r="BZ706" s="34"/>
      <c r="CD706" s="34"/>
    </row>
    <row r="707" spans="70:82" x14ac:dyDescent="0.15">
      <c r="BR707" s="34"/>
      <c r="BV707" s="34"/>
      <c r="BZ707" s="34"/>
      <c r="CD707" s="34"/>
    </row>
    <row r="708" spans="70:82" x14ac:dyDescent="0.15">
      <c r="BR708" s="34"/>
      <c r="BV708" s="34"/>
      <c r="BZ708" s="34"/>
      <c r="CD708" s="34"/>
    </row>
    <row r="709" spans="70:82" x14ac:dyDescent="0.15">
      <c r="BR709" s="34"/>
      <c r="BV709" s="34"/>
      <c r="BZ709" s="34"/>
      <c r="CD709" s="34"/>
    </row>
    <row r="710" spans="70:82" x14ac:dyDescent="0.15">
      <c r="BR710" s="34"/>
      <c r="BV710" s="34"/>
      <c r="BZ710" s="34"/>
      <c r="CD710" s="34"/>
    </row>
    <row r="711" spans="70:82" x14ac:dyDescent="0.15">
      <c r="BR711" s="34"/>
      <c r="BV711" s="34"/>
      <c r="BZ711" s="34"/>
      <c r="CD711" s="34"/>
    </row>
    <row r="712" spans="70:82" x14ac:dyDescent="0.15">
      <c r="BR712" s="34"/>
      <c r="BV712" s="34"/>
      <c r="BZ712" s="34"/>
      <c r="CD712" s="34"/>
    </row>
    <row r="713" spans="70:82" x14ac:dyDescent="0.15">
      <c r="BR713" s="34"/>
      <c r="BV713" s="34"/>
      <c r="BZ713" s="34"/>
      <c r="CD713" s="34"/>
    </row>
    <row r="714" spans="70:82" x14ac:dyDescent="0.15">
      <c r="BR714" s="34"/>
      <c r="BV714" s="34"/>
      <c r="BZ714" s="34"/>
      <c r="CD714" s="34"/>
    </row>
    <row r="715" spans="70:82" x14ac:dyDescent="0.15">
      <c r="BR715" s="34"/>
      <c r="BV715" s="34"/>
      <c r="BZ715" s="34"/>
      <c r="CD715" s="34"/>
    </row>
    <row r="716" spans="70:82" x14ac:dyDescent="0.15">
      <c r="BR716" s="34"/>
      <c r="BV716" s="34"/>
      <c r="BZ716" s="34"/>
      <c r="CD716" s="34"/>
    </row>
    <row r="717" spans="70:82" x14ac:dyDescent="0.15">
      <c r="BR717" s="34"/>
      <c r="BV717" s="34"/>
      <c r="BZ717" s="34"/>
      <c r="CD717" s="34"/>
    </row>
    <row r="718" spans="70:82" x14ac:dyDescent="0.15">
      <c r="BR718" s="34"/>
      <c r="BV718" s="34"/>
      <c r="BZ718" s="34"/>
      <c r="CD718" s="34"/>
    </row>
    <row r="719" spans="70:82" x14ac:dyDescent="0.15">
      <c r="BR719" s="34"/>
      <c r="BV719" s="34"/>
      <c r="BZ719" s="34"/>
      <c r="CD719" s="34"/>
    </row>
    <row r="720" spans="70:82" x14ac:dyDescent="0.15">
      <c r="BR720" s="34"/>
      <c r="BV720" s="34"/>
      <c r="BZ720" s="34"/>
      <c r="CD720" s="34"/>
    </row>
    <row r="721" spans="70:82" x14ac:dyDescent="0.15">
      <c r="BR721" s="34"/>
      <c r="BV721" s="34"/>
      <c r="BZ721" s="34"/>
      <c r="CD721" s="34"/>
    </row>
    <row r="722" spans="70:82" x14ac:dyDescent="0.15">
      <c r="BR722" s="34"/>
      <c r="BV722" s="34"/>
      <c r="BZ722" s="34"/>
      <c r="CD722" s="34"/>
    </row>
    <row r="723" spans="70:82" x14ac:dyDescent="0.15">
      <c r="BR723" s="34"/>
      <c r="BV723" s="34"/>
      <c r="BZ723" s="34"/>
      <c r="CD723" s="34"/>
    </row>
    <row r="724" spans="70:82" x14ac:dyDescent="0.15">
      <c r="BR724" s="34"/>
      <c r="BV724" s="34"/>
      <c r="BZ724" s="34"/>
      <c r="CD724" s="34"/>
    </row>
    <row r="725" spans="70:82" x14ac:dyDescent="0.15">
      <c r="BR725" s="34"/>
      <c r="BV725" s="34"/>
      <c r="BZ725" s="34"/>
      <c r="CD725" s="34"/>
    </row>
    <row r="726" spans="70:82" x14ac:dyDescent="0.15">
      <c r="BR726" s="34"/>
      <c r="BV726" s="34"/>
      <c r="BZ726" s="34"/>
      <c r="CD726" s="34"/>
    </row>
    <row r="727" spans="70:82" x14ac:dyDescent="0.15">
      <c r="BR727" s="34"/>
      <c r="BV727" s="34"/>
      <c r="BZ727" s="34"/>
      <c r="CD727" s="34"/>
    </row>
    <row r="728" spans="70:82" x14ac:dyDescent="0.15">
      <c r="BR728" s="34"/>
      <c r="BV728" s="34"/>
      <c r="BZ728" s="34"/>
      <c r="CD728" s="34"/>
    </row>
    <row r="729" spans="70:82" x14ac:dyDescent="0.15">
      <c r="BR729" s="34"/>
      <c r="BV729" s="34"/>
      <c r="BZ729" s="34"/>
      <c r="CD729" s="34"/>
    </row>
    <row r="730" spans="70:82" x14ac:dyDescent="0.15">
      <c r="BR730" s="34"/>
      <c r="BV730" s="34"/>
      <c r="BZ730" s="34"/>
      <c r="CD730" s="34"/>
    </row>
    <row r="731" spans="70:82" x14ac:dyDescent="0.15">
      <c r="BR731" s="34"/>
      <c r="BV731" s="34"/>
      <c r="BZ731" s="34"/>
      <c r="CD731" s="34"/>
    </row>
    <row r="732" spans="70:82" x14ac:dyDescent="0.15">
      <c r="BR732" s="34"/>
      <c r="BV732" s="34"/>
      <c r="BZ732" s="34"/>
      <c r="CD732" s="34"/>
    </row>
    <row r="733" spans="70:82" x14ac:dyDescent="0.15">
      <c r="BR733" s="34"/>
      <c r="BV733" s="34"/>
      <c r="BZ733" s="34"/>
      <c r="CD733" s="34"/>
    </row>
    <row r="734" spans="70:82" x14ac:dyDescent="0.15">
      <c r="BR734" s="34"/>
      <c r="BV734" s="34"/>
      <c r="BZ734" s="34"/>
      <c r="CD734" s="34"/>
    </row>
    <row r="735" spans="70:82" x14ac:dyDescent="0.15">
      <c r="BR735" s="34"/>
      <c r="BV735" s="34"/>
      <c r="BZ735" s="34"/>
      <c r="CD735" s="34"/>
    </row>
    <row r="736" spans="70:82" x14ac:dyDescent="0.15">
      <c r="BR736" s="34"/>
      <c r="BV736" s="34"/>
      <c r="BZ736" s="34"/>
      <c r="CD736" s="34"/>
    </row>
    <row r="737" spans="70:82" x14ac:dyDescent="0.15">
      <c r="BR737" s="34"/>
      <c r="BV737" s="34"/>
      <c r="BZ737" s="34"/>
      <c r="CD737" s="34"/>
    </row>
    <row r="738" spans="70:82" x14ac:dyDescent="0.15">
      <c r="BR738" s="34"/>
      <c r="BV738" s="34"/>
      <c r="BZ738" s="34"/>
      <c r="CD738" s="34"/>
    </row>
    <row r="739" spans="70:82" x14ac:dyDescent="0.15">
      <c r="BR739" s="34"/>
      <c r="BV739" s="34"/>
      <c r="BZ739" s="34"/>
      <c r="CD739" s="34"/>
    </row>
    <row r="740" spans="70:82" x14ac:dyDescent="0.15">
      <c r="BR740" s="34"/>
      <c r="BV740" s="34"/>
      <c r="BZ740" s="34"/>
      <c r="CD740" s="34"/>
    </row>
    <row r="741" spans="70:82" x14ac:dyDescent="0.15">
      <c r="BR741" s="34"/>
      <c r="BV741" s="34"/>
      <c r="BZ741" s="34"/>
      <c r="CD741" s="34"/>
    </row>
    <row r="742" spans="70:82" x14ac:dyDescent="0.15">
      <c r="BR742" s="34"/>
      <c r="BV742" s="34"/>
      <c r="BZ742" s="34"/>
      <c r="CD742" s="34"/>
    </row>
    <row r="743" spans="70:82" x14ac:dyDescent="0.15">
      <c r="BR743" s="34"/>
      <c r="BV743" s="34"/>
      <c r="BZ743" s="34"/>
      <c r="CD743" s="34"/>
    </row>
    <row r="744" spans="70:82" x14ac:dyDescent="0.15">
      <c r="BR744" s="34"/>
      <c r="BV744" s="34"/>
      <c r="BZ744" s="34"/>
      <c r="CD744" s="34"/>
    </row>
    <row r="745" spans="70:82" x14ac:dyDescent="0.15">
      <c r="BR745" s="34"/>
      <c r="BV745" s="34"/>
      <c r="BZ745" s="34"/>
      <c r="CD745" s="34"/>
    </row>
    <row r="746" spans="70:82" x14ac:dyDescent="0.15">
      <c r="BR746" s="34"/>
      <c r="BV746" s="34"/>
      <c r="BZ746" s="34"/>
      <c r="CD746" s="34"/>
    </row>
    <row r="747" spans="70:82" x14ac:dyDescent="0.15">
      <c r="BR747" s="34"/>
      <c r="BV747" s="34"/>
      <c r="BZ747" s="34"/>
      <c r="CD747" s="34"/>
    </row>
    <row r="748" spans="70:82" x14ac:dyDescent="0.15">
      <c r="BR748" s="34"/>
      <c r="BV748" s="34"/>
      <c r="BZ748" s="34"/>
      <c r="CD748" s="34"/>
    </row>
    <row r="749" spans="70:82" x14ac:dyDescent="0.15">
      <c r="BR749" s="34"/>
      <c r="BV749" s="34"/>
      <c r="BZ749" s="34"/>
      <c r="CD749" s="34"/>
    </row>
    <row r="750" spans="70:82" x14ac:dyDescent="0.15">
      <c r="BR750" s="34"/>
      <c r="BV750" s="34"/>
      <c r="BZ750" s="34"/>
      <c r="CD750" s="34"/>
    </row>
    <row r="751" spans="70:82" x14ac:dyDescent="0.15">
      <c r="BR751" s="34"/>
      <c r="BV751" s="34"/>
      <c r="BZ751" s="34"/>
      <c r="CD751" s="34"/>
    </row>
    <row r="752" spans="70:82" x14ac:dyDescent="0.15">
      <c r="BR752" s="34"/>
      <c r="BV752" s="34"/>
      <c r="BZ752" s="34"/>
      <c r="CD752" s="34"/>
    </row>
    <row r="753" spans="70:82" x14ac:dyDescent="0.15">
      <c r="BR753" s="34"/>
      <c r="BV753" s="34"/>
      <c r="BZ753" s="34"/>
      <c r="CD753" s="34"/>
    </row>
    <row r="754" spans="70:82" x14ac:dyDescent="0.15">
      <c r="BR754" s="34"/>
      <c r="BV754" s="34"/>
      <c r="BZ754" s="34"/>
      <c r="CD754" s="34"/>
    </row>
    <row r="755" spans="70:82" x14ac:dyDescent="0.15">
      <c r="BR755" s="34"/>
      <c r="BV755" s="34"/>
      <c r="BZ755" s="34"/>
      <c r="CD755" s="34"/>
    </row>
    <row r="756" spans="70:82" x14ac:dyDescent="0.15">
      <c r="BR756" s="34"/>
      <c r="BV756" s="34"/>
      <c r="BZ756" s="34"/>
      <c r="CD756" s="34"/>
    </row>
    <row r="757" spans="70:82" x14ac:dyDescent="0.15">
      <c r="BR757" s="34"/>
      <c r="BV757" s="34"/>
      <c r="BZ757" s="34"/>
      <c r="CD757" s="34"/>
    </row>
    <row r="758" spans="70:82" x14ac:dyDescent="0.15">
      <c r="BR758" s="34"/>
      <c r="BV758" s="34"/>
      <c r="BZ758" s="34"/>
      <c r="CD758" s="34"/>
    </row>
    <row r="759" spans="70:82" x14ac:dyDescent="0.15">
      <c r="BR759" s="34"/>
      <c r="BV759" s="34"/>
      <c r="BZ759" s="34"/>
      <c r="CD759" s="34"/>
    </row>
    <row r="760" spans="70:82" x14ac:dyDescent="0.15">
      <c r="BR760" s="34"/>
      <c r="BV760" s="34"/>
      <c r="BZ760" s="34"/>
      <c r="CD760" s="34"/>
    </row>
    <row r="761" spans="70:82" x14ac:dyDescent="0.15">
      <c r="BR761" s="34"/>
      <c r="BV761" s="34"/>
      <c r="BZ761" s="34"/>
      <c r="CD761" s="34"/>
    </row>
    <row r="762" spans="70:82" x14ac:dyDescent="0.15">
      <c r="BR762" s="34"/>
      <c r="BV762" s="34"/>
      <c r="BZ762" s="34"/>
      <c r="CD762" s="34"/>
    </row>
    <row r="763" spans="70:82" x14ac:dyDescent="0.15">
      <c r="BR763" s="34"/>
      <c r="BV763" s="34"/>
      <c r="BZ763" s="34"/>
      <c r="CD763" s="34"/>
    </row>
    <row r="764" spans="70:82" x14ac:dyDescent="0.15">
      <c r="BR764" s="34"/>
      <c r="BV764" s="34"/>
      <c r="BZ764" s="34"/>
      <c r="CD764" s="34"/>
    </row>
    <row r="765" spans="70:82" x14ac:dyDescent="0.15">
      <c r="BR765" s="34"/>
      <c r="BV765" s="34"/>
      <c r="BZ765" s="34"/>
      <c r="CD765" s="34"/>
    </row>
    <row r="766" spans="70:82" x14ac:dyDescent="0.15">
      <c r="BR766" s="34"/>
      <c r="BV766" s="34"/>
      <c r="BZ766" s="34"/>
      <c r="CD766" s="34"/>
    </row>
    <row r="767" spans="70:82" x14ac:dyDescent="0.15">
      <c r="BR767" s="34"/>
      <c r="BV767" s="34"/>
      <c r="BZ767" s="34"/>
      <c r="CD767" s="34"/>
    </row>
    <row r="768" spans="70:82" x14ac:dyDescent="0.15">
      <c r="BR768" s="34"/>
      <c r="BV768" s="34"/>
      <c r="BZ768" s="34"/>
      <c r="CD768" s="34"/>
    </row>
    <row r="769" spans="70:82" x14ac:dyDescent="0.15">
      <c r="BR769" s="34"/>
      <c r="BV769" s="34"/>
      <c r="BZ769" s="34"/>
      <c r="CD769" s="34"/>
    </row>
    <row r="770" spans="70:82" x14ac:dyDescent="0.15">
      <c r="BR770" s="34"/>
      <c r="BV770" s="34"/>
      <c r="BZ770" s="34"/>
      <c r="CD770" s="34"/>
    </row>
    <row r="771" spans="70:82" x14ac:dyDescent="0.15">
      <c r="BR771" s="34"/>
      <c r="BV771" s="34"/>
      <c r="BZ771" s="34"/>
      <c r="CD771" s="34"/>
    </row>
    <row r="772" spans="70:82" x14ac:dyDescent="0.15">
      <c r="BR772" s="34"/>
      <c r="BV772" s="34"/>
      <c r="BZ772" s="34"/>
      <c r="CD772" s="34"/>
    </row>
    <row r="773" spans="70:82" x14ac:dyDescent="0.15">
      <c r="BR773" s="34"/>
      <c r="BV773" s="34"/>
      <c r="BZ773" s="34"/>
      <c r="CD773" s="34"/>
    </row>
    <row r="774" spans="70:82" x14ac:dyDescent="0.15">
      <c r="BR774" s="34"/>
      <c r="BV774" s="34"/>
      <c r="BZ774" s="34"/>
      <c r="CD774" s="34"/>
    </row>
    <row r="775" spans="70:82" x14ac:dyDescent="0.15">
      <c r="BR775" s="34"/>
      <c r="BV775" s="34"/>
      <c r="BZ775" s="34"/>
      <c r="CD775" s="34"/>
    </row>
    <row r="776" spans="70:82" x14ac:dyDescent="0.15">
      <c r="BR776" s="34"/>
      <c r="BV776" s="34"/>
      <c r="BZ776" s="34"/>
      <c r="CD776" s="34"/>
    </row>
    <row r="777" spans="70:82" x14ac:dyDescent="0.15">
      <c r="BR777" s="34"/>
      <c r="BV777" s="34"/>
      <c r="BZ777" s="34"/>
      <c r="CD777" s="34"/>
    </row>
    <row r="778" spans="70:82" x14ac:dyDescent="0.15">
      <c r="BR778" s="34"/>
      <c r="BV778" s="34"/>
      <c r="BZ778" s="34"/>
      <c r="CD778" s="34"/>
    </row>
    <row r="779" spans="70:82" x14ac:dyDescent="0.15">
      <c r="BR779" s="34"/>
      <c r="BV779" s="34"/>
      <c r="BZ779" s="34"/>
      <c r="CD779" s="34"/>
    </row>
    <row r="780" spans="70:82" x14ac:dyDescent="0.15">
      <c r="BR780" s="34"/>
      <c r="BV780" s="34"/>
      <c r="BZ780" s="34"/>
      <c r="CD780" s="34"/>
    </row>
    <row r="781" spans="70:82" x14ac:dyDescent="0.15">
      <c r="BR781" s="34"/>
      <c r="BV781" s="34"/>
      <c r="BZ781" s="34"/>
      <c r="CD781" s="34"/>
    </row>
    <row r="782" spans="70:82" x14ac:dyDescent="0.15">
      <c r="BR782" s="34"/>
      <c r="BV782" s="34"/>
      <c r="BZ782" s="34"/>
      <c r="CD782" s="34"/>
    </row>
    <row r="783" spans="70:82" x14ac:dyDescent="0.15">
      <c r="BR783" s="34"/>
      <c r="BV783" s="34"/>
      <c r="BZ783" s="34"/>
      <c r="CD783" s="34"/>
    </row>
    <row r="784" spans="70:82" x14ac:dyDescent="0.15">
      <c r="BR784" s="34"/>
      <c r="BV784" s="34"/>
      <c r="BZ784" s="34"/>
      <c r="CD784" s="34"/>
    </row>
    <row r="785" spans="70:82" x14ac:dyDescent="0.15">
      <c r="BR785" s="34"/>
      <c r="BV785" s="34"/>
      <c r="BZ785" s="34"/>
      <c r="CD785" s="34"/>
    </row>
    <row r="786" spans="70:82" x14ac:dyDescent="0.15">
      <c r="BR786" s="34"/>
      <c r="BV786" s="34"/>
      <c r="BZ786" s="34"/>
      <c r="CD786" s="34"/>
    </row>
    <row r="787" spans="70:82" x14ac:dyDescent="0.15">
      <c r="BR787" s="34"/>
      <c r="BV787" s="34"/>
      <c r="BZ787" s="34"/>
      <c r="CD787" s="34"/>
    </row>
    <row r="788" spans="70:82" x14ac:dyDescent="0.15">
      <c r="BR788" s="34"/>
      <c r="BV788" s="34"/>
      <c r="BZ788" s="34"/>
      <c r="CD788" s="34"/>
    </row>
    <row r="789" spans="70:82" x14ac:dyDescent="0.15">
      <c r="BR789" s="34"/>
      <c r="BV789" s="34"/>
      <c r="BZ789" s="34"/>
      <c r="CD789" s="34"/>
    </row>
    <row r="790" spans="70:82" x14ac:dyDescent="0.15">
      <c r="BR790" s="34"/>
      <c r="BV790" s="34"/>
      <c r="BZ790" s="34"/>
      <c r="CD790" s="34"/>
    </row>
    <row r="791" spans="70:82" x14ac:dyDescent="0.15">
      <c r="BR791" s="34"/>
      <c r="BV791" s="34"/>
      <c r="BZ791" s="34"/>
      <c r="CD791" s="34"/>
    </row>
    <row r="792" spans="70:82" x14ac:dyDescent="0.15">
      <c r="BR792" s="34"/>
      <c r="BV792" s="34"/>
      <c r="BZ792" s="34"/>
      <c r="CD792" s="34"/>
    </row>
    <row r="793" spans="70:82" x14ac:dyDescent="0.15">
      <c r="BR793" s="34"/>
      <c r="BV793" s="34"/>
      <c r="BZ793" s="34"/>
      <c r="CD793" s="34"/>
    </row>
    <row r="794" spans="70:82" x14ac:dyDescent="0.15">
      <c r="BR794" s="34"/>
      <c r="BV794" s="34"/>
      <c r="BZ794" s="34"/>
      <c r="CD794" s="34"/>
    </row>
    <row r="795" spans="70:82" x14ac:dyDescent="0.15">
      <c r="BR795" s="34"/>
      <c r="BV795" s="34"/>
      <c r="BZ795" s="34"/>
      <c r="CD795" s="34"/>
    </row>
    <row r="796" spans="70:82" x14ac:dyDescent="0.15">
      <c r="BR796" s="34"/>
      <c r="BV796" s="34"/>
      <c r="BZ796" s="34"/>
      <c r="CD796" s="34"/>
    </row>
    <row r="797" spans="70:82" x14ac:dyDescent="0.15">
      <c r="BR797" s="34"/>
      <c r="BV797" s="34"/>
      <c r="BZ797" s="34"/>
      <c r="CD797" s="34"/>
    </row>
    <row r="798" spans="70:82" x14ac:dyDescent="0.15">
      <c r="BR798" s="34"/>
      <c r="BV798" s="34"/>
      <c r="BZ798" s="34"/>
      <c r="CD798" s="34"/>
    </row>
    <row r="799" spans="70:82" x14ac:dyDescent="0.15">
      <c r="BR799" s="34"/>
      <c r="BV799" s="34"/>
      <c r="BZ799" s="34"/>
      <c r="CD799" s="34"/>
    </row>
    <row r="800" spans="70:82" x14ac:dyDescent="0.15">
      <c r="BR800" s="34"/>
      <c r="BV800" s="34"/>
      <c r="BZ800" s="34"/>
      <c r="CD800" s="34"/>
    </row>
    <row r="801" spans="70:82" x14ac:dyDescent="0.15">
      <c r="BR801" s="34"/>
      <c r="BV801" s="34"/>
      <c r="BZ801" s="34"/>
      <c r="CD801" s="34"/>
    </row>
    <row r="802" spans="70:82" x14ac:dyDescent="0.15">
      <c r="BR802" s="34"/>
      <c r="BV802" s="34"/>
      <c r="BZ802" s="34"/>
      <c r="CD802" s="34"/>
    </row>
    <row r="803" spans="70:82" x14ac:dyDescent="0.15">
      <c r="BR803" s="34"/>
      <c r="BV803" s="34"/>
      <c r="BZ803" s="34"/>
      <c r="CD803" s="34"/>
    </row>
    <row r="804" spans="70:82" x14ac:dyDescent="0.15">
      <c r="BR804" s="34"/>
      <c r="BV804" s="34"/>
      <c r="BZ804" s="34"/>
      <c r="CD804" s="34"/>
    </row>
    <row r="805" spans="70:82" x14ac:dyDescent="0.15">
      <c r="BR805" s="34"/>
      <c r="BV805" s="34"/>
      <c r="BZ805" s="34"/>
      <c r="CD805" s="34"/>
    </row>
    <row r="806" spans="70:82" x14ac:dyDescent="0.15">
      <c r="BR806" s="34"/>
      <c r="BV806" s="34"/>
      <c r="BZ806" s="34"/>
      <c r="CD806" s="34"/>
    </row>
    <row r="807" spans="70:82" x14ac:dyDescent="0.15">
      <c r="BR807" s="34"/>
      <c r="BV807" s="34"/>
      <c r="BZ807" s="34"/>
      <c r="CD807" s="34"/>
    </row>
    <row r="808" spans="70:82" x14ac:dyDescent="0.15">
      <c r="BR808" s="34"/>
      <c r="BV808" s="34"/>
      <c r="BZ808" s="34"/>
      <c r="CD808" s="34"/>
    </row>
    <row r="809" spans="70:82" x14ac:dyDescent="0.15">
      <c r="BR809" s="34"/>
      <c r="BV809" s="34"/>
      <c r="BZ809" s="34"/>
      <c r="CD809" s="34"/>
    </row>
    <row r="810" spans="70:82" x14ac:dyDescent="0.15">
      <c r="BR810" s="34"/>
      <c r="BV810" s="34"/>
      <c r="BZ810" s="34"/>
      <c r="CD810" s="34"/>
    </row>
    <row r="811" spans="70:82" x14ac:dyDescent="0.15">
      <c r="BR811" s="34"/>
      <c r="BV811" s="34"/>
      <c r="BZ811" s="34"/>
      <c r="CD811" s="34"/>
    </row>
    <row r="812" spans="70:82" x14ac:dyDescent="0.15">
      <c r="BR812" s="34"/>
      <c r="BV812" s="34"/>
      <c r="BZ812" s="34"/>
      <c r="CD812" s="34"/>
    </row>
    <row r="813" spans="70:82" x14ac:dyDescent="0.15">
      <c r="BR813" s="34"/>
      <c r="BV813" s="34"/>
      <c r="BZ813" s="34"/>
      <c r="CD813" s="34"/>
    </row>
    <row r="814" spans="70:82" x14ac:dyDescent="0.15">
      <c r="BR814" s="34"/>
      <c r="BV814" s="34"/>
      <c r="BZ814" s="34"/>
      <c r="CD814" s="34"/>
    </row>
    <row r="815" spans="70:82" x14ac:dyDescent="0.15">
      <c r="BR815" s="34"/>
      <c r="BV815" s="34"/>
      <c r="BZ815" s="34"/>
      <c r="CD815" s="34"/>
    </row>
    <row r="816" spans="70:82" x14ac:dyDescent="0.15">
      <c r="BR816" s="34"/>
      <c r="BV816" s="34"/>
      <c r="BZ816" s="34"/>
      <c r="CD816" s="34"/>
    </row>
    <row r="817" spans="70:82" x14ac:dyDescent="0.15">
      <c r="BR817" s="34"/>
      <c r="BV817" s="34"/>
      <c r="BZ817" s="34"/>
      <c r="CD817" s="34"/>
    </row>
    <row r="818" spans="70:82" x14ac:dyDescent="0.15">
      <c r="BR818" s="34"/>
      <c r="BV818" s="34"/>
      <c r="BZ818" s="34"/>
      <c r="CD818" s="34"/>
    </row>
    <row r="819" spans="70:82" x14ac:dyDescent="0.15">
      <c r="BR819" s="34"/>
      <c r="BV819" s="34"/>
      <c r="BZ819" s="34"/>
      <c r="CD819" s="34"/>
    </row>
    <row r="820" spans="70:82" x14ac:dyDescent="0.15">
      <c r="BR820" s="34"/>
      <c r="BV820" s="34"/>
      <c r="BZ820" s="34"/>
      <c r="CD820" s="34"/>
    </row>
    <row r="821" spans="70:82" x14ac:dyDescent="0.15">
      <c r="BR821" s="34"/>
      <c r="BV821" s="34"/>
      <c r="BZ821" s="34"/>
      <c r="CD821" s="34"/>
    </row>
    <row r="822" spans="70:82" x14ac:dyDescent="0.15">
      <c r="BR822" s="34"/>
      <c r="BV822" s="34"/>
      <c r="BZ822" s="34"/>
      <c r="CD822" s="34"/>
    </row>
    <row r="823" spans="70:82" x14ac:dyDescent="0.15">
      <c r="BR823" s="34"/>
      <c r="BV823" s="34"/>
      <c r="BZ823" s="34"/>
      <c r="CD823" s="34"/>
    </row>
    <row r="824" spans="70:82" x14ac:dyDescent="0.15">
      <c r="BR824" s="34"/>
      <c r="BV824" s="34"/>
      <c r="BZ824" s="34"/>
      <c r="CD824" s="34"/>
    </row>
    <row r="825" spans="70:82" x14ac:dyDescent="0.15">
      <c r="BR825" s="34"/>
      <c r="BV825" s="34"/>
      <c r="BZ825" s="34"/>
      <c r="CD825" s="34"/>
    </row>
    <row r="826" spans="70:82" x14ac:dyDescent="0.15">
      <c r="BR826" s="34"/>
      <c r="BV826" s="34"/>
      <c r="BZ826" s="34"/>
      <c r="CD826" s="34"/>
    </row>
    <row r="827" spans="70:82" x14ac:dyDescent="0.15">
      <c r="BR827" s="34"/>
      <c r="BV827" s="34"/>
      <c r="BZ827" s="34"/>
      <c r="CD827" s="34"/>
    </row>
    <row r="828" spans="70:82" x14ac:dyDescent="0.15">
      <c r="BR828" s="34"/>
      <c r="BV828" s="34"/>
      <c r="BZ828" s="34"/>
      <c r="CD828" s="34"/>
    </row>
    <row r="829" spans="70:82" x14ac:dyDescent="0.15">
      <c r="BR829" s="34"/>
      <c r="BV829" s="34"/>
      <c r="BZ829" s="34"/>
      <c r="CD829" s="34"/>
    </row>
    <row r="830" spans="70:82" x14ac:dyDescent="0.15">
      <c r="BR830" s="34"/>
      <c r="BV830" s="34"/>
      <c r="BZ830" s="34"/>
      <c r="CD830" s="34"/>
    </row>
    <row r="831" spans="70:82" x14ac:dyDescent="0.15">
      <c r="BR831" s="34"/>
      <c r="BV831" s="34"/>
      <c r="BZ831" s="34"/>
      <c r="CD831" s="34"/>
    </row>
    <row r="832" spans="70:82" x14ac:dyDescent="0.15">
      <c r="BR832" s="34"/>
      <c r="BV832" s="34"/>
      <c r="BZ832" s="34"/>
      <c r="CD832" s="34"/>
    </row>
    <row r="833" spans="70:82" x14ac:dyDescent="0.15">
      <c r="BR833" s="34"/>
      <c r="BV833" s="34"/>
      <c r="BZ833" s="34"/>
      <c r="CD833" s="34"/>
    </row>
    <row r="834" spans="70:82" x14ac:dyDescent="0.15">
      <c r="BR834" s="34"/>
      <c r="BV834" s="34"/>
      <c r="BZ834" s="34"/>
      <c r="CD834" s="34"/>
    </row>
    <row r="835" spans="70:82" x14ac:dyDescent="0.15">
      <c r="BR835" s="34"/>
      <c r="BV835" s="34"/>
      <c r="BZ835" s="34"/>
      <c r="CD835" s="34"/>
    </row>
    <row r="836" spans="70:82" x14ac:dyDescent="0.15">
      <c r="BR836" s="34"/>
      <c r="BV836" s="34"/>
      <c r="BZ836" s="34"/>
      <c r="CD836" s="34"/>
    </row>
    <row r="837" spans="70:82" x14ac:dyDescent="0.15">
      <c r="BR837" s="34"/>
      <c r="BV837" s="34"/>
      <c r="BZ837" s="34"/>
      <c r="CD837" s="34"/>
    </row>
    <row r="838" spans="70:82" x14ac:dyDescent="0.15">
      <c r="BR838" s="34"/>
      <c r="BV838" s="34"/>
      <c r="BZ838" s="34"/>
      <c r="CD838" s="34"/>
    </row>
    <row r="839" spans="70:82" x14ac:dyDescent="0.15">
      <c r="BR839" s="34"/>
      <c r="BV839" s="34"/>
      <c r="BZ839" s="34"/>
      <c r="CD839" s="34"/>
    </row>
    <row r="840" spans="70:82" x14ac:dyDescent="0.15">
      <c r="BR840" s="34"/>
      <c r="BV840" s="34"/>
      <c r="BZ840" s="34"/>
      <c r="CD840" s="34"/>
    </row>
    <row r="841" spans="70:82" x14ac:dyDescent="0.15">
      <c r="BR841" s="34"/>
      <c r="BV841" s="34"/>
      <c r="BZ841" s="34"/>
      <c r="CD841" s="34"/>
    </row>
    <row r="842" spans="70:82" x14ac:dyDescent="0.15">
      <c r="BR842" s="34"/>
      <c r="BV842" s="34"/>
      <c r="BZ842" s="34"/>
      <c r="CD842" s="34"/>
    </row>
    <row r="843" spans="70:82" x14ac:dyDescent="0.15">
      <c r="BR843" s="34"/>
      <c r="BV843" s="34"/>
      <c r="BZ843" s="34"/>
      <c r="CD843" s="34"/>
    </row>
    <row r="844" spans="70:82" x14ac:dyDescent="0.15">
      <c r="BR844" s="34"/>
      <c r="BV844" s="34"/>
      <c r="BZ844" s="34"/>
      <c r="CD844" s="34"/>
    </row>
    <row r="845" spans="70:82" x14ac:dyDescent="0.15">
      <c r="BR845" s="34"/>
      <c r="BV845" s="34"/>
      <c r="BZ845" s="34"/>
      <c r="CD845" s="34"/>
    </row>
    <row r="846" spans="70:82" x14ac:dyDescent="0.15">
      <c r="BR846" s="34"/>
      <c r="BV846" s="34"/>
      <c r="BZ846" s="34"/>
      <c r="CD846" s="34"/>
    </row>
    <row r="847" spans="70:82" x14ac:dyDescent="0.15">
      <c r="BR847" s="34"/>
      <c r="BV847" s="34"/>
      <c r="BZ847" s="34"/>
      <c r="CD847" s="34"/>
    </row>
    <row r="848" spans="70:82" x14ac:dyDescent="0.15">
      <c r="BR848" s="34"/>
      <c r="BV848" s="34"/>
      <c r="BZ848" s="34"/>
      <c r="CD848" s="34"/>
    </row>
    <row r="849" spans="70:82" x14ac:dyDescent="0.15">
      <c r="BR849" s="34"/>
      <c r="BV849" s="34"/>
      <c r="BZ849" s="34"/>
      <c r="CD849" s="34"/>
    </row>
    <row r="850" spans="70:82" x14ac:dyDescent="0.15">
      <c r="BR850" s="34"/>
      <c r="BV850" s="34"/>
      <c r="BZ850" s="34"/>
      <c r="CD850" s="34"/>
    </row>
    <row r="851" spans="70:82" x14ac:dyDescent="0.15">
      <c r="BR851" s="34"/>
      <c r="BV851" s="34"/>
      <c r="BZ851" s="34"/>
      <c r="CD851" s="34"/>
    </row>
    <row r="852" spans="70:82" x14ac:dyDescent="0.15">
      <c r="BR852" s="34"/>
      <c r="BV852" s="34"/>
      <c r="BZ852" s="34"/>
      <c r="CD852" s="34"/>
    </row>
    <row r="853" spans="70:82" x14ac:dyDescent="0.15">
      <c r="BR853" s="34"/>
      <c r="BV853" s="34"/>
      <c r="BZ853" s="34"/>
      <c r="CD853" s="34"/>
    </row>
    <row r="854" spans="70:82" x14ac:dyDescent="0.15">
      <c r="BR854" s="34"/>
      <c r="BV854" s="34"/>
      <c r="BZ854" s="34"/>
      <c r="CD854" s="34"/>
    </row>
    <row r="855" spans="70:82" x14ac:dyDescent="0.15">
      <c r="BR855" s="34"/>
      <c r="BV855" s="34"/>
      <c r="BZ855" s="34"/>
      <c r="CD855" s="34"/>
    </row>
    <row r="856" spans="70:82" x14ac:dyDescent="0.15">
      <c r="BR856" s="34"/>
      <c r="BV856" s="34"/>
      <c r="BZ856" s="34"/>
      <c r="CD856" s="34"/>
    </row>
    <row r="857" spans="70:82" x14ac:dyDescent="0.15">
      <c r="BR857" s="34"/>
      <c r="BV857" s="34"/>
      <c r="BZ857" s="34"/>
      <c r="CD857" s="34"/>
    </row>
    <row r="858" spans="70:82" x14ac:dyDescent="0.15">
      <c r="BR858" s="34"/>
      <c r="BV858" s="34"/>
      <c r="BZ858" s="34"/>
      <c r="CD858" s="34"/>
    </row>
    <row r="859" spans="70:82" x14ac:dyDescent="0.15">
      <c r="BR859" s="34"/>
      <c r="BV859" s="34"/>
      <c r="BZ859" s="34"/>
      <c r="CD859" s="34"/>
    </row>
    <row r="860" spans="70:82" x14ac:dyDescent="0.15">
      <c r="BR860" s="34"/>
      <c r="BV860" s="34"/>
      <c r="BZ860" s="34"/>
      <c r="CD860" s="34"/>
    </row>
    <row r="861" spans="70:82" x14ac:dyDescent="0.15">
      <c r="BR861" s="34"/>
      <c r="BV861" s="34"/>
      <c r="BZ861" s="34"/>
      <c r="CD861" s="34"/>
    </row>
    <row r="862" spans="70:82" x14ac:dyDescent="0.15">
      <c r="BR862" s="34"/>
      <c r="BV862" s="34"/>
      <c r="BZ862" s="34"/>
      <c r="CD862" s="34"/>
    </row>
    <row r="863" spans="70:82" x14ac:dyDescent="0.15">
      <c r="BR863" s="34"/>
      <c r="BV863" s="34"/>
      <c r="BZ863" s="34"/>
      <c r="CD863" s="34"/>
    </row>
    <row r="864" spans="70:82" x14ac:dyDescent="0.15">
      <c r="BR864" s="34"/>
      <c r="BV864" s="34"/>
      <c r="BZ864" s="34"/>
      <c r="CD864" s="34"/>
    </row>
    <row r="865" spans="70:82" x14ac:dyDescent="0.15">
      <c r="BR865" s="34"/>
      <c r="BV865" s="34"/>
      <c r="BZ865" s="34"/>
      <c r="CD865" s="34"/>
    </row>
    <row r="866" spans="70:82" x14ac:dyDescent="0.15">
      <c r="BR866" s="34"/>
      <c r="BV866" s="34"/>
      <c r="BZ866" s="34"/>
      <c r="CD866" s="34"/>
    </row>
    <row r="867" spans="70:82" x14ac:dyDescent="0.15">
      <c r="BR867" s="34"/>
      <c r="BV867" s="34"/>
      <c r="BZ867" s="34"/>
      <c r="CD867" s="34"/>
    </row>
    <row r="868" spans="70:82" x14ac:dyDescent="0.15">
      <c r="BR868" s="34"/>
      <c r="BV868" s="34"/>
      <c r="BZ868" s="34"/>
      <c r="CD868" s="34"/>
    </row>
    <row r="869" spans="70:82" x14ac:dyDescent="0.15">
      <c r="BR869" s="34"/>
      <c r="BV869" s="34"/>
      <c r="BZ869" s="34"/>
      <c r="CD869" s="34"/>
    </row>
    <row r="870" spans="70:82" x14ac:dyDescent="0.15">
      <c r="BR870" s="34"/>
      <c r="BV870" s="34"/>
      <c r="BZ870" s="34"/>
      <c r="CD870" s="34"/>
    </row>
    <row r="871" spans="70:82" x14ac:dyDescent="0.15">
      <c r="BR871" s="34"/>
      <c r="BV871" s="34"/>
      <c r="BZ871" s="34"/>
      <c r="CD871" s="34"/>
    </row>
    <row r="872" spans="70:82" x14ac:dyDescent="0.15">
      <c r="BR872" s="34"/>
      <c r="BV872" s="34"/>
      <c r="BZ872" s="34"/>
      <c r="CD872" s="34"/>
    </row>
    <row r="873" spans="70:82" x14ac:dyDescent="0.15">
      <c r="BR873" s="34"/>
      <c r="BV873" s="34"/>
      <c r="BZ873" s="34"/>
      <c r="CD873" s="34"/>
    </row>
    <row r="874" spans="70:82" x14ac:dyDescent="0.15">
      <c r="BR874" s="34"/>
      <c r="BV874" s="34"/>
      <c r="BZ874" s="34"/>
      <c r="CD874" s="34"/>
    </row>
    <row r="875" spans="70:82" x14ac:dyDescent="0.15">
      <c r="BR875" s="34"/>
      <c r="BV875" s="34"/>
      <c r="BZ875" s="34"/>
      <c r="CD875" s="34"/>
    </row>
    <row r="876" spans="70:82" x14ac:dyDescent="0.15">
      <c r="BR876" s="34"/>
      <c r="BV876" s="34"/>
      <c r="BZ876" s="34"/>
      <c r="CD876" s="34"/>
    </row>
    <row r="877" spans="70:82" x14ac:dyDescent="0.15">
      <c r="BR877" s="34"/>
      <c r="BV877" s="34"/>
      <c r="BZ877" s="34"/>
      <c r="CD877" s="34"/>
    </row>
    <row r="878" spans="70:82" x14ac:dyDescent="0.15">
      <c r="BR878" s="34"/>
      <c r="BV878" s="34"/>
      <c r="BZ878" s="34"/>
      <c r="CD878" s="34"/>
    </row>
    <row r="879" spans="70:82" x14ac:dyDescent="0.15">
      <c r="BR879" s="34"/>
      <c r="BV879" s="34"/>
      <c r="BZ879" s="34"/>
      <c r="CD879" s="34"/>
    </row>
    <row r="880" spans="70:82" x14ac:dyDescent="0.15">
      <c r="BR880" s="34"/>
      <c r="BV880" s="34"/>
      <c r="BZ880" s="34"/>
      <c r="CD880" s="34"/>
    </row>
    <row r="881" spans="70:82" x14ac:dyDescent="0.15">
      <c r="BR881" s="34"/>
      <c r="BV881" s="34"/>
      <c r="BZ881" s="34"/>
      <c r="CD881" s="34"/>
    </row>
    <row r="882" spans="70:82" x14ac:dyDescent="0.15">
      <c r="BR882" s="34"/>
      <c r="BV882" s="34"/>
      <c r="BZ882" s="34"/>
      <c r="CD882" s="34"/>
    </row>
    <row r="883" spans="70:82" x14ac:dyDescent="0.15">
      <c r="BR883" s="34"/>
      <c r="BV883" s="34"/>
      <c r="BZ883" s="34"/>
      <c r="CD883" s="34"/>
    </row>
    <row r="884" spans="70:82" x14ac:dyDescent="0.15">
      <c r="BR884" s="34"/>
      <c r="BV884" s="34"/>
      <c r="BZ884" s="34"/>
      <c r="CD884" s="34"/>
    </row>
    <row r="885" spans="70:82" x14ac:dyDescent="0.15">
      <c r="BR885" s="34"/>
      <c r="BV885" s="34"/>
      <c r="BZ885" s="34"/>
      <c r="CD885" s="34"/>
    </row>
    <row r="886" spans="70:82" x14ac:dyDescent="0.15">
      <c r="BR886" s="34"/>
      <c r="BV886" s="34"/>
      <c r="BZ886" s="34"/>
      <c r="CD886" s="34"/>
    </row>
    <row r="887" spans="70:82" x14ac:dyDescent="0.15">
      <c r="BR887" s="34"/>
      <c r="BV887" s="34"/>
      <c r="BZ887" s="34"/>
      <c r="CD887" s="34"/>
    </row>
    <row r="888" spans="70:82" x14ac:dyDescent="0.15">
      <c r="BR888" s="34"/>
      <c r="BV888" s="34"/>
      <c r="BZ888" s="34"/>
      <c r="CD888" s="34"/>
    </row>
    <row r="889" spans="70:82" x14ac:dyDescent="0.15">
      <c r="BR889" s="34"/>
      <c r="BV889" s="34"/>
      <c r="BZ889" s="34"/>
      <c r="CD889" s="34"/>
    </row>
    <row r="890" spans="70:82" x14ac:dyDescent="0.15">
      <c r="BR890" s="34"/>
      <c r="BV890" s="34"/>
      <c r="BZ890" s="34"/>
      <c r="CD890" s="34"/>
    </row>
    <row r="891" spans="70:82" x14ac:dyDescent="0.15">
      <c r="BR891" s="34"/>
      <c r="BV891" s="34"/>
      <c r="BZ891" s="34"/>
      <c r="CD891" s="34"/>
    </row>
    <row r="892" spans="70:82" x14ac:dyDescent="0.15">
      <c r="BR892" s="34"/>
      <c r="BV892" s="34"/>
      <c r="BZ892" s="34"/>
      <c r="CD892" s="34"/>
    </row>
    <row r="893" spans="70:82" x14ac:dyDescent="0.15">
      <c r="BR893" s="34"/>
      <c r="BV893" s="34"/>
      <c r="BZ893" s="34"/>
      <c r="CD893" s="34"/>
    </row>
    <row r="894" spans="70:82" x14ac:dyDescent="0.15">
      <c r="BR894" s="34"/>
      <c r="BV894" s="34"/>
      <c r="BZ894" s="34"/>
      <c r="CD894" s="34"/>
    </row>
    <row r="895" spans="70:82" x14ac:dyDescent="0.15">
      <c r="BR895" s="34"/>
      <c r="BV895" s="34"/>
      <c r="BZ895" s="34"/>
      <c r="CD895" s="34"/>
    </row>
    <row r="896" spans="70:82" x14ac:dyDescent="0.15">
      <c r="BR896" s="34"/>
      <c r="BV896" s="34"/>
      <c r="BZ896" s="34"/>
      <c r="CD896" s="34"/>
    </row>
    <row r="897" spans="70:82" x14ac:dyDescent="0.15">
      <c r="BR897" s="34"/>
      <c r="BV897" s="34"/>
      <c r="BZ897" s="34"/>
      <c r="CD897" s="34"/>
    </row>
    <row r="898" spans="70:82" x14ac:dyDescent="0.15">
      <c r="BR898" s="34"/>
      <c r="BV898" s="34"/>
      <c r="BZ898" s="34"/>
      <c r="CD898" s="34"/>
    </row>
    <row r="899" spans="70:82" x14ac:dyDescent="0.15">
      <c r="BR899" s="34"/>
      <c r="BV899" s="34"/>
      <c r="BZ899" s="34"/>
      <c r="CD899" s="34"/>
    </row>
    <row r="900" spans="70:82" x14ac:dyDescent="0.15">
      <c r="BR900" s="34"/>
      <c r="BV900" s="34"/>
      <c r="BZ900" s="34"/>
      <c r="CD900" s="34"/>
    </row>
    <row r="901" spans="70:82" x14ac:dyDescent="0.15">
      <c r="BR901" s="34"/>
      <c r="BV901" s="34"/>
      <c r="BZ901" s="34"/>
      <c r="CD901" s="34"/>
    </row>
    <row r="902" spans="70:82" x14ac:dyDescent="0.15">
      <c r="BR902" s="34"/>
      <c r="BV902" s="34"/>
      <c r="BZ902" s="34"/>
      <c r="CD902" s="34"/>
    </row>
    <row r="903" spans="70:82" x14ac:dyDescent="0.15">
      <c r="BR903" s="34"/>
      <c r="BV903" s="34"/>
      <c r="BZ903" s="34"/>
      <c r="CD903" s="34"/>
    </row>
    <row r="904" spans="70:82" x14ac:dyDescent="0.15">
      <c r="BR904" s="34"/>
      <c r="BV904" s="34"/>
      <c r="BZ904" s="34"/>
      <c r="CD904" s="34"/>
    </row>
    <row r="905" spans="70:82" x14ac:dyDescent="0.15">
      <c r="BR905" s="34"/>
      <c r="BV905" s="34"/>
      <c r="BZ905" s="34"/>
      <c r="CD905" s="34"/>
    </row>
    <row r="906" spans="70:82" x14ac:dyDescent="0.15">
      <c r="BR906" s="34"/>
      <c r="BV906" s="34"/>
      <c r="BZ906" s="34"/>
      <c r="CD906" s="34"/>
    </row>
    <row r="907" spans="70:82" x14ac:dyDescent="0.15">
      <c r="BR907" s="34"/>
      <c r="BV907" s="34"/>
      <c r="BZ907" s="34"/>
      <c r="CD907" s="34"/>
    </row>
    <row r="908" spans="70:82" x14ac:dyDescent="0.15">
      <c r="BR908" s="34"/>
      <c r="BV908" s="34"/>
      <c r="BZ908" s="34"/>
      <c r="CD908" s="34"/>
    </row>
    <row r="909" spans="70:82" x14ac:dyDescent="0.15">
      <c r="BR909" s="34"/>
      <c r="BV909" s="34"/>
      <c r="BZ909" s="34"/>
      <c r="CD909" s="34"/>
    </row>
    <row r="910" spans="70:82" x14ac:dyDescent="0.15">
      <c r="BR910" s="34"/>
      <c r="BV910" s="34"/>
      <c r="BZ910" s="34"/>
      <c r="CD910" s="34"/>
    </row>
    <row r="911" spans="70:82" x14ac:dyDescent="0.15">
      <c r="BR911" s="34"/>
      <c r="BV911" s="34"/>
      <c r="BZ911" s="34"/>
      <c r="CD911" s="34"/>
    </row>
    <row r="912" spans="70:82" x14ac:dyDescent="0.15">
      <c r="BR912" s="34"/>
      <c r="BV912" s="34"/>
      <c r="BZ912" s="34"/>
      <c r="CD912" s="34"/>
    </row>
    <row r="913" spans="70:82" x14ac:dyDescent="0.15">
      <c r="BR913" s="34"/>
      <c r="BV913" s="34"/>
      <c r="BZ913" s="34"/>
      <c r="CD913" s="34"/>
    </row>
    <row r="914" spans="70:82" x14ac:dyDescent="0.15">
      <c r="BR914" s="34"/>
      <c r="BV914" s="34"/>
      <c r="BZ914" s="34"/>
      <c r="CD914" s="34"/>
    </row>
    <row r="915" spans="70:82" x14ac:dyDescent="0.15">
      <c r="BR915" s="34"/>
      <c r="BV915" s="34"/>
      <c r="BZ915" s="34"/>
      <c r="CD915" s="34"/>
    </row>
    <row r="916" spans="70:82" x14ac:dyDescent="0.15">
      <c r="BR916" s="34"/>
      <c r="BV916" s="34"/>
      <c r="BZ916" s="34"/>
      <c r="CD916" s="34"/>
    </row>
    <row r="917" spans="70:82" x14ac:dyDescent="0.15">
      <c r="BR917" s="34"/>
      <c r="BV917" s="34"/>
      <c r="BZ917" s="34"/>
      <c r="CD917" s="34"/>
    </row>
    <row r="918" spans="70:82" x14ac:dyDescent="0.15">
      <c r="BR918" s="34"/>
      <c r="BV918" s="34"/>
      <c r="BZ918" s="34"/>
      <c r="CD918" s="34"/>
    </row>
    <row r="919" spans="70:82" x14ac:dyDescent="0.15">
      <c r="BR919" s="34"/>
      <c r="BV919" s="34"/>
      <c r="BZ919" s="34"/>
      <c r="CD919" s="34"/>
    </row>
    <row r="920" spans="70:82" x14ac:dyDescent="0.15">
      <c r="BR920" s="34"/>
      <c r="BV920" s="34"/>
      <c r="BZ920" s="34"/>
      <c r="CD920" s="34"/>
    </row>
    <row r="921" spans="70:82" x14ac:dyDescent="0.15">
      <c r="BR921" s="34"/>
      <c r="BV921" s="34"/>
      <c r="BZ921" s="34"/>
      <c r="CD921" s="34"/>
    </row>
    <row r="922" spans="70:82" x14ac:dyDescent="0.15">
      <c r="BR922" s="34"/>
      <c r="BV922" s="34"/>
      <c r="BZ922" s="34"/>
      <c r="CD922" s="34"/>
    </row>
    <row r="923" spans="70:82" x14ac:dyDescent="0.15">
      <c r="BR923" s="34"/>
      <c r="BV923" s="34"/>
      <c r="BZ923" s="34"/>
      <c r="CD923" s="34"/>
    </row>
    <row r="924" spans="70:82" x14ac:dyDescent="0.15">
      <c r="BR924" s="34"/>
      <c r="BV924" s="34"/>
      <c r="BZ924" s="34"/>
      <c r="CD924" s="34"/>
    </row>
    <row r="925" spans="70:82" x14ac:dyDescent="0.15">
      <c r="BR925" s="34"/>
      <c r="BV925" s="34"/>
      <c r="BZ925" s="34"/>
      <c r="CD925" s="34"/>
    </row>
    <row r="926" spans="70:82" x14ac:dyDescent="0.15">
      <c r="BR926" s="34"/>
      <c r="BV926" s="34"/>
      <c r="BZ926" s="34"/>
      <c r="CD926" s="34"/>
    </row>
    <row r="927" spans="70:82" x14ac:dyDescent="0.15">
      <c r="BR927" s="34"/>
      <c r="BV927" s="34"/>
      <c r="BZ927" s="34"/>
      <c r="CD927" s="34"/>
    </row>
    <row r="928" spans="70:82" x14ac:dyDescent="0.15">
      <c r="BR928" s="34"/>
      <c r="BV928" s="34"/>
      <c r="BZ928" s="34"/>
      <c r="CD928" s="34"/>
    </row>
    <row r="929" spans="70:82" x14ac:dyDescent="0.15">
      <c r="BR929" s="34"/>
      <c r="BV929" s="34"/>
      <c r="BZ929" s="34"/>
      <c r="CD929" s="34"/>
    </row>
    <row r="930" spans="70:82" x14ac:dyDescent="0.15">
      <c r="BR930" s="34"/>
      <c r="BV930" s="34"/>
      <c r="BZ930" s="34"/>
      <c r="CD930" s="34"/>
    </row>
    <row r="931" spans="70:82" x14ac:dyDescent="0.15">
      <c r="BR931" s="34"/>
      <c r="BV931" s="34"/>
      <c r="BZ931" s="34"/>
      <c r="CD931" s="34"/>
    </row>
    <row r="932" spans="70:82" x14ac:dyDescent="0.15">
      <c r="BR932" s="34"/>
      <c r="BV932" s="34"/>
      <c r="BZ932" s="34"/>
      <c r="CD932" s="34"/>
    </row>
    <row r="933" spans="70:82" x14ac:dyDescent="0.15">
      <c r="BR933" s="34"/>
      <c r="BV933" s="34"/>
      <c r="BZ933" s="34"/>
      <c r="CD933" s="34"/>
    </row>
    <row r="934" spans="70:82" x14ac:dyDescent="0.15">
      <c r="BR934" s="34"/>
      <c r="BV934" s="34"/>
      <c r="BZ934" s="34"/>
      <c r="CD934" s="34"/>
    </row>
    <row r="935" spans="70:82" x14ac:dyDescent="0.15">
      <c r="BR935" s="34"/>
      <c r="BV935" s="34"/>
      <c r="BZ935" s="34"/>
      <c r="CD935" s="34"/>
    </row>
    <row r="936" spans="70:82" x14ac:dyDescent="0.15">
      <c r="BR936" s="34"/>
      <c r="BV936" s="34"/>
      <c r="BZ936" s="34"/>
      <c r="CD936" s="34"/>
    </row>
    <row r="937" spans="70:82" x14ac:dyDescent="0.15">
      <c r="BR937" s="34"/>
      <c r="BV937" s="34"/>
      <c r="BZ937" s="34"/>
      <c r="CD937" s="34"/>
    </row>
    <row r="938" spans="70:82" x14ac:dyDescent="0.15">
      <c r="BR938" s="34"/>
      <c r="BV938" s="34"/>
      <c r="BZ938" s="34"/>
      <c r="CD938" s="34"/>
    </row>
    <row r="939" spans="70:82" x14ac:dyDescent="0.15">
      <c r="BR939" s="34"/>
      <c r="BV939" s="34"/>
      <c r="BZ939" s="34"/>
      <c r="CD939" s="34"/>
    </row>
    <row r="940" spans="70:82" x14ac:dyDescent="0.15">
      <c r="BR940" s="34"/>
      <c r="BV940" s="34"/>
      <c r="BZ940" s="34"/>
      <c r="CD940" s="34"/>
    </row>
    <row r="941" spans="70:82" x14ac:dyDescent="0.15">
      <c r="BR941" s="34"/>
      <c r="BV941" s="34"/>
      <c r="BZ941" s="34"/>
      <c r="CD941" s="34"/>
    </row>
    <row r="942" spans="70:82" x14ac:dyDescent="0.15">
      <c r="BR942" s="34"/>
      <c r="BV942" s="34"/>
      <c r="BZ942" s="34"/>
      <c r="CD942" s="34"/>
    </row>
    <row r="943" spans="70:82" x14ac:dyDescent="0.15">
      <c r="BR943" s="34"/>
      <c r="BV943" s="34"/>
      <c r="BZ943" s="34"/>
      <c r="CD943" s="34"/>
    </row>
    <row r="944" spans="70:82" x14ac:dyDescent="0.15">
      <c r="BR944" s="34"/>
      <c r="BV944" s="34"/>
      <c r="BZ944" s="34"/>
      <c r="CD944" s="34"/>
    </row>
    <row r="945" spans="70:82" x14ac:dyDescent="0.15">
      <c r="BR945" s="34"/>
      <c r="BV945" s="34"/>
      <c r="BZ945" s="34"/>
      <c r="CD945" s="34"/>
    </row>
    <row r="946" spans="70:82" x14ac:dyDescent="0.15">
      <c r="BR946" s="34"/>
      <c r="BV946" s="34"/>
      <c r="BZ946" s="34"/>
      <c r="CD946" s="34"/>
    </row>
    <row r="947" spans="70:82" x14ac:dyDescent="0.15">
      <c r="BR947" s="34"/>
      <c r="BV947" s="34"/>
      <c r="BZ947" s="34"/>
      <c r="CD947" s="34"/>
    </row>
    <row r="948" spans="70:82" x14ac:dyDescent="0.15">
      <c r="BR948" s="34"/>
      <c r="BV948" s="34"/>
      <c r="BZ948" s="34"/>
      <c r="CD948" s="34"/>
    </row>
    <row r="949" spans="70:82" x14ac:dyDescent="0.15">
      <c r="BR949" s="34"/>
      <c r="BV949" s="34"/>
      <c r="BZ949" s="34"/>
      <c r="CD949" s="34"/>
    </row>
    <row r="950" spans="70:82" x14ac:dyDescent="0.15">
      <c r="BR950" s="34"/>
      <c r="BV950" s="34"/>
      <c r="BZ950" s="34"/>
      <c r="CD950" s="34"/>
    </row>
    <row r="951" spans="70:82" x14ac:dyDescent="0.15">
      <c r="BR951" s="34"/>
      <c r="BV951" s="34"/>
      <c r="BZ951" s="34"/>
      <c r="CD951" s="34"/>
    </row>
    <row r="952" spans="70:82" x14ac:dyDescent="0.15">
      <c r="BR952" s="34"/>
      <c r="BV952" s="34"/>
      <c r="BZ952" s="34"/>
      <c r="CD952" s="34"/>
    </row>
    <row r="953" spans="70:82" x14ac:dyDescent="0.15">
      <c r="BR953" s="34"/>
      <c r="BV953" s="34"/>
      <c r="BZ953" s="34"/>
      <c r="CD953" s="34"/>
    </row>
    <row r="954" spans="70:82" x14ac:dyDescent="0.15">
      <c r="BR954" s="34"/>
      <c r="BV954" s="34"/>
      <c r="BZ954" s="34"/>
      <c r="CD954" s="34"/>
    </row>
    <row r="955" spans="70:82" x14ac:dyDescent="0.15">
      <c r="BR955" s="34"/>
      <c r="BV955" s="34"/>
      <c r="BZ955" s="34"/>
      <c r="CD955" s="34"/>
    </row>
    <row r="956" spans="70:82" x14ac:dyDescent="0.15">
      <c r="BR956" s="34"/>
      <c r="BV956" s="34"/>
      <c r="BZ956" s="34"/>
      <c r="CD956" s="34"/>
    </row>
    <row r="957" spans="70:82" x14ac:dyDescent="0.15">
      <c r="BR957" s="34"/>
      <c r="BV957" s="34"/>
      <c r="BZ957" s="34"/>
      <c r="CD957" s="34"/>
    </row>
    <row r="958" spans="70:82" x14ac:dyDescent="0.15">
      <c r="BR958" s="34"/>
      <c r="BV958" s="34"/>
      <c r="BZ958" s="34"/>
      <c r="CD958" s="34"/>
    </row>
    <row r="959" spans="70:82" x14ac:dyDescent="0.15">
      <c r="BR959" s="34"/>
      <c r="BV959" s="34"/>
      <c r="BZ959" s="34"/>
      <c r="CD959" s="34"/>
    </row>
    <row r="960" spans="70:82" x14ac:dyDescent="0.15">
      <c r="BR960" s="34"/>
      <c r="BV960" s="34"/>
      <c r="BZ960" s="34"/>
      <c r="CD960" s="34"/>
    </row>
    <row r="961" spans="70:82" x14ac:dyDescent="0.15">
      <c r="BR961" s="34"/>
      <c r="BV961" s="34"/>
      <c r="BZ961" s="34"/>
      <c r="CD961" s="34"/>
    </row>
    <row r="962" spans="70:82" x14ac:dyDescent="0.15">
      <c r="BR962" s="34"/>
      <c r="BV962" s="34"/>
      <c r="BZ962" s="34"/>
      <c r="CD962" s="34"/>
    </row>
    <row r="963" spans="70:82" x14ac:dyDescent="0.15">
      <c r="BR963" s="34"/>
      <c r="BV963" s="34"/>
      <c r="BZ963" s="34"/>
      <c r="CD963" s="34"/>
    </row>
    <row r="964" spans="70:82" x14ac:dyDescent="0.15">
      <c r="BR964" s="34"/>
      <c r="BV964" s="34"/>
      <c r="BZ964" s="34"/>
      <c r="CD964" s="34"/>
    </row>
    <row r="965" spans="70:82" x14ac:dyDescent="0.15">
      <c r="BR965" s="34"/>
      <c r="BV965" s="34"/>
      <c r="BZ965" s="34"/>
      <c r="CD965" s="34"/>
    </row>
    <row r="966" spans="70:82" x14ac:dyDescent="0.15">
      <c r="BR966" s="34"/>
      <c r="BV966" s="34"/>
      <c r="BZ966" s="34"/>
      <c r="CD966" s="34"/>
    </row>
    <row r="967" spans="70:82" x14ac:dyDescent="0.15">
      <c r="BR967" s="34"/>
      <c r="BV967" s="34"/>
      <c r="BZ967" s="34"/>
      <c r="CD967" s="34"/>
    </row>
    <row r="968" spans="70:82" x14ac:dyDescent="0.15">
      <c r="BR968" s="34"/>
      <c r="BV968" s="34"/>
      <c r="BZ968" s="34"/>
      <c r="CD968" s="34"/>
    </row>
    <row r="969" spans="70:82" x14ac:dyDescent="0.15">
      <c r="BR969" s="34"/>
      <c r="BV969" s="34"/>
      <c r="BZ969" s="34"/>
      <c r="CD969" s="34"/>
    </row>
    <row r="970" spans="70:82" x14ac:dyDescent="0.15">
      <c r="BR970" s="34"/>
      <c r="BV970" s="34"/>
      <c r="BZ970" s="34"/>
      <c r="CD970" s="34"/>
    </row>
    <row r="971" spans="70:82" x14ac:dyDescent="0.15">
      <c r="BR971" s="34"/>
      <c r="BV971" s="34"/>
      <c r="BZ971" s="34"/>
      <c r="CD971" s="34"/>
    </row>
    <row r="972" spans="70:82" x14ac:dyDescent="0.15">
      <c r="BR972" s="34"/>
      <c r="BV972" s="34"/>
      <c r="BZ972" s="34"/>
      <c r="CD972" s="34"/>
    </row>
    <row r="973" spans="70:82" x14ac:dyDescent="0.15">
      <c r="BR973" s="34"/>
      <c r="BV973" s="34"/>
      <c r="BZ973" s="34"/>
      <c r="CD973" s="34"/>
    </row>
    <row r="974" spans="70:82" x14ac:dyDescent="0.15">
      <c r="BR974" s="34"/>
      <c r="BV974" s="34"/>
      <c r="BZ974" s="34"/>
      <c r="CD974" s="34"/>
    </row>
    <row r="975" spans="70:82" x14ac:dyDescent="0.15">
      <c r="BR975" s="34"/>
      <c r="BV975" s="34"/>
      <c r="BZ975" s="34"/>
      <c r="CD975" s="34"/>
    </row>
    <row r="976" spans="70:82" x14ac:dyDescent="0.15">
      <c r="BR976" s="34"/>
      <c r="BV976" s="34"/>
      <c r="BZ976" s="34"/>
      <c r="CD976" s="34"/>
    </row>
    <row r="977" spans="70:82" x14ac:dyDescent="0.15">
      <c r="BR977" s="34"/>
      <c r="BV977" s="34"/>
      <c r="BZ977" s="34"/>
      <c r="CD977" s="34"/>
    </row>
    <row r="978" spans="70:82" x14ac:dyDescent="0.15">
      <c r="BR978" s="34"/>
      <c r="BV978" s="34"/>
      <c r="BZ978" s="34"/>
      <c r="CD978" s="34"/>
    </row>
    <row r="979" spans="70:82" x14ac:dyDescent="0.15">
      <c r="BR979" s="34"/>
      <c r="BV979" s="34"/>
      <c r="BZ979" s="34"/>
      <c r="CD979" s="34"/>
    </row>
    <row r="980" spans="70:82" x14ac:dyDescent="0.15">
      <c r="BR980" s="34"/>
      <c r="BV980" s="34"/>
      <c r="BZ980" s="34"/>
      <c r="CD980" s="34"/>
    </row>
    <row r="981" spans="70:82" x14ac:dyDescent="0.15">
      <c r="BR981" s="34"/>
      <c r="BV981" s="34"/>
      <c r="BZ981" s="34"/>
      <c r="CD981" s="34"/>
    </row>
    <row r="982" spans="70:82" x14ac:dyDescent="0.15">
      <c r="BR982" s="34"/>
      <c r="BV982" s="34"/>
      <c r="BZ982" s="34"/>
      <c r="CD982" s="34"/>
    </row>
    <row r="983" spans="70:82" x14ac:dyDescent="0.15">
      <c r="BR983" s="34"/>
      <c r="BV983" s="34"/>
      <c r="BZ983" s="34"/>
      <c r="CD983" s="34"/>
    </row>
    <row r="984" spans="70:82" x14ac:dyDescent="0.15">
      <c r="BR984" s="34"/>
      <c r="BV984" s="34"/>
      <c r="BZ984" s="34"/>
      <c r="CD984" s="34"/>
    </row>
    <row r="985" spans="70:82" x14ac:dyDescent="0.15">
      <c r="BR985" s="34"/>
      <c r="BV985" s="34"/>
      <c r="BZ985" s="34"/>
      <c r="CD985" s="34"/>
    </row>
    <row r="986" spans="70:82" x14ac:dyDescent="0.15">
      <c r="BR986" s="34"/>
      <c r="BV986" s="34"/>
      <c r="BZ986" s="34"/>
      <c r="CD986" s="34"/>
    </row>
    <row r="987" spans="70:82" x14ac:dyDescent="0.15">
      <c r="BR987" s="34"/>
      <c r="BV987" s="34"/>
      <c r="BZ987" s="34"/>
      <c r="CD987" s="34"/>
    </row>
    <row r="988" spans="70:82" x14ac:dyDescent="0.15">
      <c r="BR988" s="34"/>
      <c r="BV988" s="34"/>
      <c r="BZ988" s="34"/>
      <c r="CD988" s="34"/>
    </row>
    <row r="989" spans="70:82" x14ac:dyDescent="0.15">
      <c r="BR989" s="34"/>
      <c r="BV989" s="34"/>
      <c r="BZ989" s="34"/>
      <c r="CD989" s="34"/>
    </row>
    <row r="990" spans="70:82" x14ac:dyDescent="0.15">
      <c r="BR990" s="34"/>
      <c r="BV990" s="34"/>
      <c r="BZ990" s="34"/>
      <c r="CD990" s="34"/>
    </row>
    <row r="991" spans="70:82" x14ac:dyDescent="0.15">
      <c r="BR991" s="34"/>
      <c r="BV991" s="34"/>
      <c r="BZ991" s="34"/>
      <c r="CD991" s="34"/>
    </row>
    <row r="992" spans="70:82" x14ac:dyDescent="0.15">
      <c r="BR992" s="34"/>
      <c r="BV992" s="34"/>
      <c r="BZ992" s="34"/>
      <c r="CD992" s="34"/>
    </row>
    <row r="993" spans="70:82" x14ac:dyDescent="0.15">
      <c r="BR993" s="34"/>
      <c r="BV993" s="34"/>
      <c r="BZ993" s="34"/>
      <c r="CD993" s="34"/>
    </row>
    <row r="994" spans="70:82" x14ac:dyDescent="0.15">
      <c r="BR994" s="34"/>
      <c r="BV994" s="34"/>
      <c r="BZ994" s="34"/>
      <c r="CD994" s="34"/>
    </row>
    <row r="995" spans="70:82" x14ac:dyDescent="0.15">
      <c r="BR995" s="34"/>
      <c r="BV995" s="34"/>
      <c r="BZ995" s="34"/>
      <c r="CD995" s="34"/>
    </row>
    <row r="996" spans="70:82" x14ac:dyDescent="0.15">
      <c r="BR996" s="34"/>
      <c r="BV996" s="34"/>
      <c r="BZ996" s="34"/>
      <c r="CD996" s="34"/>
    </row>
    <row r="997" spans="70:82" x14ac:dyDescent="0.15">
      <c r="BR997" s="34"/>
      <c r="BV997" s="34"/>
      <c r="BZ997" s="34"/>
      <c r="CD997" s="34"/>
    </row>
    <row r="998" spans="70:82" x14ac:dyDescent="0.15">
      <c r="BR998" s="34"/>
      <c r="BV998" s="34"/>
      <c r="BZ998" s="34"/>
      <c r="CD998" s="34"/>
    </row>
    <row r="999" spans="70:82" x14ac:dyDescent="0.15">
      <c r="BR999" s="34"/>
      <c r="BV999" s="34"/>
      <c r="BZ999" s="34"/>
      <c r="CD999" s="34"/>
    </row>
    <row r="1000" spans="70:82" x14ac:dyDescent="0.15">
      <c r="BR1000" s="34"/>
      <c r="BV1000" s="34"/>
      <c r="BZ1000" s="34"/>
      <c r="CD1000" s="34"/>
    </row>
    <row r="1001" spans="70:82" x14ac:dyDescent="0.15">
      <c r="BR1001" s="34"/>
      <c r="BV1001" s="34"/>
      <c r="BZ1001" s="34"/>
      <c r="CD1001" s="34"/>
    </row>
    <row r="1002" spans="70:82" x14ac:dyDescent="0.15">
      <c r="BR1002" s="34"/>
      <c r="BV1002" s="34"/>
      <c r="BZ1002" s="34"/>
      <c r="CD1002" s="34"/>
    </row>
    <row r="1003" spans="70:82" x14ac:dyDescent="0.15">
      <c r="BR1003" s="34"/>
      <c r="BV1003" s="34"/>
      <c r="BZ1003" s="34"/>
      <c r="CD1003" s="34"/>
    </row>
    <row r="1004" spans="70:82" x14ac:dyDescent="0.15">
      <c r="BR1004" s="34"/>
      <c r="BV1004" s="34"/>
      <c r="BZ1004" s="34"/>
      <c r="CD1004" s="34"/>
    </row>
    <row r="1005" spans="70:82" x14ac:dyDescent="0.15">
      <c r="BR1005" s="34"/>
      <c r="BV1005" s="34"/>
      <c r="BZ1005" s="34"/>
      <c r="CD1005" s="34"/>
    </row>
    <row r="1006" spans="70:82" x14ac:dyDescent="0.15">
      <c r="BR1006" s="34"/>
      <c r="BV1006" s="34"/>
      <c r="BZ1006" s="34"/>
      <c r="CD1006" s="34"/>
    </row>
    <row r="1007" spans="70:82" x14ac:dyDescent="0.15">
      <c r="BR1007" s="34"/>
      <c r="BV1007" s="34"/>
      <c r="BZ1007" s="34"/>
      <c r="CD1007" s="34"/>
    </row>
    <row r="1008" spans="70:82" x14ac:dyDescent="0.15">
      <c r="BR1008" s="34"/>
      <c r="BV1008" s="34"/>
      <c r="BZ1008" s="34"/>
      <c r="CD1008" s="34"/>
    </row>
    <row r="1009" spans="70:82" x14ac:dyDescent="0.15">
      <c r="BR1009" s="34"/>
      <c r="BV1009" s="34"/>
      <c r="BZ1009" s="34"/>
      <c r="CD1009" s="34"/>
    </row>
    <row r="1010" spans="70:82" x14ac:dyDescent="0.15">
      <c r="BR1010" s="34"/>
      <c r="BV1010" s="34"/>
      <c r="BZ1010" s="34"/>
      <c r="CD1010" s="34"/>
    </row>
    <row r="1011" spans="70:82" x14ac:dyDescent="0.15">
      <c r="BR1011" s="34"/>
      <c r="BV1011" s="34"/>
      <c r="BZ1011" s="34"/>
      <c r="CD1011" s="34"/>
    </row>
    <row r="1012" spans="70:82" x14ac:dyDescent="0.15">
      <c r="BR1012" s="34"/>
      <c r="BV1012" s="34"/>
      <c r="BZ1012" s="34"/>
      <c r="CD1012" s="34"/>
    </row>
    <row r="1013" spans="70:82" x14ac:dyDescent="0.15">
      <c r="BR1013" s="34"/>
      <c r="BV1013" s="34"/>
      <c r="BZ1013" s="34"/>
      <c r="CD1013" s="34"/>
    </row>
    <row r="1014" spans="70:82" x14ac:dyDescent="0.15">
      <c r="BR1014" s="34"/>
      <c r="BV1014" s="34"/>
      <c r="BZ1014" s="34"/>
      <c r="CD1014" s="34"/>
    </row>
    <row r="1015" spans="70:82" x14ac:dyDescent="0.15">
      <c r="BR1015" s="34"/>
      <c r="BV1015" s="34"/>
      <c r="BZ1015" s="34"/>
      <c r="CD1015" s="34"/>
    </row>
    <row r="1016" spans="70:82" x14ac:dyDescent="0.15">
      <c r="BR1016" s="34"/>
      <c r="BV1016" s="34"/>
      <c r="BZ1016" s="34"/>
      <c r="CD1016" s="34"/>
    </row>
    <row r="1017" spans="70:82" x14ac:dyDescent="0.15">
      <c r="BR1017" s="34"/>
      <c r="BV1017" s="34"/>
      <c r="BZ1017" s="34"/>
      <c r="CD1017" s="34"/>
    </row>
    <row r="1018" spans="70:82" x14ac:dyDescent="0.15">
      <c r="BR1018" s="34"/>
      <c r="BV1018" s="34"/>
      <c r="BZ1018" s="34"/>
      <c r="CD1018" s="34"/>
    </row>
    <row r="1019" spans="70:82" x14ac:dyDescent="0.15">
      <c r="BR1019" s="34"/>
      <c r="BV1019" s="34"/>
      <c r="BZ1019" s="34"/>
      <c r="CD1019" s="34"/>
    </row>
    <row r="1020" spans="70:82" x14ac:dyDescent="0.15">
      <c r="BR1020" s="34"/>
      <c r="BV1020" s="34"/>
      <c r="BZ1020" s="34"/>
      <c r="CD1020" s="34"/>
    </row>
    <row r="1021" spans="70:82" x14ac:dyDescent="0.15">
      <c r="BR1021" s="34"/>
      <c r="BV1021" s="34"/>
      <c r="BZ1021" s="34"/>
      <c r="CD1021" s="34"/>
    </row>
    <row r="1022" spans="70:82" x14ac:dyDescent="0.15">
      <c r="BR1022" s="34"/>
      <c r="BV1022" s="34"/>
      <c r="BZ1022" s="34"/>
      <c r="CD1022" s="34"/>
    </row>
    <row r="1023" spans="70:82" x14ac:dyDescent="0.15">
      <c r="BR1023" s="34"/>
      <c r="BV1023" s="34"/>
      <c r="BZ1023" s="34"/>
      <c r="CD1023" s="34"/>
    </row>
    <row r="1024" spans="70:82" x14ac:dyDescent="0.15">
      <c r="BR1024" s="34"/>
      <c r="BV1024" s="34"/>
      <c r="BZ1024" s="34"/>
      <c r="CD1024" s="34"/>
    </row>
    <row r="1025" spans="70:82" x14ac:dyDescent="0.15">
      <c r="BR1025" s="34"/>
      <c r="BV1025" s="34"/>
      <c r="BZ1025" s="34"/>
      <c r="CD1025" s="34"/>
    </row>
    <row r="1026" spans="70:82" x14ac:dyDescent="0.15">
      <c r="BR1026" s="34"/>
      <c r="BV1026" s="34"/>
      <c r="BZ1026" s="34"/>
      <c r="CD1026" s="34"/>
    </row>
    <row r="1027" spans="70:82" x14ac:dyDescent="0.15">
      <c r="BR1027" s="34"/>
      <c r="BV1027" s="34"/>
      <c r="BZ1027" s="34"/>
      <c r="CD1027" s="34"/>
    </row>
    <row r="1028" spans="70:82" x14ac:dyDescent="0.15">
      <c r="BR1028" s="34"/>
      <c r="BV1028" s="34"/>
      <c r="BZ1028" s="34"/>
      <c r="CD1028" s="34"/>
    </row>
    <row r="1029" spans="70:82" x14ac:dyDescent="0.15">
      <c r="BR1029" s="34"/>
      <c r="BV1029" s="34"/>
      <c r="BZ1029" s="34"/>
      <c r="CD1029" s="34"/>
    </row>
    <row r="1030" spans="70:82" x14ac:dyDescent="0.15">
      <c r="BR1030" s="34"/>
      <c r="BV1030" s="34"/>
      <c r="BZ1030" s="34"/>
      <c r="CD1030" s="34"/>
    </row>
    <row r="1031" spans="70:82" x14ac:dyDescent="0.15">
      <c r="BR1031" s="34"/>
      <c r="BV1031" s="34"/>
      <c r="BZ1031" s="34"/>
      <c r="CD1031" s="34"/>
    </row>
    <row r="1032" spans="70:82" x14ac:dyDescent="0.15">
      <c r="BR1032" s="34"/>
      <c r="BV1032" s="34"/>
      <c r="BZ1032" s="34"/>
      <c r="CD1032" s="34"/>
    </row>
    <row r="1033" spans="70:82" x14ac:dyDescent="0.15">
      <c r="BR1033" s="34"/>
      <c r="BV1033" s="34"/>
      <c r="BZ1033" s="34"/>
      <c r="CD1033" s="34"/>
    </row>
    <row r="1034" spans="70:82" x14ac:dyDescent="0.15">
      <c r="BR1034" s="34"/>
      <c r="BV1034" s="34"/>
      <c r="BZ1034" s="34"/>
      <c r="CD1034" s="34"/>
    </row>
    <row r="1035" spans="70:82" x14ac:dyDescent="0.15">
      <c r="BR1035" s="34"/>
      <c r="BV1035" s="34"/>
      <c r="BZ1035" s="34"/>
      <c r="CD1035" s="34"/>
    </row>
    <row r="1036" spans="70:82" x14ac:dyDescent="0.15">
      <c r="BR1036" s="34"/>
      <c r="BV1036" s="34"/>
      <c r="BZ1036" s="34"/>
      <c r="CD1036" s="34"/>
    </row>
    <row r="1037" spans="70:82" x14ac:dyDescent="0.15">
      <c r="BR1037" s="34"/>
      <c r="BV1037" s="34"/>
      <c r="BZ1037" s="34"/>
      <c r="CD1037" s="34"/>
    </row>
    <row r="1038" spans="70:82" x14ac:dyDescent="0.15">
      <c r="BR1038" s="34"/>
      <c r="BV1038" s="34"/>
      <c r="BZ1038" s="34"/>
      <c r="CD1038" s="34"/>
    </row>
    <row r="1039" spans="70:82" x14ac:dyDescent="0.15">
      <c r="BR1039" s="34"/>
      <c r="BV1039" s="34"/>
      <c r="BZ1039" s="34"/>
      <c r="CD1039" s="34"/>
    </row>
    <row r="1040" spans="70:82" x14ac:dyDescent="0.15">
      <c r="BR1040" s="34"/>
      <c r="BV1040" s="34"/>
      <c r="BZ1040" s="34"/>
      <c r="CD1040" s="34"/>
    </row>
    <row r="1041" spans="70:82" x14ac:dyDescent="0.15">
      <c r="BR1041" s="34"/>
      <c r="BV1041" s="34"/>
      <c r="BZ1041" s="34"/>
      <c r="CD1041" s="34"/>
    </row>
    <row r="1042" spans="70:82" x14ac:dyDescent="0.15">
      <c r="BR1042" s="34"/>
      <c r="BV1042" s="34"/>
      <c r="BZ1042" s="34"/>
      <c r="CD1042" s="34"/>
    </row>
    <row r="1043" spans="70:82" x14ac:dyDescent="0.15">
      <c r="BR1043" s="34"/>
      <c r="BV1043" s="34"/>
      <c r="BZ1043" s="34"/>
      <c r="CD1043" s="34"/>
    </row>
    <row r="1044" spans="70:82" x14ac:dyDescent="0.15">
      <c r="BR1044" s="34"/>
      <c r="BV1044" s="34"/>
      <c r="BZ1044" s="34"/>
      <c r="CD1044" s="34"/>
    </row>
    <row r="1045" spans="70:82" x14ac:dyDescent="0.15">
      <c r="BR1045" s="34"/>
      <c r="BV1045" s="34"/>
      <c r="BZ1045" s="34"/>
      <c r="CD1045" s="34"/>
    </row>
    <row r="1046" spans="70:82" x14ac:dyDescent="0.15">
      <c r="BR1046" s="34"/>
      <c r="BV1046" s="34"/>
      <c r="BZ1046" s="34"/>
      <c r="CD1046" s="34"/>
    </row>
    <row r="1047" spans="70:82" x14ac:dyDescent="0.15">
      <c r="BR1047" s="34"/>
      <c r="BV1047" s="34"/>
      <c r="BZ1047" s="34"/>
      <c r="CD1047" s="34"/>
    </row>
    <row r="1048" spans="70:82" x14ac:dyDescent="0.15">
      <c r="BR1048" s="34"/>
      <c r="BV1048" s="34"/>
      <c r="BZ1048" s="34"/>
      <c r="CD1048" s="34"/>
    </row>
    <row r="1049" spans="70:82" x14ac:dyDescent="0.15">
      <c r="BR1049" s="34"/>
      <c r="BV1049" s="34"/>
      <c r="BZ1049" s="34"/>
      <c r="CD1049" s="34"/>
    </row>
    <row r="1050" spans="70:82" x14ac:dyDescent="0.15">
      <c r="BR1050" s="34"/>
      <c r="BV1050" s="34"/>
      <c r="BZ1050" s="34"/>
      <c r="CD1050" s="34"/>
    </row>
    <row r="1051" spans="70:82" x14ac:dyDescent="0.15">
      <c r="BR1051" s="34"/>
      <c r="BV1051" s="34"/>
      <c r="BZ1051" s="34"/>
      <c r="CD1051" s="34"/>
    </row>
    <row r="1052" spans="70:82" x14ac:dyDescent="0.15">
      <c r="BR1052" s="34"/>
      <c r="BV1052" s="34"/>
      <c r="BZ1052" s="34"/>
      <c r="CD1052" s="34"/>
    </row>
    <row r="1053" spans="70:82" x14ac:dyDescent="0.15">
      <c r="BR1053" s="34"/>
      <c r="BV1053" s="34"/>
      <c r="BZ1053" s="34"/>
      <c r="CD1053" s="34"/>
    </row>
    <row r="1054" spans="70:82" x14ac:dyDescent="0.15">
      <c r="BR1054" s="34"/>
      <c r="BV1054" s="34"/>
      <c r="BZ1054" s="34"/>
      <c r="CD1054" s="34"/>
    </row>
    <row r="1055" spans="70:82" x14ac:dyDescent="0.15">
      <c r="BR1055" s="34"/>
      <c r="BV1055" s="34"/>
      <c r="BZ1055" s="34"/>
      <c r="CD1055" s="34"/>
    </row>
    <row r="1056" spans="70:82" x14ac:dyDescent="0.15">
      <c r="BR1056" s="34"/>
      <c r="BV1056" s="34"/>
      <c r="BZ1056" s="34"/>
      <c r="CD1056" s="34"/>
    </row>
    <row r="1057" spans="70:82" x14ac:dyDescent="0.15">
      <c r="BR1057" s="34"/>
      <c r="BV1057" s="34"/>
      <c r="BZ1057" s="34"/>
      <c r="CD1057" s="34"/>
    </row>
    <row r="1058" spans="70:82" x14ac:dyDescent="0.15">
      <c r="BR1058" s="34"/>
      <c r="BV1058" s="34"/>
      <c r="BZ1058" s="34"/>
      <c r="CD1058" s="34"/>
    </row>
    <row r="1059" spans="70:82" x14ac:dyDescent="0.15">
      <c r="BR1059" s="34"/>
      <c r="BV1059" s="34"/>
      <c r="BZ1059" s="34"/>
      <c r="CD1059" s="34"/>
    </row>
    <row r="1060" spans="70:82" x14ac:dyDescent="0.15">
      <c r="BR1060" s="34"/>
      <c r="BV1060" s="34"/>
      <c r="BZ1060" s="34"/>
      <c r="CD1060" s="34"/>
    </row>
    <row r="1061" spans="70:82" x14ac:dyDescent="0.15">
      <c r="BR1061" s="34"/>
      <c r="BV1061" s="34"/>
      <c r="BZ1061" s="34"/>
      <c r="CD1061" s="34"/>
    </row>
    <row r="1062" spans="70:82" x14ac:dyDescent="0.15">
      <c r="BR1062" s="34"/>
      <c r="BV1062" s="34"/>
      <c r="BZ1062" s="34"/>
      <c r="CD1062" s="34"/>
    </row>
    <row r="1063" spans="70:82" x14ac:dyDescent="0.15">
      <c r="BR1063" s="34"/>
      <c r="BV1063" s="34"/>
      <c r="BZ1063" s="34"/>
      <c r="CD1063" s="34"/>
    </row>
    <row r="1064" spans="70:82" x14ac:dyDescent="0.15">
      <c r="BR1064" s="34"/>
      <c r="BV1064" s="34"/>
      <c r="BZ1064" s="34"/>
      <c r="CD1064" s="34"/>
    </row>
    <row r="1065" spans="70:82" x14ac:dyDescent="0.15">
      <c r="BR1065" s="34"/>
      <c r="BV1065" s="34"/>
      <c r="BZ1065" s="34"/>
      <c r="CD1065" s="34"/>
    </row>
    <row r="1066" spans="70:82" x14ac:dyDescent="0.15">
      <c r="BR1066" s="34"/>
      <c r="BV1066" s="34"/>
      <c r="BZ1066" s="34"/>
      <c r="CD1066" s="34"/>
    </row>
    <row r="1067" spans="70:82" x14ac:dyDescent="0.15">
      <c r="BR1067" s="34"/>
      <c r="BV1067" s="34"/>
      <c r="BZ1067" s="34"/>
      <c r="CD1067" s="34"/>
    </row>
    <row r="1068" spans="70:82" x14ac:dyDescent="0.15">
      <c r="BR1068" s="34"/>
      <c r="BV1068" s="34"/>
      <c r="BZ1068" s="34"/>
      <c r="CD1068" s="34"/>
    </row>
    <row r="1069" spans="70:82" x14ac:dyDescent="0.15">
      <c r="BR1069" s="34"/>
      <c r="BV1069" s="34"/>
      <c r="BZ1069" s="34"/>
      <c r="CD1069" s="34"/>
    </row>
    <row r="1070" spans="70:82" x14ac:dyDescent="0.15">
      <c r="BR1070" s="34"/>
      <c r="BV1070" s="34"/>
      <c r="BZ1070" s="34"/>
      <c r="CD1070" s="34"/>
    </row>
    <row r="1071" spans="70:82" x14ac:dyDescent="0.15">
      <c r="BR1071" s="34"/>
      <c r="BV1071" s="34"/>
      <c r="BZ1071" s="34"/>
      <c r="CD1071" s="34"/>
    </row>
    <row r="1072" spans="70:82" x14ac:dyDescent="0.15">
      <c r="BR1072" s="34"/>
      <c r="BV1072" s="34"/>
      <c r="BZ1072" s="34"/>
      <c r="CD1072" s="34"/>
    </row>
    <row r="1073" spans="70:82" x14ac:dyDescent="0.15">
      <c r="BR1073" s="34"/>
      <c r="BV1073" s="34"/>
      <c r="BZ1073" s="34"/>
      <c r="CD1073" s="34"/>
    </row>
    <row r="1074" spans="70:82" x14ac:dyDescent="0.15">
      <c r="BR1074" s="34"/>
      <c r="BV1074" s="34"/>
      <c r="BZ1074" s="34"/>
      <c r="CD1074" s="34"/>
    </row>
    <row r="1075" spans="70:82" x14ac:dyDescent="0.15">
      <c r="BR1075" s="34"/>
      <c r="BV1075" s="34"/>
      <c r="BZ1075" s="34"/>
      <c r="CD1075" s="34"/>
    </row>
    <row r="1076" spans="70:82" x14ac:dyDescent="0.15">
      <c r="BR1076" s="34"/>
      <c r="BV1076" s="34"/>
      <c r="BZ1076" s="34"/>
      <c r="CD1076" s="34"/>
    </row>
    <row r="1077" spans="70:82" x14ac:dyDescent="0.15">
      <c r="BR1077" s="34"/>
      <c r="BV1077" s="34"/>
      <c r="BZ1077" s="34"/>
      <c r="CD1077" s="34"/>
    </row>
    <row r="1078" spans="70:82" x14ac:dyDescent="0.15">
      <c r="BR1078" s="34"/>
      <c r="BV1078" s="34"/>
      <c r="BZ1078" s="34"/>
      <c r="CD1078" s="34"/>
    </row>
    <row r="1079" spans="70:82" x14ac:dyDescent="0.15">
      <c r="BR1079" s="34"/>
      <c r="BV1079" s="34"/>
      <c r="BZ1079" s="34"/>
      <c r="CD1079" s="34"/>
    </row>
    <row r="1080" spans="70:82" x14ac:dyDescent="0.15">
      <c r="BR1080" s="34"/>
      <c r="BV1080" s="34"/>
      <c r="BZ1080" s="34"/>
      <c r="CD1080" s="34"/>
    </row>
    <row r="1081" spans="70:82" x14ac:dyDescent="0.15">
      <c r="BR1081" s="34"/>
      <c r="BV1081" s="34"/>
      <c r="BZ1081" s="34"/>
      <c r="CD1081" s="34"/>
    </row>
    <row r="1082" spans="70:82" x14ac:dyDescent="0.15">
      <c r="BR1082" s="34"/>
      <c r="BV1082" s="34"/>
      <c r="BZ1082" s="34"/>
      <c r="CD1082" s="34"/>
    </row>
    <row r="1083" spans="70:82" x14ac:dyDescent="0.15">
      <c r="BR1083" s="34"/>
      <c r="BV1083" s="34"/>
      <c r="BZ1083" s="34"/>
      <c r="CD1083" s="34"/>
    </row>
    <row r="1084" spans="70:82" x14ac:dyDescent="0.15">
      <c r="BR1084" s="34"/>
      <c r="BV1084" s="34"/>
      <c r="BZ1084" s="34"/>
      <c r="CD1084" s="34"/>
    </row>
    <row r="1085" spans="70:82" x14ac:dyDescent="0.15">
      <c r="BR1085" s="34"/>
      <c r="BV1085" s="34"/>
      <c r="BZ1085" s="34"/>
      <c r="CD1085" s="34"/>
    </row>
    <row r="1086" spans="70:82" x14ac:dyDescent="0.15">
      <c r="BR1086" s="34"/>
      <c r="BV1086" s="34"/>
      <c r="BZ1086" s="34"/>
      <c r="CD1086" s="34"/>
    </row>
    <row r="1087" spans="70:82" x14ac:dyDescent="0.15">
      <c r="BR1087" s="34"/>
      <c r="BV1087" s="34"/>
      <c r="BZ1087" s="34"/>
      <c r="CD1087" s="34"/>
    </row>
    <row r="1088" spans="70:82" x14ac:dyDescent="0.15">
      <c r="BR1088" s="34"/>
      <c r="BV1088" s="34"/>
      <c r="BZ1088" s="34"/>
      <c r="CD1088" s="34"/>
    </row>
    <row r="1089" spans="70:82" x14ac:dyDescent="0.15">
      <c r="BR1089" s="34"/>
      <c r="BV1089" s="34"/>
      <c r="BZ1089" s="34"/>
      <c r="CD1089" s="34"/>
    </row>
    <row r="1090" spans="70:82" x14ac:dyDescent="0.15">
      <c r="BR1090" s="34"/>
      <c r="BV1090" s="34"/>
      <c r="BZ1090" s="34"/>
      <c r="CD1090" s="34"/>
    </row>
    <row r="1091" spans="70:82" x14ac:dyDescent="0.15">
      <c r="BR1091" s="34"/>
      <c r="BV1091" s="34"/>
      <c r="BZ1091" s="34"/>
      <c r="CD1091" s="34"/>
    </row>
    <row r="1092" spans="70:82" x14ac:dyDescent="0.15">
      <c r="BR1092" s="34"/>
      <c r="BV1092" s="34"/>
      <c r="BZ1092" s="34"/>
      <c r="CD1092" s="34"/>
    </row>
    <row r="1093" spans="70:82" x14ac:dyDescent="0.15">
      <c r="BR1093" s="34"/>
      <c r="BV1093" s="34"/>
      <c r="BZ1093" s="34"/>
      <c r="CD1093" s="34"/>
    </row>
    <row r="1094" spans="70:82" x14ac:dyDescent="0.15">
      <c r="BR1094" s="34"/>
      <c r="BV1094" s="34"/>
      <c r="BZ1094" s="34"/>
      <c r="CD1094" s="34"/>
    </row>
    <row r="1095" spans="70:82" x14ac:dyDescent="0.15">
      <c r="BR1095" s="34"/>
      <c r="BV1095" s="34"/>
      <c r="BZ1095" s="34"/>
      <c r="CD1095" s="34"/>
    </row>
    <row r="1096" spans="70:82" x14ac:dyDescent="0.15">
      <c r="BR1096" s="34"/>
      <c r="BV1096" s="34"/>
      <c r="BZ1096" s="34"/>
      <c r="CD1096" s="34"/>
    </row>
    <row r="1097" spans="70:82" x14ac:dyDescent="0.15">
      <c r="BR1097" s="34"/>
      <c r="BV1097" s="34"/>
      <c r="BZ1097" s="34"/>
      <c r="CD1097" s="34"/>
    </row>
    <row r="1098" spans="70:82" x14ac:dyDescent="0.15">
      <c r="BR1098" s="34"/>
      <c r="BV1098" s="34"/>
      <c r="BZ1098" s="34"/>
      <c r="CD1098" s="34"/>
    </row>
    <row r="1099" spans="70:82" x14ac:dyDescent="0.15">
      <c r="BR1099" s="34"/>
      <c r="BV1099" s="34"/>
      <c r="BZ1099" s="34"/>
      <c r="CD1099" s="34"/>
    </row>
    <row r="1100" spans="70:82" x14ac:dyDescent="0.15">
      <c r="BR1100" s="34"/>
      <c r="BV1100" s="34"/>
      <c r="BZ1100" s="34"/>
      <c r="CD1100" s="34"/>
    </row>
    <row r="1101" spans="70:82" x14ac:dyDescent="0.15">
      <c r="BR1101" s="34"/>
      <c r="BV1101" s="34"/>
      <c r="BZ1101" s="34"/>
      <c r="CD1101" s="34"/>
    </row>
    <row r="1102" spans="70:82" x14ac:dyDescent="0.15">
      <c r="BR1102" s="34"/>
      <c r="BV1102" s="34"/>
      <c r="BZ1102" s="34"/>
      <c r="CD1102" s="34"/>
    </row>
    <row r="1103" spans="70:82" x14ac:dyDescent="0.15">
      <c r="BR1103" s="34"/>
      <c r="BV1103" s="34"/>
      <c r="BZ1103" s="34"/>
      <c r="CD1103" s="34"/>
    </row>
    <row r="1104" spans="70:82" x14ac:dyDescent="0.15">
      <c r="BR1104" s="34"/>
      <c r="BV1104" s="34"/>
      <c r="BZ1104" s="34"/>
      <c r="CD1104" s="34"/>
    </row>
    <row r="1105" spans="70:82" x14ac:dyDescent="0.15">
      <c r="BR1105" s="34"/>
      <c r="BV1105" s="34"/>
      <c r="BZ1105" s="34"/>
      <c r="CD1105" s="34"/>
    </row>
    <row r="1106" spans="70:82" x14ac:dyDescent="0.15">
      <c r="BR1106" s="34"/>
      <c r="BV1106" s="34"/>
      <c r="BZ1106" s="34"/>
      <c r="CD1106" s="34"/>
    </row>
    <row r="1107" spans="70:82" x14ac:dyDescent="0.15">
      <c r="BR1107" s="34"/>
      <c r="BV1107" s="34"/>
      <c r="BZ1107" s="34"/>
      <c r="CD1107" s="34"/>
    </row>
    <row r="1108" spans="70:82" x14ac:dyDescent="0.15">
      <c r="BR1108" s="34"/>
      <c r="BV1108" s="34"/>
      <c r="BZ1108" s="34"/>
      <c r="CD1108" s="34"/>
    </row>
    <row r="1109" spans="70:82" x14ac:dyDescent="0.15">
      <c r="BR1109" s="34"/>
      <c r="BV1109" s="34"/>
      <c r="BZ1109" s="34"/>
      <c r="CD1109" s="34"/>
    </row>
    <row r="1110" spans="70:82" x14ac:dyDescent="0.15">
      <c r="BR1110" s="34"/>
      <c r="BV1110" s="34"/>
      <c r="BZ1110" s="34"/>
      <c r="CD1110" s="34"/>
    </row>
    <row r="1111" spans="70:82" x14ac:dyDescent="0.15">
      <c r="BR1111" s="34"/>
      <c r="BV1111" s="34"/>
      <c r="BZ1111" s="34"/>
      <c r="CD1111" s="34"/>
    </row>
    <row r="1112" spans="70:82" x14ac:dyDescent="0.15">
      <c r="BR1112" s="34"/>
      <c r="BV1112" s="34"/>
      <c r="BZ1112" s="34"/>
      <c r="CD1112" s="34"/>
    </row>
    <row r="1113" spans="70:82" x14ac:dyDescent="0.15">
      <c r="BR1113" s="34"/>
      <c r="BV1113" s="34"/>
      <c r="BZ1113" s="34"/>
      <c r="CD1113" s="34"/>
    </row>
    <row r="1114" spans="70:82" x14ac:dyDescent="0.15">
      <c r="BR1114" s="34"/>
      <c r="BV1114" s="34"/>
      <c r="BZ1114" s="34"/>
      <c r="CD1114" s="34"/>
    </row>
    <row r="1115" spans="70:82" x14ac:dyDescent="0.15">
      <c r="BR1115" s="34"/>
      <c r="BV1115" s="34"/>
      <c r="BZ1115" s="34"/>
      <c r="CD1115" s="34"/>
    </row>
    <row r="1116" spans="70:82" x14ac:dyDescent="0.15">
      <c r="BR1116" s="34"/>
      <c r="BV1116" s="34"/>
      <c r="BZ1116" s="34"/>
      <c r="CD1116" s="34"/>
    </row>
    <row r="1117" spans="70:82" x14ac:dyDescent="0.15">
      <c r="BR1117" s="34"/>
      <c r="BV1117" s="34"/>
      <c r="BZ1117" s="34"/>
      <c r="CD1117" s="34"/>
    </row>
    <row r="1118" spans="70:82" x14ac:dyDescent="0.15">
      <c r="BR1118" s="34"/>
      <c r="BV1118" s="34"/>
      <c r="BZ1118" s="34"/>
      <c r="CD1118" s="34"/>
    </row>
    <row r="1119" spans="70:82" x14ac:dyDescent="0.15">
      <c r="BR1119" s="34"/>
      <c r="BV1119" s="34"/>
      <c r="BZ1119" s="34"/>
      <c r="CD1119" s="34"/>
    </row>
    <row r="1120" spans="70:82" x14ac:dyDescent="0.15">
      <c r="BR1120" s="34"/>
      <c r="BV1120" s="34"/>
      <c r="BZ1120" s="34"/>
      <c r="CD1120" s="34"/>
    </row>
    <row r="1121" spans="70:82" x14ac:dyDescent="0.15">
      <c r="BR1121" s="34"/>
      <c r="BV1121" s="34"/>
      <c r="BZ1121" s="34"/>
      <c r="CD1121" s="34"/>
    </row>
    <row r="1122" spans="70:82" x14ac:dyDescent="0.15">
      <c r="BR1122" s="34"/>
      <c r="BV1122" s="34"/>
      <c r="BZ1122" s="34"/>
      <c r="CD1122" s="34"/>
    </row>
    <row r="1123" spans="70:82" x14ac:dyDescent="0.15">
      <c r="BR1123" s="34"/>
      <c r="BV1123" s="34"/>
      <c r="BZ1123" s="34"/>
      <c r="CD1123" s="34"/>
    </row>
    <row r="1124" spans="70:82" x14ac:dyDescent="0.15">
      <c r="BR1124" s="34"/>
      <c r="BV1124" s="34"/>
      <c r="BZ1124" s="34"/>
      <c r="CD1124" s="34"/>
    </row>
    <row r="1125" spans="70:82" x14ac:dyDescent="0.15">
      <c r="BR1125" s="34"/>
      <c r="BV1125" s="34"/>
      <c r="BZ1125" s="34"/>
      <c r="CD1125" s="34"/>
    </row>
    <row r="1126" spans="70:82" x14ac:dyDescent="0.15">
      <c r="BR1126" s="34"/>
      <c r="BV1126" s="34"/>
      <c r="BZ1126" s="34"/>
      <c r="CD1126" s="34"/>
    </row>
    <row r="1127" spans="70:82" x14ac:dyDescent="0.15">
      <c r="BR1127" s="34"/>
      <c r="BV1127" s="34"/>
      <c r="BZ1127" s="34"/>
      <c r="CD1127" s="34"/>
    </row>
    <row r="1128" spans="70:82" x14ac:dyDescent="0.15">
      <c r="BR1128" s="34"/>
      <c r="BV1128" s="34"/>
      <c r="BZ1128" s="34"/>
      <c r="CD1128" s="34"/>
    </row>
    <row r="1129" spans="70:82" x14ac:dyDescent="0.15">
      <c r="BR1129" s="34"/>
      <c r="BV1129" s="34"/>
      <c r="BZ1129" s="34"/>
      <c r="CD1129" s="34"/>
    </row>
    <row r="1130" spans="70:82" x14ac:dyDescent="0.15">
      <c r="BR1130" s="34"/>
      <c r="BV1130" s="34"/>
      <c r="BZ1130" s="34"/>
      <c r="CD1130" s="34"/>
    </row>
    <row r="1131" spans="70:82" x14ac:dyDescent="0.15">
      <c r="BR1131" s="34"/>
      <c r="BV1131" s="34"/>
      <c r="BZ1131" s="34"/>
      <c r="CD1131" s="34"/>
    </row>
    <row r="1132" spans="70:82" x14ac:dyDescent="0.15">
      <c r="BR1132" s="34"/>
      <c r="BV1132" s="34"/>
      <c r="BZ1132" s="34"/>
      <c r="CD1132" s="34"/>
    </row>
    <row r="1133" spans="70:82" x14ac:dyDescent="0.15">
      <c r="BR1133" s="34"/>
      <c r="BV1133" s="34"/>
      <c r="BZ1133" s="34"/>
      <c r="CD1133" s="34"/>
    </row>
    <row r="1134" spans="70:82" x14ac:dyDescent="0.15">
      <c r="BR1134" s="34"/>
      <c r="BV1134" s="34"/>
      <c r="BZ1134" s="34"/>
      <c r="CD1134" s="34"/>
    </row>
    <row r="1135" spans="70:82" x14ac:dyDescent="0.15">
      <c r="BR1135" s="34"/>
      <c r="BV1135" s="34"/>
      <c r="BZ1135" s="34"/>
      <c r="CD1135" s="34"/>
    </row>
    <row r="1136" spans="70:82" x14ac:dyDescent="0.15">
      <c r="BR1136" s="34"/>
      <c r="BV1136" s="34"/>
      <c r="BZ1136" s="34"/>
      <c r="CD1136" s="34"/>
    </row>
    <row r="1137" spans="70:82" x14ac:dyDescent="0.15">
      <c r="BR1137" s="34"/>
      <c r="BV1137" s="34"/>
      <c r="BZ1137" s="34"/>
      <c r="CD1137" s="34"/>
    </row>
    <row r="1138" spans="70:82" x14ac:dyDescent="0.15">
      <c r="BR1138" s="34"/>
      <c r="BV1138" s="34"/>
      <c r="BZ1138" s="34"/>
      <c r="CD1138" s="34"/>
    </row>
    <row r="1139" spans="70:82" x14ac:dyDescent="0.15">
      <c r="BR1139" s="34"/>
      <c r="BV1139" s="34"/>
      <c r="BZ1139" s="34"/>
      <c r="CD1139" s="34"/>
    </row>
    <row r="1140" spans="70:82" x14ac:dyDescent="0.15">
      <c r="BR1140" s="34"/>
      <c r="BV1140" s="34"/>
      <c r="BZ1140" s="34"/>
      <c r="CD1140" s="34"/>
    </row>
    <row r="1141" spans="70:82" x14ac:dyDescent="0.15">
      <c r="BR1141" s="34"/>
      <c r="BV1141" s="34"/>
      <c r="BZ1141" s="34"/>
      <c r="CD1141" s="34"/>
    </row>
    <row r="1142" spans="70:82" x14ac:dyDescent="0.15">
      <c r="BR1142" s="34"/>
      <c r="BV1142" s="34"/>
      <c r="BZ1142" s="34"/>
      <c r="CD1142" s="34"/>
    </row>
    <row r="1143" spans="70:82" x14ac:dyDescent="0.15">
      <c r="BR1143" s="34"/>
      <c r="BV1143" s="34"/>
      <c r="BZ1143" s="34"/>
      <c r="CD1143" s="34"/>
    </row>
    <row r="1144" spans="70:82" x14ac:dyDescent="0.15">
      <c r="BR1144" s="34"/>
      <c r="BV1144" s="34"/>
      <c r="BZ1144" s="34"/>
      <c r="CD1144" s="34"/>
    </row>
    <row r="1145" spans="70:82" x14ac:dyDescent="0.15">
      <c r="BR1145" s="34"/>
      <c r="BV1145" s="34"/>
      <c r="BZ1145" s="34"/>
      <c r="CD1145" s="34"/>
    </row>
    <row r="1146" spans="70:82" x14ac:dyDescent="0.15">
      <c r="BR1146" s="34"/>
      <c r="BV1146" s="34"/>
      <c r="BZ1146" s="34"/>
      <c r="CD1146" s="34"/>
    </row>
    <row r="1147" spans="70:82" x14ac:dyDescent="0.15">
      <c r="BR1147" s="34"/>
      <c r="BV1147" s="34"/>
      <c r="BZ1147" s="34"/>
      <c r="CD1147" s="34"/>
    </row>
    <row r="1148" spans="70:82" x14ac:dyDescent="0.15">
      <c r="BR1148" s="34"/>
      <c r="BV1148" s="34"/>
      <c r="BZ1148" s="34"/>
      <c r="CD1148" s="34"/>
    </row>
    <row r="1149" spans="70:82" x14ac:dyDescent="0.15">
      <c r="BR1149" s="34"/>
      <c r="BV1149" s="34"/>
      <c r="BZ1149" s="34"/>
      <c r="CD1149" s="34"/>
    </row>
    <row r="1150" spans="70:82" x14ac:dyDescent="0.15">
      <c r="BR1150" s="34"/>
      <c r="BV1150" s="34"/>
      <c r="BZ1150" s="34"/>
      <c r="CD1150" s="34"/>
    </row>
    <row r="1151" spans="70:82" x14ac:dyDescent="0.15">
      <c r="BR1151" s="34"/>
      <c r="BV1151" s="34"/>
      <c r="BZ1151" s="34"/>
      <c r="CD1151" s="34"/>
    </row>
    <row r="1152" spans="70:82" x14ac:dyDescent="0.15">
      <c r="BR1152" s="34"/>
      <c r="BV1152" s="34"/>
      <c r="BZ1152" s="34"/>
      <c r="CD1152" s="34"/>
    </row>
    <row r="1153" spans="70:82" x14ac:dyDescent="0.15">
      <c r="BR1153" s="34"/>
      <c r="BV1153" s="34"/>
      <c r="BZ1153" s="34"/>
      <c r="CD1153" s="34"/>
    </row>
    <row r="1154" spans="70:82" x14ac:dyDescent="0.15">
      <c r="BR1154" s="34"/>
      <c r="BV1154" s="34"/>
      <c r="BZ1154" s="34"/>
      <c r="CD1154" s="34"/>
    </row>
    <row r="1155" spans="70:82" x14ac:dyDescent="0.15">
      <c r="BR1155" s="34"/>
      <c r="BV1155" s="34"/>
      <c r="BZ1155" s="34"/>
      <c r="CD1155" s="34"/>
    </row>
    <row r="1156" spans="70:82" x14ac:dyDescent="0.15">
      <c r="BR1156" s="34"/>
      <c r="BV1156" s="34"/>
      <c r="BZ1156" s="34"/>
      <c r="CD1156" s="34"/>
    </row>
    <row r="1157" spans="70:82" x14ac:dyDescent="0.15">
      <c r="BR1157" s="34"/>
      <c r="BV1157" s="34"/>
      <c r="BZ1157" s="34"/>
      <c r="CD1157" s="34"/>
    </row>
    <row r="1158" spans="70:82" x14ac:dyDescent="0.15">
      <c r="BR1158" s="34"/>
      <c r="BV1158" s="34"/>
      <c r="BZ1158" s="34"/>
      <c r="CD1158" s="34"/>
    </row>
    <row r="1159" spans="70:82" x14ac:dyDescent="0.15">
      <c r="BR1159" s="34"/>
      <c r="BV1159" s="34"/>
      <c r="BZ1159" s="34"/>
      <c r="CD1159" s="34"/>
    </row>
    <row r="1160" spans="70:82" x14ac:dyDescent="0.15">
      <c r="BR1160" s="34"/>
      <c r="BV1160" s="34"/>
      <c r="BZ1160" s="34"/>
      <c r="CD1160" s="34"/>
    </row>
    <row r="1161" spans="70:82" x14ac:dyDescent="0.15">
      <c r="BR1161" s="34"/>
      <c r="BV1161" s="34"/>
      <c r="BZ1161" s="34"/>
      <c r="CD1161" s="34"/>
    </row>
    <row r="1162" spans="70:82" x14ac:dyDescent="0.15">
      <c r="BR1162" s="34"/>
      <c r="BV1162" s="34"/>
      <c r="BZ1162" s="34"/>
      <c r="CD1162" s="34"/>
    </row>
    <row r="1163" spans="70:82" x14ac:dyDescent="0.15">
      <c r="BR1163" s="34"/>
      <c r="BV1163" s="34"/>
      <c r="BZ1163" s="34"/>
      <c r="CD1163" s="34"/>
    </row>
    <row r="1164" spans="70:82" x14ac:dyDescent="0.15">
      <c r="BR1164" s="34"/>
      <c r="BV1164" s="34"/>
      <c r="BZ1164" s="34"/>
      <c r="CD1164" s="34"/>
    </row>
    <row r="1165" spans="70:82" x14ac:dyDescent="0.15">
      <c r="BR1165" s="34"/>
      <c r="BV1165" s="34"/>
      <c r="BZ1165" s="34"/>
      <c r="CD1165" s="34"/>
    </row>
    <row r="1166" spans="70:82" x14ac:dyDescent="0.15">
      <c r="BR1166" s="34"/>
      <c r="BV1166" s="34"/>
      <c r="BZ1166" s="34"/>
      <c r="CD1166" s="34"/>
    </row>
    <row r="1167" spans="70:82" x14ac:dyDescent="0.15">
      <c r="BR1167" s="34"/>
      <c r="BV1167" s="34"/>
      <c r="BZ1167" s="34"/>
      <c r="CD1167" s="34"/>
    </row>
    <row r="1168" spans="70:82" x14ac:dyDescent="0.15">
      <c r="BR1168" s="34"/>
      <c r="BV1168" s="34"/>
      <c r="BZ1168" s="34"/>
      <c r="CD1168" s="34"/>
    </row>
    <row r="1169" spans="70:82" x14ac:dyDescent="0.15">
      <c r="BR1169" s="34"/>
      <c r="BV1169" s="34"/>
      <c r="BZ1169" s="34"/>
      <c r="CD1169" s="34"/>
    </row>
    <row r="1170" spans="70:82" x14ac:dyDescent="0.15">
      <c r="BR1170" s="34"/>
      <c r="BV1170" s="34"/>
      <c r="BZ1170" s="34"/>
      <c r="CD1170" s="34"/>
    </row>
    <row r="1171" spans="70:82" x14ac:dyDescent="0.15">
      <c r="BR1171" s="34"/>
      <c r="BV1171" s="34"/>
      <c r="BZ1171" s="34"/>
      <c r="CD1171" s="34"/>
    </row>
    <row r="1172" spans="70:82" x14ac:dyDescent="0.15">
      <c r="BR1172" s="34"/>
      <c r="BV1172" s="34"/>
      <c r="BZ1172" s="34"/>
      <c r="CD1172" s="34"/>
    </row>
    <row r="1173" spans="70:82" x14ac:dyDescent="0.15">
      <c r="BR1173" s="34"/>
      <c r="BV1173" s="34"/>
      <c r="BZ1173" s="34"/>
      <c r="CD1173" s="34"/>
    </row>
    <row r="1174" spans="70:82" x14ac:dyDescent="0.15">
      <c r="BR1174" s="34"/>
      <c r="BV1174" s="34"/>
      <c r="BZ1174" s="34"/>
      <c r="CD1174" s="34"/>
    </row>
    <row r="1175" spans="70:82" x14ac:dyDescent="0.15">
      <c r="BR1175" s="34"/>
      <c r="BV1175" s="34"/>
      <c r="BZ1175" s="34"/>
      <c r="CD1175" s="34"/>
    </row>
    <row r="1176" spans="70:82" x14ac:dyDescent="0.15">
      <c r="BR1176" s="34"/>
      <c r="BV1176" s="34"/>
      <c r="BZ1176" s="34"/>
      <c r="CD1176" s="34"/>
    </row>
    <row r="1177" spans="70:82" x14ac:dyDescent="0.15">
      <c r="BR1177" s="34"/>
      <c r="BV1177" s="34"/>
      <c r="BZ1177" s="34"/>
      <c r="CD1177" s="34"/>
    </row>
    <row r="1178" spans="70:82" x14ac:dyDescent="0.15">
      <c r="BR1178" s="34"/>
      <c r="BV1178" s="34"/>
      <c r="BZ1178" s="34"/>
      <c r="CD1178" s="34"/>
    </row>
    <row r="1179" spans="70:82" x14ac:dyDescent="0.15">
      <c r="BR1179" s="34"/>
      <c r="BV1179" s="34"/>
      <c r="BZ1179" s="34"/>
      <c r="CD1179" s="34"/>
    </row>
    <row r="1180" spans="70:82" x14ac:dyDescent="0.15">
      <c r="BR1180" s="34"/>
      <c r="BV1180" s="34"/>
      <c r="BZ1180" s="34"/>
      <c r="CD1180" s="34"/>
    </row>
    <row r="1181" spans="70:82" x14ac:dyDescent="0.15">
      <c r="BR1181" s="34"/>
      <c r="BV1181" s="34"/>
      <c r="BZ1181" s="34"/>
      <c r="CD1181" s="34"/>
    </row>
    <row r="1182" spans="70:82" x14ac:dyDescent="0.15">
      <c r="BR1182" s="34"/>
      <c r="BV1182" s="34"/>
      <c r="BZ1182" s="34"/>
      <c r="CD1182" s="34"/>
    </row>
    <row r="1183" spans="70:82" x14ac:dyDescent="0.15">
      <c r="BR1183" s="34"/>
      <c r="BV1183" s="34"/>
      <c r="BZ1183" s="34"/>
      <c r="CD1183" s="34"/>
    </row>
    <row r="1184" spans="70:82" x14ac:dyDescent="0.15">
      <c r="BR1184" s="34"/>
      <c r="BV1184" s="34"/>
      <c r="BZ1184" s="34"/>
      <c r="CD1184" s="34"/>
    </row>
    <row r="1185" spans="70:82" x14ac:dyDescent="0.15">
      <c r="BR1185" s="34"/>
      <c r="BV1185" s="34"/>
      <c r="BZ1185" s="34"/>
      <c r="CD1185" s="34"/>
    </row>
    <row r="1186" spans="70:82" x14ac:dyDescent="0.15">
      <c r="BR1186" s="34"/>
      <c r="BV1186" s="34"/>
      <c r="BZ1186" s="34"/>
      <c r="CD1186" s="34"/>
    </row>
    <row r="1187" spans="70:82" x14ac:dyDescent="0.15">
      <c r="BR1187" s="34"/>
      <c r="BV1187" s="34"/>
      <c r="BZ1187" s="34"/>
      <c r="CD1187" s="34"/>
    </row>
    <row r="1188" spans="70:82" x14ac:dyDescent="0.15">
      <c r="BR1188" s="34"/>
      <c r="BV1188" s="34"/>
      <c r="BZ1188" s="34"/>
      <c r="CD1188" s="34"/>
    </row>
    <row r="1189" spans="70:82" x14ac:dyDescent="0.15">
      <c r="BR1189" s="34"/>
      <c r="BV1189" s="34"/>
      <c r="BZ1189" s="34"/>
      <c r="CD1189" s="34"/>
    </row>
    <row r="1190" spans="70:82" x14ac:dyDescent="0.15">
      <c r="BR1190" s="34"/>
      <c r="BV1190" s="34"/>
      <c r="BZ1190" s="34"/>
      <c r="CD1190" s="34"/>
    </row>
    <row r="1191" spans="70:82" x14ac:dyDescent="0.15">
      <c r="BR1191" s="34"/>
      <c r="BV1191" s="34"/>
      <c r="BZ1191" s="34"/>
      <c r="CD1191" s="34"/>
    </row>
    <row r="1192" spans="70:82" x14ac:dyDescent="0.15">
      <c r="BR1192" s="34"/>
      <c r="BV1192" s="34"/>
      <c r="BZ1192" s="34"/>
      <c r="CD1192" s="34"/>
    </row>
    <row r="1193" spans="70:82" x14ac:dyDescent="0.15">
      <c r="BR1193" s="34"/>
      <c r="BV1193" s="34"/>
      <c r="BZ1193" s="34"/>
      <c r="CD1193" s="34"/>
    </row>
    <row r="1194" spans="70:82" x14ac:dyDescent="0.15">
      <c r="BR1194" s="34"/>
      <c r="BV1194" s="34"/>
      <c r="BZ1194" s="34"/>
      <c r="CD1194" s="34"/>
    </row>
    <row r="1195" spans="70:82" x14ac:dyDescent="0.15">
      <c r="BR1195" s="34"/>
      <c r="BV1195" s="34"/>
      <c r="BZ1195" s="34"/>
      <c r="CD1195" s="34"/>
    </row>
    <row r="1196" spans="70:82" x14ac:dyDescent="0.15">
      <c r="BR1196" s="34"/>
      <c r="BV1196" s="34"/>
      <c r="BZ1196" s="34"/>
      <c r="CD1196" s="34"/>
    </row>
    <row r="1197" spans="70:82" x14ac:dyDescent="0.15">
      <c r="BR1197" s="34"/>
      <c r="BV1197" s="34"/>
      <c r="BZ1197" s="34"/>
      <c r="CD1197" s="34"/>
    </row>
    <row r="1198" spans="70:82" x14ac:dyDescent="0.15">
      <c r="BR1198" s="34"/>
      <c r="BV1198" s="34"/>
      <c r="BZ1198" s="34"/>
      <c r="CD1198" s="34"/>
    </row>
    <row r="1199" spans="70:82" x14ac:dyDescent="0.15">
      <c r="BR1199" s="34"/>
      <c r="BV1199" s="34"/>
      <c r="BZ1199" s="34"/>
      <c r="CD1199" s="34"/>
    </row>
    <row r="1200" spans="70:82" x14ac:dyDescent="0.15">
      <c r="BR1200" s="34"/>
      <c r="BV1200" s="34"/>
      <c r="BZ1200" s="34"/>
      <c r="CD1200" s="34"/>
    </row>
    <row r="1201" spans="70:82" x14ac:dyDescent="0.15">
      <c r="BR1201" s="34"/>
      <c r="BV1201" s="34"/>
      <c r="BZ1201" s="34"/>
      <c r="CD1201" s="34"/>
    </row>
    <row r="1202" spans="70:82" x14ac:dyDescent="0.15">
      <c r="BR1202" s="34"/>
      <c r="BV1202" s="34"/>
      <c r="BZ1202" s="34"/>
      <c r="CD1202" s="34"/>
    </row>
    <row r="1203" spans="70:82" x14ac:dyDescent="0.15">
      <c r="BR1203" s="34"/>
      <c r="BV1203" s="34"/>
      <c r="BZ1203" s="34"/>
      <c r="CD1203" s="34"/>
    </row>
    <row r="1204" spans="70:82" x14ac:dyDescent="0.15">
      <c r="BR1204" s="34"/>
      <c r="BV1204" s="34"/>
      <c r="BZ1204" s="34"/>
      <c r="CD1204" s="34"/>
    </row>
    <row r="1205" spans="70:82" x14ac:dyDescent="0.15">
      <c r="BR1205" s="34"/>
      <c r="BV1205" s="34"/>
      <c r="BZ1205" s="34"/>
      <c r="CD1205" s="34"/>
    </row>
    <row r="1206" spans="70:82" x14ac:dyDescent="0.15">
      <c r="BR1206" s="34"/>
      <c r="BV1206" s="34"/>
      <c r="BZ1206" s="34"/>
      <c r="CD1206" s="34"/>
    </row>
    <row r="1207" spans="70:82" x14ac:dyDescent="0.15">
      <c r="BR1207" s="34"/>
      <c r="BV1207" s="34"/>
      <c r="BZ1207" s="34"/>
      <c r="CD1207" s="34"/>
    </row>
    <row r="1208" spans="70:82" x14ac:dyDescent="0.15">
      <c r="BR1208" s="34"/>
      <c r="BV1208" s="34"/>
      <c r="BZ1208" s="34"/>
      <c r="CD1208" s="34"/>
    </row>
    <row r="1209" spans="70:82" x14ac:dyDescent="0.15">
      <c r="BR1209" s="34"/>
      <c r="BV1209" s="34"/>
      <c r="BZ1209" s="34"/>
      <c r="CD1209" s="34"/>
    </row>
    <row r="1210" spans="70:82" x14ac:dyDescent="0.15">
      <c r="BR1210" s="34"/>
      <c r="BV1210" s="34"/>
      <c r="BZ1210" s="34"/>
      <c r="CD1210" s="34"/>
    </row>
    <row r="1211" spans="70:82" x14ac:dyDescent="0.15">
      <c r="BR1211" s="34"/>
      <c r="BV1211" s="34"/>
      <c r="BZ1211" s="34"/>
      <c r="CD1211" s="34"/>
    </row>
    <row r="1212" spans="70:82" x14ac:dyDescent="0.15">
      <c r="BR1212" s="34"/>
      <c r="BV1212" s="34"/>
      <c r="BZ1212" s="34"/>
      <c r="CD1212" s="34"/>
    </row>
    <row r="1213" spans="70:82" x14ac:dyDescent="0.15">
      <c r="BR1213" s="34"/>
      <c r="BV1213" s="34"/>
      <c r="BZ1213" s="34"/>
      <c r="CD1213" s="34"/>
    </row>
    <row r="1214" spans="70:82" x14ac:dyDescent="0.15">
      <c r="BR1214" s="34"/>
      <c r="BV1214" s="34"/>
      <c r="BZ1214" s="34"/>
      <c r="CD1214" s="34"/>
    </row>
    <row r="1215" spans="70:82" x14ac:dyDescent="0.15">
      <c r="BR1215" s="34"/>
      <c r="BV1215" s="34"/>
      <c r="BZ1215" s="34"/>
      <c r="CD1215" s="34"/>
    </row>
    <row r="1216" spans="70:82" x14ac:dyDescent="0.15">
      <c r="BR1216" s="34"/>
      <c r="BV1216" s="34"/>
      <c r="BZ1216" s="34"/>
      <c r="CD1216" s="34"/>
    </row>
    <row r="1217" spans="70:82" x14ac:dyDescent="0.15">
      <c r="BR1217" s="34"/>
      <c r="BV1217" s="34"/>
      <c r="BZ1217" s="34"/>
      <c r="CD1217" s="34"/>
    </row>
    <row r="1218" spans="70:82" x14ac:dyDescent="0.15">
      <c r="BR1218" s="34"/>
      <c r="BV1218" s="34"/>
      <c r="BZ1218" s="34"/>
      <c r="CD1218" s="34"/>
    </row>
    <row r="1219" spans="70:82" x14ac:dyDescent="0.15">
      <c r="BR1219" s="34"/>
      <c r="BV1219" s="34"/>
      <c r="BZ1219" s="34"/>
      <c r="CD1219" s="34"/>
    </row>
    <row r="1220" spans="70:82" x14ac:dyDescent="0.15">
      <c r="BR1220" s="34"/>
      <c r="BV1220" s="34"/>
      <c r="BZ1220" s="34"/>
      <c r="CD1220" s="34"/>
    </row>
    <row r="1221" spans="70:82" x14ac:dyDescent="0.15">
      <c r="BR1221" s="34"/>
      <c r="BV1221" s="34"/>
      <c r="BZ1221" s="34"/>
      <c r="CD1221" s="34"/>
    </row>
    <row r="1222" spans="70:82" x14ac:dyDescent="0.15">
      <c r="BR1222" s="34"/>
      <c r="BV1222" s="34"/>
      <c r="BZ1222" s="34"/>
      <c r="CD1222" s="34"/>
    </row>
    <row r="1223" spans="70:82" x14ac:dyDescent="0.15">
      <c r="BR1223" s="34"/>
      <c r="BV1223" s="34"/>
      <c r="BZ1223" s="34"/>
      <c r="CD1223" s="34"/>
    </row>
    <row r="1224" spans="70:82" x14ac:dyDescent="0.15">
      <c r="BR1224" s="34"/>
      <c r="BV1224" s="34"/>
      <c r="BZ1224" s="34"/>
      <c r="CD1224" s="34"/>
    </row>
    <row r="1225" spans="70:82" x14ac:dyDescent="0.15">
      <c r="BR1225" s="34"/>
      <c r="BV1225" s="34"/>
      <c r="BZ1225" s="34"/>
      <c r="CD1225" s="34"/>
    </row>
    <row r="1226" spans="70:82" x14ac:dyDescent="0.15">
      <c r="BR1226" s="34"/>
      <c r="BV1226" s="34"/>
      <c r="BZ1226" s="34"/>
      <c r="CD1226" s="34"/>
    </row>
    <row r="1227" spans="70:82" x14ac:dyDescent="0.15">
      <c r="BR1227" s="34"/>
      <c r="BV1227" s="34"/>
      <c r="BZ1227" s="34"/>
      <c r="CD1227" s="34"/>
    </row>
    <row r="1228" spans="70:82" x14ac:dyDescent="0.15">
      <c r="BR1228" s="34"/>
      <c r="BV1228" s="34"/>
      <c r="BZ1228" s="34"/>
      <c r="CD1228" s="34"/>
    </row>
    <row r="1229" spans="70:82" x14ac:dyDescent="0.15">
      <c r="BR1229" s="34"/>
      <c r="BV1229" s="34"/>
      <c r="BZ1229" s="34"/>
      <c r="CD1229" s="34"/>
    </row>
    <row r="1230" spans="70:82" x14ac:dyDescent="0.15">
      <c r="BR1230" s="34"/>
      <c r="BV1230" s="34"/>
      <c r="BZ1230" s="34"/>
      <c r="CD1230" s="34"/>
    </row>
    <row r="1231" spans="70:82" x14ac:dyDescent="0.15">
      <c r="BR1231" s="34"/>
      <c r="BV1231" s="34"/>
      <c r="BZ1231" s="34"/>
      <c r="CD1231" s="34"/>
    </row>
    <row r="1232" spans="70:82" x14ac:dyDescent="0.15">
      <c r="BR1232" s="34"/>
      <c r="BV1232" s="34"/>
      <c r="BZ1232" s="34"/>
      <c r="CD1232" s="34"/>
    </row>
    <row r="1233" spans="70:82" x14ac:dyDescent="0.15">
      <c r="BR1233" s="34"/>
      <c r="BV1233" s="34"/>
      <c r="BZ1233" s="34"/>
      <c r="CD1233" s="34"/>
    </row>
    <row r="1234" spans="70:82" x14ac:dyDescent="0.15">
      <c r="BR1234" s="34"/>
      <c r="BV1234" s="34"/>
      <c r="BZ1234" s="34"/>
      <c r="CD1234" s="34"/>
    </row>
    <row r="1235" spans="70:82" x14ac:dyDescent="0.15">
      <c r="BR1235" s="34"/>
      <c r="BV1235" s="34"/>
      <c r="BZ1235" s="34"/>
      <c r="CD1235" s="34"/>
    </row>
    <row r="1236" spans="70:82" x14ac:dyDescent="0.15">
      <c r="BR1236" s="34"/>
      <c r="BV1236" s="34"/>
      <c r="BZ1236" s="34"/>
      <c r="CD1236" s="34"/>
    </row>
    <row r="1237" spans="70:82" x14ac:dyDescent="0.15">
      <c r="BR1237" s="34"/>
      <c r="BV1237" s="34"/>
      <c r="BZ1237" s="34"/>
      <c r="CD1237" s="34"/>
    </row>
    <row r="1238" spans="70:82" x14ac:dyDescent="0.15">
      <c r="BR1238" s="34"/>
      <c r="BV1238" s="34"/>
      <c r="BZ1238" s="34"/>
      <c r="CD1238" s="34"/>
    </row>
    <row r="1239" spans="70:82" x14ac:dyDescent="0.15">
      <c r="BR1239" s="34"/>
      <c r="BV1239" s="34"/>
      <c r="BZ1239" s="34"/>
      <c r="CD1239" s="34"/>
    </row>
    <row r="1240" spans="70:82" x14ac:dyDescent="0.15">
      <c r="BR1240" s="34"/>
      <c r="BV1240" s="34"/>
      <c r="BZ1240" s="34"/>
      <c r="CD1240" s="34"/>
    </row>
    <row r="1241" spans="70:82" x14ac:dyDescent="0.15">
      <c r="BR1241" s="34"/>
      <c r="BV1241" s="34"/>
      <c r="BZ1241" s="34"/>
      <c r="CD1241" s="34"/>
    </row>
    <row r="1242" spans="70:82" x14ac:dyDescent="0.15">
      <c r="BR1242" s="34"/>
      <c r="BV1242" s="34"/>
      <c r="BZ1242" s="34"/>
      <c r="CD1242" s="34"/>
    </row>
    <row r="1243" spans="70:82" x14ac:dyDescent="0.15">
      <c r="BR1243" s="34"/>
      <c r="BV1243" s="34"/>
      <c r="BZ1243" s="34"/>
      <c r="CD1243" s="34"/>
    </row>
    <row r="1244" spans="70:82" x14ac:dyDescent="0.15">
      <c r="BR1244" s="34"/>
      <c r="BV1244" s="34"/>
      <c r="BZ1244" s="34"/>
      <c r="CD1244" s="34"/>
    </row>
    <row r="1245" spans="70:82" x14ac:dyDescent="0.15">
      <c r="BR1245" s="34"/>
      <c r="BV1245" s="34"/>
      <c r="BZ1245" s="34"/>
      <c r="CD1245" s="34"/>
    </row>
    <row r="1246" spans="70:82" x14ac:dyDescent="0.15">
      <c r="BR1246" s="34"/>
      <c r="BV1246" s="34"/>
      <c r="BZ1246" s="34"/>
      <c r="CD1246" s="34"/>
    </row>
    <row r="1247" spans="70:82" x14ac:dyDescent="0.15">
      <c r="BR1247" s="34"/>
      <c r="BV1247" s="34"/>
      <c r="BZ1247" s="34"/>
      <c r="CD1247" s="34"/>
    </row>
    <row r="1248" spans="70:82" x14ac:dyDescent="0.15">
      <c r="BR1248" s="34"/>
      <c r="BV1248" s="34"/>
      <c r="BZ1248" s="34"/>
      <c r="CD1248" s="34"/>
    </row>
    <row r="1249" spans="70:82" x14ac:dyDescent="0.15">
      <c r="BR1249" s="34"/>
      <c r="BV1249" s="34"/>
      <c r="BZ1249" s="34"/>
      <c r="CD1249" s="34"/>
    </row>
    <row r="1250" spans="70:82" x14ac:dyDescent="0.15">
      <c r="BR1250" s="34"/>
      <c r="BV1250" s="34"/>
      <c r="BZ1250" s="34"/>
      <c r="CD1250" s="34"/>
    </row>
    <row r="1251" spans="70:82" x14ac:dyDescent="0.15">
      <c r="BR1251" s="34"/>
      <c r="BV1251" s="34"/>
      <c r="BZ1251" s="34"/>
      <c r="CD1251" s="34"/>
    </row>
    <row r="1252" spans="70:82" x14ac:dyDescent="0.15">
      <c r="BR1252" s="34"/>
      <c r="BV1252" s="34"/>
      <c r="BZ1252" s="34"/>
      <c r="CD1252" s="34"/>
    </row>
    <row r="1253" spans="70:82" x14ac:dyDescent="0.15">
      <c r="BR1253" s="34"/>
      <c r="BV1253" s="34"/>
      <c r="BZ1253" s="34"/>
      <c r="CD1253" s="34"/>
    </row>
    <row r="1254" spans="70:82" x14ac:dyDescent="0.15">
      <c r="BR1254" s="34"/>
      <c r="BV1254" s="34"/>
      <c r="BZ1254" s="34"/>
      <c r="CD1254" s="34"/>
    </row>
    <row r="1255" spans="70:82" x14ac:dyDescent="0.15">
      <c r="BR1255" s="34"/>
      <c r="BV1255" s="34"/>
      <c r="BZ1255" s="34"/>
      <c r="CD1255" s="34"/>
    </row>
    <row r="1256" spans="70:82" x14ac:dyDescent="0.15">
      <c r="BR1256" s="34"/>
      <c r="BV1256" s="34"/>
      <c r="BZ1256" s="34"/>
      <c r="CD1256" s="34"/>
    </row>
    <row r="1257" spans="70:82" x14ac:dyDescent="0.15">
      <c r="BR1257" s="34"/>
      <c r="BV1257" s="34"/>
      <c r="BZ1257" s="34"/>
      <c r="CD1257" s="34"/>
    </row>
    <row r="1258" spans="70:82" x14ac:dyDescent="0.15">
      <c r="BR1258" s="34"/>
      <c r="BV1258" s="34"/>
      <c r="BZ1258" s="34"/>
      <c r="CD1258" s="34"/>
    </row>
    <row r="1259" spans="70:82" x14ac:dyDescent="0.15">
      <c r="BR1259" s="34"/>
      <c r="BV1259" s="34"/>
      <c r="BZ1259" s="34"/>
      <c r="CD1259" s="34"/>
    </row>
    <row r="1260" spans="70:82" x14ac:dyDescent="0.15">
      <c r="BR1260" s="34"/>
      <c r="BV1260" s="34"/>
      <c r="BZ1260" s="34"/>
      <c r="CD1260" s="34"/>
    </row>
    <row r="1261" spans="70:82" x14ac:dyDescent="0.15">
      <c r="BR1261" s="34"/>
      <c r="BV1261" s="34"/>
      <c r="BZ1261" s="34"/>
      <c r="CD1261" s="34"/>
    </row>
    <row r="1262" spans="70:82" x14ac:dyDescent="0.15">
      <c r="BR1262" s="34"/>
      <c r="BV1262" s="34"/>
      <c r="BZ1262" s="34"/>
      <c r="CD1262" s="34"/>
    </row>
    <row r="1263" spans="70:82" x14ac:dyDescent="0.15">
      <c r="BR1263" s="34"/>
      <c r="BV1263" s="34"/>
      <c r="BZ1263" s="34"/>
      <c r="CD1263" s="34"/>
    </row>
    <row r="1264" spans="70:82" x14ac:dyDescent="0.15">
      <c r="BR1264" s="34"/>
      <c r="BV1264" s="34"/>
      <c r="BZ1264" s="34"/>
      <c r="CD1264" s="34"/>
    </row>
    <row r="1265" spans="70:82" x14ac:dyDescent="0.15">
      <c r="BR1265" s="34"/>
      <c r="BV1265" s="34"/>
      <c r="BZ1265" s="34"/>
      <c r="CD1265" s="34"/>
    </row>
    <row r="1266" spans="70:82" x14ac:dyDescent="0.15">
      <c r="BR1266" s="34"/>
      <c r="BV1266" s="34"/>
      <c r="BZ1266" s="34"/>
      <c r="CD1266" s="34"/>
    </row>
    <row r="1267" spans="70:82" x14ac:dyDescent="0.15">
      <c r="BR1267" s="34"/>
      <c r="BV1267" s="34"/>
      <c r="BZ1267" s="34"/>
      <c r="CD1267" s="34"/>
    </row>
    <row r="1268" spans="70:82" x14ac:dyDescent="0.15">
      <c r="BR1268" s="34"/>
      <c r="BV1268" s="34"/>
      <c r="BZ1268" s="34"/>
      <c r="CD1268" s="34"/>
    </row>
    <row r="1269" spans="70:82" x14ac:dyDescent="0.15">
      <c r="BR1269" s="34"/>
      <c r="BV1269" s="34"/>
      <c r="BZ1269" s="34"/>
      <c r="CD1269" s="34"/>
    </row>
    <row r="1270" spans="70:82" x14ac:dyDescent="0.15">
      <c r="BR1270" s="34"/>
      <c r="BV1270" s="34"/>
      <c r="BZ1270" s="34"/>
      <c r="CD1270" s="34"/>
    </row>
    <row r="1271" spans="70:82" x14ac:dyDescent="0.15">
      <c r="BR1271" s="34"/>
      <c r="BV1271" s="34"/>
      <c r="BZ1271" s="34"/>
      <c r="CD1271" s="34"/>
    </row>
    <row r="1272" spans="70:82" x14ac:dyDescent="0.15">
      <c r="BR1272" s="34"/>
      <c r="BV1272" s="34"/>
      <c r="BZ1272" s="34"/>
      <c r="CD1272" s="34"/>
    </row>
    <row r="1273" spans="70:82" x14ac:dyDescent="0.15">
      <c r="BR1273" s="34"/>
      <c r="BV1273" s="34"/>
      <c r="BZ1273" s="34"/>
      <c r="CD1273" s="34"/>
    </row>
    <row r="1274" spans="70:82" x14ac:dyDescent="0.15">
      <c r="BR1274" s="34"/>
      <c r="BV1274" s="34"/>
      <c r="BZ1274" s="34"/>
      <c r="CD1274" s="34"/>
    </row>
    <row r="1275" spans="70:82" x14ac:dyDescent="0.15">
      <c r="BR1275" s="34"/>
      <c r="BV1275" s="34"/>
      <c r="BZ1275" s="34"/>
      <c r="CD1275" s="34"/>
    </row>
    <row r="1276" spans="70:82" x14ac:dyDescent="0.15">
      <c r="BR1276" s="34"/>
      <c r="BV1276" s="34"/>
      <c r="BZ1276" s="34"/>
      <c r="CD1276" s="34"/>
    </row>
    <row r="1277" spans="70:82" x14ac:dyDescent="0.15">
      <c r="BR1277" s="34"/>
      <c r="BV1277" s="34"/>
      <c r="BZ1277" s="34"/>
      <c r="CD1277" s="34"/>
    </row>
    <row r="1278" spans="70:82" x14ac:dyDescent="0.15">
      <c r="BR1278" s="34"/>
      <c r="BV1278" s="34"/>
      <c r="BZ1278" s="34"/>
      <c r="CD1278" s="34"/>
    </row>
    <row r="1279" spans="70:82" x14ac:dyDescent="0.15">
      <c r="BR1279" s="34"/>
      <c r="BV1279" s="34"/>
      <c r="BZ1279" s="34"/>
      <c r="CD1279" s="34"/>
    </row>
    <row r="1280" spans="70:82" x14ac:dyDescent="0.15">
      <c r="BR1280" s="34"/>
      <c r="BV1280" s="34"/>
      <c r="BZ1280" s="34"/>
      <c r="CD1280" s="34"/>
    </row>
    <row r="1281" spans="70:82" x14ac:dyDescent="0.15">
      <c r="BR1281" s="34"/>
      <c r="BV1281" s="34"/>
      <c r="BZ1281" s="34"/>
      <c r="CD1281" s="34"/>
    </row>
    <row r="1282" spans="70:82" x14ac:dyDescent="0.15">
      <c r="BR1282" s="34"/>
      <c r="BV1282" s="34"/>
      <c r="BZ1282" s="34"/>
      <c r="CD1282" s="34"/>
    </row>
    <row r="1283" spans="70:82" x14ac:dyDescent="0.15">
      <c r="BR1283" s="34"/>
      <c r="BV1283" s="34"/>
      <c r="BZ1283" s="34"/>
      <c r="CD1283" s="34"/>
    </row>
    <row r="1284" spans="70:82" x14ac:dyDescent="0.15">
      <c r="BR1284" s="34"/>
      <c r="BV1284" s="34"/>
      <c r="BZ1284" s="34"/>
      <c r="CD1284" s="34"/>
    </row>
    <row r="1285" spans="70:82" x14ac:dyDescent="0.15">
      <c r="BR1285" s="34"/>
      <c r="BV1285" s="34"/>
      <c r="BZ1285" s="34"/>
      <c r="CD1285" s="34"/>
    </row>
    <row r="1286" spans="70:82" x14ac:dyDescent="0.15">
      <c r="BR1286" s="34"/>
      <c r="BV1286" s="34"/>
      <c r="BZ1286" s="34"/>
      <c r="CD1286" s="34"/>
    </row>
    <row r="1287" spans="70:82" x14ac:dyDescent="0.15">
      <c r="BR1287" s="34"/>
      <c r="BV1287" s="34"/>
      <c r="BZ1287" s="34"/>
      <c r="CD1287" s="34"/>
    </row>
    <row r="1288" spans="70:82" x14ac:dyDescent="0.15">
      <c r="BR1288" s="34"/>
      <c r="BV1288" s="34"/>
      <c r="BZ1288" s="34"/>
      <c r="CD1288" s="34"/>
    </row>
    <row r="1289" spans="70:82" x14ac:dyDescent="0.15">
      <c r="BR1289" s="34"/>
      <c r="BV1289" s="34"/>
      <c r="BZ1289" s="34"/>
      <c r="CD1289" s="34"/>
    </row>
    <row r="1290" spans="70:82" x14ac:dyDescent="0.15">
      <c r="BR1290" s="34"/>
      <c r="BV1290" s="34"/>
      <c r="BZ1290" s="34"/>
      <c r="CD1290" s="34"/>
    </row>
    <row r="1291" spans="70:82" x14ac:dyDescent="0.15">
      <c r="BR1291" s="34"/>
      <c r="BV1291" s="34"/>
      <c r="BZ1291" s="34"/>
      <c r="CD1291" s="34"/>
    </row>
    <row r="1292" spans="70:82" x14ac:dyDescent="0.15">
      <c r="BR1292" s="34"/>
      <c r="BV1292" s="34"/>
      <c r="BZ1292" s="34"/>
      <c r="CD1292" s="34"/>
    </row>
    <row r="1293" spans="70:82" x14ac:dyDescent="0.15">
      <c r="BR1293" s="34"/>
      <c r="BV1293" s="34"/>
      <c r="BZ1293" s="34"/>
      <c r="CD1293" s="34"/>
    </row>
    <row r="1294" spans="70:82" x14ac:dyDescent="0.15">
      <c r="BR1294" s="34"/>
      <c r="BV1294" s="34"/>
      <c r="BZ1294" s="34"/>
      <c r="CD1294" s="34"/>
    </row>
    <row r="1295" spans="70:82" x14ac:dyDescent="0.15">
      <c r="BR1295" s="34"/>
      <c r="BV1295" s="34"/>
      <c r="BZ1295" s="34"/>
      <c r="CD1295" s="34"/>
    </row>
    <row r="1296" spans="70:82" x14ac:dyDescent="0.15">
      <c r="BR1296" s="34"/>
      <c r="BV1296" s="34"/>
      <c r="BZ1296" s="34"/>
      <c r="CD1296" s="34"/>
    </row>
    <row r="1297" spans="70:82" x14ac:dyDescent="0.15">
      <c r="BR1297" s="34"/>
      <c r="BV1297" s="34"/>
      <c r="BZ1297" s="34"/>
      <c r="CD1297" s="34"/>
    </row>
    <row r="1298" spans="70:82" x14ac:dyDescent="0.15">
      <c r="BR1298" s="34"/>
      <c r="BV1298" s="34"/>
      <c r="BZ1298" s="34"/>
      <c r="CD1298" s="34"/>
    </row>
    <row r="1299" spans="70:82" x14ac:dyDescent="0.15">
      <c r="BR1299" s="34"/>
      <c r="BV1299" s="34"/>
      <c r="BZ1299" s="34"/>
      <c r="CD1299" s="34"/>
    </row>
    <row r="1300" spans="70:82" x14ac:dyDescent="0.15">
      <c r="BR1300" s="34"/>
      <c r="BV1300" s="34"/>
      <c r="BZ1300" s="34"/>
      <c r="CD1300" s="34"/>
    </row>
    <row r="1301" spans="70:82" x14ac:dyDescent="0.15">
      <c r="BR1301" s="34"/>
      <c r="BV1301" s="34"/>
      <c r="BZ1301" s="34"/>
      <c r="CD1301" s="34"/>
    </row>
    <row r="1302" spans="70:82" x14ac:dyDescent="0.15">
      <c r="BR1302" s="34"/>
      <c r="BV1302" s="34"/>
      <c r="BZ1302" s="34"/>
      <c r="CD1302" s="34"/>
    </row>
    <row r="1303" spans="70:82" x14ac:dyDescent="0.15">
      <c r="BR1303" s="34"/>
      <c r="BV1303" s="34"/>
      <c r="BZ1303" s="34"/>
      <c r="CD1303" s="34"/>
    </row>
    <row r="1304" spans="70:82" x14ac:dyDescent="0.15">
      <c r="BR1304" s="34"/>
      <c r="BV1304" s="34"/>
      <c r="BZ1304" s="34"/>
      <c r="CD1304" s="34"/>
    </row>
    <row r="1305" spans="70:82" x14ac:dyDescent="0.15">
      <c r="BR1305" s="34"/>
      <c r="BV1305" s="34"/>
      <c r="BZ1305" s="34"/>
      <c r="CD1305" s="34"/>
    </row>
    <row r="1306" spans="70:82" x14ac:dyDescent="0.15">
      <c r="BR1306" s="34"/>
      <c r="BV1306" s="34"/>
      <c r="BZ1306" s="34"/>
      <c r="CD1306" s="34"/>
    </row>
    <row r="1307" spans="70:82" x14ac:dyDescent="0.15">
      <c r="BR1307" s="34"/>
      <c r="BV1307" s="34"/>
      <c r="BZ1307" s="34"/>
      <c r="CD1307" s="34"/>
    </row>
    <row r="1308" spans="70:82" x14ac:dyDescent="0.15">
      <c r="BR1308" s="34"/>
      <c r="BV1308" s="34"/>
      <c r="BZ1308" s="34"/>
      <c r="CD1308" s="34"/>
    </row>
    <row r="1309" spans="70:82" x14ac:dyDescent="0.15">
      <c r="BR1309" s="34"/>
      <c r="BV1309" s="34"/>
      <c r="BZ1309" s="34"/>
      <c r="CD1309" s="34"/>
    </row>
    <row r="1310" spans="70:82" x14ac:dyDescent="0.15">
      <c r="BR1310" s="34"/>
      <c r="BV1310" s="34"/>
      <c r="BZ1310" s="34"/>
      <c r="CD1310" s="34"/>
    </row>
    <row r="1311" spans="70:82" x14ac:dyDescent="0.15">
      <c r="BR1311" s="34"/>
      <c r="BV1311" s="34"/>
      <c r="BZ1311" s="34"/>
      <c r="CD1311" s="34"/>
    </row>
    <row r="1312" spans="70:82" x14ac:dyDescent="0.15">
      <c r="BR1312" s="34"/>
      <c r="BV1312" s="34"/>
      <c r="BZ1312" s="34"/>
      <c r="CD1312" s="34"/>
    </row>
    <row r="1313" spans="70:82" x14ac:dyDescent="0.15">
      <c r="BR1313" s="34"/>
      <c r="BV1313" s="34"/>
      <c r="BZ1313" s="34"/>
      <c r="CD1313" s="34"/>
    </row>
    <row r="1314" spans="70:82" x14ac:dyDescent="0.15">
      <c r="BR1314" s="34"/>
      <c r="BV1314" s="34"/>
      <c r="BZ1314" s="34"/>
      <c r="CD1314" s="34"/>
    </row>
    <row r="1315" spans="70:82" x14ac:dyDescent="0.15">
      <c r="BR1315" s="34"/>
      <c r="BV1315" s="34"/>
      <c r="BZ1315" s="34"/>
      <c r="CD1315" s="34"/>
    </row>
    <row r="1316" spans="70:82" x14ac:dyDescent="0.15">
      <c r="BR1316" s="34"/>
      <c r="BV1316" s="34"/>
      <c r="BZ1316" s="34"/>
      <c r="CD1316" s="34"/>
    </row>
    <row r="1317" spans="70:82" x14ac:dyDescent="0.15">
      <c r="BR1317" s="34"/>
      <c r="BV1317" s="34"/>
      <c r="BZ1317" s="34"/>
      <c r="CD1317" s="34"/>
    </row>
    <row r="1318" spans="70:82" x14ac:dyDescent="0.15">
      <c r="BR1318" s="34"/>
      <c r="BV1318" s="34"/>
      <c r="BZ1318" s="34"/>
      <c r="CD1318" s="34"/>
    </row>
    <row r="1319" spans="70:82" x14ac:dyDescent="0.15">
      <c r="BR1319" s="34"/>
      <c r="BV1319" s="34"/>
      <c r="BZ1319" s="34"/>
      <c r="CD1319" s="34"/>
    </row>
    <row r="1320" spans="70:82" x14ac:dyDescent="0.15">
      <c r="BR1320" s="34"/>
      <c r="BV1320" s="34"/>
      <c r="BZ1320" s="34"/>
      <c r="CD1320" s="34"/>
    </row>
    <row r="1321" spans="70:82" x14ac:dyDescent="0.15">
      <c r="BR1321" s="34"/>
      <c r="BV1321" s="34"/>
      <c r="BZ1321" s="34"/>
      <c r="CD1321" s="34"/>
    </row>
    <row r="1322" spans="70:82" x14ac:dyDescent="0.15">
      <c r="BR1322" s="34"/>
      <c r="BV1322" s="34"/>
      <c r="BZ1322" s="34"/>
      <c r="CD1322" s="34"/>
    </row>
    <row r="1323" spans="70:82" x14ac:dyDescent="0.15">
      <c r="BR1323" s="34"/>
      <c r="BV1323" s="34"/>
      <c r="BZ1323" s="34"/>
      <c r="CD1323" s="34"/>
    </row>
    <row r="1324" spans="70:82" x14ac:dyDescent="0.15">
      <c r="BR1324" s="34"/>
      <c r="BV1324" s="34"/>
      <c r="BZ1324" s="34"/>
      <c r="CD1324" s="34"/>
    </row>
    <row r="1325" spans="70:82" x14ac:dyDescent="0.15">
      <c r="BR1325" s="34"/>
      <c r="BV1325" s="34"/>
      <c r="BZ1325" s="34"/>
      <c r="CD1325" s="34"/>
    </row>
    <row r="1326" spans="70:82" x14ac:dyDescent="0.15">
      <c r="BR1326" s="34"/>
      <c r="BV1326" s="34"/>
      <c r="BZ1326" s="34"/>
      <c r="CD1326" s="34"/>
    </row>
    <row r="1327" spans="70:82" x14ac:dyDescent="0.15">
      <c r="BR1327" s="34"/>
      <c r="BV1327" s="34"/>
      <c r="BZ1327" s="34"/>
      <c r="CD1327" s="34"/>
    </row>
    <row r="1328" spans="70:82" x14ac:dyDescent="0.15">
      <c r="BR1328" s="34"/>
      <c r="BV1328" s="34"/>
      <c r="BZ1328" s="34"/>
      <c r="CD1328" s="34"/>
    </row>
    <row r="1329" spans="70:82" x14ac:dyDescent="0.15">
      <c r="BR1329" s="34"/>
      <c r="BV1329" s="34"/>
      <c r="BZ1329" s="34"/>
      <c r="CD1329" s="34"/>
    </row>
    <row r="1330" spans="70:82" x14ac:dyDescent="0.15">
      <c r="BR1330" s="34"/>
      <c r="BV1330" s="34"/>
      <c r="BZ1330" s="34"/>
      <c r="CD1330" s="34"/>
    </row>
    <row r="1331" spans="70:82" x14ac:dyDescent="0.15">
      <c r="BR1331" s="34"/>
      <c r="BV1331" s="34"/>
      <c r="BZ1331" s="34"/>
      <c r="CD1331" s="34"/>
    </row>
    <row r="1332" spans="70:82" x14ac:dyDescent="0.15">
      <c r="BR1332" s="34"/>
      <c r="BV1332" s="34"/>
      <c r="BZ1332" s="34"/>
      <c r="CD1332" s="34"/>
    </row>
    <row r="1333" spans="70:82" x14ac:dyDescent="0.15">
      <c r="BR1333" s="34"/>
      <c r="BV1333" s="34"/>
      <c r="BZ1333" s="34"/>
      <c r="CD1333" s="34"/>
    </row>
    <row r="1334" spans="70:82" x14ac:dyDescent="0.15">
      <c r="BR1334" s="34"/>
      <c r="BV1334" s="34"/>
      <c r="BZ1334" s="34"/>
      <c r="CD1334" s="34"/>
    </row>
    <row r="1335" spans="70:82" x14ac:dyDescent="0.15">
      <c r="BR1335" s="34"/>
      <c r="BV1335" s="34"/>
      <c r="BZ1335" s="34"/>
      <c r="CD1335" s="34"/>
    </row>
    <row r="1336" spans="70:82" x14ac:dyDescent="0.15">
      <c r="BR1336" s="34"/>
      <c r="BV1336" s="34"/>
      <c r="BZ1336" s="34"/>
      <c r="CD1336" s="34"/>
    </row>
    <row r="1337" spans="70:82" x14ac:dyDescent="0.15">
      <c r="BR1337" s="34"/>
      <c r="BV1337" s="34"/>
      <c r="BZ1337" s="34"/>
      <c r="CD1337" s="34"/>
    </row>
    <row r="1338" spans="70:82" x14ac:dyDescent="0.15">
      <c r="BR1338" s="34"/>
      <c r="BV1338" s="34"/>
      <c r="BZ1338" s="34"/>
      <c r="CD1338" s="34"/>
    </row>
    <row r="1339" spans="70:82" x14ac:dyDescent="0.15">
      <c r="BR1339" s="34"/>
      <c r="BV1339" s="34"/>
      <c r="BZ1339" s="34"/>
      <c r="CD1339" s="34"/>
    </row>
    <row r="1340" spans="70:82" x14ac:dyDescent="0.15">
      <c r="BR1340" s="34"/>
      <c r="BV1340" s="34"/>
      <c r="BZ1340" s="34"/>
      <c r="CD1340" s="34"/>
    </row>
    <row r="1341" spans="70:82" x14ac:dyDescent="0.15">
      <c r="BR1341" s="34"/>
      <c r="BV1341" s="34"/>
      <c r="BZ1341" s="34"/>
      <c r="CD1341" s="34"/>
    </row>
    <row r="1342" spans="70:82" x14ac:dyDescent="0.15">
      <c r="BR1342" s="34"/>
      <c r="BV1342" s="34"/>
      <c r="BZ1342" s="34"/>
      <c r="CD1342" s="34"/>
    </row>
    <row r="1343" spans="70:82" x14ac:dyDescent="0.15">
      <c r="BR1343" s="34"/>
      <c r="BV1343" s="34"/>
      <c r="BZ1343" s="34"/>
      <c r="CD1343" s="34"/>
    </row>
    <row r="1344" spans="70:82" x14ac:dyDescent="0.15">
      <c r="BR1344" s="34"/>
      <c r="BV1344" s="34"/>
      <c r="BZ1344" s="34"/>
      <c r="CD1344" s="34"/>
    </row>
    <row r="1345" spans="70:82" x14ac:dyDescent="0.15">
      <c r="BR1345" s="34"/>
      <c r="BV1345" s="34"/>
      <c r="BZ1345" s="34"/>
      <c r="CD1345" s="34"/>
    </row>
    <row r="1346" spans="70:82" x14ac:dyDescent="0.15">
      <c r="BR1346" s="34"/>
      <c r="BV1346" s="34"/>
      <c r="BZ1346" s="34"/>
      <c r="CD1346" s="34"/>
    </row>
    <row r="1347" spans="70:82" x14ac:dyDescent="0.15">
      <c r="BR1347" s="34"/>
      <c r="BV1347" s="34"/>
      <c r="BZ1347" s="34"/>
      <c r="CD1347" s="34"/>
    </row>
    <row r="1348" spans="70:82" x14ac:dyDescent="0.15">
      <c r="BR1348" s="34"/>
      <c r="BV1348" s="34"/>
      <c r="BZ1348" s="34"/>
      <c r="CD1348" s="34"/>
    </row>
    <row r="1349" spans="70:82" x14ac:dyDescent="0.15">
      <c r="BR1349" s="34"/>
      <c r="BV1349" s="34"/>
      <c r="BZ1349" s="34"/>
      <c r="CD1349" s="34"/>
    </row>
    <row r="1350" spans="70:82" x14ac:dyDescent="0.15">
      <c r="BR1350" s="34"/>
      <c r="BV1350" s="34"/>
      <c r="BZ1350" s="34"/>
      <c r="CD1350" s="34"/>
    </row>
    <row r="1351" spans="70:82" x14ac:dyDescent="0.15">
      <c r="BR1351" s="34"/>
      <c r="BV1351" s="34"/>
      <c r="BZ1351" s="34"/>
      <c r="CD1351" s="34"/>
    </row>
    <row r="1352" spans="70:82" x14ac:dyDescent="0.15">
      <c r="BR1352" s="34"/>
      <c r="BV1352" s="34"/>
      <c r="BZ1352" s="34"/>
      <c r="CD1352" s="34"/>
    </row>
    <row r="1353" spans="70:82" x14ac:dyDescent="0.15">
      <c r="BR1353" s="34"/>
      <c r="BV1353" s="34"/>
      <c r="BZ1353" s="34"/>
      <c r="CD1353" s="34"/>
    </row>
    <row r="1354" spans="70:82" x14ac:dyDescent="0.15">
      <c r="BR1354" s="34"/>
      <c r="BV1354" s="34"/>
      <c r="BZ1354" s="34"/>
      <c r="CD1354" s="34"/>
    </row>
    <row r="1355" spans="70:82" x14ac:dyDescent="0.15">
      <c r="BR1355" s="34"/>
      <c r="BV1355" s="34"/>
      <c r="BZ1355" s="34"/>
      <c r="CD1355" s="34"/>
    </row>
    <row r="1356" spans="70:82" x14ac:dyDescent="0.15">
      <c r="BR1356" s="34"/>
      <c r="BV1356" s="34"/>
      <c r="BZ1356" s="34"/>
      <c r="CD1356" s="34"/>
    </row>
    <row r="1357" spans="70:82" x14ac:dyDescent="0.15">
      <c r="BR1357" s="34"/>
      <c r="BV1357" s="34"/>
      <c r="BZ1357" s="34"/>
      <c r="CD1357" s="34"/>
    </row>
    <row r="1358" spans="70:82" x14ac:dyDescent="0.15">
      <c r="BR1358" s="34"/>
      <c r="BV1358" s="34"/>
      <c r="BZ1358" s="34"/>
      <c r="CD1358" s="34"/>
    </row>
    <row r="1359" spans="70:82" x14ac:dyDescent="0.15">
      <c r="BR1359" s="34"/>
      <c r="BV1359" s="34"/>
      <c r="BZ1359" s="34"/>
      <c r="CD1359" s="34"/>
    </row>
    <row r="1360" spans="70:82" x14ac:dyDescent="0.15">
      <c r="BR1360" s="34"/>
      <c r="BV1360" s="34"/>
      <c r="BZ1360" s="34"/>
      <c r="CD1360" s="34"/>
    </row>
    <row r="1361" spans="70:82" x14ac:dyDescent="0.15">
      <c r="BR1361" s="34"/>
      <c r="BV1361" s="34"/>
      <c r="BZ1361" s="34"/>
      <c r="CD1361" s="34"/>
    </row>
    <row r="1362" spans="70:82" x14ac:dyDescent="0.15">
      <c r="BR1362" s="34"/>
      <c r="BV1362" s="34"/>
      <c r="BZ1362" s="34"/>
      <c r="CD1362" s="34"/>
    </row>
    <row r="1363" spans="70:82" x14ac:dyDescent="0.15">
      <c r="BR1363" s="34"/>
      <c r="BV1363" s="34"/>
      <c r="BZ1363" s="34"/>
      <c r="CD1363" s="34"/>
    </row>
    <row r="1364" spans="70:82" x14ac:dyDescent="0.15">
      <c r="BR1364" s="34"/>
      <c r="BV1364" s="34"/>
      <c r="BZ1364" s="34"/>
      <c r="CD1364" s="34"/>
    </row>
    <row r="1365" spans="70:82" x14ac:dyDescent="0.15">
      <c r="BR1365" s="34"/>
      <c r="BV1365" s="34"/>
      <c r="BZ1365" s="34"/>
      <c r="CD1365" s="34"/>
    </row>
    <row r="1366" spans="70:82" x14ac:dyDescent="0.15">
      <c r="BR1366" s="34"/>
      <c r="BV1366" s="34"/>
      <c r="BZ1366" s="34"/>
      <c r="CD1366" s="34"/>
    </row>
    <row r="1367" spans="70:82" x14ac:dyDescent="0.15">
      <c r="BR1367" s="34"/>
      <c r="BV1367" s="34"/>
      <c r="BZ1367" s="34"/>
      <c r="CD1367" s="34"/>
    </row>
    <row r="1368" spans="70:82" x14ac:dyDescent="0.15">
      <c r="BR1368" s="34"/>
      <c r="BV1368" s="34"/>
      <c r="BZ1368" s="34"/>
      <c r="CD1368" s="34"/>
    </row>
    <row r="1369" spans="70:82" x14ac:dyDescent="0.15">
      <c r="BR1369" s="34"/>
      <c r="BV1369" s="34"/>
      <c r="BZ1369" s="34"/>
      <c r="CD1369" s="34"/>
    </row>
    <row r="1370" spans="70:82" x14ac:dyDescent="0.15">
      <c r="BR1370" s="34"/>
      <c r="BV1370" s="34"/>
      <c r="BZ1370" s="34"/>
      <c r="CD1370" s="34"/>
    </row>
    <row r="1371" spans="70:82" x14ac:dyDescent="0.15">
      <c r="BR1371" s="34"/>
      <c r="BV1371" s="34"/>
      <c r="BZ1371" s="34"/>
      <c r="CD1371" s="34"/>
    </row>
    <row r="1372" spans="70:82" x14ac:dyDescent="0.15">
      <c r="BR1372" s="34"/>
      <c r="BV1372" s="34"/>
      <c r="BZ1372" s="34"/>
      <c r="CD1372" s="34"/>
    </row>
    <row r="1373" spans="70:82" x14ac:dyDescent="0.15">
      <c r="BR1373" s="34"/>
      <c r="BV1373" s="34"/>
      <c r="BZ1373" s="34"/>
      <c r="CD1373" s="34"/>
    </row>
    <row r="1374" spans="70:82" x14ac:dyDescent="0.15">
      <c r="BR1374" s="34"/>
      <c r="BV1374" s="34"/>
      <c r="BZ1374" s="34"/>
      <c r="CD1374" s="34"/>
    </row>
    <row r="1375" spans="70:82" x14ac:dyDescent="0.15">
      <c r="BR1375" s="34"/>
      <c r="BV1375" s="34"/>
      <c r="BZ1375" s="34"/>
      <c r="CD1375" s="34"/>
    </row>
    <row r="1376" spans="70:82" x14ac:dyDescent="0.15">
      <c r="BR1376" s="34"/>
      <c r="BV1376" s="34"/>
      <c r="BZ1376" s="34"/>
      <c r="CD1376" s="34"/>
    </row>
    <row r="1377" spans="70:82" x14ac:dyDescent="0.15">
      <c r="BR1377" s="34"/>
      <c r="BV1377" s="34"/>
      <c r="BZ1377" s="34"/>
      <c r="CD1377" s="34"/>
    </row>
    <row r="1378" spans="70:82" x14ac:dyDescent="0.15">
      <c r="BR1378" s="34"/>
      <c r="BV1378" s="34"/>
      <c r="BZ1378" s="34"/>
      <c r="CD1378" s="34"/>
    </row>
    <row r="1379" spans="70:82" x14ac:dyDescent="0.15">
      <c r="BR1379" s="34"/>
      <c r="BV1379" s="34"/>
      <c r="BZ1379" s="34"/>
      <c r="CD1379" s="34"/>
    </row>
    <row r="1380" spans="70:82" x14ac:dyDescent="0.15">
      <c r="BR1380" s="34"/>
      <c r="BV1380" s="34"/>
      <c r="BZ1380" s="34"/>
      <c r="CD1380" s="34"/>
    </row>
    <row r="1381" spans="70:82" x14ac:dyDescent="0.15">
      <c r="BR1381" s="34"/>
      <c r="BV1381" s="34"/>
      <c r="BZ1381" s="34"/>
      <c r="CD1381" s="34"/>
    </row>
    <row r="1382" spans="70:82" x14ac:dyDescent="0.15">
      <c r="BR1382" s="34"/>
      <c r="BV1382" s="34"/>
      <c r="BZ1382" s="34"/>
      <c r="CD1382" s="34"/>
    </row>
    <row r="1383" spans="70:82" x14ac:dyDescent="0.15">
      <c r="BR1383" s="34"/>
      <c r="BV1383" s="34"/>
      <c r="BZ1383" s="34"/>
      <c r="CD1383" s="34"/>
    </row>
    <row r="1384" spans="70:82" x14ac:dyDescent="0.15">
      <c r="BR1384" s="34"/>
      <c r="BV1384" s="34"/>
      <c r="BZ1384" s="34"/>
      <c r="CD1384" s="34"/>
    </row>
    <row r="1385" spans="70:82" x14ac:dyDescent="0.15">
      <c r="BR1385" s="34"/>
      <c r="BV1385" s="34"/>
      <c r="BZ1385" s="34"/>
      <c r="CD1385" s="34"/>
    </row>
    <row r="1386" spans="70:82" x14ac:dyDescent="0.15">
      <c r="BR1386" s="34"/>
      <c r="BV1386" s="34"/>
      <c r="BZ1386" s="34"/>
      <c r="CD1386" s="34"/>
    </row>
    <row r="1387" spans="70:82" x14ac:dyDescent="0.15">
      <c r="BR1387" s="34"/>
      <c r="BV1387" s="34"/>
      <c r="BZ1387" s="34"/>
      <c r="CD1387" s="34"/>
    </row>
    <row r="1388" spans="70:82" x14ac:dyDescent="0.15">
      <c r="BR1388" s="34"/>
      <c r="BV1388" s="34"/>
      <c r="BZ1388" s="34"/>
      <c r="CD1388" s="34"/>
    </row>
    <row r="1389" spans="70:82" x14ac:dyDescent="0.15">
      <c r="BR1389" s="34"/>
      <c r="BV1389" s="34"/>
      <c r="BZ1389" s="34"/>
      <c r="CD1389" s="34"/>
    </row>
    <row r="1390" spans="70:82" x14ac:dyDescent="0.15">
      <c r="BR1390" s="34"/>
      <c r="BV1390" s="34"/>
      <c r="BZ1390" s="34"/>
      <c r="CD1390" s="34"/>
    </row>
    <row r="1391" spans="70:82" x14ac:dyDescent="0.15">
      <c r="BR1391" s="34"/>
      <c r="BV1391" s="34"/>
      <c r="BZ1391" s="34"/>
      <c r="CD1391" s="34"/>
    </row>
    <row r="1392" spans="70:82" x14ac:dyDescent="0.15">
      <c r="BR1392" s="34"/>
      <c r="BV1392" s="34"/>
      <c r="BZ1392" s="34"/>
      <c r="CD1392" s="34"/>
    </row>
    <row r="1393" spans="70:82" x14ac:dyDescent="0.15">
      <c r="BR1393" s="34"/>
      <c r="BV1393" s="34"/>
      <c r="BZ1393" s="34"/>
      <c r="CD1393" s="34"/>
    </row>
    <row r="1394" spans="70:82" x14ac:dyDescent="0.15">
      <c r="BR1394" s="34"/>
      <c r="BV1394" s="34"/>
      <c r="BZ1394" s="34"/>
      <c r="CD1394" s="34"/>
    </row>
    <row r="1395" spans="70:82" x14ac:dyDescent="0.15">
      <c r="BR1395" s="34"/>
      <c r="BV1395" s="34"/>
      <c r="BZ1395" s="34"/>
      <c r="CD1395" s="34"/>
    </row>
    <row r="1396" spans="70:82" x14ac:dyDescent="0.15">
      <c r="BR1396" s="34"/>
      <c r="BV1396" s="34"/>
      <c r="BZ1396" s="34"/>
      <c r="CD1396" s="34"/>
    </row>
    <row r="1397" spans="70:82" x14ac:dyDescent="0.15">
      <c r="BR1397" s="34"/>
      <c r="BV1397" s="34"/>
      <c r="BZ1397" s="34"/>
      <c r="CD1397" s="34"/>
    </row>
    <row r="1398" spans="70:82" x14ac:dyDescent="0.15">
      <c r="BR1398" s="34"/>
      <c r="BV1398" s="34"/>
      <c r="BZ1398" s="34"/>
      <c r="CD1398" s="34"/>
    </row>
    <row r="1399" spans="70:82" x14ac:dyDescent="0.15">
      <c r="BR1399" s="34"/>
      <c r="BV1399" s="34"/>
      <c r="BZ1399" s="34"/>
      <c r="CD1399" s="34"/>
    </row>
    <row r="1400" spans="70:82" x14ac:dyDescent="0.15">
      <c r="BR1400" s="34"/>
      <c r="BV1400" s="34"/>
      <c r="BZ1400" s="34"/>
      <c r="CD1400" s="34"/>
    </row>
    <row r="1401" spans="70:82" x14ac:dyDescent="0.15">
      <c r="BR1401" s="34"/>
      <c r="BV1401" s="34"/>
      <c r="BZ1401" s="34"/>
      <c r="CD1401" s="34"/>
    </row>
    <row r="1402" spans="70:82" x14ac:dyDescent="0.15">
      <c r="BR1402" s="34"/>
      <c r="BV1402" s="34"/>
      <c r="BZ1402" s="34"/>
      <c r="CD1402" s="34"/>
    </row>
    <row r="1403" spans="70:82" x14ac:dyDescent="0.15">
      <c r="BR1403" s="34"/>
      <c r="BV1403" s="34"/>
      <c r="BZ1403" s="34"/>
      <c r="CD1403" s="34"/>
    </row>
    <row r="1404" spans="70:82" x14ac:dyDescent="0.15">
      <c r="BR1404" s="34"/>
      <c r="BV1404" s="34"/>
      <c r="BZ1404" s="34"/>
      <c r="CD1404" s="34"/>
    </row>
    <row r="1405" spans="70:82" x14ac:dyDescent="0.15">
      <c r="BR1405" s="34"/>
      <c r="BV1405" s="34"/>
      <c r="BZ1405" s="34"/>
      <c r="CD1405" s="34"/>
    </row>
    <row r="1406" spans="70:82" x14ac:dyDescent="0.15">
      <c r="BR1406" s="34"/>
      <c r="BV1406" s="34"/>
      <c r="BZ1406" s="34"/>
      <c r="CD1406" s="34"/>
    </row>
    <row r="1407" spans="70:82" x14ac:dyDescent="0.15">
      <c r="BR1407" s="34"/>
      <c r="BV1407" s="34"/>
      <c r="BZ1407" s="34"/>
      <c r="CD1407" s="34"/>
    </row>
    <row r="1408" spans="70:82" x14ac:dyDescent="0.15">
      <c r="BR1408" s="34"/>
      <c r="BV1408" s="34"/>
      <c r="BZ1408" s="34"/>
      <c r="CD1408" s="34"/>
    </row>
    <row r="1409" spans="70:82" x14ac:dyDescent="0.15">
      <c r="BR1409" s="34"/>
      <c r="BV1409" s="34"/>
      <c r="BZ1409" s="34"/>
      <c r="CD1409" s="34"/>
    </row>
    <row r="1410" spans="70:82" x14ac:dyDescent="0.15">
      <c r="BR1410" s="34"/>
      <c r="BV1410" s="34"/>
      <c r="BZ1410" s="34"/>
      <c r="CD1410" s="34"/>
    </row>
    <row r="1411" spans="70:82" x14ac:dyDescent="0.15">
      <c r="BR1411" s="34"/>
      <c r="BV1411" s="34"/>
      <c r="BZ1411" s="34"/>
      <c r="CD1411" s="34"/>
    </row>
    <row r="1412" spans="70:82" x14ac:dyDescent="0.15">
      <c r="BR1412" s="34"/>
      <c r="BV1412" s="34"/>
      <c r="BZ1412" s="34"/>
      <c r="CD1412" s="34"/>
    </row>
    <row r="1413" spans="70:82" x14ac:dyDescent="0.15">
      <c r="BR1413" s="34"/>
      <c r="BV1413" s="34"/>
      <c r="BZ1413" s="34"/>
      <c r="CD1413" s="34"/>
    </row>
    <row r="1414" spans="70:82" x14ac:dyDescent="0.15">
      <c r="BR1414" s="34"/>
      <c r="BV1414" s="34"/>
      <c r="BZ1414" s="34"/>
      <c r="CD1414" s="34"/>
    </row>
    <row r="1415" spans="70:82" x14ac:dyDescent="0.15">
      <c r="BR1415" s="34"/>
      <c r="BV1415" s="34"/>
      <c r="BZ1415" s="34"/>
      <c r="CD1415" s="34"/>
    </row>
    <row r="1416" spans="70:82" x14ac:dyDescent="0.15">
      <c r="BR1416" s="34"/>
      <c r="BV1416" s="34"/>
      <c r="BZ1416" s="34"/>
      <c r="CD1416" s="34"/>
    </row>
    <row r="1417" spans="70:82" x14ac:dyDescent="0.15">
      <c r="BR1417" s="34"/>
      <c r="BV1417" s="34"/>
      <c r="BZ1417" s="34"/>
      <c r="CD1417" s="34"/>
    </row>
    <row r="1418" spans="70:82" x14ac:dyDescent="0.15">
      <c r="BR1418" s="34"/>
      <c r="BV1418" s="34"/>
      <c r="BZ1418" s="34"/>
      <c r="CD1418" s="34"/>
    </row>
    <row r="1419" spans="70:82" x14ac:dyDescent="0.15">
      <c r="BR1419" s="34"/>
      <c r="BV1419" s="34"/>
      <c r="BZ1419" s="34"/>
      <c r="CD1419" s="34"/>
    </row>
    <row r="1420" spans="70:82" x14ac:dyDescent="0.15">
      <c r="BR1420" s="34"/>
      <c r="BV1420" s="34"/>
      <c r="BZ1420" s="34"/>
      <c r="CD1420" s="34"/>
    </row>
    <row r="1421" spans="70:82" x14ac:dyDescent="0.15">
      <c r="BR1421" s="34"/>
      <c r="BV1421" s="34"/>
      <c r="BZ1421" s="34"/>
      <c r="CD1421" s="34"/>
    </row>
    <row r="1422" spans="70:82" x14ac:dyDescent="0.15">
      <c r="BR1422" s="34"/>
      <c r="BV1422" s="34"/>
      <c r="BZ1422" s="34"/>
      <c r="CD1422" s="34"/>
    </row>
    <row r="1423" spans="70:82" x14ac:dyDescent="0.15">
      <c r="BR1423" s="34"/>
      <c r="BV1423" s="34"/>
      <c r="BZ1423" s="34"/>
      <c r="CD1423" s="34"/>
    </row>
    <row r="1424" spans="70:82" x14ac:dyDescent="0.15">
      <c r="BR1424" s="34"/>
      <c r="BV1424" s="34"/>
      <c r="BZ1424" s="34"/>
      <c r="CD1424" s="34"/>
    </row>
    <row r="1425" spans="70:82" x14ac:dyDescent="0.15">
      <c r="BR1425" s="34"/>
      <c r="BV1425" s="34"/>
      <c r="BZ1425" s="34"/>
      <c r="CD1425" s="34"/>
    </row>
    <row r="1426" spans="70:82" x14ac:dyDescent="0.15">
      <c r="BR1426" s="34"/>
      <c r="BV1426" s="34"/>
      <c r="BZ1426" s="34"/>
      <c r="CD1426" s="34"/>
    </row>
    <row r="1427" spans="70:82" x14ac:dyDescent="0.15">
      <c r="BR1427" s="34"/>
      <c r="BV1427" s="34"/>
      <c r="BZ1427" s="34"/>
      <c r="CD1427" s="34"/>
    </row>
    <row r="1428" spans="70:82" x14ac:dyDescent="0.15">
      <c r="BR1428" s="34"/>
      <c r="BV1428" s="34"/>
      <c r="BZ1428" s="34"/>
      <c r="CD1428" s="34"/>
    </row>
    <row r="1429" spans="70:82" x14ac:dyDescent="0.15">
      <c r="BR1429" s="34"/>
      <c r="BV1429" s="34"/>
      <c r="BZ1429" s="34"/>
      <c r="CD1429" s="34"/>
    </row>
    <row r="1430" spans="70:82" x14ac:dyDescent="0.15">
      <c r="BR1430" s="34"/>
      <c r="BV1430" s="34"/>
      <c r="BZ1430" s="34"/>
      <c r="CD1430" s="34"/>
    </row>
    <row r="1431" spans="70:82" x14ac:dyDescent="0.15">
      <c r="BR1431" s="34"/>
      <c r="BV1431" s="34"/>
      <c r="BZ1431" s="34"/>
      <c r="CD1431" s="34"/>
    </row>
    <row r="1432" spans="70:82" x14ac:dyDescent="0.15">
      <c r="BR1432" s="34"/>
      <c r="BV1432" s="34"/>
      <c r="BZ1432" s="34"/>
      <c r="CD1432" s="34"/>
    </row>
    <row r="1433" spans="70:82" x14ac:dyDescent="0.15">
      <c r="BR1433" s="34"/>
      <c r="BV1433" s="34"/>
      <c r="BZ1433" s="34"/>
      <c r="CD1433" s="34"/>
    </row>
    <row r="1434" spans="70:82" x14ac:dyDescent="0.15">
      <c r="BR1434" s="34"/>
      <c r="BV1434" s="34"/>
      <c r="BZ1434" s="34"/>
      <c r="CD1434" s="34"/>
    </row>
    <row r="1435" spans="70:82" x14ac:dyDescent="0.15">
      <c r="BR1435" s="34"/>
      <c r="BV1435" s="34"/>
      <c r="BZ1435" s="34"/>
      <c r="CD1435" s="34"/>
    </row>
    <row r="1436" spans="70:82" x14ac:dyDescent="0.15">
      <c r="BR1436" s="34"/>
      <c r="BV1436" s="34"/>
      <c r="BZ1436" s="34"/>
      <c r="CD1436" s="34"/>
    </row>
    <row r="1437" spans="70:82" x14ac:dyDescent="0.15">
      <c r="BR1437" s="34"/>
      <c r="BV1437" s="34"/>
      <c r="BZ1437" s="34"/>
      <c r="CD1437" s="34"/>
    </row>
    <row r="1438" spans="70:82" x14ac:dyDescent="0.15">
      <c r="BR1438" s="34"/>
      <c r="BV1438" s="34"/>
      <c r="BZ1438" s="34"/>
      <c r="CD1438" s="34"/>
    </row>
    <row r="1439" spans="70:82" x14ac:dyDescent="0.15">
      <c r="BR1439" s="34"/>
      <c r="BV1439" s="34"/>
      <c r="BZ1439" s="34"/>
      <c r="CD1439" s="34"/>
    </row>
    <row r="1440" spans="70:82" x14ac:dyDescent="0.15">
      <c r="BR1440" s="34"/>
      <c r="BV1440" s="34"/>
      <c r="BZ1440" s="34"/>
      <c r="CD1440" s="34"/>
    </row>
    <row r="1441" spans="70:82" x14ac:dyDescent="0.15">
      <c r="BR1441" s="34"/>
      <c r="BV1441" s="34"/>
      <c r="BZ1441" s="34"/>
      <c r="CD1441" s="34"/>
    </row>
    <row r="1442" spans="70:82" x14ac:dyDescent="0.15">
      <c r="BR1442" s="34"/>
      <c r="BV1442" s="34"/>
      <c r="BZ1442" s="34"/>
      <c r="CD1442" s="34"/>
    </row>
    <row r="1443" spans="70:82" x14ac:dyDescent="0.15">
      <c r="BR1443" s="34"/>
      <c r="BV1443" s="34"/>
      <c r="BZ1443" s="34"/>
      <c r="CD1443" s="34"/>
    </row>
    <row r="1444" spans="70:82" x14ac:dyDescent="0.15">
      <c r="BR1444" s="34"/>
      <c r="BV1444" s="34"/>
      <c r="BZ1444" s="34"/>
      <c r="CD1444" s="34"/>
    </row>
    <row r="1445" spans="70:82" x14ac:dyDescent="0.15">
      <c r="BR1445" s="34"/>
      <c r="BV1445" s="34"/>
      <c r="BZ1445" s="34"/>
      <c r="CD1445" s="34"/>
    </row>
    <row r="1446" spans="70:82" x14ac:dyDescent="0.15">
      <c r="BR1446" s="34"/>
      <c r="BV1446" s="34"/>
      <c r="BZ1446" s="34"/>
      <c r="CD1446" s="34"/>
    </row>
    <row r="1447" spans="70:82" x14ac:dyDescent="0.15">
      <c r="BR1447" s="34"/>
      <c r="BV1447" s="34"/>
      <c r="BZ1447" s="34"/>
      <c r="CD1447" s="34"/>
    </row>
    <row r="1448" spans="70:82" x14ac:dyDescent="0.15">
      <c r="BR1448" s="34"/>
      <c r="BV1448" s="34"/>
      <c r="BZ1448" s="34"/>
      <c r="CD1448" s="34"/>
    </row>
    <row r="1449" spans="70:82" x14ac:dyDescent="0.15">
      <c r="BR1449" s="34"/>
      <c r="BV1449" s="34"/>
      <c r="BZ1449" s="34"/>
      <c r="CD1449" s="34"/>
    </row>
    <row r="1450" spans="70:82" x14ac:dyDescent="0.15">
      <c r="BR1450" s="34"/>
      <c r="BV1450" s="34"/>
      <c r="BZ1450" s="34"/>
      <c r="CD1450" s="34"/>
    </row>
    <row r="1451" spans="70:82" x14ac:dyDescent="0.15">
      <c r="BR1451" s="34"/>
      <c r="BV1451" s="34"/>
      <c r="BZ1451" s="34"/>
      <c r="CD1451" s="34"/>
    </row>
    <row r="1452" spans="70:82" x14ac:dyDescent="0.15">
      <c r="BR1452" s="34"/>
      <c r="BV1452" s="34"/>
      <c r="BZ1452" s="34"/>
      <c r="CD1452" s="34"/>
    </row>
    <row r="1453" spans="70:82" x14ac:dyDescent="0.15">
      <c r="BR1453" s="34"/>
      <c r="BV1453" s="34"/>
      <c r="BZ1453" s="34"/>
      <c r="CD1453" s="34"/>
    </row>
    <row r="1454" spans="70:82" x14ac:dyDescent="0.15">
      <c r="BR1454" s="34"/>
      <c r="BV1454" s="34"/>
      <c r="BZ1454" s="34"/>
      <c r="CD1454" s="34"/>
    </row>
    <row r="1455" spans="70:82" x14ac:dyDescent="0.15">
      <c r="BR1455" s="34"/>
      <c r="BV1455" s="34"/>
      <c r="BZ1455" s="34"/>
      <c r="CD1455" s="34"/>
    </row>
    <row r="1456" spans="70:82" x14ac:dyDescent="0.15">
      <c r="BR1456" s="34"/>
      <c r="BV1456" s="34"/>
      <c r="BZ1456" s="34"/>
      <c r="CD1456" s="34"/>
    </row>
    <row r="1457" spans="70:82" x14ac:dyDescent="0.15">
      <c r="BR1457" s="34"/>
      <c r="BV1457" s="34"/>
      <c r="BZ1457" s="34"/>
      <c r="CD1457" s="34"/>
    </row>
    <row r="1458" spans="70:82" x14ac:dyDescent="0.15">
      <c r="BR1458" s="34"/>
      <c r="BV1458" s="34"/>
      <c r="BZ1458" s="34"/>
      <c r="CD1458" s="34"/>
    </row>
    <row r="1459" spans="70:82" x14ac:dyDescent="0.15">
      <c r="BR1459" s="34"/>
      <c r="BV1459" s="34"/>
      <c r="BZ1459" s="34"/>
      <c r="CD1459" s="34"/>
    </row>
    <row r="1460" spans="70:82" x14ac:dyDescent="0.15">
      <c r="BR1460" s="34"/>
      <c r="BV1460" s="34"/>
      <c r="BZ1460" s="34"/>
      <c r="CD1460" s="34"/>
    </row>
    <row r="1461" spans="70:82" x14ac:dyDescent="0.15">
      <c r="BR1461" s="34"/>
      <c r="BV1461" s="34"/>
      <c r="BZ1461" s="34"/>
      <c r="CD1461" s="34"/>
    </row>
    <row r="1462" spans="70:82" x14ac:dyDescent="0.15">
      <c r="BR1462" s="34"/>
      <c r="BV1462" s="34"/>
      <c r="BZ1462" s="34"/>
      <c r="CD1462" s="34"/>
    </row>
    <row r="1463" spans="70:82" x14ac:dyDescent="0.15">
      <c r="BR1463" s="34"/>
      <c r="BV1463" s="34"/>
      <c r="BZ1463" s="34"/>
      <c r="CD1463" s="34"/>
    </row>
    <row r="1464" spans="70:82" x14ac:dyDescent="0.15">
      <c r="BR1464" s="34"/>
      <c r="BV1464" s="34"/>
      <c r="BZ1464" s="34"/>
      <c r="CD1464" s="34"/>
    </row>
    <row r="1465" spans="70:82" x14ac:dyDescent="0.15">
      <c r="BR1465" s="34"/>
      <c r="BV1465" s="34"/>
      <c r="BZ1465" s="34"/>
      <c r="CD1465" s="34"/>
    </row>
    <row r="1466" spans="70:82" x14ac:dyDescent="0.15">
      <c r="BR1466" s="34"/>
      <c r="BV1466" s="34"/>
      <c r="BZ1466" s="34"/>
      <c r="CD1466" s="34"/>
    </row>
    <row r="1467" spans="70:82" x14ac:dyDescent="0.15">
      <c r="BR1467" s="34"/>
      <c r="BV1467" s="34"/>
      <c r="BZ1467" s="34"/>
      <c r="CD1467" s="34"/>
    </row>
    <row r="1468" spans="70:82" x14ac:dyDescent="0.15">
      <c r="BR1468" s="34"/>
      <c r="BV1468" s="34"/>
      <c r="BZ1468" s="34"/>
      <c r="CD1468" s="34"/>
    </row>
    <row r="1469" spans="70:82" x14ac:dyDescent="0.15">
      <c r="BR1469" s="34"/>
      <c r="BV1469" s="34"/>
      <c r="BZ1469" s="34"/>
      <c r="CD1469" s="34"/>
    </row>
    <row r="1470" spans="70:82" x14ac:dyDescent="0.15">
      <c r="BR1470" s="34"/>
      <c r="BV1470" s="34"/>
      <c r="BZ1470" s="34"/>
      <c r="CD1470" s="34"/>
    </row>
    <row r="1471" spans="70:82" x14ac:dyDescent="0.15">
      <c r="BR1471" s="34"/>
      <c r="BV1471" s="34"/>
      <c r="BZ1471" s="34"/>
      <c r="CD1471" s="34"/>
    </row>
    <row r="1472" spans="70:82" x14ac:dyDescent="0.15">
      <c r="BR1472" s="34"/>
      <c r="BV1472" s="34"/>
      <c r="BZ1472" s="34"/>
      <c r="CD1472" s="34"/>
    </row>
    <row r="1473" spans="70:82" x14ac:dyDescent="0.15">
      <c r="BR1473" s="34"/>
      <c r="BV1473" s="34"/>
      <c r="BZ1473" s="34"/>
      <c r="CD1473" s="34"/>
    </row>
    <row r="1474" spans="70:82" x14ac:dyDescent="0.15">
      <c r="BR1474" s="34"/>
      <c r="BV1474" s="34"/>
      <c r="BZ1474" s="34"/>
      <c r="CD1474" s="34"/>
    </row>
    <row r="1475" spans="70:82" x14ac:dyDescent="0.15">
      <c r="BR1475" s="34"/>
      <c r="BV1475" s="34"/>
      <c r="BZ1475" s="34"/>
      <c r="CD1475" s="34"/>
    </row>
    <row r="1476" spans="70:82" x14ac:dyDescent="0.15">
      <c r="BR1476" s="34"/>
      <c r="BV1476" s="34"/>
      <c r="BZ1476" s="34"/>
      <c r="CD1476" s="34"/>
    </row>
    <row r="1477" spans="70:82" x14ac:dyDescent="0.15">
      <c r="BR1477" s="34"/>
      <c r="BV1477" s="34"/>
      <c r="BZ1477" s="34"/>
      <c r="CD1477" s="34"/>
    </row>
    <row r="1478" spans="70:82" x14ac:dyDescent="0.15">
      <c r="BR1478" s="34"/>
      <c r="BV1478" s="34"/>
      <c r="BZ1478" s="34"/>
      <c r="CD1478" s="34"/>
    </row>
    <row r="1479" spans="70:82" x14ac:dyDescent="0.15">
      <c r="BR1479" s="34"/>
      <c r="BV1479" s="34"/>
      <c r="BZ1479" s="34"/>
      <c r="CD1479" s="34"/>
    </row>
    <row r="1480" spans="70:82" x14ac:dyDescent="0.15">
      <c r="BR1480" s="34"/>
      <c r="BV1480" s="34"/>
      <c r="BZ1480" s="34"/>
      <c r="CD1480" s="34"/>
    </row>
    <row r="1481" spans="70:82" x14ac:dyDescent="0.15">
      <c r="BR1481" s="34"/>
      <c r="BV1481" s="34"/>
      <c r="BZ1481" s="34"/>
      <c r="CD1481" s="34"/>
    </row>
    <row r="1482" spans="70:82" x14ac:dyDescent="0.15">
      <c r="BR1482" s="34"/>
      <c r="BV1482" s="34"/>
      <c r="BZ1482" s="34"/>
      <c r="CD1482" s="34"/>
    </row>
    <row r="1483" spans="70:82" x14ac:dyDescent="0.15">
      <c r="BR1483" s="34"/>
      <c r="BV1483" s="34"/>
      <c r="BZ1483" s="34"/>
      <c r="CD1483" s="34"/>
    </row>
    <row r="1484" spans="70:82" x14ac:dyDescent="0.15">
      <c r="BR1484" s="34"/>
      <c r="BV1484" s="34"/>
      <c r="BZ1484" s="34"/>
      <c r="CD1484" s="34"/>
    </row>
    <row r="1485" spans="70:82" x14ac:dyDescent="0.15">
      <c r="BR1485" s="34"/>
      <c r="BV1485" s="34"/>
      <c r="BZ1485" s="34"/>
      <c r="CD1485" s="34"/>
    </row>
    <row r="1486" spans="70:82" x14ac:dyDescent="0.15">
      <c r="BR1486" s="34"/>
      <c r="BV1486" s="34"/>
      <c r="BZ1486" s="34"/>
      <c r="CD1486" s="34"/>
    </row>
    <row r="1487" spans="70:82" x14ac:dyDescent="0.15">
      <c r="BR1487" s="34"/>
      <c r="BV1487" s="34"/>
      <c r="BZ1487" s="34"/>
      <c r="CD1487" s="34"/>
    </row>
    <row r="1488" spans="70:82" x14ac:dyDescent="0.15">
      <c r="BR1488" s="34"/>
      <c r="BV1488" s="34"/>
      <c r="BZ1488" s="34"/>
      <c r="CD1488" s="34"/>
    </row>
    <row r="1489" spans="70:82" x14ac:dyDescent="0.15">
      <c r="BR1489" s="34"/>
      <c r="BV1489" s="34"/>
      <c r="BZ1489" s="34"/>
      <c r="CD1489" s="34"/>
    </row>
    <row r="1490" spans="70:82" x14ac:dyDescent="0.15">
      <c r="BR1490" s="34"/>
      <c r="BV1490" s="34"/>
      <c r="BZ1490" s="34"/>
      <c r="CD1490" s="34"/>
    </row>
    <row r="1491" spans="70:82" x14ac:dyDescent="0.15">
      <c r="BR1491" s="34"/>
      <c r="BV1491" s="34"/>
      <c r="BZ1491" s="34"/>
      <c r="CD1491" s="34"/>
    </row>
    <row r="1492" spans="70:82" x14ac:dyDescent="0.15">
      <c r="BR1492" s="34"/>
      <c r="BV1492" s="34"/>
      <c r="BZ1492" s="34"/>
      <c r="CD1492" s="34"/>
    </row>
    <row r="1493" spans="70:82" x14ac:dyDescent="0.15">
      <c r="BR1493" s="34"/>
      <c r="BV1493" s="34"/>
      <c r="BZ1493" s="34"/>
      <c r="CD1493" s="34"/>
    </row>
    <row r="1494" spans="70:82" x14ac:dyDescent="0.15">
      <c r="BR1494" s="34"/>
      <c r="BV1494" s="34"/>
      <c r="BZ1494" s="34"/>
      <c r="CD1494" s="34"/>
    </row>
    <row r="1495" spans="70:82" x14ac:dyDescent="0.15">
      <c r="BR1495" s="34"/>
      <c r="BV1495" s="34"/>
      <c r="BZ1495" s="34"/>
      <c r="CD1495" s="34"/>
    </row>
    <row r="1496" spans="70:82" x14ac:dyDescent="0.15">
      <c r="BR1496" s="34"/>
      <c r="BV1496" s="34"/>
      <c r="BZ1496" s="34"/>
      <c r="CD1496" s="34"/>
    </row>
    <row r="1497" spans="70:82" x14ac:dyDescent="0.15">
      <c r="BR1497" s="34"/>
      <c r="BV1497" s="34"/>
      <c r="BZ1497" s="34"/>
      <c r="CD1497" s="34"/>
    </row>
    <row r="1498" spans="70:82" x14ac:dyDescent="0.15">
      <c r="BR1498" s="34"/>
      <c r="BV1498" s="34"/>
      <c r="BZ1498" s="34"/>
      <c r="CD1498" s="34"/>
    </row>
    <row r="1499" spans="70:82" x14ac:dyDescent="0.15">
      <c r="BR1499" s="34"/>
      <c r="BV1499" s="34"/>
      <c r="BZ1499" s="34"/>
      <c r="CD1499" s="34"/>
    </row>
    <row r="1500" spans="70:82" x14ac:dyDescent="0.15">
      <c r="BR1500" s="34"/>
      <c r="BV1500" s="34"/>
      <c r="BZ1500" s="34"/>
      <c r="CD1500" s="34"/>
    </row>
    <row r="1501" spans="70:82" x14ac:dyDescent="0.15">
      <c r="BR1501" s="34"/>
      <c r="BV1501" s="34"/>
      <c r="BZ1501" s="34"/>
      <c r="CD1501" s="34"/>
    </row>
    <row r="1502" spans="70:82" x14ac:dyDescent="0.15">
      <c r="BR1502" s="34"/>
      <c r="BV1502" s="34"/>
      <c r="BZ1502" s="34"/>
      <c r="CD1502" s="34"/>
    </row>
    <row r="1503" spans="70:82" x14ac:dyDescent="0.15">
      <c r="BR1503" s="34"/>
      <c r="BV1503" s="34"/>
      <c r="BZ1503" s="34"/>
      <c r="CD1503" s="34"/>
    </row>
    <row r="1504" spans="70:82" x14ac:dyDescent="0.15">
      <c r="BR1504" s="34"/>
      <c r="BV1504" s="34"/>
      <c r="BZ1504" s="34"/>
      <c r="CD1504" s="34"/>
    </row>
    <row r="1505" spans="70:82" x14ac:dyDescent="0.15">
      <c r="BR1505" s="34"/>
      <c r="BV1505" s="34"/>
      <c r="BZ1505" s="34"/>
      <c r="CD1505" s="34"/>
    </row>
    <row r="1506" spans="70:82" x14ac:dyDescent="0.15">
      <c r="BR1506" s="34"/>
      <c r="BV1506" s="34"/>
      <c r="BZ1506" s="34"/>
      <c r="CD1506" s="34"/>
    </row>
    <row r="1507" spans="70:82" x14ac:dyDescent="0.15">
      <c r="BR1507" s="34"/>
      <c r="BV1507" s="34"/>
      <c r="BZ1507" s="34"/>
      <c r="CD1507" s="34"/>
    </row>
    <row r="1508" spans="70:82" x14ac:dyDescent="0.15">
      <c r="BR1508" s="34"/>
      <c r="BV1508" s="34"/>
      <c r="BZ1508" s="34"/>
      <c r="CD1508" s="34"/>
    </row>
    <row r="1509" spans="70:82" x14ac:dyDescent="0.15">
      <c r="BR1509" s="34"/>
      <c r="BV1509" s="34"/>
      <c r="BZ1509" s="34"/>
      <c r="CD1509" s="34"/>
    </row>
    <row r="1510" spans="70:82" x14ac:dyDescent="0.15">
      <c r="BR1510" s="34"/>
      <c r="BV1510" s="34"/>
      <c r="BZ1510" s="34"/>
      <c r="CD1510" s="34"/>
    </row>
    <row r="1511" spans="70:82" x14ac:dyDescent="0.15">
      <c r="BR1511" s="34"/>
      <c r="BV1511" s="34"/>
      <c r="BZ1511" s="34"/>
      <c r="CD1511" s="34"/>
    </row>
    <row r="1512" spans="70:82" x14ac:dyDescent="0.15">
      <c r="BR1512" s="34"/>
      <c r="BV1512" s="34"/>
      <c r="BZ1512" s="34"/>
      <c r="CD1512" s="34"/>
    </row>
    <row r="1513" spans="70:82" x14ac:dyDescent="0.15">
      <c r="BR1513" s="34"/>
      <c r="BV1513" s="34"/>
      <c r="BZ1513" s="34"/>
      <c r="CD1513" s="34"/>
    </row>
    <row r="1514" spans="70:82" x14ac:dyDescent="0.15">
      <c r="BR1514" s="34"/>
      <c r="BV1514" s="34"/>
      <c r="BZ1514" s="34"/>
      <c r="CD1514" s="34"/>
    </row>
    <row r="1515" spans="70:82" x14ac:dyDescent="0.15">
      <c r="BR1515" s="34"/>
      <c r="BV1515" s="34"/>
      <c r="BZ1515" s="34"/>
      <c r="CD1515" s="34"/>
    </row>
    <row r="1516" spans="70:82" x14ac:dyDescent="0.15">
      <c r="BR1516" s="34"/>
      <c r="BV1516" s="34"/>
      <c r="BZ1516" s="34"/>
      <c r="CD1516" s="34"/>
    </row>
    <row r="1517" spans="70:82" x14ac:dyDescent="0.15">
      <c r="BR1517" s="34"/>
      <c r="BV1517" s="34"/>
      <c r="BZ1517" s="34"/>
      <c r="CD1517" s="34"/>
    </row>
    <row r="1518" spans="70:82" x14ac:dyDescent="0.15">
      <c r="BR1518" s="34"/>
      <c r="BV1518" s="34"/>
      <c r="BZ1518" s="34"/>
      <c r="CD1518" s="34"/>
    </row>
    <row r="1519" spans="70:82" x14ac:dyDescent="0.15">
      <c r="BR1519" s="34"/>
      <c r="BV1519" s="34"/>
      <c r="BZ1519" s="34"/>
      <c r="CD1519" s="34"/>
    </row>
    <row r="1520" spans="70:82" x14ac:dyDescent="0.15">
      <c r="BR1520" s="34"/>
      <c r="BV1520" s="34"/>
      <c r="BZ1520" s="34"/>
      <c r="CD1520" s="34"/>
    </row>
    <row r="1521" spans="70:82" x14ac:dyDescent="0.15">
      <c r="BR1521" s="34"/>
      <c r="BV1521" s="34"/>
      <c r="BZ1521" s="34"/>
      <c r="CD1521" s="34"/>
    </row>
    <row r="1522" spans="70:82" x14ac:dyDescent="0.15">
      <c r="BR1522" s="34"/>
      <c r="BV1522" s="34"/>
      <c r="BZ1522" s="34"/>
      <c r="CD1522" s="34"/>
    </row>
    <row r="1523" spans="70:82" x14ac:dyDescent="0.15">
      <c r="BR1523" s="34"/>
      <c r="BV1523" s="34"/>
      <c r="BZ1523" s="34"/>
      <c r="CD1523" s="34"/>
    </row>
    <row r="1524" spans="70:82" x14ac:dyDescent="0.15">
      <c r="BR1524" s="34"/>
      <c r="BV1524" s="34"/>
      <c r="BZ1524" s="34"/>
      <c r="CD1524" s="34"/>
    </row>
    <row r="1525" spans="70:82" x14ac:dyDescent="0.15">
      <c r="BR1525" s="34"/>
      <c r="BV1525" s="34"/>
      <c r="BZ1525" s="34"/>
      <c r="CD1525" s="34"/>
    </row>
    <row r="1526" spans="70:82" x14ac:dyDescent="0.15">
      <c r="BR1526" s="34"/>
      <c r="BV1526" s="34"/>
      <c r="BZ1526" s="34"/>
      <c r="CD1526" s="34"/>
    </row>
    <row r="1527" spans="70:82" x14ac:dyDescent="0.15">
      <c r="BR1527" s="34"/>
      <c r="BV1527" s="34"/>
      <c r="BZ1527" s="34"/>
      <c r="CD1527" s="34"/>
    </row>
    <row r="1528" spans="70:82" x14ac:dyDescent="0.15">
      <c r="BR1528" s="34"/>
      <c r="BV1528" s="34"/>
      <c r="BZ1528" s="34"/>
      <c r="CD1528" s="34"/>
    </row>
    <row r="1529" spans="70:82" x14ac:dyDescent="0.15">
      <c r="BR1529" s="34"/>
      <c r="BV1529" s="34"/>
      <c r="BZ1529" s="34"/>
      <c r="CD1529" s="34"/>
    </row>
    <row r="1530" spans="70:82" x14ac:dyDescent="0.15">
      <c r="BR1530" s="34"/>
      <c r="BV1530" s="34"/>
      <c r="BZ1530" s="34"/>
      <c r="CD1530" s="34"/>
    </row>
    <row r="1531" spans="70:82" x14ac:dyDescent="0.15">
      <c r="BR1531" s="34"/>
      <c r="BV1531" s="34"/>
      <c r="BZ1531" s="34"/>
      <c r="CD1531" s="34"/>
    </row>
    <row r="1532" spans="70:82" x14ac:dyDescent="0.15">
      <c r="BR1532" s="34"/>
      <c r="BV1532" s="34"/>
      <c r="BZ1532" s="34"/>
      <c r="CD1532" s="34"/>
    </row>
    <row r="1533" spans="70:82" x14ac:dyDescent="0.15">
      <c r="BR1533" s="34"/>
      <c r="BV1533" s="34"/>
      <c r="BZ1533" s="34"/>
      <c r="CD1533" s="34"/>
    </row>
    <row r="1534" spans="70:82" x14ac:dyDescent="0.15">
      <c r="BR1534" s="34"/>
      <c r="BV1534" s="34"/>
      <c r="BZ1534" s="34"/>
      <c r="CD1534" s="34"/>
    </row>
    <row r="1535" spans="70:82" x14ac:dyDescent="0.15">
      <c r="BR1535" s="34"/>
      <c r="BV1535" s="34"/>
      <c r="BZ1535" s="34"/>
      <c r="CD1535" s="34"/>
    </row>
    <row r="1536" spans="70:82" x14ac:dyDescent="0.15">
      <c r="BR1536" s="34"/>
      <c r="BV1536" s="34"/>
      <c r="BZ1536" s="34"/>
      <c r="CD1536" s="34"/>
    </row>
    <row r="1537" spans="70:82" x14ac:dyDescent="0.15">
      <c r="BR1537" s="34"/>
      <c r="BV1537" s="34"/>
      <c r="BZ1537" s="34"/>
      <c r="CD1537" s="34"/>
    </row>
    <row r="1538" spans="70:82" x14ac:dyDescent="0.15">
      <c r="BR1538" s="34"/>
      <c r="BV1538" s="34"/>
      <c r="BZ1538" s="34"/>
      <c r="CD1538" s="34"/>
    </row>
    <row r="1539" spans="70:82" x14ac:dyDescent="0.15">
      <c r="BR1539" s="34"/>
      <c r="BV1539" s="34"/>
      <c r="BZ1539" s="34"/>
      <c r="CD1539" s="34"/>
    </row>
    <row r="1540" spans="70:82" x14ac:dyDescent="0.15">
      <c r="BR1540" s="34"/>
      <c r="BV1540" s="34"/>
      <c r="BZ1540" s="34"/>
      <c r="CD1540" s="34"/>
    </row>
    <row r="1541" spans="70:82" x14ac:dyDescent="0.15">
      <c r="BR1541" s="34"/>
      <c r="BV1541" s="34"/>
      <c r="BZ1541" s="34"/>
      <c r="CD1541" s="34"/>
    </row>
    <row r="1542" spans="70:82" x14ac:dyDescent="0.15">
      <c r="BR1542" s="34"/>
      <c r="BV1542" s="34"/>
      <c r="BZ1542" s="34"/>
      <c r="CD1542" s="34"/>
    </row>
    <row r="1543" spans="70:82" x14ac:dyDescent="0.15">
      <c r="BR1543" s="34"/>
      <c r="BV1543" s="34"/>
      <c r="BZ1543" s="34"/>
      <c r="CD1543" s="34"/>
    </row>
    <row r="1544" spans="70:82" x14ac:dyDescent="0.15">
      <c r="BR1544" s="34"/>
      <c r="BV1544" s="34"/>
      <c r="BZ1544" s="34"/>
      <c r="CD1544" s="34"/>
    </row>
    <row r="1545" spans="70:82" x14ac:dyDescent="0.15">
      <c r="BR1545" s="34"/>
      <c r="BV1545" s="34"/>
      <c r="BZ1545" s="34"/>
      <c r="CD1545" s="34"/>
    </row>
    <row r="1546" spans="70:82" x14ac:dyDescent="0.15">
      <c r="BR1546" s="34"/>
      <c r="BV1546" s="34"/>
      <c r="BZ1546" s="34"/>
      <c r="CD1546" s="34"/>
    </row>
    <row r="1547" spans="70:82" x14ac:dyDescent="0.15">
      <c r="BR1547" s="34"/>
      <c r="BV1547" s="34"/>
      <c r="BZ1547" s="34"/>
      <c r="CD1547" s="34"/>
    </row>
    <row r="1548" spans="70:82" x14ac:dyDescent="0.15">
      <c r="BR1548" s="34"/>
      <c r="BV1548" s="34"/>
      <c r="BZ1548" s="34"/>
      <c r="CD1548" s="34"/>
    </row>
    <row r="1549" spans="70:82" x14ac:dyDescent="0.15">
      <c r="BR1549" s="34"/>
      <c r="BV1549" s="34"/>
      <c r="BZ1549" s="34"/>
      <c r="CD1549" s="34"/>
    </row>
    <row r="1550" spans="70:82" x14ac:dyDescent="0.15">
      <c r="BR1550" s="34"/>
      <c r="BV1550" s="34"/>
      <c r="BZ1550" s="34"/>
      <c r="CD1550" s="34"/>
    </row>
    <row r="1551" spans="70:82" x14ac:dyDescent="0.15">
      <c r="BR1551" s="34"/>
      <c r="BV1551" s="34"/>
      <c r="BZ1551" s="34"/>
      <c r="CD1551" s="34"/>
    </row>
    <row r="1552" spans="70:82" x14ac:dyDescent="0.15">
      <c r="BR1552" s="34"/>
      <c r="BV1552" s="34"/>
      <c r="BZ1552" s="34"/>
      <c r="CD1552" s="34"/>
    </row>
    <row r="1553" spans="70:82" x14ac:dyDescent="0.15">
      <c r="BR1553" s="34"/>
      <c r="BV1553" s="34"/>
      <c r="BZ1553" s="34"/>
      <c r="CD1553" s="34"/>
    </row>
    <row r="1554" spans="70:82" x14ac:dyDescent="0.15">
      <c r="BR1554" s="34"/>
      <c r="BV1554" s="34"/>
      <c r="BZ1554" s="34"/>
      <c r="CD1554" s="34"/>
    </row>
    <row r="1555" spans="70:82" x14ac:dyDescent="0.15">
      <c r="BR1555" s="34"/>
      <c r="BV1555" s="34"/>
      <c r="BZ1555" s="34"/>
      <c r="CD1555" s="34"/>
    </row>
    <row r="1556" spans="70:82" x14ac:dyDescent="0.15">
      <c r="BR1556" s="34"/>
      <c r="BV1556" s="34"/>
      <c r="BZ1556" s="34"/>
      <c r="CD1556" s="34"/>
    </row>
    <row r="1557" spans="70:82" x14ac:dyDescent="0.15">
      <c r="BR1557" s="34"/>
      <c r="BV1557" s="34"/>
      <c r="BZ1557" s="34"/>
      <c r="CD1557" s="34"/>
    </row>
    <row r="1558" spans="70:82" x14ac:dyDescent="0.15">
      <c r="BR1558" s="34"/>
      <c r="BV1558" s="34"/>
      <c r="BZ1558" s="34"/>
      <c r="CD1558" s="34"/>
    </row>
    <row r="1559" spans="70:82" x14ac:dyDescent="0.15">
      <c r="BR1559" s="34"/>
      <c r="BV1559" s="34"/>
      <c r="BZ1559" s="34"/>
      <c r="CD1559" s="34"/>
    </row>
    <row r="1560" spans="70:82" x14ac:dyDescent="0.15">
      <c r="BR1560" s="34"/>
      <c r="BV1560" s="34"/>
      <c r="BZ1560" s="34"/>
      <c r="CD1560" s="34"/>
    </row>
    <row r="1561" spans="70:82" x14ac:dyDescent="0.15">
      <c r="BR1561" s="34"/>
      <c r="BV1561" s="34"/>
      <c r="BZ1561" s="34"/>
      <c r="CD1561" s="34"/>
    </row>
    <row r="1562" spans="70:82" x14ac:dyDescent="0.15">
      <c r="BR1562" s="34"/>
      <c r="BV1562" s="34"/>
      <c r="BZ1562" s="34"/>
      <c r="CD1562" s="34"/>
    </row>
    <row r="1563" spans="70:82" x14ac:dyDescent="0.15">
      <c r="BR1563" s="34"/>
      <c r="BV1563" s="34"/>
      <c r="BZ1563" s="34"/>
      <c r="CD1563" s="34"/>
    </row>
    <row r="1564" spans="70:82" x14ac:dyDescent="0.15">
      <c r="BR1564" s="34"/>
      <c r="BV1564" s="34"/>
      <c r="BZ1564" s="34"/>
      <c r="CD1564" s="34"/>
    </row>
    <row r="1565" spans="70:82" x14ac:dyDescent="0.15">
      <c r="BR1565" s="34"/>
      <c r="BV1565" s="34"/>
      <c r="BZ1565" s="34"/>
      <c r="CD1565" s="34"/>
    </row>
    <row r="1566" spans="70:82" x14ac:dyDescent="0.15">
      <c r="BR1566" s="34"/>
      <c r="BV1566" s="34"/>
      <c r="BZ1566" s="34"/>
      <c r="CD1566" s="34"/>
    </row>
    <row r="1567" spans="70:82" x14ac:dyDescent="0.15">
      <c r="BR1567" s="34"/>
      <c r="BV1567" s="34"/>
      <c r="BZ1567" s="34"/>
      <c r="CD1567" s="34"/>
    </row>
    <row r="1568" spans="70:82" x14ac:dyDescent="0.15">
      <c r="BR1568" s="34"/>
      <c r="BV1568" s="34"/>
      <c r="BZ1568" s="34"/>
      <c r="CD1568" s="34"/>
    </row>
    <row r="1569" spans="70:82" x14ac:dyDescent="0.15">
      <c r="BR1569" s="34"/>
      <c r="BV1569" s="34"/>
      <c r="BZ1569" s="34"/>
      <c r="CD1569" s="34"/>
    </row>
    <row r="1570" spans="70:82" x14ac:dyDescent="0.15">
      <c r="BR1570" s="34"/>
      <c r="BV1570" s="34"/>
      <c r="BZ1570" s="34"/>
      <c r="CD1570" s="34"/>
    </row>
    <row r="1571" spans="70:82" x14ac:dyDescent="0.15">
      <c r="BR1571" s="34"/>
      <c r="BV1571" s="34"/>
      <c r="BZ1571" s="34"/>
      <c r="CD1571" s="34"/>
    </row>
    <row r="1572" spans="70:82" x14ac:dyDescent="0.15">
      <c r="BR1572" s="34"/>
      <c r="BV1572" s="34"/>
      <c r="BZ1572" s="34"/>
      <c r="CD1572" s="34"/>
    </row>
    <row r="1573" spans="70:82" x14ac:dyDescent="0.15">
      <c r="BR1573" s="34"/>
      <c r="BV1573" s="34"/>
      <c r="BZ1573" s="34"/>
      <c r="CD1573" s="34"/>
    </row>
    <row r="1574" spans="70:82" x14ac:dyDescent="0.15">
      <c r="BR1574" s="34"/>
      <c r="BV1574" s="34"/>
      <c r="BZ1574" s="34"/>
      <c r="CD1574" s="34"/>
    </row>
    <row r="1575" spans="70:82" x14ac:dyDescent="0.15">
      <c r="BR1575" s="34"/>
      <c r="BV1575" s="34"/>
      <c r="BZ1575" s="34"/>
      <c r="CD1575" s="34"/>
    </row>
    <row r="1576" spans="70:82" x14ac:dyDescent="0.15">
      <c r="BR1576" s="34"/>
      <c r="BV1576" s="34"/>
      <c r="BZ1576" s="34"/>
      <c r="CD1576" s="34"/>
    </row>
    <row r="1577" spans="70:82" x14ac:dyDescent="0.15">
      <c r="BR1577" s="34"/>
      <c r="BV1577" s="34"/>
      <c r="BZ1577" s="34"/>
      <c r="CD1577" s="34"/>
    </row>
    <row r="1578" spans="70:82" x14ac:dyDescent="0.15">
      <c r="BR1578" s="34"/>
      <c r="BV1578" s="34"/>
      <c r="BZ1578" s="34"/>
      <c r="CD1578" s="34"/>
    </row>
    <row r="1579" spans="70:82" x14ac:dyDescent="0.15">
      <c r="BR1579" s="34"/>
      <c r="BV1579" s="34"/>
      <c r="BZ1579" s="34"/>
      <c r="CD1579" s="34"/>
    </row>
    <row r="1580" spans="70:82" x14ac:dyDescent="0.15">
      <c r="BR1580" s="34"/>
      <c r="BV1580" s="34"/>
      <c r="BZ1580" s="34"/>
      <c r="CD1580" s="34"/>
    </row>
    <row r="1581" spans="70:82" x14ac:dyDescent="0.15">
      <c r="BR1581" s="34"/>
      <c r="BV1581" s="34"/>
      <c r="BZ1581" s="34"/>
      <c r="CD1581" s="34"/>
    </row>
    <row r="1582" spans="70:82" x14ac:dyDescent="0.15">
      <c r="BR1582" s="34"/>
      <c r="BV1582" s="34"/>
      <c r="BZ1582" s="34"/>
      <c r="CD1582" s="34"/>
    </row>
    <row r="1583" spans="70:82" x14ac:dyDescent="0.15">
      <c r="BR1583" s="34"/>
      <c r="BV1583" s="34"/>
      <c r="BZ1583" s="34"/>
      <c r="CD1583" s="34"/>
    </row>
    <row r="1584" spans="70:82" x14ac:dyDescent="0.15">
      <c r="BR1584" s="34"/>
      <c r="BV1584" s="34"/>
      <c r="BZ1584" s="34"/>
      <c r="CD1584" s="34"/>
    </row>
    <row r="1585" spans="70:82" x14ac:dyDescent="0.15">
      <c r="BR1585" s="34"/>
      <c r="BV1585" s="34"/>
      <c r="BZ1585" s="34"/>
      <c r="CD1585" s="34"/>
    </row>
    <row r="1586" spans="70:82" x14ac:dyDescent="0.15">
      <c r="BR1586" s="34"/>
      <c r="BV1586" s="34"/>
      <c r="BZ1586" s="34"/>
      <c r="CD1586" s="34"/>
    </row>
    <row r="1587" spans="70:82" x14ac:dyDescent="0.15">
      <c r="BR1587" s="34"/>
      <c r="BV1587" s="34"/>
      <c r="BZ1587" s="34"/>
      <c r="CD1587" s="34"/>
    </row>
    <row r="1588" spans="70:82" x14ac:dyDescent="0.15">
      <c r="BR1588" s="34"/>
      <c r="BV1588" s="34"/>
      <c r="BZ1588" s="34"/>
      <c r="CD1588" s="34"/>
    </row>
    <row r="1589" spans="70:82" x14ac:dyDescent="0.15">
      <c r="BR1589" s="34"/>
      <c r="BV1589" s="34"/>
      <c r="BZ1589" s="34"/>
      <c r="CD1589" s="34"/>
    </row>
    <row r="1590" spans="70:82" x14ac:dyDescent="0.15">
      <c r="BR1590" s="34"/>
      <c r="BV1590" s="34"/>
      <c r="BZ1590" s="34"/>
      <c r="CD1590" s="34"/>
    </row>
    <row r="1591" spans="70:82" x14ac:dyDescent="0.15">
      <c r="BR1591" s="34"/>
      <c r="BV1591" s="34"/>
      <c r="BZ1591" s="34"/>
      <c r="CD1591" s="34"/>
    </row>
    <row r="1592" spans="70:82" x14ac:dyDescent="0.15">
      <c r="BR1592" s="34"/>
      <c r="BV1592" s="34"/>
      <c r="BZ1592" s="34"/>
      <c r="CD1592" s="34"/>
    </row>
    <row r="1593" spans="70:82" x14ac:dyDescent="0.15">
      <c r="BR1593" s="34"/>
      <c r="BV1593" s="34"/>
      <c r="BZ1593" s="34"/>
      <c r="CD1593" s="34"/>
    </row>
    <row r="1594" spans="70:82" x14ac:dyDescent="0.15">
      <c r="BR1594" s="34"/>
      <c r="BV1594" s="34"/>
      <c r="BZ1594" s="34"/>
      <c r="CD1594" s="34"/>
    </row>
    <row r="1595" spans="70:82" x14ac:dyDescent="0.15">
      <c r="BR1595" s="34"/>
      <c r="BV1595" s="34"/>
      <c r="BZ1595" s="34"/>
      <c r="CD1595" s="34"/>
    </row>
    <row r="1596" spans="70:82" x14ac:dyDescent="0.15">
      <c r="BR1596" s="34"/>
      <c r="BV1596" s="34"/>
      <c r="BZ1596" s="34"/>
      <c r="CD1596" s="34"/>
    </row>
    <row r="1597" spans="70:82" x14ac:dyDescent="0.15">
      <c r="BR1597" s="34"/>
      <c r="BV1597" s="34"/>
      <c r="BZ1597" s="34"/>
      <c r="CD1597" s="34"/>
    </row>
    <row r="1598" spans="70:82" x14ac:dyDescent="0.15">
      <c r="BR1598" s="34"/>
      <c r="BV1598" s="34"/>
      <c r="BZ1598" s="34"/>
      <c r="CD1598" s="34"/>
    </row>
    <row r="1599" spans="70:82" x14ac:dyDescent="0.15">
      <c r="BR1599" s="34"/>
      <c r="BV1599" s="34"/>
      <c r="BZ1599" s="34"/>
      <c r="CD1599" s="34"/>
    </row>
    <row r="1600" spans="70:82" x14ac:dyDescent="0.15">
      <c r="BR1600" s="34"/>
      <c r="BV1600" s="34"/>
      <c r="BZ1600" s="34"/>
      <c r="CD1600" s="34"/>
    </row>
    <row r="1601" spans="70:82" x14ac:dyDescent="0.15">
      <c r="BR1601" s="34"/>
      <c r="BV1601" s="34"/>
      <c r="BZ1601" s="34"/>
      <c r="CD1601" s="34"/>
    </row>
    <row r="1602" spans="70:82" x14ac:dyDescent="0.15">
      <c r="BR1602" s="34"/>
      <c r="BV1602" s="34"/>
      <c r="BZ1602" s="34"/>
      <c r="CD1602" s="34"/>
    </row>
    <row r="1603" spans="70:82" x14ac:dyDescent="0.15">
      <c r="BR1603" s="34"/>
      <c r="BV1603" s="34"/>
      <c r="BZ1603" s="34"/>
      <c r="CD1603" s="34"/>
    </row>
    <row r="1604" spans="70:82" x14ac:dyDescent="0.15">
      <c r="BR1604" s="34"/>
      <c r="BV1604" s="34"/>
      <c r="BZ1604" s="34"/>
      <c r="CD1604" s="34"/>
    </row>
    <row r="1605" spans="70:82" x14ac:dyDescent="0.15">
      <c r="BR1605" s="34"/>
      <c r="BV1605" s="34"/>
      <c r="BZ1605" s="34"/>
      <c r="CD1605" s="34"/>
    </row>
    <row r="1606" spans="70:82" x14ac:dyDescent="0.15">
      <c r="BR1606" s="34"/>
      <c r="BV1606" s="34"/>
      <c r="BZ1606" s="34"/>
      <c r="CD1606" s="34"/>
    </row>
    <row r="1607" spans="70:82" x14ac:dyDescent="0.15">
      <c r="BR1607" s="34"/>
      <c r="BV1607" s="34"/>
      <c r="BZ1607" s="34"/>
      <c r="CD1607" s="34"/>
    </row>
    <row r="1608" spans="70:82" x14ac:dyDescent="0.15">
      <c r="BR1608" s="34"/>
      <c r="BV1608" s="34"/>
      <c r="BZ1608" s="34"/>
      <c r="CD1608" s="34"/>
    </row>
    <row r="1609" spans="70:82" x14ac:dyDescent="0.15">
      <c r="BR1609" s="34"/>
      <c r="BV1609" s="34"/>
      <c r="BZ1609" s="34"/>
      <c r="CD1609" s="34"/>
    </row>
    <row r="1610" spans="70:82" x14ac:dyDescent="0.15">
      <c r="BR1610" s="34"/>
      <c r="BV1610" s="34"/>
      <c r="BZ1610" s="34"/>
      <c r="CD1610" s="34"/>
    </row>
    <row r="1611" spans="70:82" x14ac:dyDescent="0.15">
      <c r="BR1611" s="34"/>
      <c r="BV1611" s="34"/>
      <c r="BZ1611" s="34"/>
      <c r="CD1611" s="34"/>
    </row>
    <row r="1612" spans="70:82" x14ac:dyDescent="0.15">
      <c r="BR1612" s="34"/>
      <c r="BV1612" s="34"/>
      <c r="BZ1612" s="34"/>
      <c r="CD1612" s="34"/>
    </row>
    <row r="1613" spans="70:82" x14ac:dyDescent="0.15">
      <c r="BR1613" s="34"/>
      <c r="BV1613" s="34"/>
      <c r="BZ1613" s="34"/>
      <c r="CD1613" s="34"/>
    </row>
    <row r="1614" spans="70:82" x14ac:dyDescent="0.15">
      <c r="BR1614" s="34"/>
      <c r="BV1614" s="34"/>
      <c r="BZ1614" s="34"/>
      <c r="CD1614" s="34"/>
    </row>
    <row r="1615" spans="70:82" x14ac:dyDescent="0.15">
      <c r="BR1615" s="34"/>
      <c r="BV1615" s="34"/>
      <c r="BZ1615" s="34"/>
      <c r="CD1615" s="34"/>
    </row>
    <row r="1616" spans="70:82" x14ac:dyDescent="0.15">
      <c r="BR1616" s="34"/>
      <c r="BV1616" s="34"/>
      <c r="BZ1616" s="34"/>
      <c r="CD1616" s="34"/>
    </row>
    <row r="1617" spans="70:82" x14ac:dyDescent="0.15">
      <c r="BR1617" s="34"/>
      <c r="BV1617" s="34"/>
      <c r="BZ1617" s="34"/>
      <c r="CD1617" s="34"/>
    </row>
    <row r="1618" spans="70:82" x14ac:dyDescent="0.15">
      <c r="BR1618" s="34"/>
      <c r="BV1618" s="34"/>
      <c r="BZ1618" s="34"/>
      <c r="CD1618" s="34"/>
    </row>
    <row r="1619" spans="70:82" x14ac:dyDescent="0.15">
      <c r="BR1619" s="34"/>
      <c r="BV1619" s="34"/>
      <c r="BZ1619" s="34"/>
      <c r="CD1619" s="34"/>
    </row>
    <row r="1620" spans="70:82" x14ac:dyDescent="0.15">
      <c r="BR1620" s="34"/>
      <c r="BV1620" s="34"/>
      <c r="BZ1620" s="34"/>
      <c r="CD1620" s="34"/>
    </row>
    <row r="1621" spans="70:82" x14ac:dyDescent="0.15">
      <c r="BR1621" s="34"/>
      <c r="BV1621" s="34"/>
      <c r="BZ1621" s="34"/>
      <c r="CD1621" s="34"/>
    </row>
    <row r="1622" spans="70:82" x14ac:dyDescent="0.15">
      <c r="BR1622" s="34"/>
      <c r="BV1622" s="34"/>
      <c r="BZ1622" s="34"/>
      <c r="CD1622" s="34"/>
    </row>
    <row r="1623" spans="70:82" x14ac:dyDescent="0.15">
      <c r="BR1623" s="34"/>
      <c r="BV1623" s="34"/>
      <c r="BZ1623" s="34"/>
      <c r="CD1623" s="34"/>
    </row>
    <row r="1624" spans="70:82" x14ac:dyDescent="0.15">
      <c r="BR1624" s="34"/>
      <c r="BV1624" s="34"/>
      <c r="BZ1624" s="34"/>
      <c r="CD1624" s="34"/>
    </row>
    <row r="1625" spans="70:82" x14ac:dyDescent="0.15">
      <c r="BR1625" s="34"/>
      <c r="BV1625" s="34"/>
      <c r="BZ1625" s="34"/>
      <c r="CD1625" s="34"/>
    </row>
    <row r="1626" spans="70:82" x14ac:dyDescent="0.15">
      <c r="BR1626" s="34"/>
      <c r="BV1626" s="34"/>
      <c r="BZ1626" s="34"/>
      <c r="CD1626" s="34"/>
    </row>
    <row r="1627" spans="70:82" x14ac:dyDescent="0.15">
      <c r="BR1627" s="34"/>
      <c r="BV1627" s="34"/>
      <c r="BZ1627" s="34"/>
      <c r="CD1627" s="34"/>
    </row>
    <row r="1628" spans="70:82" x14ac:dyDescent="0.15">
      <c r="BR1628" s="34"/>
      <c r="BV1628" s="34"/>
      <c r="BZ1628" s="34"/>
      <c r="CD1628" s="34"/>
    </row>
    <row r="1629" spans="70:82" x14ac:dyDescent="0.15">
      <c r="BR1629" s="34"/>
      <c r="BV1629" s="34"/>
      <c r="BZ1629" s="34"/>
      <c r="CD1629" s="34"/>
    </row>
    <row r="1630" spans="70:82" x14ac:dyDescent="0.15">
      <c r="BR1630" s="34"/>
      <c r="BV1630" s="34"/>
      <c r="BZ1630" s="34"/>
      <c r="CD1630" s="34"/>
    </row>
    <row r="1631" spans="70:82" x14ac:dyDescent="0.15">
      <c r="BR1631" s="34"/>
      <c r="BV1631" s="34"/>
      <c r="BZ1631" s="34"/>
      <c r="CD1631" s="34"/>
    </row>
    <row r="1632" spans="70:82" x14ac:dyDescent="0.15">
      <c r="BR1632" s="34"/>
      <c r="BV1632" s="34"/>
      <c r="BZ1632" s="34"/>
      <c r="CD1632" s="34"/>
    </row>
    <row r="1633" spans="70:82" x14ac:dyDescent="0.15">
      <c r="BR1633" s="34"/>
      <c r="BV1633" s="34"/>
      <c r="BZ1633" s="34"/>
      <c r="CD1633" s="34"/>
    </row>
    <row r="1634" spans="70:82" x14ac:dyDescent="0.15">
      <c r="BR1634" s="34"/>
      <c r="BV1634" s="34"/>
      <c r="BZ1634" s="34"/>
      <c r="CD1634" s="34"/>
    </row>
    <row r="1635" spans="70:82" x14ac:dyDescent="0.15">
      <c r="BR1635" s="34"/>
      <c r="BV1635" s="34"/>
      <c r="BZ1635" s="34"/>
      <c r="CD1635" s="34"/>
    </row>
    <row r="1636" spans="70:82" x14ac:dyDescent="0.15">
      <c r="BR1636" s="34"/>
      <c r="BV1636" s="34"/>
      <c r="BZ1636" s="34"/>
      <c r="CD1636" s="34"/>
    </row>
    <row r="1637" spans="70:82" x14ac:dyDescent="0.15">
      <c r="BR1637" s="34"/>
      <c r="BV1637" s="34"/>
      <c r="BZ1637" s="34"/>
      <c r="CD1637" s="34"/>
    </row>
    <row r="1638" spans="70:82" x14ac:dyDescent="0.15">
      <c r="BR1638" s="34"/>
      <c r="BV1638" s="34"/>
      <c r="BZ1638" s="34"/>
      <c r="CD1638" s="34"/>
    </row>
    <row r="1639" spans="70:82" x14ac:dyDescent="0.15">
      <c r="BR1639" s="34"/>
      <c r="BV1639" s="34"/>
      <c r="BZ1639" s="34"/>
      <c r="CD1639" s="34"/>
    </row>
    <row r="1640" spans="70:82" x14ac:dyDescent="0.15">
      <c r="BR1640" s="34"/>
      <c r="BV1640" s="34"/>
      <c r="BZ1640" s="34"/>
      <c r="CD1640" s="34"/>
    </row>
    <row r="1641" spans="70:82" x14ac:dyDescent="0.15">
      <c r="BR1641" s="34"/>
      <c r="BV1641" s="34"/>
      <c r="BZ1641" s="34"/>
      <c r="CD1641" s="34"/>
    </row>
    <row r="1642" spans="70:82" x14ac:dyDescent="0.15">
      <c r="BR1642" s="34"/>
      <c r="BV1642" s="34"/>
      <c r="BZ1642" s="34"/>
      <c r="CD1642" s="34"/>
    </row>
    <row r="1643" spans="70:82" x14ac:dyDescent="0.15">
      <c r="BR1643" s="34"/>
      <c r="BV1643" s="34"/>
      <c r="BZ1643" s="34"/>
      <c r="CD1643" s="34"/>
    </row>
    <row r="1644" spans="70:82" x14ac:dyDescent="0.15">
      <c r="BR1644" s="34"/>
      <c r="BV1644" s="34"/>
      <c r="BZ1644" s="34"/>
      <c r="CD1644" s="34"/>
    </row>
    <row r="1645" spans="70:82" x14ac:dyDescent="0.15">
      <c r="BR1645" s="34"/>
      <c r="BV1645" s="34"/>
      <c r="BZ1645" s="34"/>
      <c r="CD1645" s="34"/>
    </row>
    <row r="1646" spans="70:82" x14ac:dyDescent="0.15">
      <c r="BR1646" s="34"/>
      <c r="BV1646" s="34"/>
      <c r="BZ1646" s="34"/>
      <c r="CD1646" s="34"/>
    </row>
    <row r="1647" spans="70:82" x14ac:dyDescent="0.15">
      <c r="BR1647" s="34"/>
      <c r="BV1647" s="34"/>
      <c r="BZ1647" s="34"/>
      <c r="CD1647" s="34"/>
    </row>
    <row r="1648" spans="70:82" x14ac:dyDescent="0.15">
      <c r="BR1648" s="34"/>
      <c r="BV1648" s="34"/>
      <c r="BZ1648" s="34"/>
      <c r="CD1648" s="34"/>
    </row>
    <row r="1649" spans="70:82" x14ac:dyDescent="0.15">
      <c r="BR1649" s="34"/>
      <c r="BV1649" s="34"/>
      <c r="BZ1649" s="34"/>
      <c r="CD1649" s="34"/>
    </row>
    <row r="1650" spans="70:82" x14ac:dyDescent="0.15">
      <c r="BR1650" s="34"/>
      <c r="BV1650" s="34"/>
      <c r="BZ1650" s="34"/>
      <c r="CD1650" s="34"/>
    </row>
    <row r="1651" spans="70:82" x14ac:dyDescent="0.15">
      <c r="BR1651" s="34"/>
      <c r="BV1651" s="34"/>
      <c r="BZ1651" s="34"/>
      <c r="CD1651" s="34"/>
    </row>
    <row r="1652" spans="70:82" x14ac:dyDescent="0.15">
      <c r="BR1652" s="34"/>
      <c r="BV1652" s="34"/>
      <c r="BZ1652" s="34"/>
      <c r="CD1652" s="34"/>
    </row>
    <row r="1653" spans="70:82" x14ac:dyDescent="0.15">
      <c r="BR1653" s="34"/>
      <c r="BV1653" s="34"/>
      <c r="BZ1653" s="34"/>
      <c r="CD1653" s="34"/>
    </row>
    <row r="1654" spans="70:82" x14ac:dyDescent="0.15">
      <c r="BR1654" s="34"/>
      <c r="BV1654" s="34"/>
      <c r="BZ1654" s="34"/>
      <c r="CD1654" s="34"/>
    </row>
    <row r="1655" spans="70:82" x14ac:dyDescent="0.15">
      <c r="BR1655" s="34"/>
      <c r="BV1655" s="34"/>
      <c r="BZ1655" s="34"/>
      <c r="CD1655" s="34"/>
    </row>
    <row r="1656" spans="70:82" x14ac:dyDescent="0.15">
      <c r="BR1656" s="34"/>
      <c r="BV1656" s="34"/>
      <c r="BZ1656" s="34"/>
      <c r="CD1656" s="34"/>
    </row>
    <row r="1657" spans="70:82" x14ac:dyDescent="0.15">
      <c r="BR1657" s="34"/>
      <c r="BV1657" s="34"/>
      <c r="BZ1657" s="34"/>
      <c r="CD1657" s="34"/>
    </row>
    <row r="1658" spans="70:82" x14ac:dyDescent="0.15">
      <c r="BR1658" s="34"/>
      <c r="BV1658" s="34"/>
      <c r="BZ1658" s="34"/>
      <c r="CD1658" s="34"/>
    </row>
    <row r="1659" spans="70:82" x14ac:dyDescent="0.15">
      <c r="BR1659" s="34"/>
      <c r="BV1659" s="34"/>
      <c r="BZ1659" s="34"/>
      <c r="CD1659" s="34"/>
    </row>
    <row r="1660" spans="70:82" x14ac:dyDescent="0.15">
      <c r="BR1660" s="34"/>
      <c r="BV1660" s="34"/>
      <c r="BZ1660" s="34"/>
      <c r="CD1660" s="34"/>
    </row>
    <row r="1661" spans="70:82" x14ac:dyDescent="0.15">
      <c r="BR1661" s="34"/>
      <c r="BV1661" s="34"/>
      <c r="BZ1661" s="34"/>
      <c r="CD1661" s="34"/>
    </row>
    <row r="1662" spans="70:82" x14ac:dyDescent="0.15">
      <c r="BR1662" s="34"/>
      <c r="BV1662" s="34"/>
      <c r="BZ1662" s="34"/>
      <c r="CD1662" s="34"/>
    </row>
    <row r="1663" spans="70:82" x14ac:dyDescent="0.15">
      <c r="BR1663" s="34"/>
      <c r="BV1663" s="34"/>
      <c r="BZ1663" s="34"/>
      <c r="CD1663" s="34"/>
    </row>
    <row r="1664" spans="70:82" x14ac:dyDescent="0.15">
      <c r="BR1664" s="34"/>
      <c r="BV1664" s="34"/>
      <c r="BZ1664" s="34"/>
      <c r="CD1664" s="34"/>
    </row>
    <row r="1665" spans="70:82" x14ac:dyDescent="0.15">
      <c r="BR1665" s="34"/>
      <c r="BV1665" s="34"/>
      <c r="BZ1665" s="34"/>
      <c r="CD1665" s="34"/>
    </row>
    <row r="1666" spans="70:82" x14ac:dyDescent="0.15">
      <c r="BR1666" s="34"/>
      <c r="BV1666" s="34"/>
      <c r="BZ1666" s="34"/>
      <c r="CD1666" s="34"/>
    </row>
    <row r="1667" spans="70:82" x14ac:dyDescent="0.15">
      <c r="BR1667" s="34"/>
      <c r="BV1667" s="34"/>
      <c r="BZ1667" s="34"/>
      <c r="CD1667" s="34"/>
    </row>
    <row r="1668" spans="70:82" x14ac:dyDescent="0.15">
      <c r="BR1668" s="34"/>
      <c r="BV1668" s="34"/>
      <c r="BZ1668" s="34"/>
      <c r="CD1668" s="34"/>
    </row>
    <row r="1669" spans="70:82" x14ac:dyDescent="0.15">
      <c r="BR1669" s="34"/>
      <c r="BV1669" s="34"/>
      <c r="BZ1669" s="34"/>
      <c r="CD1669" s="34"/>
    </row>
    <row r="1670" spans="70:82" x14ac:dyDescent="0.15">
      <c r="BR1670" s="34"/>
      <c r="BV1670" s="34"/>
      <c r="BZ1670" s="34"/>
      <c r="CD1670" s="34"/>
    </row>
    <row r="1671" spans="70:82" x14ac:dyDescent="0.15">
      <c r="BR1671" s="34"/>
      <c r="BV1671" s="34"/>
      <c r="BZ1671" s="34"/>
      <c r="CD1671" s="34"/>
    </row>
    <row r="1672" spans="70:82" x14ac:dyDescent="0.15">
      <c r="BR1672" s="34"/>
      <c r="BV1672" s="34"/>
      <c r="BZ1672" s="34"/>
      <c r="CD1672" s="34"/>
    </row>
    <row r="1673" spans="70:82" x14ac:dyDescent="0.15">
      <c r="BR1673" s="34"/>
      <c r="BV1673" s="34"/>
      <c r="BZ1673" s="34"/>
      <c r="CD1673" s="34"/>
    </row>
    <row r="1674" spans="70:82" x14ac:dyDescent="0.15">
      <c r="BR1674" s="34"/>
      <c r="BV1674" s="34"/>
      <c r="BZ1674" s="34"/>
      <c r="CD1674" s="34"/>
    </row>
    <row r="1675" spans="70:82" x14ac:dyDescent="0.15">
      <c r="BR1675" s="34"/>
      <c r="BV1675" s="34"/>
      <c r="BZ1675" s="34"/>
      <c r="CD1675" s="34"/>
    </row>
    <row r="1676" spans="70:82" x14ac:dyDescent="0.15">
      <c r="BR1676" s="34"/>
      <c r="BV1676" s="34"/>
      <c r="BZ1676" s="34"/>
      <c r="CD1676" s="34"/>
    </row>
    <row r="1677" spans="70:82" x14ac:dyDescent="0.15">
      <c r="BR1677" s="34"/>
      <c r="BV1677" s="34"/>
      <c r="BZ1677" s="34"/>
      <c r="CD1677" s="34"/>
    </row>
    <row r="1678" spans="70:82" x14ac:dyDescent="0.15">
      <c r="BR1678" s="34"/>
      <c r="BV1678" s="34"/>
      <c r="BZ1678" s="34"/>
      <c r="CD1678" s="34"/>
    </row>
    <row r="1679" spans="70:82" x14ac:dyDescent="0.15">
      <c r="BR1679" s="34"/>
      <c r="BV1679" s="34"/>
      <c r="BZ1679" s="34"/>
      <c r="CD1679" s="34"/>
    </row>
    <row r="1680" spans="70:82" x14ac:dyDescent="0.15">
      <c r="BR1680" s="34"/>
      <c r="BV1680" s="34"/>
      <c r="BZ1680" s="34"/>
      <c r="CD1680" s="34"/>
    </row>
    <row r="1681" spans="70:82" x14ac:dyDescent="0.15">
      <c r="BR1681" s="34"/>
      <c r="BV1681" s="34"/>
      <c r="BZ1681" s="34"/>
      <c r="CD1681" s="34"/>
    </row>
    <row r="1682" spans="70:82" x14ac:dyDescent="0.15">
      <c r="BR1682" s="34"/>
      <c r="BV1682" s="34"/>
      <c r="BZ1682" s="34"/>
      <c r="CD1682" s="34"/>
    </row>
    <row r="1683" spans="70:82" x14ac:dyDescent="0.15">
      <c r="BR1683" s="34"/>
      <c r="BV1683" s="34"/>
      <c r="BZ1683" s="34"/>
      <c r="CD1683" s="34"/>
    </row>
    <row r="1684" spans="70:82" x14ac:dyDescent="0.15">
      <c r="BR1684" s="34"/>
      <c r="BV1684" s="34"/>
      <c r="BZ1684" s="34"/>
      <c r="CD1684" s="34"/>
    </row>
    <row r="1685" spans="70:82" x14ac:dyDescent="0.15">
      <c r="BR1685" s="34"/>
      <c r="BV1685" s="34"/>
      <c r="BZ1685" s="34"/>
      <c r="CD1685" s="34"/>
    </row>
    <row r="1686" spans="70:82" x14ac:dyDescent="0.15">
      <c r="BR1686" s="34"/>
      <c r="BV1686" s="34"/>
      <c r="BZ1686" s="34"/>
      <c r="CD1686" s="34"/>
    </row>
    <row r="1687" spans="70:82" x14ac:dyDescent="0.15">
      <c r="BR1687" s="34"/>
      <c r="BV1687" s="34"/>
      <c r="BZ1687" s="34"/>
      <c r="CD1687" s="34"/>
    </row>
    <row r="1688" spans="70:82" x14ac:dyDescent="0.15">
      <c r="BR1688" s="34"/>
      <c r="BV1688" s="34"/>
      <c r="BZ1688" s="34"/>
      <c r="CD1688" s="34"/>
    </row>
    <row r="1689" spans="70:82" x14ac:dyDescent="0.15">
      <c r="BR1689" s="34"/>
      <c r="BV1689" s="34"/>
      <c r="BZ1689" s="34"/>
      <c r="CD1689" s="34"/>
    </row>
    <row r="1690" spans="70:82" x14ac:dyDescent="0.15">
      <c r="BR1690" s="34"/>
      <c r="BV1690" s="34"/>
      <c r="BZ1690" s="34"/>
      <c r="CD1690" s="34"/>
    </row>
    <row r="1691" spans="70:82" x14ac:dyDescent="0.15">
      <c r="BR1691" s="34"/>
      <c r="BV1691" s="34"/>
      <c r="BZ1691" s="34"/>
      <c r="CD1691" s="34"/>
    </row>
    <row r="1692" spans="70:82" x14ac:dyDescent="0.15">
      <c r="BR1692" s="34"/>
      <c r="BV1692" s="34"/>
      <c r="BZ1692" s="34"/>
      <c r="CD1692" s="34"/>
    </row>
    <row r="1693" spans="70:82" x14ac:dyDescent="0.15">
      <c r="BR1693" s="34"/>
      <c r="BV1693" s="34"/>
      <c r="BZ1693" s="34"/>
      <c r="CD1693" s="34"/>
    </row>
    <row r="1694" spans="70:82" x14ac:dyDescent="0.15">
      <c r="BR1694" s="34"/>
      <c r="BV1694" s="34"/>
      <c r="BZ1694" s="34"/>
      <c r="CD1694" s="34"/>
    </row>
    <row r="1695" spans="70:82" x14ac:dyDescent="0.15">
      <c r="BR1695" s="34"/>
      <c r="BV1695" s="34"/>
      <c r="BZ1695" s="34"/>
      <c r="CD1695" s="34"/>
    </row>
    <row r="1696" spans="70:82" x14ac:dyDescent="0.15">
      <c r="BR1696" s="34"/>
      <c r="BV1696" s="34"/>
      <c r="BZ1696" s="34"/>
      <c r="CD1696" s="34"/>
    </row>
    <row r="1697" spans="70:82" x14ac:dyDescent="0.15">
      <c r="BR1697" s="34"/>
      <c r="BV1697" s="34"/>
      <c r="BZ1697" s="34"/>
      <c r="CD1697" s="34"/>
    </row>
    <row r="1698" spans="70:82" x14ac:dyDescent="0.15">
      <c r="BR1698" s="34"/>
      <c r="BV1698" s="34"/>
      <c r="BZ1698" s="34"/>
      <c r="CD1698" s="34"/>
    </row>
    <row r="1699" spans="70:82" x14ac:dyDescent="0.15">
      <c r="BR1699" s="34"/>
      <c r="BV1699" s="34"/>
      <c r="BZ1699" s="34"/>
      <c r="CD1699" s="34"/>
    </row>
    <row r="1700" spans="70:82" x14ac:dyDescent="0.15">
      <c r="BR1700" s="34"/>
      <c r="BV1700" s="34"/>
      <c r="BZ1700" s="34"/>
      <c r="CD1700" s="34"/>
    </row>
    <row r="1701" spans="70:82" x14ac:dyDescent="0.15">
      <c r="BR1701" s="34"/>
      <c r="BV1701" s="34"/>
      <c r="BZ1701" s="34"/>
      <c r="CD1701" s="34"/>
    </row>
    <row r="1702" spans="70:82" x14ac:dyDescent="0.15">
      <c r="BR1702" s="34"/>
      <c r="BV1702" s="34"/>
      <c r="BZ1702" s="34"/>
      <c r="CD1702" s="34"/>
    </row>
    <row r="1703" spans="70:82" x14ac:dyDescent="0.15">
      <c r="BR1703" s="34"/>
      <c r="BV1703" s="34"/>
      <c r="BZ1703" s="34"/>
      <c r="CD1703" s="34"/>
    </row>
    <row r="1704" spans="70:82" x14ac:dyDescent="0.15">
      <c r="BR1704" s="34"/>
      <c r="BV1704" s="34"/>
      <c r="BZ1704" s="34"/>
      <c r="CD1704" s="34"/>
    </row>
    <row r="1705" spans="70:82" x14ac:dyDescent="0.15">
      <c r="BR1705" s="34"/>
      <c r="BV1705" s="34"/>
      <c r="BZ1705" s="34"/>
      <c r="CD1705" s="34"/>
    </row>
    <row r="1706" spans="70:82" x14ac:dyDescent="0.15">
      <c r="BR1706" s="34"/>
      <c r="BV1706" s="34"/>
      <c r="BZ1706" s="34"/>
      <c r="CD1706" s="34"/>
    </row>
    <row r="1707" spans="70:82" x14ac:dyDescent="0.15">
      <c r="BR1707" s="34"/>
      <c r="BV1707" s="34"/>
      <c r="BZ1707" s="34"/>
      <c r="CD1707" s="34"/>
    </row>
    <row r="1708" spans="70:82" x14ac:dyDescent="0.15">
      <c r="BR1708" s="34"/>
      <c r="BV1708" s="34"/>
      <c r="BZ1708" s="34"/>
      <c r="CD1708" s="34"/>
    </row>
    <row r="1709" spans="70:82" x14ac:dyDescent="0.15">
      <c r="BR1709" s="34"/>
      <c r="BV1709" s="34"/>
      <c r="BZ1709" s="34"/>
      <c r="CD1709" s="34"/>
    </row>
    <row r="1710" spans="70:82" x14ac:dyDescent="0.15">
      <c r="BR1710" s="34"/>
      <c r="BV1710" s="34"/>
      <c r="BZ1710" s="34"/>
      <c r="CD1710" s="34"/>
    </row>
    <row r="1711" spans="70:82" x14ac:dyDescent="0.15">
      <c r="BR1711" s="34"/>
      <c r="BV1711" s="34"/>
      <c r="BZ1711" s="34"/>
      <c r="CD1711" s="34"/>
    </row>
    <row r="1712" spans="70:82" x14ac:dyDescent="0.15">
      <c r="BR1712" s="34"/>
      <c r="BV1712" s="34"/>
      <c r="BZ1712" s="34"/>
      <c r="CD1712" s="34"/>
    </row>
    <row r="1713" spans="70:82" x14ac:dyDescent="0.15">
      <c r="BR1713" s="34"/>
      <c r="BV1713" s="34"/>
      <c r="BZ1713" s="34"/>
      <c r="CD1713" s="34"/>
    </row>
    <row r="1714" spans="70:82" x14ac:dyDescent="0.15">
      <c r="BR1714" s="34"/>
      <c r="BV1714" s="34"/>
      <c r="BZ1714" s="34"/>
      <c r="CD1714" s="34"/>
    </row>
    <row r="1715" spans="70:82" x14ac:dyDescent="0.15">
      <c r="BR1715" s="34"/>
      <c r="BV1715" s="34"/>
      <c r="BZ1715" s="34"/>
      <c r="CD1715" s="34"/>
    </row>
    <row r="1716" spans="70:82" x14ac:dyDescent="0.15">
      <c r="BR1716" s="34"/>
      <c r="BV1716" s="34"/>
      <c r="BZ1716" s="34"/>
      <c r="CD1716" s="34"/>
    </row>
    <row r="1717" spans="70:82" x14ac:dyDescent="0.15">
      <c r="BR1717" s="34"/>
      <c r="BV1717" s="34"/>
      <c r="BZ1717" s="34"/>
      <c r="CD1717" s="34"/>
    </row>
    <row r="1718" spans="70:82" x14ac:dyDescent="0.15">
      <c r="BR1718" s="34"/>
      <c r="BV1718" s="34"/>
      <c r="BZ1718" s="34"/>
      <c r="CD1718" s="34"/>
    </row>
    <row r="1719" spans="70:82" x14ac:dyDescent="0.15">
      <c r="BR1719" s="34"/>
      <c r="BV1719" s="34"/>
      <c r="BZ1719" s="34"/>
      <c r="CD1719" s="34"/>
    </row>
    <row r="1720" spans="70:82" x14ac:dyDescent="0.15">
      <c r="BR1720" s="34"/>
      <c r="BV1720" s="34"/>
      <c r="BZ1720" s="34"/>
      <c r="CD1720" s="34"/>
    </row>
    <row r="1721" spans="70:82" x14ac:dyDescent="0.15">
      <c r="BR1721" s="34"/>
      <c r="BV1721" s="34"/>
      <c r="BZ1721" s="34"/>
      <c r="CD1721" s="34"/>
    </row>
    <row r="1722" spans="70:82" x14ac:dyDescent="0.15">
      <c r="BR1722" s="34"/>
      <c r="BV1722" s="34"/>
      <c r="BZ1722" s="34"/>
      <c r="CD1722" s="34"/>
    </row>
    <row r="1723" spans="70:82" x14ac:dyDescent="0.15">
      <c r="BR1723" s="34"/>
      <c r="BV1723" s="34"/>
      <c r="BZ1723" s="34"/>
      <c r="CD1723" s="34"/>
    </row>
    <row r="1724" spans="70:82" x14ac:dyDescent="0.15">
      <c r="BR1724" s="34"/>
      <c r="BV1724" s="34"/>
      <c r="BZ1724" s="34"/>
      <c r="CD1724" s="34"/>
    </row>
    <row r="1725" spans="70:82" x14ac:dyDescent="0.15">
      <c r="BR1725" s="34"/>
      <c r="BV1725" s="34"/>
      <c r="BZ1725" s="34"/>
      <c r="CD1725" s="34"/>
    </row>
    <row r="1726" spans="70:82" x14ac:dyDescent="0.15">
      <c r="BR1726" s="34"/>
      <c r="BV1726" s="34"/>
      <c r="BZ1726" s="34"/>
      <c r="CD1726" s="34"/>
    </row>
    <row r="1727" spans="70:82" x14ac:dyDescent="0.15">
      <c r="BR1727" s="34"/>
      <c r="BV1727" s="34"/>
      <c r="BZ1727" s="34"/>
      <c r="CD1727" s="34"/>
    </row>
    <row r="1728" spans="70:82" x14ac:dyDescent="0.15">
      <c r="BR1728" s="34"/>
      <c r="BV1728" s="34"/>
      <c r="BZ1728" s="34"/>
      <c r="CD1728" s="34"/>
    </row>
    <row r="1729" spans="70:82" x14ac:dyDescent="0.15">
      <c r="BR1729" s="34"/>
      <c r="BV1729" s="34"/>
      <c r="BZ1729" s="34"/>
      <c r="CD1729" s="34"/>
    </row>
    <row r="1730" spans="70:82" x14ac:dyDescent="0.15">
      <c r="BR1730" s="34"/>
      <c r="BV1730" s="34"/>
      <c r="BZ1730" s="34"/>
      <c r="CD1730" s="34"/>
    </row>
    <row r="1731" spans="70:82" x14ac:dyDescent="0.15">
      <c r="BR1731" s="34"/>
      <c r="BV1731" s="34"/>
      <c r="BZ1731" s="34"/>
      <c r="CD1731" s="34"/>
    </row>
    <row r="1732" spans="70:82" x14ac:dyDescent="0.15">
      <c r="BR1732" s="34"/>
      <c r="BV1732" s="34"/>
      <c r="BZ1732" s="34"/>
      <c r="CD1732" s="34"/>
    </row>
    <row r="1733" spans="70:82" x14ac:dyDescent="0.15">
      <c r="BR1733" s="34"/>
      <c r="BV1733" s="34"/>
      <c r="BZ1733" s="34"/>
      <c r="CD1733" s="34"/>
    </row>
    <row r="1734" spans="70:82" x14ac:dyDescent="0.15">
      <c r="BR1734" s="34"/>
      <c r="BV1734" s="34"/>
      <c r="BZ1734" s="34"/>
      <c r="CD1734" s="34"/>
    </row>
    <row r="1735" spans="70:82" x14ac:dyDescent="0.15">
      <c r="BR1735" s="34"/>
      <c r="BV1735" s="34"/>
      <c r="BZ1735" s="34"/>
      <c r="CD1735" s="34"/>
    </row>
    <row r="1736" spans="70:82" x14ac:dyDescent="0.15">
      <c r="BR1736" s="34"/>
      <c r="BV1736" s="34"/>
      <c r="BZ1736" s="34"/>
      <c r="CD1736" s="34"/>
    </row>
    <row r="1737" spans="70:82" x14ac:dyDescent="0.15">
      <c r="BR1737" s="34"/>
      <c r="BV1737" s="34"/>
      <c r="BZ1737" s="34"/>
      <c r="CD1737" s="34"/>
    </row>
    <row r="1738" spans="70:82" x14ac:dyDescent="0.15">
      <c r="BR1738" s="34"/>
      <c r="BV1738" s="34"/>
      <c r="BZ1738" s="34"/>
      <c r="CD1738" s="34"/>
    </row>
    <row r="1739" spans="70:82" x14ac:dyDescent="0.15">
      <c r="BR1739" s="34"/>
      <c r="BV1739" s="34"/>
      <c r="BZ1739" s="34"/>
      <c r="CD1739" s="34"/>
    </row>
    <row r="1740" spans="70:82" x14ac:dyDescent="0.15">
      <c r="BR1740" s="34"/>
      <c r="BV1740" s="34"/>
      <c r="BZ1740" s="34"/>
      <c r="CD1740" s="34"/>
    </row>
    <row r="1741" spans="70:82" x14ac:dyDescent="0.15">
      <c r="BR1741" s="34"/>
      <c r="BV1741" s="34"/>
      <c r="BZ1741" s="34"/>
      <c r="CD1741" s="34"/>
    </row>
    <row r="1742" spans="70:82" x14ac:dyDescent="0.15">
      <c r="BR1742" s="34"/>
      <c r="BV1742" s="34"/>
      <c r="BZ1742" s="34"/>
      <c r="CD1742" s="34"/>
    </row>
    <row r="1743" spans="70:82" x14ac:dyDescent="0.15">
      <c r="BR1743" s="34"/>
      <c r="BV1743" s="34"/>
      <c r="BZ1743" s="34"/>
      <c r="CD1743" s="34"/>
    </row>
    <row r="1744" spans="70:82" x14ac:dyDescent="0.15">
      <c r="BR1744" s="34"/>
      <c r="BV1744" s="34"/>
      <c r="BZ1744" s="34"/>
      <c r="CD1744" s="34"/>
    </row>
    <row r="1745" spans="70:82" x14ac:dyDescent="0.15">
      <c r="BR1745" s="34"/>
      <c r="BV1745" s="34"/>
      <c r="BZ1745" s="34"/>
      <c r="CD1745" s="34"/>
    </row>
    <row r="1746" spans="70:82" x14ac:dyDescent="0.15">
      <c r="BR1746" s="34"/>
      <c r="BV1746" s="34"/>
      <c r="BZ1746" s="34"/>
      <c r="CD1746" s="34"/>
    </row>
    <row r="1747" spans="70:82" x14ac:dyDescent="0.15">
      <c r="BR1747" s="34"/>
      <c r="BV1747" s="34"/>
      <c r="BZ1747" s="34"/>
      <c r="CD1747" s="34"/>
    </row>
    <row r="1748" spans="70:82" x14ac:dyDescent="0.15">
      <c r="BR1748" s="34"/>
      <c r="BV1748" s="34"/>
      <c r="BZ1748" s="34"/>
      <c r="CD1748" s="34"/>
    </row>
    <row r="1749" spans="70:82" x14ac:dyDescent="0.15">
      <c r="BR1749" s="34"/>
      <c r="BV1749" s="34"/>
      <c r="BZ1749" s="34"/>
      <c r="CD1749" s="34"/>
    </row>
    <row r="1750" spans="70:82" x14ac:dyDescent="0.15">
      <c r="BR1750" s="34"/>
      <c r="BV1750" s="34"/>
      <c r="BZ1750" s="34"/>
      <c r="CD1750" s="34"/>
    </row>
    <row r="1751" spans="70:82" x14ac:dyDescent="0.15">
      <c r="BR1751" s="34"/>
      <c r="BV1751" s="34"/>
      <c r="BZ1751" s="34"/>
      <c r="CD1751" s="34"/>
    </row>
    <row r="1752" spans="70:82" x14ac:dyDescent="0.15">
      <c r="BR1752" s="34"/>
      <c r="BV1752" s="34"/>
      <c r="BZ1752" s="34"/>
      <c r="CD1752" s="34"/>
    </row>
    <row r="1753" spans="70:82" x14ac:dyDescent="0.15">
      <c r="BR1753" s="34"/>
      <c r="BV1753" s="34"/>
      <c r="BZ1753" s="34"/>
      <c r="CD1753" s="34"/>
    </row>
    <row r="1754" spans="70:82" x14ac:dyDescent="0.15">
      <c r="BR1754" s="34"/>
      <c r="BV1754" s="34"/>
      <c r="BZ1754" s="34"/>
      <c r="CD1754" s="34"/>
    </row>
    <row r="1755" spans="70:82" x14ac:dyDescent="0.15">
      <c r="BR1755" s="34"/>
      <c r="BV1755" s="34"/>
      <c r="BZ1755" s="34"/>
      <c r="CD1755" s="34"/>
    </row>
    <row r="1756" spans="70:82" x14ac:dyDescent="0.15">
      <c r="BR1756" s="34"/>
      <c r="BV1756" s="34"/>
      <c r="BZ1756" s="34"/>
      <c r="CD1756" s="34"/>
    </row>
    <row r="1757" spans="70:82" x14ac:dyDescent="0.15">
      <c r="BR1757" s="34"/>
      <c r="BV1757" s="34"/>
      <c r="BZ1757" s="34"/>
      <c r="CD1757" s="34"/>
    </row>
    <row r="1758" spans="70:82" x14ac:dyDescent="0.15">
      <c r="BR1758" s="34"/>
      <c r="BV1758" s="34"/>
      <c r="BZ1758" s="34"/>
      <c r="CD1758" s="34"/>
    </row>
    <row r="1759" spans="70:82" x14ac:dyDescent="0.15">
      <c r="BR1759" s="34"/>
      <c r="BV1759" s="34"/>
      <c r="BZ1759" s="34"/>
      <c r="CD1759" s="34"/>
    </row>
    <row r="1760" spans="70:82" x14ac:dyDescent="0.15">
      <c r="BR1760" s="34"/>
      <c r="BV1760" s="34"/>
      <c r="BZ1760" s="34"/>
      <c r="CD1760" s="34"/>
    </row>
    <row r="1761" spans="70:82" x14ac:dyDescent="0.15">
      <c r="BR1761" s="34"/>
      <c r="BV1761" s="34"/>
      <c r="BZ1761" s="34"/>
      <c r="CD1761" s="34"/>
    </row>
    <row r="1762" spans="70:82" x14ac:dyDescent="0.15">
      <c r="BR1762" s="34"/>
      <c r="BV1762" s="34"/>
      <c r="BZ1762" s="34"/>
      <c r="CD1762" s="34"/>
    </row>
    <row r="1763" spans="70:82" x14ac:dyDescent="0.15">
      <c r="BR1763" s="34"/>
      <c r="BV1763" s="34"/>
      <c r="BZ1763" s="34"/>
      <c r="CD1763" s="34"/>
    </row>
    <row r="1764" spans="70:82" x14ac:dyDescent="0.15">
      <c r="BR1764" s="34"/>
      <c r="BV1764" s="34"/>
      <c r="BZ1764" s="34"/>
      <c r="CD1764" s="34"/>
    </row>
    <row r="1765" spans="70:82" x14ac:dyDescent="0.15">
      <c r="BR1765" s="34"/>
      <c r="BV1765" s="34"/>
      <c r="BZ1765" s="34"/>
      <c r="CD1765" s="34"/>
    </row>
    <row r="1766" spans="70:82" x14ac:dyDescent="0.15">
      <c r="BR1766" s="34"/>
      <c r="BV1766" s="34"/>
      <c r="BZ1766" s="34"/>
      <c r="CD1766" s="34"/>
    </row>
    <row r="1767" spans="70:82" x14ac:dyDescent="0.15">
      <c r="BR1767" s="34"/>
      <c r="BV1767" s="34"/>
      <c r="BZ1767" s="34"/>
      <c r="CD1767" s="34"/>
    </row>
    <row r="1768" spans="70:82" x14ac:dyDescent="0.15">
      <c r="BR1768" s="34"/>
      <c r="BV1768" s="34"/>
      <c r="BZ1768" s="34"/>
      <c r="CD1768" s="34"/>
    </row>
    <row r="1769" spans="70:82" x14ac:dyDescent="0.15">
      <c r="BR1769" s="34"/>
      <c r="BV1769" s="34"/>
      <c r="BZ1769" s="34"/>
      <c r="CD1769" s="34"/>
    </row>
    <row r="1770" spans="70:82" x14ac:dyDescent="0.15">
      <c r="BR1770" s="34"/>
      <c r="BV1770" s="34"/>
      <c r="BZ1770" s="34"/>
      <c r="CD1770" s="34"/>
    </row>
    <row r="1771" spans="70:82" x14ac:dyDescent="0.15">
      <c r="BR1771" s="34"/>
      <c r="BV1771" s="34"/>
      <c r="BZ1771" s="34"/>
      <c r="CD1771" s="34"/>
    </row>
    <row r="1772" spans="70:82" x14ac:dyDescent="0.15">
      <c r="BR1772" s="34"/>
      <c r="BV1772" s="34"/>
      <c r="BZ1772" s="34"/>
      <c r="CD1772" s="34"/>
    </row>
    <row r="1773" spans="70:82" x14ac:dyDescent="0.15">
      <c r="BR1773" s="34"/>
      <c r="BV1773" s="34"/>
      <c r="BZ1773" s="34"/>
      <c r="CD1773" s="34"/>
    </row>
    <row r="1774" spans="70:82" x14ac:dyDescent="0.15">
      <c r="BR1774" s="34"/>
      <c r="BV1774" s="34"/>
      <c r="BZ1774" s="34"/>
      <c r="CD1774" s="34"/>
    </row>
    <row r="1775" spans="70:82" x14ac:dyDescent="0.15">
      <c r="BR1775" s="34"/>
      <c r="BV1775" s="34"/>
      <c r="BZ1775" s="34"/>
      <c r="CD1775" s="34"/>
    </row>
    <row r="1776" spans="70:82" x14ac:dyDescent="0.15">
      <c r="BR1776" s="34"/>
      <c r="BV1776" s="34"/>
      <c r="BZ1776" s="34"/>
      <c r="CD1776" s="34"/>
    </row>
    <row r="1777" spans="70:82" x14ac:dyDescent="0.15">
      <c r="BR1777" s="34"/>
      <c r="BV1777" s="34"/>
      <c r="BZ1777" s="34"/>
      <c r="CD1777" s="34"/>
    </row>
    <row r="1778" spans="70:82" x14ac:dyDescent="0.15">
      <c r="BR1778" s="34"/>
      <c r="BV1778" s="34"/>
      <c r="BZ1778" s="34"/>
      <c r="CD1778" s="34"/>
    </row>
    <row r="1779" spans="70:82" x14ac:dyDescent="0.15">
      <c r="BR1779" s="34"/>
      <c r="BV1779" s="34"/>
      <c r="BZ1779" s="34"/>
      <c r="CD1779" s="34"/>
    </row>
    <row r="1780" spans="70:82" x14ac:dyDescent="0.15">
      <c r="BR1780" s="34"/>
      <c r="BV1780" s="34"/>
      <c r="BZ1780" s="34"/>
      <c r="CD1780" s="34"/>
    </row>
    <row r="1781" spans="70:82" x14ac:dyDescent="0.15">
      <c r="BR1781" s="34"/>
      <c r="BV1781" s="34"/>
      <c r="BZ1781" s="34"/>
      <c r="CD1781" s="34"/>
    </row>
    <row r="1782" spans="70:82" x14ac:dyDescent="0.15">
      <c r="BR1782" s="34"/>
      <c r="BV1782" s="34"/>
      <c r="BZ1782" s="34"/>
      <c r="CD1782" s="34"/>
    </row>
    <row r="1783" spans="70:82" x14ac:dyDescent="0.15">
      <c r="BR1783" s="34"/>
      <c r="BV1783" s="34"/>
      <c r="BZ1783" s="34"/>
      <c r="CD1783" s="34"/>
    </row>
    <row r="1784" spans="70:82" x14ac:dyDescent="0.15">
      <c r="BR1784" s="34"/>
      <c r="BV1784" s="34"/>
      <c r="BZ1784" s="34"/>
      <c r="CD1784" s="34"/>
    </row>
    <row r="1785" spans="70:82" x14ac:dyDescent="0.15">
      <c r="BR1785" s="34"/>
      <c r="BV1785" s="34"/>
      <c r="BZ1785" s="34"/>
      <c r="CD1785" s="34"/>
    </row>
    <row r="1786" spans="70:82" x14ac:dyDescent="0.15">
      <c r="BR1786" s="34"/>
      <c r="BV1786" s="34"/>
      <c r="BZ1786" s="34"/>
      <c r="CD1786" s="34"/>
    </row>
    <row r="1787" spans="70:82" x14ac:dyDescent="0.15">
      <c r="BR1787" s="34"/>
      <c r="BV1787" s="34"/>
      <c r="BZ1787" s="34"/>
      <c r="CD1787" s="34"/>
    </row>
    <row r="1788" spans="70:82" x14ac:dyDescent="0.15">
      <c r="BR1788" s="34"/>
      <c r="BV1788" s="34"/>
      <c r="BZ1788" s="34"/>
      <c r="CD1788" s="34"/>
    </row>
    <row r="1789" spans="70:82" x14ac:dyDescent="0.15">
      <c r="BR1789" s="34"/>
      <c r="BV1789" s="34"/>
      <c r="BZ1789" s="34"/>
      <c r="CD1789" s="34"/>
    </row>
    <row r="1790" spans="70:82" x14ac:dyDescent="0.15">
      <c r="BR1790" s="34"/>
      <c r="BV1790" s="34"/>
      <c r="BZ1790" s="34"/>
      <c r="CD1790" s="34"/>
    </row>
    <row r="1791" spans="70:82" x14ac:dyDescent="0.15">
      <c r="BR1791" s="34"/>
      <c r="BV1791" s="34"/>
      <c r="BZ1791" s="34"/>
      <c r="CD1791" s="34"/>
    </row>
    <row r="1792" spans="70:82" x14ac:dyDescent="0.15">
      <c r="BR1792" s="34"/>
      <c r="BV1792" s="34"/>
      <c r="BZ1792" s="34"/>
      <c r="CD1792" s="34"/>
    </row>
    <row r="1793" spans="70:82" x14ac:dyDescent="0.15">
      <c r="BR1793" s="34"/>
      <c r="BV1793" s="34"/>
      <c r="BZ1793" s="34"/>
      <c r="CD1793" s="34"/>
    </row>
    <row r="1794" spans="70:82" x14ac:dyDescent="0.15">
      <c r="BR1794" s="34"/>
      <c r="BV1794" s="34"/>
      <c r="BZ1794" s="34"/>
      <c r="CD1794" s="34"/>
    </row>
    <row r="1795" spans="70:82" x14ac:dyDescent="0.15">
      <c r="BR1795" s="34"/>
      <c r="BV1795" s="34"/>
      <c r="BZ1795" s="34"/>
      <c r="CD1795" s="34"/>
    </row>
    <row r="1796" spans="70:82" x14ac:dyDescent="0.15">
      <c r="BR1796" s="34"/>
      <c r="BV1796" s="34"/>
      <c r="BZ1796" s="34"/>
      <c r="CD1796" s="34"/>
    </row>
    <row r="1797" spans="70:82" x14ac:dyDescent="0.15">
      <c r="BR1797" s="34"/>
      <c r="BV1797" s="34"/>
      <c r="BZ1797" s="34"/>
      <c r="CD1797" s="34"/>
    </row>
    <row r="1798" spans="70:82" x14ac:dyDescent="0.15">
      <c r="BR1798" s="34"/>
      <c r="BV1798" s="34"/>
      <c r="BZ1798" s="34"/>
      <c r="CD1798" s="34"/>
    </row>
    <row r="1799" spans="70:82" x14ac:dyDescent="0.15">
      <c r="BR1799" s="34"/>
      <c r="BV1799" s="34"/>
      <c r="BZ1799" s="34"/>
      <c r="CD1799" s="34"/>
    </row>
    <row r="1800" spans="70:82" x14ac:dyDescent="0.15">
      <c r="BR1800" s="34"/>
      <c r="BV1800" s="34"/>
      <c r="BZ1800" s="34"/>
      <c r="CD1800" s="34"/>
    </row>
    <row r="1801" spans="70:82" x14ac:dyDescent="0.15">
      <c r="BR1801" s="34"/>
      <c r="BV1801" s="34"/>
      <c r="BZ1801" s="34"/>
      <c r="CD1801" s="34"/>
    </row>
    <row r="1802" spans="70:82" x14ac:dyDescent="0.15">
      <c r="BR1802" s="34"/>
      <c r="BV1802" s="34"/>
      <c r="BZ1802" s="34"/>
      <c r="CD1802" s="34"/>
    </row>
    <row r="1803" spans="70:82" x14ac:dyDescent="0.15">
      <c r="BR1803" s="34"/>
      <c r="BV1803" s="34"/>
      <c r="BZ1803" s="34"/>
      <c r="CD1803" s="34"/>
    </row>
    <row r="1804" spans="70:82" x14ac:dyDescent="0.15">
      <c r="BR1804" s="34"/>
      <c r="BV1804" s="34"/>
      <c r="BZ1804" s="34"/>
      <c r="CD1804" s="34"/>
    </row>
    <row r="1805" spans="70:82" x14ac:dyDescent="0.15">
      <c r="BR1805" s="34"/>
      <c r="BV1805" s="34"/>
      <c r="BZ1805" s="34"/>
      <c r="CD1805" s="34"/>
    </row>
    <row r="1806" spans="70:82" x14ac:dyDescent="0.15">
      <c r="BR1806" s="34"/>
      <c r="BV1806" s="34"/>
      <c r="BZ1806" s="34"/>
      <c r="CD1806" s="34"/>
    </row>
    <row r="1807" spans="70:82" x14ac:dyDescent="0.15">
      <c r="BR1807" s="34"/>
      <c r="BV1807" s="34"/>
      <c r="BZ1807" s="34"/>
      <c r="CD1807" s="34"/>
    </row>
    <row r="1808" spans="70:82" x14ac:dyDescent="0.15">
      <c r="BR1808" s="34"/>
      <c r="BV1808" s="34"/>
      <c r="BZ1808" s="34"/>
      <c r="CD1808" s="34"/>
    </row>
    <row r="1809" spans="70:82" x14ac:dyDescent="0.15">
      <c r="BR1809" s="34"/>
      <c r="BV1809" s="34"/>
      <c r="BZ1809" s="34"/>
      <c r="CD1809" s="34"/>
    </row>
    <row r="1810" spans="70:82" x14ac:dyDescent="0.15">
      <c r="BR1810" s="34"/>
      <c r="BV1810" s="34"/>
      <c r="BZ1810" s="34"/>
      <c r="CD1810" s="34"/>
    </row>
    <row r="1811" spans="70:82" x14ac:dyDescent="0.15">
      <c r="BR1811" s="34"/>
      <c r="BV1811" s="34"/>
      <c r="BZ1811" s="34"/>
      <c r="CD1811" s="34"/>
    </row>
    <row r="1812" spans="70:82" x14ac:dyDescent="0.15">
      <c r="BR1812" s="34"/>
      <c r="BV1812" s="34"/>
      <c r="BZ1812" s="34"/>
      <c r="CD1812" s="34"/>
    </row>
    <row r="1813" spans="70:82" x14ac:dyDescent="0.15">
      <c r="BR1813" s="34"/>
      <c r="BV1813" s="34"/>
      <c r="BZ1813" s="34"/>
      <c r="CD1813" s="34"/>
    </row>
    <row r="1814" spans="70:82" x14ac:dyDescent="0.15">
      <c r="BR1814" s="34"/>
      <c r="BV1814" s="34"/>
      <c r="BZ1814" s="34"/>
      <c r="CD1814" s="34"/>
    </row>
    <row r="1815" spans="70:82" x14ac:dyDescent="0.15">
      <c r="BR1815" s="34"/>
      <c r="BV1815" s="34"/>
      <c r="BZ1815" s="34"/>
      <c r="CD1815" s="34"/>
    </row>
    <row r="1816" spans="70:82" x14ac:dyDescent="0.15">
      <c r="BR1816" s="34"/>
      <c r="BV1816" s="34"/>
      <c r="BZ1816" s="34"/>
      <c r="CD1816" s="34"/>
    </row>
    <row r="1817" spans="70:82" x14ac:dyDescent="0.15">
      <c r="BR1817" s="34"/>
      <c r="BV1817" s="34"/>
      <c r="BZ1817" s="34"/>
      <c r="CD1817" s="34"/>
    </row>
    <row r="1818" spans="70:82" x14ac:dyDescent="0.15">
      <c r="BR1818" s="34"/>
      <c r="BV1818" s="34"/>
      <c r="BZ1818" s="34"/>
      <c r="CD1818" s="34"/>
    </row>
    <row r="1819" spans="70:82" x14ac:dyDescent="0.15">
      <c r="BR1819" s="34"/>
      <c r="BV1819" s="34"/>
      <c r="BZ1819" s="34"/>
      <c r="CD1819" s="34"/>
    </row>
    <row r="1820" spans="70:82" x14ac:dyDescent="0.15">
      <c r="BR1820" s="34"/>
      <c r="BV1820" s="34"/>
      <c r="BZ1820" s="34"/>
      <c r="CD1820" s="34"/>
    </row>
    <row r="1821" spans="70:82" x14ac:dyDescent="0.15">
      <c r="BR1821" s="34"/>
      <c r="BV1821" s="34"/>
      <c r="BZ1821" s="34"/>
      <c r="CD1821" s="34"/>
    </row>
    <row r="1822" spans="70:82" x14ac:dyDescent="0.15">
      <c r="BR1822" s="34"/>
      <c r="BV1822" s="34"/>
      <c r="BZ1822" s="34"/>
      <c r="CD1822" s="34"/>
    </row>
    <row r="1823" spans="70:82" x14ac:dyDescent="0.15">
      <c r="BR1823" s="34"/>
      <c r="BV1823" s="34"/>
      <c r="BZ1823" s="34"/>
      <c r="CD1823" s="34"/>
    </row>
    <row r="1824" spans="70:82" x14ac:dyDescent="0.15">
      <c r="BR1824" s="34"/>
      <c r="BV1824" s="34"/>
      <c r="BZ1824" s="34"/>
      <c r="CD1824" s="34"/>
    </row>
    <row r="1825" spans="70:82" x14ac:dyDescent="0.15">
      <c r="BR1825" s="34"/>
      <c r="BV1825" s="34"/>
      <c r="BZ1825" s="34"/>
      <c r="CD1825" s="34"/>
    </row>
    <row r="1826" spans="70:82" x14ac:dyDescent="0.15">
      <c r="BR1826" s="34"/>
      <c r="BV1826" s="34"/>
      <c r="BZ1826" s="34"/>
      <c r="CD1826" s="34"/>
    </row>
    <row r="1827" spans="70:82" x14ac:dyDescent="0.15">
      <c r="BR1827" s="34"/>
      <c r="BV1827" s="34"/>
      <c r="BZ1827" s="34"/>
      <c r="CD1827" s="34"/>
    </row>
    <row r="1828" spans="70:82" x14ac:dyDescent="0.15">
      <c r="BR1828" s="34"/>
      <c r="BV1828" s="34"/>
      <c r="BZ1828" s="34"/>
      <c r="CD1828" s="34"/>
    </row>
    <row r="1829" spans="70:82" x14ac:dyDescent="0.15">
      <c r="BR1829" s="34"/>
      <c r="BV1829" s="34"/>
      <c r="BZ1829" s="34"/>
      <c r="CD1829" s="34"/>
    </row>
    <row r="1830" spans="70:82" x14ac:dyDescent="0.15">
      <c r="BR1830" s="34"/>
      <c r="BV1830" s="34"/>
      <c r="BZ1830" s="34"/>
      <c r="CD1830" s="34"/>
    </row>
    <row r="1831" spans="70:82" x14ac:dyDescent="0.15">
      <c r="BR1831" s="34"/>
      <c r="BV1831" s="34"/>
      <c r="BZ1831" s="34"/>
      <c r="CD1831" s="34"/>
    </row>
    <row r="1832" spans="70:82" x14ac:dyDescent="0.15">
      <c r="BR1832" s="34"/>
      <c r="BV1832" s="34"/>
      <c r="BZ1832" s="34"/>
      <c r="CD1832" s="34"/>
    </row>
    <row r="1833" spans="70:82" x14ac:dyDescent="0.15">
      <c r="BR1833" s="34"/>
      <c r="BV1833" s="34"/>
      <c r="BZ1833" s="34"/>
      <c r="CD1833" s="34"/>
    </row>
    <row r="1834" spans="70:82" x14ac:dyDescent="0.15">
      <c r="BR1834" s="34"/>
      <c r="BV1834" s="34"/>
      <c r="BZ1834" s="34"/>
      <c r="CD1834" s="34"/>
    </row>
    <row r="1835" spans="70:82" x14ac:dyDescent="0.15">
      <c r="BR1835" s="34"/>
      <c r="BV1835" s="34"/>
      <c r="BZ1835" s="34"/>
      <c r="CD1835" s="34"/>
    </row>
    <row r="1836" spans="70:82" x14ac:dyDescent="0.15">
      <c r="BR1836" s="34"/>
      <c r="BV1836" s="34"/>
      <c r="BZ1836" s="34"/>
      <c r="CD1836" s="34"/>
    </row>
    <row r="1837" spans="70:82" x14ac:dyDescent="0.15">
      <c r="BR1837" s="34"/>
      <c r="BV1837" s="34"/>
      <c r="BZ1837" s="34"/>
      <c r="CD1837" s="34"/>
    </row>
    <row r="1838" spans="70:82" x14ac:dyDescent="0.15">
      <c r="BR1838" s="34"/>
      <c r="BV1838" s="34"/>
      <c r="BZ1838" s="34"/>
      <c r="CD1838" s="34"/>
    </row>
    <row r="1839" spans="70:82" x14ac:dyDescent="0.15">
      <c r="BR1839" s="34"/>
      <c r="BV1839" s="34"/>
      <c r="BZ1839" s="34"/>
      <c r="CD1839" s="34"/>
    </row>
    <row r="1840" spans="70:82" x14ac:dyDescent="0.15">
      <c r="BR1840" s="34"/>
      <c r="BV1840" s="34"/>
      <c r="BZ1840" s="34"/>
      <c r="CD1840" s="34"/>
    </row>
    <row r="1841" spans="70:82" x14ac:dyDescent="0.15">
      <c r="BR1841" s="34"/>
      <c r="BV1841" s="34"/>
      <c r="BZ1841" s="34"/>
      <c r="CD1841" s="34"/>
    </row>
    <row r="1842" spans="70:82" x14ac:dyDescent="0.15">
      <c r="BR1842" s="34"/>
      <c r="BV1842" s="34"/>
      <c r="BZ1842" s="34"/>
      <c r="CD1842" s="34"/>
    </row>
    <row r="1843" spans="70:82" x14ac:dyDescent="0.15">
      <c r="BR1843" s="34"/>
      <c r="BV1843" s="34"/>
      <c r="BZ1843" s="34"/>
      <c r="CD1843" s="34"/>
    </row>
    <row r="1844" spans="70:82" x14ac:dyDescent="0.15">
      <c r="BR1844" s="34"/>
      <c r="BV1844" s="34"/>
      <c r="BZ1844" s="34"/>
      <c r="CD1844" s="34"/>
    </row>
    <row r="1845" spans="70:82" x14ac:dyDescent="0.15">
      <c r="BR1845" s="34"/>
      <c r="BV1845" s="34"/>
      <c r="BZ1845" s="34"/>
      <c r="CD1845" s="34"/>
    </row>
    <row r="1846" spans="70:82" x14ac:dyDescent="0.15">
      <c r="BR1846" s="34"/>
      <c r="BV1846" s="34"/>
      <c r="BZ1846" s="34"/>
      <c r="CD1846" s="34"/>
    </row>
    <row r="1847" spans="70:82" x14ac:dyDescent="0.15">
      <c r="BR1847" s="34"/>
      <c r="BV1847" s="34"/>
      <c r="BZ1847" s="34"/>
      <c r="CD1847" s="34"/>
    </row>
    <row r="1848" spans="70:82" x14ac:dyDescent="0.15">
      <c r="BR1848" s="34"/>
      <c r="BV1848" s="34"/>
      <c r="BZ1848" s="34"/>
      <c r="CD1848" s="34"/>
    </row>
    <row r="1849" spans="70:82" x14ac:dyDescent="0.15">
      <c r="BR1849" s="34"/>
      <c r="BV1849" s="34"/>
      <c r="BZ1849" s="34"/>
      <c r="CD1849" s="34"/>
    </row>
    <row r="1850" spans="70:82" x14ac:dyDescent="0.15">
      <c r="BR1850" s="34"/>
      <c r="BV1850" s="34"/>
      <c r="BZ1850" s="34"/>
      <c r="CD1850" s="34"/>
    </row>
    <row r="1851" spans="70:82" x14ac:dyDescent="0.15">
      <c r="BR1851" s="34"/>
      <c r="BV1851" s="34"/>
      <c r="BZ1851" s="34"/>
      <c r="CD1851" s="34"/>
    </row>
    <row r="1852" spans="70:82" x14ac:dyDescent="0.15">
      <c r="BR1852" s="34"/>
      <c r="BV1852" s="34"/>
      <c r="BZ1852" s="34"/>
      <c r="CD1852" s="34"/>
    </row>
    <row r="1853" spans="70:82" x14ac:dyDescent="0.15">
      <c r="BR1853" s="34"/>
      <c r="BV1853" s="34"/>
      <c r="BZ1853" s="34"/>
      <c r="CD1853" s="34"/>
    </row>
    <row r="1854" spans="70:82" x14ac:dyDescent="0.15">
      <c r="BR1854" s="34"/>
      <c r="BV1854" s="34"/>
      <c r="BZ1854" s="34"/>
      <c r="CD1854" s="34"/>
    </row>
    <row r="1855" spans="70:82" x14ac:dyDescent="0.15">
      <c r="BR1855" s="34"/>
      <c r="BV1855" s="34"/>
      <c r="BZ1855" s="34"/>
      <c r="CD1855" s="34"/>
    </row>
    <row r="1856" spans="70:82" x14ac:dyDescent="0.15">
      <c r="BR1856" s="34"/>
      <c r="BV1856" s="34"/>
      <c r="BZ1856" s="34"/>
      <c r="CD1856" s="34"/>
    </row>
    <row r="1857" spans="70:82" x14ac:dyDescent="0.15">
      <c r="BR1857" s="34"/>
      <c r="BV1857" s="34"/>
      <c r="BZ1857" s="34"/>
      <c r="CD1857" s="34"/>
    </row>
    <row r="1858" spans="70:82" x14ac:dyDescent="0.15">
      <c r="BR1858" s="34"/>
      <c r="BV1858" s="34"/>
      <c r="BZ1858" s="34"/>
      <c r="CD1858" s="34"/>
    </row>
    <row r="1859" spans="70:82" x14ac:dyDescent="0.15">
      <c r="BR1859" s="34"/>
      <c r="BV1859" s="34"/>
      <c r="BZ1859" s="34"/>
      <c r="CD1859" s="34"/>
    </row>
    <row r="1860" spans="70:82" x14ac:dyDescent="0.15">
      <c r="BR1860" s="34"/>
      <c r="BV1860" s="34"/>
      <c r="BZ1860" s="34"/>
      <c r="CD1860" s="34"/>
    </row>
    <row r="1861" spans="70:82" x14ac:dyDescent="0.15">
      <c r="BR1861" s="34"/>
      <c r="BV1861" s="34"/>
      <c r="BZ1861" s="34"/>
      <c r="CD1861" s="34"/>
    </row>
    <row r="1862" spans="70:82" x14ac:dyDescent="0.15">
      <c r="BR1862" s="34"/>
      <c r="BV1862" s="34"/>
      <c r="BZ1862" s="34"/>
      <c r="CD1862" s="34"/>
    </row>
    <row r="1863" spans="70:82" x14ac:dyDescent="0.15">
      <c r="BR1863" s="34"/>
      <c r="BV1863" s="34"/>
      <c r="BZ1863" s="34"/>
      <c r="CD1863" s="34"/>
    </row>
    <row r="1864" spans="70:82" x14ac:dyDescent="0.15">
      <c r="BR1864" s="34"/>
      <c r="BV1864" s="34"/>
      <c r="BZ1864" s="34"/>
      <c r="CD1864" s="34"/>
    </row>
    <row r="1865" spans="70:82" x14ac:dyDescent="0.15">
      <c r="BR1865" s="34"/>
      <c r="BV1865" s="34"/>
      <c r="BZ1865" s="34"/>
      <c r="CD1865" s="34"/>
    </row>
    <row r="1866" spans="70:82" x14ac:dyDescent="0.15">
      <c r="BR1866" s="34"/>
      <c r="BV1866" s="34"/>
      <c r="BZ1866" s="34"/>
      <c r="CD1866" s="34"/>
    </row>
    <row r="1867" spans="70:82" x14ac:dyDescent="0.15">
      <c r="BR1867" s="34"/>
      <c r="BV1867" s="34"/>
      <c r="BZ1867" s="34"/>
      <c r="CD1867" s="34"/>
    </row>
    <row r="1868" spans="70:82" x14ac:dyDescent="0.15">
      <c r="BR1868" s="34"/>
      <c r="BV1868" s="34"/>
      <c r="BZ1868" s="34"/>
      <c r="CD1868" s="34"/>
    </row>
    <row r="1869" spans="70:82" x14ac:dyDescent="0.15">
      <c r="BR1869" s="34"/>
      <c r="BV1869" s="34"/>
      <c r="BZ1869" s="34"/>
      <c r="CD1869" s="34"/>
    </row>
    <row r="1870" spans="70:82" x14ac:dyDescent="0.15">
      <c r="BR1870" s="34"/>
      <c r="BV1870" s="34"/>
      <c r="BZ1870" s="34"/>
      <c r="CD1870" s="34"/>
    </row>
    <row r="1871" spans="70:82" x14ac:dyDescent="0.15">
      <c r="BR1871" s="34"/>
      <c r="BV1871" s="34"/>
      <c r="BZ1871" s="34"/>
      <c r="CD1871" s="34"/>
    </row>
    <row r="1872" spans="70:82" x14ac:dyDescent="0.15">
      <c r="BR1872" s="34"/>
      <c r="BV1872" s="34"/>
      <c r="BZ1872" s="34"/>
      <c r="CD1872" s="34"/>
    </row>
    <row r="1873" spans="70:82" x14ac:dyDescent="0.15">
      <c r="BR1873" s="34"/>
      <c r="BV1873" s="34"/>
      <c r="BZ1873" s="34"/>
      <c r="CD1873" s="34"/>
    </row>
    <row r="1874" spans="70:82" x14ac:dyDescent="0.15">
      <c r="BR1874" s="34"/>
      <c r="BV1874" s="34"/>
      <c r="BZ1874" s="34"/>
      <c r="CD1874" s="34"/>
    </row>
    <row r="1875" spans="70:82" x14ac:dyDescent="0.15">
      <c r="BR1875" s="34"/>
      <c r="BV1875" s="34"/>
      <c r="BZ1875" s="34"/>
      <c r="CD1875" s="34"/>
    </row>
    <row r="1876" spans="70:82" x14ac:dyDescent="0.15">
      <c r="BR1876" s="34"/>
      <c r="BV1876" s="34"/>
      <c r="BZ1876" s="34"/>
      <c r="CD1876" s="34"/>
    </row>
    <row r="1877" spans="70:82" x14ac:dyDescent="0.15">
      <c r="BR1877" s="34"/>
      <c r="BV1877" s="34"/>
      <c r="BZ1877" s="34"/>
      <c r="CD1877" s="34"/>
    </row>
    <row r="1878" spans="70:82" x14ac:dyDescent="0.15">
      <c r="BR1878" s="34"/>
      <c r="BV1878" s="34"/>
      <c r="BZ1878" s="34"/>
      <c r="CD1878" s="34"/>
    </row>
    <row r="1879" spans="70:82" x14ac:dyDescent="0.15">
      <c r="BR1879" s="34"/>
      <c r="BV1879" s="34"/>
      <c r="BZ1879" s="34"/>
      <c r="CD1879" s="34"/>
    </row>
    <row r="1880" spans="70:82" x14ac:dyDescent="0.15">
      <c r="BR1880" s="34"/>
      <c r="BV1880" s="34"/>
      <c r="BZ1880" s="34"/>
      <c r="CD1880" s="34"/>
    </row>
    <row r="1881" spans="70:82" x14ac:dyDescent="0.15">
      <c r="BR1881" s="34"/>
      <c r="BV1881" s="34"/>
      <c r="BZ1881" s="34"/>
      <c r="CD1881" s="34"/>
    </row>
    <row r="1882" spans="70:82" x14ac:dyDescent="0.15">
      <c r="BR1882" s="34"/>
      <c r="BV1882" s="34"/>
      <c r="BZ1882" s="34"/>
      <c r="CD1882" s="34"/>
    </row>
    <row r="1883" spans="70:82" x14ac:dyDescent="0.15">
      <c r="BR1883" s="34"/>
      <c r="BV1883" s="34"/>
      <c r="BZ1883" s="34"/>
      <c r="CD1883" s="34"/>
    </row>
    <row r="1884" spans="70:82" x14ac:dyDescent="0.15">
      <c r="BR1884" s="34"/>
      <c r="BV1884" s="34"/>
      <c r="BZ1884" s="34"/>
      <c r="CD1884" s="34"/>
    </row>
    <row r="1885" spans="70:82" x14ac:dyDescent="0.15">
      <c r="BR1885" s="34"/>
      <c r="BV1885" s="34"/>
      <c r="BZ1885" s="34"/>
      <c r="CD1885" s="34"/>
    </row>
    <row r="1886" spans="70:82" x14ac:dyDescent="0.15">
      <c r="BR1886" s="34"/>
      <c r="BV1886" s="34"/>
      <c r="BZ1886" s="34"/>
      <c r="CD1886" s="34"/>
    </row>
    <row r="1887" spans="70:82" x14ac:dyDescent="0.15">
      <c r="BR1887" s="34"/>
      <c r="BV1887" s="34"/>
      <c r="BZ1887" s="34"/>
      <c r="CD1887" s="34"/>
    </row>
    <row r="1888" spans="70:82" x14ac:dyDescent="0.15">
      <c r="BR1888" s="34"/>
      <c r="BV1888" s="34"/>
      <c r="BZ1888" s="34"/>
      <c r="CD1888" s="34"/>
    </row>
    <row r="1889" spans="70:82" x14ac:dyDescent="0.15">
      <c r="BR1889" s="34"/>
      <c r="BV1889" s="34"/>
      <c r="BZ1889" s="34"/>
      <c r="CD1889" s="34"/>
    </row>
    <row r="1890" spans="70:82" x14ac:dyDescent="0.15">
      <c r="BR1890" s="34"/>
      <c r="BV1890" s="34"/>
      <c r="BZ1890" s="34"/>
      <c r="CD1890" s="34"/>
    </row>
    <row r="1891" spans="70:82" x14ac:dyDescent="0.15">
      <c r="BR1891" s="34"/>
      <c r="BV1891" s="34"/>
      <c r="BZ1891" s="34"/>
      <c r="CD1891" s="34"/>
    </row>
    <row r="1892" spans="70:82" x14ac:dyDescent="0.15">
      <c r="BR1892" s="34"/>
      <c r="BV1892" s="34"/>
      <c r="BZ1892" s="34"/>
      <c r="CD1892" s="34"/>
    </row>
    <row r="1893" spans="70:82" x14ac:dyDescent="0.15">
      <c r="BR1893" s="34"/>
      <c r="BV1893" s="34"/>
      <c r="BZ1893" s="34"/>
      <c r="CD1893" s="34"/>
    </row>
    <row r="1894" spans="70:82" x14ac:dyDescent="0.15">
      <c r="BR1894" s="34"/>
      <c r="BV1894" s="34"/>
      <c r="BZ1894" s="34"/>
      <c r="CD1894" s="34"/>
    </row>
    <row r="1895" spans="70:82" x14ac:dyDescent="0.15">
      <c r="BR1895" s="34"/>
      <c r="BV1895" s="34"/>
      <c r="BZ1895" s="34"/>
      <c r="CD1895" s="34"/>
    </row>
    <row r="1896" spans="70:82" x14ac:dyDescent="0.15">
      <c r="BR1896" s="34"/>
      <c r="BV1896" s="34"/>
      <c r="BZ1896" s="34"/>
      <c r="CD1896" s="34"/>
    </row>
    <row r="1897" spans="70:82" x14ac:dyDescent="0.15">
      <c r="BR1897" s="34"/>
      <c r="BV1897" s="34"/>
      <c r="BZ1897" s="34"/>
      <c r="CD1897" s="34"/>
    </row>
    <row r="1898" spans="70:82" x14ac:dyDescent="0.15">
      <c r="BR1898" s="34"/>
      <c r="BV1898" s="34"/>
      <c r="BZ1898" s="34"/>
      <c r="CD1898" s="34"/>
    </row>
    <row r="1899" spans="70:82" x14ac:dyDescent="0.15">
      <c r="BR1899" s="34"/>
      <c r="BV1899" s="34"/>
      <c r="BZ1899" s="34"/>
      <c r="CD1899" s="34"/>
    </row>
    <row r="1900" spans="70:82" x14ac:dyDescent="0.15">
      <c r="BR1900" s="34"/>
      <c r="BV1900" s="34"/>
      <c r="BZ1900" s="34"/>
      <c r="CD1900" s="34"/>
    </row>
    <row r="1901" spans="70:82" x14ac:dyDescent="0.15">
      <c r="BR1901" s="34"/>
      <c r="BV1901" s="34"/>
      <c r="BZ1901" s="34"/>
      <c r="CD1901" s="34"/>
    </row>
    <row r="1902" spans="70:82" x14ac:dyDescent="0.15">
      <c r="BR1902" s="34"/>
      <c r="BV1902" s="34"/>
      <c r="BZ1902" s="34"/>
      <c r="CD1902" s="34"/>
    </row>
    <row r="1903" spans="70:82" x14ac:dyDescent="0.15">
      <c r="BR1903" s="34"/>
      <c r="BV1903" s="34"/>
      <c r="BZ1903" s="34"/>
      <c r="CD1903" s="34"/>
    </row>
    <row r="1904" spans="70:82" x14ac:dyDescent="0.15">
      <c r="BR1904" s="34"/>
      <c r="BV1904" s="34"/>
      <c r="BZ1904" s="34"/>
      <c r="CD1904" s="34"/>
    </row>
    <row r="1905" spans="70:82" x14ac:dyDescent="0.15">
      <c r="BR1905" s="34"/>
      <c r="BV1905" s="34"/>
      <c r="BZ1905" s="34"/>
      <c r="CD1905" s="34"/>
    </row>
    <row r="1906" spans="70:82" x14ac:dyDescent="0.15">
      <c r="BR1906" s="34"/>
      <c r="BV1906" s="34"/>
      <c r="BZ1906" s="34"/>
      <c r="CD1906" s="34"/>
    </row>
    <row r="1907" spans="70:82" x14ac:dyDescent="0.15">
      <c r="BR1907" s="34"/>
      <c r="BV1907" s="34"/>
      <c r="BZ1907" s="34"/>
      <c r="CD1907" s="34"/>
    </row>
    <row r="1908" spans="70:82" x14ac:dyDescent="0.15">
      <c r="BR1908" s="34"/>
      <c r="BV1908" s="34"/>
      <c r="BZ1908" s="34"/>
      <c r="CD1908" s="34"/>
    </row>
    <row r="1909" spans="70:82" x14ac:dyDescent="0.15">
      <c r="BR1909" s="34"/>
      <c r="BV1909" s="34"/>
      <c r="BZ1909" s="34"/>
      <c r="CD1909" s="34"/>
    </row>
    <row r="1910" spans="70:82" x14ac:dyDescent="0.15">
      <c r="BR1910" s="34"/>
      <c r="BV1910" s="34"/>
      <c r="BZ1910" s="34"/>
      <c r="CD1910" s="34"/>
    </row>
    <row r="1911" spans="70:82" x14ac:dyDescent="0.15">
      <c r="BR1911" s="34"/>
      <c r="BV1911" s="34"/>
      <c r="BZ1911" s="34"/>
      <c r="CD1911" s="34"/>
    </row>
    <row r="1912" spans="70:82" x14ac:dyDescent="0.15">
      <c r="BR1912" s="34"/>
      <c r="BV1912" s="34"/>
      <c r="BZ1912" s="34"/>
      <c r="CD1912" s="34"/>
    </row>
    <row r="1913" spans="70:82" x14ac:dyDescent="0.15">
      <c r="BR1913" s="34"/>
      <c r="BV1913" s="34"/>
      <c r="BZ1913" s="34"/>
      <c r="CD1913" s="34"/>
    </row>
    <row r="1914" spans="70:82" x14ac:dyDescent="0.15">
      <c r="BR1914" s="34"/>
      <c r="BV1914" s="34"/>
      <c r="BZ1914" s="34"/>
      <c r="CD1914" s="34"/>
    </row>
    <row r="1915" spans="70:82" x14ac:dyDescent="0.15">
      <c r="BR1915" s="34"/>
      <c r="BV1915" s="34"/>
      <c r="BZ1915" s="34"/>
      <c r="CD1915" s="34"/>
    </row>
    <row r="1916" spans="70:82" x14ac:dyDescent="0.15">
      <c r="BR1916" s="34"/>
      <c r="BV1916" s="34"/>
      <c r="BZ1916" s="34"/>
      <c r="CD1916" s="34"/>
    </row>
    <row r="1917" spans="70:82" x14ac:dyDescent="0.15">
      <c r="BR1917" s="34"/>
      <c r="BV1917" s="34"/>
      <c r="BZ1917" s="34"/>
      <c r="CD1917" s="34"/>
    </row>
    <row r="1918" spans="70:82" x14ac:dyDescent="0.15">
      <c r="BR1918" s="34"/>
      <c r="BV1918" s="34"/>
      <c r="BZ1918" s="34"/>
      <c r="CD1918" s="34"/>
    </row>
    <row r="1919" spans="70:82" x14ac:dyDescent="0.15">
      <c r="BR1919" s="34"/>
      <c r="BV1919" s="34"/>
      <c r="BZ1919" s="34"/>
      <c r="CD1919" s="34"/>
    </row>
    <row r="1920" spans="70:82" x14ac:dyDescent="0.15">
      <c r="BR1920" s="34"/>
      <c r="BV1920" s="34"/>
      <c r="BZ1920" s="34"/>
      <c r="CD1920" s="34"/>
    </row>
    <row r="1921" spans="70:82" x14ac:dyDescent="0.15">
      <c r="BR1921" s="34"/>
      <c r="BV1921" s="34"/>
      <c r="BZ1921" s="34"/>
      <c r="CD1921" s="34"/>
    </row>
    <row r="1922" spans="70:82" x14ac:dyDescent="0.15">
      <c r="BR1922" s="34"/>
      <c r="BV1922" s="34"/>
      <c r="BZ1922" s="34"/>
      <c r="CD1922" s="34"/>
    </row>
    <row r="1923" spans="70:82" x14ac:dyDescent="0.15">
      <c r="BR1923" s="34"/>
      <c r="BV1923" s="34"/>
      <c r="BZ1923" s="34"/>
      <c r="CD1923" s="34"/>
    </row>
    <row r="1924" spans="70:82" x14ac:dyDescent="0.15">
      <c r="BR1924" s="34"/>
      <c r="BV1924" s="34"/>
      <c r="BZ1924" s="34"/>
      <c r="CD1924" s="34"/>
    </row>
    <row r="1925" spans="70:82" x14ac:dyDescent="0.15">
      <c r="BR1925" s="34"/>
      <c r="BV1925" s="34"/>
      <c r="BZ1925" s="34"/>
      <c r="CD1925" s="34"/>
    </row>
    <row r="1926" spans="70:82" x14ac:dyDescent="0.15">
      <c r="BR1926" s="34"/>
      <c r="BV1926" s="34"/>
      <c r="BZ1926" s="34"/>
      <c r="CD1926" s="34"/>
    </row>
    <row r="1927" spans="70:82" x14ac:dyDescent="0.15">
      <c r="BR1927" s="34"/>
      <c r="BV1927" s="34"/>
      <c r="BZ1927" s="34"/>
      <c r="CD1927" s="34"/>
    </row>
    <row r="1928" spans="70:82" x14ac:dyDescent="0.15">
      <c r="BR1928" s="34"/>
      <c r="BV1928" s="34"/>
      <c r="BZ1928" s="34"/>
      <c r="CD1928" s="34"/>
    </row>
    <row r="1929" spans="70:82" x14ac:dyDescent="0.15">
      <c r="BR1929" s="34"/>
      <c r="BV1929" s="34"/>
      <c r="BZ1929" s="34"/>
      <c r="CD1929" s="34"/>
    </row>
    <row r="1930" spans="70:82" x14ac:dyDescent="0.15">
      <c r="BR1930" s="34"/>
      <c r="BV1930" s="34"/>
      <c r="BZ1930" s="34"/>
      <c r="CD1930" s="34"/>
    </row>
    <row r="1931" spans="70:82" x14ac:dyDescent="0.15">
      <c r="BR1931" s="34"/>
      <c r="BV1931" s="34"/>
      <c r="BZ1931" s="34"/>
      <c r="CD1931" s="34"/>
    </row>
    <row r="1932" spans="70:82" x14ac:dyDescent="0.15">
      <c r="BR1932" s="34"/>
      <c r="BV1932" s="34"/>
      <c r="BZ1932" s="34"/>
      <c r="CD1932" s="34"/>
    </row>
    <row r="1933" spans="70:82" x14ac:dyDescent="0.15">
      <c r="BR1933" s="34"/>
      <c r="BV1933" s="34"/>
      <c r="BZ1933" s="34"/>
      <c r="CD1933" s="34"/>
    </row>
    <row r="1934" spans="70:82" x14ac:dyDescent="0.15">
      <c r="BR1934" s="34"/>
      <c r="BV1934" s="34"/>
      <c r="BZ1934" s="34"/>
      <c r="CD1934" s="34"/>
    </row>
    <row r="1935" spans="70:82" x14ac:dyDescent="0.15">
      <c r="BR1935" s="34"/>
      <c r="BV1935" s="34"/>
      <c r="BZ1935" s="34"/>
      <c r="CD1935" s="34"/>
    </row>
    <row r="1936" spans="70:82" x14ac:dyDescent="0.15">
      <c r="BR1936" s="34"/>
      <c r="BV1936" s="34"/>
      <c r="BZ1936" s="34"/>
      <c r="CD1936" s="34"/>
    </row>
    <row r="1937" spans="70:82" x14ac:dyDescent="0.15">
      <c r="BR1937" s="34"/>
      <c r="BV1937" s="34"/>
      <c r="BZ1937" s="34"/>
      <c r="CD1937" s="34"/>
    </row>
    <row r="1938" spans="70:82" x14ac:dyDescent="0.15">
      <c r="BR1938" s="34"/>
      <c r="BV1938" s="34"/>
      <c r="BZ1938" s="34"/>
      <c r="CD1938" s="34"/>
    </row>
    <row r="1939" spans="70:82" x14ac:dyDescent="0.15">
      <c r="BR1939" s="34"/>
      <c r="BV1939" s="34"/>
      <c r="BZ1939" s="34"/>
      <c r="CD1939" s="34"/>
    </row>
    <row r="1940" spans="70:82" x14ac:dyDescent="0.15">
      <c r="BR1940" s="34"/>
      <c r="BV1940" s="34"/>
      <c r="BZ1940" s="34"/>
      <c r="CD1940" s="34"/>
    </row>
    <row r="1941" spans="70:82" x14ac:dyDescent="0.15">
      <c r="BR1941" s="34"/>
      <c r="BV1941" s="34"/>
      <c r="BZ1941" s="34"/>
      <c r="CD1941" s="34"/>
    </row>
    <row r="1942" spans="70:82" x14ac:dyDescent="0.15">
      <c r="BR1942" s="34"/>
      <c r="BV1942" s="34"/>
      <c r="BZ1942" s="34"/>
      <c r="CD1942" s="34"/>
    </row>
    <row r="1943" spans="70:82" x14ac:dyDescent="0.15">
      <c r="BR1943" s="34"/>
      <c r="BV1943" s="34"/>
      <c r="BZ1943" s="34"/>
      <c r="CD1943" s="34"/>
    </row>
    <row r="1944" spans="70:82" x14ac:dyDescent="0.15">
      <c r="BR1944" s="34"/>
      <c r="BV1944" s="34"/>
      <c r="BZ1944" s="34"/>
      <c r="CD1944" s="34"/>
    </row>
    <row r="1945" spans="70:82" x14ac:dyDescent="0.15">
      <c r="BR1945" s="34"/>
      <c r="BV1945" s="34"/>
      <c r="BZ1945" s="34"/>
      <c r="CD1945" s="34"/>
    </row>
    <row r="1946" spans="70:82" x14ac:dyDescent="0.15">
      <c r="BR1946" s="34"/>
      <c r="BV1946" s="34"/>
      <c r="BZ1946" s="34"/>
      <c r="CD1946" s="34"/>
    </row>
    <row r="1947" spans="70:82" x14ac:dyDescent="0.15">
      <c r="BR1947" s="34"/>
      <c r="BV1947" s="34"/>
      <c r="BZ1947" s="34"/>
      <c r="CD1947" s="34"/>
    </row>
    <row r="1948" spans="70:82" x14ac:dyDescent="0.15">
      <c r="BR1948" s="34"/>
      <c r="BV1948" s="34"/>
      <c r="BZ1948" s="34"/>
      <c r="CD1948" s="34"/>
    </row>
    <row r="1949" spans="70:82" x14ac:dyDescent="0.15">
      <c r="BR1949" s="34"/>
      <c r="BV1949" s="34"/>
      <c r="BZ1949" s="34"/>
      <c r="CD1949" s="34"/>
    </row>
    <row r="1950" spans="70:82" x14ac:dyDescent="0.15">
      <c r="BR1950" s="34"/>
      <c r="BV1950" s="34"/>
      <c r="BZ1950" s="34"/>
      <c r="CD1950" s="34"/>
    </row>
    <row r="1951" spans="70:82" x14ac:dyDescent="0.15">
      <c r="BR1951" s="34"/>
      <c r="BV1951" s="34"/>
      <c r="BZ1951" s="34"/>
      <c r="CD1951" s="34"/>
    </row>
    <row r="1952" spans="70:82" x14ac:dyDescent="0.15">
      <c r="BR1952" s="34"/>
      <c r="BV1952" s="34"/>
      <c r="BZ1952" s="34"/>
      <c r="CD1952" s="34"/>
    </row>
    <row r="1953" spans="70:82" x14ac:dyDescent="0.15">
      <c r="BR1953" s="34"/>
      <c r="BV1953" s="34"/>
      <c r="BZ1953" s="34"/>
      <c r="CD1953" s="34"/>
    </row>
    <row r="1954" spans="70:82" x14ac:dyDescent="0.15">
      <c r="BR1954" s="34"/>
      <c r="BV1954" s="34"/>
      <c r="BZ1954" s="34"/>
      <c r="CD1954" s="34"/>
    </row>
    <row r="1955" spans="70:82" x14ac:dyDescent="0.15">
      <c r="BR1955" s="34"/>
      <c r="BV1955" s="34"/>
      <c r="BZ1955" s="34"/>
      <c r="CD1955" s="34"/>
    </row>
    <row r="1956" spans="70:82" x14ac:dyDescent="0.15">
      <c r="BR1956" s="34"/>
      <c r="BV1956" s="34"/>
      <c r="BZ1956" s="34"/>
      <c r="CD1956" s="34"/>
    </row>
    <row r="1957" spans="70:82" x14ac:dyDescent="0.15">
      <c r="BR1957" s="34"/>
      <c r="BV1957" s="34"/>
      <c r="BZ1957" s="34"/>
      <c r="CD1957" s="34"/>
    </row>
    <row r="1958" spans="70:82" x14ac:dyDescent="0.15">
      <c r="BR1958" s="34"/>
      <c r="BV1958" s="34"/>
      <c r="BZ1958" s="34"/>
      <c r="CD1958" s="34"/>
    </row>
    <row r="1959" spans="70:82" x14ac:dyDescent="0.15">
      <c r="BR1959" s="34"/>
      <c r="BV1959" s="34"/>
      <c r="BZ1959" s="34"/>
      <c r="CD1959" s="34"/>
    </row>
    <row r="1960" spans="70:82" x14ac:dyDescent="0.15">
      <c r="BR1960" s="34"/>
      <c r="BV1960" s="34"/>
      <c r="BZ1960" s="34"/>
      <c r="CD1960" s="34"/>
    </row>
    <row r="1961" spans="70:82" x14ac:dyDescent="0.15">
      <c r="BR1961" s="34"/>
      <c r="BV1961" s="34"/>
      <c r="BZ1961" s="34"/>
      <c r="CD1961" s="34"/>
    </row>
    <row r="1962" spans="70:82" x14ac:dyDescent="0.15">
      <c r="BR1962" s="34"/>
      <c r="BV1962" s="34"/>
      <c r="BZ1962" s="34"/>
      <c r="CD1962" s="34"/>
    </row>
    <row r="1963" spans="70:82" x14ac:dyDescent="0.15">
      <c r="BR1963" s="34"/>
      <c r="BV1963" s="34"/>
      <c r="BZ1963" s="34"/>
      <c r="CD1963" s="34"/>
    </row>
    <row r="1964" spans="70:82" x14ac:dyDescent="0.15">
      <c r="BR1964" s="34"/>
      <c r="BV1964" s="34"/>
      <c r="BZ1964" s="34"/>
      <c r="CD1964" s="34"/>
    </row>
    <row r="1965" spans="70:82" x14ac:dyDescent="0.15">
      <c r="BR1965" s="34"/>
      <c r="BV1965" s="34"/>
      <c r="BZ1965" s="34"/>
      <c r="CD1965" s="34"/>
    </row>
    <row r="1966" spans="70:82" x14ac:dyDescent="0.15">
      <c r="BR1966" s="34"/>
      <c r="BV1966" s="34"/>
      <c r="BZ1966" s="34"/>
      <c r="CD1966" s="34"/>
    </row>
    <row r="1967" spans="70:82" x14ac:dyDescent="0.15">
      <c r="BR1967" s="34"/>
      <c r="BV1967" s="34"/>
      <c r="BZ1967" s="34"/>
      <c r="CD1967" s="34"/>
    </row>
    <row r="1968" spans="70:82" x14ac:dyDescent="0.15">
      <c r="BR1968" s="34"/>
      <c r="BV1968" s="34"/>
      <c r="BZ1968" s="34"/>
      <c r="CD1968" s="34"/>
    </row>
    <row r="1969" spans="70:82" x14ac:dyDescent="0.15">
      <c r="BR1969" s="34"/>
      <c r="BV1969" s="34"/>
      <c r="BZ1969" s="34"/>
      <c r="CD1969" s="34"/>
    </row>
    <row r="1970" spans="70:82" x14ac:dyDescent="0.15">
      <c r="BR1970" s="34"/>
      <c r="BV1970" s="34"/>
      <c r="BZ1970" s="34"/>
      <c r="CD1970" s="34"/>
    </row>
    <row r="1971" spans="70:82" x14ac:dyDescent="0.15">
      <c r="BR1971" s="34"/>
      <c r="BV1971" s="34"/>
      <c r="BZ1971" s="34"/>
      <c r="CD1971" s="34"/>
    </row>
    <row r="1972" spans="70:82" x14ac:dyDescent="0.15">
      <c r="BR1972" s="34"/>
      <c r="BV1972" s="34"/>
      <c r="BZ1972" s="34"/>
      <c r="CD1972" s="34"/>
    </row>
    <row r="1973" spans="70:82" x14ac:dyDescent="0.15">
      <c r="BR1973" s="34"/>
      <c r="BV1973" s="34"/>
      <c r="BZ1973" s="34"/>
      <c r="CD1973" s="34"/>
    </row>
    <row r="1974" spans="70:82" x14ac:dyDescent="0.15">
      <c r="BR1974" s="34"/>
      <c r="BV1974" s="34"/>
      <c r="BZ1974" s="34"/>
      <c r="CD1974" s="34"/>
    </row>
    <row r="1975" spans="70:82" x14ac:dyDescent="0.15">
      <c r="BR1975" s="34"/>
      <c r="BV1975" s="34"/>
      <c r="BZ1975" s="34"/>
      <c r="CD1975" s="34"/>
    </row>
    <row r="1976" spans="70:82" x14ac:dyDescent="0.15">
      <c r="BR1976" s="34"/>
      <c r="BV1976" s="34"/>
      <c r="BZ1976" s="34"/>
      <c r="CD1976" s="34"/>
    </row>
    <row r="1977" spans="70:82" x14ac:dyDescent="0.15">
      <c r="BR1977" s="34"/>
      <c r="BV1977" s="34"/>
      <c r="BZ1977" s="34"/>
      <c r="CD1977" s="34"/>
    </row>
    <row r="1978" spans="70:82" x14ac:dyDescent="0.15">
      <c r="BR1978" s="34"/>
      <c r="BV1978" s="34"/>
      <c r="BZ1978" s="34"/>
      <c r="CD1978" s="34"/>
    </row>
    <row r="1979" spans="70:82" x14ac:dyDescent="0.15">
      <c r="BR1979" s="34"/>
      <c r="BV1979" s="34"/>
      <c r="BZ1979" s="34"/>
      <c r="CD1979" s="34"/>
    </row>
    <row r="1980" spans="70:82" x14ac:dyDescent="0.15">
      <c r="BR1980" s="34"/>
      <c r="BV1980" s="34"/>
      <c r="BZ1980" s="34"/>
      <c r="CD1980" s="34"/>
    </row>
    <row r="1981" spans="70:82" x14ac:dyDescent="0.15">
      <c r="BR1981" s="34"/>
      <c r="BV1981" s="34"/>
      <c r="BZ1981" s="34"/>
      <c r="CD1981" s="34"/>
    </row>
    <row r="1982" spans="70:82" x14ac:dyDescent="0.15">
      <c r="BR1982" s="34"/>
      <c r="BV1982" s="34"/>
      <c r="BZ1982" s="34"/>
      <c r="CD1982" s="34"/>
    </row>
    <row r="1983" spans="70:82" x14ac:dyDescent="0.15">
      <c r="BR1983" s="34"/>
      <c r="BV1983" s="34"/>
      <c r="BZ1983" s="34"/>
      <c r="CD1983" s="34"/>
    </row>
    <row r="1984" spans="70:82" x14ac:dyDescent="0.15">
      <c r="BR1984" s="34"/>
      <c r="BV1984" s="34"/>
      <c r="BZ1984" s="34"/>
      <c r="CD1984" s="34"/>
    </row>
    <row r="1985" spans="70:82" x14ac:dyDescent="0.15">
      <c r="BR1985" s="34"/>
      <c r="BV1985" s="34"/>
      <c r="BZ1985" s="34"/>
      <c r="CD1985" s="34"/>
    </row>
    <row r="1986" spans="70:82" x14ac:dyDescent="0.15">
      <c r="BR1986" s="34"/>
      <c r="BV1986" s="34"/>
      <c r="BZ1986" s="34"/>
      <c r="CD1986" s="34"/>
    </row>
    <row r="1987" spans="70:82" x14ac:dyDescent="0.15">
      <c r="BR1987" s="34"/>
      <c r="BV1987" s="34"/>
      <c r="BZ1987" s="34"/>
      <c r="CD1987" s="34"/>
    </row>
    <row r="1988" spans="70:82" x14ac:dyDescent="0.15">
      <c r="BR1988" s="34"/>
      <c r="BV1988" s="34"/>
      <c r="BZ1988" s="34"/>
      <c r="CD1988" s="34"/>
    </row>
    <row r="1989" spans="70:82" x14ac:dyDescent="0.15">
      <c r="BR1989" s="34"/>
      <c r="BV1989" s="34"/>
      <c r="BZ1989" s="34"/>
      <c r="CD1989" s="34"/>
    </row>
    <row r="1990" spans="70:82" x14ac:dyDescent="0.15">
      <c r="BR1990" s="34"/>
      <c r="BV1990" s="34"/>
      <c r="BZ1990" s="34"/>
      <c r="CD1990" s="34"/>
    </row>
    <row r="1991" spans="70:82" x14ac:dyDescent="0.15">
      <c r="BR1991" s="34"/>
      <c r="BV1991" s="34"/>
      <c r="BZ1991" s="34"/>
      <c r="CD1991" s="34"/>
    </row>
    <row r="1992" spans="70:82" x14ac:dyDescent="0.15">
      <c r="BR1992" s="34"/>
      <c r="BV1992" s="34"/>
      <c r="BZ1992" s="34"/>
      <c r="CD1992" s="34"/>
    </row>
    <row r="1993" spans="70:82" x14ac:dyDescent="0.15">
      <c r="BR1993" s="34"/>
      <c r="BV1993" s="34"/>
      <c r="BZ1993" s="34"/>
      <c r="CD1993" s="34"/>
    </row>
    <row r="1994" spans="70:82" x14ac:dyDescent="0.15">
      <c r="BR1994" s="34"/>
      <c r="BV1994" s="34"/>
      <c r="BZ1994" s="34"/>
      <c r="CD1994" s="34"/>
    </row>
    <row r="1995" spans="70:82" x14ac:dyDescent="0.15">
      <c r="BR1995" s="34"/>
      <c r="BV1995" s="34"/>
      <c r="BZ1995" s="34"/>
      <c r="CD1995" s="34"/>
    </row>
    <row r="1996" spans="70:82" x14ac:dyDescent="0.15">
      <c r="BR1996" s="34"/>
      <c r="BV1996" s="34"/>
      <c r="BZ1996" s="34"/>
      <c r="CD1996" s="34"/>
    </row>
    <row r="1997" spans="70:82" x14ac:dyDescent="0.15">
      <c r="BR1997" s="34"/>
      <c r="BV1997" s="34"/>
      <c r="BZ1997" s="34"/>
      <c r="CD1997" s="34"/>
    </row>
    <row r="1998" spans="70:82" x14ac:dyDescent="0.15">
      <c r="BR1998" s="34"/>
      <c r="BV1998" s="34"/>
      <c r="BZ1998" s="34"/>
      <c r="CD1998" s="34"/>
    </row>
    <row r="1999" spans="70:82" x14ac:dyDescent="0.15">
      <c r="BR1999" s="34"/>
      <c r="BV1999" s="34"/>
      <c r="BZ1999" s="34"/>
      <c r="CD1999" s="34"/>
    </row>
    <row r="2000" spans="70:82" x14ac:dyDescent="0.15">
      <c r="BR2000" s="34"/>
      <c r="BV2000" s="34"/>
      <c r="BZ2000" s="34"/>
      <c r="CD2000" s="34"/>
    </row>
    <row r="2001" spans="70:82" x14ac:dyDescent="0.15">
      <c r="BR2001" s="34"/>
      <c r="BV2001" s="34"/>
      <c r="BZ2001" s="34"/>
      <c r="CD2001" s="34"/>
    </row>
    <row r="2002" spans="70:82" x14ac:dyDescent="0.15">
      <c r="BR2002" s="34"/>
      <c r="BV2002" s="34"/>
      <c r="BZ2002" s="34"/>
      <c r="CD2002" s="34"/>
    </row>
    <row r="2003" spans="70:82" x14ac:dyDescent="0.15">
      <c r="BR2003" s="34"/>
      <c r="BV2003" s="34"/>
      <c r="BZ2003" s="34"/>
      <c r="CD2003" s="34"/>
    </row>
    <row r="2004" spans="70:82" x14ac:dyDescent="0.15">
      <c r="BR2004" s="34"/>
      <c r="BV2004" s="34"/>
      <c r="BZ2004" s="34"/>
      <c r="CD2004" s="34"/>
    </row>
    <row r="2005" spans="70:82" x14ac:dyDescent="0.15">
      <c r="BR2005" s="34"/>
      <c r="BV2005" s="34"/>
      <c r="BZ2005" s="34"/>
      <c r="CD2005" s="34"/>
    </row>
    <row r="2006" spans="70:82" x14ac:dyDescent="0.15">
      <c r="BR2006" s="34"/>
      <c r="BV2006" s="34"/>
      <c r="BZ2006" s="34"/>
      <c r="CD2006" s="34"/>
    </row>
    <row r="2007" spans="70:82" x14ac:dyDescent="0.15">
      <c r="BR2007" s="34"/>
      <c r="BV2007" s="34"/>
      <c r="BZ2007" s="34"/>
      <c r="CD2007" s="34"/>
    </row>
    <row r="2008" spans="70:82" x14ac:dyDescent="0.15">
      <c r="BR2008" s="34"/>
      <c r="BV2008" s="34"/>
      <c r="BZ2008" s="34"/>
      <c r="CD2008" s="34"/>
    </row>
    <row r="2009" spans="70:82" x14ac:dyDescent="0.15">
      <c r="BR2009" s="34"/>
      <c r="BV2009" s="34"/>
      <c r="BZ2009" s="34"/>
      <c r="CD2009" s="34"/>
    </row>
    <row r="2010" spans="70:82" x14ac:dyDescent="0.15">
      <c r="BR2010" s="34"/>
      <c r="BV2010" s="34"/>
      <c r="BZ2010" s="34"/>
      <c r="CD2010" s="34"/>
    </row>
    <row r="2011" spans="70:82" x14ac:dyDescent="0.15">
      <c r="BR2011" s="34"/>
      <c r="BV2011" s="34"/>
      <c r="BZ2011" s="34"/>
      <c r="CD2011" s="34"/>
    </row>
    <row r="2012" spans="70:82" x14ac:dyDescent="0.15">
      <c r="BR2012" s="34"/>
      <c r="BV2012" s="34"/>
      <c r="BZ2012" s="34"/>
      <c r="CD2012" s="34"/>
    </row>
    <row r="2013" spans="70:82" x14ac:dyDescent="0.15">
      <c r="BR2013" s="34"/>
      <c r="BV2013" s="34"/>
      <c r="BZ2013" s="34"/>
      <c r="CD2013" s="34"/>
    </row>
    <row r="2014" spans="70:82" x14ac:dyDescent="0.15">
      <c r="BR2014" s="34"/>
      <c r="BV2014" s="34"/>
      <c r="BZ2014" s="34"/>
      <c r="CD2014" s="34"/>
    </row>
    <row r="2015" spans="70:82" x14ac:dyDescent="0.15">
      <c r="BR2015" s="34"/>
      <c r="BV2015" s="34"/>
      <c r="BZ2015" s="34"/>
      <c r="CD2015" s="34"/>
    </row>
    <row r="2016" spans="70:82" x14ac:dyDescent="0.15">
      <c r="BR2016" s="34"/>
      <c r="BV2016" s="34"/>
      <c r="BZ2016" s="34"/>
      <c r="CD2016" s="34"/>
    </row>
    <row r="2017" spans="70:82" x14ac:dyDescent="0.15">
      <c r="BR2017" s="34"/>
      <c r="BV2017" s="34"/>
      <c r="BZ2017" s="34"/>
      <c r="CD2017" s="34"/>
    </row>
    <row r="2018" spans="70:82" x14ac:dyDescent="0.15">
      <c r="BR2018" s="34"/>
      <c r="BV2018" s="34"/>
      <c r="BZ2018" s="34"/>
      <c r="CD2018" s="34"/>
    </row>
    <row r="2019" spans="70:82" x14ac:dyDescent="0.15">
      <c r="BR2019" s="34"/>
      <c r="BV2019" s="34"/>
      <c r="BZ2019" s="34"/>
      <c r="CD2019" s="34"/>
    </row>
    <row r="2020" spans="70:82" x14ac:dyDescent="0.15">
      <c r="BR2020" s="34"/>
      <c r="BV2020" s="34"/>
      <c r="BZ2020" s="34"/>
      <c r="CD2020" s="34"/>
    </row>
    <row r="2021" spans="70:82" x14ac:dyDescent="0.15">
      <c r="BR2021" s="34"/>
      <c r="BV2021" s="34"/>
      <c r="BZ2021" s="34"/>
      <c r="CD2021" s="34"/>
    </row>
    <row r="2022" spans="70:82" x14ac:dyDescent="0.15">
      <c r="BR2022" s="34"/>
      <c r="BV2022" s="34"/>
      <c r="BZ2022" s="34"/>
      <c r="CD2022" s="34"/>
    </row>
    <row r="2023" spans="70:82" x14ac:dyDescent="0.15">
      <c r="BR2023" s="34"/>
      <c r="BV2023" s="34"/>
      <c r="BZ2023" s="34"/>
      <c r="CD2023" s="34"/>
    </row>
    <row r="2024" spans="70:82" x14ac:dyDescent="0.15">
      <c r="BR2024" s="34"/>
      <c r="BV2024" s="34"/>
      <c r="BZ2024" s="34"/>
      <c r="CD2024" s="34"/>
    </row>
    <row r="2025" spans="70:82" x14ac:dyDescent="0.15">
      <c r="BR2025" s="34"/>
      <c r="BV2025" s="34"/>
      <c r="BZ2025" s="34"/>
      <c r="CD2025" s="34"/>
    </row>
    <row r="2026" spans="70:82" x14ac:dyDescent="0.15">
      <c r="BR2026" s="34"/>
      <c r="BV2026" s="34"/>
      <c r="BZ2026" s="34"/>
      <c r="CD2026" s="34"/>
    </row>
    <row r="2027" spans="70:82" x14ac:dyDescent="0.15">
      <c r="BR2027" s="34"/>
      <c r="BV2027" s="34"/>
      <c r="BZ2027" s="34"/>
      <c r="CD2027" s="34"/>
    </row>
    <row r="2028" spans="70:82" x14ac:dyDescent="0.15">
      <c r="BR2028" s="34"/>
      <c r="BV2028" s="34"/>
      <c r="BZ2028" s="34"/>
      <c r="CD2028" s="34"/>
    </row>
    <row r="2029" spans="70:82" x14ac:dyDescent="0.15">
      <c r="BR2029" s="34"/>
      <c r="BV2029" s="34"/>
      <c r="BZ2029" s="34"/>
      <c r="CD2029" s="34"/>
    </row>
    <row r="2030" spans="70:82" x14ac:dyDescent="0.15">
      <c r="BR2030" s="34"/>
      <c r="BV2030" s="34"/>
      <c r="BZ2030" s="34"/>
      <c r="CD2030" s="34"/>
    </row>
    <row r="2031" spans="70:82" x14ac:dyDescent="0.15">
      <c r="BR2031" s="34"/>
      <c r="BV2031" s="34"/>
      <c r="BZ2031" s="34"/>
      <c r="CD2031" s="34"/>
    </row>
    <row r="2032" spans="70:82" x14ac:dyDescent="0.15">
      <c r="BR2032" s="34"/>
      <c r="BV2032" s="34"/>
      <c r="BZ2032" s="34"/>
      <c r="CD2032" s="34"/>
    </row>
    <row r="2033" spans="70:82" x14ac:dyDescent="0.15">
      <c r="BR2033" s="34"/>
      <c r="BV2033" s="34"/>
      <c r="BZ2033" s="34"/>
      <c r="CD2033" s="34"/>
    </row>
    <row r="2034" spans="70:82" x14ac:dyDescent="0.15">
      <c r="BR2034" s="34"/>
      <c r="BV2034" s="34"/>
      <c r="BZ2034" s="34"/>
      <c r="CD2034" s="34"/>
    </row>
    <row r="2035" spans="70:82" x14ac:dyDescent="0.15">
      <c r="BR2035" s="34"/>
      <c r="BV2035" s="34"/>
      <c r="BZ2035" s="34"/>
      <c r="CD2035" s="34"/>
    </row>
    <row r="2036" spans="70:82" x14ac:dyDescent="0.15">
      <c r="BR2036" s="34"/>
      <c r="BV2036" s="34"/>
      <c r="BZ2036" s="34"/>
      <c r="CD2036" s="34"/>
    </row>
    <row r="2037" spans="70:82" x14ac:dyDescent="0.15">
      <c r="BR2037" s="34"/>
      <c r="BV2037" s="34"/>
      <c r="BZ2037" s="34"/>
      <c r="CD2037" s="34"/>
    </row>
    <row r="2038" spans="70:82" x14ac:dyDescent="0.15">
      <c r="BR2038" s="34"/>
      <c r="BV2038" s="34"/>
      <c r="BZ2038" s="34"/>
      <c r="CD2038" s="34"/>
    </row>
    <row r="2039" spans="70:82" x14ac:dyDescent="0.15">
      <c r="BR2039" s="34"/>
      <c r="BV2039" s="34"/>
      <c r="BZ2039" s="34"/>
      <c r="CD2039" s="34"/>
    </row>
    <row r="2040" spans="70:82" x14ac:dyDescent="0.15">
      <c r="BR2040" s="34"/>
      <c r="BV2040" s="34"/>
      <c r="BZ2040" s="34"/>
      <c r="CD2040" s="34"/>
    </row>
    <row r="2041" spans="70:82" x14ac:dyDescent="0.15">
      <c r="BR2041" s="34"/>
      <c r="BV2041" s="34"/>
      <c r="BZ2041" s="34"/>
      <c r="CD2041" s="34"/>
    </row>
    <row r="2042" spans="70:82" x14ac:dyDescent="0.15">
      <c r="BR2042" s="34"/>
      <c r="BV2042" s="34"/>
      <c r="BZ2042" s="34"/>
      <c r="CD2042" s="34"/>
    </row>
    <row r="2043" spans="70:82" x14ac:dyDescent="0.15">
      <c r="BR2043" s="34"/>
      <c r="BV2043" s="34"/>
      <c r="BZ2043" s="34"/>
      <c r="CD2043" s="34"/>
    </row>
    <row r="2044" spans="70:82" x14ac:dyDescent="0.15">
      <c r="BR2044" s="34"/>
      <c r="BV2044" s="34"/>
      <c r="BZ2044" s="34"/>
      <c r="CD2044" s="34"/>
    </row>
    <row r="2045" spans="70:82" x14ac:dyDescent="0.15">
      <c r="BR2045" s="34"/>
      <c r="BV2045" s="34"/>
      <c r="BZ2045" s="34"/>
      <c r="CD2045" s="34"/>
    </row>
    <row r="2046" spans="70:82" x14ac:dyDescent="0.15">
      <c r="BR2046" s="34"/>
      <c r="BV2046" s="34"/>
      <c r="BZ2046" s="34"/>
      <c r="CD2046" s="34"/>
    </row>
    <row r="2047" spans="70:82" x14ac:dyDescent="0.15">
      <c r="BR2047" s="34"/>
      <c r="BV2047" s="34"/>
      <c r="BZ2047" s="34"/>
      <c r="CD2047" s="34"/>
    </row>
    <row r="2048" spans="70:82" x14ac:dyDescent="0.15">
      <c r="BR2048" s="34"/>
      <c r="BV2048" s="34"/>
      <c r="BZ2048" s="34"/>
      <c r="CD2048" s="34"/>
    </row>
    <row r="2049" spans="70:82" x14ac:dyDescent="0.15">
      <c r="BR2049" s="34"/>
      <c r="BV2049" s="34"/>
      <c r="BZ2049" s="34"/>
      <c r="CD2049" s="34"/>
    </row>
    <row r="2050" spans="70:82" x14ac:dyDescent="0.15">
      <c r="BR2050" s="34"/>
      <c r="BV2050" s="34"/>
      <c r="BZ2050" s="34"/>
      <c r="CD2050" s="34"/>
    </row>
    <row r="2051" spans="70:82" x14ac:dyDescent="0.15">
      <c r="BR2051" s="34"/>
      <c r="BV2051" s="34"/>
      <c r="BZ2051" s="34"/>
      <c r="CD2051" s="34"/>
    </row>
    <row r="2052" spans="70:82" x14ac:dyDescent="0.15">
      <c r="BR2052" s="34"/>
      <c r="BV2052" s="34"/>
      <c r="BZ2052" s="34"/>
      <c r="CD2052" s="34"/>
    </row>
    <row r="2053" spans="70:82" x14ac:dyDescent="0.15">
      <c r="BR2053" s="34"/>
      <c r="BV2053" s="34"/>
      <c r="BZ2053" s="34"/>
      <c r="CD2053" s="34"/>
    </row>
    <row r="2054" spans="70:82" x14ac:dyDescent="0.15">
      <c r="BR2054" s="34"/>
      <c r="BV2054" s="34"/>
      <c r="BZ2054" s="34"/>
      <c r="CD2054" s="34"/>
    </row>
    <row r="2055" spans="70:82" x14ac:dyDescent="0.15">
      <c r="BR2055" s="34"/>
      <c r="BV2055" s="34"/>
      <c r="BZ2055" s="34"/>
      <c r="CD2055" s="34"/>
    </row>
    <row r="2056" spans="70:82" x14ac:dyDescent="0.15">
      <c r="BR2056" s="34"/>
      <c r="BV2056" s="34"/>
      <c r="BZ2056" s="34"/>
      <c r="CD2056" s="34"/>
    </row>
    <row r="2057" spans="70:82" x14ac:dyDescent="0.15">
      <c r="BR2057" s="34"/>
      <c r="BV2057" s="34"/>
      <c r="BZ2057" s="34"/>
      <c r="CD2057" s="34"/>
    </row>
    <row r="2058" spans="70:82" x14ac:dyDescent="0.15">
      <c r="BR2058" s="34"/>
      <c r="BV2058" s="34"/>
      <c r="BZ2058" s="34"/>
      <c r="CD2058" s="34"/>
    </row>
    <row r="2059" spans="70:82" x14ac:dyDescent="0.15">
      <c r="BR2059" s="34"/>
      <c r="BV2059" s="34"/>
      <c r="BZ2059" s="34"/>
      <c r="CD2059" s="34"/>
    </row>
    <row r="2060" spans="70:82" x14ac:dyDescent="0.15">
      <c r="BR2060" s="34"/>
      <c r="BV2060" s="34"/>
      <c r="BZ2060" s="34"/>
      <c r="CD2060" s="34"/>
    </row>
    <row r="2061" spans="70:82" x14ac:dyDescent="0.15">
      <c r="BR2061" s="34"/>
      <c r="BV2061" s="34"/>
      <c r="BZ2061" s="34"/>
      <c r="CD2061" s="34"/>
    </row>
    <row r="2062" spans="70:82" x14ac:dyDescent="0.15">
      <c r="BR2062" s="34"/>
      <c r="BV2062" s="34"/>
      <c r="BZ2062" s="34"/>
      <c r="CD2062" s="34"/>
    </row>
    <row r="2063" spans="70:82" x14ac:dyDescent="0.15">
      <c r="BR2063" s="34"/>
      <c r="BV2063" s="34"/>
      <c r="BZ2063" s="34"/>
      <c r="CD2063" s="34"/>
    </row>
    <row r="2064" spans="70:82" x14ac:dyDescent="0.15">
      <c r="BR2064" s="34"/>
      <c r="BV2064" s="34"/>
      <c r="BZ2064" s="34"/>
      <c r="CD2064" s="34"/>
    </row>
    <row r="2065" spans="70:82" x14ac:dyDescent="0.15">
      <c r="BR2065" s="34"/>
      <c r="BV2065" s="34"/>
      <c r="BZ2065" s="34"/>
      <c r="CD2065" s="34"/>
    </row>
    <row r="2066" spans="70:82" x14ac:dyDescent="0.15">
      <c r="BR2066" s="34"/>
      <c r="BV2066" s="34"/>
      <c r="BZ2066" s="34"/>
      <c r="CD2066" s="34"/>
    </row>
    <row r="2067" spans="70:82" x14ac:dyDescent="0.15">
      <c r="BR2067" s="34"/>
      <c r="BV2067" s="34"/>
      <c r="BZ2067" s="34"/>
      <c r="CD2067" s="34"/>
    </row>
    <row r="2068" spans="70:82" x14ac:dyDescent="0.15">
      <c r="BR2068" s="34"/>
      <c r="BV2068" s="34"/>
      <c r="BZ2068" s="34"/>
      <c r="CD2068" s="34"/>
    </row>
    <row r="2069" spans="70:82" x14ac:dyDescent="0.15">
      <c r="BR2069" s="34"/>
      <c r="BV2069" s="34"/>
      <c r="BZ2069" s="34"/>
      <c r="CD2069" s="34"/>
    </row>
    <row r="2070" spans="70:82" x14ac:dyDescent="0.15">
      <c r="BR2070" s="34"/>
      <c r="BV2070" s="34"/>
      <c r="BZ2070" s="34"/>
      <c r="CD2070" s="34"/>
    </row>
    <row r="2071" spans="70:82" x14ac:dyDescent="0.15">
      <c r="BR2071" s="34"/>
      <c r="BV2071" s="34"/>
      <c r="BZ2071" s="34"/>
      <c r="CD2071" s="34"/>
    </row>
    <row r="2072" spans="70:82" x14ac:dyDescent="0.15">
      <c r="BR2072" s="34"/>
      <c r="BV2072" s="34"/>
      <c r="BZ2072" s="34"/>
      <c r="CD2072" s="34"/>
    </row>
    <row r="2073" spans="70:82" x14ac:dyDescent="0.15">
      <c r="BR2073" s="34"/>
      <c r="BV2073" s="34"/>
      <c r="BZ2073" s="34"/>
      <c r="CD2073" s="34"/>
    </row>
    <row r="2074" spans="70:82" x14ac:dyDescent="0.15">
      <c r="BR2074" s="34"/>
      <c r="BV2074" s="34"/>
      <c r="BZ2074" s="34"/>
      <c r="CD2074" s="34"/>
    </row>
    <row r="2075" spans="70:82" x14ac:dyDescent="0.15">
      <c r="BR2075" s="34"/>
      <c r="BV2075" s="34"/>
      <c r="BZ2075" s="34"/>
      <c r="CD2075" s="34"/>
    </row>
    <row r="2076" spans="70:82" x14ac:dyDescent="0.15">
      <c r="BR2076" s="34"/>
      <c r="BV2076" s="34"/>
      <c r="BZ2076" s="34"/>
      <c r="CD2076" s="34"/>
    </row>
    <row r="2077" spans="70:82" x14ac:dyDescent="0.15">
      <c r="BR2077" s="34"/>
      <c r="BV2077" s="34"/>
      <c r="BZ2077" s="34"/>
      <c r="CD2077" s="34"/>
    </row>
    <row r="2078" spans="70:82" x14ac:dyDescent="0.15">
      <c r="BR2078" s="34"/>
      <c r="BV2078" s="34"/>
      <c r="BZ2078" s="34"/>
      <c r="CD2078" s="34"/>
    </row>
    <row r="2079" spans="70:82" x14ac:dyDescent="0.15">
      <c r="BR2079" s="34"/>
      <c r="BV2079" s="34"/>
      <c r="BZ2079" s="34"/>
      <c r="CD2079" s="34"/>
    </row>
    <row r="2080" spans="70:82" x14ac:dyDescent="0.15">
      <c r="BR2080" s="34"/>
      <c r="BV2080" s="34"/>
      <c r="BZ2080" s="34"/>
      <c r="CD2080" s="34"/>
    </row>
    <row r="2081" spans="70:82" x14ac:dyDescent="0.15">
      <c r="BR2081" s="34"/>
      <c r="BV2081" s="34"/>
      <c r="BZ2081" s="34"/>
      <c r="CD2081" s="34"/>
    </row>
    <row r="2082" spans="70:82" x14ac:dyDescent="0.15">
      <c r="BR2082" s="34"/>
      <c r="BV2082" s="34"/>
      <c r="BZ2082" s="34"/>
      <c r="CD2082" s="34"/>
    </row>
    <row r="2083" spans="70:82" x14ac:dyDescent="0.15">
      <c r="BR2083" s="34"/>
      <c r="BV2083" s="34"/>
      <c r="BZ2083" s="34"/>
      <c r="CD2083" s="34"/>
    </row>
    <row r="2084" spans="70:82" x14ac:dyDescent="0.15">
      <c r="BR2084" s="34"/>
      <c r="BV2084" s="34"/>
      <c r="BZ2084" s="34"/>
      <c r="CD2084" s="34"/>
    </row>
    <row r="2085" spans="70:82" x14ac:dyDescent="0.15">
      <c r="BR2085" s="34"/>
      <c r="BV2085" s="34"/>
      <c r="BZ2085" s="34"/>
      <c r="CD2085" s="34"/>
    </row>
    <row r="2086" spans="70:82" x14ac:dyDescent="0.15">
      <c r="BR2086" s="34"/>
      <c r="BV2086" s="34"/>
      <c r="BZ2086" s="34"/>
      <c r="CD2086" s="34"/>
    </row>
    <row r="2087" spans="70:82" x14ac:dyDescent="0.15">
      <c r="BR2087" s="34"/>
      <c r="BV2087" s="34"/>
      <c r="BZ2087" s="34"/>
      <c r="CD2087" s="34"/>
    </row>
    <row r="2088" spans="70:82" x14ac:dyDescent="0.15">
      <c r="BR2088" s="34"/>
      <c r="BV2088" s="34"/>
      <c r="BZ2088" s="34"/>
      <c r="CD2088" s="34"/>
    </row>
    <row r="2089" spans="70:82" x14ac:dyDescent="0.15">
      <c r="BR2089" s="34"/>
      <c r="BV2089" s="34"/>
      <c r="BZ2089" s="34"/>
      <c r="CD2089" s="34"/>
    </row>
    <row r="2090" spans="70:82" x14ac:dyDescent="0.15">
      <c r="BR2090" s="34"/>
      <c r="BV2090" s="34"/>
      <c r="BZ2090" s="34"/>
      <c r="CD2090" s="34"/>
    </row>
    <row r="2091" spans="70:82" x14ac:dyDescent="0.15">
      <c r="BR2091" s="34"/>
      <c r="BV2091" s="34"/>
      <c r="BZ2091" s="34"/>
      <c r="CD2091" s="34"/>
    </row>
    <row r="2092" spans="70:82" x14ac:dyDescent="0.15">
      <c r="BR2092" s="34"/>
      <c r="BV2092" s="34"/>
      <c r="BZ2092" s="34"/>
      <c r="CD2092" s="34"/>
    </row>
    <row r="2093" spans="70:82" x14ac:dyDescent="0.15">
      <c r="BR2093" s="34"/>
      <c r="BV2093" s="34"/>
      <c r="BZ2093" s="34"/>
      <c r="CD2093" s="34"/>
    </row>
    <row r="2094" spans="70:82" x14ac:dyDescent="0.15">
      <c r="BR2094" s="34"/>
      <c r="BV2094" s="34"/>
      <c r="BZ2094" s="34"/>
      <c r="CD2094" s="34"/>
    </row>
    <row r="2095" spans="70:82" x14ac:dyDescent="0.15">
      <c r="BR2095" s="34"/>
      <c r="BV2095" s="34"/>
      <c r="BZ2095" s="34"/>
      <c r="CD2095" s="34"/>
    </row>
    <row r="2096" spans="70:82" x14ac:dyDescent="0.15">
      <c r="BR2096" s="34"/>
      <c r="BV2096" s="34"/>
      <c r="BZ2096" s="34"/>
      <c r="CD2096" s="34"/>
    </row>
    <row r="2097" spans="70:82" x14ac:dyDescent="0.15">
      <c r="BR2097" s="34"/>
      <c r="BV2097" s="34"/>
      <c r="BZ2097" s="34"/>
      <c r="CD2097" s="34"/>
    </row>
    <row r="2098" spans="70:82" x14ac:dyDescent="0.15">
      <c r="BR2098" s="34"/>
      <c r="BV2098" s="34"/>
      <c r="BZ2098" s="34"/>
      <c r="CD2098" s="34"/>
    </row>
    <row r="2099" spans="70:82" x14ac:dyDescent="0.15">
      <c r="BR2099" s="34"/>
      <c r="BV2099" s="34"/>
      <c r="BZ2099" s="34"/>
      <c r="CD2099" s="34"/>
    </row>
    <row r="2100" spans="70:82" x14ac:dyDescent="0.15">
      <c r="BR2100" s="34"/>
      <c r="BV2100" s="34"/>
      <c r="BZ2100" s="34"/>
      <c r="CD2100" s="34"/>
    </row>
    <row r="2101" spans="70:82" x14ac:dyDescent="0.15">
      <c r="BR2101" s="34"/>
      <c r="BV2101" s="34"/>
      <c r="BZ2101" s="34"/>
      <c r="CD2101" s="34"/>
    </row>
    <row r="2102" spans="70:82" x14ac:dyDescent="0.15">
      <c r="BR2102" s="34"/>
      <c r="BV2102" s="34"/>
      <c r="BZ2102" s="34"/>
      <c r="CD2102" s="34"/>
    </row>
    <row r="2103" spans="70:82" x14ac:dyDescent="0.15">
      <c r="BR2103" s="34"/>
      <c r="BV2103" s="34"/>
      <c r="BZ2103" s="34"/>
      <c r="CD2103" s="34"/>
    </row>
    <row r="2104" spans="70:82" x14ac:dyDescent="0.15">
      <c r="BR2104" s="34"/>
      <c r="BV2104" s="34"/>
      <c r="BZ2104" s="34"/>
      <c r="CD2104" s="34"/>
    </row>
    <row r="2105" spans="70:82" x14ac:dyDescent="0.15">
      <c r="BR2105" s="34"/>
      <c r="BV2105" s="34"/>
      <c r="BZ2105" s="34"/>
      <c r="CD2105" s="34"/>
    </row>
    <row r="2106" spans="70:82" x14ac:dyDescent="0.15">
      <c r="BR2106" s="34"/>
      <c r="BV2106" s="34"/>
      <c r="BZ2106" s="34"/>
      <c r="CD2106" s="34"/>
    </row>
    <row r="2107" spans="70:82" x14ac:dyDescent="0.15">
      <c r="BR2107" s="34"/>
      <c r="BV2107" s="34"/>
      <c r="BZ2107" s="34"/>
      <c r="CD2107" s="34"/>
    </row>
    <row r="2108" spans="70:82" x14ac:dyDescent="0.15">
      <c r="BR2108" s="34"/>
      <c r="BV2108" s="34"/>
      <c r="BZ2108" s="34"/>
      <c r="CD2108" s="34"/>
    </row>
    <row r="2109" spans="70:82" x14ac:dyDescent="0.15">
      <c r="BR2109" s="34"/>
      <c r="BV2109" s="34"/>
      <c r="BZ2109" s="34"/>
      <c r="CD2109" s="34"/>
    </row>
    <row r="2110" spans="70:82" x14ac:dyDescent="0.15">
      <c r="BR2110" s="34"/>
      <c r="BV2110" s="34"/>
      <c r="BZ2110" s="34"/>
      <c r="CD2110" s="34"/>
    </row>
    <row r="2111" spans="70:82" x14ac:dyDescent="0.15">
      <c r="BR2111" s="34"/>
      <c r="BV2111" s="34"/>
      <c r="BZ2111" s="34"/>
      <c r="CD2111" s="34"/>
    </row>
    <row r="2112" spans="70:82" x14ac:dyDescent="0.15">
      <c r="BR2112" s="34"/>
      <c r="BV2112" s="34"/>
      <c r="BZ2112" s="34"/>
      <c r="CD2112" s="34"/>
    </row>
    <row r="2113" spans="70:82" x14ac:dyDescent="0.15">
      <c r="BR2113" s="34"/>
      <c r="BV2113" s="34"/>
      <c r="BZ2113" s="34"/>
      <c r="CD2113" s="34"/>
    </row>
    <row r="2114" spans="70:82" x14ac:dyDescent="0.15">
      <c r="BR2114" s="34"/>
      <c r="BV2114" s="34"/>
      <c r="BZ2114" s="34"/>
      <c r="CD2114" s="34"/>
    </row>
    <row r="2115" spans="70:82" x14ac:dyDescent="0.15">
      <c r="BR2115" s="34"/>
      <c r="BV2115" s="34"/>
      <c r="BZ2115" s="34"/>
      <c r="CD2115" s="34"/>
    </row>
    <row r="2116" spans="70:82" x14ac:dyDescent="0.15">
      <c r="BR2116" s="34"/>
      <c r="BV2116" s="34"/>
      <c r="BZ2116" s="34"/>
      <c r="CD2116" s="34"/>
    </row>
    <row r="2117" spans="70:82" x14ac:dyDescent="0.15">
      <c r="BR2117" s="34"/>
      <c r="BV2117" s="34"/>
      <c r="BZ2117" s="34"/>
      <c r="CD2117" s="34"/>
    </row>
    <row r="2118" spans="70:82" x14ac:dyDescent="0.15">
      <c r="BR2118" s="34"/>
      <c r="BV2118" s="34"/>
      <c r="BZ2118" s="34"/>
      <c r="CD2118" s="34"/>
    </row>
    <row r="2119" spans="70:82" x14ac:dyDescent="0.15">
      <c r="BR2119" s="34"/>
      <c r="BV2119" s="34"/>
      <c r="BZ2119" s="34"/>
      <c r="CD2119" s="34"/>
    </row>
    <row r="2120" spans="70:82" x14ac:dyDescent="0.15">
      <c r="BR2120" s="34"/>
      <c r="BV2120" s="34"/>
      <c r="BZ2120" s="34"/>
      <c r="CD2120" s="34"/>
    </row>
    <row r="2121" spans="70:82" x14ac:dyDescent="0.15">
      <c r="BR2121" s="34"/>
      <c r="BV2121" s="34"/>
      <c r="BZ2121" s="34"/>
      <c r="CD2121" s="34"/>
    </row>
    <row r="2122" spans="70:82" x14ac:dyDescent="0.15">
      <c r="BR2122" s="34"/>
      <c r="BV2122" s="34"/>
      <c r="BZ2122" s="34"/>
      <c r="CD2122" s="34"/>
    </row>
    <row r="2123" spans="70:82" x14ac:dyDescent="0.15">
      <c r="BR2123" s="34"/>
      <c r="BV2123" s="34"/>
      <c r="BZ2123" s="34"/>
      <c r="CD2123" s="34"/>
    </row>
    <row r="2124" spans="70:82" x14ac:dyDescent="0.15">
      <c r="BR2124" s="34"/>
      <c r="BV2124" s="34"/>
      <c r="BZ2124" s="34"/>
      <c r="CD2124" s="34"/>
    </row>
    <row r="2125" spans="70:82" x14ac:dyDescent="0.15">
      <c r="BR2125" s="34"/>
      <c r="BV2125" s="34"/>
      <c r="BZ2125" s="34"/>
      <c r="CD2125" s="34"/>
    </row>
    <row r="2126" spans="70:82" x14ac:dyDescent="0.15">
      <c r="BR2126" s="34"/>
      <c r="BV2126" s="34"/>
      <c r="BZ2126" s="34"/>
      <c r="CD2126" s="34"/>
    </row>
    <row r="2127" spans="70:82" x14ac:dyDescent="0.15">
      <c r="BR2127" s="34"/>
      <c r="BV2127" s="34"/>
      <c r="BZ2127" s="34"/>
      <c r="CD2127" s="34"/>
    </row>
    <row r="2128" spans="70:82" x14ac:dyDescent="0.15">
      <c r="BR2128" s="34"/>
      <c r="BV2128" s="34"/>
      <c r="BZ2128" s="34"/>
      <c r="CD2128" s="34"/>
    </row>
    <row r="2129" spans="70:82" x14ac:dyDescent="0.15">
      <c r="BR2129" s="34"/>
      <c r="BV2129" s="34"/>
      <c r="BZ2129" s="34"/>
      <c r="CD2129" s="34"/>
    </row>
    <row r="2130" spans="70:82" x14ac:dyDescent="0.15">
      <c r="BR2130" s="34"/>
      <c r="BV2130" s="34"/>
      <c r="BZ2130" s="34"/>
      <c r="CD2130" s="34"/>
    </row>
    <row r="2131" spans="70:82" x14ac:dyDescent="0.15">
      <c r="BR2131" s="34"/>
      <c r="BV2131" s="34"/>
      <c r="BZ2131" s="34"/>
      <c r="CD2131" s="34"/>
    </row>
    <row r="2132" spans="70:82" x14ac:dyDescent="0.15">
      <c r="BR2132" s="34"/>
      <c r="BV2132" s="34"/>
      <c r="BZ2132" s="34"/>
      <c r="CD2132" s="34"/>
    </row>
    <row r="2133" spans="70:82" x14ac:dyDescent="0.15">
      <c r="BR2133" s="34"/>
      <c r="BV2133" s="34"/>
      <c r="BZ2133" s="34"/>
      <c r="CD2133" s="34"/>
    </row>
    <row r="2134" spans="70:82" x14ac:dyDescent="0.15">
      <c r="BR2134" s="34"/>
      <c r="BV2134" s="34"/>
      <c r="BZ2134" s="34"/>
      <c r="CD2134" s="34"/>
    </row>
    <row r="2135" spans="70:82" x14ac:dyDescent="0.15">
      <c r="BR2135" s="34"/>
      <c r="BV2135" s="34"/>
      <c r="BZ2135" s="34"/>
      <c r="CD2135" s="34"/>
    </row>
    <row r="2136" spans="70:82" x14ac:dyDescent="0.15">
      <c r="BR2136" s="34"/>
      <c r="BV2136" s="34"/>
      <c r="BZ2136" s="34"/>
      <c r="CD2136" s="34"/>
    </row>
    <row r="2137" spans="70:82" x14ac:dyDescent="0.15">
      <c r="BR2137" s="34"/>
      <c r="BV2137" s="34"/>
      <c r="BZ2137" s="34"/>
      <c r="CD2137" s="34"/>
    </row>
    <row r="2138" spans="70:82" x14ac:dyDescent="0.15">
      <c r="BR2138" s="34"/>
      <c r="BV2138" s="34"/>
      <c r="BZ2138" s="34"/>
      <c r="CD2138" s="34"/>
    </row>
    <row r="2139" spans="70:82" x14ac:dyDescent="0.15">
      <c r="BR2139" s="34"/>
      <c r="BV2139" s="34"/>
      <c r="BZ2139" s="34"/>
      <c r="CD2139" s="34"/>
    </row>
    <row r="2140" spans="70:82" x14ac:dyDescent="0.15">
      <c r="BR2140" s="34"/>
      <c r="BV2140" s="34"/>
      <c r="BZ2140" s="34"/>
      <c r="CD2140" s="34"/>
    </row>
    <row r="2141" spans="70:82" x14ac:dyDescent="0.15">
      <c r="BR2141" s="34"/>
      <c r="BV2141" s="34"/>
      <c r="BZ2141" s="34"/>
      <c r="CD2141" s="34"/>
    </row>
    <row r="2142" spans="70:82" x14ac:dyDescent="0.15">
      <c r="BR2142" s="34"/>
      <c r="BV2142" s="34"/>
      <c r="BZ2142" s="34"/>
      <c r="CD2142" s="34"/>
    </row>
    <row r="2143" spans="70:82" x14ac:dyDescent="0.15">
      <c r="BR2143" s="34"/>
      <c r="BV2143" s="34"/>
      <c r="BZ2143" s="34"/>
      <c r="CD2143" s="34"/>
    </row>
    <row r="2144" spans="70:82" x14ac:dyDescent="0.15">
      <c r="BR2144" s="34"/>
      <c r="BV2144" s="34"/>
      <c r="BZ2144" s="34"/>
      <c r="CD2144" s="34"/>
    </row>
    <row r="2145" spans="70:82" x14ac:dyDescent="0.15">
      <c r="BR2145" s="34"/>
      <c r="BV2145" s="34"/>
      <c r="BZ2145" s="34"/>
      <c r="CD2145" s="34"/>
    </row>
    <row r="2146" spans="70:82" x14ac:dyDescent="0.15">
      <c r="BR2146" s="34"/>
      <c r="BV2146" s="34"/>
      <c r="BZ2146" s="34"/>
      <c r="CD2146" s="34"/>
    </row>
    <row r="2147" spans="70:82" x14ac:dyDescent="0.15">
      <c r="BR2147" s="34"/>
      <c r="BV2147" s="34"/>
      <c r="BZ2147" s="34"/>
      <c r="CD2147" s="34"/>
    </row>
    <row r="2148" spans="70:82" x14ac:dyDescent="0.15">
      <c r="BR2148" s="34"/>
      <c r="BV2148" s="34"/>
      <c r="BZ2148" s="34"/>
      <c r="CD2148" s="34"/>
    </row>
    <row r="2149" spans="70:82" x14ac:dyDescent="0.15">
      <c r="BR2149" s="34"/>
      <c r="BV2149" s="34"/>
      <c r="BZ2149" s="34"/>
      <c r="CD2149" s="34"/>
    </row>
    <row r="2150" spans="70:82" x14ac:dyDescent="0.15">
      <c r="BR2150" s="34"/>
      <c r="BV2150" s="34"/>
      <c r="BZ2150" s="34"/>
      <c r="CD2150" s="34"/>
    </row>
    <row r="2151" spans="70:82" x14ac:dyDescent="0.15">
      <c r="BR2151" s="34"/>
      <c r="BV2151" s="34"/>
      <c r="BZ2151" s="34"/>
      <c r="CD2151" s="34"/>
    </row>
    <row r="2152" spans="70:82" x14ac:dyDescent="0.15">
      <c r="BR2152" s="34"/>
      <c r="BV2152" s="34"/>
      <c r="BZ2152" s="34"/>
      <c r="CD2152" s="34"/>
    </row>
    <row r="2153" spans="70:82" x14ac:dyDescent="0.15">
      <c r="BR2153" s="34"/>
      <c r="BV2153" s="34"/>
      <c r="BZ2153" s="34"/>
      <c r="CD2153" s="34"/>
    </row>
    <row r="2154" spans="70:82" x14ac:dyDescent="0.15">
      <c r="BR2154" s="34"/>
      <c r="BV2154" s="34"/>
      <c r="BZ2154" s="34"/>
      <c r="CD2154" s="34"/>
    </row>
    <row r="2155" spans="70:82" x14ac:dyDescent="0.15">
      <c r="BR2155" s="34"/>
      <c r="BV2155" s="34"/>
      <c r="BZ2155" s="34"/>
      <c r="CD2155" s="34"/>
    </row>
    <row r="2156" spans="70:82" x14ac:dyDescent="0.15">
      <c r="BR2156" s="34"/>
      <c r="BV2156" s="34"/>
      <c r="BZ2156" s="34"/>
      <c r="CD2156" s="34"/>
    </row>
    <row r="2157" spans="70:82" x14ac:dyDescent="0.15">
      <c r="BR2157" s="34"/>
      <c r="BV2157" s="34"/>
      <c r="BZ2157" s="34"/>
      <c r="CD2157" s="34"/>
    </row>
    <row r="2158" spans="70:82" x14ac:dyDescent="0.15">
      <c r="BR2158" s="34"/>
      <c r="BV2158" s="34"/>
      <c r="BZ2158" s="34"/>
      <c r="CD2158" s="34"/>
    </row>
    <row r="2159" spans="70:82" x14ac:dyDescent="0.15">
      <c r="BR2159" s="34"/>
      <c r="BV2159" s="34"/>
      <c r="BZ2159" s="34"/>
      <c r="CD2159" s="34"/>
    </row>
    <row r="2160" spans="70:82" x14ac:dyDescent="0.15">
      <c r="BR2160" s="34"/>
      <c r="BV2160" s="34"/>
      <c r="BZ2160" s="34"/>
      <c r="CD2160" s="34"/>
    </row>
    <row r="2161" spans="70:82" x14ac:dyDescent="0.15">
      <c r="BR2161" s="34"/>
      <c r="BV2161" s="34"/>
      <c r="BZ2161" s="34"/>
      <c r="CD2161" s="34"/>
    </row>
    <row r="2162" spans="70:82" x14ac:dyDescent="0.15">
      <c r="BR2162" s="34"/>
      <c r="BV2162" s="34"/>
      <c r="BZ2162" s="34"/>
      <c r="CD2162" s="34"/>
    </row>
    <row r="2163" spans="70:82" x14ac:dyDescent="0.15">
      <c r="BR2163" s="34"/>
      <c r="BV2163" s="34"/>
      <c r="BZ2163" s="34"/>
      <c r="CD2163" s="34"/>
    </row>
    <row r="2164" spans="70:82" x14ac:dyDescent="0.15">
      <c r="BR2164" s="34"/>
      <c r="BV2164" s="34"/>
      <c r="BZ2164" s="34"/>
      <c r="CD2164" s="34"/>
    </row>
    <row r="2165" spans="70:82" x14ac:dyDescent="0.15">
      <c r="BR2165" s="34"/>
      <c r="BV2165" s="34"/>
      <c r="BZ2165" s="34"/>
      <c r="CD2165" s="34"/>
    </row>
    <row r="2166" spans="70:82" x14ac:dyDescent="0.15">
      <c r="BR2166" s="34"/>
      <c r="BV2166" s="34"/>
      <c r="BZ2166" s="34"/>
      <c r="CD2166" s="34"/>
    </row>
    <row r="2167" spans="70:82" x14ac:dyDescent="0.15">
      <c r="BR2167" s="34"/>
      <c r="BV2167" s="34"/>
      <c r="BZ2167" s="34"/>
      <c r="CD2167" s="34"/>
    </row>
    <row r="2168" spans="70:82" x14ac:dyDescent="0.15">
      <c r="BR2168" s="34"/>
      <c r="BV2168" s="34"/>
      <c r="BZ2168" s="34"/>
      <c r="CD2168" s="34"/>
    </row>
    <row r="2169" spans="70:82" x14ac:dyDescent="0.15">
      <c r="BR2169" s="34"/>
      <c r="BV2169" s="34"/>
      <c r="BZ2169" s="34"/>
      <c r="CD2169" s="34"/>
    </row>
    <row r="2170" spans="70:82" x14ac:dyDescent="0.15">
      <c r="BR2170" s="34"/>
      <c r="BV2170" s="34"/>
      <c r="BZ2170" s="34"/>
      <c r="CD2170" s="34"/>
    </row>
    <row r="2171" spans="70:82" x14ac:dyDescent="0.15">
      <c r="BR2171" s="34"/>
      <c r="BV2171" s="34"/>
      <c r="BZ2171" s="34"/>
      <c r="CD2171" s="34"/>
    </row>
    <row r="2172" spans="70:82" x14ac:dyDescent="0.15">
      <c r="BR2172" s="34"/>
      <c r="BV2172" s="34"/>
      <c r="BZ2172" s="34"/>
      <c r="CD2172" s="34"/>
    </row>
    <row r="2173" spans="70:82" x14ac:dyDescent="0.15">
      <c r="BR2173" s="34"/>
      <c r="BV2173" s="34"/>
      <c r="BZ2173" s="34"/>
      <c r="CD2173" s="34"/>
    </row>
    <row r="2174" spans="70:82" x14ac:dyDescent="0.15">
      <c r="BR2174" s="34"/>
      <c r="BV2174" s="34"/>
      <c r="BZ2174" s="34"/>
      <c r="CD2174" s="34"/>
    </row>
    <row r="2175" spans="70:82" x14ac:dyDescent="0.15">
      <c r="BR2175" s="34"/>
      <c r="BV2175" s="34"/>
      <c r="BZ2175" s="34"/>
      <c r="CD2175" s="34"/>
    </row>
    <row r="2176" spans="70:82" x14ac:dyDescent="0.15">
      <c r="BR2176" s="34"/>
      <c r="BV2176" s="34"/>
      <c r="BZ2176" s="34"/>
      <c r="CD2176" s="34"/>
    </row>
    <row r="2177" spans="70:82" x14ac:dyDescent="0.15">
      <c r="BR2177" s="34"/>
      <c r="BV2177" s="34"/>
      <c r="BZ2177" s="34"/>
      <c r="CD2177" s="34"/>
    </row>
    <row r="2178" spans="70:82" x14ac:dyDescent="0.15">
      <c r="BR2178" s="34"/>
      <c r="BV2178" s="34"/>
      <c r="BZ2178" s="34"/>
      <c r="CD2178" s="34"/>
    </row>
    <row r="2179" spans="70:82" x14ac:dyDescent="0.15">
      <c r="BR2179" s="34"/>
      <c r="BV2179" s="34"/>
      <c r="BZ2179" s="34"/>
      <c r="CD2179" s="34"/>
    </row>
    <row r="2180" spans="70:82" x14ac:dyDescent="0.15">
      <c r="BR2180" s="34"/>
      <c r="BV2180" s="34"/>
      <c r="BZ2180" s="34"/>
      <c r="CD2180" s="34"/>
    </row>
    <row r="2181" spans="70:82" x14ac:dyDescent="0.15">
      <c r="BR2181" s="34"/>
      <c r="BV2181" s="34"/>
      <c r="BZ2181" s="34"/>
      <c r="CD2181" s="34"/>
    </row>
    <row r="2182" spans="70:82" x14ac:dyDescent="0.15">
      <c r="BR2182" s="34"/>
      <c r="BV2182" s="34"/>
      <c r="BZ2182" s="34"/>
      <c r="CD2182" s="34"/>
    </row>
    <row r="2183" spans="70:82" x14ac:dyDescent="0.15">
      <c r="BR2183" s="34"/>
      <c r="BV2183" s="34"/>
      <c r="BZ2183" s="34"/>
      <c r="CD2183" s="34"/>
    </row>
    <row r="2184" spans="70:82" x14ac:dyDescent="0.15">
      <c r="BR2184" s="34"/>
      <c r="BV2184" s="34"/>
      <c r="BZ2184" s="34"/>
      <c r="CD2184" s="34"/>
    </row>
    <row r="2185" spans="70:82" x14ac:dyDescent="0.15">
      <c r="BR2185" s="34"/>
      <c r="BV2185" s="34"/>
      <c r="BZ2185" s="34"/>
      <c r="CD2185" s="34"/>
    </row>
    <row r="2186" spans="70:82" x14ac:dyDescent="0.15">
      <c r="BR2186" s="34"/>
      <c r="BV2186" s="34"/>
      <c r="BZ2186" s="34"/>
      <c r="CD2186" s="34"/>
    </row>
    <row r="2187" spans="70:82" x14ac:dyDescent="0.15">
      <c r="BR2187" s="34"/>
      <c r="BV2187" s="34"/>
      <c r="BZ2187" s="34"/>
      <c r="CD2187" s="34"/>
    </row>
    <row r="2188" spans="70:82" x14ac:dyDescent="0.15">
      <c r="BR2188" s="34"/>
      <c r="BV2188" s="34"/>
      <c r="BZ2188" s="34"/>
      <c r="CD2188" s="34"/>
    </row>
    <row r="2189" spans="70:82" x14ac:dyDescent="0.15">
      <c r="BR2189" s="34"/>
      <c r="BV2189" s="34"/>
      <c r="BZ2189" s="34"/>
      <c r="CD2189" s="34"/>
    </row>
    <row r="2190" spans="70:82" x14ac:dyDescent="0.15">
      <c r="BR2190" s="34"/>
      <c r="BV2190" s="34"/>
      <c r="BZ2190" s="34"/>
      <c r="CD2190" s="34"/>
    </row>
    <row r="2191" spans="70:82" x14ac:dyDescent="0.15">
      <c r="BR2191" s="34"/>
      <c r="BV2191" s="34"/>
      <c r="BZ2191" s="34"/>
      <c r="CD2191" s="34"/>
    </row>
    <row r="2192" spans="70:82" x14ac:dyDescent="0.15">
      <c r="BR2192" s="34"/>
      <c r="BV2192" s="34"/>
      <c r="BZ2192" s="34"/>
      <c r="CD2192" s="34"/>
    </row>
    <row r="2193" spans="70:82" x14ac:dyDescent="0.15">
      <c r="BR2193" s="34"/>
      <c r="BV2193" s="34"/>
      <c r="BZ2193" s="34"/>
      <c r="CD2193" s="34"/>
    </row>
    <row r="2194" spans="70:82" x14ac:dyDescent="0.15">
      <c r="BR2194" s="34"/>
      <c r="BV2194" s="34"/>
      <c r="BZ2194" s="34"/>
      <c r="CD2194" s="34"/>
    </row>
    <row r="2195" spans="70:82" x14ac:dyDescent="0.15">
      <c r="BR2195" s="34"/>
      <c r="BV2195" s="34"/>
      <c r="BZ2195" s="34"/>
      <c r="CD2195" s="34"/>
    </row>
    <row r="2196" spans="70:82" x14ac:dyDescent="0.15">
      <c r="BR2196" s="34"/>
      <c r="BV2196" s="34"/>
      <c r="BZ2196" s="34"/>
      <c r="CD2196" s="34"/>
    </row>
    <row r="2197" spans="70:82" x14ac:dyDescent="0.15">
      <c r="BR2197" s="34"/>
      <c r="BV2197" s="34"/>
      <c r="BZ2197" s="34"/>
      <c r="CD2197" s="34"/>
    </row>
    <row r="2198" spans="70:82" x14ac:dyDescent="0.15">
      <c r="BR2198" s="34"/>
      <c r="BV2198" s="34"/>
      <c r="BZ2198" s="34"/>
      <c r="CD2198" s="34"/>
    </row>
    <row r="2199" spans="70:82" x14ac:dyDescent="0.15">
      <c r="BR2199" s="34"/>
      <c r="BV2199" s="34"/>
      <c r="BZ2199" s="34"/>
      <c r="CD2199" s="34"/>
    </row>
    <row r="2200" spans="70:82" x14ac:dyDescent="0.15">
      <c r="BR2200" s="34"/>
      <c r="BV2200" s="34"/>
      <c r="BZ2200" s="34"/>
      <c r="CD2200" s="34"/>
    </row>
    <row r="2201" spans="70:82" x14ac:dyDescent="0.15">
      <c r="BR2201" s="34"/>
      <c r="BV2201" s="34"/>
      <c r="BZ2201" s="34"/>
      <c r="CD2201" s="34"/>
    </row>
    <row r="2202" spans="70:82" x14ac:dyDescent="0.15">
      <c r="BR2202" s="34"/>
      <c r="BV2202" s="34"/>
      <c r="BZ2202" s="34"/>
      <c r="CD2202" s="34"/>
    </row>
    <row r="2203" spans="70:82" x14ac:dyDescent="0.15">
      <c r="BR2203" s="34"/>
      <c r="BV2203" s="34"/>
      <c r="BZ2203" s="34"/>
      <c r="CD2203" s="34"/>
    </row>
    <row r="2204" spans="70:82" x14ac:dyDescent="0.15">
      <c r="BR2204" s="34"/>
      <c r="BV2204" s="34"/>
      <c r="BZ2204" s="34"/>
      <c r="CD2204" s="34"/>
    </row>
    <row r="2205" spans="70:82" x14ac:dyDescent="0.15">
      <c r="BR2205" s="34"/>
      <c r="BV2205" s="34"/>
      <c r="BZ2205" s="34"/>
      <c r="CD2205" s="34"/>
    </row>
    <row r="2206" spans="70:82" x14ac:dyDescent="0.15">
      <c r="BR2206" s="34"/>
      <c r="BV2206" s="34"/>
      <c r="BZ2206" s="34"/>
      <c r="CD2206" s="34"/>
    </row>
    <row r="2207" spans="70:82" x14ac:dyDescent="0.15">
      <c r="BR2207" s="34"/>
      <c r="BV2207" s="34"/>
      <c r="BZ2207" s="34"/>
      <c r="CD2207" s="34"/>
    </row>
    <row r="2208" spans="70:82" x14ac:dyDescent="0.15">
      <c r="BR2208" s="34"/>
      <c r="BV2208" s="34"/>
      <c r="BZ2208" s="34"/>
      <c r="CD2208" s="34"/>
    </row>
    <row r="2209" spans="70:82" x14ac:dyDescent="0.15">
      <c r="BR2209" s="34"/>
      <c r="BV2209" s="34"/>
      <c r="BZ2209" s="34"/>
      <c r="CD2209" s="34"/>
    </row>
    <row r="2210" spans="70:82" x14ac:dyDescent="0.15">
      <c r="BR2210" s="34"/>
      <c r="BV2210" s="34"/>
      <c r="BZ2210" s="34"/>
      <c r="CD2210" s="34"/>
    </row>
    <row r="2211" spans="70:82" x14ac:dyDescent="0.15">
      <c r="BR2211" s="34"/>
      <c r="BV2211" s="34"/>
      <c r="BZ2211" s="34"/>
      <c r="CD2211" s="34"/>
    </row>
    <row r="2212" spans="70:82" x14ac:dyDescent="0.15">
      <c r="BR2212" s="34"/>
      <c r="BV2212" s="34"/>
      <c r="BZ2212" s="34"/>
      <c r="CD2212" s="34"/>
    </row>
    <row r="2213" spans="70:82" x14ac:dyDescent="0.15">
      <c r="BR2213" s="34"/>
      <c r="BV2213" s="34"/>
      <c r="BZ2213" s="34"/>
      <c r="CD2213" s="34"/>
    </row>
    <row r="2214" spans="70:82" x14ac:dyDescent="0.15">
      <c r="BR2214" s="34"/>
      <c r="BV2214" s="34"/>
      <c r="BZ2214" s="34"/>
      <c r="CD2214" s="34"/>
    </row>
    <row r="2215" spans="70:82" x14ac:dyDescent="0.15">
      <c r="BR2215" s="34"/>
      <c r="BV2215" s="34"/>
      <c r="BZ2215" s="34"/>
      <c r="CD2215" s="34"/>
    </row>
    <row r="2216" spans="70:82" x14ac:dyDescent="0.15">
      <c r="BR2216" s="34"/>
      <c r="BV2216" s="34"/>
      <c r="BZ2216" s="34"/>
      <c r="CD2216" s="34"/>
    </row>
    <row r="2217" spans="70:82" x14ac:dyDescent="0.15">
      <c r="BR2217" s="34"/>
      <c r="BV2217" s="34"/>
      <c r="BZ2217" s="34"/>
      <c r="CD2217" s="34"/>
    </row>
    <row r="2218" spans="70:82" x14ac:dyDescent="0.15">
      <c r="BR2218" s="34"/>
      <c r="BV2218" s="34"/>
      <c r="BZ2218" s="34"/>
      <c r="CD2218" s="34"/>
    </row>
    <row r="2219" spans="70:82" x14ac:dyDescent="0.15">
      <c r="BR2219" s="34"/>
      <c r="BV2219" s="34"/>
      <c r="BZ2219" s="34"/>
      <c r="CD2219" s="34"/>
    </row>
    <row r="2220" spans="70:82" x14ac:dyDescent="0.15">
      <c r="BR2220" s="34"/>
      <c r="BV2220" s="34"/>
      <c r="BZ2220" s="34"/>
      <c r="CD2220" s="34"/>
    </row>
    <row r="2221" spans="70:82" x14ac:dyDescent="0.15">
      <c r="BR2221" s="34"/>
      <c r="BV2221" s="34"/>
      <c r="BZ2221" s="34"/>
      <c r="CD2221" s="34"/>
    </row>
    <row r="2222" spans="70:82" x14ac:dyDescent="0.15">
      <c r="BR2222" s="34"/>
      <c r="BV2222" s="34"/>
      <c r="BZ2222" s="34"/>
      <c r="CD2222" s="34"/>
    </row>
    <row r="2223" spans="70:82" x14ac:dyDescent="0.15">
      <c r="BR2223" s="34"/>
      <c r="BV2223" s="34"/>
      <c r="BZ2223" s="34"/>
      <c r="CD2223" s="34"/>
    </row>
    <row r="2224" spans="70:82" x14ac:dyDescent="0.15">
      <c r="BR2224" s="34"/>
      <c r="BV2224" s="34"/>
      <c r="BZ2224" s="34"/>
      <c r="CD2224" s="34"/>
    </row>
    <row r="2225" spans="70:82" x14ac:dyDescent="0.15">
      <c r="BR2225" s="34"/>
      <c r="BV2225" s="34"/>
      <c r="BZ2225" s="34"/>
      <c r="CD2225" s="34"/>
    </row>
    <row r="2226" spans="70:82" x14ac:dyDescent="0.15">
      <c r="BR2226" s="34"/>
      <c r="BV2226" s="34"/>
      <c r="BZ2226" s="34"/>
      <c r="CD2226" s="34"/>
    </row>
    <row r="2227" spans="70:82" x14ac:dyDescent="0.15">
      <c r="BR2227" s="34"/>
      <c r="BV2227" s="34"/>
      <c r="BZ2227" s="34"/>
      <c r="CD2227" s="34"/>
    </row>
    <row r="2228" spans="70:82" x14ac:dyDescent="0.15">
      <c r="BR2228" s="34"/>
      <c r="BV2228" s="34"/>
      <c r="BZ2228" s="34"/>
      <c r="CD2228" s="34"/>
    </row>
    <row r="2229" spans="70:82" x14ac:dyDescent="0.15">
      <c r="BR2229" s="34"/>
      <c r="BV2229" s="34"/>
      <c r="BZ2229" s="34"/>
      <c r="CD2229" s="34"/>
    </row>
    <row r="2230" spans="70:82" x14ac:dyDescent="0.15">
      <c r="BR2230" s="34"/>
      <c r="BV2230" s="34"/>
      <c r="BZ2230" s="34"/>
      <c r="CD2230" s="34"/>
    </row>
    <row r="2231" spans="70:82" x14ac:dyDescent="0.15">
      <c r="BR2231" s="34"/>
      <c r="BV2231" s="34"/>
      <c r="BZ2231" s="34"/>
      <c r="CD2231" s="34"/>
    </row>
    <row r="2232" spans="70:82" x14ac:dyDescent="0.15">
      <c r="BR2232" s="34"/>
      <c r="BV2232" s="34"/>
      <c r="BZ2232" s="34"/>
      <c r="CD2232" s="34"/>
    </row>
    <row r="2233" spans="70:82" x14ac:dyDescent="0.15">
      <c r="BR2233" s="34"/>
      <c r="BV2233" s="34"/>
      <c r="BZ2233" s="34"/>
      <c r="CD2233" s="34"/>
    </row>
    <row r="2234" spans="70:82" x14ac:dyDescent="0.15">
      <c r="BR2234" s="34"/>
      <c r="BV2234" s="34"/>
      <c r="BZ2234" s="34"/>
      <c r="CD2234" s="34"/>
    </row>
    <row r="2235" spans="70:82" x14ac:dyDescent="0.15">
      <c r="BR2235" s="34"/>
      <c r="BV2235" s="34"/>
      <c r="BZ2235" s="34"/>
      <c r="CD2235" s="34"/>
    </row>
    <row r="2236" spans="70:82" x14ac:dyDescent="0.15">
      <c r="BR2236" s="34"/>
      <c r="BV2236" s="34"/>
      <c r="BZ2236" s="34"/>
      <c r="CD2236" s="34"/>
    </row>
    <row r="2237" spans="70:82" x14ac:dyDescent="0.15">
      <c r="BR2237" s="34"/>
      <c r="BV2237" s="34"/>
      <c r="BZ2237" s="34"/>
      <c r="CD2237" s="34"/>
    </row>
    <row r="2238" spans="70:82" x14ac:dyDescent="0.15">
      <c r="BR2238" s="34"/>
      <c r="BV2238" s="34"/>
      <c r="BZ2238" s="34"/>
      <c r="CD2238" s="34"/>
    </row>
    <row r="2239" spans="70:82" x14ac:dyDescent="0.15">
      <c r="BR2239" s="34"/>
      <c r="BV2239" s="34"/>
      <c r="BZ2239" s="34"/>
      <c r="CD2239" s="34"/>
    </row>
    <row r="2240" spans="70:82" x14ac:dyDescent="0.15">
      <c r="BR2240" s="34"/>
      <c r="BV2240" s="34"/>
      <c r="BZ2240" s="34"/>
      <c r="CD2240" s="34"/>
    </row>
    <row r="2241" spans="70:82" x14ac:dyDescent="0.15">
      <c r="BR2241" s="34"/>
      <c r="BV2241" s="34"/>
      <c r="BZ2241" s="34"/>
      <c r="CD2241" s="34"/>
    </row>
    <row r="2242" spans="70:82" x14ac:dyDescent="0.15">
      <c r="BR2242" s="34"/>
      <c r="BV2242" s="34"/>
      <c r="BZ2242" s="34"/>
      <c r="CD2242" s="34"/>
    </row>
    <row r="2243" spans="70:82" x14ac:dyDescent="0.15">
      <c r="BR2243" s="34"/>
      <c r="BV2243" s="34"/>
      <c r="BZ2243" s="34"/>
      <c r="CD2243" s="34"/>
    </row>
    <row r="2244" spans="70:82" x14ac:dyDescent="0.15">
      <c r="BR2244" s="34"/>
      <c r="BV2244" s="34"/>
      <c r="BZ2244" s="34"/>
      <c r="CD2244" s="34"/>
    </row>
    <row r="2245" spans="70:82" x14ac:dyDescent="0.15">
      <c r="BR2245" s="34"/>
      <c r="BV2245" s="34"/>
      <c r="BZ2245" s="34"/>
      <c r="CD2245" s="34"/>
    </row>
    <row r="2246" spans="70:82" x14ac:dyDescent="0.15">
      <c r="BR2246" s="34"/>
      <c r="BV2246" s="34"/>
      <c r="BZ2246" s="34"/>
      <c r="CD2246" s="34"/>
    </row>
    <row r="2247" spans="70:82" x14ac:dyDescent="0.15">
      <c r="BR2247" s="34"/>
      <c r="BV2247" s="34"/>
      <c r="BZ2247" s="34"/>
      <c r="CD2247" s="34"/>
    </row>
    <row r="2248" spans="70:82" x14ac:dyDescent="0.15">
      <c r="BR2248" s="34"/>
      <c r="BV2248" s="34"/>
      <c r="BZ2248" s="34"/>
      <c r="CD2248" s="34"/>
    </row>
    <row r="2249" spans="70:82" x14ac:dyDescent="0.15">
      <c r="BR2249" s="34"/>
      <c r="BV2249" s="34"/>
      <c r="BZ2249" s="34"/>
      <c r="CD2249" s="34"/>
    </row>
    <row r="2250" spans="70:82" x14ac:dyDescent="0.15">
      <c r="BR2250" s="34"/>
      <c r="BV2250" s="34"/>
      <c r="BZ2250" s="34"/>
      <c r="CD2250" s="34"/>
    </row>
    <row r="2251" spans="70:82" x14ac:dyDescent="0.15">
      <c r="BR2251" s="34"/>
      <c r="BV2251" s="34"/>
      <c r="BZ2251" s="34"/>
      <c r="CD2251" s="34"/>
    </row>
    <row r="2252" spans="70:82" x14ac:dyDescent="0.15">
      <c r="BR2252" s="34"/>
      <c r="BV2252" s="34"/>
      <c r="BZ2252" s="34"/>
      <c r="CD2252" s="34"/>
    </row>
    <row r="2253" spans="70:82" x14ac:dyDescent="0.15">
      <c r="BR2253" s="34"/>
      <c r="BV2253" s="34"/>
      <c r="BZ2253" s="34"/>
      <c r="CD2253" s="34"/>
    </row>
    <row r="2254" spans="70:82" x14ac:dyDescent="0.15">
      <c r="BR2254" s="34"/>
      <c r="BV2254" s="34"/>
      <c r="BZ2254" s="34"/>
      <c r="CD2254" s="34"/>
    </row>
    <row r="2255" spans="70:82" x14ac:dyDescent="0.15">
      <c r="BR2255" s="34"/>
      <c r="BV2255" s="34"/>
      <c r="BZ2255" s="34"/>
      <c r="CD2255" s="34"/>
    </row>
    <row r="2256" spans="70:82" x14ac:dyDescent="0.15">
      <c r="BR2256" s="34"/>
      <c r="BV2256" s="34"/>
      <c r="BZ2256" s="34"/>
      <c r="CD2256" s="34"/>
    </row>
    <row r="2257" spans="70:82" x14ac:dyDescent="0.15">
      <c r="BR2257" s="34"/>
      <c r="BV2257" s="34"/>
      <c r="BZ2257" s="34"/>
      <c r="CD2257" s="34"/>
    </row>
    <row r="2258" spans="70:82" x14ac:dyDescent="0.15">
      <c r="BR2258" s="34"/>
      <c r="BV2258" s="34"/>
      <c r="BZ2258" s="34"/>
      <c r="CD2258" s="34"/>
    </row>
    <row r="2259" spans="70:82" x14ac:dyDescent="0.15">
      <c r="BR2259" s="34"/>
      <c r="BV2259" s="34"/>
      <c r="BZ2259" s="34"/>
      <c r="CD2259" s="34"/>
    </row>
    <row r="2260" spans="70:82" x14ac:dyDescent="0.15">
      <c r="BR2260" s="34"/>
      <c r="BV2260" s="34"/>
      <c r="BZ2260" s="34"/>
      <c r="CD2260" s="34"/>
    </row>
    <row r="2261" spans="70:82" x14ac:dyDescent="0.15">
      <c r="BR2261" s="34"/>
      <c r="BV2261" s="34"/>
      <c r="BZ2261" s="34"/>
      <c r="CD2261" s="34"/>
    </row>
    <row r="2262" spans="70:82" x14ac:dyDescent="0.15">
      <c r="BR2262" s="34"/>
      <c r="BV2262" s="34"/>
      <c r="BZ2262" s="34"/>
      <c r="CD2262" s="34"/>
    </row>
    <row r="2263" spans="70:82" x14ac:dyDescent="0.15">
      <c r="BR2263" s="34"/>
      <c r="BV2263" s="34"/>
      <c r="BZ2263" s="34"/>
      <c r="CD2263" s="34"/>
    </row>
    <row r="2264" spans="70:82" x14ac:dyDescent="0.15">
      <c r="BR2264" s="34"/>
      <c r="BV2264" s="34"/>
      <c r="BZ2264" s="34"/>
      <c r="CD2264" s="34"/>
    </row>
    <row r="2265" spans="70:82" x14ac:dyDescent="0.15">
      <c r="BR2265" s="34"/>
      <c r="BV2265" s="34"/>
      <c r="BZ2265" s="34"/>
      <c r="CD2265" s="34"/>
    </row>
    <row r="2266" spans="70:82" x14ac:dyDescent="0.15">
      <c r="BR2266" s="34"/>
      <c r="BV2266" s="34"/>
      <c r="BZ2266" s="34"/>
      <c r="CD2266" s="34"/>
    </row>
    <row r="2267" spans="70:82" x14ac:dyDescent="0.15">
      <c r="BR2267" s="34"/>
      <c r="BV2267" s="34"/>
      <c r="BZ2267" s="34"/>
      <c r="CD2267" s="34"/>
    </row>
    <row r="2268" spans="70:82" x14ac:dyDescent="0.15">
      <c r="BR2268" s="34"/>
      <c r="BV2268" s="34"/>
      <c r="BZ2268" s="34"/>
      <c r="CD2268" s="34"/>
    </row>
    <row r="2269" spans="70:82" x14ac:dyDescent="0.15">
      <c r="BR2269" s="34"/>
      <c r="BV2269" s="34"/>
      <c r="BZ2269" s="34"/>
      <c r="CD2269" s="34"/>
    </row>
    <row r="2270" spans="70:82" x14ac:dyDescent="0.15">
      <c r="BR2270" s="34"/>
      <c r="BV2270" s="34"/>
      <c r="BZ2270" s="34"/>
      <c r="CD2270" s="34"/>
    </row>
    <row r="2271" spans="70:82" x14ac:dyDescent="0.15">
      <c r="BR2271" s="34"/>
      <c r="BV2271" s="34"/>
      <c r="BZ2271" s="34"/>
      <c r="CD2271" s="34"/>
    </row>
    <row r="2272" spans="70:82" x14ac:dyDescent="0.15">
      <c r="BR2272" s="34"/>
      <c r="BV2272" s="34"/>
      <c r="BZ2272" s="34"/>
      <c r="CD2272" s="34"/>
    </row>
    <row r="2273" spans="70:82" x14ac:dyDescent="0.15">
      <c r="BR2273" s="34"/>
      <c r="BV2273" s="34"/>
      <c r="BZ2273" s="34"/>
      <c r="CD2273" s="34"/>
    </row>
    <row r="2274" spans="70:82" x14ac:dyDescent="0.15">
      <c r="BR2274" s="34"/>
      <c r="BV2274" s="34"/>
      <c r="BZ2274" s="34"/>
      <c r="CD2274" s="34"/>
    </row>
    <row r="2275" spans="70:82" x14ac:dyDescent="0.15">
      <c r="BR2275" s="34"/>
      <c r="BV2275" s="34"/>
      <c r="BZ2275" s="34"/>
      <c r="CD2275" s="34"/>
    </row>
    <row r="2276" spans="70:82" x14ac:dyDescent="0.15">
      <c r="BR2276" s="34"/>
      <c r="BV2276" s="34"/>
      <c r="BZ2276" s="34"/>
      <c r="CD2276" s="34"/>
    </row>
    <row r="2277" spans="70:82" x14ac:dyDescent="0.15">
      <c r="BR2277" s="34"/>
      <c r="BV2277" s="34"/>
      <c r="BZ2277" s="34"/>
      <c r="CD2277" s="34"/>
    </row>
    <row r="2278" spans="70:82" x14ac:dyDescent="0.15">
      <c r="BR2278" s="34"/>
      <c r="BV2278" s="34"/>
      <c r="BZ2278" s="34"/>
      <c r="CD2278" s="34"/>
    </row>
    <row r="2279" spans="70:82" x14ac:dyDescent="0.15">
      <c r="BR2279" s="34"/>
      <c r="BV2279" s="34"/>
      <c r="BZ2279" s="34"/>
      <c r="CD2279" s="34"/>
    </row>
    <row r="2280" spans="70:82" x14ac:dyDescent="0.15">
      <c r="BR2280" s="34"/>
      <c r="BV2280" s="34"/>
      <c r="BZ2280" s="34"/>
      <c r="CD2280" s="34"/>
    </row>
    <row r="2281" spans="70:82" x14ac:dyDescent="0.15">
      <c r="BR2281" s="34"/>
      <c r="BV2281" s="34"/>
      <c r="BZ2281" s="34"/>
      <c r="CD2281" s="34"/>
    </row>
    <row r="2282" spans="70:82" x14ac:dyDescent="0.15">
      <c r="BR2282" s="34"/>
      <c r="BV2282" s="34"/>
      <c r="BZ2282" s="34"/>
      <c r="CD2282" s="34"/>
    </row>
    <row r="2283" spans="70:82" x14ac:dyDescent="0.15">
      <c r="BR2283" s="34"/>
      <c r="BV2283" s="34"/>
      <c r="BZ2283" s="34"/>
      <c r="CD2283" s="34"/>
    </row>
    <row r="2284" spans="70:82" x14ac:dyDescent="0.15">
      <c r="BR2284" s="34"/>
      <c r="BV2284" s="34"/>
      <c r="BZ2284" s="34"/>
      <c r="CD2284" s="34"/>
    </row>
    <row r="2285" spans="70:82" x14ac:dyDescent="0.15">
      <c r="BR2285" s="34"/>
      <c r="BV2285" s="34"/>
      <c r="BZ2285" s="34"/>
      <c r="CD2285" s="34"/>
    </row>
    <row r="2286" spans="70:82" x14ac:dyDescent="0.15">
      <c r="BR2286" s="34"/>
      <c r="BV2286" s="34"/>
      <c r="BZ2286" s="34"/>
      <c r="CD2286" s="34"/>
    </row>
    <row r="2287" spans="70:82" x14ac:dyDescent="0.15">
      <c r="BR2287" s="34"/>
      <c r="BV2287" s="34"/>
      <c r="BZ2287" s="34"/>
      <c r="CD2287" s="34"/>
    </row>
    <row r="2288" spans="70:82" x14ac:dyDescent="0.15">
      <c r="BR2288" s="34"/>
      <c r="BV2288" s="34"/>
      <c r="BZ2288" s="34"/>
      <c r="CD2288" s="34"/>
    </row>
    <row r="2289" spans="70:82" x14ac:dyDescent="0.15">
      <c r="BR2289" s="34"/>
      <c r="BV2289" s="34"/>
      <c r="BZ2289" s="34"/>
      <c r="CD2289" s="34"/>
    </row>
    <row r="2290" spans="70:82" x14ac:dyDescent="0.15">
      <c r="BR2290" s="34"/>
      <c r="BV2290" s="34"/>
      <c r="BZ2290" s="34"/>
      <c r="CD2290" s="34"/>
    </row>
    <row r="2291" spans="70:82" x14ac:dyDescent="0.15">
      <c r="BR2291" s="34"/>
      <c r="BV2291" s="34"/>
      <c r="BZ2291" s="34"/>
      <c r="CD2291" s="34"/>
    </row>
    <row r="2292" spans="70:82" x14ac:dyDescent="0.15">
      <c r="BR2292" s="34"/>
      <c r="BV2292" s="34"/>
      <c r="BZ2292" s="34"/>
      <c r="CD2292" s="34"/>
    </row>
    <row r="2293" spans="70:82" x14ac:dyDescent="0.15">
      <c r="BR2293" s="34"/>
      <c r="BV2293" s="34"/>
      <c r="BZ2293" s="34"/>
      <c r="CD2293" s="34"/>
    </row>
    <row r="2294" spans="70:82" x14ac:dyDescent="0.15">
      <c r="BR2294" s="34"/>
      <c r="BV2294" s="34"/>
      <c r="BZ2294" s="34"/>
      <c r="CD2294" s="34"/>
    </row>
    <row r="2295" spans="70:82" x14ac:dyDescent="0.15">
      <c r="BR2295" s="34"/>
      <c r="BV2295" s="34"/>
      <c r="BZ2295" s="34"/>
      <c r="CD2295" s="34"/>
    </row>
    <row r="2296" spans="70:82" x14ac:dyDescent="0.15">
      <c r="BR2296" s="34"/>
      <c r="BV2296" s="34"/>
      <c r="BZ2296" s="34"/>
      <c r="CD2296" s="34"/>
    </row>
    <row r="2297" spans="70:82" x14ac:dyDescent="0.15">
      <c r="BR2297" s="34"/>
      <c r="BV2297" s="34"/>
      <c r="BZ2297" s="34"/>
      <c r="CD2297" s="34"/>
    </row>
    <row r="2298" spans="70:82" x14ac:dyDescent="0.15">
      <c r="BR2298" s="34"/>
      <c r="BV2298" s="34"/>
      <c r="BZ2298" s="34"/>
      <c r="CD2298" s="34"/>
    </row>
    <row r="2299" spans="70:82" x14ac:dyDescent="0.15">
      <c r="BR2299" s="34"/>
      <c r="BV2299" s="34"/>
      <c r="BZ2299" s="34"/>
      <c r="CD2299" s="34"/>
    </row>
    <row r="2300" spans="70:82" x14ac:dyDescent="0.15">
      <c r="BR2300" s="34"/>
      <c r="BV2300" s="34"/>
      <c r="BZ2300" s="34"/>
      <c r="CD2300" s="34"/>
    </row>
    <row r="2301" spans="70:82" x14ac:dyDescent="0.15">
      <c r="BR2301" s="34"/>
      <c r="BV2301" s="34"/>
      <c r="BZ2301" s="34"/>
      <c r="CD2301" s="34"/>
    </row>
    <row r="2302" spans="70:82" x14ac:dyDescent="0.15">
      <c r="BR2302" s="34"/>
      <c r="BV2302" s="34"/>
      <c r="BZ2302" s="34"/>
      <c r="CD2302" s="34"/>
    </row>
    <row r="2303" spans="70:82" x14ac:dyDescent="0.15">
      <c r="BR2303" s="34"/>
      <c r="BV2303" s="34"/>
      <c r="BZ2303" s="34"/>
      <c r="CD2303" s="34"/>
    </row>
    <row r="2304" spans="70:82" x14ac:dyDescent="0.15">
      <c r="BR2304" s="34"/>
      <c r="BV2304" s="34"/>
      <c r="BZ2304" s="34"/>
      <c r="CD2304" s="34"/>
    </row>
    <row r="2305" spans="70:82" x14ac:dyDescent="0.15">
      <c r="BR2305" s="34"/>
      <c r="BV2305" s="34"/>
      <c r="BZ2305" s="34"/>
      <c r="CD2305" s="34"/>
    </row>
    <row r="2306" spans="70:82" x14ac:dyDescent="0.15">
      <c r="BR2306" s="34"/>
      <c r="BV2306" s="34"/>
      <c r="BZ2306" s="34"/>
      <c r="CD2306" s="34"/>
    </row>
    <row r="2307" spans="70:82" x14ac:dyDescent="0.15">
      <c r="BR2307" s="34"/>
      <c r="BV2307" s="34"/>
      <c r="BZ2307" s="34"/>
      <c r="CD2307" s="34"/>
    </row>
    <row r="2308" spans="70:82" x14ac:dyDescent="0.15">
      <c r="BR2308" s="34"/>
      <c r="BV2308" s="34"/>
      <c r="BZ2308" s="34"/>
      <c r="CD2308" s="34"/>
    </row>
    <row r="2309" spans="70:82" x14ac:dyDescent="0.15">
      <c r="BR2309" s="34"/>
      <c r="BV2309" s="34"/>
      <c r="BZ2309" s="34"/>
      <c r="CD2309" s="34"/>
    </row>
    <row r="2310" spans="70:82" x14ac:dyDescent="0.15">
      <c r="BR2310" s="34"/>
      <c r="BV2310" s="34"/>
      <c r="BZ2310" s="34"/>
      <c r="CD2310" s="34"/>
    </row>
    <row r="2311" spans="70:82" x14ac:dyDescent="0.15">
      <c r="BR2311" s="34"/>
      <c r="BV2311" s="34"/>
      <c r="BZ2311" s="34"/>
      <c r="CD2311" s="34"/>
    </row>
    <row r="2312" spans="70:82" x14ac:dyDescent="0.15">
      <c r="BR2312" s="34"/>
      <c r="BV2312" s="34"/>
      <c r="BZ2312" s="34"/>
      <c r="CD2312" s="34"/>
    </row>
    <row r="2313" spans="70:82" x14ac:dyDescent="0.15">
      <c r="BR2313" s="34"/>
      <c r="BV2313" s="34"/>
      <c r="BZ2313" s="34"/>
      <c r="CD2313" s="34"/>
    </row>
    <row r="2314" spans="70:82" x14ac:dyDescent="0.15">
      <c r="BR2314" s="34"/>
      <c r="BV2314" s="34"/>
      <c r="BZ2314" s="34"/>
      <c r="CD2314" s="34"/>
    </row>
    <row r="2315" spans="70:82" x14ac:dyDescent="0.15">
      <c r="BR2315" s="34"/>
      <c r="BV2315" s="34"/>
      <c r="BZ2315" s="34"/>
      <c r="CD2315" s="34"/>
    </row>
    <row r="2316" spans="70:82" x14ac:dyDescent="0.15">
      <c r="BR2316" s="34"/>
      <c r="BV2316" s="34"/>
      <c r="BZ2316" s="34"/>
      <c r="CD2316" s="34"/>
    </row>
    <row r="2317" spans="70:82" x14ac:dyDescent="0.15">
      <c r="BR2317" s="34"/>
      <c r="BV2317" s="34"/>
      <c r="BZ2317" s="34"/>
      <c r="CD2317" s="34"/>
    </row>
    <row r="2318" spans="70:82" x14ac:dyDescent="0.15">
      <c r="BR2318" s="34"/>
      <c r="BV2318" s="34"/>
      <c r="BZ2318" s="34"/>
      <c r="CD2318" s="34"/>
    </row>
    <row r="2319" spans="70:82" x14ac:dyDescent="0.15">
      <c r="BR2319" s="34"/>
      <c r="BV2319" s="34"/>
      <c r="BZ2319" s="34"/>
      <c r="CD2319" s="34"/>
    </row>
    <row r="2320" spans="70:82" x14ac:dyDescent="0.15">
      <c r="BR2320" s="34"/>
      <c r="BV2320" s="34"/>
      <c r="BZ2320" s="34"/>
      <c r="CD2320" s="34"/>
    </row>
    <row r="2321" spans="70:82" x14ac:dyDescent="0.15">
      <c r="BR2321" s="34"/>
      <c r="BV2321" s="34"/>
      <c r="BZ2321" s="34"/>
      <c r="CD2321" s="34"/>
    </row>
    <row r="2322" spans="70:82" x14ac:dyDescent="0.15">
      <c r="BR2322" s="34"/>
      <c r="BV2322" s="34"/>
      <c r="BZ2322" s="34"/>
      <c r="CD2322" s="34"/>
    </row>
    <row r="2323" spans="70:82" x14ac:dyDescent="0.15">
      <c r="BR2323" s="34"/>
      <c r="BV2323" s="34"/>
      <c r="BZ2323" s="34"/>
      <c r="CD2323" s="34"/>
    </row>
    <row r="2324" spans="70:82" x14ac:dyDescent="0.15">
      <c r="BR2324" s="34"/>
      <c r="BV2324" s="34"/>
      <c r="BZ2324" s="34"/>
      <c r="CD2324" s="34"/>
    </row>
    <row r="2325" spans="70:82" x14ac:dyDescent="0.15">
      <c r="BR2325" s="34"/>
      <c r="BV2325" s="34"/>
      <c r="BZ2325" s="34"/>
      <c r="CD2325" s="34"/>
    </row>
    <row r="2326" spans="70:82" x14ac:dyDescent="0.15">
      <c r="BR2326" s="34"/>
      <c r="BV2326" s="34"/>
      <c r="BZ2326" s="34"/>
      <c r="CD2326" s="34"/>
    </row>
    <row r="2327" spans="70:82" x14ac:dyDescent="0.15">
      <c r="BR2327" s="34"/>
      <c r="BV2327" s="34"/>
      <c r="BZ2327" s="34"/>
      <c r="CD2327" s="34"/>
    </row>
    <row r="2328" spans="70:82" x14ac:dyDescent="0.15">
      <c r="BR2328" s="34"/>
      <c r="BV2328" s="34"/>
      <c r="BZ2328" s="34"/>
      <c r="CD2328" s="34"/>
    </row>
    <row r="2329" spans="70:82" x14ac:dyDescent="0.15">
      <c r="BR2329" s="34"/>
      <c r="BV2329" s="34"/>
      <c r="BZ2329" s="34"/>
      <c r="CD2329" s="34"/>
    </row>
    <row r="2330" spans="70:82" x14ac:dyDescent="0.15">
      <c r="BR2330" s="34"/>
      <c r="BV2330" s="34"/>
      <c r="BZ2330" s="34"/>
      <c r="CD2330" s="34"/>
    </row>
    <row r="2331" spans="70:82" x14ac:dyDescent="0.15">
      <c r="BR2331" s="34"/>
      <c r="BV2331" s="34"/>
      <c r="BZ2331" s="34"/>
      <c r="CD2331" s="34"/>
    </row>
    <row r="2332" spans="70:82" x14ac:dyDescent="0.15">
      <c r="BR2332" s="34"/>
      <c r="BV2332" s="34"/>
      <c r="BZ2332" s="34"/>
      <c r="CD2332" s="34"/>
    </row>
    <row r="2333" spans="70:82" x14ac:dyDescent="0.15">
      <c r="BR2333" s="34"/>
      <c r="BV2333" s="34"/>
      <c r="BZ2333" s="34"/>
      <c r="CD2333" s="34"/>
    </row>
    <row r="2334" spans="70:82" x14ac:dyDescent="0.15">
      <c r="BR2334" s="34"/>
      <c r="BV2334" s="34"/>
      <c r="BZ2334" s="34"/>
      <c r="CD2334" s="34"/>
    </row>
    <row r="2335" spans="70:82" x14ac:dyDescent="0.15">
      <c r="BR2335" s="34"/>
      <c r="BV2335" s="34"/>
      <c r="BZ2335" s="34"/>
      <c r="CD2335" s="34"/>
    </row>
    <row r="2336" spans="70:82" x14ac:dyDescent="0.15">
      <c r="BR2336" s="34"/>
      <c r="BV2336" s="34"/>
      <c r="BZ2336" s="34"/>
      <c r="CD2336" s="34"/>
    </row>
    <row r="2337" spans="70:82" x14ac:dyDescent="0.15">
      <c r="BR2337" s="34"/>
      <c r="BV2337" s="34"/>
      <c r="BZ2337" s="34"/>
      <c r="CD2337" s="34"/>
    </row>
    <row r="2338" spans="70:82" x14ac:dyDescent="0.15">
      <c r="BR2338" s="34"/>
      <c r="BV2338" s="34"/>
      <c r="BZ2338" s="34"/>
      <c r="CD2338" s="34"/>
    </row>
    <row r="2339" spans="70:82" x14ac:dyDescent="0.15">
      <c r="BR2339" s="34"/>
      <c r="BV2339" s="34"/>
      <c r="BZ2339" s="34"/>
      <c r="CD2339" s="34"/>
    </row>
    <row r="2340" spans="70:82" x14ac:dyDescent="0.15">
      <c r="BR2340" s="34"/>
      <c r="BV2340" s="34"/>
      <c r="BZ2340" s="34"/>
      <c r="CD2340" s="34"/>
    </row>
    <row r="2341" spans="70:82" x14ac:dyDescent="0.15">
      <c r="BR2341" s="34"/>
      <c r="BV2341" s="34"/>
      <c r="BZ2341" s="34"/>
      <c r="CD2341" s="34"/>
    </row>
    <row r="2342" spans="70:82" x14ac:dyDescent="0.15">
      <c r="BR2342" s="34"/>
      <c r="BV2342" s="34"/>
      <c r="BZ2342" s="34"/>
      <c r="CD2342" s="34"/>
    </row>
    <row r="2343" spans="70:82" x14ac:dyDescent="0.15">
      <c r="BR2343" s="34"/>
      <c r="BV2343" s="34"/>
      <c r="BZ2343" s="34"/>
      <c r="CD2343" s="34"/>
    </row>
    <row r="2344" spans="70:82" x14ac:dyDescent="0.15">
      <c r="BR2344" s="34"/>
      <c r="BV2344" s="34"/>
      <c r="BZ2344" s="34"/>
      <c r="CD2344" s="34"/>
    </row>
    <row r="2345" spans="70:82" x14ac:dyDescent="0.15">
      <c r="BR2345" s="34"/>
      <c r="BV2345" s="34"/>
      <c r="BZ2345" s="34"/>
      <c r="CD2345" s="34"/>
    </row>
    <row r="2346" spans="70:82" x14ac:dyDescent="0.15">
      <c r="BR2346" s="34"/>
      <c r="BV2346" s="34"/>
      <c r="BZ2346" s="34"/>
      <c r="CD2346" s="34"/>
    </row>
    <row r="2347" spans="70:82" x14ac:dyDescent="0.15">
      <c r="BR2347" s="34"/>
      <c r="BV2347" s="34"/>
      <c r="BZ2347" s="34"/>
      <c r="CD2347" s="34"/>
    </row>
    <row r="2348" spans="70:82" x14ac:dyDescent="0.15">
      <c r="BR2348" s="34"/>
      <c r="BV2348" s="34"/>
      <c r="BZ2348" s="34"/>
      <c r="CD2348" s="34"/>
    </row>
    <row r="2349" spans="70:82" x14ac:dyDescent="0.15">
      <c r="BR2349" s="34"/>
      <c r="BV2349" s="34"/>
      <c r="BZ2349" s="34"/>
      <c r="CD2349" s="34"/>
    </row>
    <row r="2350" spans="70:82" x14ac:dyDescent="0.15">
      <c r="BR2350" s="34"/>
      <c r="BV2350" s="34"/>
      <c r="BZ2350" s="34"/>
      <c r="CD2350" s="34"/>
    </row>
    <row r="2351" spans="70:82" x14ac:dyDescent="0.15">
      <c r="BR2351" s="34"/>
      <c r="BV2351" s="34"/>
      <c r="BZ2351" s="34"/>
      <c r="CD2351" s="34"/>
    </row>
    <row r="2352" spans="70:82" x14ac:dyDescent="0.15">
      <c r="BR2352" s="34"/>
      <c r="BV2352" s="34"/>
      <c r="BZ2352" s="34"/>
      <c r="CD2352" s="34"/>
    </row>
    <row r="2353" spans="70:82" x14ac:dyDescent="0.15">
      <c r="BR2353" s="34"/>
      <c r="BV2353" s="34"/>
      <c r="BZ2353" s="34"/>
      <c r="CD2353" s="34"/>
    </row>
    <row r="2354" spans="70:82" x14ac:dyDescent="0.15">
      <c r="BR2354" s="34"/>
      <c r="BV2354" s="34"/>
      <c r="BZ2354" s="34"/>
      <c r="CD2354" s="34"/>
    </row>
    <row r="2355" spans="70:82" x14ac:dyDescent="0.15">
      <c r="BR2355" s="34"/>
      <c r="BV2355" s="34"/>
      <c r="BZ2355" s="34"/>
      <c r="CD2355" s="34"/>
    </row>
    <row r="2356" spans="70:82" x14ac:dyDescent="0.15">
      <c r="BR2356" s="34"/>
      <c r="BV2356" s="34"/>
      <c r="BZ2356" s="34"/>
      <c r="CD2356" s="34"/>
    </row>
    <row r="2357" spans="70:82" x14ac:dyDescent="0.15">
      <c r="BR2357" s="34"/>
      <c r="BV2357" s="34"/>
      <c r="BZ2357" s="34"/>
      <c r="CD2357" s="34"/>
    </row>
    <row r="2358" spans="70:82" x14ac:dyDescent="0.15">
      <c r="BR2358" s="34"/>
      <c r="BV2358" s="34"/>
      <c r="BZ2358" s="34"/>
      <c r="CD2358" s="34"/>
    </row>
    <row r="2359" spans="70:82" x14ac:dyDescent="0.15">
      <c r="BR2359" s="34"/>
      <c r="BV2359" s="34"/>
      <c r="BZ2359" s="34"/>
      <c r="CD2359" s="34"/>
    </row>
    <row r="2360" spans="70:82" x14ac:dyDescent="0.15">
      <c r="BR2360" s="34"/>
      <c r="BV2360" s="34"/>
      <c r="BZ2360" s="34"/>
      <c r="CD2360" s="34"/>
    </row>
    <row r="2361" spans="70:82" x14ac:dyDescent="0.15">
      <c r="BR2361" s="34"/>
      <c r="BV2361" s="34"/>
      <c r="BZ2361" s="34"/>
      <c r="CD2361" s="34"/>
    </row>
    <row r="2362" spans="70:82" x14ac:dyDescent="0.15">
      <c r="BR2362" s="34"/>
      <c r="BV2362" s="34"/>
      <c r="BZ2362" s="34"/>
      <c r="CD2362" s="34"/>
    </row>
    <row r="2363" spans="70:82" x14ac:dyDescent="0.15">
      <c r="BR2363" s="34"/>
      <c r="BV2363" s="34"/>
      <c r="BZ2363" s="34"/>
      <c r="CD2363" s="34"/>
    </row>
    <row r="2364" spans="70:82" x14ac:dyDescent="0.15">
      <c r="BR2364" s="34"/>
      <c r="BV2364" s="34"/>
      <c r="BZ2364" s="34"/>
      <c r="CD2364" s="34"/>
    </row>
    <row r="2365" spans="70:82" x14ac:dyDescent="0.15">
      <c r="BR2365" s="34"/>
      <c r="BV2365" s="34"/>
      <c r="BZ2365" s="34"/>
      <c r="CD2365" s="34"/>
    </row>
    <row r="2366" spans="70:82" x14ac:dyDescent="0.15">
      <c r="BR2366" s="34"/>
      <c r="BV2366" s="34"/>
      <c r="BZ2366" s="34"/>
      <c r="CD2366" s="34"/>
    </row>
    <row r="2367" spans="70:82" x14ac:dyDescent="0.15">
      <c r="BR2367" s="34"/>
      <c r="BV2367" s="34"/>
      <c r="BZ2367" s="34"/>
      <c r="CD2367" s="34"/>
    </row>
    <row r="2368" spans="70:82" x14ac:dyDescent="0.15">
      <c r="BR2368" s="34"/>
      <c r="BV2368" s="34"/>
      <c r="BZ2368" s="34"/>
      <c r="CD2368" s="34"/>
    </row>
    <row r="2369" spans="70:82" x14ac:dyDescent="0.15">
      <c r="BR2369" s="34"/>
      <c r="BV2369" s="34"/>
      <c r="BZ2369" s="34"/>
      <c r="CD2369" s="34"/>
    </row>
    <row r="2370" spans="70:82" x14ac:dyDescent="0.15">
      <c r="BR2370" s="34"/>
      <c r="BV2370" s="34"/>
      <c r="BZ2370" s="34"/>
      <c r="CD2370" s="34"/>
    </row>
    <row r="2371" spans="70:82" x14ac:dyDescent="0.15">
      <c r="BR2371" s="34"/>
      <c r="BV2371" s="34"/>
      <c r="BZ2371" s="34"/>
      <c r="CD2371" s="34"/>
    </row>
    <row r="2372" spans="70:82" x14ac:dyDescent="0.15">
      <c r="BR2372" s="34"/>
      <c r="BV2372" s="34"/>
      <c r="BZ2372" s="34"/>
      <c r="CD2372" s="34"/>
    </row>
    <row r="2373" spans="70:82" x14ac:dyDescent="0.15">
      <c r="BR2373" s="34"/>
      <c r="BV2373" s="34"/>
      <c r="BZ2373" s="34"/>
      <c r="CD2373" s="34"/>
    </row>
    <row r="2374" spans="70:82" x14ac:dyDescent="0.15">
      <c r="BR2374" s="34"/>
      <c r="BV2374" s="34"/>
      <c r="BZ2374" s="34"/>
      <c r="CD2374" s="34"/>
    </row>
    <row r="2375" spans="70:82" x14ac:dyDescent="0.15">
      <c r="BR2375" s="34"/>
      <c r="BV2375" s="34"/>
      <c r="BZ2375" s="34"/>
      <c r="CD2375" s="34"/>
    </row>
    <row r="2376" spans="70:82" x14ac:dyDescent="0.15">
      <c r="BR2376" s="34"/>
      <c r="BV2376" s="34"/>
      <c r="BZ2376" s="34"/>
      <c r="CD2376" s="34"/>
    </row>
    <row r="2377" spans="70:82" x14ac:dyDescent="0.15">
      <c r="BR2377" s="34"/>
      <c r="BV2377" s="34"/>
      <c r="BZ2377" s="34"/>
      <c r="CD2377" s="34"/>
    </row>
    <row r="2378" spans="70:82" x14ac:dyDescent="0.15">
      <c r="BR2378" s="34"/>
      <c r="BV2378" s="34"/>
      <c r="BZ2378" s="34"/>
      <c r="CD2378" s="34"/>
    </row>
    <row r="2379" spans="70:82" x14ac:dyDescent="0.15">
      <c r="BR2379" s="34"/>
      <c r="BV2379" s="34"/>
      <c r="BZ2379" s="34"/>
      <c r="CD2379" s="34"/>
    </row>
    <row r="2380" spans="70:82" x14ac:dyDescent="0.15">
      <c r="BR2380" s="34"/>
      <c r="BV2380" s="34"/>
      <c r="BZ2380" s="34"/>
      <c r="CD2380" s="34"/>
    </row>
    <row r="2381" spans="70:82" x14ac:dyDescent="0.15">
      <c r="BR2381" s="34"/>
      <c r="BV2381" s="34"/>
      <c r="BZ2381" s="34"/>
      <c r="CD2381" s="34"/>
    </row>
    <row r="2382" spans="70:82" x14ac:dyDescent="0.15">
      <c r="BR2382" s="34"/>
      <c r="BV2382" s="34"/>
      <c r="BZ2382" s="34"/>
      <c r="CD2382" s="34"/>
    </row>
    <row r="2383" spans="70:82" x14ac:dyDescent="0.15">
      <c r="BR2383" s="34"/>
      <c r="BV2383" s="34"/>
      <c r="BZ2383" s="34"/>
      <c r="CD2383" s="34"/>
    </row>
    <row r="2384" spans="70:82" x14ac:dyDescent="0.15">
      <c r="BR2384" s="34"/>
      <c r="BV2384" s="34"/>
      <c r="BZ2384" s="34"/>
      <c r="CD2384" s="34"/>
    </row>
    <row r="2385" spans="70:82" x14ac:dyDescent="0.15">
      <c r="BR2385" s="34"/>
      <c r="BV2385" s="34"/>
      <c r="BZ2385" s="34"/>
      <c r="CD2385" s="34"/>
    </row>
    <row r="2386" spans="70:82" x14ac:dyDescent="0.15">
      <c r="BR2386" s="34"/>
      <c r="BV2386" s="34"/>
      <c r="BZ2386" s="34"/>
      <c r="CD2386" s="34"/>
    </row>
    <row r="2387" spans="70:82" x14ac:dyDescent="0.15">
      <c r="BR2387" s="34"/>
      <c r="BV2387" s="34"/>
      <c r="BZ2387" s="34"/>
      <c r="CD2387" s="34"/>
    </row>
    <row r="2388" spans="70:82" x14ac:dyDescent="0.15">
      <c r="BR2388" s="34"/>
      <c r="BV2388" s="34"/>
      <c r="BZ2388" s="34"/>
      <c r="CD2388" s="34"/>
    </row>
    <row r="2389" spans="70:82" x14ac:dyDescent="0.15">
      <c r="BR2389" s="34"/>
      <c r="BV2389" s="34"/>
      <c r="BZ2389" s="34"/>
      <c r="CD2389" s="34"/>
    </row>
    <row r="2390" spans="70:82" x14ac:dyDescent="0.15">
      <c r="BR2390" s="34"/>
      <c r="BV2390" s="34"/>
      <c r="BZ2390" s="34"/>
      <c r="CD2390" s="34"/>
    </row>
    <row r="2391" spans="70:82" x14ac:dyDescent="0.15">
      <c r="BR2391" s="34"/>
      <c r="BV2391" s="34"/>
      <c r="BZ2391" s="34"/>
      <c r="CD2391" s="34"/>
    </row>
    <row r="2392" spans="70:82" x14ac:dyDescent="0.15">
      <c r="BR2392" s="34"/>
      <c r="BV2392" s="34"/>
      <c r="BZ2392" s="34"/>
      <c r="CD2392" s="34"/>
    </row>
    <row r="2393" spans="70:82" x14ac:dyDescent="0.15">
      <c r="BR2393" s="34"/>
      <c r="BV2393" s="34"/>
      <c r="BZ2393" s="34"/>
      <c r="CD2393" s="34"/>
    </row>
    <row r="2394" spans="70:82" x14ac:dyDescent="0.15">
      <c r="BR2394" s="34"/>
      <c r="BV2394" s="34"/>
      <c r="BZ2394" s="34"/>
      <c r="CD2394" s="34"/>
    </row>
    <row r="2395" spans="70:82" x14ac:dyDescent="0.15">
      <c r="BR2395" s="34"/>
      <c r="BV2395" s="34"/>
      <c r="BZ2395" s="34"/>
      <c r="CD2395" s="34"/>
    </row>
    <row r="2396" spans="70:82" x14ac:dyDescent="0.15">
      <c r="BR2396" s="34"/>
      <c r="BV2396" s="34"/>
      <c r="BZ2396" s="34"/>
      <c r="CD2396" s="34"/>
    </row>
    <row r="2397" spans="70:82" x14ac:dyDescent="0.15">
      <c r="BR2397" s="34"/>
      <c r="BV2397" s="34"/>
      <c r="BZ2397" s="34"/>
      <c r="CD2397" s="34"/>
    </row>
    <row r="2398" spans="70:82" x14ac:dyDescent="0.15">
      <c r="BR2398" s="34"/>
      <c r="BV2398" s="34"/>
      <c r="BZ2398" s="34"/>
      <c r="CD2398" s="34"/>
    </row>
    <row r="2399" spans="70:82" x14ac:dyDescent="0.15">
      <c r="BR2399" s="34"/>
      <c r="BV2399" s="34"/>
      <c r="BZ2399" s="34"/>
      <c r="CD2399" s="34"/>
    </row>
    <row r="2400" spans="70:82" x14ac:dyDescent="0.15">
      <c r="BR2400" s="34"/>
      <c r="BV2400" s="34"/>
      <c r="BZ2400" s="34"/>
      <c r="CD2400" s="34"/>
    </row>
    <row r="2401" spans="70:82" x14ac:dyDescent="0.15">
      <c r="BR2401" s="34"/>
      <c r="BV2401" s="34"/>
      <c r="BZ2401" s="34"/>
      <c r="CD2401" s="34"/>
    </row>
    <row r="2402" spans="70:82" x14ac:dyDescent="0.15">
      <c r="BR2402" s="34"/>
      <c r="BV2402" s="34"/>
      <c r="BZ2402" s="34"/>
      <c r="CD2402" s="34"/>
    </row>
    <row r="2403" spans="70:82" x14ac:dyDescent="0.15">
      <c r="BR2403" s="34"/>
      <c r="BV2403" s="34"/>
      <c r="BZ2403" s="34"/>
      <c r="CD2403" s="34"/>
    </row>
    <row r="2404" spans="70:82" x14ac:dyDescent="0.15">
      <c r="BR2404" s="34"/>
      <c r="BV2404" s="34"/>
      <c r="BZ2404" s="34"/>
      <c r="CD2404" s="34"/>
    </row>
    <row r="2405" spans="70:82" x14ac:dyDescent="0.15">
      <c r="BR2405" s="34"/>
      <c r="BV2405" s="34"/>
      <c r="BZ2405" s="34"/>
      <c r="CD2405" s="34"/>
    </row>
    <row r="2406" spans="70:82" x14ac:dyDescent="0.15">
      <c r="BR2406" s="34"/>
      <c r="BV2406" s="34"/>
      <c r="BZ2406" s="34"/>
      <c r="CD2406" s="34"/>
    </row>
    <row r="2407" spans="70:82" x14ac:dyDescent="0.15">
      <c r="BR2407" s="34"/>
      <c r="BV2407" s="34"/>
      <c r="BZ2407" s="34"/>
      <c r="CD2407" s="34"/>
    </row>
    <row r="2408" spans="70:82" x14ac:dyDescent="0.15">
      <c r="BR2408" s="34"/>
      <c r="BV2408" s="34"/>
      <c r="BZ2408" s="34"/>
      <c r="CD2408" s="34"/>
    </row>
    <row r="2409" spans="70:82" x14ac:dyDescent="0.15">
      <c r="BR2409" s="34"/>
      <c r="BV2409" s="34"/>
      <c r="BZ2409" s="34"/>
      <c r="CD2409" s="34"/>
    </row>
    <row r="2410" spans="70:82" x14ac:dyDescent="0.15">
      <c r="BR2410" s="34"/>
      <c r="BV2410" s="34"/>
      <c r="BZ2410" s="34"/>
      <c r="CD2410" s="34"/>
    </row>
    <row r="2411" spans="70:82" x14ac:dyDescent="0.15">
      <c r="BR2411" s="34"/>
      <c r="BV2411" s="34"/>
      <c r="BZ2411" s="34"/>
      <c r="CD2411" s="34"/>
    </row>
    <row r="2412" spans="70:82" x14ac:dyDescent="0.15">
      <c r="BR2412" s="34"/>
      <c r="BV2412" s="34"/>
      <c r="BZ2412" s="34"/>
      <c r="CD2412" s="34"/>
    </row>
    <row r="2413" spans="70:82" x14ac:dyDescent="0.15">
      <c r="BR2413" s="34"/>
      <c r="BV2413" s="34"/>
      <c r="BZ2413" s="34"/>
      <c r="CD2413" s="34"/>
    </row>
    <row r="2414" spans="70:82" x14ac:dyDescent="0.15">
      <c r="BR2414" s="34"/>
      <c r="BV2414" s="34"/>
      <c r="BZ2414" s="34"/>
      <c r="CD2414" s="34"/>
    </row>
    <row r="2415" spans="70:82" x14ac:dyDescent="0.15">
      <c r="BR2415" s="34"/>
      <c r="BV2415" s="34"/>
      <c r="BZ2415" s="34"/>
      <c r="CD2415" s="34"/>
    </row>
    <row r="2416" spans="70:82" x14ac:dyDescent="0.15">
      <c r="BR2416" s="34"/>
      <c r="BV2416" s="34"/>
      <c r="BZ2416" s="34"/>
      <c r="CD2416" s="34"/>
    </row>
    <row r="2417" spans="70:82" x14ac:dyDescent="0.15">
      <c r="BR2417" s="34"/>
      <c r="BV2417" s="34"/>
      <c r="BZ2417" s="34"/>
      <c r="CD2417" s="34"/>
    </row>
    <row r="2418" spans="70:82" x14ac:dyDescent="0.15">
      <c r="BR2418" s="34"/>
      <c r="BV2418" s="34"/>
      <c r="BZ2418" s="34"/>
      <c r="CD2418" s="34"/>
    </row>
    <row r="2419" spans="70:82" x14ac:dyDescent="0.15">
      <c r="BR2419" s="34"/>
      <c r="BV2419" s="34"/>
      <c r="BZ2419" s="34"/>
      <c r="CD2419" s="34"/>
    </row>
    <row r="2420" spans="70:82" x14ac:dyDescent="0.15">
      <c r="BR2420" s="34"/>
      <c r="BV2420" s="34"/>
      <c r="BZ2420" s="34"/>
      <c r="CD2420" s="34"/>
    </row>
    <row r="2421" spans="70:82" x14ac:dyDescent="0.15">
      <c r="BR2421" s="34"/>
      <c r="BV2421" s="34"/>
      <c r="BZ2421" s="34"/>
      <c r="CD2421" s="34"/>
    </row>
    <row r="2422" spans="70:82" x14ac:dyDescent="0.15">
      <c r="BR2422" s="34"/>
      <c r="BV2422" s="34"/>
      <c r="BZ2422" s="34"/>
      <c r="CD2422" s="34"/>
    </row>
    <row r="2423" spans="70:82" x14ac:dyDescent="0.15">
      <c r="BR2423" s="34"/>
      <c r="BV2423" s="34"/>
      <c r="BZ2423" s="34"/>
      <c r="CD2423" s="34"/>
    </row>
    <row r="2424" spans="70:82" x14ac:dyDescent="0.15">
      <c r="BR2424" s="34"/>
      <c r="BV2424" s="34"/>
      <c r="BZ2424" s="34"/>
      <c r="CD2424" s="34"/>
    </row>
    <row r="2425" spans="70:82" x14ac:dyDescent="0.15">
      <c r="BR2425" s="34"/>
      <c r="BV2425" s="34"/>
      <c r="BZ2425" s="34"/>
      <c r="CD2425" s="34"/>
    </row>
    <row r="2426" spans="70:82" x14ac:dyDescent="0.15">
      <c r="BR2426" s="34"/>
      <c r="BV2426" s="34"/>
      <c r="BZ2426" s="34"/>
      <c r="CD2426" s="34"/>
    </row>
    <row r="2427" spans="70:82" x14ac:dyDescent="0.15">
      <c r="BR2427" s="34"/>
      <c r="BV2427" s="34"/>
      <c r="BZ2427" s="34"/>
      <c r="CD2427" s="34"/>
    </row>
    <row r="2428" spans="70:82" x14ac:dyDescent="0.15">
      <c r="BR2428" s="34"/>
      <c r="BV2428" s="34"/>
      <c r="BZ2428" s="34"/>
      <c r="CD2428" s="34"/>
    </row>
    <row r="2429" spans="70:82" x14ac:dyDescent="0.15">
      <c r="BR2429" s="34"/>
      <c r="BV2429" s="34"/>
      <c r="BZ2429" s="34"/>
      <c r="CD2429" s="34"/>
    </row>
    <row r="2430" spans="70:82" x14ac:dyDescent="0.15">
      <c r="BR2430" s="34"/>
      <c r="BV2430" s="34"/>
      <c r="BZ2430" s="34"/>
      <c r="CD2430" s="34"/>
    </row>
    <row r="2431" spans="70:82" x14ac:dyDescent="0.15">
      <c r="BR2431" s="34"/>
      <c r="BV2431" s="34"/>
      <c r="BZ2431" s="34"/>
      <c r="CD2431" s="34"/>
    </row>
    <row r="2432" spans="70:82" x14ac:dyDescent="0.15">
      <c r="BR2432" s="34"/>
      <c r="BV2432" s="34"/>
      <c r="BZ2432" s="34"/>
      <c r="CD2432" s="34"/>
    </row>
    <row r="2433" spans="70:82" x14ac:dyDescent="0.15">
      <c r="BR2433" s="34"/>
      <c r="BV2433" s="34"/>
      <c r="BZ2433" s="34"/>
      <c r="CD2433" s="34"/>
    </row>
    <row r="2434" spans="70:82" x14ac:dyDescent="0.15">
      <c r="BR2434" s="34"/>
      <c r="BV2434" s="34"/>
      <c r="BZ2434" s="34"/>
      <c r="CD2434" s="34"/>
    </row>
    <row r="2435" spans="70:82" x14ac:dyDescent="0.15">
      <c r="BR2435" s="34"/>
      <c r="BV2435" s="34"/>
      <c r="BZ2435" s="34"/>
      <c r="CD2435" s="34"/>
    </row>
    <row r="2436" spans="70:82" x14ac:dyDescent="0.15">
      <c r="BR2436" s="34"/>
      <c r="BV2436" s="34"/>
      <c r="BZ2436" s="34"/>
      <c r="CD2436" s="34"/>
    </row>
    <row r="2437" spans="70:82" x14ac:dyDescent="0.15">
      <c r="BR2437" s="34"/>
      <c r="BV2437" s="34"/>
      <c r="BZ2437" s="34"/>
      <c r="CD2437" s="34"/>
    </row>
    <row r="2438" spans="70:82" x14ac:dyDescent="0.15">
      <c r="BR2438" s="34"/>
      <c r="BV2438" s="34"/>
      <c r="BZ2438" s="34"/>
      <c r="CD2438" s="34"/>
    </row>
    <row r="2439" spans="70:82" x14ac:dyDescent="0.15">
      <c r="BR2439" s="34"/>
      <c r="BV2439" s="34"/>
      <c r="BZ2439" s="34"/>
      <c r="CD2439" s="34"/>
    </row>
    <row r="2440" spans="70:82" x14ac:dyDescent="0.15">
      <c r="BR2440" s="34"/>
      <c r="BV2440" s="34"/>
      <c r="BZ2440" s="34"/>
      <c r="CD2440" s="34"/>
    </row>
    <row r="2441" spans="70:82" x14ac:dyDescent="0.15">
      <c r="BR2441" s="34"/>
      <c r="BV2441" s="34"/>
      <c r="BZ2441" s="34"/>
      <c r="CD2441" s="34"/>
    </row>
    <row r="2442" spans="70:82" x14ac:dyDescent="0.15">
      <c r="BR2442" s="34"/>
      <c r="BV2442" s="34"/>
      <c r="BZ2442" s="34"/>
      <c r="CD2442" s="34"/>
    </row>
    <row r="2443" spans="70:82" x14ac:dyDescent="0.15">
      <c r="BR2443" s="34"/>
      <c r="BV2443" s="34"/>
      <c r="BZ2443" s="34"/>
      <c r="CD2443" s="34"/>
    </row>
    <row r="2444" spans="70:82" x14ac:dyDescent="0.15">
      <c r="BR2444" s="34"/>
      <c r="BV2444" s="34"/>
      <c r="BZ2444" s="34"/>
      <c r="CD2444" s="34"/>
    </row>
    <row r="2445" spans="70:82" x14ac:dyDescent="0.15">
      <c r="BR2445" s="34"/>
      <c r="BV2445" s="34"/>
      <c r="BZ2445" s="34"/>
      <c r="CD2445" s="34"/>
    </row>
    <row r="2446" spans="70:82" x14ac:dyDescent="0.15">
      <c r="BR2446" s="34"/>
      <c r="BV2446" s="34"/>
      <c r="BZ2446" s="34"/>
      <c r="CD2446" s="34"/>
    </row>
    <row r="2447" spans="70:82" x14ac:dyDescent="0.15">
      <c r="BR2447" s="34"/>
      <c r="BV2447" s="34"/>
      <c r="BZ2447" s="34"/>
      <c r="CD2447" s="34"/>
    </row>
    <row r="2448" spans="70:82" x14ac:dyDescent="0.15">
      <c r="BR2448" s="34"/>
      <c r="BV2448" s="34"/>
      <c r="BZ2448" s="34"/>
      <c r="CD2448" s="34"/>
    </row>
    <row r="2449" spans="70:82" x14ac:dyDescent="0.15">
      <c r="BR2449" s="34"/>
      <c r="BV2449" s="34"/>
      <c r="BZ2449" s="34"/>
      <c r="CD2449" s="34"/>
    </row>
    <row r="2450" spans="70:82" x14ac:dyDescent="0.15">
      <c r="BR2450" s="34"/>
      <c r="BV2450" s="34"/>
      <c r="BZ2450" s="34"/>
      <c r="CD2450" s="34"/>
    </row>
    <row r="2451" spans="70:82" x14ac:dyDescent="0.15">
      <c r="BR2451" s="34"/>
      <c r="BV2451" s="34"/>
      <c r="BZ2451" s="34"/>
      <c r="CD2451" s="34"/>
    </row>
    <row r="2452" spans="70:82" x14ac:dyDescent="0.15">
      <c r="BR2452" s="34"/>
      <c r="BV2452" s="34"/>
      <c r="BZ2452" s="34"/>
      <c r="CD2452" s="34"/>
    </row>
    <row r="2453" spans="70:82" x14ac:dyDescent="0.15">
      <c r="BR2453" s="34"/>
      <c r="BV2453" s="34"/>
      <c r="BZ2453" s="34"/>
      <c r="CD2453" s="34"/>
    </row>
    <row r="2454" spans="70:82" x14ac:dyDescent="0.15">
      <c r="BR2454" s="34"/>
      <c r="BV2454" s="34"/>
      <c r="BZ2454" s="34"/>
      <c r="CD2454" s="34"/>
    </row>
    <row r="2455" spans="70:82" x14ac:dyDescent="0.15">
      <c r="BR2455" s="34"/>
      <c r="BV2455" s="34"/>
      <c r="BZ2455" s="34"/>
      <c r="CD2455" s="34"/>
    </row>
    <row r="2456" spans="70:82" x14ac:dyDescent="0.15">
      <c r="BR2456" s="34"/>
      <c r="BV2456" s="34"/>
      <c r="BZ2456" s="34"/>
      <c r="CD2456" s="34"/>
    </row>
    <row r="2457" spans="70:82" x14ac:dyDescent="0.15">
      <c r="BR2457" s="34"/>
      <c r="BV2457" s="34"/>
      <c r="BZ2457" s="34"/>
      <c r="CD2457" s="34"/>
    </row>
    <row r="2458" spans="70:82" x14ac:dyDescent="0.15">
      <c r="BR2458" s="34"/>
      <c r="BV2458" s="34"/>
      <c r="BZ2458" s="34"/>
      <c r="CD2458" s="34"/>
    </row>
    <row r="2459" spans="70:82" x14ac:dyDescent="0.15">
      <c r="BR2459" s="34"/>
      <c r="BV2459" s="34"/>
      <c r="BZ2459" s="34"/>
      <c r="CD2459" s="34"/>
    </row>
    <row r="2460" spans="70:82" x14ac:dyDescent="0.15">
      <c r="BR2460" s="34"/>
      <c r="BV2460" s="34"/>
      <c r="BZ2460" s="34"/>
      <c r="CD2460" s="34"/>
    </row>
    <row r="2461" spans="70:82" x14ac:dyDescent="0.15">
      <c r="BR2461" s="34"/>
      <c r="BV2461" s="34"/>
      <c r="BZ2461" s="34"/>
      <c r="CD2461" s="34"/>
    </row>
    <row r="2462" spans="70:82" x14ac:dyDescent="0.15">
      <c r="BR2462" s="34"/>
      <c r="BV2462" s="34"/>
      <c r="BZ2462" s="34"/>
      <c r="CD2462" s="34"/>
    </row>
    <row r="2463" spans="70:82" x14ac:dyDescent="0.15">
      <c r="BR2463" s="34"/>
      <c r="BV2463" s="34"/>
      <c r="BZ2463" s="34"/>
      <c r="CD2463" s="34"/>
    </row>
    <row r="2464" spans="70:82" x14ac:dyDescent="0.15">
      <c r="BR2464" s="34"/>
      <c r="BV2464" s="34"/>
      <c r="BZ2464" s="34"/>
      <c r="CD2464" s="34"/>
    </row>
    <row r="2465" spans="70:82" x14ac:dyDescent="0.15">
      <c r="BR2465" s="34"/>
      <c r="BV2465" s="34"/>
      <c r="BZ2465" s="34"/>
      <c r="CD2465" s="34"/>
    </row>
    <row r="2466" spans="70:82" x14ac:dyDescent="0.15">
      <c r="BR2466" s="34"/>
      <c r="BV2466" s="34"/>
      <c r="BZ2466" s="34"/>
      <c r="CD2466" s="34"/>
    </row>
    <row r="2467" spans="70:82" x14ac:dyDescent="0.15">
      <c r="BR2467" s="34"/>
      <c r="BV2467" s="34"/>
      <c r="BZ2467" s="34"/>
      <c r="CD2467" s="34"/>
    </row>
    <row r="2468" spans="70:82" x14ac:dyDescent="0.15">
      <c r="BR2468" s="34"/>
      <c r="BV2468" s="34"/>
      <c r="BZ2468" s="34"/>
      <c r="CD2468" s="34"/>
    </row>
    <row r="2469" spans="70:82" x14ac:dyDescent="0.15">
      <c r="BR2469" s="34"/>
      <c r="BV2469" s="34"/>
      <c r="BZ2469" s="34"/>
      <c r="CD2469" s="34"/>
    </row>
    <row r="2470" spans="70:82" x14ac:dyDescent="0.15">
      <c r="BR2470" s="34"/>
      <c r="BV2470" s="34"/>
      <c r="BZ2470" s="34"/>
      <c r="CD2470" s="34"/>
    </row>
    <row r="2471" spans="70:82" x14ac:dyDescent="0.15">
      <c r="BR2471" s="34"/>
      <c r="BV2471" s="34"/>
      <c r="BZ2471" s="34"/>
      <c r="CD2471" s="34"/>
    </row>
    <row r="2472" spans="70:82" x14ac:dyDescent="0.15">
      <c r="BR2472" s="34"/>
      <c r="BV2472" s="34"/>
      <c r="BZ2472" s="34"/>
      <c r="CD2472" s="34"/>
    </row>
    <row r="2473" spans="70:82" x14ac:dyDescent="0.15">
      <c r="BR2473" s="34"/>
      <c r="BV2473" s="34"/>
      <c r="BZ2473" s="34"/>
      <c r="CD2473" s="34"/>
    </row>
    <row r="2474" spans="70:82" x14ac:dyDescent="0.15">
      <c r="BR2474" s="34"/>
      <c r="BV2474" s="34"/>
      <c r="BZ2474" s="34"/>
      <c r="CD2474" s="34"/>
    </row>
    <row r="2475" spans="70:82" x14ac:dyDescent="0.15">
      <c r="BR2475" s="34"/>
      <c r="BV2475" s="34"/>
      <c r="BZ2475" s="34"/>
      <c r="CD2475" s="34"/>
    </row>
    <row r="2476" spans="70:82" x14ac:dyDescent="0.15">
      <c r="BR2476" s="34"/>
      <c r="BV2476" s="34"/>
      <c r="BZ2476" s="34"/>
      <c r="CD2476" s="34"/>
    </row>
    <row r="2477" spans="70:82" x14ac:dyDescent="0.15">
      <c r="BR2477" s="34"/>
      <c r="BV2477" s="34"/>
      <c r="BZ2477" s="34"/>
      <c r="CD2477" s="34"/>
    </row>
    <row r="2478" spans="70:82" x14ac:dyDescent="0.15">
      <c r="BR2478" s="34"/>
      <c r="BV2478" s="34"/>
      <c r="BZ2478" s="34"/>
      <c r="CD2478" s="34"/>
    </row>
    <row r="2479" spans="70:82" x14ac:dyDescent="0.15">
      <c r="BR2479" s="34"/>
      <c r="BV2479" s="34"/>
      <c r="BZ2479" s="34"/>
      <c r="CD2479" s="34"/>
    </row>
    <row r="2480" spans="70:82" x14ac:dyDescent="0.15">
      <c r="BR2480" s="34"/>
      <c r="BV2480" s="34"/>
      <c r="BZ2480" s="34"/>
      <c r="CD2480" s="34"/>
    </row>
    <row r="2481" spans="70:82" x14ac:dyDescent="0.15">
      <c r="BR2481" s="34"/>
      <c r="BV2481" s="34"/>
      <c r="BZ2481" s="34"/>
      <c r="CD2481" s="34"/>
    </row>
    <row r="2482" spans="70:82" x14ac:dyDescent="0.15">
      <c r="BR2482" s="34"/>
      <c r="BV2482" s="34"/>
      <c r="BZ2482" s="34"/>
      <c r="CD2482" s="34"/>
    </row>
    <row r="2483" spans="70:82" x14ac:dyDescent="0.15">
      <c r="BR2483" s="34"/>
      <c r="BV2483" s="34"/>
      <c r="BZ2483" s="34"/>
      <c r="CD2483" s="34"/>
    </row>
    <row r="2484" spans="70:82" x14ac:dyDescent="0.15">
      <c r="BR2484" s="34"/>
      <c r="BV2484" s="34"/>
      <c r="BZ2484" s="34"/>
      <c r="CD2484" s="34"/>
    </row>
    <row r="2485" spans="70:82" x14ac:dyDescent="0.15">
      <c r="BR2485" s="34"/>
      <c r="BV2485" s="34"/>
      <c r="BZ2485" s="34"/>
      <c r="CD2485" s="34"/>
    </row>
    <row r="2486" spans="70:82" x14ac:dyDescent="0.15">
      <c r="BR2486" s="34"/>
      <c r="BV2486" s="34"/>
      <c r="BZ2486" s="34"/>
      <c r="CD2486" s="34"/>
    </row>
    <row r="2487" spans="70:82" x14ac:dyDescent="0.15">
      <c r="BR2487" s="34"/>
      <c r="BV2487" s="34"/>
      <c r="BZ2487" s="34"/>
      <c r="CD2487" s="34"/>
    </row>
    <row r="2488" spans="70:82" x14ac:dyDescent="0.15">
      <c r="BR2488" s="34"/>
      <c r="BV2488" s="34"/>
      <c r="BZ2488" s="34"/>
      <c r="CD2488" s="34"/>
    </row>
    <row r="2489" spans="70:82" x14ac:dyDescent="0.15">
      <c r="BR2489" s="34"/>
      <c r="BV2489" s="34"/>
      <c r="BZ2489" s="34"/>
      <c r="CD2489" s="34"/>
    </row>
    <row r="2490" spans="70:82" x14ac:dyDescent="0.15">
      <c r="BR2490" s="34"/>
      <c r="BV2490" s="34"/>
      <c r="BZ2490" s="34"/>
      <c r="CD2490" s="34"/>
    </row>
    <row r="2491" spans="70:82" x14ac:dyDescent="0.15">
      <c r="BR2491" s="34"/>
      <c r="BV2491" s="34"/>
      <c r="BZ2491" s="34"/>
      <c r="CD2491" s="34"/>
    </row>
    <row r="2492" spans="70:82" x14ac:dyDescent="0.15">
      <c r="BR2492" s="34"/>
      <c r="BV2492" s="34"/>
      <c r="BZ2492" s="34"/>
      <c r="CD2492" s="34"/>
    </row>
    <row r="2493" spans="70:82" x14ac:dyDescent="0.15">
      <c r="BR2493" s="34"/>
      <c r="BV2493" s="34"/>
      <c r="BZ2493" s="34"/>
      <c r="CD2493" s="34"/>
    </row>
    <row r="2494" spans="70:82" x14ac:dyDescent="0.15">
      <c r="BR2494" s="34"/>
      <c r="BV2494" s="34"/>
      <c r="BZ2494" s="34"/>
      <c r="CD2494" s="34"/>
    </row>
    <row r="2495" spans="70:82" x14ac:dyDescent="0.15">
      <c r="BR2495" s="34"/>
      <c r="BV2495" s="34"/>
      <c r="BZ2495" s="34"/>
      <c r="CD2495" s="34"/>
    </row>
    <row r="2496" spans="70:82" x14ac:dyDescent="0.15">
      <c r="BR2496" s="34"/>
      <c r="BV2496" s="34"/>
      <c r="BZ2496" s="34"/>
      <c r="CD2496" s="34"/>
    </row>
    <row r="2497" spans="70:82" x14ac:dyDescent="0.15">
      <c r="BR2497" s="34"/>
      <c r="BV2497" s="34"/>
      <c r="BZ2497" s="34"/>
      <c r="CD2497" s="34"/>
    </row>
    <row r="2498" spans="70:82" x14ac:dyDescent="0.15">
      <c r="BR2498" s="34"/>
      <c r="BV2498" s="34"/>
      <c r="BZ2498" s="34"/>
      <c r="CD2498" s="34"/>
    </row>
    <row r="2499" spans="70:82" x14ac:dyDescent="0.15">
      <c r="BR2499" s="34"/>
      <c r="BV2499" s="34"/>
      <c r="BZ2499" s="34"/>
      <c r="CD2499" s="34"/>
    </row>
    <row r="2500" spans="70:82" x14ac:dyDescent="0.15">
      <c r="BR2500" s="34"/>
      <c r="BV2500" s="34"/>
      <c r="BZ2500" s="34"/>
      <c r="CD2500" s="34"/>
    </row>
    <row r="2501" spans="70:82" x14ac:dyDescent="0.15">
      <c r="BR2501" s="34"/>
      <c r="BV2501" s="34"/>
      <c r="BZ2501" s="34"/>
      <c r="CD2501" s="34"/>
    </row>
    <row r="2502" spans="70:82" x14ac:dyDescent="0.15">
      <c r="BR2502" s="34"/>
      <c r="BV2502" s="34"/>
      <c r="BZ2502" s="34"/>
      <c r="CD2502" s="34"/>
    </row>
    <row r="2503" spans="70:82" x14ac:dyDescent="0.15">
      <c r="BR2503" s="34"/>
      <c r="BV2503" s="34"/>
      <c r="BZ2503" s="34"/>
      <c r="CD2503" s="34"/>
    </row>
    <row r="2504" spans="70:82" x14ac:dyDescent="0.15">
      <c r="BR2504" s="34"/>
      <c r="BV2504" s="34"/>
      <c r="BZ2504" s="34"/>
      <c r="CD2504" s="34"/>
    </row>
    <row r="2505" spans="70:82" x14ac:dyDescent="0.15">
      <c r="BR2505" s="34"/>
      <c r="BV2505" s="34"/>
      <c r="BZ2505" s="34"/>
      <c r="CD2505" s="34"/>
    </row>
    <row r="2506" spans="70:82" x14ac:dyDescent="0.15">
      <c r="BR2506" s="34"/>
      <c r="BV2506" s="34"/>
      <c r="BZ2506" s="34"/>
      <c r="CD2506" s="34"/>
    </row>
    <row r="2507" spans="70:82" x14ac:dyDescent="0.15">
      <c r="BR2507" s="34"/>
      <c r="BV2507" s="34"/>
      <c r="BZ2507" s="34"/>
      <c r="CD2507" s="34"/>
    </row>
    <row r="2508" spans="70:82" x14ac:dyDescent="0.15">
      <c r="BR2508" s="34"/>
      <c r="BV2508" s="34"/>
      <c r="BZ2508" s="34"/>
      <c r="CD2508" s="34"/>
    </row>
    <row r="2509" spans="70:82" x14ac:dyDescent="0.15">
      <c r="BR2509" s="34"/>
      <c r="BV2509" s="34"/>
      <c r="BZ2509" s="34"/>
      <c r="CD2509" s="34"/>
    </row>
    <row r="2510" spans="70:82" x14ac:dyDescent="0.15">
      <c r="BR2510" s="34"/>
      <c r="BV2510" s="34"/>
      <c r="BZ2510" s="34"/>
      <c r="CD2510" s="34"/>
    </row>
    <row r="2511" spans="70:82" x14ac:dyDescent="0.15">
      <c r="BR2511" s="34"/>
      <c r="BV2511" s="34"/>
      <c r="BZ2511" s="34"/>
      <c r="CD2511" s="34"/>
    </row>
    <row r="2512" spans="70:82" x14ac:dyDescent="0.15">
      <c r="BR2512" s="34"/>
      <c r="BV2512" s="34"/>
      <c r="BZ2512" s="34"/>
      <c r="CD2512" s="34"/>
    </row>
    <row r="2513" spans="70:82" x14ac:dyDescent="0.15">
      <c r="BR2513" s="34"/>
      <c r="BV2513" s="34"/>
      <c r="BZ2513" s="34"/>
      <c r="CD2513" s="34"/>
    </row>
    <row r="2514" spans="70:82" x14ac:dyDescent="0.15">
      <c r="BR2514" s="34"/>
      <c r="BV2514" s="34"/>
      <c r="BZ2514" s="34"/>
      <c r="CD2514" s="34"/>
    </row>
    <row r="2515" spans="70:82" x14ac:dyDescent="0.15">
      <c r="BR2515" s="34"/>
      <c r="BV2515" s="34"/>
      <c r="BZ2515" s="34"/>
      <c r="CD2515" s="34"/>
    </row>
    <row r="2516" spans="70:82" x14ac:dyDescent="0.15">
      <c r="BR2516" s="34"/>
      <c r="BV2516" s="34"/>
      <c r="BZ2516" s="34"/>
      <c r="CD2516" s="34"/>
    </row>
    <row r="2517" spans="70:82" x14ac:dyDescent="0.15">
      <c r="BR2517" s="34"/>
      <c r="BV2517" s="34"/>
      <c r="BZ2517" s="34"/>
      <c r="CD2517" s="34"/>
    </row>
    <row r="2518" spans="70:82" x14ac:dyDescent="0.15">
      <c r="BR2518" s="34"/>
      <c r="BV2518" s="34"/>
      <c r="BZ2518" s="34"/>
      <c r="CD2518" s="34"/>
    </row>
    <row r="2519" spans="70:82" x14ac:dyDescent="0.15">
      <c r="BR2519" s="34"/>
      <c r="BV2519" s="34"/>
      <c r="BZ2519" s="34"/>
      <c r="CD2519" s="34"/>
    </row>
    <row r="2520" spans="70:82" x14ac:dyDescent="0.15">
      <c r="BR2520" s="34"/>
      <c r="BV2520" s="34"/>
      <c r="BZ2520" s="34"/>
      <c r="CD2520" s="34"/>
    </row>
    <row r="2521" spans="70:82" x14ac:dyDescent="0.15">
      <c r="BR2521" s="34"/>
      <c r="BV2521" s="34"/>
      <c r="BZ2521" s="34"/>
      <c r="CD2521" s="34"/>
    </row>
    <row r="2522" spans="70:82" x14ac:dyDescent="0.15">
      <c r="BR2522" s="34"/>
      <c r="BV2522" s="34"/>
      <c r="BZ2522" s="34"/>
      <c r="CD2522" s="34"/>
    </row>
    <row r="2523" spans="70:82" x14ac:dyDescent="0.15">
      <c r="BR2523" s="34"/>
      <c r="BV2523" s="34"/>
      <c r="BZ2523" s="34"/>
      <c r="CD2523" s="34"/>
    </row>
    <row r="2524" spans="70:82" x14ac:dyDescent="0.15">
      <c r="BR2524" s="34"/>
      <c r="BV2524" s="34"/>
      <c r="BZ2524" s="34"/>
      <c r="CD2524" s="34"/>
    </row>
    <row r="2525" spans="70:82" x14ac:dyDescent="0.15">
      <c r="BR2525" s="34"/>
      <c r="BV2525" s="34"/>
      <c r="BZ2525" s="34"/>
      <c r="CD2525" s="34"/>
    </row>
    <row r="2526" spans="70:82" x14ac:dyDescent="0.15">
      <c r="BR2526" s="34"/>
      <c r="BV2526" s="34"/>
      <c r="BZ2526" s="34"/>
      <c r="CD2526" s="34"/>
    </row>
    <row r="2527" spans="70:82" x14ac:dyDescent="0.15">
      <c r="BR2527" s="34"/>
      <c r="BV2527" s="34"/>
      <c r="BZ2527" s="34"/>
      <c r="CD2527" s="34"/>
    </row>
    <row r="2528" spans="70:82" x14ac:dyDescent="0.15">
      <c r="BR2528" s="34"/>
      <c r="BV2528" s="34"/>
      <c r="BZ2528" s="34"/>
      <c r="CD2528" s="34"/>
    </row>
    <row r="2529" spans="70:82" x14ac:dyDescent="0.15">
      <c r="BR2529" s="34"/>
      <c r="BV2529" s="34"/>
      <c r="BZ2529" s="34"/>
      <c r="CD2529" s="34"/>
    </row>
    <row r="2530" spans="70:82" x14ac:dyDescent="0.15">
      <c r="BR2530" s="34"/>
      <c r="BV2530" s="34"/>
      <c r="BZ2530" s="34"/>
      <c r="CD2530" s="34"/>
    </row>
    <row r="2531" spans="70:82" x14ac:dyDescent="0.15">
      <c r="BR2531" s="34"/>
      <c r="BV2531" s="34"/>
      <c r="BZ2531" s="34"/>
      <c r="CD2531" s="34"/>
    </row>
    <row r="2532" spans="70:82" x14ac:dyDescent="0.15">
      <c r="BR2532" s="34"/>
      <c r="BV2532" s="34"/>
      <c r="BZ2532" s="34"/>
      <c r="CD2532" s="34"/>
    </row>
    <row r="2533" spans="70:82" x14ac:dyDescent="0.15">
      <c r="BR2533" s="34"/>
      <c r="BV2533" s="34"/>
      <c r="BZ2533" s="34"/>
      <c r="CD2533" s="34"/>
    </row>
    <row r="2534" spans="70:82" x14ac:dyDescent="0.15">
      <c r="BR2534" s="34"/>
      <c r="BV2534" s="34"/>
      <c r="BZ2534" s="34"/>
      <c r="CD2534" s="34"/>
    </row>
    <row r="2535" spans="70:82" x14ac:dyDescent="0.15">
      <c r="BR2535" s="34"/>
      <c r="BV2535" s="34"/>
      <c r="BZ2535" s="34"/>
      <c r="CD2535" s="34"/>
    </row>
    <row r="2536" spans="70:82" x14ac:dyDescent="0.15">
      <c r="BR2536" s="34"/>
      <c r="BV2536" s="34"/>
      <c r="BZ2536" s="34"/>
      <c r="CD2536" s="34"/>
    </row>
    <row r="2537" spans="70:82" x14ac:dyDescent="0.15">
      <c r="BR2537" s="34"/>
      <c r="BV2537" s="34"/>
      <c r="BZ2537" s="34"/>
      <c r="CD2537" s="34"/>
    </row>
    <row r="2538" spans="70:82" x14ac:dyDescent="0.15">
      <c r="BR2538" s="34"/>
      <c r="BV2538" s="34"/>
      <c r="BZ2538" s="34"/>
      <c r="CD2538" s="34"/>
    </row>
    <row r="2539" spans="70:82" x14ac:dyDescent="0.15">
      <c r="BR2539" s="34"/>
      <c r="BV2539" s="34"/>
      <c r="BZ2539" s="34"/>
      <c r="CD2539" s="34"/>
    </row>
    <row r="2540" spans="70:82" x14ac:dyDescent="0.15">
      <c r="BR2540" s="34"/>
      <c r="BV2540" s="34"/>
      <c r="BZ2540" s="34"/>
      <c r="CD2540" s="34"/>
    </row>
    <row r="2541" spans="70:82" x14ac:dyDescent="0.15">
      <c r="BR2541" s="34"/>
      <c r="BV2541" s="34"/>
      <c r="BZ2541" s="34"/>
      <c r="CD2541" s="34"/>
    </row>
    <row r="2542" spans="70:82" x14ac:dyDescent="0.15">
      <c r="BR2542" s="34"/>
      <c r="BV2542" s="34"/>
      <c r="BZ2542" s="34"/>
      <c r="CD2542" s="34"/>
    </row>
    <row r="2543" spans="70:82" x14ac:dyDescent="0.15">
      <c r="BR2543" s="34"/>
      <c r="BV2543" s="34"/>
      <c r="BZ2543" s="34"/>
      <c r="CD2543" s="34"/>
    </row>
    <row r="2544" spans="70:82" x14ac:dyDescent="0.15">
      <c r="BR2544" s="34"/>
      <c r="BV2544" s="34"/>
      <c r="BZ2544" s="34"/>
      <c r="CD2544" s="34"/>
    </row>
    <row r="2545" spans="70:82" x14ac:dyDescent="0.15">
      <c r="BR2545" s="34"/>
      <c r="BV2545" s="34"/>
      <c r="BZ2545" s="34"/>
      <c r="CD2545" s="34"/>
    </row>
    <row r="2546" spans="70:82" x14ac:dyDescent="0.15">
      <c r="BR2546" s="34"/>
      <c r="BV2546" s="34"/>
      <c r="BZ2546" s="34"/>
      <c r="CD2546" s="34"/>
    </row>
    <row r="2547" spans="70:82" x14ac:dyDescent="0.15">
      <c r="BR2547" s="34"/>
      <c r="BV2547" s="34"/>
      <c r="BZ2547" s="34"/>
      <c r="CD2547" s="34"/>
    </row>
    <row r="2548" spans="70:82" x14ac:dyDescent="0.15">
      <c r="BR2548" s="34"/>
      <c r="BV2548" s="34"/>
      <c r="BZ2548" s="34"/>
      <c r="CD2548" s="34"/>
    </row>
    <row r="2549" spans="70:82" x14ac:dyDescent="0.15">
      <c r="BR2549" s="34"/>
      <c r="BV2549" s="34"/>
      <c r="BZ2549" s="34"/>
      <c r="CD2549" s="34"/>
    </row>
    <row r="2550" spans="70:82" x14ac:dyDescent="0.15">
      <c r="BR2550" s="34"/>
      <c r="BV2550" s="34"/>
      <c r="BZ2550" s="34"/>
      <c r="CD2550" s="34"/>
    </row>
    <row r="2551" spans="70:82" x14ac:dyDescent="0.15">
      <c r="BR2551" s="34"/>
      <c r="BV2551" s="34"/>
      <c r="BZ2551" s="34"/>
      <c r="CD2551" s="34"/>
    </row>
    <row r="2552" spans="70:82" x14ac:dyDescent="0.15">
      <c r="BR2552" s="34"/>
      <c r="BV2552" s="34"/>
      <c r="BZ2552" s="34"/>
      <c r="CD2552" s="34"/>
    </row>
    <row r="2553" spans="70:82" x14ac:dyDescent="0.15">
      <c r="BR2553" s="34"/>
      <c r="BV2553" s="34"/>
      <c r="BZ2553" s="34"/>
      <c r="CD2553" s="34"/>
    </row>
    <row r="2554" spans="70:82" x14ac:dyDescent="0.15">
      <c r="BR2554" s="34"/>
      <c r="BV2554" s="34"/>
      <c r="BZ2554" s="34"/>
      <c r="CD2554" s="34"/>
    </row>
    <row r="2555" spans="70:82" x14ac:dyDescent="0.15">
      <c r="BR2555" s="34"/>
      <c r="BV2555" s="34"/>
      <c r="BZ2555" s="34"/>
      <c r="CD2555" s="34"/>
    </row>
    <row r="2556" spans="70:82" x14ac:dyDescent="0.15">
      <c r="BR2556" s="34"/>
      <c r="BV2556" s="34"/>
      <c r="BZ2556" s="34"/>
      <c r="CD2556" s="34"/>
    </row>
    <row r="2557" spans="70:82" x14ac:dyDescent="0.15">
      <c r="BR2557" s="34"/>
      <c r="BV2557" s="34"/>
      <c r="BZ2557" s="34"/>
      <c r="CD2557" s="34"/>
    </row>
    <row r="2558" spans="70:82" x14ac:dyDescent="0.15">
      <c r="BR2558" s="34"/>
      <c r="BV2558" s="34"/>
      <c r="BZ2558" s="34"/>
      <c r="CD2558" s="34"/>
    </row>
    <row r="2559" spans="70:82" x14ac:dyDescent="0.15">
      <c r="BR2559" s="34"/>
      <c r="BV2559" s="34"/>
      <c r="BZ2559" s="34"/>
      <c r="CD2559" s="34"/>
    </row>
    <row r="2560" spans="70:82" x14ac:dyDescent="0.15">
      <c r="BR2560" s="34"/>
      <c r="BV2560" s="34"/>
      <c r="BZ2560" s="34"/>
      <c r="CD2560" s="34"/>
    </row>
    <row r="2561" spans="70:82" x14ac:dyDescent="0.15">
      <c r="BR2561" s="34"/>
      <c r="BV2561" s="34"/>
      <c r="BZ2561" s="34"/>
      <c r="CD2561" s="34"/>
    </row>
    <row r="2562" spans="70:82" x14ac:dyDescent="0.15">
      <c r="BR2562" s="34"/>
      <c r="BV2562" s="34"/>
      <c r="BZ2562" s="34"/>
      <c r="CD2562" s="34"/>
    </row>
    <row r="2563" spans="70:82" x14ac:dyDescent="0.15">
      <c r="BR2563" s="34"/>
      <c r="BV2563" s="34"/>
      <c r="BZ2563" s="34"/>
      <c r="CD2563" s="34"/>
    </row>
    <row r="2564" spans="70:82" x14ac:dyDescent="0.15">
      <c r="BR2564" s="34"/>
      <c r="BV2564" s="34"/>
      <c r="BZ2564" s="34"/>
      <c r="CD2564" s="34"/>
    </row>
    <row r="2565" spans="70:82" x14ac:dyDescent="0.15">
      <c r="BR2565" s="34"/>
      <c r="BV2565" s="34"/>
      <c r="BZ2565" s="34"/>
      <c r="CD2565" s="34"/>
    </row>
    <row r="2566" spans="70:82" x14ac:dyDescent="0.15">
      <c r="BR2566" s="34"/>
      <c r="BV2566" s="34"/>
      <c r="BZ2566" s="34"/>
      <c r="CD2566" s="34"/>
    </row>
    <row r="2567" spans="70:82" x14ac:dyDescent="0.15">
      <c r="BR2567" s="34"/>
      <c r="BV2567" s="34"/>
      <c r="BZ2567" s="34"/>
      <c r="CD2567" s="34"/>
    </row>
    <row r="2568" spans="70:82" x14ac:dyDescent="0.15">
      <c r="BR2568" s="34"/>
      <c r="BV2568" s="34"/>
      <c r="BZ2568" s="34"/>
      <c r="CD2568" s="34"/>
    </row>
    <row r="2569" spans="70:82" x14ac:dyDescent="0.15">
      <c r="BR2569" s="34"/>
      <c r="BV2569" s="34"/>
      <c r="BZ2569" s="34"/>
      <c r="CD2569" s="34"/>
    </row>
    <row r="2570" spans="70:82" x14ac:dyDescent="0.15">
      <c r="BR2570" s="34"/>
      <c r="BV2570" s="34"/>
      <c r="BZ2570" s="34"/>
      <c r="CD2570" s="34"/>
    </row>
    <row r="2571" spans="70:82" x14ac:dyDescent="0.15">
      <c r="BR2571" s="34"/>
      <c r="BV2571" s="34"/>
      <c r="BZ2571" s="34"/>
      <c r="CD2571" s="34"/>
    </row>
    <row r="2572" spans="70:82" x14ac:dyDescent="0.15">
      <c r="BR2572" s="34"/>
      <c r="BV2572" s="34"/>
      <c r="BZ2572" s="34"/>
      <c r="CD2572" s="34"/>
    </row>
    <row r="2573" spans="70:82" x14ac:dyDescent="0.15">
      <c r="BR2573" s="34"/>
      <c r="BV2573" s="34"/>
      <c r="BZ2573" s="34"/>
      <c r="CD2573" s="34"/>
    </row>
    <row r="2574" spans="70:82" x14ac:dyDescent="0.15">
      <c r="BR2574" s="34"/>
      <c r="BV2574" s="34"/>
      <c r="BZ2574" s="34"/>
      <c r="CD2574" s="34"/>
    </row>
    <row r="2575" spans="70:82" x14ac:dyDescent="0.15">
      <c r="BR2575" s="34"/>
      <c r="BV2575" s="34"/>
      <c r="BZ2575" s="34"/>
      <c r="CD2575" s="34"/>
    </row>
    <row r="2576" spans="70:82" x14ac:dyDescent="0.15">
      <c r="BR2576" s="34"/>
      <c r="BV2576" s="34"/>
      <c r="BZ2576" s="34"/>
      <c r="CD2576" s="34"/>
    </row>
    <row r="2577" spans="70:82" x14ac:dyDescent="0.15">
      <c r="BR2577" s="34"/>
      <c r="BV2577" s="34"/>
      <c r="BZ2577" s="34"/>
      <c r="CD2577" s="34"/>
    </row>
    <row r="2578" spans="70:82" x14ac:dyDescent="0.15">
      <c r="BR2578" s="34"/>
      <c r="BV2578" s="34"/>
      <c r="BZ2578" s="34"/>
      <c r="CD2578" s="34"/>
    </row>
    <row r="2579" spans="70:82" x14ac:dyDescent="0.15">
      <c r="BR2579" s="34"/>
      <c r="BV2579" s="34"/>
      <c r="BZ2579" s="34"/>
      <c r="CD2579" s="34"/>
    </row>
    <row r="2580" spans="70:82" x14ac:dyDescent="0.15">
      <c r="BR2580" s="34"/>
      <c r="BV2580" s="34"/>
      <c r="BZ2580" s="34"/>
      <c r="CD2580" s="34"/>
    </row>
    <row r="2581" spans="70:82" x14ac:dyDescent="0.15">
      <c r="BR2581" s="34"/>
      <c r="BV2581" s="34"/>
      <c r="BZ2581" s="34"/>
      <c r="CD2581" s="34"/>
    </row>
    <row r="2582" spans="70:82" x14ac:dyDescent="0.15">
      <c r="BR2582" s="34"/>
      <c r="BV2582" s="34"/>
      <c r="BZ2582" s="34"/>
      <c r="CD2582" s="34"/>
    </row>
    <row r="2583" spans="70:82" x14ac:dyDescent="0.15">
      <c r="BR2583" s="34"/>
      <c r="BV2583" s="34"/>
      <c r="BZ2583" s="34"/>
      <c r="CD2583" s="34"/>
    </row>
    <row r="2584" spans="70:82" x14ac:dyDescent="0.15">
      <c r="BR2584" s="34"/>
      <c r="BV2584" s="34"/>
      <c r="BZ2584" s="34"/>
      <c r="CD2584" s="34"/>
    </row>
    <row r="2585" spans="70:82" x14ac:dyDescent="0.15">
      <c r="BR2585" s="34"/>
      <c r="BV2585" s="34"/>
      <c r="BZ2585" s="34"/>
      <c r="CD2585" s="34"/>
    </row>
    <row r="2586" spans="70:82" x14ac:dyDescent="0.15">
      <c r="BR2586" s="34"/>
      <c r="BV2586" s="34"/>
      <c r="BZ2586" s="34"/>
      <c r="CD2586" s="34"/>
    </row>
    <row r="2587" spans="70:82" x14ac:dyDescent="0.15">
      <c r="BR2587" s="34"/>
      <c r="BV2587" s="34"/>
      <c r="BZ2587" s="34"/>
      <c r="CD2587" s="34"/>
    </row>
    <row r="2588" spans="70:82" x14ac:dyDescent="0.15">
      <c r="BR2588" s="34"/>
      <c r="BV2588" s="34"/>
      <c r="BZ2588" s="34"/>
      <c r="CD2588" s="34"/>
    </row>
    <row r="2589" spans="70:82" x14ac:dyDescent="0.15">
      <c r="BR2589" s="34"/>
      <c r="BV2589" s="34"/>
      <c r="BZ2589" s="34"/>
      <c r="CD2589" s="34"/>
    </row>
    <row r="2590" spans="70:82" x14ac:dyDescent="0.15">
      <c r="BR2590" s="34"/>
      <c r="BV2590" s="34"/>
      <c r="BZ2590" s="34"/>
      <c r="CD2590" s="34"/>
    </row>
    <row r="2591" spans="70:82" x14ac:dyDescent="0.15">
      <c r="BR2591" s="34"/>
      <c r="BV2591" s="34"/>
      <c r="BZ2591" s="34"/>
      <c r="CD2591" s="34"/>
    </row>
    <row r="2592" spans="70:82" x14ac:dyDescent="0.15">
      <c r="BR2592" s="34"/>
      <c r="BV2592" s="34"/>
      <c r="BZ2592" s="34"/>
      <c r="CD2592" s="34"/>
    </row>
    <row r="2593" spans="70:82" x14ac:dyDescent="0.15">
      <c r="BR2593" s="34"/>
      <c r="BV2593" s="34"/>
      <c r="BZ2593" s="34"/>
      <c r="CD2593" s="34"/>
    </row>
    <row r="2594" spans="70:82" x14ac:dyDescent="0.15">
      <c r="BR2594" s="34"/>
      <c r="BV2594" s="34"/>
      <c r="BZ2594" s="34"/>
      <c r="CD2594" s="34"/>
    </row>
    <row r="2595" spans="70:82" x14ac:dyDescent="0.15">
      <c r="BR2595" s="34"/>
      <c r="BV2595" s="34"/>
      <c r="BZ2595" s="34"/>
      <c r="CD2595" s="34"/>
    </row>
    <row r="2596" spans="70:82" x14ac:dyDescent="0.15">
      <c r="BR2596" s="34"/>
      <c r="BV2596" s="34"/>
      <c r="BZ2596" s="34"/>
      <c r="CD2596" s="34"/>
    </row>
    <row r="2597" spans="70:82" x14ac:dyDescent="0.15">
      <c r="BR2597" s="34"/>
      <c r="BV2597" s="34"/>
      <c r="BZ2597" s="34"/>
      <c r="CD2597" s="34"/>
    </row>
    <row r="2598" spans="70:82" x14ac:dyDescent="0.15">
      <c r="BR2598" s="34"/>
      <c r="BV2598" s="34"/>
      <c r="BZ2598" s="34"/>
      <c r="CD2598" s="34"/>
    </row>
    <row r="2599" spans="70:82" x14ac:dyDescent="0.15">
      <c r="BR2599" s="34"/>
      <c r="BV2599" s="34"/>
      <c r="BZ2599" s="34"/>
      <c r="CD2599" s="34"/>
    </row>
    <row r="2600" spans="70:82" x14ac:dyDescent="0.15">
      <c r="BR2600" s="34"/>
      <c r="BV2600" s="34"/>
      <c r="BZ2600" s="34"/>
      <c r="CD2600" s="34"/>
    </row>
    <row r="2601" spans="70:82" x14ac:dyDescent="0.15">
      <c r="BR2601" s="34"/>
      <c r="BV2601" s="34"/>
      <c r="BZ2601" s="34"/>
      <c r="CD2601" s="34"/>
    </row>
    <row r="2602" spans="70:82" x14ac:dyDescent="0.15">
      <c r="BR2602" s="34"/>
      <c r="BV2602" s="34"/>
      <c r="BZ2602" s="34"/>
      <c r="CD2602" s="34"/>
    </row>
    <row r="2603" spans="70:82" x14ac:dyDescent="0.15">
      <c r="BR2603" s="34"/>
      <c r="BV2603" s="34"/>
      <c r="BZ2603" s="34"/>
      <c r="CD2603" s="34"/>
    </row>
    <row r="2604" spans="70:82" x14ac:dyDescent="0.15">
      <c r="BR2604" s="34"/>
      <c r="BV2604" s="34"/>
      <c r="BZ2604" s="34"/>
      <c r="CD2604" s="34"/>
    </row>
    <row r="2605" spans="70:82" x14ac:dyDescent="0.15">
      <c r="BR2605" s="34"/>
      <c r="BV2605" s="34"/>
      <c r="BZ2605" s="34"/>
      <c r="CD2605" s="34"/>
    </row>
    <row r="2606" spans="70:82" x14ac:dyDescent="0.15">
      <c r="BR2606" s="34"/>
      <c r="BV2606" s="34"/>
      <c r="BZ2606" s="34"/>
      <c r="CD2606" s="34"/>
    </row>
    <row r="2607" spans="70:82" x14ac:dyDescent="0.15">
      <c r="BR2607" s="34"/>
      <c r="BV2607" s="34"/>
      <c r="BZ2607" s="34"/>
      <c r="CD2607" s="34"/>
    </row>
    <row r="2608" spans="70:82" x14ac:dyDescent="0.15">
      <c r="BR2608" s="34"/>
      <c r="BV2608" s="34"/>
      <c r="BZ2608" s="34"/>
      <c r="CD2608" s="34"/>
    </row>
    <row r="2609" spans="70:82" x14ac:dyDescent="0.15">
      <c r="BR2609" s="34"/>
      <c r="BV2609" s="34"/>
      <c r="BZ2609" s="34"/>
      <c r="CD2609" s="34"/>
    </row>
    <row r="2610" spans="70:82" x14ac:dyDescent="0.15">
      <c r="BR2610" s="34"/>
      <c r="BV2610" s="34"/>
      <c r="BZ2610" s="34"/>
      <c r="CD2610" s="34"/>
    </row>
    <row r="2611" spans="70:82" x14ac:dyDescent="0.15">
      <c r="BR2611" s="34"/>
      <c r="BV2611" s="34"/>
      <c r="BZ2611" s="34"/>
      <c r="CD2611" s="34"/>
    </row>
    <row r="2612" spans="70:82" x14ac:dyDescent="0.15">
      <c r="BR2612" s="34"/>
      <c r="BV2612" s="34"/>
      <c r="BZ2612" s="34"/>
      <c r="CD2612" s="34"/>
    </row>
    <row r="2613" spans="70:82" x14ac:dyDescent="0.15">
      <c r="BR2613" s="34"/>
      <c r="BV2613" s="34"/>
      <c r="BZ2613" s="34"/>
      <c r="CD2613" s="34"/>
    </row>
    <row r="2614" spans="70:82" x14ac:dyDescent="0.15">
      <c r="BR2614" s="34"/>
      <c r="BV2614" s="34"/>
      <c r="BZ2614" s="34"/>
      <c r="CD2614" s="34"/>
    </row>
    <row r="2615" spans="70:82" x14ac:dyDescent="0.15">
      <c r="BR2615" s="34"/>
      <c r="BV2615" s="34"/>
      <c r="BZ2615" s="34"/>
      <c r="CD2615" s="34"/>
    </row>
    <row r="2616" spans="70:82" x14ac:dyDescent="0.15">
      <c r="BR2616" s="34"/>
      <c r="BV2616" s="34"/>
      <c r="BZ2616" s="34"/>
      <c r="CD2616" s="34"/>
    </row>
    <row r="2617" spans="70:82" x14ac:dyDescent="0.15">
      <c r="BR2617" s="34"/>
      <c r="BV2617" s="34"/>
      <c r="BZ2617" s="34"/>
      <c r="CD2617" s="34"/>
    </row>
    <row r="2618" spans="70:82" x14ac:dyDescent="0.15">
      <c r="BR2618" s="34"/>
      <c r="BV2618" s="34"/>
      <c r="BZ2618" s="34"/>
      <c r="CD2618" s="34"/>
    </row>
    <row r="2619" spans="70:82" x14ac:dyDescent="0.15">
      <c r="BR2619" s="34"/>
      <c r="BV2619" s="34"/>
      <c r="BZ2619" s="34"/>
      <c r="CD2619" s="34"/>
    </row>
    <row r="2620" spans="70:82" x14ac:dyDescent="0.15">
      <c r="BR2620" s="34"/>
      <c r="BV2620" s="34"/>
      <c r="BZ2620" s="34"/>
      <c r="CD2620" s="34"/>
    </row>
    <row r="2621" spans="70:82" x14ac:dyDescent="0.15">
      <c r="BR2621" s="34"/>
      <c r="BV2621" s="34"/>
      <c r="BZ2621" s="34"/>
      <c r="CD2621" s="34"/>
    </row>
    <row r="2622" spans="70:82" x14ac:dyDescent="0.15">
      <c r="BR2622" s="34"/>
      <c r="BV2622" s="34"/>
      <c r="BZ2622" s="34"/>
      <c r="CD2622" s="34"/>
    </row>
    <row r="2623" spans="70:82" x14ac:dyDescent="0.15">
      <c r="BR2623" s="34"/>
      <c r="BV2623" s="34"/>
      <c r="BZ2623" s="34"/>
      <c r="CD2623" s="34"/>
    </row>
    <row r="2624" spans="70:82" x14ac:dyDescent="0.15">
      <c r="BR2624" s="34"/>
      <c r="BV2624" s="34"/>
      <c r="BZ2624" s="34"/>
      <c r="CD2624" s="34"/>
    </row>
    <row r="2625" spans="70:82" x14ac:dyDescent="0.15">
      <c r="BR2625" s="34"/>
      <c r="BV2625" s="34"/>
      <c r="BZ2625" s="34"/>
      <c r="CD2625" s="34"/>
    </row>
    <row r="2626" spans="70:82" x14ac:dyDescent="0.15">
      <c r="BR2626" s="34"/>
      <c r="BV2626" s="34"/>
      <c r="BZ2626" s="34"/>
      <c r="CD2626" s="34"/>
    </row>
    <row r="2627" spans="70:82" x14ac:dyDescent="0.15">
      <c r="BR2627" s="34"/>
      <c r="BV2627" s="34"/>
      <c r="BZ2627" s="34"/>
      <c r="CD2627" s="34"/>
    </row>
    <row r="2628" spans="70:82" x14ac:dyDescent="0.15">
      <c r="BR2628" s="34"/>
      <c r="BV2628" s="34"/>
      <c r="BZ2628" s="34"/>
      <c r="CD2628" s="34"/>
    </row>
    <row r="2629" spans="70:82" x14ac:dyDescent="0.15">
      <c r="BR2629" s="34"/>
      <c r="BV2629" s="34"/>
      <c r="BZ2629" s="34"/>
      <c r="CD2629" s="34"/>
    </row>
    <row r="2630" spans="70:82" x14ac:dyDescent="0.15">
      <c r="BR2630" s="34"/>
      <c r="BV2630" s="34"/>
      <c r="BZ2630" s="34"/>
      <c r="CD2630" s="34"/>
    </row>
    <row r="2631" spans="70:82" x14ac:dyDescent="0.15">
      <c r="BR2631" s="34"/>
      <c r="BV2631" s="34"/>
      <c r="BZ2631" s="34"/>
      <c r="CD2631" s="34"/>
    </row>
    <row r="2632" spans="70:82" x14ac:dyDescent="0.15">
      <c r="BR2632" s="34"/>
      <c r="BV2632" s="34"/>
      <c r="BZ2632" s="34"/>
      <c r="CD2632" s="34"/>
    </row>
    <row r="2633" spans="70:82" x14ac:dyDescent="0.15">
      <c r="BR2633" s="34"/>
      <c r="BV2633" s="34"/>
      <c r="BZ2633" s="34"/>
      <c r="CD2633" s="34"/>
    </row>
    <row r="2634" spans="70:82" x14ac:dyDescent="0.15">
      <c r="BR2634" s="34"/>
      <c r="BV2634" s="34"/>
      <c r="BZ2634" s="34"/>
      <c r="CD2634" s="34"/>
    </row>
    <row r="2635" spans="70:82" x14ac:dyDescent="0.15">
      <c r="BR2635" s="34"/>
      <c r="BV2635" s="34"/>
      <c r="BZ2635" s="34"/>
      <c r="CD2635" s="34"/>
    </row>
    <row r="2636" spans="70:82" x14ac:dyDescent="0.15">
      <c r="BR2636" s="34"/>
      <c r="BV2636" s="34"/>
      <c r="BZ2636" s="34"/>
      <c r="CD2636" s="34"/>
    </row>
    <row r="2637" spans="70:82" x14ac:dyDescent="0.15">
      <c r="BR2637" s="34"/>
      <c r="BV2637" s="34"/>
      <c r="BZ2637" s="34"/>
      <c r="CD2637" s="34"/>
    </row>
    <row r="2638" spans="70:82" x14ac:dyDescent="0.15">
      <c r="BR2638" s="34"/>
      <c r="BV2638" s="34"/>
      <c r="BZ2638" s="34"/>
      <c r="CD2638" s="34"/>
    </row>
    <row r="2639" spans="70:82" x14ac:dyDescent="0.15">
      <c r="BR2639" s="34"/>
      <c r="BV2639" s="34"/>
      <c r="BZ2639" s="34"/>
      <c r="CD2639" s="34"/>
    </row>
    <row r="2640" spans="70:82" x14ac:dyDescent="0.15">
      <c r="BR2640" s="34"/>
      <c r="BV2640" s="34"/>
      <c r="BZ2640" s="34"/>
      <c r="CD2640" s="34"/>
    </row>
    <row r="2641" spans="70:82" x14ac:dyDescent="0.15">
      <c r="BR2641" s="34"/>
      <c r="BV2641" s="34"/>
      <c r="BZ2641" s="34"/>
      <c r="CD2641" s="34"/>
    </row>
    <row r="2642" spans="70:82" x14ac:dyDescent="0.15">
      <c r="BR2642" s="34"/>
      <c r="BV2642" s="34"/>
      <c r="BZ2642" s="34"/>
      <c r="CD2642" s="34"/>
    </row>
    <row r="2643" spans="70:82" x14ac:dyDescent="0.15">
      <c r="BR2643" s="34"/>
      <c r="BV2643" s="34"/>
      <c r="BZ2643" s="34"/>
      <c r="CD2643" s="34"/>
    </row>
    <row r="2644" spans="70:82" x14ac:dyDescent="0.15">
      <c r="BR2644" s="34"/>
      <c r="BV2644" s="34"/>
      <c r="BZ2644" s="34"/>
      <c r="CD2644" s="34"/>
    </row>
    <row r="2645" spans="70:82" x14ac:dyDescent="0.15">
      <c r="BR2645" s="34"/>
      <c r="BV2645" s="34"/>
      <c r="BZ2645" s="34"/>
      <c r="CD2645" s="34"/>
    </row>
    <row r="2646" spans="70:82" x14ac:dyDescent="0.15">
      <c r="BR2646" s="34"/>
      <c r="BV2646" s="34"/>
      <c r="BZ2646" s="34"/>
      <c r="CD2646" s="34"/>
    </row>
    <row r="2647" spans="70:82" x14ac:dyDescent="0.15">
      <c r="BR2647" s="34"/>
      <c r="BV2647" s="34"/>
      <c r="BZ2647" s="34"/>
      <c r="CD2647" s="34"/>
    </row>
    <row r="2648" spans="70:82" x14ac:dyDescent="0.15">
      <c r="BR2648" s="34"/>
      <c r="BV2648" s="34"/>
      <c r="BZ2648" s="34"/>
      <c r="CD2648" s="34"/>
    </row>
    <row r="2649" spans="70:82" x14ac:dyDescent="0.15">
      <c r="BR2649" s="34"/>
      <c r="BV2649" s="34"/>
      <c r="BZ2649" s="34"/>
      <c r="CD2649" s="34"/>
    </row>
    <row r="2650" spans="70:82" x14ac:dyDescent="0.15">
      <c r="BR2650" s="34"/>
      <c r="BV2650" s="34"/>
      <c r="BZ2650" s="34"/>
      <c r="CD2650" s="34"/>
    </row>
    <row r="2651" spans="70:82" x14ac:dyDescent="0.15">
      <c r="BR2651" s="34"/>
      <c r="BV2651" s="34"/>
      <c r="BZ2651" s="34"/>
      <c r="CD2651" s="34"/>
    </row>
    <row r="2652" spans="70:82" x14ac:dyDescent="0.15">
      <c r="BR2652" s="34"/>
      <c r="BV2652" s="34"/>
      <c r="BZ2652" s="34"/>
      <c r="CD2652" s="34"/>
    </row>
    <row r="2653" spans="70:82" x14ac:dyDescent="0.15">
      <c r="BR2653" s="34"/>
      <c r="BV2653" s="34"/>
      <c r="BZ2653" s="34"/>
      <c r="CD2653" s="34"/>
    </row>
    <row r="2654" spans="70:82" x14ac:dyDescent="0.15">
      <c r="BR2654" s="34"/>
      <c r="BV2654" s="34"/>
      <c r="BZ2654" s="34"/>
      <c r="CD2654" s="34"/>
    </row>
    <row r="2655" spans="70:82" x14ac:dyDescent="0.15">
      <c r="BR2655" s="34"/>
      <c r="BV2655" s="34"/>
      <c r="BZ2655" s="34"/>
      <c r="CD2655" s="34"/>
    </row>
    <row r="2656" spans="70:82" x14ac:dyDescent="0.15">
      <c r="BR2656" s="34"/>
      <c r="BV2656" s="34"/>
      <c r="BZ2656" s="34"/>
      <c r="CD2656" s="34"/>
    </row>
    <row r="2657" spans="70:82" x14ac:dyDescent="0.15">
      <c r="BR2657" s="34"/>
      <c r="BV2657" s="34"/>
      <c r="BZ2657" s="34"/>
      <c r="CD2657" s="34"/>
    </row>
    <row r="2658" spans="70:82" x14ac:dyDescent="0.15">
      <c r="BR2658" s="34"/>
      <c r="BV2658" s="34"/>
      <c r="BZ2658" s="34"/>
      <c r="CD2658" s="34"/>
    </row>
    <row r="2659" spans="70:82" x14ac:dyDescent="0.15">
      <c r="BR2659" s="34"/>
      <c r="BV2659" s="34"/>
      <c r="BZ2659" s="34"/>
      <c r="CD2659" s="34"/>
    </row>
    <row r="2660" spans="70:82" x14ac:dyDescent="0.15">
      <c r="BR2660" s="34"/>
      <c r="BV2660" s="34"/>
      <c r="BZ2660" s="34"/>
      <c r="CD2660" s="34"/>
    </row>
    <row r="2661" spans="70:82" x14ac:dyDescent="0.15">
      <c r="BR2661" s="34"/>
      <c r="BV2661" s="34"/>
      <c r="BZ2661" s="34"/>
      <c r="CD2661" s="34"/>
    </row>
    <row r="2662" spans="70:82" x14ac:dyDescent="0.15">
      <c r="BR2662" s="34"/>
      <c r="BV2662" s="34"/>
      <c r="BZ2662" s="34"/>
      <c r="CD2662" s="34"/>
    </row>
    <row r="2663" spans="70:82" x14ac:dyDescent="0.15">
      <c r="BR2663" s="34"/>
      <c r="BV2663" s="34"/>
      <c r="BZ2663" s="34"/>
      <c r="CD2663" s="34"/>
    </row>
    <row r="2664" spans="70:82" x14ac:dyDescent="0.15">
      <c r="BR2664" s="34"/>
      <c r="BV2664" s="34"/>
      <c r="BZ2664" s="34"/>
      <c r="CD2664" s="34"/>
    </row>
    <row r="2665" spans="70:82" x14ac:dyDescent="0.15">
      <c r="BR2665" s="34"/>
      <c r="BV2665" s="34"/>
      <c r="BZ2665" s="34"/>
      <c r="CD2665" s="34"/>
    </row>
    <row r="2666" spans="70:82" x14ac:dyDescent="0.15">
      <c r="BR2666" s="34"/>
      <c r="BV2666" s="34"/>
      <c r="BZ2666" s="34"/>
      <c r="CD2666" s="34"/>
    </row>
    <row r="2667" spans="70:82" x14ac:dyDescent="0.15">
      <c r="BR2667" s="34"/>
      <c r="BV2667" s="34"/>
      <c r="BZ2667" s="34"/>
      <c r="CD2667" s="34"/>
    </row>
    <row r="2668" spans="70:82" x14ac:dyDescent="0.15">
      <c r="BR2668" s="34"/>
      <c r="BV2668" s="34"/>
      <c r="BZ2668" s="34"/>
      <c r="CD2668" s="34"/>
    </row>
    <row r="2669" spans="70:82" x14ac:dyDescent="0.15">
      <c r="BR2669" s="34"/>
      <c r="BV2669" s="34"/>
      <c r="BZ2669" s="34"/>
      <c r="CD2669" s="34"/>
    </row>
    <row r="2670" spans="70:82" x14ac:dyDescent="0.15">
      <c r="BR2670" s="34"/>
      <c r="BV2670" s="34"/>
      <c r="BZ2670" s="34"/>
      <c r="CD2670" s="34"/>
    </row>
    <row r="2671" spans="70:82" x14ac:dyDescent="0.15">
      <c r="BR2671" s="34"/>
      <c r="BV2671" s="34"/>
      <c r="BZ2671" s="34"/>
      <c r="CD2671" s="34"/>
    </row>
    <row r="2672" spans="70:82" x14ac:dyDescent="0.15">
      <c r="BR2672" s="34"/>
      <c r="BV2672" s="34"/>
      <c r="BZ2672" s="34"/>
      <c r="CD2672" s="34"/>
    </row>
    <row r="2673" spans="70:82" x14ac:dyDescent="0.15">
      <c r="BR2673" s="34"/>
      <c r="BV2673" s="34"/>
      <c r="BZ2673" s="34"/>
      <c r="CD2673" s="34"/>
    </row>
    <row r="2674" spans="70:82" x14ac:dyDescent="0.15">
      <c r="BR2674" s="34"/>
      <c r="BV2674" s="34"/>
      <c r="BZ2674" s="34"/>
      <c r="CD2674" s="34"/>
    </row>
    <row r="2675" spans="70:82" x14ac:dyDescent="0.15">
      <c r="BR2675" s="34"/>
      <c r="BV2675" s="34"/>
      <c r="BZ2675" s="34"/>
      <c r="CD2675" s="34"/>
    </row>
    <row r="2676" spans="70:82" x14ac:dyDescent="0.15">
      <c r="BR2676" s="34"/>
      <c r="BV2676" s="34"/>
      <c r="BZ2676" s="34"/>
      <c r="CD2676" s="34"/>
    </row>
    <row r="2677" spans="70:82" x14ac:dyDescent="0.15">
      <c r="BR2677" s="34"/>
      <c r="BV2677" s="34"/>
      <c r="BZ2677" s="34"/>
      <c r="CD2677" s="34"/>
    </row>
    <row r="2678" spans="70:82" x14ac:dyDescent="0.15">
      <c r="BR2678" s="34"/>
      <c r="BV2678" s="34"/>
      <c r="BZ2678" s="34"/>
      <c r="CD2678" s="34"/>
    </row>
    <row r="2679" spans="70:82" x14ac:dyDescent="0.15">
      <c r="BR2679" s="34"/>
      <c r="BV2679" s="34"/>
      <c r="BZ2679" s="34"/>
      <c r="CD2679" s="34"/>
    </row>
    <row r="2680" spans="70:82" x14ac:dyDescent="0.15">
      <c r="BR2680" s="34"/>
      <c r="BV2680" s="34"/>
      <c r="BZ2680" s="34"/>
      <c r="CD2680" s="34"/>
    </row>
    <row r="2681" spans="70:82" x14ac:dyDescent="0.15">
      <c r="BR2681" s="34"/>
      <c r="BV2681" s="34"/>
      <c r="BZ2681" s="34"/>
      <c r="CD2681" s="34"/>
    </row>
    <row r="2682" spans="70:82" x14ac:dyDescent="0.15">
      <c r="BR2682" s="34"/>
      <c r="BV2682" s="34"/>
      <c r="BZ2682" s="34"/>
      <c r="CD2682" s="34"/>
    </row>
    <row r="2683" spans="70:82" x14ac:dyDescent="0.15">
      <c r="BR2683" s="34"/>
      <c r="BV2683" s="34"/>
      <c r="BZ2683" s="34"/>
      <c r="CD2683" s="34"/>
    </row>
    <row r="2684" spans="70:82" x14ac:dyDescent="0.15">
      <c r="BR2684" s="34"/>
      <c r="BV2684" s="34"/>
      <c r="BZ2684" s="34"/>
      <c r="CD2684" s="34"/>
    </row>
    <row r="2685" spans="70:82" x14ac:dyDescent="0.15">
      <c r="BR2685" s="34"/>
      <c r="BV2685" s="34"/>
      <c r="BZ2685" s="34"/>
      <c r="CD2685" s="34"/>
    </row>
    <row r="2686" spans="70:82" x14ac:dyDescent="0.15">
      <c r="BR2686" s="34"/>
      <c r="BV2686" s="34"/>
      <c r="BZ2686" s="34"/>
      <c r="CD2686" s="34"/>
    </row>
    <row r="2687" spans="70:82" x14ac:dyDescent="0.15">
      <c r="BR2687" s="34"/>
      <c r="BV2687" s="34"/>
      <c r="BZ2687" s="34"/>
      <c r="CD2687" s="34"/>
    </row>
    <row r="2688" spans="70:82" x14ac:dyDescent="0.15">
      <c r="BR2688" s="34"/>
      <c r="BV2688" s="34"/>
      <c r="BZ2688" s="34"/>
      <c r="CD2688" s="34"/>
    </row>
    <row r="2689" spans="70:82" x14ac:dyDescent="0.15">
      <c r="BR2689" s="34"/>
      <c r="BV2689" s="34"/>
      <c r="BZ2689" s="34"/>
      <c r="CD2689" s="34"/>
    </row>
    <row r="2690" spans="70:82" x14ac:dyDescent="0.15">
      <c r="BR2690" s="34"/>
      <c r="BV2690" s="34"/>
      <c r="BZ2690" s="34"/>
      <c r="CD2690" s="34"/>
    </row>
    <row r="2691" spans="70:82" x14ac:dyDescent="0.15">
      <c r="BR2691" s="34"/>
      <c r="BV2691" s="34"/>
      <c r="BZ2691" s="34"/>
      <c r="CD2691" s="34"/>
    </row>
    <row r="2692" spans="70:82" x14ac:dyDescent="0.15">
      <c r="BR2692" s="34"/>
      <c r="BV2692" s="34"/>
      <c r="BZ2692" s="34"/>
      <c r="CD2692" s="34"/>
    </row>
    <row r="2693" spans="70:82" x14ac:dyDescent="0.15">
      <c r="BR2693" s="34"/>
      <c r="BV2693" s="34"/>
      <c r="BZ2693" s="34"/>
      <c r="CD2693" s="34"/>
    </row>
    <row r="2694" spans="70:82" x14ac:dyDescent="0.15">
      <c r="BR2694" s="34"/>
      <c r="BV2694" s="34"/>
      <c r="BZ2694" s="34"/>
      <c r="CD2694" s="34"/>
    </row>
    <row r="2695" spans="70:82" x14ac:dyDescent="0.15">
      <c r="BR2695" s="34"/>
      <c r="BV2695" s="34"/>
      <c r="BZ2695" s="34"/>
      <c r="CD2695" s="34"/>
    </row>
    <row r="2696" spans="70:82" x14ac:dyDescent="0.15">
      <c r="BR2696" s="34"/>
      <c r="BV2696" s="34"/>
      <c r="BZ2696" s="34"/>
      <c r="CD2696" s="34"/>
    </row>
    <row r="2697" spans="70:82" x14ac:dyDescent="0.15">
      <c r="BR2697" s="34"/>
      <c r="BV2697" s="34"/>
      <c r="BZ2697" s="34"/>
      <c r="CD2697" s="34"/>
    </row>
    <row r="2698" spans="70:82" x14ac:dyDescent="0.15">
      <c r="BR2698" s="34"/>
      <c r="BV2698" s="34"/>
      <c r="BZ2698" s="34"/>
      <c r="CD2698" s="34"/>
    </row>
    <row r="2699" spans="70:82" x14ac:dyDescent="0.15">
      <c r="BR2699" s="34"/>
      <c r="BV2699" s="34"/>
      <c r="BZ2699" s="34"/>
      <c r="CD2699" s="34"/>
    </row>
    <row r="2700" spans="70:82" x14ac:dyDescent="0.15">
      <c r="BR2700" s="34"/>
      <c r="BV2700" s="34"/>
      <c r="BZ2700" s="34"/>
      <c r="CD2700" s="34"/>
    </row>
    <row r="2701" spans="70:82" x14ac:dyDescent="0.15">
      <c r="BR2701" s="34"/>
      <c r="BV2701" s="34"/>
      <c r="BZ2701" s="34"/>
      <c r="CD2701" s="34"/>
    </row>
    <row r="2702" spans="70:82" x14ac:dyDescent="0.15">
      <c r="BR2702" s="34"/>
      <c r="BV2702" s="34"/>
      <c r="BZ2702" s="34"/>
      <c r="CD2702" s="34"/>
    </row>
    <row r="2703" spans="70:82" x14ac:dyDescent="0.15">
      <c r="BR2703" s="34"/>
      <c r="BV2703" s="34"/>
      <c r="BZ2703" s="34"/>
      <c r="CD2703" s="34"/>
    </row>
    <row r="2704" spans="70:82" x14ac:dyDescent="0.15">
      <c r="BR2704" s="34"/>
      <c r="BV2704" s="34"/>
      <c r="BZ2704" s="34"/>
      <c r="CD2704" s="34"/>
    </row>
    <row r="2705" spans="70:82" x14ac:dyDescent="0.15">
      <c r="BR2705" s="34"/>
      <c r="BV2705" s="34"/>
      <c r="BZ2705" s="34"/>
      <c r="CD2705" s="34"/>
    </row>
    <row r="2706" spans="70:82" x14ac:dyDescent="0.15">
      <c r="BR2706" s="34"/>
      <c r="BV2706" s="34"/>
      <c r="BZ2706" s="34"/>
      <c r="CD2706" s="34"/>
    </row>
    <row r="2707" spans="70:82" x14ac:dyDescent="0.15">
      <c r="BR2707" s="34"/>
      <c r="BV2707" s="34"/>
      <c r="BZ2707" s="34"/>
      <c r="CD2707" s="34"/>
    </row>
    <row r="2708" spans="70:82" x14ac:dyDescent="0.15">
      <c r="BR2708" s="34"/>
      <c r="BV2708" s="34"/>
      <c r="BZ2708" s="34"/>
      <c r="CD2708" s="34"/>
    </row>
    <row r="2709" spans="70:82" x14ac:dyDescent="0.15">
      <c r="BR2709" s="34"/>
      <c r="BV2709" s="34"/>
      <c r="BZ2709" s="34"/>
      <c r="CD2709" s="34"/>
    </row>
    <row r="2710" spans="70:82" x14ac:dyDescent="0.15">
      <c r="BR2710" s="34"/>
      <c r="BV2710" s="34"/>
      <c r="BZ2710" s="34"/>
      <c r="CD2710" s="34"/>
    </row>
    <row r="2711" spans="70:82" x14ac:dyDescent="0.15">
      <c r="BR2711" s="34"/>
      <c r="BV2711" s="34"/>
      <c r="BZ2711" s="34"/>
      <c r="CD2711" s="34"/>
    </row>
    <row r="2712" spans="70:82" x14ac:dyDescent="0.15">
      <c r="BR2712" s="34"/>
      <c r="BV2712" s="34"/>
      <c r="BZ2712" s="34"/>
      <c r="CD2712" s="34"/>
    </row>
    <row r="2713" spans="70:82" x14ac:dyDescent="0.15">
      <c r="BR2713" s="34"/>
      <c r="BV2713" s="34"/>
      <c r="BZ2713" s="34"/>
      <c r="CD2713" s="34"/>
    </row>
    <row r="2714" spans="70:82" x14ac:dyDescent="0.15">
      <c r="BR2714" s="34"/>
      <c r="BV2714" s="34"/>
      <c r="BZ2714" s="34"/>
      <c r="CD2714" s="34"/>
    </row>
    <row r="2715" spans="70:82" x14ac:dyDescent="0.15">
      <c r="BR2715" s="34"/>
      <c r="BV2715" s="34"/>
      <c r="BZ2715" s="34"/>
      <c r="CD2715" s="34"/>
    </row>
    <row r="2716" spans="70:82" x14ac:dyDescent="0.15">
      <c r="BR2716" s="34"/>
      <c r="BV2716" s="34"/>
      <c r="BZ2716" s="34"/>
      <c r="CD2716" s="34"/>
    </row>
    <row r="2717" spans="70:82" x14ac:dyDescent="0.15">
      <c r="BR2717" s="34"/>
      <c r="BV2717" s="34"/>
      <c r="BZ2717" s="34"/>
      <c r="CD2717" s="34"/>
    </row>
    <row r="2718" spans="70:82" x14ac:dyDescent="0.15">
      <c r="BR2718" s="34"/>
      <c r="BV2718" s="34"/>
      <c r="BZ2718" s="34"/>
      <c r="CD2718" s="34"/>
    </row>
    <row r="2719" spans="70:82" x14ac:dyDescent="0.15">
      <c r="BR2719" s="34"/>
      <c r="BV2719" s="34"/>
      <c r="BZ2719" s="34"/>
      <c r="CD2719" s="34"/>
    </row>
    <row r="2720" spans="70:82" x14ac:dyDescent="0.15">
      <c r="BR2720" s="34"/>
      <c r="BV2720" s="34"/>
      <c r="BZ2720" s="34"/>
      <c r="CD2720" s="34"/>
    </row>
    <row r="2721" spans="70:82" x14ac:dyDescent="0.15">
      <c r="BR2721" s="34"/>
      <c r="BV2721" s="34"/>
      <c r="BZ2721" s="34"/>
      <c r="CD2721" s="34"/>
    </row>
    <row r="2722" spans="70:82" x14ac:dyDescent="0.15">
      <c r="BR2722" s="34"/>
      <c r="BV2722" s="34"/>
      <c r="BZ2722" s="34"/>
      <c r="CD2722" s="34"/>
    </row>
    <row r="2723" spans="70:82" x14ac:dyDescent="0.15">
      <c r="BR2723" s="34"/>
      <c r="BV2723" s="34"/>
      <c r="BZ2723" s="34"/>
      <c r="CD2723" s="34"/>
    </row>
    <row r="2724" spans="70:82" x14ac:dyDescent="0.15">
      <c r="BR2724" s="34"/>
      <c r="BV2724" s="34"/>
      <c r="BZ2724" s="34"/>
      <c r="CD2724" s="34"/>
    </row>
    <row r="2725" spans="70:82" x14ac:dyDescent="0.15">
      <c r="BR2725" s="34"/>
      <c r="BV2725" s="34"/>
      <c r="BZ2725" s="34"/>
      <c r="CD2725" s="34"/>
    </row>
    <row r="2726" spans="70:82" x14ac:dyDescent="0.15">
      <c r="BR2726" s="34"/>
      <c r="BV2726" s="34"/>
      <c r="BZ2726" s="34"/>
      <c r="CD2726" s="34"/>
    </row>
    <row r="2727" spans="70:82" x14ac:dyDescent="0.15">
      <c r="BR2727" s="34"/>
      <c r="BV2727" s="34"/>
      <c r="BZ2727" s="34"/>
      <c r="CD2727" s="34"/>
    </row>
    <row r="2728" spans="70:82" x14ac:dyDescent="0.15">
      <c r="BR2728" s="34"/>
      <c r="BV2728" s="34"/>
      <c r="BZ2728" s="34"/>
      <c r="CD2728" s="34"/>
    </row>
    <row r="2729" spans="70:82" x14ac:dyDescent="0.15">
      <c r="BR2729" s="34"/>
      <c r="BV2729" s="34"/>
      <c r="BZ2729" s="34"/>
      <c r="CD2729" s="34"/>
    </row>
    <row r="2730" spans="70:82" x14ac:dyDescent="0.15">
      <c r="BR2730" s="34"/>
      <c r="BV2730" s="34"/>
      <c r="BZ2730" s="34"/>
      <c r="CD2730" s="34"/>
    </row>
    <row r="2731" spans="70:82" x14ac:dyDescent="0.15">
      <c r="BR2731" s="34"/>
      <c r="BV2731" s="34"/>
      <c r="BZ2731" s="34"/>
      <c r="CD2731" s="34"/>
    </row>
    <row r="2732" spans="70:82" x14ac:dyDescent="0.15">
      <c r="BR2732" s="34"/>
      <c r="BV2732" s="34"/>
      <c r="BZ2732" s="34"/>
      <c r="CD2732" s="34"/>
    </row>
    <row r="2733" spans="70:82" x14ac:dyDescent="0.15">
      <c r="BR2733" s="34"/>
      <c r="BV2733" s="34"/>
      <c r="BZ2733" s="34"/>
      <c r="CD2733" s="34"/>
    </row>
    <row r="2734" spans="70:82" x14ac:dyDescent="0.15">
      <c r="BR2734" s="34"/>
      <c r="BV2734" s="34"/>
      <c r="BZ2734" s="34"/>
      <c r="CD2734" s="34"/>
    </row>
    <row r="2735" spans="70:82" x14ac:dyDescent="0.15">
      <c r="BR2735" s="34"/>
      <c r="BV2735" s="34"/>
      <c r="BZ2735" s="34"/>
      <c r="CD2735" s="34"/>
    </row>
    <row r="2736" spans="70:82" x14ac:dyDescent="0.15">
      <c r="BR2736" s="34"/>
      <c r="BV2736" s="34"/>
      <c r="BZ2736" s="34"/>
      <c r="CD2736" s="34"/>
    </row>
    <row r="2737" spans="70:82" x14ac:dyDescent="0.15">
      <c r="BR2737" s="34"/>
      <c r="BV2737" s="34"/>
      <c r="BZ2737" s="34"/>
      <c r="CD2737" s="34"/>
    </row>
    <row r="2738" spans="70:82" x14ac:dyDescent="0.15">
      <c r="BR2738" s="34"/>
      <c r="BV2738" s="34"/>
      <c r="BZ2738" s="34"/>
      <c r="CD2738" s="34"/>
    </row>
    <row r="2739" spans="70:82" x14ac:dyDescent="0.15">
      <c r="BR2739" s="34"/>
      <c r="BV2739" s="34"/>
      <c r="BZ2739" s="34"/>
      <c r="CD2739" s="34"/>
    </row>
    <row r="2740" spans="70:82" x14ac:dyDescent="0.15">
      <c r="BR2740" s="34"/>
      <c r="BV2740" s="34"/>
      <c r="BZ2740" s="34"/>
      <c r="CD2740" s="34"/>
    </row>
    <row r="2741" spans="70:82" x14ac:dyDescent="0.15">
      <c r="BR2741" s="34"/>
      <c r="BV2741" s="34"/>
      <c r="BZ2741" s="34"/>
      <c r="CD2741" s="34"/>
    </row>
    <row r="2742" spans="70:82" x14ac:dyDescent="0.15">
      <c r="BR2742" s="34"/>
      <c r="BV2742" s="34"/>
      <c r="BZ2742" s="34"/>
      <c r="CD2742" s="34"/>
    </row>
    <row r="2743" spans="70:82" x14ac:dyDescent="0.15">
      <c r="BR2743" s="34"/>
      <c r="BV2743" s="34"/>
      <c r="BZ2743" s="34"/>
      <c r="CD2743" s="34"/>
    </row>
    <row r="2744" spans="70:82" x14ac:dyDescent="0.15">
      <c r="BR2744" s="34"/>
      <c r="BV2744" s="34"/>
      <c r="BZ2744" s="34"/>
      <c r="CD2744" s="34"/>
    </row>
    <row r="2745" spans="70:82" x14ac:dyDescent="0.15">
      <c r="BR2745" s="34"/>
      <c r="BV2745" s="34"/>
      <c r="BZ2745" s="34"/>
      <c r="CD2745" s="34"/>
    </row>
    <row r="2746" spans="70:82" x14ac:dyDescent="0.15">
      <c r="BR2746" s="34"/>
      <c r="BV2746" s="34"/>
      <c r="BZ2746" s="34"/>
      <c r="CD2746" s="34"/>
    </row>
    <row r="2747" spans="70:82" x14ac:dyDescent="0.15">
      <c r="BR2747" s="34"/>
      <c r="BV2747" s="34"/>
      <c r="BZ2747" s="34"/>
      <c r="CD2747" s="34"/>
    </row>
    <row r="2748" spans="70:82" x14ac:dyDescent="0.15">
      <c r="BR2748" s="34"/>
      <c r="BV2748" s="34"/>
      <c r="BZ2748" s="34"/>
      <c r="CD2748" s="34"/>
    </row>
    <row r="2749" spans="70:82" x14ac:dyDescent="0.15">
      <c r="BR2749" s="34"/>
      <c r="BV2749" s="34"/>
      <c r="BZ2749" s="34"/>
      <c r="CD2749" s="34"/>
    </row>
    <row r="2750" spans="70:82" x14ac:dyDescent="0.15">
      <c r="BR2750" s="34"/>
      <c r="BV2750" s="34"/>
      <c r="BZ2750" s="34"/>
      <c r="CD2750" s="34"/>
    </row>
    <row r="2751" spans="70:82" x14ac:dyDescent="0.15">
      <c r="BR2751" s="34"/>
      <c r="BV2751" s="34"/>
      <c r="BZ2751" s="34"/>
      <c r="CD2751" s="34"/>
    </row>
    <row r="2752" spans="70:82" x14ac:dyDescent="0.15">
      <c r="BR2752" s="34"/>
      <c r="BV2752" s="34"/>
      <c r="BZ2752" s="34"/>
      <c r="CD2752" s="34"/>
    </row>
    <row r="2753" spans="70:82" x14ac:dyDescent="0.15">
      <c r="BR2753" s="34"/>
      <c r="BV2753" s="34"/>
      <c r="BZ2753" s="34"/>
      <c r="CD2753" s="34"/>
    </row>
    <row r="2754" spans="70:82" x14ac:dyDescent="0.15">
      <c r="BR2754" s="34"/>
      <c r="BV2754" s="34"/>
      <c r="BZ2754" s="34"/>
      <c r="CD2754" s="34"/>
    </row>
    <row r="2755" spans="70:82" x14ac:dyDescent="0.15">
      <c r="BR2755" s="34"/>
      <c r="BV2755" s="34"/>
      <c r="BZ2755" s="34"/>
      <c r="CD2755" s="34"/>
    </row>
    <row r="2756" spans="70:82" x14ac:dyDescent="0.15">
      <c r="BR2756" s="34"/>
      <c r="BV2756" s="34"/>
      <c r="BZ2756" s="34"/>
      <c r="CD2756" s="34"/>
    </row>
    <row r="2757" spans="70:82" x14ac:dyDescent="0.15">
      <c r="BR2757" s="34"/>
      <c r="BV2757" s="34"/>
      <c r="BZ2757" s="34"/>
      <c r="CD2757" s="34"/>
    </row>
    <row r="2758" spans="70:82" x14ac:dyDescent="0.15">
      <c r="BR2758" s="34"/>
      <c r="BV2758" s="34"/>
      <c r="BZ2758" s="34"/>
      <c r="CD2758" s="34"/>
    </row>
    <row r="2759" spans="70:82" x14ac:dyDescent="0.15">
      <c r="BR2759" s="34"/>
      <c r="BV2759" s="34"/>
      <c r="BZ2759" s="34"/>
      <c r="CD2759" s="34"/>
    </row>
    <row r="2760" spans="70:82" x14ac:dyDescent="0.15">
      <c r="BR2760" s="34"/>
      <c r="BV2760" s="34"/>
      <c r="BZ2760" s="34"/>
      <c r="CD2760" s="34"/>
    </row>
    <row r="2761" spans="70:82" x14ac:dyDescent="0.15">
      <c r="BR2761" s="34"/>
      <c r="BV2761" s="34"/>
      <c r="BZ2761" s="34"/>
      <c r="CD2761" s="34"/>
    </row>
    <row r="2762" spans="70:82" x14ac:dyDescent="0.15">
      <c r="BR2762" s="34"/>
      <c r="BV2762" s="34"/>
      <c r="BZ2762" s="34"/>
      <c r="CD2762" s="34"/>
    </row>
    <row r="2763" spans="70:82" x14ac:dyDescent="0.15">
      <c r="BR2763" s="34"/>
      <c r="BV2763" s="34"/>
      <c r="BZ2763" s="34"/>
      <c r="CD2763" s="34"/>
    </row>
    <row r="2764" spans="70:82" x14ac:dyDescent="0.15">
      <c r="BR2764" s="34"/>
      <c r="BV2764" s="34"/>
      <c r="BZ2764" s="34"/>
      <c r="CD2764" s="34"/>
    </row>
    <row r="2765" spans="70:82" x14ac:dyDescent="0.15">
      <c r="BR2765" s="34"/>
      <c r="BV2765" s="34"/>
      <c r="BZ2765" s="34"/>
      <c r="CD2765" s="34"/>
    </row>
    <row r="2766" spans="70:82" x14ac:dyDescent="0.15">
      <c r="BR2766" s="34"/>
      <c r="BV2766" s="34"/>
      <c r="BZ2766" s="34"/>
      <c r="CD2766" s="34"/>
    </row>
    <row r="2767" spans="70:82" x14ac:dyDescent="0.15">
      <c r="BR2767" s="34"/>
      <c r="BV2767" s="34"/>
      <c r="BZ2767" s="34"/>
      <c r="CD2767" s="34"/>
    </row>
    <row r="2768" spans="70:82" x14ac:dyDescent="0.15">
      <c r="BR2768" s="34"/>
      <c r="BV2768" s="34"/>
      <c r="BZ2768" s="34"/>
      <c r="CD2768" s="34"/>
    </row>
    <row r="2769" spans="70:82" x14ac:dyDescent="0.15">
      <c r="BR2769" s="34"/>
      <c r="BV2769" s="34"/>
      <c r="BZ2769" s="34"/>
      <c r="CD2769" s="34"/>
    </row>
    <row r="2770" spans="70:82" x14ac:dyDescent="0.15">
      <c r="BR2770" s="34"/>
      <c r="BV2770" s="34"/>
      <c r="BZ2770" s="34"/>
      <c r="CD2770" s="34"/>
    </row>
    <row r="2771" spans="70:82" x14ac:dyDescent="0.15">
      <c r="BR2771" s="34"/>
      <c r="BV2771" s="34"/>
      <c r="BZ2771" s="34"/>
      <c r="CD2771" s="34"/>
    </row>
    <row r="2772" spans="70:82" x14ac:dyDescent="0.15">
      <c r="BR2772" s="34"/>
      <c r="BV2772" s="34"/>
      <c r="BZ2772" s="34"/>
      <c r="CD2772" s="34"/>
    </row>
    <row r="2773" spans="70:82" x14ac:dyDescent="0.15">
      <c r="BR2773" s="34"/>
      <c r="BV2773" s="34"/>
      <c r="BZ2773" s="34"/>
      <c r="CD2773" s="34"/>
    </row>
    <row r="2774" spans="70:82" x14ac:dyDescent="0.15">
      <c r="BR2774" s="34"/>
      <c r="BV2774" s="34"/>
      <c r="BZ2774" s="34"/>
      <c r="CD2774" s="34"/>
    </row>
    <row r="2775" spans="70:82" x14ac:dyDescent="0.15">
      <c r="BR2775" s="34"/>
      <c r="BV2775" s="34"/>
      <c r="BZ2775" s="34"/>
      <c r="CD2775" s="34"/>
    </row>
    <row r="2776" spans="70:82" x14ac:dyDescent="0.15">
      <c r="BR2776" s="34"/>
      <c r="BV2776" s="34"/>
      <c r="BZ2776" s="34"/>
      <c r="CD2776" s="34"/>
    </row>
    <row r="2777" spans="70:82" x14ac:dyDescent="0.15">
      <c r="BR2777" s="34"/>
      <c r="BV2777" s="34"/>
      <c r="BZ2777" s="34"/>
      <c r="CD2777" s="34"/>
    </row>
    <row r="2778" spans="70:82" x14ac:dyDescent="0.15">
      <c r="BR2778" s="34"/>
      <c r="BV2778" s="34"/>
      <c r="BZ2778" s="34"/>
      <c r="CD2778" s="34"/>
    </row>
    <row r="2779" spans="70:82" x14ac:dyDescent="0.15">
      <c r="BR2779" s="34"/>
      <c r="BV2779" s="34"/>
      <c r="BZ2779" s="34"/>
      <c r="CD2779" s="34"/>
    </row>
    <row r="2780" spans="70:82" x14ac:dyDescent="0.15">
      <c r="BR2780" s="34"/>
      <c r="BV2780" s="34"/>
      <c r="BZ2780" s="34"/>
      <c r="CD2780" s="34"/>
    </row>
    <row r="2781" spans="70:82" x14ac:dyDescent="0.15">
      <c r="BR2781" s="34"/>
      <c r="BV2781" s="34"/>
      <c r="BZ2781" s="34"/>
      <c r="CD2781" s="34"/>
    </row>
    <row r="2782" spans="70:82" x14ac:dyDescent="0.15">
      <c r="BR2782" s="34"/>
      <c r="BV2782" s="34"/>
      <c r="BZ2782" s="34"/>
      <c r="CD2782" s="34"/>
    </row>
    <row r="2783" spans="70:82" x14ac:dyDescent="0.15">
      <c r="BR2783" s="34"/>
      <c r="BV2783" s="34"/>
      <c r="BZ2783" s="34"/>
      <c r="CD2783" s="34"/>
    </row>
    <row r="2784" spans="70:82" x14ac:dyDescent="0.15">
      <c r="BR2784" s="34"/>
      <c r="BV2784" s="34"/>
      <c r="BZ2784" s="34"/>
      <c r="CD2784" s="34"/>
    </row>
    <row r="2785" spans="70:82" x14ac:dyDescent="0.15">
      <c r="BR2785" s="34"/>
      <c r="BV2785" s="34"/>
      <c r="BZ2785" s="34"/>
      <c r="CD2785" s="34"/>
    </row>
    <row r="2786" spans="70:82" x14ac:dyDescent="0.15">
      <c r="BR2786" s="34"/>
      <c r="BV2786" s="34"/>
      <c r="BZ2786" s="34"/>
      <c r="CD2786" s="34"/>
    </row>
    <row r="2787" spans="70:82" x14ac:dyDescent="0.15">
      <c r="BR2787" s="34"/>
      <c r="BV2787" s="34"/>
      <c r="BZ2787" s="34"/>
      <c r="CD2787" s="34"/>
    </row>
    <row r="2788" spans="70:82" x14ac:dyDescent="0.15">
      <c r="BR2788" s="34"/>
      <c r="BV2788" s="34"/>
      <c r="BZ2788" s="34"/>
      <c r="CD2788" s="34"/>
    </row>
    <row r="2789" spans="70:82" x14ac:dyDescent="0.15">
      <c r="BR2789" s="34"/>
      <c r="BV2789" s="34"/>
      <c r="BZ2789" s="34"/>
      <c r="CD2789" s="34"/>
    </row>
    <row r="2790" spans="70:82" x14ac:dyDescent="0.15">
      <c r="BR2790" s="34"/>
      <c r="BV2790" s="34"/>
      <c r="BZ2790" s="34"/>
      <c r="CD2790" s="34"/>
    </row>
    <row r="2791" spans="70:82" x14ac:dyDescent="0.15">
      <c r="BR2791" s="34"/>
      <c r="BV2791" s="34"/>
      <c r="BZ2791" s="34"/>
      <c r="CD2791" s="34"/>
    </row>
    <row r="2792" spans="70:82" x14ac:dyDescent="0.15">
      <c r="BR2792" s="34"/>
      <c r="BV2792" s="34"/>
      <c r="BZ2792" s="34"/>
      <c r="CD2792" s="34"/>
    </row>
    <row r="2793" spans="70:82" x14ac:dyDescent="0.15">
      <c r="BR2793" s="34"/>
      <c r="BV2793" s="34"/>
      <c r="BZ2793" s="34"/>
      <c r="CD2793" s="34"/>
    </row>
    <row r="2794" spans="70:82" x14ac:dyDescent="0.15">
      <c r="BR2794" s="34"/>
      <c r="BV2794" s="34"/>
      <c r="BZ2794" s="34"/>
      <c r="CD2794" s="34"/>
    </row>
    <row r="2795" spans="70:82" x14ac:dyDescent="0.15">
      <c r="BR2795" s="34"/>
      <c r="BV2795" s="34"/>
      <c r="BZ2795" s="34"/>
      <c r="CD2795" s="34"/>
    </row>
    <row r="2796" spans="70:82" x14ac:dyDescent="0.15">
      <c r="BR2796" s="34"/>
      <c r="BV2796" s="34"/>
      <c r="BZ2796" s="34"/>
      <c r="CD2796" s="34"/>
    </row>
    <row r="2797" spans="70:82" x14ac:dyDescent="0.15">
      <c r="BR2797" s="34"/>
      <c r="BV2797" s="34"/>
      <c r="BZ2797" s="34"/>
      <c r="CD2797" s="34"/>
    </row>
    <row r="2798" spans="70:82" x14ac:dyDescent="0.15">
      <c r="BR2798" s="34"/>
      <c r="BV2798" s="34"/>
      <c r="BZ2798" s="34"/>
      <c r="CD2798" s="34"/>
    </row>
    <row r="2799" spans="70:82" x14ac:dyDescent="0.15">
      <c r="BR2799" s="34"/>
      <c r="BV2799" s="34"/>
      <c r="BZ2799" s="34"/>
      <c r="CD2799" s="34"/>
    </row>
    <row r="2800" spans="70:82" x14ac:dyDescent="0.15">
      <c r="BR2800" s="34"/>
      <c r="BV2800" s="34"/>
      <c r="BZ2800" s="34"/>
      <c r="CD2800" s="34"/>
    </row>
    <row r="2801" spans="70:82" x14ac:dyDescent="0.15">
      <c r="BR2801" s="34"/>
      <c r="BV2801" s="34"/>
      <c r="BZ2801" s="34"/>
      <c r="CD2801" s="34"/>
    </row>
    <row r="2802" spans="70:82" x14ac:dyDescent="0.15">
      <c r="BR2802" s="34"/>
      <c r="BV2802" s="34"/>
      <c r="BZ2802" s="34"/>
      <c r="CD2802" s="34"/>
    </row>
    <row r="2803" spans="70:82" x14ac:dyDescent="0.15">
      <c r="BR2803" s="34"/>
      <c r="BV2803" s="34"/>
      <c r="BZ2803" s="34"/>
      <c r="CD2803" s="34"/>
    </row>
    <row r="2804" spans="70:82" x14ac:dyDescent="0.15">
      <c r="BR2804" s="34"/>
      <c r="BV2804" s="34"/>
      <c r="BZ2804" s="34"/>
      <c r="CD2804" s="34"/>
    </row>
    <row r="2805" spans="70:82" x14ac:dyDescent="0.15">
      <c r="BR2805" s="34"/>
      <c r="BV2805" s="34"/>
      <c r="BZ2805" s="34"/>
      <c r="CD2805" s="34"/>
    </row>
    <row r="2806" spans="70:82" x14ac:dyDescent="0.15">
      <c r="BR2806" s="34"/>
      <c r="BV2806" s="34"/>
      <c r="BZ2806" s="34"/>
      <c r="CD2806" s="34"/>
    </row>
    <row r="2807" spans="70:82" x14ac:dyDescent="0.15">
      <c r="BR2807" s="34"/>
      <c r="BV2807" s="34"/>
      <c r="BZ2807" s="34"/>
      <c r="CD2807" s="34"/>
    </row>
    <row r="2808" spans="70:82" x14ac:dyDescent="0.15">
      <c r="BR2808" s="34"/>
      <c r="BV2808" s="34"/>
      <c r="BZ2808" s="34"/>
      <c r="CD2808" s="34"/>
    </row>
    <row r="2809" spans="70:82" x14ac:dyDescent="0.15">
      <c r="BR2809" s="34"/>
      <c r="BV2809" s="34"/>
      <c r="BZ2809" s="34"/>
      <c r="CD2809" s="34"/>
    </row>
    <row r="2810" spans="70:82" x14ac:dyDescent="0.15">
      <c r="BR2810" s="34"/>
      <c r="BV2810" s="34"/>
      <c r="BZ2810" s="34"/>
      <c r="CD2810" s="34"/>
    </row>
    <row r="2811" spans="70:82" x14ac:dyDescent="0.15">
      <c r="BR2811" s="34"/>
      <c r="BV2811" s="34"/>
      <c r="BZ2811" s="34"/>
      <c r="CD2811" s="34"/>
    </row>
    <row r="2812" spans="70:82" x14ac:dyDescent="0.15">
      <c r="BR2812" s="34"/>
      <c r="BV2812" s="34"/>
      <c r="BZ2812" s="34"/>
      <c r="CD2812" s="34"/>
    </row>
    <row r="2813" spans="70:82" x14ac:dyDescent="0.15">
      <c r="BR2813" s="34"/>
      <c r="BV2813" s="34"/>
      <c r="BZ2813" s="34"/>
      <c r="CD2813" s="34"/>
    </row>
    <row r="2814" spans="70:82" x14ac:dyDescent="0.15">
      <c r="BR2814" s="34"/>
      <c r="BV2814" s="34"/>
      <c r="BZ2814" s="34"/>
      <c r="CD2814" s="34"/>
    </row>
    <row r="2815" spans="70:82" x14ac:dyDescent="0.15">
      <c r="BR2815" s="34"/>
      <c r="BV2815" s="34"/>
      <c r="BZ2815" s="34"/>
      <c r="CD2815" s="34"/>
    </row>
    <row r="2816" spans="70:82" x14ac:dyDescent="0.15">
      <c r="BR2816" s="34"/>
      <c r="BV2816" s="34"/>
      <c r="BZ2816" s="34"/>
      <c r="CD2816" s="34"/>
    </row>
    <row r="2817" spans="70:82" x14ac:dyDescent="0.15">
      <c r="BR2817" s="34"/>
      <c r="BV2817" s="34"/>
      <c r="BZ2817" s="34"/>
      <c r="CD2817" s="34"/>
    </row>
    <row r="2818" spans="70:82" x14ac:dyDescent="0.15">
      <c r="BR2818" s="34"/>
      <c r="BV2818" s="34"/>
      <c r="BZ2818" s="34"/>
      <c r="CD2818" s="34"/>
    </row>
    <row r="2819" spans="70:82" x14ac:dyDescent="0.15">
      <c r="BR2819" s="34"/>
      <c r="BV2819" s="34"/>
      <c r="BZ2819" s="34"/>
      <c r="CD2819" s="34"/>
    </row>
    <row r="2820" spans="70:82" x14ac:dyDescent="0.15">
      <c r="BR2820" s="34"/>
      <c r="BV2820" s="34"/>
      <c r="BZ2820" s="34"/>
      <c r="CD2820" s="34"/>
    </row>
    <row r="2821" spans="70:82" x14ac:dyDescent="0.15">
      <c r="BR2821" s="34"/>
      <c r="BV2821" s="34"/>
      <c r="BZ2821" s="34"/>
      <c r="CD2821" s="34"/>
    </row>
    <row r="2822" spans="70:82" x14ac:dyDescent="0.15">
      <c r="BR2822" s="34"/>
      <c r="BV2822" s="34"/>
      <c r="BZ2822" s="34"/>
      <c r="CD2822" s="34"/>
    </row>
    <row r="2823" spans="70:82" x14ac:dyDescent="0.15">
      <c r="BR2823" s="34"/>
      <c r="BV2823" s="34"/>
      <c r="BZ2823" s="34"/>
      <c r="CD2823" s="34"/>
    </row>
    <row r="2824" spans="70:82" x14ac:dyDescent="0.15">
      <c r="BR2824" s="34"/>
      <c r="BV2824" s="34"/>
      <c r="BZ2824" s="34"/>
      <c r="CD2824" s="34"/>
    </row>
    <row r="2825" spans="70:82" x14ac:dyDescent="0.15">
      <c r="BR2825" s="34"/>
      <c r="BV2825" s="34"/>
      <c r="BZ2825" s="34"/>
      <c r="CD2825" s="34"/>
    </row>
    <row r="2826" spans="70:82" x14ac:dyDescent="0.15">
      <c r="BR2826" s="34"/>
      <c r="BV2826" s="34"/>
      <c r="BZ2826" s="34"/>
      <c r="CD2826" s="34"/>
    </row>
    <row r="2827" spans="70:82" x14ac:dyDescent="0.15">
      <c r="BR2827" s="34"/>
      <c r="BV2827" s="34"/>
      <c r="BZ2827" s="34"/>
      <c r="CD2827" s="34"/>
    </row>
    <row r="2828" spans="70:82" x14ac:dyDescent="0.15">
      <c r="BR2828" s="34"/>
      <c r="BV2828" s="34"/>
      <c r="BZ2828" s="34"/>
      <c r="CD2828" s="34"/>
    </row>
    <row r="2829" spans="70:82" x14ac:dyDescent="0.15">
      <c r="BR2829" s="34"/>
      <c r="BV2829" s="34"/>
      <c r="BZ2829" s="34"/>
      <c r="CD2829" s="34"/>
    </row>
    <row r="2830" spans="70:82" x14ac:dyDescent="0.15">
      <c r="BR2830" s="34"/>
      <c r="BV2830" s="34"/>
      <c r="BZ2830" s="34"/>
      <c r="CD2830" s="34"/>
    </row>
    <row r="2831" spans="70:82" x14ac:dyDescent="0.15">
      <c r="BR2831" s="34"/>
      <c r="BV2831" s="34"/>
      <c r="BZ2831" s="34"/>
      <c r="CD2831" s="34"/>
    </row>
    <row r="2832" spans="70:82" x14ac:dyDescent="0.15">
      <c r="BR2832" s="34"/>
      <c r="BV2832" s="34"/>
      <c r="BZ2832" s="34"/>
      <c r="CD2832" s="34"/>
    </row>
    <row r="2833" spans="70:82" x14ac:dyDescent="0.15">
      <c r="BR2833" s="34"/>
      <c r="BV2833" s="34"/>
      <c r="BZ2833" s="34"/>
      <c r="CD2833" s="34"/>
    </row>
    <row r="2834" spans="70:82" x14ac:dyDescent="0.15">
      <c r="BR2834" s="34"/>
      <c r="BV2834" s="34"/>
      <c r="BZ2834" s="34"/>
      <c r="CD2834" s="34"/>
    </row>
    <row r="2835" spans="70:82" x14ac:dyDescent="0.15">
      <c r="BR2835" s="34"/>
      <c r="BV2835" s="34"/>
      <c r="BZ2835" s="34"/>
      <c r="CD2835" s="34"/>
    </row>
    <row r="2836" spans="70:82" x14ac:dyDescent="0.15">
      <c r="BR2836" s="34"/>
      <c r="BV2836" s="34"/>
      <c r="BZ2836" s="34"/>
      <c r="CD2836" s="34"/>
    </row>
    <row r="2837" spans="70:82" x14ac:dyDescent="0.15">
      <c r="BR2837" s="34"/>
      <c r="BV2837" s="34"/>
      <c r="BZ2837" s="34"/>
      <c r="CD2837" s="34"/>
    </row>
    <row r="2838" spans="70:82" x14ac:dyDescent="0.15">
      <c r="BR2838" s="34"/>
      <c r="BV2838" s="34"/>
      <c r="BZ2838" s="34"/>
      <c r="CD2838" s="34"/>
    </row>
    <row r="2839" spans="70:82" x14ac:dyDescent="0.15">
      <c r="BR2839" s="34"/>
      <c r="BV2839" s="34"/>
      <c r="BZ2839" s="34"/>
      <c r="CD2839" s="34"/>
    </row>
    <row r="2840" spans="70:82" x14ac:dyDescent="0.15">
      <c r="BR2840" s="34"/>
      <c r="BV2840" s="34"/>
      <c r="BZ2840" s="34"/>
      <c r="CD2840" s="34"/>
    </row>
    <row r="2841" spans="70:82" x14ac:dyDescent="0.15">
      <c r="BR2841" s="34"/>
      <c r="BV2841" s="34"/>
      <c r="BZ2841" s="34"/>
      <c r="CD2841" s="34"/>
    </row>
    <row r="2842" spans="70:82" x14ac:dyDescent="0.15">
      <c r="BR2842" s="34"/>
      <c r="BV2842" s="34"/>
      <c r="BZ2842" s="34"/>
      <c r="CD2842" s="34"/>
    </row>
    <row r="2843" spans="70:82" x14ac:dyDescent="0.15">
      <c r="BR2843" s="34"/>
      <c r="BV2843" s="34"/>
      <c r="BZ2843" s="34"/>
      <c r="CD2843" s="34"/>
    </row>
    <row r="2844" spans="70:82" x14ac:dyDescent="0.15">
      <c r="BR2844" s="34"/>
      <c r="BV2844" s="34"/>
      <c r="BZ2844" s="34"/>
      <c r="CD2844" s="34"/>
    </row>
    <row r="2845" spans="70:82" x14ac:dyDescent="0.15">
      <c r="BR2845" s="34"/>
      <c r="BV2845" s="34"/>
      <c r="BZ2845" s="34"/>
      <c r="CD2845" s="34"/>
    </row>
    <row r="2846" spans="70:82" x14ac:dyDescent="0.15">
      <c r="BR2846" s="34"/>
      <c r="BV2846" s="34"/>
      <c r="BZ2846" s="34"/>
      <c r="CD2846" s="34"/>
    </row>
    <row r="2847" spans="70:82" x14ac:dyDescent="0.15">
      <c r="BR2847" s="34"/>
      <c r="BV2847" s="34"/>
      <c r="BZ2847" s="34"/>
      <c r="CD2847" s="34"/>
    </row>
    <row r="2848" spans="70:82" x14ac:dyDescent="0.15">
      <c r="BR2848" s="34"/>
      <c r="BV2848" s="34"/>
      <c r="BZ2848" s="34"/>
      <c r="CD2848" s="34"/>
    </row>
    <row r="2849" spans="70:82" x14ac:dyDescent="0.15">
      <c r="BR2849" s="34"/>
      <c r="BV2849" s="34"/>
      <c r="BZ2849" s="34"/>
      <c r="CD2849" s="34"/>
    </row>
    <row r="2850" spans="70:82" x14ac:dyDescent="0.15">
      <c r="BR2850" s="34"/>
      <c r="BV2850" s="34"/>
      <c r="BZ2850" s="34"/>
      <c r="CD2850" s="34"/>
    </row>
    <row r="2851" spans="70:82" x14ac:dyDescent="0.15">
      <c r="BR2851" s="34"/>
      <c r="BV2851" s="34"/>
      <c r="BZ2851" s="34"/>
      <c r="CD2851" s="34"/>
    </row>
    <row r="2852" spans="70:82" x14ac:dyDescent="0.15">
      <c r="BR2852" s="34"/>
      <c r="BV2852" s="34"/>
      <c r="BZ2852" s="34"/>
      <c r="CD2852" s="34"/>
    </row>
    <row r="2853" spans="70:82" x14ac:dyDescent="0.15">
      <c r="BR2853" s="34"/>
      <c r="BV2853" s="34"/>
      <c r="BZ2853" s="34"/>
      <c r="CD2853" s="34"/>
    </row>
    <row r="2854" spans="70:82" x14ac:dyDescent="0.15">
      <c r="BR2854" s="34"/>
      <c r="BV2854" s="34"/>
      <c r="BZ2854" s="34"/>
      <c r="CD2854" s="34"/>
    </row>
    <row r="2855" spans="70:82" x14ac:dyDescent="0.15">
      <c r="BR2855" s="34"/>
      <c r="BV2855" s="34"/>
      <c r="BZ2855" s="34"/>
      <c r="CD2855" s="34"/>
    </row>
    <row r="2856" spans="70:82" x14ac:dyDescent="0.15">
      <c r="BR2856" s="34"/>
      <c r="BV2856" s="34"/>
      <c r="BZ2856" s="34"/>
      <c r="CD2856" s="34"/>
    </row>
    <row r="2857" spans="70:82" x14ac:dyDescent="0.15">
      <c r="BR2857" s="34"/>
      <c r="BV2857" s="34"/>
      <c r="BZ2857" s="34"/>
      <c r="CD2857" s="34"/>
    </row>
    <row r="2858" spans="70:82" x14ac:dyDescent="0.15">
      <c r="BR2858" s="34"/>
      <c r="BV2858" s="34"/>
      <c r="BZ2858" s="34"/>
      <c r="CD2858" s="34"/>
    </row>
    <row r="2859" spans="70:82" x14ac:dyDescent="0.15">
      <c r="BR2859" s="34"/>
      <c r="BV2859" s="34"/>
      <c r="BZ2859" s="34"/>
      <c r="CD2859" s="34"/>
    </row>
    <row r="2860" spans="70:82" x14ac:dyDescent="0.15">
      <c r="BR2860" s="34"/>
      <c r="BV2860" s="34"/>
      <c r="BZ2860" s="34"/>
      <c r="CD2860" s="34"/>
    </row>
    <row r="2861" spans="70:82" x14ac:dyDescent="0.15">
      <c r="BR2861" s="34"/>
      <c r="BV2861" s="34"/>
      <c r="BZ2861" s="34"/>
      <c r="CD2861" s="34"/>
    </row>
    <row r="2862" spans="70:82" x14ac:dyDescent="0.15">
      <c r="BR2862" s="34"/>
      <c r="BV2862" s="34"/>
      <c r="BZ2862" s="34"/>
      <c r="CD2862" s="34"/>
    </row>
    <row r="2863" spans="70:82" x14ac:dyDescent="0.15">
      <c r="BR2863" s="34"/>
      <c r="BV2863" s="34"/>
      <c r="BZ2863" s="34"/>
      <c r="CD2863" s="34"/>
    </row>
    <row r="2864" spans="70:82" x14ac:dyDescent="0.15">
      <c r="BR2864" s="34"/>
      <c r="BV2864" s="34"/>
      <c r="BZ2864" s="34"/>
      <c r="CD2864" s="34"/>
    </row>
    <row r="2865" spans="70:82" x14ac:dyDescent="0.15">
      <c r="BR2865" s="34"/>
      <c r="BV2865" s="34"/>
      <c r="BZ2865" s="34"/>
      <c r="CD2865" s="34"/>
    </row>
    <row r="2866" spans="70:82" x14ac:dyDescent="0.15">
      <c r="BR2866" s="34"/>
      <c r="BV2866" s="34"/>
      <c r="BZ2866" s="34"/>
      <c r="CD2866" s="34"/>
    </row>
    <row r="2867" spans="70:82" x14ac:dyDescent="0.15">
      <c r="BR2867" s="34"/>
      <c r="BV2867" s="34"/>
      <c r="BZ2867" s="34"/>
      <c r="CD2867" s="34"/>
    </row>
    <row r="2868" spans="70:82" x14ac:dyDescent="0.15">
      <c r="BR2868" s="34"/>
      <c r="BV2868" s="34"/>
      <c r="BZ2868" s="34"/>
      <c r="CD2868" s="34"/>
    </row>
    <row r="2869" spans="70:82" x14ac:dyDescent="0.15">
      <c r="BR2869" s="34"/>
      <c r="BV2869" s="34"/>
      <c r="BZ2869" s="34"/>
      <c r="CD2869" s="34"/>
    </row>
    <row r="2870" spans="70:82" x14ac:dyDescent="0.15">
      <c r="BR2870" s="34"/>
      <c r="BV2870" s="34"/>
      <c r="BZ2870" s="34"/>
      <c r="CD2870" s="34"/>
    </row>
    <row r="2871" spans="70:82" x14ac:dyDescent="0.15">
      <c r="BR2871" s="34"/>
      <c r="BV2871" s="34"/>
      <c r="BZ2871" s="34"/>
      <c r="CD2871" s="34"/>
    </row>
    <row r="2872" spans="70:82" x14ac:dyDescent="0.15">
      <c r="BR2872" s="34"/>
      <c r="BV2872" s="34"/>
      <c r="BZ2872" s="34"/>
      <c r="CD2872" s="34"/>
    </row>
    <row r="2873" spans="70:82" x14ac:dyDescent="0.15">
      <c r="BR2873" s="34"/>
      <c r="BV2873" s="34"/>
      <c r="BZ2873" s="34"/>
      <c r="CD2873" s="34"/>
    </row>
    <row r="2874" spans="70:82" x14ac:dyDescent="0.15">
      <c r="BR2874" s="34"/>
      <c r="BV2874" s="34"/>
      <c r="BZ2874" s="34"/>
      <c r="CD2874" s="34"/>
    </row>
    <row r="2875" spans="70:82" x14ac:dyDescent="0.15">
      <c r="BR2875" s="34"/>
      <c r="BV2875" s="34"/>
      <c r="BZ2875" s="34"/>
      <c r="CD2875" s="34"/>
    </row>
    <row r="2876" spans="70:82" x14ac:dyDescent="0.15">
      <c r="BR2876" s="34"/>
      <c r="BV2876" s="34"/>
      <c r="BZ2876" s="34"/>
      <c r="CD2876" s="34"/>
    </row>
    <row r="2877" spans="70:82" x14ac:dyDescent="0.15">
      <c r="BR2877" s="34"/>
      <c r="BV2877" s="34"/>
      <c r="BZ2877" s="34"/>
      <c r="CD2877" s="34"/>
    </row>
    <row r="2878" spans="70:82" x14ac:dyDescent="0.15">
      <c r="BR2878" s="34"/>
      <c r="BV2878" s="34"/>
      <c r="BZ2878" s="34"/>
      <c r="CD2878" s="34"/>
    </row>
    <row r="2879" spans="70:82" x14ac:dyDescent="0.15">
      <c r="BR2879" s="34"/>
      <c r="BV2879" s="34"/>
      <c r="BZ2879" s="34"/>
      <c r="CD2879" s="34"/>
    </row>
    <row r="2880" spans="70:82" x14ac:dyDescent="0.15">
      <c r="BR2880" s="34"/>
      <c r="BV2880" s="34"/>
      <c r="BZ2880" s="34"/>
      <c r="CD2880" s="34"/>
    </row>
    <row r="2881" spans="70:82" x14ac:dyDescent="0.15">
      <c r="BR2881" s="34"/>
      <c r="BV2881" s="34"/>
      <c r="BZ2881" s="34"/>
      <c r="CD2881" s="34"/>
    </row>
    <row r="2882" spans="70:82" x14ac:dyDescent="0.15">
      <c r="BR2882" s="34"/>
      <c r="BV2882" s="34"/>
      <c r="BZ2882" s="34"/>
      <c r="CD2882" s="34"/>
    </row>
    <row r="2883" spans="70:82" x14ac:dyDescent="0.15">
      <c r="BR2883" s="34"/>
      <c r="BV2883" s="34"/>
      <c r="BZ2883" s="34"/>
      <c r="CD2883" s="34"/>
    </row>
    <row r="2884" spans="70:82" x14ac:dyDescent="0.15">
      <c r="BR2884" s="34"/>
      <c r="BV2884" s="34"/>
      <c r="BZ2884" s="34"/>
      <c r="CD2884" s="34"/>
    </row>
    <row r="2885" spans="70:82" x14ac:dyDescent="0.15">
      <c r="BR2885" s="34"/>
      <c r="BV2885" s="34"/>
      <c r="BZ2885" s="34"/>
      <c r="CD2885" s="34"/>
    </row>
    <row r="2886" spans="70:82" x14ac:dyDescent="0.15">
      <c r="BR2886" s="34"/>
      <c r="BV2886" s="34"/>
      <c r="BZ2886" s="34"/>
      <c r="CD2886" s="34"/>
    </row>
    <row r="2887" spans="70:82" x14ac:dyDescent="0.15">
      <c r="BR2887" s="34"/>
      <c r="BV2887" s="34"/>
      <c r="BZ2887" s="34"/>
      <c r="CD2887" s="34"/>
    </row>
    <row r="2888" spans="70:82" x14ac:dyDescent="0.15">
      <c r="BR2888" s="34"/>
      <c r="BV2888" s="34"/>
      <c r="BZ2888" s="34"/>
      <c r="CD2888" s="34"/>
    </row>
    <row r="2889" spans="70:82" x14ac:dyDescent="0.15">
      <c r="BR2889" s="34"/>
      <c r="BV2889" s="34"/>
      <c r="BZ2889" s="34"/>
      <c r="CD2889" s="34"/>
    </row>
    <row r="2890" spans="70:82" x14ac:dyDescent="0.15">
      <c r="BR2890" s="34"/>
      <c r="BV2890" s="34"/>
      <c r="BZ2890" s="34"/>
      <c r="CD2890" s="34"/>
    </row>
    <row r="2891" spans="70:82" x14ac:dyDescent="0.15">
      <c r="BR2891" s="34"/>
      <c r="BV2891" s="34"/>
      <c r="BZ2891" s="34"/>
      <c r="CD2891" s="34"/>
    </row>
    <row r="2892" spans="70:82" x14ac:dyDescent="0.15">
      <c r="BR2892" s="34"/>
      <c r="BV2892" s="34"/>
      <c r="BZ2892" s="34"/>
      <c r="CD2892" s="34"/>
    </row>
    <row r="2893" spans="70:82" x14ac:dyDescent="0.15">
      <c r="BR2893" s="34"/>
      <c r="BV2893" s="34"/>
      <c r="BZ2893" s="34"/>
      <c r="CD2893" s="34"/>
    </row>
    <row r="2894" spans="70:82" x14ac:dyDescent="0.15">
      <c r="BR2894" s="34"/>
      <c r="BV2894" s="34"/>
      <c r="BZ2894" s="34"/>
      <c r="CD2894" s="34"/>
    </row>
    <row r="2895" spans="70:82" x14ac:dyDescent="0.15">
      <c r="BR2895" s="34"/>
      <c r="BV2895" s="34"/>
      <c r="BZ2895" s="34"/>
      <c r="CD2895" s="34"/>
    </row>
    <row r="2896" spans="70:82" x14ac:dyDescent="0.15">
      <c r="BR2896" s="34"/>
      <c r="BV2896" s="34"/>
      <c r="BZ2896" s="34"/>
      <c r="CD2896" s="34"/>
    </row>
    <row r="2897" spans="70:82" x14ac:dyDescent="0.15">
      <c r="BR2897" s="34"/>
      <c r="BV2897" s="34"/>
      <c r="BZ2897" s="34"/>
      <c r="CD2897" s="34"/>
    </row>
    <row r="2898" spans="70:82" x14ac:dyDescent="0.15">
      <c r="BR2898" s="34"/>
      <c r="BV2898" s="34"/>
      <c r="BZ2898" s="34"/>
      <c r="CD2898" s="34"/>
    </row>
    <row r="2899" spans="70:82" x14ac:dyDescent="0.15">
      <c r="BR2899" s="34"/>
      <c r="BV2899" s="34"/>
      <c r="BZ2899" s="34"/>
      <c r="CD2899" s="34"/>
    </row>
    <row r="2900" spans="70:82" x14ac:dyDescent="0.15">
      <c r="BR2900" s="34"/>
      <c r="BV2900" s="34"/>
      <c r="BZ2900" s="34"/>
      <c r="CD2900" s="34"/>
    </row>
    <row r="2901" spans="70:82" x14ac:dyDescent="0.15">
      <c r="BR2901" s="34"/>
      <c r="BV2901" s="34"/>
      <c r="BZ2901" s="34"/>
      <c r="CD2901" s="34"/>
    </row>
    <row r="2902" spans="70:82" x14ac:dyDescent="0.15">
      <c r="BR2902" s="34"/>
      <c r="BV2902" s="34"/>
      <c r="BZ2902" s="34"/>
      <c r="CD2902" s="34"/>
    </row>
    <row r="2903" spans="70:82" x14ac:dyDescent="0.15">
      <c r="BR2903" s="34"/>
      <c r="BV2903" s="34"/>
      <c r="BZ2903" s="34"/>
      <c r="CD2903" s="34"/>
    </row>
    <row r="2904" spans="70:82" x14ac:dyDescent="0.15">
      <c r="BR2904" s="34"/>
      <c r="BV2904" s="34"/>
      <c r="BZ2904" s="34"/>
      <c r="CD2904" s="34"/>
    </row>
    <row r="2905" spans="70:82" x14ac:dyDescent="0.15">
      <c r="BR2905" s="34"/>
      <c r="BV2905" s="34"/>
      <c r="BZ2905" s="34"/>
      <c r="CD2905" s="34"/>
    </row>
    <row r="2906" spans="70:82" x14ac:dyDescent="0.15">
      <c r="BR2906" s="34"/>
      <c r="BV2906" s="34"/>
      <c r="BZ2906" s="34"/>
      <c r="CD2906" s="34"/>
    </row>
    <row r="2907" spans="70:82" x14ac:dyDescent="0.15">
      <c r="BR2907" s="34"/>
      <c r="BV2907" s="34"/>
      <c r="BZ2907" s="34"/>
      <c r="CD2907" s="34"/>
    </row>
    <row r="2908" spans="70:82" x14ac:dyDescent="0.15">
      <c r="BR2908" s="34"/>
      <c r="BV2908" s="34"/>
      <c r="BZ2908" s="34"/>
      <c r="CD2908" s="34"/>
    </row>
    <row r="2909" spans="70:82" x14ac:dyDescent="0.15">
      <c r="BR2909" s="34"/>
      <c r="BV2909" s="34"/>
      <c r="BZ2909" s="34"/>
      <c r="CD2909" s="34"/>
    </row>
    <row r="2910" spans="70:82" x14ac:dyDescent="0.15">
      <c r="BR2910" s="34"/>
      <c r="BV2910" s="34"/>
      <c r="BZ2910" s="34"/>
      <c r="CD2910" s="34"/>
    </row>
    <row r="2911" spans="70:82" x14ac:dyDescent="0.15">
      <c r="BR2911" s="34"/>
      <c r="BV2911" s="34"/>
      <c r="BZ2911" s="34"/>
      <c r="CD2911" s="34"/>
    </row>
    <row r="2912" spans="70:82" x14ac:dyDescent="0.15">
      <c r="BR2912" s="34"/>
      <c r="BV2912" s="34"/>
      <c r="BZ2912" s="34"/>
      <c r="CD2912" s="34"/>
    </row>
    <row r="2913" spans="70:82" x14ac:dyDescent="0.15">
      <c r="BR2913" s="34"/>
      <c r="BV2913" s="34"/>
      <c r="BZ2913" s="34"/>
      <c r="CD2913" s="34"/>
    </row>
    <row r="2914" spans="70:82" x14ac:dyDescent="0.15">
      <c r="BR2914" s="34"/>
      <c r="BV2914" s="34"/>
      <c r="BZ2914" s="34"/>
      <c r="CD2914" s="34"/>
    </row>
    <row r="2915" spans="70:82" x14ac:dyDescent="0.15">
      <c r="BR2915" s="34"/>
      <c r="BV2915" s="34"/>
      <c r="BZ2915" s="34"/>
      <c r="CD2915" s="34"/>
    </row>
    <row r="2916" spans="70:82" x14ac:dyDescent="0.15">
      <c r="BR2916" s="34"/>
      <c r="BV2916" s="34"/>
      <c r="BZ2916" s="34"/>
      <c r="CD2916" s="34"/>
    </row>
    <row r="2917" spans="70:82" x14ac:dyDescent="0.15">
      <c r="BR2917" s="34"/>
      <c r="BV2917" s="34"/>
      <c r="BZ2917" s="34"/>
      <c r="CD2917" s="34"/>
    </row>
    <row r="2918" spans="70:82" x14ac:dyDescent="0.15">
      <c r="BR2918" s="34"/>
      <c r="BV2918" s="34"/>
      <c r="BZ2918" s="34"/>
      <c r="CD2918" s="34"/>
    </row>
    <row r="2919" spans="70:82" x14ac:dyDescent="0.15">
      <c r="BR2919" s="34"/>
      <c r="BV2919" s="34"/>
      <c r="BZ2919" s="34"/>
      <c r="CD2919" s="34"/>
    </row>
    <row r="2920" spans="70:82" x14ac:dyDescent="0.15">
      <c r="BR2920" s="34"/>
      <c r="BV2920" s="34"/>
      <c r="BZ2920" s="34"/>
      <c r="CD2920" s="34"/>
    </row>
    <row r="2921" spans="70:82" x14ac:dyDescent="0.15">
      <c r="BR2921" s="34"/>
      <c r="BV2921" s="34"/>
      <c r="BZ2921" s="34"/>
      <c r="CD2921" s="34"/>
    </row>
    <row r="2922" spans="70:82" x14ac:dyDescent="0.15">
      <c r="BR2922" s="34"/>
      <c r="BV2922" s="34"/>
      <c r="BZ2922" s="34"/>
      <c r="CD2922" s="34"/>
    </row>
    <row r="2923" spans="70:82" x14ac:dyDescent="0.15">
      <c r="BR2923" s="34"/>
      <c r="BV2923" s="34"/>
      <c r="BZ2923" s="34"/>
      <c r="CD2923" s="34"/>
    </row>
    <row r="2924" spans="70:82" x14ac:dyDescent="0.15">
      <c r="BR2924" s="34"/>
      <c r="BV2924" s="34"/>
      <c r="BZ2924" s="34"/>
      <c r="CD2924" s="34"/>
    </row>
    <row r="2925" spans="70:82" x14ac:dyDescent="0.15">
      <c r="BR2925" s="34"/>
      <c r="BV2925" s="34"/>
      <c r="BZ2925" s="34"/>
      <c r="CD2925" s="34"/>
    </row>
    <row r="2926" spans="70:82" x14ac:dyDescent="0.15">
      <c r="BR2926" s="34"/>
      <c r="BV2926" s="34"/>
      <c r="BZ2926" s="34"/>
      <c r="CD2926" s="34"/>
    </row>
    <row r="2927" spans="70:82" x14ac:dyDescent="0.15">
      <c r="BR2927" s="34"/>
      <c r="BV2927" s="34"/>
      <c r="BZ2927" s="34"/>
      <c r="CD2927" s="34"/>
    </row>
    <row r="2928" spans="70:82" x14ac:dyDescent="0.15">
      <c r="BR2928" s="34"/>
      <c r="BV2928" s="34"/>
      <c r="BZ2928" s="34"/>
      <c r="CD2928" s="34"/>
    </row>
    <row r="2929" spans="70:82" x14ac:dyDescent="0.15">
      <c r="BR2929" s="34"/>
      <c r="BV2929" s="34"/>
      <c r="BZ2929" s="34"/>
      <c r="CD2929" s="34"/>
    </row>
    <row r="2930" spans="70:82" x14ac:dyDescent="0.15">
      <c r="BR2930" s="34"/>
      <c r="BV2930" s="34"/>
      <c r="BZ2930" s="34"/>
      <c r="CD2930" s="34"/>
    </row>
    <row r="2931" spans="70:82" x14ac:dyDescent="0.15">
      <c r="BR2931" s="34"/>
      <c r="BV2931" s="34"/>
      <c r="BZ2931" s="34"/>
      <c r="CD2931" s="34"/>
    </row>
    <row r="2932" spans="70:82" x14ac:dyDescent="0.15">
      <c r="BR2932" s="34"/>
      <c r="BV2932" s="34"/>
      <c r="BZ2932" s="34"/>
      <c r="CD2932" s="34"/>
    </row>
    <row r="2933" spans="70:82" x14ac:dyDescent="0.15">
      <c r="BR2933" s="34"/>
      <c r="BV2933" s="34"/>
      <c r="BZ2933" s="34"/>
      <c r="CD2933" s="34"/>
    </row>
    <row r="2934" spans="70:82" x14ac:dyDescent="0.15">
      <c r="BR2934" s="34"/>
      <c r="BV2934" s="34"/>
      <c r="BZ2934" s="34"/>
      <c r="CD2934" s="34"/>
    </row>
    <row r="2935" spans="70:82" x14ac:dyDescent="0.15">
      <c r="BR2935" s="34"/>
      <c r="BV2935" s="34"/>
      <c r="BZ2935" s="34"/>
      <c r="CD2935" s="34"/>
    </row>
    <row r="2936" spans="70:82" x14ac:dyDescent="0.15">
      <c r="BR2936" s="34"/>
      <c r="BV2936" s="34"/>
      <c r="BZ2936" s="34"/>
      <c r="CD2936" s="34"/>
    </row>
    <row r="2937" spans="70:82" x14ac:dyDescent="0.15">
      <c r="BR2937" s="34"/>
      <c r="BV2937" s="34"/>
      <c r="BZ2937" s="34"/>
      <c r="CD2937" s="34"/>
    </row>
    <row r="2938" spans="70:82" x14ac:dyDescent="0.15">
      <c r="BR2938" s="34"/>
      <c r="BV2938" s="34"/>
      <c r="BZ2938" s="34"/>
      <c r="CD2938" s="34"/>
    </row>
    <row r="2939" spans="70:82" x14ac:dyDescent="0.15">
      <c r="BR2939" s="34"/>
      <c r="BV2939" s="34"/>
      <c r="BZ2939" s="34"/>
      <c r="CD2939" s="34"/>
    </row>
    <row r="2940" spans="70:82" x14ac:dyDescent="0.15">
      <c r="BR2940" s="34"/>
      <c r="BV2940" s="34"/>
      <c r="BZ2940" s="34"/>
      <c r="CD2940" s="34"/>
    </row>
    <row r="2941" spans="70:82" x14ac:dyDescent="0.15">
      <c r="BR2941" s="34"/>
      <c r="BV2941" s="34"/>
      <c r="BZ2941" s="34"/>
      <c r="CD2941" s="34"/>
    </row>
    <row r="2942" spans="70:82" x14ac:dyDescent="0.15">
      <c r="BR2942" s="34"/>
      <c r="BV2942" s="34"/>
      <c r="BZ2942" s="34"/>
      <c r="CD2942" s="34"/>
    </row>
    <row r="2943" spans="70:82" x14ac:dyDescent="0.15">
      <c r="BR2943" s="34"/>
      <c r="BV2943" s="34"/>
      <c r="BZ2943" s="34"/>
      <c r="CD2943" s="34"/>
    </row>
    <row r="2944" spans="70:82" x14ac:dyDescent="0.15">
      <c r="BR2944" s="34"/>
      <c r="BV2944" s="34"/>
      <c r="BZ2944" s="34"/>
      <c r="CD2944" s="34"/>
    </row>
    <row r="2945" spans="70:82" x14ac:dyDescent="0.15">
      <c r="BR2945" s="34"/>
      <c r="BV2945" s="34"/>
      <c r="BZ2945" s="34"/>
      <c r="CD2945" s="34"/>
    </row>
    <row r="2946" spans="70:82" x14ac:dyDescent="0.15">
      <c r="BR2946" s="34"/>
      <c r="BV2946" s="34"/>
      <c r="BZ2946" s="34"/>
      <c r="CD2946" s="34"/>
    </row>
    <row r="2947" spans="70:82" x14ac:dyDescent="0.15">
      <c r="BR2947" s="34"/>
      <c r="BV2947" s="34"/>
      <c r="BZ2947" s="34"/>
      <c r="CD2947" s="34"/>
    </row>
    <row r="2948" spans="70:82" x14ac:dyDescent="0.15">
      <c r="BR2948" s="34"/>
      <c r="BV2948" s="34"/>
      <c r="BZ2948" s="34"/>
      <c r="CD2948" s="34"/>
    </row>
    <row r="2949" spans="70:82" x14ac:dyDescent="0.15">
      <c r="BR2949" s="34"/>
      <c r="BV2949" s="34"/>
      <c r="BZ2949" s="34"/>
      <c r="CD2949" s="34"/>
    </row>
    <row r="2950" spans="70:82" x14ac:dyDescent="0.15">
      <c r="BR2950" s="34"/>
      <c r="BV2950" s="34"/>
      <c r="BZ2950" s="34"/>
      <c r="CD2950" s="34"/>
    </row>
    <row r="2951" spans="70:82" x14ac:dyDescent="0.15">
      <c r="BR2951" s="34"/>
      <c r="BV2951" s="34"/>
      <c r="BZ2951" s="34"/>
      <c r="CD2951" s="34"/>
    </row>
    <row r="2952" spans="70:82" x14ac:dyDescent="0.15">
      <c r="BR2952" s="34"/>
      <c r="BV2952" s="34"/>
      <c r="BZ2952" s="34"/>
      <c r="CD2952" s="34"/>
    </row>
    <row r="2953" spans="70:82" x14ac:dyDescent="0.15">
      <c r="BR2953" s="34"/>
      <c r="BV2953" s="34"/>
      <c r="BZ2953" s="34"/>
      <c r="CD2953" s="34"/>
    </row>
    <row r="2954" spans="70:82" x14ac:dyDescent="0.15">
      <c r="BR2954" s="34"/>
      <c r="BV2954" s="34"/>
      <c r="BZ2954" s="34"/>
      <c r="CD2954" s="34"/>
    </row>
    <row r="2955" spans="70:82" x14ac:dyDescent="0.15">
      <c r="BR2955" s="34"/>
      <c r="BV2955" s="34"/>
      <c r="BZ2955" s="34"/>
      <c r="CD2955" s="34"/>
    </row>
    <row r="2956" spans="70:82" x14ac:dyDescent="0.15">
      <c r="BR2956" s="34"/>
      <c r="BV2956" s="34"/>
      <c r="BZ2956" s="34"/>
      <c r="CD2956" s="34"/>
    </row>
    <row r="2957" spans="70:82" x14ac:dyDescent="0.15">
      <c r="BR2957" s="34"/>
      <c r="BV2957" s="34"/>
      <c r="BZ2957" s="34"/>
      <c r="CD2957" s="34"/>
    </row>
    <row r="2958" spans="70:82" x14ac:dyDescent="0.15">
      <c r="BR2958" s="34"/>
      <c r="BV2958" s="34"/>
      <c r="BZ2958" s="34"/>
      <c r="CD2958" s="34"/>
    </row>
    <row r="2959" spans="70:82" x14ac:dyDescent="0.15">
      <c r="BR2959" s="34"/>
      <c r="BV2959" s="34"/>
      <c r="BZ2959" s="34"/>
      <c r="CD2959" s="34"/>
    </row>
    <row r="2960" spans="70:82" x14ac:dyDescent="0.15">
      <c r="BR2960" s="34"/>
      <c r="BV2960" s="34"/>
      <c r="BZ2960" s="34"/>
      <c r="CD2960" s="34"/>
    </row>
    <row r="2961" spans="70:82" x14ac:dyDescent="0.15">
      <c r="BR2961" s="34"/>
      <c r="BV2961" s="34"/>
      <c r="BZ2961" s="34"/>
      <c r="CD2961" s="34"/>
    </row>
    <row r="2962" spans="70:82" x14ac:dyDescent="0.15">
      <c r="BR2962" s="34"/>
      <c r="BV2962" s="34"/>
      <c r="BZ2962" s="34"/>
      <c r="CD2962" s="34"/>
    </row>
    <row r="2963" spans="70:82" x14ac:dyDescent="0.15">
      <c r="BR2963" s="34"/>
      <c r="BV2963" s="34"/>
      <c r="BZ2963" s="34"/>
      <c r="CD2963" s="34"/>
    </row>
    <row r="2964" spans="70:82" x14ac:dyDescent="0.15">
      <c r="BR2964" s="34"/>
      <c r="BV2964" s="34"/>
      <c r="BZ2964" s="34"/>
      <c r="CD2964" s="34"/>
    </row>
    <row r="2965" spans="70:82" x14ac:dyDescent="0.15">
      <c r="BR2965" s="34"/>
      <c r="BV2965" s="34"/>
      <c r="BZ2965" s="34"/>
      <c r="CD2965" s="34"/>
    </row>
    <row r="2966" spans="70:82" x14ac:dyDescent="0.15">
      <c r="BR2966" s="34"/>
      <c r="BV2966" s="34"/>
      <c r="BZ2966" s="34"/>
      <c r="CD2966" s="34"/>
    </row>
    <row r="2967" spans="70:82" x14ac:dyDescent="0.15">
      <c r="BR2967" s="34"/>
      <c r="BV2967" s="34"/>
      <c r="BZ2967" s="34"/>
      <c r="CD2967" s="34"/>
    </row>
    <row r="2968" spans="70:82" x14ac:dyDescent="0.15">
      <c r="BR2968" s="34"/>
      <c r="BV2968" s="34"/>
      <c r="BZ2968" s="34"/>
      <c r="CD2968" s="34"/>
    </row>
    <row r="2969" spans="70:82" x14ac:dyDescent="0.15">
      <c r="BR2969" s="34"/>
      <c r="BV2969" s="34"/>
      <c r="BZ2969" s="34"/>
      <c r="CD2969" s="34"/>
    </row>
    <row r="2970" spans="70:82" x14ac:dyDescent="0.15">
      <c r="BR2970" s="34"/>
      <c r="BV2970" s="34"/>
      <c r="BZ2970" s="34"/>
      <c r="CD2970" s="34"/>
    </row>
    <row r="2971" spans="70:82" x14ac:dyDescent="0.15">
      <c r="BR2971" s="34"/>
      <c r="BV2971" s="34"/>
      <c r="BZ2971" s="34"/>
      <c r="CD2971" s="34"/>
    </row>
    <row r="2972" spans="70:82" x14ac:dyDescent="0.15">
      <c r="BR2972" s="34"/>
      <c r="BV2972" s="34"/>
      <c r="BZ2972" s="34"/>
      <c r="CD2972" s="34"/>
    </row>
    <row r="2973" spans="70:82" x14ac:dyDescent="0.15">
      <c r="BR2973" s="34"/>
      <c r="BV2973" s="34"/>
      <c r="BZ2973" s="34"/>
      <c r="CD2973" s="34"/>
    </row>
    <row r="2974" spans="70:82" x14ac:dyDescent="0.15">
      <c r="BR2974" s="34"/>
      <c r="BV2974" s="34"/>
      <c r="BZ2974" s="34"/>
      <c r="CD2974" s="34"/>
    </row>
    <row r="2975" spans="70:82" x14ac:dyDescent="0.15">
      <c r="BR2975" s="34"/>
      <c r="BV2975" s="34"/>
      <c r="BZ2975" s="34"/>
      <c r="CD2975" s="34"/>
    </row>
    <row r="2976" spans="70:82" x14ac:dyDescent="0.15">
      <c r="BR2976" s="34"/>
      <c r="BV2976" s="34"/>
      <c r="BZ2976" s="34"/>
      <c r="CD2976" s="34"/>
    </row>
    <row r="2977" spans="70:82" x14ac:dyDescent="0.15">
      <c r="BR2977" s="34"/>
      <c r="BV2977" s="34"/>
      <c r="BZ2977" s="34"/>
      <c r="CD2977" s="34"/>
    </row>
    <row r="2978" spans="70:82" x14ac:dyDescent="0.15">
      <c r="BR2978" s="34"/>
      <c r="BV2978" s="34"/>
      <c r="BZ2978" s="34"/>
      <c r="CD2978" s="34"/>
    </row>
    <row r="2979" spans="70:82" x14ac:dyDescent="0.15">
      <c r="BR2979" s="34"/>
      <c r="BV2979" s="34"/>
      <c r="BZ2979" s="34"/>
      <c r="CD2979" s="34"/>
    </row>
    <row r="2980" spans="70:82" x14ac:dyDescent="0.15">
      <c r="BR2980" s="34"/>
      <c r="BV2980" s="34"/>
      <c r="BZ2980" s="34"/>
      <c r="CD2980" s="34"/>
    </row>
    <row r="2981" spans="70:82" x14ac:dyDescent="0.15">
      <c r="BR2981" s="34"/>
      <c r="BV2981" s="34"/>
      <c r="BZ2981" s="34"/>
      <c r="CD2981" s="34"/>
    </row>
    <row r="2982" spans="70:82" x14ac:dyDescent="0.15">
      <c r="BR2982" s="34"/>
      <c r="BV2982" s="34"/>
      <c r="BZ2982" s="34"/>
      <c r="CD2982" s="34"/>
    </row>
    <row r="2983" spans="70:82" x14ac:dyDescent="0.15">
      <c r="BR2983" s="34"/>
      <c r="BV2983" s="34"/>
      <c r="BZ2983" s="34"/>
      <c r="CD2983" s="34"/>
    </row>
    <row r="2984" spans="70:82" x14ac:dyDescent="0.15">
      <c r="BR2984" s="34"/>
      <c r="BV2984" s="34"/>
      <c r="BZ2984" s="34"/>
      <c r="CD2984" s="34"/>
    </row>
    <row r="2985" spans="70:82" x14ac:dyDescent="0.15">
      <c r="BR2985" s="34"/>
      <c r="BV2985" s="34"/>
      <c r="BZ2985" s="34"/>
      <c r="CD2985" s="34"/>
    </row>
    <row r="2986" spans="70:82" x14ac:dyDescent="0.15">
      <c r="BR2986" s="34"/>
      <c r="BV2986" s="34"/>
      <c r="BZ2986" s="34"/>
      <c r="CD2986" s="34"/>
    </row>
    <row r="2987" spans="70:82" x14ac:dyDescent="0.15">
      <c r="BR2987" s="34"/>
      <c r="BV2987" s="34"/>
      <c r="BZ2987" s="34"/>
      <c r="CD2987" s="34"/>
    </row>
    <row r="2988" spans="70:82" x14ac:dyDescent="0.15">
      <c r="BR2988" s="34"/>
      <c r="BV2988" s="34"/>
      <c r="BZ2988" s="34"/>
      <c r="CD2988" s="34"/>
    </row>
    <row r="2989" spans="70:82" x14ac:dyDescent="0.15">
      <c r="BR2989" s="34"/>
      <c r="BV2989" s="34"/>
      <c r="BZ2989" s="34"/>
      <c r="CD2989" s="34"/>
    </row>
    <row r="2990" spans="70:82" x14ac:dyDescent="0.15">
      <c r="BR2990" s="34"/>
      <c r="BV2990" s="34"/>
      <c r="BZ2990" s="34"/>
      <c r="CD2990" s="34"/>
    </row>
    <row r="2991" spans="70:82" x14ac:dyDescent="0.15">
      <c r="BR2991" s="34"/>
      <c r="BV2991" s="34"/>
      <c r="BZ2991" s="34"/>
      <c r="CD2991" s="34"/>
    </row>
    <row r="2992" spans="70:82" x14ac:dyDescent="0.15">
      <c r="BR2992" s="34"/>
      <c r="BV2992" s="34"/>
      <c r="BZ2992" s="34"/>
      <c r="CD2992" s="34"/>
    </row>
    <row r="2993" spans="70:82" x14ac:dyDescent="0.15">
      <c r="BR2993" s="34"/>
      <c r="BV2993" s="34"/>
      <c r="BZ2993" s="34"/>
      <c r="CD2993" s="34"/>
    </row>
    <row r="2994" spans="70:82" x14ac:dyDescent="0.15">
      <c r="BR2994" s="34"/>
      <c r="BV2994" s="34"/>
      <c r="BZ2994" s="34"/>
      <c r="CD2994" s="34"/>
    </row>
    <row r="2995" spans="70:82" x14ac:dyDescent="0.15">
      <c r="BR2995" s="34"/>
      <c r="BV2995" s="34"/>
      <c r="BZ2995" s="34"/>
      <c r="CD2995" s="34"/>
    </row>
    <row r="2996" spans="70:82" x14ac:dyDescent="0.15">
      <c r="BR2996" s="34"/>
      <c r="BV2996" s="34"/>
      <c r="BZ2996" s="34"/>
      <c r="CD2996" s="34"/>
    </row>
    <row r="2997" spans="70:82" x14ac:dyDescent="0.15">
      <c r="BR2997" s="34"/>
      <c r="BV2997" s="34"/>
      <c r="BZ2997" s="34"/>
      <c r="CD2997" s="34"/>
    </row>
    <row r="2998" spans="70:82" x14ac:dyDescent="0.15">
      <c r="BR2998" s="34"/>
      <c r="BV2998" s="34"/>
      <c r="BZ2998" s="34"/>
      <c r="CD2998" s="34"/>
    </row>
    <row r="2999" spans="70:82" x14ac:dyDescent="0.15">
      <c r="BR2999" s="34"/>
      <c r="BV2999" s="34"/>
      <c r="BZ2999" s="34"/>
      <c r="CD2999" s="34"/>
    </row>
    <row r="3000" spans="70:82" x14ac:dyDescent="0.15">
      <c r="BR3000" s="34"/>
      <c r="BV3000" s="34"/>
      <c r="BZ3000" s="34"/>
      <c r="CD3000" s="34"/>
    </row>
    <row r="3001" spans="70:82" x14ac:dyDescent="0.15">
      <c r="BR3001" s="34"/>
      <c r="BV3001" s="34"/>
      <c r="BZ3001" s="34"/>
      <c r="CD3001" s="34"/>
    </row>
    <row r="3002" spans="70:82" x14ac:dyDescent="0.15">
      <c r="BR3002" s="34"/>
      <c r="BV3002" s="34"/>
      <c r="BZ3002" s="34"/>
      <c r="CD3002" s="34"/>
    </row>
    <row r="3003" spans="70:82" x14ac:dyDescent="0.15">
      <c r="BR3003" s="34"/>
      <c r="BV3003" s="34"/>
      <c r="BZ3003" s="34"/>
      <c r="CD3003" s="34"/>
    </row>
    <row r="3004" spans="70:82" x14ac:dyDescent="0.15">
      <c r="BR3004" s="34"/>
      <c r="BV3004" s="34"/>
      <c r="BZ3004" s="34"/>
      <c r="CD3004" s="34"/>
    </row>
    <row r="3005" spans="70:82" x14ac:dyDescent="0.15">
      <c r="BR3005" s="34"/>
      <c r="BV3005" s="34"/>
      <c r="BZ3005" s="34"/>
      <c r="CD3005" s="34"/>
    </row>
    <row r="3006" spans="70:82" x14ac:dyDescent="0.15">
      <c r="BR3006" s="34"/>
      <c r="BV3006" s="34"/>
      <c r="BZ3006" s="34"/>
      <c r="CD3006" s="34"/>
    </row>
    <row r="3007" spans="70:82" x14ac:dyDescent="0.15">
      <c r="BR3007" s="34"/>
      <c r="BV3007" s="34"/>
      <c r="BZ3007" s="34"/>
      <c r="CD3007" s="34"/>
    </row>
    <row r="3008" spans="70:82" x14ac:dyDescent="0.15">
      <c r="BR3008" s="34"/>
      <c r="BV3008" s="34"/>
      <c r="BZ3008" s="34"/>
      <c r="CD3008" s="34"/>
    </row>
    <row r="3009" spans="70:82" x14ac:dyDescent="0.15">
      <c r="BR3009" s="34"/>
      <c r="BV3009" s="34"/>
      <c r="BZ3009" s="34"/>
      <c r="CD3009" s="34"/>
    </row>
    <row r="3010" spans="70:82" x14ac:dyDescent="0.15">
      <c r="BR3010" s="34"/>
      <c r="BV3010" s="34"/>
      <c r="BZ3010" s="34"/>
      <c r="CD3010" s="34"/>
    </row>
    <row r="3011" spans="70:82" x14ac:dyDescent="0.15">
      <c r="BR3011" s="34"/>
      <c r="BV3011" s="34"/>
      <c r="BZ3011" s="34"/>
      <c r="CD3011" s="34"/>
    </row>
    <row r="3012" spans="70:82" x14ac:dyDescent="0.15">
      <c r="BR3012" s="34"/>
      <c r="BV3012" s="34"/>
      <c r="BZ3012" s="34"/>
      <c r="CD3012" s="34"/>
    </row>
    <row r="3013" spans="70:82" x14ac:dyDescent="0.15">
      <c r="BR3013" s="34"/>
      <c r="BV3013" s="34"/>
      <c r="BZ3013" s="34"/>
      <c r="CD3013" s="34"/>
    </row>
    <row r="3014" spans="70:82" x14ac:dyDescent="0.15">
      <c r="BR3014" s="34"/>
      <c r="BV3014" s="34"/>
      <c r="BZ3014" s="34"/>
      <c r="CD3014" s="34"/>
    </row>
    <row r="3015" spans="70:82" x14ac:dyDescent="0.15">
      <c r="BR3015" s="34"/>
      <c r="BV3015" s="34"/>
      <c r="BZ3015" s="34"/>
      <c r="CD3015" s="34"/>
    </row>
    <row r="3016" spans="70:82" x14ac:dyDescent="0.15">
      <c r="BR3016" s="34"/>
      <c r="BV3016" s="34"/>
      <c r="BZ3016" s="34"/>
      <c r="CD3016" s="34"/>
    </row>
    <row r="3017" spans="70:82" x14ac:dyDescent="0.15">
      <c r="BR3017" s="34"/>
      <c r="BV3017" s="34"/>
      <c r="BZ3017" s="34"/>
      <c r="CD3017" s="34"/>
    </row>
    <row r="3018" spans="70:82" x14ac:dyDescent="0.15">
      <c r="BR3018" s="34"/>
      <c r="BV3018" s="34"/>
      <c r="BZ3018" s="34"/>
      <c r="CD3018" s="34"/>
    </row>
    <row r="3019" spans="70:82" x14ac:dyDescent="0.15">
      <c r="BR3019" s="34"/>
      <c r="BV3019" s="34"/>
      <c r="BZ3019" s="34"/>
      <c r="CD3019" s="34"/>
    </row>
    <row r="3020" spans="70:82" x14ac:dyDescent="0.15">
      <c r="BR3020" s="34"/>
      <c r="BV3020" s="34"/>
      <c r="BZ3020" s="34"/>
      <c r="CD3020" s="34"/>
    </row>
    <row r="3021" spans="70:82" x14ac:dyDescent="0.15">
      <c r="BR3021" s="34"/>
      <c r="BV3021" s="34"/>
      <c r="BZ3021" s="34"/>
      <c r="CD3021" s="34"/>
    </row>
    <row r="3022" spans="70:82" x14ac:dyDescent="0.15">
      <c r="BR3022" s="34"/>
      <c r="BV3022" s="34"/>
      <c r="BZ3022" s="34"/>
      <c r="CD3022" s="34"/>
    </row>
    <row r="3023" spans="70:82" x14ac:dyDescent="0.15">
      <c r="BR3023" s="34"/>
      <c r="BV3023" s="34"/>
      <c r="BZ3023" s="34"/>
      <c r="CD3023" s="34"/>
    </row>
    <row r="3024" spans="70:82" x14ac:dyDescent="0.15">
      <c r="BR3024" s="34"/>
      <c r="BV3024" s="34"/>
      <c r="BZ3024" s="34"/>
      <c r="CD3024" s="34"/>
    </row>
    <row r="3025" spans="70:82" x14ac:dyDescent="0.15">
      <c r="BR3025" s="34"/>
      <c r="BV3025" s="34"/>
      <c r="BZ3025" s="34"/>
      <c r="CD3025" s="34"/>
    </row>
    <row r="3026" spans="70:82" x14ac:dyDescent="0.15">
      <c r="BR3026" s="34"/>
      <c r="BV3026" s="34"/>
      <c r="BZ3026" s="34"/>
      <c r="CD3026" s="34"/>
    </row>
    <row r="3027" spans="70:82" x14ac:dyDescent="0.15">
      <c r="BR3027" s="34"/>
      <c r="BV3027" s="34"/>
      <c r="BZ3027" s="34"/>
      <c r="CD3027" s="34"/>
    </row>
    <row r="3028" spans="70:82" x14ac:dyDescent="0.15">
      <c r="BR3028" s="34"/>
      <c r="BV3028" s="34"/>
      <c r="BZ3028" s="34"/>
      <c r="CD3028" s="34"/>
    </row>
    <row r="3029" spans="70:82" x14ac:dyDescent="0.15">
      <c r="BR3029" s="34"/>
      <c r="BV3029" s="34"/>
      <c r="BZ3029" s="34"/>
      <c r="CD3029" s="34"/>
    </row>
    <row r="3030" spans="70:82" x14ac:dyDescent="0.15">
      <c r="BR3030" s="34"/>
      <c r="BV3030" s="34"/>
      <c r="BZ3030" s="34"/>
      <c r="CD3030" s="34"/>
    </row>
    <row r="3031" spans="70:82" x14ac:dyDescent="0.15">
      <c r="BR3031" s="34"/>
      <c r="BV3031" s="34"/>
      <c r="BZ3031" s="34"/>
      <c r="CD3031" s="34"/>
    </row>
    <row r="3032" spans="70:82" x14ac:dyDescent="0.15">
      <c r="BR3032" s="34"/>
      <c r="BV3032" s="34"/>
      <c r="BZ3032" s="34"/>
      <c r="CD3032" s="34"/>
    </row>
    <row r="3033" spans="70:82" x14ac:dyDescent="0.15">
      <c r="BR3033" s="34"/>
      <c r="BV3033" s="34"/>
      <c r="BZ3033" s="34"/>
      <c r="CD3033" s="34"/>
    </row>
    <row r="3034" spans="70:82" x14ac:dyDescent="0.15">
      <c r="BR3034" s="34"/>
      <c r="BV3034" s="34"/>
      <c r="BZ3034" s="34"/>
      <c r="CD3034" s="34"/>
    </row>
    <row r="3035" spans="70:82" x14ac:dyDescent="0.15">
      <c r="BR3035" s="34"/>
      <c r="BV3035" s="34"/>
      <c r="BZ3035" s="34"/>
      <c r="CD3035" s="34"/>
    </row>
    <row r="3036" spans="70:82" x14ac:dyDescent="0.15">
      <c r="BR3036" s="34"/>
      <c r="BV3036" s="34"/>
      <c r="BZ3036" s="34"/>
      <c r="CD3036" s="34"/>
    </row>
    <row r="3037" spans="70:82" x14ac:dyDescent="0.15">
      <c r="BR3037" s="34"/>
      <c r="BV3037" s="34"/>
      <c r="BZ3037" s="34"/>
      <c r="CD3037" s="34"/>
    </row>
    <row r="3038" spans="70:82" x14ac:dyDescent="0.15">
      <c r="BR3038" s="34"/>
      <c r="BV3038" s="34"/>
      <c r="BZ3038" s="34"/>
      <c r="CD3038" s="34"/>
    </row>
    <row r="3039" spans="70:82" x14ac:dyDescent="0.15">
      <c r="BR3039" s="34"/>
      <c r="BV3039" s="34"/>
      <c r="BZ3039" s="34"/>
      <c r="CD3039" s="34"/>
    </row>
    <row r="3040" spans="70:82" x14ac:dyDescent="0.15">
      <c r="BR3040" s="34"/>
      <c r="BV3040" s="34"/>
      <c r="BZ3040" s="34"/>
      <c r="CD3040" s="34"/>
    </row>
    <row r="3041" spans="70:82" x14ac:dyDescent="0.15">
      <c r="BR3041" s="34"/>
      <c r="BV3041" s="34"/>
      <c r="BZ3041" s="34"/>
      <c r="CD3041" s="34"/>
    </row>
    <row r="3042" spans="70:82" x14ac:dyDescent="0.15">
      <c r="BR3042" s="34"/>
      <c r="BV3042" s="34"/>
      <c r="BZ3042" s="34"/>
      <c r="CD3042" s="34"/>
    </row>
    <row r="3043" spans="70:82" x14ac:dyDescent="0.15">
      <c r="BR3043" s="34"/>
      <c r="BV3043" s="34"/>
      <c r="BZ3043" s="34"/>
      <c r="CD3043" s="34"/>
    </row>
    <row r="3044" spans="70:82" x14ac:dyDescent="0.15">
      <c r="BR3044" s="34"/>
      <c r="BV3044" s="34"/>
      <c r="BZ3044" s="34"/>
      <c r="CD3044" s="34"/>
    </row>
    <row r="3045" spans="70:82" x14ac:dyDescent="0.15">
      <c r="BR3045" s="34"/>
      <c r="BV3045" s="34"/>
      <c r="BZ3045" s="34"/>
      <c r="CD3045" s="34"/>
    </row>
    <row r="3046" spans="70:82" x14ac:dyDescent="0.15">
      <c r="BR3046" s="34"/>
      <c r="BV3046" s="34"/>
      <c r="BZ3046" s="34"/>
      <c r="CD3046" s="34"/>
    </row>
    <row r="3047" spans="70:82" x14ac:dyDescent="0.15">
      <c r="BR3047" s="34"/>
      <c r="BV3047" s="34"/>
      <c r="BZ3047" s="34"/>
      <c r="CD3047" s="34"/>
    </row>
    <row r="3048" spans="70:82" x14ac:dyDescent="0.15">
      <c r="BR3048" s="34"/>
      <c r="BV3048" s="34"/>
      <c r="BZ3048" s="34"/>
      <c r="CD3048" s="34"/>
    </row>
    <row r="3049" spans="70:82" x14ac:dyDescent="0.15">
      <c r="BR3049" s="34"/>
      <c r="BV3049" s="34"/>
      <c r="BZ3049" s="34"/>
      <c r="CD3049" s="34"/>
    </row>
    <row r="3050" spans="70:82" x14ac:dyDescent="0.15">
      <c r="BR3050" s="34"/>
      <c r="BV3050" s="34"/>
      <c r="BZ3050" s="34"/>
      <c r="CD3050" s="34"/>
    </row>
    <row r="3051" spans="70:82" x14ac:dyDescent="0.15">
      <c r="BR3051" s="34"/>
      <c r="BV3051" s="34"/>
      <c r="BZ3051" s="34"/>
      <c r="CD3051" s="34"/>
    </row>
    <row r="3052" spans="70:82" x14ac:dyDescent="0.15">
      <c r="BR3052" s="34"/>
      <c r="BV3052" s="34"/>
      <c r="BZ3052" s="34"/>
      <c r="CD3052" s="34"/>
    </row>
    <row r="3053" spans="70:82" x14ac:dyDescent="0.15">
      <c r="BR3053" s="34"/>
      <c r="BV3053" s="34"/>
      <c r="BZ3053" s="34"/>
      <c r="CD3053" s="34"/>
    </row>
    <row r="3054" spans="70:82" x14ac:dyDescent="0.15">
      <c r="BR3054" s="34"/>
      <c r="BV3054" s="34"/>
      <c r="BZ3054" s="34"/>
      <c r="CD3054" s="34"/>
    </row>
    <row r="3055" spans="70:82" x14ac:dyDescent="0.15">
      <c r="BR3055" s="34"/>
      <c r="BV3055" s="34"/>
      <c r="BZ3055" s="34"/>
      <c r="CD3055" s="34"/>
    </row>
    <row r="3056" spans="70:82" x14ac:dyDescent="0.15">
      <c r="BR3056" s="34"/>
      <c r="BV3056" s="34"/>
      <c r="BZ3056" s="34"/>
      <c r="CD3056" s="34"/>
    </row>
    <row r="3057" spans="70:82" x14ac:dyDescent="0.15">
      <c r="BR3057" s="34"/>
      <c r="BV3057" s="34"/>
      <c r="BZ3057" s="34"/>
      <c r="CD3057" s="34"/>
    </row>
    <row r="3058" spans="70:82" x14ac:dyDescent="0.15">
      <c r="BR3058" s="34"/>
      <c r="BV3058" s="34"/>
      <c r="BZ3058" s="34"/>
      <c r="CD3058" s="34"/>
    </row>
    <row r="3059" spans="70:82" x14ac:dyDescent="0.15">
      <c r="BR3059" s="34"/>
      <c r="BV3059" s="34"/>
      <c r="BZ3059" s="34"/>
      <c r="CD3059" s="34"/>
    </row>
    <row r="3060" spans="70:82" x14ac:dyDescent="0.15">
      <c r="BR3060" s="34"/>
      <c r="BV3060" s="34"/>
      <c r="BZ3060" s="34"/>
      <c r="CD3060" s="34"/>
    </row>
    <row r="3061" spans="70:82" x14ac:dyDescent="0.15">
      <c r="BR3061" s="34"/>
      <c r="BV3061" s="34"/>
      <c r="BZ3061" s="34"/>
      <c r="CD3061" s="34"/>
    </row>
    <row r="3062" spans="70:82" x14ac:dyDescent="0.15">
      <c r="BR3062" s="34"/>
      <c r="BV3062" s="34"/>
      <c r="BZ3062" s="34"/>
      <c r="CD3062" s="34"/>
    </row>
    <row r="3063" spans="70:82" x14ac:dyDescent="0.15">
      <c r="BR3063" s="34"/>
      <c r="BV3063" s="34"/>
      <c r="BZ3063" s="34"/>
      <c r="CD3063" s="34"/>
    </row>
    <row r="3064" spans="70:82" x14ac:dyDescent="0.15">
      <c r="BR3064" s="34"/>
      <c r="BV3064" s="34"/>
      <c r="BZ3064" s="34"/>
      <c r="CD3064" s="34"/>
    </row>
    <row r="3065" spans="70:82" x14ac:dyDescent="0.15">
      <c r="BR3065" s="34"/>
      <c r="BV3065" s="34"/>
      <c r="BZ3065" s="34"/>
      <c r="CD3065" s="34"/>
    </row>
    <row r="3066" spans="70:82" x14ac:dyDescent="0.15">
      <c r="BR3066" s="34"/>
      <c r="BV3066" s="34"/>
      <c r="BZ3066" s="34"/>
      <c r="CD3066" s="34"/>
    </row>
    <row r="3067" spans="70:82" x14ac:dyDescent="0.15">
      <c r="BR3067" s="34"/>
      <c r="BV3067" s="34"/>
      <c r="BZ3067" s="34"/>
      <c r="CD3067" s="34"/>
    </row>
    <row r="3068" spans="70:82" x14ac:dyDescent="0.15">
      <c r="BR3068" s="34"/>
      <c r="BV3068" s="34"/>
      <c r="BZ3068" s="34"/>
      <c r="CD3068" s="34"/>
    </row>
    <row r="3069" spans="70:82" x14ac:dyDescent="0.15">
      <c r="BR3069" s="34"/>
      <c r="BV3069" s="34"/>
      <c r="BZ3069" s="34"/>
      <c r="CD3069" s="34"/>
    </row>
    <row r="3070" spans="70:82" x14ac:dyDescent="0.15">
      <c r="BR3070" s="34"/>
      <c r="BV3070" s="34"/>
      <c r="BZ3070" s="34"/>
      <c r="CD3070" s="34"/>
    </row>
    <row r="3071" spans="70:82" x14ac:dyDescent="0.15">
      <c r="BR3071" s="34"/>
      <c r="BV3071" s="34"/>
      <c r="BZ3071" s="34"/>
      <c r="CD3071" s="34"/>
    </row>
    <row r="3072" spans="70:82" x14ac:dyDescent="0.15">
      <c r="BR3072" s="34"/>
      <c r="BV3072" s="34"/>
      <c r="BZ3072" s="34"/>
      <c r="CD3072" s="34"/>
    </row>
    <row r="3073" spans="70:82" x14ac:dyDescent="0.15">
      <c r="BR3073" s="34"/>
      <c r="BV3073" s="34"/>
      <c r="BZ3073" s="34"/>
      <c r="CD3073" s="34"/>
    </row>
    <row r="3074" spans="70:82" x14ac:dyDescent="0.15">
      <c r="BR3074" s="34"/>
      <c r="BV3074" s="34"/>
      <c r="BZ3074" s="34"/>
      <c r="CD3074" s="34"/>
    </row>
    <row r="3075" spans="70:82" x14ac:dyDescent="0.15">
      <c r="BR3075" s="34"/>
      <c r="BV3075" s="34"/>
      <c r="BZ3075" s="34"/>
      <c r="CD3075" s="34"/>
    </row>
    <row r="3076" spans="70:82" x14ac:dyDescent="0.15">
      <c r="BR3076" s="34"/>
      <c r="BV3076" s="34"/>
      <c r="BZ3076" s="34"/>
      <c r="CD3076" s="34"/>
    </row>
    <row r="3077" spans="70:82" x14ac:dyDescent="0.15">
      <c r="BR3077" s="34"/>
      <c r="BV3077" s="34"/>
      <c r="BZ3077" s="34"/>
      <c r="CD3077" s="34"/>
    </row>
    <row r="3078" spans="70:82" x14ac:dyDescent="0.15">
      <c r="BR3078" s="34"/>
      <c r="BV3078" s="34"/>
      <c r="BZ3078" s="34"/>
      <c r="CD3078" s="34"/>
    </row>
    <row r="3079" spans="70:82" x14ac:dyDescent="0.15">
      <c r="BR3079" s="34"/>
      <c r="BV3079" s="34"/>
      <c r="BZ3079" s="34"/>
      <c r="CD3079" s="34"/>
    </row>
    <row r="3080" spans="70:82" x14ac:dyDescent="0.15">
      <c r="BR3080" s="34"/>
      <c r="BV3080" s="34"/>
      <c r="BZ3080" s="34"/>
      <c r="CD3080" s="34"/>
    </row>
    <row r="3081" spans="70:82" x14ac:dyDescent="0.15">
      <c r="BR3081" s="34"/>
      <c r="BV3081" s="34"/>
      <c r="BZ3081" s="34"/>
      <c r="CD3081" s="34"/>
    </row>
    <row r="3082" spans="70:82" x14ac:dyDescent="0.15">
      <c r="BR3082" s="34"/>
      <c r="BV3082" s="34"/>
      <c r="BZ3082" s="34"/>
      <c r="CD3082" s="34"/>
    </row>
    <row r="3083" spans="70:82" x14ac:dyDescent="0.15">
      <c r="BR3083" s="34"/>
      <c r="BV3083" s="34"/>
      <c r="BZ3083" s="34"/>
      <c r="CD3083" s="34"/>
    </row>
    <row r="3084" spans="70:82" x14ac:dyDescent="0.15">
      <c r="BR3084" s="34"/>
      <c r="BV3084" s="34"/>
      <c r="BZ3084" s="34"/>
      <c r="CD3084" s="34"/>
    </row>
    <row r="3085" spans="70:82" x14ac:dyDescent="0.15">
      <c r="BR3085" s="34"/>
      <c r="BV3085" s="34"/>
      <c r="BZ3085" s="34"/>
      <c r="CD3085" s="34"/>
    </row>
    <row r="3086" spans="70:82" x14ac:dyDescent="0.15">
      <c r="BR3086" s="34"/>
      <c r="BV3086" s="34"/>
      <c r="BZ3086" s="34"/>
      <c r="CD3086" s="34"/>
    </row>
    <row r="3087" spans="70:82" x14ac:dyDescent="0.15">
      <c r="BR3087" s="34"/>
      <c r="BV3087" s="34"/>
      <c r="BZ3087" s="34"/>
      <c r="CD3087" s="34"/>
    </row>
    <row r="3088" spans="70:82" x14ac:dyDescent="0.15">
      <c r="BR3088" s="34"/>
      <c r="BV3088" s="34"/>
      <c r="BZ3088" s="34"/>
      <c r="CD3088" s="34"/>
    </row>
    <row r="3089" spans="70:82" x14ac:dyDescent="0.15">
      <c r="BR3089" s="34"/>
      <c r="BV3089" s="34"/>
      <c r="BZ3089" s="34"/>
      <c r="CD3089" s="34"/>
    </row>
    <row r="3090" spans="70:82" x14ac:dyDescent="0.15">
      <c r="BR3090" s="34"/>
      <c r="BV3090" s="34"/>
      <c r="BZ3090" s="34"/>
      <c r="CD3090" s="34"/>
    </row>
    <row r="3091" spans="70:82" x14ac:dyDescent="0.15">
      <c r="BR3091" s="34"/>
      <c r="BV3091" s="34"/>
      <c r="BZ3091" s="34"/>
      <c r="CD3091" s="34"/>
    </row>
    <row r="3092" spans="70:82" x14ac:dyDescent="0.15">
      <c r="BR3092" s="34"/>
      <c r="BV3092" s="34"/>
      <c r="BZ3092" s="34"/>
      <c r="CD3092" s="34"/>
    </row>
    <row r="3093" spans="70:82" x14ac:dyDescent="0.15">
      <c r="BR3093" s="34"/>
      <c r="BV3093" s="34"/>
      <c r="BZ3093" s="34"/>
      <c r="CD3093" s="34"/>
    </row>
    <row r="3094" spans="70:82" x14ac:dyDescent="0.15">
      <c r="BR3094" s="34"/>
      <c r="BV3094" s="34"/>
      <c r="BZ3094" s="34"/>
      <c r="CD3094" s="34"/>
    </row>
    <row r="3095" spans="70:82" x14ac:dyDescent="0.15">
      <c r="BR3095" s="34"/>
      <c r="BV3095" s="34"/>
      <c r="BZ3095" s="34"/>
      <c r="CD3095" s="34"/>
    </row>
    <row r="3096" spans="70:82" x14ac:dyDescent="0.15">
      <c r="BR3096" s="34"/>
      <c r="BV3096" s="34"/>
      <c r="BZ3096" s="34"/>
      <c r="CD3096" s="34"/>
    </row>
    <row r="3097" spans="70:82" x14ac:dyDescent="0.15">
      <c r="BR3097" s="34"/>
      <c r="BV3097" s="34"/>
      <c r="BZ3097" s="34"/>
      <c r="CD3097" s="34"/>
    </row>
    <row r="3098" spans="70:82" x14ac:dyDescent="0.15">
      <c r="BR3098" s="34"/>
      <c r="BV3098" s="34"/>
      <c r="BZ3098" s="34"/>
      <c r="CD3098" s="34"/>
    </row>
    <row r="3099" spans="70:82" x14ac:dyDescent="0.15">
      <c r="BR3099" s="34"/>
      <c r="BV3099" s="34"/>
      <c r="BZ3099" s="34"/>
      <c r="CD3099" s="34"/>
    </row>
    <row r="3100" spans="70:82" x14ac:dyDescent="0.15">
      <c r="BR3100" s="34"/>
      <c r="BV3100" s="34"/>
      <c r="BZ3100" s="34"/>
      <c r="CD3100" s="34"/>
    </row>
    <row r="3101" spans="70:82" x14ac:dyDescent="0.15">
      <c r="BR3101" s="34"/>
      <c r="BV3101" s="34"/>
      <c r="BZ3101" s="34"/>
      <c r="CD3101" s="34"/>
    </row>
    <row r="3102" spans="70:82" x14ac:dyDescent="0.15">
      <c r="BR3102" s="34"/>
      <c r="BV3102" s="34"/>
      <c r="BZ3102" s="34"/>
      <c r="CD3102" s="34"/>
    </row>
    <row r="3103" spans="70:82" x14ac:dyDescent="0.15">
      <c r="BR3103" s="34"/>
      <c r="BV3103" s="34"/>
      <c r="BZ3103" s="34"/>
      <c r="CD3103" s="34"/>
    </row>
    <row r="3104" spans="70:82" x14ac:dyDescent="0.15">
      <c r="BR3104" s="34"/>
      <c r="BV3104" s="34"/>
      <c r="BZ3104" s="34"/>
      <c r="CD3104" s="34"/>
    </row>
    <row r="3105" spans="70:82" x14ac:dyDescent="0.15">
      <c r="BR3105" s="34"/>
      <c r="BV3105" s="34"/>
      <c r="BZ3105" s="34"/>
      <c r="CD3105" s="34"/>
    </row>
    <row r="3106" spans="70:82" x14ac:dyDescent="0.15">
      <c r="BR3106" s="34"/>
      <c r="BV3106" s="34"/>
      <c r="BZ3106" s="34"/>
      <c r="CD3106" s="34"/>
    </row>
    <row r="3107" spans="70:82" x14ac:dyDescent="0.15">
      <c r="BR3107" s="34"/>
      <c r="BV3107" s="34"/>
      <c r="BZ3107" s="34"/>
      <c r="CD3107" s="34"/>
    </row>
    <row r="3108" spans="70:82" x14ac:dyDescent="0.15">
      <c r="BR3108" s="34"/>
      <c r="BV3108" s="34"/>
      <c r="BZ3108" s="34"/>
      <c r="CD3108" s="34"/>
    </row>
    <row r="3109" spans="70:82" x14ac:dyDescent="0.15">
      <c r="BR3109" s="34"/>
      <c r="BV3109" s="34"/>
      <c r="BZ3109" s="34"/>
      <c r="CD3109" s="34"/>
    </row>
    <row r="3110" spans="70:82" x14ac:dyDescent="0.15">
      <c r="BR3110" s="34"/>
      <c r="BV3110" s="34"/>
      <c r="BZ3110" s="34"/>
      <c r="CD3110" s="34"/>
    </row>
    <row r="3111" spans="70:82" x14ac:dyDescent="0.15">
      <c r="BR3111" s="34"/>
      <c r="BV3111" s="34"/>
      <c r="BZ3111" s="34"/>
      <c r="CD3111" s="34"/>
    </row>
    <row r="3112" spans="70:82" x14ac:dyDescent="0.15">
      <c r="BR3112" s="34"/>
      <c r="BV3112" s="34"/>
      <c r="BZ3112" s="34"/>
      <c r="CD3112" s="34"/>
    </row>
    <row r="3113" spans="70:82" x14ac:dyDescent="0.15">
      <c r="BR3113" s="34"/>
      <c r="BV3113" s="34"/>
      <c r="BZ3113" s="34"/>
      <c r="CD3113" s="34"/>
    </row>
    <row r="3114" spans="70:82" x14ac:dyDescent="0.15">
      <c r="BR3114" s="34"/>
      <c r="BV3114" s="34"/>
      <c r="BZ3114" s="34"/>
      <c r="CD3114" s="34"/>
    </row>
    <row r="3115" spans="70:82" x14ac:dyDescent="0.15">
      <c r="BR3115" s="34"/>
      <c r="BV3115" s="34"/>
      <c r="BZ3115" s="34"/>
      <c r="CD3115" s="34"/>
    </row>
    <row r="3116" spans="70:82" x14ac:dyDescent="0.15">
      <c r="BR3116" s="34"/>
      <c r="BV3116" s="34"/>
      <c r="BZ3116" s="34"/>
      <c r="CD3116" s="34"/>
    </row>
    <row r="3117" spans="70:82" x14ac:dyDescent="0.15">
      <c r="BR3117" s="34"/>
      <c r="BV3117" s="34"/>
      <c r="BZ3117" s="34"/>
      <c r="CD3117" s="34"/>
    </row>
    <row r="3118" spans="70:82" x14ac:dyDescent="0.15">
      <c r="BR3118" s="34"/>
      <c r="BV3118" s="34"/>
      <c r="BZ3118" s="34"/>
      <c r="CD3118" s="34"/>
    </row>
    <row r="3119" spans="70:82" x14ac:dyDescent="0.15">
      <c r="BR3119" s="34"/>
      <c r="BV3119" s="34"/>
      <c r="BZ3119" s="34"/>
      <c r="CD3119" s="34"/>
    </row>
    <row r="3120" spans="70:82" x14ac:dyDescent="0.15">
      <c r="BR3120" s="34"/>
      <c r="BV3120" s="34"/>
      <c r="BZ3120" s="34"/>
      <c r="CD3120" s="34"/>
    </row>
    <row r="3121" spans="70:82" x14ac:dyDescent="0.15">
      <c r="BR3121" s="34"/>
      <c r="BV3121" s="34"/>
      <c r="BZ3121" s="34"/>
      <c r="CD3121" s="34"/>
    </row>
    <row r="3122" spans="70:82" x14ac:dyDescent="0.15">
      <c r="BR3122" s="34"/>
      <c r="BV3122" s="34"/>
      <c r="BZ3122" s="34"/>
      <c r="CD3122" s="34"/>
    </row>
    <row r="3123" spans="70:82" x14ac:dyDescent="0.15">
      <c r="BR3123" s="34"/>
      <c r="BV3123" s="34"/>
      <c r="BZ3123" s="34"/>
      <c r="CD3123" s="34"/>
    </row>
    <row r="3124" spans="70:82" x14ac:dyDescent="0.15">
      <c r="BR3124" s="34"/>
      <c r="BV3124" s="34"/>
      <c r="BZ3124" s="34"/>
      <c r="CD3124" s="34"/>
    </row>
    <row r="3125" spans="70:82" x14ac:dyDescent="0.15">
      <c r="BR3125" s="34"/>
      <c r="BV3125" s="34"/>
      <c r="BZ3125" s="34"/>
      <c r="CD3125" s="34"/>
    </row>
    <row r="3126" spans="70:82" x14ac:dyDescent="0.15">
      <c r="BR3126" s="34"/>
      <c r="BV3126" s="34"/>
      <c r="BZ3126" s="34"/>
      <c r="CD3126" s="34"/>
    </row>
    <row r="3127" spans="70:82" x14ac:dyDescent="0.15">
      <c r="BR3127" s="34"/>
      <c r="BV3127" s="34"/>
      <c r="BZ3127" s="34"/>
      <c r="CD3127" s="34"/>
    </row>
    <row r="3128" spans="70:82" x14ac:dyDescent="0.15">
      <c r="BR3128" s="34"/>
      <c r="BV3128" s="34"/>
      <c r="BZ3128" s="34"/>
      <c r="CD3128" s="34"/>
    </row>
    <row r="3129" spans="70:82" x14ac:dyDescent="0.15">
      <c r="BR3129" s="34"/>
      <c r="BV3129" s="34"/>
      <c r="BZ3129" s="34"/>
      <c r="CD3129" s="34"/>
    </row>
    <row r="3130" spans="70:82" x14ac:dyDescent="0.15">
      <c r="BR3130" s="34"/>
      <c r="BV3130" s="34"/>
      <c r="BZ3130" s="34"/>
      <c r="CD3130" s="34"/>
    </row>
    <row r="3131" spans="70:82" x14ac:dyDescent="0.15">
      <c r="BR3131" s="34"/>
      <c r="BV3131" s="34"/>
      <c r="BZ3131" s="34"/>
      <c r="CD3131" s="34"/>
    </row>
    <row r="3132" spans="70:82" x14ac:dyDescent="0.15">
      <c r="BR3132" s="34"/>
      <c r="BV3132" s="34"/>
      <c r="BZ3132" s="34"/>
      <c r="CD3132" s="34"/>
    </row>
    <row r="3133" spans="70:82" x14ac:dyDescent="0.15">
      <c r="BR3133" s="34"/>
      <c r="BV3133" s="34"/>
      <c r="BZ3133" s="34"/>
      <c r="CD3133" s="34"/>
    </row>
    <row r="3134" spans="70:82" x14ac:dyDescent="0.15">
      <c r="BR3134" s="34"/>
      <c r="BV3134" s="34"/>
      <c r="BZ3134" s="34"/>
      <c r="CD3134" s="34"/>
    </row>
    <row r="3135" spans="70:82" x14ac:dyDescent="0.15">
      <c r="BR3135" s="34"/>
      <c r="BV3135" s="34"/>
      <c r="BZ3135" s="34"/>
      <c r="CD3135" s="34"/>
    </row>
    <row r="3136" spans="70:82" x14ac:dyDescent="0.15">
      <c r="BR3136" s="34"/>
      <c r="BV3136" s="34"/>
      <c r="BZ3136" s="34"/>
      <c r="CD3136" s="34"/>
    </row>
    <row r="3137" spans="70:82" x14ac:dyDescent="0.15">
      <c r="BR3137" s="34"/>
      <c r="BV3137" s="34"/>
      <c r="BZ3137" s="34"/>
      <c r="CD3137" s="34"/>
    </row>
    <row r="3138" spans="70:82" x14ac:dyDescent="0.15">
      <c r="BR3138" s="34"/>
      <c r="BV3138" s="34"/>
      <c r="BZ3138" s="34"/>
      <c r="CD3138" s="34"/>
    </row>
    <row r="3139" spans="70:82" x14ac:dyDescent="0.15">
      <c r="BR3139" s="34"/>
      <c r="BV3139" s="34"/>
      <c r="BZ3139" s="34"/>
      <c r="CD3139" s="34"/>
    </row>
    <row r="3140" spans="70:82" x14ac:dyDescent="0.15">
      <c r="BR3140" s="34"/>
      <c r="BV3140" s="34"/>
      <c r="BZ3140" s="34"/>
      <c r="CD3140" s="34"/>
    </row>
    <row r="3141" spans="70:82" x14ac:dyDescent="0.15">
      <c r="BR3141" s="34"/>
      <c r="BV3141" s="34"/>
      <c r="BZ3141" s="34"/>
      <c r="CD3141" s="34"/>
    </row>
    <row r="3142" spans="70:82" x14ac:dyDescent="0.15">
      <c r="BR3142" s="34"/>
      <c r="BV3142" s="34"/>
      <c r="BZ3142" s="34"/>
      <c r="CD3142" s="34"/>
    </row>
    <row r="3143" spans="70:82" x14ac:dyDescent="0.15">
      <c r="BR3143" s="34"/>
      <c r="BV3143" s="34"/>
      <c r="BZ3143" s="34"/>
      <c r="CD3143" s="34"/>
    </row>
    <row r="3144" spans="70:82" x14ac:dyDescent="0.15">
      <c r="BR3144" s="34"/>
      <c r="BV3144" s="34"/>
      <c r="BZ3144" s="34"/>
      <c r="CD3144" s="34"/>
    </row>
    <row r="3145" spans="70:82" x14ac:dyDescent="0.15">
      <c r="BR3145" s="34"/>
      <c r="BV3145" s="34"/>
      <c r="BZ3145" s="34"/>
      <c r="CD3145" s="34"/>
    </row>
    <row r="3146" spans="70:82" x14ac:dyDescent="0.15">
      <c r="BR3146" s="34"/>
      <c r="BV3146" s="34"/>
      <c r="BZ3146" s="34"/>
      <c r="CD3146" s="34"/>
    </row>
    <row r="3147" spans="70:82" x14ac:dyDescent="0.15">
      <c r="BR3147" s="34"/>
      <c r="BV3147" s="34"/>
      <c r="BZ3147" s="34"/>
      <c r="CD3147" s="34"/>
    </row>
    <row r="3148" spans="70:82" x14ac:dyDescent="0.15">
      <c r="BR3148" s="34"/>
      <c r="BV3148" s="34"/>
      <c r="BZ3148" s="34"/>
      <c r="CD3148" s="34"/>
    </row>
    <row r="3149" spans="70:82" x14ac:dyDescent="0.15">
      <c r="BR3149" s="34"/>
      <c r="BV3149" s="34"/>
      <c r="BZ3149" s="34"/>
      <c r="CD3149" s="34"/>
    </row>
    <row r="3150" spans="70:82" x14ac:dyDescent="0.15">
      <c r="BR3150" s="34"/>
      <c r="BV3150" s="34"/>
      <c r="BZ3150" s="34"/>
      <c r="CD3150" s="34"/>
    </row>
    <row r="3151" spans="70:82" x14ac:dyDescent="0.15">
      <c r="BR3151" s="34"/>
      <c r="BV3151" s="34"/>
      <c r="BZ3151" s="34"/>
      <c r="CD3151" s="34"/>
    </row>
    <row r="3152" spans="70:82" x14ac:dyDescent="0.15">
      <c r="BR3152" s="34"/>
      <c r="BV3152" s="34"/>
      <c r="BZ3152" s="34"/>
      <c r="CD3152" s="34"/>
    </row>
    <row r="3153" spans="70:82" x14ac:dyDescent="0.15">
      <c r="BR3153" s="34"/>
      <c r="BV3153" s="34"/>
      <c r="BZ3153" s="34"/>
      <c r="CD3153" s="34"/>
    </row>
    <row r="3154" spans="70:82" x14ac:dyDescent="0.15">
      <c r="BR3154" s="34"/>
      <c r="BV3154" s="34"/>
      <c r="BZ3154" s="34"/>
      <c r="CD3154" s="34"/>
    </row>
    <row r="3155" spans="70:82" x14ac:dyDescent="0.15">
      <c r="BR3155" s="34"/>
      <c r="BV3155" s="34"/>
      <c r="BZ3155" s="34"/>
      <c r="CD3155" s="34"/>
    </row>
    <row r="3156" spans="70:82" x14ac:dyDescent="0.15">
      <c r="BR3156" s="34"/>
      <c r="BV3156" s="34"/>
      <c r="BZ3156" s="34"/>
      <c r="CD3156" s="34"/>
    </row>
    <row r="3157" spans="70:82" x14ac:dyDescent="0.15">
      <c r="BR3157" s="34"/>
      <c r="BV3157" s="34"/>
      <c r="BZ3157" s="34"/>
      <c r="CD3157" s="34"/>
    </row>
    <row r="3158" spans="70:82" x14ac:dyDescent="0.15">
      <c r="BR3158" s="34"/>
      <c r="BV3158" s="34"/>
      <c r="BZ3158" s="34"/>
      <c r="CD3158" s="34"/>
    </row>
    <row r="3159" spans="70:82" x14ac:dyDescent="0.15">
      <c r="BR3159" s="34"/>
      <c r="BV3159" s="34"/>
      <c r="BZ3159" s="34"/>
      <c r="CD3159" s="34"/>
    </row>
    <row r="3160" spans="70:82" x14ac:dyDescent="0.15">
      <c r="BR3160" s="34"/>
      <c r="BV3160" s="34"/>
      <c r="BZ3160" s="34"/>
      <c r="CD3160" s="34"/>
    </row>
    <row r="3161" spans="70:82" x14ac:dyDescent="0.15">
      <c r="BR3161" s="34"/>
      <c r="BV3161" s="34"/>
      <c r="BZ3161" s="34"/>
      <c r="CD3161" s="34"/>
    </row>
    <row r="3162" spans="70:82" x14ac:dyDescent="0.15">
      <c r="BR3162" s="34"/>
      <c r="BV3162" s="34"/>
      <c r="BZ3162" s="34"/>
      <c r="CD3162" s="34"/>
    </row>
    <row r="3163" spans="70:82" x14ac:dyDescent="0.15">
      <c r="BR3163" s="34"/>
      <c r="BV3163" s="34"/>
      <c r="BZ3163" s="34"/>
      <c r="CD3163" s="34"/>
    </row>
    <row r="3164" spans="70:82" x14ac:dyDescent="0.15">
      <c r="BR3164" s="34"/>
      <c r="BV3164" s="34"/>
      <c r="BZ3164" s="34"/>
      <c r="CD3164" s="34"/>
    </row>
    <row r="3165" spans="70:82" x14ac:dyDescent="0.15">
      <c r="BR3165" s="34"/>
      <c r="BV3165" s="34"/>
      <c r="BZ3165" s="34"/>
      <c r="CD3165" s="34"/>
    </row>
    <row r="3166" spans="70:82" x14ac:dyDescent="0.15">
      <c r="BR3166" s="34"/>
      <c r="BV3166" s="34"/>
      <c r="BZ3166" s="34"/>
      <c r="CD3166" s="34"/>
    </row>
    <row r="3167" spans="70:82" x14ac:dyDescent="0.15">
      <c r="BR3167" s="34"/>
      <c r="BV3167" s="34"/>
      <c r="BZ3167" s="34"/>
      <c r="CD3167" s="34"/>
    </row>
    <row r="3168" spans="70:82" x14ac:dyDescent="0.15">
      <c r="BR3168" s="34"/>
      <c r="BV3168" s="34"/>
      <c r="BZ3168" s="34"/>
      <c r="CD3168" s="34"/>
    </row>
    <row r="3169" spans="70:82" x14ac:dyDescent="0.15">
      <c r="BR3169" s="34"/>
      <c r="BV3169" s="34"/>
      <c r="BZ3169" s="34"/>
      <c r="CD3169" s="34"/>
    </row>
    <row r="3170" spans="70:82" x14ac:dyDescent="0.15">
      <c r="BR3170" s="34"/>
      <c r="BV3170" s="34"/>
      <c r="BZ3170" s="34"/>
      <c r="CD3170" s="34"/>
    </row>
    <row r="3171" spans="70:82" x14ac:dyDescent="0.15">
      <c r="BR3171" s="34"/>
      <c r="BV3171" s="34"/>
      <c r="BZ3171" s="34"/>
      <c r="CD3171" s="34"/>
    </row>
    <row r="3172" spans="70:82" x14ac:dyDescent="0.15">
      <c r="BR3172" s="34"/>
      <c r="BV3172" s="34"/>
      <c r="BZ3172" s="34"/>
      <c r="CD3172" s="34"/>
    </row>
    <row r="3173" spans="70:82" x14ac:dyDescent="0.15">
      <c r="BR3173" s="34"/>
      <c r="BV3173" s="34"/>
      <c r="BZ3173" s="34"/>
      <c r="CD3173" s="34"/>
    </row>
    <row r="3174" spans="70:82" x14ac:dyDescent="0.15">
      <c r="BR3174" s="34"/>
      <c r="BV3174" s="34"/>
      <c r="BZ3174" s="34"/>
      <c r="CD3174" s="34"/>
    </row>
    <row r="3175" spans="70:82" x14ac:dyDescent="0.15">
      <c r="BR3175" s="34"/>
      <c r="BV3175" s="34"/>
      <c r="BZ3175" s="34"/>
      <c r="CD3175" s="34"/>
    </row>
    <row r="3176" spans="70:82" x14ac:dyDescent="0.15">
      <c r="BR3176" s="34"/>
      <c r="BV3176" s="34"/>
      <c r="BZ3176" s="34"/>
      <c r="CD3176" s="34"/>
    </row>
    <row r="3177" spans="70:82" x14ac:dyDescent="0.15">
      <c r="BR3177" s="34"/>
      <c r="BV3177" s="34"/>
      <c r="BZ3177" s="34"/>
      <c r="CD3177" s="34"/>
    </row>
    <row r="3178" spans="70:82" x14ac:dyDescent="0.15">
      <c r="BR3178" s="34"/>
      <c r="BV3178" s="34"/>
      <c r="BZ3178" s="34"/>
      <c r="CD3178" s="34"/>
    </row>
    <row r="3179" spans="70:82" x14ac:dyDescent="0.15">
      <c r="BR3179" s="34"/>
      <c r="BV3179" s="34"/>
      <c r="BZ3179" s="34"/>
      <c r="CD3179" s="34"/>
    </row>
    <row r="3180" spans="70:82" x14ac:dyDescent="0.15">
      <c r="BR3180" s="34"/>
      <c r="BV3180" s="34"/>
      <c r="BZ3180" s="34"/>
      <c r="CD3180" s="34"/>
    </row>
    <row r="3181" spans="70:82" x14ac:dyDescent="0.15">
      <c r="BR3181" s="34"/>
      <c r="BV3181" s="34"/>
      <c r="BZ3181" s="34"/>
      <c r="CD3181" s="34"/>
    </row>
    <row r="3182" spans="70:82" x14ac:dyDescent="0.15">
      <c r="BR3182" s="34"/>
      <c r="BV3182" s="34"/>
      <c r="BZ3182" s="34"/>
      <c r="CD3182" s="34"/>
    </row>
    <row r="3183" spans="70:82" x14ac:dyDescent="0.15">
      <c r="BR3183" s="34"/>
      <c r="BV3183" s="34"/>
      <c r="BZ3183" s="34"/>
      <c r="CD3183" s="34"/>
    </row>
    <row r="3184" spans="70:82" x14ac:dyDescent="0.15">
      <c r="BR3184" s="34"/>
      <c r="BV3184" s="34"/>
      <c r="BZ3184" s="34"/>
      <c r="CD3184" s="34"/>
    </row>
    <row r="3185" spans="70:82" x14ac:dyDescent="0.15">
      <c r="BR3185" s="34"/>
      <c r="BV3185" s="34"/>
      <c r="BZ3185" s="34"/>
      <c r="CD3185" s="34"/>
    </row>
    <row r="3186" spans="70:82" x14ac:dyDescent="0.15">
      <c r="BR3186" s="34"/>
      <c r="BV3186" s="34"/>
      <c r="BZ3186" s="34"/>
      <c r="CD3186" s="34"/>
    </row>
    <row r="3187" spans="70:82" x14ac:dyDescent="0.15">
      <c r="BR3187" s="34"/>
      <c r="BV3187" s="34"/>
      <c r="BZ3187" s="34"/>
      <c r="CD3187" s="34"/>
    </row>
    <row r="3188" spans="70:82" x14ac:dyDescent="0.15">
      <c r="BR3188" s="34"/>
      <c r="BV3188" s="34"/>
      <c r="BZ3188" s="34"/>
      <c r="CD3188" s="34"/>
    </row>
    <row r="3189" spans="70:82" x14ac:dyDescent="0.15">
      <c r="BR3189" s="34"/>
      <c r="BV3189" s="34"/>
      <c r="BZ3189" s="34"/>
      <c r="CD3189" s="34"/>
    </row>
    <row r="3190" spans="70:82" x14ac:dyDescent="0.15">
      <c r="BR3190" s="34"/>
      <c r="BV3190" s="34"/>
      <c r="BZ3190" s="34"/>
      <c r="CD3190" s="34"/>
    </row>
    <row r="3191" spans="70:82" x14ac:dyDescent="0.15">
      <c r="BR3191" s="34"/>
      <c r="BV3191" s="34"/>
      <c r="BZ3191" s="34"/>
      <c r="CD3191" s="34"/>
    </row>
    <row r="3192" spans="70:82" x14ac:dyDescent="0.15">
      <c r="BR3192" s="34"/>
      <c r="BV3192" s="34"/>
      <c r="BZ3192" s="34"/>
      <c r="CD3192" s="34"/>
    </row>
    <row r="3193" spans="70:82" x14ac:dyDescent="0.15">
      <c r="BR3193" s="34"/>
      <c r="BV3193" s="34"/>
      <c r="BZ3193" s="34"/>
      <c r="CD3193" s="34"/>
    </row>
    <row r="3194" spans="70:82" x14ac:dyDescent="0.15">
      <c r="BR3194" s="34"/>
      <c r="BV3194" s="34"/>
      <c r="BZ3194" s="34"/>
      <c r="CD3194" s="34"/>
    </row>
    <row r="3195" spans="70:82" x14ac:dyDescent="0.15">
      <c r="BR3195" s="34"/>
      <c r="BV3195" s="34"/>
      <c r="BZ3195" s="34"/>
      <c r="CD3195" s="34"/>
    </row>
    <row r="3196" spans="70:82" x14ac:dyDescent="0.15">
      <c r="BR3196" s="34"/>
      <c r="BV3196" s="34"/>
      <c r="BZ3196" s="34"/>
      <c r="CD3196" s="34"/>
    </row>
    <row r="3197" spans="70:82" x14ac:dyDescent="0.15">
      <c r="BR3197" s="34"/>
      <c r="BV3197" s="34"/>
      <c r="BZ3197" s="34"/>
      <c r="CD3197" s="34"/>
    </row>
    <row r="3198" spans="70:82" x14ac:dyDescent="0.15">
      <c r="BR3198" s="34"/>
      <c r="BV3198" s="34"/>
      <c r="BZ3198" s="34"/>
      <c r="CD3198" s="34"/>
    </row>
    <row r="3199" spans="70:82" x14ac:dyDescent="0.15">
      <c r="BR3199" s="34"/>
      <c r="BV3199" s="34"/>
      <c r="BZ3199" s="34"/>
      <c r="CD3199" s="34"/>
    </row>
    <row r="3200" spans="70:82" x14ac:dyDescent="0.15">
      <c r="BR3200" s="34"/>
      <c r="BV3200" s="34"/>
      <c r="BZ3200" s="34"/>
      <c r="CD3200" s="34"/>
    </row>
    <row r="3201" spans="70:82" x14ac:dyDescent="0.15">
      <c r="BR3201" s="34"/>
      <c r="BV3201" s="34"/>
      <c r="BZ3201" s="34"/>
      <c r="CD3201" s="34"/>
    </row>
    <row r="3202" spans="70:82" x14ac:dyDescent="0.15">
      <c r="BR3202" s="34"/>
      <c r="BV3202" s="34"/>
      <c r="BZ3202" s="34"/>
      <c r="CD3202" s="34"/>
    </row>
    <row r="3203" spans="70:82" x14ac:dyDescent="0.15">
      <c r="BR3203" s="34"/>
      <c r="BV3203" s="34"/>
      <c r="BZ3203" s="34"/>
      <c r="CD3203" s="34"/>
    </row>
    <row r="3204" spans="70:82" x14ac:dyDescent="0.15">
      <c r="BR3204" s="34"/>
      <c r="BV3204" s="34"/>
      <c r="BZ3204" s="34"/>
      <c r="CD3204" s="34"/>
    </row>
    <row r="3205" spans="70:82" x14ac:dyDescent="0.15">
      <c r="BR3205" s="34"/>
      <c r="BV3205" s="34"/>
      <c r="BZ3205" s="34"/>
      <c r="CD3205" s="34"/>
    </row>
    <row r="3206" spans="70:82" x14ac:dyDescent="0.15">
      <c r="BR3206" s="34"/>
      <c r="BV3206" s="34"/>
      <c r="BZ3206" s="34"/>
      <c r="CD3206" s="34"/>
    </row>
    <row r="3207" spans="70:82" x14ac:dyDescent="0.15">
      <c r="BR3207" s="34"/>
      <c r="BV3207" s="34"/>
      <c r="BZ3207" s="34"/>
      <c r="CD3207" s="34"/>
    </row>
    <row r="3208" spans="70:82" x14ac:dyDescent="0.15">
      <c r="BR3208" s="34"/>
      <c r="BV3208" s="34"/>
      <c r="BZ3208" s="34"/>
      <c r="CD3208" s="34"/>
    </row>
    <row r="3209" spans="70:82" x14ac:dyDescent="0.15">
      <c r="BR3209" s="34"/>
      <c r="BV3209" s="34"/>
      <c r="BZ3209" s="34"/>
      <c r="CD3209" s="34"/>
    </row>
    <row r="3210" spans="70:82" x14ac:dyDescent="0.15">
      <c r="BR3210" s="34"/>
      <c r="BV3210" s="34"/>
      <c r="BZ3210" s="34"/>
      <c r="CD3210" s="34"/>
    </row>
    <row r="3211" spans="70:82" x14ac:dyDescent="0.15">
      <c r="BR3211" s="34"/>
      <c r="BV3211" s="34"/>
      <c r="BZ3211" s="34"/>
      <c r="CD3211" s="34"/>
    </row>
    <row r="3212" spans="70:82" x14ac:dyDescent="0.15">
      <c r="BR3212" s="34"/>
      <c r="BV3212" s="34"/>
      <c r="BZ3212" s="34"/>
      <c r="CD3212" s="34"/>
    </row>
    <row r="3213" spans="70:82" x14ac:dyDescent="0.15">
      <c r="BR3213" s="34"/>
      <c r="BV3213" s="34"/>
      <c r="BZ3213" s="34"/>
      <c r="CD3213" s="34"/>
    </row>
    <row r="3214" spans="70:82" x14ac:dyDescent="0.15">
      <c r="BR3214" s="34"/>
      <c r="BV3214" s="34"/>
      <c r="BZ3214" s="34"/>
      <c r="CD3214" s="34"/>
    </row>
    <row r="3215" spans="70:82" x14ac:dyDescent="0.15">
      <c r="BR3215" s="34"/>
      <c r="BV3215" s="34"/>
      <c r="BZ3215" s="34"/>
      <c r="CD3215" s="34"/>
    </row>
    <row r="3216" spans="70:82" x14ac:dyDescent="0.15">
      <c r="BR3216" s="34"/>
      <c r="BV3216" s="34"/>
      <c r="BZ3216" s="34"/>
      <c r="CD3216" s="34"/>
    </row>
    <row r="3217" spans="70:82" x14ac:dyDescent="0.15">
      <c r="BR3217" s="34"/>
      <c r="BV3217" s="34"/>
      <c r="BZ3217" s="34"/>
      <c r="CD3217" s="34"/>
    </row>
    <row r="3218" spans="70:82" x14ac:dyDescent="0.15">
      <c r="BR3218" s="34"/>
      <c r="BV3218" s="34"/>
      <c r="BZ3218" s="34"/>
      <c r="CD3218" s="34"/>
    </row>
    <row r="3219" spans="70:82" x14ac:dyDescent="0.15">
      <c r="BR3219" s="34"/>
      <c r="BV3219" s="34"/>
      <c r="BZ3219" s="34"/>
      <c r="CD3219" s="34"/>
    </row>
    <row r="3220" spans="70:82" x14ac:dyDescent="0.15">
      <c r="BR3220" s="34"/>
      <c r="BV3220" s="34"/>
      <c r="BZ3220" s="34"/>
      <c r="CD3220" s="34"/>
    </row>
    <row r="3221" spans="70:82" x14ac:dyDescent="0.15">
      <c r="BR3221" s="34"/>
      <c r="BV3221" s="34"/>
      <c r="BZ3221" s="34"/>
      <c r="CD3221" s="34"/>
    </row>
    <row r="3222" spans="70:82" x14ac:dyDescent="0.15">
      <c r="BR3222" s="34"/>
      <c r="BV3222" s="34"/>
      <c r="BZ3222" s="34"/>
      <c r="CD3222" s="34"/>
    </row>
    <row r="3223" spans="70:82" x14ac:dyDescent="0.15">
      <c r="BR3223" s="34"/>
      <c r="BV3223" s="34"/>
      <c r="BZ3223" s="34"/>
      <c r="CD3223" s="34"/>
    </row>
    <row r="3224" spans="70:82" x14ac:dyDescent="0.15">
      <c r="BR3224" s="34"/>
      <c r="BV3224" s="34"/>
      <c r="BZ3224" s="34"/>
      <c r="CD3224" s="34"/>
    </row>
    <row r="3225" spans="70:82" x14ac:dyDescent="0.15">
      <c r="BR3225" s="34"/>
      <c r="BV3225" s="34"/>
      <c r="BZ3225" s="34"/>
      <c r="CD3225" s="34"/>
    </row>
    <row r="3226" spans="70:82" x14ac:dyDescent="0.15">
      <c r="BR3226" s="34"/>
      <c r="BV3226" s="34"/>
      <c r="BZ3226" s="34"/>
      <c r="CD3226" s="34"/>
    </row>
    <row r="3227" spans="70:82" x14ac:dyDescent="0.15">
      <c r="BR3227" s="34"/>
      <c r="BV3227" s="34"/>
      <c r="BZ3227" s="34"/>
      <c r="CD3227" s="34"/>
    </row>
    <row r="3228" spans="70:82" x14ac:dyDescent="0.15">
      <c r="BR3228" s="34"/>
      <c r="BV3228" s="34"/>
      <c r="BZ3228" s="34"/>
      <c r="CD3228" s="34"/>
    </row>
    <row r="3229" spans="70:82" x14ac:dyDescent="0.15">
      <c r="BR3229" s="34"/>
      <c r="BV3229" s="34"/>
      <c r="BZ3229" s="34"/>
      <c r="CD3229" s="34"/>
    </row>
    <row r="3230" spans="70:82" x14ac:dyDescent="0.15">
      <c r="BR3230" s="34"/>
      <c r="BV3230" s="34"/>
      <c r="BZ3230" s="34"/>
      <c r="CD3230" s="34"/>
    </row>
    <row r="3231" spans="70:82" x14ac:dyDescent="0.15">
      <c r="BR3231" s="34"/>
      <c r="BV3231" s="34"/>
      <c r="BZ3231" s="34"/>
      <c r="CD3231" s="34"/>
    </row>
    <row r="3232" spans="70:82" x14ac:dyDescent="0.15">
      <c r="BR3232" s="34"/>
      <c r="BV3232" s="34"/>
      <c r="BZ3232" s="34"/>
      <c r="CD3232" s="34"/>
    </row>
    <row r="3233" spans="70:82" x14ac:dyDescent="0.15">
      <c r="BR3233" s="34"/>
      <c r="BV3233" s="34"/>
      <c r="BZ3233" s="34"/>
      <c r="CD3233" s="34"/>
    </row>
    <row r="3234" spans="70:82" x14ac:dyDescent="0.15">
      <c r="BR3234" s="34"/>
      <c r="BV3234" s="34"/>
      <c r="BZ3234" s="34"/>
      <c r="CD3234" s="34"/>
    </row>
    <row r="3235" spans="70:82" x14ac:dyDescent="0.15">
      <c r="BR3235" s="34"/>
      <c r="BV3235" s="34"/>
      <c r="BZ3235" s="34"/>
      <c r="CD3235" s="34"/>
    </row>
    <row r="3236" spans="70:82" x14ac:dyDescent="0.15">
      <c r="BR3236" s="34"/>
      <c r="BV3236" s="34"/>
      <c r="BZ3236" s="34"/>
      <c r="CD3236" s="34"/>
    </row>
    <row r="3237" spans="70:82" x14ac:dyDescent="0.15">
      <c r="BR3237" s="34"/>
      <c r="BV3237" s="34"/>
      <c r="BZ3237" s="34"/>
      <c r="CD3237" s="34"/>
    </row>
    <row r="3238" spans="70:82" x14ac:dyDescent="0.15">
      <c r="BR3238" s="34"/>
      <c r="BV3238" s="34"/>
      <c r="BZ3238" s="34"/>
      <c r="CD3238" s="34"/>
    </row>
    <row r="3239" spans="70:82" x14ac:dyDescent="0.15">
      <c r="BR3239" s="34"/>
      <c r="BV3239" s="34"/>
      <c r="BZ3239" s="34"/>
      <c r="CD3239" s="34"/>
    </row>
    <row r="3240" spans="70:82" x14ac:dyDescent="0.15">
      <c r="BR3240" s="34"/>
      <c r="BV3240" s="34"/>
      <c r="BZ3240" s="34"/>
      <c r="CD3240" s="34"/>
    </row>
    <row r="3241" spans="70:82" x14ac:dyDescent="0.15">
      <c r="BR3241" s="34"/>
      <c r="BV3241" s="34"/>
      <c r="BZ3241" s="34"/>
      <c r="CD3241" s="34"/>
    </row>
    <row r="3242" spans="70:82" x14ac:dyDescent="0.15">
      <c r="BR3242" s="34"/>
      <c r="BV3242" s="34"/>
      <c r="BZ3242" s="34"/>
      <c r="CD3242" s="34"/>
    </row>
    <row r="3243" spans="70:82" x14ac:dyDescent="0.15">
      <c r="BR3243" s="34"/>
      <c r="BV3243" s="34"/>
      <c r="BZ3243" s="34"/>
      <c r="CD3243" s="34"/>
    </row>
    <row r="3244" spans="70:82" x14ac:dyDescent="0.15">
      <c r="BR3244" s="34"/>
      <c r="BV3244" s="34"/>
      <c r="BZ3244" s="34"/>
      <c r="CD3244" s="34"/>
    </row>
    <row r="3245" spans="70:82" x14ac:dyDescent="0.15">
      <c r="BR3245" s="34"/>
      <c r="BV3245" s="34"/>
      <c r="BZ3245" s="34"/>
      <c r="CD3245" s="34"/>
    </row>
    <row r="3246" spans="70:82" x14ac:dyDescent="0.15">
      <c r="BR3246" s="34"/>
      <c r="BV3246" s="34"/>
      <c r="BZ3246" s="34"/>
      <c r="CD3246" s="34"/>
    </row>
    <row r="3247" spans="70:82" x14ac:dyDescent="0.15">
      <c r="BR3247" s="34"/>
      <c r="BV3247" s="34"/>
      <c r="BZ3247" s="34"/>
      <c r="CD3247" s="34"/>
    </row>
    <row r="3248" spans="70:82" x14ac:dyDescent="0.15">
      <c r="BR3248" s="34"/>
      <c r="BV3248" s="34"/>
      <c r="BZ3248" s="34"/>
      <c r="CD3248" s="34"/>
    </row>
    <row r="3249" spans="70:82" x14ac:dyDescent="0.15">
      <c r="BR3249" s="34"/>
      <c r="BV3249" s="34"/>
      <c r="BZ3249" s="34"/>
      <c r="CD3249" s="34"/>
    </row>
    <row r="3250" spans="70:82" x14ac:dyDescent="0.15">
      <c r="BR3250" s="34"/>
      <c r="BV3250" s="34"/>
      <c r="BZ3250" s="34"/>
      <c r="CD3250" s="34"/>
    </row>
    <row r="3251" spans="70:82" x14ac:dyDescent="0.15">
      <c r="BR3251" s="34"/>
      <c r="BV3251" s="34"/>
      <c r="BZ3251" s="34"/>
      <c r="CD3251" s="34"/>
    </row>
    <row r="3252" spans="70:82" x14ac:dyDescent="0.15">
      <c r="BR3252" s="34"/>
      <c r="BV3252" s="34"/>
      <c r="BZ3252" s="34"/>
      <c r="CD3252" s="34"/>
    </row>
    <row r="3253" spans="70:82" x14ac:dyDescent="0.15">
      <c r="BR3253" s="34"/>
      <c r="BV3253" s="34"/>
      <c r="BZ3253" s="34"/>
      <c r="CD3253" s="34"/>
    </row>
    <row r="3254" spans="70:82" x14ac:dyDescent="0.15">
      <c r="BR3254" s="34"/>
      <c r="BV3254" s="34"/>
      <c r="BZ3254" s="34"/>
      <c r="CD3254" s="34"/>
    </row>
    <row r="3255" spans="70:82" x14ac:dyDescent="0.15">
      <c r="BR3255" s="34"/>
      <c r="BV3255" s="34"/>
      <c r="BZ3255" s="34"/>
      <c r="CD3255" s="34"/>
    </row>
    <row r="3256" spans="70:82" x14ac:dyDescent="0.15">
      <c r="BR3256" s="34"/>
      <c r="BV3256" s="34"/>
      <c r="BZ3256" s="34"/>
      <c r="CD3256" s="34"/>
    </row>
    <row r="3257" spans="70:82" x14ac:dyDescent="0.15">
      <c r="BR3257" s="34"/>
      <c r="BV3257" s="34"/>
      <c r="BZ3257" s="34"/>
      <c r="CD3257" s="34"/>
    </row>
    <row r="3258" spans="70:82" x14ac:dyDescent="0.15">
      <c r="BR3258" s="34"/>
      <c r="BV3258" s="34"/>
      <c r="BZ3258" s="34"/>
      <c r="CD3258" s="34"/>
    </row>
    <row r="3259" spans="70:82" x14ac:dyDescent="0.15">
      <c r="BR3259" s="34"/>
      <c r="BV3259" s="34"/>
      <c r="BZ3259" s="34"/>
      <c r="CD3259" s="34"/>
    </row>
    <row r="3260" spans="70:82" x14ac:dyDescent="0.15">
      <c r="BR3260" s="34"/>
      <c r="BV3260" s="34"/>
      <c r="BZ3260" s="34"/>
      <c r="CD3260" s="34"/>
    </row>
    <row r="3261" spans="70:82" x14ac:dyDescent="0.15">
      <c r="BR3261" s="34"/>
      <c r="BV3261" s="34"/>
      <c r="BZ3261" s="34"/>
      <c r="CD3261" s="34"/>
    </row>
    <row r="3262" spans="70:82" x14ac:dyDescent="0.15">
      <c r="BR3262" s="34"/>
      <c r="BV3262" s="34"/>
      <c r="BZ3262" s="34"/>
      <c r="CD3262" s="34"/>
    </row>
    <row r="3263" spans="70:82" x14ac:dyDescent="0.15">
      <c r="BR3263" s="34"/>
      <c r="BV3263" s="34"/>
      <c r="BZ3263" s="34"/>
      <c r="CD3263" s="34"/>
    </row>
    <row r="3264" spans="70:82" x14ac:dyDescent="0.15">
      <c r="BR3264" s="34"/>
      <c r="BV3264" s="34"/>
      <c r="BZ3264" s="34"/>
      <c r="CD3264" s="34"/>
    </row>
    <row r="3265" spans="70:82" x14ac:dyDescent="0.15">
      <c r="BR3265" s="34"/>
      <c r="BV3265" s="34"/>
      <c r="BZ3265" s="34"/>
      <c r="CD3265" s="34"/>
    </row>
    <row r="3266" spans="70:82" x14ac:dyDescent="0.15">
      <c r="BR3266" s="34"/>
      <c r="BV3266" s="34"/>
      <c r="BZ3266" s="34"/>
      <c r="CD3266" s="34"/>
    </row>
    <row r="3267" spans="70:82" x14ac:dyDescent="0.15">
      <c r="BR3267" s="34"/>
      <c r="BV3267" s="34"/>
      <c r="BZ3267" s="34"/>
      <c r="CD3267" s="34"/>
    </row>
    <row r="3268" spans="70:82" x14ac:dyDescent="0.15">
      <c r="BR3268" s="34"/>
      <c r="BV3268" s="34"/>
      <c r="BZ3268" s="34"/>
      <c r="CD3268" s="34"/>
    </row>
    <row r="3269" spans="70:82" x14ac:dyDescent="0.15">
      <c r="BR3269" s="34"/>
      <c r="BV3269" s="34"/>
      <c r="BZ3269" s="34"/>
      <c r="CD3269" s="34"/>
    </row>
    <row r="3270" spans="70:82" x14ac:dyDescent="0.15">
      <c r="BR3270" s="34"/>
      <c r="BV3270" s="34"/>
      <c r="BZ3270" s="34"/>
      <c r="CD3270" s="34"/>
    </row>
    <row r="3271" spans="70:82" x14ac:dyDescent="0.15">
      <c r="BR3271" s="34"/>
      <c r="BV3271" s="34"/>
      <c r="BZ3271" s="34"/>
      <c r="CD3271" s="34"/>
    </row>
    <row r="3272" spans="70:82" x14ac:dyDescent="0.15">
      <c r="BR3272" s="34"/>
      <c r="BV3272" s="34"/>
      <c r="BZ3272" s="34"/>
      <c r="CD3272" s="34"/>
    </row>
    <row r="3273" spans="70:82" x14ac:dyDescent="0.15">
      <c r="BR3273" s="34"/>
      <c r="BV3273" s="34"/>
      <c r="BZ3273" s="34"/>
      <c r="CD3273" s="34"/>
    </row>
    <row r="3274" spans="70:82" x14ac:dyDescent="0.15">
      <c r="BR3274" s="34"/>
      <c r="BV3274" s="34"/>
      <c r="BZ3274" s="34"/>
      <c r="CD3274" s="34"/>
    </row>
    <row r="3275" spans="70:82" x14ac:dyDescent="0.15">
      <c r="BR3275" s="34"/>
      <c r="BV3275" s="34"/>
      <c r="BZ3275" s="34"/>
      <c r="CD3275" s="34"/>
    </row>
    <row r="3276" spans="70:82" x14ac:dyDescent="0.15">
      <c r="BR3276" s="34"/>
      <c r="BV3276" s="34"/>
      <c r="BZ3276" s="34"/>
      <c r="CD3276" s="34"/>
    </row>
    <row r="3277" spans="70:82" x14ac:dyDescent="0.15">
      <c r="BR3277" s="34"/>
      <c r="BV3277" s="34"/>
      <c r="BZ3277" s="34"/>
      <c r="CD3277" s="34"/>
    </row>
    <row r="3278" spans="70:82" x14ac:dyDescent="0.15">
      <c r="BR3278" s="34"/>
      <c r="BV3278" s="34"/>
      <c r="BZ3278" s="34"/>
      <c r="CD3278" s="34"/>
    </row>
    <row r="3279" spans="70:82" x14ac:dyDescent="0.15">
      <c r="BR3279" s="34"/>
      <c r="BV3279" s="34"/>
      <c r="BZ3279" s="34"/>
      <c r="CD3279" s="34"/>
    </row>
    <row r="3280" spans="70:82" x14ac:dyDescent="0.15">
      <c r="BR3280" s="34"/>
      <c r="BV3280" s="34"/>
      <c r="BZ3280" s="34"/>
      <c r="CD3280" s="34"/>
    </row>
    <row r="3281" spans="70:82" x14ac:dyDescent="0.15">
      <c r="BR3281" s="34"/>
      <c r="BV3281" s="34"/>
      <c r="BZ3281" s="34"/>
      <c r="CD3281" s="34"/>
    </row>
    <row r="3282" spans="70:82" x14ac:dyDescent="0.15">
      <c r="BR3282" s="34"/>
      <c r="BV3282" s="34"/>
      <c r="BZ3282" s="34"/>
      <c r="CD3282" s="34"/>
    </row>
    <row r="3283" spans="70:82" x14ac:dyDescent="0.15">
      <c r="BR3283" s="34"/>
      <c r="BV3283" s="34"/>
      <c r="BZ3283" s="34"/>
      <c r="CD3283" s="34"/>
    </row>
    <row r="3284" spans="70:82" x14ac:dyDescent="0.15">
      <c r="BR3284" s="34"/>
      <c r="BV3284" s="34"/>
      <c r="BZ3284" s="34"/>
      <c r="CD3284" s="34"/>
    </row>
    <row r="3285" spans="70:82" x14ac:dyDescent="0.15">
      <c r="BR3285" s="34"/>
      <c r="BV3285" s="34"/>
      <c r="BZ3285" s="34"/>
      <c r="CD3285" s="34"/>
    </row>
    <row r="3286" spans="70:82" x14ac:dyDescent="0.15">
      <c r="BR3286" s="34"/>
      <c r="BV3286" s="34"/>
      <c r="BZ3286" s="34"/>
      <c r="CD3286" s="34"/>
    </row>
    <row r="3287" spans="70:82" x14ac:dyDescent="0.15">
      <c r="BR3287" s="34"/>
      <c r="BV3287" s="34"/>
      <c r="BZ3287" s="34"/>
      <c r="CD3287" s="34"/>
    </row>
    <row r="3288" spans="70:82" x14ac:dyDescent="0.15">
      <c r="BR3288" s="34"/>
      <c r="BV3288" s="34"/>
      <c r="BZ3288" s="34"/>
      <c r="CD3288" s="34"/>
    </row>
    <row r="3289" spans="70:82" x14ac:dyDescent="0.15">
      <c r="BR3289" s="34"/>
      <c r="BV3289" s="34"/>
      <c r="BZ3289" s="34"/>
      <c r="CD3289" s="34"/>
    </row>
    <row r="3290" spans="70:82" x14ac:dyDescent="0.15">
      <c r="BR3290" s="34"/>
      <c r="BV3290" s="34"/>
      <c r="BZ3290" s="34"/>
      <c r="CD3290" s="34"/>
    </row>
    <row r="3291" spans="70:82" x14ac:dyDescent="0.15">
      <c r="BR3291" s="34"/>
      <c r="BV3291" s="34"/>
      <c r="BZ3291" s="34"/>
      <c r="CD3291" s="34"/>
    </row>
    <row r="3292" spans="70:82" x14ac:dyDescent="0.15">
      <c r="BR3292" s="34"/>
      <c r="BV3292" s="34"/>
      <c r="BZ3292" s="34"/>
      <c r="CD3292" s="34"/>
    </row>
    <row r="3293" spans="70:82" x14ac:dyDescent="0.15">
      <c r="BR3293" s="34"/>
      <c r="BV3293" s="34"/>
      <c r="BZ3293" s="34"/>
      <c r="CD3293" s="34"/>
    </row>
    <row r="3294" spans="70:82" x14ac:dyDescent="0.15">
      <c r="BR3294" s="34"/>
      <c r="BV3294" s="34"/>
      <c r="BZ3294" s="34"/>
      <c r="CD3294" s="34"/>
    </row>
    <row r="3295" spans="70:82" x14ac:dyDescent="0.15">
      <c r="BR3295" s="34"/>
      <c r="BV3295" s="34"/>
      <c r="BZ3295" s="34"/>
      <c r="CD3295" s="34"/>
    </row>
    <row r="3296" spans="70:82" x14ac:dyDescent="0.15">
      <c r="BR3296" s="34"/>
      <c r="BV3296" s="34"/>
      <c r="BZ3296" s="34"/>
      <c r="CD3296" s="34"/>
    </row>
    <row r="3297" spans="70:82" x14ac:dyDescent="0.15">
      <c r="BR3297" s="34"/>
      <c r="BV3297" s="34"/>
      <c r="BZ3297" s="34"/>
      <c r="CD3297" s="34"/>
    </row>
    <row r="3298" spans="70:82" x14ac:dyDescent="0.15">
      <c r="BR3298" s="34"/>
      <c r="BV3298" s="34"/>
      <c r="BZ3298" s="34"/>
      <c r="CD3298" s="34"/>
    </row>
    <row r="3299" spans="70:82" x14ac:dyDescent="0.15">
      <c r="BR3299" s="34"/>
      <c r="BV3299" s="34"/>
      <c r="BZ3299" s="34"/>
      <c r="CD3299" s="34"/>
    </row>
    <row r="3300" spans="70:82" x14ac:dyDescent="0.15">
      <c r="BR3300" s="34"/>
      <c r="BV3300" s="34"/>
      <c r="BZ3300" s="34"/>
      <c r="CD3300" s="34"/>
    </row>
    <row r="3301" spans="70:82" x14ac:dyDescent="0.15">
      <c r="BR3301" s="34"/>
      <c r="BV3301" s="34"/>
      <c r="BZ3301" s="34"/>
      <c r="CD3301" s="34"/>
    </row>
    <row r="3302" spans="70:82" x14ac:dyDescent="0.15">
      <c r="BR3302" s="34"/>
      <c r="BV3302" s="34"/>
      <c r="BZ3302" s="34"/>
      <c r="CD3302" s="34"/>
    </row>
    <row r="3303" spans="70:82" x14ac:dyDescent="0.15">
      <c r="BR3303" s="34"/>
      <c r="BV3303" s="34"/>
      <c r="BZ3303" s="34"/>
      <c r="CD3303" s="34"/>
    </row>
    <row r="3304" spans="70:82" x14ac:dyDescent="0.15">
      <c r="BR3304" s="34"/>
      <c r="BV3304" s="34"/>
      <c r="BZ3304" s="34"/>
      <c r="CD3304" s="34"/>
    </row>
    <row r="3305" spans="70:82" x14ac:dyDescent="0.15">
      <c r="BR3305" s="34"/>
      <c r="BV3305" s="34"/>
      <c r="BZ3305" s="34"/>
      <c r="CD3305" s="34"/>
    </row>
    <row r="3306" spans="70:82" x14ac:dyDescent="0.15">
      <c r="BR3306" s="34"/>
      <c r="BV3306" s="34"/>
      <c r="BZ3306" s="34"/>
      <c r="CD3306" s="34"/>
    </row>
    <row r="3307" spans="70:82" x14ac:dyDescent="0.15">
      <c r="BR3307" s="34"/>
      <c r="BV3307" s="34"/>
      <c r="BZ3307" s="34"/>
      <c r="CD3307" s="34"/>
    </row>
    <row r="3308" spans="70:82" x14ac:dyDescent="0.15">
      <c r="BR3308" s="34"/>
      <c r="BV3308" s="34"/>
      <c r="BZ3308" s="34"/>
      <c r="CD3308" s="34"/>
    </row>
    <row r="3309" spans="70:82" x14ac:dyDescent="0.15">
      <c r="BR3309" s="34"/>
      <c r="BV3309" s="34"/>
      <c r="BZ3309" s="34"/>
      <c r="CD3309" s="34"/>
    </row>
    <row r="3310" spans="70:82" x14ac:dyDescent="0.15">
      <c r="BR3310" s="34"/>
      <c r="BV3310" s="34"/>
      <c r="BZ3310" s="34"/>
      <c r="CD3310" s="34"/>
    </row>
    <row r="3311" spans="70:82" x14ac:dyDescent="0.15">
      <c r="BR3311" s="34"/>
      <c r="BV3311" s="34"/>
      <c r="BZ3311" s="34"/>
      <c r="CD3311" s="34"/>
    </row>
    <row r="3312" spans="70:82" x14ac:dyDescent="0.15">
      <c r="BR3312" s="34"/>
      <c r="BV3312" s="34"/>
      <c r="BZ3312" s="34"/>
      <c r="CD3312" s="34"/>
    </row>
    <row r="3313" spans="70:82" x14ac:dyDescent="0.15">
      <c r="BR3313" s="34"/>
      <c r="BV3313" s="34"/>
      <c r="BZ3313" s="34"/>
      <c r="CD3313" s="34"/>
    </row>
    <row r="3314" spans="70:82" x14ac:dyDescent="0.15">
      <c r="BR3314" s="34"/>
      <c r="BV3314" s="34"/>
      <c r="BZ3314" s="34"/>
      <c r="CD3314" s="34"/>
    </row>
    <row r="3315" spans="70:82" x14ac:dyDescent="0.15">
      <c r="BR3315" s="34"/>
      <c r="BV3315" s="34"/>
      <c r="BZ3315" s="34"/>
      <c r="CD3315" s="34"/>
    </row>
    <row r="3316" spans="70:82" x14ac:dyDescent="0.15">
      <c r="BR3316" s="34"/>
      <c r="BV3316" s="34"/>
      <c r="BZ3316" s="34"/>
      <c r="CD3316" s="34"/>
    </row>
    <row r="3317" spans="70:82" x14ac:dyDescent="0.15">
      <c r="BR3317" s="34"/>
      <c r="BV3317" s="34"/>
      <c r="BZ3317" s="34"/>
      <c r="CD3317" s="34"/>
    </row>
    <row r="3318" spans="70:82" x14ac:dyDescent="0.15">
      <c r="BR3318" s="34"/>
      <c r="BV3318" s="34"/>
      <c r="BZ3318" s="34"/>
      <c r="CD3318" s="34"/>
    </row>
    <row r="3319" spans="70:82" x14ac:dyDescent="0.15">
      <c r="BR3319" s="34"/>
      <c r="BV3319" s="34"/>
      <c r="BZ3319" s="34"/>
      <c r="CD3319" s="34"/>
    </row>
    <row r="3320" spans="70:82" x14ac:dyDescent="0.15">
      <c r="BR3320" s="34"/>
      <c r="BV3320" s="34"/>
      <c r="BZ3320" s="34"/>
      <c r="CD3320" s="34"/>
    </row>
    <row r="3321" spans="70:82" x14ac:dyDescent="0.15">
      <c r="BR3321" s="34"/>
      <c r="BV3321" s="34"/>
      <c r="BZ3321" s="34"/>
      <c r="CD3321" s="34"/>
    </row>
    <row r="3322" spans="70:82" x14ac:dyDescent="0.15">
      <c r="BR3322" s="34"/>
      <c r="BV3322" s="34"/>
      <c r="BZ3322" s="34"/>
      <c r="CD3322" s="34"/>
    </row>
    <row r="3323" spans="70:82" x14ac:dyDescent="0.15">
      <c r="BR3323" s="34"/>
      <c r="BV3323" s="34"/>
      <c r="BZ3323" s="34"/>
      <c r="CD3323" s="34"/>
    </row>
    <row r="3324" spans="70:82" x14ac:dyDescent="0.15">
      <c r="BR3324" s="34"/>
      <c r="BV3324" s="34"/>
      <c r="BZ3324" s="34"/>
      <c r="CD3324" s="34"/>
    </row>
    <row r="3325" spans="70:82" x14ac:dyDescent="0.15">
      <c r="BR3325" s="34"/>
      <c r="BV3325" s="34"/>
      <c r="BZ3325" s="34"/>
      <c r="CD3325" s="34"/>
    </row>
    <row r="3326" spans="70:82" x14ac:dyDescent="0.15">
      <c r="BR3326" s="34"/>
      <c r="BV3326" s="34"/>
      <c r="BZ3326" s="34"/>
      <c r="CD3326" s="34"/>
    </row>
    <row r="3327" spans="70:82" x14ac:dyDescent="0.15">
      <c r="BR3327" s="34"/>
      <c r="BV3327" s="34"/>
      <c r="BZ3327" s="34"/>
      <c r="CD3327" s="34"/>
    </row>
    <row r="3328" spans="70:82" x14ac:dyDescent="0.15">
      <c r="BR3328" s="34"/>
      <c r="BV3328" s="34"/>
      <c r="BZ3328" s="34"/>
      <c r="CD3328" s="34"/>
    </row>
    <row r="3329" spans="70:82" x14ac:dyDescent="0.15">
      <c r="BR3329" s="34"/>
      <c r="BV3329" s="34"/>
      <c r="BZ3329" s="34"/>
      <c r="CD3329" s="34"/>
    </row>
    <row r="3330" spans="70:82" x14ac:dyDescent="0.15">
      <c r="BR3330" s="34"/>
      <c r="BV3330" s="34"/>
      <c r="BZ3330" s="34"/>
      <c r="CD3330" s="34"/>
    </row>
    <row r="3331" spans="70:82" x14ac:dyDescent="0.15">
      <c r="BR3331" s="34"/>
      <c r="BV3331" s="34"/>
      <c r="BZ3331" s="34"/>
      <c r="CD3331" s="34"/>
    </row>
    <row r="3332" spans="70:82" x14ac:dyDescent="0.15">
      <c r="BR3332" s="34"/>
      <c r="BV3332" s="34"/>
      <c r="BZ3332" s="34"/>
      <c r="CD3332" s="34"/>
    </row>
    <row r="3333" spans="70:82" x14ac:dyDescent="0.15">
      <c r="BR3333" s="34"/>
      <c r="BV3333" s="34"/>
      <c r="BZ3333" s="34"/>
      <c r="CD3333" s="34"/>
    </row>
    <row r="3334" spans="70:82" x14ac:dyDescent="0.15">
      <c r="BR3334" s="34"/>
      <c r="BV3334" s="34"/>
      <c r="BZ3334" s="34"/>
      <c r="CD3334" s="34"/>
    </row>
    <row r="3335" spans="70:82" x14ac:dyDescent="0.15">
      <c r="BR3335" s="34"/>
      <c r="BV3335" s="34"/>
      <c r="BZ3335" s="34"/>
      <c r="CD3335" s="34"/>
    </row>
    <row r="3336" spans="70:82" x14ac:dyDescent="0.15">
      <c r="BR3336" s="34"/>
      <c r="BV3336" s="34"/>
      <c r="BZ3336" s="34"/>
      <c r="CD3336" s="34"/>
    </row>
    <row r="3337" spans="70:82" x14ac:dyDescent="0.15">
      <c r="BR3337" s="34"/>
      <c r="BV3337" s="34"/>
      <c r="BZ3337" s="34"/>
      <c r="CD3337" s="34"/>
    </row>
    <row r="3338" spans="70:82" x14ac:dyDescent="0.15">
      <c r="BR3338" s="34"/>
      <c r="BV3338" s="34"/>
      <c r="BZ3338" s="34"/>
      <c r="CD3338" s="34"/>
    </row>
    <row r="3339" spans="70:82" x14ac:dyDescent="0.15">
      <c r="BR3339" s="34"/>
      <c r="BV3339" s="34"/>
      <c r="BZ3339" s="34"/>
      <c r="CD3339" s="34"/>
    </row>
    <row r="3340" spans="70:82" x14ac:dyDescent="0.15">
      <c r="BR3340" s="34"/>
      <c r="BV3340" s="34"/>
      <c r="BZ3340" s="34"/>
      <c r="CD3340" s="34"/>
    </row>
    <row r="3341" spans="70:82" x14ac:dyDescent="0.15">
      <c r="BR3341" s="34"/>
      <c r="BV3341" s="34"/>
      <c r="BZ3341" s="34"/>
      <c r="CD3341" s="34"/>
    </row>
    <row r="3342" spans="70:82" x14ac:dyDescent="0.15">
      <c r="BR3342" s="34"/>
      <c r="BV3342" s="34"/>
      <c r="BZ3342" s="34"/>
      <c r="CD3342" s="34"/>
    </row>
    <row r="3343" spans="70:82" x14ac:dyDescent="0.15">
      <c r="BR3343" s="34"/>
      <c r="BV3343" s="34"/>
      <c r="BZ3343" s="34"/>
      <c r="CD3343" s="34"/>
    </row>
    <row r="3344" spans="70:82" x14ac:dyDescent="0.15">
      <c r="BR3344" s="34"/>
      <c r="BV3344" s="34"/>
      <c r="BZ3344" s="34"/>
      <c r="CD3344" s="34"/>
    </row>
    <row r="3345" spans="70:82" x14ac:dyDescent="0.15">
      <c r="BR3345" s="34"/>
      <c r="BV3345" s="34"/>
      <c r="BZ3345" s="34"/>
      <c r="CD3345" s="34"/>
    </row>
    <row r="3346" spans="70:82" x14ac:dyDescent="0.15">
      <c r="BR3346" s="34"/>
      <c r="BV3346" s="34"/>
      <c r="BZ3346" s="34"/>
      <c r="CD3346" s="34"/>
    </row>
    <row r="3347" spans="70:82" x14ac:dyDescent="0.15">
      <c r="BR3347" s="34"/>
      <c r="BV3347" s="34"/>
      <c r="BZ3347" s="34"/>
      <c r="CD3347" s="34"/>
    </row>
    <row r="3348" spans="70:82" x14ac:dyDescent="0.15">
      <c r="BR3348" s="34"/>
      <c r="BV3348" s="34"/>
      <c r="BZ3348" s="34"/>
      <c r="CD3348" s="34"/>
    </row>
    <row r="3349" spans="70:82" x14ac:dyDescent="0.15">
      <c r="BR3349" s="34"/>
      <c r="BV3349" s="34"/>
      <c r="BZ3349" s="34"/>
      <c r="CD3349" s="34"/>
    </row>
    <row r="3350" spans="70:82" x14ac:dyDescent="0.15">
      <c r="BR3350" s="34"/>
      <c r="BV3350" s="34"/>
      <c r="BZ3350" s="34"/>
      <c r="CD3350" s="34"/>
    </row>
    <row r="3351" spans="70:82" x14ac:dyDescent="0.15">
      <c r="BR3351" s="34"/>
      <c r="BV3351" s="34"/>
      <c r="BZ3351" s="34"/>
      <c r="CD3351" s="34"/>
    </row>
    <row r="3352" spans="70:82" x14ac:dyDescent="0.15">
      <c r="BR3352" s="34"/>
      <c r="BV3352" s="34"/>
      <c r="BZ3352" s="34"/>
      <c r="CD3352" s="34"/>
    </row>
    <row r="3353" spans="70:82" x14ac:dyDescent="0.15">
      <c r="BR3353" s="34"/>
      <c r="BV3353" s="34"/>
      <c r="BZ3353" s="34"/>
      <c r="CD3353" s="34"/>
    </row>
    <row r="3354" spans="70:82" x14ac:dyDescent="0.15">
      <c r="BR3354" s="34"/>
      <c r="BV3354" s="34"/>
      <c r="BZ3354" s="34"/>
      <c r="CD3354" s="34"/>
    </row>
    <row r="3355" spans="70:82" x14ac:dyDescent="0.15">
      <c r="BR3355" s="34"/>
      <c r="BV3355" s="34"/>
      <c r="BZ3355" s="34"/>
      <c r="CD3355" s="34"/>
    </row>
    <row r="3356" spans="70:82" x14ac:dyDescent="0.15">
      <c r="BR3356" s="34"/>
      <c r="BV3356" s="34"/>
      <c r="BZ3356" s="34"/>
      <c r="CD3356" s="34"/>
    </row>
    <row r="3357" spans="70:82" x14ac:dyDescent="0.15">
      <c r="BR3357" s="34"/>
      <c r="BV3357" s="34"/>
      <c r="BZ3357" s="34"/>
      <c r="CD3357" s="34"/>
    </row>
    <row r="3358" spans="70:82" x14ac:dyDescent="0.15">
      <c r="BR3358" s="34"/>
      <c r="BV3358" s="34"/>
      <c r="BZ3358" s="34"/>
      <c r="CD3358" s="34"/>
    </row>
    <row r="3359" spans="70:82" x14ac:dyDescent="0.15">
      <c r="BR3359" s="34"/>
      <c r="BV3359" s="34"/>
      <c r="BZ3359" s="34"/>
      <c r="CD3359" s="34"/>
    </row>
    <row r="3360" spans="70:82" x14ac:dyDescent="0.15">
      <c r="BR3360" s="34"/>
      <c r="BV3360" s="34"/>
      <c r="BZ3360" s="34"/>
      <c r="CD3360" s="34"/>
    </row>
    <row r="3361" spans="70:82" x14ac:dyDescent="0.15">
      <c r="BR3361" s="34"/>
      <c r="BV3361" s="34"/>
      <c r="BZ3361" s="34"/>
      <c r="CD3361" s="34"/>
    </row>
    <row r="3362" spans="70:82" x14ac:dyDescent="0.15">
      <c r="BR3362" s="34"/>
      <c r="BV3362" s="34"/>
      <c r="BZ3362" s="34"/>
      <c r="CD3362" s="34"/>
    </row>
    <row r="3363" spans="70:82" x14ac:dyDescent="0.15">
      <c r="BR3363" s="34"/>
      <c r="BV3363" s="34"/>
      <c r="BZ3363" s="34"/>
      <c r="CD3363" s="34"/>
    </row>
    <row r="3364" spans="70:82" x14ac:dyDescent="0.15">
      <c r="BR3364" s="34"/>
      <c r="BV3364" s="34"/>
      <c r="BZ3364" s="34"/>
      <c r="CD3364" s="34"/>
    </row>
    <row r="3365" spans="70:82" x14ac:dyDescent="0.15">
      <c r="BR3365" s="34"/>
      <c r="BV3365" s="34"/>
      <c r="BZ3365" s="34"/>
      <c r="CD3365" s="34"/>
    </row>
    <row r="3366" spans="70:82" x14ac:dyDescent="0.15">
      <c r="BR3366" s="34"/>
      <c r="BV3366" s="34"/>
      <c r="BZ3366" s="34"/>
      <c r="CD3366" s="34"/>
    </row>
    <row r="3367" spans="70:82" x14ac:dyDescent="0.15">
      <c r="BR3367" s="34"/>
      <c r="BV3367" s="34"/>
      <c r="BZ3367" s="34"/>
      <c r="CD3367" s="34"/>
    </row>
    <row r="3368" spans="70:82" x14ac:dyDescent="0.15">
      <c r="BR3368" s="34"/>
      <c r="BV3368" s="34"/>
      <c r="BZ3368" s="34"/>
      <c r="CD3368" s="34"/>
    </row>
    <row r="3369" spans="70:82" x14ac:dyDescent="0.15">
      <c r="BR3369" s="34"/>
      <c r="BV3369" s="34"/>
      <c r="BZ3369" s="34"/>
      <c r="CD3369" s="34"/>
    </row>
    <row r="3370" spans="70:82" x14ac:dyDescent="0.15">
      <c r="BR3370" s="34"/>
      <c r="BV3370" s="34"/>
      <c r="BZ3370" s="34"/>
      <c r="CD3370" s="34"/>
    </row>
    <row r="3371" spans="70:82" x14ac:dyDescent="0.15">
      <c r="BR3371" s="34"/>
      <c r="BV3371" s="34"/>
      <c r="BZ3371" s="34"/>
      <c r="CD3371" s="34"/>
    </row>
    <row r="3372" spans="70:82" x14ac:dyDescent="0.15">
      <c r="BR3372" s="34"/>
      <c r="BV3372" s="34"/>
      <c r="BZ3372" s="34"/>
      <c r="CD3372" s="34"/>
    </row>
    <row r="3373" spans="70:82" x14ac:dyDescent="0.15">
      <c r="BR3373" s="34"/>
      <c r="BV3373" s="34"/>
      <c r="BZ3373" s="34"/>
      <c r="CD3373" s="34"/>
    </row>
    <row r="3374" spans="70:82" x14ac:dyDescent="0.15">
      <c r="BR3374" s="34"/>
      <c r="BV3374" s="34"/>
      <c r="BZ3374" s="34"/>
      <c r="CD3374" s="34"/>
    </row>
    <row r="3375" spans="70:82" x14ac:dyDescent="0.15">
      <c r="BR3375" s="34"/>
      <c r="BV3375" s="34"/>
      <c r="BZ3375" s="34"/>
      <c r="CD3375" s="34"/>
    </row>
    <row r="3376" spans="70:82" x14ac:dyDescent="0.15">
      <c r="BR3376" s="34"/>
      <c r="BV3376" s="34"/>
      <c r="BZ3376" s="34"/>
      <c r="CD3376" s="34"/>
    </row>
    <row r="3377" spans="70:82" x14ac:dyDescent="0.15">
      <c r="BR3377" s="34"/>
      <c r="BV3377" s="34"/>
      <c r="BZ3377" s="34"/>
      <c r="CD3377" s="34"/>
    </row>
    <row r="3378" spans="70:82" x14ac:dyDescent="0.15">
      <c r="BR3378" s="34"/>
      <c r="BV3378" s="34"/>
      <c r="BZ3378" s="34"/>
      <c r="CD3378" s="34"/>
    </row>
    <row r="3379" spans="70:82" x14ac:dyDescent="0.15">
      <c r="BR3379" s="34"/>
      <c r="BV3379" s="34"/>
      <c r="BZ3379" s="34"/>
      <c r="CD3379" s="34"/>
    </row>
    <row r="3380" spans="70:82" x14ac:dyDescent="0.15">
      <c r="BR3380" s="34"/>
      <c r="BV3380" s="34"/>
      <c r="BZ3380" s="34"/>
      <c r="CD3380" s="34"/>
    </row>
    <row r="3381" spans="70:82" x14ac:dyDescent="0.15">
      <c r="BR3381" s="34"/>
      <c r="BV3381" s="34"/>
      <c r="BZ3381" s="34"/>
      <c r="CD3381" s="34"/>
    </row>
    <row r="3382" spans="70:82" x14ac:dyDescent="0.15">
      <c r="BR3382" s="34"/>
      <c r="BV3382" s="34"/>
      <c r="BZ3382" s="34"/>
      <c r="CD3382" s="34"/>
    </row>
    <row r="3383" spans="70:82" x14ac:dyDescent="0.15">
      <c r="BR3383" s="34"/>
      <c r="BV3383" s="34"/>
      <c r="BZ3383" s="34"/>
      <c r="CD3383" s="34"/>
    </row>
    <row r="3384" spans="70:82" x14ac:dyDescent="0.15">
      <c r="BR3384" s="34"/>
      <c r="BV3384" s="34"/>
      <c r="BZ3384" s="34"/>
      <c r="CD3384" s="34"/>
    </row>
    <row r="3385" spans="70:82" x14ac:dyDescent="0.15">
      <c r="BR3385" s="34"/>
      <c r="BV3385" s="34"/>
      <c r="BZ3385" s="34"/>
      <c r="CD3385" s="34"/>
    </row>
    <row r="3386" spans="70:82" x14ac:dyDescent="0.15">
      <c r="BR3386" s="34"/>
      <c r="BV3386" s="34"/>
      <c r="BZ3386" s="34"/>
      <c r="CD3386" s="34"/>
    </row>
    <row r="3387" spans="70:82" x14ac:dyDescent="0.15">
      <c r="BR3387" s="34"/>
      <c r="BV3387" s="34"/>
      <c r="BZ3387" s="34"/>
      <c r="CD3387" s="34"/>
    </row>
    <row r="3388" spans="70:82" x14ac:dyDescent="0.15">
      <c r="BR3388" s="34"/>
      <c r="BV3388" s="34"/>
      <c r="BZ3388" s="34"/>
      <c r="CD3388" s="34"/>
    </row>
    <row r="3389" spans="70:82" x14ac:dyDescent="0.15">
      <c r="BR3389" s="34"/>
      <c r="BV3389" s="34"/>
      <c r="BZ3389" s="34"/>
      <c r="CD3389" s="34"/>
    </row>
    <row r="3390" spans="70:82" x14ac:dyDescent="0.15">
      <c r="BR3390" s="34"/>
      <c r="BV3390" s="34"/>
      <c r="BZ3390" s="34"/>
      <c r="CD3390" s="34"/>
    </row>
    <row r="3391" spans="70:82" x14ac:dyDescent="0.15">
      <c r="BR3391" s="34"/>
      <c r="BV3391" s="34"/>
      <c r="BZ3391" s="34"/>
      <c r="CD3391" s="34"/>
    </row>
    <row r="3392" spans="70:82" x14ac:dyDescent="0.15">
      <c r="BR3392" s="34"/>
      <c r="BV3392" s="34"/>
      <c r="BZ3392" s="34"/>
      <c r="CD3392" s="34"/>
    </row>
    <row r="3393" spans="70:82" x14ac:dyDescent="0.15">
      <c r="BR3393" s="34"/>
      <c r="BV3393" s="34"/>
      <c r="BZ3393" s="34"/>
      <c r="CD3393" s="34"/>
    </row>
    <row r="3394" spans="70:82" x14ac:dyDescent="0.15">
      <c r="BR3394" s="34"/>
      <c r="BV3394" s="34"/>
      <c r="BZ3394" s="34"/>
      <c r="CD3394" s="34"/>
    </row>
    <row r="3395" spans="70:82" x14ac:dyDescent="0.15">
      <c r="BR3395" s="34"/>
      <c r="BV3395" s="34"/>
      <c r="BZ3395" s="34"/>
      <c r="CD3395" s="34"/>
    </row>
    <row r="3396" spans="70:82" x14ac:dyDescent="0.15">
      <c r="BR3396" s="34"/>
      <c r="BV3396" s="34"/>
      <c r="BZ3396" s="34"/>
      <c r="CD3396" s="34"/>
    </row>
    <row r="3397" spans="70:82" x14ac:dyDescent="0.15">
      <c r="BR3397" s="34"/>
      <c r="BV3397" s="34"/>
      <c r="BZ3397" s="34"/>
      <c r="CD3397" s="34"/>
    </row>
    <row r="3398" spans="70:82" x14ac:dyDescent="0.15">
      <c r="BR3398" s="34"/>
      <c r="BV3398" s="34"/>
      <c r="BZ3398" s="34"/>
      <c r="CD3398" s="34"/>
    </row>
    <row r="3399" spans="70:82" x14ac:dyDescent="0.15">
      <c r="BR3399" s="34"/>
      <c r="BV3399" s="34"/>
      <c r="BZ3399" s="34"/>
      <c r="CD3399" s="34"/>
    </row>
    <row r="3400" spans="70:82" x14ac:dyDescent="0.15">
      <c r="BR3400" s="34"/>
      <c r="BV3400" s="34"/>
      <c r="BZ3400" s="34"/>
      <c r="CD3400" s="34"/>
    </row>
    <row r="3401" spans="70:82" x14ac:dyDescent="0.15">
      <c r="BR3401" s="34"/>
      <c r="BV3401" s="34"/>
      <c r="BZ3401" s="34"/>
      <c r="CD3401" s="34"/>
    </row>
    <row r="3402" spans="70:82" x14ac:dyDescent="0.15">
      <c r="BR3402" s="34"/>
      <c r="BV3402" s="34"/>
      <c r="BZ3402" s="34"/>
      <c r="CD3402" s="34"/>
    </row>
    <row r="3403" spans="70:82" x14ac:dyDescent="0.15">
      <c r="BR3403" s="34"/>
      <c r="BV3403" s="34"/>
      <c r="BZ3403" s="34"/>
      <c r="CD3403" s="34"/>
    </row>
    <row r="3404" spans="70:82" x14ac:dyDescent="0.15">
      <c r="BR3404" s="34"/>
      <c r="BV3404" s="34"/>
      <c r="BZ3404" s="34"/>
      <c r="CD3404" s="34"/>
    </row>
    <row r="3405" spans="70:82" x14ac:dyDescent="0.15">
      <c r="BR3405" s="34"/>
      <c r="BV3405" s="34"/>
      <c r="BZ3405" s="34"/>
      <c r="CD3405" s="34"/>
    </row>
    <row r="3406" spans="70:82" x14ac:dyDescent="0.15">
      <c r="BR3406" s="34"/>
      <c r="BV3406" s="34"/>
      <c r="BZ3406" s="34"/>
      <c r="CD3406" s="34"/>
    </row>
    <row r="3407" spans="70:82" x14ac:dyDescent="0.15">
      <c r="BR3407" s="34"/>
      <c r="BV3407" s="34"/>
      <c r="BZ3407" s="34"/>
      <c r="CD3407" s="34"/>
    </row>
    <row r="3408" spans="70:82" x14ac:dyDescent="0.15">
      <c r="BR3408" s="34"/>
      <c r="BV3408" s="34"/>
      <c r="BZ3408" s="34"/>
      <c r="CD3408" s="34"/>
    </row>
    <row r="3409" spans="70:82" x14ac:dyDescent="0.15">
      <c r="BR3409" s="34"/>
      <c r="BV3409" s="34"/>
      <c r="BZ3409" s="34"/>
      <c r="CD3409" s="34"/>
    </row>
    <row r="3410" spans="70:82" x14ac:dyDescent="0.15">
      <c r="BR3410" s="34"/>
      <c r="BV3410" s="34"/>
      <c r="BZ3410" s="34"/>
      <c r="CD3410" s="34"/>
    </row>
    <row r="3411" spans="70:82" x14ac:dyDescent="0.15">
      <c r="BR3411" s="34"/>
      <c r="BV3411" s="34"/>
      <c r="BZ3411" s="34"/>
      <c r="CD3411" s="34"/>
    </row>
    <row r="3412" spans="70:82" x14ac:dyDescent="0.15">
      <c r="BR3412" s="34"/>
      <c r="BV3412" s="34"/>
      <c r="BZ3412" s="34"/>
      <c r="CD3412" s="34"/>
    </row>
    <row r="3413" spans="70:82" x14ac:dyDescent="0.15">
      <c r="BR3413" s="34"/>
      <c r="BV3413" s="34"/>
      <c r="BZ3413" s="34"/>
      <c r="CD3413" s="34"/>
    </row>
    <row r="3414" spans="70:82" x14ac:dyDescent="0.15">
      <c r="BR3414" s="34"/>
      <c r="BV3414" s="34"/>
      <c r="BZ3414" s="34"/>
      <c r="CD3414" s="34"/>
    </row>
    <row r="3415" spans="70:82" x14ac:dyDescent="0.15">
      <c r="BR3415" s="34"/>
      <c r="BV3415" s="34"/>
      <c r="BZ3415" s="34"/>
      <c r="CD3415" s="34"/>
    </row>
    <row r="3416" spans="70:82" x14ac:dyDescent="0.15">
      <c r="BR3416" s="34"/>
      <c r="BV3416" s="34"/>
      <c r="BZ3416" s="34"/>
      <c r="CD3416" s="34"/>
    </row>
    <row r="3417" spans="70:82" x14ac:dyDescent="0.15">
      <c r="BR3417" s="34"/>
      <c r="BV3417" s="34"/>
      <c r="BZ3417" s="34"/>
      <c r="CD3417" s="34"/>
    </row>
    <row r="3418" spans="70:82" x14ac:dyDescent="0.15">
      <c r="BR3418" s="34"/>
      <c r="BV3418" s="34"/>
      <c r="BZ3418" s="34"/>
      <c r="CD3418" s="34"/>
    </row>
    <row r="3419" spans="70:82" x14ac:dyDescent="0.15">
      <c r="BR3419" s="34"/>
      <c r="BV3419" s="34"/>
      <c r="BZ3419" s="34"/>
      <c r="CD3419" s="34"/>
    </row>
    <row r="3420" spans="70:82" x14ac:dyDescent="0.15">
      <c r="BR3420" s="34"/>
      <c r="BV3420" s="34"/>
      <c r="BZ3420" s="34"/>
      <c r="CD3420" s="34"/>
    </row>
    <row r="3421" spans="70:82" x14ac:dyDescent="0.15">
      <c r="BR3421" s="34"/>
      <c r="BV3421" s="34"/>
      <c r="BZ3421" s="34"/>
      <c r="CD3421" s="34"/>
    </row>
    <row r="3422" spans="70:82" x14ac:dyDescent="0.15">
      <c r="BR3422" s="34"/>
      <c r="BV3422" s="34"/>
      <c r="BZ3422" s="34"/>
      <c r="CD3422" s="34"/>
    </row>
    <row r="3423" spans="70:82" x14ac:dyDescent="0.15">
      <c r="BR3423" s="34"/>
      <c r="BV3423" s="34"/>
      <c r="BZ3423" s="34"/>
      <c r="CD3423" s="34"/>
    </row>
    <row r="3424" spans="70:82" x14ac:dyDescent="0.15">
      <c r="BR3424" s="34"/>
      <c r="BV3424" s="34"/>
      <c r="BZ3424" s="34"/>
      <c r="CD3424" s="34"/>
    </row>
    <row r="3425" spans="70:82" x14ac:dyDescent="0.15">
      <c r="BR3425" s="34"/>
      <c r="BV3425" s="34"/>
      <c r="BZ3425" s="34"/>
      <c r="CD3425" s="34"/>
    </row>
    <row r="3426" spans="70:82" x14ac:dyDescent="0.15">
      <c r="BR3426" s="34"/>
      <c r="BV3426" s="34"/>
      <c r="BZ3426" s="34"/>
      <c r="CD3426" s="34"/>
    </row>
    <row r="3427" spans="70:82" x14ac:dyDescent="0.15">
      <c r="BR3427" s="34"/>
      <c r="BV3427" s="34"/>
      <c r="BZ3427" s="34"/>
      <c r="CD3427" s="34"/>
    </row>
    <row r="3428" spans="70:82" x14ac:dyDescent="0.15">
      <c r="BR3428" s="34"/>
      <c r="BV3428" s="34"/>
      <c r="BZ3428" s="34"/>
      <c r="CD3428" s="34"/>
    </row>
    <row r="3429" spans="70:82" x14ac:dyDescent="0.15">
      <c r="BR3429" s="34"/>
      <c r="BV3429" s="34"/>
      <c r="BZ3429" s="34"/>
      <c r="CD3429" s="34"/>
    </row>
    <row r="3430" spans="70:82" x14ac:dyDescent="0.15">
      <c r="BR3430" s="34"/>
      <c r="BV3430" s="34"/>
      <c r="BZ3430" s="34"/>
      <c r="CD3430" s="34"/>
    </row>
    <row r="3431" spans="70:82" x14ac:dyDescent="0.15">
      <c r="BR3431" s="34"/>
      <c r="BV3431" s="34"/>
      <c r="BZ3431" s="34"/>
      <c r="CD3431" s="34"/>
    </row>
    <row r="3432" spans="70:82" x14ac:dyDescent="0.15">
      <c r="BR3432" s="34"/>
      <c r="BV3432" s="34"/>
      <c r="BZ3432" s="34"/>
      <c r="CD3432" s="34"/>
    </row>
    <row r="3433" spans="70:82" x14ac:dyDescent="0.15">
      <c r="BR3433" s="34"/>
      <c r="BV3433" s="34"/>
      <c r="BZ3433" s="34"/>
      <c r="CD3433" s="34"/>
    </row>
    <row r="3434" spans="70:82" x14ac:dyDescent="0.15">
      <c r="BR3434" s="34"/>
      <c r="BV3434" s="34"/>
      <c r="BZ3434" s="34"/>
      <c r="CD3434" s="34"/>
    </row>
    <row r="3435" spans="70:82" x14ac:dyDescent="0.15">
      <c r="BR3435" s="34"/>
      <c r="BV3435" s="34"/>
      <c r="BZ3435" s="34"/>
      <c r="CD3435" s="34"/>
    </row>
    <row r="3436" spans="70:82" x14ac:dyDescent="0.15">
      <c r="BR3436" s="34"/>
      <c r="BV3436" s="34"/>
      <c r="BZ3436" s="34"/>
      <c r="CD3436" s="34"/>
    </row>
    <row r="3437" spans="70:82" x14ac:dyDescent="0.15">
      <c r="BR3437" s="34"/>
      <c r="BV3437" s="34"/>
      <c r="BZ3437" s="34"/>
      <c r="CD3437" s="34"/>
    </row>
    <row r="3438" spans="70:82" x14ac:dyDescent="0.15">
      <c r="BR3438" s="34"/>
      <c r="BV3438" s="34"/>
      <c r="BZ3438" s="34"/>
      <c r="CD3438" s="34"/>
    </row>
    <row r="3439" spans="70:82" x14ac:dyDescent="0.15">
      <c r="BR3439" s="34"/>
      <c r="BV3439" s="34"/>
      <c r="BZ3439" s="34"/>
      <c r="CD3439" s="34"/>
    </row>
    <row r="3440" spans="70:82" x14ac:dyDescent="0.15">
      <c r="BR3440" s="34"/>
      <c r="BV3440" s="34"/>
      <c r="BZ3440" s="34"/>
      <c r="CD3440" s="34"/>
    </row>
    <row r="3441" spans="70:82" x14ac:dyDescent="0.15">
      <c r="BR3441" s="34"/>
      <c r="BV3441" s="34"/>
      <c r="BZ3441" s="34"/>
      <c r="CD3441" s="34"/>
    </row>
    <row r="3442" spans="70:82" x14ac:dyDescent="0.15">
      <c r="BR3442" s="34"/>
      <c r="BV3442" s="34"/>
      <c r="BZ3442" s="34"/>
      <c r="CD3442" s="34"/>
    </row>
    <row r="3443" spans="70:82" x14ac:dyDescent="0.15">
      <c r="BR3443" s="34"/>
      <c r="BV3443" s="34"/>
      <c r="BZ3443" s="34"/>
      <c r="CD3443" s="34"/>
    </row>
    <row r="3444" spans="70:82" x14ac:dyDescent="0.15">
      <c r="BR3444" s="34"/>
      <c r="BV3444" s="34"/>
      <c r="BZ3444" s="34"/>
      <c r="CD3444" s="34"/>
    </row>
    <row r="3445" spans="70:82" x14ac:dyDescent="0.15">
      <c r="BR3445" s="34"/>
      <c r="BV3445" s="34"/>
      <c r="BZ3445" s="34"/>
      <c r="CD3445" s="34"/>
    </row>
    <row r="3446" spans="70:82" x14ac:dyDescent="0.15">
      <c r="BR3446" s="34"/>
      <c r="BV3446" s="34"/>
      <c r="BZ3446" s="34"/>
      <c r="CD3446" s="34"/>
    </row>
    <row r="3447" spans="70:82" x14ac:dyDescent="0.15">
      <c r="BR3447" s="34"/>
      <c r="BV3447" s="34"/>
      <c r="BZ3447" s="34"/>
      <c r="CD3447" s="34"/>
    </row>
    <row r="3448" spans="70:82" x14ac:dyDescent="0.15">
      <c r="BR3448" s="34"/>
      <c r="BV3448" s="34"/>
      <c r="BZ3448" s="34"/>
      <c r="CD3448" s="34"/>
    </row>
    <row r="3449" spans="70:82" x14ac:dyDescent="0.15">
      <c r="BR3449" s="34"/>
      <c r="BV3449" s="34"/>
      <c r="BZ3449" s="34"/>
      <c r="CD3449" s="34"/>
    </row>
    <row r="3450" spans="70:82" x14ac:dyDescent="0.15">
      <c r="BR3450" s="34"/>
      <c r="BV3450" s="34"/>
      <c r="BZ3450" s="34"/>
      <c r="CD3450" s="34"/>
    </row>
    <row r="3451" spans="70:82" x14ac:dyDescent="0.15">
      <c r="BR3451" s="34"/>
      <c r="BV3451" s="34"/>
      <c r="BZ3451" s="34"/>
      <c r="CD3451" s="34"/>
    </row>
    <row r="3452" spans="70:82" x14ac:dyDescent="0.15">
      <c r="BR3452" s="34"/>
      <c r="BV3452" s="34"/>
      <c r="BZ3452" s="34"/>
      <c r="CD3452" s="34"/>
    </row>
    <row r="3453" spans="70:82" x14ac:dyDescent="0.15">
      <c r="BR3453" s="34"/>
      <c r="BV3453" s="34"/>
      <c r="BZ3453" s="34"/>
      <c r="CD3453" s="34"/>
    </row>
    <row r="3454" spans="70:82" x14ac:dyDescent="0.15">
      <c r="BR3454" s="34"/>
      <c r="BV3454" s="34"/>
      <c r="BZ3454" s="34"/>
      <c r="CD3454" s="34"/>
    </row>
    <row r="3455" spans="70:82" x14ac:dyDescent="0.15">
      <c r="BR3455" s="34"/>
      <c r="BV3455" s="34"/>
      <c r="BZ3455" s="34"/>
      <c r="CD3455" s="34"/>
    </row>
    <row r="3456" spans="70:82" x14ac:dyDescent="0.15">
      <c r="BR3456" s="34"/>
      <c r="BV3456" s="34"/>
      <c r="BZ3456" s="34"/>
      <c r="CD3456" s="34"/>
    </row>
    <row r="3457" spans="70:82" x14ac:dyDescent="0.15">
      <c r="BR3457" s="34"/>
      <c r="BV3457" s="34"/>
      <c r="BZ3457" s="34"/>
      <c r="CD3457" s="34"/>
    </row>
    <row r="3458" spans="70:82" x14ac:dyDescent="0.15">
      <c r="BR3458" s="34"/>
      <c r="BV3458" s="34"/>
      <c r="BZ3458" s="34"/>
      <c r="CD3458" s="34"/>
    </row>
    <row r="3459" spans="70:82" x14ac:dyDescent="0.15">
      <c r="BR3459" s="34"/>
      <c r="BV3459" s="34"/>
      <c r="BZ3459" s="34"/>
      <c r="CD3459" s="34"/>
    </row>
    <row r="3460" spans="70:82" x14ac:dyDescent="0.15">
      <c r="BR3460" s="34"/>
      <c r="BV3460" s="34"/>
      <c r="BZ3460" s="34"/>
      <c r="CD3460" s="34"/>
    </row>
    <row r="3461" spans="70:82" x14ac:dyDescent="0.15">
      <c r="BR3461" s="34"/>
      <c r="BV3461" s="34"/>
      <c r="BZ3461" s="34"/>
      <c r="CD3461" s="34"/>
    </row>
    <row r="3462" spans="70:82" x14ac:dyDescent="0.15">
      <c r="BR3462" s="34"/>
      <c r="BV3462" s="34"/>
      <c r="BZ3462" s="34"/>
      <c r="CD3462" s="34"/>
    </row>
    <row r="3463" spans="70:82" x14ac:dyDescent="0.15">
      <c r="BR3463" s="34"/>
      <c r="BV3463" s="34"/>
      <c r="BZ3463" s="34"/>
      <c r="CD3463" s="34"/>
    </row>
    <row r="3464" spans="70:82" x14ac:dyDescent="0.15">
      <c r="BR3464" s="34"/>
      <c r="BV3464" s="34"/>
      <c r="BZ3464" s="34"/>
      <c r="CD3464" s="34"/>
    </row>
    <row r="3465" spans="70:82" x14ac:dyDescent="0.15">
      <c r="BR3465" s="34"/>
      <c r="BV3465" s="34"/>
      <c r="BZ3465" s="34"/>
      <c r="CD3465" s="34"/>
    </row>
    <row r="3466" spans="70:82" x14ac:dyDescent="0.15">
      <c r="BR3466" s="34"/>
      <c r="BV3466" s="34"/>
      <c r="BZ3466" s="34"/>
      <c r="CD3466" s="34"/>
    </row>
    <row r="3467" spans="70:82" x14ac:dyDescent="0.15">
      <c r="BR3467" s="34"/>
      <c r="BV3467" s="34"/>
      <c r="BZ3467" s="34"/>
      <c r="CD3467" s="34"/>
    </row>
    <row r="3468" spans="70:82" x14ac:dyDescent="0.15">
      <c r="BR3468" s="34"/>
      <c r="BV3468" s="34"/>
      <c r="BZ3468" s="34"/>
      <c r="CD3468" s="34"/>
    </row>
    <row r="3469" spans="70:82" x14ac:dyDescent="0.15">
      <c r="BR3469" s="34"/>
      <c r="BV3469" s="34"/>
      <c r="BZ3469" s="34"/>
      <c r="CD3469" s="34"/>
    </row>
    <row r="3470" spans="70:82" x14ac:dyDescent="0.15">
      <c r="BR3470" s="34"/>
      <c r="BV3470" s="34"/>
      <c r="BZ3470" s="34"/>
      <c r="CD3470" s="34"/>
    </row>
    <row r="3471" spans="70:82" x14ac:dyDescent="0.15">
      <c r="BR3471" s="34"/>
      <c r="BV3471" s="34"/>
      <c r="BZ3471" s="34"/>
      <c r="CD3471" s="34"/>
    </row>
    <row r="3472" spans="70:82" x14ac:dyDescent="0.15">
      <c r="BR3472" s="34"/>
      <c r="BV3472" s="34"/>
      <c r="BZ3472" s="34"/>
      <c r="CD3472" s="34"/>
    </row>
    <row r="3473" spans="70:82" x14ac:dyDescent="0.15">
      <c r="BR3473" s="34"/>
      <c r="BV3473" s="34"/>
      <c r="BZ3473" s="34"/>
      <c r="CD3473" s="34"/>
    </row>
    <row r="3474" spans="70:82" x14ac:dyDescent="0.15">
      <c r="BR3474" s="34"/>
      <c r="BV3474" s="34"/>
      <c r="BZ3474" s="34"/>
      <c r="CD3474" s="34"/>
    </row>
    <row r="3475" spans="70:82" x14ac:dyDescent="0.15">
      <c r="BR3475" s="34"/>
      <c r="BV3475" s="34"/>
      <c r="BZ3475" s="34"/>
      <c r="CD3475" s="34"/>
    </row>
    <row r="3476" spans="70:82" x14ac:dyDescent="0.15">
      <c r="BR3476" s="34"/>
      <c r="BV3476" s="34"/>
      <c r="BZ3476" s="34"/>
      <c r="CD3476" s="34"/>
    </row>
    <row r="3477" spans="70:82" x14ac:dyDescent="0.15">
      <c r="BR3477" s="34"/>
      <c r="BV3477" s="34"/>
      <c r="BZ3477" s="34"/>
      <c r="CD3477" s="34"/>
    </row>
    <row r="3478" spans="70:82" x14ac:dyDescent="0.15">
      <c r="BR3478" s="34"/>
      <c r="BV3478" s="34"/>
      <c r="BZ3478" s="34"/>
      <c r="CD3478" s="34"/>
    </row>
    <row r="3479" spans="70:82" x14ac:dyDescent="0.15">
      <c r="BR3479" s="34"/>
      <c r="BV3479" s="34"/>
      <c r="BZ3479" s="34"/>
      <c r="CD3479" s="34"/>
    </row>
    <row r="3480" spans="70:82" x14ac:dyDescent="0.15">
      <c r="BR3480" s="34"/>
      <c r="BV3480" s="34"/>
      <c r="BZ3480" s="34"/>
      <c r="CD3480" s="34"/>
    </row>
    <row r="3481" spans="70:82" x14ac:dyDescent="0.15">
      <c r="BR3481" s="34"/>
      <c r="BV3481" s="34"/>
      <c r="BZ3481" s="34"/>
      <c r="CD3481" s="34"/>
    </row>
    <row r="3482" spans="70:82" x14ac:dyDescent="0.15">
      <c r="BR3482" s="34"/>
      <c r="BV3482" s="34"/>
      <c r="BZ3482" s="34"/>
      <c r="CD3482" s="34"/>
    </row>
    <row r="3483" spans="70:82" x14ac:dyDescent="0.15">
      <c r="BR3483" s="34"/>
      <c r="BV3483" s="34"/>
      <c r="BZ3483" s="34"/>
      <c r="CD3483" s="34"/>
    </row>
    <row r="3484" spans="70:82" x14ac:dyDescent="0.15">
      <c r="BR3484" s="34"/>
      <c r="BV3484" s="34"/>
      <c r="BZ3484" s="34"/>
      <c r="CD3484" s="34"/>
    </row>
    <row r="3485" spans="70:82" x14ac:dyDescent="0.15">
      <c r="BR3485" s="34"/>
      <c r="BV3485" s="34"/>
      <c r="BZ3485" s="34"/>
      <c r="CD3485" s="34"/>
    </row>
    <row r="3486" spans="70:82" x14ac:dyDescent="0.15">
      <c r="BR3486" s="34"/>
      <c r="BV3486" s="34"/>
      <c r="BZ3486" s="34"/>
      <c r="CD3486" s="34"/>
    </row>
    <row r="3487" spans="70:82" x14ac:dyDescent="0.15">
      <c r="BR3487" s="34"/>
      <c r="BV3487" s="34"/>
      <c r="BZ3487" s="34"/>
      <c r="CD3487" s="34"/>
    </row>
    <row r="3488" spans="70:82" x14ac:dyDescent="0.15">
      <c r="BR3488" s="34"/>
      <c r="BV3488" s="34"/>
      <c r="BZ3488" s="34"/>
      <c r="CD3488" s="34"/>
    </row>
    <row r="3489" spans="70:82" x14ac:dyDescent="0.15">
      <c r="BR3489" s="34"/>
      <c r="BV3489" s="34"/>
      <c r="BZ3489" s="34"/>
      <c r="CD3489" s="34"/>
    </row>
    <row r="3490" spans="70:82" x14ac:dyDescent="0.15">
      <c r="BR3490" s="34"/>
      <c r="BV3490" s="34"/>
      <c r="BZ3490" s="34"/>
      <c r="CD3490" s="34"/>
    </row>
    <row r="3491" spans="70:82" x14ac:dyDescent="0.15">
      <c r="BR3491" s="34"/>
      <c r="BV3491" s="34"/>
      <c r="BZ3491" s="34"/>
      <c r="CD3491" s="34"/>
    </row>
    <row r="3492" spans="70:82" x14ac:dyDescent="0.15">
      <c r="BR3492" s="34"/>
      <c r="BV3492" s="34"/>
      <c r="BZ3492" s="34"/>
      <c r="CD3492" s="34"/>
    </row>
    <row r="3493" spans="70:82" x14ac:dyDescent="0.15">
      <c r="BR3493" s="34"/>
      <c r="BV3493" s="34"/>
      <c r="BZ3493" s="34"/>
      <c r="CD3493" s="34"/>
    </row>
    <row r="3494" spans="70:82" x14ac:dyDescent="0.15">
      <c r="BR3494" s="34"/>
      <c r="BV3494" s="34"/>
      <c r="BZ3494" s="34"/>
      <c r="CD3494" s="34"/>
    </row>
    <row r="3495" spans="70:82" x14ac:dyDescent="0.15">
      <c r="BR3495" s="34"/>
      <c r="BV3495" s="34"/>
      <c r="BZ3495" s="34"/>
      <c r="CD3495" s="34"/>
    </row>
    <row r="3496" spans="70:82" x14ac:dyDescent="0.15">
      <c r="BR3496" s="34"/>
      <c r="BV3496" s="34"/>
      <c r="BZ3496" s="34"/>
      <c r="CD3496" s="34"/>
    </row>
    <row r="3497" spans="70:82" x14ac:dyDescent="0.15">
      <c r="BR3497" s="34"/>
      <c r="BV3497" s="34"/>
      <c r="BZ3497" s="34"/>
      <c r="CD3497" s="34"/>
    </row>
    <row r="3498" spans="70:82" x14ac:dyDescent="0.15">
      <c r="BR3498" s="34"/>
      <c r="BV3498" s="34"/>
      <c r="BZ3498" s="34"/>
      <c r="CD3498" s="34"/>
    </row>
    <row r="3499" spans="70:82" x14ac:dyDescent="0.15">
      <c r="BR3499" s="34"/>
      <c r="BV3499" s="34"/>
      <c r="BZ3499" s="34"/>
      <c r="CD3499" s="34"/>
    </row>
    <row r="3500" spans="70:82" x14ac:dyDescent="0.15">
      <c r="BR3500" s="34"/>
      <c r="BV3500" s="34"/>
      <c r="BZ3500" s="34"/>
      <c r="CD3500" s="34"/>
    </row>
    <row r="3501" spans="70:82" x14ac:dyDescent="0.15">
      <c r="BR3501" s="34"/>
      <c r="BV3501" s="34"/>
      <c r="BZ3501" s="34"/>
      <c r="CD3501" s="34"/>
    </row>
    <row r="3502" spans="70:82" x14ac:dyDescent="0.15">
      <c r="BR3502" s="34"/>
      <c r="BV3502" s="34"/>
      <c r="BZ3502" s="34"/>
      <c r="CD3502" s="34"/>
    </row>
    <row r="3503" spans="70:82" x14ac:dyDescent="0.15">
      <c r="BR3503" s="34"/>
      <c r="BV3503" s="34"/>
      <c r="BZ3503" s="34"/>
      <c r="CD3503" s="34"/>
    </row>
    <row r="3504" spans="70:82" x14ac:dyDescent="0.15">
      <c r="BR3504" s="34"/>
      <c r="BV3504" s="34"/>
      <c r="BZ3504" s="34"/>
      <c r="CD3504" s="34"/>
    </row>
    <row r="3505" spans="70:82" x14ac:dyDescent="0.15">
      <c r="BR3505" s="34"/>
      <c r="BV3505" s="34"/>
      <c r="BZ3505" s="34"/>
      <c r="CD3505" s="34"/>
    </row>
    <row r="3506" spans="70:82" x14ac:dyDescent="0.15">
      <c r="BR3506" s="34"/>
      <c r="BV3506" s="34"/>
      <c r="BZ3506" s="34"/>
      <c r="CD3506" s="34"/>
    </row>
    <row r="3507" spans="70:82" x14ac:dyDescent="0.15">
      <c r="BR3507" s="34"/>
      <c r="BV3507" s="34"/>
      <c r="BZ3507" s="34"/>
      <c r="CD3507" s="34"/>
    </row>
    <row r="3508" spans="70:82" x14ac:dyDescent="0.15">
      <c r="BR3508" s="34"/>
      <c r="BV3508" s="34"/>
      <c r="BZ3508" s="34"/>
      <c r="CD3508" s="34"/>
    </row>
    <row r="3509" spans="70:82" x14ac:dyDescent="0.15">
      <c r="BR3509" s="34"/>
      <c r="BV3509" s="34"/>
      <c r="BZ3509" s="34"/>
      <c r="CD3509" s="34"/>
    </row>
    <row r="3510" spans="70:82" x14ac:dyDescent="0.15">
      <c r="BR3510" s="34"/>
      <c r="BV3510" s="34"/>
      <c r="BZ3510" s="34"/>
      <c r="CD3510" s="34"/>
    </row>
    <row r="3511" spans="70:82" x14ac:dyDescent="0.15">
      <c r="BR3511" s="34"/>
      <c r="BV3511" s="34"/>
      <c r="BZ3511" s="34"/>
      <c r="CD3511" s="34"/>
    </row>
    <row r="3512" spans="70:82" x14ac:dyDescent="0.15">
      <c r="BR3512" s="34"/>
      <c r="BV3512" s="34"/>
      <c r="BZ3512" s="34"/>
      <c r="CD3512" s="34"/>
    </row>
    <row r="3513" spans="70:82" x14ac:dyDescent="0.15">
      <c r="BR3513" s="34"/>
      <c r="BV3513" s="34"/>
      <c r="BZ3513" s="34"/>
      <c r="CD3513" s="34"/>
    </row>
    <row r="3514" spans="70:82" x14ac:dyDescent="0.15">
      <c r="BR3514" s="34"/>
      <c r="BV3514" s="34"/>
      <c r="BZ3514" s="34"/>
      <c r="CD3514" s="34"/>
    </row>
    <row r="3515" spans="70:82" x14ac:dyDescent="0.15">
      <c r="BR3515" s="34"/>
      <c r="BV3515" s="34"/>
      <c r="BZ3515" s="34"/>
      <c r="CD3515" s="34"/>
    </row>
    <row r="3516" spans="70:82" x14ac:dyDescent="0.15">
      <c r="BR3516" s="34"/>
      <c r="BV3516" s="34"/>
      <c r="BZ3516" s="34"/>
      <c r="CD3516" s="34"/>
    </row>
    <row r="3517" spans="70:82" x14ac:dyDescent="0.15">
      <c r="BR3517" s="34"/>
      <c r="BV3517" s="34"/>
      <c r="BZ3517" s="34"/>
      <c r="CD3517" s="34"/>
    </row>
    <row r="3518" spans="70:82" x14ac:dyDescent="0.15">
      <c r="BR3518" s="34"/>
      <c r="BV3518" s="34"/>
      <c r="BZ3518" s="34"/>
      <c r="CD3518" s="34"/>
    </row>
    <row r="3519" spans="70:82" x14ac:dyDescent="0.15">
      <c r="BR3519" s="34"/>
      <c r="BV3519" s="34"/>
      <c r="BZ3519" s="34"/>
      <c r="CD3519" s="34"/>
    </row>
    <row r="3520" spans="70:82" x14ac:dyDescent="0.15">
      <c r="BR3520" s="34"/>
      <c r="BV3520" s="34"/>
      <c r="BZ3520" s="34"/>
      <c r="CD3520" s="34"/>
    </row>
    <row r="3521" spans="70:82" x14ac:dyDescent="0.15">
      <c r="BR3521" s="34"/>
      <c r="BV3521" s="34"/>
      <c r="BZ3521" s="34"/>
      <c r="CD3521" s="34"/>
    </row>
    <row r="3522" spans="70:82" x14ac:dyDescent="0.15">
      <c r="BR3522" s="34"/>
      <c r="BV3522" s="34"/>
      <c r="BZ3522" s="34"/>
      <c r="CD3522" s="34"/>
    </row>
    <row r="3523" spans="70:82" x14ac:dyDescent="0.15">
      <c r="BR3523" s="34"/>
      <c r="BV3523" s="34"/>
      <c r="BZ3523" s="34"/>
      <c r="CD3523" s="34"/>
    </row>
    <row r="3524" spans="70:82" x14ac:dyDescent="0.15">
      <c r="BR3524" s="34"/>
      <c r="BV3524" s="34"/>
      <c r="BZ3524" s="34"/>
      <c r="CD3524" s="34"/>
    </row>
    <row r="3525" spans="70:82" x14ac:dyDescent="0.15">
      <c r="BR3525" s="34"/>
      <c r="BV3525" s="34"/>
      <c r="BZ3525" s="34"/>
      <c r="CD3525" s="34"/>
    </row>
    <row r="3526" spans="70:82" x14ac:dyDescent="0.15">
      <c r="BR3526" s="34"/>
      <c r="BV3526" s="34"/>
      <c r="BZ3526" s="34"/>
      <c r="CD3526" s="34"/>
    </row>
    <row r="3527" spans="70:82" x14ac:dyDescent="0.15">
      <c r="BR3527" s="34"/>
      <c r="BV3527" s="34"/>
      <c r="BZ3527" s="34"/>
      <c r="CD3527" s="34"/>
    </row>
    <row r="3528" spans="70:82" x14ac:dyDescent="0.15">
      <c r="BR3528" s="34"/>
      <c r="BV3528" s="34"/>
      <c r="BZ3528" s="34"/>
      <c r="CD3528" s="34"/>
    </row>
    <row r="3529" spans="70:82" x14ac:dyDescent="0.15">
      <c r="BR3529" s="34"/>
      <c r="BV3529" s="34"/>
      <c r="BZ3529" s="34"/>
      <c r="CD3529" s="34"/>
    </row>
    <row r="3530" spans="70:82" x14ac:dyDescent="0.15">
      <c r="BR3530" s="34"/>
      <c r="BV3530" s="34"/>
      <c r="BZ3530" s="34"/>
      <c r="CD3530" s="34"/>
    </row>
    <row r="3531" spans="70:82" x14ac:dyDescent="0.15">
      <c r="BR3531" s="34"/>
      <c r="BV3531" s="34"/>
      <c r="BZ3531" s="34"/>
      <c r="CD3531" s="34"/>
    </row>
    <row r="3532" spans="70:82" x14ac:dyDescent="0.15">
      <c r="BR3532" s="34"/>
      <c r="BV3532" s="34"/>
      <c r="BZ3532" s="34"/>
      <c r="CD3532" s="34"/>
    </row>
    <row r="3533" spans="70:82" x14ac:dyDescent="0.15">
      <c r="BR3533" s="34"/>
      <c r="BV3533" s="34"/>
      <c r="BZ3533" s="34"/>
      <c r="CD3533" s="34"/>
    </row>
    <row r="3534" spans="70:82" x14ac:dyDescent="0.15">
      <c r="BR3534" s="34"/>
      <c r="BV3534" s="34"/>
      <c r="BZ3534" s="34"/>
      <c r="CD3534" s="34"/>
    </row>
    <row r="3535" spans="70:82" x14ac:dyDescent="0.15">
      <c r="BR3535" s="34"/>
      <c r="BV3535" s="34"/>
      <c r="BZ3535" s="34"/>
      <c r="CD3535" s="34"/>
    </row>
    <row r="3536" spans="70:82" x14ac:dyDescent="0.15">
      <c r="BR3536" s="34"/>
      <c r="BV3536" s="34"/>
      <c r="BZ3536" s="34"/>
      <c r="CD3536" s="34"/>
    </row>
    <row r="3537" spans="70:82" x14ac:dyDescent="0.15">
      <c r="BR3537" s="34"/>
      <c r="BV3537" s="34"/>
      <c r="BZ3537" s="34"/>
      <c r="CD3537" s="34"/>
    </row>
    <row r="3538" spans="70:82" x14ac:dyDescent="0.15">
      <c r="BR3538" s="34"/>
      <c r="BV3538" s="34"/>
      <c r="BZ3538" s="34"/>
      <c r="CD3538" s="34"/>
    </row>
    <row r="3539" spans="70:82" x14ac:dyDescent="0.15">
      <c r="BR3539" s="34"/>
      <c r="BV3539" s="34"/>
      <c r="BZ3539" s="34"/>
      <c r="CD3539" s="34"/>
    </row>
    <row r="3540" spans="70:82" x14ac:dyDescent="0.15">
      <c r="BR3540" s="34"/>
      <c r="BV3540" s="34"/>
      <c r="BZ3540" s="34"/>
      <c r="CD3540" s="34"/>
    </row>
    <row r="3541" spans="70:82" x14ac:dyDescent="0.15">
      <c r="BR3541" s="34"/>
      <c r="BV3541" s="34"/>
      <c r="BZ3541" s="34"/>
      <c r="CD3541" s="34"/>
    </row>
    <row r="3542" spans="70:82" x14ac:dyDescent="0.15">
      <c r="BR3542" s="34"/>
      <c r="BV3542" s="34"/>
      <c r="BZ3542" s="34"/>
      <c r="CD3542" s="34"/>
    </row>
    <row r="3543" spans="70:82" x14ac:dyDescent="0.15">
      <c r="BR3543" s="34"/>
      <c r="BV3543" s="34"/>
      <c r="BZ3543" s="34"/>
      <c r="CD3543" s="34"/>
    </row>
    <row r="3544" spans="70:82" x14ac:dyDescent="0.15">
      <c r="BR3544" s="34"/>
      <c r="BV3544" s="34"/>
      <c r="BZ3544" s="34"/>
      <c r="CD3544" s="34"/>
    </row>
    <row r="3545" spans="70:82" x14ac:dyDescent="0.15">
      <c r="BR3545" s="34"/>
      <c r="BV3545" s="34"/>
      <c r="BZ3545" s="34"/>
      <c r="CD3545" s="34"/>
    </row>
    <row r="3546" spans="70:82" x14ac:dyDescent="0.15">
      <c r="BR3546" s="34"/>
      <c r="BV3546" s="34"/>
      <c r="BZ3546" s="34"/>
      <c r="CD3546" s="34"/>
    </row>
    <row r="3547" spans="70:82" x14ac:dyDescent="0.15">
      <c r="BR3547" s="34"/>
      <c r="BV3547" s="34"/>
      <c r="BZ3547" s="34"/>
      <c r="CD3547" s="34"/>
    </row>
    <row r="3548" spans="70:82" x14ac:dyDescent="0.15">
      <c r="BR3548" s="34"/>
      <c r="BV3548" s="34"/>
      <c r="BZ3548" s="34"/>
      <c r="CD3548" s="34"/>
    </row>
    <row r="3549" spans="70:82" x14ac:dyDescent="0.15">
      <c r="BR3549" s="34"/>
      <c r="BV3549" s="34"/>
      <c r="BZ3549" s="34"/>
      <c r="CD3549" s="34"/>
    </row>
    <row r="3550" spans="70:82" x14ac:dyDescent="0.15">
      <c r="BR3550" s="34"/>
      <c r="BV3550" s="34"/>
      <c r="BZ3550" s="34"/>
      <c r="CD3550" s="34"/>
    </row>
    <row r="3551" spans="70:82" x14ac:dyDescent="0.15">
      <c r="BR3551" s="34"/>
      <c r="BV3551" s="34"/>
      <c r="BZ3551" s="34"/>
      <c r="CD3551" s="34"/>
    </row>
    <row r="3552" spans="70:82" x14ac:dyDescent="0.15">
      <c r="BR3552" s="34"/>
      <c r="BV3552" s="34"/>
      <c r="BZ3552" s="34"/>
      <c r="CD3552" s="34"/>
    </row>
    <row r="3553" spans="70:82" x14ac:dyDescent="0.15">
      <c r="BR3553" s="34"/>
      <c r="BV3553" s="34"/>
      <c r="BZ3553" s="34"/>
      <c r="CD3553" s="34"/>
    </row>
    <row r="3554" spans="70:82" x14ac:dyDescent="0.15">
      <c r="BR3554" s="34"/>
      <c r="BV3554" s="34"/>
      <c r="BZ3554" s="34"/>
      <c r="CD3554" s="34"/>
    </row>
    <row r="3555" spans="70:82" x14ac:dyDescent="0.15">
      <c r="BR3555" s="34"/>
      <c r="BV3555" s="34"/>
      <c r="BZ3555" s="34"/>
      <c r="CD3555" s="34"/>
    </row>
    <row r="3556" spans="70:82" x14ac:dyDescent="0.15">
      <c r="BR3556" s="34"/>
      <c r="BV3556" s="34"/>
      <c r="BZ3556" s="34"/>
      <c r="CD3556" s="34"/>
    </row>
    <row r="3557" spans="70:82" x14ac:dyDescent="0.15">
      <c r="BR3557" s="34"/>
      <c r="BV3557" s="34"/>
      <c r="BZ3557" s="34"/>
      <c r="CD3557" s="34"/>
    </row>
    <row r="3558" spans="70:82" x14ac:dyDescent="0.15">
      <c r="BR3558" s="34"/>
      <c r="BV3558" s="34"/>
      <c r="BZ3558" s="34"/>
      <c r="CD3558" s="34"/>
    </row>
    <row r="3559" spans="70:82" x14ac:dyDescent="0.15">
      <c r="BR3559" s="34"/>
      <c r="BV3559" s="34"/>
      <c r="BZ3559" s="34"/>
      <c r="CD3559" s="34"/>
    </row>
    <row r="3560" spans="70:82" x14ac:dyDescent="0.15">
      <c r="BR3560" s="34"/>
      <c r="BV3560" s="34"/>
      <c r="BZ3560" s="34"/>
      <c r="CD3560" s="34"/>
    </row>
    <row r="3561" spans="70:82" x14ac:dyDescent="0.15">
      <c r="BR3561" s="34"/>
      <c r="BV3561" s="34"/>
      <c r="BZ3561" s="34"/>
      <c r="CD3561" s="34"/>
    </row>
    <row r="3562" spans="70:82" x14ac:dyDescent="0.15">
      <c r="BR3562" s="34"/>
      <c r="BV3562" s="34"/>
      <c r="BZ3562" s="34"/>
      <c r="CD3562" s="34"/>
    </row>
    <row r="3563" spans="70:82" x14ac:dyDescent="0.15">
      <c r="BR3563" s="34"/>
      <c r="BV3563" s="34"/>
      <c r="BZ3563" s="34"/>
      <c r="CD3563" s="34"/>
    </row>
    <row r="3564" spans="70:82" x14ac:dyDescent="0.15">
      <c r="BR3564" s="34"/>
      <c r="BV3564" s="34"/>
      <c r="BZ3564" s="34"/>
      <c r="CD3564" s="34"/>
    </row>
    <row r="3565" spans="70:82" x14ac:dyDescent="0.15">
      <c r="BR3565" s="34"/>
      <c r="BV3565" s="34"/>
      <c r="BZ3565" s="34"/>
      <c r="CD3565" s="34"/>
    </row>
    <row r="3566" spans="70:82" x14ac:dyDescent="0.15">
      <c r="BR3566" s="34"/>
      <c r="BV3566" s="34"/>
      <c r="BZ3566" s="34"/>
      <c r="CD3566" s="34"/>
    </row>
    <row r="3567" spans="70:82" x14ac:dyDescent="0.15">
      <c r="BR3567" s="34"/>
      <c r="BV3567" s="34"/>
      <c r="BZ3567" s="34"/>
      <c r="CD3567" s="34"/>
    </row>
    <row r="3568" spans="70:82" x14ac:dyDescent="0.15">
      <c r="BR3568" s="34"/>
      <c r="BV3568" s="34"/>
      <c r="BZ3568" s="34"/>
      <c r="CD3568" s="34"/>
    </row>
    <row r="3569" spans="70:82" x14ac:dyDescent="0.15">
      <c r="BR3569" s="34"/>
      <c r="BV3569" s="34"/>
      <c r="BZ3569" s="34"/>
      <c r="CD3569" s="34"/>
    </row>
    <row r="3570" spans="70:82" x14ac:dyDescent="0.15">
      <c r="BR3570" s="34"/>
      <c r="BV3570" s="34"/>
      <c r="BZ3570" s="34"/>
      <c r="CD3570" s="34"/>
    </row>
    <row r="3571" spans="70:82" x14ac:dyDescent="0.15">
      <c r="BR3571" s="34"/>
      <c r="BV3571" s="34"/>
      <c r="BZ3571" s="34"/>
      <c r="CD3571" s="34"/>
    </row>
    <row r="3572" spans="70:82" x14ac:dyDescent="0.15">
      <c r="BR3572" s="34"/>
      <c r="BV3572" s="34"/>
      <c r="BZ3572" s="34"/>
      <c r="CD3572" s="34"/>
    </row>
    <row r="3573" spans="70:82" x14ac:dyDescent="0.15">
      <c r="BR3573" s="34"/>
      <c r="BV3573" s="34"/>
      <c r="BZ3573" s="34"/>
      <c r="CD3573" s="34"/>
    </row>
    <row r="3574" spans="70:82" x14ac:dyDescent="0.15">
      <c r="BR3574" s="34"/>
      <c r="BV3574" s="34"/>
      <c r="BZ3574" s="34"/>
      <c r="CD3574" s="34"/>
    </row>
    <row r="3575" spans="70:82" x14ac:dyDescent="0.15">
      <c r="BR3575" s="34"/>
      <c r="BV3575" s="34"/>
      <c r="BZ3575" s="34"/>
      <c r="CD3575" s="34"/>
    </row>
    <row r="3576" spans="70:82" x14ac:dyDescent="0.15">
      <c r="BR3576" s="34"/>
      <c r="BV3576" s="34"/>
      <c r="BZ3576" s="34"/>
      <c r="CD3576" s="34"/>
    </row>
    <row r="3577" spans="70:82" x14ac:dyDescent="0.15">
      <c r="BR3577" s="34"/>
      <c r="BV3577" s="34"/>
      <c r="BZ3577" s="34"/>
      <c r="CD3577" s="34"/>
    </row>
    <row r="3578" spans="70:82" x14ac:dyDescent="0.15">
      <c r="BR3578" s="34"/>
      <c r="BV3578" s="34"/>
      <c r="BZ3578" s="34"/>
      <c r="CD3578" s="34"/>
    </row>
    <row r="3579" spans="70:82" x14ac:dyDescent="0.15">
      <c r="BR3579" s="34"/>
      <c r="BV3579" s="34"/>
      <c r="BZ3579" s="34"/>
      <c r="CD3579" s="34"/>
    </row>
    <row r="3580" spans="70:82" x14ac:dyDescent="0.15">
      <c r="BR3580" s="34"/>
      <c r="BV3580" s="34"/>
      <c r="BZ3580" s="34"/>
      <c r="CD3580" s="34"/>
    </row>
    <row r="3581" spans="70:82" x14ac:dyDescent="0.15">
      <c r="BR3581" s="34"/>
      <c r="BV3581" s="34"/>
      <c r="BZ3581" s="34"/>
      <c r="CD3581" s="34"/>
    </row>
    <row r="3582" spans="70:82" x14ac:dyDescent="0.15">
      <c r="BR3582" s="34"/>
      <c r="BV3582" s="34"/>
      <c r="BZ3582" s="34"/>
      <c r="CD3582" s="34"/>
    </row>
    <row r="3583" spans="70:82" x14ac:dyDescent="0.15">
      <c r="BR3583" s="34"/>
      <c r="BV3583" s="34"/>
      <c r="BZ3583" s="34"/>
      <c r="CD3583" s="34"/>
    </row>
    <row r="3584" spans="70:82" x14ac:dyDescent="0.15">
      <c r="BR3584" s="34"/>
      <c r="BV3584" s="34"/>
      <c r="BZ3584" s="34"/>
      <c r="CD3584" s="34"/>
    </row>
    <row r="3585" spans="70:82" x14ac:dyDescent="0.15">
      <c r="BR3585" s="34"/>
      <c r="BV3585" s="34"/>
      <c r="BZ3585" s="34"/>
      <c r="CD3585" s="34"/>
    </row>
    <row r="3586" spans="70:82" x14ac:dyDescent="0.15">
      <c r="BR3586" s="34"/>
      <c r="BV3586" s="34"/>
      <c r="BZ3586" s="34"/>
      <c r="CD3586" s="34"/>
    </row>
    <row r="3587" spans="70:82" x14ac:dyDescent="0.15">
      <c r="BR3587" s="34"/>
      <c r="BV3587" s="34"/>
      <c r="BZ3587" s="34"/>
      <c r="CD3587" s="34"/>
    </row>
    <row r="3588" spans="70:82" x14ac:dyDescent="0.15">
      <c r="BR3588" s="34"/>
      <c r="BV3588" s="34"/>
      <c r="BZ3588" s="34"/>
      <c r="CD3588" s="34"/>
    </row>
    <row r="3589" spans="70:82" x14ac:dyDescent="0.15">
      <c r="BR3589" s="34"/>
      <c r="BV3589" s="34"/>
      <c r="BZ3589" s="34"/>
      <c r="CD3589" s="34"/>
    </row>
    <row r="3590" spans="70:82" x14ac:dyDescent="0.15">
      <c r="BR3590" s="34"/>
      <c r="BV3590" s="34"/>
      <c r="BZ3590" s="34"/>
      <c r="CD3590" s="34"/>
    </row>
    <row r="3591" spans="70:82" x14ac:dyDescent="0.15">
      <c r="BR3591" s="34"/>
      <c r="BV3591" s="34"/>
      <c r="BZ3591" s="34"/>
      <c r="CD3591" s="34"/>
    </row>
    <row r="3592" spans="70:82" x14ac:dyDescent="0.15">
      <c r="BR3592" s="34"/>
      <c r="BV3592" s="34"/>
      <c r="BZ3592" s="34"/>
      <c r="CD3592" s="34"/>
    </row>
    <row r="3593" spans="70:82" x14ac:dyDescent="0.15">
      <c r="BR3593" s="34"/>
      <c r="BV3593" s="34"/>
      <c r="BZ3593" s="34"/>
      <c r="CD3593" s="34"/>
    </row>
    <row r="3594" spans="70:82" x14ac:dyDescent="0.15">
      <c r="BR3594" s="34"/>
      <c r="BV3594" s="34"/>
      <c r="BZ3594" s="34"/>
      <c r="CD3594" s="34"/>
    </row>
    <row r="3595" spans="70:82" x14ac:dyDescent="0.15">
      <c r="BR3595" s="34"/>
      <c r="BV3595" s="34"/>
      <c r="BZ3595" s="34"/>
      <c r="CD3595" s="34"/>
    </row>
    <row r="3596" spans="70:82" x14ac:dyDescent="0.15">
      <c r="BR3596" s="34"/>
      <c r="BV3596" s="34"/>
      <c r="BZ3596" s="34"/>
      <c r="CD3596" s="34"/>
    </row>
    <row r="3597" spans="70:82" x14ac:dyDescent="0.15">
      <c r="BR3597" s="34"/>
      <c r="BV3597" s="34"/>
      <c r="BZ3597" s="34"/>
      <c r="CD3597" s="34"/>
    </row>
    <row r="3598" spans="70:82" x14ac:dyDescent="0.15">
      <c r="BR3598" s="34"/>
      <c r="BV3598" s="34"/>
      <c r="BZ3598" s="34"/>
      <c r="CD3598" s="34"/>
    </row>
    <row r="3599" spans="70:82" x14ac:dyDescent="0.15">
      <c r="BR3599" s="34"/>
      <c r="BV3599" s="34"/>
      <c r="BZ3599" s="34"/>
      <c r="CD3599" s="34"/>
    </row>
    <row r="3600" spans="70:82" x14ac:dyDescent="0.15">
      <c r="BR3600" s="34"/>
      <c r="BV3600" s="34"/>
      <c r="BZ3600" s="34"/>
      <c r="CD3600" s="34"/>
    </row>
    <row r="3601" spans="70:82" x14ac:dyDescent="0.15">
      <c r="BR3601" s="34"/>
      <c r="BV3601" s="34"/>
      <c r="BZ3601" s="34"/>
      <c r="CD3601" s="34"/>
    </row>
    <row r="3602" spans="70:82" x14ac:dyDescent="0.15">
      <c r="BR3602" s="34"/>
      <c r="BV3602" s="34"/>
      <c r="BZ3602" s="34"/>
      <c r="CD3602" s="34"/>
    </row>
    <row r="3603" spans="70:82" x14ac:dyDescent="0.15">
      <c r="BR3603" s="34"/>
      <c r="BV3603" s="34"/>
      <c r="BZ3603" s="34"/>
      <c r="CD3603" s="34"/>
    </row>
    <row r="3604" spans="70:82" x14ac:dyDescent="0.15">
      <c r="BR3604" s="34"/>
      <c r="BV3604" s="34"/>
      <c r="BZ3604" s="34"/>
      <c r="CD3604" s="34"/>
    </row>
    <row r="3605" spans="70:82" x14ac:dyDescent="0.15">
      <c r="BR3605" s="34"/>
      <c r="BV3605" s="34"/>
      <c r="BZ3605" s="34"/>
      <c r="CD3605" s="34"/>
    </row>
    <row r="3606" spans="70:82" x14ac:dyDescent="0.15">
      <c r="BR3606" s="34"/>
      <c r="BV3606" s="34"/>
      <c r="BZ3606" s="34"/>
      <c r="CD3606" s="34"/>
    </row>
    <row r="3607" spans="70:82" x14ac:dyDescent="0.15">
      <c r="BR3607" s="34"/>
      <c r="BV3607" s="34"/>
      <c r="BZ3607" s="34"/>
      <c r="CD3607" s="34"/>
    </row>
    <row r="3608" spans="70:82" x14ac:dyDescent="0.15">
      <c r="BR3608" s="34"/>
      <c r="BV3608" s="34"/>
      <c r="BZ3608" s="34"/>
      <c r="CD3608" s="34"/>
    </row>
    <row r="3609" spans="70:82" x14ac:dyDescent="0.15">
      <c r="BR3609" s="34"/>
      <c r="BV3609" s="34"/>
      <c r="BZ3609" s="34"/>
      <c r="CD3609" s="34"/>
    </row>
    <row r="3610" spans="70:82" x14ac:dyDescent="0.15">
      <c r="BR3610" s="34"/>
      <c r="BV3610" s="34"/>
      <c r="BZ3610" s="34"/>
      <c r="CD3610" s="34"/>
    </row>
    <row r="3611" spans="70:82" x14ac:dyDescent="0.15">
      <c r="BR3611" s="34"/>
      <c r="BV3611" s="34"/>
      <c r="BZ3611" s="34"/>
      <c r="CD3611" s="34"/>
    </row>
    <row r="3612" spans="70:82" x14ac:dyDescent="0.15">
      <c r="BR3612" s="34"/>
      <c r="BV3612" s="34"/>
      <c r="BZ3612" s="34"/>
      <c r="CD3612" s="34"/>
    </row>
    <row r="3613" spans="70:82" x14ac:dyDescent="0.15">
      <c r="BR3613" s="34"/>
      <c r="BV3613" s="34"/>
      <c r="BZ3613" s="34"/>
      <c r="CD3613" s="34"/>
    </row>
    <row r="3614" spans="70:82" x14ac:dyDescent="0.15">
      <c r="BR3614" s="34"/>
      <c r="BV3614" s="34"/>
      <c r="BZ3614" s="34"/>
      <c r="CD3614" s="34"/>
    </row>
    <row r="3615" spans="70:82" x14ac:dyDescent="0.15">
      <c r="BR3615" s="34"/>
      <c r="BV3615" s="34"/>
      <c r="BZ3615" s="34"/>
      <c r="CD3615" s="34"/>
    </row>
    <row r="3616" spans="70:82" x14ac:dyDescent="0.15">
      <c r="BR3616" s="34"/>
      <c r="BV3616" s="34"/>
      <c r="BZ3616" s="34"/>
      <c r="CD3616" s="34"/>
    </row>
    <row r="3617" spans="70:82" x14ac:dyDescent="0.15">
      <c r="BR3617" s="34"/>
      <c r="BV3617" s="34"/>
      <c r="BZ3617" s="34"/>
      <c r="CD3617" s="34"/>
    </row>
    <row r="3618" spans="70:82" x14ac:dyDescent="0.15">
      <c r="BR3618" s="34"/>
      <c r="BV3618" s="34"/>
      <c r="BZ3618" s="34"/>
      <c r="CD3618" s="34"/>
    </row>
    <row r="3619" spans="70:82" x14ac:dyDescent="0.15">
      <c r="BR3619" s="34"/>
      <c r="BV3619" s="34"/>
      <c r="BZ3619" s="34"/>
      <c r="CD3619" s="34"/>
    </row>
    <row r="3620" spans="70:82" x14ac:dyDescent="0.15">
      <c r="BR3620" s="34"/>
      <c r="BV3620" s="34"/>
      <c r="BZ3620" s="34"/>
      <c r="CD3620" s="34"/>
    </row>
    <row r="3621" spans="70:82" x14ac:dyDescent="0.15">
      <c r="BR3621" s="34"/>
      <c r="BV3621" s="34"/>
      <c r="BZ3621" s="34"/>
      <c r="CD3621" s="34"/>
    </row>
    <row r="3622" spans="70:82" x14ac:dyDescent="0.15">
      <c r="BR3622" s="34"/>
      <c r="BV3622" s="34"/>
      <c r="BZ3622" s="34"/>
      <c r="CD3622" s="34"/>
    </row>
    <row r="3623" spans="70:82" x14ac:dyDescent="0.15">
      <c r="BR3623" s="34"/>
      <c r="BV3623" s="34"/>
      <c r="BZ3623" s="34"/>
      <c r="CD3623" s="34"/>
    </row>
    <row r="3624" spans="70:82" x14ac:dyDescent="0.15">
      <c r="BR3624" s="34"/>
      <c r="BV3624" s="34"/>
      <c r="BZ3624" s="34"/>
      <c r="CD3624" s="34"/>
    </row>
    <row r="3625" spans="70:82" x14ac:dyDescent="0.15">
      <c r="BR3625" s="34"/>
      <c r="BV3625" s="34"/>
      <c r="BZ3625" s="34"/>
      <c r="CD3625" s="34"/>
    </row>
    <row r="3626" spans="70:82" x14ac:dyDescent="0.15">
      <c r="BR3626" s="34"/>
      <c r="BV3626" s="34"/>
      <c r="BZ3626" s="34"/>
      <c r="CD3626" s="34"/>
    </row>
    <row r="3627" spans="70:82" x14ac:dyDescent="0.15">
      <c r="BR3627" s="34"/>
      <c r="BV3627" s="34"/>
      <c r="BZ3627" s="34"/>
      <c r="CD3627" s="34"/>
    </row>
    <row r="3628" spans="70:82" x14ac:dyDescent="0.15">
      <c r="BR3628" s="34"/>
      <c r="BV3628" s="34"/>
      <c r="BZ3628" s="34"/>
      <c r="CD3628" s="34"/>
    </row>
    <row r="3629" spans="70:82" x14ac:dyDescent="0.15">
      <c r="BR3629" s="34"/>
      <c r="BV3629" s="34"/>
      <c r="BZ3629" s="34"/>
      <c r="CD3629" s="34"/>
    </row>
    <row r="3630" spans="70:82" x14ac:dyDescent="0.15">
      <c r="BR3630" s="34"/>
      <c r="BV3630" s="34"/>
      <c r="BZ3630" s="34"/>
      <c r="CD3630" s="34"/>
    </row>
    <row r="3631" spans="70:82" x14ac:dyDescent="0.15">
      <c r="BR3631" s="34"/>
      <c r="BV3631" s="34"/>
      <c r="BZ3631" s="34"/>
      <c r="CD3631" s="34"/>
    </row>
    <row r="3632" spans="70:82" x14ac:dyDescent="0.15">
      <c r="BR3632" s="34"/>
      <c r="BV3632" s="34"/>
      <c r="BZ3632" s="34"/>
      <c r="CD3632" s="34"/>
    </row>
    <row r="3633" spans="70:82" x14ac:dyDescent="0.15">
      <c r="BR3633" s="34"/>
      <c r="BV3633" s="34"/>
      <c r="BZ3633" s="34"/>
      <c r="CD3633" s="34"/>
    </row>
    <row r="3634" spans="70:82" x14ac:dyDescent="0.15">
      <c r="BR3634" s="34"/>
      <c r="BV3634" s="34"/>
      <c r="BZ3634" s="34"/>
      <c r="CD3634" s="34"/>
    </row>
    <row r="3635" spans="70:82" x14ac:dyDescent="0.15">
      <c r="BR3635" s="34"/>
      <c r="BV3635" s="34"/>
      <c r="BZ3635" s="34"/>
      <c r="CD3635" s="34"/>
    </row>
    <row r="3636" spans="70:82" x14ac:dyDescent="0.15">
      <c r="BR3636" s="34"/>
      <c r="BV3636" s="34"/>
      <c r="BZ3636" s="34"/>
      <c r="CD3636" s="34"/>
    </row>
    <row r="3637" spans="70:82" x14ac:dyDescent="0.15">
      <c r="BR3637" s="34"/>
      <c r="BV3637" s="34"/>
      <c r="BZ3637" s="34"/>
      <c r="CD3637" s="34"/>
    </row>
    <row r="3638" spans="70:82" x14ac:dyDescent="0.15">
      <c r="BR3638" s="34"/>
      <c r="BV3638" s="34"/>
      <c r="BZ3638" s="34"/>
      <c r="CD3638" s="34"/>
    </row>
    <row r="3639" spans="70:82" x14ac:dyDescent="0.15">
      <c r="BR3639" s="34"/>
      <c r="BV3639" s="34"/>
      <c r="BZ3639" s="34"/>
      <c r="CD3639" s="34"/>
    </row>
    <row r="3640" spans="70:82" x14ac:dyDescent="0.15">
      <c r="BR3640" s="34"/>
      <c r="BV3640" s="34"/>
      <c r="BZ3640" s="34"/>
      <c r="CD3640" s="34"/>
    </row>
    <row r="3641" spans="70:82" x14ac:dyDescent="0.15">
      <c r="BR3641" s="34"/>
      <c r="BV3641" s="34"/>
      <c r="BZ3641" s="34"/>
      <c r="CD3641" s="34"/>
    </row>
    <row r="3642" spans="70:82" x14ac:dyDescent="0.15">
      <c r="BR3642" s="34"/>
      <c r="BV3642" s="34"/>
      <c r="BZ3642" s="34"/>
      <c r="CD3642" s="34"/>
    </row>
    <row r="3643" spans="70:82" x14ac:dyDescent="0.15">
      <c r="BR3643" s="34"/>
      <c r="BV3643" s="34"/>
      <c r="BZ3643" s="34"/>
      <c r="CD3643" s="34"/>
    </row>
    <row r="3644" spans="70:82" x14ac:dyDescent="0.15">
      <c r="BR3644" s="34"/>
      <c r="BV3644" s="34"/>
      <c r="BZ3644" s="34"/>
      <c r="CD3644" s="34"/>
    </row>
    <row r="3645" spans="70:82" x14ac:dyDescent="0.15">
      <c r="BR3645" s="34"/>
      <c r="BV3645" s="34"/>
      <c r="BZ3645" s="34"/>
      <c r="CD3645" s="34"/>
    </row>
    <row r="3646" spans="70:82" x14ac:dyDescent="0.15">
      <c r="BR3646" s="34"/>
      <c r="BV3646" s="34"/>
      <c r="BZ3646" s="34"/>
      <c r="CD3646" s="34"/>
    </row>
    <row r="3647" spans="70:82" x14ac:dyDescent="0.15">
      <c r="BR3647" s="34"/>
      <c r="BV3647" s="34"/>
      <c r="BZ3647" s="34"/>
      <c r="CD3647" s="34"/>
    </row>
    <row r="3648" spans="70:82" x14ac:dyDescent="0.15">
      <c r="BR3648" s="34"/>
      <c r="BV3648" s="34"/>
      <c r="BZ3648" s="34"/>
      <c r="CD3648" s="34"/>
    </row>
    <row r="3649" spans="70:82" x14ac:dyDescent="0.15">
      <c r="BR3649" s="34"/>
      <c r="BV3649" s="34"/>
      <c r="BZ3649" s="34"/>
      <c r="CD3649" s="34"/>
    </row>
    <row r="3650" spans="70:82" x14ac:dyDescent="0.15">
      <c r="BR3650" s="34"/>
      <c r="BV3650" s="34"/>
      <c r="BZ3650" s="34"/>
      <c r="CD3650" s="34"/>
    </row>
    <row r="3651" spans="70:82" x14ac:dyDescent="0.15">
      <c r="BR3651" s="34"/>
      <c r="BV3651" s="34"/>
      <c r="BZ3651" s="34"/>
      <c r="CD3651" s="34"/>
    </row>
    <row r="3652" spans="70:82" x14ac:dyDescent="0.15">
      <c r="BR3652" s="34"/>
      <c r="BV3652" s="34"/>
      <c r="BZ3652" s="34"/>
      <c r="CD3652" s="34"/>
    </row>
    <row r="3653" spans="70:82" x14ac:dyDescent="0.15">
      <c r="BR3653" s="34"/>
      <c r="BV3653" s="34"/>
      <c r="BZ3653" s="34"/>
      <c r="CD3653" s="34"/>
    </row>
    <row r="3654" spans="70:82" x14ac:dyDescent="0.15">
      <c r="BR3654" s="34"/>
      <c r="BV3654" s="34"/>
      <c r="BZ3654" s="34"/>
      <c r="CD3654" s="34"/>
    </row>
    <row r="3655" spans="70:82" x14ac:dyDescent="0.15">
      <c r="BR3655" s="34"/>
      <c r="BV3655" s="34"/>
      <c r="BZ3655" s="34"/>
      <c r="CD3655" s="34"/>
    </row>
    <row r="3656" spans="70:82" x14ac:dyDescent="0.15">
      <c r="BR3656" s="34"/>
      <c r="BV3656" s="34"/>
      <c r="BZ3656" s="34"/>
      <c r="CD3656" s="34"/>
    </row>
    <row r="3657" spans="70:82" x14ac:dyDescent="0.15">
      <c r="BR3657" s="34"/>
      <c r="BV3657" s="34"/>
      <c r="BZ3657" s="34"/>
      <c r="CD3657" s="34"/>
    </row>
    <row r="3658" spans="70:82" x14ac:dyDescent="0.15">
      <c r="BR3658" s="34"/>
      <c r="BV3658" s="34"/>
      <c r="BZ3658" s="34"/>
      <c r="CD3658" s="34"/>
    </row>
    <row r="3659" spans="70:82" x14ac:dyDescent="0.15">
      <c r="BR3659" s="34"/>
      <c r="BV3659" s="34"/>
      <c r="BZ3659" s="34"/>
      <c r="CD3659" s="34"/>
    </row>
    <row r="3660" spans="70:82" x14ac:dyDescent="0.15">
      <c r="BR3660" s="34"/>
      <c r="BV3660" s="34"/>
      <c r="BZ3660" s="34"/>
      <c r="CD3660" s="34"/>
    </row>
    <row r="3661" spans="70:82" x14ac:dyDescent="0.15">
      <c r="BR3661" s="34"/>
      <c r="BV3661" s="34"/>
      <c r="BZ3661" s="34"/>
      <c r="CD3661" s="34"/>
    </row>
    <row r="3662" spans="70:82" x14ac:dyDescent="0.15">
      <c r="BR3662" s="34"/>
      <c r="BV3662" s="34"/>
      <c r="BZ3662" s="34"/>
      <c r="CD3662" s="34"/>
    </row>
    <row r="3663" spans="70:82" x14ac:dyDescent="0.15">
      <c r="BR3663" s="34"/>
      <c r="BV3663" s="34"/>
      <c r="BZ3663" s="34"/>
      <c r="CD3663" s="34"/>
    </row>
    <row r="3664" spans="70:82" x14ac:dyDescent="0.15">
      <c r="BR3664" s="34"/>
      <c r="BV3664" s="34"/>
      <c r="BZ3664" s="34"/>
      <c r="CD3664" s="34"/>
    </row>
    <row r="3665" spans="70:82" x14ac:dyDescent="0.15">
      <c r="BR3665" s="34"/>
      <c r="BV3665" s="34"/>
      <c r="BZ3665" s="34"/>
      <c r="CD3665" s="34"/>
    </row>
    <row r="3666" spans="70:82" x14ac:dyDescent="0.15">
      <c r="BR3666" s="34"/>
      <c r="BV3666" s="34"/>
      <c r="BZ3666" s="34"/>
      <c r="CD3666" s="34"/>
    </row>
    <row r="3667" spans="70:82" x14ac:dyDescent="0.15">
      <c r="BR3667" s="34"/>
      <c r="BV3667" s="34"/>
      <c r="BZ3667" s="34"/>
      <c r="CD3667" s="34"/>
    </row>
    <row r="3668" spans="70:82" x14ac:dyDescent="0.15">
      <c r="BR3668" s="34"/>
      <c r="BV3668" s="34"/>
      <c r="BZ3668" s="34"/>
      <c r="CD3668" s="34"/>
    </row>
    <row r="3669" spans="70:82" x14ac:dyDescent="0.15">
      <c r="BR3669" s="34"/>
      <c r="BV3669" s="34"/>
      <c r="BZ3669" s="34"/>
      <c r="CD3669" s="34"/>
    </row>
    <row r="3670" spans="70:82" x14ac:dyDescent="0.15">
      <c r="BR3670" s="34"/>
      <c r="BV3670" s="34"/>
      <c r="BZ3670" s="34"/>
      <c r="CD3670" s="34"/>
    </row>
    <row r="3671" spans="70:82" x14ac:dyDescent="0.15">
      <c r="BR3671" s="34"/>
      <c r="BV3671" s="34"/>
      <c r="BZ3671" s="34"/>
      <c r="CD3671" s="34"/>
    </row>
    <row r="3672" spans="70:82" x14ac:dyDescent="0.15">
      <c r="BR3672" s="34"/>
      <c r="BV3672" s="34"/>
      <c r="BZ3672" s="34"/>
      <c r="CD3672" s="34"/>
    </row>
    <row r="3673" spans="70:82" x14ac:dyDescent="0.15">
      <c r="BR3673" s="34"/>
      <c r="BV3673" s="34"/>
      <c r="BZ3673" s="34"/>
      <c r="CD3673" s="34"/>
    </row>
    <row r="3674" spans="70:82" x14ac:dyDescent="0.15">
      <c r="BR3674" s="34"/>
      <c r="BV3674" s="34"/>
      <c r="BZ3674" s="34"/>
      <c r="CD3674" s="34"/>
    </row>
    <row r="3675" spans="70:82" x14ac:dyDescent="0.15">
      <c r="BR3675" s="34"/>
      <c r="BV3675" s="34"/>
      <c r="BZ3675" s="34"/>
      <c r="CD3675" s="34"/>
    </row>
    <row r="3676" spans="70:82" x14ac:dyDescent="0.15">
      <c r="BR3676" s="34"/>
      <c r="BV3676" s="34"/>
      <c r="BZ3676" s="34"/>
      <c r="CD3676" s="34"/>
    </row>
    <row r="3677" spans="70:82" x14ac:dyDescent="0.15">
      <c r="BR3677" s="34"/>
      <c r="BV3677" s="34"/>
      <c r="BZ3677" s="34"/>
      <c r="CD3677" s="34"/>
    </row>
    <row r="3678" spans="70:82" x14ac:dyDescent="0.15">
      <c r="BR3678" s="34"/>
      <c r="BV3678" s="34"/>
      <c r="BZ3678" s="34"/>
      <c r="CD3678" s="34"/>
    </row>
    <row r="3679" spans="70:82" x14ac:dyDescent="0.15">
      <c r="BR3679" s="34"/>
      <c r="BV3679" s="34"/>
      <c r="BZ3679" s="34"/>
      <c r="CD3679" s="34"/>
    </row>
    <row r="3680" spans="70:82" x14ac:dyDescent="0.15">
      <c r="BR3680" s="34"/>
      <c r="BV3680" s="34"/>
      <c r="BZ3680" s="34"/>
      <c r="CD3680" s="34"/>
    </row>
    <row r="3681" spans="70:82" x14ac:dyDescent="0.15">
      <c r="BR3681" s="34"/>
      <c r="BV3681" s="34"/>
      <c r="BZ3681" s="34"/>
      <c r="CD3681" s="34"/>
    </row>
    <row r="3682" spans="70:82" x14ac:dyDescent="0.15">
      <c r="BR3682" s="34"/>
      <c r="BV3682" s="34"/>
      <c r="BZ3682" s="34"/>
      <c r="CD3682" s="34"/>
    </row>
    <row r="3683" spans="70:82" x14ac:dyDescent="0.15">
      <c r="BR3683" s="34"/>
      <c r="BV3683" s="34"/>
      <c r="BZ3683" s="34"/>
      <c r="CD3683" s="34"/>
    </row>
    <row r="3684" spans="70:82" x14ac:dyDescent="0.15">
      <c r="BR3684" s="34"/>
      <c r="BV3684" s="34"/>
      <c r="BZ3684" s="34"/>
      <c r="CD3684" s="34"/>
    </row>
    <row r="3685" spans="70:82" x14ac:dyDescent="0.15">
      <c r="BR3685" s="34"/>
      <c r="BV3685" s="34"/>
      <c r="BZ3685" s="34"/>
      <c r="CD3685" s="34"/>
    </row>
    <row r="3686" spans="70:82" x14ac:dyDescent="0.15">
      <c r="BR3686" s="34"/>
      <c r="BV3686" s="34"/>
      <c r="BZ3686" s="34"/>
      <c r="CD3686" s="34"/>
    </row>
    <row r="3687" spans="70:82" x14ac:dyDescent="0.15">
      <c r="BR3687" s="34"/>
      <c r="BV3687" s="34"/>
      <c r="BZ3687" s="34"/>
      <c r="CD3687" s="34"/>
    </row>
    <row r="3688" spans="70:82" x14ac:dyDescent="0.15">
      <c r="BR3688" s="34"/>
      <c r="BV3688" s="34"/>
      <c r="BZ3688" s="34"/>
      <c r="CD3688" s="34"/>
    </row>
    <row r="3689" spans="70:82" x14ac:dyDescent="0.15">
      <c r="BR3689" s="34"/>
      <c r="BV3689" s="34"/>
      <c r="BZ3689" s="34"/>
      <c r="CD3689" s="34"/>
    </row>
    <row r="3690" spans="70:82" x14ac:dyDescent="0.15">
      <c r="BR3690" s="34"/>
      <c r="BV3690" s="34"/>
      <c r="BZ3690" s="34"/>
      <c r="CD3690" s="34"/>
    </row>
    <row r="3691" spans="70:82" x14ac:dyDescent="0.15">
      <c r="BR3691" s="34"/>
      <c r="BV3691" s="34"/>
      <c r="BZ3691" s="34"/>
      <c r="CD3691" s="34"/>
    </row>
    <row r="3692" spans="70:82" x14ac:dyDescent="0.15">
      <c r="BR3692" s="34"/>
      <c r="BV3692" s="34"/>
      <c r="BZ3692" s="34"/>
      <c r="CD3692" s="34"/>
    </row>
    <row r="3693" spans="70:82" x14ac:dyDescent="0.15">
      <c r="BR3693" s="34"/>
      <c r="BV3693" s="34"/>
      <c r="BZ3693" s="34"/>
      <c r="CD3693" s="34"/>
    </row>
    <row r="3694" spans="70:82" x14ac:dyDescent="0.15">
      <c r="BR3694" s="34"/>
      <c r="BV3694" s="34"/>
      <c r="BZ3694" s="34"/>
      <c r="CD3694" s="34"/>
    </row>
    <row r="3695" spans="70:82" x14ac:dyDescent="0.15">
      <c r="BR3695" s="34"/>
      <c r="BV3695" s="34"/>
      <c r="BZ3695" s="34"/>
      <c r="CD3695" s="34"/>
    </row>
    <row r="3696" spans="70:82" x14ac:dyDescent="0.15">
      <c r="BR3696" s="34"/>
      <c r="BV3696" s="34"/>
      <c r="BZ3696" s="34"/>
      <c r="CD3696" s="34"/>
    </row>
    <row r="3697" spans="70:82" x14ac:dyDescent="0.15">
      <c r="BR3697" s="34"/>
      <c r="BV3697" s="34"/>
      <c r="BZ3697" s="34"/>
      <c r="CD3697" s="34"/>
    </row>
    <row r="3698" spans="70:82" x14ac:dyDescent="0.15">
      <c r="BR3698" s="34"/>
      <c r="BV3698" s="34"/>
      <c r="BZ3698" s="34"/>
      <c r="CD3698" s="34"/>
    </row>
    <row r="3699" spans="70:82" x14ac:dyDescent="0.15">
      <c r="BR3699" s="34"/>
      <c r="BV3699" s="34"/>
      <c r="BZ3699" s="34"/>
      <c r="CD3699" s="34"/>
    </row>
    <row r="3700" spans="70:82" x14ac:dyDescent="0.15">
      <c r="BR3700" s="34"/>
      <c r="BV3700" s="34"/>
      <c r="BZ3700" s="34"/>
      <c r="CD3700" s="34"/>
    </row>
    <row r="3701" spans="70:82" x14ac:dyDescent="0.15">
      <c r="BR3701" s="34"/>
      <c r="BV3701" s="34"/>
      <c r="BZ3701" s="34"/>
      <c r="CD3701" s="34"/>
    </row>
    <row r="3702" spans="70:82" x14ac:dyDescent="0.15">
      <c r="BR3702" s="34"/>
      <c r="BV3702" s="34"/>
      <c r="BZ3702" s="34"/>
      <c r="CD3702" s="34"/>
    </row>
    <row r="3703" spans="70:82" x14ac:dyDescent="0.15">
      <c r="BR3703" s="34"/>
      <c r="BV3703" s="34"/>
      <c r="BZ3703" s="34"/>
      <c r="CD3703" s="34"/>
    </row>
    <row r="3704" spans="70:82" x14ac:dyDescent="0.15">
      <c r="BR3704" s="34"/>
      <c r="BV3704" s="34"/>
      <c r="BZ3704" s="34"/>
      <c r="CD3704" s="34"/>
    </row>
    <row r="3705" spans="70:82" x14ac:dyDescent="0.15">
      <c r="BR3705" s="34"/>
      <c r="BV3705" s="34"/>
      <c r="BZ3705" s="34"/>
      <c r="CD3705" s="34"/>
    </row>
    <row r="3706" spans="70:82" x14ac:dyDescent="0.15">
      <c r="BR3706" s="34"/>
      <c r="BV3706" s="34"/>
      <c r="BZ3706" s="34"/>
      <c r="CD3706" s="34"/>
    </row>
    <row r="3707" spans="70:82" x14ac:dyDescent="0.15">
      <c r="BR3707" s="34"/>
      <c r="BV3707" s="34"/>
      <c r="BZ3707" s="34"/>
      <c r="CD3707" s="34"/>
    </row>
    <row r="3708" spans="70:82" x14ac:dyDescent="0.15">
      <c r="BR3708" s="34"/>
      <c r="BV3708" s="34"/>
      <c r="BZ3708" s="34"/>
      <c r="CD3708" s="34"/>
    </row>
    <row r="3709" spans="70:82" x14ac:dyDescent="0.15">
      <c r="BR3709" s="34"/>
      <c r="BV3709" s="34"/>
      <c r="BZ3709" s="34"/>
      <c r="CD3709" s="34"/>
    </row>
    <row r="3710" spans="70:82" x14ac:dyDescent="0.15">
      <c r="BR3710" s="34"/>
      <c r="BV3710" s="34"/>
      <c r="BZ3710" s="34"/>
      <c r="CD3710" s="34"/>
    </row>
    <row r="3711" spans="70:82" x14ac:dyDescent="0.15">
      <c r="BR3711" s="34"/>
      <c r="BV3711" s="34"/>
      <c r="BZ3711" s="34"/>
      <c r="CD3711" s="34"/>
    </row>
    <row r="3712" spans="70:82" x14ac:dyDescent="0.15">
      <c r="BR3712" s="34"/>
      <c r="BV3712" s="34"/>
      <c r="BZ3712" s="34"/>
      <c r="CD3712" s="34"/>
    </row>
    <row r="3713" spans="70:82" x14ac:dyDescent="0.15">
      <c r="BR3713" s="34"/>
      <c r="BV3713" s="34"/>
      <c r="BZ3713" s="34"/>
      <c r="CD3713" s="34"/>
    </row>
    <row r="3714" spans="70:82" x14ac:dyDescent="0.15">
      <c r="BR3714" s="34"/>
      <c r="BV3714" s="34"/>
      <c r="BZ3714" s="34"/>
      <c r="CD3714" s="34"/>
    </row>
    <row r="3715" spans="70:82" x14ac:dyDescent="0.15">
      <c r="BR3715" s="34"/>
      <c r="BV3715" s="34"/>
      <c r="BZ3715" s="34"/>
      <c r="CD3715" s="34"/>
    </row>
    <row r="3716" spans="70:82" x14ac:dyDescent="0.15">
      <c r="BR3716" s="34"/>
      <c r="BV3716" s="34"/>
      <c r="BZ3716" s="34"/>
      <c r="CD3716" s="34"/>
    </row>
    <row r="3717" spans="70:82" x14ac:dyDescent="0.15">
      <c r="BR3717" s="34"/>
      <c r="BV3717" s="34"/>
      <c r="BZ3717" s="34"/>
      <c r="CD3717" s="34"/>
    </row>
    <row r="3718" spans="70:82" x14ac:dyDescent="0.15">
      <c r="BR3718" s="34"/>
      <c r="BV3718" s="34"/>
      <c r="BZ3718" s="34"/>
      <c r="CD3718" s="34"/>
    </row>
    <row r="3719" spans="70:82" x14ac:dyDescent="0.15">
      <c r="BR3719" s="34"/>
      <c r="BV3719" s="34"/>
      <c r="BZ3719" s="34"/>
      <c r="CD3719" s="34"/>
    </row>
    <row r="3720" spans="70:82" x14ac:dyDescent="0.15">
      <c r="BR3720" s="34"/>
      <c r="BV3720" s="34"/>
      <c r="BZ3720" s="34"/>
      <c r="CD3720" s="34"/>
    </row>
    <row r="3721" spans="70:82" x14ac:dyDescent="0.15">
      <c r="BR3721" s="34"/>
      <c r="BV3721" s="34"/>
      <c r="BZ3721" s="34"/>
      <c r="CD3721" s="34"/>
    </row>
    <row r="3722" spans="70:82" x14ac:dyDescent="0.15">
      <c r="BR3722" s="34"/>
      <c r="BV3722" s="34"/>
      <c r="BZ3722" s="34"/>
      <c r="CD3722" s="34"/>
    </row>
    <row r="3723" spans="70:82" x14ac:dyDescent="0.15">
      <c r="BR3723" s="34"/>
      <c r="BV3723" s="34"/>
      <c r="BZ3723" s="34"/>
      <c r="CD3723" s="34"/>
    </row>
    <row r="3724" spans="70:82" x14ac:dyDescent="0.15">
      <c r="BR3724" s="34"/>
      <c r="BV3724" s="34"/>
      <c r="BZ3724" s="34"/>
      <c r="CD3724" s="34"/>
    </row>
    <row r="3725" spans="70:82" x14ac:dyDescent="0.15">
      <c r="BR3725" s="34"/>
      <c r="BV3725" s="34"/>
      <c r="BZ3725" s="34"/>
      <c r="CD3725" s="34"/>
    </row>
    <row r="3726" spans="70:82" x14ac:dyDescent="0.15">
      <c r="BR3726" s="34"/>
      <c r="BV3726" s="34"/>
      <c r="BZ3726" s="34"/>
      <c r="CD3726" s="34"/>
    </row>
    <row r="3727" spans="70:82" x14ac:dyDescent="0.15">
      <c r="BR3727" s="34"/>
      <c r="BV3727" s="34"/>
      <c r="BZ3727" s="34"/>
      <c r="CD3727" s="34"/>
    </row>
    <row r="3728" spans="70:82" x14ac:dyDescent="0.15">
      <c r="BR3728" s="34"/>
      <c r="BV3728" s="34"/>
      <c r="BZ3728" s="34"/>
      <c r="CD3728" s="34"/>
    </row>
    <row r="3729" spans="70:82" x14ac:dyDescent="0.15">
      <c r="BR3729" s="34"/>
      <c r="BV3729" s="34"/>
      <c r="BZ3729" s="34"/>
      <c r="CD3729" s="34"/>
    </row>
    <row r="3730" spans="70:82" x14ac:dyDescent="0.15">
      <c r="BR3730" s="34"/>
      <c r="BV3730" s="34"/>
      <c r="BZ3730" s="34"/>
      <c r="CD3730" s="34"/>
    </row>
    <row r="3731" spans="70:82" x14ac:dyDescent="0.15">
      <c r="BR3731" s="34"/>
      <c r="BV3731" s="34"/>
      <c r="BZ3731" s="34"/>
      <c r="CD3731" s="34"/>
    </row>
    <row r="3732" spans="70:82" x14ac:dyDescent="0.15">
      <c r="BR3732" s="34"/>
      <c r="BV3732" s="34"/>
      <c r="BZ3732" s="34"/>
      <c r="CD3732" s="34"/>
    </row>
    <row r="3733" spans="70:82" x14ac:dyDescent="0.15">
      <c r="BR3733" s="34"/>
      <c r="BV3733" s="34"/>
      <c r="BZ3733" s="34"/>
      <c r="CD3733" s="34"/>
    </row>
    <row r="3734" spans="70:82" x14ac:dyDescent="0.15">
      <c r="BR3734" s="34"/>
      <c r="BV3734" s="34"/>
      <c r="BZ3734" s="34"/>
      <c r="CD3734" s="34"/>
    </row>
    <row r="3735" spans="70:82" x14ac:dyDescent="0.15">
      <c r="BR3735" s="34"/>
      <c r="BV3735" s="34"/>
      <c r="BZ3735" s="34"/>
      <c r="CD3735" s="34"/>
    </row>
    <row r="3736" spans="70:82" x14ac:dyDescent="0.15">
      <c r="BR3736" s="34"/>
      <c r="BV3736" s="34"/>
      <c r="BZ3736" s="34"/>
      <c r="CD3736" s="34"/>
    </row>
    <row r="3737" spans="70:82" x14ac:dyDescent="0.15">
      <c r="BR3737" s="34"/>
      <c r="BV3737" s="34"/>
      <c r="BZ3737" s="34"/>
      <c r="CD3737" s="34"/>
    </row>
    <row r="3738" spans="70:82" x14ac:dyDescent="0.15">
      <c r="BR3738" s="34"/>
      <c r="BV3738" s="34"/>
      <c r="BZ3738" s="34"/>
      <c r="CD3738" s="34"/>
    </row>
    <row r="3739" spans="70:82" x14ac:dyDescent="0.15">
      <c r="BR3739" s="34"/>
      <c r="BV3739" s="34"/>
      <c r="BZ3739" s="34"/>
      <c r="CD3739" s="34"/>
    </row>
    <row r="3740" spans="70:82" x14ac:dyDescent="0.15">
      <c r="BR3740" s="34"/>
      <c r="BV3740" s="34"/>
      <c r="BZ3740" s="34"/>
      <c r="CD3740" s="34"/>
    </row>
    <row r="3741" spans="70:82" x14ac:dyDescent="0.15">
      <c r="BR3741" s="34"/>
      <c r="BV3741" s="34"/>
      <c r="BZ3741" s="34"/>
      <c r="CD3741" s="34"/>
    </row>
    <row r="3742" spans="70:82" x14ac:dyDescent="0.15">
      <c r="BR3742" s="34"/>
      <c r="BV3742" s="34"/>
      <c r="BZ3742" s="34"/>
      <c r="CD3742" s="34"/>
    </row>
    <row r="3743" spans="70:82" x14ac:dyDescent="0.15">
      <c r="BR3743" s="34"/>
      <c r="BV3743" s="34"/>
      <c r="BZ3743" s="34"/>
      <c r="CD3743" s="34"/>
    </row>
    <row r="3744" spans="70:82" x14ac:dyDescent="0.15">
      <c r="BR3744" s="34"/>
      <c r="BV3744" s="34"/>
      <c r="BZ3744" s="34"/>
      <c r="CD3744" s="34"/>
    </row>
    <row r="3745" spans="70:82" x14ac:dyDescent="0.15">
      <c r="BR3745" s="34"/>
      <c r="BV3745" s="34"/>
      <c r="BZ3745" s="34"/>
      <c r="CD3745" s="34"/>
    </row>
    <row r="3746" spans="70:82" x14ac:dyDescent="0.15">
      <c r="BR3746" s="34"/>
      <c r="BV3746" s="34"/>
      <c r="BZ3746" s="34"/>
      <c r="CD3746" s="34"/>
    </row>
    <row r="3747" spans="70:82" x14ac:dyDescent="0.15">
      <c r="BR3747" s="34"/>
      <c r="BV3747" s="34"/>
      <c r="BZ3747" s="34"/>
      <c r="CD3747" s="34"/>
    </row>
    <row r="3748" spans="70:82" x14ac:dyDescent="0.15">
      <c r="BR3748" s="34"/>
      <c r="BV3748" s="34"/>
      <c r="BZ3748" s="34"/>
      <c r="CD3748" s="34"/>
    </row>
    <row r="3749" spans="70:82" x14ac:dyDescent="0.15">
      <c r="BR3749" s="34"/>
      <c r="BV3749" s="34"/>
      <c r="BZ3749" s="34"/>
      <c r="CD3749" s="34"/>
    </row>
    <row r="3750" spans="70:82" x14ac:dyDescent="0.15">
      <c r="BR3750" s="34"/>
      <c r="BV3750" s="34"/>
      <c r="BZ3750" s="34"/>
      <c r="CD3750" s="34"/>
    </row>
    <row r="3751" spans="70:82" x14ac:dyDescent="0.15">
      <c r="BR3751" s="34"/>
      <c r="BV3751" s="34"/>
      <c r="BZ3751" s="34"/>
      <c r="CD3751" s="34"/>
    </row>
    <row r="3752" spans="70:82" x14ac:dyDescent="0.15">
      <c r="BR3752" s="34"/>
      <c r="BV3752" s="34"/>
      <c r="BZ3752" s="34"/>
      <c r="CD3752" s="34"/>
    </row>
    <row r="3753" spans="70:82" x14ac:dyDescent="0.15">
      <c r="BR3753" s="34"/>
      <c r="BV3753" s="34"/>
      <c r="BZ3753" s="34"/>
      <c r="CD3753" s="34"/>
    </row>
    <row r="3754" spans="70:82" x14ac:dyDescent="0.15">
      <c r="BR3754" s="34"/>
      <c r="BV3754" s="34"/>
      <c r="BZ3754" s="34"/>
      <c r="CD3754" s="34"/>
    </row>
    <row r="3755" spans="70:82" x14ac:dyDescent="0.15">
      <c r="BR3755" s="34"/>
      <c r="BV3755" s="34"/>
      <c r="BZ3755" s="34"/>
      <c r="CD3755" s="34"/>
    </row>
    <row r="3756" spans="70:82" x14ac:dyDescent="0.15">
      <c r="BR3756" s="34"/>
      <c r="BV3756" s="34"/>
      <c r="BZ3756" s="34"/>
      <c r="CD3756" s="34"/>
    </row>
    <row r="3757" spans="70:82" x14ac:dyDescent="0.15">
      <c r="BR3757" s="34"/>
      <c r="BV3757" s="34"/>
      <c r="BZ3757" s="34"/>
      <c r="CD3757" s="34"/>
    </row>
    <row r="3758" spans="70:82" x14ac:dyDescent="0.15">
      <c r="BR3758" s="34"/>
      <c r="BV3758" s="34"/>
      <c r="BZ3758" s="34"/>
      <c r="CD3758" s="34"/>
    </row>
    <row r="3759" spans="70:82" x14ac:dyDescent="0.15">
      <c r="BR3759" s="34"/>
      <c r="BV3759" s="34"/>
      <c r="BZ3759" s="34"/>
      <c r="CD3759" s="34"/>
    </row>
    <row r="3760" spans="70:82" x14ac:dyDescent="0.15">
      <c r="BR3760" s="34"/>
      <c r="BV3760" s="34"/>
      <c r="BZ3760" s="34"/>
      <c r="CD3760" s="34"/>
    </row>
    <row r="3761" spans="70:82" x14ac:dyDescent="0.15">
      <c r="BR3761" s="34"/>
      <c r="BV3761" s="34"/>
      <c r="BZ3761" s="34"/>
      <c r="CD3761" s="34"/>
    </row>
    <row r="3762" spans="70:82" x14ac:dyDescent="0.15">
      <c r="BR3762" s="34"/>
      <c r="BV3762" s="34"/>
      <c r="BZ3762" s="34"/>
      <c r="CD3762" s="34"/>
    </row>
    <row r="3763" spans="70:82" x14ac:dyDescent="0.15">
      <c r="BR3763" s="34"/>
      <c r="BV3763" s="34"/>
      <c r="BZ3763" s="34"/>
      <c r="CD3763" s="34"/>
    </row>
    <row r="3764" spans="70:82" x14ac:dyDescent="0.15">
      <c r="BR3764" s="34"/>
      <c r="BV3764" s="34"/>
      <c r="BZ3764" s="34"/>
      <c r="CD3764" s="34"/>
    </row>
    <row r="3765" spans="70:82" x14ac:dyDescent="0.15">
      <c r="BR3765" s="34"/>
      <c r="BV3765" s="34"/>
      <c r="BZ3765" s="34"/>
      <c r="CD3765" s="34"/>
    </row>
    <row r="3766" spans="70:82" x14ac:dyDescent="0.15">
      <c r="BR3766" s="34"/>
      <c r="BV3766" s="34"/>
      <c r="BZ3766" s="34"/>
      <c r="CD3766" s="34"/>
    </row>
    <row r="3767" spans="70:82" x14ac:dyDescent="0.15">
      <c r="BR3767" s="34"/>
      <c r="BV3767" s="34"/>
      <c r="BZ3767" s="34"/>
      <c r="CD3767" s="34"/>
    </row>
    <row r="3768" spans="70:82" x14ac:dyDescent="0.15">
      <c r="BR3768" s="34"/>
      <c r="BV3768" s="34"/>
      <c r="BZ3768" s="34"/>
      <c r="CD3768" s="34"/>
    </row>
    <row r="3769" spans="70:82" x14ac:dyDescent="0.15">
      <c r="BR3769" s="34"/>
      <c r="BV3769" s="34"/>
      <c r="BZ3769" s="34"/>
      <c r="CD3769" s="34"/>
    </row>
    <row r="3770" spans="70:82" x14ac:dyDescent="0.15">
      <c r="BR3770" s="34"/>
      <c r="BV3770" s="34"/>
      <c r="BZ3770" s="34"/>
      <c r="CD3770" s="34"/>
    </row>
    <row r="3771" spans="70:82" x14ac:dyDescent="0.15">
      <c r="BR3771" s="34"/>
      <c r="BV3771" s="34"/>
      <c r="BZ3771" s="34"/>
      <c r="CD3771" s="34"/>
    </row>
    <row r="3772" spans="70:82" x14ac:dyDescent="0.15">
      <c r="BR3772" s="34"/>
      <c r="BV3772" s="34"/>
      <c r="BZ3772" s="34"/>
      <c r="CD3772" s="34"/>
    </row>
    <row r="3773" spans="70:82" x14ac:dyDescent="0.15">
      <c r="BR3773" s="34"/>
      <c r="BV3773" s="34"/>
      <c r="BZ3773" s="34"/>
      <c r="CD3773" s="34"/>
    </row>
    <row r="3774" spans="70:82" x14ac:dyDescent="0.15">
      <c r="BR3774" s="34"/>
      <c r="BV3774" s="34"/>
      <c r="BZ3774" s="34"/>
      <c r="CD3774" s="34"/>
    </row>
    <row r="3775" spans="70:82" x14ac:dyDescent="0.15">
      <c r="BR3775" s="34"/>
      <c r="BV3775" s="34"/>
      <c r="BZ3775" s="34"/>
      <c r="CD3775" s="34"/>
    </row>
    <row r="3776" spans="70:82" x14ac:dyDescent="0.15">
      <c r="BR3776" s="34"/>
      <c r="BV3776" s="34"/>
      <c r="BZ3776" s="34"/>
      <c r="CD3776" s="34"/>
    </row>
    <row r="3777" spans="70:82" x14ac:dyDescent="0.15">
      <c r="BR3777" s="34"/>
      <c r="BV3777" s="34"/>
      <c r="BZ3777" s="34"/>
      <c r="CD3777" s="34"/>
    </row>
    <row r="3778" spans="70:82" x14ac:dyDescent="0.15">
      <c r="BR3778" s="34"/>
      <c r="BV3778" s="34"/>
      <c r="BZ3778" s="34"/>
      <c r="CD3778" s="34"/>
    </row>
    <row r="3779" spans="70:82" x14ac:dyDescent="0.15">
      <c r="BR3779" s="34"/>
      <c r="BV3779" s="34"/>
      <c r="BZ3779" s="34"/>
      <c r="CD3779" s="34"/>
    </row>
    <row r="3780" spans="70:82" x14ac:dyDescent="0.15">
      <c r="BR3780" s="34"/>
      <c r="BV3780" s="34"/>
      <c r="BZ3780" s="34"/>
      <c r="CD3780" s="34"/>
    </row>
    <row r="3781" spans="70:82" x14ac:dyDescent="0.15">
      <c r="BR3781" s="34"/>
      <c r="BV3781" s="34"/>
      <c r="BZ3781" s="34"/>
      <c r="CD3781" s="34"/>
    </row>
    <row r="3782" spans="70:82" x14ac:dyDescent="0.15">
      <c r="BR3782" s="34"/>
      <c r="BV3782" s="34"/>
      <c r="BZ3782" s="34"/>
      <c r="CD3782" s="34"/>
    </row>
    <row r="3783" spans="70:82" x14ac:dyDescent="0.15">
      <c r="BR3783" s="34"/>
      <c r="BV3783" s="34"/>
      <c r="BZ3783" s="34"/>
      <c r="CD3783" s="34"/>
    </row>
    <row r="3784" spans="70:82" x14ac:dyDescent="0.15">
      <c r="BR3784" s="34"/>
      <c r="BV3784" s="34"/>
      <c r="BZ3784" s="34"/>
      <c r="CD3784" s="34"/>
    </row>
    <row r="3785" spans="70:82" x14ac:dyDescent="0.15">
      <c r="BR3785" s="34"/>
      <c r="BV3785" s="34"/>
      <c r="BZ3785" s="34"/>
      <c r="CD3785" s="34"/>
    </row>
    <row r="3786" spans="70:82" x14ac:dyDescent="0.15">
      <c r="BR3786" s="34"/>
      <c r="BV3786" s="34"/>
      <c r="BZ3786" s="34"/>
      <c r="CD3786" s="34"/>
    </row>
    <row r="3787" spans="70:82" x14ac:dyDescent="0.15">
      <c r="BR3787" s="34"/>
      <c r="BV3787" s="34"/>
      <c r="BZ3787" s="34"/>
      <c r="CD3787" s="34"/>
    </row>
    <row r="3788" spans="70:82" x14ac:dyDescent="0.15">
      <c r="BR3788" s="34"/>
      <c r="BV3788" s="34"/>
      <c r="BZ3788" s="34"/>
      <c r="CD3788" s="34"/>
    </row>
    <row r="3789" spans="70:82" x14ac:dyDescent="0.15">
      <c r="BR3789" s="34"/>
      <c r="BV3789" s="34"/>
      <c r="BZ3789" s="34"/>
      <c r="CD3789" s="34"/>
    </row>
    <row r="3790" spans="70:82" x14ac:dyDescent="0.15">
      <c r="BR3790" s="34"/>
      <c r="BV3790" s="34"/>
      <c r="BZ3790" s="34"/>
      <c r="CD3790" s="34"/>
    </row>
    <row r="3791" spans="70:82" x14ac:dyDescent="0.15">
      <c r="BR3791" s="34"/>
      <c r="BV3791" s="34"/>
      <c r="BZ3791" s="34"/>
      <c r="CD3791" s="34"/>
    </row>
    <row r="3792" spans="70:82" x14ac:dyDescent="0.15">
      <c r="BR3792" s="34"/>
      <c r="BV3792" s="34"/>
      <c r="BZ3792" s="34"/>
      <c r="CD3792" s="34"/>
    </row>
    <row r="3793" spans="70:82" x14ac:dyDescent="0.15">
      <c r="BR3793" s="34"/>
      <c r="BV3793" s="34"/>
      <c r="BZ3793" s="34"/>
      <c r="CD3793" s="34"/>
    </row>
    <row r="3794" spans="70:82" x14ac:dyDescent="0.15">
      <c r="BR3794" s="34"/>
      <c r="BV3794" s="34"/>
      <c r="BZ3794" s="34"/>
      <c r="CD3794" s="34"/>
    </row>
    <row r="3795" spans="70:82" x14ac:dyDescent="0.15">
      <c r="BR3795" s="34"/>
      <c r="BV3795" s="34"/>
      <c r="BZ3795" s="34"/>
      <c r="CD3795" s="34"/>
    </row>
    <row r="3796" spans="70:82" x14ac:dyDescent="0.15">
      <c r="BR3796" s="34"/>
      <c r="BV3796" s="34"/>
      <c r="BZ3796" s="34"/>
      <c r="CD3796" s="34"/>
    </row>
    <row r="3797" spans="70:82" x14ac:dyDescent="0.15">
      <c r="BR3797" s="34"/>
      <c r="BV3797" s="34"/>
      <c r="BZ3797" s="34"/>
      <c r="CD3797" s="34"/>
    </row>
    <row r="3798" spans="70:82" x14ac:dyDescent="0.15">
      <c r="BR3798" s="34"/>
      <c r="BV3798" s="34"/>
      <c r="BZ3798" s="34"/>
      <c r="CD3798" s="34"/>
    </row>
    <row r="3799" spans="70:82" x14ac:dyDescent="0.15">
      <c r="BR3799" s="34"/>
      <c r="BV3799" s="34"/>
      <c r="BZ3799" s="34"/>
      <c r="CD3799" s="34"/>
    </row>
    <row r="3800" spans="70:82" x14ac:dyDescent="0.15">
      <c r="BR3800" s="34"/>
      <c r="BV3800" s="34"/>
      <c r="BZ3800" s="34"/>
      <c r="CD3800" s="34"/>
    </row>
    <row r="3801" spans="70:82" x14ac:dyDescent="0.15">
      <c r="BR3801" s="34"/>
      <c r="BV3801" s="34"/>
      <c r="BZ3801" s="34"/>
      <c r="CD3801" s="34"/>
    </row>
    <row r="3802" spans="70:82" x14ac:dyDescent="0.15">
      <c r="BR3802" s="34"/>
      <c r="BV3802" s="34"/>
      <c r="BZ3802" s="34"/>
      <c r="CD3802" s="34"/>
    </row>
    <row r="3803" spans="70:82" x14ac:dyDescent="0.15">
      <c r="BR3803" s="34"/>
      <c r="BV3803" s="34"/>
      <c r="BZ3803" s="34"/>
      <c r="CD3803" s="34"/>
    </row>
    <row r="3804" spans="70:82" x14ac:dyDescent="0.15">
      <c r="BR3804" s="34"/>
      <c r="BV3804" s="34"/>
      <c r="BZ3804" s="34"/>
      <c r="CD3804" s="34"/>
    </row>
    <row r="3805" spans="70:82" x14ac:dyDescent="0.15">
      <c r="BR3805" s="34"/>
      <c r="BV3805" s="34"/>
      <c r="BZ3805" s="34"/>
      <c r="CD3805" s="34"/>
    </row>
    <row r="3806" spans="70:82" x14ac:dyDescent="0.15">
      <c r="BR3806" s="34"/>
      <c r="BV3806" s="34"/>
      <c r="BZ3806" s="34"/>
      <c r="CD3806" s="34"/>
    </row>
    <row r="3807" spans="70:82" x14ac:dyDescent="0.15">
      <c r="BR3807" s="34"/>
      <c r="BV3807" s="34"/>
      <c r="BZ3807" s="34"/>
      <c r="CD3807" s="34"/>
    </row>
    <row r="3808" spans="70:82" x14ac:dyDescent="0.15">
      <c r="BR3808" s="34"/>
      <c r="BV3808" s="34"/>
      <c r="BZ3808" s="34"/>
      <c r="CD3808" s="34"/>
    </row>
    <row r="3809" spans="70:82" x14ac:dyDescent="0.15">
      <c r="BR3809" s="34"/>
      <c r="BV3809" s="34"/>
      <c r="BZ3809" s="34"/>
      <c r="CD3809" s="34"/>
    </row>
    <row r="3810" spans="70:82" x14ac:dyDescent="0.15">
      <c r="BR3810" s="34"/>
      <c r="BV3810" s="34"/>
      <c r="BZ3810" s="34"/>
      <c r="CD3810" s="34"/>
    </row>
    <row r="3811" spans="70:82" x14ac:dyDescent="0.15">
      <c r="BR3811" s="34"/>
      <c r="BV3811" s="34"/>
      <c r="BZ3811" s="34"/>
      <c r="CD3811" s="34"/>
    </row>
    <row r="3812" spans="70:82" x14ac:dyDescent="0.15">
      <c r="BR3812" s="34"/>
      <c r="BV3812" s="34"/>
      <c r="BZ3812" s="34"/>
      <c r="CD3812" s="34"/>
    </row>
    <row r="3813" spans="70:82" x14ac:dyDescent="0.15">
      <c r="BR3813" s="34"/>
      <c r="BV3813" s="34"/>
      <c r="BZ3813" s="34"/>
      <c r="CD3813" s="34"/>
    </row>
    <row r="3814" spans="70:82" x14ac:dyDescent="0.15">
      <c r="BR3814" s="34"/>
      <c r="BV3814" s="34"/>
      <c r="BZ3814" s="34"/>
      <c r="CD3814" s="34"/>
    </row>
    <row r="3815" spans="70:82" x14ac:dyDescent="0.15">
      <c r="BR3815" s="34"/>
      <c r="BV3815" s="34"/>
      <c r="BZ3815" s="34"/>
      <c r="CD3815" s="34"/>
    </row>
    <row r="3816" spans="70:82" x14ac:dyDescent="0.15">
      <c r="BR3816" s="34"/>
      <c r="BV3816" s="34"/>
      <c r="BZ3816" s="34"/>
      <c r="CD3816" s="34"/>
    </row>
    <row r="3817" spans="70:82" x14ac:dyDescent="0.15">
      <c r="BR3817" s="34"/>
      <c r="BV3817" s="34"/>
      <c r="BZ3817" s="34"/>
      <c r="CD3817" s="34"/>
    </row>
    <row r="3818" spans="70:82" x14ac:dyDescent="0.15">
      <c r="BR3818" s="34"/>
      <c r="BV3818" s="34"/>
      <c r="BZ3818" s="34"/>
      <c r="CD3818" s="34"/>
    </row>
    <row r="3819" spans="70:82" x14ac:dyDescent="0.15">
      <c r="BR3819" s="34"/>
      <c r="BV3819" s="34"/>
      <c r="BZ3819" s="34"/>
      <c r="CD3819" s="34"/>
    </row>
    <row r="3820" spans="70:82" x14ac:dyDescent="0.15">
      <c r="BR3820" s="34"/>
      <c r="BV3820" s="34"/>
      <c r="BZ3820" s="34"/>
      <c r="CD3820" s="34"/>
    </row>
    <row r="3821" spans="70:82" x14ac:dyDescent="0.15">
      <c r="BR3821" s="34"/>
      <c r="BV3821" s="34"/>
      <c r="BZ3821" s="34"/>
      <c r="CD3821" s="34"/>
    </row>
    <row r="3822" spans="70:82" x14ac:dyDescent="0.15">
      <c r="BR3822" s="34"/>
      <c r="BV3822" s="34"/>
      <c r="BZ3822" s="34"/>
      <c r="CD3822" s="34"/>
    </row>
    <row r="3823" spans="70:82" x14ac:dyDescent="0.15">
      <c r="BR3823" s="34"/>
      <c r="BV3823" s="34"/>
      <c r="BZ3823" s="34"/>
      <c r="CD3823" s="34"/>
    </row>
    <row r="3824" spans="70:82" x14ac:dyDescent="0.15">
      <c r="BR3824" s="34"/>
      <c r="BV3824" s="34"/>
      <c r="BZ3824" s="34"/>
      <c r="CD3824" s="34"/>
    </row>
    <row r="3825" spans="70:82" x14ac:dyDescent="0.15">
      <c r="BR3825" s="34"/>
      <c r="BV3825" s="34"/>
      <c r="BZ3825" s="34"/>
      <c r="CD3825" s="34"/>
    </row>
    <row r="3826" spans="70:82" x14ac:dyDescent="0.15">
      <c r="BR3826" s="34"/>
      <c r="BV3826" s="34"/>
      <c r="BZ3826" s="34"/>
      <c r="CD3826" s="34"/>
    </row>
    <row r="3827" spans="70:82" x14ac:dyDescent="0.15">
      <c r="BR3827" s="34"/>
      <c r="BV3827" s="34"/>
      <c r="BZ3827" s="34"/>
      <c r="CD3827" s="34"/>
    </row>
    <row r="3828" spans="70:82" x14ac:dyDescent="0.15">
      <c r="BR3828" s="34"/>
      <c r="BV3828" s="34"/>
      <c r="BZ3828" s="34"/>
      <c r="CD3828" s="34"/>
    </row>
    <row r="3829" spans="70:82" x14ac:dyDescent="0.15">
      <c r="BR3829" s="34"/>
      <c r="BV3829" s="34"/>
      <c r="BZ3829" s="34"/>
      <c r="CD3829" s="34"/>
    </row>
    <row r="3830" spans="70:82" x14ac:dyDescent="0.15">
      <c r="BR3830" s="34"/>
      <c r="BV3830" s="34"/>
      <c r="BZ3830" s="34"/>
      <c r="CD3830" s="34"/>
    </row>
    <row r="3831" spans="70:82" x14ac:dyDescent="0.15">
      <c r="BR3831" s="34"/>
      <c r="BV3831" s="34"/>
      <c r="BZ3831" s="34"/>
      <c r="CD3831" s="34"/>
    </row>
    <row r="3832" spans="70:82" x14ac:dyDescent="0.15">
      <c r="BR3832" s="34"/>
      <c r="BV3832" s="34"/>
      <c r="BZ3832" s="34"/>
      <c r="CD3832" s="34"/>
    </row>
    <row r="3833" spans="70:82" x14ac:dyDescent="0.15">
      <c r="BR3833" s="34"/>
      <c r="BV3833" s="34"/>
      <c r="BZ3833" s="34"/>
      <c r="CD3833" s="34"/>
    </row>
    <row r="3834" spans="70:82" x14ac:dyDescent="0.15">
      <c r="BR3834" s="34"/>
      <c r="BV3834" s="34"/>
      <c r="BZ3834" s="34"/>
      <c r="CD3834" s="34"/>
    </row>
    <row r="3835" spans="70:82" x14ac:dyDescent="0.15">
      <c r="BR3835" s="34"/>
      <c r="BV3835" s="34"/>
      <c r="BZ3835" s="34"/>
      <c r="CD3835" s="34"/>
    </row>
    <row r="3836" spans="70:82" x14ac:dyDescent="0.15">
      <c r="BR3836" s="34"/>
      <c r="BV3836" s="34"/>
      <c r="BZ3836" s="34"/>
      <c r="CD3836" s="34"/>
    </row>
    <row r="3837" spans="70:82" x14ac:dyDescent="0.15">
      <c r="BR3837" s="34"/>
      <c r="BV3837" s="34"/>
      <c r="BZ3837" s="34"/>
      <c r="CD3837" s="34"/>
    </row>
    <row r="3838" spans="70:82" x14ac:dyDescent="0.15">
      <c r="BR3838" s="34"/>
      <c r="BV3838" s="34"/>
      <c r="BZ3838" s="34"/>
      <c r="CD3838" s="34"/>
    </row>
    <row r="3839" spans="70:82" x14ac:dyDescent="0.15">
      <c r="BR3839" s="34"/>
      <c r="BV3839" s="34"/>
      <c r="BZ3839" s="34"/>
      <c r="CD3839" s="34"/>
    </row>
    <row r="3840" spans="70:82" x14ac:dyDescent="0.15">
      <c r="BR3840" s="34"/>
      <c r="BV3840" s="34"/>
      <c r="BZ3840" s="34"/>
      <c r="CD3840" s="34"/>
    </row>
    <row r="3841" spans="70:82" x14ac:dyDescent="0.15">
      <c r="BR3841" s="34"/>
      <c r="BV3841" s="34"/>
      <c r="BZ3841" s="34"/>
      <c r="CD3841" s="34"/>
    </row>
    <row r="3842" spans="70:82" x14ac:dyDescent="0.15">
      <c r="BR3842" s="34"/>
      <c r="BV3842" s="34"/>
      <c r="BZ3842" s="34"/>
      <c r="CD3842" s="34"/>
    </row>
    <row r="3843" spans="70:82" x14ac:dyDescent="0.15">
      <c r="BR3843" s="34"/>
      <c r="BV3843" s="34"/>
      <c r="BZ3843" s="34"/>
      <c r="CD3843" s="34"/>
    </row>
    <row r="3844" spans="70:82" x14ac:dyDescent="0.15">
      <c r="BR3844" s="34"/>
      <c r="BV3844" s="34"/>
      <c r="BZ3844" s="34"/>
      <c r="CD3844" s="34"/>
    </row>
    <row r="3845" spans="70:82" x14ac:dyDescent="0.15">
      <c r="BR3845" s="34"/>
      <c r="BV3845" s="34"/>
      <c r="BZ3845" s="34"/>
      <c r="CD3845" s="34"/>
    </row>
    <row r="3846" spans="70:82" x14ac:dyDescent="0.15">
      <c r="BR3846" s="34"/>
      <c r="BV3846" s="34"/>
      <c r="BZ3846" s="34"/>
      <c r="CD3846" s="34"/>
    </row>
    <row r="3847" spans="70:82" x14ac:dyDescent="0.15">
      <c r="BR3847" s="34"/>
      <c r="BV3847" s="34"/>
      <c r="BZ3847" s="34"/>
      <c r="CD3847" s="34"/>
    </row>
    <row r="3848" spans="70:82" x14ac:dyDescent="0.15">
      <c r="BR3848" s="34"/>
      <c r="BV3848" s="34"/>
      <c r="BZ3848" s="34"/>
      <c r="CD3848" s="34"/>
    </row>
    <row r="3849" spans="70:82" x14ac:dyDescent="0.15">
      <c r="BR3849" s="34"/>
      <c r="BV3849" s="34"/>
      <c r="BZ3849" s="34"/>
      <c r="CD3849" s="34"/>
    </row>
    <row r="3850" spans="70:82" x14ac:dyDescent="0.15">
      <c r="BR3850" s="34"/>
      <c r="BV3850" s="34"/>
      <c r="BZ3850" s="34"/>
      <c r="CD3850" s="34"/>
    </row>
    <row r="3851" spans="70:82" x14ac:dyDescent="0.15">
      <c r="BR3851" s="34"/>
      <c r="BV3851" s="34"/>
      <c r="BZ3851" s="34"/>
      <c r="CD3851" s="34"/>
    </row>
    <row r="3852" spans="70:82" x14ac:dyDescent="0.15">
      <c r="BR3852" s="34"/>
      <c r="BV3852" s="34"/>
      <c r="BZ3852" s="34"/>
      <c r="CD3852" s="34"/>
    </row>
    <row r="3853" spans="70:82" x14ac:dyDescent="0.15">
      <c r="BR3853" s="34"/>
      <c r="BV3853" s="34"/>
      <c r="BZ3853" s="34"/>
      <c r="CD3853" s="34"/>
    </row>
    <row r="3854" spans="70:82" x14ac:dyDescent="0.15">
      <c r="BR3854" s="34"/>
      <c r="BV3854" s="34"/>
      <c r="BZ3854" s="34"/>
      <c r="CD3854" s="34"/>
    </row>
    <row r="3855" spans="70:82" x14ac:dyDescent="0.15">
      <c r="BR3855" s="34"/>
      <c r="BV3855" s="34"/>
      <c r="BZ3855" s="34"/>
      <c r="CD3855" s="34"/>
    </row>
    <row r="3856" spans="70:82" x14ac:dyDescent="0.15">
      <c r="BR3856" s="34"/>
      <c r="BV3856" s="34"/>
      <c r="BZ3856" s="34"/>
      <c r="CD3856" s="34"/>
    </row>
    <row r="3857" spans="70:82" x14ac:dyDescent="0.15">
      <c r="BR3857" s="34"/>
      <c r="BV3857" s="34"/>
      <c r="BZ3857" s="34"/>
      <c r="CD3857" s="34"/>
    </row>
    <row r="3858" spans="70:82" x14ac:dyDescent="0.15">
      <c r="BR3858" s="34"/>
      <c r="BV3858" s="34"/>
      <c r="BZ3858" s="34"/>
      <c r="CD3858" s="34"/>
    </row>
    <row r="3859" spans="70:82" x14ac:dyDescent="0.15">
      <c r="BR3859" s="34"/>
      <c r="BV3859" s="34"/>
      <c r="BZ3859" s="34"/>
      <c r="CD3859" s="34"/>
    </row>
    <row r="3860" spans="70:82" x14ac:dyDescent="0.15">
      <c r="BR3860" s="34"/>
      <c r="BV3860" s="34"/>
      <c r="BZ3860" s="34"/>
      <c r="CD3860" s="34"/>
    </row>
    <row r="3861" spans="70:82" x14ac:dyDescent="0.15">
      <c r="BR3861" s="34"/>
      <c r="BV3861" s="34"/>
      <c r="BZ3861" s="34"/>
      <c r="CD3861" s="34"/>
    </row>
    <row r="3862" spans="70:82" x14ac:dyDescent="0.15">
      <c r="BR3862" s="34"/>
      <c r="BV3862" s="34"/>
      <c r="BZ3862" s="34"/>
      <c r="CD3862" s="34"/>
    </row>
    <row r="3863" spans="70:82" x14ac:dyDescent="0.15">
      <c r="BR3863" s="34"/>
      <c r="BV3863" s="34"/>
      <c r="BZ3863" s="34"/>
      <c r="CD3863" s="34"/>
    </row>
    <row r="3864" spans="70:82" x14ac:dyDescent="0.15">
      <c r="BR3864" s="34"/>
      <c r="BV3864" s="34"/>
      <c r="BZ3864" s="34"/>
      <c r="CD3864" s="34"/>
    </row>
    <row r="3865" spans="70:82" x14ac:dyDescent="0.15">
      <c r="BR3865" s="34"/>
      <c r="BV3865" s="34"/>
      <c r="BZ3865" s="34"/>
      <c r="CD3865" s="34"/>
    </row>
    <row r="3866" spans="70:82" x14ac:dyDescent="0.15">
      <c r="BR3866" s="34"/>
      <c r="BV3866" s="34"/>
      <c r="BZ3866" s="34"/>
      <c r="CD3866" s="34"/>
    </row>
    <row r="3867" spans="70:82" x14ac:dyDescent="0.15">
      <c r="BR3867" s="34"/>
      <c r="BV3867" s="34"/>
      <c r="BZ3867" s="34"/>
      <c r="CD3867" s="34"/>
    </row>
    <row r="3868" spans="70:82" x14ac:dyDescent="0.15">
      <c r="BR3868" s="34"/>
      <c r="BV3868" s="34"/>
      <c r="BZ3868" s="34"/>
      <c r="CD3868" s="34"/>
    </row>
    <row r="3869" spans="70:82" x14ac:dyDescent="0.15">
      <c r="BR3869" s="34"/>
      <c r="BV3869" s="34"/>
      <c r="BZ3869" s="34"/>
      <c r="CD3869" s="34"/>
    </row>
    <row r="3870" spans="70:82" x14ac:dyDescent="0.15">
      <c r="BR3870" s="34"/>
      <c r="BV3870" s="34"/>
      <c r="BZ3870" s="34"/>
      <c r="CD3870" s="34"/>
    </row>
    <row r="3871" spans="70:82" x14ac:dyDescent="0.15">
      <c r="BR3871" s="34"/>
      <c r="BV3871" s="34"/>
      <c r="BZ3871" s="34"/>
      <c r="CD3871" s="34"/>
    </row>
    <row r="3872" spans="70:82" x14ac:dyDescent="0.15">
      <c r="BR3872" s="34"/>
      <c r="BV3872" s="34"/>
      <c r="BZ3872" s="34"/>
      <c r="CD3872" s="34"/>
    </row>
    <row r="3873" spans="70:82" x14ac:dyDescent="0.15">
      <c r="BR3873" s="34"/>
      <c r="BV3873" s="34"/>
      <c r="BZ3873" s="34"/>
      <c r="CD3873" s="34"/>
    </row>
    <row r="3874" spans="70:82" x14ac:dyDescent="0.15">
      <c r="BR3874" s="34"/>
      <c r="BV3874" s="34"/>
      <c r="BZ3874" s="34"/>
      <c r="CD3874" s="34"/>
    </row>
    <row r="3875" spans="70:82" x14ac:dyDescent="0.15">
      <c r="BR3875" s="34"/>
      <c r="BV3875" s="34"/>
      <c r="BZ3875" s="34"/>
      <c r="CD3875" s="34"/>
    </row>
    <row r="3876" spans="70:82" x14ac:dyDescent="0.15">
      <c r="BR3876" s="34"/>
      <c r="BV3876" s="34"/>
      <c r="BZ3876" s="34"/>
      <c r="CD3876" s="34"/>
    </row>
    <row r="3877" spans="70:82" x14ac:dyDescent="0.15">
      <c r="BR3877" s="34"/>
      <c r="BV3877" s="34"/>
      <c r="BZ3877" s="34"/>
      <c r="CD3877" s="34"/>
    </row>
    <row r="3878" spans="70:82" x14ac:dyDescent="0.15">
      <c r="BR3878" s="34"/>
      <c r="BV3878" s="34"/>
      <c r="BZ3878" s="34"/>
      <c r="CD3878" s="34"/>
    </row>
    <row r="3879" spans="70:82" x14ac:dyDescent="0.15">
      <c r="BR3879" s="34"/>
      <c r="BV3879" s="34"/>
      <c r="BZ3879" s="34"/>
      <c r="CD3879" s="34"/>
    </row>
    <row r="3880" spans="70:82" x14ac:dyDescent="0.15">
      <c r="BR3880" s="34"/>
      <c r="BV3880" s="34"/>
      <c r="BZ3880" s="34"/>
      <c r="CD3880" s="34"/>
    </row>
    <row r="3881" spans="70:82" x14ac:dyDescent="0.15">
      <c r="BR3881" s="34"/>
      <c r="BV3881" s="34"/>
      <c r="BZ3881" s="34"/>
      <c r="CD3881" s="34"/>
    </row>
    <row r="3882" spans="70:82" x14ac:dyDescent="0.15">
      <c r="BR3882" s="34"/>
      <c r="BV3882" s="34"/>
      <c r="BZ3882" s="34"/>
      <c r="CD3882" s="34"/>
    </row>
    <row r="3883" spans="70:82" x14ac:dyDescent="0.15">
      <c r="BR3883" s="34"/>
      <c r="BV3883" s="34"/>
      <c r="BZ3883" s="34"/>
      <c r="CD3883" s="34"/>
    </row>
    <row r="3884" spans="70:82" x14ac:dyDescent="0.15">
      <c r="BR3884" s="34"/>
      <c r="BV3884" s="34"/>
      <c r="BZ3884" s="34"/>
      <c r="CD3884" s="34"/>
    </row>
    <row r="3885" spans="70:82" x14ac:dyDescent="0.15">
      <c r="BR3885" s="34"/>
      <c r="BV3885" s="34"/>
      <c r="BZ3885" s="34"/>
      <c r="CD3885" s="34"/>
    </row>
    <row r="3886" spans="70:82" x14ac:dyDescent="0.15">
      <c r="BR3886" s="34"/>
      <c r="BV3886" s="34"/>
      <c r="BZ3886" s="34"/>
      <c r="CD3886" s="34"/>
    </row>
    <row r="3887" spans="70:82" x14ac:dyDescent="0.15">
      <c r="BR3887" s="34"/>
      <c r="BV3887" s="34"/>
      <c r="BZ3887" s="34"/>
      <c r="CD3887" s="34"/>
    </row>
    <row r="3888" spans="70:82" x14ac:dyDescent="0.15">
      <c r="BR3888" s="34"/>
      <c r="BV3888" s="34"/>
      <c r="BZ3888" s="34"/>
      <c r="CD3888" s="34"/>
    </row>
    <row r="3889" spans="70:82" x14ac:dyDescent="0.15">
      <c r="BR3889" s="34"/>
      <c r="BV3889" s="34"/>
      <c r="BZ3889" s="34"/>
      <c r="CD3889" s="34"/>
    </row>
    <row r="3890" spans="70:82" x14ac:dyDescent="0.15">
      <c r="BR3890" s="34"/>
      <c r="BV3890" s="34"/>
      <c r="BZ3890" s="34"/>
      <c r="CD3890" s="34"/>
    </row>
    <row r="3891" spans="70:82" x14ac:dyDescent="0.15">
      <c r="BR3891" s="34"/>
      <c r="BV3891" s="34"/>
      <c r="BZ3891" s="34"/>
      <c r="CD3891" s="34"/>
    </row>
    <row r="3892" spans="70:82" x14ac:dyDescent="0.15">
      <c r="BR3892" s="34"/>
      <c r="BV3892" s="34"/>
      <c r="BZ3892" s="34"/>
      <c r="CD3892" s="34"/>
    </row>
    <row r="3893" spans="70:82" x14ac:dyDescent="0.15">
      <c r="BR3893" s="34"/>
      <c r="BV3893" s="34"/>
      <c r="BZ3893" s="34"/>
      <c r="CD3893" s="34"/>
    </row>
    <row r="3894" spans="70:82" x14ac:dyDescent="0.15">
      <c r="BR3894" s="34"/>
      <c r="BV3894" s="34"/>
      <c r="BZ3894" s="34"/>
      <c r="CD3894" s="34"/>
    </row>
    <row r="3895" spans="70:82" x14ac:dyDescent="0.15">
      <c r="BR3895" s="34"/>
      <c r="BV3895" s="34"/>
      <c r="BZ3895" s="34"/>
      <c r="CD3895" s="34"/>
    </row>
    <row r="3896" spans="70:82" x14ac:dyDescent="0.15">
      <c r="BR3896" s="34"/>
      <c r="BV3896" s="34"/>
      <c r="BZ3896" s="34"/>
      <c r="CD3896" s="34"/>
    </row>
    <row r="3897" spans="70:82" x14ac:dyDescent="0.15">
      <c r="BR3897" s="34"/>
      <c r="BV3897" s="34"/>
      <c r="BZ3897" s="34"/>
      <c r="CD3897" s="34"/>
    </row>
    <row r="3898" spans="70:82" x14ac:dyDescent="0.15">
      <c r="BR3898" s="34"/>
      <c r="BV3898" s="34"/>
      <c r="BZ3898" s="34"/>
      <c r="CD3898" s="34"/>
    </row>
    <row r="3899" spans="70:82" x14ac:dyDescent="0.15">
      <c r="BR3899" s="34"/>
      <c r="BV3899" s="34"/>
      <c r="BZ3899" s="34"/>
      <c r="CD3899" s="34"/>
    </row>
    <row r="3900" spans="70:82" x14ac:dyDescent="0.15">
      <c r="BR3900" s="34"/>
      <c r="BV3900" s="34"/>
      <c r="BZ3900" s="34"/>
      <c r="CD3900" s="34"/>
    </row>
    <row r="3901" spans="70:82" x14ac:dyDescent="0.15">
      <c r="BR3901" s="34"/>
      <c r="BV3901" s="34"/>
      <c r="BZ3901" s="34"/>
      <c r="CD3901" s="34"/>
    </row>
    <row r="3902" spans="70:82" x14ac:dyDescent="0.15">
      <c r="BR3902" s="34"/>
      <c r="BV3902" s="34"/>
      <c r="BZ3902" s="34"/>
      <c r="CD3902" s="34"/>
    </row>
    <row r="3903" spans="70:82" x14ac:dyDescent="0.15">
      <c r="BR3903" s="34"/>
      <c r="BV3903" s="34"/>
      <c r="BZ3903" s="34"/>
      <c r="CD3903" s="34"/>
    </row>
    <row r="3904" spans="70:82" x14ac:dyDescent="0.15">
      <c r="BR3904" s="34"/>
      <c r="BV3904" s="34"/>
      <c r="BZ3904" s="34"/>
      <c r="CD3904" s="34"/>
    </row>
    <row r="3905" spans="70:82" x14ac:dyDescent="0.15">
      <c r="BR3905" s="34"/>
      <c r="BV3905" s="34"/>
      <c r="BZ3905" s="34"/>
      <c r="CD3905" s="34"/>
    </row>
    <row r="3906" spans="70:82" x14ac:dyDescent="0.15">
      <c r="BR3906" s="34"/>
      <c r="BV3906" s="34"/>
      <c r="BZ3906" s="34"/>
      <c r="CD3906" s="34"/>
    </row>
    <row r="3907" spans="70:82" x14ac:dyDescent="0.15">
      <c r="BR3907" s="34"/>
      <c r="BV3907" s="34"/>
      <c r="BZ3907" s="34"/>
      <c r="CD3907" s="34"/>
    </row>
    <row r="3908" spans="70:82" x14ac:dyDescent="0.15">
      <c r="BR3908" s="34"/>
      <c r="BV3908" s="34"/>
      <c r="BZ3908" s="34"/>
      <c r="CD3908" s="34"/>
    </row>
    <row r="3909" spans="70:82" x14ac:dyDescent="0.15">
      <c r="BR3909" s="34"/>
      <c r="BV3909" s="34"/>
      <c r="BZ3909" s="34"/>
      <c r="CD3909" s="34"/>
    </row>
    <row r="3910" spans="70:82" x14ac:dyDescent="0.15">
      <c r="BR3910" s="34"/>
      <c r="BV3910" s="34"/>
      <c r="BZ3910" s="34"/>
      <c r="CD3910" s="34"/>
    </row>
    <row r="3911" spans="70:82" x14ac:dyDescent="0.15">
      <c r="BR3911" s="34"/>
      <c r="BV3911" s="34"/>
      <c r="BZ3911" s="34"/>
      <c r="CD3911" s="34"/>
    </row>
    <row r="3912" spans="70:82" x14ac:dyDescent="0.15">
      <c r="BR3912" s="34"/>
      <c r="BV3912" s="34"/>
      <c r="BZ3912" s="34"/>
      <c r="CD3912" s="34"/>
    </row>
    <row r="3913" spans="70:82" x14ac:dyDescent="0.15">
      <c r="BR3913" s="34"/>
      <c r="BV3913" s="34"/>
      <c r="BZ3913" s="34"/>
      <c r="CD3913" s="34"/>
    </row>
    <row r="3914" spans="70:82" x14ac:dyDescent="0.15">
      <c r="BR3914" s="34"/>
      <c r="BV3914" s="34"/>
      <c r="BZ3914" s="34"/>
      <c r="CD3914" s="34"/>
    </row>
    <row r="3915" spans="70:82" x14ac:dyDescent="0.15">
      <c r="BR3915" s="34"/>
      <c r="BV3915" s="34"/>
      <c r="BZ3915" s="34"/>
      <c r="CD3915" s="34"/>
    </row>
    <row r="3916" spans="70:82" x14ac:dyDescent="0.15">
      <c r="BR3916" s="34"/>
      <c r="BV3916" s="34"/>
      <c r="BZ3916" s="34"/>
      <c r="CD3916" s="34"/>
    </row>
    <row r="3917" spans="70:82" x14ac:dyDescent="0.15">
      <c r="BR3917" s="34"/>
      <c r="BV3917" s="34"/>
      <c r="BZ3917" s="34"/>
      <c r="CD3917" s="34"/>
    </row>
    <row r="3918" spans="70:82" x14ac:dyDescent="0.15">
      <c r="BR3918" s="34"/>
      <c r="BV3918" s="34"/>
      <c r="BZ3918" s="34"/>
      <c r="CD3918" s="34"/>
    </row>
    <row r="3919" spans="70:82" x14ac:dyDescent="0.15">
      <c r="BR3919" s="34"/>
      <c r="BV3919" s="34"/>
      <c r="BZ3919" s="34"/>
      <c r="CD3919" s="34"/>
    </row>
    <row r="3920" spans="70:82" x14ac:dyDescent="0.15">
      <c r="BR3920" s="34"/>
      <c r="BV3920" s="34"/>
      <c r="BZ3920" s="34"/>
      <c r="CD3920" s="34"/>
    </row>
    <row r="3921" spans="70:82" x14ac:dyDescent="0.15">
      <c r="BR3921" s="34"/>
      <c r="BV3921" s="34"/>
      <c r="BZ3921" s="34"/>
      <c r="CD3921" s="34"/>
    </row>
    <row r="3922" spans="70:82" x14ac:dyDescent="0.15">
      <c r="BR3922" s="34"/>
      <c r="BV3922" s="34"/>
      <c r="BZ3922" s="34"/>
      <c r="CD3922" s="34"/>
    </row>
    <row r="3923" spans="70:82" x14ac:dyDescent="0.15">
      <c r="BR3923" s="34"/>
      <c r="BV3923" s="34"/>
      <c r="BZ3923" s="34"/>
      <c r="CD3923" s="34"/>
    </row>
    <row r="3924" spans="70:82" x14ac:dyDescent="0.15">
      <c r="BR3924" s="34"/>
      <c r="BV3924" s="34"/>
      <c r="BZ3924" s="34"/>
      <c r="CD3924" s="34"/>
    </row>
    <row r="3925" spans="70:82" x14ac:dyDescent="0.15">
      <c r="BR3925" s="34"/>
      <c r="BV3925" s="34"/>
      <c r="BZ3925" s="34"/>
      <c r="CD3925" s="34"/>
    </row>
    <row r="3926" spans="70:82" x14ac:dyDescent="0.15">
      <c r="BR3926" s="34"/>
      <c r="BV3926" s="34"/>
      <c r="BZ3926" s="34"/>
      <c r="CD3926" s="34"/>
    </row>
    <row r="3927" spans="70:82" x14ac:dyDescent="0.15">
      <c r="BR3927" s="34"/>
      <c r="BV3927" s="34"/>
      <c r="BZ3927" s="34"/>
      <c r="CD3927" s="34"/>
    </row>
    <row r="3928" spans="70:82" x14ac:dyDescent="0.15">
      <c r="BR3928" s="34"/>
      <c r="BV3928" s="34"/>
      <c r="BZ3928" s="34"/>
      <c r="CD3928" s="34"/>
    </row>
    <row r="3929" spans="70:82" x14ac:dyDescent="0.15">
      <c r="BR3929" s="34"/>
      <c r="BV3929" s="34"/>
      <c r="BZ3929" s="34"/>
      <c r="CD3929" s="34"/>
    </row>
    <row r="3930" spans="70:82" x14ac:dyDescent="0.15">
      <c r="BR3930" s="34"/>
      <c r="BV3930" s="34"/>
      <c r="BZ3930" s="34"/>
      <c r="CD3930" s="34"/>
    </row>
    <row r="3931" spans="70:82" x14ac:dyDescent="0.15">
      <c r="BR3931" s="34"/>
      <c r="BV3931" s="34"/>
      <c r="BZ3931" s="34"/>
      <c r="CD3931" s="34"/>
    </row>
    <row r="3932" spans="70:82" x14ac:dyDescent="0.15">
      <c r="BR3932" s="34"/>
      <c r="BV3932" s="34"/>
      <c r="BZ3932" s="34"/>
      <c r="CD3932" s="34"/>
    </row>
    <row r="3933" spans="70:82" x14ac:dyDescent="0.15">
      <c r="BR3933" s="34"/>
      <c r="BV3933" s="34"/>
      <c r="BZ3933" s="34"/>
      <c r="CD3933" s="34"/>
    </row>
    <row r="3934" spans="70:82" x14ac:dyDescent="0.15">
      <c r="BR3934" s="34"/>
      <c r="BV3934" s="34"/>
      <c r="BZ3934" s="34"/>
      <c r="CD3934" s="34"/>
    </row>
    <row r="3935" spans="70:82" x14ac:dyDescent="0.15">
      <c r="BR3935" s="34"/>
      <c r="BV3935" s="34"/>
      <c r="BZ3935" s="34"/>
      <c r="CD3935" s="34"/>
    </row>
    <row r="3936" spans="70:82" x14ac:dyDescent="0.15">
      <c r="BR3936" s="34"/>
      <c r="BV3936" s="34"/>
      <c r="BZ3936" s="34"/>
      <c r="CD3936" s="34"/>
    </row>
    <row r="3937" spans="70:82" x14ac:dyDescent="0.15">
      <c r="BR3937" s="34"/>
      <c r="BV3937" s="34"/>
      <c r="BZ3937" s="34"/>
      <c r="CD3937" s="34"/>
    </row>
    <row r="3938" spans="70:82" x14ac:dyDescent="0.15">
      <c r="BR3938" s="34"/>
      <c r="BV3938" s="34"/>
      <c r="BZ3938" s="34"/>
      <c r="CD3938" s="34"/>
    </row>
    <row r="3939" spans="70:82" x14ac:dyDescent="0.15">
      <c r="BR3939" s="34"/>
      <c r="BV3939" s="34"/>
      <c r="BZ3939" s="34"/>
      <c r="CD3939" s="34"/>
    </row>
    <row r="3940" spans="70:82" x14ac:dyDescent="0.15">
      <c r="BR3940" s="34"/>
      <c r="BV3940" s="34"/>
      <c r="BZ3940" s="34"/>
      <c r="CD3940" s="34"/>
    </row>
    <row r="3941" spans="70:82" x14ac:dyDescent="0.15">
      <c r="BR3941" s="34"/>
      <c r="BV3941" s="34"/>
      <c r="BZ3941" s="34"/>
      <c r="CD3941" s="34"/>
    </row>
    <row r="3942" spans="70:82" x14ac:dyDescent="0.15">
      <c r="BR3942" s="34"/>
      <c r="BV3942" s="34"/>
      <c r="BZ3942" s="34"/>
      <c r="CD3942" s="34"/>
    </row>
    <row r="3943" spans="70:82" x14ac:dyDescent="0.15">
      <c r="BR3943" s="34"/>
      <c r="BV3943" s="34"/>
      <c r="BZ3943" s="34"/>
      <c r="CD3943" s="34"/>
    </row>
    <row r="3944" spans="70:82" x14ac:dyDescent="0.15">
      <c r="BR3944" s="34"/>
      <c r="BV3944" s="34"/>
      <c r="BZ3944" s="34"/>
      <c r="CD3944" s="34"/>
    </row>
    <row r="3945" spans="70:82" x14ac:dyDescent="0.15">
      <c r="BR3945" s="34"/>
      <c r="BV3945" s="34"/>
      <c r="BZ3945" s="34"/>
      <c r="CD3945" s="34"/>
    </row>
    <row r="3946" spans="70:82" x14ac:dyDescent="0.15">
      <c r="BR3946" s="34"/>
      <c r="BV3946" s="34"/>
      <c r="BZ3946" s="34"/>
      <c r="CD3946" s="34"/>
    </row>
    <row r="3947" spans="70:82" x14ac:dyDescent="0.15">
      <c r="BR3947" s="34"/>
      <c r="BV3947" s="34"/>
      <c r="BZ3947" s="34"/>
      <c r="CD3947" s="34"/>
    </row>
    <row r="3948" spans="70:82" x14ac:dyDescent="0.15">
      <c r="BR3948" s="34"/>
      <c r="BV3948" s="34"/>
      <c r="BZ3948" s="34"/>
      <c r="CD3948" s="34"/>
    </row>
    <row r="3949" spans="70:82" x14ac:dyDescent="0.15">
      <c r="BR3949" s="34"/>
      <c r="BV3949" s="34"/>
      <c r="BZ3949" s="34"/>
      <c r="CD3949" s="34"/>
    </row>
    <row r="3950" spans="70:82" x14ac:dyDescent="0.15">
      <c r="BR3950" s="34"/>
      <c r="BV3950" s="34"/>
      <c r="BZ3950" s="34"/>
      <c r="CD3950" s="34"/>
    </row>
    <row r="3951" spans="70:82" x14ac:dyDescent="0.15">
      <c r="BR3951" s="34"/>
      <c r="BV3951" s="34"/>
      <c r="BZ3951" s="34"/>
      <c r="CD3951" s="34"/>
    </row>
    <row r="3952" spans="70:82" x14ac:dyDescent="0.15">
      <c r="BR3952" s="34"/>
      <c r="BV3952" s="34"/>
      <c r="BZ3952" s="34"/>
      <c r="CD3952" s="34"/>
    </row>
    <row r="3953" spans="70:82" x14ac:dyDescent="0.15">
      <c r="BR3953" s="34"/>
      <c r="BV3953" s="34"/>
      <c r="BZ3953" s="34"/>
      <c r="CD3953" s="34"/>
    </row>
    <row r="3954" spans="70:82" x14ac:dyDescent="0.15">
      <c r="BR3954" s="34"/>
      <c r="BV3954" s="34"/>
      <c r="BZ3954" s="34"/>
      <c r="CD3954" s="34"/>
    </row>
    <row r="3955" spans="70:82" x14ac:dyDescent="0.15">
      <c r="BR3955" s="34"/>
      <c r="BV3955" s="34"/>
      <c r="BZ3955" s="34"/>
      <c r="CD3955" s="34"/>
    </row>
    <row r="3956" spans="70:82" x14ac:dyDescent="0.15">
      <c r="BR3956" s="34"/>
      <c r="BV3956" s="34"/>
      <c r="BZ3956" s="34"/>
      <c r="CD3956" s="34"/>
    </row>
    <row r="3957" spans="70:82" x14ac:dyDescent="0.15">
      <c r="BR3957" s="34"/>
      <c r="BV3957" s="34"/>
      <c r="BZ3957" s="34"/>
      <c r="CD3957" s="34"/>
    </row>
    <row r="3958" spans="70:82" x14ac:dyDescent="0.15">
      <c r="BR3958" s="34"/>
      <c r="BV3958" s="34"/>
      <c r="BZ3958" s="34"/>
      <c r="CD3958" s="34"/>
    </row>
    <row r="3959" spans="70:82" x14ac:dyDescent="0.15">
      <c r="BR3959" s="34"/>
      <c r="BV3959" s="34"/>
      <c r="BZ3959" s="34"/>
      <c r="CD3959" s="34"/>
    </row>
    <row r="3960" spans="70:82" x14ac:dyDescent="0.15">
      <c r="BR3960" s="34"/>
      <c r="BV3960" s="34"/>
      <c r="BZ3960" s="34"/>
      <c r="CD3960" s="34"/>
    </row>
    <row r="3961" spans="70:82" x14ac:dyDescent="0.15">
      <c r="BR3961" s="34"/>
      <c r="BV3961" s="34"/>
      <c r="BZ3961" s="34"/>
      <c r="CD3961" s="34"/>
    </row>
    <row r="3962" spans="70:82" x14ac:dyDescent="0.15">
      <c r="BR3962" s="34"/>
      <c r="BV3962" s="34"/>
      <c r="BZ3962" s="34"/>
      <c r="CD3962" s="34"/>
    </row>
    <row r="3963" spans="70:82" x14ac:dyDescent="0.15">
      <c r="BR3963" s="34"/>
      <c r="BV3963" s="34"/>
      <c r="BZ3963" s="34"/>
      <c r="CD3963" s="34"/>
    </row>
    <row r="3964" spans="70:82" x14ac:dyDescent="0.15">
      <c r="BR3964" s="34"/>
      <c r="BV3964" s="34"/>
      <c r="BZ3964" s="34"/>
      <c r="CD3964" s="34"/>
    </row>
    <row r="3965" spans="70:82" x14ac:dyDescent="0.15">
      <c r="BR3965" s="34"/>
      <c r="BV3965" s="34"/>
      <c r="BZ3965" s="34"/>
      <c r="CD3965" s="34"/>
    </row>
    <row r="3966" spans="70:82" x14ac:dyDescent="0.15">
      <c r="BR3966" s="34"/>
      <c r="BV3966" s="34"/>
      <c r="BZ3966" s="34"/>
      <c r="CD3966" s="34"/>
    </row>
    <row r="3967" spans="70:82" x14ac:dyDescent="0.15">
      <c r="BR3967" s="34"/>
      <c r="BV3967" s="34"/>
      <c r="BZ3967" s="34"/>
      <c r="CD3967" s="34"/>
    </row>
    <row r="3968" spans="70:82" x14ac:dyDescent="0.15">
      <c r="BR3968" s="34"/>
      <c r="BV3968" s="34"/>
      <c r="BZ3968" s="34"/>
      <c r="CD3968" s="34"/>
    </row>
    <row r="3969" spans="70:82" x14ac:dyDescent="0.15">
      <c r="BR3969" s="34"/>
      <c r="BV3969" s="34"/>
      <c r="BZ3969" s="34"/>
      <c r="CD3969" s="34"/>
    </row>
    <row r="3970" spans="70:82" x14ac:dyDescent="0.15">
      <c r="BR3970" s="34"/>
      <c r="BV3970" s="34"/>
      <c r="BZ3970" s="34"/>
      <c r="CD3970" s="34"/>
    </row>
    <row r="3971" spans="70:82" x14ac:dyDescent="0.15">
      <c r="BR3971" s="34"/>
      <c r="BV3971" s="34"/>
      <c r="BZ3971" s="34"/>
      <c r="CD3971" s="34"/>
    </row>
    <row r="3972" spans="70:82" x14ac:dyDescent="0.15">
      <c r="BR3972" s="34"/>
      <c r="BV3972" s="34"/>
      <c r="BZ3972" s="34"/>
      <c r="CD3972" s="34"/>
    </row>
    <row r="3973" spans="70:82" x14ac:dyDescent="0.15">
      <c r="BR3973" s="34"/>
      <c r="BV3973" s="34"/>
      <c r="BZ3973" s="34"/>
      <c r="CD3973" s="34"/>
    </row>
    <row r="3974" spans="70:82" x14ac:dyDescent="0.15">
      <c r="BR3974" s="34"/>
      <c r="BV3974" s="34"/>
      <c r="BZ3974" s="34"/>
      <c r="CD3974" s="34"/>
    </row>
    <row r="3975" spans="70:82" x14ac:dyDescent="0.15">
      <c r="BR3975" s="34"/>
      <c r="BV3975" s="34"/>
      <c r="BZ3975" s="34"/>
      <c r="CD3975" s="34"/>
    </row>
    <row r="3976" spans="70:82" x14ac:dyDescent="0.15">
      <c r="BR3976" s="34"/>
      <c r="BV3976" s="34"/>
      <c r="BZ3976" s="34"/>
      <c r="CD3976" s="34"/>
    </row>
    <row r="3977" spans="70:82" x14ac:dyDescent="0.15">
      <c r="BR3977" s="34"/>
      <c r="BV3977" s="34"/>
      <c r="BZ3977" s="34"/>
      <c r="CD3977" s="34"/>
    </row>
    <row r="3978" spans="70:82" x14ac:dyDescent="0.15">
      <c r="BR3978" s="34"/>
      <c r="BV3978" s="34"/>
      <c r="BZ3978" s="34"/>
      <c r="CD3978" s="34"/>
    </row>
    <row r="3979" spans="70:82" x14ac:dyDescent="0.15">
      <c r="BR3979" s="34"/>
      <c r="BV3979" s="34"/>
      <c r="BZ3979" s="34"/>
      <c r="CD3979" s="34"/>
    </row>
    <row r="3980" spans="70:82" x14ac:dyDescent="0.15">
      <c r="BR3980" s="34"/>
      <c r="BV3980" s="34"/>
      <c r="BZ3980" s="34"/>
      <c r="CD3980" s="34"/>
    </row>
    <row r="3981" spans="70:82" x14ac:dyDescent="0.15">
      <c r="BR3981" s="34"/>
      <c r="BV3981" s="34"/>
      <c r="BZ3981" s="34"/>
      <c r="CD3981" s="34"/>
    </row>
    <row r="3982" spans="70:82" x14ac:dyDescent="0.15">
      <c r="BR3982" s="34"/>
      <c r="BV3982" s="34"/>
      <c r="BZ3982" s="34"/>
      <c r="CD3982" s="34"/>
    </row>
    <row r="3983" spans="70:82" x14ac:dyDescent="0.15">
      <c r="BR3983" s="34"/>
      <c r="BV3983" s="34"/>
      <c r="BZ3983" s="34"/>
      <c r="CD3983" s="34"/>
    </row>
    <row r="3984" spans="70:82" x14ac:dyDescent="0.15">
      <c r="BR3984" s="34"/>
      <c r="BV3984" s="34"/>
      <c r="BZ3984" s="34"/>
      <c r="CD3984" s="34"/>
    </row>
    <row r="3985" spans="70:82" x14ac:dyDescent="0.15">
      <c r="BR3985" s="34"/>
      <c r="BV3985" s="34"/>
      <c r="BZ3985" s="34"/>
      <c r="CD3985" s="34"/>
    </row>
    <row r="3986" spans="70:82" x14ac:dyDescent="0.15">
      <c r="BR3986" s="34"/>
      <c r="BV3986" s="34"/>
      <c r="BZ3986" s="34"/>
      <c r="CD3986" s="34"/>
    </row>
    <row r="3987" spans="70:82" x14ac:dyDescent="0.15">
      <c r="BR3987" s="34"/>
      <c r="BV3987" s="34"/>
      <c r="BZ3987" s="34"/>
      <c r="CD3987" s="34"/>
    </row>
    <row r="3988" spans="70:82" x14ac:dyDescent="0.15">
      <c r="BR3988" s="34"/>
      <c r="BV3988" s="34"/>
      <c r="BZ3988" s="34"/>
      <c r="CD3988" s="34"/>
    </row>
    <row r="3989" spans="70:82" x14ac:dyDescent="0.15">
      <c r="BR3989" s="34"/>
      <c r="BV3989" s="34"/>
      <c r="BZ3989" s="34"/>
      <c r="CD3989" s="34"/>
    </row>
    <row r="3990" spans="70:82" x14ac:dyDescent="0.15">
      <c r="BR3990" s="34"/>
      <c r="BV3990" s="34"/>
      <c r="BZ3990" s="34"/>
      <c r="CD3990" s="34"/>
    </row>
    <row r="3991" spans="70:82" x14ac:dyDescent="0.15">
      <c r="BR3991" s="34"/>
      <c r="BV3991" s="34"/>
      <c r="BZ3991" s="34"/>
      <c r="CD3991" s="34"/>
    </row>
    <row r="3992" spans="70:82" x14ac:dyDescent="0.15">
      <c r="BR3992" s="34"/>
      <c r="BV3992" s="34"/>
      <c r="BZ3992" s="34"/>
      <c r="CD3992" s="34"/>
    </row>
    <row r="3993" spans="70:82" x14ac:dyDescent="0.15">
      <c r="BR3993" s="34"/>
      <c r="BV3993" s="34"/>
      <c r="BZ3993" s="34"/>
      <c r="CD3993" s="34"/>
    </row>
    <row r="3994" spans="70:82" x14ac:dyDescent="0.15">
      <c r="BR3994" s="34"/>
      <c r="BV3994" s="34"/>
      <c r="BZ3994" s="34"/>
      <c r="CD3994" s="34"/>
    </row>
    <row r="3995" spans="70:82" x14ac:dyDescent="0.15">
      <c r="BR3995" s="34"/>
      <c r="BV3995" s="34"/>
      <c r="BZ3995" s="34"/>
      <c r="CD3995" s="34"/>
    </row>
    <row r="3996" spans="70:82" x14ac:dyDescent="0.15">
      <c r="BR3996" s="34"/>
      <c r="BV3996" s="34"/>
      <c r="BZ3996" s="34"/>
      <c r="CD3996" s="34"/>
    </row>
    <row r="3997" spans="70:82" x14ac:dyDescent="0.15">
      <c r="BR3997" s="34"/>
      <c r="BV3997" s="34"/>
      <c r="BZ3997" s="34"/>
      <c r="CD3997" s="34"/>
    </row>
    <row r="3998" spans="70:82" x14ac:dyDescent="0.15">
      <c r="BR3998" s="34"/>
      <c r="BV3998" s="34"/>
      <c r="BZ3998" s="34"/>
      <c r="CD3998" s="34"/>
    </row>
    <row r="3999" spans="70:82" x14ac:dyDescent="0.15">
      <c r="BR3999" s="34"/>
      <c r="BV3999" s="34"/>
      <c r="BZ3999" s="34"/>
      <c r="CD3999" s="34"/>
    </row>
    <row r="4000" spans="70:82" x14ac:dyDescent="0.15">
      <c r="BR4000" s="34"/>
      <c r="BV4000" s="34"/>
      <c r="BZ4000" s="34"/>
      <c r="CD4000" s="34"/>
    </row>
    <row r="4001" spans="70:82" x14ac:dyDescent="0.15">
      <c r="BR4001" s="34"/>
      <c r="BV4001" s="34"/>
      <c r="BZ4001" s="34"/>
      <c r="CD4001" s="34"/>
    </row>
    <row r="4002" spans="70:82" x14ac:dyDescent="0.15">
      <c r="BR4002" s="34"/>
      <c r="BV4002" s="34"/>
      <c r="BZ4002" s="34"/>
      <c r="CD4002" s="34"/>
    </row>
    <row r="4003" spans="70:82" x14ac:dyDescent="0.15">
      <c r="BR4003" s="34"/>
      <c r="BV4003" s="34"/>
      <c r="BZ4003" s="34"/>
      <c r="CD4003" s="34"/>
    </row>
    <row r="4004" spans="70:82" x14ac:dyDescent="0.15">
      <c r="BR4004" s="34"/>
      <c r="BV4004" s="34"/>
      <c r="BZ4004" s="34"/>
      <c r="CD4004" s="34"/>
    </row>
    <row r="4005" spans="70:82" x14ac:dyDescent="0.15">
      <c r="BR4005" s="34"/>
      <c r="BV4005" s="34"/>
      <c r="BZ4005" s="34"/>
      <c r="CD4005" s="34"/>
    </row>
    <row r="4006" spans="70:82" x14ac:dyDescent="0.15">
      <c r="BR4006" s="34"/>
      <c r="BV4006" s="34"/>
      <c r="BZ4006" s="34"/>
      <c r="CD4006" s="34"/>
    </row>
    <row r="4007" spans="70:82" x14ac:dyDescent="0.15">
      <c r="BR4007" s="34"/>
      <c r="BV4007" s="34"/>
      <c r="BZ4007" s="34"/>
      <c r="CD4007" s="34"/>
    </row>
    <row r="4008" spans="70:82" x14ac:dyDescent="0.15">
      <c r="BR4008" s="34"/>
      <c r="BV4008" s="34"/>
      <c r="BZ4008" s="34"/>
      <c r="CD4008" s="34"/>
    </row>
    <row r="4009" spans="70:82" x14ac:dyDescent="0.15">
      <c r="BR4009" s="34"/>
      <c r="BV4009" s="34"/>
      <c r="BZ4009" s="34"/>
      <c r="CD4009" s="34"/>
    </row>
    <row r="4010" spans="70:82" x14ac:dyDescent="0.15">
      <c r="BR4010" s="34"/>
      <c r="BV4010" s="34"/>
      <c r="BZ4010" s="34"/>
      <c r="CD4010" s="34"/>
    </row>
    <row r="4011" spans="70:82" x14ac:dyDescent="0.15">
      <c r="BR4011" s="34"/>
      <c r="BV4011" s="34"/>
      <c r="BZ4011" s="34"/>
      <c r="CD4011" s="34"/>
    </row>
    <row r="4012" spans="70:82" x14ac:dyDescent="0.15">
      <c r="BR4012" s="34"/>
      <c r="BV4012" s="34"/>
      <c r="BZ4012" s="34"/>
      <c r="CD4012" s="34"/>
    </row>
    <row r="4013" spans="70:82" x14ac:dyDescent="0.15">
      <c r="BR4013" s="34"/>
      <c r="BV4013" s="34"/>
      <c r="BZ4013" s="34"/>
      <c r="CD4013" s="34"/>
    </row>
    <row r="4014" spans="70:82" x14ac:dyDescent="0.15">
      <c r="BR4014" s="34"/>
      <c r="BV4014" s="34"/>
      <c r="BZ4014" s="34"/>
      <c r="CD4014" s="34"/>
    </row>
    <row r="4015" spans="70:82" x14ac:dyDescent="0.15">
      <c r="BR4015" s="34"/>
      <c r="BV4015" s="34"/>
      <c r="BZ4015" s="34"/>
      <c r="CD4015" s="34"/>
    </row>
    <row r="4016" spans="70:82" x14ac:dyDescent="0.15">
      <c r="BR4016" s="34"/>
      <c r="BV4016" s="34"/>
      <c r="BZ4016" s="34"/>
      <c r="CD4016" s="34"/>
    </row>
    <row r="4017" spans="70:82" x14ac:dyDescent="0.15">
      <c r="BR4017" s="34"/>
      <c r="BV4017" s="34"/>
      <c r="BZ4017" s="34"/>
      <c r="CD4017" s="34"/>
    </row>
    <row r="4018" spans="70:82" x14ac:dyDescent="0.15">
      <c r="BR4018" s="34"/>
      <c r="BV4018" s="34"/>
      <c r="BZ4018" s="34"/>
      <c r="CD4018" s="34"/>
    </row>
    <row r="4019" spans="70:82" x14ac:dyDescent="0.15">
      <c r="BR4019" s="34"/>
      <c r="BV4019" s="34"/>
      <c r="BZ4019" s="34"/>
      <c r="CD4019" s="34"/>
    </row>
    <row r="4020" spans="70:82" x14ac:dyDescent="0.15">
      <c r="BR4020" s="34"/>
      <c r="BV4020" s="34"/>
      <c r="BZ4020" s="34"/>
      <c r="CD4020" s="34"/>
    </row>
    <row r="4021" spans="70:82" x14ac:dyDescent="0.15">
      <c r="BR4021" s="34"/>
      <c r="BV4021" s="34"/>
      <c r="BZ4021" s="34"/>
      <c r="CD4021" s="34"/>
    </row>
    <row r="4022" spans="70:82" x14ac:dyDescent="0.15">
      <c r="BR4022" s="34"/>
      <c r="BV4022" s="34"/>
      <c r="BZ4022" s="34"/>
      <c r="CD4022" s="34"/>
    </row>
    <row r="4023" spans="70:82" x14ac:dyDescent="0.15">
      <c r="BR4023" s="34"/>
      <c r="BV4023" s="34"/>
      <c r="BZ4023" s="34"/>
      <c r="CD4023" s="34"/>
    </row>
    <row r="4024" spans="70:82" x14ac:dyDescent="0.15">
      <c r="BR4024" s="34"/>
      <c r="BV4024" s="34"/>
      <c r="BZ4024" s="34"/>
      <c r="CD4024" s="34"/>
    </row>
    <row r="4025" spans="70:82" x14ac:dyDescent="0.15">
      <c r="BR4025" s="34"/>
      <c r="BV4025" s="34"/>
      <c r="BZ4025" s="34"/>
      <c r="CD4025" s="34"/>
    </row>
    <row r="4026" spans="70:82" x14ac:dyDescent="0.15">
      <c r="BR4026" s="34"/>
      <c r="BV4026" s="34"/>
      <c r="BZ4026" s="34"/>
      <c r="CD4026" s="34"/>
    </row>
    <row r="4027" spans="70:82" x14ac:dyDescent="0.15">
      <c r="BR4027" s="34"/>
      <c r="BV4027" s="34"/>
      <c r="BZ4027" s="34"/>
      <c r="CD4027" s="34"/>
    </row>
    <row r="4028" spans="70:82" x14ac:dyDescent="0.15">
      <c r="BR4028" s="34"/>
      <c r="BV4028" s="34"/>
      <c r="BZ4028" s="34"/>
      <c r="CD4028" s="34"/>
    </row>
    <row r="4029" spans="70:82" x14ac:dyDescent="0.15">
      <c r="BR4029" s="34"/>
      <c r="BV4029" s="34"/>
      <c r="BZ4029" s="34"/>
      <c r="CD4029" s="34"/>
    </row>
    <row r="4030" spans="70:82" x14ac:dyDescent="0.15">
      <c r="BR4030" s="34"/>
      <c r="BV4030" s="34"/>
      <c r="BZ4030" s="34"/>
      <c r="CD4030" s="34"/>
    </row>
    <row r="4031" spans="70:82" x14ac:dyDescent="0.15">
      <c r="BR4031" s="34"/>
      <c r="BV4031" s="34"/>
      <c r="BZ4031" s="34"/>
      <c r="CD4031" s="34"/>
    </row>
    <row r="4032" spans="70:82" x14ac:dyDescent="0.15">
      <c r="BR4032" s="34"/>
      <c r="BV4032" s="34"/>
      <c r="BZ4032" s="34"/>
      <c r="CD4032" s="34"/>
    </row>
    <row r="4033" spans="70:82" x14ac:dyDescent="0.15">
      <c r="BR4033" s="34"/>
      <c r="BV4033" s="34"/>
      <c r="BZ4033" s="34"/>
      <c r="CD4033" s="34"/>
    </row>
    <row r="4034" spans="70:82" x14ac:dyDescent="0.15">
      <c r="BR4034" s="34"/>
      <c r="BV4034" s="34"/>
      <c r="BZ4034" s="34"/>
      <c r="CD4034" s="34"/>
    </row>
    <row r="4035" spans="70:82" x14ac:dyDescent="0.15">
      <c r="BR4035" s="34"/>
      <c r="BV4035" s="34"/>
      <c r="BZ4035" s="34"/>
      <c r="CD4035" s="34"/>
    </row>
    <row r="4036" spans="70:82" x14ac:dyDescent="0.15">
      <c r="BR4036" s="34"/>
      <c r="BV4036" s="34"/>
      <c r="BZ4036" s="34"/>
      <c r="CD4036" s="34"/>
    </row>
    <row r="4037" spans="70:82" x14ac:dyDescent="0.15">
      <c r="BR4037" s="34"/>
      <c r="BV4037" s="34"/>
      <c r="BZ4037" s="34"/>
      <c r="CD4037" s="34"/>
    </row>
    <row r="4038" spans="70:82" x14ac:dyDescent="0.15">
      <c r="BR4038" s="34"/>
      <c r="BV4038" s="34"/>
      <c r="BZ4038" s="34"/>
      <c r="CD4038" s="34"/>
    </row>
    <row r="4039" spans="70:82" x14ac:dyDescent="0.15">
      <c r="BR4039" s="34"/>
      <c r="BV4039" s="34"/>
      <c r="BZ4039" s="34"/>
      <c r="CD4039" s="34"/>
    </row>
    <row r="4040" spans="70:82" x14ac:dyDescent="0.15">
      <c r="BR4040" s="34"/>
      <c r="BV4040" s="34"/>
      <c r="BZ4040" s="34"/>
      <c r="CD4040" s="34"/>
    </row>
    <row r="4041" spans="70:82" x14ac:dyDescent="0.15">
      <c r="BR4041" s="34"/>
      <c r="BV4041" s="34"/>
      <c r="BZ4041" s="34"/>
      <c r="CD4041" s="34"/>
    </row>
    <row r="4042" spans="70:82" x14ac:dyDescent="0.15">
      <c r="BR4042" s="34"/>
      <c r="BV4042" s="34"/>
      <c r="BZ4042" s="34"/>
      <c r="CD4042" s="34"/>
    </row>
    <row r="4043" spans="70:82" x14ac:dyDescent="0.15">
      <c r="BR4043" s="34"/>
      <c r="BV4043" s="34"/>
      <c r="BZ4043" s="34"/>
      <c r="CD4043" s="34"/>
    </row>
    <row r="4044" spans="70:82" x14ac:dyDescent="0.15">
      <c r="BR4044" s="34"/>
      <c r="BV4044" s="34"/>
      <c r="BZ4044" s="34"/>
      <c r="CD4044" s="34"/>
    </row>
    <row r="4045" spans="70:82" x14ac:dyDescent="0.15">
      <c r="BR4045" s="34"/>
      <c r="BV4045" s="34"/>
      <c r="BZ4045" s="34"/>
      <c r="CD4045" s="34"/>
    </row>
    <row r="4046" spans="70:82" x14ac:dyDescent="0.15">
      <c r="BR4046" s="34"/>
      <c r="BV4046" s="34"/>
      <c r="BZ4046" s="34"/>
      <c r="CD4046" s="34"/>
    </row>
    <row r="4047" spans="70:82" x14ac:dyDescent="0.15">
      <c r="BR4047" s="34"/>
      <c r="BV4047" s="34"/>
      <c r="BZ4047" s="34"/>
      <c r="CD4047" s="34"/>
    </row>
    <row r="4048" spans="70:82" x14ac:dyDescent="0.15">
      <c r="BR4048" s="34"/>
      <c r="BV4048" s="34"/>
      <c r="BZ4048" s="34"/>
      <c r="CD4048" s="34"/>
    </row>
    <row r="4049" spans="70:82" x14ac:dyDescent="0.15">
      <c r="BR4049" s="34"/>
      <c r="BV4049" s="34"/>
      <c r="BZ4049" s="34"/>
      <c r="CD4049" s="34"/>
    </row>
    <row r="4050" spans="70:82" x14ac:dyDescent="0.15">
      <c r="BR4050" s="34"/>
      <c r="BV4050" s="34"/>
      <c r="BZ4050" s="34"/>
      <c r="CD4050" s="34"/>
    </row>
    <row r="4051" spans="70:82" x14ac:dyDescent="0.15">
      <c r="BR4051" s="34"/>
      <c r="BV4051" s="34"/>
      <c r="BZ4051" s="34"/>
      <c r="CD4051" s="34"/>
    </row>
    <row r="4052" spans="70:82" x14ac:dyDescent="0.15">
      <c r="BR4052" s="34"/>
      <c r="BV4052" s="34"/>
      <c r="BZ4052" s="34"/>
      <c r="CD4052" s="34"/>
    </row>
    <row r="4053" spans="70:82" x14ac:dyDescent="0.15">
      <c r="BR4053" s="34"/>
      <c r="BV4053" s="34"/>
      <c r="BZ4053" s="34"/>
      <c r="CD4053" s="34"/>
    </row>
    <row r="4054" spans="70:82" x14ac:dyDescent="0.15">
      <c r="BR4054" s="34"/>
      <c r="BV4054" s="34"/>
      <c r="BZ4054" s="34"/>
      <c r="CD4054" s="34"/>
    </row>
    <row r="4055" spans="70:82" x14ac:dyDescent="0.15">
      <c r="BR4055" s="34"/>
      <c r="BV4055" s="34"/>
      <c r="BZ4055" s="34"/>
      <c r="CD4055" s="34"/>
    </row>
    <row r="4056" spans="70:82" x14ac:dyDescent="0.15">
      <c r="BR4056" s="34"/>
      <c r="BV4056" s="34"/>
      <c r="BZ4056" s="34"/>
      <c r="CD4056" s="34"/>
    </row>
    <row r="4057" spans="70:82" x14ac:dyDescent="0.15">
      <c r="BR4057" s="34"/>
      <c r="BV4057" s="34"/>
      <c r="BZ4057" s="34"/>
      <c r="CD4057" s="34"/>
    </row>
    <row r="4058" spans="70:82" x14ac:dyDescent="0.15">
      <c r="BR4058" s="34"/>
      <c r="BV4058" s="34"/>
      <c r="BZ4058" s="34"/>
      <c r="CD4058" s="34"/>
    </row>
    <row r="4059" spans="70:82" x14ac:dyDescent="0.15">
      <c r="BR4059" s="34"/>
      <c r="BV4059" s="34"/>
      <c r="BZ4059" s="34"/>
      <c r="CD4059" s="34"/>
    </row>
    <row r="4060" spans="70:82" x14ac:dyDescent="0.15">
      <c r="BR4060" s="34"/>
      <c r="BV4060" s="34"/>
      <c r="BZ4060" s="34"/>
      <c r="CD4060" s="34"/>
    </row>
    <row r="4061" spans="70:82" x14ac:dyDescent="0.15">
      <c r="BR4061" s="34"/>
      <c r="BV4061" s="34"/>
      <c r="BZ4061" s="34"/>
      <c r="CD4061" s="34"/>
    </row>
    <row r="4062" spans="70:82" x14ac:dyDescent="0.15">
      <c r="BR4062" s="34"/>
      <c r="BV4062" s="34"/>
      <c r="BZ4062" s="34"/>
      <c r="CD4062" s="34"/>
    </row>
    <row r="4063" spans="70:82" x14ac:dyDescent="0.15">
      <c r="BR4063" s="34"/>
      <c r="BV4063" s="34"/>
      <c r="BZ4063" s="34"/>
      <c r="CD4063" s="34"/>
    </row>
    <row r="4064" spans="70:82" x14ac:dyDescent="0.15">
      <c r="BR4064" s="34"/>
      <c r="BV4064" s="34"/>
      <c r="BZ4064" s="34"/>
      <c r="CD4064" s="34"/>
    </row>
    <row r="4065" spans="70:82" x14ac:dyDescent="0.15">
      <c r="BR4065" s="34"/>
      <c r="BV4065" s="34"/>
      <c r="BZ4065" s="34"/>
      <c r="CD4065" s="34"/>
    </row>
    <row r="4066" spans="70:82" x14ac:dyDescent="0.15">
      <c r="BR4066" s="34"/>
      <c r="BV4066" s="34"/>
      <c r="BZ4066" s="34"/>
      <c r="CD4066" s="34"/>
    </row>
    <row r="4067" spans="70:82" x14ac:dyDescent="0.15">
      <c r="BR4067" s="34"/>
      <c r="BV4067" s="34"/>
      <c r="BZ4067" s="34"/>
      <c r="CD4067" s="34"/>
    </row>
    <row r="4068" spans="70:82" x14ac:dyDescent="0.15">
      <c r="BR4068" s="34"/>
      <c r="BV4068" s="34"/>
      <c r="BZ4068" s="34"/>
      <c r="CD4068" s="34"/>
    </row>
    <row r="4069" spans="70:82" x14ac:dyDescent="0.15">
      <c r="BR4069" s="34"/>
      <c r="BV4069" s="34"/>
      <c r="BZ4069" s="34"/>
      <c r="CD4069" s="34"/>
    </row>
    <row r="4070" spans="70:82" x14ac:dyDescent="0.15">
      <c r="BR4070" s="34"/>
      <c r="BV4070" s="34"/>
      <c r="BZ4070" s="34"/>
      <c r="CD4070" s="34"/>
    </row>
    <row r="4071" spans="70:82" x14ac:dyDescent="0.15">
      <c r="BR4071" s="34"/>
      <c r="BV4071" s="34"/>
      <c r="BZ4071" s="34"/>
      <c r="CD4071" s="34"/>
    </row>
    <row r="4072" spans="70:82" x14ac:dyDescent="0.15">
      <c r="BR4072" s="34"/>
      <c r="BV4072" s="34"/>
      <c r="BZ4072" s="34"/>
      <c r="CD4072" s="34"/>
    </row>
    <row r="4073" spans="70:82" x14ac:dyDescent="0.15">
      <c r="BR4073" s="34"/>
      <c r="BV4073" s="34"/>
      <c r="BZ4073" s="34"/>
      <c r="CD4073" s="34"/>
    </row>
    <row r="4074" spans="70:82" x14ac:dyDescent="0.15">
      <c r="BR4074" s="34"/>
      <c r="BV4074" s="34"/>
      <c r="BZ4074" s="34"/>
      <c r="CD4074" s="34"/>
    </row>
    <row r="4075" spans="70:82" x14ac:dyDescent="0.15">
      <c r="BR4075" s="34"/>
      <c r="BV4075" s="34"/>
      <c r="BZ4075" s="34"/>
      <c r="CD4075" s="34"/>
    </row>
    <row r="4076" spans="70:82" x14ac:dyDescent="0.15">
      <c r="BR4076" s="34"/>
      <c r="BV4076" s="34"/>
      <c r="BZ4076" s="34"/>
      <c r="CD4076" s="34"/>
    </row>
    <row r="4077" spans="70:82" x14ac:dyDescent="0.15">
      <c r="BR4077" s="34"/>
      <c r="BV4077" s="34"/>
      <c r="BZ4077" s="34"/>
      <c r="CD4077" s="34"/>
    </row>
    <row r="4078" spans="70:82" x14ac:dyDescent="0.15">
      <c r="BR4078" s="34"/>
      <c r="BV4078" s="34"/>
      <c r="BZ4078" s="34"/>
      <c r="CD4078" s="34"/>
    </row>
    <row r="4079" spans="70:82" x14ac:dyDescent="0.15">
      <c r="BR4079" s="34"/>
      <c r="BV4079" s="34"/>
      <c r="BZ4079" s="34"/>
      <c r="CD4079" s="34"/>
    </row>
    <row r="4080" spans="70:82" x14ac:dyDescent="0.15">
      <c r="BR4080" s="34"/>
      <c r="BV4080" s="34"/>
      <c r="BZ4080" s="34"/>
      <c r="CD4080" s="34"/>
    </row>
    <row r="4081" spans="70:82" x14ac:dyDescent="0.15">
      <c r="BR4081" s="34"/>
      <c r="BV4081" s="34"/>
      <c r="BZ4081" s="34"/>
      <c r="CD4081" s="34"/>
    </row>
    <row r="4082" spans="70:82" x14ac:dyDescent="0.15">
      <c r="BR4082" s="34"/>
      <c r="BV4082" s="34"/>
      <c r="BZ4082" s="34"/>
      <c r="CD4082" s="34"/>
    </row>
    <row r="4083" spans="70:82" x14ac:dyDescent="0.15">
      <c r="BR4083" s="34"/>
      <c r="BV4083" s="34"/>
      <c r="BZ4083" s="34"/>
      <c r="CD4083" s="34"/>
    </row>
    <row r="4084" spans="70:82" x14ac:dyDescent="0.15">
      <c r="BR4084" s="34"/>
      <c r="BV4084" s="34"/>
      <c r="BZ4084" s="34"/>
      <c r="CD4084" s="34"/>
    </row>
    <row r="4085" spans="70:82" x14ac:dyDescent="0.15">
      <c r="BR4085" s="34"/>
      <c r="BV4085" s="34"/>
      <c r="BZ4085" s="34"/>
      <c r="CD4085" s="34"/>
    </row>
    <row r="4086" spans="70:82" x14ac:dyDescent="0.15">
      <c r="BR4086" s="34"/>
      <c r="BV4086" s="34"/>
      <c r="BZ4086" s="34"/>
      <c r="CD4086" s="34"/>
    </row>
    <row r="4087" spans="70:82" x14ac:dyDescent="0.15">
      <c r="BR4087" s="34"/>
      <c r="BV4087" s="34"/>
      <c r="BZ4087" s="34"/>
      <c r="CD4087" s="34"/>
    </row>
    <row r="4088" spans="70:82" x14ac:dyDescent="0.15">
      <c r="BR4088" s="34"/>
      <c r="BV4088" s="34"/>
      <c r="BZ4088" s="34"/>
      <c r="CD4088" s="34"/>
    </row>
    <row r="4089" spans="70:82" x14ac:dyDescent="0.15">
      <c r="BR4089" s="34"/>
      <c r="BV4089" s="34"/>
      <c r="BZ4089" s="34"/>
      <c r="CD4089" s="34"/>
    </row>
    <row r="4090" spans="70:82" x14ac:dyDescent="0.15">
      <c r="BR4090" s="34"/>
      <c r="BV4090" s="34"/>
      <c r="BZ4090" s="34"/>
      <c r="CD4090" s="34"/>
    </row>
    <row r="4091" spans="70:82" x14ac:dyDescent="0.15">
      <c r="BR4091" s="34"/>
      <c r="BV4091" s="34"/>
      <c r="BZ4091" s="34"/>
      <c r="CD4091" s="34"/>
    </row>
    <row r="4092" spans="70:82" x14ac:dyDescent="0.15">
      <c r="BR4092" s="34"/>
      <c r="BV4092" s="34"/>
      <c r="BZ4092" s="34"/>
      <c r="CD4092" s="34"/>
    </row>
    <row r="4093" spans="70:82" x14ac:dyDescent="0.15">
      <c r="BR4093" s="34"/>
      <c r="BV4093" s="34"/>
      <c r="BZ4093" s="34"/>
      <c r="CD4093" s="34"/>
    </row>
    <row r="4094" spans="70:82" x14ac:dyDescent="0.15">
      <c r="BR4094" s="34"/>
      <c r="BV4094" s="34"/>
      <c r="BZ4094" s="34"/>
      <c r="CD4094" s="34"/>
    </row>
    <row r="4095" spans="70:82" x14ac:dyDescent="0.15">
      <c r="BR4095" s="34"/>
      <c r="BV4095" s="34"/>
      <c r="BZ4095" s="34"/>
      <c r="CD4095" s="34"/>
    </row>
    <row r="4096" spans="70:82" x14ac:dyDescent="0.15">
      <c r="BR4096" s="34"/>
      <c r="BV4096" s="34"/>
      <c r="BZ4096" s="34"/>
      <c r="CD4096" s="34"/>
    </row>
    <row r="4097" spans="70:82" x14ac:dyDescent="0.15">
      <c r="BR4097" s="34"/>
      <c r="BV4097" s="34"/>
      <c r="BZ4097" s="34"/>
      <c r="CD4097" s="34"/>
    </row>
    <row r="4098" spans="70:82" x14ac:dyDescent="0.15">
      <c r="BR4098" s="34"/>
      <c r="BV4098" s="34"/>
      <c r="BZ4098" s="34"/>
      <c r="CD4098" s="34"/>
    </row>
    <row r="4099" spans="70:82" x14ac:dyDescent="0.15">
      <c r="BR4099" s="34"/>
      <c r="BV4099" s="34"/>
      <c r="BZ4099" s="34"/>
      <c r="CD4099" s="34"/>
    </row>
    <row r="4100" spans="70:82" x14ac:dyDescent="0.15">
      <c r="BR4100" s="34"/>
      <c r="BV4100" s="34"/>
      <c r="BZ4100" s="34"/>
      <c r="CD4100" s="34"/>
    </row>
    <row r="4101" spans="70:82" x14ac:dyDescent="0.15">
      <c r="BR4101" s="34"/>
      <c r="BV4101" s="34"/>
      <c r="BZ4101" s="34"/>
      <c r="CD4101" s="34"/>
    </row>
    <row r="4102" spans="70:82" x14ac:dyDescent="0.15">
      <c r="BR4102" s="34"/>
      <c r="BV4102" s="34"/>
      <c r="BZ4102" s="34"/>
      <c r="CD4102" s="34"/>
    </row>
    <row r="4103" spans="70:82" x14ac:dyDescent="0.15">
      <c r="BR4103" s="34"/>
      <c r="BV4103" s="34"/>
      <c r="BZ4103" s="34"/>
      <c r="CD4103" s="34"/>
    </row>
    <row r="4104" spans="70:82" x14ac:dyDescent="0.15">
      <c r="BR4104" s="34"/>
      <c r="BV4104" s="34"/>
      <c r="BZ4104" s="34"/>
      <c r="CD4104" s="34"/>
    </row>
    <row r="4105" spans="70:82" x14ac:dyDescent="0.15">
      <c r="BR4105" s="34"/>
      <c r="BV4105" s="34"/>
      <c r="BZ4105" s="34"/>
      <c r="CD4105" s="34"/>
    </row>
    <row r="4106" spans="70:82" x14ac:dyDescent="0.15">
      <c r="BR4106" s="34"/>
      <c r="BV4106" s="34"/>
      <c r="BZ4106" s="34"/>
      <c r="CD4106" s="34"/>
    </row>
    <row r="4107" spans="70:82" x14ac:dyDescent="0.15">
      <c r="BR4107" s="34"/>
      <c r="BV4107" s="34"/>
      <c r="BZ4107" s="34"/>
      <c r="CD4107" s="34"/>
    </row>
    <row r="4108" spans="70:82" x14ac:dyDescent="0.15">
      <c r="BR4108" s="34"/>
      <c r="BV4108" s="34"/>
      <c r="BZ4108" s="34"/>
      <c r="CD4108" s="34"/>
    </row>
    <row r="4109" spans="70:82" x14ac:dyDescent="0.15">
      <c r="BR4109" s="34"/>
      <c r="BV4109" s="34"/>
      <c r="BZ4109" s="34"/>
      <c r="CD4109" s="34"/>
    </row>
    <row r="4110" spans="70:82" x14ac:dyDescent="0.15">
      <c r="BR4110" s="34"/>
      <c r="BV4110" s="34"/>
      <c r="BZ4110" s="34"/>
      <c r="CD4110" s="34"/>
    </row>
    <row r="4111" spans="70:82" x14ac:dyDescent="0.15">
      <c r="BR4111" s="34"/>
      <c r="BV4111" s="34"/>
      <c r="BZ4111" s="34"/>
      <c r="CD4111" s="34"/>
    </row>
    <row r="4112" spans="70:82" x14ac:dyDescent="0.15">
      <c r="BR4112" s="34"/>
      <c r="BV4112" s="34"/>
      <c r="BZ4112" s="34"/>
      <c r="CD4112" s="34"/>
    </row>
    <row r="4113" spans="70:82" x14ac:dyDescent="0.15">
      <c r="BR4113" s="34"/>
      <c r="BV4113" s="34"/>
      <c r="BZ4113" s="34"/>
      <c r="CD4113" s="34"/>
    </row>
    <row r="4114" spans="70:82" x14ac:dyDescent="0.15">
      <c r="BR4114" s="34"/>
      <c r="BV4114" s="34"/>
      <c r="BZ4114" s="34"/>
      <c r="CD4114" s="34"/>
    </row>
    <row r="4115" spans="70:82" x14ac:dyDescent="0.15">
      <c r="BR4115" s="34"/>
      <c r="BV4115" s="34"/>
      <c r="BZ4115" s="34"/>
      <c r="CD4115" s="34"/>
    </row>
    <row r="4116" spans="70:82" x14ac:dyDescent="0.15">
      <c r="BR4116" s="34"/>
      <c r="BV4116" s="34"/>
      <c r="BZ4116" s="34"/>
      <c r="CD4116" s="34"/>
    </row>
    <row r="4117" spans="70:82" x14ac:dyDescent="0.15">
      <c r="BR4117" s="34"/>
      <c r="BV4117" s="34"/>
      <c r="BZ4117" s="34"/>
      <c r="CD4117" s="34"/>
    </row>
    <row r="4118" spans="70:82" x14ac:dyDescent="0.15">
      <c r="BR4118" s="34"/>
      <c r="BV4118" s="34"/>
      <c r="BZ4118" s="34"/>
      <c r="CD4118" s="34"/>
    </row>
    <row r="4119" spans="70:82" x14ac:dyDescent="0.15">
      <c r="BR4119" s="34"/>
      <c r="BV4119" s="34"/>
      <c r="BZ4119" s="34"/>
      <c r="CD4119" s="34"/>
    </row>
    <row r="4120" spans="70:82" x14ac:dyDescent="0.15">
      <c r="BR4120" s="34"/>
      <c r="BV4120" s="34"/>
      <c r="BZ4120" s="34"/>
      <c r="CD4120" s="34"/>
    </row>
    <row r="4121" spans="70:82" x14ac:dyDescent="0.15">
      <c r="BR4121" s="34"/>
      <c r="BV4121" s="34"/>
      <c r="BZ4121" s="34"/>
      <c r="CD4121" s="34"/>
    </row>
    <row r="4122" spans="70:82" x14ac:dyDescent="0.15">
      <c r="BR4122" s="34"/>
      <c r="BV4122" s="34"/>
      <c r="BZ4122" s="34"/>
      <c r="CD4122" s="34"/>
    </row>
    <row r="4123" spans="70:82" x14ac:dyDescent="0.15">
      <c r="BR4123" s="34"/>
      <c r="BV4123" s="34"/>
      <c r="BZ4123" s="34"/>
      <c r="CD4123" s="34"/>
    </row>
    <row r="4124" spans="70:82" x14ac:dyDescent="0.15">
      <c r="BR4124" s="34"/>
      <c r="BV4124" s="34"/>
      <c r="BZ4124" s="34"/>
      <c r="CD4124" s="34"/>
    </row>
    <row r="4125" spans="70:82" x14ac:dyDescent="0.15">
      <c r="BR4125" s="34"/>
      <c r="BV4125" s="34"/>
      <c r="BZ4125" s="34"/>
      <c r="CD4125" s="34"/>
    </row>
    <row r="4126" spans="70:82" x14ac:dyDescent="0.15">
      <c r="BR4126" s="34"/>
      <c r="BV4126" s="34"/>
      <c r="BZ4126" s="34"/>
      <c r="CD4126" s="34"/>
    </row>
    <row r="4127" spans="70:82" x14ac:dyDescent="0.15">
      <c r="BR4127" s="34"/>
      <c r="BV4127" s="34"/>
      <c r="BZ4127" s="34"/>
      <c r="CD4127" s="34"/>
    </row>
    <row r="4128" spans="70:82" x14ac:dyDescent="0.15">
      <c r="BR4128" s="34"/>
      <c r="BV4128" s="34"/>
      <c r="BZ4128" s="34"/>
      <c r="CD4128" s="34"/>
    </row>
    <row r="4129" spans="70:82" x14ac:dyDescent="0.15">
      <c r="BR4129" s="34"/>
      <c r="BV4129" s="34"/>
      <c r="BZ4129" s="34"/>
      <c r="CD4129" s="34"/>
    </row>
    <row r="4130" spans="70:82" x14ac:dyDescent="0.15">
      <c r="BR4130" s="34"/>
      <c r="BV4130" s="34"/>
      <c r="BZ4130" s="34"/>
      <c r="CD4130" s="34"/>
    </row>
    <row r="4131" spans="70:82" x14ac:dyDescent="0.15">
      <c r="BR4131" s="34"/>
      <c r="BV4131" s="34"/>
      <c r="BZ4131" s="34"/>
      <c r="CD4131" s="34"/>
    </row>
    <row r="4132" spans="70:82" x14ac:dyDescent="0.15">
      <c r="BR4132" s="34"/>
      <c r="BV4132" s="34"/>
      <c r="BZ4132" s="34"/>
      <c r="CD4132" s="34"/>
    </row>
    <row r="4133" spans="70:82" x14ac:dyDescent="0.15">
      <c r="BR4133" s="34"/>
      <c r="BV4133" s="34"/>
      <c r="BZ4133" s="34"/>
      <c r="CD4133" s="34"/>
    </row>
    <row r="4134" spans="70:82" x14ac:dyDescent="0.15">
      <c r="BR4134" s="34"/>
      <c r="BV4134" s="34"/>
      <c r="BZ4134" s="34"/>
      <c r="CD4134" s="34"/>
    </row>
    <row r="4135" spans="70:82" x14ac:dyDescent="0.15">
      <c r="BR4135" s="34"/>
      <c r="BV4135" s="34"/>
      <c r="BZ4135" s="34"/>
      <c r="CD4135" s="34"/>
    </row>
    <row r="4136" spans="70:82" x14ac:dyDescent="0.15">
      <c r="BR4136" s="34"/>
      <c r="BV4136" s="34"/>
      <c r="BZ4136" s="34"/>
      <c r="CD4136" s="34"/>
    </row>
    <row r="4137" spans="70:82" x14ac:dyDescent="0.15">
      <c r="BR4137" s="34"/>
      <c r="BV4137" s="34"/>
      <c r="BZ4137" s="34"/>
      <c r="CD4137" s="34"/>
    </row>
    <row r="4138" spans="70:82" x14ac:dyDescent="0.15">
      <c r="BR4138" s="34"/>
      <c r="BV4138" s="34"/>
      <c r="BZ4138" s="34"/>
      <c r="CD4138" s="34"/>
    </row>
    <row r="4139" spans="70:82" x14ac:dyDescent="0.15">
      <c r="BR4139" s="34"/>
      <c r="BV4139" s="34"/>
      <c r="BZ4139" s="34"/>
      <c r="CD4139" s="34"/>
    </row>
    <row r="4140" spans="70:82" x14ac:dyDescent="0.15">
      <c r="BR4140" s="34"/>
      <c r="BV4140" s="34"/>
      <c r="BZ4140" s="34"/>
      <c r="CD4140" s="34"/>
    </row>
    <row r="4141" spans="70:82" x14ac:dyDescent="0.15">
      <c r="BR4141" s="34"/>
      <c r="BV4141" s="34"/>
      <c r="BZ4141" s="34"/>
      <c r="CD4141" s="34"/>
    </row>
    <row r="4142" spans="70:82" x14ac:dyDescent="0.15">
      <c r="BR4142" s="34"/>
      <c r="BV4142" s="34"/>
      <c r="BZ4142" s="34"/>
      <c r="CD4142" s="34"/>
    </row>
    <row r="4143" spans="70:82" x14ac:dyDescent="0.15">
      <c r="BR4143" s="34"/>
      <c r="BV4143" s="34"/>
      <c r="BZ4143" s="34"/>
      <c r="CD4143" s="34"/>
    </row>
    <row r="4144" spans="70:82" x14ac:dyDescent="0.15">
      <c r="BR4144" s="34"/>
      <c r="BV4144" s="34"/>
      <c r="BZ4144" s="34"/>
      <c r="CD4144" s="34"/>
    </row>
    <row r="4145" spans="70:82" x14ac:dyDescent="0.15">
      <c r="BR4145" s="34"/>
      <c r="BV4145" s="34"/>
      <c r="BZ4145" s="34"/>
      <c r="CD4145" s="34"/>
    </row>
    <row r="4146" spans="70:82" x14ac:dyDescent="0.15">
      <c r="BR4146" s="34"/>
      <c r="BV4146" s="34"/>
      <c r="BZ4146" s="34"/>
      <c r="CD4146" s="34"/>
    </row>
    <row r="4147" spans="70:82" x14ac:dyDescent="0.15">
      <c r="BR4147" s="34"/>
      <c r="BV4147" s="34"/>
      <c r="BZ4147" s="34"/>
      <c r="CD4147" s="34"/>
    </row>
    <row r="4148" spans="70:82" x14ac:dyDescent="0.15">
      <c r="BR4148" s="34"/>
      <c r="BV4148" s="34"/>
      <c r="BZ4148" s="34"/>
      <c r="CD4148" s="34"/>
    </row>
    <row r="4149" spans="70:82" x14ac:dyDescent="0.15">
      <c r="BR4149" s="34"/>
      <c r="BV4149" s="34"/>
      <c r="BZ4149" s="34"/>
      <c r="CD4149" s="34"/>
    </row>
    <row r="4150" spans="70:82" x14ac:dyDescent="0.15">
      <c r="BR4150" s="34"/>
      <c r="BV4150" s="34"/>
      <c r="BZ4150" s="34"/>
      <c r="CD4150" s="34"/>
    </row>
    <row r="4151" spans="70:82" x14ac:dyDescent="0.15">
      <c r="BR4151" s="34"/>
      <c r="BV4151" s="34"/>
      <c r="BZ4151" s="34"/>
      <c r="CD4151" s="34"/>
    </row>
    <row r="4152" spans="70:82" x14ac:dyDescent="0.15">
      <c r="BR4152" s="34"/>
      <c r="BV4152" s="34"/>
      <c r="BZ4152" s="34"/>
      <c r="CD4152" s="34"/>
    </row>
    <row r="4153" spans="70:82" x14ac:dyDescent="0.15">
      <c r="BR4153" s="34"/>
      <c r="BV4153" s="34"/>
      <c r="BZ4153" s="34"/>
      <c r="CD4153" s="34"/>
    </row>
    <row r="4154" spans="70:82" x14ac:dyDescent="0.15">
      <c r="BR4154" s="34"/>
      <c r="BV4154" s="34"/>
      <c r="BZ4154" s="34"/>
      <c r="CD4154" s="34"/>
    </row>
    <row r="4155" spans="70:82" x14ac:dyDescent="0.15">
      <c r="BR4155" s="34"/>
      <c r="BV4155" s="34"/>
      <c r="BZ4155" s="34"/>
      <c r="CD4155" s="34"/>
    </row>
    <row r="4156" spans="70:82" x14ac:dyDescent="0.15">
      <c r="BR4156" s="34"/>
      <c r="BV4156" s="34"/>
      <c r="BZ4156" s="34"/>
      <c r="CD4156" s="34"/>
    </row>
    <row r="4157" spans="70:82" x14ac:dyDescent="0.15">
      <c r="BR4157" s="34"/>
      <c r="BV4157" s="34"/>
      <c r="BZ4157" s="34"/>
      <c r="CD4157" s="34"/>
    </row>
    <row r="4158" spans="70:82" x14ac:dyDescent="0.15">
      <c r="BR4158" s="34"/>
      <c r="BV4158" s="34"/>
      <c r="BZ4158" s="34"/>
      <c r="CD4158" s="34"/>
    </row>
    <row r="4159" spans="70:82" x14ac:dyDescent="0.15">
      <c r="BR4159" s="34"/>
      <c r="BV4159" s="34"/>
      <c r="BZ4159" s="34"/>
      <c r="CD4159" s="34"/>
    </row>
    <row r="4160" spans="70:82" x14ac:dyDescent="0.15">
      <c r="BR4160" s="34"/>
      <c r="BV4160" s="34"/>
      <c r="BZ4160" s="34"/>
      <c r="CD4160" s="34"/>
    </row>
    <row r="4161" spans="70:82" x14ac:dyDescent="0.15">
      <c r="BR4161" s="34"/>
      <c r="BV4161" s="34"/>
      <c r="BZ4161" s="34"/>
      <c r="CD4161" s="34"/>
    </row>
    <row r="4162" spans="70:82" x14ac:dyDescent="0.15">
      <c r="BR4162" s="34"/>
      <c r="BV4162" s="34"/>
      <c r="BZ4162" s="34"/>
      <c r="CD4162" s="34"/>
    </row>
    <row r="4163" spans="70:82" x14ac:dyDescent="0.15">
      <c r="BR4163" s="34"/>
      <c r="BV4163" s="34"/>
      <c r="BZ4163" s="34"/>
      <c r="CD4163" s="34"/>
    </row>
    <row r="4164" spans="70:82" x14ac:dyDescent="0.15">
      <c r="BR4164" s="34"/>
      <c r="BV4164" s="34"/>
      <c r="BZ4164" s="34"/>
      <c r="CD4164" s="34"/>
    </row>
    <row r="4165" spans="70:82" x14ac:dyDescent="0.15">
      <c r="BR4165" s="34"/>
      <c r="BV4165" s="34"/>
      <c r="BZ4165" s="34"/>
      <c r="CD4165" s="34"/>
    </row>
    <row r="4166" spans="70:82" x14ac:dyDescent="0.15">
      <c r="BR4166" s="34"/>
      <c r="BV4166" s="34"/>
      <c r="BZ4166" s="34"/>
      <c r="CD4166" s="34"/>
    </row>
    <row r="4167" spans="70:82" x14ac:dyDescent="0.15">
      <c r="BR4167" s="34"/>
      <c r="BV4167" s="34"/>
      <c r="BZ4167" s="34"/>
      <c r="CD4167" s="34"/>
    </row>
    <row r="4168" spans="70:82" x14ac:dyDescent="0.15">
      <c r="BR4168" s="34"/>
      <c r="BV4168" s="34"/>
      <c r="BZ4168" s="34"/>
      <c r="CD4168" s="34"/>
    </row>
    <row r="4169" spans="70:82" x14ac:dyDescent="0.15">
      <c r="BR4169" s="34"/>
      <c r="BV4169" s="34"/>
      <c r="BZ4169" s="34"/>
      <c r="CD4169" s="34"/>
    </row>
    <row r="4170" spans="70:82" x14ac:dyDescent="0.15">
      <c r="BR4170" s="34"/>
      <c r="BV4170" s="34"/>
      <c r="BZ4170" s="34"/>
      <c r="CD4170" s="34"/>
    </row>
    <row r="4171" spans="70:82" x14ac:dyDescent="0.15">
      <c r="BR4171" s="34"/>
      <c r="BV4171" s="34"/>
      <c r="BZ4171" s="34"/>
      <c r="CD4171" s="34"/>
    </row>
    <row r="4172" spans="70:82" x14ac:dyDescent="0.15">
      <c r="BR4172" s="34"/>
      <c r="BV4172" s="34"/>
      <c r="BZ4172" s="34"/>
      <c r="CD4172" s="34"/>
    </row>
    <row r="4173" spans="70:82" x14ac:dyDescent="0.15">
      <c r="BR4173" s="34"/>
      <c r="BV4173" s="34"/>
      <c r="BZ4173" s="34"/>
      <c r="CD4173" s="34"/>
    </row>
    <row r="4174" spans="70:82" x14ac:dyDescent="0.15">
      <c r="BR4174" s="34"/>
      <c r="BV4174" s="34"/>
      <c r="BZ4174" s="34"/>
      <c r="CD4174" s="34"/>
    </row>
    <row r="4175" spans="70:82" x14ac:dyDescent="0.15">
      <c r="BR4175" s="34"/>
      <c r="BV4175" s="34"/>
      <c r="BZ4175" s="34"/>
      <c r="CD4175" s="34"/>
    </row>
    <row r="4176" spans="70:82" x14ac:dyDescent="0.15">
      <c r="BR4176" s="34"/>
      <c r="BV4176" s="34"/>
      <c r="BZ4176" s="34"/>
      <c r="CD4176" s="34"/>
    </row>
    <row r="4177" spans="70:82" x14ac:dyDescent="0.15">
      <c r="BR4177" s="34"/>
      <c r="BV4177" s="34"/>
      <c r="BZ4177" s="34"/>
      <c r="CD4177" s="34"/>
    </row>
    <row r="4178" spans="70:82" x14ac:dyDescent="0.15">
      <c r="BR4178" s="34"/>
      <c r="BV4178" s="34"/>
      <c r="BZ4178" s="34"/>
      <c r="CD4178" s="34"/>
    </row>
    <row r="4179" spans="70:82" x14ac:dyDescent="0.15">
      <c r="BR4179" s="34"/>
      <c r="BV4179" s="34"/>
      <c r="BZ4179" s="34"/>
      <c r="CD4179" s="34"/>
    </row>
    <row r="4180" spans="70:82" x14ac:dyDescent="0.15">
      <c r="BR4180" s="34"/>
      <c r="BV4180" s="34"/>
      <c r="BZ4180" s="34"/>
      <c r="CD4180" s="34"/>
    </row>
    <row r="4181" spans="70:82" x14ac:dyDescent="0.15">
      <c r="BR4181" s="34"/>
      <c r="BV4181" s="34"/>
      <c r="BZ4181" s="34"/>
      <c r="CD4181" s="34"/>
    </row>
    <row r="4182" spans="70:82" x14ac:dyDescent="0.15">
      <c r="BR4182" s="34"/>
      <c r="BV4182" s="34"/>
      <c r="BZ4182" s="34"/>
      <c r="CD4182" s="34"/>
    </row>
    <row r="4183" spans="70:82" x14ac:dyDescent="0.15">
      <c r="BR4183" s="34"/>
      <c r="BV4183" s="34"/>
      <c r="BZ4183" s="34"/>
      <c r="CD4183" s="34"/>
    </row>
    <row r="4184" spans="70:82" x14ac:dyDescent="0.15">
      <c r="BR4184" s="34"/>
      <c r="BV4184" s="34"/>
      <c r="BZ4184" s="34"/>
      <c r="CD4184" s="34"/>
    </row>
    <row r="4185" spans="70:82" x14ac:dyDescent="0.15">
      <c r="BR4185" s="34"/>
      <c r="BV4185" s="34"/>
      <c r="BZ4185" s="34"/>
      <c r="CD4185" s="34"/>
    </row>
    <row r="4186" spans="70:82" x14ac:dyDescent="0.15">
      <c r="BR4186" s="34"/>
      <c r="BV4186" s="34"/>
      <c r="BZ4186" s="34"/>
      <c r="CD4186" s="34"/>
    </row>
    <row r="4187" spans="70:82" x14ac:dyDescent="0.15">
      <c r="BR4187" s="34"/>
      <c r="BV4187" s="34"/>
      <c r="BZ4187" s="34"/>
      <c r="CD4187" s="34"/>
    </row>
    <row r="4188" spans="70:82" x14ac:dyDescent="0.15">
      <c r="BR4188" s="34"/>
      <c r="BV4188" s="34"/>
      <c r="BZ4188" s="34"/>
      <c r="CD4188" s="34"/>
    </row>
    <row r="4189" spans="70:82" x14ac:dyDescent="0.15">
      <c r="BR4189" s="34"/>
      <c r="BV4189" s="34"/>
      <c r="BZ4189" s="34"/>
      <c r="CD4189" s="34"/>
    </row>
    <row r="4190" spans="70:82" x14ac:dyDescent="0.15">
      <c r="BR4190" s="34"/>
      <c r="BV4190" s="34"/>
      <c r="BZ4190" s="34"/>
      <c r="CD4190" s="34"/>
    </row>
    <row r="4191" spans="70:82" x14ac:dyDescent="0.15">
      <c r="BR4191" s="34"/>
      <c r="BV4191" s="34"/>
      <c r="BZ4191" s="34"/>
      <c r="CD4191" s="34"/>
    </row>
    <row r="4192" spans="70:82" x14ac:dyDescent="0.15">
      <c r="BR4192" s="34"/>
      <c r="BV4192" s="34"/>
      <c r="BZ4192" s="34"/>
      <c r="CD4192" s="34"/>
    </row>
    <row r="4193" spans="70:82" x14ac:dyDescent="0.15">
      <c r="BR4193" s="34"/>
      <c r="BV4193" s="34"/>
      <c r="BZ4193" s="34"/>
      <c r="CD4193" s="34"/>
    </row>
    <row r="4194" spans="70:82" x14ac:dyDescent="0.15">
      <c r="BR4194" s="34"/>
      <c r="BV4194" s="34"/>
      <c r="BZ4194" s="34"/>
      <c r="CD4194" s="34"/>
    </row>
    <row r="4195" spans="70:82" x14ac:dyDescent="0.15">
      <c r="BR4195" s="34"/>
      <c r="BV4195" s="34"/>
      <c r="BZ4195" s="34"/>
      <c r="CD4195" s="34"/>
    </row>
    <row r="4196" spans="70:82" x14ac:dyDescent="0.15">
      <c r="BR4196" s="34"/>
      <c r="BV4196" s="34"/>
      <c r="BZ4196" s="34"/>
      <c r="CD4196" s="34"/>
    </row>
    <row r="4197" spans="70:82" x14ac:dyDescent="0.15">
      <c r="BR4197" s="34"/>
      <c r="BV4197" s="34"/>
      <c r="BZ4197" s="34"/>
      <c r="CD4197" s="34"/>
    </row>
    <row r="4198" spans="70:82" x14ac:dyDescent="0.15">
      <c r="BR4198" s="34"/>
      <c r="BV4198" s="34"/>
      <c r="BZ4198" s="34"/>
      <c r="CD4198" s="34"/>
    </row>
    <row r="4199" spans="70:82" x14ac:dyDescent="0.15">
      <c r="BR4199" s="34"/>
      <c r="BV4199" s="34"/>
      <c r="BZ4199" s="34"/>
      <c r="CD4199" s="34"/>
    </row>
    <row r="4200" spans="70:82" x14ac:dyDescent="0.15">
      <c r="BR4200" s="34"/>
      <c r="BV4200" s="34"/>
      <c r="BZ4200" s="34"/>
      <c r="CD4200" s="34"/>
    </row>
    <row r="4201" spans="70:82" x14ac:dyDescent="0.15">
      <c r="BR4201" s="34"/>
      <c r="BV4201" s="34"/>
      <c r="BZ4201" s="34"/>
      <c r="CD4201" s="34"/>
    </row>
    <row r="4202" spans="70:82" x14ac:dyDescent="0.15">
      <c r="BR4202" s="34"/>
      <c r="BV4202" s="34"/>
      <c r="BZ4202" s="34"/>
      <c r="CD4202" s="34"/>
    </row>
    <row r="4203" spans="70:82" x14ac:dyDescent="0.15">
      <c r="BR4203" s="34"/>
      <c r="BV4203" s="34"/>
      <c r="BZ4203" s="34"/>
      <c r="CD4203" s="34"/>
    </row>
    <row r="4204" spans="70:82" x14ac:dyDescent="0.15">
      <c r="BR4204" s="34"/>
      <c r="BV4204" s="34"/>
      <c r="BZ4204" s="34"/>
      <c r="CD4204" s="34"/>
    </row>
    <row r="4205" spans="70:82" x14ac:dyDescent="0.15">
      <c r="BR4205" s="34"/>
      <c r="BV4205" s="34"/>
      <c r="BZ4205" s="34"/>
      <c r="CD4205" s="34"/>
    </row>
    <row r="4206" spans="70:82" x14ac:dyDescent="0.15">
      <c r="BR4206" s="34"/>
      <c r="BV4206" s="34"/>
      <c r="BZ4206" s="34"/>
      <c r="CD4206" s="34"/>
    </row>
    <row r="4207" spans="70:82" x14ac:dyDescent="0.15">
      <c r="BR4207" s="34"/>
      <c r="BV4207" s="34"/>
      <c r="BZ4207" s="34"/>
      <c r="CD4207" s="34"/>
    </row>
    <row r="4208" spans="70:82" x14ac:dyDescent="0.15">
      <c r="BR4208" s="34"/>
      <c r="BV4208" s="34"/>
      <c r="BZ4208" s="34"/>
      <c r="CD4208" s="34"/>
    </row>
    <row r="4209" spans="70:82" x14ac:dyDescent="0.15">
      <c r="BR4209" s="34"/>
      <c r="BV4209" s="34"/>
      <c r="BZ4209" s="34"/>
      <c r="CD4209" s="34"/>
    </row>
    <row r="4210" spans="70:82" x14ac:dyDescent="0.15">
      <c r="BR4210" s="34"/>
      <c r="BV4210" s="34"/>
      <c r="BZ4210" s="34"/>
      <c r="CD4210" s="34"/>
    </row>
    <row r="4211" spans="70:82" x14ac:dyDescent="0.15">
      <c r="BR4211" s="34"/>
      <c r="BV4211" s="34"/>
      <c r="BZ4211" s="34"/>
      <c r="CD4211" s="34"/>
    </row>
    <row r="4212" spans="70:82" x14ac:dyDescent="0.15">
      <c r="BR4212" s="34"/>
      <c r="BV4212" s="34"/>
      <c r="BZ4212" s="34"/>
      <c r="CD4212" s="34"/>
    </row>
    <row r="4213" spans="70:82" x14ac:dyDescent="0.15">
      <c r="BR4213" s="34"/>
      <c r="BV4213" s="34"/>
      <c r="BZ4213" s="34"/>
      <c r="CD4213" s="34"/>
    </row>
    <row r="4214" spans="70:82" x14ac:dyDescent="0.15">
      <c r="BR4214" s="34"/>
      <c r="BV4214" s="34"/>
      <c r="BZ4214" s="34"/>
      <c r="CD4214" s="34"/>
    </row>
    <row r="4215" spans="70:82" x14ac:dyDescent="0.15">
      <c r="BR4215" s="34"/>
      <c r="BV4215" s="34"/>
      <c r="BZ4215" s="34"/>
      <c r="CD4215" s="34"/>
    </row>
    <row r="4216" spans="70:82" x14ac:dyDescent="0.15">
      <c r="BR4216" s="34"/>
      <c r="BV4216" s="34"/>
      <c r="BZ4216" s="34"/>
      <c r="CD4216" s="34"/>
    </row>
    <row r="4217" spans="70:82" x14ac:dyDescent="0.15">
      <c r="BR4217" s="34"/>
      <c r="BV4217" s="34"/>
      <c r="BZ4217" s="34"/>
      <c r="CD4217" s="34"/>
    </row>
    <row r="4218" spans="70:82" x14ac:dyDescent="0.15">
      <c r="BR4218" s="34"/>
      <c r="BV4218" s="34"/>
      <c r="BZ4218" s="34"/>
      <c r="CD4218" s="34"/>
    </row>
    <row r="4219" spans="70:82" x14ac:dyDescent="0.15">
      <c r="BR4219" s="34"/>
      <c r="BV4219" s="34"/>
      <c r="BZ4219" s="34"/>
      <c r="CD4219" s="34"/>
    </row>
    <row r="4220" spans="70:82" x14ac:dyDescent="0.15">
      <c r="BR4220" s="34"/>
      <c r="BV4220" s="34"/>
      <c r="BZ4220" s="34"/>
      <c r="CD4220" s="34"/>
    </row>
    <row r="4221" spans="70:82" x14ac:dyDescent="0.15">
      <c r="BR4221" s="34"/>
      <c r="BV4221" s="34"/>
      <c r="BZ4221" s="34"/>
      <c r="CD4221" s="34"/>
    </row>
    <row r="4222" spans="70:82" x14ac:dyDescent="0.15">
      <c r="BR4222" s="34"/>
      <c r="BV4222" s="34"/>
      <c r="BZ4222" s="34"/>
      <c r="CD4222" s="34"/>
    </row>
    <row r="4223" spans="70:82" x14ac:dyDescent="0.15">
      <c r="BR4223" s="34"/>
      <c r="BV4223" s="34"/>
      <c r="BZ4223" s="34"/>
      <c r="CD4223" s="34"/>
    </row>
    <row r="4224" spans="70:82" x14ac:dyDescent="0.15">
      <c r="BR4224" s="34"/>
      <c r="BV4224" s="34"/>
      <c r="BZ4224" s="34"/>
      <c r="CD4224" s="34"/>
    </row>
    <row r="4225" spans="70:82" x14ac:dyDescent="0.15">
      <c r="BR4225" s="34"/>
      <c r="BV4225" s="34"/>
      <c r="BZ4225" s="34"/>
      <c r="CD4225" s="34"/>
    </row>
    <row r="4226" spans="70:82" x14ac:dyDescent="0.15">
      <c r="BR4226" s="34"/>
      <c r="BV4226" s="34"/>
      <c r="BZ4226" s="34"/>
      <c r="CD4226" s="34"/>
    </row>
    <row r="4227" spans="70:82" x14ac:dyDescent="0.15">
      <c r="BR4227" s="34"/>
      <c r="BV4227" s="34"/>
      <c r="BZ4227" s="34"/>
      <c r="CD4227" s="34"/>
    </row>
    <row r="4228" spans="70:82" x14ac:dyDescent="0.15">
      <c r="BR4228" s="34"/>
      <c r="BV4228" s="34"/>
      <c r="BZ4228" s="34"/>
      <c r="CD4228" s="34"/>
    </row>
    <row r="4229" spans="70:82" x14ac:dyDescent="0.15">
      <c r="BR4229" s="34"/>
      <c r="BV4229" s="34"/>
      <c r="BZ4229" s="34"/>
      <c r="CD4229" s="34"/>
    </row>
    <row r="4230" spans="70:82" x14ac:dyDescent="0.15">
      <c r="BR4230" s="34"/>
      <c r="BV4230" s="34"/>
      <c r="BZ4230" s="34"/>
      <c r="CD4230" s="34"/>
    </row>
    <row r="4231" spans="70:82" x14ac:dyDescent="0.15">
      <c r="BR4231" s="34"/>
      <c r="BV4231" s="34"/>
      <c r="BZ4231" s="34"/>
      <c r="CD4231" s="34"/>
    </row>
    <row r="4232" spans="70:82" x14ac:dyDescent="0.15">
      <c r="BR4232" s="34"/>
      <c r="BV4232" s="34"/>
      <c r="BZ4232" s="34"/>
      <c r="CD4232" s="34"/>
    </row>
    <row r="4233" spans="70:82" x14ac:dyDescent="0.15">
      <c r="BR4233" s="34"/>
      <c r="BV4233" s="34"/>
      <c r="BZ4233" s="34"/>
      <c r="CD4233" s="34"/>
    </row>
    <row r="4234" spans="70:82" x14ac:dyDescent="0.15">
      <c r="BR4234" s="34"/>
      <c r="BV4234" s="34"/>
      <c r="BZ4234" s="34"/>
      <c r="CD4234" s="34"/>
    </row>
    <row r="4235" spans="70:82" x14ac:dyDescent="0.15">
      <c r="BR4235" s="34"/>
      <c r="BV4235" s="34"/>
      <c r="BZ4235" s="34"/>
      <c r="CD4235" s="34"/>
    </row>
    <row r="4236" spans="70:82" x14ac:dyDescent="0.15">
      <c r="BR4236" s="34"/>
      <c r="BV4236" s="34"/>
      <c r="BZ4236" s="34"/>
      <c r="CD4236" s="34"/>
    </row>
    <row r="4237" spans="70:82" x14ac:dyDescent="0.15">
      <c r="BR4237" s="34"/>
      <c r="BV4237" s="34"/>
      <c r="BZ4237" s="34"/>
      <c r="CD4237" s="34"/>
    </row>
    <row r="4238" spans="70:82" x14ac:dyDescent="0.15">
      <c r="BR4238" s="34"/>
      <c r="BV4238" s="34"/>
      <c r="BZ4238" s="34"/>
      <c r="CD4238" s="34"/>
    </row>
    <row r="4239" spans="70:82" x14ac:dyDescent="0.15">
      <c r="BR4239" s="34"/>
      <c r="BV4239" s="34"/>
      <c r="BZ4239" s="34"/>
      <c r="CD4239" s="34"/>
    </row>
    <row r="4240" spans="70:82" x14ac:dyDescent="0.15">
      <c r="BR4240" s="34"/>
      <c r="BV4240" s="34"/>
      <c r="BZ4240" s="34"/>
      <c r="CD4240" s="34"/>
    </row>
    <row r="4241" spans="70:82" x14ac:dyDescent="0.15">
      <c r="BR4241" s="34"/>
      <c r="BV4241" s="34"/>
      <c r="BZ4241" s="34"/>
      <c r="CD4241" s="34"/>
    </row>
    <row r="4242" spans="70:82" x14ac:dyDescent="0.15">
      <c r="BR4242" s="34"/>
      <c r="BV4242" s="34"/>
      <c r="BZ4242" s="34"/>
      <c r="CD4242" s="34"/>
    </row>
    <row r="4243" spans="70:82" x14ac:dyDescent="0.15">
      <c r="BR4243" s="34"/>
      <c r="BV4243" s="34"/>
      <c r="BZ4243" s="34"/>
      <c r="CD4243" s="34"/>
    </row>
    <row r="4244" spans="70:82" x14ac:dyDescent="0.15">
      <c r="BR4244" s="34"/>
      <c r="BV4244" s="34"/>
      <c r="BZ4244" s="34"/>
      <c r="CD4244" s="34"/>
    </row>
    <row r="4245" spans="70:82" x14ac:dyDescent="0.15">
      <c r="BR4245" s="34"/>
      <c r="BV4245" s="34"/>
      <c r="BZ4245" s="34"/>
      <c r="CD4245" s="34"/>
    </row>
    <row r="4246" spans="70:82" x14ac:dyDescent="0.15">
      <c r="BR4246" s="34"/>
      <c r="BV4246" s="34"/>
      <c r="BZ4246" s="34"/>
      <c r="CD4246" s="34"/>
    </row>
    <row r="4247" spans="70:82" x14ac:dyDescent="0.15">
      <c r="BR4247" s="34"/>
      <c r="BV4247" s="34"/>
      <c r="BZ4247" s="34"/>
      <c r="CD4247" s="34"/>
    </row>
    <row r="4248" spans="70:82" x14ac:dyDescent="0.15">
      <c r="BR4248" s="34"/>
      <c r="BV4248" s="34"/>
      <c r="BZ4248" s="34"/>
      <c r="CD4248" s="34"/>
    </row>
    <row r="4249" spans="70:82" x14ac:dyDescent="0.15">
      <c r="BR4249" s="34"/>
      <c r="BV4249" s="34"/>
      <c r="BZ4249" s="34"/>
      <c r="CD4249" s="34"/>
    </row>
    <row r="4250" spans="70:82" x14ac:dyDescent="0.15">
      <c r="BR4250" s="34"/>
      <c r="BV4250" s="34"/>
      <c r="BZ4250" s="34"/>
      <c r="CD4250" s="34"/>
    </row>
    <row r="4251" spans="70:82" x14ac:dyDescent="0.15">
      <c r="BR4251" s="34"/>
      <c r="BV4251" s="34"/>
      <c r="BZ4251" s="34"/>
      <c r="CD4251" s="34"/>
    </row>
    <row r="4252" spans="70:82" x14ac:dyDescent="0.15">
      <c r="BR4252" s="34"/>
      <c r="BV4252" s="34"/>
      <c r="BZ4252" s="34"/>
      <c r="CD4252" s="34"/>
    </row>
    <row r="4253" spans="70:82" x14ac:dyDescent="0.15">
      <c r="BR4253" s="34"/>
      <c r="BV4253" s="34"/>
      <c r="BZ4253" s="34"/>
      <c r="CD4253" s="34"/>
    </row>
    <row r="4254" spans="70:82" x14ac:dyDescent="0.15">
      <c r="BR4254" s="34"/>
      <c r="BV4254" s="34"/>
      <c r="BZ4254" s="34"/>
      <c r="CD4254" s="34"/>
    </row>
    <row r="4255" spans="70:82" x14ac:dyDescent="0.15">
      <c r="BR4255" s="34"/>
      <c r="BV4255" s="34"/>
      <c r="BZ4255" s="34"/>
      <c r="CD4255" s="34"/>
    </row>
    <row r="4256" spans="70:82" x14ac:dyDescent="0.15">
      <c r="BR4256" s="34"/>
      <c r="BV4256" s="34"/>
      <c r="BZ4256" s="34"/>
      <c r="CD4256" s="34"/>
    </row>
    <row r="4257" spans="70:82" x14ac:dyDescent="0.15">
      <c r="BR4257" s="34"/>
      <c r="BV4257" s="34"/>
      <c r="BZ4257" s="34"/>
      <c r="CD4257" s="34"/>
    </row>
    <row r="4258" spans="70:82" x14ac:dyDescent="0.15">
      <c r="BR4258" s="34"/>
      <c r="BV4258" s="34"/>
      <c r="BZ4258" s="34"/>
      <c r="CD4258" s="34"/>
    </row>
    <row r="4259" spans="70:82" x14ac:dyDescent="0.15">
      <c r="BR4259" s="34"/>
      <c r="BV4259" s="34"/>
      <c r="BZ4259" s="34"/>
      <c r="CD4259" s="34"/>
    </row>
    <row r="4260" spans="70:82" x14ac:dyDescent="0.15">
      <c r="BR4260" s="34"/>
      <c r="BV4260" s="34"/>
      <c r="BZ4260" s="34"/>
      <c r="CD4260" s="34"/>
    </row>
    <row r="4261" spans="70:82" x14ac:dyDescent="0.15">
      <c r="BR4261" s="34"/>
      <c r="BV4261" s="34"/>
      <c r="BZ4261" s="34"/>
      <c r="CD4261" s="34"/>
    </row>
    <row r="4262" spans="70:82" x14ac:dyDescent="0.15">
      <c r="BR4262" s="34"/>
      <c r="BV4262" s="34"/>
      <c r="BZ4262" s="34"/>
      <c r="CD4262" s="34"/>
    </row>
    <row r="4263" spans="70:82" x14ac:dyDescent="0.15">
      <c r="BR4263" s="34"/>
      <c r="BV4263" s="34"/>
      <c r="BZ4263" s="34"/>
      <c r="CD4263" s="34"/>
    </row>
    <row r="4264" spans="70:82" x14ac:dyDescent="0.15">
      <c r="BR4264" s="34"/>
      <c r="BV4264" s="34"/>
      <c r="BZ4264" s="34"/>
      <c r="CD4264" s="34"/>
    </row>
    <row r="4265" spans="70:82" x14ac:dyDescent="0.15">
      <c r="BR4265" s="34"/>
      <c r="BV4265" s="34"/>
      <c r="BZ4265" s="34"/>
      <c r="CD4265" s="34"/>
    </row>
    <row r="4266" spans="70:82" x14ac:dyDescent="0.15">
      <c r="BR4266" s="34"/>
      <c r="BV4266" s="34"/>
      <c r="BZ4266" s="34"/>
      <c r="CD4266" s="34"/>
    </row>
    <row r="4267" spans="70:82" x14ac:dyDescent="0.15">
      <c r="BR4267" s="34"/>
      <c r="BV4267" s="34"/>
      <c r="BZ4267" s="34"/>
      <c r="CD4267" s="34"/>
    </row>
    <row r="4268" spans="70:82" x14ac:dyDescent="0.15">
      <c r="BR4268" s="34"/>
      <c r="BV4268" s="34"/>
      <c r="BZ4268" s="34"/>
      <c r="CD4268" s="34"/>
    </row>
    <row r="4269" spans="70:82" x14ac:dyDescent="0.15">
      <c r="BR4269" s="34"/>
      <c r="BV4269" s="34"/>
      <c r="BZ4269" s="34"/>
      <c r="CD4269" s="34"/>
    </row>
    <row r="4270" spans="70:82" x14ac:dyDescent="0.15">
      <c r="BR4270" s="34"/>
      <c r="BV4270" s="34"/>
      <c r="BZ4270" s="34"/>
      <c r="CD4270" s="34"/>
    </row>
    <row r="4271" spans="70:82" x14ac:dyDescent="0.15">
      <c r="BR4271" s="34"/>
      <c r="BV4271" s="34"/>
      <c r="BZ4271" s="34"/>
      <c r="CD4271" s="34"/>
    </row>
    <row r="4272" spans="70:82" x14ac:dyDescent="0.15">
      <c r="BR4272" s="34"/>
      <c r="BV4272" s="34"/>
      <c r="BZ4272" s="34"/>
      <c r="CD4272" s="34"/>
    </row>
    <row r="4273" spans="70:82" x14ac:dyDescent="0.15">
      <c r="BR4273" s="34"/>
      <c r="BV4273" s="34"/>
      <c r="BZ4273" s="34"/>
      <c r="CD4273" s="34"/>
    </row>
    <row r="4274" spans="70:82" x14ac:dyDescent="0.15">
      <c r="BR4274" s="34"/>
      <c r="BV4274" s="34"/>
      <c r="BZ4274" s="34"/>
      <c r="CD4274" s="34"/>
    </row>
    <row r="4275" spans="70:82" x14ac:dyDescent="0.15">
      <c r="BR4275" s="34"/>
      <c r="BV4275" s="34"/>
      <c r="BZ4275" s="34"/>
      <c r="CD4275" s="34"/>
    </row>
    <row r="4276" spans="70:82" x14ac:dyDescent="0.15">
      <c r="BR4276" s="34"/>
      <c r="BV4276" s="34"/>
      <c r="BZ4276" s="34"/>
      <c r="CD4276" s="34"/>
    </row>
    <row r="4277" spans="70:82" x14ac:dyDescent="0.15">
      <c r="BR4277" s="34"/>
      <c r="BV4277" s="34"/>
      <c r="BZ4277" s="34"/>
      <c r="CD4277" s="34"/>
    </row>
    <row r="4278" spans="70:82" x14ac:dyDescent="0.15">
      <c r="BR4278" s="34"/>
      <c r="BV4278" s="34"/>
      <c r="BZ4278" s="34"/>
      <c r="CD4278" s="34"/>
    </row>
    <row r="4279" spans="70:82" x14ac:dyDescent="0.15">
      <c r="BR4279" s="34"/>
      <c r="BV4279" s="34"/>
      <c r="BZ4279" s="34"/>
      <c r="CD4279" s="34"/>
    </row>
    <row r="4280" spans="70:82" x14ac:dyDescent="0.15">
      <c r="BR4280" s="34"/>
      <c r="BV4280" s="34"/>
      <c r="BZ4280" s="34"/>
      <c r="CD4280" s="34"/>
    </row>
    <row r="4281" spans="70:82" x14ac:dyDescent="0.15">
      <c r="BR4281" s="34"/>
      <c r="BV4281" s="34"/>
      <c r="BZ4281" s="34"/>
      <c r="CD4281" s="34"/>
    </row>
    <row r="4282" spans="70:82" x14ac:dyDescent="0.15">
      <c r="BR4282" s="34"/>
      <c r="BV4282" s="34"/>
      <c r="BZ4282" s="34"/>
      <c r="CD4282" s="34"/>
    </row>
    <row r="4283" spans="70:82" x14ac:dyDescent="0.15">
      <c r="BR4283" s="34"/>
      <c r="BV4283" s="34"/>
      <c r="BZ4283" s="34"/>
      <c r="CD4283" s="34"/>
    </row>
    <row r="4284" spans="70:82" x14ac:dyDescent="0.15">
      <c r="BR4284" s="34"/>
      <c r="BV4284" s="34"/>
      <c r="BZ4284" s="34"/>
      <c r="CD4284" s="34"/>
    </row>
    <row r="4285" spans="70:82" x14ac:dyDescent="0.15">
      <c r="BR4285" s="34"/>
      <c r="BV4285" s="34"/>
      <c r="BZ4285" s="34"/>
      <c r="CD4285" s="34"/>
    </row>
    <row r="4286" spans="70:82" x14ac:dyDescent="0.15">
      <c r="BR4286" s="34"/>
      <c r="BV4286" s="34"/>
      <c r="BZ4286" s="34"/>
      <c r="CD4286" s="34"/>
    </row>
    <row r="4287" spans="70:82" x14ac:dyDescent="0.15">
      <c r="BR4287" s="34"/>
      <c r="BV4287" s="34"/>
      <c r="BZ4287" s="34"/>
      <c r="CD4287" s="34"/>
    </row>
    <row r="4288" spans="70:82" x14ac:dyDescent="0.15">
      <c r="BR4288" s="34"/>
      <c r="BV4288" s="34"/>
      <c r="BZ4288" s="34"/>
      <c r="CD4288" s="34"/>
    </row>
    <row r="4289" spans="70:82" x14ac:dyDescent="0.15">
      <c r="BR4289" s="34"/>
      <c r="BV4289" s="34"/>
      <c r="BZ4289" s="34"/>
      <c r="CD4289" s="34"/>
    </row>
    <row r="4290" spans="70:82" x14ac:dyDescent="0.15">
      <c r="BR4290" s="34"/>
      <c r="BV4290" s="34"/>
      <c r="BZ4290" s="34"/>
      <c r="CD4290" s="34"/>
    </row>
    <row r="4291" spans="70:82" x14ac:dyDescent="0.15">
      <c r="BR4291" s="34"/>
      <c r="BV4291" s="34"/>
      <c r="BZ4291" s="34"/>
      <c r="CD4291" s="34"/>
    </row>
    <row r="4292" spans="70:82" x14ac:dyDescent="0.15">
      <c r="BR4292" s="34"/>
      <c r="BV4292" s="34"/>
      <c r="BZ4292" s="34"/>
      <c r="CD4292" s="34"/>
    </row>
    <row r="4293" spans="70:82" x14ac:dyDescent="0.15">
      <c r="BR4293" s="34"/>
      <c r="BV4293" s="34"/>
      <c r="BZ4293" s="34"/>
      <c r="CD4293" s="34"/>
    </row>
    <row r="4294" spans="70:82" x14ac:dyDescent="0.15">
      <c r="BR4294" s="34"/>
      <c r="BV4294" s="34"/>
      <c r="BZ4294" s="34"/>
      <c r="CD4294" s="34"/>
    </row>
    <row r="4295" spans="70:82" x14ac:dyDescent="0.15">
      <c r="BR4295" s="34"/>
      <c r="BV4295" s="34"/>
      <c r="BZ4295" s="34"/>
      <c r="CD4295" s="34"/>
    </row>
    <row r="4296" spans="70:82" x14ac:dyDescent="0.15">
      <c r="BR4296" s="34"/>
      <c r="BV4296" s="34"/>
      <c r="BZ4296" s="34"/>
      <c r="CD4296" s="34"/>
    </row>
    <row r="4297" spans="70:82" x14ac:dyDescent="0.15">
      <c r="BR4297" s="34"/>
      <c r="BV4297" s="34"/>
      <c r="BZ4297" s="34"/>
      <c r="CD4297" s="34"/>
    </row>
    <row r="4298" spans="70:82" x14ac:dyDescent="0.15">
      <c r="BR4298" s="34"/>
      <c r="BV4298" s="34"/>
      <c r="BZ4298" s="34"/>
      <c r="CD4298" s="34"/>
    </row>
    <row r="4299" spans="70:82" x14ac:dyDescent="0.15">
      <c r="BR4299" s="34"/>
      <c r="BV4299" s="34"/>
      <c r="BZ4299" s="34"/>
      <c r="CD4299" s="34"/>
    </row>
    <row r="4300" spans="70:82" x14ac:dyDescent="0.15">
      <c r="BR4300" s="34"/>
      <c r="BV4300" s="34"/>
      <c r="BZ4300" s="34"/>
      <c r="CD4300" s="34"/>
    </row>
    <row r="4301" spans="70:82" x14ac:dyDescent="0.15">
      <c r="BR4301" s="34"/>
      <c r="BV4301" s="34"/>
      <c r="BZ4301" s="34"/>
      <c r="CD4301" s="34"/>
    </row>
    <row r="4302" spans="70:82" x14ac:dyDescent="0.15">
      <c r="BR4302" s="34"/>
      <c r="BV4302" s="34"/>
      <c r="BZ4302" s="34"/>
      <c r="CD4302" s="34"/>
    </row>
    <row r="4303" spans="70:82" x14ac:dyDescent="0.15">
      <c r="BR4303" s="34"/>
      <c r="BV4303" s="34"/>
      <c r="BZ4303" s="34"/>
      <c r="CD4303" s="34"/>
    </row>
    <row r="4304" spans="70:82" x14ac:dyDescent="0.15">
      <c r="BR4304" s="34"/>
      <c r="BV4304" s="34"/>
      <c r="BZ4304" s="34"/>
      <c r="CD4304" s="34"/>
    </row>
    <row r="4305" spans="70:82" x14ac:dyDescent="0.15">
      <c r="BR4305" s="34"/>
      <c r="BV4305" s="34"/>
      <c r="BZ4305" s="34"/>
      <c r="CD4305" s="34"/>
    </row>
    <row r="4306" spans="70:82" x14ac:dyDescent="0.15">
      <c r="BR4306" s="34"/>
      <c r="BV4306" s="34"/>
      <c r="BZ4306" s="34"/>
      <c r="CD4306" s="34"/>
    </row>
    <row r="4307" spans="70:82" x14ac:dyDescent="0.15">
      <c r="BR4307" s="34"/>
      <c r="BV4307" s="34"/>
      <c r="BZ4307" s="34"/>
      <c r="CD4307" s="34"/>
    </row>
    <row r="4308" spans="70:82" x14ac:dyDescent="0.15">
      <c r="BR4308" s="34"/>
      <c r="BV4308" s="34"/>
      <c r="BZ4308" s="34"/>
      <c r="CD4308" s="34"/>
    </row>
    <row r="4309" spans="70:82" x14ac:dyDescent="0.15">
      <c r="BR4309" s="34"/>
      <c r="BV4309" s="34"/>
      <c r="BZ4309" s="34"/>
      <c r="CD4309" s="34"/>
    </row>
    <row r="4310" spans="70:82" x14ac:dyDescent="0.15">
      <c r="BR4310" s="34"/>
      <c r="BV4310" s="34"/>
      <c r="BZ4310" s="34"/>
      <c r="CD4310" s="34"/>
    </row>
    <row r="4311" spans="70:82" x14ac:dyDescent="0.15">
      <c r="BR4311" s="34"/>
      <c r="BV4311" s="34"/>
      <c r="BZ4311" s="34"/>
      <c r="CD4311" s="34"/>
    </row>
    <row r="4312" spans="70:82" x14ac:dyDescent="0.15">
      <c r="BR4312" s="34"/>
      <c r="BV4312" s="34"/>
      <c r="BZ4312" s="34"/>
      <c r="CD4312" s="34"/>
    </row>
    <row r="4313" spans="70:82" x14ac:dyDescent="0.15">
      <c r="BR4313" s="34"/>
      <c r="BV4313" s="34"/>
      <c r="BZ4313" s="34"/>
      <c r="CD4313" s="34"/>
    </row>
    <row r="4314" spans="70:82" x14ac:dyDescent="0.15">
      <c r="BR4314" s="34"/>
      <c r="BV4314" s="34"/>
      <c r="BZ4314" s="34"/>
      <c r="CD4314" s="34"/>
    </row>
    <row r="4315" spans="70:82" x14ac:dyDescent="0.15">
      <c r="BR4315" s="34"/>
      <c r="BV4315" s="34"/>
      <c r="BZ4315" s="34"/>
      <c r="CD4315" s="34"/>
    </row>
    <row r="4316" spans="70:82" x14ac:dyDescent="0.15">
      <c r="BR4316" s="34"/>
      <c r="BV4316" s="34"/>
      <c r="BZ4316" s="34"/>
      <c r="CD4316" s="34"/>
    </row>
    <row r="4317" spans="70:82" x14ac:dyDescent="0.15">
      <c r="BR4317" s="34"/>
      <c r="BV4317" s="34"/>
      <c r="BZ4317" s="34"/>
      <c r="CD4317" s="34"/>
    </row>
    <row r="4318" spans="70:82" x14ac:dyDescent="0.15">
      <c r="BR4318" s="34"/>
      <c r="BV4318" s="34"/>
      <c r="BZ4318" s="34"/>
      <c r="CD4318" s="34"/>
    </row>
    <row r="4319" spans="70:82" x14ac:dyDescent="0.15">
      <c r="BR4319" s="34"/>
      <c r="BV4319" s="34"/>
      <c r="BZ4319" s="34"/>
      <c r="CD4319" s="34"/>
    </row>
    <row r="4320" spans="70:82" x14ac:dyDescent="0.15">
      <c r="BR4320" s="34"/>
      <c r="BV4320" s="34"/>
      <c r="BZ4320" s="34"/>
      <c r="CD4320" s="34"/>
    </row>
    <row r="4321" spans="70:82" x14ac:dyDescent="0.15">
      <c r="BR4321" s="34"/>
      <c r="BV4321" s="34"/>
      <c r="BZ4321" s="34"/>
      <c r="CD4321" s="34"/>
    </row>
    <row r="4322" spans="70:82" x14ac:dyDescent="0.15">
      <c r="BR4322" s="34"/>
      <c r="BV4322" s="34"/>
      <c r="BZ4322" s="34"/>
      <c r="CD4322" s="34"/>
    </row>
    <row r="4323" spans="70:82" x14ac:dyDescent="0.15">
      <c r="BR4323" s="34"/>
      <c r="BV4323" s="34"/>
      <c r="BZ4323" s="34"/>
      <c r="CD4323" s="34"/>
    </row>
    <row r="4324" spans="70:82" x14ac:dyDescent="0.15">
      <c r="BR4324" s="34"/>
      <c r="BV4324" s="34"/>
      <c r="BZ4324" s="34"/>
      <c r="CD4324" s="34"/>
    </row>
    <row r="4325" spans="70:82" x14ac:dyDescent="0.15">
      <c r="BR4325" s="34"/>
      <c r="BV4325" s="34"/>
      <c r="BZ4325" s="34"/>
      <c r="CD4325" s="34"/>
    </row>
    <row r="4326" spans="70:82" x14ac:dyDescent="0.15">
      <c r="BR4326" s="34"/>
      <c r="BV4326" s="34"/>
      <c r="BZ4326" s="34"/>
      <c r="CD4326" s="34"/>
    </row>
    <row r="4327" spans="70:82" x14ac:dyDescent="0.15">
      <c r="BR4327" s="34"/>
      <c r="BV4327" s="34"/>
      <c r="BZ4327" s="34"/>
      <c r="CD4327" s="34"/>
    </row>
    <row r="4328" spans="70:82" x14ac:dyDescent="0.15">
      <c r="BR4328" s="34"/>
      <c r="BV4328" s="34"/>
      <c r="BZ4328" s="34"/>
      <c r="CD4328" s="34"/>
    </row>
    <row r="4329" spans="70:82" x14ac:dyDescent="0.15">
      <c r="BR4329" s="34"/>
      <c r="BV4329" s="34"/>
      <c r="BZ4329" s="34"/>
      <c r="CD4329" s="34"/>
    </row>
    <row r="4330" spans="70:82" x14ac:dyDescent="0.15">
      <c r="BR4330" s="34"/>
      <c r="BV4330" s="34"/>
      <c r="BZ4330" s="34"/>
      <c r="CD4330" s="34"/>
    </row>
    <row r="4331" spans="70:82" x14ac:dyDescent="0.15">
      <c r="BR4331" s="34"/>
      <c r="BV4331" s="34"/>
      <c r="BZ4331" s="34"/>
      <c r="CD4331" s="34"/>
    </row>
    <row r="4332" spans="70:82" x14ac:dyDescent="0.15">
      <c r="BR4332" s="34"/>
      <c r="BV4332" s="34"/>
      <c r="BZ4332" s="34"/>
      <c r="CD4332" s="34"/>
    </row>
    <row r="4333" spans="70:82" x14ac:dyDescent="0.15">
      <c r="BR4333" s="34"/>
      <c r="BV4333" s="34"/>
      <c r="BZ4333" s="34"/>
      <c r="CD4333" s="34"/>
    </row>
    <row r="4334" spans="70:82" x14ac:dyDescent="0.15">
      <c r="BR4334" s="34"/>
      <c r="BV4334" s="34"/>
      <c r="BZ4334" s="34"/>
      <c r="CD4334" s="34"/>
    </row>
    <row r="4335" spans="70:82" x14ac:dyDescent="0.15">
      <c r="BR4335" s="34"/>
      <c r="BV4335" s="34"/>
      <c r="BZ4335" s="34"/>
      <c r="CD4335" s="34"/>
    </row>
    <row r="4336" spans="70:82" x14ac:dyDescent="0.15">
      <c r="BR4336" s="34"/>
      <c r="BV4336" s="34"/>
      <c r="BZ4336" s="34"/>
      <c r="CD4336" s="34"/>
    </row>
    <row r="4337" spans="70:82" x14ac:dyDescent="0.15">
      <c r="BR4337" s="34"/>
      <c r="BV4337" s="34"/>
      <c r="BZ4337" s="34"/>
      <c r="CD4337" s="34"/>
    </row>
    <row r="4338" spans="70:82" x14ac:dyDescent="0.15">
      <c r="BR4338" s="34"/>
      <c r="BV4338" s="34"/>
      <c r="BZ4338" s="34"/>
      <c r="CD4338" s="34"/>
    </row>
    <row r="4339" spans="70:82" x14ac:dyDescent="0.15">
      <c r="BR4339" s="34"/>
      <c r="BV4339" s="34"/>
      <c r="BZ4339" s="34"/>
      <c r="CD4339" s="34"/>
    </row>
    <row r="4340" spans="70:82" x14ac:dyDescent="0.15">
      <c r="BR4340" s="34"/>
      <c r="BV4340" s="34"/>
      <c r="BZ4340" s="34"/>
      <c r="CD4340" s="34"/>
    </row>
    <row r="4341" spans="70:82" x14ac:dyDescent="0.15">
      <c r="BR4341" s="34"/>
      <c r="BV4341" s="34"/>
      <c r="BZ4341" s="34"/>
      <c r="CD4341" s="34"/>
    </row>
    <row r="4342" spans="70:82" x14ac:dyDescent="0.15">
      <c r="BR4342" s="34"/>
      <c r="BV4342" s="34"/>
      <c r="BZ4342" s="34"/>
      <c r="CD4342" s="34"/>
    </row>
    <row r="4343" spans="70:82" x14ac:dyDescent="0.15">
      <c r="BR4343" s="34"/>
      <c r="BV4343" s="34"/>
      <c r="BZ4343" s="34"/>
      <c r="CD4343" s="34"/>
    </row>
    <row r="4344" spans="70:82" x14ac:dyDescent="0.15">
      <c r="BR4344" s="34"/>
      <c r="BV4344" s="34"/>
      <c r="BZ4344" s="34"/>
      <c r="CD4344" s="34"/>
    </row>
    <row r="4345" spans="70:82" x14ac:dyDescent="0.15">
      <c r="BR4345" s="34"/>
      <c r="BV4345" s="34"/>
      <c r="BZ4345" s="34"/>
      <c r="CD4345" s="34"/>
    </row>
    <row r="4346" spans="70:82" x14ac:dyDescent="0.15">
      <c r="BR4346" s="34"/>
      <c r="BV4346" s="34"/>
      <c r="BZ4346" s="34"/>
      <c r="CD4346" s="34"/>
    </row>
    <row r="4347" spans="70:82" x14ac:dyDescent="0.15">
      <c r="BR4347" s="34"/>
      <c r="BV4347" s="34"/>
      <c r="BZ4347" s="34"/>
      <c r="CD4347" s="34"/>
    </row>
    <row r="4348" spans="70:82" x14ac:dyDescent="0.15">
      <c r="BR4348" s="34"/>
      <c r="BV4348" s="34"/>
      <c r="BZ4348" s="34"/>
      <c r="CD4348" s="34"/>
    </row>
    <row r="4349" spans="70:82" x14ac:dyDescent="0.15">
      <c r="BR4349" s="34"/>
      <c r="BV4349" s="34"/>
      <c r="BZ4349" s="34"/>
      <c r="CD4349" s="34"/>
    </row>
    <row r="4350" spans="70:82" x14ac:dyDescent="0.15">
      <c r="BR4350" s="34"/>
      <c r="BV4350" s="34"/>
      <c r="BZ4350" s="34"/>
      <c r="CD4350" s="34"/>
    </row>
    <row r="4351" spans="70:82" x14ac:dyDescent="0.15">
      <c r="BR4351" s="34"/>
      <c r="BV4351" s="34"/>
      <c r="BZ4351" s="34"/>
      <c r="CD4351" s="34"/>
    </row>
    <row r="4352" spans="70:82" x14ac:dyDescent="0.15">
      <c r="BR4352" s="34"/>
      <c r="BV4352" s="34"/>
      <c r="BZ4352" s="34"/>
      <c r="CD4352" s="34"/>
    </row>
    <row r="4353" spans="70:82" x14ac:dyDescent="0.15">
      <c r="BR4353" s="34"/>
      <c r="BV4353" s="34"/>
      <c r="BZ4353" s="34"/>
      <c r="CD4353" s="34"/>
    </row>
    <row r="4354" spans="70:82" x14ac:dyDescent="0.15">
      <c r="BR4354" s="34"/>
      <c r="BV4354" s="34"/>
      <c r="BZ4354" s="34"/>
      <c r="CD4354" s="34"/>
    </row>
    <row r="4355" spans="70:82" x14ac:dyDescent="0.15">
      <c r="BR4355" s="34"/>
      <c r="BV4355" s="34"/>
      <c r="BZ4355" s="34"/>
      <c r="CD4355" s="34"/>
    </row>
    <row r="4356" spans="70:82" x14ac:dyDescent="0.15">
      <c r="BR4356" s="34"/>
      <c r="BV4356" s="34"/>
      <c r="BZ4356" s="34"/>
      <c r="CD4356" s="34"/>
    </row>
    <row r="4357" spans="70:82" x14ac:dyDescent="0.15">
      <c r="BR4357" s="34"/>
      <c r="BV4357" s="34"/>
      <c r="BZ4357" s="34"/>
      <c r="CD4357" s="34"/>
    </row>
    <row r="4358" spans="70:82" x14ac:dyDescent="0.15">
      <c r="BR4358" s="34"/>
      <c r="BV4358" s="34"/>
      <c r="BZ4358" s="34"/>
      <c r="CD4358" s="34"/>
    </row>
    <row r="4359" spans="70:82" x14ac:dyDescent="0.15">
      <c r="BR4359" s="34"/>
      <c r="BV4359" s="34"/>
      <c r="BZ4359" s="34"/>
      <c r="CD4359" s="34"/>
    </row>
    <row r="4360" spans="70:82" x14ac:dyDescent="0.15">
      <c r="BR4360" s="34"/>
      <c r="BV4360" s="34"/>
      <c r="BZ4360" s="34"/>
      <c r="CD4360" s="34"/>
    </row>
    <row r="4361" spans="70:82" x14ac:dyDescent="0.15">
      <c r="BR4361" s="34"/>
      <c r="BV4361" s="34"/>
      <c r="BZ4361" s="34"/>
      <c r="CD4361" s="34"/>
    </row>
    <row r="4362" spans="70:82" x14ac:dyDescent="0.15">
      <c r="BR4362" s="34"/>
      <c r="BV4362" s="34"/>
      <c r="BZ4362" s="34"/>
      <c r="CD4362" s="34"/>
    </row>
    <row r="4363" spans="70:82" x14ac:dyDescent="0.15">
      <c r="BR4363" s="34"/>
      <c r="BV4363" s="34"/>
      <c r="BZ4363" s="34"/>
      <c r="CD4363" s="34"/>
    </row>
    <row r="4364" spans="70:82" x14ac:dyDescent="0.15">
      <c r="BR4364" s="34"/>
      <c r="BV4364" s="34"/>
      <c r="BZ4364" s="34"/>
      <c r="CD4364" s="34"/>
    </row>
    <row r="4365" spans="70:82" x14ac:dyDescent="0.15">
      <c r="BR4365" s="34"/>
      <c r="BV4365" s="34"/>
      <c r="BZ4365" s="34"/>
      <c r="CD4365" s="34"/>
    </row>
    <row r="4366" spans="70:82" x14ac:dyDescent="0.15">
      <c r="BR4366" s="34"/>
      <c r="BV4366" s="34"/>
      <c r="BZ4366" s="34"/>
      <c r="CD4366" s="34"/>
    </row>
    <row r="4367" spans="70:82" x14ac:dyDescent="0.15">
      <c r="BR4367" s="34"/>
      <c r="BV4367" s="34"/>
      <c r="BZ4367" s="34"/>
      <c r="CD4367" s="34"/>
    </row>
    <row r="4368" spans="70:82" x14ac:dyDescent="0.15">
      <c r="BR4368" s="34"/>
      <c r="BV4368" s="34"/>
      <c r="BZ4368" s="34"/>
      <c r="CD4368" s="34"/>
    </row>
    <row r="4369" spans="70:82" x14ac:dyDescent="0.15">
      <c r="BR4369" s="34"/>
      <c r="BV4369" s="34"/>
      <c r="BZ4369" s="34"/>
      <c r="CD4369" s="34"/>
    </row>
    <row r="4370" spans="70:82" x14ac:dyDescent="0.15">
      <c r="BR4370" s="34"/>
      <c r="BV4370" s="34"/>
      <c r="BZ4370" s="34"/>
      <c r="CD4370" s="34"/>
    </row>
    <row r="4371" spans="70:82" x14ac:dyDescent="0.15">
      <c r="BR4371" s="34"/>
      <c r="BV4371" s="34"/>
      <c r="BZ4371" s="34"/>
      <c r="CD4371" s="34"/>
    </row>
    <row r="4372" spans="70:82" x14ac:dyDescent="0.15">
      <c r="BR4372" s="34"/>
      <c r="BV4372" s="34"/>
      <c r="BZ4372" s="34"/>
      <c r="CD4372" s="34"/>
    </row>
    <row r="4373" spans="70:82" x14ac:dyDescent="0.15">
      <c r="BR4373" s="34"/>
      <c r="BV4373" s="34"/>
      <c r="BZ4373" s="34"/>
      <c r="CD4373" s="34"/>
    </row>
    <row r="4374" spans="70:82" x14ac:dyDescent="0.15">
      <c r="BR4374" s="34"/>
      <c r="BV4374" s="34"/>
      <c r="BZ4374" s="34"/>
      <c r="CD4374" s="34"/>
    </row>
    <row r="4375" spans="70:82" x14ac:dyDescent="0.15">
      <c r="BR4375" s="34"/>
      <c r="BV4375" s="34"/>
      <c r="BZ4375" s="34"/>
      <c r="CD4375" s="34"/>
    </row>
    <row r="4376" spans="70:82" x14ac:dyDescent="0.15">
      <c r="BR4376" s="34"/>
      <c r="BV4376" s="34"/>
      <c r="BZ4376" s="34"/>
      <c r="CD4376" s="34"/>
    </row>
    <row r="4377" spans="70:82" x14ac:dyDescent="0.15">
      <c r="BR4377" s="34"/>
      <c r="BV4377" s="34"/>
      <c r="BZ4377" s="34"/>
      <c r="CD4377" s="34"/>
    </row>
    <row r="4378" spans="70:82" x14ac:dyDescent="0.15">
      <c r="BR4378" s="34"/>
      <c r="BV4378" s="34"/>
      <c r="BZ4378" s="34"/>
      <c r="CD4378" s="34"/>
    </row>
    <row r="4379" spans="70:82" x14ac:dyDescent="0.15">
      <c r="BR4379" s="34"/>
      <c r="BV4379" s="34"/>
      <c r="BZ4379" s="34"/>
      <c r="CD4379" s="34"/>
    </row>
    <row r="4380" spans="70:82" x14ac:dyDescent="0.15">
      <c r="BR4380" s="34"/>
      <c r="BV4380" s="34"/>
      <c r="BZ4380" s="34"/>
      <c r="CD4380" s="34"/>
    </row>
    <row r="4381" spans="70:82" x14ac:dyDescent="0.15">
      <c r="BR4381" s="34"/>
      <c r="BV4381" s="34"/>
      <c r="BZ4381" s="34"/>
      <c r="CD4381" s="34"/>
    </row>
    <row r="4382" spans="70:82" x14ac:dyDescent="0.15">
      <c r="BR4382" s="34"/>
      <c r="BV4382" s="34"/>
      <c r="BZ4382" s="34"/>
      <c r="CD4382" s="34"/>
    </row>
    <row r="4383" spans="70:82" x14ac:dyDescent="0.15">
      <c r="BR4383" s="34"/>
      <c r="BV4383" s="34"/>
      <c r="BZ4383" s="34"/>
      <c r="CD4383" s="34"/>
    </row>
    <row r="4384" spans="70:82" x14ac:dyDescent="0.15">
      <c r="BR4384" s="34"/>
      <c r="BV4384" s="34"/>
      <c r="BZ4384" s="34"/>
      <c r="CD4384" s="34"/>
    </row>
    <row r="4385" spans="70:82" x14ac:dyDescent="0.15">
      <c r="BR4385" s="34"/>
      <c r="BV4385" s="34"/>
      <c r="BZ4385" s="34"/>
      <c r="CD4385" s="34"/>
    </row>
    <row r="4386" spans="70:82" x14ac:dyDescent="0.15">
      <c r="BR4386" s="34"/>
      <c r="BV4386" s="34"/>
      <c r="BZ4386" s="34"/>
      <c r="CD4386" s="34"/>
    </row>
    <row r="4387" spans="70:82" x14ac:dyDescent="0.15">
      <c r="BR4387" s="34"/>
      <c r="BV4387" s="34"/>
      <c r="BZ4387" s="34"/>
      <c r="CD4387" s="34"/>
    </row>
    <row r="4388" spans="70:82" x14ac:dyDescent="0.15">
      <c r="BR4388" s="34"/>
      <c r="BV4388" s="34"/>
      <c r="BZ4388" s="34"/>
      <c r="CD4388" s="34"/>
    </row>
    <row r="4389" spans="70:82" x14ac:dyDescent="0.15">
      <c r="BR4389" s="34"/>
      <c r="BV4389" s="34"/>
      <c r="BZ4389" s="34"/>
      <c r="CD4389" s="34"/>
    </row>
    <row r="4390" spans="70:82" x14ac:dyDescent="0.15">
      <c r="BR4390" s="34"/>
      <c r="BV4390" s="34"/>
      <c r="BZ4390" s="34"/>
      <c r="CD4390" s="34"/>
    </row>
    <row r="4391" spans="70:82" x14ac:dyDescent="0.15">
      <c r="BR4391" s="34"/>
      <c r="BV4391" s="34"/>
      <c r="BZ4391" s="34"/>
      <c r="CD4391" s="34"/>
    </row>
    <row r="4392" spans="70:82" x14ac:dyDescent="0.15">
      <c r="BR4392" s="34"/>
      <c r="BV4392" s="34"/>
      <c r="BZ4392" s="34"/>
      <c r="CD4392" s="34"/>
    </row>
    <row r="4393" spans="70:82" x14ac:dyDescent="0.15">
      <c r="BR4393" s="34"/>
      <c r="BV4393" s="34"/>
      <c r="BZ4393" s="34"/>
      <c r="CD4393" s="34"/>
    </row>
    <row r="4394" spans="70:82" x14ac:dyDescent="0.15">
      <c r="BR4394" s="34"/>
      <c r="BV4394" s="34"/>
      <c r="BZ4394" s="34"/>
      <c r="CD4394" s="34"/>
    </row>
    <row r="4395" spans="70:82" x14ac:dyDescent="0.15">
      <c r="BR4395" s="34"/>
      <c r="BV4395" s="34"/>
      <c r="BZ4395" s="34"/>
      <c r="CD4395" s="34"/>
    </row>
    <row r="4396" spans="70:82" x14ac:dyDescent="0.15">
      <c r="BR4396" s="34"/>
      <c r="BV4396" s="34"/>
      <c r="BZ4396" s="34"/>
      <c r="CD4396" s="34"/>
    </row>
    <row r="4397" spans="70:82" x14ac:dyDescent="0.15">
      <c r="BR4397" s="34"/>
      <c r="BV4397" s="34"/>
      <c r="BZ4397" s="34"/>
      <c r="CD4397" s="34"/>
    </row>
    <row r="4398" spans="70:82" x14ac:dyDescent="0.15">
      <c r="BR4398" s="34"/>
      <c r="BV4398" s="34"/>
      <c r="BZ4398" s="34"/>
      <c r="CD4398" s="34"/>
    </row>
    <row r="4399" spans="70:82" x14ac:dyDescent="0.15">
      <c r="BR4399" s="34"/>
      <c r="BV4399" s="34"/>
      <c r="BZ4399" s="34"/>
      <c r="CD4399" s="34"/>
    </row>
    <row r="4400" spans="70:82" x14ac:dyDescent="0.15">
      <c r="BR4400" s="34"/>
      <c r="BV4400" s="34"/>
      <c r="BZ4400" s="34"/>
      <c r="CD4400" s="34"/>
    </row>
    <row r="4401" spans="70:82" x14ac:dyDescent="0.15">
      <c r="BR4401" s="34"/>
      <c r="BV4401" s="34"/>
      <c r="BZ4401" s="34"/>
      <c r="CD4401" s="34"/>
    </row>
    <row r="4402" spans="70:82" x14ac:dyDescent="0.15">
      <c r="BR4402" s="34"/>
      <c r="BV4402" s="34"/>
      <c r="BZ4402" s="34"/>
      <c r="CD4402" s="34"/>
    </row>
    <row r="4403" spans="70:82" x14ac:dyDescent="0.15">
      <c r="BR4403" s="34"/>
      <c r="BV4403" s="34"/>
      <c r="BZ4403" s="34"/>
      <c r="CD4403" s="34"/>
    </row>
    <row r="4404" spans="70:82" x14ac:dyDescent="0.15">
      <c r="BR4404" s="34"/>
      <c r="BV4404" s="34"/>
      <c r="BZ4404" s="34"/>
      <c r="CD4404" s="34"/>
    </row>
    <row r="4405" spans="70:82" x14ac:dyDescent="0.15">
      <c r="BR4405" s="34"/>
      <c r="BV4405" s="34"/>
      <c r="BZ4405" s="34"/>
      <c r="CD4405" s="34"/>
    </row>
    <row r="4406" spans="70:82" x14ac:dyDescent="0.15">
      <c r="BR4406" s="34"/>
      <c r="BV4406" s="34"/>
      <c r="BZ4406" s="34"/>
      <c r="CD4406" s="34"/>
    </row>
    <row r="4407" spans="70:82" x14ac:dyDescent="0.15">
      <c r="BR4407" s="34"/>
      <c r="BV4407" s="34"/>
      <c r="BZ4407" s="34"/>
      <c r="CD4407" s="34"/>
    </row>
    <row r="4408" spans="70:82" x14ac:dyDescent="0.15">
      <c r="BR4408" s="34"/>
      <c r="BV4408" s="34"/>
      <c r="BZ4408" s="34"/>
      <c r="CD4408" s="34"/>
    </row>
    <row r="4409" spans="70:82" x14ac:dyDescent="0.15">
      <c r="BR4409" s="34"/>
      <c r="BV4409" s="34"/>
      <c r="BZ4409" s="34"/>
      <c r="CD4409" s="34"/>
    </row>
    <row r="4410" spans="70:82" x14ac:dyDescent="0.15">
      <c r="BR4410" s="34"/>
      <c r="BV4410" s="34"/>
      <c r="BZ4410" s="34"/>
      <c r="CD4410" s="34"/>
    </row>
    <row r="4411" spans="70:82" x14ac:dyDescent="0.15">
      <c r="BR4411" s="34"/>
      <c r="BV4411" s="34"/>
      <c r="BZ4411" s="34"/>
      <c r="CD4411" s="34"/>
    </row>
    <row r="4412" spans="70:82" x14ac:dyDescent="0.15">
      <c r="BR4412" s="34"/>
      <c r="BV4412" s="34"/>
      <c r="BZ4412" s="34"/>
      <c r="CD4412" s="34"/>
    </row>
    <row r="4413" spans="70:82" x14ac:dyDescent="0.15">
      <c r="BR4413" s="34"/>
      <c r="BV4413" s="34"/>
      <c r="BZ4413" s="34"/>
      <c r="CD4413" s="34"/>
    </row>
    <row r="4414" spans="70:82" x14ac:dyDescent="0.15">
      <c r="BR4414" s="34"/>
      <c r="BV4414" s="34"/>
      <c r="BZ4414" s="34"/>
      <c r="CD4414" s="34"/>
    </row>
    <row r="4415" spans="70:82" x14ac:dyDescent="0.15">
      <c r="BR4415" s="34"/>
      <c r="BV4415" s="34"/>
      <c r="BZ4415" s="34"/>
      <c r="CD4415" s="34"/>
    </row>
    <row r="4416" spans="70:82" x14ac:dyDescent="0.15">
      <c r="BR4416" s="34"/>
      <c r="BV4416" s="34"/>
      <c r="BZ4416" s="34"/>
      <c r="CD4416" s="34"/>
    </row>
    <row r="4417" spans="70:82" x14ac:dyDescent="0.15">
      <c r="BR4417" s="34"/>
      <c r="BV4417" s="34"/>
      <c r="BZ4417" s="34"/>
      <c r="CD4417" s="34"/>
    </row>
    <row r="4418" spans="70:82" x14ac:dyDescent="0.15">
      <c r="BR4418" s="34"/>
      <c r="BV4418" s="34"/>
      <c r="BZ4418" s="34"/>
      <c r="CD4418" s="34"/>
    </row>
    <row r="4419" spans="70:82" x14ac:dyDescent="0.15">
      <c r="BR4419" s="34"/>
      <c r="BV4419" s="34"/>
      <c r="BZ4419" s="34"/>
      <c r="CD4419" s="34"/>
    </row>
    <row r="4420" spans="70:82" x14ac:dyDescent="0.15">
      <c r="BR4420" s="34"/>
      <c r="BV4420" s="34"/>
      <c r="BZ4420" s="34"/>
      <c r="CD4420" s="34"/>
    </row>
    <row r="4421" spans="70:82" x14ac:dyDescent="0.15">
      <c r="BR4421" s="34"/>
      <c r="BV4421" s="34"/>
      <c r="BZ4421" s="34"/>
      <c r="CD4421" s="34"/>
    </row>
    <row r="4422" spans="70:82" x14ac:dyDescent="0.15">
      <c r="BR4422" s="34"/>
      <c r="BV4422" s="34"/>
      <c r="BZ4422" s="34"/>
      <c r="CD4422" s="34"/>
    </row>
    <row r="4423" spans="70:82" x14ac:dyDescent="0.15">
      <c r="BR4423" s="34"/>
      <c r="BV4423" s="34"/>
      <c r="BZ4423" s="34"/>
      <c r="CD4423" s="34"/>
    </row>
    <row r="4424" spans="70:82" x14ac:dyDescent="0.15">
      <c r="BR4424" s="34"/>
      <c r="BV4424" s="34"/>
      <c r="BZ4424" s="34"/>
      <c r="CD4424" s="34"/>
    </row>
    <row r="4425" spans="70:82" x14ac:dyDescent="0.15">
      <c r="BR4425" s="34"/>
      <c r="BV4425" s="34"/>
      <c r="BZ4425" s="34"/>
      <c r="CD4425" s="34"/>
    </row>
    <row r="4426" spans="70:82" x14ac:dyDescent="0.15">
      <c r="BR4426" s="34"/>
      <c r="BV4426" s="34"/>
      <c r="BZ4426" s="34"/>
      <c r="CD4426" s="34"/>
    </row>
    <row r="4427" spans="70:82" x14ac:dyDescent="0.15">
      <c r="BR4427" s="34"/>
      <c r="BV4427" s="34"/>
      <c r="BZ4427" s="34"/>
      <c r="CD4427" s="34"/>
    </row>
    <row r="4428" spans="70:82" x14ac:dyDescent="0.15">
      <c r="BR4428" s="34"/>
      <c r="BV4428" s="34"/>
      <c r="BZ4428" s="34"/>
      <c r="CD4428" s="34"/>
    </row>
    <row r="4429" spans="70:82" x14ac:dyDescent="0.15">
      <c r="BR4429" s="34"/>
      <c r="BV4429" s="34"/>
      <c r="BZ4429" s="34"/>
      <c r="CD4429" s="34"/>
    </row>
    <row r="4430" spans="70:82" x14ac:dyDescent="0.15">
      <c r="BR4430" s="34"/>
      <c r="BV4430" s="34"/>
      <c r="BZ4430" s="34"/>
      <c r="CD4430" s="34"/>
    </row>
    <row r="4431" spans="70:82" x14ac:dyDescent="0.15">
      <c r="BR4431" s="34"/>
      <c r="BV4431" s="34"/>
      <c r="BZ4431" s="34"/>
      <c r="CD4431" s="34"/>
    </row>
    <row r="4432" spans="70:82" x14ac:dyDescent="0.15">
      <c r="BR4432" s="34"/>
      <c r="BV4432" s="34"/>
      <c r="BZ4432" s="34"/>
      <c r="CD4432" s="34"/>
    </row>
    <row r="4433" spans="70:82" x14ac:dyDescent="0.15">
      <c r="BR4433" s="34"/>
      <c r="BV4433" s="34"/>
      <c r="BZ4433" s="34"/>
      <c r="CD4433" s="34"/>
    </row>
    <row r="4434" spans="70:82" x14ac:dyDescent="0.15">
      <c r="BR4434" s="34"/>
      <c r="BV4434" s="34"/>
      <c r="BZ4434" s="34"/>
      <c r="CD4434" s="34"/>
    </row>
    <row r="4435" spans="70:82" x14ac:dyDescent="0.15">
      <c r="BR4435" s="34"/>
      <c r="BV4435" s="34"/>
      <c r="BZ4435" s="34"/>
      <c r="CD4435" s="34"/>
    </row>
    <row r="4436" spans="70:82" x14ac:dyDescent="0.15">
      <c r="BR4436" s="34"/>
      <c r="BV4436" s="34"/>
      <c r="BZ4436" s="34"/>
      <c r="CD4436" s="34"/>
    </row>
    <row r="4437" spans="70:82" x14ac:dyDescent="0.15">
      <c r="BR4437" s="34"/>
      <c r="BV4437" s="34"/>
      <c r="BZ4437" s="34"/>
      <c r="CD4437" s="34"/>
    </row>
    <row r="4438" spans="70:82" x14ac:dyDescent="0.15">
      <c r="BR4438" s="34"/>
      <c r="BV4438" s="34"/>
      <c r="BZ4438" s="34"/>
      <c r="CD4438" s="34"/>
    </row>
    <row r="4439" spans="70:82" x14ac:dyDescent="0.15">
      <c r="BR4439" s="34"/>
      <c r="BV4439" s="34"/>
      <c r="BZ4439" s="34"/>
      <c r="CD4439" s="34"/>
    </row>
    <row r="4440" spans="70:82" x14ac:dyDescent="0.15">
      <c r="BR4440" s="34"/>
      <c r="BV4440" s="34"/>
      <c r="BZ4440" s="34"/>
      <c r="CD4440" s="34"/>
    </row>
    <row r="4441" spans="70:82" x14ac:dyDescent="0.15">
      <c r="BR4441" s="34"/>
      <c r="BV4441" s="34"/>
      <c r="BZ4441" s="34"/>
      <c r="CD4441" s="34"/>
    </row>
    <row r="4442" spans="70:82" x14ac:dyDescent="0.15">
      <c r="BR4442" s="34"/>
      <c r="BV4442" s="34"/>
      <c r="BZ4442" s="34"/>
      <c r="CD4442" s="34"/>
    </row>
    <row r="4443" spans="70:82" x14ac:dyDescent="0.15">
      <c r="BR4443" s="34"/>
      <c r="BV4443" s="34"/>
      <c r="BZ4443" s="34"/>
      <c r="CD4443" s="34"/>
    </row>
    <row r="4444" spans="70:82" x14ac:dyDescent="0.15">
      <c r="BR4444" s="34"/>
      <c r="BV4444" s="34"/>
      <c r="BZ4444" s="34"/>
      <c r="CD4444" s="34"/>
    </row>
    <row r="4445" spans="70:82" x14ac:dyDescent="0.15">
      <c r="BR4445" s="34"/>
      <c r="BV4445" s="34"/>
      <c r="BZ4445" s="34"/>
      <c r="CD4445" s="34"/>
    </row>
    <row r="4446" spans="70:82" x14ac:dyDescent="0.15">
      <c r="BR4446" s="34"/>
      <c r="BV4446" s="34"/>
      <c r="BZ4446" s="34"/>
      <c r="CD4446" s="34"/>
    </row>
    <row r="4447" spans="70:82" x14ac:dyDescent="0.15">
      <c r="BR4447" s="34"/>
      <c r="BV4447" s="34"/>
      <c r="BZ4447" s="34"/>
      <c r="CD4447" s="34"/>
    </row>
    <row r="4448" spans="70:82" x14ac:dyDescent="0.15">
      <c r="BR4448" s="34"/>
      <c r="BV4448" s="34"/>
      <c r="BZ4448" s="34"/>
      <c r="CD4448" s="34"/>
    </row>
    <row r="4449" spans="70:82" x14ac:dyDescent="0.15">
      <c r="BR4449" s="34"/>
      <c r="BV4449" s="34"/>
      <c r="BZ4449" s="34"/>
      <c r="CD4449" s="34"/>
    </row>
    <row r="4450" spans="70:82" x14ac:dyDescent="0.15">
      <c r="BR4450" s="34"/>
      <c r="BV4450" s="34"/>
      <c r="BZ4450" s="34"/>
      <c r="CD4450" s="34"/>
    </row>
    <row r="4451" spans="70:82" x14ac:dyDescent="0.15">
      <c r="BR4451" s="34"/>
      <c r="BV4451" s="34"/>
      <c r="BZ4451" s="34"/>
      <c r="CD4451" s="34"/>
    </row>
    <row r="4452" spans="70:82" x14ac:dyDescent="0.15">
      <c r="BR4452" s="34"/>
      <c r="BV4452" s="34"/>
      <c r="BZ4452" s="34"/>
      <c r="CD4452" s="34"/>
    </row>
    <row r="4453" spans="70:82" x14ac:dyDescent="0.15">
      <c r="BR4453" s="34"/>
      <c r="BV4453" s="34"/>
      <c r="BZ4453" s="34"/>
      <c r="CD4453" s="34"/>
    </row>
    <row r="4454" spans="70:82" x14ac:dyDescent="0.15">
      <c r="BR4454" s="34"/>
      <c r="BV4454" s="34"/>
      <c r="BZ4454" s="34"/>
      <c r="CD4454" s="34"/>
    </row>
    <row r="4455" spans="70:82" x14ac:dyDescent="0.15">
      <c r="BR4455" s="34"/>
      <c r="BV4455" s="34"/>
      <c r="BZ4455" s="34"/>
      <c r="CD4455" s="34"/>
    </row>
    <row r="4456" spans="70:82" x14ac:dyDescent="0.15">
      <c r="BR4456" s="34"/>
      <c r="BV4456" s="34"/>
      <c r="BZ4456" s="34"/>
      <c r="CD4456" s="34"/>
    </row>
    <row r="4457" spans="70:82" x14ac:dyDescent="0.15">
      <c r="BR4457" s="34"/>
      <c r="BV4457" s="34"/>
      <c r="BZ4457" s="34"/>
      <c r="CD4457" s="34"/>
    </row>
    <row r="4458" spans="70:82" x14ac:dyDescent="0.15">
      <c r="BR4458" s="34"/>
      <c r="BV4458" s="34"/>
      <c r="BZ4458" s="34"/>
      <c r="CD4458" s="34"/>
    </row>
    <row r="4459" spans="70:82" x14ac:dyDescent="0.15">
      <c r="BR4459" s="34"/>
      <c r="BV4459" s="34"/>
      <c r="BZ4459" s="34"/>
      <c r="CD4459" s="34"/>
    </row>
    <row r="4460" spans="70:82" x14ac:dyDescent="0.15">
      <c r="BR4460" s="34"/>
      <c r="BV4460" s="34"/>
      <c r="BZ4460" s="34"/>
      <c r="CD4460" s="34"/>
    </row>
    <row r="4461" spans="70:82" x14ac:dyDescent="0.15">
      <c r="BR4461" s="34"/>
      <c r="BV4461" s="34"/>
      <c r="BZ4461" s="34"/>
      <c r="CD4461" s="34"/>
    </row>
    <row r="4462" spans="70:82" x14ac:dyDescent="0.15">
      <c r="BR4462" s="34"/>
      <c r="BV4462" s="34"/>
      <c r="BZ4462" s="34"/>
      <c r="CD4462" s="34"/>
    </row>
    <row r="4463" spans="70:82" x14ac:dyDescent="0.15">
      <c r="BR4463" s="34"/>
      <c r="BV4463" s="34"/>
      <c r="BZ4463" s="34"/>
      <c r="CD4463" s="34"/>
    </row>
    <row r="4464" spans="70:82" x14ac:dyDescent="0.15">
      <c r="BR4464" s="34"/>
      <c r="BV4464" s="34"/>
      <c r="BZ4464" s="34"/>
      <c r="CD4464" s="34"/>
    </row>
    <row r="4465" spans="70:82" x14ac:dyDescent="0.15">
      <c r="BR4465" s="34"/>
      <c r="BV4465" s="34"/>
      <c r="BZ4465" s="34"/>
      <c r="CD4465" s="34"/>
    </row>
    <row r="4466" spans="70:82" x14ac:dyDescent="0.15">
      <c r="BR4466" s="34"/>
      <c r="BV4466" s="34"/>
      <c r="BZ4466" s="34"/>
      <c r="CD4466" s="34"/>
    </row>
    <row r="4467" spans="70:82" x14ac:dyDescent="0.15">
      <c r="BR4467" s="34"/>
      <c r="BV4467" s="34"/>
      <c r="BZ4467" s="34"/>
      <c r="CD4467" s="34"/>
    </row>
    <row r="4468" spans="70:82" x14ac:dyDescent="0.15">
      <c r="BR4468" s="34"/>
      <c r="BV4468" s="34"/>
      <c r="BZ4468" s="34"/>
      <c r="CD4468" s="34"/>
    </row>
    <row r="4469" spans="70:82" x14ac:dyDescent="0.15">
      <c r="BR4469" s="34"/>
      <c r="BV4469" s="34"/>
      <c r="BZ4469" s="34"/>
      <c r="CD4469" s="34"/>
    </row>
    <row r="4470" spans="70:82" x14ac:dyDescent="0.15">
      <c r="BR4470" s="34"/>
      <c r="BV4470" s="34"/>
      <c r="BZ4470" s="34"/>
      <c r="CD4470" s="34"/>
    </row>
    <row r="4471" spans="70:82" x14ac:dyDescent="0.15">
      <c r="BR4471" s="34"/>
      <c r="BV4471" s="34"/>
      <c r="BZ4471" s="34"/>
      <c r="CD4471" s="34"/>
    </row>
    <row r="4472" spans="70:82" x14ac:dyDescent="0.15">
      <c r="BR4472" s="34"/>
      <c r="BV4472" s="34"/>
      <c r="BZ4472" s="34"/>
      <c r="CD4472" s="34"/>
    </row>
    <row r="4473" spans="70:82" x14ac:dyDescent="0.15">
      <c r="BR4473" s="34"/>
      <c r="BV4473" s="34"/>
      <c r="BZ4473" s="34"/>
      <c r="CD4473" s="34"/>
    </row>
    <row r="4474" spans="70:82" x14ac:dyDescent="0.15">
      <c r="BR4474" s="34"/>
      <c r="BV4474" s="34"/>
      <c r="BZ4474" s="34"/>
      <c r="CD4474" s="34"/>
    </row>
    <row r="4475" spans="70:82" x14ac:dyDescent="0.15">
      <c r="BR4475" s="34"/>
      <c r="BV4475" s="34"/>
      <c r="BZ4475" s="34"/>
      <c r="CD4475" s="34"/>
    </row>
    <row r="4476" spans="70:82" x14ac:dyDescent="0.15">
      <c r="BR4476" s="34"/>
      <c r="BV4476" s="34"/>
      <c r="BZ4476" s="34"/>
      <c r="CD4476" s="34"/>
    </row>
    <row r="4477" spans="70:82" x14ac:dyDescent="0.15">
      <c r="BR4477" s="34"/>
      <c r="BV4477" s="34"/>
      <c r="BZ4477" s="34"/>
      <c r="CD4477" s="34"/>
    </row>
    <row r="4478" spans="70:82" x14ac:dyDescent="0.15">
      <c r="BR4478" s="34"/>
      <c r="BV4478" s="34"/>
      <c r="BZ4478" s="34"/>
      <c r="CD4478" s="34"/>
    </row>
    <row r="4479" spans="70:82" x14ac:dyDescent="0.15">
      <c r="BR4479" s="34"/>
      <c r="BV4479" s="34"/>
      <c r="BZ4479" s="34"/>
      <c r="CD4479" s="34"/>
    </row>
    <row r="4480" spans="70:82" x14ac:dyDescent="0.15">
      <c r="BR4480" s="34"/>
      <c r="BV4480" s="34"/>
      <c r="BZ4480" s="34"/>
      <c r="CD4480" s="34"/>
    </row>
    <row r="4481" spans="70:82" x14ac:dyDescent="0.15">
      <c r="BR4481" s="34"/>
      <c r="BV4481" s="34"/>
      <c r="BZ4481" s="34"/>
      <c r="CD4481" s="34"/>
    </row>
    <row r="4482" spans="70:82" x14ac:dyDescent="0.15">
      <c r="BR4482" s="34"/>
      <c r="BV4482" s="34"/>
      <c r="BZ4482" s="34"/>
      <c r="CD4482" s="34"/>
    </row>
    <row r="4483" spans="70:82" x14ac:dyDescent="0.15">
      <c r="BR4483" s="34"/>
      <c r="BV4483" s="34"/>
      <c r="BZ4483" s="34"/>
      <c r="CD4483" s="34"/>
    </row>
    <row r="4484" spans="70:82" x14ac:dyDescent="0.15">
      <c r="BR4484" s="34"/>
      <c r="BV4484" s="34"/>
      <c r="BZ4484" s="34"/>
      <c r="CD4484" s="34"/>
    </row>
    <row r="4485" spans="70:82" x14ac:dyDescent="0.15">
      <c r="BR4485" s="34"/>
      <c r="BV4485" s="34"/>
      <c r="BZ4485" s="34"/>
      <c r="CD4485" s="34"/>
    </row>
    <row r="4486" spans="70:82" x14ac:dyDescent="0.15">
      <c r="BR4486" s="34"/>
      <c r="BV4486" s="34"/>
      <c r="BZ4486" s="34"/>
      <c r="CD4486" s="34"/>
    </row>
    <row r="4487" spans="70:82" x14ac:dyDescent="0.15">
      <c r="BR4487" s="34"/>
      <c r="BV4487" s="34"/>
      <c r="BZ4487" s="34"/>
      <c r="CD4487" s="34"/>
    </row>
    <row r="4488" spans="70:82" x14ac:dyDescent="0.15">
      <c r="BR4488" s="34"/>
      <c r="BV4488" s="34"/>
      <c r="BZ4488" s="34"/>
      <c r="CD4488" s="34"/>
    </row>
    <row r="4489" spans="70:82" x14ac:dyDescent="0.15">
      <c r="BR4489" s="34"/>
      <c r="BV4489" s="34"/>
      <c r="BZ4489" s="34"/>
      <c r="CD4489" s="34"/>
    </row>
    <row r="4490" spans="70:82" x14ac:dyDescent="0.15">
      <c r="BR4490" s="34"/>
      <c r="BV4490" s="34"/>
      <c r="BZ4490" s="34"/>
      <c r="CD4490" s="34"/>
    </row>
    <row r="4491" spans="70:82" x14ac:dyDescent="0.15">
      <c r="BR4491" s="34"/>
      <c r="BV4491" s="34"/>
      <c r="BZ4491" s="34"/>
      <c r="CD4491" s="34"/>
    </row>
    <row r="4492" spans="70:82" x14ac:dyDescent="0.15">
      <c r="BR4492" s="34"/>
      <c r="BV4492" s="34"/>
      <c r="BZ4492" s="34"/>
      <c r="CD4492" s="34"/>
    </row>
    <row r="4493" spans="70:82" x14ac:dyDescent="0.15">
      <c r="BR4493" s="34"/>
      <c r="BV4493" s="34"/>
      <c r="BZ4493" s="34"/>
      <c r="CD4493" s="34"/>
    </row>
    <row r="4494" spans="70:82" x14ac:dyDescent="0.15">
      <c r="BR4494" s="34"/>
      <c r="BV4494" s="34"/>
      <c r="BZ4494" s="34"/>
      <c r="CD4494" s="34"/>
    </row>
    <row r="4495" spans="70:82" x14ac:dyDescent="0.15">
      <c r="BR4495" s="34"/>
      <c r="BV4495" s="34"/>
      <c r="BZ4495" s="34"/>
      <c r="CD4495" s="34"/>
    </row>
    <row r="4496" spans="70:82" x14ac:dyDescent="0.15">
      <c r="BR4496" s="34"/>
      <c r="BV4496" s="34"/>
      <c r="BZ4496" s="34"/>
      <c r="CD4496" s="34"/>
    </row>
    <row r="4497" spans="70:82" x14ac:dyDescent="0.15">
      <c r="BR4497" s="34"/>
      <c r="BV4497" s="34"/>
      <c r="BZ4497" s="34"/>
      <c r="CD4497" s="34"/>
    </row>
    <row r="4498" spans="70:82" x14ac:dyDescent="0.15">
      <c r="BR4498" s="34"/>
      <c r="BV4498" s="34"/>
      <c r="BZ4498" s="34"/>
      <c r="CD4498" s="34"/>
    </row>
    <row r="4499" spans="70:82" x14ac:dyDescent="0.15">
      <c r="BR4499" s="34"/>
      <c r="BV4499" s="34"/>
      <c r="BZ4499" s="34"/>
      <c r="CD4499" s="34"/>
    </row>
    <row r="4500" spans="70:82" x14ac:dyDescent="0.15">
      <c r="BR4500" s="34"/>
      <c r="BV4500" s="34"/>
      <c r="BZ4500" s="34"/>
      <c r="CD4500" s="34"/>
    </row>
    <row r="4501" spans="70:82" x14ac:dyDescent="0.15">
      <c r="BR4501" s="34"/>
      <c r="BV4501" s="34"/>
      <c r="BZ4501" s="34"/>
      <c r="CD4501" s="34"/>
    </row>
    <row r="4502" spans="70:82" x14ac:dyDescent="0.15">
      <c r="BR4502" s="34"/>
      <c r="BV4502" s="34"/>
      <c r="BZ4502" s="34"/>
      <c r="CD4502" s="34"/>
    </row>
    <row r="4503" spans="70:82" x14ac:dyDescent="0.15">
      <c r="BR4503" s="34"/>
      <c r="BV4503" s="34"/>
      <c r="BZ4503" s="34"/>
      <c r="CD4503" s="34"/>
    </row>
    <row r="4504" spans="70:82" x14ac:dyDescent="0.15">
      <c r="BR4504" s="34"/>
      <c r="BV4504" s="34"/>
      <c r="BZ4504" s="34"/>
      <c r="CD4504" s="34"/>
    </row>
    <row r="4505" spans="70:82" x14ac:dyDescent="0.15">
      <c r="BR4505" s="34"/>
      <c r="BV4505" s="34"/>
      <c r="BZ4505" s="34"/>
      <c r="CD4505" s="34"/>
    </row>
    <row r="4506" spans="70:82" x14ac:dyDescent="0.15">
      <c r="BR4506" s="34"/>
      <c r="BV4506" s="34"/>
      <c r="BZ4506" s="34"/>
      <c r="CD4506" s="34"/>
    </row>
    <row r="4507" spans="70:82" x14ac:dyDescent="0.15">
      <c r="BR4507" s="34"/>
      <c r="BV4507" s="34"/>
      <c r="BZ4507" s="34"/>
      <c r="CD4507" s="34"/>
    </row>
    <row r="4508" spans="70:82" x14ac:dyDescent="0.15">
      <c r="BR4508" s="34"/>
      <c r="BV4508" s="34"/>
      <c r="BZ4508" s="34"/>
      <c r="CD4508" s="34"/>
    </row>
    <row r="4509" spans="70:82" x14ac:dyDescent="0.15">
      <c r="BR4509" s="34"/>
      <c r="BV4509" s="34"/>
      <c r="BZ4509" s="34"/>
      <c r="CD4509" s="34"/>
    </row>
    <row r="4510" spans="70:82" x14ac:dyDescent="0.15">
      <c r="BR4510" s="34"/>
      <c r="BV4510" s="34"/>
      <c r="BZ4510" s="34"/>
      <c r="CD4510" s="34"/>
    </row>
    <row r="4511" spans="70:82" x14ac:dyDescent="0.15">
      <c r="BR4511" s="34"/>
      <c r="BV4511" s="34"/>
      <c r="BZ4511" s="34"/>
      <c r="CD4511" s="34"/>
    </row>
    <row r="4512" spans="70:82" x14ac:dyDescent="0.15">
      <c r="BR4512" s="34"/>
      <c r="BV4512" s="34"/>
      <c r="BZ4512" s="34"/>
      <c r="CD4512" s="34"/>
    </row>
    <row r="4513" spans="70:82" x14ac:dyDescent="0.15">
      <c r="BR4513" s="34"/>
      <c r="BV4513" s="34"/>
      <c r="BZ4513" s="34"/>
      <c r="CD4513" s="34"/>
    </row>
    <row r="4514" spans="70:82" x14ac:dyDescent="0.15">
      <c r="BR4514" s="34"/>
      <c r="BV4514" s="34"/>
      <c r="BZ4514" s="34"/>
      <c r="CD4514" s="34"/>
    </row>
    <row r="4515" spans="70:82" x14ac:dyDescent="0.15">
      <c r="BR4515" s="34"/>
      <c r="BV4515" s="34"/>
      <c r="BZ4515" s="34"/>
      <c r="CD4515" s="34"/>
    </row>
    <row r="4516" spans="70:82" x14ac:dyDescent="0.15">
      <c r="BR4516" s="34"/>
      <c r="BV4516" s="34"/>
      <c r="BZ4516" s="34"/>
      <c r="CD4516" s="34"/>
    </row>
    <row r="4517" spans="70:82" x14ac:dyDescent="0.15">
      <c r="BR4517" s="34"/>
      <c r="BV4517" s="34"/>
      <c r="BZ4517" s="34"/>
      <c r="CD4517" s="34"/>
    </row>
    <row r="4518" spans="70:82" x14ac:dyDescent="0.15">
      <c r="BR4518" s="34"/>
      <c r="BV4518" s="34"/>
      <c r="BZ4518" s="34"/>
      <c r="CD4518" s="34"/>
    </row>
    <row r="4519" spans="70:82" x14ac:dyDescent="0.15">
      <c r="BR4519" s="34"/>
      <c r="BV4519" s="34"/>
      <c r="BZ4519" s="34"/>
      <c r="CD4519" s="34"/>
    </row>
    <row r="4520" spans="70:82" x14ac:dyDescent="0.15">
      <c r="BR4520" s="34"/>
      <c r="BV4520" s="34"/>
      <c r="BZ4520" s="34"/>
      <c r="CD4520" s="34"/>
    </row>
    <row r="4521" spans="70:82" x14ac:dyDescent="0.15">
      <c r="BR4521" s="34"/>
      <c r="BV4521" s="34"/>
      <c r="BZ4521" s="34"/>
      <c r="CD4521" s="34"/>
    </row>
    <row r="4522" spans="70:82" x14ac:dyDescent="0.15">
      <c r="BR4522" s="34"/>
      <c r="BV4522" s="34"/>
      <c r="BZ4522" s="34"/>
      <c r="CD4522" s="34"/>
    </row>
    <row r="4523" spans="70:82" x14ac:dyDescent="0.15">
      <c r="BR4523" s="34"/>
      <c r="BV4523" s="34"/>
      <c r="BZ4523" s="34"/>
      <c r="CD4523" s="34"/>
    </row>
    <row r="4524" spans="70:82" x14ac:dyDescent="0.15">
      <c r="BR4524" s="34"/>
      <c r="BV4524" s="34"/>
      <c r="BZ4524" s="34"/>
      <c r="CD4524" s="34"/>
    </row>
    <row r="4525" spans="70:82" x14ac:dyDescent="0.15">
      <c r="BR4525" s="34"/>
      <c r="BV4525" s="34"/>
      <c r="BZ4525" s="34"/>
      <c r="CD4525" s="34"/>
    </row>
    <row r="4526" spans="70:82" x14ac:dyDescent="0.15">
      <c r="BR4526" s="34"/>
      <c r="BV4526" s="34"/>
      <c r="BZ4526" s="34"/>
      <c r="CD4526" s="34"/>
    </row>
    <row r="4527" spans="70:82" x14ac:dyDescent="0.15">
      <c r="BR4527" s="34"/>
      <c r="BV4527" s="34"/>
      <c r="BZ4527" s="34"/>
      <c r="CD4527" s="34"/>
    </row>
    <row r="4528" spans="70:82" x14ac:dyDescent="0.15">
      <c r="BR4528" s="34"/>
      <c r="BV4528" s="34"/>
      <c r="BZ4528" s="34"/>
      <c r="CD4528" s="34"/>
    </row>
    <row r="4529" spans="70:82" x14ac:dyDescent="0.15">
      <c r="BR4529" s="34"/>
      <c r="BV4529" s="34"/>
      <c r="BZ4529" s="34"/>
      <c r="CD4529" s="34"/>
    </row>
    <row r="4530" spans="70:82" x14ac:dyDescent="0.15">
      <c r="BR4530" s="34"/>
      <c r="BV4530" s="34"/>
      <c r="BZ4530" s="34"/>
      <c r="CD4530" s="34"/>
    </row>
    <row r="4531" spans="70:82" x14ac:dyDescent="0.15">
      <c r="BR4531" s="34"/>
      <c r="BV4531" s="34"/>
      <c r="BZ4531" s="34"/>
      <c r="CD4531" s="34"/>
    </row>
    <row r="4532" spans="70:82" x14ac:dyDescent="0.15">
      <c r="BR4532" s="34"/>
      <c r="BV4532" s="34"/>
      <c r="BZ4532" s="34"/>
      <c r="CD4532" s="34"/>
    </row>
    <row r="4533" spans="70:82" x14ac:dyDescent="0.15">
      <c r="BR4533" s="34"/>
      <c r="BV4533" s="34"/>
      <c r="BZ4533" s="34"/>
      <c r="CD4533" s="34"/>
    </row>
    <row r="4534" spans="70:82" x14ac:dyDescent="0.15">
      <c r="BR4534" s="34"/>
      <c r="BV4534" s="34"/>
      <c r="BZ4534" s="34"/>
      <c r="CD4534" s="34"/>
    </row>
    <row r="4535" spans="70:82" x14ac:dyDescent="0.15">
      <c r="BR4535" s="34"/>
      <c r="BV4535" s="34"/>
      <c r="BZ4535" s="34"/>
      <c r="CD4535" s="34"/>
    </row>
    <row r="4536" spans="70:82" x14ac:dyDescent="0.15">
      <c r="BR4536" s="34"/>
      <c r="BV4536" s="34"/>
      <c r="BZ4536" s="34"/>
      <c r="CD4536" s="34"/>
    </row>
    <row r="4537" spans="70:82" x14ac:dyDescent="0.15">
      <c r="BR4537" s="34"/>
      <c r="BV4537" s="34"/>
      <c r="BZ4537" s="34"/>
      <c r="CD4537" s="34"/>
    </row>
    <row r="4538" spans="70:82" x14ac:dyDescent="0.15">
      <c r="BR4538" s="34"/>
      <c r="BV4538" s="34"/>
      <c r="BZ4538" s="34"/>
      <c r="CD4538" s="34"/>
    </row>
    <row r="4539" spans="70:82" x14ac:dyDescent="0.15">
      <c r="BR4539" s="34"/>
      <c r="BV4539" s="34"/>
      <c r="BZ4539" s="34"/>
      <c r="CD4539" s="34"/>
    </row>
    <row r="4540" spans="70:82" x14ac:dyDescent="0.15">
      <c r="BR4540" s="34"/>
      <c r="BV4540" s="34"/>
      <c r="BZ4540" s="34"/>
      <c r="CD4540" s="34"/>
    </row>
    <row r="4541" spans="70:82" x14ac:dyDescent="0.15">
      <c r="BR4541" s="34"/>
      <c r="BV4541" s="34"/>
      <c r="BZ4541" s="34"/>
      <c r="CD4541" s="34"/>
    </row>
    <row r="4542" spans="70:82" x14ac:dyDescent="0.15">
      <c r="BR4542" s="34"/>
      <c r="BV4542" s="34"/>
      <c r="BZ4542" s="34"/>
      <c r="CD4542" s="34"/>
    </row>
    <row r="4543" spans="70:82" x14ac:dyDescent="0.15">
      <c r="BR4543" s="34"/>
      <c r="BV4543" s="34"/>
      <c r="BZ4543" s="34"/>
      <c r="CD4543" s="34"/>
    </row>
    <row r="4544" spans="70:82" x14ac:dyDescent="0.15">
      <c r="BR4544" s="34"/>
      <c r="BV4544" s="34"/>
      <c r="BZ4544" s="34"/>
      <c r="CD4544" s="34"/>
    </row>
    <row r="4545" spans="70:82" x14ac:dyDescent="0.15">
      <c r="BR4545" s="34"/>
      <c r="BV4545" s="34"/>
      <c r="BZ4545" s="34"/>
      <c r="CD4545" s="34"/>
    </row>
    <row r="4546" spans="70:82" x14ac:dyDescent="0.15">
      <c r="BR4546" s="34"/>
      <c r="BV4546" s="34"/>
      <c r="BZ4546" s="34"/>
      <c r="CD4546" s="34"/>
    </row>
    <row r="4547" spans="70:82" x14ac:dyDescent="0.15">
      <c r="BR4547" s="34"/>
      <c r="BV4547" s="34"/>
      <c r="BZ4547" s="34"/>
      <c r="CD4547" s="34"/>
    </row>
    <row r="4548" spans="70:82" x14ac:dyDescent="0.15">
      <c r="BR4548" s="34"/>
      <c r="BV4548" s="34"/>
      <c r="BZ4548" s="34"/>
      <c r="CD4548" s="34"/>
    </row>
    <row r="4549" spans="70:82" x14ac:dyDescent="0.15">
      <c r="BR4549" s="34"/>
      <c r="BV4549" s="34"/>
      <c r="BZ4549" s="34"/>
      <c r="CD4549" s="34"/>
    </row>
    <row r="4550" spans="70:82" x14ac:dyDescent="0.15">
      <c r="BR4550" s="34"/>
      <c r="BV4550" s="34"/>
      <c r="BZ4550" s="34"/>
      <c r="CD4550" s="34"/>
    </row>
    <row r="4551" spans="70:82" x14ac:dyDescent="0.15">
      <c r="BR4551" s="34"/>
      <c r="BV4551" s="34"/>
      <c r="BZ4551" s="34"/>
      <c r="CD4551" s="34"/>
    </row>
    <row r="4552" spans="70:82" x14ac:dyDescent="0.15">
      <c r="BR4552" s="34"/>
      <c r="BV4552" s="34"/>
      <c r="BZ4552" s="34"/>
      <c r="CD4552" s="34"/>
    </row>
    <row r="4553" spans="70:82" x14ac:dyDescent="0.15">
      <c r="BR4553" s="34"/>
      <c r="BV4553" s="34"/>
      <c r="BZ4553" s="34"/>
      <c r="CD4553" s="34"/>
    </row>
    <row r="4554" spans="70:82" x14ac:dyDescent="0.15">
      <c r="BR4554" s="34"/>
      <c r="BV4554" s="34"/>
      <c r="BZ4554" s="34"/>
      <c r="CD4554" s="34"/>
    </row>
    <row r="4555" spans="70:82" x14ac:dyDescent="0.15">
      <c r="BR4555" s="34"/>
      <c r="BV4555" s="34"/>
      <c r="BZ4555" s="34"/>
      <c r="CD4555" s="34"/>
    </row>
    <row r="4556" spans="70:82" x14ac:dyDescent="0.15">
      <c r="BR4556" s="34"/>
      <c r="BV4556" s="34"/>
      <c r="BZ4556" s="34"/>
      <c r="CD4556" s="34"/>
    </row>
    <row r="4557" spans="70:82" x14ac:dyDescent="0.15">
      <c r="BR4557" s="34"/>
      <c r="BV4557" s="34"/>
      <c r="BZ4557" s="34"/>
      <c r="CD4557" s="34"/>
    </row>
    <row r="4558" spans="70:82" x14ac:dyDescent="0.15">
      <c r="BR4558" s="34"/>
      <c r="BV4558" s="34"/>
      <c r="BZ4558" s="34"/>
      <c r="CD4558" s="34"/>
    </row>
    <row r="4559" spans="70:82" x14ac:dyDescent="0.15">
      <c r="BR4559" s="34"/>
      <c r="BV4559" s="34"/>
      <c r="BZ4559" s="34"/>
      <c r="CD4559" s="34"/>
    </row>
    <row r="4560" spans="70:82" x14ac:dyDescent="0.15">
      <c r="BR4560" s="34"/>
      <c r="BV4560" s="34"/>
      <c r="BZ4560" s="34"/>
      <c r="CD4560" s="34"/>
    </row>
    <row r="4561" spans="70:82" x14ac:dyDescent="0.15">
      <c r="BR4561" s="34"/>
      <c r="BV4561" s="34"/>
      <c r="BZ4561" s="34"/>
      <c r="CD4561" s="34"/>
    </row>
    <row r="4562" spans="70:82" x14ac:dyDescent="0.15">
      <c r="BR4562" s="34"/>
      <c r="BV4562" s="34"/>
      <c r="BZ4562" s="34"/>
      <c r="CD4562" s="34"/>
    </row>
    <row r="4563" spans="70:82" x14ac:dyDescent="0.15">
      <c r="BR4563" s="34"/>
      <c r="BV4563" s="34"/>
      <c r="BZ4563" s="34"/>
      <c r="CD4563" s="34"/>
    </row>
    <row r="4564" spans="70:82" x14ac:dyDescent="0.15">
      <c r="BR4564" s="34"/>
      <c r="BV4564" s="34"/>
      <c r="BZ4564" s="34"/>
      <c r="CD4564" s="34"/>
    </row>
    <row r="4565" spans="70:82" x14ac:dyDescent="0.15">
      <c r="BR4565" s="34"/>
      <c r="BV4565" s="34"/>
      <c r="BZ4565" s="34"/>
      <c r="CD4565" s="34"/>
    </row>
    <row r="4566" spans="70:82" x14ac:dyDescent="0.15">
      <c r="BR4566" s="34"/>
      <c r="BV4566" s="34"/>
      <c r="BZ4566" s="34"/>
      <c r="CD4566" s="34"/>
    </row>
    <row r="4567" spans="70:82" x14ac:dyDescent="0.15">
      <c r="BR4567" s="34"/>
      <c r="BV4567" s="34"/>
      <c r="BZ4567" s="34"/>
      <c r="CD4567" s="34"/>
    </row>
    <row r="4568" spans="70:82" x14ac:dyDescent="0.15">
      <c r="BR4568" s="34"/>
      <c r="BV4568" s="34"/>
      <c r="BZ4568" s="34"/>
      <c r="CD4568" s="34"/>
    </row>
    <row r="4569" spans="70:82" x14ac:dyDescent="0.15">
      <c r="BR4569" s="34"/>
      <c r="BV4569" s="34"/>
      <c r="BZ4569" s="34"/>
      <c r="CD4569" s="34"/>
    </row>
    <row r="4570" spans="70:82" x14ac:dyDescent="0.15">
      <c r="BR4570" s="34"/>
      <c r="BV4570" s="34"/>
      <c r="BZ4570" s="34"/>
      <c r="CD4570" s="34"/>
    </row>
    <row r="4571" spans="70:82" x14ac:dyDescent="0.15">
      <c r="BR4571" s="34"/>
      <c r="BV4571" s="34"/>
      <c r="BZ4571" s="34"/>
      <c r="CD4571" s="34"/>
    </row>
    <row r="4572" spans="70:82" x14ac:dyDescent="0.15">
      <c r="BR4572" s="34"/>
      <c r="BV4572" s="34"/>
      <c r="BZ4572" s="34"/>
      <c r="CD4572" s="34"/>
    </row>
    <row r="4573" spans="70:82" x14ac:dyDescent="0.15">
      <c r="BR4573" s="34"/>
      <c r="BV4573" s="34"/>
      <c r="BZ4573" s="34"/>
      <c r="CD4573" s="34"/>
    </row>
    <row r="4574" spans="70:82" x14ac:dyDescent="0.15">
      <c r="BR4574" s="34"/>
      <c r="BV4574" s="34"/>
      <c r="BZ4574" s="34"/>
      <c r="CD4574" s="34"/>
    </row>
    <row r="4575" spans="70:82" x14ac:dyDescent="0.15">
      <c r="BR4575" s="34"/>
      <c r="BV4575" s="34"/>
      <c r="BZ4575" s="34"/>
      <c r="CD4575" s="34"/>
    </row>
    <row r="4576" spans="70:82" x14ac:dyDescent="0.15">
      <c r="BR4576" s="34"/>
      <c r="BV4576" s="34"/>
      <c r="BZ4576" s="34"/>
      <c r="CD4576" s="34"/>
    </row>
    <row r="4577" spans="70:82" x14ac:dyDescent="0.15">
      <c r="BR4577" s="34"/>
      <c r="BV4577" s="34"/>
      <c r="BZ4577" s="34"/>
      <c r="CD4577" s="34"/>
    </row>
    <row r="4578" spans="70:82" x14ac:dyDescent="0.15">
      <c r="BR4578" s="34"/>
      <c r="BV4578" s="34"/>
      <c r="BZ4578" s="34"/>
      <c r="CD4578" s="34"/>
    </row>
    <row r="4579" spans="70:82" x14ac:dyDescent="0.15">
      <c r="BR4579" s="34"/>
      <c r="BV4579" s="34"/>
      <c r="BZ4579" s="34"/>
      <c r="CD4579" s="34"/>
    </row>
    <row r="4580" spans="70:82" x14ac:dyDescent="0.15">
      <c r="BR4580" s="34"/>
      <c r="BV4580" s="34"/>
      <c r="BZ4580" s="34"/>
      <c r="CD4580" s="34"/>
    </row>
    <row r="4581" spans="70:82" x14ac:dyDescent="0.15">
      <c r="BR4581" s="34"/>
      <c r="BV4581" s="34"/>
      <c r="BZ4581" s="34"/>
      <c r="CD4581" s="34"/>
    </row>
    <row r="4582" spans="70:82" x14ac:dyDescent="0.15">
      <c r="BR4582" s="34"/>
      <c r="BV4582" s="34"/>
      <c r="BZ4582" s="34"/>
      <c r="CD4582" s="34"/>
    </row>
    <row r="4583" spans="70:82" x14ac:dyDescent="0.15">
      <c r="BR4583" s="34"/>
      <c r="BV4583" s="34"/>
      <c r="BZ4583" s="34"/>
      <c r="CD4583" s="34"/>
    </row>
    <row r="4584" spans="70:82" x14ac:dyDescent="0.15">
      <c r="BR4584" s="34"/>
      <c r="BV4584" s="34"/>
      <c r="BZ4584" s="34"/>
      <c r="CD4584" s="34"/>
    </row>
    <row r="4585" spans="70:82" x14ac:dyDescent="0.15">
      <c r="BR4585" s="34"/>
      <c r="BV4585" s="34"/>
      <c r="BZ4585" s="34"/>
      <c r="CD4585" s="34"/>
    </row>
    <row r="4586" spans="70:82" x14ac:dyDescent="0.15">
      <c r="BR4586" s="34"/>
      <c r="BV4586" s="34"/>
      <c r="BZ4586" s="34"/>
      <c r="CD4586" s="34"/>
    </row>
    <row r="4587" spans="70:82" x14ac:dyDescent="0.15">
      <c r="BR4587" s="34"/>
      <c r="BV4587" s="34"/>
      <c r="BZ4587" s="34"/>
      <c r="CD4587" s="34"/>
    </row>
    <row r="4588" spans="70:82" x14ac:dyDescent="0.15">
      <c r="BR4588" s="34"/>
      <c r="BV4588" s="34"/>
      <c r="BZ4588" s="34"/>
      <c r="CD4588" s="34"/>
    </row>
    <row r="4589" spans="70:82" x14ac:dyDescent="0.15">
      <c r="BR4589" s="34"/>
      <c r="BV4589" s="34"/>
      <c r="BZ4589" s="34"/>
      <c r="CD4589" s="34"/>
    </row>
    <row r="4590" spans="70:82" x14ac:dyDescent="0.15">
      <c r="BR4590" s="34"/>
      <c r="BV4590" s="34"/>
      <c r="BZ4590" s="34"/>
      <c r="CD4590" s="34"/>
    </row>
    <row r="4591" spans="70:82" x14ac:dyDescent="0.15">
      <c r="BR4591" s="34"/>
      <c r="BV4591" s="34"/>
      <c r="BZ4591" s="34"/>
      <c r="CD4591" s="34"/>
    </row>
    <row r="4592" spans="70:82" x14ac:dyDescent="0.15">
      <c r="BR4592" s="34"/>
      <c r="BV4592" s="34"/>
      <c r="BZ4592" s="34"/>
      <c r="CD4592" s="34"/>
    </row>
    <row r="4593" spans="70:82" x14ac:dyDescent="0.15">
      <c r="BR4593" s="34"/>
      <c r="BV4593" s="34"/>
      <c r="BZ4593" s="34"/>
      <c r="CD4593" s="34"/>
    </row>
    <row r="4594" spans="70:82" x14ac:dyDescent="0.15">
      <c r="BR4594" s="34"/>
      <c r="BV4594" s="34"/>
      <c r="BZ4594" s="34"/>
      <c r="CD4594" s="34"/>
    </row>
    <row r="4595" spans="70:82" x14ac:dyDescent="0.15">
      <c r="BR4595" s="34"/>
      <c r="BV4595" s="34"/>
      <c r="BZ4595" s="34"/>
      <c r="CD4595" s="34"/>
    </row>
    <row r="4596" spans="70:82" x14ac:dyDescent="0.15">
      <c r="BR4596" s="34"/>
      <c r="BV4596" s="34"/>
      <c r="BZ4596" s="34"/>
      <c r="CD4596" s="34"/>
    </row>
    <row r="4597" spans="70:82" x14ac:dyDescent="0.15">
      <c r="BR4597" s="34"/>
      <c r="BV4597" s="34"/>
      <c r="BZ4597" s="34"/>
      <c r="CD4597" s="34"/>
    </row>
    <row r="4598" spans="70:82" x14ac:dyDescent="0.15">
      <c r="BR4598" s="34"/>
      <c r="BV4598" s="34"/>
      <c r="BZ4598" s="34"/>
      <c r="CD4598" s="34"/>
    </row>
    <row r="4599" spans="70:82" x14ac:dyDescent="0.15">
      <c r="BR4599" s="34"/>
      <c r="BV4599" s="34"/>
      <c r="BZ4599" s="34"/>
      <c r="CD4599" s="34"/>
    </row>
    <row r="4600" spans="70:82" x14ac:dyDescent="0.15">
      <c r="BR4600" s="34"/>
      <c r="BV4600" s="34"/>
      <c r="BZ4600" s="34"/>
      <c r="CD4600" s="34"/>
    </row>
    <row r="4601" spans="70:82" x14ac:dyDescent="0.15">
      <c r="BR4601" s="34"/>
      <c r="BV4601" s="34"/>
      <c r="BZ4601" s="34"/>
      <c r="CD4601" s="34"/>
    </row>
    <row r="4602" spans="70:82" x14ac:dyDescent="0.15">
      <c r="BR4602" s="34"/>
      <c r="BV4602" s="34"/>
      <c r="BZ4602" s="34"/>
      <c r="CD4602" s="34"/>
    </row>
    <row r="4603" spans="70:82" x14ac:dyDescent="0.15">
      <c r="BR4603" s="34"/>
      <c r="BV4603" s="34"/>
      <c r="BZ4603" s="34"/>
      <c r="CD4603" s="34"/>
    </row>
    <row r="4604" spans="70:82" x14ac:dyDescent="0.15">
      <c r="BR4604" s="34"/>
      <c r="BV4604" s="34"/>
      <c r="BZ4604" s="34"/>
      <c r="CD4604" s="34"/>
    </row>
    <row r="4605" spans="70:82" x14ac:dyDescent="0.15">
      <c r="BR4605" s="34"/>
      <c r="BV4605" s="34"/>
      <c r="BZ4605" s="34"/>
      <c r="CD4605" s="34"/>
    </row>
    <row r="4606" spans="70:82" x14ac:dyDescent="0.15">
      <c r="BR4606" s="34"/>
      <c r="BV4606" s="34"/>
      <c r="BZ4606" s="34"/>
      <c r="CD4606" s="34"/>
    </row>
    <row r="4607" spans="70:82" x14ac:dyDescent="0.15">
      <c r="BR4607" s="34"/>
      <c r="BV4607" s="34"/>
      <c r="BZ4607" s="34"/>
      <c r="CD4607" s="34"/>
    </row>
    <row r="4608" spans="70:82" x14ac:dyDescent="0.15">
      <c r="BR4608" s="34"/>
      <c r="BV4608" s="34"/>
      <c r="BZ4608" s="34"/>
      <c r="CD4608" s="34"/>
    </row>
    <row r="4609" spans="70:82" x14ac:dyDescent="0.15">
      <c r="BR4609" s="34"/>
      <c r="BV4609" s="34"/>
      <c r="BZ4609" s="34"/>
      <c r="CD4609" s="34"/>
    </row>
    <row r="4610" spans="70:82" x14ac:dyDescent="0.15">
      <c r="BR4610" s="34"/>
      <c r="BV4610" s="34"/>
      <c r="BZ4610" s="34"/>
      <c r="CD4610" s="34"/>
    </row>
    <row r="4611" spans="70:82" x14ac:dyDescent="0.15">
      <c r="BR4611" s="34"/>
      <c r="BV4611" s="34"/>
      <c r="BZ4611" s="34"/>
      <c r="CD4611" s="34"/>
    </row>
    <row r="4612" spans="70:82" x14ac:dyDescent="0.15">
      <c r="BR4612" s="34"/>
      <c r="BV4612" s="34"/>
      <c r="BZ4612" s="34"/>
      <c r="CD4612" s="34"/>
    </row>
    <row r="4613" spans="70:82" x14ac:dyDescent="0.15">
      <c r="BR4613" s="34"/>
      <c r="BV4613" s="34"/>
      <c r="BZ4613" s="34"/>
      <c r="CD4613" s="34"/>
    </row>
    <row r="4614" spans="70:82" x14ac:dyDescent="0.15">
      <c r="BR4614" s="34"/>
      <c r="BV4614" s="34"/>
      <c r="BZ4614" s="34"/>
      <c r="CD4614" s="34"/>
    </row>
    <row r="4615" spans="70:82" x14ac:dyDescent="0.15">
      <c r="BR4615" s="34"/>
      <c r="BV4615" s="34"/>
      <c r="BZ4615" s="34"/>
      <c r="CD4615" s="34"/>
    </row>
    <row r="4616" spans="70:82" x14ac:dyDescent="0.15">
      <c r="BR4616" s="34"/>
      <c r="BV4616" s="34"/>
      <c r="BZ4616" s="34"/>
      <c r="CD4616" s="34"/>
    </row>
    <row r="4617" spans="70:82" x14ac:dyDescent="0.15">
      <c r="BR4617" s="34"/>
      <c r="BV4617" s="34"/>
      <c r="BZ4617" s="34"/>
      <c r="CD4617" s="34"/>
    </row>
    <row r="4618" spans="70:82" x14ac:dyDescent="0.15">
      <c r="BR4618" s="34"/>
      <c r="BV4618" s="34"/>
      <c r="BZ4618" s="34"/>
      <c r="CD4618" s="34"/>
    </row>
    <row r="4619" spans="70:82" x14ac:dyDescent="0.15">
      <c r="BR4619" s="34"/>
      <c r="BV4619" s="34"/>
      <c r="BZ4619" s="34"/>
      <c r="CD4619" s="34"/>
    </row>
    <row r="4620" spans="70:82" x14ac:dyDescent="0.15">
      <c r="BR4620" s="34"/>
      <c r="BV4620" s="34"/>
      <c r="BZ4620" s="34"/>
      <c r="CD4620" s="34"/>
    </row>
    <row r="4621" spans="70:82" x14ac:dyDescent="0.15">
      <c r="BR4621" s="34"/>
      <c r="BV4621" s="34"/>
      <c r="BZ4621" s="34"/>
      <c r="CD4621" s="34"/>
    </row>
    <row r="4622" spans="70:82" x14ac:dyDescent="0.15">
      <c r="BR4622" s="34"/>
      <c r="BV4622" s="34"/>
      <c r="BZ4622" s="34"/>
      <c r="CD4622" s="34"/>
    </row>
    <row r="4623" spans="70:82" x14ac:dyDescent="0.15">
      <c r="BR4623" s="34"/>
      <c r="BV4623" s="34"/>
      <c r="BZ4623" s="34"/>
      <c r="CD4623" s="34"/>
    </row>
    <row r="4624" spans="70:82" x14ac:dyDescent="0.15">
      <c r="BR4624" s="34"/>
      <c r="BV4624" s="34"/>
      <c r="BZ4624" s="34"/>
      <c r="CD4624" s="34"/>
    </row>
    <row r="4625" spans="70:82" x14ac:dyDescent="0.15">
      <c r="BR4625" s="34"/>
      <c r="BV4625" s="34"/>
      <c r="BZ4625" s="34"/>
      <c r="CD4625" s="34"/>
    </row>
    <row r="4626" spans="70:82" x14ac:dyDescent="0.15">
      <c r="BR4626" s="34"/>
      <c r="BV4626" s="34"/>
      <c r="BZ4626" s="34"/>
      <c r="CD4626" s="34"/>
    </row>
    <row r="4627" spans="70:82" x14ac:dyDescent="0.15">
      <c r="BR4627" s="34"/>
      <c r="BV4627" s="34"/>
      <c r="BZ4627" s="34"/>
      <c r="CD4627" s="34"/>
    </row>
    <row r="4628" spans="70:82" x14ac:dyDescent="0.15">
      <c r="BR4628" s="34"/>
      <c r="BV4628" s="34"/>
      <c r="BZ4628" s="34"/>
      <c r="CD4628" s="34"/>
    </row>
    <row r="4629" spans="70:82" x14ac:dyDescent="0.15">
      <c r="BR4629" s="34"/>
      <c r="BV4629" s="34"/>
      <c r="BZ4629" s="34"/>
      <c r="CD4629" s="34"/>
    </row>
    <row r="4630" spans="70:82" x14ac:dyDescent="0.15">
      <c r="BR4630" s="34"/>
      <c r="BV4630" s="34"/>
      <c r="BZ4630" s="34"/>
      <c r="CD4630" s="34"/>
    </row>
    <row r="4631" spans="70:82" x14ac:dyDescent="0.15">
      <c r="BR4631" s="34"/>
      <c r="BV4631" s="34"/>
      <c r="BZ4631" s="34"/>
      <c r="CD4631" s="34"/>
    </row>
    <row r="4632" spans="70:82" x14ac:dyDescent="0.15">
      <c r="BR4632" s="34"/>
      <c r="BV4632" s="34"/>
      <c r="BZ4632" s="34"/>
      <c r="CD4632" s="34"/>
    </row>
    <row r="4633" spans="70:82" x14ac:dyDescent="0.15">
      <c r="BR4633" s="34"/>
      <c r="BV4633" s="34"/>
      <c r="BZ4633" s="34"/>
      <c r="CD4633" s="34"/>
    </row>
    <row r="4634" spans="70:82" x14ac:dyDescent="0.15">
      <c r="BR4634" s="34"/>
      <c r="BV4634" s="34"/>
      <c r="BZ4634" s="34"/>
      <c r="CD4634" s="34"/>
    </row>
    <row r="4635" spans="70:82" x14ac:dyDescent="0.15">
      <c r="BR4635" s="34"/>
      <c r="BV4635" s="34"/>
      <c r="BZ4635" s="34"/>
      <c r="CD4635" s="34"/>
    </row>
    <row r="4636" spans="70:82" x14ac:dyDescent="0.15">
      <c r="BR4636" s="34"/>
      <c r="BV4636" s="34"/>
      <c r="BZ4636" s="34"/>
      <c r="CD4636" s="34"/>
    </row>
    <row r="4637" spans="70:82" x14ac:dyDescent="0.15">
      <c r="BR4637" s="34"/>
      <c r="BV4637" s="34"/>
      <c r="BZ4637" s="34"/>
      <c r="CD4637" s="34"/>
    </row>
    <row r="4638" spans="70:82" x14ac:dyDescent="0.15">
      <c r="BR4638" s="34"/>
      <c r="BV4638" s="34"/>
      <c r="BZ4638" s="34"/>
      <c r="CD4638" s="34"/>
    </row>
    <row r="4639" spans="70:82" x14ac:dyDescent="0.15">
      <c r="BR4639" s="34"/>
      <c r="BV4639" s="34"/>
      <c r="BZ4639" s="34"/>
      <c r="CD4639" s="34"/>
    </row>
    <row r="4640" spans="70:82" x14ac:dyDescent="0.15">
      <c r="BR4640" s="34"/>
      <c r="BV4640" s="34"/>
      <c r="BZ4640" s="34"/>
      <c r="CD4640" s="34"/>
    </row>
    <row r="4641" spans="70:82" x14ac:dyDescent="0.15">
      <c r="BR4641" s="34"/>
      <c r="BV4641" s="34"/>
      <c r="BZ4641" s="34"/>
      <c r="CD4641" s="34"/>
    </row>
    <row r="4642" spans="70:82" x14ac:dyDescent="0.15">
      <c r="BR4642" s="34"/>
      <c r="BV4642" s="34"/>
      <c r="BZ4642" s="34"/>
      <c r="CD4642" s="34"/>
    </row>
    <row r="4643" spans="70:82" x14ac:dyDescent="0.15">
      <c r="BR4643" s="34"/>
      <c r="BV4643" s="34"/>
      <c r="BZ4643" s="34"/>
      <c r="CD4643" s="34"/>
    </row>
    <row r="4644" spans="70:82" x14ac:dyDescent="0.15">
      <c r="BR4644" s="34"/>
      <c r="BV4644" s="34"/>
      <c r="BZ4644" s="34"/>
      <c r="CD4644" s="34"/>
    </row>
    <row r="4645" spans="70:82" x14ac:dyDescent="0.15">
      <c r="BR4645" s="34"/>
      <c r="BV4645" s="34"/>
      <c r="BZ4645" s="34"/>
      <c r="CD4645" s="34"/>
    </row>
    <row r="4646" spans="70:82" x14ac:dyDescent="0.15">
      <c r="BR4646" s="34"/>
      <c r="BV4646" s="34"/>
      <c r="BZ4646" s="34"/>
      <c r="CD4646" s="34"/>
    </row>
    <row r="4647" spans="70:82" x14ac:dyDescent="0.15">
      <c r="BR4647" s="34"/>
      <c r="BV4647" s="34"/>
      <c r="BZ4647" s="34"/>
      <c r="CD4647" s="34"/>
    </row>
    <row r="4648" spans="70:82" x14ac:dyDescent="0.15">
      <c r="BR4648" s="34"/>
      <c r="BV4648" s="34"/>
      <c r="BZ4648" s="34"/>
      <c r="CD4648" s="34"/>
    </row>
    <row r="4649" spans="70:82" x14ac:dyDescent="0.15">
      <c r="BR4649" s="34"/>
      <c r="BV4649" s="34"/>
      <c r="BZ4649" s="34"/>
      <c r="CD4649" s="34"/>
    </row>
    <row r="4650" spans="70:82" x14ac:dyDescent="0.15">
      <c r="BR4650" s="34"/>
      <c r="BV4650" s="34"/>
      <c r="BZ4650" s="34"/>
      <c r="CD4650" s="34"/>
    </row>
    <row r="4651" spans="70:82" x14ac:dyDescent="0.15">
      <c r="BR4651" s="34"/>
      <c r="BV4651" s="34"/>
      <c r="BZ4651" s="34"/>
      <c r="CD4651" s="34"/>
    </row>
    <row r="4652" spans="70:82" x14ac:dyDescent="0.15">
      <c r="BR4652" s="34"/>
      <c r="BV4652" s="34"/>
      <c r="BZ4652" s="34"/>
      <c r="CD4652" s="34"/>
    </row>
    <row r="4653" spans="70:82" x14ac:dyDescent="0.15">
      <c r="BR4653" s="34"/>
      <c r="BV4653" s="34"/>
      <c r="BZ4653" s="34"/>
      <c r="CD4653" s="34"/>
    </row>
    <row r="4654" spans="70:82" x14ac:dyDescent="0.15">
      <c r="BR4654" s="34"/>
      <c r="BV4654" s="34"/>
      <c r="BZ4654" s="34"/>
      <c r="CD4654" s="34"/>
    </row>
    <row r="4655" spans="70:82" x14ac:dyDescent="0.15">
      <c r="BR4655" s="34"/>
      <c r="BV4655" s="34"/>
      <c r="BZ4655" s="34"/>
      <c r="CD4655" s="34"/>
    </row>
    <row r="4656" spans="70:82" x14ac:dyDescent="0.15">
      <c r="BR4656" s="34"/>
      <c r="BV4656" s="34"/>
      <c r="BZ4656" s="34"/>
      <c r="CD4656" s="34"/>
    </row>
    <row r="4657" spans="70:82" x14ac:dyDescent="0.15">
      <c r="BR4657" s="34"/>
      <c r="BV4657" s="34"/>
      <c r="BZ4657" s="34"/>
      <c r="CD4657" s="34"/>
    </row>
    <row r="4658" spans="70:82" x14ac:dyDescent="0.15">
      <c r="BR4658" s="34"/>
      <c r="BV4658" s="34"/>
      <c r="BZ4658" s="34"/>
      <c r="CD4658" s="34"/>
    </row>
    <row r="4659" spans="70:82" x14ac:dyDescent="0.15">
      <c r="BR4659" s="34"/>
      <c r="BV4659" s="34"/>
      <c r="BZ4659" s="34"/>
      <c r="CD4659" s="34"/>
    </row>
    <row r="4660" spans="70:82" x14ac:dyDescent="0.15">
      <c r="BR4660" s="34"/>
      <c r="BV4660" s="34"/>
      <c r="BZ4660" s="34"/>
      <c r="CD4660" s="34"/>
    </row>
    <row r="4661" spans="70:82" x14ac:dyDescent="0.15">
      <c r="BR4661" s="34"/>
      <c r="BV4661" s="34"/>
      <c r="BZ4661" s="34"/>
      <c r="CD4661" s="34"/>
    </row>
    <row r="4662" spans="70:82" x14ac:dyDescent="0.15">
      <c r="BR4662" s="34"/>
      <c r="BV4662" s="34"/>
      <c r="BZ4662" s="34"/>
      <c r="CD4662" s="34"/>
    </row>
    <row r="4663" spans="70:82" x14ac:dyDescent="0.15">
      <c r="BR4663" s="34"/>
      <c r="BV4663" s="34"/>
      <c r="BZ4663" s="34"/>
      <c r="CD4663" s="34"/>
    </row>
    <row r="4664" spans="70:82" x14ac:dyDescent="0.15">
      <c r="BR4664" s="34"/>
      <c r="BV4664" s="34"/>
      <c r="BZ4664" s="34"/>
      <c r="CD4664" s="34"/>
    </row>
    <row r="4665" spans="70:82" x14ac:dyDescent="0.15">
      <c r="BR4665" s="34"/>
      <c r="BV4665" s="34"/>
      <c r="BZ4665" s="34"/>
      <c r="CD4665" s="34"/>
    </row>
    <row r="4666" spans="70:82" x14ac:dyDescent="0.15">
      <c r="BR4666" s="34"/>
      <c r="BV4666" s="34"/>
      <c r="BZ4666" s="34"/>
      <c r="CD4666" s="34"/>
    </row>
    <row r="4667" spans="70:82" x14ac:dyDescent="0.15">
      <c r="BR4667" s="34"/>
      <c r="BV4667" s="34"/>
      <c r="BZ4667" s="34"/>
      <c r="CD4667" s="34"/>
    </row>
    <row r="4668" spans="70:82" x14ac:dyDescent="0.15">
      <c r="BR4668" s="34"/>
      <c r="BV4668" s="34"/>
      <c r="BZ4668" s="34"/>
      <c r="CD4668" s="34"/>
    </row>
    <row r="4669" spans="70:82" x14ac:dyDescent="0.15">
      <c r="BR4669" s="34"/>
      <c r="BV4669" s="34"/>
      <c r="BZ4669" s="34"/>
      <c r="CD4669" s="34"/>
    </row>
    <row r="4670" spans="70:82" x14ac:dyDescent="0.15">
      <c r="BR4670" s="34"/>
      <c r="BV4670" s="34"/>
      <c r="BZ4670" s="34"/>
      <c r="CD4670" s="34"/>
    </row>
    <row r="4671" spans="70:82" x14ac:dyDescent="0.15">
      <c r="BR4671" s="34"/>
      <c r="BV4671" s="34"/>
      <c r="BZ4671" s="34"/>
      <c r="CD4671" s="34"/>
    </row>
    <row r="4672" spans="70:82" x14ac:dyDescent="0.15">
      <c r="BR4672" s="34"/>
      <c r="BV4672" s="34"/>
      <c r="BZ4672" s="34"/>
      <c r="CD4672" s="34"/>
    </row>
    <row r="4673" spans="70:82" x14ac:dyDescent="0.15">
      <c r="BR4673" s="34"/>
      <c r="BV4673" s="34"/>
      <c r="BZ4673" s="34"/>
      <c r="CD4673" s="34"/>
    </row>
    <row r="4674" spans="70:82" x14ac:dyDescent="0.15">
      <c r="BR4674" s="34"/>
      <c r="BV4674" s="34"/>
      <c r="BZ4674" s="34"/>
      <c r="CD4674" s="34"/>
    </row>
    <row r="4675" spans="70:82" x14ac:dyDescent="0.15">
      <c r="BR4675" s="34"/>
      <c r="BV4675" s="34"/>
      <c r="BZ4675" s="34"/>
      <c r="CD4675" s="34"/>
    </row>
    <row r="4676" spans="70:82" x14ac:dyDescent="0.15">
      <c r="BR4676" s="34"/>
      <c r="BV4676" s="34"/>
      <c r="BZ4676" s="34"/>
      <c r="CD4676" s="34"/>
    </row>
    <row r="4677" spans="70:82" x14ac:dyDescent="0.15">
      <c r="BR4677" s="34"/>
      <c r="BV4677" s="34"/>
      <c r="BZ4677" s="34"/>
      <c r="CD4677" s="34"/>
    </row>
    <row r="4678" spans="70:82" x14ac:dyDescent="0.15">
      <c r="BR4678" s="34"/>
      <c r="BV4678" s="34"/>
      <c r="BZ4678" s="34"/>
      <c r="CD4678" s="34"/>
    </row>
    <row r="4679" spans="70:82" x14ac:dyDescent="0.15">
      <c r="BR4679" s="34"/>
      <c r="BV4679" s="34"/>
      <c r="BZ4679" s="34"/>
      <c r="CD4679" s="34"/>
    </row>
    <row r="4680" spans="70:82" x14ac:dyDescent="0.15">
      <c r="BR4680" s="34"/>
      <c r="BV4680" s="34"/>
      <c r="BZ4680" s="34"/>
      <c r="CD4680" s="34"/>
    </row>
    <row r="4681" spans="70:82" x14ac:dyDescent="0.15">
      <c r="BR4681" s="34"/>
      <c r="BV4681" s="34"/>
      <c r="BZ4681" s="34"/>
      <c r="CD4681" s="34"/>
    </row>
    <row r="4682" spans="70:82" x14ac:dyDescent="0.15">
      <c r="BR4682" s="34"/>
      <c r="BV4682" s="34"/>
      <c r="BZ4682" s="34"/>
      <c r="CD4682" s="34"/>
    </row>
    <row r="4683" spans="70:82" x14ac:dyDescent="0.15">
      <c r="BR4683" s="34"/>
      <c r="BV4683" s="34"/>
      <c r="BZ4683" s="34"/>
      <c r="CD4683" s="34"/>
    </row>
    <row r="4684" spans="70:82" x14ac:dyDescent="0.15">
      <c r="BR4684" s="34"/>
      <c r="BV4684" s="34"/>
      <c r="BZ4684" s="34"/>
      <c r="CD4684" s="34"/>
    </row>
    <row r="4685" spans="70:82" x14ac:dyDescent="0.15">
      <c r="BR4685" s="34"/>
      <c r="BV4685" s="34"/>
      <c r="BZ4685" s="34"/>
      <c r="CD4685" s="34"/>
    </row>
    <row r="4686" spans="70:82" x14ac:dyDescent="0.15">
      <c r="BR4686" s="34"/>
      <c r="BV4686" s="34"/>
      <c r="BZ4686" s="34"/>
      <c r="CD4686" s="34"/>
    </row>
    <row r="4687" spans="70:82" x14ac:dyDescent="0.15">
      <c r="BR4687" s="34"/>
      <c r="BV4687" s="34"/>
      <c r="BZ4687" s="34"/>
      <c r="CD4687" s="34"/>
    </row>
    <row r="4688" spans="70:82" x14ac:dyDescent="0.15">
      <c r="BR4688" s="34"/>
      <c r="BV4688" s="34"/>
      <c r="BZ4688" s="34"/>
      <c r="CD4688" s="34"/>
    </row>
    <row r="4689" spans="70:82" x14ac:dyDescent="0.15">
      <c r="BR4689" s="34"/>
      <c r="BV4689" s="34"/>
      <c r="BZ4689" s="34"/>
      <c r="CD4689" s="34"/>
    </row>
    <row r="4690" spans="70:82" x14ac:dyDescent="0.15">
      <c r="BR4690" s="34"/>
      <c r="BV4690" s="34"/>
      <c r="BZ4690" s="34"/>
      <c r="CD4690" s="34"/>
    </row>
    <row r="4691" spans="70:82" x14ac:dyDescent="0.15">
      <c r="BR4691" s="34"/>
      <c r="BV4691" s="34"/>
      <c r="BZ4691" s="34"/>
      <c r="CD4691" s="34"/>
    </row>
    <row r="4692" spans="70:82" x14ac:dyDescent="0.15">
      <c r="BR4692" s="34"/>
      <c r="BV4692" s="34"/>
      <c r="BZ4692" s="34"/>
      <c r="CD4692" s="34"/>
    </row>
    <row r="4693" spans="70:82" x14ac:dyDescent="0.15">
      <c r="BR4693" s="34"/>
      <c r="BV4693" s="34"/>
      <c r="BZ4693" s="34"/>
      <c r="CD4693" s="34"/>
    </row>
    <row r="4694" spans="70:82" x14ac:dyDescent="0.15">
      <c r="BR4694" s="34"/>
      <c r="BV4694" s="34"/>
      <c r="BZ4694" s="34"/>
      <c r="CD4694" s="34"/>
    </row>
    <row r="4695" spans="70:82" x14ac:dyDescent="0.15">
      <c r="BR4695" s="34"/>
      <c r="BV4695" s="34"/>
      <c r="BZ4695" s="34"/>
      <c r="CD4695" s="34"/>
    </row>
    <row r="4696" spans="70:82" x14ac:dyDescent="0.15">
      <c r="BR4696" s="34"/>
      <c r="BV4696" s="34"/>
      <c r="BZ4696" s="34"/>
      <c r="CD4696" s="34"/>
    </row>
    <row r="4697" spans="70:82" x14ac:dyDescent="0.15">
      <c r="BR4697" s="34"/>
      <c r="BV4697" s="34"/>
      <c r="BZ4697" s="34"/>
      <c r="CD4697" s="34"/>
    </row>
    <row r="4698" spans="70:82" x14ac:dyDescent="0.15">
      <c r="BR4698" s="34"/>
      <c r="BV4698" s="34"/>
      <c r="BZ4698" s="34"/>
      <c r="CD4698" s="34"/>
    </row>
    <row r="4699" spans="70:82" x14ac:dyDescent="0.15">
      <c r="BR4699" s="34"/>
      <c r="BV4699" s="34"/>
      <c r="BZ4699" s="34"/>
      <c r="CD4699" s="34"/>
    </row>
    <row r="4700" spans="70:82" x14ac:dyDescent="0.15">
      <c r="BR4700" s="34"/>
      <c r="BV4700" s="34"/>
      <c r="BZ4700" s="34"/>
      <c r="CD4700" s="34"/>
    </row>
    <row r="4701" spans="70:82" x14ac:dyDescent="0.15">
      <c r="BR4701" s="34"/>
      <c r="BV4701" s="34"/>
      <c r="BZ4701" s="34"/>
      <c r="CD4701" s="34"/>
    </row>
    <row r="4702" spans="70:82" x14ac:dyDescent="0.15">
      <c r="BR4702" s="34"/>
      <c r="BV4702" s="34"/>
      <c r="BZ4702" s="34"/>
      <c r="CD4702" s="34"/>
    </row>
    <row r="4703" spans="70:82" x14ac:dyDescent="0.15">
      <c r="BR4703" s="34"/>
      <c r="BV4703" s="34"/>
      <c r="BZ4703" s="34"/>
      <c r="CD4703" s="34"/>
    </row>
    <row r="4704" spans="70:82" x14ac:dyDescent="0.15">
      <c r="BR4704" s="34"/>
      <c r="BV4704" s="34"/>
      <c r="BZ4704" s="34"/>
      <c r="CD4704" s="34"/>
    </row>
    <row r="4705" spans="70:82" x14ac:dyDescent="0.15">
      <c r="BR4705" s="34"/>
      <c r="BV4705" s="34"/>
      <c r="BZ4705" s="34"/>
      <c r="CD4705" s="34"/>
    </row>
    <row r="4706" spans="70:82" x14ac:dyDescent="0.15">
      <c r="BR4706" s="34"/>
      <c r="BV4706" s="34"/>
      <c r="BZ4706" s="34"/>
      <c r="CD4706" s="34"/>
    </row>
    <row r="4707" spans="70:82" x14ac:dyDescent="0.15">
      <c r="BR4707" s="34"/>
      <c r="BV4707" s="34"/>
      <c r="BZ4707" s="34"/>
      <c r="CD4707" s="34"/>
    </row>
    <row r="4708" spans="70:82" x14ac:dyDescent="0.15">
      <c r="BR4708" s="34"/>
      <c r="BV4708" s="34"/>
      <c r="BZ4708" s="34"/>
      <c r="CD4708" s="34"/>
    </row>
    <row r="4709" spans="70:82" x14ac:dyDescent="0.15">
      <c r="BR4709" s="34"/>
      <c r="BV4709" s="34"/>
      <c r="BZ4709" s="34"/>
      <c r="CD4709" s="34"/>
    </row>
    <row r="4710" spans="70:82" x14ac:dyDescent="0.15">
      <c r="BR4710" s="34"/>
      <c r="BV4710" s="34"/>
      <c r="BZ4710" s="34"/>
      <c r="CD4710" s="34"/>
    </row>
    <row r="4711" spans="70:82" x14ac:dyDescent="0.15">
      <c r="BR4711" s="34"/>
      <c r="BV4711" s="34"/>
      <c r="BZ4711" s="34"/>
      <c r="CD4711" s="34"/>
    </row>
    <row r="4712" spans="70:82" x14ac:dyDescent="0.15">
      <c r="BR4712" s="34"/>
      <c r="BV4712" s="34"/>
      <c r="BZ4712" s="34"/>
      <c r="CD4712" s="34"/>
    </row>
    <row r="4713" spans="70:82" x14ac:dyDescent="0.15">
      <c r="BR4713" s="34"/>
      <c r="BV4713" s="34"/>
      <c r="BZ4713" s="34"/>
      <c r="CD4713" s="34"/>
    </row>
    <row r="4714" spans="70:82" x14ac:dyDescent="0.15">
      <c r="BR4714" s="34"/>
      <c r="BV4714" s="34"/>
      <c r="BZ4714" s="34"/>
      <c r="CD4714" s="34"/>
    </row>
    <row r="4715" spans="70:82" x14ac:dyDescent="0.15">
      <c r="BR4715" s="34"/>
      <c r="BV4715" s="34"/>
      <c r="BZ4715" s="34"/>
      <c r="CD4715" s="34"/>
    </row>
    <row r="4716" spans="70:82" x14ac:dyDescent="0.15">
      <c r="BR4716" s="34"/>
      <c r="BV4716" s="34"/>
      <c r="BZ4716" s="34"/>
      <c r="CD4716" s="34"/>
    </row>
    <row r="4717" spans="70:82" x14ac:dyDescent="0.15">
      <c r="BR4717" s="34"/>
      <c r="BV4717" s="34"/>
      <c r="BZ4717" s="34"/>
      <c r="CD4717" s="34"/>
    </row>
    <row r="4718" spans="70:82" x14ac:dyDescent="0.15">
      <c r="BR4718" s="34"/>
      <c r="BV4718" s="34"/>
      <c r="BZ4718" s="34"/>
      <c r="CD4718" s="34"/>
    </row>
    <row r="4719" spans="70:82" x14ac:dyDescent="0.15">
      <c r="BR4719" s="34"/>
      <c r="BV4719" s="34"/>
      <c r="BZ4719" s="34"/>
      <c r="CD4719" s="34"/>
    </row>
    <row r="4720" spans="70:82" x14ac:dyDescent="0.15">
      <c r="BR4720" s="34"/>
      <c r="BV4720" s="34"/>
      <c r="BZ4720" s="34"/>
      <c r="CD4720" s="34"/>
    </row>
    <row r="4721" spans="70:82" x14ac:dyDescent="0.15">
      <c r="BR4721" s="34"/>
      <c r="BV4721" s="34"/>
      <c r="BZ4721" s="34"/>
      <c r="CD4721" s="34"/>
    </row>
    <row r="4722" spans="70:82" x14ac:dyDescent="0.15">
      <c r="BR4722" s="34"/>
      <c r="BV4722" s="34"/>
      <c r="BZ4722" s="34"/>
      <c r="CD4722" s="34"/>
    </row>
    <row r="4723" spans="70:82" x14ac:dyDescent="0.15">
      <c r="BR4723" s="34"/>
      <c r="BV4723" s="34"/>
      <c r="BZ4723" s="34"/>
      <c r="CD4723" s="34"/>
    </row>
    <row r="4724" spans="70:82" x14ac:dyDescent="0.15">
      <c r="BR4724" s="34"/>
      <c r="BV4724" s="34"/>
      <c r="BZ4724" s="34"/>
      <c r="CD4724" s="34"/>
    </row>
    <row r="4725" spans="70:82" x14ac:dyDescent="0.15">
      <c r="BR4725" s="34"/>
      <c r="BV4725" s="34"/>
      <c r="BZ4725" s="34"/>
      <c r="CD4725" s="34"/>
    </row>
    <row r="4726" spans="70:82" x14ac:dyDescent="0.15">
      <c r="BR4726" s="34"/>
      <c r="BV4726" s="34"/>
      <c r="BZ4726" s="34"/>
      <c r="CD4726" s="34"/>
    </row>
    <row r="4727" spans="70:82" x14ac:dyDescent="0.15">
      <c r="BR4727" s="34"/>
      <c r="BV4727" s="34"/>
      <c r="BZ4727" s="34"/>
      <c r="CD4727" s="34"/>
    </row>
    <row r="4728" spans="70:82" x14ac:dyDescent="0.15">
      <c r="BR4728" s="34"/>
      <c r="BV4728" s="34"/>
      <c r="BZ4728" s="34"/>
      <c r="CD4728" s="34"/>
    </row>
    <row r="4729" spans="70:82" x14ac:dyDescent="0.15">
      <c r="BR4729" s="34"/>
      <c r="BV4729" s="34"/>
      <c r="BZ4729" s="34"/>
      <c r="CD4729" s="34"/>
    </row>
    <row r="4730" spans="70:82" x14ac:dyDescent="0.15">
      <c r="BR4730" s="34"/>
      <c r="BV4730" s="34"/>
      <c r="BZ4730" s="34"/>
      <c r="CD4730" s="34"/>
    </row>
    <row r="4731" spans="70:82" x14ac:dyDescent="0.15">
      <c r="BR4731" s="34"/>
      <c r="BV4731" s="34"/>
      <c r="BZ4731" s="34"/>
      <c r="CD4731" s="34"/>
    </row>
    <row r="4732" spans="70:82" x14ac:dyDescent="0.15">
      <c r="BR4732" s="34"/>
      <c r="BV4732" s="34"/>
      <c r="BZ4732" s="34"/>
      <c r="CD4732" s="34"/>
    </row>
    <row r="4733" spans="70:82" x14ac:dyDescent="0.15">
      <c r="BR4733" s="34"/>
      <c r="BV4733" s="34"/>
      <c r="BZ4733" s="34"/>
      <c r="CD4733" s="34"/>
    </row>
    <row r="4734" spans="70:82" x14ac:dyDescent="0.15">
      <c r="BR4734" s="34"/>
      <c r="BV4734" s="34"/>
      <c r="BZ4734" s="34"/>
      <c r="CD4734" s="34"/>
    </row>
    <row r="4735" spans="70:82" x14ac:dyDescent="0.15">
      <c r="BR4735" s="34"/>
      <c r="BV4735" s="34"/>
      <c r="BZ4735" s="34"/>
      <c r="CD4735" s="34"/>
    </row>
    <row r="4736" spans="70:82" x14ac:dyDescent="0.15">
      <c r="BR4736" s="34"/>
      <c r="BV4736" s="34"/>
      <c r="BZ4736" s="34"/>
      <c r="CD4736" s="34"/>
    </row>
    <row r="4737" spans="70:82" x14ac:dyDescent="0.15">
      <c r="BR4737" s="34"/>
      <c r="BV4737" s="34"/>
      <c r="BZ4737" s="34"/>
      <c r="CD4737" s="34"/>
    </row>
    <row r="4738" spans="70:82" x14ac:dyDescent="0.15">
      <c r="BR4738" s="34"/>
      <c r="BV4738" s="34"/>
      <c r="BZ4738" s="34"/>
      <c r="CD4738" s="34"/>
    </row>
    <row r="4739" spans="70:82" x14ac:dyDescent="0.15">
      <c r="BR4739" s="34"/>
      <c r="BV4739" s="34"/>
      <c r="BZ4739" s="34"/>
      <c r="CD4739" s="34"/>
    </row>
    <row r="4740" spans="70:82" x14ac:dyDescent="0.15">
      <c r="BR4740" s="34"/>
      <c r="BV4740" s="34"/>
      <c r="BZ4740" s="34"/>
      <c r="CD4740" s="34"/>
    </row>
    <row r="4741" spans="70:82" x14ac:dyDescent="0.15">
      <c r="BR4741" s="34"/>
      <c r="BV4741" s="34"/>
      <c r="BZ4741" s="34"/>
      <c r="CD4741" s="34"/>
    </row>
    <row r="4742" spans="70:82" x14ac:dyDescent="0.15">
      <c r="BR4742" s="34"/>
      <c r="BV4742" s="34"/>
      <c r="BZ4742" s="34"/>
      <c r="CD4742" s="34"/>
    </row>
    <row r="4743" spans="70:82" x14ac:dyDescent="0.15">
      <c r="BR4743" s="34"/>
      <c r="BV4743" s="34"/>
      <c r="BZ4743" s="34"/>
      <c r="CD4743" s="34"/>
    </row>
    <row r="4744" spans="70:82" x14ac:dyDescent="0.15">
      <c r="BR4744" s="34"/>
      <c r="BV4744" s="34"/>
      <c r="BZ4744" s="34"/>
      <c r="CD4744" s="34"/>
    </row>
    <row r="4745" spans="70:82" x14ac:dyDescent="0.15">
      <c r="BR4745" s="34"/>
      <c r="BV4745" s="34"/>
      <c r="BZ4745" s="34"/>
      <c r="CD4745" s="34"/>
    </row>
    <row r="4746" spans="70:82" x14ac:dyDescent="0.15">
      <c r="BR4746" s="34"/>
      <c r="BV4746" s="34"/>
      <c r="BZ4746" s="34"/>
      <c r="CD4746" s="34"/>
    </row>
    <row r="4747" spans="70:82" x14ac:dyDescent="0.15">
      <c r="BR4747" s="34"/>
      <c r="BV4747" s="34"/>
      <c r="BZ4747" s="34"/>
      <c r="CD4747" s="34"/>
    </row>
    <row r="4748" spans="70:82" x14ac:dyDescent="0.15">
      <c r="BR4748" s="34"/>
      <c r="BV4748" s="34"/>
      <c r="BZ4748" s="34"/>
      <c r="CD4748" s="34"/>
    </row>
    <row r="4749" spans="70:82" x14ac:dyDescent="0.15">
      <c r="BR4749" s="34"/>
      <c r="BV4749" s="34"/>
      <c r="BZ4749" s="34"/>
      <c r="CD4749" s="34"/>
    </row>
    <row r="4750" spans="70:82" x14ac:dyDescent="0.15">
      <c r="BR4750" s="34"/>
      <c r="BV4750" s="34"/>
      <c r="BZ4750" s="34"/>
      <c r="CD4750" s="34"/>
    </row>
    <row r="4751" spans="70:82" x14ac:dyDescent="0.15">
      <c r="BR4751" s="34"/>
      <c r="BV4751" s="34"/>
      <c r="BZ4751" s="34"/>
      <c r="CD4751" s="34"/>
    </row>
    <row r="4752" spans="70:82" x14ac:dyDescent="0.15">
      <c r="BR4752" s="34"/>
      <c r="BV4752" s="34"/>
      <c r="BZ4752" s="34"/>
      <c r="CD4752" s="34"/>
    </row>
    <row r="4753" spans="70:82" x14ac:dyDescent="0.15">
      <c r="BR4753" s="34"/>
      <c r="BV4753" s="34"/>
      <c r="BZ4753" s="34"/>
      <c r="CD4753" s="34"/>
    </row>
    <row r="4754" spans="70:82" x14ac:dyDescent="0.15">
      <c r="BR4754" s="34"/>
      <c r="BV4754" s="34"/>
      <c r="BZ4754" s="34"/>
      <c r="CD4754" s="34"/>
    </row>
    <row r="4755" spans="70:82" x14ac:dyDescent="0.15">
      <c r="BR4755" s="34"/>
      <c r="BV4755" s="34"/>
      <c r="BZ4755" s="34"/>
      <c r="CD4755" s="34"/>
    </row>
    <row r="4756" spans="70:82" x14ac:dyDescent="0.15">
      <c r="BR4756" s="34"/>
      <c r="BV4756" s="34"/>
      <c r="BZ4756" s="34"/>
      <c r="CD4756" s="34"/>
    </row>
    <row r="4757" spans="70:82" x14ac:dyDescent="0.15">
      <c r="BR4757" s="34"/>
      <c r="BV4757" s="34"/>
      <c r="BZ4757" s="34"/>
      <c r="CD4757" s="34"/>
    </row>
    <row r="4758" spans="70:82" x14ac:dyDescent="0.15">
      <c r="BR4758" s="34"/>
      <c r="BV4758" s="34"/>
      <c r="BZ4758" s="34"/>
      <c r="CD4758" s="34"/>
    </row>
    <row r="4759" spans="70:82" x14ac:dyDescent="0.15">
      <c r="BR4759" s="34"/>
      <c r="BV4759" s="34"/>
      <c r="BZ4759" s="34"/>
      <c r="CD4759" s="34"/>
    </row>
    <row r="4760" spans="70:82" x14ac:dyDescent="0.15">
      <c r="BR4760" s="34"/>
      <c r="BV4760" s="34"/>
      <c r="BZ4760" s="34"/>
      <c r="CD4760" s="34"/>
    </row>
    <row r="4761" spans="70:82" x14ac:dyDescent="0.15">
      <c r="BR4761" s="34"/>
      <c r="BV4761" s="34"/>
      <c r="BZ4761" s="34"/>
      <c r="CD4761" s="34"/>
    </row>
    <row r="4762" spans="70:82" x14ac:dyDescent="0.15">
      <c r="BR4762" s="34"/>
      <c r="BV4762" s="34"/>
      <c r="BZ4762" s="34"/>
      <c r="CD4762" s="34"/>
    </row>
    <row r="4763" spans="70:82" x14ac:dyDescent="0.15">
      <c r="BR4763" s="34"/>
      <c r="BV4763" s="34"/>
      <c r="BZ4763" s="34"/>
      <c r="CD4763" s="34"/>
    </row>
    <row r="4764" spans="70:82" x14ac:dyDescent="0.15">
      <c r="BR4764" s="34"/>
      <c r="BV4764" s="34"/>
      <c r="BZ4764" s="34"/>
      <c r="CD4764" s="34"/>
    </row>
    <row r="4765" spans="70:82" x14ac:dyDescent="0.15">
      <c r="BR4765" s="34"/>
      <c r="BV4765" s="34"/>
      <c r="BZ4765" s="34"/>
      <c r="CD4765" s="34"/>
    </row>
    <row r="4766" spans="70:82" x14ac:dyDescent="0.15">
      <c r="BR4766" s="34"/>
      <c r="BV4766" s="34"/>
      <c r="BZ4766" s="34"/>
      <c r="CD4766" s="34"/>
    </row>
    <row r="4767" spans="70:82" x14ac:dyDescent="0.15">
      <c r="BR4767" s="34"/>
      <c r="BV4767" s="34"/>
      <c r="BZ4767" s="34"/>
      <c r="CD4767" s="34"/>
    </row>
    <row r="4768" spans="70:82" x14ac:dyDescent="0.15">
      <c r="BR4768" s="34"/>
      <c r="BV4768" s="34"/>
      <c r="BZ4768" s="34"/>
      <c r="CD4768" s="34"/>
    </row>
    <row r="4769" spans="70:82" x14ac:dyDescent="0.15">
      <c r="BR4769" s="34"/>
      <c r="BV4769" s="34"/>
      <c r="BZ4769" s="34"/>
      <c r="CD4769" s="34"/>
    </row>
    <row r="4770" spans="70:82" x14ac:dyDescent="0.15">
      <c r="BR4770" s="34"/>
      <c r="BV4770" s="34"/>
      <c r="BZ4770" s="34"/>
      <c r="CD4770" s="34"/>
    </row>
    <row r="4771" spans="70:82" x14ac:dyDescent="0.15">
      <c r="BR4771" s="34"/>
      <c r="BV4771" s="34"/>
      <c r="BZ4771" s="34"/>
      <c r="CD4771" s="34"/>
    </row>
    <row r="4772" spans="70:82" x14ac:dyDescent="0.15">
      <c r="BR4772" s="34"/>
      <c r="BV4772" s="34"/>
      <c r="BZ4772" s="34"/>
      <c r="CD4772" s="34"/>
    </row>
    <row r="4773" spans="70:82" x14ac:dyDescent="0.15">
      <c r="BR4773" s="34"/>
      <c r="BV4773" s="34"/>
      <c r="BZ4773" s="34"/>
      <c r="CD4773" s="34"/>
    </row>
    <row r="4774" spans="70:82" x14ac:dyDescent="0.15">
      <c r="BR4774" s="34"/>
      <c r="BV4774" s="34"/>
      <c r="BZ4774" s="34"/>
      <c r="CD4774" s="34"/>
    </row>
    <row r="4775" spans="70:82" x14ac:dyDescent="0.15">
      <c r="BR4775" s="34"/>
      <c r="BV4775" s="34"/>
      <c r="BZ4775" s="34"/>
      <c r="CD4775" s="34"/>
    </row>
    <row r="4776" spans="70:82" x14ac:dyDescent="0.15">
      <c r="BR4776" s="34"/>
      <c r="BV4776" s="34"/>
      <c r="BZ4776" s="34"/>
      <c r="CD4776" s="34"/>
    </row>
    <row r="4777" spans="70:82" x14ac:dyDescent="0.15">
      <c r="BR4777" s="34"/>
      <c r="BV4777" s="34"/>
      <c r="BZ4777" s="34"/>
      <c r="CD4777" s="34"/>
    </row>
    <row r="4778" spans="70:82" x14ac:dyDescent="0.15">
      <c r="BR4778" s="34"/>
      <c r="BV4778" s="34"/>
      <c r="BZ4778" s="34"/>
      <c r="CD4778" s="34"/>
    </row>
    <row r="4779" spans="70:82" x14ac:dyDescent="0.15">
      <c r="BR4779" s="34"/>
      <c r="BV4779" s="34"/>
      <c r="BZ4779" s="34"/>
      <c r="CD4779" s="34"/>
    </row>
    <row r="4780" spans="70:82" x14ac:dyDescent="0.15">
      <c r="BR4780" s="34"/>
      <c r="BV4780" s="34"/>
      <c r="BZ4780" s="34"/>
      <c r="CD4780" s="34"/>
    </row>
    <row r="4781" spans="70:82" x14ac:dyDescent="0.15">
      <c r="BR4781" s="34"/>
      <c r="BV4781" s="34"/>
      <c r="BZ4781" s="34"/>
      <c r="CD4781" s="34"/>
    </row>
    <row r="4782" spans="70:82" x14ac:dyDescent="0.15">
      <c r="BR4782" s="34"/>
      <c r="BV4782" s="34"/>
      <c r="BZ4782" s="34"/>
      <c r="CD4782" s="34"/>
    </row>
    <row r="4783" spans="70:82" x14ac:dyDescent="0.15">
      <c r="BR4783" s="34"/>
      <c r="BV4783" s="34"/>
      <c r="BZ4783" s="34"/>
      <c r="CD4783" s="34"/>
    </row>
    <row r="4784" spans="70:82" x14ac:dyDescent="0.15">
      <c r="BR4784" s="34"/>
      <c r="BV4784" s="34"/>
      <c r="BZ4784" s="34"/>
      <c r="CD4784" s="34"/>
    </row>
    <row r="4785" spans="70:82" x14ac:dyDescent="0.15">
      <c r="BR4785" s="34"/>
      <c r="BV4785" s="34"/>
      <c r="BZ4785" s="34"/>
      <c r="CD4785" s="34"/>
    </row>
    <row r="4786" spans="70:82" x14ac:dyDescent="0.15">
      <c r="BR4786" s="34"/>
      <c r="BV4786" s="34"/>
      <c r="BZ4786" s="34"/>
      <c r="CD4786" s="34"/>
    </row>
    <row r="4787" spans="70:82" x14ac:dyDescent="0.15">
      <c r="BR4787" s="34"/>
      <c r="BV4787" s="34"/>
      <c r="BZ4787" s="34"/>
      <c r="CD4787" s="34"/>
    </row>
    <row r="4788" spans="70:82" x14ac:dyDescent="0.15">
      <c r="BR4788" s="34"/>
      <c r="BV4788" s="34"/>
      <c r="BZ4788" s="34"/>
      <c r="CD4788" s="34"/>
    </row>
    <row r="4789" spans="70:82" x14ac:dyDescent="0.15">
      <c r="BR4789" s="34"/>
      <c r="BV4789" s="34"/>
      <c r="BZ4789" s="34"/>
      <c r="CD4789" s="34"/>
    </row>
    <row r="4790" spans="70:82" x14ac:dyDescent="0.15">
      <c r="BR4790" s="34"/>
      <c r="BV4790" s="34"/>
      <c r="BZ4790" s="34"/>
      <c r="CD4790" s="34"/>
    </row>
    <row r="4791" spans="70:82" x14ac:dyDescent="0.15">
      <c r="BR4791" s="34"/>
      <c r="BV4791" s="34"/>
      <c r="BZ4791" s="34"/>
      <c r="CD4791" s="34"/>
    </row>
    <row r="4792" spans="70:82" x14ac:dyDescent="0.15">
      <c r="BR4792" s="34"/>
      <c r="BV4792" s="34"/>
      <c r="BZ4792" s="34"/>
      <c r="CD4792" s="34"/>
    </row>
    <row r="4793" spans="70:82" x14ac:dyDescent="0.15">
      <c r="BR4793" s="34"/>
      <c r="BV4793" s="34"/>
      <c r="BZ4793" s="34"/>
      <c r="CD4793" s="34"/>
    </row>
    <row r="4794" spans="70:82" x14ac:dyDescent="0.15">
      <c r="BR4794" s="34"/>
      <c r="BV4794" s="34"/>
      <c r="BZ4794" s="34"/>
      <c r="CD4794" s="34"/>
    </row>
    <row r="4795" spans="70:82" x14ac:dyDescent="0.15">
      <c r="BR4795" s="34"/>
      <c r="BV4795" s="34"/>
      <c r="BZ4795" s="34"/>
      <c r="CD4795" s="34"/>
    </row>
    <row r="4796" spans="70:82" x14ac:dyDescent="0.15">
      <c r="BR4796" s="34"/>
      <c r="BV4796" s="34"/>
      <c r="BZ4796" s="34"/>
      <c r="CD4796" s="34"/>
    </row>
    <row r="4797" spans="70:82" x14ac:dyDescent="0.15">
      <c r="BR4797" s="34"/>
      <c r="BV4797" s="34"/>
      <c r="BZ4797" s="34"/>
      <c r="CD4797" s="34"/>
    </row>
    <row r="4798" spans="70:82" x14ac:dyDescent="0.15">
      <c r="BR4798" s="34"/>
      <c r="BV4798" s="34"/>
      <c r="BZ4798" s="34"/>
      <c r="CD4798" s="34"/>
    </row>
    <row r="4799" spans="70:82" x14ac:dyDescent="0.15">
      <c r="BR4799" s="34"/>
      <c r="BV4799" s="34"/>
      <c r="BZ4799" s="34"/>
      <c r="CD4799" s="34"/>
    </row>
    <row r="4800" spans="70:82" x14ac:dyDescent="0.15">
      <c r="BR4800" s="34"/>
      <c r="BV4800" s="34"/>
      <c r="BZ4800" s="34"/>
      <c r="CD4800" s="34"/>
    </row>
    <row r="4801" spans="70:82" x14ac:dyDescent="0.15">
      <c r="BR4801" s="34"/>
      <c r="BV4801" s="34"/>
      <c r="BZ4801" s="34"/>
      <c r="CD4801" s="34"/>
    </row>
    <row r="4802" spans="70:82" x14ac:dyDescent="0.15">
      <c r="BR4802" s="34"/>
      <c r="BV4802" s="34"/>
      <c r="BZ4802" s="34"/>
      <c r="CD4802" s="34"/>
    </row>
    <row r="4803" spans="70:82" x14ac:dyDescent="0.15">
      <c r="BR4803" s="34"/>
      <c r="BV4803" s="34"/>
      <c r="BZ4803" s="34"/>
      <c r="CD4803" s="34"/>
    </row>
    <row r="4804" spans="70:82" x14ac:dyDescent="0.15">
      <c r="BR4804" s="34"/>
      <c r="BV4804" s="34"/>
      <c r="BZ4804" s="34"/>
      <c r="CD4804" s="34"/>
    </row>
    <row r="4805" spans="70:82" x14ac:dyDescent="0.15">
      <c r="BR4805" s="34"/>
      <c r="BV4805" s="34"/>
      <c r="BZ4805" s="34"/>
      <c r="CD4805" s="34"/>
    </row>
    <row r="4806" spans="70:82" x14ac:dyDescent="0.15">
      <c r="BR4806" s="34"/>
      <c r="BV4806" s="34"/>
      <c r="BZ4806" s="34"/>
      <c r="CD4806" s="34"/>
    </row>
    <row r="4807" spans="70:82" x14ac:dyDescent="0.15">
      <c r="BR4807" s="34"/>
      <c r="BV4807" s="34"/>
      <c r="BZ4807" s="34"/>
      <c r="CD4807" s="34"/>
    </row>
    <row r="4808" spans="70:82" x14ac:dyDescent="0.15">
      <c r="BR4808" s="34"/>
      <c r="BV4808" s="34"/>
      <c r="BZ4808" s="34"/>
      <c r="CD4808" s="34"/>
    </row>
    <row r="4809" spans="70:82" x14ac:dyDescent="0.15">
      <c r="BR4809" s="34"/>
      <c r="BV4809" s="34"/>
      <c r="BZ4809" s="34"/>
      <c r="CD4809" s="34"/>
    </row>
    <row r="4810" spans="70:82" x14ac:dyDescent="0.15">
      <c r="BR4810" s="34"/>
      <c r="BV4810" s="34"/>
      <c r="BZ4810" s="34"/>
      <c r="CD4810" s="34"/>
    </row>
    <row r="4811" spans="70:82" x14ac:dyDescent="0.15">
      <c r="BR4811" s="34"/>
      <c r="BV4811" s="34"/>
      <c r="BZ4811" s="34"/>
      <c r="CD4811" s="34"/>
    </row>
    <row r="4812" spans="70:82" x14ac:dyDescent="0.15">
      <c r="BR4812" s="34"/>
      <c r="BV4812" s="34"/>
      <c r="BZ4812" s="34"/>
      <c r="CD4812" s="34"/>
    </row>
    <row r="4813" spans="70:82" x14ac:dyDescent="0.15">
      <c r="BR4813" s="34"/>
      <c r="BV4813" s="34"/>
      <c r="BZ4813" s="34"/>
      <c r="CD4813" s="34"/>
    </row>
    <row r="4814" spans="70:82" x14ac:dyDescent="0.15">
      <c r="BR4814" s="34"/>
      <c r="BV4814" s="34"/>
      <c r="BZ4814" s="34"/>
      <c r="CD4814" s="34"/>
    </row>
    <row r="4815" spans="70:82" x14ac:dyDescent="0.15">
      <c r="BR4815" s="34"/>
      <c r="BV4815" s="34"/>
      <c r="BZ4815" s="34"/>
      <c r="CD4815" s="34"/>
    </row>
    <row r="4816" spans="70:82" x14ac:dyDescent="0.15">
      <c r="BR4816" s="34"/>
      <c r="BV4816" s="34"/>
      <c r="BZ4816" s="34"/>
      <c r="CD4816" s="34"/>
    </row>
    <row r="4817" spans="70:82" x14ac:dyDescent="0.15">
      <c r="BR4817" s="34"/>
      <c r="BV4817" s="34"/>
      <c r="BZ4817" s="34"/>
      <c r="CD4817" s="34"/>
    </row>
    <row r="4818" spans="70:82" x14ac:dyDescent="0.15">
      <c r="BR4818" s="34"/>
      <c r="BV4818" s="34"/>
      <c r="BZ4818" s="34"/>
      <c r="CD4818" s="34"/>
    </row>
    <row r="4819" spans="70:82" x14ac:dyDescent="0.15">
      <c r="BR4819" s="34"/>
      <c r="BV4819" s="34"/>
      <c r="BZ4819" s="34"/>
      <c r="CD4819" s="34"/>
    </row>
    <row r="4820" spans="70:82" x14ac:dyDescent="0.15">
      <c r="BR4820" s="34"/>
      <c r="BV4820" s="34"/>
      <c r="BZ4820" s="34"/>
      <c r="CD4820" s="34"/>
    </row>
    <row r="4821" spans="70:82" x14ac:dyDescent="0.15">
      <c r="BR4821" s="34"/>
      <c r="BV4821" s="34"/>
      <c r="BZ4821" s="34"/>
      <c r="CD4821" s="34"/>
    </row>
    <row r="4822" spans="70:82" x14ac:dyDescent="0.15">
      <c r="BR4822" s="34"/>
      <c r="BV4822" s="34"/>
      <c r="BZ4822" s="34"/>
      <c r="CD4822" s="34"/>
    </row>
    <row r="4823" spans="70:82" x14ac:dyDescent="0.15">
      <c r="BR4823" s="34"/>
      <c r="BV4823" s="34"/>
      <c r="BZ4823" s="34"/>
      <c r="CD4823" s="34"/>
    </row>
    <row r="4824" spans="70:82" x14ac:dyDescent="0.15">
      <c r="BR4824" s="34"/>
      <c r="BV4824" s="34"/>
      <c r="BZ4824" s="34"/>
      <c r="CD4824" s="34"/>
    </row>
    <row r="4825" spans="70:82" x14ac:dyDescent="0.15">
      <c r="BR4825" s="34"/>
      <c r="BV4825" s="34"/>
      <c r="BZ4825" s="34"/>
      <c r="CD4825" s="34"/>
    </row>
    <row r="4826" spans="70:82" x14ac:dyDescent="0.15">
      <c r="BR4826" s="34"/>
      <c r="BV4826" s="34"/>
      <c r="BZ4826" s="34"/>
      <c r="CD4826" s="34"/>
    </row>
    <row r="4827" spans="70:82" x14ac:dyDescent="0.15">
      <c r="BR4827" s="34"/>
      <c r="BV4827" s="34"/>
      <c r="BZ4827" s="34"/>
      <c r="CD4827" s="34"/>
    </row>
    <row r="4828" spans="70:82" x14ac:dyDescent="0.15">
      <c r="BR4828" s="34"/>
      <c r="BV4828" s="34"/>
      <c r="BZ4828" s="34"/>
      <c r="CD4828" s="34"/>
    </row>
    <row r="4829" spans="70:82" x14ac:dyDescent="0.15">
      <c r="BR4829" s="34"/>
      <c r="BV4829" s="34"/>
      <c r="BZ4829" s="34"/>
      <c r="CD4829" s="34"/>
    </row>
    <row r="4830" spans="70:82" x14ac:dyDescent="0.15">
      <c r="BR4830" s="34"/>
      <c r="BV4830" s="34"/>
      <c r="BZ4830" s="34"/>
      <c r="CD4830" s="34"/>
    </row>
    <row r="4831" spans="70:82" x14ac:dyDescent="0.15">
      <c r="BR4831" s="34"/>
      <c r="BV4831" s="34"/>
      <c r="BZ4831" s="34"/>
      <c r="CD4831" s="34"/>
    </row>
    <row r="4832" spans="70:82" x14ac:dyDescent="0.15">
      <c r="BR4832" s="34"/>
      <c r="BV4832" s="34"/>
      <c r="BZ4832" s="34"/>
      <c r="CD4832" s="34"/>
    </row>
    <row r="4833" spans="70:82" x14ac:dyDescent="0.15">
      <c r="BR4833" s="34"/>
      <c r="BV4833" s="34"/>
      <c r="BZ4833" s="34"/>
      <c r="CD4833" s="34"/>
    </row>
    <row r="4834" spans="70:82" x14ac:dyDescent="0.15">
      <c r="BR4834" s="34"/>
      <c r="BV4834" s="34"/>
      <c r="BZ4834" s="34"/>
      <c r="CD4834" s="34"/>
    </row>
    <row r="4835" spans="70:82" x14ac:dyDescent="0.15">
      <c r="BR4835" s="34"/>
      <c r="BV4835" s="34"/>
      <c r="BZ4835" s="34"/>
      <c r="CD4835" s="34"/>
    </row>
    <row r="4836" spans="70:82" x14ac:dyDescent="0.15">
      <c r="BR4836" s="34"/>
      <c r="BV4836" s="34"/>
      <c r="BZ4836" s="34"/>
      <c r="CD4836" s="34"/>
    </row>
    <row r="4837" spans="70:82" x14ac:dyDescent="0.15">
      <c r="BR4837" s="34"/>
      <c r="BV4837" s="34"/>
      <c r="BZ4837" s="34"/>
      <c r="CD4837" s="34"/>
    </row>
    <row r="4838" spans="70:82" x14ac:dyDescent="0.15">
      <c r="BR4838" s="34"/>
      <c r="BV4838" s="34"/>
      <c r="BZ4838" s="34"/>
      <c r="CD4838" s="34"/>
    </row>
    <row r="4839" spans="70:82" x14ac:dyDescent="0.15">
      <c r="BR4839" s="34"/>
      <c r="BV4839" s="34"/>
      <c r="BZ4839" s="34"/>
      <c r="CD4839" s="34"/>
    </row>
    <row r="4840" spans="70:82" x14ac:dyDescent="0.15">
      <c r="BR4840" s="34"/>
      <c r="BV4840" s="34"/>
      <c r="BZ4840" s="34"/>
      <c r="CD4840" s="34"/>
    </row>
    <row r="4841" spans="70:82" x14ac:dyDescent="0.15">
      <c r="BR4841" s="34"/>
      <c r="BV4841" s="34"/>
      <c r="BZ4841" s="34"/>
      <c r="CD4841" s="34"/>
    </row>
    <row r="4842" spans="70:82" x14ac:dyDescent="0.15">
      <c r="BR4842" s="34"/>
      <c r="BV4842" s="34"/>
      <c r="BZ4842" s="34"/>
      <c r="CD4842" s="34"/>
    </row>
    <row r="4843" spans="70:82" x14ac:dyDescent="0.15">
      <c r="BR4843" s="34"/>
      <c r="BV4843" s="34"/>
      <c r="BZ4843" s="34"/>
      <c r="CD4843" s="34"/>
    </row>
    <row r="4844" spans="70:82" x14ac:dyDescent="0.15">
      <c r="BR4844" s="34"/>
      <c r="BV4844" s="34"/>
      <c r="BZ4844" s="34"/>
      <c r="CD4844" s="34"/>
    </row>
    <row r="4845" spans="70:82" x14ac:dyDescent="0.15">
      <c r="BR4845" s="34"/>
      <c r="BV4845" s="34"/>
      <c r="BZ4845" s="34"/>
      <c r="CD4845" s="34"/>
    </row>
    <row r="4846" spans="70:82" x14ac:dyDescent="0.15">
      <c r="BR4846" s="34"/>
      <c r="BV4846" s="34"/>
      <c r="BZ4846" s="34"/>
      <c r="CD4846" s="34"/>
    </row>
    <row r="4847" spans="70:82" x14ac:dyDescent="0.15">
      <c r="BR4847" s="34"/>
      <c r="BV4847" s="34"/>
      <c r="BZ4847" s="34"/>
      <c r="CD4847" s="34"/>
    </row>
    <row r="4848" spans="70:82" x14ac:dyDescent="0.15">
      <c r="BR4848" s="34"/>
      <c r="BV4848" s="34"/>
      <c r="BZ4848" s="34"/>
      <c r="CD4848" s="34"/>
    </row>
    <row r="4849" spans="70:82" x14ac:dyDescent="0.15">
      <c r="BR4849" s="34"/>
      <c r="BV4849" s="34"/>
      <c r="BZ4849" s="34"/>
      <c r="CD4849" s="34"/>
    </row>
    <row r="4850" spans="70:82" x14ac:dyDescent="0.15">
      <c r="BR4850" s="34"/>
      <c r="BV4850" s="34"/>
      <c r="BZ4850" s="34"/>
      <c r="CD4850" s="34"/>
    </row>
    <row r="4851" spans="70:82" x14ac:dyDescent="0.15">
      <c r="BR4851" s="34"/>
      <c r="BV4851" s="34"/>
      <c r="BZ4851" s="34"/>
      <c r="CD4851" s="34"/>
    </row>
    <row r="4852" spans="70:82" x14ac:dyDescent="0.15">
      <c r="BR4852" s="34"/>
      <c r="BV4852" s="34"/>
      <c r="BZ4852" s="34"/>
      <c r="CD4852" s="34"/>
    </row>
    <row r="4853" spans="70:82" x14ac:dyDescent="0.15">
      <c r="BR4853" s="34"/>
      <c r="BV4853" s="34"/>
      <c r="BZ4853" s="34"/>
      <c r="CD4853" s="34"/>
    </row>
    <row r="4854" spans="70:82" x14ac:dyDescent="0.15">
      <c r="BR4854" s="34"/>
      <c r="BV4854" s="34"/>
      <c r="BZ4854" s="34"/>
      <c r="CD4854" s="34"/>
    </row>
    <row r="4855" spans="70:82" x14ac:dyDescent="0.15">
      <c r="BR4855" s="34"/>
      <c r="BV4855" s="34"/>
      <c r="BZ4855" s="34"/>
      <c r="CD4855" s="34"/>
    </row>
    <row r="4856" spans="70:82" x14ac:dyDescent="0.15">
      <c r="BR4856" s="34"/>
      <c r="BV4856" s="34"/>
      <c r="BZ4856" s="34"/>
      <c r="CD4856" s="34"/>
    </row>
    <row r="4857" spans="70:82" x14ac:dyDescent="0.15">
      <c r="BR4857" s="34"/>
      <c r="BV4857" s="34"/>
      <c r="BZ4857" s="34"/>
      <c r="CD4857" s="34"/>
    </row>
    <row r="4858" spans="70:82" x14ac:dyDescent="0.15">
      <c r="BR4858" s="34"/>
      <c r="BV4858" s="34"/>
      <c r="BZ4858" s="34"/>
      <c r="CD4858" s="34"/>
    </row>
    <row r="4859" spans="70:82" x14ac:dyDescent="0.15">
      <c r="BR4859" s="34"/>
      <c r="BV4859" s="34"/>
      <c r="BZ4859" s="34"/>
      <c r="CD4859" s="34"/>
    </row>
    <row r="4860" spans="70:82" x14ac:dyDescent="0.15">
      <c r="BR4860" s="34"/>
      <c r="BV4860" s="34"/>
      <c r="BZ4860" s="34"/>
      <c r="CD4860" s="34"/>
    </row>
    <row r="4861" spans="70:82" x14ac:dyDescent="0.15">
      <c r="BR4861" s="34"/>
      <c r="BV4861" s="34"/>
      <c r="BZ4861" s="34"/>
      <c r="CD4861" s="34"/>
    </row>
    <row r="4862" spans="70:82" x14ac:dyDescent="0.15">
      <c r="BR4862" s="34"/>
      <c r="BV4862" s="34"/>
      <c r="BZ4862" s="34"/>
      <c r="CD4862" s="34"/>
    </row>
    <row r="4863" spans="70:82" x14ac:dyDescent="0.15">
      <c r="BR4863" s="34"/>
      <c r="BV4863" s="34"/>
      <c r="BZ4863" s="34"/>
      <c r="CD4863" s="34"/>
    </row>
    <row r="4864" spans="70:82" x14ac:dyDescent="0.15">
      <c r="BR4864" s="34"/>
      <c r="BV4864" s="34"/>
      <c r="BZ4864" s="34"/>
      <c r="CD4864" s="34"/>
    </row>
    <row r="4865" spans="70:82" x14ac:dyDescent="0.15">
      <c r="BR4865" s="34"/>
      <c r="BV4865" s="34"/>
      <c r="BZ4865" s="34"/>
      <c r="CD4865" s="34"/>
    </row>
    <row r="4866" spans="70:82" x14ac:dyDescent="0.15">
      <c r="BR4866" s="34"/>
      <c r="BV4866" s="34"/>
      <c r="BZ4866" s="34"/>
      <c r="CD4866" s="34"/>
    </row>
    <row r="4867" spans="70:82" x14ac:dyDescent="0.15">
      <c r="BR4867" s="34"/>
      <c r="BV4867" s="34"/>
      <c r="BZ4867" s="34"/>
      <c r="CD4867" s="34"/>
    </row>
    <row r="4868" spans="70:82" x14ac:dyDescent="0.15">
      <c r="BR4868" s="34"/>
      <c r="BV4868" s="34"/>
      <c r="BZ4868" s="34"/>
      <c r="CD4868" s="34"/>
    </row>
    <row r="4869" spans="70:82" x14ac:dyDescent="0.15">
      <c r="BR4869" s="34"/>
      <c r="BV4869" s="34"/>
      <c r="BZ4869" s="34"/>
      <c r="CD4869" s="34"/>
    </row>
    <row r="4870" spans="70:82" x14ac:dyDescent="0.15">
      <c r="BR4870" s="34"/>
      <c r="BV4870" s="34"/>
      <c r="BZ4870" s="34"/>
      <c r="CD4870" s="34"/>
    </row>
    <row r="4871" spans="70:82" x14ac:dyDescent="0.15">
      <c r="BR4871" s="34"/>
      <c r="BV4871" s="34"/>
      <c r="BZ4871" s="34"/>
      <c r="CD4871" s="34"/>
    </row>
    <row r="4872" spans="70:82" x14ac:dyDescent="0.15">
      <c r="BR4872" s="34"/>
      <c r="BV4872" s="34"/>
      <c r="BZ4872" s="34"/>
      <c r="CD4872" s="34"/>
    </row>
    <row r="4873" spans="70:82" x14ac:dyDescent="0.15">
      <c r="BR4873" s="34"/>
      <c r="BV4873" s="34"/>
      <c r="BZ4873" s="34"/>
      <c r="CD4873" s="34"/>
    </row>
    <row r="4874" spans="70:82" x14ac:dyDescent="0.15">
      <c r="BR4874" s="34"/>
      <c r="BV4874" s="34"/>
      <c r="BZ4874" s="34"/>
      <c r="CD4874" s="34"/>
    </row>
    <row r="4875" spans="70:82" x14ac:dyDescent="0.15">
      <c r="BR4875" s="34"/>
      <c r="BV4875" s="34"/>
      <c r="BZ4875" s="34"/>
      <c r="CD4875" s="34"/>
    </row>
    <row r="4876" spans="70:82" x14ac:dyDescent="0.15">
      <c r="BR4876" s="34"/>
      <c r="BV4876" s="34"/>
      <c r="BZ4876" s="34"/>
      <c r="CD4876" s="34"/>
    </row>
    <row r="4877" spans="70:82" x14ac:dyDescent="0.15">
      <c r="BR4877" s="34"/>
      <c r="BV4877" s="34"/>
      <c r="BZ4877" s="34"/>
      <c r="CD4877" s="34"/>
    </row>
    <row r="4878" spans="70:82" x14ac:dyDescent="0.15">
      <c r="BR4878" s="34"/>
      <c r="BV4878" s="34"/>
      <c r="BZ4878" s="34"/>
      <c r="CD4878" s="34"/>
    </row>
    <row r="4879" spans="70:82" x14ac:dyDescent="0.15">
      <c r="BR4879" s="34"/>
      <c r="BV4879" s="34"/>
      <c r="BZ4879" s="34"/>
      <c r="CD4879" s="34"/>
    </row>
    <row r="4880" spans="70:82" x14ac:dyDescent="0.15">
      <c r="BR4880" s="34"/>
      <c r="BV4880" s="34"/>
      <c r="BZ4880" s="34"/>
      <c r="CD4880" s="34"/>
    </row>
    <row r="4881" spans="70:82" x14ac:dyDescent="0.15">
      <c r="BR4881" s="34"/>
      <c r="BV4881" s="34"/>
      <c r="BZ4881" s="34"/>
      <c r="CD4881" s="34"/>
    </row>
    <row r="4882" spans="70:82" x14ac:dyDescent="0.15">
      <c r="BR4882" s="34"/>
      <c r="BV4882" s="34"/>
      <c r="BZ4882" s="34"/>
      <c r="CD4882" s="34"/>
    </row>
    <row r="4883" spans="70:82" x14ac:dyDescent="0.15">
      <c r="BR4883" s="34"/>
      <c r="BV4883" s="34"/>
      <c r="BZ4883" s="34"/>
      <c r="CD4883" s="34"/>
    </row>
    <row r="4884" spans="70:82" x14ac:dyDescent="0.15">
      <c r="BR4884" s="34"/>
      <c r="BV4884" s="34"/>
      <c r="BZ4884" s="34"/>
      <c r="CD4884" s="34"/>
    </row>
    <row r="4885" spans="70:82" x14ac:dyDescent="0.15">
      <c r="BR4885" s="34"/>
      <c r="BV4885" s="34"/>
      <c r="BZ4885" s="34"/>
      <c r="CD4885" s="34"/>
    </row>
    <row r="4886" spans="70:82" x14ac:dyDescent="0.15">
      <c r="BR4886" s="34"/>
      <c r="BV4886" s="34"/>
      <c r="BZ4886" s="34"/>
      <c r="CD4886" s="34"/>
    </row>
    <row r="4887" spans="70:82" x14ac:dyDescent="0.15">
      <c r="BR4887" s="34"/>
      <c r="BV4887" s="34"/>
      <c r="BZ4887" s="34"/>
      <c r="CD4887" s="34"/>
    </row>
    <row r="4888" spans="70:82" x14ac:dyDescent="0.15">
      <c r="BR4888" s="34"/>
      <c r="BV4888" s="34"/>
      <c r="BZ4888" s="34"/>
      <c r="CD4888" s="34"/>
    </row>
    <row r="4889" spans="70:82" x14ac:dyDescent="0.15">
      <c r="BR4889" s="34"/>
      <c r="BV4889" s="34"/>
      <c r="BZ4889" s="34"/>
      <c r="CD4889" s="34"/>
    </row>
    <row r="4890" spans="70:82" x14ac:dyDescent="0.15">
      <c r="BR4890" s="34"/>
      <c r="BV4890" s="34"/>
      <c r="BZ4890" s="34"/>
      <c r="CD4890" s="34"/>
    </row>
    <row r="4891" spans="70:82" x14ac:dyDescent="0.15">
      <c r="BR4891" s="34"/>
      <c r="BV4891" s="34"/>
      <c r="BZ4891" s="34"/>
      <c r="CD4891" s="34"/>
    </row>
    <row r="4892" spans="70:82" x14ac:dyDescent="0.15">
      <c r="BR4892" s="34"/>
      <c r="BV4892" s="34"/>
      <c r="BZ4892" s="34"/>
      <c r="CD4892" s="34"/>
    </row>
    <row r="4893" spans="70:82" x14ac:dyDescent="0.15">
      <c r="BR4893" s="34"/>
      <c r="BV4893" s="34"/>
      <c r="BZ4893" s="34"/>
      <c r="CD4893" s="34"/>
    </row>
    <row r="4894" spans="70:82" x14ac:dyDescent="0.15">
      <c r="BR4894" s="34"/>
      <c r="BV4894" s="34"/>
      <c r="BZ4894" s="34"/>
      <c r="CD4894" s="34"/>
    </row>
    <row r="4895" spans="70:82" x14ac:dyDescent="0.15">
      <c r="BR4895" s="34"/>
      <c r="BV4895" s="34"/>
      <c r="BZ4895" s="34"/>
      <c r="CD4895" s="34"/>
    </row>
    <row r="4896" spans="70:82" x14ac:dyDescent="0.15">
      <c r="BR4896" s="34"/>
      <c r="BV4896" s="34"/>
      <c r="BZ4896" s="34"/>
      <c r="CD4896" s="34"/>
    </row>
    <row r="4897" spans="70:82" x14ac:dyDescent="0.15">
      <c r="BR4897" s="34"/>
      <c r="BV4897" s="34"/>
      <c r="BZ4897" s="34"/>
      <c r="CD4897" s="34"/>
    </row>
    <row r="4898" spans="70:82" x14ac:dyDescent="0.15">
      <c r="BR4898" s="34"/>
      <c r="BV4898" s="34"/>
      <c r="BZ4898" s="34"/>
      <c r="CD4898" s="34"/>
    </row>
    <row r="4899" spans="70:82" x14ac:dyDescent="0.15">
      <c r="BR4899" s="34"/>
      <c r="BV4899" s="34"/>
      <c r="BZ4899" s="34"/>
      <c r="CD4899" s="34"/>
    </row>
    <row r="4900" spans="70:82" x14ac:dyDescent="0.15">
      <c r="BR4900" s="34"/>
      <c r="BV4900" s="34"/>
      <c r="BZ4900" s="34"/>
      <c r="CD4900" s="34"/>
    </row>
    <row r="4901" spans="70:82" x14ac:dyDescent="0.15">
      <c r="BR4901" s="34"/>
      <c r="BV4901" s="34"/>
      <c r="BZ4901" s="34"/>
      <c r="CD4901" s="34"/>
    </row>
    <row r="4902" spans="70:82" x14ac:dyDescent="0.15">
      <c r="BR4902" s="34"/>
      <c r="BV4902" s="34"/>
      <c r="BZ4902" s="34"/>
      <c r="CD4902" s="34"/>
    </row>
    <row r="4903" spans="70:82" x14ac:dyDescent="0.15">
      <c r="BR4903" s="34"/>
      <c r="BV4903" s="34"/>
      <c r="BZ4903" s="34"/>
      <c r="CD4903" s="34"/>
    </row>
    <row r="4904" spans="70:82" x14ac:dyDescent="0.15">
      <c r="BR4904" s="34"/>
      <c r="BV4904" s="34"/>
      <c r="BZ4904" s="34"/>
      <c r="CD4904" s="34"/>
    </row>
    <row r="4905" spans="70:82" x14ac:dyDescent="0.15">
      <c r="BR4905" s="34"/>
      <c r="BV4905" s="34"/>
      <c r="BZ4905" s="34"/>
      <c r="CD4905" s="34"/>
    </row>
    <row r="4906" spans="70:82" x14ac:dyDescent="0.15">
      <c r="BR4906" s="34"/>
      <c r="BV4906" s="34"/>
      <c r="BZ4906" s="34"/>
      <c r="CD4906" s="34"/>
    </row>
    <row r="4907" spans="70:82" x14ac:dyDescent="0.15">
      <c r="BR4907" s="34"/>
      <c r="BV4907" s="34"/>
      <c r="BZ4907" s="34"/>
      <c r="CD4907" s="34"/>
    </row>
    <row r="4908" spans="70:82" x14ac:dyDescent="0.15">
      <c r="BR4908" s="34"/>
      <c r="BV4908" s="34"/>
      <c r="BZ4908" s="34"/>
      <c r="CD4908" s="34"/>
    </row>
    <row r="4909" spans="70:82" x14ac:dyDescent="0.15">
      <c r="BR4909" s="34"/>
      <c r="BV4909" s="34"/>
      <c r="BZ4909" s="34"/>
      <c r="CD4909" s="34"/>
    </row>
    <row r="4910" spans="70:82" x14ac:dyDescent="0.15">
      <c r="BR4910" s="34"/>
      <c r="BV4910" s="34"/>
      <c r="BZ4910" s="34"/>
      <c r="CD4910" s="34"/>
    </row>
    <row r="4911" spans="70:82" x14ac:dyDescent="0.15">
      <c r="BR4911" s="34"/>
      <c r="BV4911" s="34"/>
      <c r="BZ4911" s="34"/>
      <c r="CD4911" s="34"/>
    </row>
    <row r="4912" spans="70:82" x14ac:dyDescent="0.15">
      <c r="BR4912" s="34"/>
      <c r="BV4912" s="34"/>
      <c r="BZ4912" s="34"/>
      <c r="CD4912" s="34"/>
    </row>
    <row r="4913" spans="70:82" x14ac:dyDescent="0.15">
      <c r="BR4913" s="34"/>
      <c r="BV4913" s="34"/>
      <c r="BZ4913" s="34"/>
      <c r="CD4913" s="34"/>
    </row>
    <row r="4914" spans="70:82" x14ac:dyDescent="0.15">
      <c r="BR4914" s="34"/>
      <c r="BV4914" s="34"/>
      <c r="BZ4914" s="34"/>
      <c r="CD4914" s="34"/>
    </row>
    <row r="4915" spans="70:82" x14ac:dyDescent="0.15">
      <c r="BR4915" s="34"/>
      <c r="BV4915" s="34"/>
      <c r="BZ4915" s="34"/>
      <c r="CD4915" s="34"/>
    </row>
    <row r="4916" spans="70:82" x14ac:dyDescent="0.15">
      <c r="BR4916" s="34"/>
      <c r="BV4916" s="34"/>
      <c r="BZ4916" s="34"/>
      <c r="CD4916" s="34"/>
    </row>
    <row r="4917" spans="70:82" x14ac:dyDescent="0.15">
      <c r="BR4917" s="34"/>
      <c r="BV4917" s="34"/>
      <c r="BZ4917" s="34"/>
      <c r="CD4917" s="34"/>
    </row>
    <row r="4918" spans="70:82" x14ac:dyDescent="0.15">
      <c r="BR4918" s="34"/>
      <c r="BV4918" s="34"/>
      <c r="BZ4918" s="34"/>
      <c r="CD4918" s="34"/>
    </row>
    <row r="4919" spans="70:82" x14ac:dyDescent="0.15">
      <c r="BR4919" s="34"/>
      <c r="BV4919" s="34"/>
      <c r="BZ4919" s="34"/>
      <c r="CD4919" s="34"/>
    </row>
    <row r="4920" spans="70:82" x14ac:dyDescent="0.15">
      <c r="BR4920" s="34"/>
      <c r="BV4920" s="34"/>
      <c r="BZ4920" s="34"/>
      <c r="CD4920" s="34"/>
    </row>
    <row r="4921" spans="70:82" x14ac:dyDescent="0.15">
      <c r="BR4921" s="34"/>
      <c r="BV4921" s="34"/>
      <c r="BZ4921" s="34"/>
      <c r="CD4921" s="34"/>
    </row>
    <row r="4922" spans="70:82" x14ac:dyDescent="0.15">
      <c r="BR4922" s="34"/>
      <c r="BV4922" s="34"/>
      <c r="BZ4922" s="34"/>
      <c r="CD4922" s="34"/>
    </row>
    <row r="4923" spans="70:82" x14ac:dyDescent="0.15">
      <c r="BR4923" s="34"/>
      <c r="BV4923" s="34"/>
      <c r="BZ4923" s="34"/>
      <c r="CD4923" s="34"/>
    </row>
    <row r="4924" spans="70:82" x14ac:dyDescent="0.15">
      <c r="BR4924" s="34"/>
      <c r="BV4924" s="34"/>
      <c r="BZ4924" s="34"/>
      <c r="CD4924" s="34"/>
    </row>
    <row r="4925" spans="70:82" x14ac:dyDescent="0.15">
      <c r="BR4925" s="34"/>
      <c r="BV4925" s="34"/>
      <c r="BZ4925" s="34"/>
      <c r="CD4925" s="34"/>
    </row>
    <row r="4926" spans="70:82" x14ac:dyDescent="0.15">
      <c r="BR4926" s="34"/>
      <c r="BV4926" s="34"/>
      <c r="BZ4926" s="34"/>
      <c r="CD4926" s="34"/>
    </row>
    <row r="4927" spans="70:82" x14ac:dyDescent="0.15">
      <c r="BR4927" s="34"/>
      <c r="BV4927" s="34"/>
      <c r="BZ4927" s="34"/>
      <c r="CD4927" s="34"/>
    </row>
    <row r="4928" spans="70:82" x14ac:dyDescent="0.15">
      <c r="BR4928" s="34"/>
      <c r="BV4928" s="34"/>
      <c r="BZ4928" s="34"/>
      <c r="CD4928" s="34"/>
    </row>
    <row r="4929" spans="70:82" x14ac:dyDescent="0.15">
      <c r="BR4929" s="34"/>
      <c r="BV4929" s="34"/>
      <c r="BZ4929" s="34"/>
      <c r="CD4929" s="34"/>
    </row>
    <row r="4930" spans="70:82" x14ac:dyDescent="0.15">
      <c r="BR4930" s="34"/>
      <c r="BV4930" s="34"/>
      <c r="BZ4930" s="34"/>
      <c r="CD4930" s="34"/>
    </row>
    <row r="4931" spans="70:82" x14ac:dyDescent="0.15">
      <c r="BR4931" s="34"/>
      <c r="BV4931" s="34"/>
      <c r="BZ4931" s="34"/>
      <c r="CD4931" s="34"/>
    </row>
    <row r="4932" spans="70:82" x14ac:dyDescent="0.15">
      <c r="BR4932" s="34"/>
      <c r="BV4932" s="34"/>
      <c r="BZ4932" s="34"/>
      <c r="CD4932" s="34"/>
    </row>
    <row r="4933" spans="70:82" x14ac:dyDescent="0.15">
      <c r="BR4933" s="34"/>
      <c r="BV4933" s="34"/>
      <c r="BZ4933" s="34"/>
      <c r="CD4933" s="34"/>
    </row>
    <row r="4934" spans="70:82" x14ac:dyDescent="0.15">
      <c r="BR4934" s="34"/>
      <c r="BV4934" s="34"/>
      <c r="BZ4934" s="34"/>
      <c r="CD4934" s="34"/>
    </row>
    <row r="4935" spans="70:82" x14ac:dyDescent="0.15">
      <c r="BR4935" s="34"/>
      <c r="BV4935" s="34"/>
      <c r="BZ4935" s="34"/>
      <c r="CD4935" s="34"/>
    </row>
    <row r="4936" spans="70:82" x14ac:dyDescent="0.15">
      <c r="BR4936" s="34"/>
      <c r="BV4936" s="34"/>
      <c r="BZ4936" s="34"/>
      <c r="CD4936" s="34"/>
    </row>
    <row r="4937" spans="70:82" x14ac:dyDescent="0.15">
      <c r="BR4937" s="34"/>
      <c r="BV4937" s="34"/>
      <c r="BZ4937" s="34"/>
      <c r="CD4937" s="34"/>
    </row>
    <row r="4938" spans="70:82" x14ac:dyDescent="0.15">
      <c r="BR4938" s="34"/>
      <c r="BV4938" s="34"/>
      <c r="BZ4938" s="34"/>
      <c r="CD4938" s="34"/>
    </row>
    <row r="4939" spans="70:82" x14ac:dyDescent="0.15">
      <c r="BR4939" s="34"/>
      <c r="BV4939" s="34"/>
      <c r="BZ4939" s="34"/>
      <c r="CD4939" s="34"/>
    </row>
    <row r="4940" spans="70:82" x14ac:dyDescent="0.15">
      <c r="BR4940" s="34"/>
      <c r="BV4940" s="34"/>
      <c r="BZ4940" s="34"/>
      <c r="CD4940" s="34"/>
    </row>
    <row r="4941" spans="70:82" x14ac:dyDescent="0.15">
      <c r="BR4941" s="34"/>
      <c r="BV4941" s="34"/>
      <c r="BZ4941" s="34"/>
      <c r="CD4941" s="34"/>
    </row>
    <row r="4942" spans="70:82" x14ac:dyDescent="0.15">
      <c r="BR4942" s="34"/>
      <c r="BV4942" s="34"/>
      <c r="BZ4942" s="34"/>
      <c r="CD4942" s="34"/>
    </row>
    <row r="4943" spans="70:82" x14ac:dyDescent="0.15">
      <c r="BR4943" s="34"/>
      <c r="BV4943" s="34"/>
      <c r="BZ4943" s="34"/>
      <c r="CD4943" s="34"/>
    </row>
    <row r="4944" spans="70:82" x14ac:dyDescent="0.15">
      <c r="BR4944" s="34"/>
      <c r="BV4944" s="34"/>
      <c r="BZ4944" s="34"/>
      <c r="CD4944" s="34"/>
    </row>
    <row r="4945" spans="70:82" x14ac:dyDescent="0.15">
      <c r="BR4945" s="34"/>
      <c r="BV4945" s="34"/>
      <c r="BZ4945" s="34"/>
      <c r="CD4945" s="34"/>
    </row>
    <row r="4946" spans="70:82" x14ac:dyDescent="0.15">
      <c r="BR4946" s="34"/>
      <c r="BV4946" s="34"/>
      <c r="BZ4946" s="34"/>
      <c r="CD4946" s="34"/>
    </row>
    <row r="4947" spans="70:82" x14ac:dyDescent="0.15">
      <c r="BR4947" s="34"/>
      <c r="BV4947" s="34"/>
      <c r="BZ4947" s="34"/>
      <c r="CD4947" s="34"/>
    </row>
    <row r="4948" spans="70:82" x14ac:dyDescent="0.15">
      <c r="BR4948" s="34"/>
      <c r="BV4948" s="34"/>
      <c r="BZ4948" s="34"/>
      <c r="CD4948" s="34"/>
    </row>
    <row r="4949" spans="70:82" x14ac:dyDescent="0.15">
      <c r="BR4949" s="34"/>
      <c r="BV4949" s="34"/>
      <c r="BZ4949" s="34"/>
      <c r="CD4949" s="34"/>
    </row>
    <row r="4950" spans="70:82" x14ac:dyDescent="0.15">
      <c r="BR4950" s="34"/>
      <c r="BV4950" s="34"/>
      <c r="BZ4950" s="34"/>
      <c r="CD4950" s="34"/>
    </row>
    <row r="4951" spans="70:82" x14ac:dyDescent="0.15">
      <c r="BR4951" s="34"/>
      <c r="BV4951" s="34"/>
      <c r="BZ4951" s="34"/>
      <c r="CD4951" s="34"/>
    </row>
    <row r="4952" spans="70:82" x14ac:dyDescent="0.15">
      <c r="BR4952" s="34"/>
      <c r="BV4952" s="34"/>
      <c r="BZ4952" s="34"/>
      <c r="CD4952" s="34"/>
    </row>
    <row r="4953" spans="70:82" x14ac:dyDescent="0.15">
      <c r="BR4953" s="34"/>
      <c r="BV4953" s="34"/>
      <c r="BZ4953" s="34"/>
      <c r="CD4953" s="34"/>
    </row>
    <row r="4954" spans="70:82" x14ac:dyDescent="0.15">
      <c r="BR4954" s="34"/>
      <c r="BV4954" s="34"/>
      <c r="BZ4954" s="34"/>
      <c r="CD4954" s="34"/>
    </row>
    <row r="4955" spans="70:82" x14ac:dyDescent="0.15">
      <c r="BR4955" s="34"/>
      <c r="BV4955" s="34"/>
      <c r="BZ4955" s="34"/>
      <c r="CD4955" s="34"/>
    </row>
    <row r="4956" spans="70:82" x14ac:dyDescent="0.15">
      <c r="BR4956" s="34"/>
      <c r="BV4956" s="34"/>
      <c r="BZ4956" s="34"/>
      <c r="CD4956" s="34"/>
    </row>
    <row r="4957" spans="70:82" x14ac:dyDescent="0.15">
      <c r="BR4957" s="34"/>
      <c r="BV4957" s="34"/>
      <c r="BZ4957" s="34"/>
      <c r="CD4957" s="34"/>
    </row>
    <row r="4958" spans="70:82" x14ac:dyDescent="0.15">
      <c r="BR4958" s="34"/>
      <c r="BV4958" s="34"/>
      <c r="BZ4958" s="34"/>
      <c r="CD4958" s="34"/>
    </row>
    <row r="4959" spans="70:82" x14ac:dyDescent="0.15">
      <c r="BR4959" s="34"/>
      <c r="BV4959" s="34"/>
      <c r="BZ4959" s="34"/>
      <c r="CD4959" s="34"/>
    </row>
    <row r="4960" spans="70:82" x14ac:dyDescent="0.15">
      <c r="BR4960" s="34"/>
      <c r="BV4960" s="34"/>
      <c r="BZ4960" s="34"/>
      <c r="CD4960" s="34"/>
    </row>
    <row r="4961" spans="70:82" x14ac:dyDescent="0.15">
      <c r="BR4961" s="34"/>
      <c r="BV4961" s="34"/>
      <c r="BZ4961" s="34"/>
      <c r="CD4961" s="34"/>
    </row>
    <row r="4962" spans="70:82" x14ac:dyDescent="0.15">
      <c r="BR4962" s="34"/>
      <c r="BV4962" s="34"/>
      <c r="BZ4962" s="34"/>
      <c r="CD4962" s="34"/>
    </row>
    <row r="4963" spans="70:82" x14ac:dyDescent="0.15">
      <c r="BR4963" s="34"/>
      <c r="BV4963" s="34"/>
      <c r="BZ4963" s="34"/>
      <c r="CD4963" s="34"/>
    </row>
    <row r="4964" spans="70:82" x14ac:dyDescent="0.15">
      <c r="BR4964" s="34"/>
      <c r="BV4964" s="34"/>
      <c r="BZ4964" s="34"/>
      <c r="CD4964" s="34"/>
    </row>
    <row r="4965" spans="70:82" x14ac:dyDescent="0.15">
      <c r="BR4965" s="34"/>
      <c r="BV4965" s="34"/>
      <c r="BZ4965" s="34"/>
      <c r="CD4965" s="34"/>
    </row>
    <row r="4966" spans="70:82" x14ac:dyDescent="0.15">
      <c r="BR4966" s="34"/>
      <c r="BV4966" s="34"/>
      <c r="BZ4966" s="34"/>
      <c r="CD4966" s="34"/>
    </row>
    <row r="4967" spans="70:82" x14ac:dyDescent="0.15">
      <c r="BR4967" s="34"/>
      <c r="BV4967" s="34"/>
      <c r="BZ4967" s="34"/>
      <c r="CD4967" s="34"/>
    </row>
    <row r="4968" spans="70:82" x14ac:dyDescent="0.15">
      <c r="BR4968" s="34"/>
      <c r="BV4968" s="34"/>
      <c r="BZ4968" s="34"/>
      <c r="CD4968" s="34"/>
    </row>
    <row r="4969" spans="70:82" x14ac:dyDescent="0.15">
      <c r="BR4969" s="34"/>
      <c r="BV4969" s="34"/>
      <c r="BZ4969" s="34"/>
      <c r="CD4969" s="34"/>
    </row>
    <row r="4970" spans="70:82" x14ac:dyDescent="0.15">
      <c r="BR4970" s="34"/>
      <c r="BV4970" s="34"/>
      <c r="BZ4970" s="34"/>
      <c r="CD4970" s="34"/>
    </row>
    <row r="4971" spans="70:82" x14ac:dyDescent="0.15">
      <c r="BR4971" s="34"/>
      <c r="BV4971" s="34"/>
      <c r="BZ4971" s="34"/>
      <c r="CD4971" s="34"/>
    </row>
    <row r="4972" spans="70:82" x14ac:dyDescent="0.15">
      <c r="BR4972" s="34"/>
      <c r="BV4972" s="34"/>
      <c r="BZ4972" s="34"/>
      <c r="CD4972" s="34"/>
    </row>
    <row r="4973" spans="70:82" x14ac:dyDescent="0.15">
      <c r="BR4973" s="34"/>
      <c r="BV4973" s="34"/>
      <c r="BZ4973" s="34"/>
      <c r="CD4973" s="34"/>
    </row>
    <row r="4974" spans="70:82" x14ac:dyDescent="0.15">
      <c r="BR4974" s="34"/>
      <c r="BV4974" s="34"/>
      <c r="BZ4974" s="34"/>
      <c r="CD4974" s="34"/>
    </row>
    <row r="4975" spans="70:82" x14ac:dyDescent="0.15">
      <c r="BR4975" s="34"/>
      <c r="BV4975" s="34"/>
      <c r="BZ4975" s="34"/>
      <c r="CD4975" s="34"/>
    </row>
    <row r="4976" spans="70:82" x14ac:dyDescent="0.15">
      <c r="BR4976" s="34"/>
      <c r="BV4976" s="34"/>
      <c r="BZ4976" s="34"/>
      <c r="CD4976" s="34"/>
    </row>
    <row r="4977" spans="70:82" x14ac:dyDescent="0.15">
      <c r="BR4977" s="34"/>
      <c r="BV4977" s="34"/>
      <c r="BZ4977" s="34"/>
      <c r="CD4977" s="34"/>
    </row>
    <row r="4978" spans="70:82" x14ac:dyDescent="0.15">
      <c r="BR4978" s="34"/>
      <c r="BV4978" s="34"/>
      <c r="BZ4978" s="34"/>
      <c r="CD4978" s="34"/>
    </row>
    <row r="4979" spans="70:82" x14ac:dyDescent="0.15">
      <c r="BR4979" s="34"/>
      <c r="BV4979" s="34"/>
      <c r="BZ4979" s="34"/>
      <c r="CD4979" s="34"/>
    </row>
    <row r="4980" spans="70:82" x14ac:dyDescent="0.15">
      <c r="BR4980" s="34"/>
      <c r="BV4980" s="34"/>
      <c r="BZ4980" s="34"/>
      <c r="CD4980" s="34"/>
    </row>
    <row r="4981" spans="70:82" x14ac:dyDescent="0.15">
      <c r="BR4981" s="34"/>
      <c r="BV4981" s="34"/>
      <c r="BZ4981" s="34"/>
      <c r="CD4981" s="34"/>
    </row>
    <row r="4982" spans="70:82" x14ac:dyDescent="0.15">
      <c r="BR4982" s="34"/>
      <c r="BV4982" s="34"/>
      <c r="BZ4982" s="34"/>
      <c r="CD4982" s="34"/>
    </row>
    <row r="4983" spans="70:82" x14ac:dyDescent="0.15">
      <c r="BR4983" s="34"/>
      <c r="BV4983" s="34"/>
      <c r="BZ4983" s="34"/>
      <c r="CD4983" s="34"/>
    </row>
    <row r="4984" spans="70:82" x14ac:dyDescent="0.15">
      <c r="BR4984" s="34"/>
      <c r="BV4984" s="34"/>
      <c r="BZ4984" s="34"/>
      <c r="CD4984" s="34"/>
    </row>
    <row r="4985" spans="70:82" x14ac:dyDescent="0.15">
      <c r="BR4985" s="34"/>
      <c r="BV4985" s="34"/>
      <c r="BZ4985" s="34"/>
      <c r="CD4985" s="34"/>
    </row>
    <row r="4986" spans="70:82" x14ac:dyDescent="0.15">
      <c r="BR4986" s="34"/>
      <c r="BV4986" s="34"/>
      <c r="BZ4986" s="34"/>
      <c r="CD4986" s="34"/>
    </row>
    <row r="4987" spans="70:82" x14ac:dyDescent="0.15">
      <c r="BR4987" s="34"/>
      <c r="BV4987" s="34"/>
      <c r="BZ4987" s="34"/>
      <c r="CD4987" s="34"/>
    </row>
    <row r="4988" spans="70:82" x14ac:dyDescent="0.15">
      <c r="BR4988" s="34"/>
      <c r="BV4988" s="34"/>
      <c r="BZ4988" s="34"/>
      <c r="CD4988" s="34"/>
    </row>
    <row r="4989" spans="70:82" x14ac:dyDescent="0.15">
      <c r="BR4989" s="34"/>
      <c r="BV4989" s="34"/>
      <c r="BZ4989" s="34"/>
      <c r="CD4989" s="34"/>
    </row>
    <row r="4990" spans="70:82" x14ac:dyDescent="0.15">
      <c r="BR4990" s="34"/>
      <c r="BV4990" s="34"/>
      <c r="BZ4990" s="34"/>
      <c r="CD4990" s="34"/>
    </row>
    <row r="4991" spans="70:82" x14ac:dyDescent="0.15">
      <c r="BR4991" s="34"/>
      <c r="BV4991" s="34"/>
      <c r="BZ4991" s="34"/>
      <c r="CD4991" s="34"/>
    </row>
    <row r="4992" spans="70:82" x14ac:dyDescent="0.15">
      <c r="BR4992" s="34"/>
      <c r="BV4992" s="34"/>
      <c r="BZ4992" s="34"/>
      <c r="CD4992" s="34"/>
    </row>
    <row r="4993" spans="70:82" x14ac:dyDescent="0.15">
      <c r="BR4993" s="34"/>
      <c r="BV4993" s="34"/>
      <c r="BZ4993" s="34"/>
      <c r="CD4993" s="34"/>
    </row>
    <row r="4994" spans="70:82" x14ac:dyDescent="0.15">
      <c r="BR4994" s="34"/>
      <c r="BV4994" s="34"/>
      <c r="BZ4994" s="34"/>
      <c r="CD4994" s="34"/>
    </row>
    <row r="4995" spans="70:82" x14ac:dyDescent="0.15">
      <c r="BR4995" s="34"/>
      <c r="BV4995" s="34"/>
      <c r="BZ4995" s="34"/>
      <c r="CD4995" s="34"/>
    </row>
    <row r="4996" spans="70:82" x14ac:dyDescent="0.15">
      <c r="BR4996" s="34"/>
      <c r="BV4996" s="34"/>
      <c r="BZ4996" s="34"/>
      <c r="CD4996" s="34"/>
    </row>
    <row r="4997" spans="70:82" x14ac:dyDescent="0.15">
      <c r="BR4997" s="34"/>
      <c r="BV4997" s="34"/>
      <c r="BZ4997" s="34"/>
      <c r="CD4997" s="34"/>
    </row>
    <row r="4998" spans="70:82" x14ac:dyDescent="0.15">
      <c r="BR4998" s="34"/>
      <c r="BV4998" s="34"/>
      <c r="BZ4998" s="34"/>
      <c r="CD4998" s="34"/>
    </row>
    <row r="4999" spans="70:82" x14ac:dyDescent="0.15">
      <c r="BR4999" s="34"/>
      <c r="BV4999" s="34"/>
      <c r="BZ4999" s="34"/>
      <c r="CD4999" s="34"/>
    </row>
    <row r="5000" spans="70:82" x14ac:dyDescent="0.15">
      <c r="BR5000" s="34"/>
      <c r="BV5000" s="34"/>
      <c r="BZ5000" s="34"/>
      <c r="CD5000" s="34"/>
    </row>
    <row r="5001" spans="70:82" x14ac:dyDescent="0.15">
      <c r="BR5001" s="34"/>
      <c r="BV5001" s="34"/>
      <c r="BZ5001" s="34"/>
      <c r="CD5001" s="34"/>
    </row>
    <row r="5002" spans="70:82" x14ac:dyDescent="0.15">
      <c r="BR5002" s="34"/>
      <c r="BV5002" s="34"/>
      <c r="BZ5002" s="34"/>
      <c r="CD5002" s="34"/>
    </row>
    <row r="5003" spans="70:82" x14ac:dyDescent="0.15">
      <c r="BR5003" s="34"/>
      <c r="BV5003" s="34"/>
      <c r="BZ5003" s="34"/>
      <c r="CD5003" s="34"/>
    </row>
    <row r="5004" spans="70:82" x14ac:dyDescent="0.15">
      <c r="BR5004" s="34"/>
      <c r="BV5004" s="34"/>
      <c r="BZ5004" s="34"/>
      <c r="CD5004" s="34"/>
    </row>
    <row r="5005" spans="70:82" x14ac:dyDescent="0.15">
      <c r="BR5005" s="34"/>
      <c r="BV5005" s="34"/>
      <c r="BZ5005" s="34"/>
      <c r="CD5005" s="34"/>
    </row>
    <row r="5006" spans="70:82" x14ac:dyDescent="0.15">
      <c r="BR5006" s="34"/>
      <c r="BV5006" s="34"/>
      <c r="BZ5006" s="34"/>
      <c r="CD5006" s="34"/>
    </row>
    <row r="5007" spans="70:82" x14ac:dyDescent="0.15">
      <c r="BR5007" s="34"/>
      <c r="BV5007" s="34"/>
      <c r="BZ5007" s="34"/>
      <c r="CD5007" s="34"/>
    </row>
    <row r="5008" spans="70:82" x14ac:dyDescent="0.15">
      <c r="BR5008" s="34"/>
      <c r="BV5008" s="34"/>
      <c r="BZ5008" s="34"/>
      <c r="CD5008" s="34"/>
    </row>
    <row r="5009" spans="70:82" x14ac:dyDescent="0.15">
      <c r="BR5009" s="34"/>
      <c r="BV5009" s="34"/>
      <c r="BZ5009" s="34"/>
      <c r="CD5009" s="34"/>
    </row>
    <row r="5010" spans="70:82" x14ac:dyDescent="0.15">
      <c r="BR5010" s="34"/>
      <c r="BV5010" s="34"/>
      <c r="BZ5010" s="34"/>
      <c r="CD5010" s="34"/>
    </row>
    <row r="5011" spans="70:82" x14ac:dyDescent="0.15">
      <c r="BR5011" s="34"/>
      <c r="BV5011" s="34"/>
      <c r="BZ5011" s="34"/>
      <c r="CD5011" s="34"/>
    </row>
    <row r="5012" spans="70:82" x14ac:dyDescent="0.15">
      <c r="BR5012" s="34"/>
      <c r="BV5012" s="34"/>
      <c r="BZ5012" s="34"/>
      <c r="CD5012" s="34"/>
    </row>
    <row r="5013" spans="70:82" x14ac:dyDescent="0.15">
      <c r="BR5013" s="34"/>
      <c r="BV5013" s="34"/>
      <c r="BZ5013" s="34"/>
      <c r="CD5013" s="34"/>
    </row>
    <row r="5014" spans="70:82" x14ac:dyDescent="0.15">
      <c r="BR5014" s="34"/>
      <c r="BV5014" s="34"/>
      <c r="BZ5014" s="34"/>
      <c r="CD5014" s="34"/>
    </row>
    <row r="5015" spans="70:82" x14ac:dyDescent="0.15">
      <c r="BR5015" s="34"/>
      <c r="BV5015" s="34"/>
      <c r="BZ5015" s="34"/>
      <c r="CD5015" s="34"/>
    </row>
    <row r="5016" spans="70:82" x14ac:dyDescent="0.15">
      <c r="BR5016" s="34"/>
      <c r="BV5016" s="34"/>
      <c r="BZ5016" s="34"/>
      <c r="CD5016" s="34"/>
    </row>
    <row r="5017" spans="70:82" x14ac:dyDescent="0.15">
      <c r="BR5017" s="34"/>
      <c r="BV5017" s="34"/>
      <c r="BZ5017" s="34"/>
      <c r="CD5017" s="34"/>
    </row>
    <row r="5018" spans="70:82" x14ac:dyDescent="0.15">
      <c r="BR5018" s="34"/>
      <c r="BV5018" s="34"/>
      <c r="BZ5018" s="34"/>
      <c r="CD5018" s="34"/>
    </row>
    <row r="5019" spans="70:82" x14ac:dyDescent="0.15">
      <c r="BR5019" s="34"/>
      <c r="BV5019" s="34"/>
      <c r="BZ5019" s="34"/>
      <c r="CD5019" s="34"/>
    </row>
    <row r="5020" spans="70:82" x14ac:dyDescent="0.15">
      <c r="BR5020" s="34"/>
      <c r="BV5020" s="34"/>
      <c r="BZ5020" s="34"/>
      <c r="CD5020" s="34"/>
    </row>
    <row r="5021" spans="70:82" x14ac:dyDescent="0.15">
      <c r="BR5021" s="34"/>
      <c r="BV5021" s="34"/>
      <c r="BZ5021" s="34"/>
      <c r="CD5021" s="34"/>
    </row>
    <row r="5022" spans="70:82" x14ac:dyDescent="0.15">
      <c r="BR5022" s="34"/>
      <c r="BV5022" s="34"/>
      <c r="BZ5022" s="34"/>
      <c r="CD5022" s="34"/>
    </row>
    <row r="5023" spans="70:82" x14ac:dyDescent="0.15">
      <c r="BR5023" s="34"/>
      <c r="BV5023" s="34"/>
      <c r="BZ5023" s="34"/>
      <c r="CD5023" s="34"/>
    </row>
    <row r="5024" spans="70:82" x14ac:dyDescent="0.15">
      <c r="BR5024" s="34"/>
      <c r="BV5024" s="34"/>
      <c r="BZ5024" s="34"/>
      <c r="CD5024" s="34"/>
    </row>
    <row r="5025" spans="70:82" x14ac:dyDescent="0.15">
      <c r="BR5025" s="34"/>
      <c r="BV5025" s="34"/>
      <c r="BZ5025" s="34"/>
      <c r="CD5025" s="34"/>
    </row>
    <row r="5026" spans="70:82" x14ac:dyDescent="0.15">
      <c r="BR5026" s="34"/>
      <c r="BV5026" s="34"/>
      <c r="BZ5026" s="34"/>
      <c r="CD5026" s="34"/>
    </row>
    <row r="5027" spans="70:82" x14ac:dyDescent="0.15">
      <c r="BR5027" s="34"/>
      <c r="BV5027" s="34"/>
      <c r="BZ5027" s="34"/>
      <c r="CD5027" s="34"/>
    </row>
    <row r="5028" spans="70:82" x14ac:dyDescent="0.15">
      <c r="BR5028" s="34"/>
      <c r="BV5028" s="34"/>
      <c r="BZ5028" s="34"/>
      <c r="CD5028" s="34"/>
    </row>
    <row r="5029" spans="70:82" x14ac:dyDescent="0.15">
      <c r="BR5029" s="34"/>
      <c r="BV5029" s="34"/>
      <c r="BZ5029" s="34"/>
      <c r="CD5029" s="34"/>
    </row>
    <row r="5030" spans="70:82" x14ac:dyDescent="0.15">
      <c r="BR5030" s="34"/>
      <c r="BV5030" s="34"/>
      <c r="BZ5030" s="34"/>
      <c r="CD5030" s="34"/>
    </row>
    <row r="5031" spans="70:82" x14ac:dyDescent="0.15">
      <c r="BR5031" s="34"/>
      <c r="BV5031" s="34"/>
      <c r="BZ5031" s="34"/>
      <c r="CD5031" s="34"/>
    </row>
    <row r="5032" spans="70:82" x14ac:dyDescent="0.15">
      <c r="BR5032" s="34"/>
      <c r="BV5032" s="34"/>
      <c r="BZ5032" s="34"/>
      <c r="CD5032" s="34"/>
    </row>
    <row r="5033" spans="70:82" x14ac:dyDescent="0.15">
      <c r="BR5033" s="34"/>
      <c r="BV5033" s="34"/>
      <c r="BZ5033" s="34"/>
      <c r="CD5033" s="34"/>
    </row>
    <row r="5034" spans="70:82" x14ac:dyDescent="0.15">
      <c r="BR5034" s="34"/>
      <c r="BV5034" s="34"/>
      <c r="BZ5034" s="34"/>
      <c r="CD5034" s="34"/>
    </row>
    <row r="5035" spans="70:82" x14ac:dyDescent="0.15">
      <c r="BR5035" s="34"/>
      <c r="BV5035" s="34"/>
      <c r="BZ5035" s="34"/>
      <c r="CD5035" s="34"/>
    </row>
    <row r="5036" spans="70:82" x14ac:dyDescent="0.15">
      <c r="BR5036" s="34"/>
      <c r="BV5036" s="34"/>
      <c r="BZ5036" s="34"/>
      <c r="CD5036" s="34"/>
    </row>
    <row r="5037" spans="70:82" x14ac:dyDescent="0.15">
      <c r="BR5037" s="34"/>
      <c r="BV5037" s="34"/>
      <c r="BZ5037" s="34"/>
      <c r="CD5037" s="34"/>
    </row>
    <row r="5038" spans="70:82" x14ac:dyDescent="0.15">
      <c r="BR5038" s="34"/>
      <c r="BV5038" s="34"/>
      <c r="BZ5038" s="34"/>
      <c r="CD5038" s="34"/>
    </row>
    <row r="5039" spans="70:82" x14ac:dyDescent="0.15">
      <c r="BR5039" s="34"/>
      <c r="BV5039" s="34"/>
      <c r="BZ5039" s="34"/>
      <c r="CD5039" s="34"/>
    </row>
    <row r="5040" spans="70:82" x14ac:dyDescent="0.15">
      <c r="BR5040" s="34"/>
      <c r="BV5040" s="34"/>
      <c r="BZ5040" s="34"/>
      <c r="CD5040" s="34"/>
    </row>
    <row r="5041" spans="70:82" x14ac:dyDescent="0.15">
      <c r="BR5041" s="34"/>
      <c r="BV5041" s="34"/>
      <c r="BZ5041" s="34"/>
      <c r="CD5041" s="34"/>
    </row>
    <row r="5042" spans="70:82" x14ac:dyDescent="0.15">
      <c r="BR5042" s="34"/>
      <c r="BV5042" s="34"/>
      <c r="BZ5042" s="34"/>
      <c r="CD5042" s="34"/>
    </row>
    <row r="5043" spans="70:82" x14ac:dyDescent="0.15">
      <c r="BR5043" s="34"/>
      <c r="BV5043" s="34"/>
      <c r="BZ5043" s="34"/>
      <c r="CD5043" s="34"/>
    </row>
    <row r="5044" spans="70:82" x14ac:dyDescent="0.15">
      <c r="BR5044" s="34"/>
      <c r="BV5044" s="34"/>
      <c r="BZ5044" s="34"/>
      <c r="CD5044" s="34"/>
    </row>
    <row r="5045" spans="70:82" x14ac:dyDescent="0.15">
      <c r="BR5045" s="34"/>
      <c r="BV5045" s="34"/>
      <c r="BZ5045" s="34"/>
      <c r="CD5045" s="34"/>
    </row>
    <row r="5046" spans="70:82" x14ac:dyDescent="0.15">
      <c r="BR5046" s="34"/>
      <c r="BV5046" s="34"/>
      <c r="BZ5046" s="34"/>
      <c r="CD5046" s="34"/>
    </row>
    <row r="5047" spans="70:82" x14ac:dyDescent="0.15">
      <c r="BR5047" s="34"/>
      <c r="BV5047" s="34"/>
      <c r="BZ5047" s="34"/>
      <c r="CD5047" s="34"/>
    </row>
    <row r="5048" spans="70:82" x14ac:dyDescent="0.15">
      <c r="BR5048" s="34"/>
      <c r="BV5048" s="34"/>
      <c r="BZ5048" s="34"/>
      <c r="CD5048" s="34"/>
    </row>
    <row r="5049" spans="70:82" x14ac:dyDescent="0.15">
      <c r="BR5049" s="34"/>
      <c r="BV5049" s="34"/>
      <c r="BZ5049" s="34"/>
      <c r="CD5049" s="34"/>
    </row>
    <row r="5050" spans="70:82" x14ac:dyDescent="0.15">
      <c r="BR5050" s="34"/>
      <c r="BV5050" s="34"/>
      <c r="BZ5050" s="34"/>
      <c r="CD5050" s="34"/>
    </row>
    <row r="5051" spans="70:82" x14ac:dyDescent="0.15">
      <c r="BR5051" s="34"/>
      <c r="BV5051" s="34"/>
      <c r="BZ5051" s="34"/>
      <c r="CD5051" s="34"/>
    </row>
    <row r="5052" spans="70:82" x14ac:dyDescent="0.15">
      <c r="BR5052" s="34"/>
      <c r="BV5052" s="34"/>
      <c r="BZ5052" s="34"/>
      <c r="CD5052" s="34"/>
    </row>
    <row r="5053" spans="70:82" x14ac:dyDescent="0.15">
      <c r="BR5053" s="34"/>
      <c r="BV5053" s="34"/>
      <c r="BZ5053" s="34"/>
      <c r="CD5053" s="34"/>
    </row>
    <row r="5054" spans="70:82" x14ac:dyDescent="0.15">
      <c r="BR5054" s="34"/>
      <c r="BV5054" s="34"/>
      <c r="BZ5054" s="34"/>
      <c r="CD5054" s="34"/>
    </row>
    <row r="5055" spans="70:82" x14ac:dyDescent="0.15">
      <c r="BR5055" s="34"/>
      <c r="BV5055" s="34"/>
      <c r="BZ5055" s="34"/>
      <c r="CD5055" s="34"/>
    </row>
    <row r="5056" spans="70:82" x14ac:dyDescent="0.15">
      <c r="BR5056" s="34"/>
      <c r="BV5056" s="34"/>
      <c r="BZ5056" s="34"/>
      <c r="CD5056" s="34"/>
    </row>
    <row r="5057" spans="70:82" x14ac:dyDescent="0.15">
      <c r="BR5057" s="34"/>
      <c r="BV5057" s="34"/>
      <c r="BZ5057" s="34"/>
      <c r="CD5057" s="34"/>
    </row>
    <row r="5058" spans="70:82" x14ac:dyDescent="0.15">
      <c r="BR5058" s="34"/>
      <c r="BV5058" s="34"/>
      <c r="BZ5058" s="34"/>
      <c r="CD5058" s="34"/>
    </row>
    <row r="5059" spans="70:82" x14ac:dyDescent="0.15">
      <c r="BR5059" s="34"/>
      <c r="BV5059" s="34"/>
      <c r="BZ5059" s="34"/>
      <c r="CD5059" s="34"/>
    </row>
    <row r="5060" spans="70:82" x14ac:dyDescent="0.15">
      <c r="BR5060" s="34"/>
      <c r="BV5060" s="34"/>
      <c r="BZ5060" s="34"/>
      <c r="CD5060" s="34"/>
    </row>
    <row r="5061" spans="70:82" x14ac:dyDescent="0.15">
      <c r="BR5061" s="34"/>
      <c r="BV5061" s="34"/>
      <c r="BZ5061" s="34"/>
      <c r="CD5061" s="34"/>
    </row>
    <row r="5062" spans="70:82" x14ac:dyDescent="0.15">
      <c r="BR5062" s="34"/>
      <c r="BV5062" s="34"/>
      <c r="BZ5062" s="34"/>
      <c r="CD5062" s="34"/>
    </row>
    <row r="5063" spans="70:82" x14ac:dyDescent="0.15">
      <c r="BR5063" s="34"/>
      <c r="BV5063" s="34"/>
      <c r="BZ5063" s="34"/>
      <c r="CD5063" s="34"/>
    </row>
    <row r="5064" spans="70:82" x14ac:dyDescent="0.15">
      <c r="BR5064" s="34"/>
      <c r="BV5064" s="34"/>
      <c r="BZ5064" s="34"/>
      <c r="CD5064" s="34"/>
    </row>
    <row r="5065" spans="70:82" x14ac:dyDescent="0.15">
      <c r="BR5065" s="34"/>
      <c r="BV5065" s="34"/>
      <c r="BZ5065" s="34"/>
      <c r="CD5065" s="34"/>
    </row>
    <row r="5066" spans="70:82" x14ac:dyDescent="0.15">
      <c r="BR5066" s="34"/>
      <c r="BV5066" s="34"/>
      <c r="BZ5066" s="34"/>
      <c r="CD5066" s="34"/>
    </row>
    <row r="5067" spans="70:82" x14ac:dyDescent="0.15">
      <c r="BR5067" s="34"/>
      <c r="BV5067" s="34"/>
      <c r="BZ5067" s="34"/>
      <c r="CD5067" s="34"/>
    </row>
    <row r="5068" spans="70:82" x14ac:dyDescent="0.15">
      <c r="BR5068" s="34"/>
      <c r="BV5068" s="34"/>
      <c r="BZ5068" s="34"/>
      <c r="CD5068" s="34"/>
    </row>
    <row r="5069" spans="70:82" x14ac:dyDescent="0.15">
      <c r="BR5069" s="34"/>
      <c r="BV5069" s="34"/>
      <c r="BZ5069" s="34"/>
      <c r="CD5069" s="34"/>
    </row>
    <row r="5070" spans="70:82" x14ac:dyDescent="0.15">
      <c r="BR5070" s="34"/>
      <c r="BV5070" s="34"/>
      <c r="BZ5070" s="34"/>
      <c r="CD5070" s="34"/>
    </row>
    <row r="5071" spans="70:82" x14ac:dyDescent="0.15">
      <c r="BR5071" s="34"/>
      <c r="BV5071" s="34"/>
      <c r="BZ5071" s="34"/>
      <c r="CD5071" s="34"/>
    </row>
    <row r="5072" spans="70:82" x14ac:dyDescent="0.15">
      <c r="BR5072" s="34"/>
      <c r="BV5072" s="34"/>
      <c r="BZ5072" s="34"/>
      <c r="CD5072" s="34"/>
    </row>
    <row r="5073" spans="70:82" x14ac:dyDescent="0.15">
      <c r="BR5073" s="34"/>
      <c r="BV5073" s="34"/>
      <c r="BZ5073" s="34"/>
      <c r="CD5073" s="34"/>
    </row>
    <row r="5074" spans="70:82" x14ac:dyDescent="0.15">
      <c r="BR5074" s="34"/>
      <c r="BV5074" s="34"/>
      <c r="BZ5074" s="34"/>
      <c r="CD5074" s="34"/>
    </row>
    <row r="5075" spans="70:82" x14ac:dyDescent="0.15">
      <c r="BR5075" s="34"/>
      <c r="BV5075" s="34"/>
      <c r="BZ5075" s="34"/>
      <c r="CD5075" s="34"/>
    </row>
    <row r="5076" spans="70:82" x14ac:dyDescent="0.15">
      <c r="BR5076" s="34"/>
      <c r="BV5076" s="34"/>
      <c r="BZ5076" s="34"/>
      <c r="CD5076" s="34"/>
    </row>
    <row r="5077" spans="70:82" x14ac:dyDescent="0.15">
      <c r="BR5077" s="34"/>
      <c r="BV5077" s="34"/>
      <c r="BZ5077" s="34"/>
      <c r="CD5077" s="34"/>
    </row>
    <row r="5078" spans="70:82" x14ac:dyDescent="0.15">
      <c r="BR5078" s="34"/>
      <c r="BV5078" s="34"/>
      <c r="BZ5078" s="34"/>
      <c r="CD5078" s="34"/>
    </row>
    <row r="5079" spans="70:82" x14ac:dyDescent="0.15">
      <c r="BR5079" s="34"/>
      <c r="BV5079" s="34"/>
      <c r="BZ5079" s="34"/>
      <c r="CD5079" s="34"/>
    </row>
    <row r="5080" spans="70:82" x14ac:dyDescent="0.15">
      <c r="BR5080" s="34"/>
      <c r="BV5080" s="34"/>
      <c r="BZ5080" s="34"/>
      <c r="CD5080" s="34"/>
    </row>
    <row r="5081" spans="70:82" x14ac:dyDescent="0.15">
      <c r="BR5081" s="34"/>
      <c r="BV5081" s="34"/>
      <c r="BZ5081" s="34"/>
      <c r="CD5081" s="34"/>
    </row>
    <row r="5082" spans="70:82" x14ac:dyDescent="0.15">
      <c r="BR5082" s="34"/>
      <c r="BV5082" s="34"/>
      <c r="BZ5082" s="34"/>
      <c r="CD5082" s="34"/>
    </row>
    <row r="5083" spans="70:82" x14ac:dyDescent="0.15">
      <c r="BR5083" s="34"/>
      <c r="BV5083" s="34"/>
      <c r="BZ5083" s="34"/>
      <c r="CD5083" s="34"/>
    </row>
    <row r="5084" spans="70:82" x14ac:dyDescent="0.15">
      <c r="BR5084" s="34"/>
      <c r="BV5084" s="34"/>
      <c r="BZ5084" s="34"/>
      <c r="CD5084" s="34"/>
    </row>
    <row r="5085" spans="70:82" x14ac:dyDescent="0.15">
      <c r="BR5085" s="34"/>
      <c r="BV5085" s="34"/>
      <c r="BZ5085" s="34"/>
      <c r="CD5085" s="34"/>
    </row>
    <row r="5086" spans="70:82" x14ac:dyDescent="0.15">
      <c r="BR5086" s="34"/>
      <c r="BV5086" s="34"/>
      <c r="BZ5086" s="34"/>
      <c r="CD5086" s="34"/>
    </row>
    <row r="5087" spans="70:82" x14ac:dyDescent="0.15">
      <c r="BR5087" s="34"/>
      <c r="BV5087" s="34"/>
      <c r="BZ5087" s="34"/>
      <c r="CD5087" s="34"/>
    </row>
    <row r="5088" spans="70:82" x14ac:dyDescent="0.15">
      <c r="BR5088" s="34"/>
      <c r="BV5088" s="34"/>
      <c r="BZ5088" s="34"/>
      <c r="CD5088" s="34"/>
    </row>
    <row r="5089" spans="70:82" x14ac:dyDescent="0.15">
      <c r="BR5089" s="34"/>
      <c r="BV5089" s="34"/>
      <c r="BZ5089" s="34"/>
      <c r="CD5089" s="34"/>
    </row>
    <row r="5090" spans="70:82" x14ac:dyDescent="0.15">
      <c r="BR5090" s="34"/>
      <c r="BV5090" s="34"/>
      <c r="BZ5090" s="34"/>
      <c r="CD5090" s="34"/>
    </row>
    <row r="5091" spans="70:82" x14ac:dyDescent="0.15">
      <c r="BR5091" s="34"/>
      <c r="BV5091" s="34"/>
      <c r="BZ5091" s="34"/>
      <c r="CD5091" s="34"/>
    </row>
    <row r="5092" spans="70:82" x14ac:dyDescent="0.15">
      <c r="BR5092" s="34"/>
      <c r="BV5092" s="34"/>
      <c r="BZ5092" s="34"/>
      <c r="CD5092" s="34"/>
    </row>
    <row r="5093" spans="70:82" x14ac:dyDescent="0.15">
      <c r="BR5093" s="34"/>
      <c r="BV5093" s="34"/>
      <c r="BZ5093" s="34"/>
      <c r="CD5093" s="34"/>
    </row>
    <row r="5094" spans="70:82" x14ac:dyDescent="0.15">
      <c r="BR5094" s="34"/>
      <c r="BV5094" s="34"/>
      <c r="BZ5094" s="34"/>
      <c r="CD5094" s="34"/>
    </row>
    <row r="5095" spans="70:82" x14ac:dyDescent="0.15">
      <c r="BR5095" s="34"/>
      <c r="BV5095" s="34"/>
      <c r="BZ5095" s="34"/>
      <c r="CD5095" s="34"/>
    </row>
    <row r="5096" spans="70:82" x14ac:dyDescent="0.15">
      <c r="BR5096" s="34"/>
      <c r="BV5096" s="34"/>
      <c r="BZ5096" s="34"/>
      <c r="CD5096" s="34"/>
    </row>
    <row r="5097" spans="70:82" x14ac:dyDescent="0.15">
      <c r="BR5097" s="34"/>
      <c r="BV5097" s="34"/>
      <c r="BZ5097" s="34"/>
      <c r="CD5097" s="34"/>
    </row>
    <row r="5098" spans="70:82" x14ac:dyDescent="0.15">
      <c r="BR5098" s="34"/>
      <c r="BV5098" s="34"/>
      <c r="BZ5098" s="34"/>
      <c r="CD5098" s="34"/>
    </row>
    <row r="5099" spans="70:82" x14ac:dyDescent="0.15">
      <c r="BR5099" s="34"/>
      <c r="BV5099" s="34"/>
      <c r="BZ5099" s="34"/>
      <c r="CD5099" s="34"/>
    </row>
    <row r="5100" spans="70:82" x14ac:dyDescent="0.15">
      <c r="BR5100" s="34"/>
      <c r="BV5100" s="34"/>
      <c r="BZ5100" s="34"/>
      <c r="CD5100" s="34"/>
    </row>
    <row r="5101" spans="70:82" x14ac:dyDescent="0.15">
      <c r="BR5101" s="34"/>
      <c r="BV5101" s="34"/>
      <c r="BZ5101" s="34"/>
      <c r="CD5101" s="34"/>
    </row>
    <row r="5102" spans="70:82" x14ac:dyDescent="0.15">
      <c r="BR5102" s="34"/>
      <c r="BV5102" s="34"/>
      <c r="BZ5102" s="34"/>
      <c r="CD5102" s="34"/>
    </row>
    <row r="5103" spans="70:82" x14ac:dyDescent="0.15">
      <c r="BR5103" s="34"/>
      <c r="BV5103" s="34"/>
      <c r="BZ5103" s="34"/>
      <c r="CD5103" s="34"/>
    </row>
    <row r="5104" spans="70:82" x14ac:dyDescent="0.15">
      <c r="BR5104" s="34"/>
      <c r="BV5104" s="34"/>
      <c r="BZ5104" s="34"/>
      <c r="CD5104" s="34"/>
    </row>
    <row r="5105" spans="70:82" x14ac:dyDescent="0.15">
      <c r="BR5105" s="34"/>
      <c r="BV5105" s="34"/>
      <c r="BZ5105" s="34"/>
      <c r="CD5105" s="34"/>
    </row>
    <row r="5106" spans="70:82" x14ac:dyDescent="0.15">
      <c r="BR5106" s="34"/>
      <c r="BV5106" s="34"/>
      <c r="BZ5106" s="34"/>
      <c r="CD5106" s="34"/>
    </row>
    <row r="5107" spans="70:82" x14ac:dyDescent="0.15">
      <c r="BR5107" s="34"/>
      <c r="BV5107" s="34"/>
      <c r="BZ5107" s="34"/>
      <c r="CD5107" s="34"/>
    </row>
    <row r="5108" spans="70:82" x14ac:dyDescent="0.15">
      <c r="BR5108" s="34"/>
      <c r="BV5108" s="34"/>
      <c r="BZ5108" s="34"/>
      <c r="CD5108" s="34"/>
    </row>
    <row r="5109" spans="70:82" x14ac:dyDescent="0.15">
      <c r="BR5109" s="34"/>
      <c r="BV5109" s="34"/>
      <c r="BZ5109" s="34"/>
      <c r="CD5109" s="34"/>
    </row>
    <row r="5110" spans="70:82" x14ac:dyDescent="0.15">
      <c r="BR5110" s="34"/>
      <c r="BV5110" s="34"/>
      <c r="BZ5110" s="34"/>
      <c r="CD5110" s="34"/>
    </row>
    <row r="5111" spans="70:82" x14ac:dyDescent="0.15">
      <c r="BR5111" s="34"/>
      <c r="BV5111" s="34"/>
      <c r="BZ5111" s="34"/>
      <c r="CD5111" s="34"/>
    </row>
    <row r="5112" spans="70:82" x14ac:dyDescent="0.15">
      <c r="BR5112" s="34"/>
      <c r="BV5112" s="34"/>
      <c r="BZ5112" s="34"/>
      <c r="CD5112" s="34"/>
    </row>
    <row r="5113" spans="70:82" x14ac:dyDescent="0.15">
      <c r="BR5113" s="34"/>
      <c r="BV5113" s="34"/>
      <c r="BZ5113" s="34"/>
      <c r="CD5113" s="34"/>
    </row>
    <row r="5114" spans="70:82" x14ac:dyDescent="0.15">
      <c r="BR5114" s="34"/>
      <c r="BV5114" s="34"/>
      <c r="BZ5114" s="34"/>
      <c r="CD5114" s="34"/>
    </row>
    <row r="5115" spans="70:82" x14ac:dyDescent="0.15">
      <c r="BR5115" s="34"/>
      <c r="BV5115" s="34"/>
      <c r="BZ5115" s="34"/>
      <c r="CD5115" s="34"/>
    </row>
    <row r="5116" spans="70:82" x14ac:dyDescent="0.15">
      <c r="BR5116" s="34"/>
      <c r="BV5116" s="34"/>
      <c r="BZ5116" s="34"/>
      <c r="CD5116" s="34"/>
    </row>
    <row r="5117" spans="70:82" x14ac:dyDescent="0.15">
      <c r="BR5117" s="34"/>
      <c r="BV5117" s="34"/>
      <c r="BZ5117" s="34"/>
      <c r="CD5117" s="34"/>
    </row>
    <row r="5118" spans="70:82" x14ac:dyDescent="0.15">
      <c r="BR5118" s="34"/>
      <c r="BV5118" s="34"/>
      <c r="BZ5118" s="34"/>
      <c r="CD5118" s="34"/>
    </row>
    <row r="5119" spans="70:82" x14ac:dyDescent="0.15">
      <c r="BR5119" s="34"/>
      <c r="BV5119" s="34"/>
      <c r="BZ5119" s="34"/>
      <c r="CD5119" s="34"/>
    </row>
    <row r="5120" spans="70:82" x14ac:dyDescent="0.15">
      <c r="BR5120" s="34"/>
      <c r="BV5120" s="34"/>
      <c r="BZ5120" s="34"/>
      <c r="CD5120" s="34"/>
    </row>
    <row r="5121" spans="70:82" x14ac:dyDescent="0.15">
      <c r="BR5121" s="34"/>
      <c r="BV5121" s="34"/>
      <c r="BZ5121" s="34"/>
      <c r="CD5121" s="34"/>
    </row>
    <row r="5122" spans="70:82" x14ac:dyDescent="0.15">
      <c r="BR5122" s="34"/>
      <c r="BV5122" s="34"/>
      <c r="BZ5122" s="34"/>
      <c r="CD5122" s="34"/>
    </row>
    <row r="5123" spans="70:82" x14ac:dyDescent="0.15">
      <c r="BR5123" s="34"/>
      <c r="BV5123" s="34"/>
      <c r="BZ5123" s="34"/>
      <c r="CD5123" s="34"/>
    </row>
    <row r="5124" spans="70:82" x14ac:dyDescent="0.15">
      <c r="BR5124" s="34"/>
      <c r="BV5124" s="34"/>
      <c r="BZ5124" s="34"/>
      <c r="CD5124" s="34"/>
    </row>
    <row r="5125" spans="70:82" x14ac:dyDescent="0.15">
      <c r="BR5125" s="34"/>
      <c r="BV5125" s="34"/>
      <c r="BZ5125" s="34"/>
      <c r="CD5125" s="34"/>
    </row>
    <row r="5126" spans="70:82" x14ac:dyDescent="0.15">
      <c r="BR5126" s="34"/>
      <c r="BV5126" s="34"/>
      <c r="BZ5126" s="34"/>
      <c r="CD5126" s="34"/>
    </row>
    <row r="5127" spans="70:82" x14ac:dyDescent="0.15">
      <c r="BR5127" s="34"/>
      <c r="BV5127" s="34"/>
      <c r="BZ5127" s="34"/>
      <c r="CD5127" s="34"/>
    </row>
    <row r="5128" spans="70:82" x14ac:dyDescent="0.15">
      <c r="BR5128" s="34"/>
      <c r="BV5128" s="34"/>
      <c r="BZ5128" s="34"/>
      <c r="CD5128" s="34"/>
    </row>
    <row r="5129" spans="70:82" x14ac:dyDescent="0.15">
      <c r="BR5129" s="34"/>
      <c r="BV5129" s="34"/>
      <c r="BZ5129" s="34"/>
      <c r="CD5129" s="34"/>
    </row>
    <row r="5130" spans="70:82" x14ac:dyDescent="0.15">
      <c r="BR5130" s="34"/>
      <c r="BV5130" s="34"/>
      <c r="BZ5130" s="34"/>
      <c r="CD5130" s="34"/>
    </row>
    <row r="5131" spans="70:82" x14ac:dyDescent="0.15">
      <c r="BR5131" s="34"/>
      <c r="BV5131" s="34"/>
      <c r="BZ5131" s="34"/>
      <c r="CD5131" s="34"/>
    </row>
    <row r="5132" spans="70:82" x14ac:dyDescent="0.15">
      <c r="BR5132" s="34"/>
      <c r="BV5132" s="34"/>
      <c r="BZ5132" s="34"/>
      <c r="CD5132" s="34"/>
    </row>
    <row r="5133" spans="70:82" x14ac:dyDescent="0.15">
      <c r="BR5133" s="34"/>
      <c r="BV5133" s="34"/>
      <c r="BZ5133" s="34"/>
      <c r="CD5133" s="34"/>
    </row>
    <row r="5134" spans="70:82" x14ac:dyDescent="0.15">
      <c r="BR5134" s="34"/>
      <c r="BV5134" s="34"/>
      <c r="BZ5134" s="34"/>
      <c r="CD5134" s="34"/>
    </row>
    <row r="5135" spans="70:82" x14ac:dyDescent="0.15">
      <c r="BR5135" s="34"/>
      <c r="BV5135" s="34"/>
      <c r="BZ5135" s="34"/>
      <c r="CD5135" s="34"/>
    </row>
    <row r="5136" spans="70:82" x14ac:dyDescent="0.15">
      <c r="BR5136" s="34"/>
      <c r="BV5136" s="34"/>
      <c r="BZ5136" s="34"/>
      <c r="CD5136" s="34"/>
    </row>
    <row r="5137" spans="70:82" x14ac:dyDescent="0.15">
      <c r="BR5137" s="34"/>
      <c r="BV5137" s="34"/>
      <c r="BZ5137" s="34"/>
      <c r="CD5137" s="34"/>
    </row>
    <row r="5138" spans="70:82" x14ac:dyDescent="0.15">
      <c r="BR5138" s="34"/>
      <c r="BV5138" s="34"/>
      <c r="BZ5138" s="34"/>
      <c r="CD5138" s="34"/>
    </row>
    <row r="5139" spans="70:82" x14ac:dyDescent="0.15">
      <c r="BR5139" s="34"/>
      <c r="BV5139" s="34"/>
      <c r="BZ5139" s="34"/>
      <c r="CD5139" s="34"/>
    </row>
    <row r="5140" spans="70:82" x14ac:dyDescent="0.15">
      <c r="BR5140" s="34"/>
      <c r="BV5140" s="34"/>
      <c r="BZ5140" s="34"/>
      <c r="CD5140" s="34"/>
    </row>
    <row r="5141" spans="70:82" x14ac:dyDescent="0.15">
      <c r="BR5141" s="34"/>
      <c r="BV5141" s="34"/>
      <c r="BZ5141" s="34"/>
      <c r="CD5141" s="34"/>
    </row>
    <row r="5142" spans="70:82" x14ac:dyDescent="0.15">
      <c r="BR5142" s="34"/>
      <c r="BV5142" s="34"/>
      <c r="BZ5142" s="34"/>
      <c r="CD5142" s="34"/>
    </row>
    <row r="5143" spans="70:82" x14ac:dyDescent="0.15">
      <c r="BR5143" s="34"/>
      <c r="BV5143" s="34"/>
      <c r="BZ5143" s="34"/>
      <c r="CD5143" s="34"/>
    </row>
    <row r="5144" spans="70:82" x14ac:dyDescent="0.15">
      <c r="BR5144" s="34"/>
      <c r="BV5144" s="34"/>
      <c r="BZ5144" s="34"/>
      <c r="CD5144" s="34"/>
    </row>
    <row r="5145" spans="70:82" x14ac:dyDescent="0.15">
      <c r="BR5145" s="34"/>
      <c r="BV5145" s="34"/>
      <c r="BZ5145" s="34"/>
      <c r="CD5145" s="34"/>
    </row>
    <row r="5146" spans="70:82" x14ac:dyDescent="0.15">
      <c r="BR5146" s="34"/>
      <c r="BV5146" s="34"/>
      <c r="BZ5146" s="34"/>
      <c r="CD5146" s="34"/>
    </row>
    <row r="5147" spans="70:82" x14ac:dyDescent="0.15">
      <c r="BR5147" s="34"/>
      <c r="BV5147" s="34"/>
      <c r="BZ5147" s="34"/>
      <c r="CD5147" s="34"/>
    </row>
    <row r="5148" spans="70:82" x14ac:dyDescent="0.15">
      <c r="BR5148" s="34"/>
      <c r="BV5148" s="34"/>
      <c r="BZ5148" s="34"/>
      <c r="CD5148" s="34"/>
    </row>
    <row r="5149" spans="70:82" x14ac:dyDescent="0.15">
      <c r="BR5149" s="34"/>
      <c r="BV5149" s="34"/>
      <c r="BZ5149" s="34"/>
      <c r="CD5149" s="34"/>
    </row>
    <row r="5150" spans="70:82" x14ac:dyDescent="0.15">
      <c r="BR5150" s="34"/>
      <c r="BV5150" s="34"/>
      <c r="BZ5150" s="34"/>
      <c r="CD5150" s="34"/>
    </row>
    <row r="5151" spans="70:82" x14ac:dyDescent="0.15">
      <c r="BR5151" s="34"/>
      <c r="BV5151" s="34"/>
      <c r="BZ5151" s="34"/>
      <c r="CD5151" s="34"/>
    </row>
    <row r="5152" spans="70:82" x14ac:dyDescent="0.15">
      <c r="BR5152" s="34"/>
      <c r="BV5152" s="34"/>
      <c r="BZ5152" s="34"/>
      <c r="CD5152" s="34"/>
    </row>
    <row r="5153" spans="70:82" x14ac:dyDescent="0.15">
      <c r="BR5153" s="34"/>
      <c r="BV5153" s="34"/>
      <c r="BZ5153" s="34"/>
      <c r="CD5153" s="34"/>
    </row>
    <row r="5154" spans="70:82" x14ac:dyDescent="0.15">
      <c r="BR5154" s="34"/>
      <c r="BV5154" s="34"/>
      <c r="BZ5154" s="34"/>
      <c r="CD5154" s="34"/>
    </row>
    <row r="5155" spans="70:82" x14ac:dyDescent="0.15">
      <c r="BR5155" s="34"/>
      <c r="BV5155" s="34"/>
      <c r="BZ5155" s="34"/>
      <c r="CD5155" s="34"/>
    </row>
    <row r="5156" spans="70:82" x14ac:dyDescent="0.15">
      <c r="BR5156" s="34"/>
      <c r="BV5156" s="34"/>
      <c r="BZ5156" s="34"/>
      <c r="CD5156" s="34"/>
    </row>
    <row r="5157" spans="70:82" x14ac:dyDescent="0.15">
      <c r="BR5157" s="34"/>
      <c r="BV5157" s="34"/>
      <c r="BZ5157" s="34"/>
      <c r="CD5157" s="34"/>
    </row>
    <row r="5158" spans="70:82" x14ac:dyDescent="0.15">
      <c r="BR5158" s="34"/>
      <c r="BV5158" s="34"/>
      <c r="BZ5158" s="34"/>
      <c r="CD5158" s="34"/>
    </row>
    <row r="5159" spans="70:82" x14ac:dyDescent="0.15">
      <c r="BR5159" s="34"/>
      <c r="BV5159" s="34"/>
      <c r="BZ5159" s="34"/>
      <c r="CD5159" s="34"/>
    </row>
    <row r="5160" spans="70:82" x14ac:dyDescent="0.15">
      <c r="BR5160" s="34"/>
      <c r="BV5160" s="34"/>
      <c r="BZ5160" s="34"/>
      <c r="CD5160" s="34"/>
    </row>
    <row r="5161" spans="70:82" x14ac:dyDescent="0.15">
      <c r="BR5161" s="34"/>
      <c r="BV5161" s="34"/>
      <c r="BZ5161" s="34"/>
      <c r="CD5161" s="34"/>
    </row>
    <row r="5162" spans="70:82" x14ac:dyDescent="0.15">
      <c r="BR5162" s="34"/>
      <c r="BV5162" s="34"/>
      <c r="BZ5162" s="34"/>
      <c r="CD5162" s="34"/>
    </row>
    <row r="5163" spans="70:82" x14ac:dyDescent="0.15">
      <c r="BR5163" s="34"/>
      <c r="BV5163" s="34"/>
      <c r="BZ5163" s="34"/>
      <c r="CD5163" s="34"/>
    </row>
    <row r="5164" spans="70:82" x14ac:dyDescent="0.15">
      <c r="BR5164" s="34"/>
      <c r="BV5164" s="34"/>
      <c r="BZ5164" s="34"/>
      <c r="CD5164" s="34"/>
    </row>
    <row r="5165" spans="70:82" x14ac:dyDescent="0.15">
      <c r="BR5165" s="34"/>
      <c r="BV5165" s="34"/>
      <c r="BZ5165" s="34"/>
      <c r="CD5165" s="34"/>
    </row>
    <row r="5166" spans="70:82" x14ac:dyDescent="0.15">
      <c r="BR5166" s="34"/>
      <c r="BV5166" s="34"/>
      <c r="BZ5166" s="34"/>
      <c r="CD5166" s="34"/>
    </row>
    <row r="5167" spans="70:82" x14ac:dyDescent="0.15">
      <c r="BR5167" s="34"/>
      <c r="BV5167" s="34"/>
      <c r="BZ5167" s="34"/>
      <c r="CD5167" s="34"/>
    </row>
    <row r="5168" spans="70:82" x14ac:dyDescent="0.15">
      <c r="BR5168" s="34"/>
      <c r="BV5168" s="34"/>
      <c r="BZ5168" s="34"/>
      <c r="CD5168" s="34"/>
    </row>
    <row r="5169" spans="70:82" x14ac:dyDescent="0.15">
      <c r="BR5169" s="34"/>
      <c r="BV5169" s="34"/>
      <c r="BZ5169" s="34"/>
      <c r="CD5169" s="34"/>
    </row>
    <row r="5170" spans="70:82" x14ac:dyDescent="0.15">
      <c r="BR5170" s="34"/>
      <c r="BV5170" s="34"/>
      <c r="BZ5170" s="34"/>
      <c r="CD5170" s="34"/>
    </row>
    <row r="5171" spans="70:82" x14ac:dyDescent="0.15">
      <c r="BR5171" s="34"/>
      <c r="BV5171" s="34"/>
      <c r="BZ5171" s="34"/>
      <c r="CD5171" s="34"/>
    </row>
    <row r="5172" spans="70:82" x14ac:dyDescent="0.15">
      <c r="BR5172" s="34"/>
      <c r="BV5172" s="34"/>
      <c r="BZ5172" s="34"/>
      <c r="CD5172" s="34"/>
    </row>
    <row r="5173" spans="70:82" x14ac:dyDescent="0.15">
      <c r="BR5173" s="34"/>
      <c r="BV5173" s="34"/>
      <c r="BZ5173" s="34"/>
      <c r="CD5173" s="34"/>
    </row>
    <row r="5174" spans="70:82" x14ac:dyDescent="0.15">
      <c r="BR5174" s="34"/>
      <c r="BV5174" s="34"/>
      <c r="BZ5174" s="34"/>
      <c r="CD5174" s="34"/>
    </row>
    <row r="5175" spans="70:82" x14ac:dyDescent="0.15">
      <c r="BR5175" s="34"/>
      <c r="BV5175" s="34"/>
      <c r="BZ5175" s="34"/>
      <c r="CD5175" s="34"/>
    </row>
    <row r="5176" spans="70:82" x14ac:dyDescent="0.15">
      <c r="BR5176" s="34"/>
      <c r="BV5176" s="34"/>
      <c r="BZ5176" s="34"/>
      <c r="CD5176" s="34"/>
    </row>
    <row r="5177" spans="70:82" x14ac:dyDescent="0.15">
      <c r="BR5177" s="34"/>
      <c r="BV5177" s="34"/>
      <c r="BZ5177" s="34"/>
      <c r="CD5177" s="34"/>
    </row>
    <row r="5178" spans="70:82" x14ac:dyDescent="0.15">
      <c r="BR5178" s="34"/>
      <c r="BV5178" s="34"/>
      <c r="BZ5178" s="34"/>
      <c r="CD5178" s="34"/>
    </row>
    <row r="5179" spans="70:82" x14ac:dyDescent="0.15">
      <c r="BR5179" s="34"/>
      <c r="BV5179" s="34"/>
      <c r="BZ5179" s="34"/>
      <c r="CD5179" s="34"/>
    </row>
    <row r="5180" spans="70:82" x14ac:dyDescent="0.15">
      <c r="BR5180" s="34"/>
      <c r="BV5180" s="34"/>
      <c r="BZ5180" s="34"/>
      <c r="CD5180" s="34"/>
    </row>
    <row r="5181" spans="70:82" x14ac:dyDescent="0.15">
      <c r="BR5181" s="34"/>
      <c r="BV5181" s="34"/>
      <c r="BZ5181" s="34"/>
      <c r="CD5181" s="34"/>
    </row>
    <row r="5182" spans="70:82" x14ac:dyDescent="0.15">
      <c r="BR5182" s="34"/>
      <c r="BV5182" s="34"/>
      <c r="BZ5182" s="34"/>
      <c r="CD5182" s="34"/>
    </row>
    <row r="5183" spans="70:82" x14ac:dyDescent="0.15">
      <c r="BR5183" s="34"/>
      <c r="BV5183" s="34"/>
      <c r="BZ5183" s="34"/>
      <c r="CD5183" s="34"/>
    </row>
    <row r="5184" spans="70:82" x14ac:dyDescent="0.15">
      <c r="BR5184" s="34"/>
      <c r="BV5184" s="34"/>
      <c r="BZ5184" s="34"/>
      <c r="CD5184" s="34"/>
    </row>
    <row r="5185" spans="70:82" x14ac:dyDescent="0.15">
      <c r="BR5185" s="34"/>
      <c r="BV5185" s="34"/>
      <c r="BZ5185" s="34"/>
      <c r="CD5185" s="34"/>
    </row>
    <row r="5186" spans="70:82" x14ac:dyDescent="0.15">
      <c r="BR5186" s="34"/>
      <c r="BV5186" s="34"/>
      <c r="BZ5186" s="34"/>
      <c r="CD5186" s="34"/>
    </row>
    <row r="5187" spans="70:82" x14ac:dyDescent="0.15">
      <c r="BR5187" s="34"/>
      <c r="BV5187" s="34"/>
      <c r="BZ5187" s="34"/>
      <c r="CD5187" s="34"/>
    </row>
    <row r="5188" spans="70:82" x14ac:dyDescent="0.15">
      <c r="BR5188" s="34"/>
      <c r="BV5188" s="34"/>
      <c r="BZ5188" s="34"/>
      <c r="CD5188" s="34"/>
    </row>
    <row r="5189" spans="70:82" x14ac:dyDescent="0.15">
      <c r="BR5189" s="34"/>
      <c r="BV5189" s="34"/>
      <c r="BZ5189" s="34"/>
      <c r="CD5189" s="34"/>
    </row>
    <row r="5190" spans="70:82" x14ac:dyDescent="0.15">
      <c r="BR5190" s="34"/>
      <c r="BV5190" s="34"/>
      <c r="BZ5190" s="34"/>
      <c r="CD5190" s="34"/>
    </row>
    <row r="5191" spans="70:82" x14ac:dyDescent="0.15">
      <c r="BR5191" s="34"/>
      <c r="BV5191" s="34"/>
      <c r="BZ5191" s="34"/>
      <c r="CD5191" s="34"/>
    </row>
    <row r="5192" spans="70:82" x14ac:dyDescent="0.15">
      <c r="BR5192" s="34"/>
      <c r="BV5192" s="34"/>
      <c r="BZ5192" s="34"/>
      <c r="CD5192" s="34"/>
    </row>
    <row r="5193" spans="70:82" x14ac:dyDescent="0.15">
      <c r="BR5193" s="34"/>
      <c r="BV5193" s="34"/>
      <c r="BZ5193" s="34"/>
      <c r="CD5193" s="34"/>
    </row>
    <row r="5194" spans="70:82" x14ac:dyDescent="0.15">
      <c r="BR5194" s="34"/>
      <c r="BV5194" s="34"/>
      <c r="BZ5194" s="34"/>
      <c r="CD5194" s="34"/>
    </row>
    <row r="5195" spans="70:82" x14ac:dyDescent="0.15">
      <c r="BR5195" s="34"/>
      <c r="BV5195" s="34"/>
      <c r="BZ5195" s="34"/>
      <c r="CD5195" s="34"/>
    </row>
    <row r="5196" spans="70:82" x14ac:dyDescent="0.15">
      <c r="BR5196" s="34"/>
      <c r="BV5196" s="34"/>
      <c r="BZ5196" s="34"/>
      <c r="CD5196" s="34"/>
    </row>
    <row r="5197" spans="70:82" x14ac:dyDescent="0.15">
      <c r="BR5197" s="34"/>
      <c r="BV5197" s="34"/>
      <c r="BZ5197" s="34"/>
      <c r="CD5197" s="34"/>
    </row>
    <row r="5198" spans="70:82" x14ac:dyDescent="0.15">
      <c r="BR5198" s="34"/>
      <c r="BV5198" s="34"/>
      <c r="BZ5198" s="34"/>
      <c r="CD5198" s="34"/>
    </row>
    <row r="5199" spans="70:82" x14ac:dyDescent="0.15">
      <c r="BR5199" s="34"/>
      <c r="BV5199" s="34"/>
      <c r="BZ5199" s="34"/>
      <c r="CD5199" s="34"/>
    </row>
    <row r="5200" spans="70:82" x14ac:dyDescent="0.15">
      <c r="BR5200" s="34"/>
      <c r="BV5200" s="34"/>
      <c r="BZ5200" s="34"/>
      <c r="CD5200" s="34"/>
    </row>
    <row r="5201" spans="70:82" x14ac:dyDescent="0.15">
      <c r="BR5201" s="34"/>
      <c r="BV5201" s="34"/>
      <c r="BZ5201" s="34"/>
      <c r="CD5201" s="34"/>
    </row>
    <row r="5202" spans="70:82" x14ac:dyDescent="0.15">
      <c r="BR5202" s="34"/>
      <c r="BV5202" s="34"/>
      <c r="BZ5202" s="34"/>
      <c r="CD5202" s="34"/>
    </row>
    <row r="5203" spans="70:82" x14ac:dyDescent="0.15">
      <c r="BR5203" s="34"/>
      <c r="BV5203" s="34"/>
      <c r="BZ5203" s="34"/>
      <c r="CD5203" s="34"/>
    </row>
    <row r="5204" spans="70:82" x14ac:dyDescent="0.15">
      <c r="BR5204" s="34"/>
      <c r="BV5204" s="34"/>
      <c r="BZ5204" s="34"/>
      <c r="CD5204" s="34"/>
    </row>
    <row r="5205" spans="70:82" x14ac:dyDescent="0.15">
      <c r="BR5205" s="34"/>
      <c r="BV5205" s="34"/>
      <c r="BZ5205" s="34"/>
      <c r="CD5205" s="34"/>
    </row>
    <row r="5206" spans="70:82" x14ac:dyDescent="0.15">
      <c r="BR5206" s="34"/>
      <c r="BV5206" s="34"/>
      <c r="BZ5206" s="34"/>
      <c r="CD5206" s="34"/>
    </row>
    <row r="5207" spans="70:82" x14ac:dyDescent="0.15">
      <c r="BR5207" s="34"/>
      <c r="BV5207" s="34"/>
      <c r="BZ5207" s="34"/>
      <c r="CD5207" s="34"/>
    </row>
    <row r="5208" spans="70:82" x14ac:dyDescent="0.15">
      <c r="BR5208" s="34"/>
      <c r="BV5208" s="34"/>
      <c r="BZ5208" s="34"/>
      <c r="CD5208" s="34"/>
    </row>
    <row r="5209" spans="70:82" x14ac:dyDescent="0.15">
      <c r="BR5209" s="34"/>
      <c r="BV5209" s="34"/>
      <c r="BZ5209" s="34"/>
      <c r="CD5209" s="34"/>
    </row>
    <row r="5210" spans="70:82" x14ac:dyDescent="0.15">
      <c r="BR5210" s="34"/>
      <c r="BV5210" s="34"/>
      <c r="BZ5210" s="34"/>
      <c r="CD5210" s="34"/>
    </row>
    <row r="5211" spans="70:82" x14ac:dyDescent="0.15">
      <c r="BR5211" s="34"/>
      <c r="BV5211" s="34"/>
      <c r="BZ5211" s="34"/>
      <c r="CD5211" s="34"/>
    </row>
    <row r="5212" spans="70:82" x14ac:dyDescent="0.15">
      <c r="BR5212" s="34"/>
      <c r="BV5212" s="34"/>
      <c r="BZ5212" s="34"/>
      <c r="CD5212" s="34"/>
    </row>
    <row r="5213" spans="70:82" x14ac:dyDescent="0.15">
      <c r="BR5213" s="34"/>
      <c r="BV5213" s="34"/>
      <c r="BZ5213" s="34"/>
      <c r="CD5213" s="34"/>
    </row>
    <row r="5214" spans="70:82" x14ac:dyDescent="0.15">
      <c r="BR5214" s="34"/>
      <c r="BV5214" s="34"/>
      <c r="BZ5214" s="34"/>
      <c r="CD5214" s="34"/>
    </row>
    <row r="5215" spans="70:82" x14ac:dyDescent="0.15">
      <c r="BR5215" s="34"/>
      <c r="BV5215" s="34"/>
      <c r="BZ5215" s="34"/>
      <c r="CD5215" s="34"/>
    </row>
    <row r="5216" spans="70:82" x14ac:dyDescent="0.15">
      <c r="BR5216" s="34"/>
      <c r="BV5216" s="34"/>
      <c r="BZ5216" s="34"/>
      <c r="CD5216" s="34"/>
    </row>
    <row r="5217" spans="70:82" x14ac:dyDescent="0.15">
      <c r="BR5217" s="34"/>
      <c r="BV5217" s="34"/>
      <c r="BZ5217" s="34"/>
      <c r="CD5217" s="34"/>
    </row>
    <row r="5218" spans="70:82" x14ac:dyDescent="0.15">
      <c r="BR5218" s="34"/>
      <c r="BV5218" s="34"/>
      <c r="BZ5218" s="34"/>
      <c r="CD5218" s="34"/>
    </row>
    <row r="5219" spans="70:82" x14ac:dyDescent="0.15">
      <c r="BR5219" s="34"/>
      <c r="BV5219" s="34"/>
      <c r="BZ5219" s="34"/>
      <c r="CD5219" s="34"/>
    </row>
    <row r="5220" spans="70:82" x14ac:dyDescent="0.15">
      <c r="BR5220" s="34"/>
      <c r="BV5220" s="34"/>
      <c r="BZ5220" s="34"/>
      <c r="CD5220" s="34"/>
    </row>
    <row r="5221" spans="70:82" x14ac:dyDescent="0.15">
      <c r="BR5221" s="34"/>
      <c r="BV5221" s="34"/>
      <c r="BZ5221" s="34"/>
      <c r="CD5221" s="34"/>
    </row>
    <row r="5222" spans="70:82" x14ac:dyDescent="0.15">
      <c r="BR5222" s="34"/>
      <c r="BV5222" s="34"/>
      <c r="BZ5222" s="34"/>
      <c r="CD5222" s="34"/>
    </row>
    <row r="5223" spans="70:82" x14ac:dyDescent="0.15">
      <c r="BR5223" s="34"/>
      <c r="BV5223" s="34"/>
      <c r="BZ5223" s="34"/>
      <c r="CD5223" s="34"/>
    </row>
    <row r="5224" spans="70:82" x14ac:dyDescent="0.15">
      <c r="BR5224" s="34"/>
      <c r="BV5224" s="34"/>
      <c r="BZ5224" s="34"/>
      <c r="CD5224" s="34"/>
    </row>
    <row r="5225" spans="70:82" x14ac:dyDescent="0.15">
      <c r="BR5225" s="34"/>
      <c r="BV5225" s="34"/>
      <c r="BZ5225" s="34"/>
      <c r="CD5225" s="34"/>
    </row>
    <row r="5226" spans="70:82" x14ac:dyDescent="0.15">
      <c r="BR5226" s="34"/>
      <c r="BV5226" s="34"/>
      <c r="BZ5226" s="34"/>
      <c r="CD5226" s="34"/>
    </row>
    <row r="5227" spans="70:82" x14ac:dyDescent="0.15">
      <c r="BR5227" s="34"/>
      <c r="BV5227" s="34"/>
      <c r="BZ5227" s="34"/>
      <c r="CD5227" s="34"/>
    </row>
    <row r="5228" spans="70:82" x14ac:dyDescent="0.15">
      <c r="BR5228" s="34"/>
      <c r="BV5228" s="34"/>
      <c r="BZ5228" s="34"/>
      <c r="CD5228" s="34"/>
    </row>
    <row r="5229" spans="70:82" x14ac:dyDescent="0.15">
      <c r="BR5229" s="34"/>
      <c r="BV5229" s="34"/>
      <c r="BZ5229" s="34"/>
      <c r="CD5229" s="34"/>
    </row>
    <row r="5230" spans="70:82" x14ac:dyDescent="0.15">
      <c r="BR5230" s="34"/>
      <c r="BV5230" s="34"/>
      <c r="BZ5230" s="34"/>
      <c r="CD5230" s="34"/>
    </row>
    <row r="5231" spans="70:82" x14ac:dyDescent="0.15">
      <c r="BR5231" s="34"/>
      <c r="BV5231" s="34"/>
      <c r="BZ5231" s="34"/>
      <c r="CD5231" s="34"/>
    </row>
    <row r="5232" spans="70:82" x14ac:dyDescent="0.15">
      <c r="BR5232" s="34"/>
      <c r="BV5232" s="34"/>
      <c r="BZ5232" s="34"/>
      <c r="CD5232" s="34"/>
    </row>
    <row r="5233" spans="70:82" x14ac:dyDescent="0.15">
      <c r="BR5233" s="34"/>
      <c r="BV5233" s="34"/>
      <c r="BZ5233" s="34"/>
      <c r="CD5233" s="34"/>
    </row>
    <row r="5234" spans="70:82" x14ac:dyDescent="0.15">
      <c r="BR5234" s="34"/>
      <c r="BV5234" s="34"/>
      <c r="BZ5234" s="34"/>
      <c r="CD5234" s="34"/>
    </row>
    <row r="5235" spans="70:82" x14ac:dyDescent="0.15">
      <c r="BR5235" s="34"/>
      <c r="BV5235" s="34"/>
      <c r="BZ5235" s="34"/>
      <c r="CD5235" s="34"/>
    </row>
    <row r="5236" spans="70:82" x14ac:dyDescent="0.15">
      <c r="BR5236" s="34"/>
      <c r="BV5236" s="34"/>
      <c r="BZ5236" s="34"/>
      <c r="CD5236" s="34"/>
    </row>
    <row r="5237" spans="70:82" x14ac:dyDescent="0.15">
      <c r="BR5237" s="34"/>
      <c r="BV5237" s="34"/>
      <c r="BZ5237" s="34"/>
      <c r="CD5237" s="34"/>
    </row>
    <row r="5238" spans="70:82" x14ac:dyDescent="0.15">
      <c r="BR5238" s="34"/>
      <c r="BV5238" s="34"/>
      <c r="BZ5238" s="34"/>
      <c r="CD5238" s="34"/>
    </row>
    <row r="5239" spans="70:82" x14ac:dyDescent="0.15">
      <c r="BR5239" s="34"/>
      <c r="BV5239" s="34"/>
      <c r="BZ5239" s="34"/>
      <c r="CD5239" s="34"/>
    </row>
    <row r="5240" spans="70:82" x14ac:dyDescent="0.15">
      <c r="BR5240" s="34"/>
      <c r="BV5240" s="34"/>
      <c r="BZ5240" s="34"/>
      <c r="CD5240" s="34"/>
    </row>
    <row r="5241" spans="70:82" x14ac:dyDescent="0.15">
      <c r="BR5241" s="34"/>
      <c r="BV5241" s="34"/>
      <c r="BZ5241" s="34"/>
      <c r="CD5241" s="34"/>
    </row>
    <row r="5242" spans="70:82" x14ac:dyDescent="0.15">
      <c r="BR5242" s="34"/>
      <c r="BV5242" s="34"/>
      <c r="BZ5242" s="34"/>
      <c r="CD5242" s="34"/>
    </row>
    <row r="5243" spans="70:82" x14ac:dyDescent="0.15">
      <c r="BR5243" s="34"/>
      <c r="BV5243" s="34"/>
      <c r="BZ5243" s="34"/>
      <c r="CD5243" s="34"/>
    </row>
    <row r="5244" spans="70:82" x14ac:dyDescent="0.15">
      <c r="BR5244" s="34"/>
      <c r="BV5244" s="34"/>
      <c r="BZ5244" s="34"/>
      <c r="CD5244" s="34"/>
    </row>
    <row r="5245" spans="70:82" x14ac:dyDescent="0.15">
      <c r="BR5245" s="34"/>
      <c r="BV5245" s="34"/>
      <c r="BZ5245" s="34"/>
      <c r="CD5245" s="34"/>
    </row>
    <row r="5246" spans="70:82" x14ac:dyDescent="0.15">
      <c r="BR5246" s="34"/>
      <c r="BV5246" s="34"/>
      <c r="BZ5246" s="34"/>
      <c r="CD5246" s="34"/>
    </row>
    <row r="5247" spans="70:82" x14ac:dyDescent="0.15">
      <c r="BR5247" s="34"/>
      <c r="BV5247" s="34"/>
      <c r="BZ5247" s="34"/>
      <c r="CD5247" s="34"/>
    </row>
    <row r="5248" spans="70:82" x14ac:dyDescent="0.15">
      <c r="BR5248" s="34"/>
      <c r="BV5248" s="34"/>
      <c r="BZ5248" s="34"/>
      <c r="CD5248" s="34"/>
    </row>
    <row r="5249" spans="70:82" x14ac:dyDescent="0.15">
      <c r="BR5249" s="34"/>
      <c r="BV5249" s="34"/>
      <c r="BZ5249" s="34"/>
      <c r="CD5249" s="34"/>
    </row>
    <row r="5250" spans="70:82" x14ac:dyDescent="0.15">
      <c r="BR5250" s="34"/>
      <c r="BV5250" s="34"/>
      <c r="BZ5250" s="34"/>
      <c r="CD5250" s="34"/>
    </row>
    <row r="5251" spans="70:82" x14ac:dyDescent="0.15">
      <c r="BR5251" s="34"/>
      <c r="BV5251" s="34"/>
      <c r="BZ5251" s="34"/>
      <c r="CD5251" s="34"/>
    </row>
    <row r="5252" spans="70:82" x14ac:dyDescent="0.15">
      <c r="BR5252" s="34"/>
      <c r="BV5252" s="34"/>
      <c r="BZ5252" s="34"/>
      <c r="CD5252" s="34"/>
    </row>
    <row r="5253" spans="70:82" x14ac:dyDescent="0.15">
      <c r="BR5253" s="34"/>
      <c r="BV5253" s="34"/>
      <c r="BZ5253" s="34"/>
      <c r="CD5253" s="34"/>
    </row>
    <row r="5254" spans="70:82" x14ac:dyDescent="0.15">
      <c r="BR5254" s="34"/>
      <c r="BV5254" s="34"/>
      <c r="BZ5254" s="34"/>
      <c r="CD5254" s="34"/>
    </row>
    <row r="5255" spans="70:82" x14ac:dyDescent="0.15">
      <c r="BR5255" s="34"/>
      <c r="BV5255" s="34"/>
      <c r="BZ5255" s="34"/>
      <c r="CD5255" s="34"/>
    </row>
    <row r="5256" spans="70:82" x14ac:dyDescent="0.15">
      <c r="BR5256" s="34"/>
      <c r="BV5256" s="34"/>
      <c r="BZ5256" s="34"/>
      <c r="CD5256" s="34"/>
    </row>
    <row r="5257" spans="70:82" x14ac:dyDescent="0.15">
      <c r="BR5257" s="34"/>
      <c r="BV5257" s="34"/>
      <c r="BZ5257" s="34"/>
      <c r="CD5257" s="34"/>
    </row>
    <row r="5258" spans="70:82" x14ac:dyDescent="0.15">
      <c r="BR5258" s="34"/>
      <c r="BV5258" s="34"/>
      <c r="BZ5258" s="34"/>
      <c r="CD5258" s="34"/>
    </row>
    <row r="5259" spans="70:82" x14ac:dyDescent="0.15">
      <c r="BR5259" s="34"/>
      <c r="BV5259" s="34"/>
      <c r="BZ5259" s="34"/>
      <c r="CD5259" s="34"/>
    </row>
    <row r="5260" spans="70:82" x14ac:dyDescent="0.15">
      <c r="BR5260" s="34"/>
      <c r="BV5260" s="34"/>
      <c r="BZ5260" s="34"/>
      <c r="CD5260" s="34"/>
    </row>
    <row r="5261" spans="70:82" x14ac:dyDescent="0.15">
      <c r="BR5261" s="34"/>
      <c r="BV5261" s="34"/>
      <c r="BZ5261" s="34"/>
      <c r="CD5261" s="34"/>
    </row>
    <row r="5262" spans="70:82" x14ac:dyDescent="0.15">
      <c r="BR5262" s="34"/>
      <c r="BV5262" s="34"/>
      <c r="BZ5262" s="34"/>
      <c r="CD5262" s="34"/>
    </row>
    <row r="5263" spans="70:82" x14ac:dyDescent="0.15">
      <c r="BR5263" s="34"/>
      <c r="BV5263" s="34"/>
      <c r="BZ5263" s="34"/>
      <c r="CD5263" s="34"/>
    </row>
    <row r="5264" spans="70:82" x14ac:dyDescent="0.15">
      <c r="BR5264" s="34"/>
      <c r="BV5264" s="34"/>
      <c r="BZ5264" s="34"/>
      <c r="CD5264" s="34"/>
    </row>
    <row r="5265" spans="70:82" x14ac:dyDescent="0.15">
      <c r="BR5265" s="34"/>
      <c r="BV5265" s="34"/>
      <c r="BZ5265" s="34"/>
      <c r="CD5265" s="34"/>
    </row>
    <row r="5266" spans="70:82" x14ac:dyDescent="0.15">
      <c r="BR5266" s="34"/>
      <c r="BV5266" s="34"/>
      <c r="BZ5266" s="34"/>
      <c r="CD5266" s="34"/>
    </row>
    <row r="5267" spans="70:82" x14ac:dyDescent="0.15">
      <c r="BR5267" s="34"/>
      <c r="BV5267" s="34"/>
      <c r="BZ5267" s="34"/>
      <c r="CD5267" s="34"/>
    </row>
    <row r="5268" spans="70:82" x14ac:dyDescent="0.15">
      <c r="BR5268" s="34"/>
      <c r="BV5268" s="34"/>
      <c r="BZ5268" s="34"/>
      <c r="CD5268" s="34"/>
    </row>
    <row r="5269" spans="70:82" x14ac:dyDescent="0.15">
      <c r="BR5269" s="34"/>
      <c r="BV5269" s="34"/>
      <c r="BZ5269" s="34"/>
      <c r="CD5269" s="34"/>
    </row>
    <row r="5270" spans="70:82" x14ac:dyDescent="0.15">
      <c r="BR5270" s="34"/>
      <c r="BV5270" s="34"/>
      <c r="BZ5270" s="34"/>
      <c r="CD5270" s="34"/>
    </row>
    <row r="5271" spans="70:82" x14ac:dyDescent="0.15">
      <c r="BR5271" s="34"/>
      <c r="BV5271" s="34"/>
      <c r="BZ5271" s="34"/>
      <c r="CD5271" s="34"/>
    </row>
    <row r="5272" spans="70:82" x14ac:dyDescent="0.15">
      <c r="BR5272" s="34"/>
      <c r="BV5272" s="34"/>
      <c r="BZ5272" s="34"/>
      <c r="CD5272" s="34"/>
    </row>
    <row r="5273" spans="70:82" x14ac:dyDescent="0.15">
      <c r="BR5273" s="34"/>
      <c r="BV5273" s="34"/>
      <c r="BZ5273" s="34"/>
      <c r="CD5273" s="34"/>
    </row>
    <row r="5274" spans="70:82" x14ac:dyDescent="0.15">
      <c r="BR5274" s="34"/>
      <c r="BV5274" s="34"/>
      <c r="BZ5274" s="34"/>
      <c r="CD5274" s="34"/>
    </row>
    <row r="5275" spans="70:82" x14ac:dyDescent="0.15">
      <c r="BR5275" s="34"/>
      <c r="BV5275" s="34"/>
      <c r="BZ5275" s="34"/>
      <c r="CD5275" s="34"/>
    </row>
    <row r="5276" spans="70:82" x14ac:dyDescent="0.15">
      <c r="BR5276" s="34"/>
      <c r="BV5276" s="34"/>
      <c r="BZ5276" s="34"/>
      <c r="CD5276" s="34"/>
    </row>
    <row r="5277" spans="70:82" x14ac:dyDescent="0.15">
      <c r="BR5277" s="34"/>
      <c r="BV5277" s="34"/>
      <c r="BZ5277" s="34"/>
      <c r="CD5277" s="34"/>
    </row>
    <row r="5278" spans="70:82" x14ac:dyDescent="0.15">
      <c r="BR5278" s="34"/>
      <c r="BV5278" s="34"/>
      <c r="BZ5278" s="34"/>
      <c r="CD5278" s="34"/>
    </row>
    <row r="5279" spans="70:82" x14ac:dyDescent="0.15">
      <c r="BR5279" s="34"/>
      <c r="BV5279" s="34"/>
      <c r="BZ5279" s="34"/>
      <c r="CD5279" s="34"/>
    </row>
    <row r="5280" spans="70:82" x14ac:dyDescent="0.15">
      <c r="BR5280" s="34"/>
      <c r="BV5280" s="34"/>
      <c r="BZ5280" s="34"/>
      <c r="CD5280" s="34"/>
    </row>
    <row r="5281" spans="70:82" x14ac:dyDescent="0.15">
      <c r="BR5281" s="34"/>
      <c r="BV5281" s="34"/>
      <c r="BZ5281" s="34"/>
      <c r="CD5281" s="34"/>
    </row>
    <row r="5282" spans="70:82" x14ac:dyDescent="0.15">
      <c r="BR5282" s="34"/>
      <c r="BV5282" s="34"/>
      <c r="BZ5282" s="34"/>
      <c r="CD5282" s="34"/>
    </row>
    <row r="5283" spans="70:82" x14ac:dyDescent="0.15">
      <c r="BR5283" s="34"/>
      <c r="BV5283" s="34"/>
      <c r="BZ5283" s="34"/>
      <c r="CD5283" s="34"/>
    </row>
    <row r="5284" spans="70:82" x14ac:dyDescent="0.15">
      <c r="BR5284" s="34"/>
      <c r="BV5284" s="34"/>
      <c r="BZ5284" s="34"/>
      <c r="CD5284" s="34"/>
    </row>
    <row r="5285" spans="70:82" x14ac:dyDescent="0.15">
      <c r="BR5285" s="34"/>
      <c r="BV5285" s="34"/>
      <c r="BZ5285" s="34"/>
      <c r="CD5285" s="34"/>
    </row>
    <row r="5286" spans="70:82" x14ac:dyDescent="0.15">
      <c r="BR5286" s="34"/>
      <c r="BV5286" s="34"/>
      <c r="BZ5286" s="34"/>
      <c r="CD5286" s="34"/>
    </row>
    <row r="5287" spans="70:82" x14ac:dyDescent="0.15">
      <c r="BR5287" s="34"/>
      <c r="BV5287" s="34"/>
      <c r="BZ5287" s="34"/>
      <c r="CD5287" s="34"/>
    </row>
    <row r="5288" spans="70:82" x14ac:dyDescent="0.15">
      <c r="BR5288" s="34"/>
      <c r="BV5288" s="34"/>
      <c r="BZ5288" s="34"/>
      <c r="CD5288" s="34"/>
    </row>
    <row r="5289" spans="70:82" x14ac:dyDescent="0.15">
      <c r="BR5289" s="34"/>
      <c r="BV5289" s="34"/>
      <c r="BZ5289" s="34"/>
      <c r="CD5289" s="34"/>
    </row>
    <row r="5290" spans="70:82" x14ac:dyDescent="0.15">
      <c r="BR5290" s="34"/>
      <c r="BV5290" s="34"/>
      <c r="BZ5290" s="34"/>
      <c r="CD5290" s="34"/>
    </row>
    <row r="5291" spans="70:82" x14ac:dyDescent="0.15">
      <c r="BR5291" s="34"/>
      <c r="BV5291" s="34"/>
      <c r="BZ5291" s="34"/>
      <c r="CD5291" s="34"/>
    </row>
    <row r="5292" spans="70:82" x14ac:dyDescent="0.15">
      <c r="BR5292" s="34"/>
      <c r="BV5292" s="34"/>
      <c r="BZ5292" s="34"/>
      <c r="CD5292" s="34"/>
    </row>
    <row r="5293" spans="70:82" x14ac:dyDescent="0.15">
      <c r="BR5293" s="34"/>
      <c r="BV5293" s="34"/>
      <c r="BZ5293" s="34"/>
      <c r="CD5293" s="34"/>
    </row>
    <row r="5294" spans="70:82" x14ac:dyDescent="0.15">
      <c r="BR5294" s="34"/>
      <c r="BV5294" s="34"/>
      <c r="BZ5294" s="34"/>
      <c r="CD5294" s="34"/>
    </row>
    <row r="5295" spans="70:82" x14ac:dyDescent="0.15">
      <c r="BR5295" s="34"/>
      <c r="BV5295" s="34"/>
      <c r="BZ5295" s="34"/>
      <c r="CD5295" s="34"/>
    </row>
    <row r="5296" spans="70:82" x14ac:dyDescent="0.15">
      <c r="BR5296" s="34"/>
      <c r="BV5296" s="34"/>
      <c r="BZ5296" s="34"/>
      <c r="CD5296" s="34"/>
    </row>
    <row r="5297" spans="70:82" x14ac:dyDescent="0.15">
      <c r="BR5297" s="34"/>
      <c r="BV5297" s="34"/>
      <c r="BZ5297" s="34"/>
      <c r="CD5297" s="34"/>
    </row>
    <row r="5298" spans="70:82" x14ac:dyDescent="0.15">
      <c r="BR5298" s="34"/>
      <c r="BV5298" s="34"/>
      <c r="BZ5298" s="34"/>
      <c r="CD5298" s="34"/>
    </row>
    <row r="5299" spans="70:82" x14ac:dyDescent="0.15">
      <c r="BR5299" s="34"/>
      <c r="BV5299" s="34"/>
      <c r="BZ5299" s="34"/>
      <c r="CD5299" s="34"/>
    </row>
    <row r="5300" spans="70:82" x14ac:dyDescent="0.15">
      <c r="BR5300" s="34"/>
      <c r="BV5300" s="34"/>
      <c r="BZ5300" s="34"/>
      <c r="CD5300" s="34"/>
    </row>
    <row r="5301" spans="70:82" x14ac:dyDescent="0.15">
      <c r="BR5301" s="34"/>
      <c r="BV5301" s="34"/>
      <c r="BZ5301" s="34"/>
      <c r="CD5301" s="34"/>
    </row>
    <row r="5302" spans="70:82" x14ac:dyDescent="0.15">
      <c r="BR5302" s="34"/>
      <c r="BV5302" s="34"/>
      <c r="BZ5302" s="34"/>
      <c r="CD5302" s="34"/>
    </row>
    <row r="5303" spans="70:82" x14ac:dyDescent="0.15">
      <c r="BR5303" s="34"/>
      <c r="BV5303" s="34"/>
      <c r="BZ5303" s="34"/>
      <c r="CD5303" s="34"/>
    </row>
    <row r="5304" spans="70:82" x14ac:dyDescent="0.15">
      <c r="BR5304" s="34"/>
      <c r="BV5304" s="34"/>
      <c r="BZ5304" s="34"/>
      <c r="CD5304" s="34"/>
    </row>
    <row r="5305" spans="70:82" x14ac:dyDescent="0.15">
      <c r="BR5305" s="34"/>
      <c r="BV5305" s="34"/>
      <c r="BZ5305" s="34"/>
      <c r="CD5305" s="34"/>
    </row>
    <row r="5306" spans="70:82" x14ac:dyDescent="0.15">
      <c r="BR5306" s="34"/>
      <c r="BV5306" s="34"/>
      <c r="BZ5306" s="34"/>
      <c r="CD5306" s="34"/>
    </row>
    <row r="5307" spans="70:82" x14ac:dyDescent="0.15">
      <c r="BR5307" s="34"/>
      <c r="BV5307" s="34"/>
      <c r="BZ5307" s="34"/>
      <c r="CD5307" s="34"/>
    </row>
    <row r="5308" spans="70:82" x14ac:dyDescent="0.15">
      <c r="BR5308" s="34"/>
      <c r="BV5308" s="34"/>
      <c r="BZ5308" s="34"/>
      <c r="CD5308" s="34"/>
    </row>
    <row r="5309" spans="70:82" x14ac:dyDescent="0.15">
      <c r="BR5309" s="34"/>
      <c r="BV5309" s="34"/>
      <c r="BZ5309" s="34"/>
      <c r="CD5309" s="34"/>
    </row>
    <row r="5310" spans="70:82" x14ac:dyDescent="0.15">
      <c r="BR5310" s="34"/>
      <c r="BV5310" s="34"/>
      <c r="BZ5310" s="34"/>
      <c r="CD5310" s="34"/>
    </row>
    <row r="5311" spans="70:82" x14ac:dyDescent="0.15">
      <c r="BR5311" s="34"/>
      <c r="BV5311" s="34"/>
      <c r="BZ5311" s="34"/>
      <c r="CD5311" s="34"/>
    </row>
    <row r="5312" spans="70:82" x14ac:dyDescent="0.15">
      <c r="BR5312" s="34"/>
      <c r="BV5312" s="34"/>
      <c r="BZ5312" s="34"/>
      <c r="CD5312" s="34"/>
    </row>
    <row r="5313" spans="70:82" x14ac:dyDescent="0.15">
      <c r="BR5313" s="34"/>
      <c r="BV5313" s="34"/>
      <c r="BZ5313" s="34"/>
      <c r="CD5313" s="34"/>
    </row>
    <row r="5314" spans="70:82" x14ac:dyDescent="0.15">
      <c r="BR5314" s="34"/>
      <c r="BV5314" s="34"/>
      <c r="BZ5314" s="34"/>
      <c r="CD5314" s="34"/>
    </row>
    <row r="5315" spans="70:82" x14ac:dyDescent="0.15">
      <c r="BR5315" s="34"/>
      <c r="BV5315" s="34"/>
      <c r="BZ5315" s="34"/>
      <c r="CD5315" s="34"/>
    </row>
    <row r="5316" spans="70:82" x14ac:dyDescent="0.15">
      <c r="BR5316" s="34"/>
      <c r="BV5316" s="34"/>
      <c r="BZ5316" s="34"/>
      <c r="CD5316" s="34"/>
    </row>
    <row r="5317" spans="70:82" x14ac:dyDescent="0.15">
      <c r="BR5317" s="34"/>
      <c r="BV5317" s="34"/>
      <c r="BZ5317" s="34"/>
      <c r="CD5317" s="34"/>
    </row>
    <row r="5318" spans="70:82" x14ac:dyDescent="0.15">
      <c r="BR5318" s="34"/>
      <c r="BV5318" s="34"/>
      <c r="BZ5318" s="34"/>
      <c r="CD5318" s="34"/>
    </row>
    <row r="5319" spans="70:82" x14ac:dyDescent="0.15">
      <c r="BR5319" s="34"/>
      <c r="BV5319" s="34"/>
      <c r="BZ5319" s="34"/>
      <c r="CD5319" s="34"/>
    </row>
    <row r="5320" spans="70:82" x14ac:dyDescent="0.15">
      <c r="BR5320" s="34"/>
      <c r="BV5320" s="34"/>
      <c r="BZ5320" s="34"/>
      <c r="CD5320" s="34"/>
    </row>
    <row r="5321" spans="70:82" x14ac:dyDescent="0.15">
      <c r="BR5321" s="34"/>
      <c r="BV5321" s="34"/>
      <c r="BZ5321" s="34"/>
      <c r="CD5321" s="34"/>
    </row>
    <row r="5322" spans="70:82" x14ac:dyDescent="0.15">
      <c r="BR5322" s="34"/>
      <c r="BV5322" s="34"/>
      <c r="BZ5322" s="34"/>
      <c r="CD5322" s="34"/>
    </row>
    <row r="5323" spans="70:82" x14ac:dyDescent="0.15">
      <c r="BR5323" s="34"/>
      <c r="BV5323" s="34"/>
      <c r="BZ5323" s="34"/>
      <c r="CD5323" s="34"/>
    </row>
    <row r="5324" spans="70:82" x14ac:dyDescent="0.15">
      <c r="BR5324" s="34"/>
      <c r="BV5324" s="34"/>
      <c r="BZ5324" s="34"/>
      <c r="CD5324" s="34"/>
    </row>
    <row r="5325" spans="70:82" x14ac:dyDescent="0.15">
      <c r="BR5325" s="34"/>
      <c r="BV5325" s="34"/>
      <c r="BZ5325" s="34"/>
      <c r="CD5325" s="34"/>
    </row>
    <row r="5326" spans="70:82" x14ac:dyDescent="0.15">
      <c r="BR5326" s="34"/>
      <c r="BV5326" s="34"/>
      <c r="BZ5326" s="34"/>
      <c r="CD5326" s="34"/>
    </row>
    <row r="5327" spans="70:82" x14ac:dyDescent="0.15">
      <c r="BR5327" s="34"/>
      <c r="BV5327" s="34"/>
      <c r="BZ5327" s="34"/>
      <c r="CD5327" s="34"/>
    </row>
    <row r="5328" spans="70:82" x14ac:dyDescent="0.15">
      <c r="BR5328" s="34"/>
      <c r="BV5328" s="34"/>
      <c r="BZ5328" s="34"/>
      <c r="CD5328" s="34"/>
    </row>
    <row r="5329" spans="70:82" x14ac:dyDescent="0.15">
      <c r="BR5329" s="34"/>
      <c r="BV5329" s="34"/>
      <c r="BZ5329" s="34"/>
      <c r="CD5329" s="34"/>
    </row>
    <row r="5330" spans="70:82" x14ac:dyDescent="0.15">
      <c r="BR5330" s="34"/>
      <c r="BV5330" s="34"/>
      <c r="BZ5330" s="34"/>
      <c r="CD5330" s="34"/>
    </row>
    <row r="5331" spans="70:82" x14ac:dyDescent="0.15">
      <c r="BR5331" s="34"/>
      <c r="BV5331" s="34"/>
      <c r="BZ5331" s="34"/>
      <c r="CD5331" s="34"/>
    </row>
    <row r="5332" spans="70:82" x14ac:dyDescent="0.15">
      <c r="BR5332" s="34"/>
      <c r="BV5332" s="34"/>
      <c r="BZ5332" s="34"/>
      <c r="CD5332" s="34"/>
    </row>
    <row r="5333" spans="70:82" x14ac:dyDescent="0.15">
      <c r="BR5333" s="34"/>
      <c r="BV5333" s="34"/>
      <c r="BZ5333" s="34"/>
      <c r="CD5333" s="34"/>
    </row>
    <row r="5334" spans="70:82" x14ac:dyDescent="0.15">
      <c r="BR5334" s="34"/>
      <c r="BV5334" s="34"/>
      <c r="BZ5334" s="34"/>
      <c r="CD5334" s="34"/>
    </row>
    <row r="5335" spans="70:82" x14ac:dyDescent="0.15">
      <c r="BR5335" s="34"/>
      <c r="BV5335" s="34"/>
      <c r="BZ5335" s="34"/>
      <c r="CD5335" s="34"/>
    </row>
    <row r="5336" spans="70:82" x14ac:dyDescent="0.15">
      <c r="BR5336" s="34"/>
      <c r="BV5336" s="34"/>
      <c r="BZ5336" s="34"/>
      <c r="CD5336" s="34"/>
    </row>
    <row r="5337" spans="70:82" x14ac:dyDescent="0.15">
      <c r="BR5337" s="34"/>
      <c r="BV5337" s="34"/>
      <c r="BZ5337" s="34"/>
      <c r="CD5337" s="34"/>
    </row>
    <row r="5338" spans="70:82" x14ac:dyDescent="0.15">
      <c r="BR5338" s="34"/>
      <c r="BV5338" s="34"/>
      <c r="BZ5338" s="34"/>
      <c r="CD5338" s="34"/>
    </row>
    <row r="5339" spans="70:82" x14ac:dyDescent="0.15">
      <c r="BR5339" s="34"/>
      <c r="BV5339" s="34"/>
      <c r="BZ5339" s="34"/>
      <c r="CD5339" s="34"/>
    </row>
    <row r="5340" spans="70:82" x14ac:dyDescent="0.15">
      <c r="BR5340" s="34"/>
      <c r="BV5340" s="34"/>
      <c r="BZ5340" s="34"/>
      <c r="CD5340" s="34"/>
    </row>
    <row r="5341" spans="70:82" x14ac:dyDescent="0.15">
      <c r="BR5341" s="34"/>
      <c r="BV5341" s="34"/>
      <c r="BZ5341" s="34"/>
      <c r="CD5341" s="34"/>
    </row>
    <row r="5342" spans="70:82" x14ac:dyDescent="0.15">
      <c r="BR5342" s="34"/>
      <c r="BV5342" s="34"/>
      <c r="BZ5342" s="34"/>
      <c r="CD5342" s="34"/>
    </row>
    <row r="5343" spans="70:82" x14ac:dyDescent="0.15">
      <c r="BR5343" s="34"/>
      <c r="BV5343" s="34"/>
      <c r="BZ5343" s="34"/>
      <c r="CD5343" s="34"/>
    </row>
    <row r="5344" spans="70:82" x14ac:dyDescent="0.15">
      <c r="BR5344" s="34"/>
      <c r="BV5344" s="34"/>
      <c r="BZ5344" s="34"/>
      <c r="CD5344" s="34"/>
    </row>
    <row r="5345" spans="70:82" x14ac:dyDescent="0.15">
      <c r="BR5345" s="34"/>
      <c r="BV5345" s="34"/>
      <c r="BZ5345" s="34"/>
      <c r="CD5345" s="34"/>
    </row>
    <row r="5346" spans="70:82" x14ac:dyDescent="0.15">
      <c r="BR5346" s="34"/>
      <c r="BV5346" s="34"/>
      <c r="BZ5346" s="34"/>
      <c r="CD5346" s="34"/>
    </row>
    <row r="5347" spans="70:82" x14ac:dyDescent="0.15">
      <c r="BR5347" s="34"/>
      <c r="BV5347" s="34"/>
      <c r="BZ5347" s="34"/>
      <c r="CD5347" s="34"/>
    </row>
    <row r="5348" spans="70:82" x14ac:dyDescent="0.15">
      <c r="BR5348" s="34"/>
      <c r="BV5348" s="34"/>
      <c r="BZ5348" s="34"/>
      <c r="CD5348" s="34"/>
    </row>
    <row r="5349" spans="70:82" x14ac:dyDescent="0.15">
      <c r="BR5349" s="34"/>
      <c r="BV5349" s="34"/>
      <c r="BZ5349" s="34"/>
      <c r="CD5349" s="34"/>
    </row>
    <row r="5350" spans="70:82" x14ac:dyDescent="0.15">
      <c r="BR5350" s="34"/>
      <c r="BV5350" s="34"/>
      <c r="BZ5350" s="34"/>
      <c r="CD5350" s="34"/>
    </row>
    <row r="5351" spans="70:82" x14ac:dyDescent="0.15">
      <c r="BR5351" s="34"/>
      <c r="BV5351" s="34"/>
      <c r="BZ5351" s="34"/>
      <c r="CD5351" s="34"/>
    </row>
    <row r="5352" spans="70:82" x14ac:dyDescent="0.15">
      <c r="BR5352" s="34"/>
      <c r="BV5352" s="34"/>
      <c r="BZ5352" s="34"/>
      <c r="CD5352" s="34"/>
    </row>
    <row r="5353" spans="70:82" x14ac:dyDescent="0.15">
      <c r="BR5353" s="34"/>
      <c r="BV5353" s="34"/>
      <c r="BZ5353" s="34"/>
      <c r="CD5353" s="34"/>
    </row>
    <row r="5354" spans="70:82" x14ac:dyDescent="0.15">
      <c r="BR5354" s="34"/>
      <c r="BV5354" s="34"/>
      <c r="BZ5354" s="34"/>
      <c r="CD5354" s="34"/>
    </row>
    <row r="5355" spans="70:82" x14ac:dyDescent="0.15">
      <c r="BR5355" s="34"/>
      <c r="BV5355" s="34"/>
      <c r="BZ5355" s="34"/>
      <c r="CD5355" s="34"/>
    </row>
    <row r="5356" spans="70:82" x14ac:dyDescent="0.15">
      <c r="BR5356" s="34"/>
      <c r="BV5356" s="34"/>
      <c r="BZ5356" s="34"/>
      <c r="CD5356" s="34"/>
    </row>
    <row r="5357" spans="70:82" x14ac:dyDescent="0.15">
      <c r="BR5357" s="34"/>
      <c r="BV5357" s="34"/>
      <c r="BZ5357" s="34"/>
      <c r="CD5357" s="34"/>
    </row>
    <row r="5358" spans="70:82" x14ac:dyDescent="0.15">
      <c r="BR5358" s="34"/>
      <c r="BV5358" s="34"/>
      <c r="BZ5358" s="34"/>
      <c r="CD5358" s="34"/>
    </row>
    <row r="5359" spans="70:82" x14ac:dyDescent="0.15">
      <c r="BR5359" s="34"/>
      <c r="BV5359" s="34"/>
      <c r="BZ5359" s="34"/>
      <c r="CD5359" s="34"/>
    </row>
    <row r="5360" spans="70:82" x14ac:dyDescent="0.15">
      <c r="BR5360" s="34"/>
      <c r="BV5360" s="34"/>
      <c r="BZ5360" s="34"/>
      <c r="CD5360" s="34"/>
    </row>
    <row r="5361" spans="70:82" x14ac:dyDescent="0.15">
      <c r="BR5361" s="34"/>
      <c r="BV5361" s="34"/>
      <c r="BZ5361" s="34"/>
      <c r="CD5361" s="34"/>
    </row>
    <row r="5362" spans="70:82" x14ac:dyDescent="0.15">
      <c r="BR5362" s="34"/>
      <c r="BV5362" s="34"/>
      <c r="BZ5362" s="34"/>
      <c r="CD5362" s="34"/>
    </row>
    <row r="5363" spans="70:82" x14ac:dyDescent="0.15">
      <c r="BR5363" s="34"/>
      <c r="BV5363" s="34"/>
      <c r="BZ5363" s="34"/>
      <c r="CD5363" s="34"/>
    </row>
    <row r="5364" spans="70:82" x14ac:dyDescent="0.15">
      <c r="BR5364" s="34"/>
      <c r="BV5364" s="34"/>
      <c r="BZ5364" s="34"/>
      <c r="CD5364" s="34"/>
    </row>
    <row r="5365" spans="70:82" x14ac:dyDescent="0.15">
      <c r="BR5365" s="34"/>
      <c r="BV5365" s="34"/>
      <c r="BZ5365" s="34"/>
      <c r="CD5365" s="34"/>
    </row>
    <row r="5366" spans="70:82" x14ac:dyDescent="0.15">
      <c r="BR5366" s="34"/>
      <c r="BV5366" s="34"/>
      <c r="BZ5366" s="34"/>
      <c r="CD5366" s="34"/>
    </row>
    <row r="5367" spans="70:82" x14ac:dyDescent="0.15">
      <c r="BR5367" s="34"/>
      <c r="BV5367" s="34"/>
      <c r="BZ5367" s="34"/>
      <c r="CD5367" s="34"/>
    </row>
    <row r="5368" spans="70:82" x14ac:dyDescent="0.15">
      <c r="BR5368" s="34"/>
      <c r="BV5368" s="34"/>
      <c r="BZ5368" s="34"/>
      <c r="CD5368" s="34"/>
    </row>
    <row r="5369" spans="70:82" x14ac:dyDescent="0.15">
      <c r="BR5369" s="34"/>
      <c r="BV5369" s="34"/>
      <c r="BZ5369" s="34"/>
      <c r="CD5369" s="34"/>
    </row>
    <row r="5370" spans="70:82" x14ac:dyDescent="0.15">
      <c r="BR5370" s="34"/>
      <c r="BV5370" s="34"/>
      <c r="BZ5370" s="34"/>
      <c r="CD5370" s="34"/>
    </row>
    <row r="5371" spans="70:82" x14ac:dyDescent="0.15">
      <c r="BR5371" s="34"/>
      <c r="BV5371" s="34"/>
      <c r="BZ5371" s="34"/>
      <c r="CD5371" s="34"/>
    </row>
    <row r="5372" spans="70:82" x14ac:dyDescent="0.15">
      <c r="BR5372" s="34"/>
      <c r="BV5372" s="34"/>
      <c r="BZ5372" s="34"/>
      <c r="CD5372" s="34"/>
    </row>
    <row r="5373" spans="70:82" x14ac:dyDescent="0.15">
      <c r="BR5373" s="34"/>
      <c r="BV5373" s="34"/>
      <c r="BZ5373" s="34"/>
      <c r="CD5373" s="34"/>
    </row>
    <row r="5374" spans="70:82" x14ac:dyDescent="0.15">
      <c r="BR5374" s="34"/>
      <c r="BV5374" s="34"/>
      <c r="BZ5374" s="34"/>
      <c r="CD5374" s="34"/>
    </row>
    <row r="5375" spans="70:82" x14ac:dyDescent="0.15">
      <c r="BR5375" s="34"/>
      <c r="BV5375" s="34"/>
      <c r="BZ5375" s="34"/>
      <c r="CD5375" s="34"/>
    </row>
    <row r="5376" spans="70:82" x14ac:dyDescent="0.15">
      <c r="BR5376" s="34"/>
      <c r="BV5376" s="34"/>
      <c r="BZ5376" s="34"/>
      <c r="CD5376" s="34"/>
    </row>
    <row r="5377" spans="70:82" x14ac:dyDescent="0.15">
      <c r="BR5377" s="34"/>
      <c r="BV5377" s="34"/>
      <c r="BZ5377" s="34"/>
      <c r="CD5377" s="34"/>
    </row>
    <row r="5378" spans="70:82" x14ac:dyDescent="0.15">
      <c r="BR5378" s="34"/>
      <c r="BV5378" s="34"/>
      <c r="BZ5378" s="34"/>
      <c r="CD5378" s="34"/>
    </row>
    <row r="5379" spans="70:82" x14ac:dyDescent="0.15">
      <c r="BR5379" s="34"/>
      <c r="BV5379" s="34"/>
      <c r="BZ5379" s="34"/>
      <c r="CD5379" s="34"/>
    </row>
    <row r="5380" spans="70:82" x14ac:dyDescent="0.15">
      <c r="BR5380" s="34"/>
      <c r="BV5380" s="34"/>
      <c r="BZ5380" s="34"/>
      <c r="CD5380" s="34"/>
    </row>
    <row r="5381" spans="70:82" x14ac:dyDescent="0.15">
      <c r="BR5381" s="34"/>
      <c r="BV5381" s="34"/>
      <c r="BZ5381" s="34"/>
      <c r="CD5381" s="34"/>
    </row>
    <row r="5382" spans="70:82" x14ac:dyDescent="0.15">
      <c r="BR5382" s="34"/>
      <c r="BV5382" s="34"/>
      <c r="BZ5382" s="34"/>
      <c r="CD5382" s="34"/>
    </row>
    <row r="5383" spans="70:82" x14ac:dyDescent="0.15">
      <c r="BR5383" s="34"/>
      <c r="BV5383" s="34"/>
      <c r="BZ5383" s="34"/>
      <c r="CD5383" s="34"/>
    </row>
    <row r="5384" spans="70:82" x14ac:dyDescent="0.15">
      <c r="BR5384" s="34"/>
      <c r="BV5384" s="34"/>
      <c r="BZ5384" s="34"/>
      <c r="CD5384" s="34"/>
    </row>
    <row r="5385" spans="70:82" x14ac:dyDescent="0.15">
      <c r="BR5385" s="34"/>
      <c r="BV5385" s="34"/>
      <c r="BZ5385" s="34"/>
      <c r="CD5385" s="34"/>
    </row>
    <row r="5386" spans="70:82" x14ac:dyDescent="0.15">
      <c r="BR5386" s="34"/>
      <c r="BV5386" s="34"/>
      <c r="BZ5386" s="34"/>
      <c r="CD5386" s="34"/>
    </row>
    <row r="5387" spans="70:82" x14ac:dyDescent="0.15">
      <c r="BR5387" s="34"/>
      <c r="BV5387" s="34"/>
      <c r="BZ5387" s="34"/>
      <c r="CD5387" s="34"/>
    </row>
    <row r="5388" spans="70:82" x14ac:dyDescent="0.15">
      <c r="BR5388" s="34"/>
      <c r="BV5388" s="34"/>
      <c r="BZ5388" s="34"/>
      <c r="CD5388" s="34"/>
    </row>
    <row r="5389" spans="70:82" x14ac:dyDescent="0.15">
      <c r="BR5389" s="34"/>
      <c r="BV5389" s="34"/>
      <c r="BZ5389" s="34"/>
      <c r="CD5389" s="34"/>
    </row>
    <row r="5390" spans="70:82" x14ac:dyDescent="0.15">
      <c r="BR5390" s="34"/>
      <c r="BV5390" s="34"/>
      <c r="BZ5390" s="34"/>
      <c r="CD5390" s="34"/>
    </row>
    <row r="5391" spans="70:82" x14ac:dyDescent="0.15">
      <c r="BR5391" s="34"/>
      <c r="BV5391" s="34"/>
      <c r="BZ5391" s="34"/>
      <c r="CD5391" s="34"/>
    </row>
    <row r="5392" spans="70:82" x14ac:dyDescent="0.15">
      <c r="BR5392" s="34"/>
      <c r="BV5392" s="34"/>
      <c r="BZ5392" s="34"/>
      <c r="CD5392" s="34"/>
    </row>
    <row r="5393" spans="70:82" x14ac:dyDescent="0.15">
      <c r="BR5393" s="34"/>
      <c r="BV5393" s="34"/>
      <c r="BZ5393" s="34"/>
      <c r="CD5393" s="34"/>
    </row>
    <row r="5394" spans="70:82" x14ac:dyDescent="0.15">
      <c r="BR5394" s="34"/>
      <c r="BV5394" s="34"/>
      <c r="BZ5394" s="34"/>
      <c r="CD5394" s="34"/>
    </row>
    <row r="5395" spans="70:82" x14ac:dyDescent="0.15">
      <c r="BR5395" s="34"/>
      <c r="BV5395" s="34"/>
      <c r="BZ5395" s="34"/>
      <c r="CD5395" s="34"/>
    </row>
    <row r="5396" spans="70:82" x14ac:dyDescent="0.15">
      <c r="BR5396" s="34"/>
      <c r="BV5396" s="34"/>
      <c r="BZ5396" s="34"/>
      <c r="CD5396" s="34"/>
    </row>
    <row r="5397" spans="70:82" x14ac:dyDescent="0.15">
      <c r="BR5397" s="34"/>
      <c r="BV5397" s="34"/>
      <c r="BZ5397" s="34"/>
      <c r="CD5397" s="34"/>
    </row>
    <row r="5398" spans="70:82" x14ac:dyDescent="0.15">
      <c r="BR5398" s="34"/>
      <c r="BV5398" s="34"/>
      <c r="BZ5398" s="34"/>
      <c r="CD5398" s="34"/>
    </row>
    <row r="5399" spans="70:82" x14ac:dyDescent="0.15">
      <c r="BR5399" s="34"/>
      <c r="BV5399" s="34"/>
      <c r="BZ5399" s="34"/>
      <c r="CD5399" s="34"/>
    </row>
    <row r="5400" spans="70:82" x14ac:dyDescent="0.15">
      <c r="BR5400" s="34"/>
      <c r="BV5400" s="34"/>
      <c r="BZ5400" s="34"/>
      <c r="CD5400" s="34"/>
    </row>
    <row r="5401" spans="70:82" x14ac:dyDescent="0.15">
      <c r="BR5401" s="34"/>
      <c r="BV5401" s="34"/>
      <c r="BZ5401" s="34"/>
      <c r="CD5401" s="34"/>
    </row>
    <row r="5402" spans="70:82" x14ac:dyDescent="0.15">
      <c r="BR5402" s="34"/>
      <c r="BV5402" s="34"/>
      <c r="BZ5402" s="34"/>
      <c r="CD5402" s="34"/>
    </row>
    <row r="5403" spans="70:82" x14ac:dyDescent="0.15">
      <c r="BR5403" s="34"/>
      <c r="BV5403" s="34"/>
      <c r="BZ5403" s="34"/>
      <c r="CD5403" s="34"/>
    </row>
    <row r="5404" spans="70:82" x14ac:dyDescent="0.15">
      <c r="BR5404" s="34"/>
      <c r="BV5404" s="34"/>
      <c r="BZ5404" s="34"/>
      <c r="CD5404" s="34"/>
    </row>
    <row r="5405" spans="70:82" x14ac:dyDescent="0.15">
      <c r="BR5405" s="34"/>
      <c r="BV5405" s="34"/>
      <c r="BZ5405" s="34"/>
      <c r="CD5405" s="34"/>
    </row>
    <row r="5406" spans="70:82" x14ac:dyDescent="0.15">
      <c r="BR5406" s="34"/>
      <c r="BV5406" s="34"/>
      <c r="BZ5406" s="34"/>
      <c r="CD5406" s="34"/>
    </row>
    <row r="5407" spans="70:82" x14ac:dyDescent="0.15">
      <c r="BR5407" s="34"/>
      <c r="BV5407" s="34"/>
      <c r="BZ5407" s="34"/>
      <c r="CD5407" s="34"/>
    </row>
    <row r="5408" spans="70:82" x14ac:dyDescent="0.15">
      <c r="BR5408" s="34"/>
      <c r="BV5408" s="34"/>
      <c r="BZ5408" s="34"/>
      <c r="CD5408" s="34"/>
    </row>
    <row r="5409" spans="70:82" x14ac:dyDescent="0.15">
      <c r="BR5409" s="34"/>
      <c r="BV5409" s="34"/>
      <c r="BZ5409" s="34"/>
      <c r="CD5409" s="34"/>
    </row>
    <row r="5410" spans="70:82" x14ac:dyDescent="0.15">
      <c r="BR5410" s="34"/>
      <c r="BV5410" s="34"/>
      <c r="BZ5410" s="34"/>
      <c r="CD5410" s="34"/>
    </row>
    <row r="5411" spans="70:82" x14ac:dyDescent="0.15">
      <c r="BR5411" s="34"/>
      <c r="BV5411" s="34"/>
      <c r="BZ5411" s="34"/>
      <c r="CD5411" s="34"/>
    </row>
    <row r="5412" spans="70:82" x14ac:dyDescent="0.15">
      <c r="BR5412" s="34"/>
      <c r="BV5412" s="34"/>
      <c r="BZ5412" s="34"/>
      <c r="CD5412" s="34"/>
    </row>
    <row r="5413" spans="70:82" x14ac:dyDescent="0.15">
      <c r="BR5413" s="34"/>
      <c r="BV5413" s="34"/>
      <c r="BZ5413" s="34"/>
      <c r="CD5413" s="34"/>
    </row>
    <row r="5414" spans="70:82" x14ac:dyDescent="0.15">
      <c r="BR5414" s="34"/>
      <c r="BV5414" s="34"/>
      <c r="BZ5414" s="34"/>
      <c r="CD5414" s="34"/>
    </row>
    <row r="5415" spans="70:82" x14ac:dyDescent="0.15">
      <c r="BR5415" s="34"/>
      <c r="BV5415" s="34"/>
      <c r="BZ5415" s="34"/>
      <c r="CD5415" s="34"/>
    </row>
    <row r="5416" spans="70:82" x14ac:dyDescent="0.15">
      <c r="BR5416" s="34"/>
      <c r="BV5416" s="34"/>
      <c r="BZ5416" s="34"/>
      <c r="CD5416" s="34"/>
    </row>
    <row r="5417" spans="70:82" x14ac:dyDescent="0.15">
      <c r="BR5417" s="34"/>
      <c r="BV5417" s="34"/>
      <c r="BZ5417" s="34"/>
      <c r="CD5417" s="34"/>
    </row>
    <row r="5418" spans="70:82" x14ac:dyDescent="0.15">
      <c r="BR5418" s="34"/>
      <c r="BV5418" s="34"/>
      <c r="BZ5418" s="34"/>
      <c r="CD5418" s="34"/>
    </row>
    <row r="5419" spans="70:82" x14ac:dyDescent="0.15">
      <c r="BR5419" s="34"/>
      <c r="BV5419" s="34"/>
      <c r="BZ5419" s="34"/>
      <c r="CD5419" s="34"/>
    </row>
    <row r="5420" spans="70:82" x14ac:dyDescent="0.15">
      <c r="BR5420" s="34"/>
      <c r="BV5420" s="34"/>
      <c r="BZ5420" s="34"/>
      <c r="CD5420" s="34"/>
    </row>
    <row r="5421" spans="70:82" x14ac:dyDescent="0.15">
      <c r="BR5421" s="34"/>
      <c r="BV5421" s="34"/>
      <c r="BZ5421" s="34"/>
      <c r="CD5421" s="34"/>
    </row>
    <row r="5422" spans="70:82" x14ac:dyDescent="0.15">
      <c r="BR5422" s="34"/>
      <c r="BV5422" s="34"/>
      <c r="BZ5422" s="34"/>
      <c r="CD5422" s="34"/>
    </row>
    <row r="5423" spans="70:82" x14ac:dyDescent="0.15">
      <c r="BR5423" s="34"/>
      <c r="BV5423" s="34"/>
      <c r="BZ5423" s="34"/>
      <c r="CD5423" s="34"/>
    </row>
    <row r="5424" spans="70:82" x14ac:dyDescent="0.15">
      <c r="BR5424" s="34"/>
      <c r="BV5424" s="34"/>
      <c r="BZ5424" s="34"/>
      <c r="CD5424" s="34"/>
    </row>
    <row r="5425" spans="70:82" x14ac:dyDescent="0.15">
      <c r="BR5425" s="34"/>
      <c r="BV5425" s="34"/>
      <c r="BZ5425" s="34"/>
      <c r="CD5425" s="34"/>
    </row>
    <row r="5426" spans="70:82" x14ac:dyDescent="0.15">
      <c r="BR5426" s="34"/>
      <c r="BV5426" s="34"/>
      <c r="BZ5426" s="34"/>
      <c r="CD5426" s="34"/>
    </row>
    <row r="5427" spans="70:82" x14ac:dyDescent="0.15">
      <c r="BR5427" s="34"/>
      <c r="BV5427" s="34"/>
      <c r="BZ5427" s="34"/>
      <c r="CD5427" s="34"/>
    </row>
    <row r="5428" spans="70:82" x14ac:dyDescent="0.15">
      <c r="BR5428" s="34"/>
      <c r="BV5428" s="34"/>
      <c r="BZ5428" s="34"/>
      <c r="CD5428" s="34"/>
    </row>
    <row r="5429" spans="70:82" x14ac:dyDescent="0.15">
      <c r="BR5429" s="34"/>
      <c r="BV5429" s="34"/>
      <c r="BZ5429" s="34"/>
      <c r="CD5429" s="34"/>
    </row>
    <row r="5430" spans="70:82" x14ac:dyDescent="0.15">
      <c r="BR5430" s="34"/>
      <c r="BV5430" s="34"/>
      <c r="BZ5430" s="34"/>
      <c r="CD5430" s="34"/>
    </row>
    <row r="5431" spans="70:82" x14ac:dyDescent="0.15">
      <c r="BR5431" s="34"/>
      <c r="BV5431" s="34"/>
      <c r="BZ5431" s="34"/>
      <c r="CD5431" s="34"/>
    </row>
    <row r="5432" spans="70:82" x14ac:dyDescent="0.15">
      <c r="BR5432" s="34"/>
      <c r="BV5432" s="34"/>
      <c r="BZ5432" s="34"/>
      <c r="CD5432" s="34"/>
    </row>
    <row r="5433" spans="70:82" x14ac:dyDescent="0.15">
      <c r="BR5433" s="34"/>
      <c r="BV5433" s="34"/>
      <c r="BZ5433" s="34"/>
      <c r="CD5433" s="34"/>
    </row>
    <row r="5434" spans="70:82" x14ac:dyDescent="0.15">
      <c r="BR5434" s="34"/>
      <c r="BV5434" s="34"/>
      <c r="BZ5434" s="34"/>
      <c r="CD5434" s="34"/>
    </row>
    <row r="5435" spans="70:82" x14ac:dyDescent="0.15">
      <c r="BR5435" s="34"/>
      <c r="BV5435" s="34"/>
      <c r="BZ5435" s="34"/>
      <c r="CD5435" s="34"/>
    </row>
    <row r="5436" spans="70:82" x14ac:dyDescent="0.15">
      <c r="BR5436" s="34"/>
      <c r="BV5436" s="34"/>
      <c r="BZ5436" s="34"/>
      <c r="CD5436" s="34"/>
    </row>
    <row r="5437" spans="70:82" x14ac:dyDescent="0.15">
      <c r="BR5437" s="34"/>
      <c r="BV5437" s="34"/>
      <c r="BZ5437" s="34"/>
      <c r="CD5437" s="34"/>
    </row>
    <row r="5438" spans="70:82" x14ac:dyDescent="0.15">
      <c r="BR5438" s="34"/>
      <c r="BV5438" s="34"/>
      <c r="BZ5438" s="34"/>
      <c r="CD5438" s="34"/>
    </row>
    <row r="5439" spans="70:82" x14ac:dyDescent="0.15">
      <c r="BR5439" s="34"/>
      <c r="BV5439" s="34"/>
      <c r="BZ5439" s="34"/>
      <c r="CD5439" s="34"/>
    </row>
    <row r="5440" spans="70:82" x14ac:dyDescent="0.15">
      <c r="BR5440" s="34"/>
      <c r="BV5440" s="34"/>
      <c r="BZ5440" s="34"/>
      <c r="CD5440" s="34"/>
    </row>
    <row r="5441" spans="70:82" x14ac:dyDescent="0.15">
      <c r="BR5441" s="34"/>
      <c r="BV5441" s="34"/>
      <c r="BZ5441" s="34"/>
      <c r="CD5441" s="34"/>
    </row>
    <row r="5442" spans="70:82" x14ac:dyDescent="0.15">
      <c r="BR5442" s="34"/>
      <c r="BV5442" s="34"/>
      <c r="BZ5442" s="34"/>
      <c r="CD5442" s="34"/>
    </row>
    <row r="5443" spans="70:82" x14ac:dyDescent="0.15">
      <c r="BR5443" s="34"/>
      <c r="BV5443" s="34"/>
      <c r="BZ5443" s="34"/>
      <c r="CD5443" s="34"/>
    </row>
    <row r="5444" spans="70:82" x14ac:dyDescent="0.15">
      <c r="BR5444" s="34"/>
      <c r="BV5444" s="34"/>
      <c r="BZ5444" s="34"/>
      <c r="CD5444" s="34"/>
    </row>
    <row r="5445" spans="70:82" x14ac:dyDescent="0.15">
      <c r="BR5445" s="34"/>
      <c r="BV5445" s="34"/>
      <c r="BZ5445" s="34"/>
      <c r="CD5445" s="34"/>
    </row>
    <row r="5446" spans="70:82" x14ac:dyDescent="0.15">
      <c r="BR5446" s="34"/>
      <c r="BV5446" s="34"/>
      <c r="BZ5446" s="34"/>
      <c r="CD5446" s="34"/>
    </row>
    <row r="5447" spans="70:82" x14ac:dyDescent="0.15">
      <c r="BR5447" s="34"/>
      <c r="BV5447" s="34"/>
      <c r="BZ5447" s="34"/>
      <c r="CD5447" s="34"/>
    </row>
    <row r="5448" spans="70:82" x14ac:dyDescent="0.15">
      <c r="BR5448" s="34"/>
      <c r="BV5448" s="34"/>
      <c r="BZ5448" s="34"/>
      <c r="CD5448" s="34"/>
    </row>
    <row r="5449" spans="70:82" x14ac:dyDescent="0.15">
      <c r="BR5449" s="34"/>
      <c r="BV5449" s="34"/>
      <c r="BZ5449" s="34"/>
      <c r="CD5449" s="34"/>
    </row>
    <row r="5450" spans="70:82" x14ac:dyDescent="0.15">
      <c r="BR5450" s="34"/>
      <c r="BV5450" s="34"/>
      <c r="BZ5450" s="34"/>
      <c r="CD5450" s="34"/>
    </row>
    <row r="5451" spans="70:82" x14ac:dyDescent="0.15">
      <c r="BR5451" s="34"/>
      <c r="BV5451" s="34"/>
      <c r="BZ5451" s="34"/>
      <c r="CD5451" s="34"/>
    </row>
    <row r="5452" spans="70:82" x14ac:dyDescent="0.15">
      <c r="BR5452" s="34"/>
      <c r="BV5452" s="34"/>
      <c r="BZ5452" s="34"/>
      <c r="CD5452" s="34"/>
    </row>
    <row r="5453" spans="70:82" x14ac:dyDescent="0.15">
      <c r="BR5453" s="34"/>
      <c r="BV5453" s="34"/>
      <c r="BZ5453" s="34"/>
      <c r="CD5453" s="34"/>
    </row>
    <row r="5454" spans="70:82" x14ac:dyDescent="0.15">
      <c r="BR5454" s="34"/>
      <c r="BV5454" s="34"/>
      <c r="BZ5454" s="34"/>
      <c r="CD5454" s="34"/>
    </row>
    <row r="5455" spans="70:82" x14ac:dyDescent="0.15">
      <c r="BR5455" s="34"/>
      <c r="BV5455" s="34"/>
      <c r="BZ5455" s="34"/>
      <c r="CD5455" s="34"/>
    </row>
    <row r="5456" spans="70:82" x14ac:dyDescent="0.15">
      <c r="BR5456" s="34"/>
      <c r="BV5456" s="34"/>
      <c r="BZ5456" s="34"/>
      <c r="CD5456" s="34"/>
    </row>
    <row r="5457" spans="70:82" x14ac:dyDescent="0.15">
      <c r="BR5457" s="34"/>
      <c r="BV5457" s="34"/>
      <c r="BZ5457" s="34"/>
      <c r="CD5457" s="34"/>
    </row>
    <row r="5458" spans="70:82" x14ac:dyDescent="0.15">
      <c r="BR5458" s="34"/>
      <c r="BV5458" s="34"/>
      <c r="BZ5458" s="34"/>
      <c r="CD5458" s="34"/>
    </row>
    <row r="5459" spans="70:82" x14ac:dyDescent="0.15">
      <c r="BR5459" s="34"/>
      <c r="BV5459" s="34"/>
      <c r="BZ5459" s="34"/>
      <c r="CD5459" s="34"/>
    </row>
    <row r="5460" spans="70:82" x14ac:dyDescent="0.15">
      <c r="BR5460" s="34"/>
      <c r="BV5460" s="34"/>
      <c r="BZ5460" s="34"/>
      <c r="CD5460" s="34"/>
    </row>
    <row r="5461" spans="70:82" x14ac:dyDescent="0.15">
      <c r="BR5461" s="34"/>
      <c r="BV5461" s="34"/>
      <c r="BZ5461" s="34"/>
      <c r="CD5461" s="34"/>
    </row>
    <row r="5462" spans="70:82" x14ac:dyDescent="0.15">
      <c r="BR5462" s="34"/>
      <c r="BV5462" s="34"/>
      <c r="BZ5462" s="34"/>
      <c r="CD5462" s="34"/>
    </row>
    <row r="5463" spans="70:82" x14ac:dyDescent="0.15">
      <c r="BR5463" s="34"/>
      <c r="BV5463" s="34"/>
      <c r="BZ5463" s="34"/>
      <c r="CD5463" s="34"/>
    </row>
    <row r="5464" spans="70:82" x14ac:dyDescent="0.15">
      <c r="BR5464" s="34"/>
      <c r="BV5464" s="34"/>
      <c r="BZ5464" s="34"/>
      <c r="CD5464" s="34"/>
    </row>
    <row r="5465" spans="70:82" x14ac:dyDescent="0.15">
      <c r="BR5465" s="34"/>
      <c r="BV5465" s="34"/>
      <c r="BZ5465" s="34"/>
      <c r="CD5465" s="34"/>
    </row>
    <row r="5466" spans="70:82" x14ac:dyDescent="0.15">
      <c r="BR5466" s="34"/>
      <c r="BV5466" s="34"/>
      <c r="BZ5466" s="34"/>
      <c r="CD5466" s="34"/>
    </row>
    <row r="5467" spans="70:82" x14ac:dyDescent="0.15">
      <c r="BR5467" s="34"/>
      <c r="BV5467" s="34"/>
      <c r="BZ5467" s="34"/>
      <c r="CD5467" s="34"/>
    </row>
    <row r="5468" spans="70:82" x14ac:dyDescent="0.15">
      <c r="BR5468" s="34"/>
      <c r="BV5468" s="34"/>
      <c r="BZ5468" s="34"/>
      <c r="CD5468" s="34"/>
    </row>
    <row r="5469" spans="70:82" x14ac:dyDescent="0.15">
      <c r="BR5469" s="34"/>
      <c r="BV5469" s="34"/>
      <c r="BZ5469" s="34"/>
      <c r="CD5469" s="34"/>
    </row>
    <row r="5470" spans="70:82" x14ac:dyDescent="0.15">
      <c r="BR5470" s="34"/>
      <c r="BV5470" s="34"/>
      <c r="BZ5470" s="34"/>
      <c r="CD5470" s="34"/>
    </row>
    <row r="5471" spans="70:82" x14ac:dyDescent="0.15">
      <c r="BR5471" s="34"/>
      <c r="BV5471" s="34"/>
      <c r="BZ5471" s="34"/>
      <c r="CD5471" s="34"/>
    </row>
    <row r="5472" spans="70:82" x14ac:dyDescent="0.15">
      <c r="BR5472" s="34"/>
      <c r="BV5472" s="34"/>
      <c r="BZ5472" s="34"/>
      <c r="CD5472" s="34"/>
    </row>
    <row r="5473" spans="70:82" x14ac:dyDescent="0.15">
      <c r="BR5473" s="34"/>
      <c r="BV5473" s="34"/>
      <c r="BZ5473" s="34"/>
      <c r="CD5473" s="34"/>
    </row>
    <row r="5474" spans="70:82" x14ac:dyDescent="0.15">
      <c r="BR5474" s="34"/>
      <c r="BV5474" s="34"/>
      <c r="BZ5474" s="34"/>
      <c r="CD5474" s="34"/>
    </row>
    <row r="5475" spans="70:82" x14ac:dyDescent="0.15">
      <c r="BR5475" s="34"/>
      <c r="BV5475" s="34"/>
      <c r="BZ5475" s="34"/>
      <c r="CD5475" s="34"/>
    </row>
    <row r="5476" spans="70:82" x14ac:dyDescent="0.15">
      <c r="BR5476" s="34"/>
      <c r="BV5476" s="34"/>
      <c r="BZ5476" s="34"/>
      <c r="CD5476" s="34"/>
    </row>
    <row r="5477" spans="70:82" x14ac:dyDescent="0.15">
      <c r="BR5477" s="34"/>
      <c r="BV5477" s="34"/>
      <c r="BZ5477" s="34"/>
      <c r="CD5477" s="34"/>
    </row>
    <row r="5478" spans="70:82" x14ac:dyDescent="0.15">
      <c r="BR5478" s="34"/>
      <c r="BV5478" s="34"/>
      <c r="BZ5478" s="34"/>
      <c r="CD5478" s="34"/>
    </row>
    <row r="5479" spans="70:82" x14ac:dyDescent="0.15">
      <c r="BR5479" s="34"/>
      <c r="BV5479" s="34"/>
      <c r="BZ5479" s="34"/>
      <c r="CD5479" s="34"/>
    </row>
    <row r="5480" spans="70:82" x14ac:dyDescent="0.15">
      <c r="BR5480" s="34"/>
      <c r="BV5480" s="34"/>
      <c r="BZ5480" s="34"/>
      <c r="CD5480" s="34"/>
    </row>
    <row r="5481" spans="70:82" x14ac:dyDescent="0.15">
      <c r="BR5481" s="34"/>
      <c r="BV5481" s="34"/>
      <c r="BZ5481" s="34"/>
      <c r="CD5481" s="34"/>
    </row>
    <row r="5482" spans="70:82" x14ac:dyDescent="0.15">
      <c r="BR5482" s="34"/>
      <c r="BV5482" s="34"/>
      <c r="BZ5482" s="34"/>
      <c r="CD5482" s="34"/>
    </row>
    <row r="5483" spans="70:82" x14ac:dyDescent="0.15">
      <c r="BR5483" s="34"/>
      <c r="BV5483" s="34"/>
      <c r="BZ5483" s="34"/>
      <c r="CD5483" s="34"/>
    </row>
    <row r="5484" spans="70:82" x14ac:dyDescent="0.15">
      <c r="BR5484" s="34"/>
      <c r="BV5484" s="34"/>
      <c r="BZ5484" s="34"/>
      <c r="CD5484" s="34"/>
    </row>
    <row r="5485" spans="70:82" x14ac:dyDescent="0.15">
      <c r="BR5485" s="34"/>
      <c r="BV5485" s="34"/>
      <c r="BZ5485" s="34"/>
      <c r="CD5485" s="34"/>
    </row>
    <row r="5486" spans="70:82" x14ac:dyDescent="0.15">
      <c r="BR5486" s="34"/>
      <c r="BV5486" s="34"/>
      <c r="BZ5486" s="34"/>
      <c r="CD5486" s="34"/>
    </row>
    <row r="5487" spans="70:82" x14ac:dyDescent="0.15">
      <c r="BR5487" s="34"/>
      <c r="BV5487" s="34"/>
      <c r="BZ5487" s="34"/>
      <c r="CD5487" s="34"/>
    </row>
    <row r="5488" spans="70:82" x14ac:dyDescent="0.15">
      <c r="BR5488" s="34"/>
      <c r="BV5488" s="34"/>
      <c r="BZ5488" s="34"/>
      <c r="CD5488" s="34"/>
    </row>
    <row r="5489" spans="70:82" x14ac:dyDescent="0.15">
      <c r="BR5489" s="34"/>
      <c r="BV5489" s="34"/>
      <c r="BZ5489" s="34"/>
      <c r="CD5489" s="34"/>
    </row>
    <row r="5490" spans="70:82" x14ac:dyDescent="0.15">
      <c r="BR5490" s="34"/>
      <c r="BV5490" s="34"/>
      <c r="BZ5490" s="34"/>
      <c r="CD5490" s="34"/>
    </row>
    <row r="5491" spans="70:82" x14ac:dyDescent="0.15">
      <c r="BR5491" s="34"/>
      <c r="BV5491" s="34"/>
      <c r="BZ5491" s="34"/>
      <c r="CD5491" s="34"/>
    </row>
    <row r="5492" spans="70:82" x14ac:dyDescent="0.15">
      <c r="BR5492" s="34"/>
      <c r="BV5492" s="34"/>
      <c r="BZ5492" s="34"/>
      <c r="CD5492" s="34"/>
    </row>
    <row r="5493" spans="70:82" x14ac:dyDescent="0.15">
      <c r="BR5493" s="34"/>
      <c r="BV5493" s="34"/>
      <c r="BZ5493" s="34"/>
      <c r="CD5493" s="34"/>
    </row>
    <row r="5494" spans="70:82" x14ac:dyDescent="0.15">
      <c r="BR5494" s="34"/>
      <c r="BV5494" s="34"/>
      <c r="BZ5494" s="34"/>
      <c r="CD5494" s="34"/>
    </row>
    <row r="5495" spans="70:82" x14ac:dyDescent="0.15">
      <c r="BR5495" s="34"/>
      <c r="BV5495" s="34"/>
      <c r="BZ5495" s="34"/>
      <c r="CD5495" s="34"/>
    </row>
    <row r="5496" spans="70:82" x14ac:dyDescent="0.15">
      <c r="BR5496" s="34"/>
      <c r="BV5496" s="34"/>
      <c r="BZ5496" s="34"/>
      <c r="CD5496" s="34"/>
    </row>
    <row r="5497" spans="70:82" x14ac:dyDescent="0.15">
      <c r="BR5497" s="34"/>
      <c r="BV5497" s="34"/>
      <c r="BZ5497" s="34"/>
      <c r="CD5497" s="34"/>
    </row>
    <row r="5498" spans="70:82" x14ac:dyDescent="0.15">
      <c r="BR5498" s="34"/>
      <c r="BV5498" s="34"/>
      <c r="BZ5498" s="34"/>
      <c r="CD5498" s="34"/>
    </row>
    <row r="5499" spans="70:82" x14ac:dyDescent="0.15">
      <c r="BR5499" s="34"/>
      <c r="BV5499" s="34"/>
      <c r="BZ5499" s="34"/>
      <c r="CD5499" s="34"/>
    </row>
    <row r="5500" spans="70:82" x14ac:dyDescent="0.15">
      <c r="BR5500" s="34"/>
      <c r="BV5500" s="34"/>
      <c r="BZ5500" s="34"/>
      <c r="CD5500" s="34"/>
    </row>
    <row r="5501" spans="70:82" x14ac:dyDescent="0.15">
      <c r="BR5501" s="34"/>
      <c r="BV5501" s="34"/>
      <c r="BZ5501" s="34"/>
      <c r="CD5501" s="34"/>
    </row>
    <row r="5502" spans="70:82" x14ac:dyDescent="0.15">
      <c r="BR5502" s="34"/>
      <c r="BV5502" s="34"/>
      <c r="BZ5502" s="34"/>
      <c r="CD5502" s="34"/>
    </row>
    <row r="5503" spans="70:82" x14ac:dyDescent="0.15">
      <c r="BR5503" s="34"/>
      <c r="BV5503" s="34"/>
      <c r="BZ5503" s="34"/>
      <c r="CD5503" s="34"/>
    </row>
    <row r="5504" spans="70:82" x14ac:dyDescent="0.15">
      <c r="BR5504" s="34"/>
      <c r="BV5504" s="34"/>
      <c r="BZ5504" s="34"/>
      <c r="CD5504" s="34"/>
    </row>
    <row r="5505" spans="70:82" x14ac:dyDescent="0.15">
      <c r="BR5505" s="34"/>
      <c r="BV5505" s="34"/>
      <c r="BZ5505" s="34"/>
      <c r="CD5505" s="34"/>
    </row>
    <row r="5506" spans="70:82" x14ac:dyDescent="0.15">
      <c r="BR5506" s="34"/>
      <c r="BV5506" s="34"/>
      <c r="BZ5506" s="34"/>
      <c r="CD5506" s="34"/>
    </row>
    <row r="5507" spans="70:82" x14ac:dyDescent="0.15">
      <c r="BR5507" s="34"/>
      <c r="BV5507" s="34"/>
      <c r="BZ5507" s="34"/>
      <c r="CD5507" s="34"/>
    </row>
    <row r="5508" spans="70:82" x14ac:dyDescent="0.15">
      <c r="BR5508" s="34"/>
      <c r="BV5508" s="34"/>
      <c r="BZ5508" s="34"/>
      <c r="CD5508" s="34"/>
    </row>
    <row r="5509" spans="70:82" x14ac:dyDescent="0.15">
      <c r="BR5509" s="34"/>
      <c r="BV5509" s="34"/>
      <c r="BZ5509" s="34"/>
      <c r="CD5509" s="34"/>
    </row>
    <row r="5510" spans="70:82" x14ac:dyDescent="0.15">
      <c r="BR5510" s="34"/>
      <c r="BV5510" s="34"/>
      <c r="BZ5510" s="34"/>
      <c r="CD5510" s="34"/>
    </row>
    <row r="5511" spans="70:82" x14ac:dyDescent="0.15">
      <c r="BR5511" s="34"/>
      <c r="BV5511" s="34"/>
      <c r="BZ5511" s="34"/>
      <c r="CD5511" s="34"/>
    </row>
    <row r="5512" spans="70:82" x14ac:dyDescent="0.15">
      <c r="BR5512" s="34"/>
      <c r="BV5512" s="34"/>
      <c r="BZ5512" s="34"/>
      <c r="CD5512" s="34"/>
    </row>
    <row r="5513" spans="70:82" x14ac:dyDescent="0.15">
      <c r="BR5513" s="34"/>
      <c r="BV5513" s="34"/>
      <c r="BZ5513" s="34"/>
      <c r="CD5513" s="34"/>
    </row>
    <row r="5514" spans="70:82" x14ac:dyDescent="0.15">
      <c r="BR5514" s="34"/>
      <c r="BV5514" s="34"/>
      <c r="BZ5514" s="34"/>
      <c r="CD5514" s="34"/>
    </row>
    <row r="5515" spans="70:82" x14ac:dyDescent="0.15">
      <c r="BR5515" s="34"/>
      <c r="BV5515" s="34"/>
      <c r="BZ5515" s="34"/>
      <c r="CD5515" s="34"/>
    </row>
    <row r="5516" spans="70:82" x14ac:dyDescent="0.15">
      <c r="BR5516" s="34"/>
      <c r="BV5516" s="34"/>
      <c r="BZ5516" s="34"/>
      <c r="CD5516" s="34"/>
    </row>
    <row r="5517" spans="70:82" x14ac:dyDescent="0.15">
      <c r="BR5517" s="34"/>
      <c r="BV5517" s="34"/>
      <c r="BZ5517" s="34"/>
      <c r="CD5517" s="34"/>
    </row>
    <row r="5518" spans="70:82" x14ac:dyDescent="0.15">
      <c r="BR5518" s="34"/>
      <c r="BV5518" s="34"/>
      <c r="BZ5518" s="34"/>
      <c r="CD5518" s="34"/>
    </row>
    <row r="5519" spans="70:82" x14ac:dyDescent="0.15">
      <c r="BR5519" s="34"/>
      <c r="BV5519" s="34"/>
      <c r="BZ5519" s="34"/>
      <c r="CD5519" s="34"/>
    </row>
    <row r="5520" spans="70:82" x14ac:dyDescent="0.15">
      <c r="BR5520" s="34"/>
      <c r="BV5520" s="34"/>
      <c r="BZ5520" s="34"/>
      <c r="CD5520" s="34"/>
    </row>
    <row r="5521" spans="70:82" x14ac:dyDescent="0.15">
      <c r="BR5521" s="34"/>
      <c r="BV5521" s="34"/>
      <c r="BZ5521" s="34"/>
      <c r="CD5521" s="34"/>
    </row>
    <row r="5522" spans="70:82" x14ac:dyDescent="0.15">
      <c r="BR5522" s="34"/>
      <c r="BV5522" s="34"/>
      <c r="BZ5522" s="34"/>
      <c r="CD5522" s="34"/>
    </row>
    <row r="5523" spans="70:82" x14ac:dyDescent="0.15">
      <c r="BR5523" s="34"/>
      <c r="BV5523" s="34"/>
      <c r="BZ5523" s="34"/>
      <c r="CD5523" s="34"/>
    </row>
    <row r="5524" spans="70:82" x14ac:dyDescent="0.15">
      <c r="BR5524" s="34"/>
      <c r="BV5524" s="34"/>
      <c r="BZ5524" s="34"/>
      <c r="CD5524" s="34"/>
    </row>
    <row r="5525" spans="70:82" x14ac:dyDescent="0.15">
      <c r="BR5525" s="34"/>
      <c r="BV5525" s="34"/>
      <c r="BZ5525" s="34"/>
      <c r="CD5525" s="34"/>
    </row>
    <row r="5526" spans="70:82" x14ac:dyDescent="0.15">
      <c r="BR5526" s="34"/>
      <c r="BV5526" s="34"/>
      <c r="BZ5526" s="34"/>
      <c r="CD5526" s="34"/>
    </row>
    <row r="5527" spans="70:82" x14ac:dyDescent="0.15">
      <c r="BR5527" s="34"/>
      <c r="BV5527" s="34"/>
      <c r="BZ5527" s="34"/>
      <c r="CD5527" s="34"/>
    </row>
    <row r="5528" spans="70:82" x14ac:dyDescent="0.15">
      <c r="BR5528" s="34"/>
      <c r="BV5528" s="34"/>
      <c r="BZ5528" s="34"/>
      <c r="CD5528" s="34"/>
    </row>
    <row r="5529" spans="70:82" x14ac:dyDescent="0.15">
      <c r="BR5529" s="34"/>
      <c r="BV5529" s="34"/>
      <c r="BZ5529" s="34"/>
      <c r="CD5529" s="34"/>
    </row>
    <row r="5530" spans="70:82" x14ac:dyDescent="0.15">
      <c r="BR5530" s="34"/>
      <c r="BV5530" s="34"/>
      <c r="BZ5530" s="34"/>
      <c r="CD5530" s="34"/>
    </row>
    <row r="5531" spans="70:82" x14ac:dyDescent="0.15">
      <c r="BR5531" s="34"/>
      <c r="BV5531" s="34"/>
      <c r="BZ5531" s="34"/>
      <c r="CD5531" s="34"/>
    </row>
    <row r="5532" spans="70:82" x14ac:dyDescent="0.15">
      <c r="BR5532" s="34"/>
      <c r="BV5532" s="34"/>
      <c r="BZ5532" s="34"/>
      <c r="CD5532" s="34"/>
    </row>
    <row r="5533" spans="70:82" x14ac:dyDescent="0.15">
      <c r="BR5533" s="34"/>
      <c r="BV5533" s="34"/>
      <c r="BZ5533" s="34"/>
      <c r="CD5533" s="34"/>
    </row>
    <row r="5534" spans="70:82" x14ac:dyDescent="0.15">
      <c r="BR5534" s="34"/>
      <c r="BV5534" s="34"/>
      <c r="BZ5534" s="34"/>
      <c r="CD5534" s="34"/>
    </row>
    <row r="5535" spans="70:82" x14ac:dyDescent="0.15">
      <c r="BR5535" s="34"/>
      <c r="BV5535" s="34"/>
      <c r="BZ5535" s="34"/>
      <c r="CD5535" s="34"/>
    </row>
    <row r="5536" spans="70:82" x14ac:dyDescent="0.15">
      <c r="BR5536" s="34"/>
      <c r="BV5536" s="34"/>
      <c r="BZ5536" s="34"/>
      <c r="CD5536" s="34"/>
    </row>
    <row r="5537" spans="70:82" x14ac:dyDescent="0.15">
      <c r="BR5537" s="34"/>
      <c r="BV5537" s="34"/>
      <c r="BZ5537" s="34"/>
      <c r="CD5537" s="34"/>
    </row>
    <row r="5538" spans="70:82" x14ac:dyDescent="0.15">
      <c r="BR5538" s="34"/>
      <c r="BV5538" s="34"/>
      <c r="BZ5538" s="34"/>
      <c r="CD5538" s="34"/>
    </row>
    <row r="5539" spans="70:82" x14ac:dyDescent="0.15">
      <c r="BR5539" s="34"/>
      <c r="BV5539" s="34"/>
      <c r="BZ5539" s="34"/>
      <c r="CD5539" s="34"/>
    </row>
    <row r="5540" spans="70:82" x14ac:dyDescent="0.15">
      <c r="BR5540" s="34"/>
      <c r="BV5540" s="34"/>
      <c r="BZ5540" s="34"/>
      <c r="CD5540" s="34"/>
    </row>
    <row r="5541" spans="70:82" x14ac:dyDescent="0.15">
      <c r="BR5541" s="34"/>
      <c r="BV5541" s="34"/>
      <c r="BZ5541" s="34"/>
      <c r="CD5541" s="34"/>
    </row>
    <row r="5542" spans="70:82" x14ac:dyDescent="0.15">
      <c r="BR5542" s="34"/>
      <c r="BV5542" s="34"/>
      <c r="BZ5542" s="34"/>
      <c r="CD5542" s="34"/>
    </row>
    <row r="5543" spans="70:82" x14ac:dyDescent="0.15">
      <c r="BR5543" s="34"/>
      <c r="BV5543" s="34"/>
      <c r="BZ5543" s="34"/>
      <c r="CD5543" s="34"/>
    </row>
    <row r="5544" spans="70:82" x14ac:dyDescent="0.15">
      <c r="BR5544" s="34"/>
      <c r="BV5544" s="34"/>
      <c r="BZ5544" s="34"/>
      <c r="CD5544" s="34"/>
    </row>
    <row r="5545" spans="70:82" x14ac:dyDescent="0.15">
      <c r="BR5545" s="34"/>
      <c r="BV5545" s="34"/>
      <c r="BZ5545" s="34"/>
      <c r="CD5545" s="34"/>
    </row>
    <row r="5546" spans="70:82" x14ac:dyDescent="0.15">
      <c r="BR5546" s="34"/>
      <c r="BV5546" s="34"/>
      <c r="BZ5546" s="34"/>
      <c r="CD5546" s="34"/>
    </row>
    <row r="5547" spans="70:82" x14ac:dyDescent="0.15">
      <c r="BR5547" s="34"/>
      <c r="BV5547" s="34"/>
      <c r="BZ5547" s="34"/>
      <c r="CD5547" s="34"/>
    </row>
    <row r="5548" spans="70:82" x14ac:dyDescent="0.15">
      <c r="BR5548" s="34"/>
      <c r="BV5548" s="34"/>
      <c r="BZ5548" s="34"/>
      <c r="CD5548" s="34"/>
    </row>
    <row r="5549" spans="70:82" x14ac:dyDescent="0.15">
      <c r="BR5549" s="34"/>
      <c r="BV5549" s="34"/>
      <c r="BZ5549" s="34"/>
      <c r="CD5549" s="34"/>
    </row>
    <row r="5550" spans="70:82" x14ac:dyDescent="0.15">
      <c r="BR5550" s="34"/>
      <c r="BV5550" s="34"/>
      <c r="BZ5550" s="34"/>
      <c r="CD5550" s="34"/>
    </row>
    <row r="5551" spans="70:82" x14ac:dyDescent="0.15">
      <c r="BR5551" s="34"/>
      <c r="BV5551" s="34"/>
      <c r="BZ5551" s="34"/>
      <c r="CD5551" s="34"/>
    </row>
    <row r="5552" spans="70:82" x14ac:dyDescent="0.15">
      <c r="BR5552" s="34"/>
      <c r="BV5552" s="34"/>
      <c r="BZ5552" s="34"/>
      <c r="CD5552" s="34"/>
    </row>
    <row r="5553" spans="70:82" x14ac:dyDescent="0.15">
      <c r="BR5553" s="34"/>
      <c r="BV5553" s="34"/>
      <c r="BZ5553" s="34"/>
      <c r="CD5553" s="34"/>
    </row>
    <row r="5554" spans="70:82" x14ac:dyDescent="0.15">
      <c r="BR5554" s="34"/>
      <c r="BV5554" s="34"/>
      <c r="BZ5554" s="34"/>
      <c r="CD5554" s="34"/>
    </row>
    <row r="5555" spans="70:82" x14ac:dyDescent="0.15">
      <c r="BR5555" s="34"/>
      <c r="BV5555" s="34"/>
      <c r="BZ5555" s="34"/>
      <c r="CD5555" s="34"/>
    </row>
    <row r="5556" spans="70:82" x14ac:dyDescent="0.15">
      <c r="BR5556" s="34"/>
      <c r="BV5556" s="34"/>
      <c r="BZ5556" s="34"/>
      <c r="CD5556" s="34"/>
    </row>
    <row r="5557" spans="70:82" x14ac:dyDescent="0.15">
      <c r="BR5557" s="34"/>
      <c r="BV5557" s="34"/>
      <c r="BZ5557" s="34"/>
      <c r="CD5557" s="34"/>
    </row>
    <row r="5558" spans="70:82" x14ac:dyDescent="0.15">
      <c r="BR5558" s="34"/>
      <c r="BV5558" s="34"/>
      <c r="BZ5558" s="34"/>
      <c r="CD5558" s="34"/>
    </row>
    <row r="5559" spans="70:82" x14ac:dyDescent="0.15">
      <c r="BR5559" s="34"/>
      <c r="BV5559" s="34"/>
      <c r="BZ5559" s="34"/>
      <c r="CD5559" s="34"/>
    </row>
    <row r="5560" spans="70:82" x14ac:dyDescent="0.15">
      <c r="BR5560" s="34"/>
      <c r="BV5560" s="34"/>
      <c r="BZ5560" s="34"/>
      <c r="CD5560" s="34"/>
    </row>
    <row r="5561" spans="70:82" x14ac:dyDescent="0.15">
      <c r="BR5561" s="34"/>
      <c r="BV5561" s="34"/>
      <c r="BZ5561" s="34"/>
      <c r="CD5561" s="34"/>
    </row>
    <row r="5562" spans="70:82" x14ac:dyDescent="0.15">
      <c r="BR5562" s="34"/>
      <c r="BV5562" s="34"/>
      <c r="BZ5562" s="34"/>
      <c r="CD5562" s="34"/>
    </row>
    <row r="5563" spans="70:82" x14ac:dyDescent="0.15">
      <c r="BR5563" s="34"/>
      <c r="BV5563" s="34"/>
      <c r="BZ5563" s="34"/>
      <c r="CD5563" s="34"/>
    </row>
    <row r="5564" spans="70:82" x14ac:dyDescent="0.15">
      <c r="BR5564" s="34"/>
      <c r="BV5564" s="34"/>
      <c r="BZ5564" s="34"/>
      <c r="CD5564" s="34"/>
    </row>
    <row r="5565" spans="70:82" x14ac:dyDescent="0.15">
      <c r="BR5565" s="34"/>
      <c r="BV5565" s="34"/>
      <c r="BZ5565" s="34"/>
      <c r="CD5565" s="34"/>
    </row>
    <row r="5566" spans="70:82" x14ac:dyDescent="0.15">
      <c r="BR5566" s="34"/>
      <c r="BV5566" s="34"/>
      <c r="BZ5566" s="34"/>
      <c r="CD5566" s="34"/>
    </row>
    <row r="5567" spans="70:82" x14ac:dyDescent="0.15">
      <c r="BR5567" s="34"/>
      <c r="BV5567" s="34"/>
      <c r="BZ5567" s="34"/>
      <c r="CD5567" s="34"/>
    </row>
    <row r="5568" spans="70:82" x14ac:dyDescent="0.15">
      <c r="BR5568" s="34"/>
      <c r="BV5568" s="34"/>
      <c r="BZ5568" s="34"/>
      <c r="CD5568" s="34"/>
    </row>
    <row r="5569" spans="70:82" x14ac:dyDescent="0.15">
      <c r="BR5569" s="34"/>
      <c r="BV5569" s="34"/>
      <c r="BZ5569" s="34"/>
      <c r="CD5569" s="34"/>
    </row>
    <row r="5570" spans="70:82" x14ac:dyDescent="0.15">
      <c r="BR5570" s="34"/>
      <c r="BV5570" s="34"/>
      <c r="BZ5570" s="34"/>
      <c r="CD5570" s="34"/>
    </row>
    <row r="5571" spans="70:82" x14ac:dyDescent="0.15">
      <c r="BR5571" s="34"/>
      <c r="BV5571" s="34"/>
      <c r="BZ5571" s="34"/>
      <c r="CD5571" s="34"/>
    </row>
    <row r="5572" spans="70:82" x14ac:dyDescent="0.15">
      <c r="BR5572" s="34"/>
      <c r="BV5572" s="34"/>
      <c r="BZ5572" s="34"/>
      <c r="CD5572" s="34"/>
    </row>
    <row r="5573" spans="70:82" x14ac:dyDescent="0.15">
      <c r="BR5573" s="34"/>
      <c r="BV5573" s="34"/>
      <c r="BZ5573" s="34"/>
      <c r="CD5573" s="34"/>
    </row>
    <row r="5574" spans="70:82" x14ac:dyDescent="0.15">
      <c r="BR5574" s="34"/>
      <c r="BV5574" s="34"/>
      <c r="BZ5574" s="34"/>
      <c r="CD5574" s="34"/>
    </row>
    <row r="5575" spans="70:82" x14ac:dyDescent="0.15">
      <c r="BR5575" s="34"/>
      <c r="BV5575" s="34"/>
      <c r="BZ5575" s="34"/>
      <c r="CD5575" s="34"/>
    </row>
    <row r="5576" spans="70:82" x14ac:dyDescent="0.15">
      <c r="BR5576" s="34"/>
      <c r="BV5576" s="34"/>
      <c r="BZ5576" s="34"/>
      <c r="CD5576" s="34"/>
    </row>
    <row r="5577" spans="70:82" x14ac:dyDescent="0.15">
      <c r="BR5577" s="34"/>
      <c r="BV5577" s="34"/>
      <c r="BZ5577" s="34"/>
      <c r="CD5577" s="34"/>
    </row>
    <row r="5578" spans="70:82" x14ac:dyDescent="0.15">
      <c r="BR5578" s="34"/>
      <c r="BV5578" s="34"/>
      <c r="BZ5578" s="34"/>
      <c r="CD5578" s="34"/>
    </row>
    <row r="5579" spans="70:82" x14ac:dyDescent="0.15">
      <c r="BR5579" s="34"/>
      <c r="BV5579" s="34"/>
      <c r="BZ5579" s="34"/>
      <c r="CD5579" s="34"/>
    </row>
    <row r="5580" spans="70:82" x14ac:dyDescent="0.15">
      <c r="BR5580" s="34"/>
      <c r="BV5580" s="34"/>
      <c r="BZ5580" s="34"/>
      <c r="CD5580" s="34"/>
    </row>
    <row r="5581" spans="70:82" x14ac:dyDescent="0.15">
      <c r="BR5581" s="34"/>
      <c r="BV5581" s="34"/>
      <c r="BZ5581" s="34"/>
      <c r="CD5581" s="34"/>
    </row>
    <row r="5582" spans="70:82" x14ac:dyDescent="0.15">
      <c r="BR5582" s="34"/>
      <c r="BV5582" s="34"/>
      <c r="BZ5582" s="34"/>
      <c r="CD5582" s="34"/>
    </row>
    <row r="5583" spans="70:82" x14ac:dyDescent="0.15">
      <c r="BR5583" s="34"/>
      <c r="BV5583" s="34"/>
      <c r="BZ5583" s="34"/>
      <c r="CD5583" s="34"/>
    </row>
    <row r="5584" spans="70:82" x14ac:dyDescent="0.15">
      <c r="BR5584" s="34"/>
      <c r="BV5584" s="34"/>
      <c r="BZ5584" s="34"/>
      <c r="CD5584" s="34"/>
    </row>
    <row r="5585" spans="70:82" x14ac:dyDescent="0.15">
      <c r="BR5585" s="34"/>
      <c r="BV5585" s="34"/>
      <c r="BZ5585" s="34"/>
      <c r="CD5585" s="34"/>
    </row>
    <row r="5586" spans="70:82" x14ac:dyDescent="0.15">
      <c r="BR5586" s="34"/>
      <c r="BV5586" s="34"/>
      <c r="BZ5586" s="34"/>
      <c r="CD5586" s="34"/>
    </row>
    <row r="5587" spans="70:82" x14ac:dyDescent="0.15">
      <c r="BR5587" s="34"/>
      <c r="BV5587" s="34"/>
      <c r="BZ5587" s="34"/>
      <c r="CD5587" s="34"/>
    </row>
    <row r="5588" spans="70:82" x14ac:dyDescent="0.15">
      <c r="BR5588" s="34"/>
      <c r="BV5588" s="34"/>
      <c r="BZ5588" s="34"/>
      <c r="CD5588" s="34"/>
    </row>
    <row r="5589" spans="70:82" x14ac:dyDescent="0.15">
      <c r="BR5589" s="34"/>
      <c r="BV5589" s="34"/>
      <c r="BZ5589" s="34"/>
      <c r="CD5589" s="34"/>
    </row>
    <row r="5590" spans="70:82" x14ac:dyDescent="0.15">
      <c r="BR5590" s="34"/>
      <c r="BV5590" s="34"/>
      <c r="BZ5590" s="34"/>
      <c r="CD5590" s="34"/>
    </row>
    <row r="5591" spans="70:82" x14ac:dyDescent="0.15">
      <c r="BR5591" s="34"/>
      <c r="BV5591" s="34"/>
      <c r="BZ5591" s="34"/>
      <c r="CD5591" s="34"/>
    </row>
    <row r="5592" spans="70:82" x14ac:dyDescent="0.15">
      <c r="BR5592" s="34"/>
      <c r="BV5592" s="34"/>
      <c r="BZ5592" s="34"/>
      <c r="CD5592" s="34"/>
    </row>
    <row r="5593" spans="70:82" x14ac:dyDescent="0.15">
      <c r="BR5593" s="34"/>
      <c r="BV5593" s="34"/>
      <c r="BZ5593" s="34"/>
      <c r="CD5593" s="34"/>
    </row>
    <row r="5594" spans="70:82" x14ac:dyDescent="0.15">
      <c r="BR5594" s="34"/>
      <c r="BV5594" s="34"/>
      <c r="BZ5594" s="34"/>
      <c r="CD5594" s="34"/>
    </row>
    <row r="5595" spans="70:82" x14ac:dyDescent="0.15">
      <c r="BR5595" s="34"/>
      <c r="BV5595" s="34"/>
      <c r="BZ5595" s="34"/>
      <c r="CD5595" s="34"/>
    </row>
    <row r="5596" spans="70:82" x14ac:dyDescent="0.15">
      <c r="BR5596" s="34"/>
      <c r="BV5596" s="34"/>
      <c r="BZ5596" s="34"/>
      <c r="CD5596" s="34"/>
    </row>
    <row r="5597" spans="70:82" x14ac:dyDescent="0.15">
      <c r="BR5597" s="34"/>
      <c r="BV5597" s="34"/>
      <c r="BZ5597" s="34"/>
      <c r="CD5597" s="34"/>
    </row>
    <row r="5598" spans="70:82" x14ac:dyDescent="0.15">
      <c r="BR5598" s="34"/>
      <c r="BV5598" s="34"/>
      <c r="BZ5598" s="34"/>
      <c r="CD5598" s="34"/>
    </row>
    <row r="5599" spans="70:82" x14ac:dyDescent="0.15">
      <c r="BR5599" s="34"/>
      <c r="BV5599" s="34"/>
      <c r="BZ5599" s="34"/>
      <c r="CD5599" s="34"/>
    </row>
    <row r="5600" spans="70:82" x14ac:dyDescent="0.15">
      <c r="BR5600" s="34"/>
      <c r="BV5600" s="34"/>
      <c r="BZ5600" s="34"/>
      <c r="CD5600" s="34"/>
    </row>
    <row r="5601" spans="70:82" x14ac:dyDescent="0.15">
      <c r="BR5601" s="34"/>
      <c r="BV5601" s="34"/>
      <c r="BZ5601" s="34"/>
      <c r="CD5601" s="34"/>
    </row>
    <row r="5602" spans="70:82" x14ac:dyDescent="0.15">
      <c r="BR5602" s="34"/>
      <c r="BV5602" s="34"/>
      <c r="BZ5602" s="34"/>
      <c r="CD5602" s="34"/>
    </row>
    <row r="5603" spans="70:82" x14ac:dyDescent="0.15">
      <c r="BR5603" s="34"/>
      <c r="BV5603" s="34"/>
      <c r="BZ5603" s="34"/>
      <c r="CD5603" s="34"/>
    </row>
    <row r="5604" spans="70:82" x14ac:dyDescent="0.15">
      <c r="BR5604" s="34"/>
      <c r="BV5604" s="34"/>
      <c r="BZ5604" s="34"/>
      <c r="CD5604" s="34"/>
    </row>
    <row r="5605" spans="70:82" x14ac:dyDescent="0.15">
      <c r="BR5605" s="34"/>
      <c r="BV5605" s="34"/>
      <c r="BZ5605" s="34"/>
      <c r="CD5605" s="34"/>
    </row>
    <row r="5606" spans="70:82" x14ac:dyDescent="0.15">
      <c r="BR5606" s="34"/>
      <c r="BV5606" s="34"/>
      <c r="BZ5606" s="34"/>
      <c r="CD5606" s="34"/>
    </row>
    <row r="5607" spans="70:82" x14ac:dyDescent="0.15">
      <c r="BR5607" s="34"/>
      <c r="BV5607" s="34"/>
      <c r="BZ5607" s="34"/>
      <c r="CD5607" s="34"/>
    </row>
    <row r="5608" spans="70:82" x14ac:dyDescent="0.15">
      <c r="BR5608" s="34"/>
      <c r="BV5608" s="34"/>
      <c r="BZ5608" s="34"/>
      <c r="CD5608" s="34"/>
    </row>
    <row r="5609" spans="70:82" x14ac:dyDescent="0.15">
      <c r="BR5609" s="34"/>
      <c r="BV5609" s="34"/>
      <c r="BZ5609" s="34"/>
      <c r="CD5609" s="34"/>
    </row>
    <row r="5610" spans="70:82" x14ac:dyDescent="0.15">
      <c r="BR5610" s="34"/>
      <c r="BV5610" s="34"/>
      <c r="BZ5610" s="34"/>
      <c r="CD5610" s="34"/>
    </row>
    <row r="5611" spans="70:82" x14ac:dyDescent="0.15">
      <c r="BR5611" s="34"/>
      <c r="BV5611" s="34"/>
      <c r="BZ5611" s="34"/>
      <c r="CD5611" s="34"/>
    </row>
    <row r="5612" spans="70:82" x14ac:dyDescent="0.15">
      <c r="BR5612" s="34"/>
      <c r="BV5612" s="34"/>
      <c r="BZ5612" s="34"/>
      <c r="CD5612" s="34"/>
    </row>
    <row r="5613" spans="70:82" x14ac:dyDescent="0.15">
      <c r="BR5613" s="34"/>
      <c r="BV5613" s="34"/>
      <c r="BZ5613" s="34"/>
      <c r="CD5613" s="34"/>
    </row>
    <row r="5614" spans="70:82" x14ac:dyDescent="0.15">
      <c r="BR5614" s="34"/>
      <c r="BV5614" s="34"/>
      <c r="BZ5614" s="34"/>
      <c r="CD5614" s="34"/>
    </row>
    <row r="5615" spans="70:82" x14ac:dyDescent="0.15">
      <c r="BR5615" s="34"/>
      <c r="BV5615" s="34"/>
      <c r="BZ5615" s="34"/>
      <c r="CD5615" s="34"/>
    </row>
    <row r="5616" spans="70:82" x14ac:dyDescent="0.15">
      <c r="BR5616" s="34"/>
      <c r="BV5616" s="34"/>
      <c r="BZ5616" s="34"/>
      <c r="CD5616" s="34"/>
    </row>
    <row r="5617" spans="70:82" x14ac:dyDescent="0.15">
      <c r="BR5617" s="34"/>
      <c r="BV5617" s="34"/>
      <c r="BZ5617" s="34"/>
      <c r="CD5617" s="34"/>
    </row>
    <row r="5618" spans="70:82" x14ac:dyDescent="0.15">
      <c r="BR5618" s="34"/>
      <c r="BV5618" s="34"/>
      <c r="BZ5618" s="34"/>
      <c r="CD5618" s="34"/>
    </row>
    <row r="5619" spans="70:82" x14ac:dyDescent="0.15">
      <c r="BR5619" s="34"/>
      <c r="BV5619" s="34"/>
      <c r="BZ5619" s="34"/>
      <c r="CD5619" s="34"/>
    </row>
    <row r="5620" spans="70:82" x14ac:dyDescent="0.15">
      <c r="BR5620" s="34"/>
      <c r="BV5620" s="34"/>
      <c r="BZ5620" s="34"/>
      <c r="CD5620" s="34"/>
    </row>
    <row r="5621" spans="70:82" x14ac:dyDescent="0.15">
      <c r="BR5621" s="34"/>
      <c r="BV5621" s="34"/>
      <c r="BZ5621" s="34"/>
      <c r="CD5621" s="34"/>
    </row>
    <row r="5622" spans="70:82" x14ac:dyDescent="0.15">
      <c r="BR5622" s="34"/>
      <c r="BV5622" s="34"/>
      <c r="BZ5622" s="34"/>
      <c r="CD5622" s="34"/>
    </row>
    <row r="5623" spans="70:82" x14ac:dyDescent="0.15">
      <c r="BR5623" s="34"/>
      <c r="BV5623" s="34"/>
      <c r="BZ5623" s="34"/>
      <c r="CD5623" s="34"/>
    </row>
    <row r="5624" spans="70:82" x14ac:dyDescent="0.15">
      <c r="BR5624" s="34"/>
      <c r="BV5624" s="34"/>
      <c r="BZ5624" s="34"/>
      <c r="CD5624" s="34"/>
    </row>
    <row r="5625" spans="70:82" x14ac:dyDescent="0.15">
      <c r="BR5625" s="34"/>
      <c r="BV5625" s="34"/>
      <c r="BZ5625" s="34"/>
      <c r="CD5625" s="34"/>
    </row>
    <row r="5626" spans="70:82" x14ac:dyDescent="0.15">
      <c r="BR5626" s="34"/>
      <c r="BV5626" s="34"/>
      <c r="BZ5626" s="34"/>
      <c r="CD5626" s="34"/>
    </row>
    <row r="5627" spans="70:82" x14ac:dyDescent="0.15">
      <c r="BR5627" s="34"/>
      <c r="BV5627" s="34"/>
      <c r="BZ5627" s="34"/>
      <c r="CD5627" s="34"/>
    </row>
    <row r="5628" spans="70:82" x14ac:dyDescent="0.15">
      <c r="BR5628" s="34"/>
      <c r="BV5628" s="34"/>
      <c r="BZ5628" s="34"/>
      <c r="CD5628" s="34"/>
    </row>
    <row r="5629" spans="70:82" x14ac:dyDescent="0.15">
      <c r="BR5629" s="34"/>
      <c r="BV5629" s="34"/>
      <c r="BZ5629" s="34"/>
      <c r="CD5629" s="34"/>
    </row>
    <row r="5630" spans="70:82" x14ac:dyDescent="0.15">
      <c r="BR5630" s="34"/>
      <c r="BV5630" s="34"/>
      <c r="BZ5630" s="34"/>
      <c r="CD5630" s="34"/>
    </row>
    <row r="5631" spans="70:82" x14ac:dyDescent="0.15">
      <c r="BR5631" s="34"/>
      <c r="BV5631" s="34"/>
      <c r="BZ5631" s="34"/>
      <c r="CD5631" s="34"/>
    </row>
    <row r="5632" spans="70:82" x14ac:dyDescent="0.15">
      <c r="BR5632" s="34"/>
      <c r="BV5632" s="34"/>
      <c r="BZ5632" s="34"/>
      <c r="CD5632" s="34"/>
    </row>
    <row r="5633" spans="70:82" x14ac:dyDescent="0.15">
      <c r="BR5633" s="34"/>
      <c r="BV5633" s="34"/>
      <c r="BZ5633" s="34"/>
      <c r="CD5633" s="34"/>
    </row>
    <row r="5634" spans="70:82" x14ac:dyDescent="0.15">
      <c r="BR5634" s="34"/>
      <c r="BV5634" s="34"/>
      <c r="BZ5634" s="34"/>
      <c r="CD5634" s="34"/>
    </row>
    <row r="5635" spans="70:82" x14ac:dyDescent="0.15">
      <c r="BR5635" s="34"/>
      <c r="BV5635" s="34"/>
      <c r="BZ5635" s="34"/>
      <c r="CD5635" s="34"/>
    </row>
    <row r="5636" spans="70:82" x14ac:dyDescent="0.15">
      <c r="BR5636" s="34"/>
      <c r="BV5636" s="34"/>
      <c r="BZ5636" s="34"/>
      <c r="CD5636" s="34"/>
    </row>
    <row r="5637" spans="70:82" x14ac:dyDescent="0.15">
      <c r="BR5637" s="34"/>
      <c r="BV5637" s="34"/>
      <c r="BZ5637" s="34"/>
      <c r="CD5637" s="34"/>
    </row>
    <row r="5638" spans="70:82" x14ac:dyDescent="0.15">
      <c r="BR5638" s="34"/>
      <c r="BV5638" s="34"/>
      <c r="BZ5638" s="34"/>
      <c r="CD5638" s="34"/>
    </row>
    <row r="5639" spans="70:82" x14ac:dyDescent="0.15">
      <c r="BR5639" s="34"/>
      <c r="BV5639" s="34"/>
      <c r="BZ5639" s="34"/>
      <c r="CD5639" s="34"/>
    </row>
    <row r="5640" spans="70:82" x14ac:dyDescent="0.15">
      <c r="BR5640" s="34"/>
      <c r="BV5640" s="34"/>
      <c r="BZ5640" s="34"/>
      <c r="CD5640" s="34"/>
    </row>
    <row r="5641" spans="70:82" x14ac:dyDescent="0.15">
      <c r="BR5641" s="34"/>
      <c r="BV5641" s="34"/>
      <c r="BZ5641" s="34"/>
      <c r="CD5641" s="34"/>
    </row>
    <row r="5642" spans="70:82" x14ac:dyDescent="0.15">
      <c r="BR5642" s="34"/>
      <c r="BV5642" s="34"/>
      <c r="BZ5642" s="34"/>
      <c r="CD5642" s="34"/>
    </row>
    <row r="5643" spans="70:82" x14ac:dyDescent="0.15">
      <c r="BR5643" s="34"/>
      <c r="BV5643" s="34"/>
      <c r="BZ5643" s="34"/>
      <c r="CD5643" s="34"/>
    </row>
    <row r="5644" spans="70:82" x14ac:dyDescent="0.15">
      <c r="BR5644" s="34"/>
      <c r="BV5644" s="34"/>
      <c r="BZ5644" s="34"/>
      <c r="CD5644" s="34"/>
    </row>
    <row r="5645" spans="70:82" x14ac:dyDescent="0.15">
      <c r="BR5645" s="34"/>
      <c r="BV5645" s="34"/>
      <c r="BZ5645" s="34"/>
      <c r="CD5645" s="34"/>
    </row>
    <row r="5646" spans="70:82" x14ac:dyDescent="0.15">
      <c r="BR5646" s="34"/>
      <c r="BV5646" s="34"/>
      <c r="BZ5646" s="34"/>
      <c r="CD5646" s="34"/>
    </row>
    <row r="5647" spans="70:82" x14ac:dyDescent="0.15">
      <c r="BR5647" s="34"/>
      <c r="BV5647" s="34"/>
      <c r="BZ5647" s="34"/>
      <c r="CD5647" s="34"/>
    </row>
    <row r="5648" spans="70:82" x14ac:dyDescent="0.15">
      <c r="BR5648" s="34"/>
      <c r="BV5648" s="34"/>
      <c r="BZ5648" s="34"/>
      <c r="CD5648" s="34"/>
    </row>
    <row r="5649" spans="70:82" x14ac:dyDescent="0.15">
      <c r="BR5649" s="34"/>
      <c r="BV5649" s="34"/>
      <c r="BZ5649" s="34"/>
      <c r="CD5649" s="34"/>
    </row>
    <row r="5650" spans="70:82" x14ac:dyDescent="0.15">
      <c r="BR5650" s="34"/>
      <c r="BV5650" s="34"/>
      <c r="BZ5650" s="34"/>
      <c r="CD5650" s="34"/>
    </row>
    <row r="5651" spans="70:82" x14ac:dyDescent="0.15">
      <c r="BR5651" s="34"/>
      <c r="BV5651" s="34"/>
      <c r="BZ5651" s="34"/>
      <c r="CD5651" s="34"/>
    </row>
    <row r="5652" spans="70:82" x14ac:dyDescent="0.15">
      <c r="BR5652" s="34"/>
      <c r="BV5652" s="34"/>
      <c r="BZ5652" s="34"/>
      <c r="CD5652" s="34"/>
    </row>
    <row r="5653" spans="70:82" x14ac:dyDescent="0.15">
      <c r="BR5653" s="34"/>
      <c r="BV5653" s="34"/>
      <c r="BZ5653" s="34"/>
      <c r="CD5653" s="34"/>
    </row>
    <row r="5654" spans="70:82" x14ac:dyDescent="0.15">
      <c r="BR5654" s="34"/>
      <c r="BV5654" s="34"/>
      <c r="BZ5654" s="34"/>
      <c r="CD5654" s="34"/>
    </row>
    <row r="5655" spans="70:82" x14ac:dyDescent="0.15">
      <c r="BR5655" s="34"/>
      <c r="BV5655" s="34"/>
      <c r="BZ5655" s="34"/>
      <c r="CD5655" s="34"/>
    </row>
    <row r="5656" spans="70:82" x14ac:dyDescent="0.15">
      <c r="BR5656" s="34"/>
      <c r="BV5656" s="34"/>
      <c r="BZ5656" s="34"/>
      <c r="CD5656" s="34"/>
    </row>
    <row r="5657" spans="70:82" x14ac:dyDescent="0.15">
      <c r="BR5657" s="34"/>
      <c r="BV5657" s="34"/>
      <c r="BZ5657" s="34"/>
      <c r="CD5657" s="34"/>
    </row>
    <row r="5658" spans="70:82" x14ac:dyDescent="0.15">
      <c r="BR5658" s="34"/>
      <c r="BV5658" s="34"/>
      <c r="BZ5658" s="34"/>
      <c r="CD5658" s="34"/>
    </row>
    <row r="5659" spans="70:82" x14ac:dyDescent="0.15">
      <c r="BR5659" s="34"/>
      <c r="BV5659" s="34"/>
      <c r="BZ5659" s="34"/>
      <c r="CD5659" s="34"/>
    </row>
    <row r="5660" spans="70:82" x14ac:dyDescent="0.15">
      <c r="BR5660" s="34"/>
      <c r="BV5660" s="34"/>
      <c r="BZ5660" s="34"/>
      <c r="CD5660" s="34"/>
    </row>
    <row r="5661" spans="70:82" x14ac:dyDescent="0.15">
      <c r="BR5661" s="34"/>
      <c r="BV5661" s="34"/>
      <c r="BZ5661" s="34"/>
      <c r="CD5661" s="34"/>
    </row>
    <row r="5662" spans="70:82" x14ac:dyDescent="0.15">
      <c r="BR5662" s="34"/>
      <c r="BV5662" s="34"/>
      <c r="BZ5662" s="34"/>
      <c r="CD5662" s="34"/>
    </row>
    <row r="5663" spans="70:82" x14ac:dyDescent="0.15">
      <c r="BR5663" s="34"/>
      <c r="BV5663" s="34"/>
      <c r="BZ5663" s="34"/>
      <c r="CD5663" s="34"/>
    </row>
    <row r="5664" spans="70:82" x14ac:dyDescent="0.15">
      <c r="BR5664" s="34"/>
      <c r="BV5664" s="34"/>
      <c r="BZ5664" s="34"/>
      <c r="CD5664" s="34"/>
    </row>
    <row r="5665" spans="70:82" x14ac:dyDescent="0.15">
      <c r="BR5665" s="34"/>
      <c r="BV5665" s="34"/>
      <c r="BZ5665" s="34"/>
      <c r="CD5665" s="34"/>
    </row>
    <row r="5666" spans="70:82" x14ac:dyDescent="0.15">
      <c r="BR5666" s="34"/>
      <c r="BV5666" s="34"/>
      <c r="BZ5666" s="34"/>
      <c r="CD5666" s="34"/>
    </row>
    <row r="5667" spans="70:82" x14ac:dyDescent="0.15">
      <c r="BR5667" s="34"/>
      <c r="BV5667" s="34"/>
      <c r="BZ5667" s="34"/>
      <c r="CD5667" s="34"/>
    </row>
    <row r="5668" spans="70:82" x14ac:dyDescent="0.15">
      <c r="BR5668" s="34"/>
      <c r="BV5668" s="34"/>
      <c r="BZ5668" s="34"/>
      <c r="CD5668" s="34"/>
    </row>
    <row r="5669" spans="70:82" x14ac:dyDescent="0.15">
      <c r="BR5669" s="34"/>
      <c r="BV5669" s="34"/>
      <c r="BZ5669" s="34"/>
      <c r="CD5669" s="34"/>
    </row>
    <row r="5670" spans="70:82" x14ac:dyDescent="0.15">
      <c r="BR5670" s="34"/>
      <c r="BV5670" s="34"/>
      <c r="BZ5670" s="34"/>
      <c r="CD5670" s="34"/>
    </row>
    <row r="5671" spans="70:82" x14ac:dyDescent="0.15">
      <c r="BR5671" s="34"/>
      <c r="BV5671" s="34"/>
      <c r="BZ5671" s="34"/>
      <c r="CD5671" s="34"/>
    </row>
    <row r="5672" spans="70:82" x14ac:dyDescent="0.15">
      <c r="BR5672" s="34"/>
      <c r="BV5672" s="34"/>
      <c r="BZ5672" s="34"/>
      <c r="CD5672" s="34"/>
    </row>
    <row r="5673" spans="70:82" x14ac:dyDescent="0.15">
      <c r="BR5673" s="34"/>
      <c r="BV5673" s="34"/>
      <c r="BZ5673" s="34"/>
      <c r="CD5673" s="34"/>
    </row>
    <row r="5674" spans="70:82" x14ac:dyDescent="0.15">
      <c r="BR5674" s="34"/>
      <c r="BV5674" s="34"/>
      <c r="BZ5674" s="34"/>
      <c r="CD5674" s="34"/>
    </row>
    <row r="5675" spans="70:82" x14ac:dyDescent="0.15">
      <c r="BR5675" s="34"/>
      <c r="BV5675" s="34"/>
      <c r="BZ5675" s="34"/>
      <c r="CD5675" s="34"/>
    </row>
    <row r="5676" spans="70:82" x14ac:dyDescent="0.15">
      <c r="BR5676" s="34"/>
      <c r="BV5676" s="34"/>
      <c r="BZ5676" s="34"/>
      <c r="CD5676" s="34"/>
    </row>
    <row r="5677" spans="70:82" x14ac:dyDescent="0.15">
      <c r="BR5677" s="34"/>
      <c r="BV5677" s="34"/>
      <c r="BZ5677" s="34"/>
      <c r="CD5677" s="34"/>
    </row>
    <row r="5678" spans="70:82" x14ac:dyDescent="0.15">
      <c r="BR5678" s="34"/>
      <c r="BV5678" s="34"/>
      <c r="BZ5678" s="34"/>
      <c r="CD5678" s="34"/>
    </row>
    <row r="5679" spans="70:82" x14ac:dyDescent="0.15">
      <c r="BR5679" s="34"/>
      <c r="BV5679" s="34"/>
      <c r="BZ5679" s="34"/>
      <c r="CD5679" s="34"/>
    </row>
    <row r="5680" spans="70:82" x14ac:dyDescent="0.15">
      <c r="BR5680" s="34"/>
      <c r="BV5680" s="34"/>
      <c r="BZ5680" s="34"/>
      <c r="CD5680" s="34"/>
    </row>
    <row r="5681" spans="70:82" x14ac:dyDescent="0.15">
      <c r="BR5681" s="34"/>
      <c r="BV5681" s="34"/>
      <c r="BZ5681" s="34"/>
      <c r="CD5681" s="34"/>
    </row>
    <row r="5682" spans="70:82" x14ac:dyDescent="0.15">
      <c r="BR5682" s="34"/>
      <c r="BV5682" s="34"/>
      <c r="BZ5682" s="34"/>
      <c r="CD5682" s="34"/>
    </row>
    <row r="5683" spans="70:82" x14ac:dyDescent="0.15">
      <c r="BR5683" s="34"/>
      <c r="BV5683" s="34"/>
      <c r="BZ5683" s="34"/>
      <c r="CD5683" s="34"/>
    </row>
    <row r="5684" spans="70:82" x14ac:dyDescent="0.15">
      <c r="BR5684" s="34"/>
      <c r="BV5684" s="34"/>
      <c r="BZ5684" s="34"/>
      <c r="CD5684" s="34"/>
    </row>
    <row r="5685" spans="70:82" x14ac:dyDescent="0.15">
      <c r="BR5685" s="34"/>
      <c r="BV5685" s="34"/>
      <c r="BZ5685" s="34"/>
      <c r="CD5685" s="34"/>
    </row>
    <row r="5686" spans="70:82" x14ac:dyDescent="0.15">
      <c r="BR5686" s="34"/>
      <c r="BV5686" s="34"/>
      <c r="BZ5686" s="34"/>
      <c r="CD5686" s="34"/>
    </row>
    <row r="5687" spans="70:82" x14ac:dyDescent="0.15">
      <c r="BR5687" s="34"/>
      <c r="BV5687" s="34"/>
      <c r="BZ5687" s="34"/>
      <c r="CD5687" s="34"/>
    </row>
    <row r="5688" spans="70:82" x14ac:dyDescent="0.15">
      <c r="BR5688" s="34"/>
      <c r="BV5688" s="34"/>
      <c r="BZ5688" s="34"/>
      <c r="CD5688" s="34"/>
    </row>
    <row r="5689" spans="70:82" x14ac:dyDescent="0.15">
      <c r="BR5689" s="34"/>
      <c r="BV5689" s="34"/>
      <c r="BZ5689" s="34"/>
      <c r="CD5689" s="34"/>
    </row>
    <row r="5690" spans="70:82" x14ac:dyDescent="0.15">
      <c r="BR5690" s="34"/>
      <c r="BV5690" s="34"/>
      <c r="BZ5690" s="34"/>
      <c r="CD5690" s="34"/>
    </row>
    <row r="5691" spans="70:82" x14ac:dyDescent="0.15">
      <c r="BR5691" s="34"/>
      <c r="BV5691" s="34"/>
      <c r="BZ5691" s="34"/>
      <c r="CD5691" s="34"/>
    </row>
    <row r="5692" spans="70:82" x14ac:dyDescent="0.15">
      <c r="BR5692" s="34"/>
      <c r="BV5692" s="34"/>
      <c r="BZ5692" s="34"/>
      <c r="CD5692" s="34"/>
    </row>
    <row r="5693" spans="70:82" x14ac:dyDescent="0.15">
      <c r="BR5693" s="34"/>
      <c r="BV5693" s="34"/>
      <c r="BZ5693" s="34"/>
      <c r="CD5693" s="34"/>
    </row>
    <row r="5694" spans="70:82" x14ac:dyDescent="0.15">
      <c r="BR5694" s="34"/>
      <c r="BV5694" s="34"/>
      <c r="BZ5694" s="34"/>
      <c r="CD5694" s="34"/>
    </row>
    <row r="5695" spans="70:82" x14ac:dyDescent="0.15">
      <c r="BR5695" s="34"/>
      <c r="BV5695" s="34"/>
      <c r="BZ5695" s="34"/>
      <c r="CD5695" s="34"/>
    </row>
    <row r="5696" spans="70:82" x14ac:dyDescent="0.15">
      <c r="BR5696" s="34"/>
      <c r="BV5696" s="34"/>
      <c r="BZ5696" s="34"/>
      <c r="CD5696" s="34"/>
    </row>
    <row r="5697" spans="70:82" x14ac:dyDescent="0.15">
      <c r="BR5697" s="34"/>
      <c r="BV5697" s="34"/>
      <c r="BZ5697" s="34"/>
      <c r="CD5697" s="34"/>
    </row>
    <row r="5698" spans="70:82" x14ac:dyDescent="0.15">
      <c r="BR5698" s="34"/>
      <c r="BV5698" s="34"/>
      <c r="BZ5698" s="34"/>
      <c r="CD5698" s="34"/>
    </row>
    <row r="5699" spans="70:82" x14ac:dyDescent="0.15">
      <c r="BR5699" s="34"/>
      <c r="BV5699" s="34"/>
      <c r="BZ5699" s="34"/>
      <c r="CD5699" s="34"/>
    </row>
    <row r="5700" spans="70:82" x14ac:dyDescent="0.15">
      <c r="BR5700" s="34"/>
      <c r="BV5700" s="34"/>
      <c r="BZ5700" s="34"/>
      <c r="CD5700" s="34"/>
    </row>
    <row r="5701" spans="70:82" x14ac:dyDescent="0.15">
      <c r="BR5701" s="34"/>
      <c r="BV5701" s="34"/>
      <c r="BZ5701" s="34"/>
      <c r="CD5701" s="34"/>
    </row>
    <row r="5702" spans="70:82" x14ac:dyDescent="0.15">
      <c r="BR5702" s="34"/>
      <c r="BV5702" s="34"/>
      <c r="BZ5702" s="34"/>
      <c r="CD5702" s="34"/>
    </row>
    <row r="5703" spans="70:82" x14ac:dyDescent="0.15">
      <c r="BR5703" s="34"/>
      <c r="BV5703" s="34"/>
      <c r="BZ5703" s="34"/>
      <c r="CD5703" s="34"/>
    </row>
    <row r="5704" spans="70:82" x14ac:dyDescent="0.15">
      <c r="BR5704" s="34"/>
      <c r="BV5704" s="34"/>
      <c r="BZ5704" s="34"/>
      <c r="CD5704" s="34"/>
    </row>
    <row r="5705" spans="70:82" x14ac:dyDescent="0.15">
      <c r="BR5705" s="34"/>
      <c r="BV5705" s="34"/>
      <c r="BZ5705" s="34"/>
      <c r="CD5705" s="34"/>
    </row>
    <row r="5706" spans="70:82" x14ac:dyDescent="0.15">
      <c r="BR5706" s="34"/>
      <c r="BV5706" s="34"/>
      <c r="BZ5706" s="34"/>
      <c r="CD5706" s="34"/>
    </row>
    <row r="5707" spans="70:82" x14ac:dyDescent="0.15">
      <c r="BR5707" s="34"/>
      <c r="BV5707" s="34"/>
      <c r="BZ5707" s="34"/>
      <c r="CD5707" s="34"/>
    </row>
    <row r="5708" spans="70:82" x14ac:dyDescent="0.15">
      <c r="BR5708" s="34"/>
      <c r="BV5708" s="34"/>
      <c r="BZ5708" s="34"/>
      <c r="CD5708" s="34"/>
    </row>
    <row r="5709" spans="70:82" x14ac:dyDescent="0.15">
      <c r="BR5709" s="34"/>
      <c r="BV5709" s="34"/>
      <c r="BZ5709" s="34"/>
      <c r="CD5709" s="34"/>
    </row>
    <row r="5710" spans="70:82" x14ac:dyDescent="0.15">
      <c r="BR5710" s="34"/>
      <c r="BV5710" s="34"/>
      <c r="BZ5710" s="34"/>
      <c r="CD5710" s="34"/>
    </row>
    <row r="5711" spans="70:82" x14ac:dyDescent="0.15">
      <c r="BR5711" s="34"/>
      <c r="BV5711" s="34"/>
      <c r="BZ5711" s="34"/>
      <c r="CD5711" s="34"/>
    </row>
    <row r="5712" spans="70:82" x14ac:dyDescent="0.15">
      <c r="BR5712" s="34"/>
      <c r="BV5712" s="34"/>
      <c r="BZ5712" s="34"/>
      <c r="CD5712" s="34"/>
    </row>
    <row r="5713" spans="70:82" x14ac:dyDescent="0.15">
      <c r="BR5713" s="34"/>
      <c r="BV5713" s="34"/>
      <c r="BZ5713" s="34"/>
      <c r="CD5713" s="34"/>
    </row>
    <row r="5714" spans="70:82" x14ac:dyDescent="0.15">
      <c r="BR5714" s="34"/>
      <c r="BV5714" s="34"/>
      <c r="BZ5714" s="34"/>
      <c r="CD5714" s="34"/>
    </row>
    <row r="5715" spans="70:82" x14ac:dyDescent="0.15">
      <c r="BR5715" s="34"/>
      <c r="BV5715" s="34"/>
      <c r="BZ5715" s="34"/>
      <c r="CD5715" s="34"/>
    </row>
    <row r="5716" spans="70:82" x14ac:dyDescent="0.15">
      <c r="BR5716" s="34"/>
      <c r="BV5716" s="34"/>
      <c r="BZ5716" s="34"/>
      <c r="CD5716" s="34"/>
    </row>
    <row r="5717" spans="70:82" x14ac:dyDescent="0.15">
      <c r="BR5717" s="34"/>
      <c r="BV5717" s="34"/>
      <c r="BZ5717" s="34"/>
      <c r="CD5717" s="34"/>
    </row>
    <row r="5718" spans="70:82" x14ac:dyDescent="0.15">
      <c r="BR5718" s="34"/>
      <c r="BV5718" s="34"/>
      <c r="BZ5718" s="34"/>
      <c r="CD5718" s="34"/>
    </row>
    <row r="5719" spans="70:82" x14ac:dyDescent="0.15">
      <c r="BR5719" s="34"/>
      <c r="BV5719" s="34"/>
      <c r="BZ5719" s="34"/>
      <c r="CD5719" s="34"/>
    </row>
    <row r="5720" spans="70:82" x14ac:dyDescent="0.15">
      <c r="BR5720" s="34"/>
      <c r="BV5720" s="34"/>
      <c r="BZ5720" s="34"/>
      <c r="CD5720" s="34"/>
    </row>
    <row r="5721" spans="70:82" x14ac:dyDescent="0.15">
      <c r="BR5721" s="34"/>
      <c r="BV5721" s="34"/>
      <c r="BZ5721" s="34"/>
      <c r="CD5721" s="34"/>
    </row>
    <row r="5722" spans="70:82" x14ac:dyDescent="0.15">
      <c r="BR5722" s="34"/>
      <c r="BV5722" s="34"/>
      <c r="BZ5722" s="34"/>
      <c r="CD5722" s="34"/>
    </row>
    <row r="5723" spans="70:82" x14ac:dyDescent="0.15">
      <c r="BR5723" s="34"/>
      <c r="BV5723" s="34"/>
      <c r="BZ5723" s="34"/>
      <c r="CD5723" s="34"/>
    </row>
    <row r="5724" spans="70:82" x14ac:dyDescent="0.15">
      <c r="BR5724" s="34"/>
      <c r="BV5724" s="34"/>
      <c r="BZ5724" s="34"/>
      <c r="CD5724" s="34"/>
    </row>
    <row r="5725" spans="70:82" x14ac:dyDescent="0.15">
      <c r="BR5725" s="34"/>
      <c r="BV5725" s="34"/>
      <c r="BZ5725" s="34"/>
      <c r="CD5725" s="34"/>
    </row>
    <row r="5726" spans="70:82" x14ac:dyDescent="0.15">
      <c r="BR5726" s="34"/>
      <c r="BV5726" s="34"/>
      <c r="BZ5726" s="34"/>
      <c r="CD5726" s="34"/>
    </row>
    <row r="5727" spans="70:82" x14ac:dyDescent="0.15">
      <c r="BR5727" s="34"/>
      <c r="BV5727" s="34"/>
      <c r="BZ5727" s="34"/>
      <c r="CD5727" s="34"/>
    </row>
    <row r="5728" spans="70:82" x14ac:dyDescent="0.15">
      <c r="BR5728" s="34"/>
      <c r="BV5728" s="34"/>
      <c r="BZ5728" s="34"/>
      <c r="CD5728" s="34"/>
    </row>
    <row r="5729" spans="70:82" x14ac:dyDescent="0.15">
      <c r="BR5729" s="34"/>
      <c r="BV5729" s="34"/>
      <c r="BZ5729" s="34"/>
      <c r="CD5729" s="34"/>
    </row>
    <row r="5730" spans="70:82" x14ac:dyDescent="0.15">
      <c r="BR5730" s="34"/>
      <c r="BV5730" s="34"/>
      <c r="BZ5730" s="34"/>
      <c r="CD5730" s="34"/>
    </row>
    <row r="5731" spans="70:82" x14ac:dyDescent="0.15">
      <c r="BR5731" s="34"/>
      <c r="BV5731" s="34"/>
      <c r="BZ5731" s="34"/>
      <c r="CD5731" s="34"/>
    </row>
    <row r="5732" spans="70:82" x14ac:dyDescent="0.15">
      <c r="BR5732" s="34"/>
      <c r="BV5732" s="34"/>
      <c r="BZ5732" s="34"/>
      <c r="CD5732" s="34"/>
    </row>
    <row r="5733" spans="70:82" x14ac:dyDescent="0.15">
      <c r="BR5733" s="34"/>
      <c r="BV5733" s="34"/>
      <c r="BZ5733" s="34"/>
      <c r="CD5733" s="34"/>
    </row>
    <row r="5734" spans="70:82" x14ac:dyDescent="0.15">
      <c r="BR5734" s="34"/>
      <c r="BV5734" s="34"/>
      <c r="BZ5734" s="34"/>
      <c r="CD5734" s="34"/>
    </row>
    <row r="5735" spans="70:82" x14ac:dyDescent="0.15">
      <c r="BR5735" s="34"/>
      <c r="BV5735" s="34"/>
      <c r="BZ5735" s="34"/>
      <c r="CD5735" s="34"/>
    </row>
    <row r="5736" spans="70:82" x14ac:dyDescent="0.15">
      <c r="BR5736" s="34"/>
      <c r="BV5736" s="34"/>
      <c r="BZ5736" s="34"/>
      <c r="CD5736" s="34"/>
    </row>
    <row r="5737" spans="70:82" x14ac:dyDescent="0.15">
      <c r="BR5737" s="34"/>
      <c r="BV5737" s="34"/>
      <c r="BZ5737" s="34"/>
      <c r="CD5737" s="34"/>
    </row>
    <row r="5738" spans="70:82" x14ac:dyDescent="0.15">
      <c r="BR5738" s="34"/>
      <c r="BV5738" s="34"/>
      <c r="BZ5738" s="34"/>
      <c r="CD5738" s="34"/>
    </row>
    <row r="5739" spans="70:82" x14ac:dyDescent="0.15">
      <c r="BR5739" s="34"/>
      <c r="BV5739" s="34"/>
      <c r="BZ5739" s="34"/>
      <c r="CD5739" s="34"/>
    </row>
    <row r="5740" spans="70:82" x14ac:dyDescent="0.15">
      <c r="BR5740" s="34"/>
      <c r="BV5740" s="34"/>
      <c r="BZ5740" s="34"/>
      <c r="CD5740" s="34"/>
    </row>
    <row r="5741" spans="70:82" x14ac:dyDescent="0.15">
      <c r="BR5741" s="34"/>
      <c r="BV5741" s="34"/>
      <c r="BZ5741" s="34"/>
      <c r="CD5741" s="34"/>
    </row>
    <row r="5742" spans="70:82" x14ac:dyDescent="0.15">
      <c r="BR5742" s="34"/>
      <c r="BV5742" s="34"/>
      <c r="BZ5742" s="34"/>
      <c r="CD5742" s="34"/>
    </row>
    <row r="5743" spans="70:82" x14ac:dyDescent="0.15">
      <c r="BR5743" s="34"/>
      <c r="BV5743" s="34"/>
      <c r="BZ5743" s="34"/>
      <c r="CD5743" s="34"/>
    </row>
    <row r="5744" spans="70:82" x14ac:dyDescent="0.15">
      <c r="BR5744" s="34"/>
      <c r="BV5744" s="34"/>
      <c r="BZ5744" s="34"/>
      <c r="CD5744" s="34"/>
    </row>
    <row r="5745" spans="70:82" x14ac:dyDescent="0.15">
      <c r="BR5745" s="34"/>
      <c r="BV5745" s="34"/>
      <c r="BZ5745" s="34"/>
      <c r="CD5745" s="34"/>
    </row>
    <row r="5746" spans="70:82" x14ac:dyDescent="0.15">
      <c r="BR5746" s="34"/>
      <c r="BV5746" s="34"/>
      <c r="BZ5746" s="34"/>
      <c r="CD5746" s="34"/>
    </row>
    <row r="5747" spans="70:82" x14ac:dyDescent="0.15">
      <c r="BR5747" s="34"/>
      <c r="BV5747" s="34"/>
      <c r="BZ5747" s="34"/>
      <c r="CD5747" s="34"/>
    </row>
    <row r="5748" spans="70:82" x14ac:dyDescent="0.15">
      <c r="BR5748" s="34"/>
      <c r="BV5748" s="34"/>
      <c r="BZ5748" s="34"/>
      <c r="CD5748" s="34"/>
    </row>
    <row r="5749" spans="70:82" x14ac:dyDescent="0.15">
      <c r="BR5749" s="34"/>
      <c r="BV5749" s="34"/>
      <c r="BZ5749" s="34"/>
      <c r="CD5749" s="34"/>
    </row>
    <row r="5750" spans="70:82" x14ac:dyDescent="0.15">
      <c r="BR5750" s="34"/>
      <c r="BV5750" s="34"/>
      <c r="BZ5750" s="34"/>
      <c r="CD5750" s="34"/>
    </row>
    <row r="5751" spans="70:82" x14ac:dyDescent="0.15">
      <c r="BR5751" s="34"/>
      <c r="BV5751" s="34"/>
      <c r="BZ5751" s="34"/>
      <c r="CD5751" s="34"/>
    </row>
    <row r="5752" spans="70:82" x14ac:dyDescent="0.15">
      <c r="BR5752" s="34"/>
      <c r="BV5752" s="34"/>
      <c r="BZ5752" s="34"/>
      <c r="CD5752" s="34"/>
    </row>
    <row r="5753" spans="70:82" x14ac:dyDescent="0.15">
      <c r="BR5753" s="34"/>
      <c r="BV5753" s="34"/>
      <c r="BZ5753" s="34"/>
      <c r="CD5753" s="34"/>
    </row>
    <row r="5754" spans="70:82" x14ac:dyDescent="0.15">
      <c r="BR5754" s="34"/>
      <c r="BV5754" s="34"/>
      <c r="BZ5754" s="34"/>
      <c r="CD5754" s="34"/>
    </row>
    <row r="5755" spans="70:82" x14ac:dyDescent="0.15">
      <c r="BR5755" s="34"/>
      <c r="BV5755" s="34"/>
      <c r="BZ5755" s="34"/>
      <c r="CD5755" s="34"/>
    </row>
    <row r="5756" spans="70:82" x14ac:dyDescent="0.15">
      <c r="BR5756" s="34"/>
      <c r="BV5756" s="34"/>
      <c r="BZ5756" s="34"/>
      <c r="CD5756" s="34"/>
    </row>
    <row r="5757" spans="70:82" x14ac:dyDescent="0.15">
      <c r="BR5757" s="34"/>
      <c r="BV5757" s="34"/>
      <c r="BZ5757" s="34"/>
      <c r="CD5757" s="34"/>
    </row>
    <row r="5758" spans="70:82" x14ac:dyDescent="0.15">
      <c r="BR5758" s="34"/>
      <c r="BV5758" s="34"/>
      <c r="BZ5758" s="34"/>
      <c r="CD5758" s="34"/>
    </row>
    <row r="5759" spans="70:82" x14ac:dyDescent="0.15">
      <c r="BR5759" s="34"/>
      <c r="BV5759" s="34"/>
      <c r="BZ5759" s="34"/>
      <c r="CD5759" s="34"/>
    </row>
    <row r="5760" spans="70:82" x14ac:dyDescent="0.15">
      <c r="BR5760" s="34"/>
      <c r="BV5760" s="34"/>
      <c r="BZ5760" s="34"/>
      <c r="CD5760" s="34"/>
    </row>
    <row r="5761" spans="70:82" x14ac:dyDescent="0.15">
      <c r="BR5761" s="34"/>
      <c r="BV5761" s="34"/>
      <c r="BZ5761" s="34"/>
      <c r="CD5761" s="34"/>
    </row>
    <row r="5762" spans="70:82" x14ac:dyDescent="0.15">
      <c r="BR5762" s="34"/>
      <c r="BV5762" s="34"/>
      <c r="BZ5762" s="34"/>
      <c r="CD5762" s="34"/>
    </row>
    <row r="5763" spans="70:82" x14ac:dyDescent="0.15">
      <c r="BR5763" s="34"/>
      <c r="BV5763" s="34"/>
      <c r="BZ5763" s="34"/>
      <c r="CD5763" s="34"/>
    </row>
    <row r="5764" spans="70:82" x14ac:dyDescent="0.15">
      <c r="BR5764" s="34"/>
      <c r="BV5764" s="34"/>
      <c r="BZ5764" s="34"/>
      <c r="CD5764" s="34"/>
    </row>
    <row r="5765" spans="70:82" x14ac:dyDescent="0.15">
      <c r="BR5765" s="34"/>
      <c r="BV5765" s="34"/>
      <c r="BZ5765" s="34"/>
      <c r="CD5765" s="34"/>
    </row>
    <row r="5766" spans="70:82" x14ac:dyDescent="0.15">
      <c r="BR5766" s="34"/>
      <c r="BV5766" s="34"/>
      <c r="BZ5766" s="34"/>
      <c r="CD5766" s="34"/>
    </row>
    <row r="5767" spans="70:82" x14ac:dyDescent="0.15">
      <c r="BR5767" s="34"/>
      <c r="BV5767" s="34"/>
      <c r="BZ5767" s="34"/>
      <c r="CD5767" s="34"/>
    </row>
    <row r="5768" spans="70:82" x14ac:dyDescent="0.15">
      <c r="BR5768" s="34"/>
      <c r="BV5768" s="34"/>
      <c r="BZ5768" s="34"/>
      <c r="CD5768" s="34"/>
    </row>
    <row r="5769" spans="70:82" x14ac:dyDescent="0.15">
      <c r="BR5769" s="34"/>
      <c r="BV5769" s="34"/>
      <c r="BZ5769" s="34"/>
      <c r="CD5769" s="34"/>
    </row>
    <row r="5770" spans="70:82" x14ac:dyDescent="0.15">
      <c r="BR5770" s="34"/>
      <c r="BV5770" s="34"/>
      <c r="BZ5770" s="34"/>
      <c r="CD5770" s="34"/>
    </row>
    <row r="5771" spans="70:82" x14ac:dyDescent="0.15">
      <c r="BR5771" s="34"/>
      <c r="BV5771" s="34"/>
      <c r="BZ5771" s="34"/>
      <c r="CD5771" s="34"/>
    </row>
    <row r="5772" spans="70:82" x14ac:dyDescent="0.15">
      <c r="BR5772" s="34"/>
      <c r="BV5772" s="34"/>
      <c r="BZ5772" s="34"/>
      <c r="CD5772" s="34"/>
    </row>
    <row r="5773" spans="70:82" x14ac:dyDescent="0.15">
      <c r="BR5773" s="34"/>
      <c r="BV5773" s="34"/>
      <c r="BZ5773" s="34"/>
      <c r="CD5773" s="34"/>
    </row>
    <row r="5774" spans="70:82" x14ac:dyDescent="0.15">
      <c r="BR5774" s="34"/>
      <c r="BV5774" s="34"/>
      <c r="BZ5774" s="34"/>
      <c r="CD5774" s="34"/>
    </row>
    <row r="5775" spans="70:82" x14ac:dyDescent="0.15">
      <c r="BR5775" s="34"/>
      <c r="BV5775" s="34"/>
      <c r="BZ5775" s="34"/>
      <c r="CD5775" s="34"/>
    </row>
    <row r="5776" spans="70:82" x14ac:dyDescent="0.15">
      <c r="BR5776" s="34"/>
      <c r="BV5776" s="34"/>
      <c r="BZ5776" s="34"/>
      <c r="CD5776" s="34"/>
    </row>
    <row r="5777" spans="70:82" x14ac:dyDescent="0.15">
      <c r="BR5777" s="34"/>
      <c r="BV5777" s="34"/>
      <c r="BZ5777" s="34"/>
      <c r="CD5777" s="34"/>
    </row>
    <row r="5778" spans="70:82" x14ac:dyDescent="0.15">
      <c r="BR5778" s="34"/>
      <c r="BV5778" s="34"/>
      <c r="BZ5778" s="34"/>
      <c r="CD5778" s="34"/>
    </row>
    <row r="5779" spans="70:82" x14ac:dyDescent="0.15">
      <c r="BR5779" s="34"/>
      <c r="BV5779" s="34"/>
      <c r="BZ5779" s="34"/>
      <c r="CD5779" s="34"/>
    </row>
    <row r="5780" spans="70:82" x14ac:dyDescent="0.15">
      <c r="BR5780" s="34"/>
      <c r="BV5780" s="34"/>
      <c r="BZ5780" s="34"/>
      <c r="CD5780" s="34"/>
    </row>
    <row r="5781" spans="70:82" x14ac:dyDescent="0.15">
      <c r="BR5781" s="34"/>
      <c r="BV5781" s="34"/>
      <c r="BZ5781" s="34"/>
      <c r="CD5781" s="34"/>
    </row>
    <row r="5782" spans="70:82" x14ac:dyDescent="0.15">
      <c r="BR5782" s="34"/>
      <c r="BV5782" s="34"/>
      <c r="BZ5782" s="34"/>
      <c r="CD5782" s="34"/>
    </row>
    <row r="5783" spans="70:82" x14ac:dyDescent="0.15">
      <c r="BR5783" s="34"/>
      <c r="BV5783" s="34"/>
      <c r="BZ5783" s="34"/>
      <c r="CD5783" s="34"/>
    </row>
    <row r="5784" spans="70:82" x14ac:dyDescent="0.15">
      <c r="BR5784" s="34"/>
      <c r="BV5784" s="34"/>
      <c r="BZ5784" s="34"/>
      <c r="CD5784" s="34"/>
    </row>
    <row r="5785" spans="70:82" x14ac:dyDescent="0.15">
      <c r="BR5785" s="34"/>
      <c r="BV5785" s="34"/>
      <c r="BZ5785" s="34"/>
      <c r="CD5785" s="34"/>
    </row>
    <row r="5786" spans="70:82" x14ac:dyDescent="0.15">
      <c r="BR5786" s="34"/>
      <c r="BV5786" s="34"/>
      <c r="BZ5786" s="34"/>
      <c r="CD5786" s="34"/>
    </row>
    <row r="5787" spans="70:82" x14ac:dyDescent="0.15">
      <c r="BR5787" s="34"/>
      <c r="BV5787" s="34"/>
      <c r="BZ5787" s="34"/>
      <c r="CD5787" s="34"/>
    </row>
    <row r="5788" spans="70:82" x14ac:dyDescent="0.15">
      <c r="BR5788" s="34"/>
      <c r="BV5788" s="34"/>
      <c r="BZ5788" s="34"/>
      <c r="CD5788" s="34"/>
    </row>
    <row r="5789" spans="70:82" x14ac:dyDescent="0.15">
      <c r="BR5789" s="34"/>
      <c r="BV5789" s="34"/>
      <c r="BZ5789" s="34"/>
      <c r="CD5789" s="34"/>
    </row>
    <row r="5790" spans="70:82" x14ac:dyDescent="0.15">
      <c r="BR5790" s="34"/>
      <c r="BV5790" s="34"/>
      <c r="BZ5790" s="34"/>
      <c r="CD5790" s="34"/>
    </row>
    <row r="5791" spans="70:82" x14ac:dyDescent="0.15">
      <c r="BR5791" s="34"/>
      <c r="BV5791" s="34"/>
      <c r="BZ5791" s="34"/>
      <c r="CD5791" s="34"/>
    </row>
    <row r="5792" spans="70:82" x14ac:dyDescent="0.15">
      <c r="BR5792" s="34"/>
      <c r="BV5792" s="34"/>
      <c r="BZ5792" s="34"/>
      <c r="CD5792" s="34"/>
    </row>
    <row r="5793" spans="70:82" x14ac:dyDescent="0.15">
      <c r="BR5793" s="34"/>
      <c r="BV5793" s="34"/>
      <c r="BZ5793" s="34"/>
      <c r="CD5793" s="34"/>
    </row>
    <row r="5794" spans="70:82" x14ac:dyDescent="0.15">
      <c r="BR5794" s="34"/>
      <c r="BV5794" s="34"/>
      <c r="BZ5794" s="34"/>
      <c r="CD5794" s="34"/>
    </row>
    <row r="5795" spans="70:82" x14ac:dyDescent="0.15">
      <c r="BR5795" s="34"/>
      <c r="BV5795" s="34"/>
      <c r="BZ5795" s="34"/>
      <c r="CD5795" s="34"/>
    </row>
    <row r="5796" spans="70:82" x14ac:dyDescent="0.15">
      <c r="BR5796" s="34"/>
      <c r="BV5796" s="34"/>
      <c r="BZ5796" s="34"/>
      <c r="CD5796" s="34"/>
    </row>
    <row r="5797" spans="70:82" x14ac:dyDescent="0.15">
      <c r="BR5797" s="34"/>
      <c r="BV5797" s="34"/>
      <c r="BZ5797" s="34"/>
      <c r="CD5797" s="34"/>
    </row>
    <row r="5798" spans="70:82" x14ac:dyDescent="0.15">
      <c r="BR5798" s="34"/>
      <c r="BV5798" s="34"/>
      <c r="BZ5798" s="34"/>
      <c r="CD5798" s="34"/>
    </row>
    <row r="5799" spans="70:82" x14ac:dyDescent="0.15">
      <c r="BR5799" s="34"/>
      <c r="BV5799" s="34"/>
      <c r="BZ5799" s="34"/>
      <c r="CD5799" s="34"/>
    </row>
    <row r="5800" spans="70:82" x14ac:dyDescent="0.15">
      <c r="BR5800" s="34"/>
      <c r="BV5800" s="34"/>
      <c r="BZ5800" s="34"/>
      <c r="CD5800" s="34"/>
    </row>
    <row r="5801" spans="70:82" x14ac:dyDescent="0.15">
      <c r="BR5801" s="34"/>
      <c r="BV5801" s="34"/>
      <c r="BZ5801" s="34"/>
      <c r="CD5801" s="34"/>
    </row>
    <row r="5802" spans="70:82" x14ac:dyDescent="0.15">
      <c r="BR5802" s="34"/>
      <c r="BV5802" s="34"/>
      <c r="BZ5802" s="34"/>
      <c r="CD5802" s="34"/>
    </row>
    <row r="5803" spans="70:82" x14ac:dyDescent="0.15">
      <c r="BR5803" s="34"/>
      <c r="BV5803" s="34"/>
      <c r="BZ5803" s="34"/>
      <c r="CD5803" s="34"/>
    </row>
    <row r="5804" spans="70:82" x14ac:dyDescent="0.15">
      <c r="BR5804" s="34"/>
      <c r="BV5804" s="34"/>
      <c r="BZ5804" s="34"/>
      <c r="CD5804" s="34"/>
    </row>
    <row r="5805" spans="70:82" x14ac:dyDescent="0.15">
      <c r="BR5805" s="34"/>
      <c r="BV5805" s="34"/>
      <c r="BZ5805" s="34"/>
      <c r="CD5805" s="34"/>
    </row>
    <row r="5806" spans="70:82" x14ac:dyDescent="0.15">
      <c r="BR5806" s="34"/>
      <c r="BV5806" s="34"/>
      <c r="BZ5806" s="34"/>
      <c r="CD5806" s="34"/>
    </row>
    <row r="5807" spans="70:82" x14ac:dyDescent="0.15">
      <c r="BR5807" s="34"/>
      <c r="BV5807" s="34"/>
      <c r="BZ5807" s="34"/>
      <c r="CD5807" s="34"/>
    </row>
    <row r="5808" spans="70:82" x14ac:dyDescent="0.15">
      <c r="BR5808" s="34"/>
      <c r="BV5808" s="34"/>
      <c r="BZ5808" s="34"/>
      <c r="CD5808" s="34"/>
    </row>
    <row r="5809" spans="70:82" x14ac:dyDescent="0.15">
      <c r="BR5809" s="34"/>
      <c r="BV5809" s="34"/>
      <c r="BZ5809" s="34"/>
      <c r="CD5809" s="34"/>
    </row>
    <row r="5810" spans="70:82" x14ac:dyDescent="0.15">
      <c r="BR5810" s="34"/>
      <c r="BV5810" s="34"/>
      <c r="BZ5810" s="34"/>
      <c r="CD5810" s="34"/>
    </row>
    <row r="5811" spans="70:82" x14ac:dyDescent="0.15">
      <c r="BR5811" s="34"/>
      <c r="BV5811" s="34"/>
      <c r="BZ5811" s="34"/>
      <c r="CD5811" s="34"/>
    </row>
    <row r="5812" spans="70:82" x14ac:dyDescent="0.15">
      <c r="BR5812" s="34"/>
      <c r="BV5812" s="34"/>
      <c r="BZ5812" s="34"/>
      <c r="CD5812" s="34"/>
    </row>
    <row r="5813" spans="70:82" x14ac:dyDescent="0.15">
      <c r="BR5813" s="34"/>
      <c r="BV5813" s="34"/>
      <c r="BZ5813" s="34"/>
      <c r="CD5813" s="34"/>
    </row>
    <row r="5814" spans="70:82" x14ac:dyDescent="0.15">
      <c r="BR5814" s="34"/>
      <c r="BV5814" s="34"/>
      <c r="BZ5814" s="34"/>
      <c r="CD5814" s="34"/>
    </row>
    <row r="5815" spans="70:82" x14ac:dyDescent="0.15">
      <c r="BR5815" s="34"/>
      <c r="BV5815" s="34"/>
      <c r="BZ5815" s="34"/>
      <c r="CD5815" s="34"/>
    </row>
    <row r="5816" spans="70:82" x14ac:dyDescent="0.15">
      <c r="BR5816" s="34"/>
      <c r="BV5816" s="34"/>
      <c r="BZ5816" s="34"/>
      <c r="CD5816" s="34"/>
    </row>
    <row r="5817" spans="70:82" x14ac:dyDescent="0.15">
      <c r="BR5817" s="34"/>
      <c r="BV5817" s="34"/>
      <c r="BZ5817" s="34"/>
      <c r="CD5817" s="34"/>
    </row>
    <row r="5818" spans="70:82" x14ac:dyDescent="0.15">
      <c r="BR5818" s="34"/>
      <c r="BV5818" s="34"/>
      <c r="BZ5818" s="34"/>
      <c r="CD5818" s="34"/>
    </row>
    <row r="5819" spans="70:82" x14ac:dyDescent="0.15">
      <c r="BR5819" s="34"/>
      <c r="BV5819" s="34"/>
      <c r="BZ5819" s="34"/>
      <c r="CD5819" s="34"/>
    </row>
    <row r="5820" spans="70:82" x14ac:dyDescent="0.15">
      <c r="BR5820" s="34"/>
      <c r="BV5820" s="34"/>
      <c r="BZ5820" s="34"/>
      <c r="CD5820" s="34"/>
    </row>
    <row r="5821" spans="70:82" x14ac:dyDescent="0.15">
      <c r="BR5821" s="34"/>
      <c r="BV5821" s="34"/>
      <c r="BZ5821" s="34"/>
      <c r="CD5821" s="34"/>
    </row>
    <row r="5822" spans="70:82" x14ac:dyDescent="0.15">
      <c r="BR5822" s="34"/>
      <c r="BV5822" s="34"/>
      <c r="BZ5822" s="34"/>
      <c r="CD5822" s="34"/>
    </row>
    <row r="5823" spans="70:82" x14ac:dyDescent="0.15">
      <c r="BR5823" s="34"/>
      <c r="BV5823" s="34"/>
      <c r="BZ5823" s="34"/>
      <c r="CD5823" s="34"/>
    </row>
    <row r="5824" spans="70:82" x14ac:dyDescent="0.15">
      <c r="BR5824" s="34"/>
      <c r="BV5824" s="34"/>
      <c r="BZ5824" s="34"/>
      <c r="CD5824" s="34"/>
    </row>
    <row r="5825" spans="70:82" x14ac:dyDescent="0.15">
      <c r="BR5825" s="34"/>
      <c r="BV5825" s="34"/>
      <c r="BZ5825" s="34"/>
      <c r="CD5825" s="34"/>
    </row>
    <row r="5826" spans="70:82" x14ac:dyDescent="0.15">
      <c r="BR5826" s="34"/>
      <c r="BV5826" s="34"/>
      <c r="BZ5826" s="34"/>
      <c r="CD5826" s="34"/>
    </row>
    <row r="5827" spans="70:82" x14ac:dyDescent="0.15">
      <c r="BR5827" s="34"/>
      <c r="BV5827" s="34"/>
      <c r="BZ5827" s="34"/>
      <c r="CD5827" s="34"/>
    </row>
    <row r="5828" spans="70:82" x14ac:dyDescent="0.15">
      <c r="BR5828" s="34"/>
      <c r="BV5828" s="34"/>
      <c r="BZ5828" s="34"/>
      <c r="CD5828" s="34"/>
    </row>
    <row r="5829" spans="70:82" x14ac:dyDescent="0.15">
      <c r="BR5829" s="34"/>
      <c r="BV5829" s="34"/>
      <c r="BZ5829" s="34"/>
      <c r="CD5829" s="34"/>
    </row>
    <row r="5830" spans="70:82" x14ac:dyDescent="0.15">
      <c r="BR5830" s="34"/>
      <c r="BV5830" s="34"/>
      <c r="BZ5830" s="34"/>
      <c r="CD5830" s="34"/>
    </row>
    <row r="5831" spans="70:82" x14ac:dyDescent="0.15">
      <c r="BR5831" s="34"/>
      <c r="BV5831" s="34"/>
      <c r="BZ5831" s="34"/>
      <c r="CD5831" s="34"/>
    </row>
    <row r="5832" spans="70:82" x14ac:dyDescent="0.15">
      <c r="BR5832" s="34"/>
      <c r="BV5832" s="34"/>
      <c r="BZ5832" s="34"/>
      <c r="CD5832" s="34"/>
    </row>
    <row r="5833" spans="70:82" x14ac:dyDescent="0.15">
      <c r="BR5833" s="34"/>
      <c r="BV5833" s="34"/>
      <c r="BZ5833" s="34"/>
      <c r="CD5833" s="34"/>
    </row>
    <row r="5834" spans="70:82" x14ac:dyDescent="0.15">
      <c r="BR5834" s="34"/>
      <c r="BV5834" s="34"/>
      <c r="BZ5834" s="34"/>
      <c r="CD5834" s="34"/>
    </row>
    <row r="5835" spans="70:82" x14ac:dyDescent="0.15">
      <c r="BR5835" s="34"/>
      <c r="BV5835" s="34"/>
      <c r="BZ5835" s="34"/>
      <c r="CD5835" s="34"/>
    </row>
    <row r="5836" spans="70:82" x14ac:dyDescent="0.15">
      <c r="BR5836" s="34"/>
      <c r="BV5836" s="34"/>
      <c r="BZ5836" s="34"/>
      <c r="CD5836" s="34"/>
    </row>
    <row r="5837" spans="70:82" x14ac:dyDescent="0.15">
      <c r="BR5837" s="34"/>
      <c r="BV5837" s="34"/>
      <c r="BZ5837" s="34"/>
      <c r="CD5837" s="34"/>
    </row>
    <row r="5838" spans="70:82" x14ac:dyDescent="0.15">
      <c r="BR5838" s="34"/>
      <c r="BV5838" s="34"/>
      <c r="BZ5838" s="34"/>
      <c r="CD5838" s="34"/>
    </row>
    <row r="5839" spans="70:82" x14ac:dyDescent="0.15">
      <c r="BR5839" s="34"/>
      <c r="BV5839" s="34"/>
      <c r="BZ5839" s="34"/>
      <c r="CD5839" s="34"/>
    </row>
    <row r="5840" spans="70:82" x14ac:dyDescent="0.15">
      <c r="BR5840" s="34"/>
      <c r="BV5840" s="34"/>
      <c r="BZ5840" s="34"/>
      <c r="CD5840" s="34"/>
    </row>
    <row r="5841" spans="70:82" x14ac:dyDescent="0.15">
      <c r="BR5841" s="34"/>
      <c r="BV5841" s="34"/>
      <c r="BZ5841" s="34"/>
      <c r="CD5841" s="34"/>
    </row>
    <row r="5842" spans="70:82" x14ac:dyDescent="0.15">
      <c r="BR5842" s="34"/>
      <c r="BV5842" s="34"/>
      <c r="BZ5842" s="34"/>
      <c r="CD5842" s="34"/>
    </row>
    <row r="5843" spans="70:82" x14ac:dyDescent="0.15">
      <c r="BR5843" s="34"/>
      <c r="BV5843" s="34"/>
      <c r="BZ5843" s="34"/>
      <c r="CD5843" s="34"/>
    </row>
    <row r="5844" spans="70:82" x14ac:dyDescent="0.15">
      <c r="BR5844" s="34"/>
      <c r="BV5844" s="34"/>
      <c r="BZ5844" s="34"/>
      <c r="CD5844" s="34"/>
    </row>
    <row r="5845" spans="70:82" x14ac:dyDescent="0.15">
      <c r="BR5845" s="34"/>
      <c r="BV5845" s="34"/>
      <c r="BZ5845" s="34"/>
      <c r="CD5845" s="34"/>
    </row>
    <row r="5846" spans="70:82" x14ac:dyDescent="0.15">
      <c r="BR5846" s="34"/>
      <c r="BV5846" s="34"/>
      <c r="BZ5846" s="34"/>
      <c r="CD5846" s="34"/>
    </row>
    <row r="5847" spans="70:82" x14ac:dyDescent="0.15">
      <c r="BR5847" s="34"/>
      <c r="BV5847" s="34"/>
      <c r="BZ5847" s="34"/>
      <c r="CD5847" s="34"/>
    </row>
    <row r="5848" spans="70:82" x14ac:dyDescent="0.15">
      <c r="BR5848" s="34"/>
      <c r="BV5848" s="34"/>
      <c r="BZ5848" s="34"/>
      <c r="CD5848" s="34"/>
    </row>
    <row r="5849" spans="70:82" x14ac:dyDescent="0.15">
      <c r="BR5849" s="34"/>
      <c r="BV5849" s="34"/>
      <c r="BZ5849" s="34"/>
      <c r="CD5849" s="34"/>
    </row>
    <row r="5850" spans="70:82" x14ac:dyDescent="0.15">
      <c r="BR5850" s="34"/>
      <c r="BV5850" s="34"/>
      <c r="BZ5850" s="34"/>
      <c r="CD5850" s="34"/>
    </row>
    <row r="5851" spans="70:82" x14ac:dyDescent="0.15">
      <c r="BR5851" s="34"/>
      <c r="BV5851" s="34"/>
      <c r="BZ5851" s="34"/>
      <c r="CD5851" s="34"/>
    </row>
    <row r="5852" spans="70:82" x14ac:dyDescent="0.15">
      <c r="BR5852" s="34"/>
      <c r="BV5852" s="34"/>
      <c r="BZ5852" s="34"/>
      <c r="CD5852" s="34"/>
    </row>
    <row r="5853" spans="70:82" x14ac:dyDescent="0.15">
      <c r="BR5853" s="34"/>
      <c r="BV5853" s="34"/>
      <c r="BZ5853" s="34"/>
      <c r="CD5853" s="34"/>
    </row>
    <row r="5854" spans="70:82" x14ac:dyDescent="0.15">
      <c r="BR5854" s="34"/>
      <c r="BV5854" s="34"/>
      <c r="BZ5854" s="34"/>
      <c r="CD5854" s="34"/>
    </row>
    <row r="5855" spans="70:82" x14ac:dyDescent="0.15">
      <c r="BR5855" s="34"/>
      <c r="BV5855" s="34"/>
      <c r="BZ5855" s="34"/>
      <c r="CD5855" s="34"/>
    </row>
    <row r="5856" spans="70:82" x14ac:dyDescent="0.15">
      <c r="BR5856" s="34"/>
      <c r="BV5856" s="34"/>
      <c r="BZ5856" s="34"/>
      <c r="CD5856" s="34"/>
    </row>
    <row r="5857" spans="70:82" x14ac:dyDescent="0.15">
      <c r="BR5857" s="34"/>
      <c r="BV5857" s="34"/>
      <c r="BZ5857" s="34"/>
      <c r="CD5857" s="34"/>
    </row>
    <row r="5858" spans="70:82" x14ac:dyDescent="0.15">
      <c r="BR5858" s="34"/>
      <c r="BV5858" s="34"/>
      <c r="BZ5858" s="34"/>
      <c r="CD5858" s="34"/>
    </row>
    <row r="5859" spans="70:82" x14ac:dyDescent="0.15">
      <c r="BR5859" s="34"/>
      <c r="BV5859" s="34"/>
      <c r="BZ5859" s="34"/>
      <c r="CD5859" s="34"/>
    </row>
    <row r="5860" spans="70:82" x14ac:dyDescent="0.15">
      <c r="BR5860" s="34"/>
      <c r="BV5860" s="34"/>
      <c r="BZ5860" s="34"/>
      <c r="CD5860" s="34"/>
    </row>
    <row r="5861" spans="70:82" x14ac:dyDescent="0.15">
      <c r="BR5861" s="34"/>
      <c r="BV5861" s="34"/>
      <c r="BZ5861" s="34"/>
      <c r="CD5861" s="34"/>
    </row>
    <row r="5862" spans="70:82" x14ac:dyDescent="0.15">
      <c r="BR5862" s="34"/>
      <c r="BV5862" s="34"/>
      <c r="BZ5862" s="34"/>
      <c r="CD5862" s="34"/>
    </row>
    <row r="5863" spans="70:82" x14ac:dyDescent="0.15">
      <c r="BR5863" s="34"/>
      <c r="BV5863" s="34"/>
      <c r="BZ5863" s="34"/>
      <c r="CD5863" s="34"/>
    </row>
    <row r="5864" spans="70:82" x14ac:dyDescent="0.15">
      <c r="BR5864" s="34"/>
      <c r="BV5864" s="34"/>
      <c r="BZ5864" s="34"/>
      <c r="CD5864" s="34"/>
    </row>
    <row r="5865" spans="70:82" x14ac:dyDescent="0.15">
      <c r="BR5865" s="34"/>
      <c r="BV5865" s="34"/>
      <c r="BZ5865" s="34"/>
      <c r="CD5865" s="34"/>
    </row>
    <row r="5866" spans="70:82" x14ac:dyDescent="0.15">
      <c r="BR5866" s="34"/>
      <c r="BV5866" s="34"/>
      <c r="BZ5866" s="34"/>
      <c r="CD5866" s="34"/>
    </row>
    <row r="5867" spans="70:82" x14ac:dyDescent="0.15">
      <c r="BR5867" s="34"/>
      <c r="BV5867" s="34"/>
      <c r="BZ5867" s="34"/>
      <c r="CD5867" s="34"/>
    </row>
    <row r="5868" spans="70:82" x14ac:dyDescent="0.15">
      <c r="BR5868" s="34"/>
      <c r="BV5868" s="34"/>
      <c r="BZ5868" s="34"/>
      <c r="CD5868" s="34"/>
    </row>
    <row r="5869" spans="70:82" x14ac:dyDescent="0.15">
      <c r="BR5869" s="34"/>
      <c r="BV5869" s="34"/>
      <c r="BZ5869" s="34"/>
      <c r="CD5869" s="34"/>
    </row>
    <row r="5870" spans="70:82" x14ac:dyDescent="0.15">
      <c r="BR5870" s="34"/>
      <c r="BV5870" s="34"/>
      <c r="BZ5870" s="34"/>
      <c r="CD5870" s="34"/>
    </row>
    <row r="5871" spans="70:82" x14ac:dyDescent="0.15">
      <c r="BR5871" s="34"/>
      <c r="BV5871" s="34"/>
      <c r="BZ5871" s="34"/>
      <c r="CD5871" s="34"/>
    </row>
    <row r="5872" spans="70:82" x14ac:dyDescent="0.15">
      <c r="BR5872" s="34"/>
      <c r="BV5872" s="34"/>
      <c r="BZ5872" s="34"/>
      <c r="CD5872" s="34"/>
    </row>
    <row r="5873" spans="70:82" x14ac:dyDescent="0.15">
      <c r="BR5873" s="34"/>
      <c r="BV5873" s="34"/>
      <c r="BZ5873" s="34"/>
      <c r="CD5873" s="34"/>
    </row>
    <row r="5874" spans="70:82" x14ac:dyDescent="0.15">
      <c r="BR5874" s="34"/>
      <c r="BV5874" s="34"/>
      <c r="BZ5874" s="34"/>
      <c r="CD5874" s="34"/>
    </row>
    <row r="5875" spans="70:82" x14ac:dyDescent="0.15">
      <c r="BR5875" s="34"/>
      <c r="BV5875" s="34"/>
      <c r="BZ5875" s="34"/>
      <c r="CD5875" s="34"/>
    </row>
    <row r="5876" spans="70:82" x14ac:dyDescent="0.15">
      <c r="BR5876" s="34"/>
      <c r="BV5876" s="34"/>
      <c r="BZ5876" s="34"/>
      <c r="CD5876" s="34"/>
    </row>
    <row r="5877" spans="70:82" x14ac:dyDescent="0.15">
      <c r="BR5877" s="34"/>
      <c r="BV5877" s="34"/>
      <c r="BZ5877" s="34"/>
      <c r="CD5877" s="34"/>
    </row>
    <row r="5878" spans="70:82" x14ac:dyDescent="0.15">
      <c r="BR5878" s="34"/>
      <c r="BV5878" s="34"/>
      <c r="BZ5878" s="34"/>
      <c r="CD5878" s="34"/>
    </row>
    <row r="5879" spans="70:82" x14ac:dyDescent="0.15">
      <c r="BR5879" s="34"/>
      <c r="BV5879" s="34"/>
      <c r="BZ5879" s="34"/>
      <c r="CD5879" s="34"/>
    </row>
    <row r="5880" spans="70:82" x14ac:dyDescent="0.15">
      <c r="BR5880" s="34"/>
      <c r="BV5880" s="34"/>
      <c r="BZ5880" s="34"/>
      <c r="CD5880" s="34"/>
    </row>
    <row r="5881" spans="70:82" x14ac:dyDescent="0.15">
      <c r="BR5881" s="34"/>
      <c r="BV5881" s="34"/>
      <c r="BZ5881" s="34"/>
      <c r="CD5881" s="34"/>
    </row>
    <row r="5882" spans="70:82" x14ac:dyDescent="0.15">
      <c r="BR5882" s="34"/>
      <c r="BV5882" s="34"/>
      <c r="BZ5882" s="34"/>
      <c r="CD5882" s="34"/>
    </row>
    <row r="5883" spans="70:82" x14ac:dyDescent="0.15">
      <c r="BR5883" s="34"/>
      <c r="BV5883" s="34"/>
      <c r="BZ5883" s="34"/>
      <c r="CD5883" s="34"/>
    </row>
    <row r="5884" spans="70:82" x14ac:dyDescent="0.15">
      <c r="BR5884" s="34"/>
      <c r="BV5884" s="34"/>
      <c r="BZ5884" s="34"/>
      <c r="CD5884" s="34"/>
    </row>
    <row r="5885" spans="70:82" x14ac:dyDescent="0.15">
      <c r="BR5885" s="34"/>
      <c r="BV5885" s="34"/>
      <c r="BZ5885" s="34"/>
      <c r="CD5885" s="34"/>
    </row>
    <row r="5886" spans="70:82" x14ac:dyDescent="0.15">
      <c r="BR5886" s="34"/>
      <c r="BV5886" s="34"/>
      <c r="BZ5886" s="34"/>
      <c r="CD5886" s="34"/>
    </row>
    <row r="5887" spans="70:82" x14ac:dyDescent="0.15">
      <c r="BR5887" s="34"/>
      <c r="BV5887" s="34"/>
      <c r="BZ5887" s="34"/>
      <c r="CD5887" s="34"/>
    </row>
    <row r="5888" spans="70:82" x14ac:dyDescent="0.15">
      <c r="BR5888" s="34"/>
      <c r="BV5888" s="34"/>
      <c r="BZ5888" s="34"/>
      <c r="CD5888" s="34"/>
    </row>
    <row r="5889" spans="70:82" x14ac:dyDescent="0.15">
      <c r="BR5889" s="34"/>
      <c r="BV5889" s="34"/>
      <c r="BZ5889" s="34"/>
      <c r="CD5889" s="34"/>
    </row>
    <row r="5890" spans="70:82" x14ac:dyDescent="0.15">
      <c r="BR5890" s="34"/>
      <c r="BV5890" s="34"/>
      <c r="BZ5890" s="34"/>
      <c r="CD5890" s="34"/>
    </row>
    <row r="5891" spans="70:82" x14ac:dyDescent="0.15">
      <c r="BR5891" s="34"/>
      <c r="BV5891" s="34"/>
      <c r="BZ5891" s="34"/>
      <c r="CD5891" s="34"/>
    </row>
    <row r="5892" spans="70:82" x14ac:dyDescent="0.15">
      <c r="BR5892" s="34"/>
      <c r="BV5892" s="34"/>
      <c r="BZ5892" s="34"/>
      <c r="CD5892" s="34"/>
    </row>
    <row r="5893" spans="70:82" x14ac:dyDescent="0.15">
      <c r="BR5893" s="34"/>
      <c r="BV5893" s="34"/>
      <c r="BZ5893" s="34"/>
      <c r="CD5893" s="34"/>
    </row>
    <row r="5894" spans="70:82" x14ac:dyDescent="0.15">
      <c r="BR5894" s="34"/>
      <c r="BV5894" s="34"/>
      <c r="BZ5894" s="34"/>
      <c r="CD5894" s="34"/>
    </row>
    <row r="5895" spans="70:82" x14ac:dyDescent="0.15">
      <c r="BR5895" s="34"/>
      <c r="BV5895" s="34"/>
      <c r="BZ5895" s="34"/>
      <c r="CD5895" s="34"/>
    </row>
    <row r="5896" spans="70:82" x14ac:dyDescent="0.15">
      <c r="BR5896" s="34"/>
      <c r="BV5896" s="34"/>
      <c r="BZ5896" s="34"/>
      <c r="CD5896" s="34"/>
    </row>
    <row r="5897" spans="70:82" x14ac:dyDescent="0.15">
      <c r="BR5897" s="34"/>
      <c r="BV5897" s="34"/>
      <c r="BZ5897" s="34"/>
      <c r="CD5897" s="34"/>
    </row>
    <row r="5898" spans="70:82" x14ac:dyDescent="0.15">
      <c r="BR5898" s="34"/>
      <c r="BV5898" s="34"/>
      <c r="BZ5898" s="34"/>
      <c r="CD5898" s="34"/>
    </row>
    <row r="5899" spans="70:82" x14ac:dyDescent="0.15">
      <c r="BR5899" s="34"/>
      <c r="BV5899" s="34"/>
      <c r="BZ5899" s="34"/>
      <c r="CD5899" s="34"/>
    </row>
    <row r="5900" spans="70:82" x14ac:dyDescent="0.15">
      <c r="BR5900" s="34"/>
      <c r="BV5900" s="34"/>
      <c r="BZ5900" s="34"/>
      <c r="CD5900" s="34"/>
    </row>
    <row r="5901" spans="70:82" x14ac:dyDescent="0.15">
      <c r="BR5901" s="34"/>
      <c r="BV5901" s="34"/>
      <c r="BZ5901" s="34"/>
      <c r="CD5901" s="34"/>
    </row>
    <row r="5902" spans="70:82" x14ac:dyDescent="0.15">
      <c r="BR5902" s="34"/>
      <c r="BV5902" s="34"/>
      <c r="BZ5902" s="34"/>
      <c r="CD5902" s="34"/>
    </row>
    <row r="5903" spans="70:82" x14ac:dyDescent="0.15">
      <c r="BR5903" s="34"/>
      <c r="BV5903" s="34"/>
      <c r="BZ5903" s="34"/>
      <c r="CD5903" s="34"/>
    </row>
    <row r="5904" spans="70:82" x14ac:dyDescent="0.15">
      <c r="BR5904" s="34"/>
      <c r="BV5904" s="34"/>
      <c r="BZ5904" s="34"/>
      <c r="CD5904" s="34"/>
    </row>
    <row r="5905" spans="70:82" x14ac:dyDescent="0.15">
      <c r="BR5905" s="34"/>
      <c r="BV5905" s="34"/>
      <c r="BZ5905" s="34"/>
      <c r="CD5905" s="34"/>
    </row>
    <row r="5906" spans="70:82" x14ac:dyDescent="0.15">
      <c r="BR5906" s="34"/>
      <c r="BV5906" s="34"/>
      <c r="BZ5906" s="34"/>
      <c r="CD5906" s="34"/>
    </row>
    <row r="5907" spans="70:82" x14ac:dyDescent="0.15">
      <c r="BR5907" s="34"/>
      <c r="BV5907" s="34"/>
      <c r="BZ5907" s="34"/>
      <c r="CD5907" s="34"/>
    </row>
    <row r="5908" spans="70:82" x14ac:dyDescent="0.15">
      <c r="BR5908" s="34"/>
      <c r="BV5908" s="34"/>
      <c r="BZ5908" s="34"/>
      <c r="CD5908" s="34"/>
    </row>
    <row r="5909" spans="70:82" x14ac:dyDescent="0.15">
      <c r="BR5909" s="34"/>
      <c r="BV5909" s="34"/>
      <c r="BZ5909" s="34"/>
      <c r="CD5909" s="34"/>
    </row>
    <row r="5910" spans="70:82" x14ac:dyDescent="0.15">
      <c r="BR5910" s="34"/>
      <c r="BV5910" s="34"/>
      <c r="BZ5910" s="34"/>
      <c r="CD5910" s="34"/>
    </row>
    <row r="5911" spans="70:82" x14ac:dyDescent="0.15">
      <c r="BR5911" s="34"/>
      <c r="BV5911" s="34"/>
      <c r="BZ5911" s="34"/>
      <c r="CD5911" s="34"/>
    </row>
    <row r="5912" spans="70:82" x14ac:dyDescent="0.15">
      <c r="BR5912" s="34"/>
      <c r="BV5912" s="34"/>
      <c r="BZ5912" s="34"/>
      <c r="CD5912" s="34"/>
    </row>
    <row r="5913" spans="70:82" x14ac:dyDescent="0.15">
      <c r="BR5913" s="34"/>
      <c r="BV5913" s="34"/>
      <c r="BZ5913" s="34"/>
      <c r="CD5913" s="34"/>
    </row>
    <row r="5914" spans="70:82" x14ac:dyDescent="0.15">
      <c r="BR5914" s="34"/>
      <c r="BV5914" s="34"/>
      <c r="BZ5914" s="34"/>
      <c r="CD5914" s="34"/>
    </row>
    <row r="5915" spans="70:82" x14ac:dyDescent="0.15">
      <c r="BR5915" s="34"/>
      <c r="BV5915" s="34"/>
      <c r="BZ5915" s="34"/>
      <c r="CD5915" s="34"/>
    </row>
    <row r="5916" spans="70:82" x14ac:dyDescent="0.15">
      <c r="BR5916" s="34"/>
      <c r="BV5916" s="34"/>
      <c r="BZ5916" s="34"/>
      <c r="CD5916" s="34"/>
    </row>
    <row r="5917" spans="70:82" x14ac:dyDescent="0.15">
      <c r="BR5917" s="34"/>
      <c r="BV5917" s="34"/>
      <c r="BZ5917" s="34"/>
      <c r="CD5917" s="34"/>
    </row>
    <row r="5918" spans="70:82" x14ac:dyDescent="0.15">
      <c r="BR5918" s="34"/>
      <c r="BV5918" s="34"/>
      <c r="BZ5918" s="34"/>
      <c r="CD5918" s="34"/>
    </row>
    <row r="5919" spans="70:82" x14ac:dyDescent="0.15">
      <c r="BR5919" s="34"/>
      <c r="BV5919" s="34"/>
      <c r="BZ5919" s="34"/>
      <c r="CD5919" s="34"/>
    </row>
    <row r="5920" spans="70:82" x14ac:dyDescent="0.15">
      <c r="BR5920" s="34"/>
      <c r="BV5920" s="34"/>
      <c r="BZ5920" s="34"/>
      <c r="CD5920" s="34"/>
    </row>
    <row r="5921" spans="70:82" x14ac:dyDescent="0.15">
      <c r="BR5921" s="34"/>
      <c r="BV5921" s="34"/>
      <c r="BZ5921" s="34"/>
      <c r="CD5921" s="34"/>
    </row>
    <row r="5922" spans="70:82" x14ac:dyDescent="0.15">
      <c r="BR5922" s="34"/>
      <c r="BV5922" s="34"/>
      <c r="BZ5922" s="34"/>
      <c r="CD5922" s="34"/>
    </row>
    <row r="5923" spans="70:82" x14ac:dyDescent="0.15">
      <c r="BR5923" s="34"/>
      <c r="BV5923" s="34"/>
      <c r="BZ5923" s="34"/>
      <c r="CD5923" s="34"/>
    </row>
    <row r="5924" spans="70:82" x14ac:dyDescent="0.15">
      <c r="BR5924" s="34"/>
      <c r="BV5924" s="34"/>
      <c r="BZ5924" s="34"/>
      <c r="CD5924" s="34"/>
    </row>
    <row r="5925" spans="70:82" x14ac:dyDescent="0.15">
      <c r="BR5925" s="34"/>
      <c r="BV5925" s="34"/>
      <c r="BZ5925" s="34"/>
      <c r="CD5925" s="34"/>
    </row>
    <row r="5926" spans="70:82" x14ac:dyDescent="0.15">
      <c r="BR5926" s="34"/>
      <c r="BV5926" s="34"/>
      <c r="BZ5926" s="34"/>
      <c r="CD5926" s="34"/>
    </row>
    <row r="5927" spans="70:82" x14ac:dyDescent="0.15">
      <c r="BR5927" s="34"/>
      <c r="BV5927" s="34"/>
      <c r="BZ5927" s="34"/>
      <c r="CD5927" s="34"/>
    </row>
    <row r="5928" spans="70:82" x14ac:dyDescent="0.15">
      <c r="BR5928" s="34"/>
      <c r="BV5928" s="34"/>
      <c r="BZ5928" s="34"/>
      <c r="CD5928" s="34"/>
    </row>
    <row r="5929" spans="70:82" x14ac:dyDescent="0.15">
      <c r="BR5929" s="34"/>
      <c r="BV5929" s="34"/>
      <c r="BZ5929" s="34"/>
      <c r="CD5929" s="34"/>
    </row>
    <row r="5930" spans="70:82" x14ac:dyDescent="0.15">
      <c r="BR5930" s="34"/>
      <c r="BV5930" s="34"/>
      <c r="BZ5930" s="34"/>
      <c r="CD5930" s="34"/>
    </row>
    <row r="5931" spans="70:82" x14ac:dyDescent="0.15">
      <c r="BR5931" s="34"/>
      <c r="BV5931" s="34"/>
      <c r="BZ5931" s="34"/>
      <c r="CD5931" s="34"/>
    </row>
    <row r="5932" spans="70:82" x14ac:dyDescent="0.15">
      <c r="BR5932" s="34"/>
      <c r="BV5932" s="34"/>
      <c r="BZ5932" s="34"/>
      <c r="CD5932" s="34"/>
    </row>
    <row r="5933" spans="70:82" x14ac:dyDescent="0.15">
      <c r="BR5933" s="34"/>
      <c r="BV5933" s="34"/>
      <c r="BZ5933" s="34"/>
      <c r="CD5933" s="34"/>
    </row>
    <row r="5934" spans="70:82" x14ac:dyDescent="0.15">
      <c r="BR5934" s="34"/>
      <c r="BV5934" s="34"/>
      <c r="BZ5934" s="34"/>
      <c r="CD5934" s="34"/>
    </row>
    <row r="5935" spans="70:82" x14ac:dyDescent="0.15">
      <c r="BR5935" s="34"/>
      <c r="BV5935" s="34"/>
      <c r="BZ5935" s="34"/>
      <c r="CD5935" s="34"/>
    </row>
    <row r="5936" spans="70:82" x14ac:dyDescent="0.15">
      <c r="BR5936" s="34"/>
      <c r="BV5936" s="34"/>
      <c r="BZ5936" s="34"/>
      <c r="CD5936" s="34"/>
    </row>
    <row r="5937" spans="70:82" x14ac:dyDescent="0.15">
      <c r="BR5937" s="34"/>
      <c r="BV5937" s="34"/>
      <c r="BZ5937" s="34"/>
      <c r="CD5937" s="34"/>
    </row>
    <row r="5938" spans="70:82" x14ac:dyDescent="0.15">
      <c r="BR5938" s="34"/>
      <c r="BV5938" s="34"/>
      <c r="BZ5938" s="34"/>
      <c r="CD5938" s="34"/>
    </row>
    <row r="5939" spans="70:82" x14ac:dyDescent="0.15">
      <c r="BR5939" s="34"/>
      <c r="BV5939" s="34"/>
      <c r="BZ5939" s="34"/>
      <c r="CD5939" s="34"/>
    </row>
    <row r="5940" spans="70:82" x14ac:dyDescent="0.15">
      <c r="BR5940" s="34"/>
      <c r="BV5940" s="34"/>
      <c r="BZ5940" s="34"/>
      <c r="CD5940" s="34"/>
    </row>
    <row r="5941" spans="70:82" x14ac:dyDescent="0.15">
      <c r="BR5941" s="34"/>
      <c r="BV5941" s="34"/>
      <c r="BZ5941" s="34"/>
      <c r="CD5941" s="34"/>
    </row>
    <row r="5942" spans="70:82" x14ac:dyDescent="0.15">
      <c r="BR5942" s="34"/>
      <c r="BV5942" s="34"/>
      <c r="BZ5942" s="34"/>
      <c r="CD5942" s="34"/>
    </row>
    <row r="5943" spans="70:82" x14ac:dyDescent="0.15">
      <c r="BR5943" s="34"/>
      <c r="BV5943" s="34"/>
      <c r="BZ5943" s="34"/>
      <c r="CD5943" s="34"/>
    </row>
    <row r="5944" spans="70:82" x14ac:dyDescent="0.15">
      <c r="BR5944" s="34"/>
      <c r="BV5944" s="34"/>
      <c r="BZ5944" s="34"/>
      <c r="CD5944" s="34"/>
    </row>
    <row r="5945" spans="70:82" x14ac:dyDescent="0.15">
      <c r="BR5945" s="34"/>
      <c r="BV5945" s="34"/>
      <c r="BZ5945" s="34"/>
      <c r="CD5945" s="34"/>
    </row>
    <row r="5946" spans="70:82" x14ac:dyDescent="0.15">
      <c r="BR5946" s="34"/>
      <c r="BV5946" s="34"/>
      <c r="BZ5946" s="34"/>
      <c r="CD5946" s="34"/>
    </row>
    <row r="5947" spans="70:82" x14ac:dyDescent="0.15">
      <c r="BR5947" s="34"/>
      <c r="BV5947" s="34"/>
      <c r="BZ5947" s="34"/>
      <c r="CD5947" s="34"/>
    </row>
    <row r="5948" spans="70:82" x14ac:dyDescent="0.15">
      <c r="BR5948" s="34"/>
      <c r="BV5948" s="34"/>
      <c r="BZ5948" s="34"/>
      <c r="CD5948" s="34"/>
    </row>
    <row r="5949" spans="70:82" x14ac:dyDescent="0.15">
      <c r="BR5949" s="34"/>
      <c r="BV5949" s="34"/>
      <c r="BZ5949" s="34"/>
      <c r="CD5949" s="34"/>
    </row>
    <row r="5950" spans="70:82" x14ac:dyDescent="0.15">
      <c r="BR5950" s="34"/>
      <c r="BV5950" s="34"/>
      <c r="BZ5950" s="34"/>
      <c r="CD5950" s="34"/>
    </row>
    <row r="5951" spans="70:82" x14ac:dyDescent="0.15">
      <c r="BR5951" s="34"/>
      <c r="BV5951" s="34"/>
      <c r="BZ5951" s="34"/>
      <c r="CD5951" s="34"/>
    </row>
    <row r="5952" spans="70:82" x14ac:dyDescent="0.15">
      <c r="BR5952" s="34"/>
      <c r="BV5952" s="34"/>
      <c r="BZ5952" s="34"/>
      <c r="CD5952" s="34"/>
    </row>
    <row r="5953" spans="70:82" x14ac:dyDescent="0.15">
      <c r="BR5953" s="34"/>
      <c r="BV5953" s="34"/>
      <c r="BZ5953" s="34"/>
      <c r="CD5953" s="34"/>
    </row>
    <row r="5954" spans="70:82" x14ac:dyDescent="0.15">
      <c r="BR5954" s="34"/>
      <c r="BV5954" s="34"/>
      <c r="BZ5954" s="34"/>
      <c r="CD5954" s="34"/>
    </row>
    <row r="5955" spans="70:82" x14ac:dyDescent="0.15">
      <c r="BR5955" s="34"/>
      <c r="BV5955" s="34"/>
      <c r="BZ5955" s="34"/>
      <c r="CD5955" s="34"/>
    </row>
    <row r="5956" spans="70:82" x14ac:dyDescent="0.15">
      <c r="BR5956" s="34"/>
      <c r="BV5956" s="34"/>
      <c r="BZ5956" s="34"/>
      <c r="CD5956" s="34"/>
    </row>
    <row r="5957" spans="70:82" x14ac:dyDescent="0.15">
      <c r="BR5957" s="34"/>
      <c r="BV5957" s="34"/>
      <c r="BZ5957" s="34"/>
      <c r="CD5957" s="34"/>
    </row>
    <row r="5958" spans="70:82" x14ac:dyDescent="0.15">
      <c r="BR5958" s="34"/>
      <c r="BV5958" s="34"/>
      <c r="BZ5958" s="34"/>
      <c r="CD5958" s="34"/>
    </row>
    <row r="5959" spans="70:82" x14ac:dyDescent="0.15">
      <c r="BR5959" s="34"/>
      <c r="BV5959" s="34"/>
      <c r="BZ5959" s="34"/>
      <c r="CD5959" s="34"/>
    </row>
    <row r="5960" spans="70:82" x14ac:dyDescent="0.15">
      <c r="BR5960" s="34"/>
      <c r="BV5960" s="34"/>
      <c r="BZ5960" s="34"/>
      <c r="CD5960" s="34"/>
    </row>
    <row r="5961" spans="70:82" x14ac:dyDescent="0.15">
      <c r="BR5961" s="34"/>
      <c r="BV5961" s="34"/>
      <c r="BZ5961" s="34"/>
      <c r="CD5961" s="34"/>
    </row>
    <row r="5962" spans="70:82" x14ac:dyDescent="0.15">
      <c r="BR5962" s="34"/>
      <c r="BV5962" s="34"/>
      <c r="BZ5962" s="34"/>
      <c r="CD5962" s="34"/>
    </row>
    <row r="5963" spans="70:82" x14ac:dyDescent="0.15">
      <c r="BR5963" s="34"/>
      <c r="BV5963" s="34"/>
      <c r="BZ5963" s="34"/>
      <c r="CD5963" s="34"/>
    </row>
    <row r="5964" spans="70:82" x14ac:dyDescent="0.15">
      <c r="BR5964" s="34"/>
      <c r="BV5964" s="34"/>
      <c r="BZ5964" s="34"/>
      <c r="CD5964" s="34"/>
    </row>
    <row r="5965" spans="70:82" x14ac:dyDescent="0.15">
      <c r="BR5965" s="34"/>
      <c r="BV5965" s="34"/>
      <c r="BZ5965" s="34"/>
      <c r="CD5965" s="34"/>
    </row>
    <row r="5966" spans="70:82" x14ac:dyDescent="0.15">
      <c r="BR5966" s="34"/>
      <c r="BV5966" s="34"/>
      <c r="BZ5966" s="34"/>
      <c r="CD5966" s="34"/>
    </row>
    <row r="5967" spans="70:82" x14ac:dyDescent="0.15">
      <c r="BR5967" s="34"/>
      <c r="BV5967" s="34"/>
      <c r="BZ5967" s="34"/>
      <c r="CD5967" s="34"/>
    </row>
    <row r="5968" spans="70:82" x14ac:dyDescent="0.15">
      <c r="BR5968" s="34"/>
      <c r="BV5968" s="34"/>
      <c r="BZ5968" s="34"/>
      <c r="CD5968" s="34"/>
    </row>
    <row r="5969" spans="70:82" x14ac:dyDescent="0.15">
      <c r="BR5969" s="34"/>
      <c r="BV5969" s="34"/>
      <c r="BZ5969" s="34"/>
      <c r="CD5969" s="34"/>
    </row>
    <row r="5970" spans="70:82" x14ac:dyDescent="0.15">
      <c r="BR5970" s="34"/>
      <c r="BV5970" s="34"/>
      <c r="BZ5970" s="34"/>
      <c r="CD5970" s="34"/>
    </row>
    <row r="5971" spans="70:82" x14ac:dyDescent="0.15">
      <c r="BR5971" s="34"/>
      <c r="BV5971" s="34"/>
      <c r="BZ5971" s="34"/>
      <c r="CD5971" s="34"/>
    </row>
    <row r="5972" spans="70:82" x14ac:dyDescent="0.15">
      <c r="BR5972" s="34"/>
      <c r="BV5972" s="34"/>
      <c r="BZ5972" s="34"/>
      <c r="CD5972" s="34"/>
    </row>
    <row r="5973" spans="70:82" x14ac:dyDescent="0.15">
      <c r="BR5973" s="34"/>
      <c r="BV5973" s="34"/>
      <c r="BZ5973" s="34"/>
      <c r="CD5973" s="34"/>
    </row>
    <row r="5974" spans="70:82" x14ac:dyDescent="0.15">
      <c r="BR5974" s="34"/>
      <c r="BV5974" s="34"/>
      <c r="BZ5974" s="34"/>
      <c r="CD5974" s="34"/>
    </row>
    <row r="5975" spans="70:82" x14ac:dyDescent="0.15">
      <c r="BR5975" s="34"/>
      <c r="BV5975" s="34"/>
      <c r="BZ5975" s="34"/>
      <c r="CD5975" s="34"/>
    </row>
    <row r="5976" spans="70:82" x14ac:dyDescent="0.15">
      <c r="BR5976" s="34"/>
      <c r="BV5976" s="34"/>
      <c r="BZ5976" s="34"/>
      <c r="CD5976" s="34"/>
    </row>
    <row r="5977" spans="70:82" x14ac:dyDescent="0.15">
      <c r="BR5977" s="34"/>
      <c r="BV5977" s="34"/>
      <c r="BZ5977" s="34"/>
      <c r="CD5977" s="34"/>
    </row>
    <row r="5978" spans="70:82" x14ac:dyDescent="0.15">
      <c r="BR5978" s="34"/>
      <c r="BV5978" s="34"/>
      <c r="BZ5978" s="34"/>
      <c r="CD5978" s="34"/>
    </row>
    <row r="5979" spans="70:82" x14ac:dyDescent="0.15">
      <c r="BR5979" s="34"/>
      <c r="BV5979" s="34"/>
      <c r="BZ5979" s="34"/>
      <c r="CD5979" s="34"/>
    </row>
    <row r="5980" spans="70:82" x14ac:dyDescent="0.15">
      <c r="BR5980" s="34"/>
      <c r="BV5980" s="34"/>
      <c r="BZ5980" s="34"/>
      <c r="CD5980" s="34"/>
    </row>
    <row r="5981" spans="70:82" x14ac:dyDescent="0.15">
      <c r="BR5981" s="34"/>
      <c r="BV5981" s="34"/>
      <c r="BZ5981" s="34"/>
      <c r="CD5981" s="34"/>
    </row>
    <row r="5982" spans="70:82" x14ac:dyDescent="0.15">
      <c r="BR5982" s="34"/>
      <c r="BV5982" s="34"/>
      <c r="BZ5982" s="34"/>
      <c r="CD5982" s="34"/>
    </row>
    <row r="5983" spans="70:82" x14ac:dyDescent="0.15">
      <c r="BR5983" s="34"/>
      <c r="BV5983" s="34"/>
      <c r="BZ5983" s="34"/>
      <c r="CD5983" s="34"/>
    </row>
    <row r="5984" spans="70:82" x14ac:dyDescent="0.15">
      <c r="BR5984" s="34"/>
      <c r="BV5984" s="34"/>
      <c r="BZ5984" s="34"/>
      <c r="CD5984" s="34"/>
    </row>
    <row r="5985" spans="70:82" x14ac:dyDescent="0.15">
      <c r="BR5985" s="34"/>
      <c r="BV5985" s="34"/>
      <c r="BZ5985" s="34"/>
      <c r="CD5985" s="34"/>
    </row>
    <row r="5986" spans="70:82" x14ac:dyDescent="0.15">
      <c r="BR5986" s="34"/>
      <c r="BV5986" s="34"/>
      <c r="BZ5986" s="34"/>
      <c r="CD5986" s="34"/>
    </row>
    <row r="5987" spans="70:82" x14ac:dyDescent="0.15">
      <c r="BR5987" s="34"/>
      <c r="BV5987" s="34"/>
      <c r="BZ5987" s="34"/>
      <c r="CD5987" s="34"/>
    </row>
    <row r="5988" spans="70:82" x14ac:dyDescent="0.15">
      <c r="BR5988" s="34"/>
      <c r="BV5988" s="34"/>
      <c r="BZ5988" s="34"/>
      <c r="CD5988" s="34"/>
    </row>
    <row r="5989" spans="70:82" x14ac:dyDescent="0.15">
      <c r="BR5989" s="34"/>
      <c r="BV5989" s="34"/>
      <c r="BZ5989" s="34"/>
      <c r="CD5989" s="34"/>
    </row>
    <row r="5990" spans="70:82" x14ac:dyDescent="0.15">
      <c r="BR5990" s="34"/>
      <c r="BV5990" s="34"/>
      <c r="BZ5990" s="34"/>
      <c r="CD5990" s="34"/>
    </row>
    <row r="5991" spans="70:82" x14ac:dyDescent="0.15">
      <c r="BR5991" s="34"/>
      <c r="BV5991" s="34"/>
      <c r="BZ5991" s="34"/>
      <c r="CD5991" s="34"/>
    </row>
    <row r="5992" spans="70:82" x14ac:dyDescent="0.15">
      <c r="BR5992" s="34"/>
      <c r="BV5992" s="34"/>
      <c r="BZ5992" s="34"/>
      <c r="CD5992" s="34"/>
    </row>
    <row r="5993" spans="70:82" x14ac:dyDescent="0.15">
      <c r="BR5993" s="34"/>
      <c r="BV5993" s="34"/>
      <c r="BZ5993" s="34"/>
      <c r="CD5993" s="34"/>
    </row>
    <row r="5994" spans="70:82" x14ac:dyDescent="0.15">
      <c r="BR5994" s="34"/>
      <c r="BV5994" s="34"/>
      <c r="BZ5994" s="34"/>
      <c r="CD5994" s="34"/>
    </row>
    <row r="5995" spans="70:82" x14ac:dyDescent="0.15">
      <c r="BR5995" s="34"/>
      <c r="BV5995" s="34"/>
      <c r="BZ5995" s="34"/>
      <c r="CD5995" s="34"/>
    </row>
    <row r="5996" spans="70:82" x14ac:dyDescent="0.15">
      <c r="BR5996" s="34"/>
      <c r="BV5996" s="34"/>
      <c r="BZ5996" s="34"/>
      <c r="CD5996" s="34"/>
    </row>
    <row r="5997" spans="70:82" x14ac:dyDescent="0.15">
      <c r="BR5997" s="34"/>
      <c r="BV5997" s="34"/>
      <c r="BZ5997" s="34"/>
      <c r="CD5997" s="34"/>
    </row>
    <row r="5998" spans="70:82" x14ac:dyDescent="0.15">
      <c r="BR5998" s="34"/>
      <c r="BV5998" s="34"/>
      <c r="BZ5998" s="34"/>
      <c r="CD5998" s="34"/>
    </row>
    <row r="5999" spans="70:82" x14ac:dyDescent="0.15">
      <c r="BR5999" s="34"/>
      <c r="BV5999" s="34"/>
      <c r="BZ5999" s="34"/>
      <c r="CD5999" s="34"/>
    </row>
    <row r="6000" spans="70:82" x14ac:dyDescent="0.15">
      <c r="BR6000" s="34"/>
      <c r="BV6000" s="34"/>
      <c r="BZ6000" s="34"/>
      <c r="CD6000" s="34"/>
    </row>
    <row r="6001" spans="70:82" x14ac:dyDescent="0.15">
      <c r="BR6001" s="34"/>
      <c r="BV6001" s="34"/>
      <c r="BZ6001" s="34"/>
      <c r="CD6001" s="34"/>
    </row>
    <row r="6002" spans="70:82" x14ac:dyDescent="0.15">
      <c r="BR6002" s="34"/>
      <c r="BV6002" s="34"/>
      <c r="BZ6002" s="34"/>
      <c r="CD6002" s="34"/>
    </row>
    <row r="6003" spans="70:82" x14ac:dyDescent="0.15">
      <c r="BR6003" s="34"/>
      <c r="BV6003" s="34"/>
      <c r="BZ6003" s="34"/>
      <c r="CD6003" s="34"/>
    </row>
    <row r="6004" spans="70:82" x14ac:dyDescent="0.15">
      <c r="BR6004" s="34"/>
      <c r="BV6004" s="34"/>
      <c r="BZ6004" s="34"/>
      <c r="CD6004" s="34"/>
    </row>
    <row r="6005" spans="70:82" x14ac:dyDescent="0.15">
      <c r="BR6005" s="34"/>
      <c r="BV6005" s="34"/>
      <c r="BZ6005" s="34"/>
      <c r="CD6005" s="34"/>
    </row>
    <row r="6006" spans="70:82" x14ac:dyDescent="0.15">
      <c r="BR6006" s="34"/>
      <c r="BV6006" s="34"/>
      <c r="BZ6006" s="34"/>
      <c r="CD6006" s="34"/>
    </row>
    <row r="6007" spans="70:82" x14ac:dyDescent="0.15">
      <c r="BR6007" s="34"/>
      <c r="BV6007" s="34"/>
      <c r="BZ6007" s="34"/>
      <c r="CD6007" s="34"/>
    </row>
    <row r="6008" spans="70:82" x14ac:dyDescent="0.15">
      <c r="BR6008" s="34"/>
      <c r="BV6008" s="34"/>
      <c r="BZ6008" s="34"/>
      <c r="CD6008" s="34"/>
    </row>
    <row r="6009" spans="70:82" x14ac:dyDescent="0.15">
      <c r="BR6009" s="34"/>
      <c r="BV6009" s="34"/>
      <c r="BZ6009" s="34"/>
      <c r="CD6009" s="34"/>
    </row>
    <row r="6010" spans="70:82" x14ac:dyDescent="0.15">
      <c r="BR6010" s="34"/>
      <c r="BV6010" s="34"/>
      <c r="BZ6010" s="34"/>
      <c r="CD6010" s="34"/>
    </row>
    <row r="6011" spans="70:82" x14ac:dyDescent="0.15">
      <c r="BR6011" s="34"/>
      <c r="BV6011" s="34"/>
      <c r="BZ6011" s="34"/>
      <c r="CD6011" s="34"/>
    </row>
    <row r="6012" spans="70:82" x14ac:dyDescent="0.15">
      <c r="BR6012" s="34"/>
      <c r="BV6012" s="34"/>
      <c r="BZ6012" s="34"/>
      <c r="CD6012" s="34"/>
    </row>
    <row r="6013" spans="70:82" x14ac:dyDescent="0.15">
      <c r="BR6013" s="34"/>
      <c r="BV6013" s="34"/>
      <c r="BZ6013" s="34"/>
      <c r="CD6013" s="34"/>
    </row>
    <row r="6014" spans="70:82" x14ac:dyDescent="0.15">
      <c r="BR6014" s="34"/>
      <c r="BV6014" s="34"/>
      <c r="BZ6014" s="34"/>
      <c r="CD6014" s="34"/>
    </row>
    <row r="6015" spans="70:82" x14ac:dyDescent="0.15">
      <c r="BR6015" s="34"/>
      <c r="BV6015" s="34"/>
      <c r="BZ6015" s="34"/>
      <c r="CD6015" s="34"/>
    </row>
    <row r="6016" spans="70:82" x14ac:dyDescent="0.15">
      <c r="BR6016" s="34"/>
      <c r="BV6016" s="34"/>
      <c r="BZ6016" s="34"/>
      <c r="CD6016" s="34"/>
    </row>
    <row r="6017" spans="70:82" x14ac:dyDescent="0.15">
      <c r="BR6017" s="34"/>
      <c r="BV6017" s="34"/>
      <c r="BZ6017" s="34"/>
      <c r="CD6017" s="34"/>
    </row>
    <row r="6018" spans="70:82" x14ac:dyDescent="0.15">
      <c r="BR6018" s="34"/>
      <c r="BV6018" s="34"/>
      <c r="BZ6018" s="34"/>
      <c r="CD6018" s="34"/>
    </row>
    <row r="6019" spans="70:82" x14ac:dyDescent="0.15">
      <c r="BR6019" s="34"/>
      <c r="BV6019" s="34"/>
      <c r="BZ6019" s="34"/>
      <c r="CD6019" s="34"/>
    </row>
    <row r="6020" spans="70:82" x14ac:dyDescent="0.15">
      <c r="BR6020" s="34"/>
      <c r="BV6020" s="34"/>
      <c r="BZ6020" s="34"/>
      <c r="CD6020" s="34"/>
    </row>
    <row r="6021" spans="70:82" x14ac:dyDescent="0.15">
      <c r="BR6021" s="34"/>
      <c r="BV6021" s="34"/>
      <c r="BZ6021" s="34"/>
      <c r="CD6021" s="34"/>
    </row>
    <row r="6022" spans="70:82" x14ac:dyDescent="0.15">
      <c r="BR6022" s="34"/>
      <c r="BV6022" s="34"/>
      <c r="BZ6022" s="34"/>
      <c r="CD6022" s="34"/>
    </row>
    <row r="6023" spans="70:82" x14ac:dyDescent="0.15">
      <c r="BR6023" s="34"/>
      <c r="BV6023" s="34"/>
      <c r="BZ6023" s="34"/>
      <c r="CD6023" s="34"/>
    </row>
    <row r="6024" spans="70:82" x14ac:dyDescent="0.15">
      <c r="BR6024" s="34"/>
      <c r="BV6024" s="34"/>
      <c r="BZ6024" s="34"/>
      <c r="CD6024" s="34"/>
    </row>
    <row r="6025" spans="70:82" x14ac:dyDescent="0.15">
      <c r="BR6025" s="34"/>
      <c r="BV6025" s="34"/>
      <c r="BZ6025" s="34"/>
      <c r="CD6025" s="34"/>
    </row>
    <row r="6026" spans="70:82" x14ac:dyDescent="0.15">
      <c r="BR6026" s="34"/>
      <c r="BV6026" s="34"/>
      <c r="BZ6026" s="34"/>
      <c r="CD6026" s="34"/>
    </row>
    <row r="6027" spans="70:82" x14ac:dyDescent="0.15">
      <c r="BR6027" s="34"/>
      <c r="BV6027" s="34"/>
      <c r="BZ6027" s="34"/>
      <c r="CD6027" s="34"/>
    </row>
    <row r="6028" spans="70:82" x14ac:dyDescent="0.15">
      <c r="BR6028" s="34"/>
      <c r="BV6028" s="34"/>
      <c r="BZ6028" s="34"/>
      <c r="CD6028" s="34"/>
    </row>
    <row r="6029" spans="70:82" x14ac:dyDescent="0.15">
      <c r="BR6029" s="34"/>
      <c r="BV6029" s="34"/>
      <c r="BZ6029" s="34"/>
      <c r="CD6029" s="34"/>
    </row>
    <row r="6030" spans="70:82" x14ac:dyDescent="0.15">
      <c r="BR6030" s="34"/>
      <c r="BV6030" s="34"/>
      <c r="BZ6030" s="34"/>
      <c r="CD6030" s="34"/>
    </row>
    <row r="6031" spans="70:82" x14ac:dyDescent="0.15">
      <c r="BR6031" s="34"/>
      <c r="BV6031" s="34"/>
      <c r="BZ6031" s="34"/>
      <c r="CD6031" s="34"/>
    </row>
    <row r="6032" spans="70:82" x14ac:dyDescent="0.15">
      <c r="BR6032" s="34"/>
      <c r="BV6032" s="34"/>
      <c r="BZ6032" s="34"/>
      <c r="CD6032" s="34"/>
    </row>
    <row r="6033" spans="70:82" x14ac:dyDescent="0.15">
      <c r="BR6033" s="34"/>
      <c r="BV6033" s="34"/>
      <c r="BZ6033" s="34"/>
      <c r="CD6033" s="34"/>
    </row>
    <row r="6034" spans="70:82" x14ac:dyDescent="0.15">
      <c r="BR6034" s="34"/>
      <c r="BV6034" s="34"/>
      <c r="BZ6034" s="34"/>
      <c r="CD6034" s="34"/>
    </row>
    <row r="6035" spans="70:82" x14ac:dyDescent="0.15">
      <c r="BR6035" s="34"/>
      <c r="BV6035" s="34"/>
      <c r="BZ6035" s="34"/>
      <c r="CD6035" s="34"/>
    </row>
    <row r="6036" spans="70:82" x14ac:dyDescent="0.15">
      <c r="BR6036" s="34"/>
      <c r="BV6036" s="34"/>
      <c r="BZ6036" s="34"/>
      <c r="CD6036" s="34"/>
    </row>
    <row r="6037" spans="70:82" x14ac:dyDescent="0.15">
      <c r="BR6037" s="34"/>
      <c r="BV6037" s="34"/>
      <c r="BZ6037" s="34"/>
      <c r="CD6037" s="34"/>
    </row>
    <row r="6038" spans="70:82" x14ac:dyDescent="0.15">
      <c r="BR6038" s="34"/>
      <c r="BV6038" s="34"/>
      <c r="BZ6038" s="34"/>
      <c r="CD6038" s="34"/>
    </row>
    <row r="6039" spans="70:82" x14ac:dyDescent="0.15">
      <c r="BR6039" s="34"/>
      <c r="BV6039" s="34"/>
      <c r="BZ6039" s="34"/>
      <c r="CD6039" s="34"/>
    </row>
    <row r="6040" spans="70:82" x14ac:dyDescent="0.15">
      <c r="BR6040" s="34"/>
      <c r="BV6040" s="34"/>
      <c r="BZ6040" s="34"/>
      <c r="CD6040" s="34"/>
    </row>
    <row r="6041" spans="70:82" x14ac:dyDescent="0.15">
      <c r="BR6041" s="34"/>
      <c r="BV6041" s="34"/>
      <c r="BZ6041" s="34"/>
      <c r="CD6041" s="34"/>
    </row>
    <row r="6042" spans="70:82" x14ac:dyDescent="0.15">
      <c r="BR6042" s="34"/>
      <c r="BV6042" s="34"/>
      <c r="BZ6042" s="34"/>
      <c r="CD6042" s="34"/>
    </row>
    <row r="6043" spans="70:82" x14ac:dyDescent="0.15">
      <c r="BR6043" s="34"/>
      <c r="BV6043" s="34"/>
      <c r="BZ6043" s="34"/>
      <c r="CD6043" s="34"/>
    </row>
    <row r="6044" spans="70:82" x14ac:dyDescent="0.15">
      <c r="BR6044" s="34"/>
      <c r="BV6044" s="34"/>
      <c r="BZ6044" s="34"/>
      <c r="CD6044" s="34"/>
    </row>
    <row r="6045" spans="70:82" x14ac:dyDescent="0.15">
      <c r="BR6045" s="34"/>
      <c r="BV6045" s="34"/>
      <c r="BZ6045" s="34"/>
      <c r="CD6045" s="34"/>
    </row>
    <row r="6046" spans="70:82" x14ac:dyDescent="0.15">
      <c r="BR6046" s="34"/>
      <c r="BV6046" s="34"/>
      <c r="BZ6046" s="34"/>
      <c r="CD6046" s="34"/>
    </row>
    <row r="6047" spans="70:82" x14ac:dyDescent="0.15">
      <c r="BR6047" s="34"/>
      <c r="BV6047" s="34"/>
      <c r="BZ6047" s="34"/>
      <c r="CD6047" s="34"/>
    </row>
    <row r="6048" spans="70:82" x14ac:dyDescent="0.15">
      <c r="BR6048" s="34"/>
      <c r="BV6048" s="34"/>
      <c r="BZ6048" s="34"/>
      <c r="CD6048" s="34"/>
    </row>
    <row r="6049" spans="70:82" x14ac:dyDescent="0.15">
      <c r="BR6049" s="34"/>
      <c r="BV6049" s="34"/>
      <c r="BZ6049" s="34"/>
      <c r="CD6049" s="34"/>
    </row>
    <row r="6050" spans="70:82" x14ac:dyDescent="0.15">
      <c r="BR6050" s="34"/>
      <c r="BV6050" s="34"/>
      <c r="BZ6050" s="34"/>
      <c r="CD6050" s="34"/>
    </row>
    <row r="6051" spans="70:82" x14ac:dyDescent="0.15">
      <c r="BR6051" s="34"/>
      <c r="BV6051" s="34"/>
      <c r="BZ6051" s="34"/>
      <c r="CD6051" s="34"/>
    </row>
    <row r="6052" spans="70:82" x14ac:dyDescent="0.15">
      <c r="BR6052" s="34"/>
      <c r="BV6052" s="34"/>
      <c r="BZ6052" s="34"/>
      <c r="CD6052" s="34"/>
    </row>
    <row r="6053" spans="70:82" x14ac:dyDescent="0.15">
      <c r="BR6053" s="34"/>
      <c r="BV6053" s="34"/>
      <c r="BZ6053" s="34"/>
      <c r="CD6053" s="34"/>
    </row>
    <row r="6054" spans="70:82" x14ac:dyDescent="0.15">
      <c r="BR6054" s="34"/>
      <c r="BV6054" s="34"/>
      <c r="BZ6054" s="34"/>
      <c r="CD6054" s="34"/>
    </row>
    <row r="6055" spans="70:82" x14ac:dyDescent="0.15">
      <c r="BR6055" s="34"/>
      <c r="BV6055" s="34"/>
      <c r="BZ6055" s="34"/>
      <c r="CD6055" s="34"/>
    </row>
    <row r="6056" spans="70:82" x14ac:dyDescent="0.15">
      <c r="BR6056" s="34"/>
      <c r="BV6056" s="34"/>
      <c r="BZ6056" s="34"/>
      <c r="CD6056" s="34"/>
    </row>
    <row r="6057" spans="70:82" x14ac:dyDescent="0.15">
      <c r="BR6057" s="34"/>
      <c r="BV6057" s="34"/>
      <c r="BZ6057" s="34"/>
      <c r="CD6057" s="34"/>
    </row>
    <row r="6058" spans="70:82" x14ac:dyDescent="0.15">
      <c r="BR6058" s="34"/>
      <c r="BV6058" s="34"/>
      <c r="BZ6058" s="34"/>
      <c r="CD6058" s="34"/>
    </row>
    <row r="6059" spans="70:82" x14ac:dyDescent="0.15">
      <c r="BR6059" s="34"/>
      <c r="BV6059" s="34"/>
      <c r="BZ6059" s="34"/>
      <c r="CD6059" s="34"/>
    </row>
    <row r="6060" spans="70:82" x14ac:dyDescent="0.15">
      <c r="BR6060" s="34"/>
      <c r="BV6060" s="34"/>
      <c r="BZ6060" s="34"/>
      <c r="CD6060" s="34"/>
    </row>
    <row r="6061" spans="70:82" x14ac:dyDescent="0.15">
      <c r="BR6061" s="34"/>
      <c r="BV6061" s="34"/>
      <c r="BZ6061" s="34"/>
      <c r="CD6061" s="34"/>
    </row>
    <row r="6062" spans="70:82" x14ac:dyDescent="0.15">
      <c r="BR6062" s="34"/>
      <c r="BV6062" s="34"/>
      <c r="BZ6062" s="34"/>
      <c r="CD6062" s="34"/>
    </row>
    <row r="6063" spans="70:82" x14ac:dyDescent="0.15">
      <c r="BR6063" s="34"/>
      <c r="BV6063" s="34"/>
      <c r="BZ6063" s="34"/>
      <c r="CD6063" s="34"/>
    </row>
    <row r="6064" spans="70:82" x14ac:dyDescent="0.15">
      <c r="BR6064" s="34"/>
      <c r="BV6064" s="34"/>
      <c r="BZ6064" s="34"/>
      <c r="CD6064" s="34"/>
    </row>
    <row r="6065" spans="70:82" x14ac:dyDescent="0.15">
      <c r="BR6065" s="34"/>
      <c r="BV6065" s="34"/>
      <c r="BZ6065" s="34"/>
      <c r="CD6065" s="34"/>
    </row>
    <row r="6066" spans="70:82" x14ac:dyDescent="0.15">
      <c r="BR6066" s="34"/>
      <c r="BV6066" s="34"/>
      <c r="BZ6066" s="34"/>
      <c r="CD6066" s="34"/>
    </row>
    <row r="6067" spans="70:82" x14ac:dyDescent="0.15">
      <c r="BR6067" s="34"/>
      <c r="BV6067" s="34"/>
      <c r="BZ6067" s="34"/>
      <c r="CD6067" s="34"/>
    </row>
    <row r="6068" spans="70:82" x14ac:dyDescent="0.15">
      <c r="BR6068" s="34"/>
      <c r="BV6068" s="34"/>
      <c r="BZ6068" s="34"/>
      <c r="CD6068" s="34"/>
    </row>
    <row r="6069" spans="70:82" x14ac:dyDescent="0.15">
      <c r="BR6069" s="34"/>
      <c r="BV6069" s="34"/>
      <c r="BZ6069" s="34"/>
      <c r="CD6069" s="34"/>
    </row>
    <row r="6070" spans="70:82" x14ac:dyDescent="0.15">
      <c r="BR6070" s="34"/>
      <c r="BV6070" s="34"/>
      <c r="BZ6070" s="34"/>
      <c r="CD6070" s="34"/>
    </row>
    <row r="6071" spans="70:82" x14ac:dyDescent="0.15">
      <c r="BR6071" s="34"/>
      <c r="BV6071" s="34"/>
      <c r="BZ6071" s="34"/>
      <c r="CD6071" s="34"/>
    </row>
    <row r="6072" spans="70:82" x14ac:dyDescent="0.15">
      <c r="BR6072" s="34"/>
      <c r="BV6072" s="34"/>
      <c r="BZ6072" s="34"/>
      <c r="CD6072" s="34"/>
    </row>
    <row r="6073" spans="70:82" x14ac:dyDescent="0.15">
      <c r="BR6073" s="34"/>
      <c r="BV6073" s="34"/>
      <c r="BZ6073" s="34"/>
      <c r="CD6073" s="34"/>
    </row>
    <row r="6074" spans="70:82" x14ac:dyDescent="0.15">
      <c r="BR6074" s="34"/>
      <c r="BV6074" s="34"/>
      <c r="BZ6074" s="34"/>
      <c r="CD6074" s="34"/>
    </row>
    <row r="6075" spans="70:82" x14ac:dyDescent="0.15">
      <c r="BR6075" s="34"/>
      <c r="BV6075" s="34"/>
      <c r="BZ6075" s="34"/>
      <c r="CD6075" s="34"/>
    </row>
    <row r="6076" spans="70:82" x14ac:dyDescent="0.15">
      <c r="BR6076" s="34"/>
      <c r="BV6076" s="34"/>
      <c r="BZ6076" s="34"/>
      <c r="CD6076" s="34"/>
    </row>
    <row r="6077" spans="70:82" x14ac:dyDescent="0.15">
      <c r="BR6077" s="34"/>
      <c r="BV6077" s="34"/>
      <c r="BZ6077" s="34"/>
      <c r="CD6077" s="34"/>
    </row>
    <row r="6078" spans="70:82" x14ac:dyDescent="0.15">
      <c r="BR6078" s="34"/>
      <c r="BV6078" s="34"/>
      <c r="BZ6078" s="34"/>
      <c r="CD6078" s="34"/>
    </row>
    <row r="6079" spans="70:82" x14ac:dyDescent="0.15">
      <c r="BR6079" s="34"/>
      <c r="BV6079" s="34"/>
      <c r="BZ6079" s="34"/>
      <c r="CD6079" s="34"/>
    </row>
    <row r="6080" spans="70:82" x14ac:dyDescent="0.15">
      <c r="BR6080" s="34"/>
      <c r="BV6080" s="34"/>
      <c r="BZ6080" s="34"/>
      <c r="CD6080" s="34"/>
    </row>
    <row r="6081" spans="70:82" x14ac:dyDescent="0.15">
      <c r="BR6081" s="34"/>
      <c r="BV6081" s="34"/>
      <c r="BZ6081" s="34"/>
      <c r="CD6081" s="34"/>
    </row>
    <row r="6082" spans="70:82" x14ac:dyDescent="0.15">
      <c r="BR6082" s="34"/>
      <c r="BV6082" s="34"/>
      <c r="BZ6082" s="34"/>
      <c r="CD6082" s="34"/>
    </row>
    <row r="6083" spans="70:82" x14ac:dyDescent="0.15">
      <c r="BR6083" s="34"/>
      <c r="BV6083" s="34"/>
      <c r="BZ6083" s="34"/>
      <c r="CD6083" s="34"/>
    </row>
    <row r="6084" spans="70:82" x14ac:dyDescent="0.15">
      <c r="BR6084" s="34"/>
      <c r="BV6084" s="34"/>
      <c r="BZ6084" s="34"/>
      <c r="CD6084" s="34"/>
    </row>
    <row r="6085" spans="70:82" x14ac:dyDescent="0.15">
      <c r="BR6085" s="34"/>
      <c r="BV6085" s="34"/>
      <c r="BZ6085" s="34"/>
      <c r="CD6085" s="34"/>
    </row>
    <row r="6086" spans="70:82" x14ac:dyDescent="0.15">
      <c r="BR6086" s="34"/>
      <c r="BV6086" s="34"/>
      <c r="BZ6086" s="34"/>
      <c r="CD6086" s="34"/>
    </row>
    <row r="6087" spans="70:82" x14ac:dyDescent="0.15">
      <c r="BR6087" s="34"/>
      <c r="BV6087" s="34"/>
      <c r="BZ6087" s="34"/>
      <c r="CD6087" s="34"/>
    </row>
    <row r="6088" spans="70:82" x14ac:dyDescent="0.15">
      <c r="BR6088" s="34"/>
      <c r="BV6088" s="34"/>
      <c r="BZ6088" s="34"/>
      <c r="CD6088" s="34"/>
    </row>
    <row r="6089" spans="70:82" x14ac:dyDescent="0.15">
      <c r="BR6089" s="34"/>
      <c r="BV6089" s="34"/>
      <c r="BZ6089" s="34"/>
      <c r="CD6089" s="34"/>
    </row>
    <row r="6090" spans="70:82" x14ac:dyDescent="0.15">
      <c r="BR6090" s="34"/>
      <c r="BV6090" s="34"/>
      <c r="BZ6090" s="34"/>
      <c r="CD6090" s="34"/>
    </row>
    <row r="6091" spans="70:82" x14ac:dyDescent="0.15">
      <c r="BR6091" s="34"/>
      <c r="BV6091" s="34"/>
      <c r="BZ6091" s="34"/>
      <c r="CD6091" s="34"/>
    </row>
    <row r="6092" spans="70:82" x14ac:dyDescent="0.15">
      <c r="BR6092" s="34"/>
      <c r="BV6092" s="34"/>
      <c r="BZ6092" s="34"/>
      <c r="CD6092" s="34"/>
    </row>
    <row r="6093" spans="70:82" x14ac:dyDescent="0.15">
      <c r="BR6093" s="34"/>
      <c r="BV6093" s="34"/>
      <c r="BZ6093" s="34"/>
      <c r="CD6093" s="34"/>
    </row>
    <row r="6094" spans="70:82" x14ac:dyDescent="0.15">
      <c r="BR6094" s="34"/>
      <c r="BV6094" s="34"/>
      <c r="BZ6094" s="34"/>
      <c r="CD6094" s="34"/>
    </row>
    <row r="6095" spans="70:82" x14ac:dyDescent="0.15">
      <c r="BR6095" s="34"/>
      <c r="BV6095" s="34"/>
      <c r="BZ6095" s="34"/>
      <c r="CD6095" s="34"/>
    </row>
    <row r="6096" spans="70:82" x14ac:dyDescent="0.15">
      <c r="BR6096" s="34"/>
      <c r="BV6096" s="34"/>
      <c r="BZ6096" s="34"/>
      <c r="CD6096" s="34"/>
    </row>
    <row r="6097" spans="70:82" x14ac:dyDescent="0.15">
      <c r="BR6097" s="34"/>
      <c r="BV6097" s="34"/>
      <c r="BZ6097" s="34"/>
      <c r="CD6097" s="34"/>
    </row>
    <row r="6098" spans="70:82" x14ac:dyDescent="0.15">
      <c r="BR6098" s="34"/>
      <c r="BV6098" s="34"/>
      <c r="BZ6098" s="34"/>
      <c r="CD6098" s="34"/>
    </row>
    <row r="6099" spans="70:82" x14ac:dyDescent="0.15">
      <c r="BR6099" s="34"/>
      <c r="BV6099" s="34"/>
      <c r="BZ6099" s="34"/>
      <c r="CD6099" s="34"/>
    </row>
    <row r="6100" spans="70:82" x14ac:dyDescent="0.15">
      <c r="BR6100" s="34"/>
      <c r="BV6100" s="34"/>
      <c r="BZ6100" s="34"/>
      <c r="CD6100" s="34"/>
    </row>
    <row r="6101" spans="70:82" x14ac:dyDescent="0.15">
      <c r="BR6101" s="34"/>
      <c r="BV6101" s="34"/>
      <c r="BZ6101" s="34"/>
      <c r="CD6101" s="34"/>
    </row>
    <row r="6102" spans="70:82" x14ac:dyDescent="0.15">
      <c r="BR6102" s="34"/>
      <c r="BV6102" s="34"/>
      <c r="BZ6102" s="34"/>
      <c r="CD6102" s="34"/>
    </row>
    <row r="6103" spans="70:82" x14ac:dyDescent="0.15">
      <c r="BR6103" s="34"/>
      <c r="BV6103" s="34"/>
      <c r="BZ6103" s="34"/>
      <c r="CD6103" s="34"/>
    </row>
    <row r="6104" spans="70:82" x14ac:dyDescent="0.15">
      <c r="BR6104" s="34"/>
      <c r="BV6104" s="34"/>
      <c r="BZ6104" s="34"/>
      <c r="CD6104" s="34"/>
    </row>
    <row r="6105" spans="70:82" x14ac:dyDescent="0.15">
      <c r="BR6105" s="34"/>
      <c r="BV6105" s="34"/>
      <c r="BZ6105" s="34"/>
      <c r="CD6105" s="34"/>
    </row>
    <row r="6106" spans="70:82" x14ac:dyDescent="0.15">
      <c r="BR6106" s="34"/>
      <c r="BV6106" s="34"/>
      <c r="BZ6106" s="34"/>
      <c r="CD6106" s="34"/>
    </row>
    <row r="6107" spans="70:82" x14ac:dyDescent="0.15">
      <c r="BR6107" s="34"/>
      <c r="BV6107" s="34"/>
      <c r="BZ6107" s="34"/>
      <c r="CD6107" s="34"/>
    </row>
    <row r="6108" spans="70:82" x14ac:dyDescent="0.15">
      <c r="BR6108" s="34"/>
      <c r="BV6108" s="34"/>
      <c r="BZ6108" s="34"/>
      <c r="CD6108" s="34"/>
    </row>
    <row r="6109" spans="70:82" x14ac:dyDescent="0.15">
      <c r="BR6109" s="34"/>
      <c r="BV6109" s="34"/>
      <c r="BZ6109" s="34"/>
      <c r="CD6109" s="34"/>
    </row>
    <row r="6110" spans="70:82" x14ac:dyDescent="0.15">
      <c r="BR6110" s="34"/>
      <c r="BV6110" s="34"/>
      <c r="BZ6110" s="34"/>
      <c r="CD6110" s="34"/>
    </row>
    <row r="6111" spans="70:82" x14ac:dyDescent="0.15">
      <c r="BR6111" s="34"/>
      <c r="BV6111" s="34"/>
      <c r="BZ6111" s="34"/>
      <c r="CD6111" s="34"/>
    </row>
    <row r="6112" spans="70:82" x14ac:dyDescent="0.15">
      <c r="BR6112" s="34"/>
      <c r="BV6112" s="34"/>
      <c r="BZ6112" s="34"/>
      <c r="CD6112" s="34"/>
    </row>
    <row r="6113" spans="70:82" x14ac:dyDescent="0.15">
      <c r="BR6113" s="34"/>
      <c r="BV6113" s="34"/>
      <c r="BZ6113" s="34"/>
      <c r="CD6113" s="34"/>
    </row>
    <row r="6114" spans="70:82" x14ac:dyDescent="0.15">
      <c r="BR6114" s="34"/>
      <c r="BV6114" s="34"/>
      <c r="BZ6114" s="34"/>
      <c r="CD6114" s="34"/>
    </row>
    <row r="6115" spans="70:82" x14ac:dyDescent="0.15">
      <c r="BR6115" s="34"/>
      <c r="BV6115" s="34"/>
      <c r="BZ6115" s="34"/>
      <c r="CD6115" s="34"/>
    </row>
    <row r="6116" spans="70:82" x14ac:dyDescent="0.15">
      <c r="BR6116" s="34"/>
      <c r="BV6116" s="34"/>
      <c r="BZ6116" s="34"/>
      <c r="CD6116" s="34"/>
    </row>
    <row r="6117" spans="70:82" x14ac:dyDescent="0.15">
      <c r="BR6117" s="34"/>
      <c r="BV6117" s="34"/>
      <c r="BZ6117" s="34"/>
      <c r="CD6117" s="34"/>
    </row>
    <row r="6118" spans="70:82" x14ac:dyDescent="0.15">
      <c r="BR6118" s="34"/>
      <c r="BV6118" s="34"/>
      <c r="BZ6118" s="34"/>
      <c r="CD6118" s="34"/>
    </row>
    <row r="6119" spans="70:82" x14ac:dyDescent="0.15">
      <c r="BR6119" s="34"/>
      <c r="BV6119" s="34"/>
      <c r="BZ6119" s="34"/>
      <c r="CD6119" s="34"/>
    </row>
    <row r="6120" spans="70:82" x14ac:dyDescent="0.15">
      <c r="BR6120" s="34"/>
      <c r="BV6120" s="34"/>
      <c r="BZ6120" s="34"/>
      <c r="CD6120" s="34"/>
    </row>
    <row r="6121" spans="70:82" x14ac:dyDescent="0.15">
      <c r="BR6121" s="34"/>
      <c r="BV6121" s="34"/>
      <c r="BZ6121" s="34"/>
      <c r="CD6121" s="34"/>
    </row>
    <row r="6122" spans="70:82" x14ac:dyDescent="0.15">
      <c r="BR6122" s="34"/>
      <c r="BV6122" s="34"/>
      <c r="BZ6122" s="34"/>
      <c r="CD6122" s="34"/>
    </row>
    <row r="6123" spans="70:82" x14ac:dyDescent="0.15">
      <c r="BR6123" s="34"/>
      <c r="BV6123" s="34"/>
      <c r="BZ6123" s="34"/>
      <c r="CD6123" s="34"/>
    </row>
    <row r="6124" spans="70:82" x14ac:dyDescent="0.15">
      <c r="BR6124" s="34"/>
      <c r="BV6124" s="34"/>
      <c r="BZ6124" s="34"/>
      <c r="CD6124" s="34"/>
    </row>
    <row r="6125" spans="70:82" x14ac:dyDescent="0.15">
      <c r="BR6125" s="34"/>
      <c r="BV6125" s="34"/>
      <c r="BZ6125" s="34"/>
      <c r="CD6125" s="34"/>
    </row>
    <row r="6126" spans="70:82" x14ac:dyDescent="0.15">
      <c r="BR6126" s="34"/>
      <c r="BV6126" s="34"/>
      <c r="BZ6126" s="34"/>
      <c r="CD6126" s="34"/>
    </row>
    <row r="6127" spans="70:82" x14ac:dyDescent="0.15">
      <c r="BR6127" s="34"/>
      <c r="BV6127" s="34"/>
      <c r="BZ6127" s="34"/>
      <c r="CD6127" s="34"/>
    </row>
    <row r="6128" spans="70:82" x14ac:dyDescent="0.15">
      <c r="BR6128" s="34"/>
      <c r="BV6128" s="34"/>
      <c r="BZ6128" s="34"/>
      <c r="CD6128" s="34"/>
    </row>
    <row r="6129" spans="70:82" x14ac:dyDescent="0.15">
      <c r="BR6129" s="34"/>
      <c r="BV6129" s="34"/>
      <c r="BZ6129" s="34"/>
      <c r="CD6129" s="34"/>
    </row>
    <row r="6130" spans="70:82" x14ac:dyDescent="0.15">
      <c r="BR6130" s="34"/>
      <c r="BV6130" s="34"/>
      <c r="BZ6130" s="34"/>
      <c r="CD6130" s="34"/>
    </row>
    <row r="6131" spans="70:82" x14ac:dyDescent="0.15">
      <c r="BR6131" s="34"/>
      <c r="BV6131" s="34"/>
      <c r="BZ6131" s="34"/>
      <c r="CD6131" s="34"/>
    </row>
    <row r="6132" spans="70:82" x14ac:dyDescent="0.15">
      <c r="BR6132" s="34"/>
      <c r="BV6132" s="34"/>
      <c r="BZ6132" s="34"/>
      <c r="CD6132" s="34"/>
    </row>
    <row r="6133" spans="70:82" x14ac:dyDescent="0.15">
      <c r="BR6133" s="34"/>
      <c r="BV6133" s="34"/>
      <c r="BZ6133" s="34"/>
      <c r="CD6133" s="34"/>
    </row>
    <row r="6134" spans="70:82" x14ac:dyDescent="0.15">
      <c r="BR6134" s="34"/>
      <c r="BV6134" s="34"/>
      <c r="BZ6134" s="34"/>
      <c r="CD6134" s="34"/>
    </row>
    <row r="6135" spans="70:82" x14ac:dyDescent="0.15">
      <c r="BR6135" s="34"/>
      <c r="BV6135" s="34"/>
      <c r="BZ6135" s="34"/>
      <c r="CD6135" s="34"/>
    </row>
    <row r="6136" spans="70:82" x14ac:dyDescent="0.15">
      <c r="BR6136" s="34"/>
      <c r="BV6136" s="34"/>
      <c r="BZ6136" s="34"/>
      <c r="CD6136" s="34"/>
    </row>
    <row r="6137" spans="70:82" x14ac:dyDescent="0.15">
      <c r="BR6137" s="34"/>
      <c r="BV6137" s="34"/>
      <c r="BZ6137" s="34"/>
      <c r="CD6137" s="34"/>
    </row>
    <row r="6138" spans="70:82" x14ac:dyDescent="0.15">
      <c r="BR6138" s="34"/>
      <c r="BV6138" s="34"/>
      <c r="BZ6138" s="34"/>
      <c r="CD6138" s="34"/>
    </row>
    <row r="6139" spans="70:82" x14ac:dyDescent="0.15">
      <c r="BR6139" s="34"/>
      <c r="BV6139" s="34"/>
      <c r="BZ6139" s="34"/>
      <c r="CD6139" s="34"/>
    </row>
    <row r="6140" spans="70:82" x14ac:dyDescent="0.15">
      <c r="BR6140" s="34"/>
      <c r="BV6140" s="34"/>
      <c r="BZ6140" s="34"/>
      <c r="CD6140" s="34"/>
    </row>
    <row r="6141" spans="70:82" x14ac:dyDescent="0.15">
      <c r="BR6141" s="34"/>
      <c r="BV6141" s="34"/>
      <c r="BZ6141" s="34"/>
      <c r="CD6141" s="34"/>
    </row>
    <row r="6142" spans="70:82" x14ac:dyDescent="0.15">
      <c r="BR6142" s="34"/>
      <c r="BV6142" s="34"/>
      <c r="BZ6142" s="34"/>
      <c r="CD6142" s="34"/>
    </row>
    <row r="6143" spans="70:82" x14ac:dyDescent="0.15">
      <c r="BR6143" s="34"/>
      <c r="BV6143" s="34"/>
      <c r="BZ6143" s="34"/>
      <c r="CD6143" s="34"/>
    </row>
    <row r="6144" spans="70:82" x14ac:dyDescent="0.15">
      <c r="BR6144" s="34"/>
      <c r="BV6144" s="34"/>
      <c r="BZ6144" s="34"/>
      <c r="CD6144" s="34"/>
    </row>
    <row r="6145" spans="70:82" x14ac:dyDescent="0.15">
      <c r="BR6145" s="34"/>
      <c r="BV6145" s="34"/>
      <c r="BZ6145" s="34"/>
      <c r="CD6145" s="34"/>
    </row>
    <row r="6146" spans="70:82" x14ac:dyDescent="0.15">
      <c r="BR6146" s="34"/>
      <c r="BV6146" s="34"/>
      <c r="BZ6146" s="34"/>
      <c r="CD6146" s="34"/>
    </row>
    <row r="6147" spans="70:82" x14ac:dyDescent="0.15">
      <c r="BR6147" s="34"/>
      <c r="BV6147" s="34"/>
      <c r="BZ6147" s="34"/>
      <c r="CD6147" s="34"/>
    </row>
    <row r="6148" spans="70:82" x14ac:dyDescent="0.15">
      <c r="BR6148" s="34"/>
      <c r="BV6148" s="34"/>
      <c r="BZ6148" s="34"/>
      <c r="CD6148" s="34"/>
    </row>
    <row r="6149" spans="70:82" x14ac:dyDescent="0.15">
      <c r="BR6149" s="34"/>
      <c r="BV6149" s="34"/>
      <c r="BZ6149" s="34"/>
      <c r="CD6149" s="34"/>
    </row>
    <row r="6150" spans="70:82" x14ac:dyDescent="0.15">
      <c r="BR6150" s="34"/>
      <c r="BV6150" s="34"/>
      <c r="BZ6150" s="34"/>
      <c r="CD6150" s="34"/>
    </row>
    <row r="6151" spans="70:82" x14ac:dyDescent="0.15">
      <c r="BR6151" s="34"/>
      <c r="BV6151" s="34"/>
      <c r="BZ6151" s="34"/>
      <c r="CD6151" s="34"/>
    </row>
    <row r="6152" spans="70:82" x14ac:dyDescent="0.15">
      <c r="BR6152" s="34"/>
      <c r="BV6152" s="34"/>
      <c r="BZ6152" s="34"/>
      <c r="CD6152" s="34"/>
    </row>
    <row r="6153" spans="70:82" x14ac:dyDescent="0.15">
      <c r="BR6153" s="34"/>
      <c r="BV6153" s="34"/>
      <c r="BZ6153" s="34"/>
      <c r="CD6153" s="34"/>
    </row>
    <row r="6154" spans="70:82" x14ac:dyDescent="0.15">
      <c r="BR6154" s="34"/>
      <c r="BV6154" s="34"/>
      <c r="BZ6154" s="34"/>
      <c r="CD6154" s="34"/>
    </row>
    <row r="6155" spans="70:82" x14ac:dyDescent="0.15">
      <c r="BR6155" s="34"/>
      <c r="BV6155" s="34"/>
      <c r="BZ6155" s="34"/>
      <c r="CD6155" s="34"/>
    </row>
    <row r="6156" spans="70:82" x14ac:dyDescent="0.15">
      <c r="BR6156" s="34"/>
      <c r="BV6156" s="34"/>
      <c r="BZ6156" s="34"/>
      <c r="CD6156" s="34"/>
    </row>
    <row r="6157" spans="70:82" x14ac:dyDescent="0.15">
      <c r="BR6157" s="34"/>
      <c r="BV6157" s="34"/>
      <c r="BZ6157" s="34"/>
      <c r="CD6157" s="34"/>
    </row>
    <row r="6158" spans="70:82" x14ac:dyDescent="0.15">
      <c r="BR6158" s="34"/>
      <c r="BV6158" s="34"/>
      <c r="BZ6158" s="34"/>
      <c r="CD6158" s="34"/>
    </row>
    <row r="6159" spans="70:82" x14ac:dyDescent="0.15">
      <c r="BR6159" s="34"/>
      <c r="BV6159" s="34"/>
      <c r="BZ6159" s="34"/>
      <c r="CD6159" s="34"/>
    </row>
    <row r="6160" spans="70:82" x14ac:dyDescent="0.15">
      <c r="BR6160" s="34"/>
      <c r="BV6160" s="34"/>
      <c r="BZ6160" s="34"/>
      <c r="CD6160" s="34"/>
    </row>
    <row r="6161" spans="70:82" x14ac:dyDescent="0.15">
      <c r="BR6161" s="34"/>
      <c r="BV6161" s="34"/>
      <c r="BZ6161" s="34"/>
      <c r="CD6161" s="34"/>
    </row>
    <row r="6162" spans="70:82" x14ac:dyDescent="0.15">
      <c r="BR6162" s="34"/>
      <c r="BV6162" s="34"/>
      <c r="BZ6162" s="34"/>
      <c r="CD6162" s="34"/>
    </row>
    <row r="6163" spans="70:82" x14ac:dyDescent="0.15">
      <c r="BR6163" s="34"/>
      <c r="BV6163" s="34"/>
      <c r="BZ6163" s="34"/>
      <c r="CD6163" s="34"/>
    </row>
    <row r="6164" spans="70:82" x14ac:dyDescent="0.15">
      <c r="BR6164" s="34"/>
      <c r="BV6164" s="34"/>
      <c r="BZ6164" s="34"/>
      <c r="CD6164" s="34"/>
    </row>
    <row r="6165" spans="70:82" x14ac:dyDescent="0.15">
      <c r="BR6165" s="34"/>
      <c r="BV6165" s="34"/>
      <c r="BZ6165" s="34"/>
      <c r="CD6165" s="34"/>
    </row>
    <row r="6166" spans="70:82" x14ac:dyDescent="0.15">
      <c r="BR6166" s="34"/>
      <c r="BV6166" s="34"/>
      <c r="BZ6166" s="34"/>
      <c r="CD6166" s="34"/>
    </row>
    <row r="6167" spans="70:82" x14ac:dyDescent="0.15">
      <c r="BR6167" s="34"/>
      <c r="BV6167" s="34"/>
      <c r="BZ6167" s="34"/>
      <c r="CD6167" s="34"/>
    </row>
    <row r="6168" spans="70:82" x14ac:dyDescent="0.15">
      <c r="BR6168" s="34"/>
      <c r="BV6168" s="34"/>
      <c r="BZ6168" s="34"/>
      <c r="CD6168" s="34"/>
    </row>
    <row r="6169" spans="70:82" x14ac:dyDescent="0.15">
      <c r="BR6169" s="34"/>
      <c r="BV6169" s="34"/>
      <c r="BZ6169" s="34"/>
      <c r="CD6169" s="34"/>
    </row>
    <row r="6170" spans="70:82" x14ac:dyDescent="0.15">
      <c r="BR6170" s="34"/>
      <c r="BV6170" s="34"/>
      <c r="BZ6170" s="34"/>
      <c r="CD6170" s="34"/>
    </row>
    <row r="6171" spans="70:82" x14ac:dyDescent="0.15">
      <c r="BR6171" s="34"/>
      <c r="BV6171" s="34"/>
      <c r="BZ6171" s="34"/>
      <c r="CD6171" s="34"/>
    </row>
    <row r="6172" spans="70:82" x14ac:dyDescent="0.15">
      <c r="BR6172" s="34"/>
      <c r="BV6172" s="34"/>
      <c r="BZ6172" s="34"/>
      <c r="CD6172" s="34"/>
    </row>
    <row r="6173" spans="70:82" x14ac:dyDescent="0.15">
      <c r="BR6173" s="34"/>
      <c r="BV6173" s="34"/>
      <c r="BZ6173" s="34"/>
      <c r="CD6173" s="34"/>
    </row>
    <row r="6174" spans="70:82" x14ac:dyDescent="0.15">
      <c r="BR6174" s="34"/>
      <c r="BV6174" s="34"/>
      <c r="BZ6174" s="34"/>
      <c r="CD6174" s="34"/>
    </row>
    <row r="6175" spans="70:82" x14ac:dyDescent="0.15">
      <c r="BR6175" s="34"/>
      <c r="BV6175" s="34"/>
      <c r="BZ6175" s="34"/>
      <c r="CD6175" s="34"/>
    </row>
    <row r="6176" spans="70:82" x14ac:dyDescent="0.15">
      <c r="BR6176" s="34"/>
      <c r="BV6176" s="34"/>
      <c r="BZ6176" s="34"/>
      <c r="CD6176" s="34"/>
    </row>
    <row r="6177" spans="70:82" x14ac:dyDescent="0.15">
      <c r="BR6177" s="34"/>
      <c r="BV6177" s="34"/>
      <c r="BZ6177" s="34"/>
      <c r="CD6177" s="34"/>
    </row>
    <row r="6178" spans="70:82" x14ac:dyDescent="0.15">
      <c r="BR6178" s="34"/>
      <c r="BV6178" s="34"/>
      <c r="BZ6178" s="34"/>
      <c r="CD6178" s="34"/>
    </row>
    <row r="6179" spans="70:82" x14ac:dyDescent="0.15">
      <c r="BR6179" s="34"/>
      <c r="BV6179" s="34"/>
      <c r="BZ6179" s="34"/>
      <c r="CD6179" s="34"/>
    </row>
    <row r="6180" spans="70:82" x14ac:dyDescent="0.15">
      <c r="BR6180" s="34"/>
      <c r="BV6180" s="34"/>
      <c r="BZ6180" s="34"/>
      <c r="CD6180" s="34"/>
    </row>
    <row r="6181" spans="70:82" x14ac:dyDescent="0.15">
      <c r="BR6181" s="34"/>
      <c r="BV6181" s="34"/>
      <c r="BZ6181" s="34"/>
      <c r="CD6181" s="34"/>
    </row>
    <row r="6182" spans="70:82" x14ac:dyDescent="0.15">
      <c r="BR6182" s="34"/>
      <c r="BV6182" s="34"/>
      <c r="BZ6182" s="34"/>
      <c r="CD6182" s="34"/>
    </row>
    <row r="6183" spans="70:82" x14ac:dyDescent="0.15">
      <c r="BR6183" s="34"/>
      <c r="BV6183" s="34"/>
      <c r="BZ6183" s="34"/>
      <c r="CD6183" s="34"/>
    </row>
    <row r="6184" spans="70:82" x14ac:dyDescent="0.15">
      <c r="BR6184" s="34"/>
      <c r="BV6184" s="34"/>
      <c r="BZ6184" s="34"/>
      <c r="CD6184" s="34"/>
    </row>
    <row r="6185" spans="70:82" x14ac:dyDescent="0.15">
      <c r="BR6185" s="34"/>
      <c r="BV6185" s="34"/>
      <c r="BZ6185" s="34"/>
      <c r="CD6185" s="34"/>
    </row>
    <row r="6186" spans="70:82" x14ac:dyDescent="0.15">
      <c r="BR6186" s="34"/>
      <c r="BV6186" s="34"/>
      <c r="BZ6186" s="34"/>
      <c r="CD6186" s="34"/>
    </row>
    <row r="6187" spans="70:82" x14ac:dyDescent="0.15">
      <c r="BR6187" s="34"/>
      <c r="BV6187" s="34"/>
      <c r="BZ6187" s="34"/>
      <c r="CD6187" s="34"/>
    </row>
    <row r="6188" spans="70:82" x14ac:dyDescent="0.15">
      <c r="BR6188" s="34"/>
      <c r="BV6188" s="34"/>
      <c r="BZ6188" s="34"/>
      <c r="CD6188" s="34"/>
    </row>
    <row r="6189" spans="70:82" x14ac:dyDescent="0.15">
      <c r="BR6189" s="34"/>
      <c r="BV6189" s="34"/>
      <c r="BZ6189" s="34"/>
      <c r="CD6189" s="34"/>
    </row>
    <row r="6190" spans="70:82" x14ac:dyDescent="0.15">
      <c r="BR6190" s="34"/>
      <c r="BV6190" s="34"/>
      <c r="BZ6190" s="34"/>
      <c r="CD6190" s="34"/>
    </row>
    <row r="6191" spans="70:82" x14ac:dyDescent="0.15">
      <c r="BR6191" s="34"/>
      <c r="BV6191" s="34"/>
      <c r="BZ6191" s="34"/>
      <c r="CD6191" s="34"/>
    </row>
    <row r="6192" spans="70:82" x14ac:dyDescent="0.15">
      <c r="BR6192" s="34"/>
      <c r="BV6192" s="34"/>
      <c r="BZ6192" s="34"/>
      <c r="CD6192" s="34"/>
    </row>
    <row r="6193" spans="70:82" x14ac:dyDescent="0.15">
      <c r="BR6193" s="34"/>
      <c r="BV6193" s="34"/>
      <c r="BZ6193" s="34"/>
      <c r="CD6193" s="34"/>
    </row>
    <row r="6194" spans="70:82" x14ac:dyDescent="0.15">
      <c r="BR6194" s="34"/>
      <c r="BV6194" s="34"/>
      <c r="BZ6194" s="34"/>
      <c r="CD6194" s="34"/>
    </row>
    <row r="6195" spans="70:82" x14ac:dyDescent="0.15">
      <c r="BR6195" s="34"/>
      <c r="BV6195" s="34"/>
      <c r="BZ6195" s="34"/>
      <c r="CD6195" s="34"/>
    </row>
    <row r="6196" spans="70:82" x14ac:dyDescent="0.15">
      <c r="BR6196" s="34"/>
      <c r="BV6196" s="34"/>
      <c r="BZ6196" s="34"/>
      <c r="CD6196" s="34"/>
    </row>
    <row r="6197" spans="70:82" x14ac:dyDescent="0.15">
      <c r="BR6197" s="34"/>
      <c r="BV6197" s="34"/>
      <c r="BZ6197" s="34"/>
      <c r="CD6197" s="34"/>
    </row>
    <row r="6198" spans="70:82" x14ac:dyDescent="0.15">
      <c r="BR6198" s="34"/>
      <c r="BV6198" s="34"/>
      <c r="BZ6198" s="34"/>
      <c r="CD6198" s="34"/>
    </row>
    <row r="6199" spans="70:82" x14ac:dyDescent="0.15">
      <c r="BR6199" s="34"/>
      <c r="BV6199" s="34"/>
      <c r="BZ6199" s="34"/>
      <c r="CD6199" s="34"/>
    </row>
    <row r="6200" spans="70:82" x14ac:dyDescent="0.15">
      <c r="BR6200" s="34"/>
      <c r="BV6200" s="34"/>
      <c r="BZ6200" s="34"/>
      <c r="CD6200" s="34"/>
    </row>
    <row r="6201" spans="70:82" x14ac:dyDescent="0.15">
      <c r="BR6201" s="34"/>
      <c r="BV6201" s="34"/>
      <c r="BZ6201" s="34"/>
      <c r="CD6201" s="34"/>
    </row>
    <row r="6202" spans="70:82" x14ac:dyDescent="0.15">
      <c r="BR6202" s="34"/>
      <c r="BV6202" s="34"/>
      <c r="BZ6202" s="34"/>
      <c r="CD6202" s="34"/>
    </row>
    <row r="6203" spans="70:82" x14ac:dyDescent="0.15">
      <c r="BR6203" s="34"/>
      <c r="BV6203" s="34"/>
      <c r="BZ6203" s="34"/>
      <c r="CD6203" s="34"/>
    </row>
    <row r="6204" spans="70:82" x14ac:dyDescent="0.15">
      <c r="BR6204" s="34"/>
      <c r="BV6204" s="34"/>
      <c r="BZ6204" s="34"/>
      <c r="CD6204" s="34"/>
    </row>
    <row r="6205" spans="70:82" x14ac:dyDescent="0.15">
      <c r="BR6205" s="34"/>
      <c r="BV6205" s="34"/>
      <c r="BZ6205" s="34"/>
      <c r="CD6205" s="34"/>
    </row>
    <row r="6206" spans="70:82" x14ac:dyDescent="0.15">
      <c r="BR6206" s="34"/>
      <c r="BV6206" s="34"/>
      <c r="BZ6206" s="34"/>
      <c r="CD6206" s="34"/>
    </row>
    <row r="6207" spans="70:82" x14ac:dyDescent="0.15">
      <c r="BR6207" s="34"/>
      <c r="BV6207" s="34"/>
      <c r="BZ6207" s="34"/>
      <c r="CD6207" s="34"/>
    </row>
    <row r="6208" spans="70:82" x14ac:dyDescent="0.15">
      <c r="BR6208" s="34"/>
      <c r="BV6208" s="34"/>
      <c r="BZ6208" s="34"/>
      <c r="CD6208" s="34"/>
    </row>
    <row r="6209" spans="70:82" x14ac:dyDescent="0.15">
      <c r="BR6209" s="34"/>
      <c r="BV6209" s="34"/>
      <c r="BZ6209" s="34"/>
      <c r="CD6209" s="34"/>
    </row>
    <row r="6210" spans="70:82" x14ac:dyDescent="0.15">
      <c r="BR6210" s="34"/>
      <c r="BV6210" s="34"/>
      <c r="BZ6210" s="34"/>
      <c r="CD6210" s="34"/>
    </row>
    <row r="6211" spans="70:82" x14ac:dyDescent="0.15">
      <c r="BR6211" s="34"/>
      <c r="BV6211" s="34"/>
      <c r="BZ6211" s="34"/>
      <c r="CD6211" s="34"/>
    </row>
    <row r="6212" spans="70:82" x14ac:dyDescent="0.15">
      <c r="BR6212" s="34"/>
      <c r="BV6212" s="34"/>
      <c r="BZ6212" s="34"/>
      <c r="CD6212" s="34"/>
    </row>
    <row r="6213" spans="70:82" x14ac:dyDescent="0.15">
      <c r="BR6213" s="34"/>
      <c r="BV6213" s="34"/>
      <c r="BZ6213" s="34"/>
      <c r="CD6213" s="34"/>
    </row>
    <row r="6214" spans="70:82" x14ac:dyDescent="0.15">
      <c r="BR6214" s="34"/>
      <c r="BV6214" s="34"/>
      <c r="BZ6214" s="34"/>
      <c r="CD6214" s="34"/>
    </row>
    <row r="6215" spans="70:82" x14ac:dyDescent="0.15">
      <c r="BR6215" s="34"/>
      <c r="BV6215" s="34"/>
      <c r="BZ6215" s="34"/>
      <c r="CD6215" s="34"/>
    </row>
    <row r="6216" spans="70:82" x14ac:dyDescent="0.15">
      <c r="BR6216" s="34"/>
      <c r="BV6216" s="34"/>
      <c r="BZ6216" s="34"/>
      <c r="CD6216" s="34"/>
    </row>
    <row r="6217" spans="70:82" x14ac:dyDescent="0.15">
      <c r="BR6217" s="34"/>
      <c r="BV6217" s="34"/>
      <c r="BZ6217" s="34"/>
      <c r="CD6217" s="34"/>
    </row>
    <row r="6218" spans="70:82" x14ac:dyDescent="0.15">
      <c r="BR6218" s="34"/>
      <c r="BV6218" s="34"/>
      <c r="BZ6218" s="34"/>
      <c r="CD6218" s="34"/>
    </row>
    <row r="6219" spans="70:82" x14ac:dyDescent="0.15">
      <c r="BR6219" s="34"/>
      <c r="BV6219" s="34"/>
      <c r="BZ6219" s="34"/>
      <c r="CD6219" s="34"/>
    </row>
    <row r="6220" spans="70:82" x14ac:dyDescent="0.15">
      <c r="BR6220" s="34"/>
      <c r="BV6220" s="34"/>
      <c r="BZ6220" s="34"/>
      <c r="CD6220" s="34"/>
    </row>
    <row r="6221" spans="70:82" x14ac:dyDescent="0.15">
      <c r="BR6221" s="34"/>
      <c r="BV6221" s="34"/>
      <c r="BZ6221" s="34"/>
      <c r="CD6221" s="34"/>
    </row>
    <row r="6222" spans="70:82" x14ac:dyDescent="0.15">
      <c r="BR6222" s="34"/>
      <c r="BV6222" s="34"/>
      <c r="BZ6222" s="34"/>
      <c r="CD6222" s="34"/>
    </row>
    <row r="6223" spans="70:82" x14ac:dyDescent="0.15">
      <c r="BR6223" s="34"/>
      <c r="BV6223" s="34"/>
      <c r="BZ6223" s="34"/>
      <c r="CD6223" s="34"/>
    </row>
    <row r="6224" spans="70:82" x14ac:dyDescent="0.15">
      <c r="BR6224" s="34"/>
      <c r="BV6224" s="34"/>
      <c r="BZ6224" s="34"/>
      <c r="CD6224" s="34"/>
    </row>
    <row r="6225" spans="70:82" x14ac:dyDescent="0.15">
      <c r="BR6225" s="34"/>
      <c r="BV6225" s="34"/>
      <c r="BZ6225" s="34"/>
      <c r="CD6225" s="34"/>
    </row>
    <row r="6226" spans="70:82" x14ac:dyDescent="0.15">
      <c r="BR6226" s="34"/>
      <c r="BV6226" s="34"/>
      <c r="BZ6226" s="34"/>
      <c r="CD6226" s="34"/>
    </row>
    <row r="6227" spans="70:82" x14ac:dyDescent="0.15">
      <c r="BR6227" s="34"/>
      <c r="BV6227" s="34"/>
      <c r="BZ6227" s="34"/>
      <c r="CD6227" s="34"/>
    </row>
    <row r="6228" spans="70:82" x14ac:dyDescent="0.15">
      <c r="BR6228" s="34"/>
      <c r="BV6228" s="34"/>
      <c r="BZ6228" s="34"/>
      <c r="CD6228" s="34"/>
    </row>
    <row r="6229" spans="70:82" x14ac:dyDescent="0.15">
      <c r="BR6229" s="34"/>
      <c r="BV6229" s="34"/>
      <c r="BZ6229" s="34"/>
      <c r="CD6229" s="34"/>
    </row>
    <row r="6230" spans="70:82" x14ac:dyDescent="0.15">
      <c r="BR6230" s="34"/>
      <c r="BV6230" s="34"/>
      <c r="BZ6230" s="34"/>
      <c r="CD6230" s="34"/>
    </row>
    <row r="6231" spans="70:82" x14ac:dyDescent="0.15">
      <c r="BR6231" s="34"/>
      <c r="BV6231" s="34"/>
      <c r="BZ6231" s="34"/>
      <c r="CD6231" s="34"/>
    </row>
    <row r="6232" spans="70:82" x14ac:dyDescent="0.15">
      <c r="BR6232" s="34"/>
      <c r="BV6232" s="34"/>
      <c r="BZ6232" s="34"/>
      <c r="CD6232" s="34"/>
    </row>
    <row r="6233" spans="70:82" x14ac:dyDescent="0.15">
      <c r="BR6233" s="34"/>
      <c r="BV6233" s="34"/>
      <c r="BZ6233" s="34"/>
      <c r="CD6233" s="34"/>
    </row>
    <row r="6234" spans="70:82" x14ac:dyDescent="0.15">
      <c r="BR6234" s="34"/>
      <c r="BV6234" s="34"/>
      <c r="BZ6234" s="34"/>
      <c r="CD6234" s="34"/>
    </row>
    <row r="6235" spans="70:82" x14ac:dyDescent="0.15">
      <c r="BR6235" s="34"/>
      <c r="BV6235" s="34"/>
      <c r="BZ6235" s="34"/>
      <c r="CD6235" s="34"/>
    </row>
    <row r="6236" spans="70:82" x14ac:dyDescent="0.15">
      <c r="BR6236" s="34"/>
      <c r="BV6236" s="34"/>
      <c r="BZ6236" s="34"/>
      <c r="CD6236" s="34"/>
    </row>
    <row r="6237" spans="70:82" x14ac:dyDescent="0.15">
      <c r="BR6237" s="34"/>
      <c r="BV6237" s="34"/>
      <c r="BZ6237" s="34"/>
      <c r="CD6237" s="34"/>
    </row>
    <row r="6238" spans="70:82" x14ac:dyDescent="0.15">
      <c r="BR6238" s="34"/>
      <c r="BV6238" s="34"/>
      <c r="BZ6238" s="34"/>
      <c r="CD6238" s="34"/>
    </row>
    <row r="6239" spans="70:82" x14ac:dyDescent="0.15">
      <c r="BR6239" s="34"/>
      <c r="BV6239" s="34"/>
      <c r="BZ6239" s="34"/>
      <c r="CD6239" s="34"/>
    </row>
    <row r="6240" spans="70:82" x14ac:dyDescent="0.15">
      <c r="BR6240" s="34"/>
      <c r="BV6240" s="34"/>
      <c r="BZ6240" s="34"/>
      <c r="CD6240" s="34"/>
    </row>
    <row r="6241" spans="70:82" x14ac:dyDescent="0.15">
      <c r="BR6241" s="34"/>
      <c r="BV6241" s="34"/>
      <c r="BZ6241" s="34"/>
      <c r="CD6241" s="34"/>
    </row>
    <row r="6242" spans="70:82" x14ac:dyDescent="0.15">
      <c r="BR6242" s="34"/>
      <c r="BV6242" s="34"/>
      <c r="BZ6242" s="34"/>
      <c r="CD6242" s="34"/>
    </row>
    <row r="6243" spans="70:82" x14ac:dyDescent="0.15">
      <c r="BR6243" s="34"/>
      <c r="BV6243" s="34"/>
      <c r="BZ6243" s="34"/>
      <c r="CD6243" s="34"/>
    </row>
    <row r="6244" spans="70:82" x14ac:dyDescent="0.15">
      <c r="BR6244" s="34"/>
      <c r="BV6244" s="34"/>
      <c r="BZ6244" s="34"/>
      <c r="CD6244" s="34"/>
    </row>
    <row r="6245" spans="70:82" x14ac:dyDescent="0.15">
      <c r="BR6245" s="34"/>
      <c r="BV6245" s="34"/>
      <c r="BZ6245" s="34"/>
      <c r="CD6245" s="34"/>
    </row>
    <row r="6246" spans="70:82" x14ac:dyDescent="0.15">
      <c r="BR6246" s="34"/>
      <c r="BV6246" s="34"/>
      <c r="BZ6246" s="34"/>
      <c r="CD6246" s="34"/>
    </row>
    <row r="6247" spans="70:82" x14ac:dyDescent="0.15">
      <c r="BR6247" s="34"/>
      <c r="BV6247" s="34"/>
      <c r="BZ6247" s="34"/>
      <c r="CD6247" s="34"/>
    </row>
    <row r="6248" spans="70:82" x14ac:dyDescent="0.15">
      <c r="BR6248" s="34"/>
      <c r="BV6248" s="34"/>
      <c r="BZ6248" s="34"/>
      <c r="CD6248" s="34"/>
    </row>
    <row r="6249" spans="70:82" x14ac:dyDescent="0.15">
      <c r="BR6249" s="34"/>
      <c r="BV6249" s="34"/>
      <c r="BZ6249" s="34"/>
      <c r="CD6249" s="34"/>
    </row>
    <row r="6250" spans="70:82" x14ac:dyDescent="0.15">
      <c r="BR6250" s="34"/>
      <c r="BV6250" s="34"/>
      <c r="BZ6250" s="34"/>
      <c r="CD6250" s="34"/>
    </row>
    <row r="6251" spans="70:82" x14ac:dyDescent="0.15">
      <c r="BR6251" s="34"/>
      <c r="BV6251" s="34"/>
      <c r="BZ6251" s="34"/>
      <c r="CD6251" s="34"/>
    </row>
    <row r="6252" spans="70:82" x14ac:dyDescent="0.15">
      <c r="BR6252" s="34"/>
      <c r="BV6252" s="34"/>
      <c r="BZ6252" s="34"/>
      <c r="CD6252" s="34"/>
    </row>
    <row r="6253" spans="70:82" x14ac:dyDescent="0.15">
      <c r="BR6253" s="34"/>
      <c r="BV6253" s="34"/>
      <c r="BZ6253" s="34"/>
      <c r="CD6253" s="34"/>
    </row>
    <row r="6254" spans="70:82" x14ac:dyDescent="0.15">
      <c r="BR6254" s="34"/>
      <c r="BV6254" s="34"/>
      <c r="BZ6254" s="34"/>
      <c r="CD6254" s="34"/>
    </row>
    <row r="6255" spans="70:82" x14ac:dyDescent="0.15">
      <c r="BR6255" s="34"/>
      <c r="BV6255" s="34"/>
      <c r="BZ6255" s="34"/>
      <c r="CD6255" s="34"/>
    </row>
    <row r="6256" spans="70:82" x14ac:dyDescent="0.15">
      <c r="BR6256" s="34"/>
      <c r="BV6256" s="34"/>
      <c r="BZ6256" s="34"/>
      <c r="CD6256" s="34"/>
    </row>
    <row r="6257" spans="70:82" x14ac:dyDescent="0.15">
      <c r="BR6257" s="34"/>
      <c r="BV6257" s="34"/>
      <c r="BZ6257" s="34"/>
      <c r="CD6257" s="34"/>
    </row>
    <row r="6258" spans="70:82" x14ac:dyDescent="0.15">
      <c r="BR6258" s="34"/>
      <c r="BV6258" s="34"/>
      <c r="BZ6258" s="34"/>
      <c r="CD6258" s="34"/>
    </row>
    <row r="6259" spans="70:82" x14ac:dyDescent="0.15">
      <c r="BR6259" s="34"/>
      <c r="BV6259" s="34"/>
      <c r="BZ6259" s="34"/>
      <c r="CD6259" s="34"/>
    </row>
    <row r="6260" spans="70:82" x14ac:dyDescent="0.15">
      <c r="BR6260" s="34"/>
      <c r="BV6260" s="34"/>
      <c r="BZ6260" s="34"/>
      <c r="CD6260" s="34"/>
    </row>
    <row r="6261" spans="70:82" x14ac:dyDescent="0.15">
      <c r="BR6261" s="34"/>
      <c r="BV6261" s="34"/>
      <c r="BZ6261" s="34"/>
      <c r="CD6261" s="34"/>
    </row>
    <row r="6262" spans="70:82" x14ac:dyDescent="0.15">
      <c r="BR6262" s="34"/>
      <c r="BV6262" s="34"/>
      <c r="BZ6262" s="34"/>
      <c r="CD6262" s="34"/>
    </row>
    <row r="6263" spans="70:82" x14ac:dyDescent="0.15">
      <c r="BR6263" s="34"/>
      <c r="BV6263" s="34"/>
      <c r="BZ6263" s="34"/>
      <c r="CD6263" s="34"/>
    </row>
    <row r="6264" spans="70:82" x14ac:dyDescent="0.15">
      <c r="BR6264" s="34"/>
      <c r="BV6264" s="34"/>
      <c r="BZ6264" s="34"/>
      <c r="CD6264" s="34"/>
    </row>
    <row r="6265" spans="70:82" x14ac:dyDescent="0.15">
      <c r="BR6265" s="34"/>
      <c r="BV6265" s="34"/>
      <c r="BZ6265" s="34"/>
      <c r="CD6265" s="34"/>
    </row>
    <row r="6266" spans="70:82" x14ac:dyDescent="0.15">
      <c r="BR6266" s="34"/>
      <c r="BV6266" s="34"/>
      <c r="BZ6266" s="34"/>
      <c r="CD6266" s="34"/>
    </row>
    <row r="6267" spans="70:82" x14ac:dyDescent="0.15">
      <c r="BR6267" s="34"/>
      <c r="BV6267" s="34"/>
      <c r="BZ6267" s="34"/>
      <c r="CD6267" s="34"/>
    </row>
    <row r="6268" spans="70:82" x14ac:dyDescent="0.15">
      <c r="BR6268" s="34"/>
      <c r="BV6268" s="34"/>
      <c r="BZ6268" s="34"/>
      <c r="CD6268" s="34"/>
    </row>
    <row r="6269" spans="70:82" x14ac:dyDescent="0.15">
      <c r="BR6269" s="34"/>
      <c r="BV6269" s="34"/>
      <c r="BZ6269" s="34"/>
      <c r="CD6269" s="34"/>
    </row>
    <row r="6270" spans="70:82" x14ac:dyDescent="0.15">
      <c r="BR6270" s="34"/>
      <c r="BV6270" s="34"/>
      <c r="BZ6270" s="34"/>
      <c r="CD6270" s="34"/>
    </row>
    <row r="6271" spans="70:82" x14ac:dyDescent="0.15">
      <c r="BR6271" s="34"/>
      <c r="BV6271" s="34"/>
      <c r="BZ6271" s="34"/>
      <c r="CD6271" s="34"/>
    </row>
    <row r="6272" spans="70:82" x14ac:dyDescent="0.15">
      <c r="BR6272" s="34"/>
      <c r="BV6272" s="34"/>
      <c r="BZ6272" s="34"/>
      <c r="CD6272" s="34"/>
    </row>
    <row r="6273" spans="70:82" x14ac:dyDescent="0.15">
      <c r="BR6273" s="34"/>
      <c r="BV6273" s="34"/>
      <c r="BZ6273" s="34"/>
      <c r="CD6273" s="34"/>
    </row>
    <row r="6274" spans="70:82" x14ac:dyDescent="0.15">
      <c r="BR6274" s="34"/>
      <c r="BV6274" s="34"/>
      <c r="BZ6274" s="34"/>
      <c r="CD6274" s="34"/>
    </row>
    <row r="6275" spans="70:82" x14ac:dyDescent="0.15">
      <c r="BR6275" s="34"/>
      <c r="BV6275" s="34"/>
      <c r="BZ6275" s="34"/>
      <c r="CD6275" s="34"/>
    </row>
    <row r="6276" spans="70:82" x14ac:dyDescent="0.15">
      <c r="BR6276" s="34"/>
      <c r="BV6276" s="34"/>
      <c r="BZ6276" s="34"/>
      <c r="CD6276" s="34"/>
    </row>
    <row r="6277" spans="70:82" x14ac:dyDescent="0.15">
      <c r="BR6277" s="34"/>
      <c r="BV6277" s="34"/>
      <c r="BZ6277" s="34"/>
      <c r="CD6277" s="34"/>
    </row>
    <row r="6278" spans="70:82" x14ac:dyDescent="0.15">
      <c r="BR6278" s="34"/>
      <c r="BV6278" s="34"/>
      <c r="BZ6278" s="34"/>
      <c r="CD6278" s="34"/>
    </row>
    <row r="6279" spans="70:82" x14ac:dyDescent="0.15">
      <c r="BR6279" s="34"/>
      <c r="BV6279" s="34"/>
      <c r="BZ6279" s="34"/>
      <c r="CD6279" s="34"/>
    </row>
    <row r="6280" spans="70:82" x14ac:dyDescent="0.15">
      <c r="BR6280" s="34"/>
      <c r="BV6280" s="34"/>
      <c r="BZ6280" s="34"/>
      <c r="CD6280" s="34"/>
    </row>
    <row r="6281" spans="70:82" x14ac:dyDescent="0.15">
      <c r="BR6281" s="34"/>
      <c r="BV6281" s="34"/>
      <c r="BZ6281" s="34"/>
      <c r="CD6281" s="34"/>
    </row>
    <row r="6282" spans="70:82" x14ac:dyDescent="0.15">
      <c r="BR6282" s="34"/>
      <c r="BV6282" s="34"/>
      <c r="BZ6282" s="34"/>
      <c r="CD6282" s="34"/>
    </row>
    <row r="6283" spans="70:82" x14ac:dyDescent="0.15">
      <c r="BR6283" s="34"/>
      <c r="BV6283" s="34"/>
      <c r="BZ6283" s="34"/>
      <c r="CD6283" s="34"/>
    </row>
    <row r="6284" spans="70:82" x14ac:dyDescent="0.15">
      <c r="BR6284" s="34"/>
      <c r="BV6284" s="34"/>
      <c r="BZ6284" s="34"/>
      <c r="CD6284" s="34"/>
    </row>
    <row r="6285" spans="70:82" x14ac:dyDescent="0.15">
      <c r="BR6285" s="34"/>
      <c r="BV6285" s="34"/>
      <c r="BZ6285" s="34"/>
      <c r="CD6285" s="34"/>
    </row>
    <row r="6286" spans="70:82" x14ac:dyDescent="0.15">
      <c r="BR6286" s="34"/>
      <c r="BV6286" s="34"/>
      <c r="BZ6286" s="34"/>
      <c r="CD6286" s="34"/>
    </row>
    <row r="6287" spans="70:82" x14ac:dyDescent="0.15">
      <c r="BR6287" s="34"/>
      <c r="BV6287" s="34"/>
      <c r="BZ6287" s="34"/>
      <c r="CD6287" s="34"/>
    </row>
    <row r="6288" spans="70:82" x14ac:dyDescent="0.15">
      <c r="BR6288" s="34"/>
      <c r="BV6288" s="34"/>
      <c r="BZ6288" s="34"/>
      <c r="CD6288" s="34"/>
    </row>
    <row r="6289" spans="70:82" x14ac:dyDescent="0.15">
      <c r="BR6289" s="34"/>
      <c r="BV6289" s="34"/>
      <c r="BZ6289" s="34"/>
      <c r="CD6289" s="34"/>
    </row>
    <row r="6290" spans="70:82" x14ac:dyDescent="0.15">
      <c r="BR6290" s="34"/>
      <c r="BV6290" s="34"/>
      <c r="BZ6290" s="34"/>
      <c r="CD6290" s="34"/>
    </row>
    <row r="6291" spans="70:82" x14ac:dyDescent="0.15">
      <c r="BR6291" s="34"/>
      <c r="BV6291" s="34"/>
      <c r="BZ6291" s="34"/>
      <c r="CD6291" s="34"/>
    </row>
    <row r="6292" spans="70:82" x14ac:dyDescent="0.15">
      <c r="BR6292" s="34"/>
      <c r="BV6292" s="34"/>
      <c r="BZ6292" s="34"/>
      <c r="CD6292" s="34"/>
    </row>
    <row r="6293" spans="70:82" x14ac:dyDescent="0.15">
      <c r="BR6293" s="34"/>
      <c r="BV6293" s="34"/>
      <c r="BZ6293" s="34"/>
      <c r="CD6293" s="34"/>
    </row>
    <row r="6294" spans="70:82" x14ac:dyDescent="0.15">
      <c r="BR6294" s="34"/>
      <c r="BV6294" s="34"/>
      <c r="BZ6294" s="34"/>
      <c r="CD6294" s="34"/>
    </row>
    <row r="6295" spans="70:82" x14ac:dyDescent="0.15">
      <c r="BR6295" s="34"/>
      <c r="BV6295" s="34"/>
      <c r="BZ6295" s="34"/>
      <c r="CD6295" s="34"/>
    </row>
    <row r="6296" spans="70:82" x14ac:dyDescent="0.15">
      <c r="BR6296" s="34"/>
      <c r="BV6296" s="34"/>
      <c r="BZ6296" s="34"/>
      <c r="CD6296" s="34"/>
    </row>
    <row r="6297" spans="70:82" x14ac:dyDescent="0.15">
      <c r="BR6297" s="34"/>
      <c r="BV6297" s="34"/>
      <c r="BZ6297" s="34"/>
      <c r="CD6297" s="34"/>
    </row>
    <row r="6298" spans="70:82" x14ac:dyDescent="0.15">
      <c r="BR6298" s="34"/>
      <c r="BV6298" s="34"/>
      <c r="BZ6298" s="34"/>
      <c r="CD6298" s="34"/>
    </row>
    <row r="6299" spans="70:82" x14ac:dyDescent="0.15">
      <c r="BR6299" s="34"/>
      <c r="BV6299" s="34"/>
      <c r="BZ6299" s="34"/>
      <c r="CD6299" s="34"/>
    </row>
    <row r="6300" spans="70:82" x14ac:dyDescent="0.15">
      <c r="BR6300" s="34"/>
      <c r="BV6300" s="34"/>
      <c r="BZ6300" s="34"/>
      <c r="CD6300" s="34"/>
    </row>
    <row r="6301" spans="70:82" x14ac:dyDescent="0.15">
      <c r="BR6301" s="34"/>
      <c r="BV6301" s="34"/>
      <c r="BZ6301" s="34"/>
      <c r="CD6301" s="34"/>
    </row>
    <row r="6302" spans="70:82" x14ac:dyDescent="0.15">
      <c r="BR6302" s="34"/>
      <c r="BV6302" s="34"/>
      <c r="BZ6302" s="34"/>
      <c r="CD6302" s="34"/>
    </row>
    <row r="6303" spans="70:82" x14ac:dyDescent="0.15">
      <c r="BR6303" s="34"/>
      <c r="BV6303" s="34"/>
      <c r="BZ6303" s="34"/>
      <c r="CD6303" s="34"/>
    </row>
    <row r="6304" spans="70:82" x14ac:dyDescent="0.15">
      <c r="BR6304" s="34"/>
      <c r="BV6304" s="34"/>
      <c r="BZ6304" s="34"/>
      <c r="CD6304" s="34"/>
    </row>
    <row r="6305" spans="70:82" x14ac:dyDescent="0.15">
      <c r="BR6305" s="34"/>
      <c r="BV6305" s="34"/>
      <c r="BZ6305" s="34"/>
      <c r="CD6305" s="34"/>
    </row>
    <row r="6306" spans="70:82" x14ac:dyDescent="0.15">
      <c r="BR6306" s="34"/>
      <c r="BV6306" s="34"/>
      <c r="BZ6306" s="34"/>
      <c r="CD6306" s="34"/>
    </row>
    <row r="6307" spans="70:82" x14ac:dyDescent="0.15">
      <c r="BR6307" s="34"/>
      <c r="BV6307" s="34"/>
      <c r="BZ6307" s="34"/>
      <c r="CD6307" s="34"/>
    </row>
    <row r="6308" spans="70:82" x14ac:dyDescent="0.15">
      <c r="BR6308" s="34"/>
      <c r="BV6308" s="34"/>
      <c r="BZ6308" s="34"/>
      <c r="CD6308" s="34"/>
    </row>
    <row r="6309" spans="70:82" x14ac:dyDescent="0.15">
      <c r="BR6309" s="34"/>
      <c r="BV6309" s="34"/>
      <c r="BZ6309" s="34"/>
      <c r="CD6309" s="34"/>
    </row>
    <row r="6310" spans="70:82" x14ac:dyDescent="0.15">
      <c r="BR6310" s="34"/>
      <c r="BV6310" s="34"/>
      <c r="BZ6310" s="34"/>
      <c r="CD6310" s="34"/>
    </row>
    <row r="6311" spans="70:82" x14ac:dyDescent="0.15">
      <c r="BR6311" s="34"/>
      <c r="BV6311" s="34"/>
      <c r="BZ6311" s="34"/>
      <c r="CD6311" s="34"/>
    </row>
    <row r="6312" spans="70:82" x14ac:dyDescent="0.15">
      <c r="BR6312" s="34"/>
      <c r="BV6312" s="34"/>
      <c r="BZ6312" s="34"/>
      <c r="CD6312" s="34"/>
    </row>
    <row r="6313" spans="70:82" x14ac:dyDescent="0.15">
      <c r="BR6313" s="34"/>
      <c r="BV6313" s="34"/>
      <c r="BZ6313" s="34"/>
      <c r="CD6313" s="34"/>
    </row>
    <row r="6314" spans="70:82" x14ac:dyDescent="0.15">
      <c r="BR6314" s="34"/>
      <c r="BV6314" s="34"/>
      <c r="BZ6314" s="34"/>
      <c r="CD6314" s="34"/>
    </row>
    <row r="6315" spans="70:82" x14ac:dyDescent="0.15">
      <c r="BR6315" s="34"/>
      <c r="BV6315" s="34"/>
      <c r="BZ6315" s="34"/>
      <c r="CD6315" s="34"/>
    </row>
    <row r="6316" spans="70:82" x14ac:dyDescent="0.15">
      <c r="BR6316" s="34"/>
      <c r="BV6316" s="34"/>
      <c r="BZ6316" s="34"/>
      <c r="CD6316" s="34"/>
    </row>
    <row r="6317" spans="70:82" x14ac:dyDescent="0.15">
      <c r="BR6317" s="34"/>
      <c r="BV6317" s="34"/>
      <c r="BZ6317" s="34"/>
      <c r="CD6317" s="34"/>
    </row>
    <row r="6318" spans="70:82" x14ac:dyDescent="0.15">
      <c r="BR6318" s="34"/>
      <c r="BV6318" s="34"/>
      <c r="BZ6318" s="34"/>
      <c r="CD6318" s="34"/>
    </row>
    <row r="6319" spans="70:82" x14ac:dyDescent="0.15">
      <c r="BR6319" s="34"/>
      <c r="BV6319" s="34"/>
      <c r="BZ6319" s="34"/>
      <c r="CD6319" s="34"/>
    </row>
    <row r="6320" spans="70:82" x14ac:dyDescent="0.15">
      <c r="BR6320" s="34"/>
      <c r="BV6320" s="34"/>
      <c r="BZ6320" s="34"/>
      <c r="CD6320" s="34"/>
    </row>
    <row r="6321" spans="70:82" x14ac:dyDescent="0.15">
      <c r="BR6321" s="34"/>
      <c r="BV6321" s="34"/>
      <c r="BZ6321" s="34"/>
      <c r="CD6321" s="34"/>
    </row>
    <row r="6322" spans="70:82" x14ac:dyDescent="0.15">
      <c r="BR6322" s="34"/>
      <c r="BV6322" s="34"/>
      <c r="BZ6322" s="34"/>
      <c r="CD6322" s="34"/>
    </row>
    <row r="6323" spans="70:82" x14ac:dyDescent="0.15">
      <c r="BR6323" s="34"/>
      <c r="BV6323" s="34"/>
      <c r="BZ6323" s="34"/>
      <c r="CD6323" s="34"/>
    </row>
    <row r="6324" spans="70:82" x14ac:dyDescent="0.15">
      <c r="BR6324" s="34"/>
      <c r="BV6324" s="34"/>
      <c r="BZ6324" s="34"/>
      <c r="CD6324" s="34"/>
    </row>
    <row r="6325" spans="70:82" x14ac:dyDescent="0.15">
      <c r="BR6325" s="34"/>
      <c r="BV6325" s="34"/>
      <c r="BZ6325" s="34"/>
      <c r="CD6325" s="34"/>
    </row>
    <row r="6326" spans="70:82" x14ac:dyDescent="0.15">
      <c r="BR6326" s="34"/>
      <c r="BV6326" s="34"/>
      <c r="BZ6326" s="34"/>
      <c r="CD6326" s="34"/>
    </row>
    <row r="6327" spans="70:82" x14ac:dyDescent="0.15">
      <c r="BR6327" s="34"/>
      <c r="BV6327" s="34"/>
      <c r="BZ6327" s="34"/>
      <c r="CD6327" s="34"/>
    </row>
    <row r="6328" spans="70:82" x14ac:dyDescent="0.15">
      <c r="BR6328" s="34"/>
      <c r="BV6328" s="34"/>
      <c r="BZ6328" s="34"/>
      <c r="CD6328" s="34"/>
    </row>
    <row r="6329" spans="70:82" x14ac:dyDescent="0.15">
      <c r="BR6329" s="34"/>
      <c r="BV6329" s="34"/>
      <c r="BZ6329" s="34"/>
      <c r="CD6329" s="34"/>
    </row>
    <row r="6330" spans="70:82" x14ac:dyDescent="0.15">
      <c r="BR6330" s="34"/>
      <c r="BV6330" s="34"/>
      <c r="BZ6330" s="34"/>
      <c r="CD6330" s="34"/>
    </row>
    <row r="6331" spans="70:82" x14ac:dyDescent="0.15">
      <c r="BR6331" s="34"/>
      <c r="BV6331" s="34"/>
      <c r="BZ6331" s="34"/>
      <c r="CD6331" s="34"/>
    </row>
    <row r="6332" spans="70:82" x14ac:dyDescent="0.15">
      <c r="BR6332" s="34"/>
      <c r="BV6332" s="34"/>
      <c r="BZ6332" s="34"/>
      <c r="CD6332" s="34"/>
    </row>
    <row r="6333" spans="70:82" x14ac:dyDescent="0.15">
      <c r="BR6333" s="34"/>
      <c r="BV6333" s="34"/>
      <c r="BZ6333" s="34"/>
      <c r="CD6333" s="34"/>
    </row>
    <row r="6334" spans="70:82" x14ac:dyDescent="0.15">
      <c r="BR6334" s="34"/>
      <c r="BV6334" s="34"/>
      <c r="BZ6334" s="34"/>
      <c r="CD6334" s="34"/>
    </row>
    <row r="6335" spans="70:82" x14ac:dyDescent="0.15">
      <c r="BR6335" s="34"/>
      <c r="BV6335" s="34"/>
      <c r="BZ6335" s="34"/>
      <c r="CD6335" s="34"/>
    </row>
    <row r="6336" spans="70:82" x14ac:dyDescent="0.15">
      <c r="BR6336" s="34"/>
      <c r="BV6336" s="34"/>
      <c r="BZ6336" s="34"/>
      <c r="CD6336" s="34"/>
    </row>
    <row r="6337" spans="70:82" x14ac:dyDescent="0.15">
      <c r="BR6337" s="34"/>
      <c r="BV6337" s="34"/>
      <c r="BZ6337" s="34"/>
      <c r="CD6337" s="34"/>
    </row>
    <row r="6338" spans="70:82" x14ac:dyDescent="0.15">
      <c r="BR6338" s="34"/>
      <c r="BV6338" s="34"/>
      <c r="BZ6338" s="34"/>
      <c r="CD6338" s="34"/>
    </row>
    <row r="6339" spans="70:82" x14ac:dyDescent="0.15">
      <c r="BR6339" s="34"/>
      <c r="BV6339" s="34"/>
      <c r="BZ6339" s="34"/>
      <c r="CD6339" s="34"/>
    </row>
    <row r="6340" spans="70:82" x14ac:dyDescent="0.15">
      <c r="BR6340" s="34"/>
      <c r="BV6340" s="34"/>
      <c r="BZ6340" s="34"/>
      <c r="CD6340" s="34"/>
    </row>
    <row r="6341" spans="70:82" x14ac:dyDescent="0.15">
      <c r="BR6341" s="34"/>
      <c r="BV6341" s="34"/>
      <c r="BZ6341" s="34"/>
      <c r="CD6341" s="34"/>
    </row>
    <row r="6342" spans="70:82" x14ac:dyDescent="0.15">
      <c r="BR6342" s="34"/>
      <c r="BV6342" s="34"/>
      <c r="BZ6342" s="34"/>
      <c r="CD6342" s="34"/>
    </row>
    <row r="6343" spans="70:82" x14ac:dyDescent="0.15">
      <c r="BR6343" s="34"/>
      <c r="BV6343" s="34"/>
      <c r="BZ6343" s="34"/>
      <c r="CD6343" s="34"/>
    </row>
    <row r="6344" spans="70:82" x14ac:dyDescent="0.15">
      <c r="BR6344" s="34"/>
      <c r="BV6344" s="34"/>
      <c r="BZ6344" s="34"/>
      <c r="CD6344" s="34"/>
    </row>
    <row r="6345" spans="70:82" x14ac:dyDescent="0.15">
      <c r="BR6345" s="34"/>
      <c r="BV6345" s="34"/>
      <c r="BZ6345" s="34"/>
      <c r="CD6345" s="34"/>
    </row>
    <row r="6346" spans="70:82" x14ac:dyDescent="0.15">
      <c r="BR6346" s="34"/>
      <c r="BV6346" s="34"/>
      <c r="BZ6346" s="34"/>
      <c r="CD6346" s="34"/>
    </row>
    <row r="6347" spans="70:82" x14ac:dyDescent="0.15">
      <c r="BR6347" s="34"/>
      <c r="BV6347" s="34"/>
      <c r="BZ6347" s="34"/>
      <c r="CD6347" s="34"/>
    </row>
    <row r="6348" spans="70:82" x14ac:dyDescent="0.15">
      <c r="BR6348" s="34"/>
      <c r="BV6348" s="34"/>
      <c r="BZ6348" s="34"/>
      <c r="CD6348" s="34"/>
    </row>
    <row r="6349" spans="70:82" x14ac:dyDescent="0.15">
      <c r="BR6349" s="34"/>
      <c r="BV6349" s="34"/>
      <c r="BZ6349" s="34"/>
      <c r="CD6349" s="34"/>
    </row>
    <row r="6350" spans="70:82" x14ac:dyDescent="0.15">
      <c r="BR6350" s="34"/>
      <c r="BV6350" s="34"/>
      <c r="BZ6350" s="34"/>
      <c r="CD6350" s="34"/>
    </row>
    <row r="6351" spans="70:82" x14ac:dyDescent="0.15">
      <c r="BR6351" s="34"/>
      <c r="BV6351" s="34"/>
      <c r="BZ6351" s="34"/>
      <c r="CD6351" s="34"/>
    </row>
    <row r="6352" spans="70:82" x14ac:dyDescent="0.15">
      <c r="BR6352" s="34"/>
      <c r="BV6352" s="34"/>
      <c r="BZ6352" s="34"/>
      <c r="CD6352" s="34"/>
    </row>
    <row r="6353" spans="70:82" x14ac:dyDescent="0.15">
      <c r="BR6353" s="34"/>
      <c r="BV6353" s="34"/>
      <c r="BZ6353" s="34"/>
      <c r="CD6353" s="34"/>
    </row>
    <row r="6354" spans="70:82" x14ac:dyDescent="0.15">
      <c r="BR6354" s="34"/>
      <c r="BV6354" s="34"/>
      <c r="BZ6354" s="34"/>
      <c r="CD6354" s="34"/>
    </row>
    <row r="6355" spans="70:82" x14ac:dyDescent="0.15">
      <c r="BR6355" s="34"/>
      <c r="BV6355" s="34"/>
      <c r="BZ6355" s="34"/>
      <c r="CD6355" s="34"/>
    </row>
    <row r="6356" spans="70:82" x14ac:dyDescent="0.15">
      <c r="BR6356" s="34"/>
      <c r="BV6356" s="34"/>
      <c r="BZ6356" s="34"/>
      <c r="CD6356" s="34"/>
    </row>
    <row r="6357" spans="70:82" x14ac:dyDescent="0.15">
      <c r="BR6357" s="34"/>
      <c r="BV6357" s="34"/>
      <c r="BZ6357" s="34"/>
      <c r="CD6357" s="34"/>
    </row>
    <row r="6358" spans="70:82" x14ac:dyDescent="0.15">
      <c r="BR6358" s="34"/>
      <c r="BV6358" s="34"/>
      <c r="BZ6358" s="34"/>
      <c r="CD6358" s="34"/>
    </row>
    <row r="6359" spans="70:82" x14ac:dyDescent="0.15">
      <c r="BR6359" s="34"/>
      <c r="BV6359" s="34"/>
      <c r="BZ6359" s="34"/>
      <c r="CD6359" s="34"/>
    </row>
    <row r="6360" spans="70:82" x14ac:dyDescent="0.15">
      <c r="BR6360" s="34"/>
      <c r="BV6360" s="34"/>
      <c r="BZ6360" s="34"/>
      <c r="CD6360" s="34"/>
    </row>
    <row r="6361" spans="70:82" x14ac:dyDescent="0.15">
      <c r="BR6361" s="34"/>
      <c r="BV6361" s="34"/>
      <c r="BZ6361" s="34"/>
      <c r="CD6361" s="34"/>
    </row>
    <row r="6362" spans="70:82" x14ac:dyDescent="0.15">
      <c r="BR6362" s="34"/>
      <c r="BV6362" s="34"/>
      <c r="BZ6362" s="34"/>
      <c r="CD6362" s="34"/>
    </row>
    <row r="6363" spans="70:82" x14ac:dyDescent="0.15">
      <c r="BR6363" s="34"/>
      <c r="BV6363" s="34"/>
      <c r="BZ6363" s="34"/>
      <c r="CD6363" s="34"/>
    </row>
    <row r="6364" spans="70:82" x14ac:dyDescent="0.15">
      <c r="BR6364" s="34"/>
      <c r="BV6364" s="34"/>
      <c r="BZ6364" s="34"/>
      <c r="CD6364" s="34"/>
    </row>
    <row r="6365" spans="70:82" x14ac:dyDescent="0.15">
      <c r="BR6365" s="34"/>
      <c r="BV6365" s="34"/>
      <c r="BZ6365" s="34"/>
      <c r="CD6365" s="34"/>
    </row>
    <row r="6366" spans="70:82" x14ac:dyDescent="0.15">
      <c r="BR6366" s="34"/>
      <c r="BV6366" s="34"/>
      <c r="BZ6366" s="34"/>
      <c r="CD6366" s="34"/>
    </row>
    <row r="6367" spans="70:82" x14ac:dyDescent="0.15">
      <c r="BR6367" s="34"/>
      <c r="BV6367" s="34"/>
      <c r="BZ6367" s="34"/>
      <c r="CD6367" s="34"/>
    </row>
    <row r="6368" spans="70:82" x14ac:dyDescent="0.15">
      <c r="BR6368" s="34"/>
      <c r="BV6368" s="34"/>
      <c r="BZ6368" s="34"/>
      <c r="CD6368" s="34"/>
    </row>
    <row r="6369" spans="70:82" x14ac:dyDescent="0.15">
      <c r="BR6369" s="34"/>
      <c r="BV6369" s="34"/>
      <c r="BZ6369" s="34"/>
      <c r="CD6369" s="34"/>
    </row>
    <row r="6370" spans="70:82" x14ac:dyDescent="0.15">
      <c r="BR6370" s="34"/>
      <c r="BV6370" s="34"/>
      <c r="BZ6370" s="34"/>
      <c r="CD6370" s="34"/>
    </row>
    <row r="6371" spans="70:82" x14ac:dyDescent="0.15">
      <c r="BR6371" s="34"/>
      <c r="BV6371" s="34"/>
      <c r="BZ6371" s="34"/>
      <c r="CD6371" s="34"/>
    </row>
    <row r="6372" spans="70:82" x14ac:dyDescent="0.15">
      <c r="BR6372" s="34"/>
      <c r="BV6372" s="34"/>
      <c r="BZ6372" s="34"/>
      <c r="CD6372" s="34"/>
    </row>
    <row r="6373" spans="70:82" x14ac:dyDescent="0.15">
      <c r="BR6373" s="34"/>
      <c r="BV6373" s="34"/>
      <c r="BZ6373" s="34"/>
      <c r="CD6373" s="34"/>
    </row>
    <row r="6374" spans="70:82" x14ac:dyDescent="0.15">
      <c r="BR6374" s="34"/>
      <c r="BV6374" s="34"/>
      <c r="BZ6374" s="34"/>
      <c r="CD6374" s="34"/>
    </row>
    <row r="6375" spans="70:82" x14ac:dyDescent="0.15">
      <c r="BR6375" s="34"/>
      <c r="BV6375" s="34"/>
      <c r="BZ6375" s="34"/>
      <c r="CD6375" s="34"/>
    </row>
    <row r="6376" spans="70:82" x14ac:dyDescent="0.15">
      <c r="BR6376" s="34"/>
      <c r="BV6376" s="34"/>
      <c r="BZ6376" s="34"/>
      <c r="CD6376" s="34"/>
    </row>
    <row r="6377" spans="70:82" x14ac:dyDescent="0.15">
      <c r="BR6377" s="34"/>
      <c r="BV6377" s="34"/>
      <c r="BZ6377" s="34"/>
      <c r="CD6377" s="34"/>
    </row>
    <row r="6378" spans="70:82" x14ac:dyDescent="0.15">
      <c r="BR6378" s="34"/>
      <c r="BV6378" s="34"/>
      <c r="BZ6378" s="34"/>
      <c r="CD6378" s="34"/>
    </row>
    <row r="6379" spans="70:82" x14ac:dyDescent="0.15">
      <c r="BR6379" s="34"/>
      <c r="BV6379" s="34"/>
      <c r="BZ6379" s="34"/>
      <c r="CD6379" s="34"/>
    </row>
    <row r="6380" spans="70:82" x14ac:dyDescent="0.15">
      <c r="BR6380" s="34"/>
      <c r="BV6380" s="34"/>
      <c r="BZ6380" s="34"/>
      <c r="CD6380" s="34"/>
    </row>
    <row r="6381" spans="70:82" x14ac:dyDescent="0.15">
      <c r="BR6381" s="34"/>
      <c r="BV6381" s="34"/>
      <c r="BZ6381" s="34"/>
      <c r="CD6381" s="34"/>
    </row>
    <row r="6382" spans="70:82" x14ac:dyDescent="0.15">
      <c r="BR6382" s="34"/>
      <c r="BV6382" s="34"/>
      <c r="BZ6382" s="34"/>
      <c r="CD6382" s="34"/>
    </row>
    <row r="6383" spans="70:82" x14ac:dyDescent="0.15">
      <c r="BR6383" s="34"/>
      <c r="BV6383" s="34"/>
      <c r="BZ6383" s="34"/>
      <c r="CD6383" s="34"/>
    </row>
    <row r="6384" spans="70:82" x14ac:dyDescent="0.15">
      <c r="BR6384" s="34"/>
      <c r="BV6384" s="34"/>
      <c r="BZ6384" s="34"/>
      <c r="CD6384" s="34"/>
    </row>
    <row r="6385" spans="70:82" x14ac:dyDescent="0.15">
      <c r="BR6385" s="34"/>
      <c r="BV6385" s="34"/>
      <c r="BZ6385" s="34"/>
      <c r="CD6385" s="34"/>
    </row>
    <row r="6386" spans="70:82" x14ac:dyDescent="0.15">
      <c r="BR6386" s="34"/>
      <c r="BV6386" s="34"/>
      <c r="BZ6386" s="34"/>
      <c r="CD6386" s="34"/>
    </row>
    <row r="6387" spans="70:82" x14ac:dyDescent="0.15">
      <c r="BR6387" s="34"/>
      <c r="BV6387" s="34"/>
      <c r="BZ6387" s="34"/>
      <c r="CD6387" s="34"/>
    </row>
    <row r="6388" spans="70:82" x14ac:dyDescent="0.15">
      <c r="BR6388" s="34"/>
      <c r="BV6388" s="34"/>
      <c r="BZ6388" s="34"/>
      <c r="CD6388" s="34"/>
    </row>
    <row r="6389" spans="70:82" x14ac:dyDescent="0.15">
      <c r="BR6389" s="34"/>
      <c r="BV6389" s="34"/>
      <c r="BZ6389" s="34"/>
      <c r="CD6389" s="34"/>
    </row>
    <row r="6390" spans="70:82" x14ac:dyDescent="0.15">
      <c r="BR6390" s="34"/>
      <c r="BV6390" s="34"/>
      <c r="BZ6390" s="34"/>
      <c r="CD6390" s="34"/>
    </row>
    <row r="6391" spans="70:82" x14ac:dyDescent="0.15">
      <c r="BR6391" s="34"/>
      <c r="BV6391" s="34"/>
      <c r="BZ6391" s="34"/>
      <c r="CD6391" s="34"/>
    </row>
    <row r="6392" spans="70:82" x14ac:dyDescent="0.15">
      <c r="BR6392" s="34"/>
      <c r="BV6392" s="34"/>
      <c r="BZ6392" s="34"/>
      <c r="CD6392" s="34"/>
    </row>
    <row r="6393" spans="70:82" x14ac:dyDescent="0.15">
      <c r="BR6393" s="34"/>
      <c r="BV6393" s="34"/>
      <c r="BZ6393" s="34"/>
      <c r="CD6393" s="34"/>
    </row>
    <row r="6394" spans="70:82" x14ac:dyDescent="0.15">
      <c r="BR6394" s="34"/>
      <c r="BV6394" s="34"/>
      <c r="BZ6394" s="34"/>
      <c r="CD6394" s="34"/>
    </row>
    <row r="6395" spans="70:82" x14ac:dyDescent="0.15">
      <c r="BR6395" s="34"/>
      <c r="BV6395" s="34"/>
      <c r="BZ6395" s="34"/>
      <c r="CD6395" s="34"/>
    </row>
    <row r="6396" spans="70:82" x14ac:dyDescent="0.15">
      <c r="BR6396" s="34"/>
      <c r="BV6396" s="34"/>
      <c r="BZ6396" s="34"/>
      <c r="CD6396" s="34"/>
    </row>
    <row r="6397" spans="70:82" x14ac:dyDescent="0.15">
      <c r="BR6397" s="34"/>
      <c r="BV6397" s="34"/>
      <c r="BZ6397" s="34"/>
      <c r="CD6397" s="34"/>
    </row>
    <row r="6398" spans="70:82" x14ac:dyDescent="0.15">
      <c r="BR6398" s="34"/>
      <c r="BV6398" s="34"/>
      <c r="BZ6398" s="34"/>
      <c r="CD6398" s="34"/>
    </row>
    <row r="6399" spans="70:82" x14ac:dyDescent="0.15">
      <c r="BR6399" s="34"/>
      <c r="BV6399" s="34"/>
      <c r="BZ6399" s="34"/>
      <c r="CD6399" s="34"/>
    </row>
    <row r="6400" spans="70:82" x14ac:dyDescent="0.15">
      <c r="BR6400" s="34"/>
      <c r="BV6400" s="34"/>
      <c r="BZ6400" s="34"/>
      <c r="CD6400" s="34"/>
    </row>
    <row r="6401" spans="70:82" x14ac:dyDescent="0.15">
      <c r="BR6401" s="34"/>
      <c r="BV6401" s="34"/>
      <c r="BZ6401" s="34"/>
      <c r="CD6401" s="34"/>
    </row>
    <row r="6402" spans="70:82" x14ac:dyDescent="0.15">
      <c r="BR6402" s="34"/>
      <c r="BV6402" s="34"/>
      <c r="BZ6402" s="34"/>
      <c r="CD6402" s="34"/>
    </row>
    <row r="6403" spans="70:82" x14ac:dyDescent="0.15">
      <c r="BR6403" s="34"/>
      <c r="BV6403" s="34"/>
      <c r="BZ6403" s="34"/>
      <c r="CD6403" s="34"/>
    </row>
    <row r="6404" spans="70:82" x14ac:dyDescent="0.15">
      <c r="BR6404" s="34"/>
      <c r="BV6404" s="34"/>
      <c r="BZ6404" s="34"/>
      <c r="CD6404" s="34"/>
    </row>
    <row r="6405" spans="70:82" x14ac:dyDescent="0.15">
      <c r="BR6405" s="34"/>
      <c r="BV6405" s="34"/>
      <c r="BZ6405" s="34"/>
      <c r="CD6405" s="34"/>
    </row>
    <row r="6406" spans="70:82" x14ac:dyDescent="0.15">
      <c r="BR6406" s="34"/>
      <c r="BV6406" s="34"/>
      <c r="BZ6406" s="34"/>
      <c r="CD6406" s="34"/>
    </row>
    <row r="6407" spans="70:82" x14ac:dyDescent="0.15">
      <c r="BR6407" s="34"/>
      <c r="BV6407" s="34"/>
      <c r="BZ6407" s="34"/>
      <c r="CD6407" s="34"/>
    </row>
    <row r="6408" spans="70:82" x14ac:dyDescent="0.15">
      <c r="BR6408" s="34"/>
      <c r="BV6408" s="34"/>
      <c r="BZ6408" s="34"/>
      <c r="CD6408" s="34"/>
    </row>
    <row r="6409" spans="70:82" x14ac:dyDescent="0.15">
      <c r="BR6409" s="34"/>
      <c r="BV6409" s="34"/>
      <c r="BZ6409" s="34"/>
      <c r="CD6409" s="34"/>
    </row>
    <row r="6410" spans="70:82" x14ac:dyDescent="0.15">
      <c r="BR6410" s="34"/>
      <c r="BV6410" s="34"/>
      <c r="BZ6410" s="34"/>
      <c r="CD6410" s="34"/>
    </row>
    <row r="6411" spans="70:82" x14ac:dyDescent="0.15">
      <c r="BR6411" s="34"/>
      <c r="BV6411" s="34"/>
      <c r="BZ6411" s="34"/>
      <c r="CD6411" s="34"/>
    </row>
    <row r="6412" spans="70:82" x14ac:dyDescent="0.15">
      <c r="BR6412" s="34"/>
      <c r="BV6412" s="34"/>
      <c r="BZ6412" s="34"/>
      <c r="CD6412" s="34"/>
    </row>
    <row r="6413" spans="70:82" x14ac:dyDescent="0.15">
      <c r="BR6413" s="34"/>
      <c r="BV6413" s="34"/>
      <c r="BZ6413" s="34"/>
      <c r="CD6413" s="34"/>
    </row>
    <row r="6414" spans="70:82" x14ac:dyDescent="0.15">
      <c r="BR6414" s="34"/>
      <c r="BV6414" s="34"/>
      <c r="BZ6414" s="34"/>
      <c r="CD6414" s="34"/>
    </row>
    <row r="6415" spans="70:82" x14ac:dyDescent="0.15">
      <c r="BR6415" s="34"/>
      <c r="BV6415" s="34"/>
      <c r="BZ6415" s="34"/>
      <c r="CD6415" s="34"/>
    </row>
    <row r="6416" spans="70:82" x14ac:dyDescent="0.15">
      <c r="BR6416" s="34"/>
      <c r="BV6416" s="34"/>
      <c r="BZ6416" s="34"/>
      <c r="CD6416" s="34"/>
    </row>
    <row r="6417" spans="70:82" x14ac:dyDescent="0.15">
      <c r="BR6417" s="34"/>
      <c r="BV6417" s="34"/>
      <c r="BZ6417" s="34"/>
      <c r="CD6417" s="34"/>
    </row>
    <row r="6418" spans="70:82" x14ac:dyDescent="0.15">
      <c r="BR6418" s="34"/>
      <c r="BV6418" s="34"/>
      <c r="BZ6418" s="34"/>
      <c r="CD6418" s="34"/>
    </row>
    <row r="6419" spans="70:82" x14ac:dyDescent="0.15">
      <c r="BR6419" s="34"/>
      <c r="BV6419" s="34"/>
      <c r="BZ6419" s="34"/>
      <c r="CD6419" s="34"/>
    </row>
    <row r="6420" spans="70:82" x14ac:dyDescent="0.15">
      <c r="BR6420" s="34"/>
      <c r="BV6420" s="34"/>
      <c r="BZ6420" s="34"/>
      <c r="CD6420" s="34"/>
    </row>
    <row r="6421" spans="70:82" x14ac:dyDescent="0.15">
      <c r="BR6421" s="34"/>
      <c r="BV6421" s="34"/>
      <c r="BZ6421" s="34"/>
      <c r="CD6421" s="34"/>
    </row>
    <row r="6422" spans="70:82" x14ac:dyDescent="0.15">
      <c r="BR6422" s="34"/>
      <c r="BV6422" s="34"/>
      <c r="BZ6422" s="34"/>
      <c r="CD6422" s="34"/>
    </row>
    <row r="6423" spans="70:82" x14ac:dyDescent="0.15">
      <c r="BR6423" s="34"/>
      <c r="BV6423" s="34"/>
      <c r="BZ6423" s="34"/>
      <c r="CD6423" s="34"/>
    </row>
    <row r="6424" spans="70:82" x14ac:dyDescent="0.15">
      <c r="BR6424" s="34"/>
      <c r="BV6424" s="34"/>
      <c r="BZ6424" s="34"/>
      <c r="CD6424" s="34"/>
    </row>
    <row r="6425" spans="70:82" x14ac:dyDescent="0.15">
      <c r="BR6425" s="34"/>
      <c r="BV6425" s="34"/>
      <c r="BZ6425" s="34"/>
      <c r="CD6425" s="34"/>
    </row>
    <row r="6426" spans="70:82" x14ac:dyDescent="0.15">
      <c r="BR6426" s="34"/>
      <c r="BV6426" s="34"/>
      <c r="BZ6426" s="34"/>
      <c r="CD6426" s="34"/>
    </row>
    <row r="6427" spans="70:82" x14ac:dyDescent="0.15">
      <c r="BR6427" s="34"/>
      <c r="BV6427" s="34"/>
      <c r="BZ6427" s="34"/>
      <c r="CD6427" s="34"/>
    </row>
    <row r="6428" spans="70:82" x14ac:dyDescent="0.15">
      <c r="BR6428" s="34"/>
      <c r="BV6428" s="34"/>
      <c r="BZ6428" s="34"/>
      <c r="CD6428" s="34"/>
    </row>
    <row r="6429" spans="70:82" x14ac:dyDescent="0.15">
      <c r="BR6429" s="34"/>
      <c r="BV6429" s="34"/>
      <c r="BZ6429" s="34"/>
      <c r="CD6429" s="34"/>
    </row>
    <row r="6430" spans="70:82" x14ac:dyDescent="0.15">
      <c r="BR6430" s="34"/>
      <c r="BV6430" s="34"/>
      <c r="BZ6430" s="34"/>
      <c r="CD6430" s="34"/>
    </row>
    <row r="6431" spans="70:82" x14ac:dyDescent="0.15">
      <c r="BR6431" s="34"/>
      <c r="BV6431" s="34"/>
      <c r="BZ6431" s="34"/>
      <c r="CD6431" s="34"/>
    </row>
    <row r="6432" spans="70:82" x14ac:dyDescent="0.15">
      <c r="BR6432" s="34"/>
      <c r="BV6432" s="34"/>
      <c r="BZ6432" s="34"/>
      <c r="CD6432" s="34"/>
    </row>
    <row r="6433" spans="70:82" x14ac:dyDescent="0.15">
      <c r="BR6433" s="34"/>
      <c r="BV6433" s="34"/>
      <c r="BZ6433" s="34"/>
      <c r="CD6433" s="34"/>
    </row>
    <row r="6434" spans="70:82" x14ac:dyDescent="0.15">
      <c r="BR6434" s="34"/>
      <c r="BV6434" s="34"/>
      <c r="BZ6434" s="34"/>
      <c r="CD6434" s="34"/>
    </row>
    <row r="6435" spans="70:82" x14ac:dyDescent="0.15">
      <c r="BR6435" s="34"/>
      <c r="BV6435" s="34"/>
      <c r="BZ6435" s="34"/>
      <c r="CD6435" s="34"/>
    </row>
    <row r="6436" spans="70:82" x14ac:dyDescent="0.15">
      <c r="BR6436" s="34"/>
      <c r="BV6436" s="34"/>
      <c r="BZ6436" s="34"/>
      <c r="CD6436" s="34"/>
    </row>
    <row r="6437" spans="70:82" x14ac:dyDescent="0.15">
      <c r="BR6437" s="34"/>
      <c r="BV6437" s="34"/>
      <c r="BZ6437" s="34"/>
      <c r="CD6437" s="34"/>
    </row>
    <row r="6438" spans="70:82" x14ac:dyDescent="0.15">
      <c r="BR6438" s="34"/>
      <c r="BV6438" s="34"/>
      <c r="BZ6438" s="34"/>
      <c r="CD6438" s="34"/>
    </row>
    <row r="6439" spans="70:82" x14ac:dyDescent="0.15">
      <c r="BR6439" s="34"/>
      <c r="BV6439" s="34"/>
      <c r="BZ6439" s="34"/>
      <c r="CD6439" s="34"/>
    </row>
    <row r="6440" spans="70:82" x14ac:dyDescent="0.15">
      <c r="BR6440" s="34"/>
      <c r="BV6440" s="34"/>
      <c r="BZ6440" s="34"/>
      <c r="CD6440" s="34"/>
    </row>
    <row r="6441" spans="70:82" x14ac:dyDescent="0.15">
      <c r="BR6441" s="34"/>
      <c r="BV6441" s="34"/>
      <c r="BZ6441" s="34"/>
      <c r="CD6441" s="34"/>
    </row>
    <row r="6442" spans="70:82" x14ac:dyDescent="0.15">
      <c r="BR6442" s="34"/>
      <c r="BV6442" s="34"/>
      <c r="BZ6442" s="34"/>
      <c r="CD6442" s="34"/>
    </row>
    <row r="6443" spans="70:82" x14ac:dyDescent="0.15">
      <c r="BR6443" s="34"/>
      <c r="BV6443" s="34"/>
      <c r="BZ6443" s="34"/>
      <c r="CD6443" s="34"/>
    </row>
    <row r="6444" spans="70:82" x14ac:dyDescent="0.15">
      <c r="BR6444" s="34"/>
      <c r="BV6444" s="34"/>
      <c r="BZ6444" s="34"/>
      <c r="CD6444" s="34"/>
    </row>
    <row r="6445" spans="70:82" x14ac:dyDescent="0.15">
      <c r="BR6445" s="34"/>
      <c r="BV6445" s="34"/>
      <c r="BZ6445" s="34"/>
      <c r="CD6445" s="34"/>
    </row>
    <row r="6446" spans="70:82" x14ac:dyDescent="0.15">
      <c r="BR6446" s="34"/>
      <c r="BV6446" s="34"/>
      <c r="BZ6446" s="34"/>
      <c r="CD6446" s="34"/>
    </row>
    <row r="6447" spans="70:82" x14ac:dyDescent="0.15">
      <c r="BR6447" s="34"/>
      <c r="BV6447" s="34"/>
      <c r="BZ6447" s="34"/>
      <c r="CD6447" s="34"/>
    </row>
    <row r="6448" spans="70:82" x14ac:dyDescent="0.15">
      <c r="BR6448" s="34"/>
      <c r="BV6448" s="34"/>
      <c r="BZ6448" s="34"/>
      <c r="CD6448" s="34"/>
    </row>
    <row r="6449" spans="70:82" x14ac:dyDescent="0.15">
      <c r="BR6449" s="34"/>
      <c r="BV6449" s="34"/>
      <c r="BZ6449" s="34"/>
      <c r="CD6449" s="34"/>
    </row>
    <row r="6450" spans="70:82" x14ac:dyDescent="0.15">
      <c r="BR6450" s="34"/>
      <c r="BV6450" s="34"/>
      <c r="BZ6450" s="34"/>
      <c r="CD6450" s="34"/>
    </row>
    <row r="6451" spans="70:82" x14ac:dyDescent="0.15">
      <c r="BR6451" s="34"/>
      <c r="BV6451" s="34"/>
      <c r="BZ6451" s="34"/>
      <c r="CD6451" s="34"/>
    </row>
    <row r="6452" spans="70:82" x14ac:dyDescent="0.15">
      <c r="BR6452" s="34"/>
      <c r="BV6452" s="34"/>
      <c r="BZ6452" s="34"/>
      <c r="CD6452" s="34"/>
    </row>
    <row r="6453" spans="70:82" x14ac:dyDescent="0.15">
      <c r="BR6453" s="34"/>
      <c r="BV6453" s="34"/>
      <c r="BZ6453" s="34"/>
      <c r="CD6453" s="34"/>
    </row>
    <row r="6454" spans="70:82" x14ac:dyDescent="0.15">
      <c r="BR6454" s="34"/>
      <c r="BV6454" s="34"/>
      <c r="BZ6454" s="34"/>
      <c r="CD6454" s="34"/>
    </row>
    <row r="6455" spans="70:82" x14ac:dyDescent="0.15">
      <c r="BR6455" s="34"/>
      <c r="BV6455" s="34"/>
      <c r="BZ6455" s="34"/>
      <c r="CD6455" s="34"/>
    </row>
    <row r="6456" spans="70:82" x14ac:dyDescent="0.15">
      <c r="BR6456" s="34"/>
      <c r="BV6456" s="34"/>
      <c r="BZ6456" s="34"/>
      <c r="CD6456" s="34"/>
    </row>
    <row r="6457" spans="70:82" x14ac:dyDescent="0.15">
      <c r="BR6457" s="34"/>
      <c r="BV6457" s="34"/>
      <c r="BZ6457" s="34"/>
      <c r="CD6457" s="34"/>
    </row>
    <row r="6458" spans="70:82" x14ac:dyDescent="0.15">
      <c r="BR6458" s="34"/>
      <c r="BV6458" s="34"/>
      <c r="BZ6458" s="34"/>
      <c r="CD6458" s="34"/>
    </row>
    <row r="6459" spans="70:82" x14ac:dyDescent="0.15">
      <c r="BR6459" s="34"/>
      <c r="BV6459" s="34"/>
      <c r="BZ6459" s="34"/>
      <c r="CD6459" s="34"/>
    </row>
    <row r="6460" spans="70:82" x14ac:dyDescent="0.15">
      <c r="BR6460" s="34"/>
      <c r="BV6460" s="34"/>
      <c r="BZ6460" s="34"/>
      <c r="CD6460" s="34"/>
    </row>
    <row r="6461" spans="70:82" x14ac:dyDescent="0.15">
      <c r="BR6461" s="34"/>
      <c r="BV6461" s="34"/>
      <c r="BZ6461" s="34"/>
      <c r="CD6461" s="34"/>
    </row>
    <row r="6462" spans="70:82" x14ac:dyDescent="0.15">
      <c r="BR6462" s="34"/>
      <c r="BV6462" s="34"/>
      <c r="BZ6462" s="34"/>
      <c r="CD6462" s="34"/>
    </row>
    <row r="6463" spans="70:82" x14ac:dyDescent="0.15">
      <c r="BR6463" s="34"/>
      <c r="BV6463" s="34"/>
      <c r="BZ6463" s="34"/>
      <c r="CD6463" s="34"/>
    </row>
    <row r="6464" spans="70:82" x14ac:dyDescent="0.15">
      <c r="BR6464" s="34"/>
      <c r="BV6464" s="34"/>
      <c r="BZ6464" s="34"/>
      <c r="CD6464" s="34"/>
    </row>
    <row r="6465" spans="70:82" x14ac:dyDescent="0.15">
      <c r="BR6465" s="34"/>
      <c r="BV6465" s="34"/>
      <c r="BZ6465" s="34"/>
      <c r="CD6465" s="34"/>
    </row>
    <row r="6466" spans="70:82" x14ac:dyDescent="0.15">
      <c r="BR6466" s="34"/>
      <c r="BV6466" s="34"/>
      <c r="BZ6466" s="34"/>
      <c r="CD6466" s="34"/>
    </row>
    <row r="6467" spans="70:82" x14ac:dyDescent="0.15">
      <c r="BR6467" s="34"/>
      <c r="BV6467" s="34"/>
      <c r="BZ6467" s="34"/>
      <c r="CD6467" s="34"/>
    </row>
    <row r="6468" spans="70:82" x14ac:dyDescent="0.15">
      <c r="BR6468" s="34"/>
      <c r="BV6468" s="34"/>
      <c r="BZ6468" s="34"/>
      <c r="CD6468" s="34"/>
    </row>
    <row r="6469" spans="70:82" x14ac:dyDescent="0.15">
      <c r="BR6469" s="34"/>
      <c r="BV6469" s="34"/>
      <c r="BZ6469" s="34"/>
      <c r="CD6469" s="34"/>
    </row>
    <row r="6470" spans="70:82" x14ac:dyDescent="0.15">
      <c r="BR6470" s="34"/>
      <c r="BV6470" s="34"/>
      <c r="BZ6470" s="34"/>
      <c r="CD6470" s="34"/>
    </row>
    <row r="6471" spans="70:82" x14ac:dyDescent="0.15">
      <c r="BR6471" s="34"/>
      <c r="BV6471" s="34"/>
      <c r="BZ6471" s="34"/>
      <c r="CD6471" s="34"/>
    </row>
    <row r="6472" spans="70:82" x14ac:dyDescent="0.15">
      <c r="BR6472" s="34"/>
      <c r="BV6472" s="34"/>
      <c r="BZ6472" s="34"/>
      <c r="CD6472" s="34"/>
    </row>
    <row r="6473" spans="70:82" x14ac:dyDescent="0.15">
      <c r="BR6473" s="34"/>
      <c r="BV6473" s="34"/>
      <c r="BZ6473" s="34"/>
      <c r="CD6473" s="34"/>
    </row>
    <row r="6474" spans="70:82" x14ac:dyDescent="0.15">
      <c r="BR6474" s="34"/>
      <c r="BV6474" s="34"/>
      <c r="BZ6474" s="34"/>
      <c r="CD6474" s="34"/>
    </row>
    <row r="6475" spans="70:82" x14ac:dyDescent="0.15">
      <c r="BR6475" s="34"/>
      <c r="BV6475" s="34"/>
      <c r="BZ6475" s="34"/>
      <c r="CD6475" s="34"/>
    </row>
    <row r="6476" spans="70:82" x14ac:dyDescent="0.15">
      <c r="BR6476" s="34"/>
      <c r="BV6476" s="34"/>
      <c r="BZ6476" s="34"/>
      <c r="CD6476" s="34"/>
    </row>
    <row r="6477" spans="70:82" x14ac:dyDescent="0.15">
      <c r="BR6477" s="34"/>
      <c r="BV6477" s="34"/>
      <c r="BZ6477" s="34"/>
      <c r="CD6477" s="34"/>
    </row>
    <row r="6478" spans="70:82" x14ac:dyDescent="0.15">
      <c r="BR6478" s="34"/>
      <c r="BV6478" s="34"/>
      <c r="BZ6478" s="34"/>
      <c r="CD6478" s="34"/>
    </row>
    <row r="6479" spans="70:82" x14ac:dyDescent="0.15">
      <c r="BR6479" s="34"/>
      <c r="BV6479" s="34"/>
      <c r="BZ6479" s="34"/>
      <c r="CD6479" s="34"/>
    </row>
    <row r="6480" spans="70:82" x14ac:dyDescent="0.15">
      <c r="BR6480" s="34"/>
      <c r="BV6480" s="34"/>
      <c r="BZ6480" s="34"/>
      <c r="CD6480" s="34"/>
    </row>
    <row r="6481" spans="70:82" x14ac:dyDescent="0.15">
      <c r="BR6481" s="34"/>
      <c r="BV6481" s="34"/>
      <c r="BZ6481" s="34"/>
      <c r="CD6481" s="34"/>
    </row>
    <row r="6482" spans="70:82" x14ac:dyDescent="0.15">
      <c r="BR6482" s="34"/>
      <c r="BV6482" s="34"/>
      <c r="BZ6482" s="34"/>
      <c r="CD6482" s="34"/>
    </row>
    <row r="6483" spans="70:82" x14ac:dyDescent="0.15">
      <c r="BR6483" s="34"/>
      <c r="BV6483" s="34"/>
      <c r="BZ6483" s="34"/>
      <c r="CD6483" s="34"/>
    </row>
    <row r="6484" spans="70:82" x14ac:dyDescent="0.15">
      <c r="BR6484" s="34"/>
      <c r="BV6484" s="34"/>
      <c r="BZ6484" s="34"/>
      <c r="CD6484" s="34"/>
    </row>
    <row r="6485" spans="70:82" x14ac:dyDescent="0.15">
      <c r="BR6485" s="34"/>
      <c r="BV6485" s="34"/>
      <c r="BZ6485" s="34"/>
      <c r="CD6485" s="34"/>
    </row>
    <row r="6486" spans="70:82" x14ac:dyDescent="0.15">
      <c r="BR6486" s="34"/>
      <c r="BV6486" s="34"/>
      <c r="BZ6486" s="34"/>
      <c r="CD6486" s="34"/>
    </row>
    <row r="6487" spans="70:82" x14ac:dyDescent="0.15">
      <c r="BR6487" s="34"/>
      <c r="BV6487" s="34"/>
      <c r="BZ6487" s="34"/>
      <c r="CD6487" s="34"/>
    </row>
    <row r="6488" spans="70:82" x14ac:dyDescent="0.15">
      <c r="BR6488" s="34"/>
      <c r="BV6488" s="34"/>
      <c r="BZ6488" s="34"/>
      <c r="CD6488" s="34"/>
    </row>
    <row r="6489" spans="70:82" x14ac:dyDescent="0.15">
      <c r="BR6489" s="34"/>
      <c r="BV6489" s="34"/>
      <c r="BZ6489" s="34"/>
      <c r="CD6489" s="34"/>
    </row>
    <row r="6490" spans="70:82" x14ac:dyDescent="0.15">
      <c r="BR6490" s="34"/>
      <c r="BV6490" s="34"/>
      <c r="BZ6490" s="34"/>
      <c r="CD6490" s="34"/>
    </row>
    <row r="6491" spans="70:82" x14ac:dyDescent="0.15">
      <c r="BR6491" s="34"/>
      <c r="BV6491" s="34"/>
      <c r="BZ6491" s="34"/>
      <c r="CD6491" s="34"/>
    </row>
    <row r="6492" spans="70:82" x14ac:dyDescent="0.15">
      <c r="BR6492" s="34"/>
      <c r="BV6492" s="34"/>
      <c r="BZ6492" s="34"/>
      <c r="CD6492" s="34"/>
    </row>
    <row r="6493" spans="70:82" x14ac:dyDescent="0.15">
      <c r="BR6493" s="34"/>
      <c r="BV6493" s="34"/>
      <c r="BZ6493" s="34"/>
      <c r="CD6493" s="34"/>
    </row>
    <row r="6494" spans="70:82" x14ac:dyDescent="0.15">
      <c r="BR6494" s="34"/>
      <c r="BV6494" s="34"/>
      <c r="BZ6494" s="34"/>
      <c r="CD6494" s="34"/>
    </row>
    <row r="6495" spans="70:82" x14ac:dyDescent="0.15">
      <c r="BR6495" s="34"/>
      <c r="BV6495" s="34"/>
      <c r="BZ6495" s="34"/>
      <c r="CD6495" s="34"/>
    </row>
    <row r="6496" spans="70:82" x14ac:dyDescent="0.15">
      <c r="BR6496" s="34"/>
      <c r="BV6496" s="34"/>
      <c r="BZ6496" s="34"/>
      <c r="CD6496" s="34"/>
    </row>
    <row r="6497" spans="70:82" x14ac:dyDescent="0.15">
      <c r="BR6497" s="34"/>
      <c r="BV6497" s="34"/>
      <c r="BZ6497" s="34"/>
      <c r="CD6497" s="34"/>
    </row>
    <row r="6498" spans="70:82" x14ac:dyDescent="0.15">
      <c r="BR6498" s="34"/>
      <c r="BV6498" s="34"/>
      <c r="BZ6498" s="34"/>
      <c r="CD6498" s="34"/>
    </row>
    <row r="6499" spans="70:82" x14ac:dyDescent="0.15">
      <c r="BR6499" s="34"/>
      <c r="BV6499" s="34"/>
      <c r="BZ6499" s="34"/>
      <c r="CD6499" s="34"/>
    </row>
    <row r="6500" spans="70:82" x14ac:dyDescent="0.15">
      <c r="BR6500" s="34"/>
      <c r="BV6500" s="34"/>
      <c r="BZ6500" s="34"/>
      <c r="CD6500" s="34"/>
    </row>
    <row r="6501" spans="70:82" x14ac:dyDescent="0.15">
      <c r="BR6501" s="34"/>
      <c r="BV6501" s="34"/>
      <c r="BZ6501" s="34"/>
      <c r="CD6501" s="34"/>
    </row>
    <row r="6502" spans="70:82" x14ac:dyDescent="0.15">
      <c r="BR6502" s="34"/>
      <c r="BV6502" s="34"/>
      <c r="BZ6502" s="34"/>
      <c r="CD6502" s="34"/>
    </row>
    <row r="6503" spans="70:82" x14ac:dyDescent="0.15">
      <c r="BR6503" s="34"/>
      <c r="BV6503" s="34"/>
      <c r="BZ6503" s="34"/>
      <c r="CD6503" s="34"/>
    </row>
    <row r="6504" spans="70:82" x14ac:dyDescent="0.15">
      <c r="BR6504" s="34"/>
      <c r="BV6504" s="34"/>
      <c r="BZ6504" s="34"/>
      <c r="CD6504" s="34"/>
    </row>
    <row r="6505" spans="70:82" x14ac:dyDescent="0.15">
      <c r="BR6505" s="34"/>
      <c r="BV6505" s="34"/>
      <c r="BZ6505" s="34"/>
      <c r="CD6505" s="34"/>
    </row>
    <row r="6506" spans="70:82" x14ac:dyDescent="0.15">
      <c r="BR6506" s="34"/>
      <c r="BV6506" s="34"/>
      <c r="BZ6506" s="34"/>
      <c r="CD6506" s="34"/>
    </row>
    <row r="6507" spans="70:82" x14ac:dyDescent="0.15">
      <c r="BR6507" s="34"/>
      <c r="BV6507" s="34"/>
      <c r="BZ6507" s="34"/>
      <c r="CD6507" s="34"/>
    </row>
    <row r="6508" spans="70:82" x14ac:dyDescent="0.15">
      <c r="BR6508" s="34"/>
      <c r="BV6508" s="34"/>
      <c r="BZ6508" s="34"/>
      <c r="CD6508" s="34"/>
    </row>
    <row r="6509" spans="70:82" x14ac:dyDescent="0.15">
      <c r="BR6509" s="34"/>
      <c r="BV6509" s="34"/>
      <c r="BZ6509" s="34"/>
      <c r="CD6509" s="34"/>
    </row>
    <row r="6510" spans="70:82" x14ac:dyDescent="0.15">
      <c r="BR6510" s="34"/>
      <c r="BV6510" s="34"/>
      <c r="BZ6510" s="34"/>
      <c r="CD6510" s="34"/>
    </row>
    <row r="6511" spans="70:82" x14ac:dyDescent="0.15">
      <c r="BR6511" s="34"/>
      <c r="BV6511" s="34"/>
      <c r="BZ6511" s="34"/>
      <c r="CD6511" s="34"/>
    </row>
    <row r="6512" spans="70:82" x14ac:dyDescent="0.15">
      <c r="BR6512" s="34"/>
      <c r="BV6512" s="34"/>
      <c r="BZ6512" s="34"/>
      <c r="CD6512" s="34"/>
    </row>
    <row r="6513" spans="70:82" x14ac:dyDescent="0.15">
      <c r="BR6513" s="34"/>
      <c r="BV6513" s="34"/>
      <c r="BZ6513" s="34"/>
      <c r="CD6513" s="34"/>
    </row>
    <row r="6514" spans="70:82" x14ac:dyDescent="0.15">
      <c r="BR6514" s="34"/>
      <c r="BV6514" s="34"/>
      <c r="BZ6514" s="34"/>
      <c r="CD6514" s="34"/>
    </row>
    <row r="6515" spans="70:82" x14ac:dyDescent="0.15">
      <c r="BR6515" s="34"/>
      <c r="BV6515" s="34"/>
      <c r="BZ6515" s="34"/>
      <c r="CD6515" s="34"/>
    </row>
    <row r="6516" spans="70:82" x14ac:dyDescent="0.15">
      <c r="BR6516" s="34"/>
      <c r="BV6516" s="34"/>
      <c r="BZ6516" s="34"/>
      <c r="CD6516" s="34"/>
    </row>
    <row r="6517" spans="70:82" x14ac:dyDescent="0.15">
      <c r="BR6517" s="34"/>
      <c r="BV6517" s="34"/>
      <c r="BZ6517" s="34"/>
      <c r="CD6517" s="34"/>
    </row>
    <row r="6518" spans="70:82" x14ac:dyDescent="0.15">
      <c r="BR6518" s="34"/>
      <c r="BV6518" s="34"/>
      <c r="BZ6518" s="34"/>
      <c r="CD6518" s="34"/>
    </row>
    <row r="6519" spans="70:82" x14ac:dyDescent="0.15">
      <c r="BR6519" s="34"/>
      <c r="BV6519" s="34"/>
      <c r="BZ6519" s="34"/>
      <c r="CD6519" s="34"/>
    </row>
    <row r="6520" spans="70:82" x14ac:dyDescent="0.15">
      <c r="BR6520" s="34"/>
      <c r="BV6520" s="34"/>
      <c r="BZ6520" s="34"/>
      <c r="CD6520" s="34"/>
    </row>
    <row r="6521" spans="70:82" x14ac:dyDescent="0.15">
      <c r="BR6521" s="34"/>
      <c r="BV6521" s="34"/>
      <c r="BZ6521" s="34"/>
      <c r="CD6521" s="34"/>
    </row>
    <row r="6522" spans="70:82" x14ac:dyDescent="0.15">
      <c r="BR6522" s="34"/>
      <c r="BV6522" s="34"/>
      <c r="BZ6522" s="34"/>
      <c r="CD6522" s="34"/>
    </row>
    <row r="6523" spans="70:82" x14ac:dyDescent="0.15">
      <c r="BR6523" s="34"/>
      <c r="BV6523" s="34"/>
      <c r="BZ6523" s="34"/>
      <c r="CD6523" s="34"/>
    </row>
    <row r="6524" spans="70:82" x14ac:dyDescent="0.15">
      <c r="BR6524" s="34"/>
      <c r="BV6524" s="34"/>
      <c r="BZ6524" s="34"/>
      <c r="CD6524" s="34"/>
    </row>
    <row r="6525" spans="70:82" x14ac:dyDescent="0.15">
      <c r="BR6525" s="34"/>
      <c r="BV6525" s="34"/>
      <c r="BZ6525" s="34"/>
      <c r="CD6525" s="34"/>
    </row>
    <row r="6526" spans="70:82" x14ac:dyDescent="0.15">
      <c r="BR6526" s="34"/>
      <c r="BV6526" s="34"/>
      <c r="BZ6526" s="34"/>
      <c r="CD6526" s="34"/>
    </row>
    <row r="6527" spans="70:82" x14ac:dyDescent="0.15">
      <c r="BR6527" s="34"/>
      <c r="BV6527" s="34"/>
      <c r="BZ6527" s="34"/>
      <c r="CD6527" s="34"/>
    </row>
    <row r="6528" spans="70:82" x14ac:dyDescent="0.15">
      <c r="BR6528" s="34"/>
      <c r="BV6528" s="34"/>
      <c r="BZ6528" s="34"/>
      <c r="CD6528" s="34"/>
    </row>
    <row r="6529" spans="70:82" x14ac:dyDescent="0.15">
      <c r="BR6529" s="34"/>
      <c r="BV6529" s="34"/>
      <c r="BZ6529" s="34"/>
      <c r="CD6529" s="34"/>
    </row>
    <row r="6530" spans="70:82" x14ac:dyDescent="0.15">
      <c r="BR6530" s="34"/>
      <c r="BV6530" s="34"/>
      <c r="BZ6530" s="34"/>
      <c r="CD6530" s="34"/>
    </row>
    <row r="6531" spans="70:82" x14ac:dyDescent="0.15">
      <c r="BR6531" s="34"/>
      <c r="BV6531" s="34"/>
      <c r="BZ6531" s="34"/>
      <c r="CD6531" s="34"/>
    </row>
    <row r="6532" spans="70:82" x14ac:dyDescent="0.15">
      <c r="BR6532" s="34"/>
      <c r="BV6532" s="34"/>
      <c r="BZ6532" s="34"/>
      <c r="CD6532" s="34"/>
    </row>
    <row r="6533" spans="70:82" x14ac:dyDescent="0.15">
      <c r="BR6533" s="34"/>
      <c r="BV6533" s="34"/>
      <c r="BZ6533" s="34"/>
      <c r="CD6533" s="34"/>
    </row>
    <row r="6534" spans="70:82" x14ac:dyDescent="0.15">
      <c r="BR6534" s="34"/>
      <c r="BV6534" s="34"/>
      <c r="BZ6534" s="34"/>
      <c r="CD6534" s="34"/>
    </row>
    <row r="6535" spans="70:82" x14ac:dyDescent="0.15">
      <c r="BR6535" s="34"/>
      <c r="BV6535" s="34"/>
      <c r="BZ6535" s="34"/>
      <c r="CD6535" s="34"/>
    </row>
    <row r="6536" spans="70:82" x14ac:dyDescent="0.15">
      <c r="BR6536" s="34"/>
      <c r="BV6536" s="34"/>
      <c r="BZ6536" s="34"/>
      <c r="CD6536" s="34"/>
    </row>
    <row r="6537" spans="70:82" x14ac:dyDescent="0.15">
      <c r="BR6537" s="34"/>
      <c r="BV6537" s="34"/>
      <c r="BZ6537" s="34"/>
      <c r="CD6537" s="34"/>
    </row>
    <row r="6538" spans="70:82" x14ac:dyDescent="0.15">
      <c r="BR6538" s="34"/>
      <c r="BV6538" s="34"/>
      <c r="BZ6538" s="34"/>
      <c r="CD6538" s="34"/>
    </row>
    <row r="6539" spans="70:82" x14ac:dyDescent="0.15">
      <c r="BR6539" s="34"/>
      <c r="BV6539" s="34"/>
      <c r="BZ6539" s="34"/>
      <c r="CD6539" s="34"/>
    </row>
    <row r="6540" spans="70:82" x14ac:dyDescent="0.15">
      <c r="BR6540" s="34"/>
      <c r="BV6540" s="34"/>
      <c r="BZ6540" s="34"/>
      <c r="CD6540" s="34"/>
    </row>
    <row r="6541" spans="70:82" x14ac:dyDescent="0.15">
      <c r="BR6541" s="34"/>
      <c r="BV6541" s="34"/>
      <c r="BZ6541" s="34"/>
      <c r="CD6541" s="34"/>
    </row>
    <row r="6542" spans="70:82" x14ac:dyDescent="0.15">
      <c r="BR6542" s="34"/>
      <c r="BV6542" s="34"/>
      <c r="BZ6542" s="34"/>
      <c r="CD6542" s="34"/>
    </row>
    <row r="6543" spans="70:82" x14ac:dyDescent="0.15">
      <c r="BR6543" s="34"/>
      <c r="BV6543" s="34"/>
      <c r="BZ6543" s="34"/>
      <c r="CD6543" s="34"/>
    </row>
    <row r="6544" spans="70:82" x14ac:dyDescent="0.15">
      <c r="BR6544" s="34"/>
      <c r="BV6544" s="34"/>
      <c r="BZ6544" s="34"/>
      <c r="CD6544" s="34"/>
    </row>
    <row r="6545" spans="70:82" x14ac:dyDescent="0.15">
      <c r="BR6545" s="34"/>
      <c r="BV6545" s="34"/>
      <c r="BZ6545" s="34"/>
      <c r="CD6545" s="34"/>
    </row>
    <row r="6546" spans="70:82" x14ac:dyDescent="0.15">
      <c r="BR6546" s="34"/>
      <c r="BV6546" s="34"/>
      <c r="BZ6546" s="34"/>
      <c r="CD6546" s="34"/>
    </row>
    <row r="6547" spans="70:82" x14ac:dyDescent="0.15">
      <c r="BR6547" s="34"/>
      <c r="BV6547" s="34"/>
      <c r="BZ6547" s="34"/>
      <c r="CD6547" s="34"/>
    </row>
    <row r="6548" spans="70:82" x14ac:dyDescent="0.15">
      <c r="BR6548" s="34"/>
      <c r="BV6548" s="34"/>
      <c r="BZ6548" s="34"/>
      <c r="CD6548" s="34"/>
    </row>
    <row r="6549" spans="70:82" x14ac:dyDescent="0.15">
      <c r="BR6549" s="34"/>
      <c r="BV6549" s="34"/>
      <c r="BZ6549" s="34"/>
      <c r="CD6549" s="34"/>
    </row>
    <row r="6550" spans="70:82" x14ac:dyDescent="0.15">
      <c r="BR6550" s="34"/>
      <c r="BV6550" s="34"/>
      <c r="BZ6550" s="34"/>
      <c r="CD6550" s="34"/>
    </row>
    <row r="6551" spans="70:82" x14ac:dyDescent="0.15">
      <c r="BR6551" s="34"/>
      <c r="BV6551" s="34"/>
      <c r="BZ6551" s="34"/>
      <c r="CD6551" s="34"/>
    </row>
    <row r="6552" spans="70:82" x14ac:dyDescent="0.15">
      <c r="BR6552" s="34"/>
      <c r="BV6552" s="34"/>
      <c r="BZ6552" s="34"/>
      <c r="CD6552" s="34"/>
    </row>
    <row r="6553" spans="70:82" x14ac:dyDescent="0.15">
      <c r="BR6553" s="34"/>
      <c r="BV6553" s="34"/>
      <c r="BZ6553" s="34"/>
      <c r="CD6553" s="34"/>
    </row>
    <row r="6554" spans="70:82" x14ac:dyDescent="0.15">
      <c r="BR6554" s="34"/>
      <c r="BV6554" s="34"/>
      <c r="BZ6554" s="34"/>
      <c r="CD6554" s="34"/>
    </row>
    <row r="6555" spans="70:82" x14ac:dyDescent="0.15">
      <c r="BR6555" s="34"/>
      <c r="BV6555" s="34"/>
      <c r="BZ6555" s="34"/>
      <c r="CD6555" s="34"/>
    </row>
    <row r="6556" spans="70:82" x14ac:dyDescent="0.15">
      <c r="BR6556" s="34"/>
      <c r="BV6556" s="34"/>
      <c r="BZ6556" s="34"/>
      <c r="CD6556" s="34"/>
    </row>
    <row r="6557" spans="70:82" x14ac:dyDescent="0.15">
      <c r="BR6557" s="34"/>
      <c r="BV6557" s="34"/>
      <c r="BZ6557" s="34"/>
      <c r="CD6557" s="34"/>
    </row>
    <row r="6558" spans="70:82" x14ac:dyDescent="0.15">
      <c r="BR6558" s="34"/>
      <c r="BV6558" s="34"/>
      <c r="BZ6558" s="34"/>
      <c r="CD6558" s="34"/>
    </row>
    <row r="6559" spans="70:82" x14ac:dyDescent="0.15">
      <c r="BR6559" s="34"/>
      <c r="BV6559" s="34"/>
      <c r="BZ6559" s="34"/>
      <c r="CD6559" s="34"/>
    </row>
    <row r="6560" spans="70:82" x14ac:dyDescent="0.15">
      <c r="BR6560" s="34"/>
      <c r="BV6560" s="34"/>
      <c r="BZ6560" s="34"/>
      <c r="CD6560" s="34"/>
    </row>
    <row r="6561" spans="70:82" x14ac:dyDescent="0.15">
      <c r="BR6561" s="34"/>
      <c r="BV6561" s="34"/>
      <c r="BZ6561" s="34"/>
      <c r="CD6561" s="34"/>
    </row>
    <row r="6562" spans="70:82" x14ac:dyDescent="0.15">
      <c r="BR6562" s="34"/>
      <c r="BV6562" s="34"/>
      <c r="BZ6562" s="34"/>
      <c r="CD6562" s="34"/>
    </row>
    <row r="6563" spans="70:82" x14ac:dyDescent="0.15">
      <c r="BR6563" s="34"/>
      <c r="BV6563" s="34"/>
      <c r="BZ6563" s="34"/>
      <c r="CD6563" s="34"/>
    </row>
    <row r="6564" spans="70:82" x14ac:dyDescent="0.15">
      <c r="BR6564" s="34"/>
      <c r="BV6564" s="34"/>
      <c r="BZ6564" s="34"/>
      <c r="CD6564" s="34"/>
    </row>
    <row r="6565" spans="70:82" x14ac:dyDescent="0.15">
      <c r="BR6565" s="34"/>
      <c r="BV6565" s="34"/>
      <c r="BZ6565" s="34"/>
      <c r="CD6565" s="34"/>
    </row>
    <row r="6566" spans="70:82" x14ac:dyDescent="0.15">
      <c r="BR6566" s="34"/>
      <c r="BV6566" s="34"/>
      <c r="BZ6566" s="34"/>
      <c r="CD6566" s="34"/>
    </row>
    <row r="6567" spans="70:82" x14ac:dyDescent="0.15">
      <c r="BR6567" s="34"/>
      <c r="BV6567" s="34"/>
      <c r="BZ6567" s="34"/>
      <c r="CD6567" s="34"/>
    </row>
    <row r="6568" spans="70:82" x14ac:dyDescent="0.15">
      <c r="BR6568" s="34"/>
      <c r="BV6568" s="34"/>
      <c r="BZ6568" s="34"/>
      <c r="CD6568" s="34"/>
    </row>
    <row r="6569" spans="70:82" x14ac:dyDescent="0.15">
      <c r="BR6569" s="34"/>
      <c r="BV6569" s="34"/>
      <c r="BZ6569" s="34"/>
      <c r="CD6569" s="34"/>
    </row>
    <row r="6570" spans="70:82" x14ac:dyDescent="0.15">
      <c r="BR6570" s="34"/>
      <c r="BV6570" s="34"/>
      <c r="BZ6570" s="34"/>
      <c r="CD6570" s="34"/>
    </row>
    <row r="6571" spans="70:82" x14ac:dyDescent="0.15">
      <c r="BR6571" s="34"/>
      <c r="BV6571" s="34"/>
      <c r="BZ6571" s="34"/>
      <c r="CD6571" s="34"/>
    </row>
    <row r="6572" spans="70:82" x14ac:dyDescent="0.15">
      <c r="BR6572" s="34"/>
      <c r="BV6572" s="34"/>
      <c r="BZ6572" s="34"/>
      <c r="CD6572" s="34"/>
    </row>
    <row r="6573" spans="70:82" x14ac:dyDescent="0.15">
      <c r="BR6573" s="34"/>
      <c r="BV6573" s="34"/>
      <c r="BZ6573" s="34"/>
      <c r="CD6573" s="34"/>
    </row>
    <row r="6574" spans="70:82" x14ac:dyDescent="0.15">
      <c r="BR6574" s="34"/>
      <c r="BV6574" s="34"/>
      <c r="BZ6574" s="34"/>
      <c r="CD6574" s="34"/>
    </row>
    <row r="6575" spans="70:82" x14ac:dyDescent="0.15">
      <c r="BR6575" s="34"/>
      <c r="BV6575" s="34"/>
      <c r="BZ6575" s="34"/>
      <c r="CD6575" s="34"/>
    </row>
    <row r="6576" spans="70:82" x14ac:dyDescent="0.15">
      <c r="BR6576" s="34"/>
      <c r="BV6576" s="34"/>
      <c r="BZ6576" s="34"/>
      <c r="CD6576" s="34"/>
    </row>
    <row r="6577" spans="70:82" x14ac:dyDescent="0.15">
      <c r="BR6577" s="34"/>
      <c r="BV6577" s="34"/>
      <c r="BZ6577" s="34"/>
      <c r="CD6577" s="34"/>
    </row>
    <row r="6578" spans="70:82" x14ac:dyDescent="0.15">
      <c r="BR6578" s="34"/>
      <c r="BV6578" s="34"/>
      <c r="BZ6578" s="34"/>
      <c r="CD6578" s="34"/>
    </row>
    <row r="6579" spans="70:82" x14ac:dyDescent="0.15">
      <c r="BR6579" s="34"/>
      <c r="BV6579" s="34"/>
      <c r="BZ6579" s="34"/>
      <c r="CD6579" s="34"/>
    </row>
    <row r="6580" spans="70:82" x14ac:dyDescent="0.15">
      <c r="BR6580" s="34"/>
      <c r="BV6580" s="34"/>
      <c r="BZ6580" s="34"/>
      <c r="CD6580" s="34"/>
    </row>
    <row r="6581" spans="70:82" x14ac:dyDescent="0.15">
      <c r="BR6581" s="34"/>
      <c r="BV6581" s="34"/>
      <c r="BZ6581" s="34"/>
      <c r="CD6581" s="34"/>
    </row>
    <row r="6582" spans="70:82" x14ac:dyDescent="0.15">
      <c r="BR6582" s="34"/>
      <c r="BV6582" s="34"/>
      <c r="BZ6582" s="34"/>
      <c r="CD6582" s="34"/>
    </row>
    <row r="6583" spans="70:82" x14ac:dyDescent="0.15">
      <c r="BR6583" s="34"/>
      <c r="BV6583" s="34"/>
      <c r="BZ6583" s="34"/>
      <c r="CD6583" s="34"/>
    </row>
    <row r="6584" spans="70:82" x14ac:dyDescent="0.15">
      <c r="BR6584" s="34"/>
      <c r="BV6584" s="34"/>
      <c r="BZ6584" s="34"/>
      <c r="CD6584" s="34"/>
    </row>
    <row r="6585" spans="70:82" x14ac:dyDescent="0.15">
      <c r="BR6585" s="34"/>
      <c r="BV6585" s="34"/>
      <c r="BZ6585" s="34"/>
      <c r="CD6585" s="34"/>
    </row>
    <row r="6586" spans="70:82" x14ac:dyDescent="0.15">
      <c r="BR6586" s="34"/>
      <c r="BV6586" s="34"/>
      <c r="BZ6586" s="34"/>
      <c r="CD6586" s="34"/>
    </row>
    <row r="6587" spans="70:82" x14ac:dyDescent="0.15">
      <c r="BR6587" s="34"/>
      <c r="BV6587" s="34"/>
      <c r="BZ6587" s="34"/>
      <c r="CD6587" s="34"/>
    </row>
    <row r="6588" spans="70:82" x14ac:dyDescent="0.15">
      <c r="BR6588" s="34"/>
      <c r="BV6588" s="34"/>
      <c r="BZ6588" s="34"/>
      <c r="CD6588" s="34"/>
    </row>
    <row r="6589" spans="70:82" x14ac:dyDescent="0.15">
      <c r="BR6589" s="34"/>
      <c r="BV6589" s="34"/>
      <c r="BZ6589" s="34"/>
      <c r="CD6589" s="34"/>
    </row>
    <row r="6590" spans="70:82" x14ac:dyDescent="0.15">
      <c r="BR6590" s="34"/>
      <c r="BV6590" s="34"/>
      <c r="BZ6590" s="34"/>
      <c r="CD6590" s="34"/>
    </row>
    <row r="6591" spans="70:82" x14ac:dyDescent="0.15">
      <c r="BR6591" s="34"/>
      <c r="BV6591" s="34"/>
      <c r="BZ6591" s="34"/>
      <c r="CD6591" s="34"/>
    </row>
    <row r="6592" spans="70:82" x14ac:dyDescent="0.15">
      <c r="BR6592" s="34"/>
      <c r="BV6592" s="34"/>
      <c r="BZ6592" s="34"/>
      <c r="CD6592" s="34"/>
    </row>
    <row r="6593" spans="70:82" x14ac:dyDescent="0.15">
      <c r="BR6593" s="34"/>
      <c r="BV6593" s="34"/>
      <c r="BZ6593" s="34"/>
      <c r="CD6593" s="34"/>
    </row>
    <row r="6594" spans="70:82" x14ac:dyDescent="0.15">
      <c r="BR6594" s="34"/>
      <c r="BV6594" s="34"/>
      <c r="BZ6594" s="34"/>
      <c r="CD6594" s="34"/>
    </row>
    <row r="6595" spans="70:82" x14ac:dyDescent="0.15">
      <c r="BR6595" s="34"/>
      <c r="BV6595" s="34"/>
      <c r="BZ6595" s="34"/>
      <c r="CD6595" s="34"/>
    </row>
    <row r="6596" spans="70:82" x14ac:dyDescent="0.15">
      <c r="BR6596" s="34"/>
      <c r="BV6596" s="34"/>
      <c r="BZ6596" s="34"/>
      <c r="CD6596" s="34"/>
    </row>
    <row r="6597" spans="70:82" x14ac:dyDescent="0.15">
      <c r="BR6597" s="34"/>
      <c r="BV6597" s="34"/>
      <c r="BZ6597" s="34"/>
      <c r="CD6597" s="34"/>
    </row>
    <row r="6598" spans="70:82" x14ac:dyDescent="0.15">
      <c r="BR6598" s="34"/>
      <c r="BV6598" s="34"/>
      <c r="BZ6598" s="34"/>
      <c r="CD6598" s="34"/>
    </row>
    <row r="6599" spans="70:82" x14ac:dyDescent="0.15">
      <c r="BR6599" s="34"/>
      <c r="BV6599" s="34"/>
      <c r="BZ6599" s="34"/>
      <c r="CD6599" s="34"/>
    </row>
    <row r="6600" spans="70:82" x14ac:dyDescent="0.15">
      <c r="BR6600" s="34"/>
      <c r="BV6600" s="34"/>
      <c r="BZ6600" s="34"/>
      <c r="CD6600" s="34"/>
    </row>
    <row r="6601" spans="70:82" x14ac:dyDescent="0.15">
      <c r="BR6601" s="34"/>
      <c r="BV6601" s="34"/>
      <c r="BZ6601" s="34"/>
      <c r="CD6601" s="34"/>
    </row>
    <row r="6602" spans="70:82" x14ac:dyDescent="0.15">
      <c r="BR6602" s="34"/>
      <c r="BV6602" s="34"/>
      <c r="BZ6602" s="34"/>
      <c r="CD6602" s="34"/>
    </row>
    <row r="6603" spans="70:82" x14ac:dyDescent="0.15">
      <c r="BR6603" s="34"/>
      <c r="BV6603" s="34"/>
      <c r="BZ6603" s="34"/>
      <c r="CD6603" s="34"/>
    </row>
    <row r="6604" spans="70:82" x14ac:dyDescent="0.15">
      <c r="BR6604" s="34"/>
      <c r="BV6604" s="34"/>
      <c r="BZ6604" s="34"/>
      <c r="CD6604" s="34"/>
    </row>
    <row r="6605" spans="70:82" x14ac:dyDescent="0.15">
      <c r="BR6605" s="34"/>
      <c r="BV6605" s="34"/>
      <c r="BZ6605" s="34"/>
      <c r="CD6605" s="34"/>
    </row>
    <row r="6606" spans="70:82" x14ac:dyDescent="0.15">
      <c r="BR6606" s="34"/>
      <c r="BV6606" s="34"/>
      <c r="BZ6606" s="34"/>
      <c r="CD6606" s="34"/>
    </row>
    <row r="6607" spans="70:82" x14ac:dyDescent="0.15">
      <c r="BR6607" s="34"/>
      <c r="BV6607" s="34"/>
      <c r="BZ6607" s="34"/>
      <c r="CD6607" s="34"/>
    </row>
    <row r="6608" spans="70:82" x14ac:dyDescent="0.15">
      <c r="BR6608" s="34"/>
      <c r="BV6608" s="34"/>
      <c r="BZ6608" s="34"/>
      <c r="CD6608" s="34"/>
    </row>
    <row r="6609" spans="70:82" x14ac:dyDescent="0.15">
      <c r="BR6609" s="34"/>
      <c r="BV6609" s="34"/>
      <c r="BZ6609" s="34"/>
      <c r="CD6609" s="34"/>
    </row>
    <row r="6610" spans="70:82" x14ac:dyDescent="0.15">
      <c r="BR6610" s="34"/>
      <c r="BV6610" s="34"/>
      <c r="BZ6610" s="34"/>
      <c r="CD6610" s="34"/>
    </row>
    <row r="6611" spans="70:82" x14ac:dyDescent="0.15">
      <c r="BR6611" s="34"/>
      <c r="BV6611" s="34"/>
      <c r="BZ6611" s="34"/>
      <c r="CD6611" s="34"/>
    </row>
    <row r="6612" spans="70:82" x14ac:dyDescent="0.15">
      <c r="BR6612" s="34"/>
      <c r="BV6612" s="34"/>
      <c r="BZ6612" s="34"/>
      <c r="CD6612" s="34"/>
    </row>
    <row r="6613" spans="70:82" x14ac:dyDescent="0.15">
      <c r="BR6613" s="34"/>
      <c r="BV6613" s="34"/>
      <c r="BZ6613" s="34"/>
      <c r="CD6613" s="34"/>
    </row>
    <row r="6614" spans="70:82" x14ac:dyDescent="0.15">
      <c r="BR6614" s="34"/>
      <c r="BV6614" s="34"/>
      <c r="BZ6614" s="34"/>
      <c r="CD6614" s="34"/>
    </row>
    <row r="6615" spans="70:82" x14ac:dyDescent="0.15">
      <c r="BR6615" s="34"/>
      <c r="BV6615" s="34"/>
      <c r="BZ6615" s="34"/>
      <c r="CD6615" s="34"/>
    </row>
    <row r="6616" spans="70:82" x14ac:dyDescent="0.15">
      <c r="BR6616" s="34"/>
      <c r="BV6616" s="34"/>
      <c r="BZ6616" s="34"/>
      <c r="CD6616" s="34"/>
    </row>
    <row r="6617" spans="70:82" x14ac:dyDescent="0.15">
      <c r="BR6617" s="34"/>
      <c r="BV6617" s="34"/>
      <c r="BZ6617" s="34"/>
      <c r="CD6617" s="34"/>
    </row>
    <row r="6618" spans="70:82" x14ac:dyDescent="0.15">
      <c r="BR6618" s="34"/>
      <c r="BV6618" s="34"/>
      <c r="BZ6618" s="34"/>
      <c r="CD6618" s="34"/>
    </row>
    <row r="6619" spans="70:82" x14ac:dyDescent="0.15">
      <c r="BR6619" s="34"/>
      <c r="BV6619" s="34"/>
      <c r="BZ6619" s="34"/>
      <c r="CD6619" s="34"/>
    </row>
    <row r="6620" spans="70:82" x14ac:dyDescent="0.15">
      <c r="BR6620" s="34"/>
      <c r="BV6620" s="34"/>
      <c r="BZ6620" s="34"/>
      <c r="CD6620" s="34"/>
    </row>
    <row r="6621" spans="70:82" x14ac:dyDescent="0.15">
      <c r="BR6621" s="34"/>
      <c r="BV6621" s="34"/>
      <c r="BZ6621" s="34"/>
      <c r="CD6621" s="34"/>
    </row>
    <row r="6622" spans="70:82" x14ac:dyDescent="0.15">
      <c r="BR6622" s="34"/>
      <c r="BV6622" s="34"/>
      <c r="BZ6622" s="34"/>
      <c r="CD6622" s="34"/>
    </row>
    <row r="6623" spans="70:82" x14ac:dyDescent="0.15">
      <c r="BR6623" s="34"/>
      <c r="BV6623" s="34"/>
      <c r="BZ6623" s="34"/>
      <c r="CD6623" s="34"/>
    </row>
    <row r="6624" spans="70:82" x14ac:dyDescent="0.15">
      <c r="BR6624" s="34"/>
      <c r="BV6624" s="34"/>
      <c r="BZ6624" s="34"/>
      <c r="CD6624" s="34"/>
    </row>
    <row r="6625" spans="70:82" x14ac:dyDescent="0.15">
      <c r="BR6625" s="34"/>
      <c r="BV6625" s="34"/>
      <c r="BZ6625" s="34"/>
      <c r="CD6625" s="34"/>
    </row>
    <row r="6626" spans="70:82" x14ac:dyDescent="0.15">
      <c r="BR6626" s="34"/>
      <c r="BV6626" s="34"/>
      <c r="BZ6626" s="34"/>
      <c r="CD6626" s="34"/>
    </row>
    <row r="6627" spans="70:82" x14ac:dyDescent="0.15">
      <c r="BR6627" s="34"/>
      <c r="BV6627" s="34"/>
      <c r="BZ6627" s="34"/>
      <c r="CD6627" s="34"/>
    </row>
    <row r="6628" spans="70:82" x14ac:dyDescent="0.15">
      <c r="BR6628" s="34"/>
      <c r="BV6628" s="34"/>
      <c r="BZ6628" s="34"/>
      <c r="CD6628" s="34"/>
    </row>
    <row r="6629" spans="70:82" x14ac:dyDescent="0.15">
      <c r="BR6629" s="34"/>
      <c r="BV6629" s="34"/>
      <c r="BZ6629" s="34"/>
      <c r="CD6629" s="34"/>
    </row>
    <row r="6630" spans="70:82" x14ac:dyDescent="0.15">
      <c r="BR6630" s="34"/>
      <c r="BV6630" s="34"/>
      <c r="BZ6630" s="34"/>
      <c r="CD6630" s="34"/>
    </row>
    <row r="6631" spans="70:82" x14ac:dyDescent="0.15">
      <c r="BR6631" s="34"/>
      <c r="BV6631" s="34"/>
      <c r="BZ6631" s="34"/>
      <c r="CD6631" s="34"/>
    </row>
    <row r="6632" spans="70:82" x14ac:dyDescent="0.15">
      <c r="BR6632" s="34"/>
      <c r="BV6632" s="34"/>
      <c r="BZ6632" s="34"/>
      <c r="CD6632" s="34"/>
    </row>
    <row r="6633" spans="70:82" x14ac:dyDescent="0.15">
      <c r="BR6633" s="34"/>
      <c r="BV6633" s="34"/>
      <c r="BZ6633" s="34"/>
      <c r="CD6633" s="34"/>
    </row>
    <row r="6634" spans="70:82" x14ac:dyDescent="0.15">
      <c r="BR6634" s="34"/>
      <c r="BV6634" s="34"/>
      <c r="BZ6634" s="34"/>
      <c r="CD6634" s="34"/>
    </row>
    <row r="6635" spans="70:82" x14ac:dyDescent="0.15">
      <c r="BR6635" s="34"/>
      <c r="BV6635" s="34"/>
      <c r="BZ6635" s="34"/>
      <c r="CD6635" s="34"/>
    </row>
    <row r="6636" spans="70:82" x14ac:dyDescent="0.15">
      <c r="BR6636" s="34"/>
      <c r="BV6636" s="34"/>
      <c r="BZ6636" s="34"/>
      <c r="CD6636" s="34"/>
    </row>
    <row r="6637" spans="70:82" x14ac:dyDescent="0.15">
      <c r="BR6637" s="34"/>
      <c r="BV6637" s="34"/>
      <c r="BZ6637" s="34"/>
      <c r="CD6637" s="34"/>
    </row>
    <row r="6638" spans="70:82" x14ac:dyDescent="0.15">
      <c r="BR6638" s="34"/>
      <c r="BV6638" s="34"/>
      <c r="BZ6638" s="34"/>
      <c r="CD6638" s="34"/>
    </row>
    <row r="6639" spans="70:82" x14ac:dyDescent="0.15">
      <c r="BR6639" s="34"/>
      <c r="BV6639" s="34"/>
      <c r="BZ6639" s="34"/>
      <c r="CD6639" s="34"/>
    </row>
    <row r="6640" spans="70:82" x14ac:dyDescent="0.15">
      <c r="BR6640" s="34"/>
      <c r="BV6640" s="34"/>
      <c r="BZ6640" s="34"/>
      <c r="CD6640" s="34"/>
    </row>
    <row r="6641" spans="70:82" x14ac:dyDescent="0.15">
      <c r="BR6641" s="34"/>
      <c r="BV6641" s="34"/>
      <c r="BZ6641" s="34"/>
      <c r="CD6641" s="34"/>
    </row>
    <row r="6642" spans="70:82" x14ac:dyDescent="0.15">
      <c r="BR6642" s="34"/>
      <c r="BV6642" s="34"/>
      <c r="BZ6642" s="34"/>
      <c r="CD6642" s="34"/>
    </row>
    <row r="6643" spans="70:82" x14ac:dyDescent="0.15">
      <c r="BR6643" s="34"/>
      <c r="BV6643" s="34"/>
      <c r="BZ6643" s="34"/>
      <c r="CD6643" s="34"/>
    </row>
    <row r="6644" spans="70:82" x14ac:dyDescent="0.15">
      <c r="BR6644" s="34"/>
      <c r="BV6644" s="34"/>
      <c r="BZ6644" s="34"/>
      <c r="CD6644" s="34"/>
    </row>
    <row r="6645" spans="70:82" x14ac:dyDescent="0.15">
      <c r="BR6645" s="34"/>
      <c r="BV6645" s="34"/>
      <c r="BZ6645" s="34"/>
      <c r="CD6645" s="34"/>
    </row>
    <row r="6646" spans="70:82" x14ac:dyDescent="0.15">
      <c r="BR6646" s="34"/>
      <c r="BV6646" s="34"/>
      <c r="BZ6646" s="34"/>
      <c r="CD6646" s="34"/>
    </row>
    <row r="6647" spans="70:82" x14ac:dyDescent="0.15">
      <c r="BR6647" s="34"/>
      <c r="BV6647" s="34"/>
      <c r="BZ6647" s="34"/>
      <c r="CD6647" s="34"/>
    </row>
    <row r="6648" spans="70:82" x14ac:dyDescent="0.15">
      <c r="BR6648" s="34"/>
      <c r="BV6648" s="34"/>
      <c r="BZ6648" s="34"/>
      <c r="CD6648" s="34"/>
    </row>
    <row r="6649" spans="70:82" x14ac:dyDescent="0.15">
      <c r="BR6649" s="34"/>
      <c r="BV6649" s="34"/>
      <c r="BZ6649" s="34"/>
      <c r="CD6649" s="34"/>
    </row>
    <row r="6650" spans="70:82" x14ac:dyDescent="0.15">
      <c r="BR6650" s="34"/>
      <c r="BV6650" s="34"/>
      <c r="BZ6650" s="34"/>
      <c r="CD6650" s="34"/>
    </row>
    <row r="6651" spans="70:82" x14ac:dyDescent="0.15">
      <c r="BR6651" s="34"/>
      <c r="BV6651" s="34"/>
      <c r="BZ6651" s="34"/>
      <c r="CD6651" s="34"/>
    </row>
    <row r="6652" spans="70:82" x14ac:dyDescent="0.15">
      <c r="BR6652" s="34"/>
      <c r="BV6652" s="34"/>
      <c r="BZ6652" s="34"/>
      <c r="CD6652" s="34"/>
    </row>
    <row r="6653" spans="70:82" x14ac:dyDescent="0.15">
      <c r="BR6653" s="34"/>
      <c r="BV6653" s="34"/>
      <c r="BZ6653" s="34"/>
      <c r="CD6653" s="34"/>
    </row>
    <row r="6654" spans="70:82" x14ac:dyDescent="0.15">
      <c r="BR6654" s="34"/>
      <c r="BV6654" s="34"/>
      <c r="BZ6654" s="34"/>
      <c r="CD6654" s="34"/>
    </row>
    <row r="6655" spans="70:82" x14ac:dyDescent="0.15">
      <c r="BR6655" s="34"/>
      <c r="BV6655" s="34"/>
      <c r="BZ6655" s="34"/>
      <c r="CD6655" s="34"/>
    </row>
    <row r="6656" spans="70:82" x14ac:dyDescent="0.15">
      <c r="BR6656" s="34"/>
      <c r="BV6656" s="34"/>
      <c r="BZ6656" s="34"/>
      <c r="CD6656" s="34"/>
    </row>
    <row r="6657" spans="70:82" x14ac:dyDescent="0.15">
      <c r="BR6657" s="34"/>
      <c r="BV6657" s="34"/>
      <c r="BZ6657" s="34"/>
      <c r="CD6657" s="34"/>
    </row>
    <row r="6658" spans="70:82" x14ac:dyDescent="0.15">
      <c r="BR6658" s="34"/>
      <c r="BV6658" s="34"/>
      <c r="BZ6658" s="34"/>
      <c r="CD6658" s="34"/>
    </row>
    <row r="6659" spans="70:82" x14ac:dyDescent="0.15">
      <c r="BR6659" s="34"/>
      <c r="BV6659" s="34"/>
      <c r="BZ6659" s="34"/>
      <c r="CD6659" s="34"/>
    </row>
    <row r="6660" spans="70:82" x14ac:dyDescent="0.15">
      <c r="BR6660" s="34"/>
      <c r="BV6660" s="34"/>
      <c r="BZ6660" s="34"/>
      <c r="CD6660" s="34"/>
    </row>
    <row r="6661" spans="70:82" x14ac:dyDescent="0.15">
      <c r="BR6661" s="34"/>
      <c r="BV6661" s="34"/>
      <c r="BZ6661" s="34"/>
      <c r="CD6661" s="34"/>
    </row>
    <row r="6662" spans="70:82" x14ac:dyDescent="0.15">
      <c r="BR6662" s="34"/>
      <c r="BV6662" s="34"/>
      <c r="BZ6662" s="34"/>
      <c r="CD6662" s="34"/>
    </row>
    <row r="6663" spans="70:82" x14ac:dyDescent="0.15">
      <c r="BR6663" s="34"/>
      <c r="BV6663" s="34"/>
      <c r="BZ6663" s="34"/>
      <c r="CD6663" s="34"/>
    </row>
    <row r="6664" spans="70:82" x14ac:dyDescent="0.15">
      <c r="BR6664" s="34"/>
      <c r="BV6664" s="34"/>
      <c r="BZ6664" s="34"/>
      <c r="CD6664" s="34"/>
    </row>
    <row r="6665" spans="70:82" x14ac:dyDescent="0.15">
      <c r="BR6665" s="34"/>
      <c r="BV6665" s="34"/>
      <c r="BZ6665" s="34"/>
      <c r="CD6665" s="34"/>
    </row>
    <row r="6666" spans="70:82" x14ac:dyDescent="0.15">
      <c r="BR6666" s="34"/>
      <c r="BV6666" s="34"/>
      <c r="BZ6666" s="34"/>
      <c r="CD6666" s="34"/>
    </row>
    <row r="6667" spans="70:82" x14ac:dyDescent="0.15">
      <c r="BR6667" s="34"/>
      <c r="BV6667" s="34"/>
      <c r="BZ6667" s="34"/>
      <c r="CD6667" s="34"/>
    </row>
    <row r="6668" spans="70:82" x14ac:dyDescent="0.15">
      <c r="BR6668" s="34"/>
      <c r="BV6668" s="34"/>
      <c r="BZ6668" s="34"/>
      <c r="CD6668" s="34"/>
    </row>
    <row r="6669" spans="70:82" x14ac:dyDescent="0.15">
      <c r="BR6669" s="34"/>
      <c r="BV6669" s="34"/>
      <c r="BZ6669" s="34"/>
      <c r="CD6669" s="34"/>
    </row>
    <row r="6670" spans="70:82" x14ac:dyDescent="0.15">
      <c r="BR6670" s="34"/>
      <c r="BV6670" s="34"/>
      <c r="BZ6670" s="34"/>
      <c r="CD6670" s="34"/>
    </row>
    <row r="6671" spans="70:82" x14ac:dyDescent="0.15">
      <c r="BR6671" s="34"/>
      <c r="BV6671" s="34"/>
      <c r="BZ6671" s="34"/>
      <c r="CD6671" s="34"/>
    </row>
    <row r="6672" spans="70:82" x14ac:dyDescent="0.15">
      <c r="BR6672" s="34"/>
      <c r="BV6672" s="34"/>
      <c r="BZ6672" s="34"/>
      <c r="CD6672" s="34"/>
    </row>
    <row r="6673" spans="70:82" x14ac:dyDescent="0.15">
      <c r="BR6673" s="34"/>
      <c r="BV6673" s="34"/>
      <c r="BZ6673" s="34"/>
      <c r="CD6673" s="34"/>
    </row>
    <row r="6674" spans="70:82" x14ac:dyDescent="0.15">
      <c r="BR6674" s="34"/>
      <c r="BV6674" s="34"/>
      <c r="BZ6674" s="34"/>
      <c r="CD6674" s="34"/>
    </row>
    <row r="6675" spans="70:82" x14ac:dyDescent="0.15">
      <c r="BR6675" s="34"/>
      <c r="BV6675" s="34"/>
      <c r="BZ6675" s="34"/>
      <c r="CD6675" s="34"/>
    </row>
    <row r="6676" spans="70:82" x14ac:dyDescent="0.15">
      <c r="BR6676" s="34"/>
      <c r="BV6676" s="34"/>
      <c r="BZ6676" s="34"/>
      <c r="CD6676" s="34"/>
    </row>
    <row r="6677" spans="70:82" x14ac:dyDescent="0.15">
      <c r="BR6677" s="34"/>
      <c r="BV6677" s="34"/>
      <c r="BZ6677" s="34"/>
      <c r="CD6677" s="34"/>
    </row>
    <row r="6678" spans="70:82" x14ac:dyDescent="0.15">
      <c r="BR6678" s="34"/>
      <c r="BV6678" s="34"/>
      <c r="BZ6678" s="34"/>
      <c r="CD6678" s="34"/>
    </row>
    <row r="6679" spans="70:82" x14ac:dyDescent="0.15">
      <c r="BR6679" s="34"/>
      <c r="BV6679" s="34"/>
      <c r="BZ6679" s="34"/>
      <c r="CD6679" s="34"/>
    </row>
    <row r="6680" spans="70:82" x14ac:dyDescent="0.15">
      <c r="BR6680" s="34"/>
      <c r="BV6680" s="34"/>
      <c r="BZ6680" s="34"/>
      <c r="CD6680" s="34"/>
    </row>
    <row r="6681" spans="70:82" x14ac:dyDescent="0.15">
      <c r="BR6681" s="34"/>
      <c r="BV6681" s="34"/>
      <c r="BZ6681" s="34"/>
      <c r="CD6681" s="34"/>
    </row>
    <row r="6682" spans="70:82" x14ac:dyDescent="0.15">
      <c r="BR6682" s="34"/>
      <c r="BV6682" s="34"/>
      <c r="BZ6682" s="34"/>
      <c r="CD6682" s="34"/>
    </row>
    <row r="6683" spans="70:82" x14ac:dyDescent="0.15">
      <c r="BR6683" s="34"/>
      <c r="BV6683" s="34"/>
      <c r="BZ6683" s="34"/>
      <c r="CD6683" s="34"/>
    </row>
    <row r="6684" spans="70:82" x14ac:dyDescent="0.15">
      <c r="BR6684" s="34"/>
      <c r="BV6684" s="34"/>
      <c r="BZ6684" s="34"/>
      <c r="CD6684" s="34"/>
    </row>
    <row r="6685" spans="70:82" x14ac:dyDescent="0.15">
      <c r="BR6685" s="34"/>
      <c r="BV6685" s="34"/>
      <c r="BZ6685" s="34"/>
      <c r="CD6685" s="34"/>
    </row>
    <row r="6686" spans="70:82" x14ac:dyDescent="0.15">
      <c r="BR6686" s="34"/>
      <c r="BV6686" s="34"/>
      <c r="BZ6686" s="34"/>
      <c r="CD6686" s="34"/>
    </row>
    <row r="6687" spans="70:82" x14ac:dyDescent="0.15">
      <c r="BR6687" s="34"/>
      <c r="BV6687" s="34"/>
      <c r="BZ6687" s="34"/>
      <c r="CD6687" s="34"/>
    </row>
    <row r="6688" spans="70:82" x14ac:dyDescent="0.15">
      <c r="BR6688" s="34"/>
      <c r="BV6688" s="34"/>
      <c r="BZ6688" s="34"/>
      <c r="CD6688" s="34"/>
    </row>
    <row r="6689" spans="70:82" x14ac:dyDescent="0.15">
      <c r="BR6689" s="34"/>
      <c r="BV6689" s="34"/>
      <c r="BZ6689" s="34"/>
      <c r="CD6689" s="34"/>
    </row>
    <row r="6690" spans="70:82" x14ac:dyDescent="0.15">
      <c r="BR6690" s="34"/>
      <c r="BV6690" s="34"/>
      <c r="BZ6690" s="34"/>
      <c r="CD6690" s="34"/>
    </row>
    <row r="6691" spans="70:82" x14ac:dyDescent="0.15">
      <c r="BR6691" s="34"/>
      <c r="BV6691" s="34"/>
      <c r="BZ6691" s="34"/>
      <c r="CD6691" s="34"/>
    </row>
    <row r="6692" spans="70:82" x14ac:dyDescent="0.15">
      <c r="BR6692" s="34"/>
      <c r="BV6692" s="34"/>
      <c r="BZ6692" s="34"/>
      <c r="CD6692" s="34"/>
    </row>
    <row r="6693" spans="70:82" x14ac:dyDescent="0.15">
      <c r="BR6693" s="34"/>
      <c r="BV6693" s="34"/>
      <c r="BZ6693" s="34"/>
      <c r="CD6693" s="34"/>
    </row>
    <row r="6694" spans="70:82" x14ac:dyDescent="0.15">
      <c r="BR6694" s="34"/>
      <c r="BV6694" s="34"/>
      <c r="BZ6694" s="34"/>
      <c r="CD6694" s="34"/>
    </row>
    <row r="6695" spans="70:82" x14ac:dyDescent="0.15">
      <c r="BR6695" s="34"/>
      <c r="BV6695" s="34"/>
      <c r="BZ6695" s="34"/>
      <c r="CD6695" s="34"/>
    </row>
    <row r="6696" spans="70:82" x14ac:dyDescent="0.15">
      <c r="BR6696" s="34"/>
      <c r="BV6696" s="34"/>
      <c r="BZ6696" s="34"/>
      <c r="CD6696" s="34"/>
    </row>
    <row r="6697" spans="70:82" x14ac:dyDescent="0.15">
      <c r="BR6697" s="34"/>
      <c r="BV6697" s="34"/>
      <c r="BZ6697" s="34"/>
      <c r="CD6697" s="34"/>
    </row>
    <row r="6698" spans="70:82" x14ac:dyDescent="0.15">
      <c r="BR6698" s="34"/>
      <c r="BV6698" s="34"/>
      <c r="BZ6698" s="34"/>
      <c r="CD6698" s="34"/>
    </row>
    <row r="6699" spans="70:82" x14ac:dyDescent="0.15">
      <c r="BR6699" s="34"/>
      <c r="BV6699" s="34"/>
      <c r="BZ6699" s="34"/>
      <c r="CD6699" s="34"/>
    </row>
    <row r="6700" spans="70:82" x14ac:dyDescent="0.15">
      <c r="BR6700" s="34"/>
      <c r="BV6700" s="34"/>
      <c r="BZ6700" s="34"/>
      <c r="CD6700" s="34"/>
    </row>
    <row r="6701" spans="70:82" x14ac:dyDescent="0.15">
      <c r="BR6701" s="34"/>
      <c r="BV6701" s="34"/>
      <c r="BZ6701" s="34"/>
      <c r="CD6701" s="34"/>
    </row>
    <row r="6702" spans="70:82" x14ac:dyDescent="0.15">
      <c r="BR6702" s="34"/>
      <c r="BV6702" s="34"/>
      <c r="BZ6702" s="34"/>
      <c r="CD6702" s="34"/>
    </row>
    <row r="6703" spans="70:82" x14ac:dyDescent="0.15">
      <c r="BR6703" s="34"/>
      <c r="BV6703" s="34"/>
      <c r="BZ6703" s="34"/>
      <c r="CD6703" s="34"/>
    </row>
    <row r="6704" spans="70:82" x14ac:dyDescent="0.15">
      <c r="BR6704" s="34"/>
      <c r="BV6704" s="34"/>
      <c r="BZ6704" s="34"/>
      <c r="CD6704" s="34"/>
    </row>
    <row r="6705" spans="70:82" x14ac:dyDescent="0.15">
      <c r="BR6705" s="34"/>
      <c r="BV6705" s="34"/>
      <c r="BZ6705" s="34"/>
      <c r="CD6705" s="34"/>
    </row>
    <row r="6706" spans="70:82" x14ac:dyDescent="0.15">
      <c r="BR6706" s="34"/>
      <c r="BV6706" s="34"/>
      <c r="BZ6706" s="34"/>
      <c r="CD6706" s="34"/>
    </row>
    <row r="6707" spans="70:82" x14ac:dyDescent="0.15">
      <c r="BR6707" s="34"/>
      <c r="BV6707" s="34"/>
      <c r="BZ6707" s="34"/>
      <c r="CD6707" s="34"/>
    </row>
    <row r="6708" spans="70:82" x14ac:dyDescent="0.15">
      <c r="BR6708" s="34"/>
      <c r="BV6708" s="34"/>
      <c r="BZ6708" s="34"/>
      <c r="CD6708" s="34"/>
    </row>
    <row r="6709" spans="70:82" x14ac:dyDescent="0.15">
      <c r="BR6709" s="34"/>
      <c r="BV6709" s="34"/>
      <c r="BZ6709" s="34"/>
      <c r="CD6709" s="34"/>
    </row>
    <row r="6710" spans="70:82" x14ac:dyDescent="0.15">
      <c r="BR6710" s="34"/>
      <c r="BV6710" s="34"/>
      <c r="BZ6710" s="34"/>
      <c r="CD6710" s="34"/>
    </row>
    <row r="6711" spans="70:82" x14ac:dyDescent="0.15">
      <c r="BR6711" s="34"/>
      <c r="BV6711" s="34"/>
      <c r="BZ6711" s="34"/>
      <c r="CD6711" s="34"/>
    </row>
    <row r="6712" spans="70:82" x14ac:dyDescent="0.15">
      <c r="BR6712" s="34"/>
      <c r="BV6712" s="34"/>
      <c r="BZ6712" s="34"/>
      <c r="CD6712" s="34"/>
    </row>
    <row r="6713" spans="70:82" x14ac:dyDescent="0.15">
      <c r="BR6713" s="34"/>
      <c r="BV6713" s="34"/>
      <c r="BZ6713" s="34"/>
      <c r="CD6713" s="34"/>
    </row>
    <row r="6714" spans="70:82" x14ac:dyDescent="0.15">
      <c r="BR6714" s="34"/>
      <c r="BV6714" s="34"/>
      <c r="BZ6714" s="34"/>
      <c r="CD6714" s="34"/>
    </row>
    <row r="6715" spans="70:82" x14ac:dyDescent="0.15">
      <c r="BR6715" s="34"/>
      <c r="BV6715" s="34"/>
      <c r="BZ6715" s="34"/>
      <c r="CD6715" s="34"/>
    </row>
    <row r="6716" spans="70:82" x14ac:dyDescent="0.15">
      <c r="BR6716" s="34"/>
      <c r="BV6716" s="34"/>
      <c r="BZ6716" s="34"/>
      <c r="CD6716" s="34"/>
    </row>
    <row r="6717" spans="70:82" x14ac:dyDescent="0.15">
      <c r="BR6717" s="34"/>
      <c r="BV6717" s="34"/>
      <c r="BZ6717" s="34"/>
      <c r="CD6717" s="34"/>
    </row>
    <row r="6718" spans="70:82" x14ac:dyDescent="0.15">
      <c r="BR6718" s="34"/>
      <c r="BV6718" s="34"/>
      <c r="BZ6718" s="34"/>
      <c r="CD6718" s="34"/>
    </row>
    <row r="6719" spans="70:82" x14ac:dyDescent="0.15">
      <c r="BR6719" s="34"/>
      <c r="BV6719" s="34"/>
      <c r="BZ6719" s="34"/>
      <c r="CD6719" s="34"/>
    </row>
    <row r="6720" spans="70:82" x14ac:dyDescent="0.15">
      <c r="BR6720" s="34"/>
      <c r="BV6720" s="34"/>
      <c r="BZ6720" s="34"/>
      <c r="CD6720" s="34"/>
    </row>
    <row r="6721" spans="70:82" x14ac:dyDescent="0.15">
      <c r="BR6721" s="34"/>
      <c r="BV6721" s="34"/>
      <c r="BZ6721" s="34"/>
      <c r="CD6721" s="34"/>
    </row>
    <row r="6722" spans="70:82" x14ac:dyDescent="0.15">
      <c r="BR6722" s="34"/>
      <c r="BV6722" s="34"/>
      <c r="BZ6722" s="34"/>
      <c r="CD6722" s="34"/>
    </row>
    <row r="6723" spans="70:82" x14ac:dyDescent="0.15">
      <c r="BR6723" s="34"/>
      <c r="BV6723" s="34"/>
      <c r="BZ6723" s="34"/>
      <c r="CD6723" s="34"/>
    </row>
    <row r="6724" spans="70:82" x14ac:dyDescent="0.15">
      <c r="BR6724" s="34"/>
      <c r="BV6724" s="34"/>
      <c r="BZ6724" s="34"/>
      <c r="CD6724" s="34"/>
    </row>
    <row r="6725" spans="70:82" x14ac:dyDescent="0.15">
      <c r="BR6725" s="34"/>
      <c r="BV6725" s="34"/>
      <c r="BZ6725" s="34"/>
      <c r="CD6725" s="34"/>
    </row>
    <row r="6726" spans="70:82" x14ac:dyDescent="0.15">
      <c r="BR6726" s="34"/>
      <c r="BV6726" s="34"/>
      <c r="BZ6726" s="34"/>
      <c r="CD6726" s="34"/>
    </row>
    <row r="6727" spans="70:82" x14ac:dyDescent="0.15">
      <c r="BR6727" s="34"/>
      <c r="BV6727" s="34"/>
      <c r="BZ6727" s="34"/>
      <c r="CD6727" s="34"/>
    </row>
    <row r="6728" spans="70:82" x14ac:dyDescent="0.15">
      <c r="BR6728" s="34"/>
      <c r="BV6728" s="34"/>
      <c r="BZ6728" s="34"/>
      <c r="CD6728" s="34"/>
    </row>
    <row r="6729" spans="70:82" x14ac:dyDescent="0.15">
      <c r="BR6729" s="34"/>
      <c r="BV6729" s="34"/>
      <c r="BZ6729" s="34"/>
      <c r="CD6729" s="34"/>
    </row>
    <row r="6730" spans="70:82" x14ac:dyDescent="0.15">
      <c r="BR6730" s="34"/>
      <c r="BV6730" s="34"/>
      <c r="BZ6730" s="34"/>
      <c r="CD6730" s="34"/>
    </row>
    <row r="6731" spans="70:82" x14ac:dyDescent="0.15">
      <c r="BR6731" s="34"/>
      <c r="BV6731" s="34"/>
      <c r="BZ6731" s="34"/>
      <c r="CD6731" s="34"/>
    </row>
    <row r="6732" spans="70:82" x14ac:dyDescent="0.15">
      <c r="BR6732" s="34"/>
      <c r="BV6732" s="34"/>
      <c r="BZ6732" s="34"/>
      <c r="CD6732" s="34"/>
    </row>
    <row r="6733" spans="70:82" x14ac:dyDescent="0.15">
      <c r="BR6733" s="34"/>
      <c r="BV6733" s="34"/>
      <c r="BZ6733" s="34"/>
      <c r="CD6733" s="34"/>
    </row>
    <row r="6734" spans="70:82" x14ac:dyDescent="0.15">
      <c r="BR6734" s="34"/>
      <c r="BV6734" s="34"/>
      <c r="BZ6734" s="34"/>
      <c r="CD6734" s="34"/>
    </row>
    <row r="6735" spans="70:82" x14ac:dyDescent="0.15">
      <c r="BR6735" s="34"/>
      <c r="BV6735" s="34"/>
      <c r="BZ6735" s="34"/>
      <c r="CD6735" s="34"/>
    </row>
    <row r="6736" spans="70:82" x14ac:dyDescent="0.15">
      <c r="BR6736" s="34"/>
      <c r="BV6736" s="34"/>
      <c r="BZ6736" s="34"/>
      <c r="CD6736" s="34"/>
    </row>
    <row r="6737" spans="70:82" x14ac:dyDescent="0.15">
      <c r="BR6737" s="34"/>
      <c r="BV6737" s="34"/>
      <c r="BZ6737" s="34"/>
      <c r="CD6737" s="34"/>
    </row>
    <row r="6738" spans="70:82" x14ac:dyDescent="0.15">
      <c r="BR6738" s="34"/>
      <c r="BV6738" s="34"/>
      <c r="BZ6738" s="34"/>
      <c r="CD6738" s="34"/>
    </row>
    <row r="6739" spans="70:82" x14ac:dyDescent="0.15">
      <c r="BR6739" s="34"/>
      <c r="BV6739" s="34"/>
      <c r="BZ6739" s="34"/>
      <c r="CD6739" s="34"/>
    </row>
    <row r="6740" spans="70:82" x14ac:dyDescent="0.15">
      <c r="BR6740" s="34"/>
      <c r="BV6740" s="34"/>
      <c r="BZ6740" s="34"/>
      <c r="CD6740" s="34"/>
    </row>
    <row r="6741" spans="70:82" x14ac:dyDescent="0.15">
      <c r="BR6741" s="34"/>
      <c r="BV6741" s="34"/>
      <c r="BZ6741" s="34"/>
      <c r="CD6741" s="34"/>
    </row>
    <row r="6742" spans="70:82" x14ac:dyDescent="0.15">
      <c r="BR6742" s="34"/>
      <c r="BV6742" s="34"/>
      <c r="BZ6742" s="34"/>
      <c r="CD6742" s="34"/>
    </row>
    <row r="6743" spans="70:82" x14ac:dyDescent="0.15">
      <c r="BR6743" s="34"/>
      <c r="BV6743" s="34"/>
      <c r="BZ6743" s="34"/>
      <c r="CD6743" s="34"/>
    </row>
    <row r="6744" spans="70:82" x14ac:dyDescent="0.15">
      <c r="BR6744" s="34"/>
      <c r="BV6744" s="34"/>
      <c r="BZ6744" s="34"/>
      <c r="CD6744" s="34"/>
    </row>
    <row r="6745" spans="70:82" x14ac:dyDescent="0.15">
      <c r="BR6745" s="34"/>
      <c r="BV6745" s="34"/>
      <c r="BZ6745" s="34"/>
      <c r="CD6745" s="34"/>
    </row>
    <row r="6746" spans="70:82" x14ac:dyDescent="0.15">
      <c r="BR6746" s="34"/>
      <c r="BV6746" s="34"/>
      <c r="BZ6746" s="34"/>
      <c r="CD6746" s="34"/>
    </row>
    <row r="6747" spans="70:82" x14ac:dyDescent="0.15">
      <c r="BR6747" s="34"/>
      <c r="BV6747" s="34"/>
      <c r="BZ6747" s="34"/>
      <c r="CD6747" s="34"/>
    </row>
    <row r="6748" spans="70:82" x14ac:dyDescent="0.15">
      <c r="BR6748" s="34"/>
      <c r="BV6748" s="34"/>
      <c r="BZ6748" s="34"/>
      <c r="CD6748" s="34"/>
    </row>
    <row r="6749" spans="70:82" x14ac:dyDescent="0.15">
      <c r="BR6749" s="34"/>
      <c r="BV6749" s="34"/>
      <c r="BZ6749" s="34"/>
      <c r="CD6749" s="34"/>
    </row>
    <row r="6750" spans="70:82" x14ac:dyDescent="0.15">
      <c r="BR6750" s="34"/>
      <c r="BV6750" s="34"/>
      <c r="BZ6750" s="34"/>
      <c r="CD6750" s="34"/>
    </row>
    <row r="6751" spans="70:82" x14ac:dyDescent="0.15">
      <c r="BR6751" s="34"/>
      <c r="BV6751" s="34"/>
      <c r="BZ6751" s="34"/>
      <c r="CD6751" s="34"/>
    </row>
    <row r="6752" spans="70:82" x14ac:dyDescent="0.15">
      <c r="BR6752" s="34"/>
      <c r="BV6752" s="34"/>
      <c r="BZ6752" s="34"/>
      <c r="CD6752" s="34"/>
    </row>
    <row r="6753" spans="70:82" x14ac:dyDescent="0.15">
      <c r="BR6753" s="34"/>
      <c r="BV6753" s="34"/>
      <c r="BZ6753" s="34"/>
      <c r="CD6753" s="34"/>
    </row>
    <row r="6754" spans="70:82" x14ac:dyDescent="0.15">
      <c r="BR6754" s="34"/>
      <c r="BV6754" s="34"/>
      <c r="BZ6754" s="34"/>
      <c r="CD6754" s="34"/>
    </row>
    <row r="6755" spans="70:82" x14ac:dyDescent="0.15">
      <c r="BR6755" s="34"/>
      <c r="BV6755" s="34"/>
      <c r="BZ6755" s="34"/>
      <c r="CD6755" s="34"/>
    </row>
    <row r="6756" spans="70:82" x14ac:dyDescent="0.15">
      <c r="BR6756" s="34"/>
      <c r="BV6756" s="34"/>
      <c r="BZ6756" s="34"/>
      <c r="CD6756" s="34"/>
    </row>
    <row r="6757" spans="70:82" x14ac:dyDescent="0.15">
      <c r="BR6757" s="34"/>
      <c r="BV6757" s="34"/>
      <c r="BZ6757" s="34"/>
      <c r="CD6757" s="34"/>
    </row>
    <row r="6758" spans="70:82" x14ac:dyDescent="0.15">
      <c r="BR6758" s="34"/>
      <c r="BV6758" s="34"/>
      <c r="BZ6758" s="34"/>
      <c r="CD6758" s="34"/>
    </row>
    <row r="6759" spans="70:82" x14ac:dyDescent="0.15">
      <c r="BR6759" s="34"/>
      <c r="BV6759" s="34"/>
      <c r="BZ6759" s="34"/>
      <c r="CD6759" s="34"/>
    </row>
    <row r="6760" spans="70:82" x14ac:dyDescent="0.15">
      <c r="BR6760" s="34"/>
      <c r="BV6760" s="34"/>
      <c r="BZ6760" s="34"/>
      <c r="CD6760" s="34"/>
    </row>
    <row r="6761" spans="70:82" x14ac:dyDescent="0.15">
      <c r="BR6761" s="34"/>
      <c r="BV6761" s="34"/>
      <c r="BZ6761" s="34"/>
      <c r="CD6761" s="34"/>
    </row>
    <row r="6762" spans="70:82" x14ac:dyDescent="0.15">
      <c r="BR6762" s="34"/>
      <c r="BV6762" s="34"/>
      <c r="BZ6762" s="34"/>
      <c r="CD6762" s="34"/>
    </row>
    <row r="6763" spans="70:82" x14ac:dyDescent="0.15">
      <c r="BR6763" s="34"/>
      <c r="BV6763" s="34"/>
      <c r="BZ6763" s="34"/>
      <c r="CD6763" s="34"/>
    </row>
    <row r="6764" spans="70:82" x14ac:dyDescent="0.15">
      <c r="BR6764" s="34"/>
      <c r="BV6764" s="34"/>
      <c r="BZ6764" s="34"/>
      <c r="CD6764" s="34"/>
    </row>
    <row r="6765" spans="70:82" x14ac:dyDescent="0.15">
      <c r="BR6765" s="34"/>
      <c r="BV6765" s="34"/>
      <c r="BZ6765" s="34"/>
      <c r="CD6765" s="34"/>
    </row>
    <row r="6766" spans="70:82" x14ac:dyDescent="0.15">
      <c r="BR6766" s="34"/>
      <c r="BV6766" s="34"/>
      <c r="BZ6766" s="34"/>
      <c r="CD6766" s="34"/>
    </row>
    <row r="6767" spans="70:82" x14ac:dyDescent="0.15">
      <c r="BR6767" s="34"/>
      <c r="BV6767" s="34"/>
      <c r="BZ6767" s="34"/>
      <c r="CD6767" s="34"/>
    </row>
    <row r="6768" spans="70:82" x14ac:dyDescent="0.15">
      <c r="BR6768" s="34"/>
      <c r="BV6768" s="34"/>
      <c r="BZ6768" s="34"/>
      <c r="CD6768" s="34"/>
    </row>
    <row r="6769" spans="70:82" x14ac:dyDescent="0.15">
      <c r="BR6769" s="34"/>
      <c r="BV6769" s="34"/>
      <c r="BZ6769" s="34"/>
      <c r="CD6769" s="34"/>
    </row>
    <row r="6770" spans="70:82" x14ac:dyDescent="0.15">
      <c r="BR6770" s="34"/>
      <c r="BV6770" s="34"/>
      <c r="BZ6770" s="34"/>
      <c r="CD6770" s="34"/>
    </row>
    <row r="6771" spans="70:82" x14ac:dyDescent="0.15">
      <c r="BR6771" s="34"/>
      <c r="BV6771" s="34"/>
      <c r="BZ6771" s="34"/>
      <c r="CD6771" s="34"/>
    </row>
    <row r="6772" spans="70:82" x14ac:dyDescent="0.15">
      <c r="BR6772" s="34"/>
      <c r="BV6772" s="34"/>
      <c r="BZ6772" s="34"/>
      <c r="CD6772" s="34"/>
    </row>
    <row r="6773" spans="70:82" x14ac:dyDescent="0.15">
      <c r="BR6773" s="34"/>
      <c r="BV6773" s="34"/>
      <c r="BZ6773" s="34"/>
      <c r="CD6773" s="34"/>
    </row>
    <row r="6774" spans="70:82" x14ac:dyDescent="0.15">
      <c r="BR6774" s="34"/>
      <c r="BV6774" s="34"/>
      <c r="BZ6774" s="34"/>
      <c r="CD6774" s="34"/>
    </row>
    <row r="6775" spans="70:82" x14ac:dyDescent="0.15">
      <c r="BR6775" s="34"/>
      <c r="BV6775" s="34"/>
      <c r="BZ6775" s="34"/>
      <c r="CD6775" s="34"/>
    </row>
    <row r="6776" spans="70:82" x14ac:dyDescent="0.15">
      <c r="BR6776" s="34"/>
      <c r="BV6776" s="34"/>
      <c r="BZ6776" s="34"/>
      <c r="CD6776" s="34"/>
    </row>
    <row r="6777" spans="70:82" x14ac:dyDescent="0.15">
      <c r="BR6777" s="34"/>
      <c r="BV6777" s="34"/>
      <c r="BZ6777" s="34"/>
      <c r="CD6777" s="34"/>
    </row>
    <row r="6778" spans="70:82" x14ac:dyDescent="0.15">
      <c r="BR6778" s="34"/>
      <c r="BV6778" s="34"/>
      <c r="BZ6778" s="34"/>
      <c r="CD6778" s="34"/>
    </row>
    <row r="6779" spans="70:82" x14ac:dyDescent="0.15">
      <c r="BR6779" s="34"/>
      <c r="BV6779" s="34"/>
      <c r="BZ6779" s="34"/>
      <c r="CD6779" s="34"/>
    </row>
    <row r="6780" spans="70:82" x14ac:dyDescent="0.15">
      <c r="BR6780" s="34"/>
      <c r="BV6780" s="34"/>
      <c r="BZ6780" s="34"/>
      <c r="CD6780" s="34"/>
    </row>
    <row r="6781" spans="70:82" x14ac:dyDescent="0.15">
      <c r="BR6781" s="34"/>
      <c r="BV6781" s="34"/>
      <c r="BZ6781" s="34"/>
      <c r="CD6781" s="34"/>
    </row>
    <row r="6782" spans="70:82" x14ac:dyDescent="0.15">
      <c r="BR6782" s="34"/>
      <c r="BV6782" s="34"/>
      <c r="BZ6782" s="34"/>
      <c r="CD6782" s="34"/>
    </row>
    <row r="6783" spans="70:82" x14ac:dyDescent="0.15">
      <c r="BR6783" s="34"/>
      <c r="BV6783" s="34"/>
      <c r="BZ6783" s="34"/>
      <c r="CD6783" s="34"/>
    </row>
    <row r="6784" spans="70:82" x14ac:dyDescent="0.15">
      <c r="BR6784" s="34"/>
      <c r="BV6784" s="34"/>
      <c r="BZ6784" s="34"/>
      <c r="CD6784" s="34"/>
    </row>
    <row r="6785" spans="70:82" x14ac:dyDescent="0.15">
      <c r="BR6785" s="34"/>
      <c r="BV6785" s="34"/>
      <c r="BZ6785" s="34"/>
      <c r="CD6785" s="34"/>
    </row>
    <row r="6786" spans="70:82" x14ac:dyDescent="0.15">
      <c r="BR6786" s="34"/>
      <c r="BV6786" s="34"/>
      <c r="BZ6786" s="34"/>
      <c r="CD6786" s="34"/>
    </row>
    <row r="6787" spans="70:82" x14ac:dyDescent="0.15">
      <c r="BR6787" s="34"/>
      <c r="BV6787" s="34"/>
      <c r="BZ6787" s="34"/>
      <c r="CD6787" s="34"/>
    </row>
    <row r="6788" spans="70:82" x14ac:dyDescent="0.15">
      <c r="BR6788" s="34"/>
      <c r="BV6788" s="34"/>
      <c r="BZ6788" s="34"/>
      <c r="CD6788" s="34"/>
    </row>
    <row r="6789" spans="70:82" x14ac:dyDescent="0.15">
      <c r="BR6789" s="34"/>
      <c r="BV6789" s="34"/>
      <c r="BZ6789" s="34"/>
      <c r="CD6789" s="34"/>
    </row>
    <row r="6790" spans="70:82" x14ac:dyDescent="0.15">
      <c r="BR6790" s="34"/>
      <c r="BV6790" s="34"/>
      <c r="BZ6790" s="34"/>
      <c r="CD6790" s="34"/>
    </row>
    <row r="6791" spans="70:82" x14ac:dyDescent="0.15">
      <c r="BR6791" s="34"/>
      <c r="BV6791" s="34"/>
      <c r="BZ6791" s="34"/>
      <c r="CD6791" s="34"/>
    </row>
    <row r="6792" spans="70:82" x14ac:dyDescent="0.15">
      <c r="BR6792" s="34"/>
      <c r="BV6792" s="34"/>
      <c r="BZ6792" s="34"/>
      <c r="CD6792" s="34"/>
    </row>
    <row r="6793" spans="70:82" x14ac:dyDescent="0.15">
      <c r="BR6793" s="34"/>
      <c r="BV6793" s="34"/>
      <c r="BZ6793" s="34"/>
      <c r="CD6793" s="34"/>
    </row>
    <row r="6794" spans="70:82" x14ac:dyDescent="0.15">
      <c r="BR6794" s="34"/>
      <c r="BV6794" s="34"/>
      <c r="BZ6794" s="34"/>
      <c r="CD6794" s="34"/>
    </row>
    <row r="6795" spans="70:82" x14ac:dyDescent="0.15">
      <c r="BR6795" s="34"/>
      <c r="BV6795" s="34"/>
      <c r="BZ6795" s="34"/>
      <c r="CD6795" s="34"/>
    </row>
    <row r="6796" spans="70:82" x14ac:dyDescent="0.15">
      <c r="BR6796" s="34"/>
      <c r="BV6796" s="34"/>
      <c r="BZ6796" s="34"/>
      <c r="CD6796" s="34"/>
    </row>
    <row r="6797" spans="70:82" x14ac:dyDescent="0.15">
      <c r="BR6797" s="34"/>
      <c r="BV6797" s="34"/>
      <c r="BZ6797" s="34"/>
      <c r="CD6797" s="34"/>
    </row>
    <row r="6798" spans="70:82" x14ac:dyDescent="0.15">
      <c r="BR6798" s="34"/>
      <c r="BV6798" s="34"/>
      <c r="BZ6798" s="34"/>
      <c r="CD6798" s="34"/>
    </row>
    <row r="6799" spans="70:82" x14ac:dyDescent="0.15">
      <c r="BR6799" s="34"/>
      <c r="BV6799" s="34"/>
      <c r="BZ6799" s="34"/>
      <c r="CD6799" s="34"/>
    </row>
    <row r="6800" spans="70:82" x14ac:dyDescent="0.15">
      <c r="BR6800" s="34"/>
      <c r="BV6800" s="34"/>
      <c r="BZ6800" s="34"/>
      <c r="CD6800" s="34"/>
    </row>
    <row r="6801" spans="70:82" x14ac:dyDescent="0.15">
      <c r="BR6801" s="34"/>
      <c r="BV6801" s="34"/>
      <c r="BZ6801" s="34"/>
      <c r="CD6801" s="34"/>
    </row>
    <row r="6802" spans="70:82" x14ac:dyDescent="0.15">
      <c r="BR6802" s="34"/>
      <c r="BV6802" s="34"/>
      <c r="BZ6802" s="34"/>
      <c r="CD6802" s="34"/>
    </row>
    <row r="6803" spans="70:82" x14ac:dyDescent="0.15">
      <c r="BR6803" s="34"/>
      <c r="BV6803" s="34"/>
      <c r="BZ6803" s="34"/>
      <c r="CD6803" s="34"/>
    </row>
    <row r="6804" spans="70:82" x14ac:dyDescent="0.15">
      <c r="BR6804" s="34"/>
      <c r="BV6804" s="34"/>
      <c r="BZ6804" s="34"/>
      <c r="CD6804" s="34"/>
    </row>
    <row r="6805" spans="70:82" x14ac:dyDescent="0.15">
      <c r="BR6805" s="34"/>
      <c r="BV6805" s="34"/>
      <c r="BZ6805" s="34"/>
      <c r="CD6805" s="34"/>
    </row>
    <row r="6806" spans="70:82" x14ac:dyDescent="0.15">
      <c r="BR6806" s="34"/>
      <c r="BV6806" s="34"/>
      <c r="BZ6806" s="34"/>
      <c r="CD6806" s="34"/>
    </row>
    <row r="6807" spans="70:82" x14ac:dyDescent="0.15">
      <c r="BR6807" s="34"/>
      <c r="BV6807" s="34"/>
      <c r="BZ6807" s="34"/>
      <c r="CD6807" s="34"/>
    </row>
    <row r="6808" spans="70:82" x14ac:dyDescent="0.15">
      <c r="BR6808" s="34"/>
      <c r="BV6808" s="34"/>
      <c r="BZ6808" s="34"/>
      <c r="CD6808" s="34"/>
    </row>
    <row r="6809" spans="70:82" x14ac:dyDescent="0.15">
      <c r="BR6809" s="34"/>
      <c r="BV6809" s="34"/>
      <c r="BZ6809" s="34"/>
      <c r="CD6809" s="34"/>
    </row>
    <row r="6810" spans="70:82" x14ac:dyDescent="0.15">
      <c r="BR6810" s="34"/>
      <c r="BV6810" s="34"/>
      <c r="BZ6810" s="34"/>
      <c r="CD6810" s="34"/>
    </row>
    <row r="6811" spans="70:82" x14ac:dyDescent="0.15">
      <c r="BR6811" s="34"/>
      <c r="BV6811" s="34"/>
      <c r="BZ6811" s="34"/>
      <c r="CD6811" s="34"/>
    </row>
    <row r="6812" spans="70:82" x14ac:dyDescent="0.15">
      <c r="BR6812" s="34"/>
      <c r="BV6812" s="34"/>
      <c r="BZ6812" s="34"/>
      <c r="CD6812" s="34"/>
    </row>
    <row r="6813" spans="70:82" x14ac:dyDescent="0.15">
      <c r="BR6813" s="34"/>
      <c r="BV6813" s="34"/>
      <c r="BZ6813" s="34"/>
      <c r="CD6813" s="34"/>
    </row>
    <row r="6814" spans="70:82" x14ac:dyDescent="0.15">
      <c r="BR6814" s="34"/>
      <c r="BV6814" s="34"/>
      <c r="BZ6814" s="34"/>
      <c r="CD6814" s="34"/>
    </row>
    <row r="6815" spans="70:82" x14ac:dyDescent="0.15">
      <c r="BR6815" s="34"/>
      <c r="BV6815" s="34"/>
      <c r="BZ6815" s="34"/>
      <c r="CD6815" s="34"/>
    </row>
    <row r="6816" spans="70:82" x14ac:dyDescent="0.15">
      <c r="BR6816" s="34"/>
      <c r="BV6816" s="34"/>
      <c r="BZ6816" s="34"/>
      <c r="CD6816" s="34"/>
    </row>
    <row r="6817" spans="70:82" x14ac:dyDescent="0.15">
      <c r="BR6817" s="34"/>
      <c r="BV6817" s="34"/>
      <c r="BZ6817" s="34"/>
      <c r="CD6817" s="34"/>
    </row>
    <row r="6818" spans="70:82" x14ac:dyDescent="0.15">
      <c r="BR6818" s="34"/>
      <c r="BV6818" s="34"/>
      <c r="BZ6818" s="34"/>
      <c r="CD6818" s="34"/>
    </row>
    <row r="6819" spans="70:82" x14ac:dyDescent="0.15">
      <c r="BR6819" s="34"/>
      <c r="BV6819" s="34"/>
      <c r="BZ6819" s="34"/>
      <c r="CD6819" s="34"/>
    </row>
    <row r="6820" spans="70:82" x14ac:dyDescent="0.15">
      <c r="BR6820" s="34"/>
      <c r="BV6820" s="34"/>
      <c r="BZ6820" s="34"/>
      <c r="CD6820" s="34"/>
    </row>
    <row r="6821" spans="70:82" x14ac:dyDescent="0.15">
      <c r="BR6821" s="34"/>
      <c r="BV6821" s="34"/>
      <c r="BZ6821" s="34"/>
      <c r="CD6821" s="34"/>
    </row>
    <row r="6822" spans="70:82" x14ac:dyDescent="0.15">
      <c r="BR6822" s="34"/>
      <c r="BV6822" s="34"/>
      <c r="BZ6822" s="34"/>
      <c r="CD6822" s="34"/>
    </row>
    <row r="6823" spans="70:82" x14ac:dyDescent="0.15">
      <c r="BR6823" s="34"/>
      <c r="BV6823" s="34"/>
      <c r="BZ6823" s="34"/>
      <c r="CD6823" s="34"/>
    </row>
    <row r="6824" spans="70:82" x14ac:dyDescent="0.15">
      <c r="BR6824" s="34"/>
      <c r="BV6824" s="34"/>
      <c r="BZ6824" s="34"/>
      <c r="CD6824" s="34"/>
    </row>
    <row r="6825" spans="70:82" x14ac:dyDescent="0.15">
      <c r="BR6825" s="34"/>
      <c r="BV6825" s="34"/>
      <c r="BZ6825" s="34"/>
      <c r="CD6825" s="34"/>
    </row>
    <row r="6826" spans="70:82" x14ac:dyDescent="0.15">
      <c r="BR6826" s="34"/>
      <c r="BV6826" s="34"/>
      <c r="BZ6826" s="34"/>
      <c r="CD6826" s="34"/>
    </row>
    <row r="6827" spans="70:82" x14ac:dyDescent="0.15">
      <c r="BR6827" s="34"/>
      <c r="BV6827" s="34"/>
      <c r="BZ6827" s="34"/>
      <c r="CD6827" s="34"/>
    </row>
    <row r="6828" spans="70:82" x14ac:dyDescent="0.15">
      <c r="BR6828" s="34"/>
      <c r="BV6828" s="34"/>
      <c r="BZ6828" s="34"/>
      <c r="CD6828" s="34"/>
    </row>
    <row r="6829" spans="70:82" x14ac:dyDescent="0.15">
      <c r="BR6829" s="34"/>
      <c r="BV6829" s="34"/>
      <c r="BZ6829" s="34"/>
      <c r="CD6829" s="34"/>
    </row>
    <row r="6830" spans="70:82" x14ac:dyDescent="0.15">
      <c r="BR6830" s="34"/>
      <c r="BV6830" s="34"/>
      <c r="BZ6830" s="34"/>
      <c r="CD6830" s="34"/>
    </row>
    <row r="6831" spans="70:82" x14ac:dyDescent="0.15">
      <c r="BR6831" s="34"/>
      <c r="BV6831" s="34"/>
      <c r="BZ6831" s="34"/>
      <c r="CD6831" s="34"/>
    </row>
    <row r="6832" spans="70:82" x14ac:dyDescent="0.15">
      <c r="BR6832" s="34"/>
      <c r="BV6832" s="34"/>
      <c r="BZ6832" s="34"/>
      <c r="CD6832" s="34"/>
    </row>
    <row r="6833" spans="70:82" x14ac:dyDescent="0.15">
      <c r="BR6833" s="34"/>
      <c r="BV6833" s="34"/>
      <c r="BZ6833" s="34"/>
      <c r="CD6833" s="34"/>
    </row>
    <row r="6834" spans="70:82" x14ac:dyDescent="0.15">
      <c r="BR6834" s="34"/>
      <c r="BV6834" s="34"/>
      <c r="BZ6834" s="34"/>
      <c r="CD6834" s="34"/>
    </row>
    <row r="6835" spans="70:82" x14ac:dyDescent="0.15">
      <c r="BR6835" s="34"/>
      <c r="BV6835" s="34"/>
      <c r="BZ6835" s="34"/>
      <c r="CD6835" s="34"/>
    </row>
    <row r="6836" spans="70:82" x14ac:dyDescent="0.15">
      <c r="BR6836" s="34"/>
      <c r="BV6836" s="34"/>
      <c r="BZ6836" s="34"/>
      <c r="CD6836" s="34"/>
    </row>
    <row r="6837" spans="70:82" x14ac:dyDescent="0.15">
      <c r="BR6837" s="34"/>
      <c r="BV6837" s="34"/>
      <c r="BZ6837" s="34"/>
      <c r="CD6837" s="34"/>
    </row>
    <row r="6838" spans="70:82" x14ac:dyDescent="0.15">
      <c r="BR6838" s="34"/>
      <c r="BV6838" s="34"/>
      <c r="BZ6838" s="34"/>
      <c r="CD6838" s="34"/>
    </row>
    <row r="6839" spans="70:82" x14ac:dyDescent="0.15">
      <c r="BR6839" s="34"/>
      <c r="BV6839" s="34"/>
      <c r="BZ6839" s="34"/>
      <c r="CD6839" s="34"/>
    </row>
    <row r="6840" spans="70:82" x14ac:dyDescent="0.15">
      <c r="BR6840" s="34"/>
      <c r="BV6840" s="34"/>
      <c r="BZ6840" s="34"/>
      <c r="CD6840" s="34"/>
    </row>
    <row r="6841" spans="70:82" x14ac:dyDescent="0.15">
      <c r="BR6841" s="34"/>
      <c r="BV6841" s="34"/>
      <c r="BZ6841" s="34"/>
      <c r="CD6841" s="34"/>
    </row>
    <row r="6842" spans="70:82" x14ac:dyDescent="0.15">
      <c r="BR6842" s="34"/>
      <c r="BV6842" s="34"/>
      <c r="BZ6842" s="34"/>
      <c r="CD6842" s="34"/>
    </row>
    <row r="6843" spans="70:82" x14ac:dyDescent="0.15">
      <c r="BR6843" s="34"/>
      <c r="BV6843" s="34"/>
      <c r="BZ6843" s="34"/>
      <c r="CD6843" s="34"/>
    </row>
    <row r="6844" spans="70:82" x14ac:dyDescent="0.15">
      <c r="BR6844" s="34"/>
      <c r="BV6844" s="34"/>
      <c r="BZ6844" s="34"/>
      <c r="CD6844" s="34"/>
    </row>
    <row r="6845" spans="70:82" x14ac:dyDescent="0.15">
      <c r="BR6845" s="34"/>
      <c r="BV6845" s="34"/>
      <c r="BZ6845" s="34"/>
      <c r="CD6845" s="34"/>
    </row>
    <row r="6846" spans="70:82" x14ac:dyDescent="0.15">
      <c r="BR6846" s="34"/>
      <c r="BV6846" s="34"/>
      <c r="BZ6846" s="34"/>
      <c r="CD6846" s="34"/>
    </row>
    <row r="6847" spans="70:82" x14ac:dyDescent="0.15">
      <c r="BR6847" s="34"/>
      <c r="BV6847" s="34"/>
      <c r="BZ6847" s="34"/>
      <c r="CD6847" s="34"/>
    </row>
    <row r="6848" spans="70:82" x14ac:dyDescent="0.15">
      <c r="BR6848" s="34"/>
      <c r="BV6848" s="34"/>
      <c r="BZ6848" s="34"/>
      <c r="CD6848" s="34"/>
    </row>
    <row r="6849" spans="70:82" x14ac:dyDescent="0.15">
      <c r="BR6849" s="34"/>
      <c r="BV6849" s="34"/>
      <c r="BZ6849" s="34"/>
      <c r="CD6849" s="34"/>
    </row>
    <row r="6850" spans="70:82" x14ac:dyDescent="0.15">
      <c r="BR6850" s="34"/>
      <c r="BV6850" s="34"/>
      <c r="BZ6850" s="34"/>
      <c r="CD6850" s="34"/>
    </row>
    <row r="6851" spans="70:82" x14ac:dyDescent="0.15">
      <c r="BR6851" s="34"/>
      <c r="BV6851" s="34"/>
      <c r="BZ6851" s="34"/>
      <c r="CD6851" s="34"/>
    </row>
    <row r="6852" spans="70:82" x14ac:dyDescent="0.15">
      <c r="BR6852" s="34"/>
      <c r="BV6852" s="34"/>
      <c r="BZ6852" s="34"/>
      <c r="CD6852" s="34"/>
    </row>
    <row r="6853" spans="70:82" x14ac:dyDescent="0.15">
      <c r="BR6853" s="34"/>
      <c r="BV6853" s="34"/>
      <c r="BZ6853" s="34"/>
      <c r="CD6853" s="34"/>
    </row>
    <row r="6854" spans="70:82" x14ac:dyDescent="0.15">
      <c r="BR6854" s="34"/>
      <c r="BV6854" s="34"/>
      <c r="BZ6854" s="34"/>
      <c r="CD6854" s="34"/>
    </row>
    <row r="6855" spans="70:82" x14ac:dyDescent="0.15">
      <c r="BR6855" s="34"/>
      <c r="BV6855" s="34"/>
      <c r="BZ6855" s="34"/>
      <c r="CD6855" s="34"/>
    </row>
    <row r="6856" spans="70:82" x14ac:dyDescent="0.15">
      <c r="BR6856" s="34"/>
      <c r="BV6856" s="34"/>
      <c r="BZ6856" s="34"/>
      <c r="CD6856" s="34"/>
    </row>
    <row r="6857" spans="70:82" x14ac:dyDescent="0.15">
      <c r="BR6857" s="34"/>
      <c r="BV6857" s="34"/>
      <c r="BZ6857" s="34"/>
      <c r="CD6857" s="34"/>
    </row>
    <row r="6858" spans="70:82" x14ac:dyDescent="0.15">
      <c r="BR6858" s="34"/>
      <c r="BV6858" s="34"/>
      <c r="BZ6858" s="34"/>
      <c r="CD6858" s="34"/>
    </row>
    <row r="6859" spans="70:82" x14ac:dyDescent="0.15">
      <c r="BR6859" s="34"/>
      <c r="BV6859" s="34"/>
      <c r="BZ6859" s="34"/>
      <c r="CD6859" s="34"/>
    </row>
    <row r="6860" spans="70:82" x14ac:dyDescent="0.15">
      <c r="BR6860" s="34"/>
      <c r="BV6860" s="34"/>
      <c r="BZ6860" s="34"/>
      <c r="CD6860" s="34"/>
    </row>
    <row r="6861" spans="70:82" x14ac:dyDescent="0.15">
      <c r="BR6861" s="34"/>
      <c r="BV6861" s="34"/>
      <c r="BZ6861" s="34"/>
      <c r="CD6861" s="34"/>
    </row>
    <row r="6862" spans="70:82" x14ac:dyDescent="0.15">
      <c r="BR6862" s="34"/>
      <c r="BV6862" s="34"/>
      <c r="BZ6862" s="34"/>
      <c r="CD6862" s="34"/>
    </row>
    <row r="6863" spans="70:82" x14ac:dyDescent="0.15">
      <c r="BR6863" s="34"/>
      <c r="BV6863" s="34"/>
      <c r="BZ6863" s="34"/>
      <c r="CD6863" s="34"/>
    </row>
    <row r="6864" spans="70:82" x14ac:dyDescent="0.15">
      <c r="BR6864" s="34"/>
      <c r="BV6864" s="34"/>
      <c r="BZ6864" s="34"/>
      <c r="CD6864" s="34"/>
    </row>
    <row r="6865" spans="70:82" x14ac:dyDescent="0.15">
      <c r="BR6865" s="34"/>
      <c r="BV6865" s="34"/>
      <c r="BZ6865" s="34"/>
      <c r="CD6865" s="34"/>
    </row>
    <row r="6866" spans="70:82" x14ac:dyDescent="0.15">
      <c r="BR6866" s="34"/>
      <c r="BV6866" s="34"/>
      <c r="BZ6866" s="34"/>
      <c r="CD6866" s="34"/>
    </row>
    <row r="6867" spans="70:82" x14ac:dyDescent="0.15">
      <c r="BR6867" s="34"/>
      <c r="BV6867" s="34"/>
      <c r="BZ6867" s="34"/>
      <c r="CD6867" s="34"/>
    </row>
    <row r="6868" spans="70:82" x14ac:dyDescent="0.15">
      <c r="BR6868" s="34"/>
      <c r="BV6868" s="34"/>
      <c r="BZ6868" s="34"/>
      <c r="CD6868" s="34"/>
    </row>
    <row r="6869" spans="70:82" x14ac:dyDescent="0.15">
      <c r="BR6869" s="34"/>
      <c r="BV6869" s="34"/>
      <c r="BZ6869" s="34"/>
      <c r="CD6869" s="34"/>
    </row>
    <row r="6870" spans="70:82" x14ac:dyDescent="0.15">
      <c r="BR6870" s="34"/>
      <c r="BV6870" s="34"/>
      <c r="BZ6870" s="34"/>
      <c r="CD6870" s="34"/>
    </row>
    <row r="6871" spans="70:82" x14ac:dyDescent="0.15">
      <c r="BR6871" s="34"/>
      <c r="BV6871" s="34"/>
      <c r="BZ6871" s="34"/>
      <c r="CD6871" s="34"/>
    </row>
    <row r="6872" spans="70:82" x14ac:dyDescent="0.15">
      <c r="BR6872" s="34"/>
      <c r="BV6872" s="34"/>
      <c r="BZ6872" s="34"/>
      <c r="CD6872" s="34"/>
    </row>
    <row r="6873" spans="70:82" x14ac:dyDescent="0.15">
      <c r="BR6873" s="34"/>
      <c r="BV6873" s="34"/>
      <c r="BZ6873" s="34"/>
      <c r="CD6873" s="34"/>
    </row>
    <row r="6874" spans="70:82" x14ac:dyDescent="0.15">
      <c r="BR6874" s="34"/>
      <c r="BV6874" s="34"/>
      <c r="BZ6874" s="34"/>
      <c r="CD6874" s="34"/>
    </row>
    <row r="6875" spans="70:82" x14ac:dyDescent="0.15">
      <c r="BR6875" s="34"/>
      <c r="BV6875" s="34"/>
      <c r="BZ6875" s="34"/>
      <c r="CD6875" s="34"/>
    </row>
    <row r="6876" spans="70:82" x14ac:dyDescent="0.15">
      <c r="BR6876" s="34"/>
      <c r="BV6876" s="34"/>
      <c r="BZ6876" s="34"/>
      <c r="CD6876" s="34"/>
    </row>
    <row r="6877" spans="70:82" x14ac:dyDescent="0.15">
      <c r="BR6877" s="34"/>
      <c r="BV6877" s="34"/>
      <c r="BZ6877" s="34"/>
      <c r="CD6877" s="34"/>
    </row>
    <row r="6878" spans="70:82" x14ac:dyDescent="0.15">
      <c r="BR6878" s="34"/>
      <c r="BV6878" s="34"/>
      <c r="BZ6878" s="34"/>
      <c r="CD6878" s="34"/>
    </row>
    <row r="6879" spans="70:82" x14ac:dyDescent="0.15">
      <c r="BR6879" s="34"/>
      <c r="BV6879" s="34"/>
      <c r="BZ6879" s="34"/>
      <c r="CD6879" s="34"/>
    </row>
    <row r="6880" spans="70:82" x14ac:dyDescent="0.15">
      <c r="BR6880" s="34"/>
      <c r="BV6880" s="34"/>
      <c r="BZ6880" s="34"/>
      <c r="CD6880" s="34"/>
    </row>
    <row r="6881" spans="70:82" x14ac:dyDescent="0.15">
      <c r="BR6881" s="34"/>
      <c r="BV6881" s="34"/>
      <c r="BZ6881" s="34"/>
      <c r="CD6881" s="34"/>
    </row>
    <row r="6882" spans="70:82" x14ac:dyDescent="0.15">
      <c r="BR6882" s="34"/>
      <c r="BV6882" s="34"/>
      <c r="BZ6882" s="34"/>
      <c r="CD6882" s="34"/>
    </row>
    <row r="6883" spans="70:82" x14ac:dyDescent="0.15">
      <c r="BR6883" s="34"/>
      <c r="BV6883" s="34"/>
      <c r="BZ6883" s="34"/>
      <c r="CD6883" s="34"/>
    </row>
    <row r="6884" spans="70:82" x14ac:dyDescent="0.15">
      <c r="BR6884" s="34"/>
      <c r="BV6884" s="34"/>
      <c r="BZ6884" s="34"/>
      <c r="CD6884" s="34"/>
    </row>
    <row r="6885" spans="70:82" x14ac:dyDescent="0.15">
      <c r="BR6885" s="34"/>
      <c r="BV6885" s="34"/>
      <c r="BZ6885" s="34"/>
      <c r="CD6885" s="34"/>
    </row>
    <row r="6886" spans="70:82" x14ac:dyDescent="0.15">
      <c r="BR6886" s="34"/>
      <c r="BV6886" s="34"/>
      <c r="BZ6886" s="34"/>
      <c r="CD6886" s="34"/>
    </row>
    <row r="6887" spans="70:82" x14ac:dyDescent="0.15">
      <c r="BR6887" s="34"/>
      <c r="BV6887" s="34"/>
      <c r="BZ6887" s="34"/>
      <c r="CD6887" s="34"/>
    </row>
    <row r="6888" spans="70:82" x14ac:dyDescent="0.15">
      <c r="BR6888" s="34"/>
      <c r="BV6888" s="34"/>
      <c r="BZ6888" s="34"/>
      <c r="CD6888" s="34"/>
    </row>
    <row r="6889" spans="70:82" x14ac:dyDescent="0.15">
      <c r="BR6889" s="34"/>
      <c r="BV6889" s="34"/>
      <c r="BZ6889" s="34"/>
      <c r="CD6889" s="34"/>
    </row>
    <row r="6890" spans="70:82" x14ac:dyDescent="0.15">
      <c r="BR6890" s="34"/>
      <c r="BV6890" s="34"/>
      <c r="BZ6890" s="34"/>
      <c r="CD6890" s="34"/>
    </row>
    <row r="6891" spans="70:82" x14ac:dyDescent="0.15">
      <c r="BR6891" s="34"/>
      <c r="BV6891" s="34"/>
      <c r="BZ6891" s="34"/>
      <c r="CD6891" s="34"/>
    </row>
    <row r="6892" spans="70:82" x14ac:dyDescent="0.15">
      <c r="BR6892" s="34"/>
      <c r="BV6892" s="34"/>
      <c r="BZ6892" s="34"/>
      <c r="CD6892" s="34"/>
    </row>
    <row r="6893" spans="70:82" x14ac:dyDescent="0.15">
      <c r="BR6893" s="34"/>
      <c r="BV6893" s="34"/>
      <c r="BZ6893" s="34"/>
      <c r="CD6893" s="34"/>
    </row>
    <row r="6894" spans="70:82" x14ac:dyDescent="0.15">
      <c r="BR6894" s="34"/>
      <c r="BV6894" s="34"/>
      <c r="BZ6894" s="34"/>
      <c r="CD6894" s="34"/>
    </row>
    <row r="6895" spans="70:82" x14ac:dyDescent="0.15">
      <c r="BR6895" s="34"/>
      <c r="BV6895" s="34"/>
      <c r="BZ6895" s="34"/>
      <c r="CD6895" s="34"/>
    </row>
    <row r="6896" spans="70:82" x14ac:dyDescent="0.15">
      <c r="BR6896" s="34"/>
      <c r="BV6896" s="34"/>
      <c r="BZ6896" s="34"/>
      <c r="CD6896" s="34"/>
    </row>
    <row r="6897" spans="70:82" x14ac:dyDescent="0.15">
      <c r="BR6897" s="34"/>
      <c r="BV6897" s="34"/>
      <c r="BZ6897" s="34"/>
      <c r="CD6897" s="34"/>
    </row>
    <row r="6898" spans="70:82" x14ac:dyDescent="0.15">
      <c r="BR6898" s="34"/>
      <c r="BV6898" s="34"/>
      <c r="BZ6898" s="34"/>
      <c r="CD6898" s="34"/>
    </row>
    <row r="6899" spans="70:82" x14ac:dyDescent="0.15">
      <c r="BR6899" s="34"/>
      <c r="BV6899" s="34"/>
      <c r="BZ6899" s="34"/>
      <c r="CD6899" s="34"/>
    </row>
    <row r="6900" spans="70:82" x14ac:dyDescent="0.15">
      <c r="BR6900" s="34"/>
      <c r="BV6900" s="34"/>
      <c r="BZ6900" s="34"/>
      <c r="CD6900" s="34"/>
    </row>
    <row r="6901" spans="70:82" x14ac:dyDescent="0.15">
      <c r="BR6901" s="34"/>
      <c r="BV6901" s="34"/>
      <c r="BZ6901" s="34"/>
      <c r="CD6901" s="34"/>
    </row>
    <row r="6902" spans="70:82" x14ac:dyDescent="0.15">
      <c r="BR6902" s="34"/>
      <c r="BV6902" s="34"/>
      <c r="BZ6902" s="34"/>
      <c r="CD6902" s="34"/>
    </row>
    <row r="6903" spans="70:82" x14ac:dyDescent="0.15">
      <c r="BR6903" s="34"/>
      <c r="BV6903" s="34"/>
      <c r="BZ6903" s="34"/>
      <c r="CD6903" s="34"/>
    </row>
    <row r="6904" spans="70:82" x14ac:dyDescent="0.15">
      <c r="BR6904" s="34"/>
      <c r="BV6904" s="34"/>
      <c r="BZ6904" s="34"/>
      <c r="CD6904" s="34"/>
    </row>
    <row r="6905" spans="70:82" x14ac:dyDescent="0.15">
      <c r="BR6905" s="34"/>
      <c r="BV6905" s="34"/>
      <c r="BZ6905" s="34"/>
      <c r="CD6905" s="34"/>
    </row>
    <row r="6906" spans="70:82" x14ac:dyDescent="0.15">
      <c r="BR6906" s="34"/>
      <c r="BV6906" s="34"/>
      <c r="BZ6906" s="34"/>
      <c r="CD6906" s="34"/>
    </row>
    <row r="6907" spans="70:82" x14ac:dyDescent="0.15">
      <c r="BR6907" s="34"/>
      <c r="BV6907" s="34"/>
      <c r="BZ6907" s="34"/>
      <c r="CD6907" s="34"/>
    </row>
    <row r="6908" spans="70:82" x14ac:dyDescent="0.15">
      <c r="BR6908" s="34"/>
      <c r="BV6908" s="34"/>
      <c r="BZ6908" s="34"/>
      <c r="CD6908" s="34"/>
    </row>
    <row r="6909" spans="70:82" x14ac:dyDescent="0.15">
      <c r="BR6909" s="34"/>
      <c r="BV6909" s="34"/>
      <c r="BZ6909" s="34"/>
      <c r="CD6909" s="34"/>
    </row>
    <row r="6910" spans="70:82" x14ac:dyDescent="0.15">
      <c r="BR6910" s="34"/>
      <c r="BV6910" s="34"/>
      <c r="BZ6910" s="34"/>
      <c r="CD6910" s="34"/>
    </row>
    <row r="6911" spans="70:82" x14ac:dyDescent="0.15">
      <c r="BR6911" s="34"/>
      <c r="BV6911" s="34"/>
      <c r="BZ6911" s="34"/>
      <c r="CD6911" s="34"/>
    </row>
    <row r="6912" spans="70:82" x14ac:dyDescent="0.15">
      <c r="BR6912" s="34"/>
      <c r="BV6912" s="34"/>
      <c r="BZ6912" s="34"/>
      <c r="CD6912" s="34"/>
    </row>
    <row r="6913" spans="70:82" x14ac:dyDescent="0.15">
      <c r="BR6913" s="34"/>
      <c r="BV6913" s="34"/>
      <c r="BZ6913" s="34"/>
      <c r="CD6913" s="34"/>
    </row>
    <row r="6914" spans="70:82" x14ac:dyDescent="0.15">
      <c r="BR6914" s="34"/>
      <c r="BV6914" s="34"/>
      <c r="BZ6914" s="34"/>
      <c r="CD6914" s="34"/>
    </row>
    <row r="6915" spans="70:82" x14ac:dyDescent="0.15">
      <c r="BR6915" s="34"/>
      <c r="BV6915" s="34"/>
      <c r="BZ6915" s="34"/>
      <c r="CD6915" s="34"/>
    </row>
    <row r="6916" spans="70:82" x14ac:dyDescent="0.15">
      <c r="BR6916" s="34"/>
      <c r="BV6916" s="34"/>
      <c r="BZ6916" s="34"/>
      <c r="CD6916" s="34"/>
    </row>
    <row r="6917" spans="70:82" x14ac:dyDescent="0.15">
      <c r="BR6917" s="34"/>
      <c r="BV6917" s="34"/>
      <c r="BZ6917" s="34"/>
      <c r="CD6917" s="34"/>
    </row>
    <row r="6918" spans="70:82" x14ac:dyDescent="0.15">
      <c r="BR6918" s="34"/>
      <c r="BV6918" s="34"/>
      <c r="BZ6918" s="34"/>
      <c r="CD6918" s="34"/>
    </row>
    <row r="6919" spans="70:82" x14ac:dyDescent="0.15">
      <c r="BR6919" s="34"/>
      <c r="BV6919" s="34"/>
      <c r="BZ6919" s="34"/>
      <c r="CD6919" s="34"/>
    </row>
    <row r="6920" spans="70:82" x14ac:dyDescent="0.15">
      <c r="BR6920" s="34"/>
      <c r="BV6920" s="34"/>
      <c r="BZ6920" s="34"/>
      <c r="CD6920" s="34"/>
    </row>
    <row r="6921" spans="70:82" x14ac:dyDescent="0.15">
      <c r="BR6921" s="34"/>
      <c r="BV6921" s="34"/>
      <c r="BZ6921" s="34"/>
      <c r="CD6921" s="34"/>
    </row>
    <row r="6922" spans="70:82" x14ac:dyDescent="0.15">
      <c r="BR6922" s="34"/>
      <c r="BV6922" s="34"/>
      <c r="BZ6922" s="34"/>
      <c r="CD6922" s="34"/>
    </row>
    <row r="6923" spans="70:82" x14ac:dyDescent="0.15">
      <c r="BR6923" s="34"/>
      <c r="BV6923" s="34"/>
      <c r="BZ6923" s="34"/>
      <c r="CD6923" s="34"/>
    </row>
    <row r="6924" spans="70:82" x14ac:dyDescent="0.15">
      <c r="BR6924" s="34"/>
      <c r="BV6924" s="34"/>
      <c r="BZ6924" s="34"/>
      <c r="CD6924" s="34"/>
    </row>
    <row r="6925" spans="70:82" x14ac:dyDescent="0.15">
      <c r="BR6925" s="34"/>
      <c r="BV6925" s="34"/>
      <c r="BZ6925" s="34"/>
      <c r="CD6925" s="34"/>
    </row>
    <row r="6926" spans="70:82" x14ac:dyDescent="0.15">
      <c r="BR6926" s="34"/>
      <c r="BV6926" s="34"/>
      <c r="BZ6926" s="34"/>
      <c r="CD6926" s="34"/>
    </row>
    <row r="6927" spans="70:82" x14ac:dyDescent="0.15">
      <c r="BR6927" s="34"/>
      <c r="BV6927" s="34"/>
      <c r="BZ6927" s="34"/>
      <c r="CD6927" s="34"/>
    </row>
    <row r="6928" spans="70:82" x14ac:dyDescent="0.15">
      <c r="BR6928" s="34"/>
      <c r="BV6928" s="34"/>
      <c r="BZ6928" s="34"/>
      <c r="CD6928" s="34"/>
    </row>
    <row r="6929" spans="70:82" x14ac:dyDescent="0.15">
      <c r="BR6929" s="34"/>
      <c r="BV6929" s="34"/>
      <c r="BZ6929" s="34"/>
      <c r="CD6929" s="34"/>
    </row>
    <row r="6930" spans="70:82" x14ac:dyDescent="0.15">
      <c r="BR6930" s="34"/>
      <c r="BV6930" s="34"/>
      <c r="BZ6930" s="34"/>
      <c r="CD6930" s="34"/>
    </row>
    <row r="6931" spans="70:82" x14ac:dyDescent="0.15">
      <c r="BR6931" s="34"/>
      <c r="BV6931" s="34"/>
      <c r="BZ6931" s="34"/>
      <c r="CD6931" s="34"/>
    </row>
    <row r="6932" spans="70:82" x14ac:dyDescent="0.15">
      <c r="BR6932" s="34"/>
      <c r="BV6932" s="34"/>
      <c r="BZ6932" s="34"/>
      <c r="CD6932" s="34"/>
    </row>
    <row r="6933" spans="70:82" x14ac:dyDescent="0.15">
      <c r="BR6933" s="34"/>
      <c r="BV6933" s="34"/>
      <c r="BZ6933" s="34"/>
      <c r="CD6933" s="34"/>
    </row>
    <row r="6934" spans="70:82" x14ac:dyDescent="0.15">
      <c r="BR6934" s="34"/>
      <c r="BV6934" s="34"/>
      <c r="BZ6934" s="34"/>
      <c r="CD6934" s="34"/>
    </row>
    <row r="6935" spans="70:82" x14ac:dyDescent="0.15">
      <c r="BR6935" s="34"/>
      <c r="BV6935" s="34"/>
      <c r="BZ6935" s="34"/>
      <c r="CD6935" s="34"/>
    </row>
    <row r="6936" spans="70:82" x14ac:dyDescent="0.15">
      <c r="BR6936" s="34"/>
      <c r="BV6936" s="34"/>
      <c r="BZ6936" s="34"/>
      <c r="CD6936" s="34"/>
    </row>
    <row r="6937" spans="70:82" x14ac:dyDescent="0.15">
      <c r="BR6937" s="34"/>
      <c r="BV6937" s="34"/>
      <c r="BZ6937" s="34"/>
      <c r="CD6937" s="34"/>
    </row>
    <row r="6938" spans="70:82" x14ac:dyDescent="0.15">
      <c r="BR6938" s="34"/>
      <c r="BV6938" s="34"/>
      <c r="BZ6938" s="34"/>
      <c r="CD6938" s="34"/>
    </row>
    <row r="6939" spans="70:82" x14ac:dyDescent="0.15">
      <c r="BR6939" s="34"/>
      <c r="BV6939" s="34"/>
      <c r="BZ6939" s="34"/>
      <c r="CD6939" s="34"/>
    </row>
    <row r="6940" spans="70:82" x14ac:dyDescent="0.15">
      <c r="BR6940" s="34"/>
      <c r="BV6940" s="34"/>
      <c r="BZ6940" s="34"/>
      <c r="CD6940" s="34"/>
    </row>
    <row r="6941" spans="70:82" x14ac:dyDescent="0.15">
      <c r="BR6941" s="34"/>
      <c r="BV6941" s="34"/>
      <c r="BZ6941" s="34"/>
      <c r="CD6941" s="34"/>
    </row>
    <row r="6942" spans="70:82" x14ac:dyDescent="0.15">
      <c r="BR6942" s="34"/>
      <c r="BV6942" s="34"/>
      <c r="BZ6942" s="34"/>
      <c r="CD6942" s="34"/>
    </row>
    <row r="6943" spans="70:82" x14ac:dyDescent="0.15">
      <c r="BR6943" s="34"/>
      <c r="BV6943" s="34"/>
      <c r="BZ6943" s="34"/>
      <c r="CD6943" s="34"/>
    </row>
    <row r="6944" spans="70:82" x14ac:dyDescent="0.15">
      <c r="BR6944" s="34"/>
      <c r="BV6944" s="34"/>
      <c r="BZ6944" s="34"/>
      <c r="CD6944" s="34"/>
    </row>
    <row r="6945" spans="70:82" x14ac:dyDescent="0.15">
      <c r="BR6945" s="34"/>
      <c r="BV6945" s="34"/>
      <c r="BZ6945" s="34"/>
      <c r="CD6945" s="34"/>
    </row>
    <row r="6946" spans="70:82" x14ac:dyDescent="0.15">
      <c r="BR6946" s="34"/>
      <c r="BV6946" s="34"/>
      <c r="BZ6946" s="34"/>
      <c r="CD6946" s="34"/>
    </row>
    <row r="6947" spans="70:82" x14ac:dyDescent="0.15">
      <c r="BR6947" s="34"/>
      <c r="BV6947" s="34"/>
      <c r="BZ6947" s="34"/>
      <c r="CD6947" s="34"/>
    </row>
    <row r="6948" spans="70:82" x14ac:dyDescent="0.15">
      <c r="BR6948" s="34"/>
      <c r="BV6948" s="34"/>
      <c r="BZ6948" s="34"/>
      <c r="CD6948" s="34"/>
    </row>
    <row r="6949" spans="70:82" x14ac:dyDescent="0.15">
      <c r="BR6949" s="34"/>
      <c r="BV6949" s="34"/>
      <c r="BZ6949" s="34"/>
      <c r="CD6949" s="34"/>
    </row>
    <row r="6950" spans="70:82" x14ac:dyDescent="0.15">
      <c r="BR6950" s="34"/>
      <c r="BV6950" s="34"/>
      <c r="BZ6950" s="34"/>
      <c r="CD6950" s="34"/>
    </row>
    <row r="6951" spans="70:82" x14ac:dyDescent="0.15">
      <c r="BR6951" s="34"/>
      <c r="BV6951" s="34"/>
      <c r="BZ6951" s="34"/>
      <c r="CD6951" s="34"/>
    </row>
    <row r="6952" spans="70:82" x14ac:dyDescent="0.15">
      <c r="BR6952" s="34"/>
      <c r="BV6952" s="34"/>
      <c r="BZ6952" s="34"/>
      <c r="CD6952" s="34"/>
    </row>
    <row r="6953" spans="70:82" x14ac:dyDescent="0.15">
      <c r="BR6953" s="34"/>
      <c r="BV6953" s="34"/>
      <c r="BZ6953" s="34"/>
      <c r="CD6953" s="34"/>
    </row>
    <row r="6954" spans="70:82" x14ac:dyDescent="0.15">
      <c r="BR6954" s="34"/>
      <c r="BV6954" s="34"/>
      <c r="BZ6954" s="34"/>
      <c r="CD6954" s="34"/>
    </row>
    <row r="6955" spans="70:82" x14ac:dyDescent="0.15">
      <c r="BR6955" s="34"/>
      <c r="BV6955" s="34"/>
      <c r="BZ6955" s="34"/>
      <c r="CD6955" s="34"/>
    </row>
    <row r="6956" spans="70:82" x14ac:dyDescent="0.15">
      <c r="BR6956" s="34"/>
      <c r="BV6956" s="34"/>
      <c r="BZ6956" s="34"/>
      <c r="CD6956" s="34"/>
    </row>
    <row r="6957" spans="70:82" x14ac:dyDescent="0.15">
      <c r="BR6957" s="34"/>
      <c r="BV6957" s="34"/>
      <c r="BZ6957" s="34"/>
      <c r="CD6957" s="34"/>
    </row>
    <row r="6958" spans="70:82" x14ac:dyDescent="0.15">
      <c r="BR6958" s="34"/>
      <c r="BV6958" s="34"/>
      <c r="BZ6958" s="34"/>
      <c r="CD6958" s="34"/>
    </row>
    <row r="6959" spans="70:82" x14ac:dyDescent="0.15">
      <c r="BR6959" s="34"/>
      <c r="BV6959" s="34"/>
      <c r="BZ6959" s="34"/>
      <c r="CD6959" s="34"/>
    </row>
    <row r="6960" spans="70:82" x14ac:dyDescent="0.15">
      <c r="BR6960" s="34"/>
      <c r="BV6960" s="34"/>
      <c r="BZ6960" s="34"/>
      <c r="CD6960" s="34"/>
    </row>
    <row r="6961" spans="70:82" x14ac:dyDescent="0.15">
      <c r="BR6961" s="34"/>
      <c r="BV6961" s="34"/>
      <c r="BZ6961" s="34"/>
      <c r="CD6961" s="34"/>
    </row>
    <row r="6962" spans="70:82" x14ac:dyDescent="0.15">
      <c r="BR6962" s="34"/>
      <c r="BV6962" s="34"/>
      <c r="BZ6962" s="34"/>
      <c r="CD6962" s="34"/>
    </row>
    <row r="6963" spans="70:82" x14ac:dyDescent="0.15">
      <c r="BR6963" s="34"/>
      <c r="BV6963" s="34"/>
      <c r="BZ6963" s="34"/>
      <c r="CD6963" s="34"/>
    </row>
    <row r="6964" spans="70:82" x14ac:dyDescent="0.15">
      <c r="BR6964" s="34"/>
      <c r="BV6964" s="34"/>
      <c r="BZ6964" s="34"/>
      <c r="CD6964" s="34"/>
    </row>
    <row r="6965" spans="70:82" x14ac:dyDescent="0.15">
      <c r="BR6965" s="34"/>
      <c r="BV6965" s="34"/>
      <c r="BZ6965" s="34"/>
      <c r="CD6965" s="34"/>
    </row>
    <row r="6966" spans="70:82" x14ac:dyDescent="0.15">
      <c r="BR6966" s="34"/>
      <c r="BV6966" s="34"/>
      <c r="BZ6966" s="34"/>
      <c r="CD6966" s="34"/>
    </row>
    <row r="6967" spans="70:82" x14ac:dyDescent="0.15">
      <c r="BR6967" s="34"/>
      <c r="BV6967" s="34"/>
      <c r="BZ6967" s="34"/>
      <c r="CD6967" s="34"/>
    </row>
    <row r="6968" spans="70:82" x14ac:dyDescent="0.15">
      <c r="BR6968" s="34"/>
      <c r="BV6968" s="34"/>
      <c r="BZ6968" s="34"/>
      <c r="CD6968" s="34"/>
    </row>
    <row r="6969" spans="70:82" x14ac:dyDescent="0.15">
      <c r="BR6969" s="34"/>
      <c r="BV6969" s="34"/>
      <c r="BZ6969" s="34"/>
      <c r="CD6969" s="34"/>
    </row>
    <row r="6970" spans="70:82" x14ac:dyDescent="0.15">
      <c r="BR6970" s="34"/>
      <c r="BV6970" s="34"/>
      <c r="BZ6970" s="34"/>
      <c r="CD6970" s="34"/>
    </row>
    <row r="6971" spans="70:82" x14ac:dyDescent="0.15">
      <c r="BR6971" s="34"/>
      <c r="BV6971" s="34"/>
      <c r="BZ6971" s="34"/>
      <c r="CD6971" s="34"/>
    </row>
    <row r="6972" spans="70:82" x14ac:dyDescent="0.15">
      <c r="BR6972" s="34"/>
      <c r="BV6972" s="34"/>
      <c r="BZ6972" s="34"/>
      <c r="CD6972" s="34"/>
    </row>
    <row r="6973" spans="70:82" x14ac:dyDescent="0.15">
      <c r="BR6973" s="34"/>
      <c r="BV6973" s="34"/>
      <c r="BZ6973" s="34"/>
      <c r="CD6973" s="34"/>
    </row>
    <row r="6974" spans="70:82" x14ac:dyDescent="0.15">
      <c r="BR6974" s="34"/>
      <c r="BV6974" s="34"/>
      <c r="BZ6974" s="34"/>
      <c r="CD6974" s="34"/>
    </row>
    <row r="6975" spans="70:82" x14ac:dyDescent="0.15">
      <c r="BR6975" s="34"/>
      <c r="BV6975" s="34"/>
      <c r="BZ6975" s="34"/>
      <c r="CD6975" s="34"/>
    </row>
    <row r="6976" spans="70:82" x14ac:dyDescent="0.15">
      <c r="BR6976" s="34"/>
      <c r="BV6976" s="34"/>
      <c r="BZ6976" s="34"/>
      <c r="CD6976" s="34"/>
    </row>
    <row r="6977" spans="70:82" x14ac:dyDescent="0.15">
      <c r="BR6977" s="34"/>
      <c r="BV6977" s="34"/>
      <c r="BZ6977" s="34"/>
      <c r="CD6977" s="34"/>
    </row>
    <row r="6978" spans="70:82" x14ac:dyDescent="0.15">
      <c r="BR6978" s="34"/>
      <c r="BV6978" s="34"/>
      <c r="BZ6978" s="34"/>
      <c r="CD6978" s="34"/>
    </row>
    <row r="6979" spans="70:82" x14ac:dyDescent="0.15">
      <c r="BR6979" s="34"/>
      <c r="BV6979" s="34"/>
      <c r="BZ6979" s="34"/>
      <c r="CD6979" s="34"/>
    </row>
    <row r="6980" spans="70:82" x14ac:dyDescent="0.15">
      <c r="BR6980" s="34"/>
      <c r="BV6980" s="34"/>
      <c r="BZ6980" s="34"/>
      <c r="CD6980" s="34"/>
    </row>
    <row r="6981" spans="70:82" x14ac:dyDescent="0.15">
      <c r="BR6981" s="34"/>
      <c r="BV6981" s="34"/>
      <c r="BZ6981" s="34"/>
      <c r="CD6981" s="34"/>
    </row>
    <row r="6982" spans="70:82" x14ac:dyDescent="0.15">
      <c r="BR6982" s="34"/>
      <c r="BV6982" s="34"/>
      <c r="BZ6982" s="34"/>
      <c r="CD6982" s="34"/>
    </row>
    <row r="6983" spans="70:82" x14ac:dyDescent="0.15">
      <c r="BR6983" s="34"/>
      <c r="BV6983" s="34"/>
      <c r="BZ6983" s="34"/>
      <c r="CD6983" s="34"/>
    </row>
    <row r="6984" spans="70:82" x14ac:dyDescent="0.15">
      <c r="BR6984" s="34"/>
      <c r="BV6984" s="34"/>
      <c r="BZ6984" s="34"/>
      <c r="CD6984" s="34"/>
    </row>
    <row r="6985" spans="70:82" x14ac:dyDescent="0.15">
      <c r="BR6985" s="34"/>
      <c r="BV6985" s="34"/>
      <c r="BZ6985" s="34"/>
      <c r="CD6985" s="34"/>
    </row>
    <row r="6986" spans="70:82" x14ac:dyDescent="0.15">
      <c r="BR6986" s="34"/>
      <c r="BV6986" s="34"/>
      <c r="BZ6986" s="34"/>
      <c r="CD6986" s="34"/>
    </row>
    <row r="6987" spans="70:82" x14ac:dyDescent="0.15">
      <c r="BR6987" s="34"/>
      <c r="BV6987" s="34"/>
      <c r="BZ6987" s="34"/>
      <c r="CD6987" s="34"/>
    </row>
    <row r="6988" spans="70:82" x14ac:dyDescent="0.15">
      <c r="BR6988" s="34"/>
      <c r="BV6988" s="34"/>
      <c r="BZ6988" s="34"/>
      <c r="CD6988" s="34"/>
    </row>
    <row r="6989" spans="70:82" x14ac:dyDescent="0.15">
      <c r="BR6989" s="34"/>
      <c r="BV6989" s="34"/>
      <c r="BZ6989" s="34"/>
      <c r="CD6989" s="34"/>
    </row>
    <row r="6990" spans="70:82" x14ac:dyDescent="0.15">
      <c r="BR6990" s="34"/>
      <c r="BV6990" s="34"/>
      <c r="BZ6990" s="34"/>
      <c r="CD6990" s="34"/>
    </row>
    <row r="6991" spans="70:82" x14ac:dyDescent="0.15">
      <c r="BR6991" s="34"/>
      <c r="BV6991" s="34"/>
      <c r="BZ6991" s="34"/>
      <c r="CD6991" s="34"/>
    </row>
    <row r="6992" spans="70:82" x14ac:dyDescent="0.15">
      <c r="BR6992" s="34"/>
      <c r="BV6992" s="34"/>
      <c r="BZ6992" s="34"/>
      <c r="CD6992" s="34"/>
    </row>
    <row r="6993" spans="70:82" x14ac:dyDescent="0.15">
      <c r="BR6993" s="34"/>
      <c r="BV6993" s="34"/>
      <c r="BZ6993" s="34"/>
      <c r="CD6993" s="34"/>
    </row>
    <row r="6994" spans="70:82" x14ac:dyDescent="0.15">
      <c r="BR6994" s="34"/>
      <c r="BV6994" s="34"/>
      <c r="BZ6994" s="34"/>
      <c r="CD6994" s="34"/>
    </row>
    <row r="6995" spans="70:82" x14ac:dyDescent="0.15">
      <c r="BR6995" s="34"/>
      <c r="BV6995" s="34"/>
      <c r="BZ6995" s="34"/>
      <c r="CD6995" s="34"/>
    </row>
    <row r="6996" spans="70:82" x14ac:dyDescent="0.15">
      <c r="BR6996" s="34"/>
      <c r="BV6996" s="34"/>
      <c r="BZ6996" s="34"/>
      <c r="CD6996" s="34"/>
    </row>
    <row r="6997" spans="70:82" x14ac:dyDescent="0.15">
      <c r="BR6997" s="34"/>
      <c r="BV6997" s="34"/>
      <c r="BZ6997" s="34"/>
      <c r="CD6997" s="34"/>
    </row>
    <row r="6998" spans="70:82" x14ac:dyDescent="0.15">
      <c r="BR6998" s="34"/>
      <c r="BV6998" s="34"/>
      <c r="BZ6998" s="34"/>
      <c r="CD6998" s="34"/>
    </row>
    <row r="6999" spans="70:82" x14ac:dyDescent="0.15">
      <c r="BR6999" s="34"/>
      <c r="BV6999" s="34"/>
      <c r="BZ6999" s="34"/>
      <c r="CD6999" s="34"/>
    </row>
    <row r="7000" spans="70:82" x14ac:dyDescent="0.15">
      <c r="BR7000" s="34"/>
      <c r="BV7000" s="34"/>
      <c r="BZ7000" s="34"/>
      <c r="CD7000" s="34"/>
    </row>
    <row r="7001" spans="70:82" x14ac:dyDescent="0.15">
      <c r="BR7001" s="34"/>
      <c r="BV7001" s="34"/>
      <c r="BZ7001" s="34"/>
      <c r="CD7001" s="34"/>
    </row>
    <row r="7002" spans="70:82" x14ac:dyDescent="0.15">
      <c r="BR7002" s="34"/>
      <c r="BV7002" s="34"/>
      <c r="BZ7002" s="34"/>
      <c r="CD7002" s="34"/>
    </row>
    <row r="7003" spans="70:82" x14ac:dyDescent="0.15">
      <c r="BR7003" s="34"/>
      <c r="BV7003" s="34"/>
      <c r="BZ7003" s="34"/>
      <c r="CD7003" s="34"/>
    </row>
    <row r="7004" spans="70:82" x14ac:dyDescent="0.15">
      <c r="BR7004" s="34"/>
      <c r="BV7004" s="34"/>
      <c r="BZ7004" s="34"/>
      <c r="CD7004" s="34"/>
    </row>
    <row r="7005" spans="70:82" x14ac:dyDescent="0.15">
      <c r="BR7005" s="34"/>
      <c r="BV7005" s="34"/>
      <c r="BZ7005" s="34"/>
      <c r="CD7005" s="34"/>
    </row>
    <row r="7006" spans="70:82" x14ac:dyDescent="0.15">
      <c r="BR7006" s="34"/>
      <c r="BV7006" s="34"/>
      <c r="BZ7006" s="34"/>
      <c r="CD7006" s="34"/>
    </row>
    <row r="7007" spans="70:82" x14ac:dyDescent="0.15">
      <c r="BR7007" s="34"/>
      <c r="BV7007" s="34"/>
      <c r="BZ7007" s="34"/>
      <c r="CD7007" s="34"/>
    </row>
    <row r="7008" spans="70:82" x14ac:dyDescent="0.15">
      <c r="BR7008" s="34"/>
      <c r="BV7008" s="34"/>
      <c r="BZ7008" s="34"/>
      <c r="CD7008" s="34"/>
    </row>
    <row r="7009" spans="70:82" x14ac:dyDescent="0.15">
      <c r="BR7009" s="34"/>
      <c r="BV7009" s="34"/>
      <c r="BZ7009" s="34"/>
      <c r="CD7009" s="34"/>
    </row>
    <row r="7010" spans="70:82" x14ac:dyDescent="0.15">
      <c r="BR7010" s="34"/>
      <c r="BV7010" s="34"/>
      <c r="BZ7010" s="34"/>
      <c r="CD7010" s="34"/>
    </row>
    <row r="7011" spans="70:82" x14ac:dyDescent="0.15">
      <c r="BR7011" s="34"/>
      <c r="BV7011" s="34"/>
      <c r="BZ7011" s="34"/>
      <c r="CD7011" s="34"/>
    </row>
    <row r="7012" spans="70:82" x14ac:dyDescent="0.15">
      <c r="BR7012" s="34"/>
      <c r="BV7012" s="34"/>
      <c r="BZ7012" s="34"/>
      <c r="CD7012" s="34"/>
    </row>
    <row r="7013" spans="70:82" x14ac:dyDescent="0.15">
      <c r="BR7013" s="34"/>
      <c r="BV7013" s="34"/>
      <c r="BZ7013" s="34"/>
      <c r="CD7013" s="34"/>
    </row>
    <row r="7014" spans="70:82" x14ac:dyDescent="0.15">
      <c r="BR7014" s="34"/>
      <c r="BV7014" s="34"/>
      <c r="BZ7014" s="34"/>
      <c r="CD7014" s="34"/>
    </row>
    <row r="7015" spans="70:82" x14ac:dyDescent="0.15">
      <c r="BR7015" s="34"/>
      <c r="BV7015" s="34"/>
      <c r="BZ7015" s="34"/>
      <c r="CD7015" s="34"/>
    </row>
    <row r="7016" spans="70:82" x14ac:dyDescent="0.15">
      <c r="BR7016" s="34"/>
      <c r="BV7016" s="34"/>
      <c r="BZ7016" s="34"/>
      <c r="CD7016" s="34"/>
    </row>
    <row r="7017" spans="70:82" x14ac:dyDescent="0.15">
      <c r="BR7017" s="34"/>
      <c r="BV7017" s="34"/>
      <c r="BZ7017" s="34"/>
      <c r="CD7017" s="34"/>
    </row>
    <row r="7018" spans="70:82" x14ac:dyDescent="0.15">
      <c r="BR7018" s="34"/>
      <c r="BV7018" s="34"/>
      <c r="BZ7018" s="34"/>
      <c r="CD7018" s="34"/>
    </row>
    <row r="7019" spans="70:82" x14ac:dyDescent="0.15">
      <c r="BR7019" s="34"/>
      <c r="BV7019" s="34"/>
      <c r="BZ7019" s="34"/>
      <c r="CD7019" s="34"/>
    </row>
    <row r="7020" spans="70:82" x14ac:dyDescent="0.15">
      <c r="BR7020" s="34"/>
      <c r="BV7020" s="34"/>
      <c r="BZ7020" s="34"/>
      <c r="CD7020" s="34"/>
    </row>
    <row r="7021" spans="70:82" x14ac:dyDescent="0.15">
      <c r="BR7021" s="34"/>
      <c r="BV7021" s="34"/>
      <c r="BZ7021" s="34"/>
      <c r="CD7021" s="34"/>
    </row>
    <row r="7022" spans="70:82" x14ac:dyDescent="0.15">
      <c r="BR7022" s="34"/>
      <c r="BV7022" s="34"/>
      <c r="BZ7022" s="34"/>
      <c r="CD7022" s="34"/>
    </row>
    <row r="7023" spans="70:82" x14ac:dyDescent="0.15">
      <c r="BR7023" s="34"/>
      <c r="BV7023" s="34"/>
      <c r="BZ7023" s="34"/>
      <c r="CD7023" s="34"/>
    </row>
    <row r="7024" spans="70:82" x14ac:dyDescent="0.15">
      <c r="BR7024" s="34"/>
      <c r="BV7024" s="34"/>
      <c r="BZ7024" s="34"/>
      <c r="CD7024" s="34"/>
    </row>
    <row r="7025" spans="70:82" x14ac:dyDescent="0.15">
      <c r="BR7025" s="34"/>
      <c r="BV7025" s="34"/>
      <c r="BZ7025" s="34"/>
      <c r="CD7025" s="34"/>
    </row>
    <row r="7026" spans="70:82" x14ac:dyDescent="0.15">
      <c r="BR7026" s="34"/>
      <c r="BV7026" s="34"/>
      <c r="BZ7026" s="34"/>
      <c r="CD7026" s="34"/>
    </row>
    <row r="7027" spans="70:82" x14ac:dyDescent="0.15">
      <c r="BR7027" s="34"/>
      <c r="BV7027" s="34"/>
      <c r="BZ7027" s="34"/>
      <c r="CD7027" s="34"/>
    </row>
    <row r="7028" spans="70:82" x14ac:dyDescent="0.15">
      <c r="BR7028" s="34"/>
      <c r="BV7028" s="34"/>
      <c r="BZ7028" s="34"/>
      <c r="CD7028" s="34"/>
    </row>
    <row r="7029" spans="70:82" x14ac:dyDescent="0.15">
      <c r="BR7029" s="34"/>
      <c r="BV7029" s="34"/>
      <c r="BZ7029" s="34"/>
      <c r="CD7029" s="34"/>
    </row>
    <row r="7030" spans="70:82" x14ac:dyDescent="0.15">
      <c r="BR7030" s="34"/>
      <c r="BV7030" s="34"/>
      <c r="BZ7030" s="34"/>
      <c r="CD7030" s="34"/>
    </row>
    <row r="7031" spans="70:82" x14ac:dyDescent="0.15">
      <c r="BR7031" s="34"/>
      <c r="BV7031" s="34"/>
      <c r="BZ7031" s="34"/>
      <c r="CD7031" s="34"/>
    </row>
    <row r="7032" spans="70:82" x14ac:dyDescent="0.15">
      <c r="BR7032" s="34"/>
      <c r="BV7032" s="34"/>
      <c r="BZ7032" s="34"/>
      <c r="CD7032" s="34"/>
    </row>
    <row r="7033" spans="70:82" x14ac:dyDescent="0.15">
      <c r="BR7033" s="34"/>
      <c r="BV7033" s="34"/>
      <c r="BZ7033" s="34"/>
      <c r="CD7033" s="34"/>
    </row>
    <row r="7034" spans="70:82" x14ac:dyDescent="0.15">
      <c r="BR7034" s="34"/>
      <c r="BV7034" s="34"/>
      <c r="BZ7034" s="34"/>
      <c r="CD7034" s="34"/>
    </row>
    <row r="7035" spans="70:82" x14ac:dyDescent="0.15">
      <c r="BR7035" s="34"/>
      <c r="BV7035" s="34"/>
      <c r="BZ7035" s="34"/>
      <c r="CD7035" s="34"/>
    </row>
    <row r="7036" spans="70:82" x14ac:dyDescent="0.15">
      <c r="BR7036" s="34"/>
      <c r="BV7036" s="34"/>
      <c r="BZ7036" s="34"/>
      <c r="CD7036" s="34"/>
    </row>
    <row r="7037" spans="70:82" x14ac:dyDescent="0.15">
      <c r="BR7037" s="34"/>
      <c r="BV7037" s="34"/>
      <c r="BZ7037" s="34"/>
      <c r="CD7037" s="34"/>
    </row>
    <row r="7038" spans="70:82" x14ac:dyDescent="0.15">
      <c r="BR7038" s="34"/>
      <c r="BV7038" s="34"/>
      <c r="BZ7038" s="34"/>
      <c r="CD7038" s="34"/>
    </row>
    <row r="7039" spans="70:82" x14ac:dyDescent="0.15">
      <c r="BR7039" s="34"/>
      <c r="BV7039" s="34"/>
      <c r="BZ7039" s="34"/>
      <c r="CD7039" s="34"/>
    </row>
    <row r="7040" spans="70:82" x14ac:dyDescent="0.15">
      <c r="BR7040" s="34"/>
      <c r="BV7040" s="34"/>
      <c r="BZ7040" s="34"/>
      <c r="CD7040" s="34"/>
    </row>
    <row r="7041" spans="70:82" x14ac:dyDescent="0.15">
      <c r="BR7041" s="34"/>
      <c r="BV7041" s="34"/>
      <c r="BZ7041" s="34"/>
      <c r="CD7041" s="34"/>
    </row>
    <row r="7042" spans="70:82" x14ac:dyDescent="0.15">
      <c r="BR7042" s="34"/>
      <c r="BV7042" s="34"/>
      <c r="BZ7042" s="34"/>
      <c r="CD7042" s="34"/>
    </row>
    <row r="7043" spans="70:82" x14ac:dyDescent="0.15">
      <c r="BR7043" s="34"/>
      <c r="BV7043" s="34"/>
      <c r="BZ7043" s="34"/>
      <c r="CD7043" s="34"/>
    </row>
    <row r="7044" spans="70:82" x14ac:dyDescent="0.15">
      <c r="BR7044" s="34"/>
      <c r="BV7044" s="34"/>
      <c r="BZ7044" s="34"/>
      <c r="CD7044" s="34"/>
    </row>
    <row r="7045" spans="70:82" x14ac:dyDescent="0.15">
      <c r="BR7045" s="34"/>
      <c r="BV7045" s="34"/>
      <c r="BZ7045" s="34"/>
      <c r="CD7045" s="34"/>
    </row>
    <row r="7046" spans="70:82" x14ac:dyDescent="0.15">
      <c r="BR7046" s="34"/>
      <c r="BV7046" s="34"/>
      <c r="BZ7046" s="34"/>
      <c r="CD7046" s="34"/>
    </row>
    <row r="7047" spans="70:82" x14ac:dyDescent="0.15">
      <c r="BR7047" s="34"/>
      <c r="BV7047" s="34"/>
      <c r="BZ7047" s="34"/>
      <c r="CD7047" s="34"/>
    </row>
    <row r="7048" spans="70:82" x14ac:dyDescent="0.15">
      <c r="BR7048" s="34"/>
      <c r="BV7048" s="34"/>
      <c r="BZ7048" s="34"/>
      <c r="CD7048" s="34"/>
    </row>
    <row r="7049" spans="70:82" x14ac:dyDescent="0.15">
      <c r="BR7049" s="34"/>
      <c r="BV7049" s="34"/>
      <c r="BZ7049" s="34"/>
      <c r="CD7049" s="34"/>
    </row>
    <row r="7050" spans="70:82" x14ac:dyDescent="0.15">
      <c r="BR7050" s="34"/>
      <c r="BV7050" s="34"/>
      <c r="BZ7050" s="34"/>
      <c r="CD7050" s="34"/>
    </row>
    <row r="7051" spans="70:82" x14ac:dyDescent="0.15">
      <c r="BR7051" s="34"/>
      <c r="BV7051" s="34"/>
      <c r="BZ7051" s="34"/>
      <c r="CD7051" s="34"/>
    </row>
    <row r="7052" spans="70:82" x14ac:dyDescent="0.15">
      <c r="BR7052" s="34"/>
      <c r="BV7052" s="34"/>
      <c r="BZ7052" s="34"/>
      <c r="CD7052" s="34"/>
    </row>
    <row r="7053" spans="70:82" x14ac:dyDescent="0.15">
      <c r="BR7053" s="34"/>
      <c r="BV7053" s="34"/>
      <c r="BZ7053" s="34"/>
      <c r="CD7053" s="34"/>
    </row>
    <row r="7054" spans="70:82" x14ac:dyDescent="0.15">
      <c r="BR7054" s="34"/>
      <c r="BV7054" s="34"/>
      <c r="BZ7054" s="34"/>
      <c r="CD7054" s="34"/>
    </row>
    <row r="7055" spans="70:82" x14ac:dyDescent="0.15">
      <c r="BR7055" s="34"/>
      <c r="BV7055" s="34"/>
      <c r="BZ7055" s="34"/>
      <c r="CD7055" s="34"/>
    </row>
    <row r="7056" spans="70:82" x14ac:dyDescent="0.15">
      <c r="BR7056" s="34"/>
      <c r="BV7056" s="34"/>
      <c r="BZ7056" s="34"/>
      <c r="CD7056" s="34"/>
    </row>
    <row r="7057" spans="70:82" x14ac:dyDescent="0.15">
      <c r="BR7057" s="34"/>
      <c r="BV7057" s="34"/>
      <c r="BZ7057" s="34"/>
      <c r="CD7057" s="34"/>
    </row>
    <row r="7058" spans="70:82" x14ac:dyDescent="0.15">
      <c r="BR7058" s="34"/>
      <c r="BV7058" s="34"/>
      <c r="BZ7058" s="34"/>
      <c r="CD7058" s="34"/>
    </row>
    <row r="7059" spans="70:82" x14ac:dyDescent="0.15">
      <c r="BR7059" s="34"/>
      <c r="BV7059" s="34"/>
      <c r="BZ7059" s="34"/>
      <c r="CD7059" s="34"/>
    </row>
    <row r="7060" spans="70:82" x14ac:dyDescent="0.15">
      <c r="BR7060" s="34"/>
      <c r="BV7060" s="34"/>
      <c r="BZ7060" s="34"/>
      <c r="CD7060" s="34"/>
    </row>
    <row r="7061" spans="70:82" x14ac:dyDescent="0.15">
      <c r="BR7061" s="34"/>
      <c r="BV7061" s="34"/>
      <c r="BZ7061" s="34"/>
      <c r="CD7061" s="34"/>
    </row>
    <row r="7062" spans="70:82" x14ac:dyDescent="0.15">
      <c r="BR7062" s="34"/>
      <c r="BV7062" s="34"/>
      <c r="BZ7062" s="34"/>
      <c r="CD7062" s="34"/>
    </row>
    <row r="7063" spans="70:82" x14ac:dyDescent="0.15">
      <c r="BR7063" s="34"/>
      <c r="BV7063" s="34"/>
      <c r="BZ7063" s="34"/>
      <c r="CD7063" s="34"/>
    </row>
    <row r="7064" spans="70:82" x14ac:dyDescent="0.15">
      <c r="BR7064" s="34"/>
      <c r="BV7064" s="34"/>
      <c r="BZ7064" s="34"/>
      <c r="CD7064" s="34"/>
    </row>
    <row r="7065" spans="70:82" x14ac:dyDescent="0.15">
      <c r="BR7065" s="34"/>
      <c r="BV7065" s="34"/>
      <c r="BZ7065" s="34"/>
      <c r="CD7065" s="34"/>
    </row>
    <row r="7066" spans="70:82" x14ac:dyDescent="0.15">
      <c r="BR7066" s="34"/>
      <c r="BV7066" s="34"/>
      <c r="BZ7066" s="34"/>
      <c r="CD7066" s="34"/>
    </row>
    <row r="7067" spans="70:82" x14ac:dyDescent="0.15">
      <c r="BR7067" s="34"/>
      <c r="BV7067" s="34"/>
      <c r="BZ7067" s="34"/>
      <c r="CD7067" s="34"/>
    </row>
    <row r="7068" spans="70:82" x14ac:dyDescent="0.15">
      <c r="BR7068" s="34"/>
      <c r="BV7068" s="34"/>
      <c r="BZ7068" s="34"/>
      <c r="CD7068" s="34"/>
    </row>
    <row r="7069" spans="70:82" x14ac:dyDescent="0.15">
      <c r="BR7069" s="34"/>
      <c r="BV7069" s="34"/>
      <c r="BZ7069" s="34"/>
      <c r="CD7069" s="34"/>
    </row>
    <row r="7070" spans="70:82" x14ac:dyDescent="0.15">
      <c r="BR7070" s="34"/>
      <c r="BV7070" s="34"/>
      <c r="BZ7070" s="34"/>
      <c r="CD7070" s="34"/>
    </row>
    <row r="7071" spans="70:82" x14ac:dyDescent="0.15">
      <c r="BR7071" s="34"/>
      <c r="BV7071" s="34"/>
      <c r="BZ7071" s="34"/>
      <c r="CD7071" s="34"/>
    </row>
    <row r="7072" spans="70:82" x14ac:dyDescent="0.15">
      <c r="BR7072" s="34"/>
      <c r="BV7072" s="34"/>
      <c r="BZ7072" s="34"/>
      <c r="CD7072" s="34"/>
    </row>
    <row r="7073" spans="70:82" x14ac:dyDescent="0.15">
      <c r="BR7073" s="34"/>
      <c r="BV7073" s="34"/>
      <c r="BZ7073" s="34"/>
      <c r="CD7073" s="34"/>
    </row>
    <row r="7074" spans="70:82" x14ac:dyDescent="0.15">
      <c r="BR7074" s="34"/>
      <c r="BV7074" s="34"/>
      <c r="BZ7074" s="34"/>
      <c r="CD7074" s="34"/>
    </row>
    <row r="7075" spans="70:82" x14ac:dyDescent="0.15">
      <c r="BR7075" s="34"/>
      <c r="BV7075" s="34"/>
      <c r="BZ7075" s="34"/>
      <c r="CD7075" s="34"/>
    </row>
    <row r="7076" spans="70:82" x14ac:dyDescent="0.15">
      <c r="BR7076" s="34"/>
      <c r="BV7076" s="34"/>
      <c r="BZ7076" s="34"/>
      <c r="CD7076" s="34"/>
    </row>
    <row r="7077" spans="70:82" x14ac:dyDescent="0.15">
      <c r="BR7077" s="34"/>
      <c r="BV7077" s="34"/>
      <c r="BZ7077" s="34"/>
      <c r="CD7077" s="34"/>
    </row>
    <row r="7078" spans="70:82" x14ac:dyDescent="0.15">
      <c r="BR7078" s="34"/>
      <c r="BV7078" s="34"/>
      <c r="BZ7078" s="34"/>
      <c r="CD7078" s="34"/>
    </row>
    <row r="7079" spans="70:82" x14ac:dyDescent="0.15">
      <c r="BR7079" s="34"/>
      <c r="BV7079" s="34"/>
      <c r="BZ7079" s="34"/>
      <c r="CD7079" s="34"/>
    </row>
    <row r="7080" spans="70:82" x14ac:dyDescent="0.15">
      <c r="BR7080" s="34"/>
      <c r="BV7080" s="34"/>
      <c r="BZ7080" s="34"/>
      <c r="CD7080" s="34"/>
    </row>
    <row r="7081" spans="70:82" x14ac:dyDescent="0.15">
      <c r="BR7081" s="34"/>
      <c r="BV7081" s="34"/>
      <c r="BZ7081" s="34"/>
      <c r="CD7081" s="34"/>
    </row>
    <row r="7082" spans="70:82" x14ac:dyDescent="0.15">
      <c r="BR7082" s="34"/>
      <c r="BV7082" s="34"/>
      <c r="BZ7082" s="34"/>
      <c r="CD7082" s="34"/>
    </row>
    <row r="7083" spans="70:82" x14ac:dyDescent="0.15">
      <c r="BR7083" s="34"/>
      <c r="BV7083" s="34"/>
      <c r="BZ7083" s="34"/>
      <c r="CD7083" s="34"/>
    </row>
    <row r="7084" spans="70:82" x14ac:dyDescent="0.15">
      <c r="BR7084" s="34"/>
      <c r="BV7084" s="34"/>
      <c r="BZ7084" s="34"/>
      <c r="CD7084" s="34"/>
    </row>
    <row r="7085" spans="70:82" x14ac:dyDescent="0.15">
      <c r="BR7085" s="34"/>
      <c r="BV7085" s="34"/>
      <c r="BZ7085" s="34"/>
      <c r="CD7085" s="34"/>
    </row>
    <row r="7086" spans="70:82" x14ac:dyDescent="0.15">
      <c r="BR7086" s="34"/>
      <c r="BV7086" s="34"/>
      <c r="BZ7086" s="34"/>
      <c r="CD7086" s="34"/>
    </row>
    <row r="7087" spans="70:82" x14ac:dyDescent="0.15">
      <c r="BR7087" s="34"/>
      <c r="BV7087" s="34"/>
      <c r="BZ7087" s="34"/>
      <c r="CD7087" s="34"/>
    </row>
    <row r="7088" spans="70:82" x14ac:dyDescent="0.15">
      <c r="BR7088" s="34"/>
      <c r="BV7088" s="34"/>
      <c r="BZ7088" s="34"/>
      <c r="CD7088" s="34"/>
    </row>
    <row r="7089" spans="70:82" x14ac:dyDescent="0.15">
      <c r="BR7089" s="34"/>
      <c r="BV7089" s="34"/>
      <c r="BZ7089" s="34"/>
      <c r="CD7089" s="34"/>
    </row>
    <row r="7090" spans="70:82" x14ac:dyDescent="0.15">
      <c r="BR7090" s="34"/>
      <c r="BV7090" s="34"/>
      <c r="BZ7090" s="34"/>
      <c r="CD7090" s="34"/>
    </row>
    <row r="7091" spans="70:82" x14ac:dyDescent="0.15">
      <c r="BR7091" s="34"/>
      <c r="BV7091" s="34"/>
      <c r="BZ7091" s="34"/>
      <c r="CD7091" s="34"/>
    </row>
    <row r="7092" spans="70:82" x14ac:dyDescent="0.15">
      <c r="BR7092" s="34"/>
      <c r="BV7092" s="34"/>
      <c r="BZ7092" s="34"/>
      <c r="CD7092" s="34"/>
    </row>
    <row r="7093" spans="70:82" x14ac:dyDescent="0.15">
      <c r="BR7093" s="34"/>
      <c r="BV7093" s="34"/>
      <c r="BZ7093" s="34"/>
      <c r="CD7093" s="34"/>
    </row>
    <row r="7094" spans="70:82" x14ac:dyDescent="0.15">
      <c r="BR7094" s="34"/>
      <c r="BV7094" s="34"/>
      <c r="BZ7094" s="34"/>
      <c r="CD7094" s="34"/>
    </row>
    <row r="7095" spans="70:82" x14ac:dyDescent="0.15">
      <c r="BR7095" s="34"/>
      <c r="BV7095" s="34"/>
      <c r="BZ7095" s="34"/>
      <c r="CD7095" s="34"/>
    </row>
    <row r="7096" spans="70:82" x14ac:dyDescent="0.15">
      <c r="BR7096" s="34"/>
      <c r="BV7096" s="34"/>
      <c r="BZ7096" s="34"/>
      <c r="CD7096" s="34"/>
    </row>
    <row r="7097" spans="70:82" x14ac:dyDescent="0.15">
      <c r="BR7097" s="34"/>
      <c r="BV7097" s="34"/>
      <c r="BZ7097" s="34"/>
      <c r="CD7097" s="34"/>
    </row>
    <row r="7098" spans="70:82" x14ac:dyDescent="0.15">
      <c r="BR7098" s="34"/>
      <c r="BV7098" s="34"/>
      <c r="BZ7098" s="34"/>
      <c r="CD7098" s="34"/>
    </row>
    <row r="7099" spans="70:82" x14ac:dyDescent="0.15">
      <c r="BR7099" s="34"/>
      <c r="BV7099" s="34"/>
      <c r="BZ7099" s="34"/>
      <c r="CD7099" s="34"/>
    </row>
    <row r="7100" spans="70:82" x14ac:dyDescent="0.15">
      <c r="BR7100" s="34"/>
      <c r="BV7100" s="34"/>
      <c r="BZ7100" s="34"/>
      <c r="CD7100" s="34"/>
    </row>
    <row r="7101" spans="70:82" x14ac:dyDescent="0.15">
      <c r="BR7101" s="34"/>
      <c r="BV7101" s="34"/>
      <c r="BZ7101" s="34"/>
      <c r="CD7101" s="34"/>
    </row>
    <row r="7102" spans="70:82" x14ac:dyDescent="0.15">
      <c r="BR7102" s="34"/>
      <c r="BV7102" s="34"/>
      <c r="BZ7102" s="34"/>
      <c r="CD7102" s="34"/>
    </row>
    <row r="7103" spans="70:82" x14ac:dyDescent="0.15">
      <c r="BR7103" s="34"/>
      <c r="BV7103" s="34"/>
      <c r="BZ7103" s="34"/>
      <c r="CD7103" s="34"/>
    </row>
    <row r="7104" spans="70:82" x14ac:dyDescent="0.15">
      <c r="BR7104" s="34"/>
      <c r="BV7104" s="34"/>
      <c r="BZ7104" s="34"/>
      <c r="CD7104" s="34"/>
    </row>
    <row r="7105" spans="70:82" x14ac:dyDescent="0.15">
      <c r="BR7105" s="34"/>
      <c r="BV7105" s="34"/>
      <c r="BZ7105" s="34"/>
      <c r="CD7105" s="34"/>
    </row>
    <row r="7106" spans="70:82" x14ac:dyDescent="0.15">
      <c r="BR7106" s="34"/>
      <c r="BV7106" s="34"/>
      <c r="BZ7106" s="34"/>
      <c r="CD7106" s="34"/>
    </row>
    <row r="7107" spans="70:82" x14ac:dyDescent="0.15">
      <c r="BR7107" s="34"/>
      <c r="BV7107" s="34"/>
      <c r="BZ7107" s="34"/>
      <c r="CD7107" s="34"/>
    </row>
    <row r="7108" spans="70:82" x14ac:dyDescent="0.15">
      <c r="BR7108" s="34"/>
      <c r="BV7108" s="34"/>
      <c r="BZ7108" s="34"/>
      <c r="CD7108" s="34"/>
    </row>
    <row r="7109" spans="70:82" x14ac:dyDescent="0.15">
      <c r="BR7109" s="34"/>
      <c r="BV7109" s="34"/>
      <c r="BZ7109" s="34"/>
      <c r="CD7109" s="34"/>
    </row>
    <row r="7110" spans="70:82" x14ac:dyDescent="0.15">
      <c r="BR7110" s="34"/>
      <c r="BV7110" s="34"/>
      <c r="BZ7110" s="34"/>
      <c r="CD7110" s="34"/>
    </row>
    <row r="7111" spans="70:82" x14ac:dyDescent="0.15">
      <c r="BR7111" s="34"/>
      <c r="BV7111" s="34"/>
      <c r="BZ7111" s="34"/>
      <c r="CD7111" s="34"/>
    </row>
    <row r="7112" spans="70:82" x14ac:dyDescent="0.15">
      <c r="BR7112" s="34"/>
      <c r="BV7112" s="34"/>
      <c r="BZ7112" s="34"/>
      <c r="CD7112" s="34"/>
    </row>
    <row r="7113" spans="70:82" x14ac:dyDescent="0.15">
      <c r="BR7113" s="34"/>
      <c r="BV7113" s="34"/>
      <c r="BZ7113" s="34"/>
      <c r="CD7113" s="34"/>
    </row>
    <row r="7114" spans="70:82" x14ac:dyDescent="0.15">
      <c r="BR7114" s="34"/>
      <c r="BV7114" s="34"/>
      <c r="BZ7114" s="34"/>
      <c r="CD7114" s="34"/>
    </row>
    <row r="7115" spans="70:82" x14ac:dyDescent="0.15">
      <c r="BR7115" s="34"/>
      <c r="BV7115" s="34"/>
      <c r="BZ7115" s="34"/>
      <c r="CD7115" s="34"/>
    </row>
    <row r="7116" spans="70:82" x14ac:dyDescent="0.15">
      <c r="BR7116" s="34"/>
      <c r="BV7116" s="34"/>
      <c r="BZ7116" s="34"/>
      <c r="CD7116" s="34"/>
    </row>
    <row r="7117" spans="70:82" x14ac:dyDescent="0.15">
      <c r="BR7117" s="34"/>
      <c r="BV7117" s="34"/>
      <c r="BZ7117" s="34"/>
      <c r="CD7117" s="34"/>
    </row>
    <row r="7118" spans="70:82" x14ac:dyDescent="0.15">
      <c r="BR7118" s="34"/>
      <c r="BV7118" s="34"/>
      <c r="BZ7118" s="34"/>
      <c r="CD7118" s="34"/>
    </row>
    <row r="7119" spans="70:82" x14ac:dyDescent="0.15">
      <c r="BR7119" s="34"/>
      <c r="BV7119" s="34"/>
      <c r="BZ7119" s="34"/>
      <c r="CD7119" s="34"/>
    </row>
    <row r="7120" spans="70:82" x14ac:dyDescent="0.15">
      <c r="BR7120" s="34"/>
      <c r="BV7120" s="34"/>
      <c r="BZ7120" s="34"/>
      <c r="CD7120" s="34"/>
    </row>
    <row r="7121" spans="70:82" x14ac:dyDescent="0.15">
      <c r="BR7121" s="34"/>
      <c r="BV7121" s="34"/>
      <c r="BZ7121" s="34"/>
      <c r="CD7121" s="34"/>
    </row>
    <row r="7122" spans="70:82" x14ac:dyDescent="0.15">
      <c r="BR7122" s="34"/>
      <c r="BV7122" s="34"/>
      <c r="BZ7122" s="34"/>
      <c r="CD7122" s="34"/>
    </row>
    <row r="7123" spans="70:82" x14ac:dyDescent="0.15">
      <c r="BR7123" s="34"/>
      <c r="BV7123" s="34"/>
      <c r="BZ7123" s="34"/>
      <c r="CD7123" s="34"/>
    </row>
    <row r="7124" spans="70:82" x14ac:dyDescent="0.15">
      <c r="BR7124" s="34"/>
      <c r="BV7124" s="34"/>
      <c r="BZ7124" s="34"/>
      <c r="CD7124" s="34"/>
    </row>
    <row r="7125" spans="70:82" x14ac:dyDescent="0.15">
      <c r="BR7125" s="34"/>
      <c r="BV7125" s="34"/>
      <c r="BZ7125" s="34"/>
      <c r="CD7125" s="34"/>
    </row>
    <row r="7126" spans="70:82" x14ac:dyDescent="0.15">
      <c r="BR7126" s="34"/>
      <c r="BV7126" s="34"/>
      <c r="BZ7126" s="34"/>
      <c r="CD7126" s="34"/>
    </row>
    <row r="7127" spans="70:82" x14ac:dyDescent="0.15">
      <c r="BR7127" s="34"/>
      <c r="BV7127" s="34"/>
      <c r="BZ7127" s="34"/>
      <c r="CD7127" s="34"/>
    </row>
    <row r="7128" spans="70:82" x14ac:dyDescent="0.15">
      <c r="BR7128" s="34"/>
      <c r="BV7128" s="34"/>
      <c r="BZ7128" s="34"/>
      <c r="CD7128" s="34"/>
    </row>
    <row r="7129" spans="70:82" x14ac:dyDescent="0.15">
      <c r="BR7129" s="34"/>
      <c r="BV7129" s="34"/>
      <c r="BZ7129" s="34"/>
      <c r="CD7129" s="34"/>
    </row>
    <row r="7130" spans="70:82" x14ac:dyDescent="0.15">
      <c r="BR7130" s="34"/>
      <c r="BV7130" s="34"/>
      <c r="BZ7130" s="34"/>
      <c r="CD7130" s="34"/>
    </row>
    <row r="7131" spans="70:82" x14ac:dyDescent="0.15">
      <c r="BR7131" s="34"/>
      <c r="BV7131" s="34"/>
      <c r="BZ7131" s="34"/>
      <c r="CD7131" s="34"/>
    </row>
    <row r="7132" spans="70:82" x14ac:dyDescent="0.15">
      <c r="BR7132" s="34"/>
      <c r="BV7132" s="34"/>
      <c r="BZ7132" s="34"/>
      <c r="CD7132" s="34"/>
    </row>
    <row r="7133" spans="70:82" x14ac:dyDescent="0.15">
      <c r="BR7133" s="34"/>
      <c r="BV7133" s="34"/>
      <c r="BZ7133" s="34"/>
      <c r="CD7133" s="34"/>
    </row>
    <row r="7134" spans="70:82" x14ac:dyDescent="0.15">
      <c r="BR7134" s="34"/>
      <c r="BV7134" s="34"/>
      <c r="BZ7134" s="34"/>
      <c r="CD7134" s="34"/>
    </row>
    <row r="7135" spans="70:82" x14ac:dyDescent="0.15">
      <c r="BR7135" s="34"/>
      <c r="BV7135" s="34"/>
      <c r="BZ7135" s="34"/>
      <c r="CD7135" s="34"/>
    </row>
    <row r="7136" spans="70:82" x14ac:dyDescent="0.15">
      <c r="BR7136" s="34"/>
      <c r="BV7136" s="34"/>
      <c r="BZ7136" s="34"/>
      <c r="CD7136" s="34"/>
    </row>
    <row r="7137" spans="70:82" x14ac:dyDescent="0.15">
      <c r="BR7137" s="34"/>
      <c r="BV7137" s="34"/>
      <c r="BZ7137" s="34"/>
      <c r="CD7137" s="34"/>
    </row>
    <row r="7138" spans="70:82" x14ac:dyDescent="0.15">
      <c r="BR7138" s="34"/>
      <c r="BV7138" s="34"/>
      <c r="BZ7138" s="34"/>
      <c r="CD7138" s="34"/>
    </row>
    <row r="7139" spans="70:82" x14ac:dyDescent="0.15">
      <c r="BR7139" s="34"/>
      <c r="BV7139" s="34"/>
      <c r="BZ7139" s="34"/>
      <c r="CD7139" s="34"/>
    </row>
    <row r="7140" spans="70:82" x14ac:dyDescent="0.15">
      <c r="BR7140" s="34"/>
      <c r="BV7140" s="34"/>
      <c r="BZ7140" s="34"/>
      <c r="CD7140" s="34"/>
    </row>
    <row r="7141" spans="70:82" x14ac:dyDescent="0.15">
      <c r="BR7141" s="34"/>
      <c r="BV7141" s="34"/>
      <c r="BZ7141" s="34"/>
      <c r="CD7141" s="34"/>
    </row>
    <row r="7142" spans="70:82" x14ac:dyDescent="0.15">
      <c r="BR7142" s="34"/>
      <c r="BV7142" s="34"/>
      <c r="BZ7142" s="34"/>
      <c r="CD7142" s="34"/>
    </row>
    <row r="7143" spans="70:82" x14ac:dyDescent="0.15">
      <c r="BR7143" s="34"/>
      <c r="BV7143" s="34"/>
      <c r="BZ7143" s="34"/>
      <c r="CD7143" s="34"/>
    </row>
    <row r="7144" spans="70:82" x14ac:dyDescent="0.15">
      <c r="BR7144" s="34"/>
      <c r="BV7144" s="34"/>
      <c r="BZ7144" s="34"/>
      <c r="CD7144" s="34"/>
    </row>
    <row r="7145" spans="70:82" x14ac:dyDescent="0.15">
      <c r="BR7145" s="34"/>
      <c r="BV7145" s="34"/>
      <c r="BZ7145" s="34"/>
      <c r="CD7145" s="34"/>
    </row>
    <row r="7146" spans="70:82" x14ac:dyDescent="0.15">
      <c r="BR7146" s="34"/>
      <c r="BV7146" s="34"/>
      <c r="BZ7146" s="34"/>
      <c r="CD7146" s="34"/>
    </row>
    <row r="7147" spans="70:82" x14ac:dyDescent="0.15">
      <c r="BR7147" s="34"/>
      <c r="BV7147" s="34"/>
      <c r="BZ7147" s="34"/>
      <c r="CD7147" s="34"/>
    </row>
    <row r="7148" spans="70:82" x14ac:dyDescent="0.15">
      <c r="BR7148" s="34"/>
      <c r="BV7148" s="34"/>
      <c r="BZ7148" s="34"/>
      <c r="CD7148" s="34"/>
    </row>
    <row r="7149" spans="70:82" x14ac:dyDescent="0.15">
      <c r="BR7149" s="34"/>
      <c r="BV7149" s="34"/>
      <c r="BZ7149" s="34"/>
      <c r="CD7149" s="34"/>
    </row>
    <row r="7150" spans="70:82" x14ac:dyDescent="0.15">
      <c r="BR7150" s="34"/>
      <c r="BV7150" s="34"/>
      <c r="BZ7150" s="34"/>
      <c r="CD7150" s="34"/>
    </row>
    <row r="7151" spans="70:82" x14ac:dyDescent="0.15">
      <c r="BR7151" s="34"/>
      <c r="BV7151" s="34"/>
      <c r="BZ7151" s="34"/>
      <c r="CD7151" s="34"/>
    </row>
    <row r="7152" spans="70:82" x14ac:dyDescent="0.15">
      <c r="BR7152" s="34"/>
      <c r="BV7152" s="34"/>
      <c r="BZ7152" s="34"/>
      <c r="CD7152" s="34"/>
    </row>
    <row r="7153" spans="70:82" x14ac:dyDescent="0.15">
      <c r="BR7153" s="34"/>
      <c r="BV7153" s="34"/>
      <c r="BZ7153" s="34"/>
      <c r="CD7153" s="34"/>
    </row>
    <row r="7154" spans="70:82" x14ac:dyDescent="0.15">
      <c r="BR7154" s="34"/>
      <c r="BV7154" s="34"/>
      <c r="BZ7154" s="34"/>
      <c r="CD7154" s="34"/>
    </row>
    <row r="7155" spans="70:82" x14ac:dyDescent="0.15">
      <c r="BR7155" s="34"/>
      <c r="BV7155" s="34"/>
      <c r="BZ7155" s="34"/>
      <c r="CD7155" s="34"/>
    </row>
    <row r="7156" spans="70:82" x14ac:dyDescent="0.15">
      <c r="BR7156" s="34"/>
      <c r="BV7156" s="34"/>
      <c r="BZ7156" s="34"/>
      <c r="CD7156" s="34"/>
    </row>
    <row r="7157" spans="70:82" x14ac:dyDescent="0.15">
      <c r="BR7157" s="34"/>
      <c r="BV7157" s="34"/>
      <c r="BZ7157" s="34"/>
      <c r="CD7157" s="34"/>
    </row>
    <row r="7158" spans="70:82" x14ac:dyDescent="0.15">
      <c r="BR7158" s="34"/>
      <c r="BV7158" s="34"/>
      <c r="BZ7158" s="34"/>
      <c r="CD7158" s="34"/>
    </row>
    <row r="7159" spans="70:82" x14ac:dyDescent="0.15">
      <c r="BR7159" s="34"/>
      <c r="BV7159" s="34"/>
      <c r="BZ7159" s="34"/>
      <c r="CD7159" s="34"/>
    </row>
    <row r="7160" spans="70:82" x14ac:dyDescent="0.15">
      <c r="BR7160" s="34"/>
      <c r="BV7160" s="34"/>
      <c r="BZ7160" s="34"/>
      <c r="CD7160" s="34"/>
    </row>
    <row r="7161" spans="70:82" x14ac:dyDescent="0.15">
      <c r="BR7161" s="34"/>
      <c r="BV7161" s="34"/>
      <c r="BZ7161" s="34"/>
      <c r="CD7161" s="34"/>
    </row>
    <row r="7162" spans="70:82" x14ac:dyDescent="0.15">
      <c r="BR7162" s="34"/>
      <c r="BV7162" s="34"/>
      <c r="BZ7162" s="34"/>
      <c r="CD7162" s="34"/>
    </row>
    <row r="7163" spans="70:82" x14ac:dyDescent="0.15">
      <c r="BR7163" s="34"/>
      <c r="BV7163" s="34"/>
      <c r="BZ7163" s="34"/>
      <c r="CD7163" s="34"/>
    </row>
    <row r="7164" spans="70:82" x14ac:dyDescent="0.15">
      <c r="BR7164" s="34"/>
      <c r="BV7164" s="34"/>
      <c r="BZ7164" s="34"/>
      <c r="CD7164" s="34"/>
    </row>
    <row r="7165" spans="70:82" x14ac:dyDescent="0.15">
      <c r="BR7165" s="34"/>
      <c r="BV7165" s="34"/>
      <c r="BZ7165" s="34"/>
      <c r="CD7165" s="34"/>
    </row>
    <row r="7166" spans="70:82" x14ac:dyDescent="0.15">
      <c r="BR7166" s="34"/>
      <c r="BV7166" s="34"/>
      <c r="BZ7166" s="34"/>
      <c r="CD7166" s="34"/>
    </row>
    <row r="7167" spans="70:82" x14ac:dyDescent="0.15">
      <c r="BR7167" s="34"/>
      <c r="BV7167" s="34"/>
      <c r="BZ7167" s="34"/>
      <c r="CD7167" s="34"/>
    </row>
    <row r="7168" spans="70:82" x14ac:dyDescent="0.15">
      <c r="BR7168" s="34"/>
      <c r="BV7168" s="34"/>
      <c r="BZ7168" s="34"/>
      <c r="CD7168" s="34"/>
    </row>
    <row r="7169" spans="70:82" x14ac:dyDescent="0.15">
      <c r="BR7169" s="34"/>
      <c r="BV7169" s="34"/>
      <c r="BZ7169" s="34"/>
      <c r="CD7169" s="34"/>
    </row>
    <row r="7170" spans="70:82" x14ac:dyDescent="0.15">
      <c r="BR7170" s="34"/>
      <c r="BV7170" s="34"/>
      <c r="BZ7170" s="34"/>
      <c r="CD7170" s="34"/>
    </row>
    <row r="7171" spans="70:82" x14ac:dyDescent="0.15">
      <c r="BR7171" s="34"/>
      <c r="BV7171" s="34"/>
      <c r="BZ7171" s="34"/>
      <c r="CD7171" s="34"/>
    </row>
    <row r="7172" spans="70:82" x14ac:dyDescent="0.15">
      <c r="BR7172" s="34"/>
      <c r="BV7172" s="34"/>
      <c r="BZ7172" s="34"/>
      <c r="CD7172" s="34"/>
    </row>
    <row r="7173" spans="70:82" x14ac:dyDescent="0.15">
      <c r="BR7173" s="34"/>
      <c r="BV7173" s="34"/>
      <c r="BZ7173" s="34"/>
      <c r="CD7173" s="34"/>
    </row>
    <row r="7174" spans="70:82" x14ac:dyDescent="0.15">
      <c r="BR7174" s="34"/>
      <c r="BV7174" s="34"/>
      <c r="BZ7174" s="34"/>
      <c r="CD7174" s="34"/>
    </row>
    <row r="7175" spans="70:82" x14ac:dyDescent="0.15">
      <c r="BR7175" s="34"/>
      <c r="BV7175" s="34"/>
      <c r="BZ7175" s="34"/>
      <c r="CD7175" s="34"/>
    </row>
    <row r="7176" spans="70:82" x14ac:dyDescent="0.15">
      <c r="BR7176" s="34"/>
      <c r="BV7176" s="34"/>
      <c r="BZ7176" s="34"/>
      <c r="CD7176" s="34"/>
    </row>
    <row r="7177" spans="70:82" x14ac:dyDescent="0.15">
      <c r="BR7177" s="34"/>
      <c r="BV7177" s="34"/>
      <c r="BZ7177" s="34"/>
      <c r="CD7177" s="34"/>
    </row>
    <row r="7178" spans="70:82" x14ac:dyDescent="0.15">
      <c r="BR7178" s="34"/>
      <c r="BV7178" s="34"/>
      <c r="BZ7178" s="34"/>
      <c r="CD7178" s="34"/>
    </row>
    <row r="7179" spans="70:82" x14ac:dyDescent="0.15">
      <c r="BR7179" s="34"/>
      <c r="BV7179" s="34"/>
      <c r="BZ7179" s="34"/>
      <c r="CD7179" s="34"/>
    </row>
    <row r="7180" spans="70:82" x14ac:dyDescent="0.15">
      <c r="BR7180" s="34"/>
      <c r="BV7180" s="34"/>
      <c r="BZ7180" s="34"/>
      <c r="CD7180" s="34"/>
    </row>
    <row r="7181" spans="70:82" x14ac:dyDescent="0.15">
      <c r="BR7181" s="34"/>
      <c r="BV7181" s="34"/>
      <c r="BZ7181" s="34"/>
      <c r="CD7181" s="34"/>
    </row>
    <row r="7182" spans="70:82" x14ac:dyDescent="0.15">
      <c r="BR7182" s="34"/>
      <c r="BV7182" s="34"/>
      <c r="BZ7182" s="34"/>
      <c r="CD7182" s="34"/>
    </row>
    <row r="7183" spans="70:82" x14ac:dyDescent="0.15">
      <c r="BR7183" s="34"/>
      <c r="BV7183" s="34"/>
      <c r="BZ7183" s="34"/>
      <c r="CD7183" s="34"/>
    </row>
    <row r="7184" spans="70:82" x14ac:dyDescent="0.15">
      <c r="BR7184" s="34"/>
      <c r="BV7184" s="34"/>
      <c r="BZ7184" s="34"/>
      <c r="CD7184" s="34"/>
    </row>
    <row r="7185" spans="70:82" x14ac:dyDescent="0.15">
      <c r="BR7185" s="34"/>
      <c r="BV7185" s="34"/>
      <c r="BZ7185" s="34"/>
      <c r="CD7185" s="34"/>
    </row>
    <row r="7186" spans="70:82" x14ac:dyDescent="0.15">
      <c r="BR7186" s="34"/>
      <c r="BV7186" s="34"/>
      <c r="BZ7186" s="34"/>
      <c r="CD7186" s="34"/>
    </row>
    <row r="7187" spans="70:82" x14ac:dyDescent="0.15">
      <c r="BR7187" s="34"/>
      <c r="BV7187" s="34"/>
      <c r="BZ7187" s="34"/>
      <c r="CD7187" s="34"/>
    </row>
    <row r="7188" spans="70:82" x14ac:dyDescent="0.15">
      <c r="BR7188" s="34"/>
      <c r="BV7188" s="34"/>
      <c r="BZ7188" s="34"/>
      <c r="CD7188" s="34"/>
    </row>
    <row r="7189" spans="70:82" x14ac:dyDescent="0.15">
      <c r="BR7189" s="34"/>
      <c r="BV7189" s="34"/>
      <c r="BZ7189" s="34"/>
      <c r="CD7189" s="34"/>
    </row>
    <row r="7190" spans="70:82" x14ac:dyDescent="0.15">
      <c r="BR7190" s="34"/>
      <c r="BV7190" s="34"/>
      <c r="BZ7190" s="34"/>
      <c r="CD7190" s="34"/>
    </row>
    <row r="7191" spans="70:82" x14ac:dyDescent="0.15">
      <c r="BR7191" s="34"/>
      <c r="BV7191" s="34"/>
      <c r="BZ7191" s="34"/>
      <c r="CD7191" s="34"/>
    </row>
    <row r="7192" spans="70:82" x14ac:dyDescent="0.15">
      <c r="BR7192" s="34"/>
      <c r="BV7192" s="34"/>
      <c r="BZ7192" s="34"/>
      <c r="CD7192" s="34"/>
    </row>
    <row r="7193" spans="70:82" x14ac:dyDescent="0.15">
      <c r="BR7193" s="34"/>
      <c r="BV7193" s="34"/>
      <c r="BZ7193" s="34"/>
      <c r="CD7193" s="34"/>
    </row>
    <row r="7194" spans="70:82" x14ac:dyDescent="0.15">
      <c r="BR7194" s="34"/>
      <c r="BV7194" s="34"/>
      <c r="BZ7194" s="34"/>
      <c r="CD7194" s="34"/>
    </row>
    <row r="7195" spans="70:82" x14ac:dyDescent="0.15">
      <c r="BR7195" s="34"/>
      <c r="BV7195" s="34"/>
      <c r="BZ7195" s="34"/>
      <c r="CD7195" s="34"/>
    </row>
    <row r="7196" spans="70:82" x14ac:dyDescent="0.15">
      <c r="BR7196" s="34"/>
      <c r="BV7196" s="34"/>
      <c r="BZ7196" s="34"/>
      <c r="CD7196" s="34"/>
    </row>
    <row r="7197" spans="70:82" x14ac:dyDescent="0.15">
      <c r="BR7197" s="34"/>
      <c r="BV7197" s="34"/>
      <c r="BZ7197" s="34"/>
      <c r="CD7197" s="34"/>
    </row>
    <row r="7198" spans="70:82" x14ac:dyDescent="0.15">
      <c r="BR7198" s="34"/>
      <c r="BV7198" s="34"/>
      <c r="BZ7198" s="34"/>
      <c r="CD7198" s="34"/>
    </row>
    <row r="7199" spans="70:82" x14ac:dyDescent="0.15">
      <c r="BR7199" s="34"/>
      <c r="BV7199" s="34"/>
      <c r="BZ7199" s="34"/>
      <c r="CD7199" s="34"/>
    </row>
    <row r="7200" spans="70:82" x14ac:dyDescent="0.15">
      <c r="BR7200" s="34"/>
      <c r="BV7200" s="34"/>
      <c r="BZ7200" s="34"/>
      <c r="CD7200" s="34"/>
    </row>
    <row r="7201" spans="70:82" x14ac:dyDescent="0.15">
      <c r="BR7201" s="34"/>
      <c r="BV7201" s="34"/>
      <c r="BZ7201" s="34"/>
      <c r="CD7201" s="34"/>
    </row>
    <row r="7202" spans="70:82" x14ac:dyDescent="0.15">
      <c r="BR7202" s="34"/>
      <c r="BV7202" s="34"/>
      <c r="BZ7202" s="34"/>
      <c r="CD7202" s="34"/>
    </row>
    <row r="7203" spans="70:82" x14ac:dyDescent="0.15">
      <c r="BR7203" s="34"/>
      <c r="BV7203" s="34"/>
      <c r="BZ7203" s="34"/>
      <c r="CD7203" s="34"/>
    </row>
    <row r="7204" spans="70:82" x14ac:dyDescent="0.15">
      <c r="BR7204" s="34"/>
      <c r="BV7204" s="34"/>
      <c r="BZ7204" s="34"/>
      <c r="CD7204" s="34"/>
    </row>
    <row r="7205" spans="70:82" x14ac:dyDescent="0.15">
      <c r="BR7205" s="34"/>
      <c r="BV7205" s="34"/>
      <c r="BZ7205" s="34"/>
      <c r="CD7205" s="34"/>
    </row>
    <row r="7206" spans="70:82" x14ac:dyDescent="0.15">
      <c r="BR7206" s="34"/>
      <c r="BV7206" s="34"/>
      <c r="BZ7206" s="34"/>
      <c r="CD7206" s="34"/>
    </row>
    <row r="7207" spans="70:82" x14ac:dyDescent="0.15">
      <c r="BR7207" s="34"/>
      <c r="BV7207" s="34"/>
      <c r="BZ7207" s="34"/>
      <c r="CD7207" s="34"/>
    </row>
    <row r="7208" spans="70:82" x14ac:dyDescent="0.15">
      <c r="BR7208" s="34"/>
      <c r="BV7208" s="34"/>
      <c r="BZ7208" s="34"/>
      <c r="CD7208" s="34"/>
    </row>
    <row r="7209" spans="70:82" x14ac:dyDescent="0.15">
      <c r="BR7209" s="34"/>
      <c r="BV7209" s="34"/>
      <c r="BZ7209" s="34"/>
      <c r="CD7209" s="34"/>
    </row>
    <row r="7210" spans="70:82" x14ac:dyDescent="0.15">
      <c r="BR7210" s="34"/>
      <c r="BV7210" s="34"/>
      <c r="BZ7210" s="34"/>
      <c r="CD7210" s="34"/>
    </row>
    <row r="7211" spans="70:82" x14ac:dyDescent="0.15">
      <c r="BR7211" s="34"/>
      <c r="BV7211" s="34"/>
      <c r="BZ7211" s="34"/>
      <c r="CD7211" s="34"/>
    </row>
    <row r="7212" spans="70:82" x14ac:dyDescent="0.15">
      <c r="BR7212" s="34"/>
      <c r="BV7212" s="34"/>
      <c r="BZ7212" s="34"/>
      <c r="CD7212" s="34"/>
    </row>
    <row r="7213" spans="70:82" x14ac:dyDescent="0.15">
      <c r="BR7213" s="34"/>
      <c r="BV7213" s="34"/>
      <c r="BZ7213" s="34"/>
      <c r="CD7213" s="34"/>
    </row>
    <row r="7214" spans="70:82" x14ac:dyDescent="0.15">
      <c r="BR7214" s="34"/>
      <c r="BV7214" s="34"/>
      <c r="BZ7214" s="34"/>
      <c r="CD7214" s="34"/>
    </row>
    <row r="7215" spans="70:82" x14ac:dyDescent="0.15">
      <c r="BR7215" s="34"/>
      <c r="BV7215" s="34"/>
      <c r="BZ7215" s="34"/>
      <c r="CD7215" s="34"/>
    </row>
    <row r="7216" spans="70:82" x14ac:dyDescent="0.15">
      <c r="BR7216" s="34"/>
      <c r="BV7216" s="34"/>
      <c r="BZ7216" s="34"/>
      <c r="CD7216" s="34"/>
    </row>
    <row r="7217" spans="70:82" x14ac:dyDescent="0.15">
      <c r="BR7217" s="34"/>
      <c r="BV7217" s="34"/>
      <c r="BZ7217" s="34"/>
      <c r="CD7217" s="34"/>
    </row>
    <row r="7218" spans="70:82" x14ac:dyDescent="0.15">
      <c r="BR7218" s="34"/>
      <c r="BV7218" s="34"/>
      <c r="BZ7218" s="34"/>
      <c r="CD7218" s="34"/>
    </row>
    <row r="7219" spans="70:82" x14ac:dyDescent="0.15">
      <c r="BR7219" s="34"/>
      <c r="BV7219" s="34"/>
      <c r="BZ7219" s="34"/>
      <c r="CD7219" s="34"/>
    </row>
    <row r="7220" spans="70:82" x14ac:dyDescent="0.15">
      <c r="BR7220" s="34"/>
      <c r="BV7220" s="34"/>
      <c r="BZ7220" s="34"/>
      <c r="CD7220" s="34"/>
    </row>
    <row r="7221" spans="70:82" x14ac:dyDescent="0.15">
      <c r="BR7221" s="34"/>
      <c r="BV7221" s="34"/>
      <c r="BZ7221" s="34"/>
      <c r="CD7221" s="34"/>
    </row>
    <row r="7222" spans="70:82" x14ac:dyDescent="0.15">
      <c r="BR7222" s="34"/>
      <c r="BV7222" s="34"/>
      <c r="BZ7222" s="34"/>
      <c r="CD7222" s="34"/>
    </row>
    <row r="7223" spans="70:82" x14ac:dyDescent="0.15">
      <c r="BR7223" s="34"/>
      <c r="BV7223" s="34"/>
      <c r="BZ7223" s="34"/>
      <c r="CD7223" s="34"/>
    </row>
    <row r="7224" spans="70:82" x14ac:dyDescent="0.15">
      <c r="BR7224" s="34"/>
      <c r="BV7224" s="34"/>
      <c r="BZ7224" s="34"/>
      <c r="CD7224" s="34"/>
    </row>
    <row r="7225" spans="70:82" x14ac:dyDescent="0.15">
      <c r="BR7225" s="34"/>
      <c r="BV7225" s="34"/>
      <c r="BZ7225" s="34"/>
      <c r="CD7225" s="34"/>
    </row>
    <row r="7226" spans="70:82" x14ac:dyDescent="0.15">
      <c r="BR7226" s="34"/>
      <c r="BV7226" s="34"/>
      <c r="BZ7226" s="34"/>
      <c r="CD7226" s="34"/>
    </row>
    <row r="7227" spans="70:82" x14ac:dyDescent="0.15">
      <c r="BR7227" s="34"/>
      <c r="BV7227" s="34"/>
      <c r="BZ7227" s="34"/>
      <c r="CD7227" s="34"/>
    </row>
    <row r="7228" spans="70:82" x14ac:dyDescent="0.15">
      <c r="BR7228" s="34"/>
      <c r="BV7228" s="34"/>
      <c r="BZ7228" s="34"/>
      <c r="CD7228" s="34"/>
    </row>
    <row r="7229" spans="70:82" x14ac:dyDescent="0.15">
      <c r="BR7229" s="34"/>
      <c r="BV7229" s="34"/>
      <c r="BZ7229" s="34"/>
      <c r="CD7229" s="34"/>
    </row>
    <row r="7230" spans="70:82" x14ac:dyDescent="0.15">
      <c r="BR7230" s="34"/>
      <c r="BV7230" s="34"/>
      <c r="BZ7230" s="34"/>
      <c r="CD7230" s="34"/>
    </row>
    <row r="7231" spans="70:82" x14ac:dyDescent="0.15">
      <c r="BR7231" s="34"/>
      <c r="BV7231" s="34"/>
      <c r="BZ7231" s="34"/>
      <c r="CD7231" s="34"/>
    </row>
    <row r="7232" spans="70:82" x14ac:dyDescent="0.15">
      <c r="BR7232" s="34"/>
      <c r="BV7232" s="34"/>
      <c r="BZ7232" s="34"/>
      <c r="CD7232" s="34"/>
    </row>
    <row r="7233" spans="70:82" x14ac:dyDescent="0.15">
      <c r="BR7233" s="34"/>
      <c r="BV7233" s="34"/>
      <c r="BZ7233" s="34"/>
      <c r="CD7233" s="34"/>
    </row>
    <row r="7234" spans="70:82" x14ac:dyDescent="0.15">
      <c r="BR7234" s="34"/>
      <c r="BV7234" s="34"/>
      <c r="BZ7234" s="34"/>
      <c r="CD7234" s="34"/>
    </row>
    <row r="7235" spans="70:82" x14ac:dyDescent="0.15">
      <c r="BR7235" s="34"/>
      <c r="BV7235" s="34"/>
      <c r="BZ7235" s="34"/>
      <c r="CD7235" s="34"/>
    </row>
    <row r="7236" spans="70:82" x14ac:dyDescent="0.15">
      <c r="BR7236" s="34"/>
      <c r="BV7236" s="34"/>
      <c r="BZ7236" s="34"/>
      <c r="CD7236" s="34"/>
    </row>
    <row r="7237" spans="70:82" x14ac:dyDescent="0.15">
      <c r="BR7237" s="34"/>
      <c r="BV7237" s="34"/>
      <c r="BZ7237" s="34"/>
      <c r="CD7237" s="34"/>
    </row>
    <row r="7238" spans="70:82" x14ac:dyDescent="0.15">
      <c r="BR7238" s="34"/>
      <c r="BV7238" s="34"/>
      <c r="BZ7238" s="34"/>
      <c r="CD7238" s="34"/>
    </row>
    <row r="7239" spans="70:82" x14ac:dyDescent="0.15">
      <c r="BR7239" s="34"/>
      <c r="BV7239" s="34"/>
      <c r="BZ7239" s="34"/>
      <c r="CD7239" s="34"/>
    </row>
    <row r="7240" spans="70:82" x14ac:dyDescent="0.15">
      <c r="BR7240" s="34"/>
      <c r="BV7240" s="34"/>
      <c r="BZ7240" s="34"/>
      <c r="CD7240" s="34"/>
    </row>
    <row r="7241" spans="70:82" x14ac:dyDescent="0.15">
      <c r="BR7241" s="34"/>
      <c r="BV7241" s="34"/>
      <c r="BZ7241" s="34"/>
      <c r="CD7241" s="34"/>
    </row>
    <row r="7242" spans="70:82" x14ac:dyDescent="0.15">
      <c r="BR7242" s="34"/>
      <c r="BV7242" s="34"/>
      <c r="BZ7242" s="34"/>
      <c r="CD7242" s="34"/>
    </row>
    <row r="7243" spans="70:82" x14ac:dyDescent="0.15">
      <c r="BR7243" s="34"/>
      <c r="BV7243" s="34"/>
      <c r="BZ7243" s="34"/>
      <c r="CD7243" s="34"/>
    </row>
    <row r="7244" spans="70:82" x14ac:dyDescent="0.15">
      <c r="BR7244" s="34"/>
      <c r="BV7244" s="34"/>
      <c r="BZ7244" s="34"/>
      <c r="CD7244" s="34"/>
    </row>
    <row r="7245" spans="70:82" x14ac:dyDescent="0.15">
      <c r="BR7245" s="34"/>
      <c r="BV7245" s="34"/>
      <c r="BZ7245" s="34"/>
      <c r="CD7245" s="34"/>
    </row>
    <row r="7246" spans="70:82" x14ac:dyDescent="0.15">
      <c r="BR7246" s="34"/>
      <c r="BV7246" s="34"/>
      <c r="BZ7246" s="34"/>
      <c r="CD7246" s="34"/>
    </row>
    <row r="7247" spans="70:82" x14ac:dyDescent="0.15">
      <c r="BR7247" s="34"/>
      <c r="BV7247" s="34"/>
      <c r="BZ7247" s="34"/>
      <c r="CD7247" s="34"/>
    </row>
    <row r="7248" spans="70:82" x14ac:dyDescent="0.15">
      <c r="BR7248" s="34"/>
      <c r="BV7248" s="34"/>
      <c r="BZ7248" s="34"/>
      <c r="CD7248" s="34"/>
    </row>
    <row r="7249" spans="70:82" x14ac:dyDescent="0.15">
      <c r="BR7249" s="34"/>
      <c r="BV7249" s="34"/>
      <c r="BZ7249" s="34"/>
      <c r="CD7249" s="34"/>
    </row>
    <row r="7250" spans="70:82" x14ac:dyDescent="0.15">
      <c r="BR7250" s="34"/>
      <c r="BV7250" s="34"/>
      <c r="BZ7250" s="34"/>
      <c r="CD7250" s="34"/>
    </row>
    <row r="7251" spans="70:82" x14ac:dyDescent="0.15">
      <c r="BR7251" s="34"/>
      <c r="BV7251" s="34"/>
      <c r="BZ7251" s="34"/>
      <c r="CD7251" s="34"/>
    </row>
    <row r="7252" spans="70:82" x14ac:dyDescent="0.15">
      <c r="BR7252" s="34"/>
      <c r="BV7252" s="34"/>
      <c r="BZ7252" s="34"/>
      <c r="CD7252" s="34"/>
    </row>
    <row r="7253" spans="70:82" x14ac:dyDescent="0.15">
      <c r="BR7253" s="34"/>
      <c r="BV7253" s="34"/>
      <c r="BZ7253" s="34"/>
      <c r="CD7253" s="34"/>
    </row>
    <row r="7254" spans="70:82" x14ac:dyDescent="0.15">
      <c r="BR7254" s="34"/>
      <c r="BV7254" s="34"/>
      <c r="BZ7254" s="34"/>
      <c r="CD7254" s="34"/>
    </row>
    <row r="7255" spans="70:82" x14ac:dyDescent="0.15">
      <c r="BR7255" s="34"/>
      <c r="BV7255" s="34"/>
      <c r="BZ7255" s="34"/>
      <c r="CD7255" s="34"/>
    </row>
    <row r="7256" spans="70:82" x14ac:dyDescent="0.15">
      <c r="BR7256" s="34"/>
      <c r="BV7256" s="34"/>
      <c r="BZ7256" s="34"/>
      <c r="CD7256" s="34"/>
    </row>
    <row r="7257" spans="70:82" x14ac:dyDescent="0.15">
      <c r="BR7257" s="34"/>
      <c r="BV7257" s="34"/>
      <c r="BZ7257" s="34"/>
      <c r="CD7257" s="34"/>
    </row>
    <row r="7258" spans="70:82" x14ac:dyDescent="0.15">
      <c r="BR7258" s="34"/>
      <c r="BV7258" s="34"/>
      <c r="BZ7258" s="34"/>
      <c r="CD7258" s="34"/>
    </row>
    <row r="7259" spans="70:82" x14ac:dyDescent="0.15">
      <c r="BR7259" s="34"/>
      <c r="BV7259" s="34"/>
      <c r="BZ7259" s="34"/>
      <c r="CD7259" s="34"/>
    </row>
    <row r="7260" spans="70:82" x14ac:dyDescent="0.15">
      <c r="BR7260" s="34"/>
      <c r="BV7260" s="34"/>
      <c r="BZ7260" s="34"/>
      <c r="CD7260" s="34"/>
    </row>
    <row r="7261" spans="70:82" x14ac:dyDescent="0.15">
      <c r="BR7261" s="34"/>
      <c r="BV7261" s="34"/>
      <c r="BZ7261" s="34"/>
      <c r="CD7261" s="34"/>
    </row>
    <row r="7262" spans="70:82" x14ac:dyDescent="0.15">
      <c r="BR7262" s="34"/>
      <c r="BV7262" s="34"/>
      <c r="BZ7262" s="34"/>
      <c r="CD7262" s="34"/>
    </row>
    <row r="7263" spans="70:82" x14ac:dyDescent="0.15">
      <c r="BR7263" s="34"/>
      <c r="BV7263" s="34"/>
      <c r="BZ7263" s="34"/>
      <c r="CD7263" s="34"/>
    </row>
    <row r="7264" spans="70:82" x14ac:dyDescent="0.15">
      <c r="BR7264" s="34"/>
      <c r="BV7264" s="34"/>
      <c r="BZ7264" s="34"/>
      <c r="CD7264" s="34"/>
    </row>
    <row r="7265" spans="70:82" x14ac:dyDescent="0.15">
      <c r="BR7265" s="34"/>
      <c r="BV7265" s="34"/>
      <c r="BZ7265" s="34"/>
      <c r="CD7265" s="34"/>
    </row>
    <row r="7266" spans="70:82" x14ac:dyDescent="0.15">
      <c r="BR7266" s="34"/>
      <c r="BV7266" s="34"/>
      <c r="BZ7266" s="34"/>
      <c r="CD7266" s="34"/>
    </row>
    <row r="7267" spans="70:82" x14ac:dyDescent="0.15">
      <c r="BR7267" s="34"/>
      <c r="BV7267" s="34"/>
      <c r="BZ7267" s="34"/>
      <c r="CD7267" s="34"/>
    </row>
    <row r="7268" spans="70:82" x14ac:dyDescent="0.15">
      <c r="BR7268" s="34"/>
      <c r="BV7268" s="34"/>
      <c r="BZ7268" s="34"/>
      <c r="CD7268" s="34"/>
    </row>
    <row r="7269" spans="70:82" x14ac:dyDescent="0.15">
      <c r="BR7269" s="34"/>
      <c r="BV7269" s="34"/>
      <c r="BZ7269" s="34"/>
      <c r="CD7269" s="34"/>
    </row>
    <row r="7270" spans="70:82" x14ac:dyDescent="0.15">
      <c r="BR7270" s="34"/>
      <c r="BV7270" s="34"/>
      <c r="BZ7270" s="34"/>
      <c r="CD7270" s="34"/>
    </row>
    <row r="7271" spans="70:82" x14ac:dyDescent="0.15">
      <c r="BR7271" s="34"/>
      <c r="BV7271" s="34"/>
      <c r="BZ7271" s="34"/>
      <c r="CD7271" s="34"/>
    </row>
    <row r="7272" spans="70:82" x14ac:dyDescent="0.15">
      <c r="BR7272" s="34"/>
      <c r="BV7272" s="34"/>
      <c r="BZ7272" s="34"/>
      <c r="CD7272" s="34"/>
    </row>
    <row r="7273" spans="70:82" x14ac:dyDescent="0.15">
      <c r="BR7273" s="34"/>
      <c r="BV7273" s="34"/>
      <c r="BZ7273" s="34"/>
      <c r="CD7273" s="34"/>
    </row>
    <row r="7274" spans="70:82" x14ac:dyDescent="0.15">
      <c r="BR7274" s="34"/>
      <c r="BV7274" s="34"/>
      <c r="BZ7274" s="34"/>
      <c r="CD7274" s="34"/>
    </row>
    <row r="7275" spans="70:82" x14ac:dyDescent="0.15">
      <c r="BR7275" s="34"/>
      <c r="BV7275" s="34"/>
      <c r="BZ7275" s="34"/>
      <c r="CD7275" s="34"/>
    </row>
    <row r="7276" spans="70:82" x14ac:dyDescent="0.15">
      <c r="BR7276" s="34"/>
      <c r="BV7276" s="34"/>
      <c r="BZ7276" s="34"/>
      <c r="CD7276" s="34"/>
    </row>
    <row r="7277" spans="70:82" x14ac:dyDescent="0.15">
      <c r="BR7277" s="34"/>
      <c r="BV7277" s="34"/>
      <c r="BZ7277" s="34"/>
      <c r="CD7277" s="34"/>
    </row>
    <row r="7278" spans="70:82" x14ac:dyDescent="0.15">
      <c r="BR7278" s="34"/>
      <c r="BV7278" s="34"/>
      <c r="BZ7278" s="34"/>
      <c r="CD7278" s="34"/>
    </row>
    <row r="7279" spans="70:82" x14ac:dyDescent="0.15">
      <c r="BR7279" s="34"/>
      <c r="BV7279" s="34"/>
      <c r="BZ7279" s="34"/>
      <c r="CD7279" s="34"/>
    </row>
    <row r="7280" spans="70:82" x14ac:dyDescent="0.15">
      <c r="BR7280" s="34"/>
      <c r="BV7280" s="34"/>
      <c r="BZ7280" s="34"/>
      <c r="CD7280" s="34"/>
    </row>
    <row r="7281" spans="70:82" x14ac:dyDescent="0.15">
      <c r="BR7281" s="34"/>
      <c r="BV7281" s="34"/>
      <c r="BZ7281" s="34"/>
      <c r="CD7281" s="34"/>
    </row>
    <row r="7282" spans="70:82" x14ac:dyDescent="0.15">
      <c r="BR7282" s="34"/>
      <c r="BV7282" s="34"/>
      <c r="BZ7282" s="34"/>
      <c r="CD7282" s="34"/>
    </row>
    <row r="7283" spans="70:82" x14ac:dyDescent="0.15">
      <c r="BR7283" s="34"/>
      <c r="BV7283" s="34"/>
      <c r="BZ7283" s="34"/>
      <c r="CD7283" s="34"/>
    </row>
    <row r="7284" spans="70:82" x14ac:dyDescent="0.15">
      <c r="BR7284" s="34"/>
      <c r="BV7284" s="34"/>
      <c r="BZ7284" s="34"/>
      <c r="CD7284" s="34"/>
    </row>
    <row r="7285" spans="70:82" x14ac:dyDescent="0.15">
      <c r="BR7285" s="34"/>
      <c r="BV7285" s="34"/>
      <c r="BZ7285" s="34"/>
      <c r="CD7285" s="34"/>
    </row>
    <row r="7286" spans="70:82" x14ac:dyDescent="0.15">
      <c r="BR7286" s="34"/>
      <c r="BV7286" s="34"/>
      <c r="BZ7286" s="34"/>
      <c r="CD7286" s="34"/>
    </row>
    <row r="7287" spans="70:82" x14ac:dyDescent="0.15">
      <c r="BR7287" s="34"/>
      <c r="BV7287" s="34"/>
      <c r="BZ7287" s="34"/>
      <c r="CD7287" s="34"/>
    </row>
    <row r="7288" spans="70:82" x14ac:dyDescent="0.15">
      <c r="BR7288" s="34"/>
      <c r="BV7288" s="34"/>
      <c r="BZ7288" s="34"/>
      <c r="CD7288" s="34"/>
    </row>
    <row r="7289" spans="70:82" x14ac:dyDescent="0.15">
      <c r="BR7289" s="34"/>
      <c r="BV7289" s="34"/>
      <c r="BZ7289" s="34"/>
      <c r="CD7289" s="34"/>
    </row>
    <row r="7290" spans="70:82" x14ac:dyDescent="0.15">
      <c r="BR7290" s="34"/>
      <c r="BV7290" s="34"/>
      <c r="BZ7290" s="34"/>
      <c r="CD7290" s="34"/>
    </row>
    <row r="7291" spans="70:82" x14ac:dyDescent="0.15">
      <c r="BR7291" s="34"/>
      <c r="BV7291" s="34"/>
      <c r="BZ7291" s="34"/>
      <c r="CD7291" s="34"/>
    </row>
    <row r="7292" spans="70:82" x14ac:dyDescent="0.15">
      <c r="BR7292" s="34"/>
      <c r="BV7292" s="34"/>
      <c r="BZ7292" s="34"/>
      <c r="CD7292" s="34"/>
    </row>
    <row r="7293" spans="70:82" x14ac:dyDescent="0.15">
      <c r="BR7293" s="34"/>
      <c r="BV7293" s="34"/>
      <c r="BZ7293" s="34"/>
      <c r="CD7293" s="34"/>
    </row>
    <row r="7294" spans="70:82" x14ac:dyDescent="0.15">
      <c r="BR7294" s="34"/>
      <c r="BV7294" s="34"/>
      <c r="BZ7294" s="34"/>
      <c r="CD7294" s="34"/>
    </row>
    <row r="7295" spans="70:82" x14ac:dyDescent="0.15">
      <c r="BR7295" s="34"/>
      <c r="BV7295" s="34"/>
      <c r="BZ7295" s="34"/>
      <c r="CD7295" s="34"/>
    </row>
    <row r="7296" spans="70:82" x14ac:dyDescent="0.15">
      <c r="BR7296" s="34"/>
      <c r="BV7296" s="34"/>
      <c r="BZ7296" s="34"/>
      <c r="CD7296" s="34"/>
    </row>
    <row r="7297" spans="70:82" x14ac:dyDescent="0.15">
      <c r="BR7297" s="34"/>
      <c r="BV7297" s="34"/>
      <c r="BZ7297" s="34"/>
      <c r="CD7297" s="34"/>
    </row>
    <row r="7298" spans="70:82" x14ac:dyDescent="0.15">
      <c r="BR7298" s="34"/>
      <c r="BV7298" s="34"/>
      <c r="BZ7298" s="34"/>
      <c r="CD7298" s="34"/>
    </row>
    <row r="7299" spans="70:82" x14ac:dyDescent="0.15">
      <c r="BR7299" s="34"/>
      <c r="BV7299" s="34"/>
      <c r="BZ7299" s="34"/>
      <c r="CD7299" s="34"/>
    </row>
    <row r="7300" spans="70:82" x14ac:dyDescent="0.15">
      <c r="BR7300" s="34"/>
      <c r="BV7300" s="34"/>
      <c r="BZ7300" s="34"/>
      <c r="CD7300" s="34"/>
    </row>
    <row r="7301" spans="70:82" x14ac:dyDescent="0.15">
      <c r="BR7301" s="34"/>
      <c r="BV7301" s="34"/>
      <c r="BZ7301" s="34"/>
      <c r="CD7301" s="34"/>
    </row>
    <row r="7302" spans="70:82" x14ac:dyDescent="0.15">
      <c r="BR7302" s="34"/>
      <c r="BV7302" s="34"/>
      <c r="BZ7302" s="34"/>
      <c r="CD7302" s="34"/>
    </row>
    <row r="7303" spans="70:82" x14ac:dyDescent="0.15">
      <c r="BR7303" s="34"/>
      <c r="BV7303" s="34"/>
      <c r="BZ7303" s="34"/>
      <c r="CD7303" s="34"/>
    </row>
    <row r="7304" spans="70:82" x14ac:dyDescent="0.15">
      <c r="BR7304" s="34"/>
      <c r="BV7304" s="34"/>
      <c r="BZ7304" s="34"/>
      <c r="CD7304" s="34"/>
    </row>
    <row r="7305" spans="70:82" x14ac:dyDescent="0.15">
      <c r="BR7305" s="34"/>
      <c r="BV7305" s="34"/>
      <c r="BZ7305" s="34"/>
      <c r="CD7305" s="34"/>
    </row>
    <row r="7306" spans="70:82" x14ac:dyDescent="0.15">
      <c r="BR7306" s="34"/>
      <c r="BV7306" s="34"/>
      <c r="BZ7306" s="34"/>
      <c r="CD7306" s="34"/>
    </row>
    <row r="7307" spans="70:82" x14ac:dyDescent="0.15">
      <c r="BR7307" s="34"/>
      <c r="BV7307" s="34"/>
      <c r="BZ7307" s="34"/>
      <c r="CD7307" s="34"/>
    </row>
    <row r="7308" spans="70:82" x14ac:dyDescent="0.15">
      <c r="BR7308" s="34"/>
      <c r="BV7308" s="34"/>
      <c r="BZ7308" s="34"/>
      <c r="CD7308" s="34"/>
    </row>
    <row r="7309" spans="70:82" x14ac:dyDescent="0.15">
      <c r="BR7309" s="34"/>
      <c r="BV7309" s="34"/>
      <c r="BZ7309" s="34"/>
      <c r="CD7309" s="34"/>
    </row>
    <row r="7310" spans="70:82" x14ac:dyDescent="0.15">
      <c r="BR7310" s="34"/>
      <c r="BV7310" s="34"/>
      <c r="BZ7310" s="34"/>
      <c r="CD7310" s="34"/>
    </row>
    <row r="7311" spans="70:82" x14ac:dyDescent="0.15">
      <c r="BR7311" s="34"/>
      <c r="BV7311" s="34"/>
      <c r="BZ7311" s="34"/>
      <c r="CD7311" s="34"/>
    </row>
    <row r="7312" spans="70:82" x14ac:dyDescent="0.15">
      <c r="BR7312" s="34"/>
      <c r="BV7312" s="34"/>
      <c r="BZ7312" s="34"/>
      <c r="CD7312" s="34"/>
    </row>
    <row r="7313" spans="70:82" x14ac:dyDescent="0.15">
      <c r="BR7313" s="34"/>
      <c r="BV7313" s="34"/>
      <c r="BZ7313" s="34"/>
      <c r="CD7313" s="34"/>
    </row>
    <row r="7314" spans="70:82" x14ac:dyDescent="0.15">
      <c r="BR7314" s="34"/>
      <c r="BV7314" s="34"/>
      <c r="BZ7314" s="34"/>
      <c r="CD7314" s="34"/>
    </row>
    <row r="7315" spans="70:82" x14ac:dyDescent="0.15">
      <c r="BR7315" s="34"/>
      <c r="BV7315" s="34"/>
      <c r="BZ7315" s="34"/>
      <c r="CD7315" s="34"/>
    </row>
    <row r="7316" spans="70:82" x14ac:dyDescent="0.15">
      <c r="BR7316" s="34"/>
      <c r="BV7316" s="34"/>
      <c r="BZ7316" s="34"/>
      <c r="CD7316" s="34"/>
    </row>
    <row r="7317" spans="70:82" x14ac:dyDescent="0.15">
      <c r="BR7317" s="34"/>
      <c r="BV7317" s="34"/>
      <c r="BZ7317" s="34"/>
      <c r="CD7317" s="34"/>
    </row>
    <row r="7318" spans="70:82" x14ac:dyDescent="0.15">
      <c r="BR7318" s="34"/>
      <c r="BV7318" s="34"/>
      <c r="BZ7318" s="34"/>
      <c r="CD7318" s="34"/>
    </row>
    <row r="7319" spans="70:82" x14ac:dyDescent="0.15">
      <c r="BR7319" s="34"/>
      <c r="BV7319" s="34"/>
      <c r="BZ7319" s="34"/>
      <c r="CD7319" s="34"/>
    </row>
    <row r="7320" spans="70:82" x14ac:dyDescent="0.15">
      <c r="BR7320" s="34"/>
      <c r="BV7320" s="34"/>
      <c r="BZ7320" s="34"/>
      <c r="CD7320" s="34"/>
    </row>
    <row r="7321" spans="70:82" x14ac:dyDescent="0.15">
      <c r="BR7321" s="34"/>
      <c r="BV7321" s="34"/>
      <c r="BZ7321" s="34"/>
      <c r="CD7321" s="34"/>
    </row>
    <row r="7322" spans="70:82" x14ac:dyDescent="0.15">
      <c r="BR7322" s="34"/>
      <c r="BV7322" s="34"/>
      <c r="BZ7322" s="34"/>
      <c r="CD7322" s="34"/>
    </row>
    <row r="7323" spans="70:82" x14ac:dyDescent="0.15">
      <c r="BR7323" s="34"/>
      <c r="BV7323" s="34"/>
      <c r="BZ7323" s="34"/>
      <c r="CD7323" s="34"/>
    </row>
    <row r="7324" spans="70:82" x14ac:dyDescent="0.15">
      <c r="BR7324" s="34"/>
      <c r="BV7324" s="34"/>
      <c r="BZ7324" s="34"/>
      <c r="CD7324" s="34"/>
    </row>
    <row r="7325" spans="70:82" x14ac:dyDescent="0.15">
      <c r="BR7325" s="34"/>
      <c r="BV7325" s="34"/>
      <c r="BZ7325" s="34"/>
      <c r="CD7325" s="34"/>
    </row>
    <row r="7326" spans="70:82" x14ac:dyDescent="0.15">
      <c r="BR7326" s="34"/>
      <c r="BV7326" s="34"/>
      <c r="BZ7326" s="34"/>
      <c r="CD7326" s="34"/>
    </row>
    <row r="7327" spans="70:82" x14ac:dyDescent="0.15">
      <c r="BR7327" s="34"/>
      <c r="BV7327" s="34"/>
      <c r="BZ7327" s="34"/>
      <c r="CD7327" s="34"/>
    </row>
    <row r="7328" spans="70:82" x14ac:dyDescent="0.15">
      <c r="BR7328" s="34"/>
      <c r="BV7328" s="34"/>
      <c r="BZ7328" s="34"/>
      <c r="CD7328" s="34"/>
    </row>
    <row r="7329" spans="70:82" x14ac:dyDescent="0.15">
      <c r="BR7329" s="34"/>
      <c r="BV7329" s="34"/>
      <c r="BZ7329" s="34"/>
      <c r="CD7329" s="34"/>
    </row>
    <row r="7330" spans="70:82" x14ac:dyDescent="0.15">
      <c r="BR7330" s="34"/>
      <c r="BV7330" s="34"/>
      <c r="BZ7330" s="34"/>
      <c r="CD7330" s="34"/>
    </row>
    <row r="7331" spans="70:82" x14ac:dyDescent="0.15">
      <c r="BR7331" s="34"/>
      <c r="BV7331" s="34"/>
      <c r="BZ7331" s="34"/>
      <c r="CD7331" s="34"/>
    </row>
    <row r="7332" spans="70:82" x14ac:dyDescent="0.15">
      <c r="BR7332" s="34"/>
      <c r="BV7332" s="34"/>
      <c r="BZ7332" s="34"/>
      <c r="CD7332" s="34"/>
    </row>
    <row r="7333" spans="70:82" x14ac:dyDescent="0.15">
      <c r="BR7333" s="34"/>
      <c r="BV7333" s="34"/>
      <c r="BZ7333" s="34"/>
      <c r="CD7333" s="34"/>
    </row>
    <row r="7334" spans="70:82" x14ac:dyDescent="0.15">
      <c r="BR7334" s="34"/>
      <c r="BV7334" s="34"/>
      <c r="BZ7334" s="34"/>
      <c r="CD7334" s="34"/>
    </row>
    <row r="7335" spans="70:82" x14ac:dyDescent="0.15">
      <c r="BR7335" s="34"/>
      <c r="BV7335" s="34"/>
      <c r="BZ7335" s="34"/>
      <c r="CD7335" s="34"/>
    </row>
    <row r="7336" spans="70:82" x14ac:dyDescent="0.15">
      <c r="BR7336" s="34"/>
      <c r="BV7336" s="34"/>
      <c r="BZ7336" s="34"/>
      <c r="CD7336" s="34"/>
    </row>
    <row r="7337" spans="70:82" x14ac:dyDescent="0.15">
      <c r="BR7337" s="34"/>
      <c r="BV7337" s="34"/>
      <c r="BZ7337" s="34"/>
      <c r="CD7337" s="34"/>
    </row>
    <row r="7338" spans="70:82" x14ac:dyDescent="0.15">
      <c r="BR7338" s="34"/>
      <c r="BV7338" s="34"/>
      <c r="BZ7338" s="34"/>
      <c r="CD7338" s="34"/>
    </row>
    <row r="7339" spans="70:82" x14ac:dyDescent="0.15">
      <c r="BR7339" s="34"/>
      <c r="BV7339" s="34"/>
      <c r="BZ7339" s="34"/>
      <c r="CD7339" s="34"/>
    </row>
    <row r="7340" spans="70:82" x14ac:dyDescent="0.15">
      <c r="BR7340" s="34"/>
      <c r="BV7340" s="34"/>
      <c r="BZ7340" s="34"/>
      <c r="CD7340" s="34"/>
    </row>
    <row r="7341" spans="70:82" x14ac:dyDescent="0.15">
      <c r="BR7341" s="34"/>
      <c r="BV7341" s="34"/>
      <c r="BZ7341" s="34"/>
      <c r="CD7341" s="34"/>
    </row>
    <row r="7342" spans="70:82" x14ac:dyDescent="0.15">
      <c r="BR7342" s="34"/>
      <c r="BV7342" s="34"/>
      <c r="BZ7342" s="34"/>
      <c r="CD7342" s="34"/>
    </row>
    <row r="7343" spans="70:82" x14ac:dyDescent="0.15">
      <c r="BR7343" s="34"/>
      <c r="BV7343" s="34"/>
      <c r="BZ7343" s="34"/>
      <c r="CD7343" s="34"/>
    </row>
    <row r="7344" spans="70:82" x14ac:dyDescent="0.15">
      <c r="BR7344" s="34"/>
      <c r="BV7344" s="34"/>
      <c r="BZ7344" s="34"/>
      <c r="CD7344" s="34"/>
    </row>
    <row r="7345" spans="70:82" x14ac:dyDescent="0.15">
      <c r="BR7345" s="34"/>
      <c r="BV7345" s="34"/>
      <c r="BZ7345" s="34"/>
      <c r="CD7345" s="34"/>
    </row>
    <row r="7346" spans="70:82" x14ac:dyDescent="0.15">
      <c r="BR7346" s="34"/>
      <c r="BV7346" s="34"/>
      <c r="BZ7346" s="34"/>
      <c r="CD7346" s="34"/>
    </row>
    <row r="7347" spans="70:82" x14ac:dyDescent="0.15">
      <c r="BR7347" s="34"/>
      <c r="BV7347" s="34"/>
      <c r="BZ7347" s="34"/>
      <c r="CD7347" s="34"/>
    </row>
    <row r="7348" spans="70:82" x14ac:dyDescent="0.15">
      <c r="BR7348" s="34"/>
      <c r="BV7348" s="34"/>
      <c r="BZ7348" s="34"/>
      <c r="CD7348" s="34"/>
    </row>
    <row r="7349" spans="70:82" x14ac:dyDescent="0.15">
      <c r="BR7349" s="34"/>
      <c r="BV7349" s="34"/>
      <c r="BZ7349" s="34"/>
      <c r="CD7349" s="34"/>
    </row>
    <row r="7350" spans="70:82" x14ac:dyDescent="0.15">
      <c r="BR7350" s="34"/>
      <c r="BV7350" s="34"/>
      <c r="BZ7350" s="34"/>
      <c r="CD7350" s="34"/>
    </row>
    <row r="7351" spans="70:82" x14ac:dyDescent="0.15">
      <c r="BR7351" s="34"/>
      <c r="BV7351" s="34"/>
      <c r="BZ7351" s="34"/>
      <c r="CD7351" s="34"/>
    </row>
    <row r="7352" spans="70:82" x14ac:dyDescent="0.15">
      <c r="BR7352" s="34"/>
      <c r="BV7352" s="34"/>
      <c r="BZ7352" s="34"/>
      <c r="CD7352" s="34"/>
    </row>
    <row r="7353" spans="70:82" x14ac:dyDescent="0.15">
      <c r="BR7353" s="34"/>
      <c r="BV7353" s="34"/>
      <c r="BZ7353" s="34"/>
      <c r="CD7353" s="34"/>
    </row>
    <row r="7354" spans="70:82" x14ac:dyDescent="0.15">
      <c r="BR7354" s="34"/>
      <c r="BV7354" s="34"/>
      <c r="BZ7354" s="34"/>
      <c r="CD7354" s="34"/>
    </row>
    <row r="7355" spans="70:82" x14ac:dyDescent="0.15">
      <c r="BR7355" s="34"/>
      <c r="BV7355" s="34"/>
      <c r="BZ7355" s="34"/>
      <c r="CD7355" s="34"/>
    </row>
    <row r="7356" spans="70:82" x14ac:dyDescent="0.15">
      <c r="BR7356" s="34"/>
      <c r="BV7356" s="34"/>
      <c r="BZ7356" s="34"/>
      <c r="CD7356" s="34"/>
    </row>
    <row r="7357" spans="70:82" x14ac:dyDescent="0.15">
      <c r="BR7357" s="34"/>
      <c r="BV7357" s="34"/>
      <c r="BZ7357" s="34"/>
      <c r="CD7357" s="34"/>
    </row>
    <row r="7358" spans="70:82" x14ac:dyDescent="0.15">
      <c r="BR7358" s="34"/>
      <c r="BV7358" s="34"/>
      <c r="BZ7358" s="34"/>
      <c r="CD7358" s="34"/>
    </row>
    <row r="7359" spans="70:82" x14ac:dyDescent="0.15">
      <c r="BR7359" s="34"/>
      <c r="BV7359" s="34"/>
      <c r="BZ7359" s="34"/>
      <c r="CD7359" s="34"/>
    </row>
    <row r="7360" spans="70:82" x14ac:dyDescent="0.15">
      <c r="BR7360" s="34"/>
      <c r="BV7360" s="34"/>
      <c r="BZ7360" s="34"/>
      <c r="CD7360" s="34"/>
    </row>
    <row r="7361" spans="70:82" x14ac:dyDescent="0.15">
      <c r="BR7361" s="34"/>
      <c r="BV7361" s="34"/>
      <c r="BZ7361" s="34"/>
      <c r="CD7361" s="34"/>
    </row>
    <row r="7362" spans="70:82" x14ac:dyDescent="0.15">
      <c r="BR7362" s="34"/>
      <c r="BV7362" s="34"/>
      <c r="BZ7362" s="34"/>
      <c r="CD7362" s="34"/>
    </row>
    <row r="7363" spans="70:82" x14ac:dyDescent="0.15">
      <c r="BR7363" s="34"/>
      <c r="BV7363" s="34"/>
      <c r="BZ7363" s="34"/>
      <c r="CD7363" s="34"/>
    </row>
    <row r="7364" spans="70:82" x14ac:dyDescent="0.15">
      <c r="BR7364" s="34"/>
      <c r="BV7364" s="34"/>
      <c r="BZ7364" s="34"/>
      <c r="CD7364" s="34"/>
    </row>
    <row r="7365" spans="70:82" x14ac:dyDescent="0.15">
      <c r="BR7365" s="34"/>
      <c r="BV7365" s="34"/>
      <c r="BZ7365" s="34"/>
      <c r="CD7365" s="34"/>
    </row>
    <row r="7366" spans="70:82" x14ac:dyDescent="0.15">
      <c r="BR7366" s="34"/>
      <c r="BV7366" s="34"/>
      <c r="BZ7366" s="34"/>
      <c r="CD7366" s="34"/>
    </row>
    <row r="7367" spans="70:82" x14ac:dyDescent="0.15">
      <c r="BR7367" s="34"/>
      <c r="BV7367" s="34"/>
      <c r="BZ7367" s="34"/>
      <c r="CD7367" s="34"/>
    </row>
    <row r="7368" spans="70:82" x14ac:dyDescent="0.15">
      <c r="BR7368" s="34"/>
      <c r="BV7368" s="34"/>
      <c r="BZ7368" s="34"/>
      <c r="CD7368" s="34"/>
    </row>
    <row r="7369" spans="70:82" x14ac:dyDescent="0.15">
      <c r="BR7369" s="34"/>
      <c r="BV7369" s="34"/>
      <c r="BZ7369" s="34"/>
      <c r="CD7369" s="34"/>
    </row>
    <row r="7370" spans="70:82" x14ac:dyDescent="0.15">
      <c r="BR7370" s="34"/>
      <c r="BV7370" s="34"/>
      <c r="BZ7370" s="34"/>
      <c r="CD7370" s="34"/>
    </row>
    <row r="7371" spans="70:82" x14ac:dyDescent="0.15">
      <c r="BR7371" s="34"/>
      <c r="BV7371" s="34"/>
      <c r="BZ7371" s="34"/>
      <c r="CD7371" s="34"/>
    </row>
    <row r="7372" spans="70:82" x14ac:dyDescent="0.15">
      <c r="BR7372" s="34"/>
      <c r="BV7372" s="34"/>
      <c r="BZ7372" s="34"/>
      <c r="CD7372" s="34"/>
    </row>
    <row r="7373" spans="70:82" x14ac:dyDescent="0.15">
      <c r="BR7373" s="34"/>
      <c r="BV7373" s="34"/>
      <c r="BZ7373" s="34"/>
      <c r="CD7373" s="34"/>
    </row>
    <row r="7374" spans="70:82" x14ac:dyDescent="0.15">
      <c r="BR7374" s="34"/>
      <c r="BV7374" s="34"/>
      <c r="BZ7374" s="34"/>
      <c r="CD7374" s="34"/>
    </row>
    <row r="7375" spans="70:82" x14ac:dyDescent="0.15">
      <c r="BR7375" s="34"/>
      <c r="BV7375" s="34"/>
      <c r="BZ7375" s="34"/>
      <c r="CD7375" s="34"/>
    </row>
    <row r="7376" spans="70:82" x14ac:dyDescent="0.15">
      <c r="BR7376" s="34"/>
      <c r="BV7376" s="34"/>
      <c r="BZ7376" s="34"/>
      <c r="CD7376" s="34"/>
    </row>
    <row r="7377" spans="70:82" x14ac:dyDescent="0.15">
      <c r="BR7377" s="34"/>
      <c r="BV7377" s="34"/>
      <c r="BZ7377" s="34"/>
      <c r="CD7377" s="34"/>
    </row>
    <row r="7378" spans="70:82" x14ac:dyDescent="0.15">
      <c r="BR7378" s="34"/>
      <c r="BV7378" s="34"/>
      <c r="BZ7378" s="34"/>
      <c r="CD7378" s="34"/>
    </row>
    <row r="7379" spans="70:82" x14ac:dyDescent="0.15">
      <c r="BR7379" s="34"/>
      <c r="BV7379" s="34"/>
      <c r="BZ7379" s="34"/>
      <c r="CD7379" s="34"/>
    </row>
    <row r="7380" spans="70:82" x14ac:dyDescent="0.15">
      <c r="BR7380" s="34"/>
      <c r="BV7380" s="34"/>
      <c r="BZ7380" s="34"/>
      <c r="CD7380" s="34"/>
    </row>
    <row r="7381" spans="70:82" x14ac:dyDescent="0.15">
      <c r="BR7381" s="34"/>
      <c r="BV7381" s="34"/>
      <c r="BZ7381" s="34"/>
      <c r="CD7381" s="34"/>
    </row>
    <row r="7382" spans="70:82" x14ac:dyDescent="0.15">
      <c r="BR7382" s="34"/>
      <c r="BV7382" s="34"/>
      <c r="BZ7382" s="34"/>
      <c r="CD7382" s="34"/>
    </row>
    <row r="7383" spans="70:82" x14ac:dyDescent="0.15">
      <c r="BR7383" s="34"/>
      <c r="BV7383" s="34"/>
      <c r="BZ7383" s="34"/>
      <c r="CD7383" s="34"/>
    </row>
    <row r="7384" spans="70:82" x14ac:dyDescent="0.15">
      <c r="BR7384" s="34"/>
      <c r="BV7384" s="34"/>
      <c r="BZ7384" s="34"/>
      <c r="CD7384" s="34"/>
    </row>
    <row r="7385" spans="70:82" x14ac:dyDescent="0.15">
      <c r="BR7385" s="34"/>
      <c r="BV7385" s="34"/>
      <c r="BZ7385" s="34"/>
      <c r="CD7385" s="34"/>
    </row>
    <row r="7386" spans="70:82" x14ac:dyDescent="0.15">
      <c r="BR7386" s="34"/>
      <c r="BV7386" s="34"/>
      <c r="BZ7386" s="34"/>
      <c r="CD7386" s="34"/>
    </row>
    <row r="7387" spans="70:82" x14ac:dyDescent="0.15">
      <c r="BR7387" s="34"/>
      <c r="BV7387" s="34"/>
      <c r="BZ7387" s="34"/>
      <c r="CD7387" s="34"/>
    </row>
    <row r="7388" spans="70:82" x14ac:dyDescent="0.15">
      <c r="BR7388" s="34"/>
      <c r="BV7388" s="34"/>
      <c r="BZ7388" s="34"/>
      <c r="CD7388" s="34"/>
    </row>
    <row r="7389" spans="70:82" x14ac:dyDescent="0.15">
      <c r="BR7389" s="34"/>
      <c r="BV7389" s="34"/>
      <c r="BZ7389" s="34"/>
      <c r="CD7389" s="34"/>
    </row>
    <row r="7390" spans="70:82" x14ac:dyDescent="0.15">
      <c r="BR7390" s="34"/>
      <c r="BV7390" s="34"/>
      <c r="BZ7390" s="34"/>
      <c r="CD7390" s="34"/>
    </row>
    <row r="7391" spans="70:82" x14ac:dyDescent="0.15">
      <c r="BR7391" s="34"/>
      <c r="BV7391" s="34"/>
      <c r="BZ7391" s="34"/>
      <c r="CD7391" s="34"/>
    </row>
    <row r="7392" spans="70:82" x14ac:dyDescent="0.15">
      <c r="BR7392" s="34"/>
      <c r="BV7392" s="34"/>
      <c r="BZ7392" s="34"/>
      <c r="CD7392" s="34"/>
    </row>
    <row r="7393" spans="70:82" x14ac:dyDescent="0.15">
      <c r="BR7393" s="34"/>
      <c r="BV7393" s="34"/>
      <c r="BZ7393" s="34"/>
      <c r="CD7393" s="34"/>
    </row>
    <row r="7394" spans="70:82" x14ac:dyDescent="0.15">
      <c r="BR7394" s="34"/>
      <c r="BV7394" s="34"/>
      <c r="BZ7394" s="34"/>
      <c r="CD7394" s="34"/>
    </row>
    <row r="7395" spans="70:82" x14ac:dyDescent="0.15">
      <c r="BR7395" s="34"/>
      <c r="BV7395" s="34"/>
      <c r="BZ7395" s="34"/>
      <c r="CD7395" s="34"/>
    </row>
    <row r="7396" spans="70:82" x14ac:dyDescent="0.15">
      <c r="BR7396" s="34"/>
      <c r="BV7396" s="34"/>
      <c r="BZ7396" s="34"/>
      <c r="CD7396" s="34"/>
    </row>
    <row r="7397" spans="70:82" x14ac:dyDescent="0.15">
      <c r="BR7397" s="34"/>
      <c r="BV7397" s="34"/>
      <c r="BZ7397" s="34"/>
      <c r="CD7397" s="34"/>
    </row>
    <row r="7398" spans="70:82" x14ac:dyDescent="0.15">
      <c r="BR7398" s="34"/>
      <c r="BV7398" s="34"/>
      <c r="BZ7398" s="34"/>
      <c r="CD7398" s="34"/>
    </row>
    <row r="7399" spans="70:82" x14ac:dyDescent="0.15">
      <c r="BR7399" s="34"/>
      <c r="BV7399" s="34"/>
      <c r="BZ7399" s="34"/>
      <c r="CD7399" s="34"/>
    </row>
    <row r="7400" spans="70:82" x14ac:dyDescent="0.15">
      <c r="BR7400" s="34"/>
      <c r="BV7400" s="34"/>
      <c r="BZ7400" s="34"/>
      <c r="CD7400" s="34"/>
    </row>
    <row r="7401" spans="70:82" x14ac:dyDescent="0.15">
      <c r="BR7401" s="34"/>
      <c r="BV7401" s="34"/>
      <c r="BZ7401" s="34"/>
      <c r="CD7401" s="34"/>
    </row>
    <row r="7402" spans="70:82" x14ac:dyDescent="0.15">
      <c r="BR7402" s="34"/>
      <c r="BV7402" s="34"/>
      <c r="BZ7402" s="34"/>
      <c r="CD7402" s="34"/>
    </row>
    <row r="7403" spans="70:82" x14ac:dyDescent="0.15">
      <c r="BR7403" s="34"/>
      <c r="BV7403" s="34"/>
      <c r="BZ7403" s="34"/>
      <c r="CD7403" s="34"/>
    </row>
    <row r="7404" spans="70:82" x14ac:dyDescent="0.15">
      <c r="BR7404" s="34"/>
      <c r="BV7404" s="34"/>
      <c r="BZ7404" s="34"/>
      <c r="CD7404" s="34"/>
    </row>
    <row r="7405" spans="70:82" x14ac:dyDescent="0.15">
      <c r="BR7405" s="34"/>
      <c r="BV7405" s="34"/>
      <c r="BZ7405" s="34"/>
      <c r="CD7405" s="34"/>
    </row>
    <row r="7406" spans="70:82" x14ac:dyDescent="0.15">
      <c r="BR7406" s="34"/>
      <c r="BV7406" s="34"/>
      <c r="BZ7406" s="34"/>
      <c r="CD7406" s="34"/>
    </row>
    <row r="7407" spans="70:82" x14ac:dyDescent="0.15">
      <c r="BR7407" s="34"/>
      <c r="BV7407" s="34"/>
      <c r="BZ7407" s="34"/>
      <c r="CD7407" s="34"/>
    </row>
    <row r="7408" spans="70:82" x14ac:dyDescent="0.15">
      <c r="BR7408" s="34"/>
      <c r="BV7408" s="34"/>
      <c r="BZ7408" s="34"/>
      <c r="CD7408" s="34"/>
    </row>
    <row r="7409" spans="70:82" x14ac:dyDescent="0.15">
      <c r="BR7409" s="34"/>
      <c r="BV7409" s="34"/>
      <c r="BZ7409" s="34"/>
      <c r="CD7409" s="34"/>
    </row>
    <row r="7410" spans="70:82" x14ac:dyDescent="0.15">
      <c r="BR7410" s="34"/>
      <c r="BV7410" s="34"/>
      <c r="BZ7410" s="34"/>
      <c r="CD7410" s="34"/>
    </row>
    <row r="7411" spans="70:82" x14ac:dyDescent="0.15">
      <c r="BR7411" s="34"/>
      <c r="BV7411" s="34"/>
      <c r="BZ7411" s="34"/>
      <c r="CD7411" s="34"/>
    </row>
    <row r="7412" spans="70:82" x14ac:dyDescent="0.15">
      <c r="BR7412" s="34"/>
      <c r="BV7412" s="34"/>
      <c r="BZ7412" s="34"/>
      <c r="CD7412" s="34"/>
    </row>
    <row r="7413" spans="70:82" x14ac:dyDescent="0.15">
      <c r="BR7413" s="34"/>
      <c r="BV7413" s="34"/>
      <c r="BZ7413" s="34"/>
      <c r="CD7413" s="34"/>
    </row>
    <row r="7414" spans="70:82" x14ac:dyDescent="0.15">
      <c r="BR7414" s="34"/>
      <c r="BV7414" s="34"/>
      <c r="BZ7414" s="34"/>
      <c r="CD7414" s="34"/>
    </row>
    <row r="7415" spans="70:82" x14ac:dyDescent="0.15">
      <c r="BR7415" s="34"/>
      <c r="BV7415" s="34"/>
      <c r="BZ7415" s="34"/>
      <c r="CD7415" s="34"/>
    </row>
    <row r="7416" spans="70:82" x14ac:dyDescent="0.15">
      <c r="BR7416" s="34"/>
      <c r="BV7416" s="34"/>
      <c r="BZ7416" s="34"/>
      <c r="CD7416" s="34"/>
    </row>
    <row r="7417" spans="70:82" x14ac:dyDescent="0.15">
      <c r="BR7417" s="34"/>
      <c r="BV7417" s="34"/>
      <c r="BZ7417" s="34"/>
      <c r="CD7417" s="34"/>
    </row>
    <row r="7418" spans="70:82" x14ac:dyDescent="0.15">
      <c r="BR7418" s="34"/>
      <c r="BV7418" s="34"/>
      <c r="BZ7418" s="34"/>
      <c r="CD7418" s="34"/>
    </row>
    <row r="7419" spans="70:82" x14ac:dyDescent="0.15">
      <c r="BR7419" s="34"/>
      <c r="BV7419" s="34"/>
      <c r="BZ7419" s="34"/>
      <c r="CD7419" s="34"/>
    </row>
    <row r="7420" spans="70:82" x14ac:dyDescent="0.15">
      <c r="BR7420" s="34"/>
      <c r="BV7420" s="34"/>
      <c r="BZ7420" s="34"/>
      <c r="CD7420" s="34"/>
    </row>
    <row r="7421" spans="70:82" x14ac:dyDescent="0.15">
      <c r="BR7421" s="34"/>
      <c r="BV7421" s="34"/>
      <c r="BZ7421" s="34"/>
      <c r="CD7421" s="34"/>
    </row>
    <row r="7422" spans="70:82" x14ac:dyDescent="0.15">
      <c r="BR7422" s="34"/>
      <c r="BV7422" s="34"/>
      <c r="BZ7422" s="34"/>
      <c r="CD7422" s="34"/>
    </row>
    <row r="7423" spans="70:82" x14ac:dyDescent="0.15">
      <c r="BR7423" s="34"/>
      <c r="BV7423" s="34"/>
      <c r="BZ7423" s="34"/>
      <c r="CD7423" s="34"/>
    </row>
    <row r="7424" spans="70:82" x14ac:dyDescent="0.15">
      <c r="BR7424" s="34"/>
      <c r="BV7424" s="34"/>
      <c r="BZ7424" s="34"/>
      <c r="CD7424" s="34"/>
    </row>
    <row r="7425" spans="70:82" x14ac:dyDescent="0.15">
      <c r="BR7425" s="34"/>
      <c r="BV7425" s="34"/>
      <c r="BZ7425" s="34"/>
      <c r="CD7425" s="34"/>
    </row>
    <row r="7426" spans="70:82" x14ac:dyDescent="0.15">
      <c r="BR7426" s="34"/>
      <c r="BV7426" s="34"/>
      <c r="BZ7426" s="34"/>
      <c r="CD7426" s="34"/>
    </row>
    <row r="7427" spans="70:82" x14ac:dyDescent="0.15">
      <c r="BR7427" s="34"/>
      <c r="BV7427" s="34"/>
      <c r="BZ7427" s="34"/>
      <c r="CD7427" s="34"/>
    </row>
    <row r="7428" spans="70:82" x14ac:dyDescent="0.15">
      <c r="BR7428" s="34"/>
      <c r="BV7428" s="34"/>
      <c r="BZ7428" s="34"/>
      <c r="CD7428" s="34"/>
    </row>
    <row r="7429" spans="70:82" x14ac:dyDescent="0.15">
      <c r="BR7429" s="34"/>
      <c r="BV7429" s="34"/>
      <c r="BZ7429" s="34"/>
      <c r="CD7429" s="34"/>
    </row>
    <row r="7430" spans="70:82" x14ac:dyDescent="0.15">
      <c r="BR7430" s="34"/>
      <c r="BV7430" s="34"/>
      <c r="BZ7430" s="34"/>
      <c r="CD7430" s="34"/>
    </row>
    <row r="7431" spans="70:82" x14ac:dyDescent="0.15">
      <c r="BR7431" s="34"/>
      <c r="BV7431" s="34"/>
      <c r="BZ7431" s="34"/>
      <c r="CD7431" s="34"/>
    </row>
    <row r="7432" spans="70:82" x14ac:dyDescent="0.15">
      <c r="BR7432" s="34"/>
      <c r="BV7432" s="34"/>
      <c r="BZ7432" s="34"/>
      <c r="CD7432" s="34"/>
    </row>
    <row r="7433" spans="70:82" x14ac:dyDescent="0.15">
      <c r="BR7433" s="34"/>
      <c r="BV7433" s="34"/>
      <c r="BZ7433" s="34"/>
      <c r="CD7433" s="34"/>
    </row>
    <row r="7434" spans="70:82" x14ac:dyDescent="0.15">
      <c r="BR7434" s="34"/>
      <c r="BV7434" s="34"/>
      <c r="BZ7434" s="34"/>
      <c r="CD7434" s="34"/>
    </row>
    <row r="7435" spans="70:82" x14ac:dyDescent="0.15">
      <c r="BR7435" s="34"/>
      <c r="BV7435" s="34"/>
      <c r="BZ7435" s="34"/>
      <c r="CD7435" s="34"/>
    </row>
    <row r="7436" spans="70:82" x14ac:dyDescent="0.15">
      <c r="BR7436" s="34"/>
      <c r="BV7436" s="34"/>
      <c r="BZ7436" s="34"/>
      <c r="CD7436" s="34"/>
    </row>
    <row r="7437" spans="70:82" x14ac:dyDescent="0.15">
      <c r="BR7437" s="34"/>
      <c r="BV7437" s="34"/>
      <c r="BZ7437" s="34"/>
      <c r="CD7437" s="34"/>
    </row>
    <row r="7438" spans="70:82" x14ac:dyDescent="0.15">
      <c r="BR7438" s="34"/>
      <c r="BV7438" s="34"/>
      <c r="BZ7438" s="34"/>
      <c r="CD7438" s="34"/>
    </row>
    <row r="7439" spans="70:82" x14ac:dyDescent="0.15">
      <c r="BR7439" s="34"/>
      <c r="BV7439" s="34"/>
      <c r="BZ7439" s="34"/>
      <c r="CD7439" s="34"/>
    </row>
    <row r="7440" spans="70:82" x14ac:dyDescent="0.15">
      <c r="BR7440" s="34"/>
      <c r="BV7440" s="34"/>
      <c r="BZ7440" s="34"/>
      <c r="CD7440" s="34"/>
    </row>
    <row r="7441" spans="70:82" x14ac:dyDescent="0.15">
      <c r="BR7441" s="34"/>
      <c r="BV7441" s="34"/>
      <c r="BZ7441" s="34"/>
      <c r="CD7441" s="34"/>
    </row>
    <row r="7442" spans="70:82" x14ac:dyDescent="0.15">
      <c r="BR7442" s="34"/>
      <c r="BV7442" s="34"/>
      <c r="BZ7442" s="34"/>
      <c r="CD7442" s="34"/>
    </row>
    <row r="7443" spans="70:82" x14ac:dyDescent="0.15">
      <c r="BR7443" s="34"/>
      <c r="BV7443" s="34"/>
      <c r="BZ7443" s="34"/>
      <c r="CD7443" s="34"/>
    </row>
    <row r="7444" spans="70:82" x14ac:dyDescent="0.15">
      <c r="BR7444" s="34"/>
      <c r="BV7444" s="34"/>
      <c r="BZ7444" s="34"/>
      <c r="CD7444" s="34"/>
    </row>
    <row r="7445" spans="70:82" x14ac:dyDescent="0.15">
      <c r="BR7445" s="34"/>
      <c r="BV7445" s="34"/>
      <c r="BZ7445" s="34"/>
      <c r="CD7445" s="34"/>
    </row>
    <row r="7446" spans="70:82" x14ac:dyDescent="0.15">
      <c r="BR7446" s="34"/>
      <c r="BV7446" s="34"/>
      <c r="BZ7446" s="34"/>
      <c r="CD7446" s="34"/>
    </row>
    <row r="7447" spans="70:82" x14ac:dyDescent="0.15">
      <c r="BR7447" s="34"/>
      <c r="BV7447" s="34"/>
      <c r="BZ7447" s="34"/>
      <c r="CD7447" s="34"/>
    </row>
    <row r="7448" spans="70:82" x14ac:dyDescent="0.15">
      <c r="BR7448" s="34"/>
      <c r="BV7448" s="34"/>
      <c r="BZ7448" s="34"/>
      <c r="CD7448" s="34"/>
    </row>
    <row r="7449" spans="70:82" x14ac:dyDescent="0.15">
      <c r="BR7449" s="34"/>
      <c r="BV7449" s="34"/>
      <c r="BZ7449" s="34"/>
      <c r="CD7449" s="34"/>
    </row>
    <row r="7450" spans="70:82" x14ac:dyDescent="0.15">
      <c r="BR7450" s="34"/>
      <c r="BV7450" s="34"/>
      <c r="BZ7450" s="34"/>
      <c r="CD7450" s="34"/>
    </row>
    <row r="7451" spans="70:82" x14ac:dyDescent="0.15">
      <c r="BR7451" s="34"/>
      <c r="BV7451" s="34"/>
      <c r="BZ7451" s="34"/>
      <c r="CD7451" s="34"/>
    </row>
    <row r="7452" spans="70:82" x14ac:dyDescent="0.15">
      <c r="BR7452" s="34"/>
      <c r="BV7452" s="34"/>
      <c r="BZ7452" s="34"/>
      <c r="CD7452" s="34"/>
    </row>
    <row r="7453" spans="70:82" x14ac:dyDescent="0.15">
      <c r="BR7453" s="34"/>
      <c r="BV7453" s="34"/>
      <c r="BZ7453" s="34"/>
      <c r="CD7453" s="34"/>
    </row>
    <row r="7454" spans="70:82" x14ac:dyDescent="0.15">
      <c r="BR7454" s="34"/>
      <c r="BV7454" s="34"/>
      <c r="BZ7454" s="34"/>
      <c r="CD7454" s="34"/>
    </row>
    <row r="7455" spans="70:82" x14ac:dyDescent="0.15">
      <c r="BR7455" s="34"/>
      <c r="BV7455" s="34"/>
      <c r="BZ7455" s="34"/>
      <c r="CD7455" s="34"/>
    </row>
    <row r="7456" spans="70:82" x14ac:dyDescent="0.15">
      <c r="BR7456" s="34"/>
      <c r="BV7456" s="34"/>
      <c r="BZ7456" s="34"/>
      <c r="CD7456" s="34"/>
    </row>
    <row r="7457" spans="70:82" x14ac:dyDescent="0.15">
      <c r="BR7457" s="34"/>
      <c r="BV7457" s="34"/>
      <c r="BZ7457" s="34"/>
      <c r="CD7457" s="34"/>
    </row>
    <row r="7458" spans="70:82" x14ac:dyDescent="0.15">
      <c r="BR7458" s="34"/>
      <c r="BV7458" s="34"/>
      <c r="BZ7458" s="34"/>
      <c r="CD7458" s="34"/>
    </row>
    <row r="7459" spans="70:82" x14ac:dyDescent="0.15">
      <c r="BR7459" s="34"/>
      <c r="BV7459" s="34"/>
      <c r="BZ7459" s="34"/>
      <c r="CD7459" s="34"/>
    </row>
    <row r="7460" spans="70:82" x14ac:dyDescent="0.15">
      <c r="BR7460" s="34"/>
      <c r="BV7460" s="34"/>
      <c r="BZ7460" s="34"/>
      <c r="CD7460" s="34"/>
    </row>
    <row r="7461" spans="70:82" x14ac:dyDescent="0.15">
      <c r="BR7461" s="34"/>
      <c r="BV7461" s="34"/>
      <c r="BZ7461" s="34"/>
      <c r="CD7461" s="34"/>
    </row>
    <row r="7462" spans="70:82" x14ac:dyDescent="0.15">
      <c r="BR7462" s="34"/>
      <c r="BV7462" s="34"/>
      <c r="BZ7462" s="34"/>
      <c r="CD7462" s="34"/>
    </row>
    <row r="7463" spans="70:82" x14ac:dyDescent="0.15">
      <c r="BR7463" s="34"/>
      <c r="BV7463" s="34"/>
      <c r="BZ7463" s="34"/>
      <c r="CD7463" s="34"/>
    </row>
    <row r="7464" spans="70:82" x14ac:dyDescent="0.15">
      <c r="BR7464" s="34"/>
      <c r="BV7464" s="34"/>
      <c r="BZ7464" s="34"/>
      <c r="CD7464" s="34"/>
    </row>
    <row r="7465" spans="70:82" x14ac:dyDescent="0.15">
      <c r="BR7465" s="34"/>
      <c r="BV7465" s="34"/>
      <c r="BZ7465" s="34"/>
      <c r="CD7465" s="34"/>
    </row>
    <row r="7466" spans="70:82" x14ac:dyDescent="0.15">
      <c r="BR7466" s="34"/>
      <c r="BV7466" s="34"/>
      <c r="BZ7466" s="34"/>
      <c r="CD7466" s="34"/>
    </row>
    <row r="7467" spans="70:82" x14ac:dyDescent="0.15">
      <c r="BR7467" s="34"/>
      <c r="BV7467" s="34"/>
      <c r="BZ7467" s="34"/>
      <c r="CD7467" s="34"/>
    </row>
    <row r="7468" spans="70:82" x14ac:dyDescent="0.15">
      <c r="BR7468" s="34"/>
      <c r="BV7468" s="34"/>
      <c r="BZ7468" s="34"/>
      <c r="CD7468" s="34"/>
    </row>
    <row r="7469" spans="70:82" x14ac:dyDescent="0.15">
      <c r="BR7469" s="34"/>
      <c r="BV7469" s="34"/>
      <c r="BZ7469" s="34"/>
      <c r="CD7469" s="34"/>
    </row>
    <row r="7470" spans="70:82" x14ac:dyDescent="0.15">
      <c r="BR7470" s="34"/>
      <c r="BV7470" s="34"/>
      <c r="BZ7470" s="34"/>
      <c r="CD7470" s="34"/>
    </row>
    <row r="7471" spans="70:82" x14ac:dyDescent="0.15">
      <c r="BR7471" s="34"/>
      <c r="BV7471" s="34"/>
      <c r="BZ7471" s="34"/>
      <c r="CD7471" s="34"/>
    </row>
    <row r="7472" spans="70:82" x14ac:dyDescent="0.15">
      <c r="BR7472" s="34"/>
      <c r="BV7472" s="34"/>
      <c r="BZ7472" s="34"/>
      <c r="CD7472" s="34"/>
    </row>
    <row r="7473" spans="70:82" x14ac:dyDescent="0.15">
      <c r="BR7473" s="34"/>
      <c r="BV7473" s="34"/>
      <c r="BZ7473" s="34"/>
      <c r="CD7473" s="34"/>
    </row>
    <row r="7474" spans="70:82" x14ac:dyDescent="0.15">
      <c r="BR7474" s="34"/>
      <c r="BV7474" s="34"/>
      <c r="BZ7474" s="34"/>
      <c r="CD7474" s="34"/>
    </row>
    <row r="7475" spans="70:82" x14ac:dyDescent="0.15">
      <c r="BR7475" s="34"/>
      <c r="BV7475" s="34"/>
      <c r="BZ7475" s="34"/>
      <c r="CD7475" s="34"/>
    </row>
    <row r="7476" spans="70:82" x14ac:dyDescent="0.15">
      <c r="BR7476" s="34"/>
      <c r="BV7476" s="34"/>
      <c r="BZ7476" s="34"/>
      <c r="CD7476" s="34"/>
    </row>
    <row r="7477" spans="70:82" x14ac:dyDescent="0.15">
      <c r="BR7477" s="34"/>
      <c r="BV7477" s="34"/>
      <c r="BZ7477" s="34"/>
      <c r="CD7477" s="34"/>
    </row>
    <row r="7478" spans="70:82" x14ac:dyDescent="0.15">
      <c r="BR7478" s="34"/>
      <c r="BV7478" s="34"/>
      <c r="BZ7478" s="34"/>
      <c r="CD7478" s="34"/>
    </row>
    <row r="7479" spans="70:82" x14ac:dyDescent="0.15">
      <c r="BR7479" s="34"/>
      <c r="BV7479" s="34"/>
      <c r="BZ7479" s="34"/>
      <c r="CD7479" s="34"/>
    </row>
    <row r="7480" spans="70:82" x14ac:dyDescent="0.15">
      <c r="BR7480" s="34"/>
      <c r="BV7480" s="34"/>
      <c r="BZ7480" s="34"/>
      <c r="CD7480" s="34"/>
    </row>
    <row r="7481" spans="70:82" x14ac:dyDescent="0.15">
      <c r="BR7481" s="34"/>
      <c r="BV7481" s="34"/>
      <c r="BZ7481" s="34"/>
      <c r="CD7481" s="34"/>
    </row>
    <row r="7482" spans="70:82" x14ac:dyDescent="0.15">
      <c r="BR7482" s="34"/>
      <c r="BV7482" s="34"/>
      <c r="BZ7482" s="34"/>
      <c r="CD7482" s="34"/>
    </row>
    <row r="7483" spans="70:82" x14ac:dyDescent="0.15">
      <c r="BR7483" s="34"/>
      <c r="BV7483" s="34"/>
      <c r="BZ7483" s="34"/>
      <c r="CD7483" s="34"/>
    </row>
    <row r="7484" spans="70:82" x14ac:dyDescent="0.15">
      <c r="BR7484" s="34"/>
      <c r="BV7484" s="34"/>
      <c r="BZ7484" s="34"/>
      <c r="CD7484" s="34"/>
    </row>
    <row r="7485" spans="70:82" x14ac:dyDescent="0.15">
      <c r="BR7485" s="34"/>
      <c r="BV7485" s="34"/>
      <c r="BZ7485" s="34"/>
      <c r="CD7485" s="34"/>
    </row>
    <row r="7486" spans="70:82" x14ac:dyDescent="0.15">
      <c r="BR7486" s="34"/>
      <c r="BV7486" s="34"/>
      <c r="BZ7486" s="34"/>
      <c r="CD7486" s="34"/>
    </row>
    <row r="7487" spans="70:82" x14ac:dyDescent="0.15">
      <c r="BR7487" s="34"/>
      <c r="BV7487" s="34"/>
      <c r="BZ7487" s="34"/>
      <c r="CD7487" s="34"/>
    </row>
    <row r="7488" spans="70:82" x14ac:dyDescent="0.15">
      <c r="BR7488" s="34"/>
      <c r="BV7488" s="34"/>
      <c r="BZ7488" s="34"/>
      <c r="CD7488" s="34"/>
    </row>
    <row r="7489" spans="70:82" x14ac:dyDescent="0.15">
      <c r="BR7489" s="34"/>
      <c r="BV7489" s="34"/>
      <c r="BZ7489" s="34"/>
      <c r="CD7489" s="34"/>
    </row>
    <row r="7490" spans="70:82" x14ac:dyDescent="0.15">
      <c r="BR7490" s="34"/>
      <c r="BV7490" s="34"/>
      <c r="BZ7490" s="34"/>
      <c r="CD7490" s="34"/>
    </row>
    <row r="7491" spans="70:82" x14ac:dyDescent="0.15">
      <c r="BR7491" s="34"/>
      <c r="BV7491" s="34"/>
      <c r="BZ7491" s="34"/>
      <c r="CD7491" s="34"/>
    </row>
    <row r="7492" spans="70:82" x14ac:dyDescent="0.15">
      <c r="BR7492" s="34"/>
      <c r="BV7492" s="34"/>
      <c r="BZ7492" s="34"/>
      <c r="CD7492" s="34"/>
    </row>
    <row r="7493" spans="70:82" x14ac:dyDescent="0.15">
      <c r="BR7493" s="34"/>
      <c r="BV7493" s="34"/>
      <c r="BZ7493" s="34"/>
      <c r="CD7493" s="34"/>
    </row>
    <row r="7494" spans="70:82" x14ac:dyDescent="0.15">
      <c r="BR7494" s="34"/>
      <c r="BV7494" s="34"/>
      <c r="BZ7494" s="34"/>
      <c r="CD7494" s="34"/>
    </row>
    <row r="7495" spans="70:82" x14ac:dyDescent="0.15">
      <c r="BR7495" s="34"/>
      <c r="BV7495" s="34"/>
      <c r="BZ7495" s="34"/>
      <c r="CD7495" s="34"/>
    </row>
    <row r="7496" spans="70:82" x14ac:dyDescent="0.15">
      <c r="BR7496" s="34"/>
      <c r="BV7496" s="34"/>
      <c r="BZ7496" s="34"/>
      <c r="CD7496" s="34"/>
    </row>
    <row r="7497" spans="70:82" x14ac:dyDescent="0.15">
      <c r="BR7497" s="34"/>
      <c r="BV7497" s="34"/>
      <c r="BZ7497" s="34"/>
      <c r="CD7497" s="34"/>
    </row>
    <row r="7498" spans="70:82" x14ac:dyDescent="0.15">
      <c r="BR7498" s="34"/>
      <c r="BV7498" s="34"/>
      <c r="BZ7498" s="34"/>
      <c r="CD7498" s="34"/>
    </row>
    <row r="7499" spans="70:82" x14ac:dyDescent="0.15">
      <c r="BR7499" s="34"/>
      <c r="BV7499" s="34"/>
      <c r="BZ7499" s="34"/>
      <c r="CD7499" s="34"/>
    </row>
    <row r="7500" spans="70:82" x14ac:dyDescent="0.15">
      <c r="BR7500" s="34"/>
      <c r="BV7500" s="34"/>
      <c r="BZ7500" s="34"/>
      <c r="CD7500" s="34"/>
    </row>
    <row r="7501" spans="70:82" x14ac:dyDescent="0.15">
      <c r="BR7501" s="34"/>
      <c r="BV7501" s="34"/>
      <c r="BZ7501" s="34"/>
      <c r="CD7501" s="34"/>
    </row>
    <row r="7502" spans="70:82" x14ac:dyDescent="0.15">
      <c r="BR7502" s="34"/>
      <c r="BV7502" s="34"/>
      <c r="BZ7502" s="34"/>
      <c r="CD7502" s="34"/>
    </row>
    <row r="7503" spans="70:82" x14ac:dyDescent="0.15">
      <c r="BR7503" s="34"/>
      <c r="BV7503" s="34"/>
      <c r="BZ7503" s="34"/>
      <c r="CD7503" s="34"/>
    </row>
    <row r="7504" spans="70:82" x14ac:dyDescent="0.15">
      <c r="BR7504" s="34"/>
      <c r="BV7504" s="34"/>
      <c r="BZ7504" s="34"/>
      <c r="CD7504" s="34"/>
    </row>
    <row r="7505" spans="70:82" x14ac:dyDescent="0.15">
      <c r="BR7505" s="34"/>
      <c r="BV7505" s="34"/>
      <c r="BZ7505" s="34"/>
      <c r="CD7505" s="34"/>
    </row>
    <row r="7506" spans="70:82" x14ac:dyDescent="0.15">
      <c r="BR7506" s="34"/>
      <c r="BV7506" s="34"/>
      <c r="BZ7506" s="34"/>
      <c r="CD7506" s="34"/>
    </row>
    <row r="7507" spans="70:82" x14ac:dyDescent="0.15">
      <c r="BR7507" s="34"/>
      <c r="BV7507" s="34"/>
      <c r="BZ7507" s="34"/>
      <c r="CD7507" s="34"/>
    </row>
    <row r="7508" spans="70:82" x14ac:dyDescent="0.15">
      <c r="BR7508" s="34"/>
      <c r="BV7508" s="34"/>
      <c r="BZ7508" s="34"/>
      <c r="CD7508" s="34"/>
    </row>
    <row r="7509" spans="70:82" x14ac:dyDescent="0.15">
      <c r="BR7509" s="34"/>
      <c r="BV7509" s="34"/>
      <c r="BZ7509" s="34"/>
      <c r="CD7509" s="34"/>
    </row>
    <row r="7510" spans="70:82" x14ac:dyDescent="0.15">
      <c r="BR7510" s="34"/>
      <c r="BV7510" s="34"/>
      <c r="BZ7510" s="34"/>
      <c r="CD7510" s="34"/>
    </row>
    <row r="7511" spans="70:82" x14ac:dyDescent="0.15">
      <c r="BR7511" s="34"/>
      <c r="BV7511" s="34"/>
      <c r="BZ7511" s="34"/>
      <c r="CD7511" s="34"/>
    </row>
    <row r="7512" spans="70:82" x14ac:dyDescent="0.15">
      <c r="BR7512" s="34"/>
      <c r="BV7512" s="34"/>
      <c r="BZ7512" s="34"/>
      <c r="CD7512" s="34"/>
    </row>
    <row r="7513" spans="70:82" x14ac:dyDescent="0.15">
      <c r="BR7513" s="34"/>
      <c r="BV7513" s="34"/>
      <c r="BZ7513" s="34"/>
      <c r="CD7513" s="34"/>
    </row>
    <row r="7514" spans="70:82" x14ac:dyDescent="0.15">
      <c r="BR7514" s="34"/>
      <c r="BV7514" s="34"/>
      <c r="BZ7514" s="34"/>
      <c r="CD7514" s="34"/>
    </row>
    <row r="7515" spans="70:82" x14ac:dyDescent="0.15">
      <c r="BR7515" s="34"/>
      <c r="BV7515" s="34"/>
      <c r="BZ7515" s="34"/>
      <c r="CD7515" s="34"/>
    </row>
    <row r="7516" spans="70:82" x14ac:dyDescent="0.15">
      <c r="BR7516" s="34"/>
      <c r="BV7516" s="34"/>
      <c r="BZ7516" s="34"/>
      <c r="CD7516" s="34"/>
    </row>
    <row r="7517" spans="70:82" x14ac:dyDescent="0.15">
      <c r="BR7517" s="34"/>
      <c r="BV7517" s="34"/>
      <c r="BZ7517" s="34"/>
      <c r="CD7517" s="34"/>
    </row>
    <row r="7518" spans="70:82" x14ac:dyDescent="0.15">
      <c r="BR7518" s="34"/>
      <c r="BV7518" s="34"/>
      <c r="BZ7518" s="34"/>
      <c r="CD7518" s="34"/>
    </row>
    <row r="7519" spans="70:82" x14ac:dyDescent="0.15">
      <c r="BR7519" s="34"/>
      <c r="BV7519" s="34"/>
      <c r="BZ7519" s="34"/>
      <c r="CD7519" s="34"/>
    </row>
    <row r="7520" spans="70:82" x14ac:dyDescent="0.15">
      <c r="BR7520" s="34"/>
      <c r="BV7520" s="34"/>
      <c r="BZ7520" s="34"/>
      <c r="CD7520" s="34"/>
    </row>
    <row r="7521" spans="70:82" x14ac:dyDescent="0.15">
      <c r="BR7521" s="34"/>
      <c r="BV7521" s="34"/>
      <c r="BZ7521" s="34"/>
      <c r="CD7521" s="34"/>
    </row>
    <row r="7522" spans="70:82" x14ac:dyDescent="0.15">
      <c r="BR7522" s="34"/>
      <c r="BV7522" s="34"/>
      <c r="BZ7522" s="34"/>
      <c r="CD7522" s="34"/>
    </row>
    <row r="7523" spans="70:82" x14ac:dyDescent="0.15">
      <c r="BR7523" s="34"/>
      <c r="BV7523" s="34"/>
      <c r="BZ7523" s="34"/>
      <c r="CD7523" s="34"/>
    </row>
    <row r="7524" spans="70:82" x14ac:dyDescent="0.15">
      <c r="BR7524" s="34"/>
      <c r="BV7524" s="34"/>
      <c r="BZ7524" s="34"/>
      <c r="CD7524" s="34"/>
    </row>
    <row r="7525" spans="70:82" x14ac:dyDescent="0.15">
      <c r="BR7525" s="34"/>
      <c r="BV7525" s="34"/>
      <c r="BZ7525" s="34"/>
      <c r="CD7525" s="34"/>
    </row>
    <row r="7526" spans="70:82" x14ac:dyDescent="0.15">
      <c r="BR7526" s="34"/>
      <c r="BV7526" s="34"/>
      <c r="BZ7526" s="34"/>
      <c r="CD7526" s="34"/>
    </row>
    <row r="7527" spans="70:82" x14ac:dyDescent="0.15">
      <c r="BR7527" s="34"/>
      <c r="BV7527" s="34"/>
      <c r="BZ7527" s="34"/>
      <c r="CD7527" s="34"/>
    </row>
    <row r="7528" spans="70:82" x14ac:dyDescent="0.15">
      <c r="BR7528" s="34"/>
      <c r="BV7528" s="34"/>
      <c r="BZ7528" s="34"/>
      <c r="CD7528" s="34"/>
    </row>
    <row r="7529" spans="70:82" x14ac:dyDescent="0.15">
      <c r="BR7529" s="34"/>
      <c r="BV7529" s="34"/>
      <c r="BZ7529" s="34"/>
      <c r="CD7529" s="34"/>
    </row>
    <row r="7530" spans="70:82" x14ac:dyDescent="0.15">
      <c r="BR7530" s="34"/>
      <c r="BV7530" s="34"/>
      <c r="BZ7530" s="34"/>
      <c r="CD7530" s="34"/>
    </row>
    <row r="7531" spans="70:82" x14ac:dyDescent="0.15">
      <c r="BR7531" s="34"/>
      <c r="BV7531" s="34"/>
      <c r="BZ7531" s="34"/>
      <c r="CD7531" s="34"/>
    </row>
    <row r="7532" spans="70:82" x14ac:dyDescent="0.15">
      <c r="BR7532" s="34"/>
      <c r="BV7532" s="34"/>
      <c r="BZ7532" s="34"/>
      <c r="CD7532" s="34"/>
    </row>
    <row r="7533" spans="70:82" x14ac:dyDescent="0.15">
      <c r="BR7533" s="34"/>
      <c r="BV7533" s="34"/>
      <c r="BZ7533" s="34"/>
      <c r="CD7533" s="34"/>
    </row>
    <row r="7534" spans="70:82" x14ac:dyDescent="0.15">
      <c r="BR7534" s="34"/>
      <c r="BV7534" s="34"/>
      <c r="BZ7534" s="34"/>
      <c r="CD7534" s="34"/>
    </row>
    <row r="7535" spans="70:82" x14ac:dyDescent="0.15">
      <c r="BR7535" s="34"/>
      <c r="BV7535" s="34"/>
      <c r="BZ7535" s="34"/>
      <c r="CD7535" s="34"/>
    </row>
    <row r="7536" spans="70:82" x14ac:dyDescent="0.15">
      <c r="BR7536" s="34"/>
      <c r="BV7536" s="34"/>
      <c r="BZ7536" s="34"/>
      <c r="CD7536" s="34"/>
    </row>
    <row r="7537" spans="70:82" x14ac:dyDescent="0.15">
      <c r="BR7537" s="34"/>
      <c r="BV7537" s="34"/>
      <c r="BZ7537" s="34"/>
      <c r="CD7537" s="34"/>
    </row>
    <row r="7538" spans="70:82" x14ac:dyDescent="0.15">
      <c r="BR7538" s="34"/>
      <c r="BV7538" s="34"/>
      <c r="BZ7538" s="34"/>
      <c r="CD7538" s="34"/>
    </row>
    <row r="7539" spans="70:82" x14ac:dyDescent="0.15">
      <c r="BR7539" s="34"/>
      <c r="BV7539" s="34"/>
      <c r="BZ7539" s="34"/>
      <c r="CD7539" s="34"/>
    </row>
    <row r="7540" spans="70:82" x14ac:dyDescent="0.15">
      <c r="BR7540" s="34"/>
      <c r="BV7540" s="34"/>
      <c r="BZ7540" s="34"/>
      <c r="CD7540" s="34"/>
    </row>
    <row r="7541" spans="70:82" x14ac:dyDescent="0.15">
      <c r="BR7541" s="34"/>
      <c r="BV7541" s="34"/>
      <c r="BZ7541" s="34"/>
      <c r="CD7541" s="34"/>
    </row>
    <row r="7542" spans="70:82" x14ac:dyDescent="0.15">
      <c r="BR7542" s="34"/>
      <c r="BV7542" s="34"/>
      <c r="BZ7542" s="34"/>
      <c r="CD7542" s="34"/>
    </row>
    <row r="7543" spans="70:82" x14ac:dyDescent="0.15">
      <c r="BR7543" s="34"/>
      <c r="BV7543" s="34"/>
      <c r="BZ7543" s="34"/>
      <c r="CD7543" s="34"/>
    </row>
    <row r="7544" spans="70:82" x14ac:dyDescent="0.15">
      <c r="BR7544" s="34"/>
      <c r="BV7544" s="34"/>
      <c r="BZ7544" s="34"/>
      <c r="CD7544" s="34"/>
    </row>
    <row r="7545" spans="70:82" x14ac:dyDescent="0.15">
      <c r="BR7545" s="34"/>
      <c r="BV7545" s="34"/>
      <c r="BZ7545" s="34"/>
      <c r="CD7545" s="34"/>
    </row>
    <row r="7546" spans="70:82" x14ac:dyDescent="0.15">
      <c r="BR7546" s="34"/>
      <c r="BV7546" s="34"/>
      <c r="BZ7546" s="34"/>
      <c r="CD7546" s="34"/>
    </row>
    <row r="7547" spans="70:82" x14ac:dyDescent="0.15">
      <c r="BR7547" s="34"/>
      <c r="BV7547" s="34"/>
      <c r="BZ7547" s="34"/>
      <c r="CD7547" s="34"/>
    </row>
    <row r="7548" spans="70:82" x14ac:dyDescent="0.15">
      <c r="BR7548" s="34"/>
      <c r="BV7548" s="34"/>
      <c r="BZ7548" s="34"/>
      <c r="CD7548" s="34"/>
    </row>
    <row r="7549" spans="70:82" x14ac:dyDescent="0.15">
      <c r="BR7549" s="34"/>
      <c r="BV7549" s="34"/>
      <c r="BZ7549" s="34"/>
      <c r="CD7549" s="34"/>
    </row>
    <row r="7550" spans="70:82" x14ac:dyDescent="0.15">
      <c r="BR7550" s="34"/>
      <c r="BV7550" s="34"/>
      <c r="BZ7550" s="34"/>
      <c r="CD7550" s="34"/>
    </row>
    <row r="7551" spans="70:82" x14ac:dyDescent="0.15">
      <c r="BR7551" s="34"/>
      <c r="BV7551" s="34"/>
      <c r="BZ7551" s="34"/>
      <c r="CD7551" s="34"/>
    </row>
    <row r="7552" spans="70:82" x14ac:dyDescent="0.15">
      <c r="BR7552" s="34"/>
      <c r="BV7552" s="34"/>
      <c r="BZ7552" s="34"/>
      <c r="CD7552" s="34"/>
    </row>
    <row r="7553" spans="70:82" x14ac:dyDescent="0.15">
      <c r="BR7553" s="34"/>
      <c r="BV7553" s="34"/>
      <c r="BZ7553" s="34"/>
      <c r="CD7553" s="34"/>
    </row>
    <row r="7554" spans="70:82" x14ac:dyDescent="0.15">
      <c r="BR7554" s="34"/>
      <c r="BV7554" s="34"/>
      <c r="BZ7554" s="34"/>
      <c r="CD7554" s="34"/>
    </row>
    <row r="7555" spans="70:82" x14ac:dyDescent="0.15">
      <c r="BR7555" s="34"/>
      <c r="BV7555" s="34"/>
      <c r="BZ7555" s="34"/>
      <c r="CD7555" s="34"/>
    </row>
    <row r="7556" spans="70:82" x14ac:dyDescent="0.15">
      <c r="BR7556" s="34"/>
      <c r="BV7556" s="34"/>
      <c r="BZ7556" s="34"/>
      <c r="CD7556" s="34"/>
    </row>
    <row r="7557" spans="70:82" x14ac:dyDescent="0.15">
      <c r="BR7557" s="34"/>
      <c r="BV7557" s="34"/>
      <c r="BZ7557" s="34"/>
      <c r="CD7557" s="34"/>
    </row>
    <row r="7558" spans="70:82" x14ac:dyDescent="0.15">
      <c r="BR7558" s="34"/>
      <c r="BV7558" s="34"/>
      <c r="BZ7558" s="34"/>
      <c r="CD7558" s="34"/>
    </row>
    <row r="7559" spans="70:82" x14ac:dyDescent="0.15">
      <c r="BR7559" s="34"/>
      <c r="BV7559" s="34"/>
      <c r="BZ7559" s="34"/>
      <c r="CD7559" s="34"/>
    </row>
    <row r="7560" spans="70:82" x14ac:dyDescent="0.15">
      <c r="BR7560" s="34"/>
      <c r="BV7560" s="34"/>
      <c r="BZ7560" s="34"/>
      <c r="CD7560" s="34"/>
    </row>
    <row r="7561" spans="70:82" x14ac:dyDescent="0.15">
      <c r="BR7561" s="34"/>
      <c r="BV7561" s="34"/>
      <c r="BZ7561" s="34"/>
      <c r="CD7561" s="34"/>
    </row>
    <row r="7562" spans="70:82" x14ac:dyDescent="0.15">
      <c r="BR7562" s="34"/>
      <c r="BV7562" s="34"/>
      <c r="BZ7562" s="34"/>
      <c r="CD7562" s="34"/>
    </row>
    <row r="7563" spans="70:82" x14ac:dyDescent="0.15">
      <c r="BR7563" s="34"/>
      <c r="BV7563" s="34"/>
      <c r="BZ7563" s="34"/>
      <c r="CD7563" s="34"/>
    </row>
    <row r="7564" spans="70:82" x14ac:dyDescent="0.15">
      <c r="BR7564" s="34"/>
      <c r="BV7564" s="34"/>
      <c r="BZ7564" s="34"/>
      <c r="CD7564" s="34"/>
    </row>
    <row r="7565" spans="70:82" x14ac:dyDescent="0.15">
      <c r="BR7565" s="34"/>
      <c r="BV7565" s="34"/>
      <c r="BZ7565" s="34"/>
      <c r="CD7565" s="34"/>
    </row>
    <row r="7566" spans="70:82" x14ac:dyDescent="0.15">
      <c r="BR7566" s="34"/>
      <c r="BV7566" s="34"/>
      <c r="BZ7566" s="34"/>
      <c r="CD7566" s="34"/>
    </row>
    <row r="7567" spans="70:82" x14ac:dyDescent="0.15">
      <c r="BR7567" s="34"/>
      <c r="BV7567" s="34"/>
      <c r="BZ7567" s="34"/>
      <c r="CD7567" s="34"/>
    </row>
    <row r="7568" spans="70:82" x14ac:dyDescent="0.15">
      <c r="BR7568" s="34"/>
      <c r="BV7568" s="34"/>
      <c r="BZ7568" s="34"/>
      <c r="CD7568" s="34"/>
    </row>
    <row r="7569" spans="70:82" x14ac:dyDescent="0.15">
      <c r="BR7569" s="34"/>
      <c r="BV7569" s="34"/>
      <c r="BZ7569" s="34"/>
      <c r="CD7569" s="34"/>
    </row>
    <row r="7570" spans="70:82" x14ac:dyDescent="0.15">
      <c r="BR7570" s="34"/>
      <c r="BV7570" s="34"/>
      <c r="BZ7570" s="34"/>
      <c r="CD7570" s="34"/>
    </row>
    <row r="7571" spans="70:82" x14ac:dyDescent="0.15">
      <c r="BR7571" s="34"/>
      <c r="BV7571" s="34"/>
      <c r="BZ7571" s="34"/>
      <c r="CD7571" s="34"/>
    </row>
    <row r="7572" spans="70:82" x14ac:dyDescent="0.15">
      <c r="BR7572" s="34"/>
      <c r="BV7572" s="34"/>
      <c r="BZ7572" s="34"/>
      <c r="CD7572" s="34"/>
    </row>
    <row r="7573" spans="70:82" x14ac:dyDescent="0.15">
      <c r="BR7573" s="34"/>
      <c r="BV7573" s="34"/>
      <c r="BZ7573" s="34"/>
      <c r="CD7573" s="34"/>
    </row>
    <row r="7574" spans="70:82" x14ac:dyDescent="0.15">
      <c r="BR7574" s="34"/>
      <c r="BV7574" s="34"/>
      <c r="BZ7574" s="34"/>
      <c r="CD7574" s="34"/>
    </row>
    <row r="7575" spans="70:82" x14ac:dyDescent="0.15">
      <c r="BR7575" s="34"/>
      <c r="BV7575" s="34"/>
      <c r="BZ7575" s="34"/>
      <c r="CD7575" s="34"/>
    </row>
    <row r="7576" spans="70:82" x14ac:dyDescent="0.15">
      <c r="BR7576" s="34"/>
      <c r="BV7576" s="34"/>
      <c r="BZ7576" s="34"/>
      <c r="CD7576" s="34"/>
    </row>
    <row r="7577" spans="70:82" x14ac:dyDescent="0.15">
      <c r="BR7577" s="34"/>
      <c r="BV7577" s="34"/>
      <c r="BZ7577" s="34"/>
      <c r="CD7577" s="34"/>
    </row>
    <row r="7578" spans="70:82" x14ac:dyDescent="0.15">
      <c r="BR7578" s="34"/>
      <c r="BV7578" s="34"/>
      <c r="BZ7578" s="34"/>
      <c r="CD7578" s="34"/>
    </row>
    <row r="7579" spans="70:82" x14ac:dyDescent="0.15">
      <c r="BR7579" s="34"/>
      <c r="BV7579" s="34"/>
      <c r="BZ7579" s="34"/>
      <c r="CD7579" s="34"/>
    </row>
    <row r="7580" spans="70:82" x14ac:dyDescent="0.15">
      <c r="BR7580" s="34"/>
      <c r="BV7580" s="34"/>
      <c r="BZ7580" s="34"/>
      <c r="CD7580" s="34"/>
    </row>
    <row r="7581" spans="70:82" x14ac:dyDescent="0.15">
      <c r="BR7581" s="34"/>
      <c r="BV7581" s="34"/>
      <c r="BZ7581" s="34"/>
      <c r="CD7581" s="34"/>
    </row>
    <row r="7582" spans="70:82" x14ac:dyDescent="0.15">
      <c r="BR7582" s="34"/>
      <c r="BV7582" s="34"/>
      <c r="BZ7582" s="34"/>
      <c r="CD7582" s="34"/>
    </row>
    <row r="7583" spans="70:82" x14ac:dyDescent="0.15">
      <c r="BR7583" s="34"/>
      <c r="BV7583" s="34"/>
      <c r="BZ7583" s="34"/>
      <c r="CD7583" s="34"/>
    </row>
    <row r="7584" spans="70:82" x14ac:dyDescent="0.15">
      <c r="BR7584" s="34"/>
      <c r="BV7584" s="34"/>
      <c r="BZ7584" s="34"/>
      <c r="CD7584" s="34"/>
    </row>
    <row r="7585" spans="70:82" x14ac:dyDescent="0.15">
      <c r="BR7585" s="34"/>
      <c r="BV7585" s="34"/>
      <c r="BZ7585" s="34"/>
      <c r="CD7585" s="34"/>
    </row>
    <row r="7586" spans="70:82" x14ac:dyDescent="0.15">
      <c r="BR7586" s="34"/>
      <c r="BV7586" s="34"/>
      <c r="BZ7586" s="34"/>
      <c r="CD7586" s="34"/>
    </row>
    <row r="7587" spans="70:82" x14ac:dyDescent="0.15">
      <c r="BR7587" s="34"/>
      <c r="BV7587" s="34"/>
      <c r="BZ7587" s="34"/>
      <c r="CD7587" s="34"/>
    </row>
    <row r="7588" spans="70:82" x14ac:dyDescent="0.15">
      <c r="BR7588" s="34"/>
      <c r="BV7588" s="34"/>
      <c r="BZ7588" s="34"/>
      <c r="CD7588" s="34"/>
    </row>
    <row r="7589" spans="70:82" x14ac:dyDescent="0.15">
      <c r="BR7589" s="34"/>
      <c r="BV7589" s="34"/>
      <c r="BZ7589" s="34"/>
      <c r="CD7589" s="34"/>
    </row>
    <row r="7590" spans="70:82" x14ac:dyDescent="0.15">
      <c r="BR7590" s="34"/>
      <c r="BV7590" s="34"/>
      <c r="BZ7590" s="34"/>
      <c r="CD7590" s="34"/>
    </row>
    <row r="7591" spans="70:82" x14ac:dyDescent="0.15">
      <c r="BR7591" s="34"/>
      <c r="BV7591" s="34"/>
      <c r="BZ7591" s="34"/>
      <c r="CD7591" s="34"/>
    </row>
    <row r="7592" spans="70:82" x14ac:dyDescent="0.15">
      <c r="BR7592" s="34"/>
      <c r="BV7592" s="34"/>
      <c r="BZ7592" s="34"/>
      <c r="CD7592" s="34"/>
    </row>
    <row r="7593" spans="70:82" x14ac:dyDescent="0.15">
      <c r="BR7593" s="34"/>
      <c r="BV7593" s="34"/>
      <c r="BZ7593" s="34"/>
      <c r="CD7593" s="34"/>
    </row>
    <row r="7594" spans="70:82" x14ac:dyDescent="0.15">
      <c r="BR7594" s="34"/>
      <c r="BV7594" s="34"/>
      <c r="BZ7594" s="34"/>
      <c r="CD7594" s="34"/>
    </row>
    <row r="7595" spans="70:82" x14ac:dyDescent="0.15">
      <c r="BR7595" s="34"/>
      <c r="BV7595" s="34"/>
      <c r="BZ7595" s="34"/>
      <c r="CD7595" s="34"/>
    </row>
    <row r="7596" spans="70:82" x14ac:dyDescent="0.15">
      <c r="BR7596" s="34"/>
      <c r="BV7596" s="34"/>
      <c r="BZ7596" s="34"/>
      <c r="CD7596" s="34"/>
    </row>
    <row r="7597" spans="70:82" x14ac:dyDescent="0.15">
      <c r="BR7597" s="34"/>
      <c r="BV7597" s="34"/>
      <c r="BZ7597" s="34"/>
      <c r="CD7597" s="34"/>
    </row>
    <row r="7598" spans="70:82" x14ac:dyDescent="0.15">
      <c r="BR7598" s="34"/>
      <c r="BV7598" s="34"/>
      <c r="BZ7598" s="34"/>
      <c r="CD7598" s="34"/>
    </row>
    <row r="7599" spans="70:82" x14ac:dyDescent="0.15">
      <c r="BR7599" s="34"/>
      <c r="BV7599" s="34"/>
      <c r="BZ7599" s="34"/>
      <c r="CD7599" s="34"/>
    </row>
    <row r="7600" spans="70:82" x14ac:dyDescent="0.15">
      <c r="BR7600" s="34"/>
      <c r="BV7600" s="34"/>
      <c r="BZ7600" s="34"/>
      <c r="CD7600" s="34"/>
    </row>
    <row r="7601" spans="70:82" x14ac:dyDescent="0.15">
      <c r="BR7601" s="34"/>
      <c r="BV7601" s="34"/>
      <c r="BZ7601" s="34"/>
      <c r="CD7601" s="34"/>
    </row>
    <row r="7602" spans="70:82" x14ac:dyDescent="0.15">
      <c r="BR7602" s="34"/>
      <c r="BV7602" s="34"/>
      <c r="BZ7602" s="34"/>
      <c r="CD7602" s="34"/>
    </row>
    <row r="7603" spans="70:82" x14ac:dyDescent="0.15">
      <c r="BR7603" s="34"/>
      <c r="BV7603" s="34"/>
      <c r="BZ7603" s="34"/>
      <c r="CD7603" s="34"/>
    </row>
    <row r="7604" spans="70:82" x14ac:dyDescent="0.15">
      <c r="BR7604" s="34"/>
      <c r="BV7604" s="34"/>
      <c r="BZ7604" s="34"/>
      <c r="CD7604" s="34"/>
    </row>
    <row r="7605" spans="70:82" x14ac:dyDescent="0.15">
      <c r="BR7605" s="34"/>
      <c r="BV7605" s="34"/>
      <c r="BZ7605" s="34"/>
      <c r="CD7605" s="34"/>
    </row>
    <row r="7606" spans="70:82" x14ac:dyDescent="0.15">
      <c r="BR7606" s="34"/>
      <c r="BV7606" s="34"/>
      <c r="BZ7606" s="34"/>
      <c r="CD7606" s="34"/>
    </row>
    <row r="7607" spans="70:82" x14ac:dyDescent="0.15">
      <c r="BR7607" s="34"/>
      <c r="BV7607" s="34"/>
      <c r="BZ7607" s="34"/>
      <c r="CD7607" s="34"/>
    </row>
    <row r="7608" spans="70:82" x14ac:dyDescent="0.15">
      <c r="BR7608" s="34"/>
      <c r="BV7608" s="34"/>
      <c r="BZ7608" s="34"/>
      <c r="CD7608" s="34"/>
    </row>
    <row r="7609" spans="70:82" x14ac:dyDescent="0.15">
      <c r="BR7609" s="34"/>
      <c r="BV7609" s="34"/>
      <c r="BZ7609" s="34"/>
      <c r="CD7609" s="34"/>
    </row>
    <row r="7610" spans="70:82" x14ac:dyDescent="0.15">
      <c r="BR7610" s="34"/>
      <c r="BV7610" s="34"/>
      <c r="BZ7610" s="34"/>
      <c r="CD7610" s="34"/>
    </row>
    <row r="7611" spans="70:82" x14ac:dyDescent="0.15">
      <c r="BR7611" s="34"/>
      <c r="BV7611" s="34"/>
      <c r="BZ7611" s="34"/>
      <c r="CD7611" s="34"/>
    </row>
    <row r="7612" spans="70:82" x14ac:dyDescent="0.15">
      <c r="BR7612" s="34"/>
      <c r="BV7612" s="34"/>
      <c r="BZ7612" s="34"/>
      <c r="CD7612" s="34"/>
    </row>
    <row r="7613" spans="70:82" x14ac:dyDescent="0.15">
      <c r="BR7613" s="34"/>
      <c r="BV7613" s="34"/>
      <c r="BZ7613" s="34"/>
      <c r="CD7613" s="34"/>
    </row>
    <row r="7614" spans="70:82" x14ac:dyDescent="0.15">
      <c r="BR7614" s="34"/>
      <c r="BV7614" s="34"/>
      <c r="BZ7614" s="34"/>
      <c r="CD7614" s="34"/>
    </row>
    <row r="7615" spans="70:82" x14ac:dyDescent="0.15">
      <c r="BR7615" s="34"/>
      <c r="BV7615" s="34"/>
      <c r="BZ7615" s="34"/>
      <c r="CD7615" s="34"/>
    </row>
    <row r="7616" spans="70:82" x14ac:dyDescent="0.15">
      <c r="BR7616" s="34"/>
      <c r="BV7616" s="34"/>
      <c r="BZ7616" s="34"/>
      <c r="CD7616" s="34"/>
    </row>
    <row r="7617" spans="70:82" x14ac:dyDescent="0.15">
      <c r="BR7617" s="34"/>
      <c r="BV7617" s="34"/>
      <c r="BZ7617" s="34"/>
      <c r="CD7617" s="34"/>
    </row>
    <row r="7618" spans="70:82" x14ac:dyDescent="0.15">
      <c r="BR7618" s="34"/>
      <c r="BV7618" s="34"/>
      <c r="BZ7618" s="34"/>
      <c r="CD7618" s="34"/>
    </row>
    <row r="7619" spans="70:82" x14ac:dyDescent="0.15">
      <c r="BR7619" s="34"/>
      <c r="BV7619" s="34"/>
      <c r="BZ7619" s="34"/>
      <c r="CD7619" s="34"/>
    </row>
    <row r="7620" spans="70:82" x14ac:dyDescent="0.15">
      <c r="BR7620" s="34"/>
      <c r="BV7620" s="34"/>
      <c r="BZ7620" s="34"/>
      <c r="CD7620" s="34"/>
    </row>
    <row r="7621" spans="70:82" x14ac:dyDescent="0.15">
      <c r="BR7621" s="34"/>
      <c r="BV7621" s="34"/>
      <c r="BZ7621" s="34"/>
      <c r="CD7621" s="34"/>
    </row>
    <row r="7622" spans="70:82" x14ac:dyDescent="0.15">
      <c r="BR7622" s="34"/>
      <c r="BV7622" s="34"/>
      <c r="BZ7622" s="34"/>
      <c r="CD7622" s="34"/>
    </row>
    <row r="7623" spans="70:82" x14ac:dyDescent="0.15">
      <c r="BR7623" s="34"/>
      <c r="BV7623" s="34"/>
      <c r="BZ7623" s="34"/>
      <c r="CD7623" s="34"/>
    </row>
    <row r="7624" spans="70:82" x14ac:dyDescent="0.15">
      <c r="BR7624" s="34"/>
      <c r="BV7624" s="34"/>
      <c r="BZ7624" s="34"/>
      <c r="CD7624" s="34"/>
    </row>
    <row r="7625" spans="70:82" x14ac:dyDescent="0.15">
      <c r="BR7625" s="34"/>
      <c r="BV7625" s="34"/>
      <c r="BZ7625" s="34"/>
      <c r="CD7625" s="34"/>
    </row>
    <row r="7626" spans="70:82" x14ac:dyDescent="0.15">
      <c r="BR7626" s="34"/>
      <c r="BV7626" s="34"/>
      <c r="BZ7626" s="34"/>
      <c r="CD7626" s="34"/>
    </row>
    <row r="7627" spans="70:82" x14ac:dyDescent="0.15">
      <c r="BR7627" s="34"/>
      <c r="BV7627" s="34"/>
      <c r="BZ7627" s="34"/>
      <c r="CD7627" s="34"/>
    </row>
    <row r="7628" spans="70:82" x14ac:dyDescent="0.15">
      <c r="BR7628" s="34"/>
      <c r="BV7628" s="34"/>
      <c r="BZ7628" s="34"/>
      <c r="CD7628" s="34"/>
    </row>
    <row r="7629" spans="70:82" x14ac:dyDescent="0.15">
      <c r="BR7629" s="34"/>
      <c r="BV7629" s="34"/>
      <c r="BZ7629" s="34"/>
      <c r="CD7629" s="34"/>
    </row>
    <row r="7630" spans="70:82" x14ac:dyDescent="0.15">
      <c r="BR7630" s="34"/>
      <c r="BV7630" s="34"/>
      <c r="BZ7630" s="34"/>
      <c r="CD7630" s="34"/>
    </row>
    <row r="7631" spans="70:82" x14ac:dyDescent="0.15">
      <c r="BR7631" s="34"/>
      <c r="BV7631" s="34"/>
      <c r="BZ7631" s="34"/>
      <c r="CD7631" s="34"/>
    </row>
    <row r="7632" spans="70:82" x14ac:dyDescent="0.15">
      <c r="BR7632" s="34"/>
      <c r="BV7632" s="34"/>
      <c r="BZ7632" s="34"/>
      <c r="CD7632" s="34"/>
    </row>
    <row r="7633" spans="70:82" x14ac:dyDescent="0.15">
      <c r="BR7633" s="34"/>
      <c r="BV7633" s="34"/>
      <c r="BZ7633" s="34"/>
      <c r="CD7633" s="34"/>
    </row>
    <row r="7634" spans="70:82" x14ac:dyDescent="0.15">
      <c r="BR7634" s="34"/>
      <c r="BV7634" s="34"/>
      <c r="BZ7634" s="34"/>
      <c r="CD7634" s="34"/>
    </row>
    <row r="7635" spans="70:82" x14ac:dyDescent="0.15">
      <c r="BR7635" s="34"/>
      <c r="BV7635" s="34"/>
      <c r="BZ7635" s="34"/>
      <c r="CD7635" s="34"/>
    </row>
    <row r="7636" spans="70:82" x14ac:dyDescent="0.15">
      <c r="BR7636" s="34"/>
      <c r="BV7636" s="34"/>
      <c r="BZ7636" s="34"/>
      <c r="CD7636" s="34"/>
    </row>
    <row r="7637" spans="70:82" x14ac:dyDescent="0.15">
      <c r="BR7637" s="34"/>
      <c r="BV7637" s="34"/>
      <c r="BZ7637" s="34"/>
      <c r="CD7637" s="34"/>
    </row>
    <row r="7638" spans="70:82" x14ac:dyDescent="0.15">
      <c r="BR7638" s="34"/>
      <c r="BV7638" s="34"/>
      <c r="BZ7638" s="34"/>
      <c r="CD7638" s="34"/>
    </row>
    <row r="7639" spans="70:82" x14ac:dyDescent="0.15">
      <c r="BR7639" s="34"/>
      <c r="BV7639" s="34"/>
      <c r="BZ7639" s="34"/>
      <c r="CD7639" s="34"/>
    </row>
    <row r="7640" spans="70:82" x14ac:dyDescent="0.15">
      <c r="BR7640" s="34"/>
      <c r="BV7640" s="34"/>
      <c r="BZ7640" s="34"/>
      <c r="CD7640" s="34"/>
    </row>
    <row r="7641" spans="70:82" x14ac:dyDescent="0.15">
      <c r="BR7641" s="34"/>
      <c r="BV7641" s="34"/>
      <c r="BZ7641" s="34"/>
      <c r="CD7641" s="34"/>
    </row>
    <row r="7642" spans="70:82" x14ac:dyDescent="0.15">
      <c r="BR7642" s="34"/>
      <c r="BV7642" s="34"/>
      <c r="BZ7642" s="34"/>
      <c r="CD7642" s="34"/>
    </row>
    <row r="7643" spans="70:82" x14ac:dyDescent="0.15">
      <c r="BR7643" s="34"/>
      <c r="BV7643" s="34"/>
      <c r="BZ7643" s="34"/>
      <c r="CD7643" s="34"/>
    </row>
    <row r="7644" spans="70:82" x14ac:dyDescent="0.15">
      <c r="BR7644" s="34"/>
      <c r="BV7644" s="34"/>
      <c r="BZ7644" s="34"/>
      <c r="CD7644" s="34"/>
    </row>
    <row r="7645" spans="70:82" x14ac:dyDescent="0.15">
      <c r="BR7645" s="34"/>
      <c r="BV7645" s="34"/>
      <c r="BZ7645" s="34"/>
      <c r="CD7645" s="34"/>
    </row>
    <row r="7646" spans="70:82" x14ac:dyDescent="0.15">
      <c r="BR7646" s="34"/>
      <c r="BV7646" s="34"/>
      <c r="BZ7646" s="34"/>
      <c r="CD7646" s="34"/>
    </row>
    <row r="7647" spans="70:82" x14ac:dyDescent="0.15">
      <c r="BR7647" s="34"/>
      <c r="BV7647" s="34"/>
      <c r="BZ7647" s="34"/>
      <c r="CD7647" s="34"/>
    </row>
    <row r="7648" spans="70:82" x14ac:dyDescent="0.15">
      <c r="BR7648" s="34"/>
      <c r="BV7648" s="34"/>
      <c r="BZ7648" s="34"/>
      <c r="CD7648" s="34"/>
    </row>
    <row r="7649" spans="70:82" x14ac:dyDescent="0.15">
      <c r="BR7649" s="34"/>
      <c r="BV7649" s="34"/>
      <c r="BZ7649" s="34"/>
      <c r="CD7649" s="34"/>
    </row>
    <row r="7650" spans="70:82" x14ac:dyDescent="0.15">
      <c r="BR7650" s="34"/>
      <c r="BV7650" s="34"/>
      <c r="BZ7650" s="34"/>
      <c r="CD7650" s="34"/>
    </row>
    <row r="7651" spans="70:82" x14ac:dyDescent="0.15">
      <c r="BR7651" s="34"/>
      <c r="BV7651" s="34"/>
      <c r="BZ7651" s="34"/>
      <c r="CD7651" s="34"/>
    </row>
    <row r="7652" spans="70:82" x14ac:dyDescent="0.15">
      <c r="BR7652" s="34"/>
      <c r="BV7652" s="34"/>
      <c r="BZ7652" s="34"/>
      <c r="CD7652" s="34"/>
    </row>
    <row r="7653" spans="70:82" x14ac:dyDescent="0.15">
      <c r="BR7653" s="34"/>
      <c r="BV7653" s="34"/>
      <c r="BZ7653" s="34"/>
      <c r="CD7653" s="34"/>
    </row>
    <row r="7654" spans="70:82" x14ac:dyDescent="0.15">
      <c r="BR7654" s="34"/>
      <c r="BV7654" s="34"/>
      <c r="BZ7654" s="34"/>
      <c r="CD7654" s="34"/>
    </row>
    <row r="7655" spans="70:82" x14ac:dyDescent="0.15">
      <c r="BR7655" s="34"/>
      <c r="BV7655" s="34"/>
      <c r="BZ7655" s="34"/>
      <c r="CD7655" s="34"/>
    </row>
    <row r="7656" spans="70:82" x14ac:dyDescent="0.15">
      <c r="BR7656" s="34"/>
      <c r="BV7656" s="34"/>
      <c r="BZ7656" s="34"/>
      <c r="CD7656" s="34"/>
    </row>
    <row r="7657" spans="70:82" x14ac:dyDescent="0.15">
      <c r="BR7657" s="34"/>
      <c r="BV7657" s="34"/>
      <c r="BZ7657" s="34"/>
      <c r="CD7657" s="34"/>
    </row>
    <row r="7658" spans="70:82" x14ac:dyDescent="0.15">
      <c r="BR7658" s="34"/>
      <c r="BV7658" s="34"/>
      <c r="BZ7658" s="34"/>
      <c r="CD7658" s="34"/>
    </row>
    <row r="7659" spans="70:82" x14ac:dyDescent="0.15">
      <c r="BR7659" s="34"/>
      <c r="BV7659" s="34"/>
      <c r="BZ7659" s="34"/>
      <c r="CD7659" s="34"/>
    </row>
    <row r="7660" spans="70:82" x14ac:dyDescent="0.15">
      <c r="BR7660" s="34"/>
      <c r="BV7660" s="34"/>
      <c r="BZ7660" s="34"/>
      <c r="CD7660" s="34"/>
    </row>
    <row r="7661" spans="70:82" x14ac:dyDescent="0.15">
      <c r="BR7661" s="34"/>
      <c r="BV7661" s="34"/>
      <c r="BZ7661" s="34"/>
      <c r="CD7661" s="34"/>
    </row>
    <row r="7662" spans="70:82" x14ac:dyDescent="0.15">
      <c r="BR7662" s="34"/>
      <c r="BV7662" s="34"/>
      <c r="BZ7662" s="34"/>
      <c r="CD7662" s="34"/>
    </row>
    <row r="7663" spans="70:82" x14ac:dyDescent="0.15">
      <c r="BR7663" s="34"/>
      <c r="BV7663" s="34"/>
      <c r="BZ7663" s="34"/>
      <c r="CD7663" s="34"/>
    </row>
    <row r="7664" spans="70:82" x14ac:dyDescent="0.15">
      <c r="BR7664" s="34"/>
      <c r="BV7664" s="34"/>
      <c r="BZ7664" s="34"/>
      <c r="CD7664" s="34"/>
    </row>
    <row r="7665" spans="70:82" x14ac:dyDescent="0.15">
      <c r="BR7665" s="34"/>
      <c r="BV7665" s="34"/>
      <c r="BZ7665" s="34"/>
      <c r="CD7665" s="34"/>
    </row>
    <row r="7666" spans="70:82" x14ac:dyDescent="0.15">
      <c r="BR7666" s="34"/>
      <c r="BV7666" s="34"/>
      <c r="BZ7666" s="34"/>
      <c r="CD7666" s="34"/>
    </row>
    <row r="7667" spans="70:82" x14ac:dyDescent="0.15">
      <c r="BR7667" s="34"/>
      <c r="BV7667" s="34"/>
      <c r="BZ7667" s="34"/>
      <c r="CD7667" s="34"/>
    </row>
    <row r="7668" spans="70:82" x14ac:dyDescent="0.15">
      <c r="BR7668" s="34"/>
      <c r="BV7668" s="34"/>
      <c r="BZ7668" s="34"/>
      <c r="CD7668" s="34"/>
    </row>
    <row r="7669" spans="70:82" x14ac:dyDescent="0.15">
      <c r="BR7669" s="34"/>
      <c r="BV7669" s="34"/>
      <c r="BZ7669" s="34"/>
      <c r="CD7669" s="34"/>
    </row>
    <row r="7670" spans="70:82" x14ac:dyDescent="0.15">
      <c r="BR7670" s="34"/>
      <c r="BV7670" s="34"/>
      <c r="BZ7670" s="34"/>
      <c r="CD7670" s="34"/>
    </row>
    <row r="7671" spans="70:82" x14ac:dyDescent="0.15">
      <c r="BR7671" s="34"/>
      <c r="BV7671" s="34"/>
      <c r="BZ7671" s="34"/>
      <c r="CD7671" s="34"/>
    </row>
    <row r="7672" spans="70:82" x14ac:dyDescent="0.15">
      <c r="BR7672" s="34"/>
      <c r="BV7672" s="34"/>
      <c r="BZ7672" s="34"/>
      <c r="CD7672" s="34"/>
    </row>
    <row r="7673" spans="70:82" x14ac:dyDescent="0.15">
      <c r="BR7673" s="34"/>
      <c r="BV7673" s="34"/>
      <c r="BZ7673" s="34"/>
      <c r="CD7673" s="34"/>
    </row>
    <row r="7674" spans="70:82" x14ac:dyDescent="0.15">
      <c r="BR7674" s="34"/>
      <c r="BV7674" s="34"/>
      <c r="BZ7674" s="34"/>
      <c r="CD7674" s="34"/>
    </row>
    <row r="7675" spans="70:82" x14ac:dyDescent="0.15">
      <c r="BR7675" s="34"/>
      <c r="BV7675" s="34"/>
      <c r="BZ7675" s="34"/>
      <c r="CD7675" s="34"/>
    </row>
    <row r="7676" spans="70:82" x14ac:dyDescent="0.15">
      <c r="BR7676" s="34"/>
      <c r="BV7676" s="34"/>
      <c r="BZ7676" s="34"/>
      <c r="CD7676" s="34"/>
    </row>
    <row r="7677" spans="70:82" x14ac:dyDescent="0.15">
      <c r="BR7677" s="34"/>
      <c r="BV7677" s="34"/>
      <c r="BZ7677" s="34"/>
      <c r="CD7677" s="34"/>
    </row>
    <row r="7678" spans="70:82" x14ac:dyDescent="0.15">
      <c r="BR7678" s="34"/>
      <c r="BV7678" s="34"/>
      <c r="BZ7678" s="34"/>
      <c r="CD7678" s="34"/>
    </row>
    <row r="7679" spans="70:82" x14ac:dyDescent="0.15">
      <c r="BR7679" s="34"/>
      <c r="BV7679" s="34"/>
      <c r="BZ7679" s="34"/>
      <c r="CD7679" s="34"/>
    </row>
    <row r="7680" spans="70:82" x14ac:dyDescent="0.15">
      <c r="BR7680" s="34"/>
      <c r="BV7680" s="34"/>
      <c r="BZ7680" s="34"/>
      <c r="CD7680" s="34"/>
    </row>
    <row r="7681" spans="70:82" x14ac:dyDescent="0.15">
      <c r="BR7681" s="34"/>
      <c r="BV7681" s="34"/>
      <c r="BZ7681" s="34"/>
      <c r="CD7681" s="34"/>
    </row>
    <row r="7682" spans="70:82" x14ac:dyDescent="0.15">
      <c r="BR7682" s="34"/>
      <c r="BV7682" s="34"/>
      <c r="BZ7682" s="34"/>
      <c r="CD7682" s="34"/>
    </row>
    <row r="7683" spans="70:82" x14ac:dyDescent="0.15">
      <c r="BR7683" s="34"/>
      <c r="BV7683" s="34"/>
      <c r="BZ7683" s="34"/>
      <c r="CD7683" s="34"/>
    </row>
    <row r="7684" spans="70:82" x14ac:dyDescent="0.15">
      <c r="BR7684" s="34"/>
      <c r="BV7684" s="34"/>
      <c r="BZ7684" s="34"/>
      <c r="CD7684" s="34"/>
    </row>
    <row r="7685" spans="70:82" x14ac:dyDescent="0.15">
      <c r="BR7685" s="34"/>
      <c r="BV7685" s="34"/>
      <c r="BZ7685" s="34"/>
      <c r="CD7685" s="34"/>
    </row>
    <row r="7686" spans="70:82" x14ac:dyDescent="0.15">
      <c r="BR7686" s="34"/>
      <c r="BV7686" s="34"/>
      <c r="BZ7686" s="34"/>
      <c r="CD7686" s="34"/>
    </row>
    <row r="7687" spans="70:82" x14ac:dyDescent="0.15">
      <c r="BR7687" s="34"/>
      <c r="BV7687" s="34"/>
      <c r="BZ7687" s="34"/>
      <c r="CD7687" s="34"/>
    </row>
    <row r="7688" spans="70:82" x14ac:dyDescent="0.15">
      <c r="BR7688" s="34"/>
      <c r="BV7688" s="34"/>
      <c r="BZ7688" s="34"/>
      <c r="CD7688" s="34"/>
    </row>
    <row r="7689" spans="70:82" x14ac:dyDescent="0.15">
      <c r="BR7689" s="34"/>
      <c r="BV7689" s="34"/>
      <c r="BZ7689" s="34"/>
      <c r="CD7689" s="34"/>
    </row>
    <row r="7690" spans="70:82" x14ac:dyDescent="0.15">
      <c r="BR7690" s="34"/>
      <c r="BV7690" s="34"/>
      <c r="BZ7690" s="34"/>
      <c r="CD7690" s="34"/>
    </row>
    <row r="7691" spans="70:82" x14ac:dyDescent="0.15">
      <c r="BR7691" s="34"/>
      <c r="BV7691" s="34"/>
      <c r="BZ7691" s="34"/>
      <c r="CD7691" s="34"/>
    </row>
    <row r="7692" spans="70:82" x14ac:dyDescent="0.15">
      <c r="BR7692" s="34"/>
      <c r="BV7692" s="34"/>
      <c r="BZ7692" s="34"/>
      <c r="CD7692" s="34"/>
    </row>
    <row r="7693" spans="70:82" x14ac:dyDescent="0.15">
      <c r="BR7693" s="34"/>
      <c r="BV7693" s="34"/>
      <c r="BZ7693" s="34"/>
      <c r="CD7693" s="34"/>
    </row>
    <row r="7694" spans="70:82" x14ac:dyDescent="0.15">
      <c r="BR7694" s="34"/>
      <c r="BV7694" s="34"/>
      <c r="BZ7694" s="34"/>
      <c r="CD7694" s="34"/>
    </row>
    <row r="7695" spans="70:82" x14ac:dyDescent="0.15">
      <c r="BR7695" s="34"/>
      <c r="BV7695" s="34"/>
      <c r="BZ7695" s="34"/>
      <c r="CD7695" s="34"/>
    </row>
    <row r="7696" spans="70:82" x14ac:dyDescent="0.15">
      <c r="BR7696" s="34"/>
      <c r="BV7696" s="34"/>
      <c r="BZ7696" s="34"/>
      <c r="CD7696" s="34"/>
    </row>
    <row r="7697" spans="70:82" x14ac:dyDescent="0.15">
      <c r="BR7697" s="34"/>
      <c r="BV7697" s="34"/>
      <c r="BZ7697" s="34"/>
      <c r="CD7697" s="34"/>
    </row>
    <row r="7698" spans="70:82" x14ac:dyDescent="0.15">
      <c r="BR7698" s="34"/>
      <c r="BV7698" s="34"/>
      <c r="BZ7698" s="34"/>
      <c r="CD7698" s="34"/>
    </row>
    <row r="7699" spans="70:82" x14ac:dyDescent="0.15">
      <c r="BR7699" s="34"/>
      <c r="BV7699" s="34"/>
      <c r="BZ7699" s="34"/>
      <c r="CD7699" s="34"/>
    </row>
    <row r="7700" spans="70:82" x14ac:dyDescent="0.15">
      <c r="BR7700" s="34"/>
      <c r="BV7700" s="34"/>
      <c r="BZ7700" s="34"/>
      <c r="CD7700" s="34"/>
    </row>
    <row r="7701" spans="70:82" x14ac:dyDescent="0.15">
      <c r="BR7701" s="34"/>
      <c r="BV7701" s="34"/>
      <c r="BZ7701" s="34"/>
      <c r="CD7701" s="34"/>
    </row>
    <row r="7702" spans="70:82" x14ac:dyDescent="0.15">
      <c r="BR7702" s="34"/>
      <c r="BV7702" s="34"/>
      <c r="BZ7702" s="34"/>
      <c r="CD7702" s="34"/>
    </row>
    <row r="7703" spans="70:82" x14ac:dyDescent="0.15">
      <c r="BR7703" s="34"/>
      <c r="BV7703" s="34"/>
      <c r="BZ7703" s="34"/>
      <c r="CD7703" s="34"/>
    </row>
    <row r="7704" spans="70:82" x14ac:dyDescent="0.15">
      <c r="BR7704" s="34"/>
      <c r="BV7704" s="34"/>
      <c r="BZ7704" s="34"/>
      <c r="CD7704" s="34"/>
    </row>
    <row r="7705" spans="70:82" x14ac:dyDescent="0.15">
      <c r="BR7705" s="34"/>
      <c r="BV7705" s="34"/>
      <c r="BZ7705" s="34"/>
      <c r="CD7705" s="34"/>
    </row>
    <row r="7706" spans="70:82" x14ac:dyDescent="0.15">
      <c r="BR7706" s="34"/>
      <c r="BV7706" s="34"/>
      <c r="BZ7706" s="34"/>
      <c r="CD7706" s="34"/>
    </row>
    <row r="7707" spans="70:82" x14ac:dyDescent="0.15">
      <c r="BR7707" s="34"/>
      <c r="BV7707" s="34"/>
      <c r="BZ7707" s="34"/>
      <c r="CD7707" s="34"/>
    </row>
    <row r="7708" spans="70:82" x14ac:dyDescent="0.15">
      <c r="BR7708" s="34"/>
      <c r="BV7708" s="34"/>
      <c r="BZ7708" s="34"/>
      <c r="CD7708" s="34"/>
    </row>
    <row r="7709" spans="70:82" x14ac:dyDescent="0.15">
      <c r="BR7709" s="34"/>
      <c r="BV7709" s="34"/>
      <c r="BZ7709" s="34"/>
      <c r="CD7709" s="34"/>
    </row>
    <row r="7710" spans="70:82" x14ac:dyDescent="0.15">
      <c r="BR7710" s="34"/>
      <c r="BV7710" s="34"/>
      <c r="BZ7710" s="34"/>
      <c r="CD7710" s="34"/>
    </row>
    <row r="7711" spans="70:82" x14ac:dyDescent="0.15">
      <c r="BR7711" s="34"/>
      <c r="BV7711" s="34"/>
      <c r="BZ7711" s="34"/>
      <c r="CD7711" s="34"/>
    </row>
    <row r="7712" spans="70:82" x14ac:dyDescent="0.15">
      <c r="BR7712" s="34"/>
      <c r="BV7712" s="34"/>
      <c r="BZ7712" s="34"/>
      <c r="CD7712" s="34"/>
    </row>
    <row r="7713" spans="70:82" x14ac:dyDescent="0.15">
      <c r="BR7713" s="34"/>
      <c r="BV7713" s="34"/>
      <c r="BZ7713" s="34"/>
      <c r="CD7713" s="34"/>
    </row>
    <row r="7714" spans="70:82" x14ac:dyDescent="0.15">
      <c r="BR7714" s="34"/>
      <c r="BV7714" s="34"/>
      <c r="BZ7714" s="34"/>
      <c r="CD7714" s="34"/>
    </row>
    <row r="7715" spans="70:82" x14ac:dyDescent="0.15">
      <c r="BR7715" s="34"/>
      <c r="BV7715" s="34"/>
      <c r="BZ7715" s="34"/>
      <c r="CD7715" s="34"/>
    </row>
    <row r="7716" spans="70:82" x14ac:dyDescent="0.15">
      <c r="BR7716" s="34"/>
      <c r="BV7716" s="34"/>
      <c r="BZ7716" s="34"/>
      <c r="CD7716" s="34"/>
    </row>
    <row r="7717" spans="70:82" x14ac:dyDescent="0.15">
      <c r="BR7717" s="34"/>
      <c r="BV7717" s="34"/>
      <c r="BZ7717" s="34"/>
      <c r="CD7717" s="34"/>
    </row>
    <row r="7718" spans="70:82" x14ac:dyDescent="0.15">
      <c r="BR7718" s="34"/>
      <c r="BV7718" s="34"/>
      <c r="BZ7718" s="34"/>
      <c r="CD7718" s="34"/>
    </row>
    <row r="7719" spans="70:82" x14ac:dyDescent="0.15">
      <c r="BR7719" s="34"/>
      <c r="BV7719" s="34"/>
      <c r="BZ7719" s="34"/>
      <c r="CD7719" s="34"/>
    </row>
    <row r="7720" spans="70:82" x14ac:dyDescent="0.15">
      <c r="BR7720" s="34"/>
      <c r="BV7720" s="34"/>
      <c r="BZ7720" s="34"/>
      <c r="CD7720" s="34"/>
    </row>
    <row r="7721" spans="70:82" x14ac:dyDescent="0.15">
      <c r="BR7721" s="34"/>
      <c r="BV7721" s="34"/>
      <c r="BZ7721" s="34"/>
      <c r="CD7721" s="34"/>
    </row>
    <row r="7722" spans="70:82" x14ac:dyDescent="0.15">
      <c r="BR7722" s="34"/>
      <c r="BV7722" s="34"/>
      <c r="BZ7722" s="34"/>
      <c r="CD7722" s="34"/>
    </row>
    <row r="7723" spans="70:82" x14ac:dyDescent="0.15">
      <c r="BR7723" s="34"/>
      <c r="BV7723" s="34"/>
      <c r="BZ7723" s="34"/>
      <c r="CD7723" s="34"/>
    </row>
    <row r="7724" spans="70:82" x14ac:dyDescent="0.15">
      <c r="BR7724" s="34"/>
      <c r="BV7724" s="34"/>
      <c r="BZ7724" s="34"/>
      <c r="CD7724" s="34"/>
    </row>
    <row r="7725" spans="70:82" x14ac:dyDescent="0.15">
      <c r="BR7725" s="34"/>
      <c r="BV7725" s="34"/>
      <c r="BZ7725" s="34"/>
      <c r="CD7725" s="34"/>
    </row>
    <row r="7726" spans="70:82" x14ac:dyDescent="0.15">
      <c r="BR7726" s="34"/>
      <c r="BV7726" s="34"/>
      <c r="BZ7726" s="34"/>
      <c r="CD7726" s="34"/>
    </row>
    <row r="7727" spans="70:82" x14ac:dyDescent="0.15">
      <c r="BR7727" s="34"/>
      <c r="BV7727" s="34"/>
      <c r="BZ7727" s="34"/>
      <c r="CD7727" s="34"/>
    </row>
    <row r="7728" spans="70:82" x14ac:dyDescent="0.15">
      <c r="BR7728" s="34"/>
      <c r="BV7728" s="34"/>
      <c r="BZ7728" s="34"/>
      <c r="CD7728" s="34"/>
    </row>
    <row r="7729" spans="70:82" x14ac:dyDescent="0.15">
      <c r="BR7729" s="34"/>
      <c r="BV7729" s="34"/>
      <c r="BZ7729" s="34"/>
      <c r="CD7729" s="34"/>
    </row>
    <row r="7730" spans="70:82" x14ac:dyDescent="0.15">
      <c r="BR7730" s="34"/>
      <c r="BV7730" s="34"/>
      <c r="BZ7730" s="34"/>
      <c r="CD7730" s="34"/>
    </row>
    <row r="7731" spans="70:82" x14ac:dyDescent="0.15">
      <c r="BR7731" s="34"/>
      <c r="BV7731" s="34"/>
      <c r="BZ7731" s="34"/>
      <c r="CD7731" s="34"/>
    </row>
    <row r="7732" spans="70:82" x14ac:dyDescent="0.15">
      <c r="BR7732" s="34"/>
      <c r="BV7732" s="34"/>
      <c r="BZ7732" s="34"/>
      <c r="CD7732" s="34"/>
    </row>
    <row r="7733" spans="70:82" x14ac:dyDescent="0.15">
      <c r="BR7733" s="34"/>
      <c r="BV7733" s="34"/>
      <c r="BZ7733" s="34"/>
      <c r="CD7733" s="34"/>
    </row>
    <row r="7734" spans="70:82" x14ac:dyDescent="0.15">
      <c r="BR7734" s="34"/>
      <c r="BV7734" s="34"/>
      <c r="BZ7734" s="34"/>
      <c r="CD7734" s="34"/>
    </row>
    <row r="7735" spans="70:82" x14ac:dyDescent="0.15">
      <c r="BR7735" s="34"/>
      <c r="BV7735" s="34"/>
      <c r="BZ7735" s="34"/>
      <c r="CD7735" s="34"/>
    </row>
    <row r="7736" spans="70:82" x14ac:dyDescent="0.15">
      <c r="BR7736" s="34"/>
      <c r="BV7736" s="34"/>
      <c r="BZ7736" s="34"/>
      <c r="CD7736" s="34"/>
    </row>
    <row r="7737" spans="70:82" x14ac:dyDescent="0.15">
      <c r="BR7737" s="34"/>
      <c r="BV7737" s="34"/>
      <c r="BZ7737" s="34"/>
      <c r="CD7737" s="34"/>
    </row>
    <row r="7738" spans="70:82" x14ac:dyDescent="0.15">
      <c r="BR7738" s="34"/>
      <c r="BV7738" s="34"/>
      <c r="BZ7738" s="34"/>
      <c r="CD7738" s="34"/>
    </row>
    <row r="7739" spans="70:82" x14ac:dyDescent="0.15">
      <c r="BR7739" s="34"/>
      <c r="BV7739" s="34"/>
      <c r="BZ7739" s="34"/>
      <c r="CD7739" s="34"/>
    </row>
    <row r="7740" spans="70:82" x14ac:dyDescent="0.15">
      <c r="BR7740" s="34"/>
      <c r="BV7740" s="34"/>
      <c r="BZ7740" s="34"/>
      <c r="CD7740" s="34"/>
    </row>
    <row r="7741" spans="70:82" x14ac:dyDescent="0.15">
      <c r="BR7741" s="34"/>
      <c r="BV7741" s="34"/>
      <c r="BZ7741" s="34"/>
      <c r="CD7741" s="34"/>
    </row>
    <row r="7742" spans="70:82" x14ac:dyDescent="0.15">
      <c r="BR7742" s="34"/>
      <c r="BV7742" s="34"/>
      <c r="BZ7742" s="34"/>
      <c r="CD7742" s="34"/>
    </row>
    <row r="7743" spans="70:82" x14ac:dyDescent="0.15">
      <c r="BR7743" s="34"/>
      <c r="BV7743" s="34"/>
      <c r="BZ7743" s="34"/>
      <c r="CD7743" s="34"/>
    </row>
    <row r="7744" spans="70:82" x14ac:dyDescent="0.15">
      <c r="BR7744" s="34"/>
      <c r="BV7744" s="34"/>
      <c r="BZ7744" s="34"/>
      <c r="CD7744" s="34"/>
    </row>
    <row r="7745" spans="70:82" x14ac:dyDescent="0.15">
      <c r="BR7745" s="34"/>
      <c r="BV7745" s="34"/>
      <c r="BZ7745" s="34"/>
      <c r="CD7745" s="34"/>
    </row>
    <row r="7746" spans="70:82" x14ac:dyDescent="0.15">
      <c r="BR7746" s="34"/>
      <c r="BV7746" s="34"/>
      <c r="BZ7746" s="34"/>
      <c r="CD7746" s="34"/>
    </row>
    <row r="7747" spans="70:82" x14ac:dyDescent="0.15">
      <c r="BR7747" s="34"/>
      <c r="BV7747" s="34"/>
      <c r="BZ7747" s="34"/>
      <c r="CD7747" s="34"/>
    </row>
    <row r="7748" spans="70:82" x14ac:dyDescent="0.15">
      <c r="BR7748" s="34"/>
      <c r="BV7748" s="34"/>
      <c r="BZ7748" s="34"/>
      <c r="CD7748" s="34"/>
    </row>
    <row r="7749" spans="70:82" x14ac:dyDescent="0.15">
      <c r="BR7749" s="34"/>
      <c r="BV7749" s="34"/>
      <c r="BZ7749" s="34"/>
      <c r="CD7749" s="34"/>
    </row>
    <row r="7750" spans="70:82" x14ac:dyDescent="0.15">
      <c r="BR7750" s="34"/>
      <c r="BV7750" s="34"/>
      <c r="BZ7750" s="34"/>
      <c r="CD7750" s="34"/>
    </row>
    <row r="7751" spans="70:82" x14ac:dyDescent="0.15">
      <c r="BR7751" s="34"/>
      <c r="BV7751" s="34"/>
      <c r="BZ7751" s="34"/>
      <c r="CD7751" s="34"/>
    </row>
    <row r="7752" spans="70:82" x14ac:dyDescent="0.15">
      <c r="BR7752" s="34"/>
      <c r="BV7752" s="34"/>
      <c r="BZ7752" s="34"/>
      <c r="CD7752" s="34"/>
    </row>
    <row r="7753" spans="70:82" x14ac:dyDescent="0.15">
      <c r="BR7753" s="34"/>
      <c r="BV7753" s="34"/>
      <c r="BZ7753" s="34"/>
      <c r="CD7753" s="34"/>
    </row>
    <row r="7754" spans="70:82" x14ac:dyDescent="0.15">
      <c r="BR7754" s="34"/>
      <c r="BV7754" s="34"/>
      <c r="BZ7754" s="34"/>
      <c r="CD7754" s="34"/>
    </row>
    <row r="7755" spans="70:82" x14ac:dyDescent="0.15">
      <c r="BR7755" s="34"/>
      <c r="BV7755" s="34"/>
      <c r="BZ7755" s="34"/>
      <c r="CD7755" s="34"/>
    </row>
    <row r="7756" spans="70:82" x14ac:dyDescent="0.15">
      <c r="BR7756" s="34"/>
      <c r="BV7756" s="34"/>
      <c r="BZ7756" s="34"/>
      <c r="CD7756" s="34"/>
    </row>
    <row r="7757" spans="70:82" x14ac:dyDescent="0.15">
      <c r="BR7757" s="34"/>
      <c r="BV7757" s="34"/>
      <c r="BZ7757" s="34"/>
      <c r="CD7757" s="34"/>
    </row>
    <row r="7758" spans="70:82" x14ac:dyDescent="0.15">
      <c r="BR7758" s="34"/>
      <c r="BV7758" s="34"/>
      <c r="BZ7758" s="34"/>
      <c r="CD7758" s="34"/>
    </row>
    <row r="7759" spans="70:82" x14ac:dyDescent="0.15">
      <c r="BR7759" s="34"/>
      <c r="BV7759" s="34"/>
      <c r="BZ7759" s="34"/>
      <c r="CD7759" s="34"/>
    </row>
    <row r="7760" spans="70:82" x14ac:dyDescent="0.15">
      <c r="BR7760" s="34"/>
      <c r="BV7760" s="34"/>
      <c r="BZ7760" s="34"/>
      <c r="CD7760" s="34"/>
    </row>
    <row r="7761" spans="70:82" x14ac:dyDescent="0.15">
      <c r="BR7761" s="34"/>
      <c r="BV7761" s="34"/>
      <c r="BZ7761" s="34"/>
      <c r="CD7761" s="34"/>
    </row>
    <row r="7762" spans="70:82" x14ac:dyDescent="0.15">
      <c r="BR7762" s="34"/>
      <c r="BV7762" s="34"/>
      <c r="BZ7762" s="34"/>
      <c r="CD7762" s="34"/>
    </row>
    <row r="7763" spans="70:82" x14ac:dyDescent="0.15">
      <c r="BR7763" s="34"/>
      <c r="BV7763" s="34"/>
      <c r="BZ7763" s="34"/>
      <c r="CD7763" s="34"/>
    </row>
    <row r="7764" spans="70:82" x14ac:dyDescent="0.15">
      <c r="BR7764" s="34"/>
      <c r="BV7764" s="34"/>
      <c r="BZ7764" s="34"/>
      <c r="CD7764" s="34"/>
    </row>
    <row r="7765" spans="70:82" x14ac:dyDescent="0.15">
      <c r="BR7765" s="34"/>
      <c r="BV7765" s="34"/>
      <c r="BZ7765" s="34"/>
      <c r="CD7765" s="34"/>
    </row>
    <row r="7766" spans="70:82" x14ac:dyDescent="0.15">
      <c r="BR7766" s="34"/>
      <c r="BV7766" s="34"/>
      <c r="BZ7766" s="34"/>
      <c r="CD7766" s="34"/>
    </row>
    <row r="7767" spans="70:82" x14ac:dyDescent="0.15">
      <c r="BR7767" s="34"/>
      <c r="BV7767" s="34"/>
      <c r="BZ7767" s="34"/>
      <c r="CD7767" s="34"/>
    </row>
    <row r="7768" spans="70:82" x14ac:dyDescent="0.15">
      <c r="BR7768" s="34"/>
      <c r="BV7768" s="34"/>
      <c r="BZ7768" s="34"/>
      <c r="CD7768" s="34"/>
    </row>
    <row r="7769" spans="70:82" x14ac:dyDescent="0.15">
      <c r="BR7769" s="34"/>
      <c r="BV7769" s="34"/>
      <c r="BZ7769" s="34"/>
      <c r="CD7769" s="34"/>
    </row>
    <row r="7770" spans="70:82" x14ac:dyDescent="0.15">
      <c r="BR7770" s="34"/>
      <c r="BV7770" s="34"/>
      <c r="BZ7770" s="34"/>
      <c r="CD7770" s="34"/>
    </row>
    <row r="7771" spans="70:82" x14ac:dyDescent="0.15">
      <c r="BR7771" s="34"/>
      <c r="BV7771" s="34"/>
      <c r="BZ7771" s="34"/>
      <c r="CD7771" s="34"/>
    </row>
    <row r="7772" spans="70:82" x14ac:dyDescent="0.15">
      <c r="BR7772" s="34"/>
      <c r="BV7772" s="34"/>
      <c r="BZ7772" s="34"/>
      <c r="CD7772" s="34"/>
    </row>
    <row r="7773" spans="70:82" x14ac:dyDescent="0.15">
      <c r="BR7773" s="34"/>
      <c r="BV7773" s="34"/>
      <c r="BZ7773" s="34"/>
      <c r="CD7773" s="34"/>
    </row>
    <row r="7774" spans="70:82" x14ac:dyDescent="0.15">
      <c r="BR7774" s="34"/>
      <c r="BV7774" s="34"/>
      <c r="BZ7774" s="34"/>
      <c r="CD7774" s="34"/>
    </row>
    <row r="7775" spans="70:82" x14ac:dyDescent="0.15">
      <c r="BR7775" s="34"/>
      <c r="BV7775" s="34"/>
      <c r="BZ7775" s="34"/>
      <c r="CD7775" s="34"/>
    </row>
    <row r="7776" spans="70:82" x14ac:dyDescent="0.15">
      <c r="BR7776" s="34"/>
      <c r="BV7776" s="34"/>
      <c r="BZ7776" s="34"/>
      <c r="CD7776" s="34"/>
    </row>
    <row r="7777" spans="70:82" x14ac:dyDescent="0.15">
      <c r="BR7777" s="34"/>
      <c r="BV7777" s="34"/>
      <c r="BZ7777" s="34"/>
      <c r="CD7777" s="34"/>
    </row>
    <row r="7778" spans="70:82" x14ac:dyDescent="0.15">
      <c r="BR7778" s="34"/>
      <c r="BV7778" s="34"/>
      <c r="BZ7778" s="34"/>
      <c r="CD7778" s="34"/>
    </row>
    <row r="7779" spans="70:82" x14ac:dyDescent="0.15">
      <c r="BR7779" s="34"/>
      <c r="BV7779" s="34"/>
      <c r="BZ7779" s="34"/>
      <c r="CD7779" s="34"/>
    </row>
    <row r="7780" spans="70:82" x14ac:dyDescent="0.15">
      <c r="BR7780" s="34"/>
      <c r="BV7780" s="34"/>
      <c r="BZ7780" s="34"/>
      <c r="CD7780" s="34"/>
    </row>
    <row r="7781" spans="70:82" x14ac:dyDescent="0.15">
      <c r="BR7781" s="34"/>
      <c r="BV7781" s="34"/>
      <c r="BZ7781" s="34"/>
      <c r="CD7781" s="34"/>
    </row>
    <row r="7782" spans="70:82" x14ac:dyDescent="0.15">
      <c r="BR7782" s="34"/>
      <c r="BV7782" s="34"/>
      <c r="BZ7782" s="34"/>
      <c r="CD7782" s="34"/>
    </row>
    <row r="7783" spans="70:82" x14ac:dyDescent="0.15">
      <c r="BR7783" s="34"/>
      <c r="BV7783" s="34"/>
      <c r="BZ7783" s="34"/>
      <c r="CD7783" s="34"/>
    </row>
    <row r="7784" spans="70:82" x14ac:dyDescent="0.15">
      <c r="BR7784" s="34"/>
      <c r="BV7784" s="34"/>
      <c r="BZ7784" s="34"/>
      <c r="CD7784" s="34"/>
    </row>
    <row r="7785" spans="70:82" x14ac:dyDescent="0.15">
      <c r="BR7785" s="34"/>
      <c r="BV7785" s="34"/>
      <c r="BZ7785" s="34"/>
      <c r="CD7785" s="34"/>
    </row>
    <row r="7786" spans="70:82" x14ac:dyDescent="0.15">
      <c r="BR7786" s="34"/>
      <c r="BV7786" s="34"/>
      <c r="BZ7786" s="34"/>
      <c r="CD7786" s="34"/>
    </row>
    <row r="7787" spans="70:82" x14ac:dyDescent="0.15">
      <c r="BR7787" s="34"/>
      <c r="BV7787" s="34"/>
      <c r="BZ7787" s="34"/>
      <c r="CD7787" s="34"/>
    </row>
    <row r="7788" spans="70:82" x14ac:dyDescent="0.15">
      <c r="BR7788" s="34"/>
      <c r="BV7788" s="34"/>
      <c r="BZ7788" s="34"/>
      <c r="CD7788" s="34"/>
    </row>
    <row r="7789" spans="70:82" x14ac:dyDescent="0.15">
      <c r="BR7789" s="34"/>
      <c r="BV7789" s="34"/>
      <c r="BZ7789" s="34"/>
      <c r="CD7789" s="34"/>
    </row>
    <row r="7790" spans="70:82" x14ac:dyDescent="0.15">
      <c r="BR7790" s="34"/>
      <c r="BV7790" s="34"/>
      <c r="BZ7790" s="34"/>
      <c r="CD7790" s="34"/>
    </row>
    <row r="7791" spans="70:82" x14ac:dyDescent="0.15">
      <c r="BR7791" s="34"/>
      <c r="BV7791" s="34"/>
      <c r="BZ7791" s="34"/>
      <c r="CD7791" s="34"/>
    </row>
    <row r="7792" spans="70:82" x14ac:dyDescent="0.15">
      <c r="BR7792" s="34"/>
      <c r="BV7792" s="34"/>
      <c r="BZ7792" s="34"/>
      <c r="CD7792" s="34"/>
    </row>
    <row r="7793" spans="70:82" x14ac:dyDescent="0.15">
      <c r="BR7793" s="34"/>
      <c r="BV7793" s="34"/>
      <c r="BZ7793" s="34"/>
      <c r="CD7793" s="34"/>
    </row>
    <row r="7794" spans="70:82" x14ac:dyDescent="0.15">
      <c r="BR7794" s="34"/>
      <c r="BV7794" s="34"/>
      <c r="BZ7794" s="34"/>
      <c r="CD7794" s="34"/>
    </row>
    <row r="7795" spans="70:82" x14ac:dyDescent="0.15">
      <c r="BR7795" s="34"/>
      <c r="BV7795" s="34"/>
      <c r="BZ7795" s="34"/>
      <c r="CD7795" s="34"/>
    </row>
    <row r="7796" spans="70:82" x14ac:dyDescent="0.15">
      <c r="BR7796" s="34"/>
      <c r="BV7796" s="34"/>
      <c r="BZ7796" s="34"/>
      <c r="CD7796" s="34"/>
    </row>
    <row r="7797" spans="70:82" x14ac:dyDescent="0.15">
      <c r="BR7797" s="34"/>
      <c r="BV7797" s="34"/>
      <c r="BZ7797" s="34"/>
      <c r="CD7797" s="34"/>
    </row>
    <row r="7798" spans="70:82" x14ac:dyDescent="0.15">
      <c r="BR7798" s="34"/>
      <c r="BV7798" s="34"/>
      <c r="BZ7798" s="34"/>
      <c r="CD7798" s="34"/>
    </row>
    <row r="7799" spans="70:82" x14ac:dyDescent="0.15">
      <c r="BR7799" s="34"/>
      <c r="BV7799" s="34"/>
      <c r="BZ7799" s="34"/>
      <c r="CD7799" s="34"/>
    </row>
    <row r="7800" spans="70:82" x14ac:dyDescent="0.15">
      <c r="BR7800" s="34"/>
      <c r="BV7800" s="34"/>
      <c r="BZ7800" s="34"/>
      <c r="CD7800" s="34"/>
    </row>
    <row r="7801" spans="70:82" x14ac:dyDescent="0.15">
      <c r="BR7801" s="34"/>
      <c r="BV7801" s="34"/>
      <c r="BZ7801" s="34"/>
      <c r="CD7801" s="34"/>
    </row>
    <row r="7802" spans="70:82" x14ac:dyDescent="0.15">
      <c r="BR7802" s="34"/>
      <c r="BV7802" s="34"/>
      <c r="BZ7802" s="34"/>
      <c r="CD7802" s="34"/>
    </row>
    <row r="7803" spans="70:82" x14ac:dyDescent="0.15">
      <c r="BR7803" s="34"/>
      <c r="BV7803" s="34"/>
      <c r="BZ7803" s="34"/>
      <c r="CD7803" s="34"/>
    </row>
    <row r="7804" spans="70:82" x14ac:dyDescent="0.15">
      <c r="BR7804" s="34"/>
      <c r="BV7804" s="34"/>
      <c r="BZ7804" s="34"/>
      <c r="CD7804" s="34"/>
    </row>
    <row r="7805" spans="70:82" x14ac:dyDescent="0.15">
      <c r="BR7805" s="34"/>
      <c r="BV7805" s="34"/>
      <c r="BZ7805" s="34"/>
      <c r="CD7805" s="34"/>
    </row>
    <row r="7806" spans="70:82" x14ac:dyDescent="0.15">
      <c r="BR7806" s="34"/>
      <c r="BV7806" s="34"/>
      <c r="BZ7806" s="34"/>
      <c r="CD7806" s="34"/>
    </row>
    <row r="7807" spans="70:82" x14ac:dyDescent="0.15">
      <c r="BR7807" s="34"/>
      <c r="BV7807" s="34"/>
      <c r="BZ7807" s="34"/>
      <c r="CD7807" s="34"/>
    </row>
    <row r="7808" spans="70:82" x14ac:dyDescent="0.15">
      <c r="BR7808" s="34"/>
      <c r="BV7808" s="34"/>
      <c r="BZ7808" s="34"/>
      <c r="CD7808" s="34"/>
    </row>
    <row r="7809" spans="70:82" x14ac:dyDescent="0.15">
      <c r="BR7809" s="34"/>
      <c r="BV7809" s="34"/>
      <c r="BZ7809" s="34"/>
      <c r="CD7809" s="34"/>
    </row>
    <row r="7810" spans="70:82" x14ac:dyDescent="0.15">
      <c r="BR7810" s="34"/>
      <c r="BV7810" s="34"/>
      <c r="BZ7810" s="34"/>
      <c r="CD7810" s="34"/>
    </row>
    <row r="7811" spans="70:82" x14ac:dyDescent="0.15">
      <c r="BR7811" s="34"/>
      <c r="BV7811" s="34"/>
      <c r="BZ7811" s="34"/>
      <c r="CD7811" s="34"/>
    </row>
    <row r="7812" spans="70:82" x14ac:dyDescent="0.15">
      <c r="BR7812" s="34"/>
      <c r="BV7812" s="34"/>
      <c r="BZ7812" s="34"/>
      <c r="CD7812" s="34"/>
    </row>
    <row r="7813" spans="70:82" x14ac:dyDescent="0.15">
      <c r="BR7813" s="34"/>
      <c r="BV7813" s="34"/>
      <c r="BZ7813" s="34"/>
      <c r="CD7813" s="34"/>
    </row>
    <row r="7814" spans="70:82" x14ac:dyDescent="0.15">
      <c r="BR7814" s="34"/>
      <c r="BV7814" s="34"/>
      <c r="BZ7814" s="34"/>
      <c r="CD7814" s="34"/>
    </row>
    <row r="7815" spans="70:82" x14ac:dyDescent="0.15">
      <c r="BR7815" s="34"/>
      <c r="BV7815" s="34"/>
      <c r="BZ7815" s="34"/>
      <c r="CD7815" s="34"/>
    </row>
    <row r="7816" spans="70:82" x14ac:dyDescent="0.15">
      <c r="BR7816" s="34"/>
      <c r="BV7816" s="34"/>
      <c r="BZ7816" s="34"/>
      <c r="CD7816" s="34"/>
    </row>
    <row r="7817" spans="70:82" x14ac:dyDescent="0.15">
      <c r="BR7817" s="34"/>
      <c r="BV7817" s="34"/>
      <c r="BZ7817" s="34"/>
      <c r="CD7817" s="34"/>
    </row>
    <row r="7818" spans="70:82" x14ac:dyDescent="0.15">
      <c r="BR7818" s="34"/>
      <c r="BV7818" s="34"/>
      <c r="BZ7818" s="34"/>
      <c r="CD7818" s="34"/>
    </row>
    <row r="7819" spans="70:82" x14ac:dyDescent="0.15">
      <c r="BR7819" s="34"/>
      <c r="BV7819" s="34"/>
      <c r="BZ7819" s="34"/>
      <c r="CD7819" s="34"/>
    </row>
    <row r="7820" spans="70:82" x14ac:dyDescent="0.15">
      <c r="BR7820" s="34"/>
      <c r="BV7820" s="34"/>
      <c r="BZ7820" s="34"/>
      <c r="CD7820" s="34"/>
    </row>
    <row r="7821" spans="70:82" x14ac:dyDescent="0.15">
      <c r="BR7821" s="34"/>
      <c r="BV7821" s="34"/>
      <c r="BZ7821" s="34"/>
      <c r="CD7821" s="34"/>
    </row>
    <row r="7822" spans="70:82" x14ac:dyDescent="0.15">
      <c r="BR7822" s="34"/>
      <c r="BV7822" s="34"/>
      <c r="BZ7822" s="34"/>
      <c r="CD7822" s="34"/>
    </row>
    <row r="7823" spans="70:82" x14ac:dyDescent="0.15">
      <c r="BR7823" s="34"/>
      <c r="BV7823" s="34"/>
      <c r="BZ7823" s="34"/>
      <c r="CD7823" s="34"/>
    </row>
    <row r="7824" spans="70:82" x14ac:dyDescent="0.15">
      <c r="BR7824" s="34"/>
      <c r="BV7824" s="34"/>
      <c r="BZ7824" s="34"/>
      <c r="CD7824" s="34"/>
    </row>
    <row r="7825" spans="70:82" x14ac:dyDescent="0.15">
      <c r="BR7825" s="34"/>
      <c r="BV7825" s="34"/>
      <c r="BZ7825" s="34"/>
      <c r="CD7825" s="34"/>
    </row>
    <row r="7826" spans="70:82" x14ac:dyDescent="0.15">
      <c r="BR7826" s="34"/>
      <c r="BV7826" s="34"/>
      <c r="BZ7826" s="34"/>
      <c r="CD7826" s="34"/>
    </row>
    <row r="7827" spans="70:82" x14ac:dyDescent="0.15">
      <c r="BR7827" s="34"/>
      <c r="BV7827" s="34"/>
      <c r="BZ7827" s="34"/>
      <c r="CD7827" s="34"/>
    </row>
    <row r="7828" spans="70:82" x14ac:dyDescent="0.15">
      <c r="BR7828" s="34"/>
      <c r="BV7828" s="34"/>
      <c r="BZ7828" s="34"/>
      <c r="CD7828" s="34"/>
    </row>
    <row r="7829" spans="70:82" x14ac:dyDescent="0.15">
      <c r="BR7829" s="34"/>
      <c r="BV7829" s="34"/>
      <c r="BZ7829" s="34"/>
      <c r="CD7829" s="34"/>
    </row>
    <row r="7830" spans="70:82" x14ac:dyDescent="0.15">
      <c r="BR7830" s="34"/>
      <c r="BV7830" s="34"/>
      <c r="BZ7830" s="34"/>
      <c r="CD7830" s="34"/>
    </row>
    <row r="7831" spans="70:82" x14ac:dyDescent="0.15">
      <c r="BR7831" s="34"/>
      <c r="BV7831" s="34"/>
      <c r="BZ7831" s="34"/>
      <c r="CD7831" s="34"/>
    </row>
    <row r="7832" spans="70:82" x14ac:dyDescent="0.15">
      <c r="BR7832" s="34"/>
      <c r="BV7832" s="34"/>
      <c r="BZ7832" s="34"/>
      <c r="CD7832" s="34"/>
    </row>
    <row r="7833" spans="70:82" x14ac:dyDescent="0.15">
      <c r="BR7833" s="34"/>
      <c r="BV7833" s="34"/>
      <c r="BZ7833" s="34"/>
      <c r="CD7833" s="34"/>
    </row>
    <row r="7834" spans="70:82" x14ac:dyDescent="0.15">
      <c r="BR7834" s="34"/>
      <c r="BV7834" s="34"/>
      <c r="BZ7834" s="34"/>
      <c r="CD7834" s="34"/>
    </row>
    <row r="7835" spans="70:82" x14ac:dyDescent="0.15">
      <c r="BR7835" s="34"/>
      <c r="BV7835" s="34"/>
      <c r="BZ7835" s="34"/>
      <c r="CD7835" s="34"/>
    </row>
    <row r="7836" spans="70:82" x14ac:dyDescent="0.15">
      <c r="BR7836" s="34"/>
      <c r="BV7836" s="34"/>
      <c r="BZ7836" s="34"/>
      <c r="CD7836" s="34"/>
    </row>
    <row r="7837" spans="70:82" x14ac:dyDescent="0.15">
      <c r="BR7837" s="34"/>
      <c r="BV7837" s="34"/>
      <c r="BZ7837" s="34"/>
      <c r="CD7837" s="34"/>
    </row>
    <row r="7838" spans="70:82" x14ac:dyDescent="0.15">
      <c r="BR7838" s="34"/>
      <c r="BV7838" s="34"/>
      <c r="BZ7838" s="34"/>
      <c r="CD7838" s="34"/>
    </row>
    <row r="7839" spans="70:82" x14ac:dyDescent="0.15">
      <c r="BR7839" s="34"/>
      <c r="BV7839" s="34"/>
      <c r="BZ7839" s="34"/>
      <c r="CD7839" s="34"/>
    </row>
    <row r="7840" spans="70:82" x14ac:dyDescent="0.15">
      <c r="BR7840" s="34"/>
      <c r="BV7840" s="34"/>
      <c r="BZ7840" s="34"/>
      <c r="CD7840" s="34"/>
    </row>
    <row r="7841" spans="70:82" x14ac:dyDescent="0.15">
      <c r="BR7841" s="34"/>
      <c r="BV7841" s="34"/>
      <c r="BZ7841" s="34"/>
      <c r="CD7841" s="34"/>
    </row>
    <row r="7842" spans="70:82" x14ac:dyDescent="0.15">
      <c r="BR7842" s="34"/>
      <c r="BV7842" s="34"/>
      <c r="BZ7842" s="34"/>
      <c r="CD7842" s="34"/>
    </row>
    <row r="7843" spans="70:82" x14ac:dyDescent="0.15">
      <c r="BR7843" s="34"/>
      <c r="BV7843" s="34"/>
      <c r="BZ7843" s="34"/>
      <c r="CD7843" s="34"/>
    </row>
    <row r="7844" spans="70:82" x14ac:dyDescent="0.15">
      <c r="BR7844" s="34"/>
      <c r="BV7844" s="34"/>
      <c r="BZ7844" s="34"/>
      <c r="CD7844" s="34"/>
    </row>
    <row r="7845" spans="70:82" x14ac:dyDescent="0.15">
      <c r="BR7845" s="34"/>
      <c r="BV7845" s="34"/>
      <c r="BZ7845" s="34"/>
      <c r="CD7845" s="34"/>
    </row>
    <row r="7846" spans="70:82" x14ac:dyDescent="0.15">
      <c r="BR7846" s="34"/>
      <c r="BV7846" s="34"/>
      <c r="BZ7846" s="34"/>
      <c r="CD7846" s="34"/>
    </row>
    <row r="7847" spans="70:82" x14ac:dyDescent="0.15">
      <c r="BR7847" s="34"/>
      <c r="BV7847" s="34"/>
      <c r="BZ7847" s="34"/>
      <c r="CD7847" s="34"/>
    </row>
    <row r="7848" spans="70:82" x14ac:dyDescent="0.15">
      <c r="BR7848" s="34"/>
      <c r="BV7848" s="34"/>
      <c r="BZ7848" s="34"/>
      <c r="CD7848" s="34"/>
    </row>
    <row r="7849" spans="70:82" x14ac:dyDescent="0.15">
      <c r="BR7849" s="34"/>
      <c r="BV7849" s="34"/>
      <c r="BZ7849" s="34"/>
      <c r="CD7849" s="34"/>
    </row>
    <row r="7850" spans="70:82" x14ac:dyDescent="0.15">
      <c r="BR7850" s="34"/>
      <c r="BV7850" s="34"/>
      <c r="BZ7850" s="34"/>
      <c r="CD7850" s="34"/>
    </row>
    <row r="7851" spans="70:82" x14ac:dyDescent="0.15">
      <c r="BR7851" s="34"/>
      <c r="BV7851" s="34"/>
      <c r="BZ7851" s="34"/>
      <c r="CD7851" s="34"/>
    </row>
    <row r="7852" spans="70:82" x14ac:dyDescent="0.15">
      <c r="BR7852" s="34"/>
      <c r="BV7852" s="34"/>
      <c r="BZ7852" s="34"/>
      <c r="CD7852" s="34"/>
    </row>
    <row r="7853" spans="70:82" x14ac:dyDescent="0.15">
      <c r="BR7853" s="34"/>
      <c r="BV7853" s="34"/>
      <c r="BZ7853" s="34"/>
      <c r="CD7853" s="34"/>
    </row>
    <row r="7854" spans="70:82" x14ac:dyDescent="0.15">
      <c r="BR7854" s="34"/>
      <c r="BV7854" s="34"/>
      <c r="BZ7854" s="34"/>
      <c r="CD7854" s="34"/>
    </row>
    <row r="7855" spans="70:82" x14ac:dyDescent="0.15">
      <c r="BR7855" s="34"/>
      <c r="BV7855" s="34"/>
      <c r="BZ7855" s="34"/>
      <c r="CD7855" s="34"/>
    </row>
    <row r="7856" spans="70:82" x14ac:dyDescent="0.15">
      <c r="BR7856" s="34"/>
      <c r="BV7856" s="34"/>
      <c r="BZ7856" s="34"/>
      <c r="CD7856" s="34"/>
    </row>
    <row r="7857" spans="70:82" x14ac:dyDescent="0.15">
      <c r="BR7857" s="34"/>
      <c r="BV7857" s="34"/>
      <c r="BZ7857" s="34"/>
      <c r="CD7857" s="34"/>
    </row>
    <row r="7858" spans="70:82" x14ac:dyDescent="0.15">
      <c r="BR7858" s="34"/>
      <c r="BV7858" s="34"/>
      <c r="BZ7858" s="34"/>
      <c r="CD7858" s="34"/>
    </row>
    <row r="7859" spans="70:82" x14ac:dyDescent="0.15">
      <c r="BR7859" s="34"/>
      <c r="BV7859" s="34"/>
      <c r="BZ7859" s="34"/>
      <c r="CD7859" s="34"/>
    </row>
    <row r="7860" spans="70:82" x14ac:dyDescent="0.15">
      <c r="BR7860" s="34"/>
      <c r="BV7860" s="34"/>
      <c r="BZ7860" s="34"/>
      <c r="CD7860" s="34"/>
    </row>
    <row r="7861" spans="70:82" x14ac:dyDescent="0.15">
      <c r="BR7861" s="34"/>
      <c r="BV7861" s="34"/>
      <c r="BZ7861" s="34"/>
      <c r="CD7861" s="34"/>
    </row>
    <row r="7862" spans="70:82" x14ac:dyDescent="0.15">
      <c r="BR7862" s="34"/>
      <c r="BV7862" s="34"/>
      <c r="BZ7862" s="34"/>
      <c r="CD7862" s="34"/>
    </row>
    <row r="7863" spans="70:82" x14ac:dyDescent="0.15">
      <c r="BR7863" s="34"/>
      <c r="BV7863" s="34"/>
      <c r="BZ7863" s="34"/>
      <c r="CD7863" s="34"/>
    </row>
    <row r="7864" spans="70:82" x14ac:dyDescent="0.15">
      <c r="BR7864" s="34"/>
      <c r="BV7864" s="34"/>
      <c r="BZ7864" s="34"/>
      <c r="CD7864" s="34"/>
    </row>
    <row r="7865" spans="70:82" x14ac:dyDescent="0.15">
      <c r="BR7865" s="34"/>
      <c r="BV7865" s="34"/>
      <c r="BZ7865" s="34"/>
      <c r="CD7865" s="34"/>
    </row>
    <row r="7866" spans="70:82" x14ac:dyDescent="0.15">
      <c r="BR7866" s="34"/>
      <c r="BV7866" s="34"/>
      <c r="BZ7866" s="34"/>
      <c r="CD7866" s="34"/>
    </row>
    <row r="7867" spans="70:82" x14ac:dyDescent="0.15">
      <c r="BR7867" s="34"/>
      <c r="BV7867" s="34"/>
      <c r="BZ7867" s="34"/>
      <c r="CD7867" s="34"/>
    </row>
    <row r="7868" spans="70:82" x14ac:dyDescent="0.15">
      <c r="BR7868" s="34"/>
      <c r="BV7868" s="34"/>
      <c r="BZ7868" s="34"/>
      <c r="CD7868" s="34"/>
    </row>
    <row r="7869" spans="70:82" x14ac:dyDescent="0.15">
      <c r="BR7869" s="34"/>
      <c r="BV7869" s="34"/>
      <c r="BZ7869" s="34"/>
      <c r="CD7869" s="34"/>
    </row>
    <row r="7870" spans="70:82" x14ac:dyDescent="0.15">
      <c r="BR7870" s="34"/>
      <c r="BV7870" s="34"/>
      <c r="BZ7870" s="34"/>
      <c r="CD7870" s="34"/>
    </row>
    <row r="7871" spans="70:82" x14ac:dyDescent="0.15">
      <c r="BR7871" s="34"/>
      <c r="BV7871" s="34"/>
      <c r="BZ7871" s="34"/>
      <c r="CD7871" s="34"/>
    </row>
    <row r="7872" spans="70:82" x14ac:dyDescent="0.15">
      <c r="BR7872" s="34"/>
      <c r="BV7872" s="34"/>
      <c r="BZ7872" s="34"/>
      <c r="CD7872" s="34"/>
    </row>
    <row r="7873" spans="70:82" x14ac:dyDescent="0.15">
      <c r="BR7873" s="34"/>
      <c r="BV7873" s="34"/>
      <c r="BZ7873" s="34"/>
      <c r="CD7873" s="34"/>
    </row>
    <row r="7874" spans="70:82" x14ac:dyDescent="0.15">
      <c r="BR7874" s="34"/>
      <c r="BV7874" s="34"/>
      <c r="BZ7874" s="34"/>
      <c r="CD7874" s="34"/>
    </row>
    <row r="7875" spans="70:82" x14ac:dyDescent="0.15">
      <c r="BR7875" s="34"/>
      <c r="BV7875" s="34"/>
      <c r="BZ7875" s="34"/>
      <c r="CD7875" s="34"/>
    </row>
    <row r="7876" spans="70:82" x14ac:dyDescent="0.15">
      <c r="BR7876" s="34"/>
      <c r="BV7876" s="34"/>
      <c r="BZ7876" s="34"/>
      <c r="CD7876" s="34"/>
    </row>
    <row r="7877" spans="70:82" x14ac:dyDescent="0.15">
      <c r="BR7877" s="34"/>
      <c r="BV7877" s="34"/>
      <c r="BZ7877" s="34"/>
      <c r="CD7877" s="34"/>
    </row>
    <row r="7878" spans="70:82" x14ac:dyDescent="0.15">
      <c r="BR7878" s="34"/>
      <c r="BV7878" s="34"/>
      <c r="BZ7878" s="34"/>
      <c r="CD7878" s="34"/>
    </row>
    <row r="7879" spans="70:82" x14ac:dyDescent="0.15">
      <c r="BR7879" s="34"/>
      <c r="BV7879" s="34"/>
      <c r="BZ7879" s="34"/>
      <c r="CD7879" s="34"/>
    </row>
    <row r="7880" spans="70:82" x14ac:dyDescent="0.15">
      <c r="BR7880" s="34"/>
      <c r="BV7880" s="34"/>
      <c r="BZ7880" s="34"/>
      <c r="CD7880" s="34"/>
    </row>
    <row r="7881" spans="70:82" x14ac:dyDescent="0.15">
      <c r="BR7881" s="34"/>
      <c r="BV7881" s="34"/>
      <c r="BZ7881" s="34"/>
      <c r="CD7881" s="34"/>
    </row>
    <row r="7882" spans="70:82" x14ac:dyDescent="0.15">
      <c r="BR7882" s="34"/>
      <c r="BV7882" s="34"/>
      <c r="BZ7882" s="34"/>
      <c r="CD7882" s="34"/>
    </row>
    <row r="7883" spans="70:82" x14ac:dyDescent="0.15">
      <c r="BR7883" s="34"/>
      <c r="BV7883" s="34"/>
      <c r="BZ7883" s="34"/>
      <c r="CD7883" s="34"/>
    </row>
    <row r="7884" spans="70:82" x14ac:dyDescent="0.15">
      <c r="BR7884" s="34"/>
      <c r="BV7884" s="34"/>
      <c r="BZ7884" s="34"/>
      <c r="CD7884" s="34"/>
    </row>
    <row r="7885" spans="70:82" x14ac:dyDescent="0.15">
      <c r="BR7885" s="34"/>
      <c r="BV7885" s="34"/>
      <c r="BZ7885" s="34"/>
      <c r="CD7885" s="34"/>
    </row>
    <row r="7886" spans="70:82" x14ac:dyDescent="0.15">
      <c r="BR7886" s="34"/>
      <c r="BV7886" s="34"/>
      <c r="BZ7886" s="34"/>
      <c r="CD7886" s="34"/>
    </row>
    <row r="7887" spans="70:82" x14ac:dyDescent="0.15">
      <c r="BR7887" s="34"/>
      <c r="BV7887" s="34"/>
      <c r="BZ7887" s="34"/>
      <c r="CD7887" s="34"/>
    </row>
    <row r="7888" spans="70:82" x14ac:dyDescent="0.15">
      <c r="BR7888" s="34"/>
      <c r="BV7888" s="34"/>
      <c r="BZ7888" s="34"/>
      <c r="CD7888" s="34"/>
    </row>
    <row r="7889" spans="70:82" x14ac:dyDescent="0.15">
      <c r="BR7889" s="34"/>
      <c r="BV7889" s="34"/>
      <c r="BZ7889" s="34"/>
      <c r="CD7889" s="34"/>
    </row>
    <row r="7890" spans="70:82" x14ac:dyDescent="0.15">
      <c r="BR7890" s="34"/>
      <c r="BV7890" s="34"/>
      <c r="BZ7890" s="34"/>
      <c r="CD7890" s="34"/>
    </row>
    <row r="7891" spans="70:82" x14ac:dyDescent="0.15">
      <c r="BR7891" s="34"/>
      <c r="BV7891" s="34"/>
      <c r="BZ7891" s="34"/>
      <c r="CD7891" s="34"/>
    </row>
    <row r="7892" spans="70:82" x14ac:dyDescent="0.15">
      <c r="BR7892" s="34"/>
      <c r="BV7892" s="34"/>
      <c r="BZ7892" s="34"/>
      <c r="CD7892" s="34"/>
    </row>
    <row r="7893" spans="70:82" x14ac:dyDescent="0.15">
      <c r="BR7893" s="34"/>
      <c r="BV7893" s="34"/>
      <c r="BZ7893" s="34"/>
      <c r="CD7893" s="34"/>
    </row>
    <row r="7894" spans="70:82" x14ac:dyDescent="0.15">
      <c r="BR7894" s="34"/>
      <c r="BV7894" s="34"/>
      <c r="BZ7894" s="34"/>
      <c r="CD7894" s="34"/>
    </row>
    <row r="7895" spans="70:82" x14ac:dyDescent="0.15">
      <c r="BR7895" s="34"/>
      <c r="BV7895" s="34"/>
      <c r="BZ7895" s="34"/>
      <c r="CD7895" s="34"/>
    </row>
    <row r="7896" spans="70:82" x14ac:dyDescent="0.15">
      <c r="BR7896" s="34"/>
      <c r="BV7896" s="34"/>
      <c r="BZ7896" s="34"/>
      <c r="CD7896" s="34"/>
    </row>
    <row r="7897" spans="70:82" x14ac:dyDescent="0.15">
      <c r="BR7897" s="34"/>
      <c r="BV7897" s="34"/>
      <c r="BZ7897" s="34"/>
      <c r="CD7897" s="34"/>
    </row>
    <row r="7898" spans="70:82" x14ac:dyDescent="0.15">
      <c r="BR7898" s="34"/>
      <c r="BV7898" s="34"/>
      <c r="BZ7898" s="34"/>
      <c r="CD7898" s="34"/>
    </row>
    <row r="7899" spans="70:82" x14ac:dyDescent="0.15">
      <c r="BR7899" s="34"/>
      <c r="BV7899" s="34"/>
      <c r="BZ7899" s="34"/>
      <c r="CD7899" s="34"/>
    </row>
    <row r="7900" spans="70:82" x14ac:dyDescent="0.15">
      <c r="BR7900" s="34"/>
      <c r="BV7900" s="34"/>
      <c r="BZ7900" s="34"/>
      <c r="CD7900" s="34"/>
    </row>
    <row r="7901" spans="70:82" x14ac:dyDescent="0.15">
      <c r="BR7901" s="34"/>
      <c r="BV7901" s="34"/>
      <c r="BZ7901" s="34"/>
      <c r="CD7901" s="34"/>
    </row>
    <row r="7902" spans="70:82" x14ac:dyDescent="0.15">
      <c r="BR7902" s="34"/>
      <c r="BV7902" s="34"/>
      <c r="BZ7902" s="34"/>
      <c r="CD7902" s="34"/>
    </row>
    <row r="7903" spans="70:82" x14ac:dyDescent="0.15">
      <c r="BR7903" s="34"/>
      <c r="BV7903" s="34"/>
      <c r="BZ7903" s="34"/>
      <c r="CD7903" s="34"/>
    </row>
    <row r="7904" spans="70:82" x14ac:dyDescent="0.15">
      <c r="BR7904" s="34"/>
      <c r="BV7904" s="34"/>
      <c r="BZ7904" s="34"/>
      <c r="CD7904" s="34"/>
    </row>
    <row r="7905" spans="70:82" x14ac:dyDescent="0.15">
      <c r="BR7905" s="34"/>
      <c r="BV7905" s="34"/>
      <c r="BZ7905" s="34"/>
      <c r="CD7905" s="34"/>
    </row>
    <row r="7906" spans="70:82" x14ac:dyDescent="0.15">
      <c r="BR7906" s="34"/>
      <c r="BV7906" s="34"/>
      <c r="BZ7906" s="34"/>
      <c r="CD7906" s="34"/>
    </row>
    <row r="7907" spans="70:82" x14ac:dyDescent="0.15">
      <c r="BR7907" s="34"/>
      <c r="BV7907" s="34"/>
      <c r="BZ7907" s="34"/>
      <c r="CD7907" s="34"/>
    </row>
    <row r="7908" spans="70:82" x14ac:dyDescent="0.15">
      <c r="BR7908" s="34"/>
      <c r="BV7908" s="34"/>
      <c r="BZ7908" s="34"/>
      <c r="CD7908" s="34"/>
    </row>
    <row r="7909" spans="70:82" x14ac:dyDescent="0.15">
      <c r="BR7909" s="34"/>
      <c r="BV7909" s="34"/>
      <c r="BZ7909" s="34"/>
      <c r="CD7909" s="34"/>
    </row>
    <row r="7910" spans="70:82" x14ac:dyDescent="0.15">
      <c r="BR7910" s="34"/>
      <c r="BV7910" s="34"/>
      <c r="BZ7910" s="34"/>
      <c r="CD7910" s="34"/>
    </row>
    <row r="7911" spans="70:82" x14ac:dyDescent="0.15">
      <c r="BR7911" s="34"/>
      <c r="BV7911" s="34"/>
      <c r="BZ7911" s="34"/>
      <c r="CD7911" s="34"/>
    </row>
    <row r="7912" spans="70:82" x14ac:dyDescent="0.15">
      <c r="BR7912" s="34"/>
      <c r="BV7912" s="34"/>
      <c r="BZ7912" s="34"/>
      <c r="CD7912" s="34"/>
    </row>
    <row r="7913" spans="70:82" x14ac:dyDescent="0.15">
      <c r="BR7913" s="34"/>
      <c r="BV7913" s="34"/>
      <c r="BZ7913" s="34"/>
      <c r="CD7913" s="34"/>
    </row>
    <row r="7914" spans="70:82" x14ac:dyDescent="0.15">
      <c r="BR7914" s="34"/>
      <c r="BV7914" s="34"/>
      <c r="BZ7914" s="34"/>
      <c r="CD7914" s="34"/>
    </row>
    <row r="7915" spans="70:82" x14ac:dyDescent="0.15">
      <c r="BR7915" s="34"/>
      <c r="BV7915" s="34"/>
      <c r="BZ7915" s="34"/>
      <c r="CD7915" s="34"/>
    </row>
    <row r="7916" spans="70:82" x14ac:dyDescent="0.15">
      <c r="BR7916" s="34"/>
      <c r="BV7916" s="34"/>
      <c r="BZ7916" s="34"/>
      <c r="CD7916" s="34"/>
    </row>
    <row r="7917" spans="70:82" x14ac:dyDescent="0.15">
      <c r="BR7917" s="34"/>
      <c r="BV7917" s="34"/>
      <c r="BZ7917" s="34"/>
      <c r="CD7917" s="34"/>
    </row>
    <row r="7918" spans="70:82" x14ac:dyDescent="0.15">
      <c r="BR7918" s="34"/>
      <c r="BV7918" s="34"/>
      <c r="BZ7918" s="34"/>
      <c r="CD7918" s="34"/>
    </row>
    <row r="7919" spans="70:82" x14ac:dyDescent="0.15">
      <c r="BR7919" s="34"/>
      <c r="BV7919" s="34"/>
      <c r="BZ7919" s="34"/>
      <c r="CD7919" s="34"/>
    </row>
    <row r="7920" spans="70:82" x14ac:dyDescent="0.15">
      <c r="BR7920" s="34"/>
      <c r="BV7920" s="34"/>
      <c r="BZ7920" s="34"/>
      <c r="CD7920" s="34"/>
    </row>
    <row r="7921" spans="70:82" x14ac:dyDescent="0.15">
      <c r="BR7921" s="34"/>
      <c r="BV7921" s="34"/>
      <c r="BZ7921" s="34"/>
      <c r="CD7921" s="34"/>
    </row>
    <row r="7922" spans="70:82" x14ac:dyDescent="0.15">
      <c r="BR7922" s="34"/>
      <c r="BV7922" s="34"/>
      <c r="BZ7922" s="34"/>
      <c r="CD7922" s="34"/>
    </row>
    <row r="7923" spans="70:82" x14ac:dyDescent="0.15">
      <c r="BR7923" s="34"/>
      <c r="BV7923" s="34"/>
      <c r="BZ7923" s="34"/>
      <c r="CD7923" s="34"/>
    </row>
    <row r="7924" spans="70:82" x14ac:dyDescent="0.15">
      <c r="BR7924" s="34"/>
      <c r="BV7924" s="34"/>
      <c r="BZ7924" s="34"/>
      <c r="CD7924" s="34"/>
    </row>
    <row r="7925" spans="70:82" x14ac:dyDescent="0.15">
      <c r="BR7925" s="34"/>
      <c r="BV7925" s="34"/>
      <c r="BZ7925" s="34"/>
      <c r="CD7925" s="34"/>
    </row>
    <row r="7926" spans="70:82" x14ac:dyDescent="0.15">
      <c r="BR7926" s="34"/>
      <c r="BV7926" s="34"/>
      <c r="BZ7926" s="34"/>
      <c r="CD7926" s="34"/>
    </row>
    <row r="7927" spans="70:82" x14ac:dyDescent="0.15">
      <c r="BR7927" s="34"/>
      <c r="BV7927" s="34"/>
      <c r="BZ7927" s="34"/>
      <c r="CD7927" s="34"/>
    </row>
    <row r="7928" spans="70:82" x14ac:dyDescent="0.15">
      <c r="BR7928" s="34"/>
      <c r="BV7928" s="34"/>
      <c r="BZ7928" s="34"/>
      <c r="CD7928" s="34"/>
    </row>
    <row r="7929" spans="70:82" x14ac:dyDescent="0.15">
      <c r="BR7929" s="34"/>
      <c r="BV7929" s="34"/>
      <c r="BZ7929" s="34"/>
      <c r="CD7929" s="34"/>
    </row>
    <row r="7930" spans="70:82" x14ac:dyDescent="0.15">
      <c r="BR7930" s="34"/>
      <c r="BV7930" s="34"/>
      <c r="BZ7930" s="34"/>
      <c r="CD7930" s="34"/>
    </row>
    <row r="7931" spans="70:82" x14ac:dyDescent="0.15">
      <c r="BR7931" s="34"/>
      <c r="BV7931" s="34"/>
      <c r="BZ7931" s="34"/>
      <c r="CD7931" s="34"/>
    </row>
    <row r="7932" spans="70:82" x14ac:dyDescent="0.15">
      <c r="BR7932" s="34"/>
      <c r="BV7932" s="34"/>
      <c r="BZ7932" s="34"/>
      <c r="CD7932" s="34"/>
    </row>
    <row r="7933" spans="70:82" x14ac:dyDescent="0.15">
      <c r="BR7933" s="34"/>
      <c r="BV7933" s="34"/>
      <c r="BZ7933" s="34"/>
      <c r="CD7933" s="34"/>
    </row>
    <row r="7934" spans="70:82" x14ac:dyDescent="0.15">
      <c r="BR7934" s="34"/>
      <c r="BV7934" s="34"/>
      <c r="BZ7934" s="34"/>
      <c r="CD7934" s="34"/>
    </row>
    <row r="7935" spans="70:82" x14ac:dyDescent="0.15">
      <c r="BR7935" s="34"/>
      <c r="BV7935" s="34"/>
      <c r="BZ7935" s="34"/>
      <c r="CD7935" s="34"/>
    </row>
    <row r="7936" spans="70:82" x14ac:dyDescent="0.15">
      <c r="BR7936" s="34"/>
      <c r="BV7936" s="34"/>
      <c r="BZ7936" s="34"/>
      <c r="CD7936" s="34"/>
    </row>
    <row r="7937" spans="70:82" x14ac:dyDescent="0.15">
      <c r="BR7937" s="34"/>
      <c r="BV7937" s="34"/>
      <c r="BZ7937" s="34"/>
      <c r="CD7937" s="34"/>
    </row>
    <row r="7938" spans="70:82" x14ac:dyDescent="0.15">
      <c r="BR7938" s="34"/>
      <c r="BV7938" s="34"/>
      <c r="BZ7938" s="34"/>
      <c r="CD7938" s="34"/>
    </row>
    <row r="7939" spans="70:82" x14ac:dyDescent="0.15">
      <c r="BR7939" s="34"/>
      <c r="BV7939" s="34"/>
      <c r="BZ7939" s="34"/>
      <c r="CD7939" s="34"/>
    </row>
    <row r="7940" spans="70:82" x14ac:dyDescent="0.15">
      <c r="BR7940" s="34"/>
      <c r="BV7940" s="34"/>
      <c r="BZ7940" s="34"/>
      <c r="CD7940" s="34"/>
    </row>
    <row r="7941" spans="70:82" x14ac:dyDescent="0.15">
      <c r="BR7941" s="34"/>
      <c r="BV7941" s="34"/>
      <c r="BZ7941" s="34"/>
      <c r="CD7941" s="34"/>
    </row>
    <row r="7942" spans="70:82" x14ac:dyDescent="0.15">
      <c r="BR7942" s="34"/>
      <c r="BV7942" s="34"/>
      <c r="BZ7942" s="34"/>
      <c r="CD7942" s="34"/>
    </row>
    <row r="7943" spans="70:82" x14ac:dyDescent="0.15">
      <c r="BR7943" s="34"/>
      <c r="BV7943" s="34"/>
      <c r="BZ7943" s="34"/>
      <c r="CD7943" s="34"/>
    </row>
    <row r="7944" spans="70:82" x14ac:dyDescent="0.15">
      <c r="BR7944" s="34"/>
      <c r="BV7944" s="34"/>
      <c r="BZ7944" s="34"/>
      <c r="CD7944" s="34"/>
    </row>
    <row r="7945" spans="70:82" x14ac:dyDescent="0.15">
      <c r="BR7945" s="34"/>
      <c r="BV7945" s="34"/>
      <c r="BZ7945" s="34"/>
      <c r="CD7945" s="34"/>
    </row>
    <row r="7946" spans="70:82" x14ac:dyDescent="0.15">
      <c r="BR7946" s="34"/>
      <c r="BV7946" s="34"/>
      <c r="BZ7946" s="34"/>
      <c r="CD7946" s="34"/>
    </row>
    <row r="7947" spans="70:82" x14ac:dyDescent="0.15">
      <c r="BR7947" s="34"/>
      <c r="BV7947" s="34"/>
      <c r="BZ7947" s="34"/>
      <c r="CD7947" s="34"/>
    </row>
    <row r="7948" spans="70:82" x14ac:dyDescent="0.15">
      <c r="BR7948" s="34"/>
      <c r="BV7948" s="34"/>
      <c r="BZ7948" s="34"/>
      <c r="CD7948" s="34"/>
    </row>
    <row r="7949" spans="70:82" x14ac:dyDescent="0.15">
      <c r="BR7949" s="34"/>
      <c r="BV7949" s="34"/>
      <c r="BZ7949" s="34"/>
      <c r="CD7949" s="34"/>
    </row>
    <row r="7950" spans="70:82" x14ac:dyDescent="0.15">
      <c r="BR7950" s="34"/>
      <c r="BV7950" s="34"/>
      <c r="BZ7950" s="34"/>
      <c r="CD7950" s="34"/>
    </row>
    <row r="7951" spans="70:82" x14ac:dyDescent="0.15">
      <c r="BR7951" s="34"/>
      <c r="BV7951" s="34"/>
      <c r="BZ7951" s="34"/>
      <c r="CD7951" s="34"/>
    </row>
    <row r="7952" spans="70:82" x14ac:dyDescent="0.15">
      <c r="BR7952" s="34"/>
      <c r="BV7952" s="34"/>
      <c r="BZ7952" s="34"/>
      <c r="CD7952" s="34"/>
    </row>
    <row r="7953" spans="70:82" x14ac:dyDescent="0.15">
      <c r="BR7953" s="34"/>
      <c r="BV7953" s="34"/>
      <c r="BZ7953" s="34"/>
      <c r="CD7953" s="34"/>
    </row>
    <row r="7954" spans="70:82" x14ac:dyDescent="0.15">
      <c r="BR7954" s="34"/>
      <c r="BV7954" s="34"/>
      <c r="BZ7954" s="34"/>
      <c r="CD7954" s="34"/>
    </row>
    <row r="7955" spans="70:82" x14ac:dyDescent="0.15">
      <c r="BR7955" s="34"/>
      <c r="BV7955" s="34"/>
      <c r="BZ7955" s="34"/>
      <c r="CD7955" s="34"/>
    </row>
    <row r="7956" spans="70:82" x14ac:dyDescent="0.15">
      <c r="BR7956" s="34"/>
      <c r="BV7956" s="34"/>
      <c r="BZ7956" s="34"/>
      <c r="CD7956" s="34"/>
    </row>
    <row r="7957" spans="70:82" x14ac:dyDescent="0.15">
      <c r="BR7957" s="34"/>
      <c r="BV7957" s="34"/>
      <c r="BZ7957" s="34"/>
      <c r="CD7957" s="34"/>
    </row>
    <row r="7958" spans="70:82" x14ac:dyDescent="0.15">
      <c r="BR7958" s="34"/>
      <c r="BV7958" s="34"/>
      <c r="BZ7958" s="34"/>
      <c r="CD7958" s="34"/>
    </row>
    <row r="7959" spans="70:82" x14ac:dyDescent="0.15">
      <c r="BR7959" s="34"/>
      <c r="BV7959" s="34"/>
      <c r="BZ7959" s="34"/>
      <c r="CD7959" s="34"/>
    </row>
    <row r="7960" spans="70:82" x14ac:dyDescent="0.15">
      <c r="BR7960" s="34"/>
      <c r="BV7960" s="34"/>
      <c r="BZ7960" s="34"/>
      <c r="CD7960" s="34"/>
    </row>
    <row r="7961" spans="70:82" x14ac:dyDescent="0.15">
      <c r="BR7961" s="34"/>
      <c r="BV7961" s="34"/>
      <c r="BZ7961" s="34"/>
      <c r="CD7961" s="34"/>
    </row>
    <row r="7962" spans="70:82" x14ac:dyDescent="0.15">
      <c r="BR7962" s="34"/>
      <c r="BV7962" s="34"/>
      <c r="BZ7962" s="34"/>
      <c r="CD7962" s="34"/>
    </row>
    <row r="7963" spans="70:82" x14ac:dyDescent="0.15">
      <c r="BR7963" s="34"/>
      <c r="BV7963" s="34"/>
      <c r="BZ7963" s="34"/>
      <c r="CD7963" s="34"/>
    </row>
    <row r="7964" spans="70:82" x14ac:dyDescent="0.15">
      <c r="BR7964" s="34"/>
      <c r="BV7964" s="34"/>
      <c r="BZ7964" s="34"/>
      <c r="CD7964" s="34"/>
    </row>
    <row r="7965" spans="70:82" x14ac:dyDescent="0.15">
      <c r="BR7965" s="34"/>
      <c r="BV7965" s="34"/>
      <c r="BZ7965" s="34"/>
      <c r="CD7965" s="34"/>
    </row>
    <row r="7966" spans="70:82" x14ac:dyDescent="0.15">
      <c r="BR7966" s="34"/>
      <c r="BV7966" s="34"/>
      <c r="BZ7966" s="34"/>
      <c r="CD7966" s="34"/>
    </row>
    <row r="7967" spans="70:82" x14ac:dyDescent="0.15">
      <c r="BR7967" s="34"/>
      <c r="BV7967" s="34"/>
      <c r="BZ7967" s="34"/>
      <c r="CD7967" s="34"/>
    </row>
    <row r="7968" spans="70:82" x14ac:dyDescent="0.15">
      <c r="BR7968" s="34"/>
      <c r="BV7968" s="34"/>
      <c r="BZ7968" s="34"/>
      <c r="CD7968" s="34"/>
    </row>
    <row r="7969" spans="70:82" x14ac:dyDescent="0.15">
      <c r="BR7969" s="34"/>
      <c r="BV7969" s="34"/>
      <c r="BZ7969" s="34"/>
      <c r="CD7969" s="34"/>
    </row>
    <row r="7970" spans="70:82" x14ac:dyDescent="0.15">
      <c r="BR7970" s="34"/>
      <c r="BV7970" s="34"/>
      <c r="BZ7970" s="34"/>
      <c r="CD7970" s="34"/>
    </row>
    <row r="7971" spans="70:82" x14ac:dyDescent="0.15">
      <c r="BR7971" s="34"/>
      <c r="BV7971" s="34"/>
      <c r="BZ7971" s="34"/>
      <c r="CD7971" s="34"/>
    </row>
    <row r="7972" spans="70:82" x14ac:dyDescent="0.15">
      <c r="BR7972" s="34"/>
      <c r="BV7972" s="34"/>
      <c r="BZ7972" s="34"/>
      <c r="CD7972" s="34"/>
    </row>
    <row r="7973" spans="70:82" x14ac:dyDescent="0.15">
      <c r="BR7973" s="34"/>
      <c r="BV7973" s="34"/>
      <c r="BZ7973" s="34"/>
      <c r="CD7973" s="34"/>
    </row>
    <row r="7974" spans="70:82" x14ac:dyDescent="0.15">
      <c r="BR7974" s="34"/>
      <c r="BV7974" s="34"/>
      <c r="BZ7974" s="34"/>
      <c r="CD7974" s="34"/>
    </row>
    <row r="7975" spans="70:82" x14ac:dyDescent="0.15">
      <c r="BR7975" s="34"/>
      <c r="BV7975" s="34"/>
      <c r="BZ7975" s="34"/>
      <c r="CD7975" s="34"/>
    </row>
    <row r="7976" spans="70:82" x14ac:dyDescent="0.15">
      <c r="BR7976" s="34"/>
      <c r="BV7976" s="34"/>
      <c r="BZ7976" s="34"/>
      <c r="CD7976" s="34"/>
    </row>
    <row r="7977" spans="70:82" x14ac:dyDescent="0.15">
      <c r="BR7977" s="34"/>
      <c r="BV7977" s="34"/>
      <c r="BZ7977" s="34"/>
      <c r="CD7977" s="34"/>
    </row>
    <row r="7978" spans="70:82" x14ac:dyDescent="0.15">
      <c r="BR7978" s="34"/>
      <c r="BV7978" s="34"/>
      <c r="BZ7978" s="34"/>
      <c r="CD7978" s="34"/>
    </row>
    <row r="7979" spans="70:82" x14ac:dyDescent="0.15">
      <c r="BR7979" s="34"/>
      <c r="BV7979" s="34"/>
      <c r="BZ7979" s="34"/>
      <c r="CD7979" s="34"/>
    </row>
    <row r="7980" spans="70:82" x14ac:dyDescent="0.15">
      <c r="BR7980" s="34"/>
      <c r="BV7980" s="34"/>
      <c r="BZ7980" s="34"/>
      <c r="CD7980" s="34"/>
    </row>
    <row r="7981" spans="70:82" x14ac:dyDescent="0.15">
      <c r="BR7981" s="34"/>
      <c r="BV7981" s="34"/>
      <c r="BZ7981" s="34"/>
      <c r="CD7981" s="34"/>
    </row>
    <row r="7982" spans="70:82" x14ac:dyDescent="0.15">
      <c r="BR7982" s="34"/>
      <c r="BV7982" s="34"/>
      <c r="BZ7982" s="34"/>
      <c r="CD7982" s="34"/>
    </row>
    <row r="7983" spans="70:82" x14ac:dyDescent="0.15">
      <c r="BR7983" s="34"/>
      <c r="BV7983" s="34"/>
      <c r="BZ7983" s="34"/>
      <c r="CD7983" s="34"/>
    </row>
    <row r="7984" spans="70:82" x14ac:dyDescent="0.15">
      <c r="BR7984" s="34"/>
      <c r="BV7984" s="34"/>
      <c r="BZ7984" s="34"/>
      <c r="CD7984" s="34"/>
    </row>
    <row r="7985" spans="70:82" x14ac:dyDescent="0.15">
      <c r="BR7985" s="34"/>
      <c r="BV7985" s="34"/>
      <c r="BZ7985" s="34"/>
      <c r="CD7985" s="34"/>
    </row>
    <row r="7986" spans="70:82" x14ac:dyDescent="0.15">
      <c r="BR7986" s="34"/>
      <c r="BV7986" s="34"/>
      <c r="BZ7986" s="34"/>
      <c r="CD7986" s="34"/>
    </row>
    <row r="7987" spans="70:82" x14ac:dyDescent="0.15">
      <c r="BR7987" s="34"/>
      <c r="BV7987" s="34"/>
      <c r="BZ7987" s="34"/>
      <c r="CD7987" s="34"/>
    </row>
    <row r="7988" spans="70:82" x14ac:dyDescent="0.15">
      <c r="BR7988" s="34"/>
      <c r="BV7988" s="34"/>
      <c r="BZ7988" s="34"/>
      <c r="CD7988" s="34"/>
    </row>
    <row r="7989" spans="70:82" x14ac:dyDescent="0.15">
      <c r="BR7989" s="34"/>
      <c r="BV7989" s="34"/>
      <c r="BZ7989" s="34"/>
      <c r="CD7989" s="34"/>
    </row>
    <row r="7990" spans="70:82" x14ac:dyDescent="0.15">
      <c r="BR7990" s="34"/>
      <c r="BV7990" s="34"/>
      <c r="BZ7990" s="34"/>
      <c r="CD7990" s="34"/>
    </row>
    <row r="7991" spans="70:82" x14ac:dyDescent="0.15">
      <c r="BR7991" s="34"/>
      <c r="BV7991" s="34"/>
      <c r="BZ7991" s="34"/>
      <c r="CD7991" s="34"/>
    </row>
    <row r="7992" spans="70:82" x14ac:dyDescent="0.15">
      <c r="BR7992" s="34"/>
      <c r="BV7992" s="34"/>
      <c r="BZ7992" s="34"/>
      <c r="CD7992" s="34"/>
    </row>
    <row r="7993" spans="70:82" x14ac:dyDescent="0.15">
      <c r="BR7993" s="34"/>
      <c r="BV7993" s="34"/>
      <c r="BZ7993" s="34"/>
      <c r="CD7993" s="34"/>
    </row>
    <row r="7994" spans="70:82" x14ac:dyDescent="0.15">
      <c r="BR7994" s="34"/>
      <c r="BV7994" s="34"/>
      <c r="BZ7994" s="34"/>
      <c r="CD7994" s="34"/>
    </row>
    <row r="7995" spans="70:82" x14ac:dyDescent="0.15">
      <c r="BR7995" s="34"/>
      <c r="BV7995" s="34"/>
      <c r="BZ7995" s="34"/>
      <c r="CD7995" s="34"/>
    </row>
    <row r="7996" spans="70:82" x14ac:dyDescent="0.15">
      <c r="BR7996" s="34"/>
      <c r="BV7996" s="34"/>
      <c r="BZ7996" s="34"/>
      <c r="CD7996" s="34"/>
    </row>
    <row r="7997" spans="70:82" x14ac:dyDescent="0.15">
      <c r="BR7997" s="34"/>
      <c r="BV7997" s="34"/>
      <c r="BZ7997" s="34"/>
      <c r="CD7997" s="34"/>
    </row>
    <row r="7998" spans="70:82" x14ac:dyDescent="0.15">
      <c r="BR7998" s="34"/>
      <c r="BV7998" s="34"/>
      <c r="BZ7998" s="34"/>
      <c r="CD7998" s="34"/>
    </row>
    <row r="7999" spans="70:82" x14ac:dyDescent="0.15">
      <c r="BR7999" s="34"/>
      <c r="BV7999" s="34"/>
      <c r="BZ7999" s="34"/>
      <c r="CD7999" s="34"/>
    </row>
    <row r="8000" spans="70:82" x14ac:dyDescent="0.15">
      <c r="BR8000" s="34"/>
      <c r="BV8000" s="34"/>
      <c r="BZ8000" s="34"/>
      <c r="CD8000" s="34"/>
    </row>
    <row r="8001" spans="70:82" x14ac:dyDescent="0.15">
      <c r="BR8001" s="34"/>
      <c r="BV8001" s="34"/>
      <c r="BZ8001" s="34"/>
      <c r="CD8001" s="34"/>
    </row>
    <row r="8002" spans="70:82" x14ac:dyDescent="0.15">
      <c r="BR8002" s="34"/>
      <c r="BV8002" s="34"/>
      <c r="BZ8002" s="34"/>
      <c r="CD8002" s="34"/>
    </row>
    <row r="8003" spans="70:82" x14ac:dyDescent="0.15">
      <c r="BR8003" s="34"/>
      <c r="BV8003" s="34"/>
      <c r="BZ8003" s="34"/>
      <c r="CD8003" s="34"/>
    </row>
    <row r="8004" spans="70:82" x14ac:dyDescent="0.15">
      <c r="BR8004" s="34"/>
      <c r="BV8004" s="34"/>
      <c r="BZ8004" s="34"/>
      <c r="CD8004" s="34"/>
    </row>
    <row r="8005" spans="70:82" x14ac:dyDescent="0.15">
      <c r="BR8005" s="34"/>
      <c r="BV8005" s="34"/>
      <c r="BZ8005" s="34"/>
      <c r="CD8005" s="34"/>
    </row>
    <row r="8006" spans="70:82" x14ac:dyDescent="0.15">
      <c r="BR8006" s="34"/>
      <c r="BV8006" s="34"/>
      <c r="BZ8006" s="34"/>
      <c r="CD8006" s="34"/>
    </row>
    <row r="8007" spans="70:82" x14ac:dyDescent="0.15">
      <c r="BR8007" s="34"/>
      <c r="BV8007" s="34"/>
      <c r="BZ8007" s="34"/>
      <c r="CD8007" s="34"/>
    </row>
    <row r="8008" spans="70:82" x14ac:dyDescent="0.15">
      <c r="BR8008" s="34"/>
      <c r="BV8008" s="34"/>
      <c r="BZ8008" s="34"/>
      <c r="CD8008" s="34"/>
    </row>
    <row r="8009" spans="70:82" x14ac:dyDescent="0.15">
      <c r="BR8009" s="34"/>
      <c r="BV8009" s="34"/>
      <c r="BZ8009" s="34"/>
      <c r="CD8009" s="34"/>
    </row>
    <row r="8010" spans="70:82" x14ac:dyDescent="0.15">
      <c r="BR8010" s="34"/>
      <c r="BV8010" s="34"/>
      <c r="BZ8010" s="34"/>
      <c r="CD8010" s="34"/>
    </row>
    <row r="8011" spans="70:82" x14ac:dyDescent="0.15">
      <c r="BR8011" s="34"/>
      <c r="BV8011" s="34"/>
      <c r="BZ8011" s="34"/>
      <c r="CD8011" s="34"/>
    </row>
    <row r="8012" spans="70:82" x14ac:dyDescent="0.15">
      <c r="BR8012" s="34"/>
      <c r="BV8012" s="34"/>
      <c r="BZ8012" s="34"/>
      <c r="CD8012" s="34"/>
    </row>
    <row r="8013" spans="70:82" x14ac:dyDescent="0.15">
      <c r="BR8013" s="34"/>
      <c r="BV8013" s="34"/>
      <c r="BZ8013" s="34"/>
      <c r="CD8013" s="34"/>
    </row>
    <row r="8014" spans="70:82" x14ac:dyDescent="0.15">
      <c r="BR8014" s="34"/>
      <c r="BV8014" s="34"/>
      <c r="BZ8014" s="34"/>
      <c r="CD8014" s="34"/>
    </row>
    <row r="8015" spans="70:82" x14ac:dyDescent="0.15">
      <c r="BR8015" s="34"/>
      <c r="BV8015" s="34"/>
      <c r="BZ8015" s="34"/>
      <c r="CD8015" s="34"/>
    </row>
    <row r="8016" spans="70:82" x14ac:dyDescent="0.15">
      <c r="BR8016" s="34"/>
      <c r="BV8016" s="34"/>
      <c r="BZ8016" s="34"/>
      <c r="CD8016" s="34"/>
    </row>
    <row r="8017" spans="70:82" x14ac:dyDescent="0.15">
      <c r="BR8017" s="34"/>
      <c r="BV8017" s="34"/>
      <c r="BZ8017" s="34"/>
      <c r="CD8017" s="34"/>
    </row>
    <row r="8018" spans="70:82" x14ac:dyDescent="0.15">
      <c r="BR8018" s="34"/>
      <c r="BV8018" s="34"/>
      <c r="BZ8018" s="34"/>
      <c r="CD8018" s="34"/>
    </row>
    <row r="8019" spans="70:82" x14ac:dyDescent="0.15">
      <c r="BR8019" s="34"/>
      <c r="BV8019" s="34"/>
      <c r="BZ8019" s="34"/>
      <c r="CD8019" s="34"/>
    </row>
    <row r="8020" spans="70:82" x14ac:dyDescent="0.15">
      <c r="BR8020" s="34"/>
      <c r="BV8020" s="34"/>
      <c r="BZ8020" s="34"/>
      <c r="CD8020" s="34"/>
    </row>
    <row r="8021" spans="70:82" x14ac:dyDescent="0.15">
      <c r="BR8021" s="34"/>
      <c r="BV8021" s="34"/>
      <c r="BZ8021" s="34"/>
      <c r="CD8021" s="34"/>
    </row>
    <row r="8022" spans="70:82" x14ac:dyDescent="0.15">
      <c r="BR8022" s="34"/>
      <c r="BV8022" s="34"/>
      <c r="BZ8022" s="34"/>
      <c r="CD8022" s="34"/>
    </row>
    <row r="8023" spans="70:82" x14ac:dyDescent="0.15">
      <c r="BR8023" s="34"/>
      <c r="BV8023" s="34"/>
      <c r="BZ8023" s="34"/>
      <c r="CD8023" s="34"/>
    </row>
    <row r="8024" spans="70:82" x14ac:dyDescent="0.15">
      <c r="BR8024" s="34"/>
      <c r="BV8024" s="34"/>
      <c r="BZ8024" s="34"/>
      <c r="CD8024" s="34"/>
    </row>
    <row r="8025" spans="70:82" x14ac:dyDescent="0.15">
      <c r="BR8025" s="34"/>
      <c r="BV8025" s="34"/>
      <c r="BZ8025" s="34"/>
      <c r="CD8025" s="34"/>
    </row>
    <row r="8026" spans="70:82" x14ac:dyDescent="0.15">
      <c r="BR8026" s="34"/>
      <c r="BV8026" s="34"/>
      <c r="BZ8026" s="34"/>
      <c r="CD8026" s="34"/>
    </row>
    <row r="8027" spans="70:82" x14ac:dyDescent="0.15">
      <c r="BR8027" s="34"/>
      <c r="BV8027" s="34"/>
      <c r="BZ8027" s="34"/>
      <c r="CD8027" s="34"/>
    </row>
    <row r="8028" spans="70:82" x14ac:dyDescent="0.15">
      <c r="BR8028" s="34"/>
      <c r="BV8028" s="34"/>
      <c r="BZ8028" s="34"/>
      <c r="CD8028" s="34"/>
    </row>
    <row r="8029" spans="70:82" x14ac:dyDescent="0.15">
      <c r="BR8029" s="34"/>
      <c r="BV8029" s="34"/>
      <c r="BZ8029" s="34"/>
      <c r="CD8029" s="34"/>
    </row>
    <row r="8030" spans="70:82" x14ac:dyDescent="0.15">
      <c r="BR8030" s="34"/>
      <c r="BV8030" s="34"/>
      <c r="BZ8030" s="34"/>
      <c r="CD8030" s="34"/>
    </row>
    <row r="8031" spans="70:82" x14ac:dyDescent="0.15">
      <c r="BR8031" s="34"/>
      <c r="BV8031" s="34"/>
      <c r="BZ8031" s="34"/>
      <c r="CD8031" s="34"/>
    </row>
    <row r="8032" spans="70:82" x14ac:dyDescent="0.15">
      <c r="BR8032" s="34"/>
      <c r="BV8032" s="34"/>
      <c r="BZ8032" s="34"/>
      <c r="CD8032" s="34"/>
    </row>
    <row r="8033" spans="70:82" x14ac:dyDescent="0.15">
      <c r="BR8033" s="34"/>
      <c r="BV8033" s="34"/>
      <c r="BZ8033" s="34"/>
      <c r="CD8033" s="34"/>
    </row>
    <row r="8034" spans="70:82" x14ac:dyDescent="0.15">
      <c r="BR8034" s="34"/>
      <c r="BV8034" s="34"/>
      <c r="BZ8034" s="34"/>
      <c r="CD8034" s="34"/>
    </row>
    <row r="8035" spans="70:82" x14ac:dyDescent="0.15">
      <c r="BR8035" s="34"/>
      <c r="BV8035" s="34"/>
      <c r="BZ8035" s="34"/>
      <c r="CD8035" s="34"/>
    </row>
    <row r="8036" spans="70:82" x14ac:dyDescent="0.15">
      <c r="BR8036" s="34"/>
      <c r="BV8036" s="34"/>
      <c r="BZ8036" s="34"/>
      <c r="CD8036" s="34"/>
    </row>
    <row r="8037" spans="70:82" x14ac:dyDescent="0.15">
      <c r="BR8037" s="34"/>
      <c r="BV8037" s="34"/>
      <c r="BZ8037" s="34"/>
      <c r="CD8037" s="34"/>
    </row>
    <row r="8038" spans="70:82" x14ac:dyDescent="0.15">
      <c r="BR8038" s="34"/>
      <c r="BV8038" s="34"/>
      <c r="BZ8038" s="34"/>
      <c r="CD8038" s="34"/>
    </row>
    <row r="8039" spans="70:82" x14ac:dyDescent="0.15">
      <c r="BR8039" s="34"/>
      <c r="BV8039" s="34"/>
      <c r="BZ8039" s="34"/>
      <c r="CD8039" s="34"/>
    </row>
    <row r="8040" spans="70:82" x14ac:dyDescent="0.15">
      <c r="BR8040" s="34"/>
      <c r="BV8040" s="34"/>
      <c r="BZ8040" s="34"/>
      <c r="CD8040" s="34"/>
    </row>
    <row r="8041" spans="70:82" x14ac:dyDescent="0.15">
      <c r="BR8041" s="34"/>
      <c r="BV8041" s="34"/>
      <c r="BZ8041" s="34"/>
      <c r="CD8041" s="34"/>
    </row>
    <row r="8042" spans="70:82" x14ac:dyDescent="0.15">
      <c r="BR8042" s="34"/>
      <c r="BV8042" s="34"/>
      <c r="BZ8042" s="34"/>
      <c r="CD8042" s="34"/>
    </row>
    <row r="8043" spans="70:82" x14ac:dyDescent="0.15">
      <c r="BR8043" s="34"/>
      <c r="BV8043" s="34"/>
      <c r="BZ8043" s="34"/>
      <c r="CD8043" s="34"/>
    </row>
    <row r="8044" spans="70:82" x14ac:dyDescent="0.15">
      <c r="BR8044" s="34"/>
      <c r="BV8044" s="34"/>
      <c r="BZ8044" s="34"/>
      <c r="CD8044" s="34"/>
    </row>
    <row r="8045" spans="70:82" x14ac:dyDescent="0.15">
      <c r="BR8045" s="34"/>
      <c r="BV8045" s="34"/>
      <c r="BZ8045" s="34"/>
      <c r="CD8045" s="34"/>
    </row>
    <row r="8046" spans="70:82" x14ac:dyDescent="0.15">
      <c r="BR8046" s="34"/>
      <c r="BV8046" s="34"/>
      <c r="BZ8046" s="34"/>
      <c r="CD8046" s="34"/>
    </row>
    <row r="8047" spans="70:82" x14ac:dyDescent="0.15">
      <c r="BR8047" s="34"/>
      <c r="BV8047" s="34"/>
      <c r="BZ8047" s="34"/>
      <c r="CD8047" s="34"/>
    </row>
    <row r="8048" spans="70:82" x14ac:dyDescent="0.15">
      <c r="BR8048" s="34"/>
      <c r="BV8048" s="34"/>
      <c r="BZ8048" s="34"/>
      <c r="CD8048" s="34"/>
    </row>
    <row r="8049" spans="70:82" x14ac:dyDescent="0.15">
      <c r="BR8049" s="34"/>
      <c r="BV8049" s="34"/>
      <c r="BZ8049" s="34"/>
      <c r="CD8049" s="34"/>
    </row>
    <row r="8050" spans="70:82" x14ac:dyDescent="0.15">
      <c r="BR8050" s="34"/>
      <c r="BV8050" s="34"/>
      <c r="BZ8050" s="34"/>
      <c r="CD8050" s="34"/>
    </row>
    <row r="8051" spans="70:82" x14ac:dyDescent="0.15">
      <c r="BR8051" s="34"/>
      <c r="BV8051" s="34"/>
      <c r="BZ8051" s="34"/>
      <c r="CD8051" s="34"/>
    </row>
    <row r="8052" spans="70:82" x14ac:dyDescent="0.15">
      <c r="BR8052" s="34"/>
      <c r="BV8052" s="34"/>
      <c r="BZ8052" s="34"/>
      <c r="CD8052" s="34"/>
    </row>
    <row r="8053" spans="70:82" x14ac:dyDescent="0.15">
      <c r="BR8053" s="34"/>
      <c r="BV8053" s="34"/>
      <c r="BZ8053" s="34"/>
      <c r="CD8053" s="34"/>
    </row>
    <row r="8054" spans="70:82" x14ac:dyDescent="0.15">
      <c r="BR8054" s="34"/>
      <c r="BV8054" s="34"/>
      <c r="BZ8054" s="34"/>
      <c r="CD8054" s="34"/>
    </row>
    <row r="8055" spans="70:82" x14ac:dyDescent="0.15">
      <c r="BR8055" s="34"/>
      <c r="BV8055" s="34"/>
      <c r="BZ8055" s="34"/>
      <c r="CD8055" s="34"/>
    </row>
    <row r="8056" spans="70:82" x14ac:dyDescent="0.15">
      <c r="BR8056" s="34"/>
      <c r="BV8056" s="34"/>
      <c r="BZ8056" s="34"/>
      <c r="CD8056" s="34"/>
    </row>
    <row r="8057" spans="70:82" x14ac:dyDescent="0.15">
      <c r="BR8057" s="34"/>
      <c r="BV8057" s="34"/>
      <c r="BZ8057" s="34"/>
      <c r="CD8057" s="34"/>
    </row>
    <row r="8058" spans="70:82" x14ac:dyDescent="0.15">
      <c r="BR8058" s="34"/>
      <c r="BV8058" s="34"/>
      <c r="BZ8058" s="34"/>
      <c r="CD8058" s="34"/>
    </row>
    <row r="8059" spans="70:82" x14ac:dyDescent="0.15">
      <c r="BR8059" s="34"/>
      <c r="BV8059" s="34"/>
      <c r="BZ8059" s="34"/>
      <c r="CD8059" s="34"/>
    </row>
    <row r="8060" spans="70:82" x14ac:dyDescent="0.15">
      <c r="BR8060" s="34"/>
      <c r="BV8060" s="34"/>
      <c r="BZ8060" s="34"/>
      <c r="CD8060" s="34"/>
    </row>
    <row r="8061" spans="70:82" x14ac:dyDescent="0.15">
      <c r="BR8061" s="34"/>
      <c r="BV8061" s="34"/>
      <c r="BZ8061" s="34"/>
      <c r="CD8061" s="34"/>
    </row>
    <row r="8062" spans="70:82" x14ac:dyDescent="0.15">
      <c r="BR8062" s="34"/>
      <c r="BV8062" s="34"/>
      <c r="BZ8062" s="34"/>
      <c r="CD8062" s="34"/>
    </row>
    <row r="8063" spans="70:82" x14ac:dyDescent="0.15">
      <c r="BR8063" s="34"/>
      <c r="BV8063" s="34"/>
      <c r="BZ8063" s="34"/>
      <c r="CD8063" s="34"/>
    </row>
    <row r="8064" spans="70:82" x14ac:dyDescent="0.15">
      <c r="BR8064" s="34"/>
      <c r="BV8064" s="34"/>
      <c r="BZ8064" s="34"/>
      <c r="CD8064" s="34"/>
    </row>
    <row r="8065" spans="70:82" x14ac:dyDescent="0.15">
      <c r="BR8065" s="34"/>
      <c r="BV8065" s="34"/>
      <c r="BZ8065" s="34"/>
      <c r="CD8065" s="34"/>
    </row>
    <row r="8066" spans="70:82" x14ac:dyDescent="0.15">
      <c r="BR8066" s="34"/>
      <c r="BV8066" s="34"/>
      <c r="BZ8066" s="34"/>
      <c r="CD8066" s="34"/>
    </row>
    <row r="8067" spans="70:82" x14ac:dyDescent="0.15">
      <c r="BR8067" s="34"/>
      <c r="BV8067" s="34"/>
      <c r="BZ8067" s="34"/>
      <c r="CD8067" s="34"/>
    </row>
    <row r="8068" spans="70:82" x14ac:dyDescent="0.15">
      <c r="BR8068" s="34"/>
      <c r="BV8068" s="34"/>
      <c r="BZ8068" s="34"/>
      <c r="CD8068" s="34"/>
    </row>
    <row r="8069" spans="70:82" x14ac:dyDescent="0.15">
      <c r="BR8069" s="34"/>
      <c r="BV8069" s="34"/>
      <c r="BZ8069" s="34"/>
      <c r="CD8069" s="34"/>
    </row>
    <row r="8070" spans="70:82" x14ac:dyDescent="0.15">
      <c r="BR8070" s="34"/>
      <c r="BV8070" s="34"/>
      <c r="BZ8070" s="34"/>
      <c r="CD8070" s="34"/>
    </row>
    <row r="8071" spans="70:82" x14ac:dyDescent="0.15">
      <c r="BR8071" s="34"/>
      <c r="BV8071" s="34"/>
      <c r="BZ8071" s="34"/>
      <c r="CD8071" s="34"/>
    </row>
    <row r="8072" spans="70:82" x14ac:dyDescent="0.15">
      <c r="BR8072" s="34"/>
      <c r="BV8072" s="34"/>
      <c r="BZ8072" s="34"/>
      <c r="CD8072" s="34"/>
    </row>
    <row r="8073" spans="70:82" x14ac:dyDescent="0.15">
      <c r="BR8073" s="34"/>
      <c r="BV8073" s="34"/>
      <c r="BZ8073" s="34"/>
      <c r="CD8073" s="34"/>
    </row>
    <row r="8074" spans="70:82" x14ac:dyDescent="0.15">
      <c r="BR8074" s="34"/>
      <c r="BV8074" s="34"/>
      <c r="BZ8074" s="34"/>
      <c r="CD8074" s="34"/>
    </row>
    <row r="8075" spans="70:82" x14ac:dyDescent="0.15">
      <c r="BR8075" s="34"/>
      <c r="BV8075" s="34"/>
      <c r="BZ8075" s="34"/>
      <c r="CD8075" s="34"/>
    </row>
    <row r="8076" spans="70:82" x14ac:dyDescent="0.15">
      <c r="BR8076" s="34"/>
      <c r="BV8076" s="34"/>
      <c r="BZ8076" s="34"/>
      <c r="CD8076" s="34"/>
    </row>
    <row r="8077" spans="70:82" x14ac:dyDescent="0.15">
      <c r="BR8077" s="34"/>
      <c r="BV8077" s="34"/>
      <c r="BZ8077" s="34"/>
      <c r="CD8077" s="34"/>
    </row>
    <row r="8078" spans="70:82" x14ac:dyDescent="0.15">
      <c r="BR8078" s="34"/>
      <c r="BV8078" s="34"/>
      <c r="BZ8078" s="34"/>
      <c r="CD8078" s="34"/>
    </row>
    <row r="8079" spans="70:82" x14ac:dyDescent="0.15">
      <c r="BR8079" s="34"/>
      <c r="BV8079" s="34"/>
      <c r="BZ8079" s="34"/>
      <c r="CD8079" s="34"/>
    </row>
    <row r="8080" spans="70:82" x14ac:dyDescent="0.15">
      <c r="BR8080" s="34"/>
      <c r="BV8080" s="34"/>
      <c r="BZ8080" s="34"/>
      <c r="CD8080" s="34"/>
    </row>
    <row r="8081" spans="70:82" x14ac:dyDescent="0.15">
      <c r="BR8081" s="34"/>
      <c r="BV8081" s="34"/>
      <c r="BZ8081" s="34"/>
      <c r="CD8081" s="34"/>
    </row>
    <row r="8082" spans="70:82" x14ac:dyDescent="0.15">
      <c r="BR8082" s="34"/>
      <c r="BV8082" s="34"/>
      <c r="BZ8082" s="34"/>
      <c r="CD8082" s="34"/>
    </row>
    <row r="8083" spans="70:82" x14ac:dyDescent="0.15">
      <c r="BR8083" s="34"/>
      <c r="BV8083" s="34"/>
      <c r="BZ8083" s="34"/>
      <c r="CD8083" s="34"/>
    </row>
    <row r="8084" spans="70:82" x14ac:dyDescent="0.15">
      <c r="BR8084" s="34"/>
      <c r="BV8084" s="34"/>
      <c r="BZ8084" s="34"/>
      <c r="CD8084" s="34"/>
    </row>
    <row r="8085" spans="70:82" x14ac:dyDescent="0.15">
      <c r="BR8085" s="34"/>
      <c r="BV8085" s="34"/>
      <c r="BZ8085" s="34"/>
      <c r="CD8085" s="34"/>
    </row>
    <row r="8086" spans="70:82" x14ac:dyDescent="0.15">
      <c r="BR8086" s="34"/>
      <c r="BV8086" s="34"/>
      <c r="BZ8086" s="34"/>
      <c r="CD8086" s="34"/>
    </row>
    <row r="8087" spans="70:82" x14ac:dyDescent="0.15">
      <c r="BR8087" s="34"/>
      <c r="BV8087" s="34"/>
      <c r="BZ8087" s="34"/>
      <c r="CD8087" s="34"/>
    </row>
    <row r="8088" spans="70:82" x14ac:dyDescent="0.15">
      <c r="BR8088" s="34"/>
      <c r="BV8088" s="34"/>
      <c r="BZ8088" s="34"/>
      <c r="CD8088" s="34"/>
    </row>
    <row r="8089" spans="70:82" x14ac:dyDescent="0.15">
      <c r="BR8089" s="34"/>
      <c r="BV8089" s="34"/>
      <c r="BZ8089" s="34"/>
      <c r="CD8089" s="34"/>
    </row>
    <row r="8090" spans="70:82" x14ac:dyDescent="0.15">
      <c r="BR8090" s="34"/>
      <c r="BV8090" s="34"/>
      <c r="BZ8090" s="34"/>
      <c r="CD8090" s="34"/>
    </row>
    <row r="8091" spans="70:82" x14ac:dyDescent="0.15">
      <c r="BR8091" s="34"/>
      <c r="BV8091" s="34"/>
      <c r="BZ8091" s="34"/>
      <c r="CD8091" s="34"/>
    </row>
    <row r="8092" spans="70:82" x14ac:dyDescent="0.15">
      <c r="BR8092" s="34"/>
      <c r="BV8092" s="34"/>
      <c r="BZ8092" s="34"/>
      <c r="CD8092" s="34"/>
    </row>
    <row r="8093" spans="70:82" x14ac:dyDescent="0.15">
      <c r="BR8093" s="34"/>
      <c r="BV8093" s="34"/>
      <c r="BZ8093" s="34"/>
      <c r="CD8093" s="34"/>
    </row>
    <row r="8094" spans="70:82" x14ac:dyDescent="0.15">
      <c r="BR8094" s="34"/>
      <c r="BV8094" s="34"/>
      <c r="BZ8094" s="34"/>
      <c r="CD8094" s="34"/>
    </row>
    <row r="8095" spans="70:82" x14ac:dyDescent="0.15">
      <c r="BR8095" s="34"/>
      <c r="BV8095" s="34"/>
      <c r="BZ8095" s="34"/>
      <c r="CD8095" s="34"/>
    </row>
    <row r="8096" spans="70:82" x14ac:dyDescent="0.15">
      <c r="BR8096" s="34"/>
      <c r="BV8096" s="34"/>
      <c r="BZ8096" s="34"/>
      <c r="CD8096" s="34"/>
    </row>
    <row r="8097" spans="70:82" x14ac:dyDescent="0.15">
      <c r="BR8097" s="34"/>
      <c r="BV8097" s="34"/>
      <c r="BZ8097" s="34"/>
      <c r="CD8097" s="34"/>
    </row>
    <row r="8098" spans="70:82" x14ac:dyDescent="0.15">
      <c r="BR8098" s="34"/>
      <c r="BV8098" s="34"/>
      <c r="BZ8098" s="34"/>
      <c r="CD8098" s="34"/>
    </row>
    <row r="8099" spans="70:82" x14ac:dyDescent="0.15">
      <c r="BR8099" s="34"/>
      <c r="BV8099" s="34"/>
      <c r="BZ8099" s="34"/>
      <c r="CD8099" s="34"/>
    </row>
    <row r="8100" spans="70:82" x14ac:dyDescent="0.15">
      <c r="BR8100" s="34"/>
      <c r="BV8100" s="34"/>
      <c r="BZ8100" s="34"/>
      <c r="CD8100" s="34"/>
    </row>
    <row r="8101" spans="70:82" x14ac:dyDescent="0.15">
      <c r="BR8101" s="34"/>
      <c r="BV8101" s="34"/>
      <c r="BZ8101" s="34"/>
      <c r="CD8101" s="34"/>
    </row>
    <row r="8102" spans="70:82" x14ac:dyDescent="0.15">
      <c r="BR8102" s="34"/>
      <c r="BV8102" s="34"/>
      <c r="BZ8102" s="34"/>
      <c r="CD8102" s="34"/>
    </row>
    <row r="8103" spans="70:82" x14ac:dyDescent="0.15">
      <c r="BR8103" s="34"/>
      <c r="BV8103" s="34"/>
      <c r="BZ8103" s="34"/>
      <c r="CD8103" s="34"/>
    </row>
    <row r="8104" spans="70:82" x14ac:dyDescent="0.15">
      <c r="BR8104" s="34"/>
      <c r="BV8104" s="34"/>
      <c r="BZ8104" s="34"/>
      <c r="CD8104" s="34"/>
    </row>
    <row r="8105" spans="70:82" x14ac:dyDescent="0.15">
      <c r="BR8105" s="34"/>
      <c r="BV8105" s="34"/>
      <c r="BZ8105" s="34"/>
      <c r="CD8105" s="34"/>
    </row>
    <row r="8106" spans="70:82" x14ac:dyDescent="0.15">
      <c r="BR8106" s="34"/>
      <c r="BV8106" s="34"/>
      <c r="BZ8106" s="34"/>
      <c r="CD8106" s="34"/>
    </row>
    <row r="8107" spans="70:82" x14ac:dyDescent="0.15">
      <c r="BR8107" s="34"/>
      <c r="BV8107" s="34"/>
      <c r="BZ8107" s="34"/>
      <c r="CD8107" s="34"/>
    </row>
    <row r="8108" spans="70:82" x14ac:dyDescent="0.15">
      <c r="BR8108" s="34"/>
      <c r="BV8108" s="34"/>
      <c r="BZ8108" s="34"/>
      <c r="CD8108" s="34"/>
    </row>
    <row r="8109" spans="70:82" x14ac:dyDescent="0.15">
      <c r="BR8109" s="34"/>
      <c r="BV8109" s="34"/>
      <c r="BZ8109" s="34"/>
      <c r="CD8109" s="34"/>
    </row>
    <row r="8110" spans="70:82" x14ac:dyDescent="0.15">
      <c r="BR8110" s="34"/>
      <c r="BV8110" s="34"/>
      <c r="BZ8110" s="34"/>
      <c r="CD8110" s="34"/>
    </row>
    <row r="8111" spans="70:82" x14ac:dyDescent="0.15">
      <c r="BR8111" s="34"/>
      <c r="BV8111" s="34"/>
      <c r="BZ8111" s="34"/>
      <c r="CD8111" s="34"/>
    </row>
    <row r="8112" spans="70:82" x14ac:dyDescent="0.15">
      <c r="BR8112" s="34"/>
      <c r="BV8112" s="34"/>
      <c r="BZ8112" s="34"/>
      <c r="CD8112" s="34"/>
    </row>
    <row r="8113" spans="70:82" x14ac:dyDescent="0.15">
      <c r="BR8113" s="34"/>
      <c r="BV8113" s="34"/>
      <c r="BZ8113" s="34"/>
      <c r="CD8113" s="34"/>
    </row>
    <row r="8114" spans="70:82" x14ac:dyDescent="0.15">
      <c r="BR8114" s="34"/>
      <c r="BV8114" s="34"/>
      <c r="BZ8114" s="34"/>
      <c r="CD8114" s="34"/>
    </row>
    <row r="8115" spans="70:82" x14ac:dyDescent="0.15">
      <c r="BR8115" s="34"/>
      <c r="BV8115" s="34"/>
      <c r="BZ8115" s="34"/>
      <c r="CD8115" s="34"/>
    </row>
    <row r="8116" spans="70:82" x14ac:dyDescent="0.15">
      <c r="BR8116" s="34"/>
      <c r="BV8116" s="34"/>
      <c r="BZ8116" s="34"/>
      <c r="CD8116" s="34"/>
    </row>
    <row r="8117" spans="70:82" x14ac:dyDescent="0.15">
      <c r="BR8117" s="34"/>
      <c r="BV8117" s="34"/>
      <c r="BZ8117" s="34"/>
      <c r="CD8117" s="34"/>
    </row>
    <row r="8118" spans="70:82" x14ac:dyDescent="0.15">
      <c r="BR8118" s="34"/>
      <c r="BV8118" s="34"/>
      <c r="BZ8118" s="34"/>
      <c r="CD8118" s="34"/>
    </row>
    <row r="8119" spans="70:82" x14ac:dyDescent="0.15">
      <c r="BR8119" s="34"/>
      <c r="BV8119" s="34"/>
      <c r="BZ8119" s="34"/>
      <c r="CD8119" s="34"/>
    </row>
    <row r="8120" spans="70:82" x14ac:dyDescent="0.15">
      <c r="BR8120" s="34"/>
      <c r="BV8120" s="34"/>
      <c r="BZ8120" s="34"/>
      <c r="CD8120" s="34"/>
    </row>
    <row r="8121" spans="70:82" x14ac:dyDescent="0.15">
      <c r="BR8121" s="34"/>
      <c r="BV8121" s="34"/>
      <c r="BZ8121" s="34"/>
      <c r="CD8121" s="34"/>
    </row>
    <row r="8122" spans="70:82" x14ac:dyDescent="0.15">
      <c r="BR8122" s="34"/>
      <c r="BV8122" s="34"/>
      <c r="BZ8122" s="34"/>
      <c r="CD8122" s="34"/>
    </row>
    <row r="8123" spans="70:82" x14ac:dyDescent="0.15">
      <c r="BR8123" s="34"/>
      <c r="BV8123" s="34"/>
      <c r="BZ8123" s="34"/>
      <c r="CD8123" s="34"/>
    </row>
    <row r="8124" spans="70:82" x14ac:dyDescent="0.15">
      <c r="BR8124" s="34"/>
      <c r="BV8124" s="34"/>
      <c r="BZ8124" s="34"/>
      <c r="CD8124" s="34"/>
    </row>
    <row r="8125" spans="70:82" x14ac:dyDescent="0.15">
      <c r="BR8125" s="34"/>
      <c r="BV8125" s="34"/>
      <c r="BZ8125" s="34"/>
      <c r="CD8125" s="34"/>
    </row>
    <row r="8126" spans="70:82" x14ac:dyDescent="0.15">
      <c r="BR8126" s="34"/>
      <c r="BV8126" s="34"/>
      <c r="BZ8126" s="34"/>
      <c r="CD8126" s="34"/>
    </row>
    <row r="8127" spans="70:82" x14ac:dyDescent="0.15">
      <c r="BR8127" s="34"/>
      <c r="BV8127" s="34"/>
      <c r="BZ8127" s="34"/>
      <c r="CD8127" s="34"/>
    </row>
    <row r="8128" spans="70:82" x14ac:dyDescent="0.15">
      <c r="BR8128" s="34"/>
      <c r="BV8128" s="34"/>
      <c r="BZ8128" s="34"/>
      <c r="CD8128" s="34"/>
    </row>
    <row r="8129" spans="70:82" x14ac:dyDescent="0.15">
      <c r="BR8129" s="34"/>
      <c r="BV8129" s="34"/>
      <c r="BZ8129" s="34"/>
      <c r="CD8129" s="34"/>
    </row>
    <row r="8130" spans="70:82" x14ac:dyDescent="0.15">
      <c r="BR8130" s="34"/>
      <c r="BV8130" s="34"/>
      <c r="BZ8130" s="34"/>
      <c r="CD8130" s="34"/>
    </row>
    <row r="8131" spans="70:82" x14ac:dyDescent="0.15">
      <c r="BR8131" s="34"/>
      <c r="BV8131" s="34"/>
      <c r="BZ8131" s="34"/>
      <c r="CD8131" s="34"/>
    </row>
    <row r="8132" spans="70:82" x14ac:dyDescent="0.15">
      <c r="BR8132" s="34"/>
      <c r="BV8132" s="34"/>
      <c r="BZ8132" s="34"/>
      <c r="CD8132" s="34"/>
    </row>
    <row r="8133" spans="70:82" x14ac:dyDescent="0.15">
      <c r="BR8133" s="34"/>
      <c r="BV8133" s="34"/>
      <c r="BZ8133" s="34"/>
      <c r="CD8133" s="34"/>
    </row>
    <row r="8134" spans="70:82" x14ac:dyDescent="0.15">
      <c r="BR8134" s="34"/>
      <c r="BV8134" s="34"/>
      <c r="BZ8134" s="34"/>
      <c r="CD8134" s="34"/>
    </row>
    <row r="8135" spans="70:82" x14ac:dyDescent="0.15">
      <c r="BR8135" s="34"/>
      <c r="BV8135" s="34"/>
      <c r="BZ8135" s="34"/>
      <c r="CD8135" s="34"/>
    </row>
    <row r="8136" spans="70:82" x14ac:dyDescent="0.15">
      <c r="BR8136" s="34"/>
      <c r="BV8136" s="34"/>
      <c r="BZ8136" s="34"/>
      <c r="CD8136" s="34"/>
    </row>
    <row r="8137" spans="70:82" x14ac:dyDescent="0.15">
      <c r="BR8137" s="34"/>
      <c r="BV8137" s="34"/>
      <c r="BZ8137" s="34"/>
      <c r="CD8137" s="34"/>
    </row>
    <row r="8138" spans="70:82" x14ac:dyDescent="0.15">
      <c r="BR8138" s="34"/>
      <c r="BV8138" s="34"/>
      <c r="BZ8138" s="34"/>
      <c r="CD8138" s="34"/>
    </row>
    <row r="8139" spans="70:82" x14ac:dyDescent="0.15">
      <c r="BR8139" s="34"/>
      <c r="BV8139" s="34"/>
      <c r="BZ8139" s="34"/>
      <c r="CD8139" s="34"/>
    </row>
    <row r="8140" spans="70:82" x14ac:dyDescent="0.15">
      <c r="BR8140" s="34"/>
      <c r="BV8140" s="34"/>
      <c r="BZ8140" s="34"/>
      <c r="CD8140" s="34"/>
    </row>
    <row r="8141" spans="70:82" x14ac:dyDescent="0.15">
      <c r="BR8141" s="34"/>
      <c r="BV8141" s="34"/>
      <c r="BZ8141" s="34"/>
      <c r="CD8141" s="34"/>
    </row>
    <row r="8142" spans="70:82" x14ac:dyDescent="0.15">
      <c r="BR8142" s="34"/>
      <c r="BV8142" s="34"/>
      <c r="BZ8142" s="34"/>
      <c r="CD8142" s="34"/>
    </row>
    <row r="8143" spans="70:82" x14ac:dyDescent="0.15">
      <c r="BR8143" s="34"/>
      <c r="BV8143" s="34"/>
      <c r="BZ8143" s="34"/>
      <c r="CD8143" s="34"/>
    </row>
    <row r="8144" spans="70:82" x14ac:dyDescent="0.15">
      <c r="BR8144" s="34"/>
      <c r="BV8144" s="34"/>
      <c r="BZ8144" s="34"/>
      <c r="CD8144" s="34"/>
    </row>
    <row r="8145" spans="70:82" x14ac:dyDescent="0.15">
      <c r="BR8145" s="34"/>
      <c r="BV8145" s="34"/>
      <c r="BZ8145" s="34"/>
      <c r="CD8145" s="34"/>
    </row>
    <row r="8146" spans="70:82" x14ac:dyDescent="0.15">
      <c r="BR8146" s="34"/>
      <c r="BV8146" s="34"/>
      <c r="BZ8146" s="34"/>
      <c r="CD8146" s="34"/>
    </row>
    <row r="8147" spans="70:82" x14ac:dyDescent="0.15">
      <c r="BR8147" s="34"/>
      <c r="BV8147" s="34"/>
      <c r="BZ8147" s="34"/>
      <c r="CD8147" s="34"/>
    </row>
    <row r="8148" spans="70:82" x14ac:dyDescent="0.15">
      <c r="BR8148" s="34"/>
      <c r="BV8148" s="34"/>
      <c r="BZ8148" s="34"/>
      <c r="CD8148" s="34"/>
    </row>
    <row r="8149" spans="70:82" x14ac:dyDescent="0.15">
      <c r="BR8149" s="34"/>
      <c r="BV8149" s="34"/>
      <c r="BZ8149" s="34"/>
      <c r="CD8149" s="34"/>
    </row>
    <row r="8150" spans="70:82" x14ac:dyDescent="0.15">
      <c r="BR8150" s="34"/>
      <c r="BV8150" s="34"/>
      <c r="BZ8150" s="34"/>
      <c r="CD8150" s="34"/>
    </row>
    <row r="8151" spans="70:82" x14ac:dyDescent="0.15">
      <c r="BR8151" s="34"/>
      <c r="BV8151" s="34"/>
      <c r="BZ8151" s="34"/>
      <c r="CD8151" s="34"/>
    </row>
    <row r="8152" spans="70:82" x14ac:dyDescent="0.15">
      <c r="BR8152" s="34"/>
      <c r="BV8152" s="34"/>
      <c r="BZ8152" s="34"/>
      <c r="CD8152" s="34"/>
    </row>
    <row r="8153" spans="70:82" x14ac:dyDescent="0.15">
      <c r="BR8153" s="34"/>
      <c r="BV8153" s="34"/>
      <c r="BZ8153" s="34"/>
      <c r="CD8153" s="34"/>
    </row>
    <row r="8154" spans="70:82" x14ac:dyDescent="0.15">
      <c r="BR8154" s="34"/>
      <c r="BV8154" s="34"/>
      <c r="BZ8154" s="34"/>
      <c r="CD8154" s="34"/>
    </row>
    <row r="8155" spans="70:82" x14ac:dyDescent="0.15">
      <c r="BR8155" s="34"/>
      <c r="BV8155" s="34"/>
      <c r="BZ8155" s="34"/>
      <c r="CD8155" s="34"/>
    </row>
    <row r="8156" spans="70:82" x14ac:dyDescent="0.15">
      <c r="BR8156" s="34"/>
      <c r="BV8156" s="34"/>
      <c r="BZ8156" s="34"/>
      <c r="CD8156" s="34"/>
    </row>
    <row r="8157" spans="70:82" x14ac:dyDescent="0.15">
      <c r="BR8157" s="34"/>
      <c r="BV8157" s="34"/>
      <c r="BZ8157" s="34"/>
      <c r="CD8157" s="34"/>
    </row>
    <row r="8158" spans="70:82" x14ac:dyDescent="0.15">
      <c r="BR8158" s="34"/>
      <c r="BV8158" s="34"/>
      <c r="BZ8158" s="34"/>
      <c r="CD8158" s="34"/>
    </row>
    <row r="8159" spans="70:82" x14ac:dyDescent="0.15">
      <c r="BR8159" s="34"/>
      <c r="BV8159" s="34"/>
      <c r="BZ8159" s="34"/>
      <c r="CD8159" s="34"/>
    </row>
    <row r="8160" spans="70:82" x14ac:dyDescent="0.15">
      <c r="BR8160" s="34"/>
      <c r="BV8160" s="34"/>
      <c r="BZ8160" s="34"/>
      <c r="CD8160" s="34"/>
    </row>
    <row r="8161" spans="70:82" x14ac:dyDescent="0.15">
      <c r="BR8161" s="34"/>
      <c r="BV8161" s="34"/>
      <c r="BZ8161" s="34"/>
      <c r="CD8161" s="34"/>
    </row>
    <row r="8162" spans="70:82" x14ac:dyDescent="0.15">
      <c r="BR8162" s="34"/>
      <c r="BV8162" s="34"/>
      <c r="BZ8162" s="34"/>
      <c r="CD8162" s="34"/>
    </row>
    <row r="8163" spans="70:82" x14ac:dyDescent="0.15">
      <c r="BR8163" s="34"/>
      <c r="BV8163" s="34"/>
      <c r="BZ8163" s="34"/>
      <c r="CD8163" s="34"/>
    </row>
    <row r="8164" spans="70:82" x14ac:dyDescent="0.15">
      <c r="BR8164" s="34"/>
      <c r="BV8164" s="34"/>
      <c r="BZ8164" s="34"/>
      <c r="CD8164" s="34"/>
    </row>
    <row r="8165" spans="70:82" x14ac:dyDescent="0.15">
      <c r="BR8165" s="34"/>
      <c r="BV8165" s="34"/>
      <c r="BZ8165" s="34"/>
      <c r="CD8165" s="34"/>
    </row>
    <row r="8166" spans="70:82" x14ac:dyDescent="0.15">
      <c r="BR8166" s="34"/>
      <c r="BV8166" s="34"/>
      <c r="BZ8166" s="34"/>
      <c r="CD8166" s="34"/>
    </row>
    <row r="8167" spans="70:82" x14ac:dyDescent="0.15">
      <c r="BR8167" s="34"/>
      <c r="BV8167" s="34"/>
      <c r="BZ8167" s="34"/>
      <c r="CD8167" s="34"/>
    </row>
    <row r="8168" spans="70:82" x14ac:dyDescent="0.15">
      <c r="BR8168" s="34"/>
      <c r="BV8168" s="34"/>
      <c r="BZ8168" s="34"/>
      <c r="CD8168" s="34"/>
    </row>
    <row r="8169" spans="70:82" x14ac:dyDescent="0.15">
      <c r="BR8169" s="34"/>
      <c r="BV8169" s="34"/>
      <c r="BZ8169" s="34"/>
      <c r="CD8169" s="34"/>
    </row>
    <row r="8170" spans="70:82" x14ac:dyDescent="0.15">
      <c r="BR8170" s="34"/>
      <c r="BV8170" s="34"/>
      <c r="BZ8170" s="34"/>
      <c r="CD8170" s="34"/>
    </row>
    <row r="8171" spans="70:82" x14ac:dyDescent="0.15">
      <c r="BR8171" s="34"/>
      <c r="BV8171" s="34"/>
      <c r="BZ8171" s="34"/>
      <c r="CD8171" s="34"/>
    </row>
    <row r="8172" spans="70:82" x14ac:dyDescent="0.15">
      <c r="BR8172" s="34"/>
      <c r="BV8172" s="34"/>
      <c r="BZ8172" s="34"/>
      <c r="CD8172" s="34"/>
    </row>
    <row r="8173" spans="70:82" x14ac:dyDescent="0.15">
      <c r="BR8173" s="34"/>
      <c r="BV8173" s="34"/>
      <c r="BZ8173" s="34"/>
      <c r="CD8173" s="34"/>
    </row>
    <row r="8174" spans="70:82" x14ac:dyDescent="0.15">
      <c r="BR8174" s="34"/>
      <c r="BV8174" s="34"/>
      <c r="BZ8174" s="34"/>
      <c r="CD8174" s="34"/>
    </row>
    <row r="8175" spans="70:82" x14ac:dyDescent="0.15">
      <c r="BR8175" s="34"/>
      <c r="BV8175" s="34"/>
      <c r="BZ8175" s="34"/>
      <c r="CD8175" s="34"/>
    </row>
    <row r="8176" spans="70:82" x14ac:dyDescent="0.15">
      <c r="BR8176" s="34"/>
      <c r="BV8176" s="34"/>
      <c r="BZ8176" s="34"/>
      <c r="CD8176" s="34"/>
    </row>
    <row r="8177" spans="70:82" x14ac:dyDescent="0.15">
      <c r="BR8177" s="34"/>
      <c r="BV8177" s="34"/>
      <c r="BZ8177" s="34"/>
      <c r="CD8177" s="34"/>
    </row>
    <row r="8178" spans="70:82" x14ac:dyDescent="0.15">
      <c r="BR8178" s="34"/>
      <c r="BV8178" s="34"/>
      <c r="BZ8178" s="34"/>
      <c r="CD8178" s="34"/>
    </row>
    <row r="8179" spans="70:82" x14ac:dyDescent="0.15">
      <c r="BR8179" s="34"/>
      <c r="BV8179" s="34"/>
      <c r="BZ8179" s="34"/>
      <c r="CD8179" s="34"/>
    </row>
    <row r="8180" spans="70:82" x14ac:dyDescent="0.15">
      <c r="BR8180" s="34"/>
      <c r="BV8180" s="34"/>
      <c r="BZ8180" s="34"/>
      <c r="CD8180" s="34"/>
    </row>
    <row r="8181" spans="70:82" x14ac:dyDescent="0.15">
      <c r="BR8181" s="34"/>
      <c r="BV8181" s="34"/>
      <c r="BZ8181" s="34"/>
      <c r="CD8181" s="34"/>
    </row>
    <row r="8182" spans="70:82" x14ac:dyDescent="0.15">
      <c r="BR8182" s="34"/>
      <c r="BV8182" s="34"/>
      <c r="BZ8182" s="34"/>
      <c r="CD8182" s="34"/>
    </row>
    <row r="8183" spans="70:82" x14ac:dyDescent="0.15">
      <c r="BR8183" s="34"/>
      <c r="BV8183" s="34"/>
      <c r="BZ8183" s="34"/>
      <c r="CD8183" s="34"/>
    </row>
    <row r="8184" spans="70:82" x14ac:dyDescent="0.15">
      <c r="BR8184" s="34"/>
      <c r="BV8184" s="34"/>
      <c r="BZ8184" s="34"/>
      <c r="CD8184" s="34"/>
    </row>
    <row r="8185" spans="70:82" x14ac:dyDescent="0.15">
      <c r="BR8185" s="34"/>
      <c r="BV8185" s="34"/>
      <c r="BZ8185" s="34"/>
      <c r="CD8185" s="34"/>
    </row>
    <row r="8186" spans="70:82" x14ac:dyDescent="0.15">
      <c r="BR8186" s="34"/>
      <c r="BV8186" s="34"/>
      <c r="BZ8186" s="34"/>
      <c r="CD8186" s="34"/>
    </row>
    <row r="8187" spans="70:82" x14ac:dyDescent="0.15">
      <c r="BR8187" s="34"/>
      <c r="BV8187" s="34"/>
      <c r="BZ8187" s="34"/>
      <c r="CD8187" s="34"/>
    </row>
    <row r="8188" spans="70:82" x14ac:dyDescent="0.15">
      <c r="BR8188" s="34"/>
      <c r="BV8188" s="34"/>
      <c r="BZ8188" s="34"/>
      <c r="CD8188" s="34"/>
    </row>
    <row r="8189" spans="70:82" x14ac:dyDescent="0.15">
      <c r="BR8189" s="34"/>
      <c r="BV8189" s="34"/>
      <c r="BZ8189" s="34"/>
      <c r="CD8189" s="34"/>
    </row>
    <row r="8190" spans="70:82" x14ac:dyDescent="0.15">
      <c r="BR8190" s="34"/>
      <c r="BV8190" s="34"/>
      <c r="BZ8190" s="34"/>
      <c r="CD8190" s="34"/>
    </row>
    <row r="8191" spans="70:82" x14ac:dyDescent="0.15">
      <c r="BR8191" s="34"/>
      <c r="BV8191" s="34"/>
      <c r="BZ8191" s="34"/>
      <c r="CD8191" s="34"/>
    </row>
    <row r="8192" spans="70:82" x14ac:dyDescent="0.15">
      <c r="BR8192" s="34"/>
      <c r="BV8192" s="34"/>
      <c r="BZ8192" s="34"/>
      <c r="CD8192" s="34"/>
    </row>
    <row r="8193" spans="70:82" x14ac:dyDescent="0.15">
      <c r="BR8193" s="34"/>
      <c r="BV8193" s="34"/>
      <c r="BZ8193" s="34"/>
      <c r="CD8193" s="34"/>
    </row>
    <row r="8194" spans="70:82" x14ac:dyDescent="0.15">
      <c r="BR8194" s="34"/>
      <c r="BV8194" s="34"/>
      <c r="BZ8194" s="34"/>
      <c r="CD8194" s="34"/>
    </row>
    <row r="8195" spans="70:82" x14ac:dyDescent="0.15">
      <c r="BR8195" s="34"/>
      <c r="BV8195" s="34"/>
      <c r="BZ8195" s="34"/>
      <c r="CD8195" s="34"/>
    </row>
    <row r="8196" spans="70:82" x14ac:dyDescent="0.15">
      <c r="BR8196" s="34"/>
      <c r="BV8196" s="34"/>
      <c r="BZ8196" s="34"/>
      <c r="CD8196" s="34"/>
    </row>
    <row r="8197" spans="70:82" x14ac:dyDescent="0.15">
      <c r="BR8197" s="34"/>
      <c r="BV8197" s="34"/>
      <c r="BZ8197" s="34"/>
      <c r="CD8197" s="34"/>
    </row>
    <row r="8198" spans="70:82" x14ac:dyDescent="0.15">
      <c r="BR8198" s="34"/>
      <c r="BV8198" s="34"/>
      <c r="BZ8198" s="34"/>
      <c r="CD8198" s="34"/>
    </row>
    <row r="8199" spans="70:82" x14ac:dyDescent="0.15">
      <c r="BR8199" s="34"/>
      <c r="BV8199" s="34"/>
      <c r="BZ8199" s="34"/>
      <c r="CD8199" s="34"/>
    </row>
    <row r="8200" spans="70:82" x14ac:dyDescent="0.15">
      <c r="BR8200" s="34"/>
      <c r="BV8200" s="34"/>
      <c r="BZ8200" s="34"/>
      <c r="CD8200" s="34"/>
    </row>
    <row r="8201" spans="70:82" x14ac:dyDescent="0.15">
      <c r="BR8201" s="34"/>
      <c r="BV8201" s="34"/>
      <c r="BZ8201" s="34"/>
      <c r="CD8201" s="34"/>
    </row>
    <row r="8202" spans="70:82" x14ac:dyDescent="0.15">
      <c r="BR8202" s="34"/>
      <c r="BV8202" s="34"/>
      <c r="BZ8202" s="34"/>
      <c r="CD8202" s="34"/>
    </row>
    <row r="8203" spans="70:82" x14ac:dyDescent="0.15">
      <c r="BR8203" s="34"/>
      <c r="BV8203" s="34"/>
      <c r="BZ8203" s="34"/>
      <c r="CD8203" s="34"/>
    </row>
    <row r="8204" spans="70:82" x14ac:dyDescent="0.15">
      <c r="BR8204" s="34"/>
      <c r="BV8204" s="34"/>
      <c r="BZ8204" s="34"/>
      <c r="CD8204" s="34"/>
    </row>
    <row r="8205" spans="70:82" x14ac:dyDescent="0.15">
      <c r="BR8205" s="34"/>
      <c r="BV8205" s="34"/>
      <c r="BZ8205" s="34"/>
      <c r="CD8205" s="34"/>
    </row>
    <row r="8206" spans="70:82" x14ac:dyDescent="0.15">
      <c r="BR8206" s="34"/>
      <c r="BV8206" s="34"/>
      <c r="BZ8206" s="34"/>
      <c r="CD8206" s="34"/>
    </row>
    <row r="8207" spans="70:82" x14ac:dyDescent="0.15">
      <c r="BR8207" s="34"/>
      <c r="BV8207" s="34"/>
      <c r="BZ8207" s="34"/>
      <c r="CD8207" s="34"/>
    </row>
    <row r="8208" spans="70:82" x14ac:dyDescent="0.15">
      <c r="BR8208" s="34"/>
      <c r="BV8208" s="34"/>
      <c r="BZ8208" s="34"/>
      <c r="CD8208" s="34"/>
    </row>
    <row r="8209" spans="70:82" x14ac:dyDescent="0.15">
      <c r="BR8209" s="34"/>
      <c r="BV8209" s="34"/>
      <c r="BZ8209" s="34"/>
      <c r="CD8209" s="34"/>
    </row>
    <row r="8210" spans="70:82" x14ac:dyDescent="0.15">
      <c r="BR8210" s="34"/>
      <c r="BV8210" s="34"/>
      <c r="BZ8210" s="34"/>
      <c r="CD8210" s="34"/>
    </row>
    <row r="8211" spans="70:82" x14ac:dyDescent="0.15">
      <c r="BR8211" s="34"/>
      <c r="BV8211" s="34"/>
      <c r="BZ8211" s="34"/>
      <c r="CD8211" s="34"/>
    </row>
    <row r="8212" spans="70:82" x14ac:dyDescent="0.15">
      <c r="BR8212" s="34"/>
      <c r="BV8212" s="34"/>
      <c r="BZ8212" s="34"/>
      <c r="CD8212" s="34"/>
    </row>
    <row r="8213" spans="70:82" x14ac:dyDescent="0.15">
      <c r="BR8213" s="34"/>
      <c r="BV8213" s="34"/>
      <c r="BZ8213" s="34"/>
      <c r="CD8213" s="34"/>
    </row>
    <row r="8214" spans="70:82" x14ac:dyDescent="0.15">
      <c r="BR8214" s="34"/>
      <c r="BV8214" s="34"/>
      <c r="BZ8214" s="34"/>
      <c r="CD8214" s="34"/>
    </row>
    <row r="8215" spans="70:82" x14ac:dyDescent="0.15">
      <c r="BR8215" s="34"/>
      <c r="BV8215" s="34"/>
      <c r="BZ8215" s="34"/>
      <c r="CD8215" s="34"/>
    </row>
    <row r="8216" spans="70:82" x14ac:dyDescent="0.15">
      <c r="BR8216" s="34"/>
      <c r="BV8216" s="34"/>
      <c r="BZ8216" s="34"/>
      <c r="CD8216" s="34"/>
    </row>
    <row r="8217" spans="70:82" x14ac:dyDescent="0.15">
      <c r="BR8217" s="34"/>
      <c r="BV8217" s="34"/>
      <c r="BZ8217" s="34"/>
      <c r="CD8217" s="34"/>
    </row>
    <row r="8218" spans="70:82" x14ac:dyDescent="0.15">
      <c r="BR8218" s="34"/>
      <c r="BV8218" s="34"/>
      <c r="BZ8218" s="34"/>
      <c r="CD8218" s="34"/>
    </row>
    <row r="8219" spans="70:82" x14ac:dyDescent="0.15">
      <c r="BR8219" s="34"/>
      <c r="BV8219" s="34"/>
      <c r="BZ8219" s="34"/>
      <c r="CD8219" s="34"/>
    </row>
    <row r="8220" spans="70:82" x14ac:dyDescent="0.15">
      <c r="BR8220" s="34"/>
      <c r="BV8220" s="34"/>
      <c r="BZ8220" s="34"/>
      <c r="CD8220" s="34"/>
    </row>
    <row r="8221" spans="70:82" x14ac:dyDescent="0.15">
      <c r="BR8221" s="34"/>
      <c r="BV8221" s="34"/>
      <c r="BZ8221" s="34"/>
      <c r="CD8221" s="34"/>
    </row>
    <row r="8222" spans="70:82" x14ac:dyDescent="0.15">
      <c r="BR8222" s="34"/>
      <c r="BV8222" s="34"/>
      <c r="BZ8222" s="34"/>
      <c r="CD8222" s="34"/>
    </row>
    <row r="8223" spans="70:82" x14ac:dyDescent="0.15">
      <c r="BR8223" s="34"/>
      <c r="BV8223" s="34"/>
      <c r="BZ8223" s="34"/>
      <c r="CD8223" s="34"/>
    </row>
    <row r="8224" spans="70:82" x14ac:dyDescent="0.15">
      <c r="BR8224" s="34"/>
      <c r="BV8224" s="34"/>
      <c r="BZ8224" s="34"/>
      <c r="CD8224" s="34"/>
    </row>
    <row r="8225" spans="70:82" x14ac:dyDescent="0.15">
      <c r="BR8225" s="34"/>
      <c r="BV8225" s="34"/>
      <c r="BZ8225" s="34"/>
      <c r="CD8225" s="34"/>
    </row>
    <row r="8226" spans="70:82" x14ac:dyDescent="0.15">
      <c r="BR8226" s="34"/>
      <c r="BV8226" s="34"/>
      <c r="BZ8226" s="34"/>
      <c r="CD8226" s="34"/>
    </row>
    <row r="8227" spans="70:82" x14ac:dyDescent="0.15">
      <c r="BR8227" s="34"/>
      <c r="BV8227" s="34"/>
      <c r="BZ8227" s="34"/>
      <c r="CD8227" s="34"/>
    </row>
    <row r="8228" spans="70:82" x14ac:dyDescent="0.15">
      <c r="BR8228" s="34"/>
      <c r="BV8228" s="34"/>
      <c r="BZ8228" s="34"/>
      <c r="CD8228" s="34"/>
    </row>
    <row r="8229" spans="70:82" x14ac:dyDescent="0.15">
      <c r="BR8229" s="34"/>
      <c r="BV8229" s="34"/>
      <c r="BZ8229" s="34"/>
      <c r="CD8229" s="34"/>
    </row>
    <row r="8230" spans="70:82" x14ac:dyDescent="0.15">
      <c r="BR8230" s="34"/>
      <c r="BV8230" s="34"/>
      <c r="BZ8230" s="34"/>
      <c r="CD8230" s="34"/>
    </row>
    <row r="8231" spans="70:82" x14ac:dyDescent="0.15">
      <c r="BR8231" s="34"/>
      <c r="BV8231" s="34"/>
      <c r="BZ8231" s="34"/>
      <c r="CD8231" s="34"/>
    </row>
    <row r="8232" spans="70:82" x14ac:dyDescent="0.15">
      <c r="BR8232" s="34"/>
      <c r="BV8232" s="34"/>
      <c r="BZ8232" s="34"/>
      <c r="CD8232" s="34"/>
    </row>
    <row r="8233" spans="70:82" x14ac:dyDescent="0.15">
      <c r="BR8233" s="34"/>
      <c r="BV8233" s="34"/>
      <c r="BZ8233" s="34"/>
      <c r="CD8233" s="34"/>
    </row>
    <row r="8234" spans="70:82" x14ac:dyDescent="0.15">
      <c r="BR8234" s="34"/>
      <c r="BV8234" s="34"/>
      <c r="BZ8234" s="34"/>
      <c r="CD8234" s="34"/>
    </row>
    <row r="8235" spans="70:82" x14ac:dyDescent="0.15">
      <c r="BR8235" s="34"/>
      <c r="BV8235" s="34"/>
      <c r="BZ8235" s="34"/>
      <c r="CD8235" s="34"/>
    </row>
    <row r="8236" spans="70:82" x14ac:dyDescent="0.15">
      <c r="BR8236" s="34"/>
      <c r="BV8236" s="34"/>
      <c r="BZ8236" s="34"/>
      <c r="CD8236" s="34"/>
    </row>
    <row r="8237" spans="70:82" x14ac:dyDescent="0.15">
      <c r="BR8237" s="34"/>
      <c r="BV8237" s="34"/>
      <c r="BZ8237" s="34"/>
      <c r="CD8237" s="34"/>
    </row>
    <row r="8238" spans="70:82" x14ac:dyDescent="0.15">
      <c r="BR8238" s="34"/>
      <c r="BV8238" s="34"/>
      <c r="BZ8238" s="34"/>
      <c r="CD8238" s="34"/>
    </row>
    <row r="8239" spans="70:82" x14ac:dyDescent="0.15">
      <c r="BR8239" s="34"/>
      <c r="BV8239" s="34"/>
      <c r="BZ8239" s="34"/>
      <c r="CD8239" s="34"/>
    </row>
    <row r="8240" spans="70:82" x14ac:dyDescent="0.15">
      <c r="BR8240" s="34"/>
      <c r="BV8240" s="34"/>
      <c r="BZ8240" s="34"/>
      <c r="CD8240" s="34"/>
    </row>
    <row r="8241" spans="70:82" x14ac:dyDescent="0.15">
      <c r="BR8241" s="34"/>
      <c r="BV8241" s="34"/>
      <c r="BZ8241" s="34"/>
      <c r="CD8241" s="34"/>
    </row>
    <row r="8242" spans="70:82" x14ac:dyDescent="0.15">
      <c r="BR8242" s="34"/>
      <c r="BV8242" s="34"/>
      <c r="BZ8242" s="34"/>
      <c r="CD8242" s="34"/>
    </row>
    <row r="8243" spans="70:82" x14ac:dyDescent="0.15">
      <c r="BR8243" s="34"/>
      <c r="BV8243" s="34"/>
      <c r="BZ8243" s="34"/>
      <c r="CD8243" s="34"/>
    </row>
    <row r="8244" spans="70:82" x14ac:dyDescent="0.15">
      <c r="BR8244" s="34"/>
      <c r="BV8244" s="34"/>
      <c r="BZ8244" s="34"/>
      <c r="CD8244" s="34"/>
    </row>
    <row r="8245" spans="70:82" x14ac:dyDescent="0.15">
      <c r="BR8245" s="34"/>
      <c r="BV8245" s="34"/>
      <c r="BZ8245" s="34"/>
      <c r="CD8245" s="34"/>
    </row>
    <row r="8246" spans="70:82" x14ac:dyDescent="0.15">
      <c r="BR8246" s="34"/>
      <c r="BV8246" s="34"/>
      <c r="BZ8246" s="34"/>
      <c r="CD8246" s="34"/>
    </row>
    <row r="8247" spans="70:82" x14ac:dyDescent="0.15">
      <c r="BR8247" s="34"/>
      <c r="BV8247" s="34"/>
      <c r="BZ8247" s="34"/>
      <c r="CD8247" s="34"/>
    </row>
    <row r="8248" spans="70:82" x14ac:dyDescent="0.15">
      <c r="BR8248" s="34"/>
      <c r="BV8248" s="34"/>
      <c r="BZ8248" s="34"/>
      <c r="CD8248" s="34"/>
    </row>
    <row r="8249" spans="70:82" x14ac:dyDescent="0.15">
      <c r="BR8249" s="34"/>
      <c r="BV8249" s="34"/>
      <c r="BZ8249" s="34"/>
      <c r="CD8249" s="34"/>
    </row>
    <row r="8250" spans="70:82" x14ac:dyDescent="0.15">
      <c r="BR8250" s="34"/>
      <c r="BV8250" s="34"/>
      <c r="BZ8250" s="34"/>
      <c r="CD8250" s="34"/>
    </row>
    <row r="8251" spans="70:82" x14ac:dyDescent="0.15">
      <c r="BR8251" s="34"/>
      <c r="BV8251" s="34"/>
      <c r="BZ8251" s="34"/>
      <c r="CD8251" s="34"/>
    </row>
    <row r="8252" spans="70:82" x14ac:dyDescent="0.15">
      <c r="BR8252" s="34"/>
      <c r="BV8252" s="34"/>
      <c r="BZ8252" s="34"/>
      <c r="CD8252" s="34"/>
    </row>
    <row r="8253" spans="70:82" x14ac:dyDescent="0.15">
      <c r="BR8253" s="34"/>
      <c r="BV8253" s="34"/>
      <c r="BZ8253" s="34"/>
      <c r="CD8253" s="34"/>
    </row>
    <row r="8254" spans="70:82" x14ac:dyDescent="0.15">
      <c r="BR8254" s="34"/>
      <c r="BV8254" s="34"/>
      <c r="BZ8254" s="34"/>
      <c r="CD8254" s="34"/>
    </row>
    <row r="8255" spans="70:82" x14ac:dyDescent="0.15">
      <c r="BR8255" s="34"/>
      <c r="BV8255" s="34"/>
      <c r="BZ8255" s="34"/>
      <c r="CD8255" s="34"/>
    </row>
    <row r="8256" spans="70:82" x14ac:dyDescent="0.15">
      <c r="BR8256" s="34"/>
      <c r="BV8256" s="34"/>
      <c r="BZ8256" s="34"/>
      <c r="CD8256" s="34"/>
    </row>
    <row r="8257" spans="70:82" x14ac:dyDescent="0.15">
      <c r="BR8257" s="34"/>
      <c r="BV8257" s="34"/>
      <c r="BZ8257" s="34"/>
      <c r="CD8257" s="34"/>
    </row>
    <row r="8258" spans="70:82" x14ac:dyDescent="0.15">
      <c r="BR8258" s="34"/>
      <c r="BV8258" s="34"/>
      <c r="BZ8258" s="34"/>
      <c r="CD8258" s="34"/>
    </row>
    <row r="8259" spans="70:82" x14ac:dyDescent="0.15">
      <c r="BR8259" s="34"/>
      <c r="BV8259" s="34"/>
      <c r="BZ8259" s="34"/>
      <c r="CD8259" s="34"/>
    </row>
    <row r="8260" spans="70:82" x14ac:dyDescent="0.15">
      <c r="BR8260" s="34"/>
      <c r="BV8260" s="34"/>
      <c r="BZ8260" s="34"/>
      <c r="CD8260" s="34"/>
    </row>
    <row r="8261" spans="70:82" x14ac:dyDescent="0.15">
      <c r="BR8261" s="34"/>
      <c r="BV8261" s="34"/>
      <c r="BZ8261" s="34"/>
      <c r="CD8261" s="34"/>
    </row>
    <row r="8262" spans="70:82" x14ac:dyDescent="0.15">
      <c r="BR8262" s="34"/>
      <c r="BV8262" s="34"/>
      <c r="BZ8262" s="34"/>
      <c r="CD8262" s="34"/>
    </row>
    <row r="8263" spans="70:82" x14ac:dyDescent="0.15">
      <c r="BR8263" s="34"/>
      <c r="BV8263" s="34"/>
      <c r="BZ8263" s="34"/>
      <c r="CD8263" s="34"/>
    </row>
    <row r="8264" spans="70:82" x14ac:dyDescent="0.15">
      <c r="BR8264" s="34"/>
      <c r="BV8264" s="34"/>
      <c r="BZ8264" s="34"/>
      <c r="CD8264" s="34"/>
    </row>
    <row r="8265" spans="70:82" x14ac:dyDescent="0.15">
      <c r="BR8265" s="34"/>
      <c r="BV8265" s="34"/>
      <c r="BZ8265" s="34"/>
      <c r="CD8265" s="34"/>
    </row>
    <row r="8266" spans="70:82" x14ac:dyDescent="0.15">
      <c r="BR8266" s="34"/>
      <c r="BV8266" s="34"/>
      <c r="BZ8266" s="34"/>
      <c r="CD8266" s="34"/>
    </row>
    <row r="8267" spans="70:82" x14ac:dyDescent="0.15">
      <c r="BR8267" s="34"/>
      <c r="BV8267" s="34"/>
      <c r="BZ8267" s="34"/>
      <c r="CD8267" s="34"/>
    </row>
    <row r="8268" spans="70:82" x14ac:dyDescent="0.15">
      <c r="BR8268" s="34"/>
      <c r="BV8268" s="34"/>
      <c r="BZ8268" s="34"/>
      <c r="CD8268" s="34"/>
    </row>
    <row r="8269" spans="70:82" x14ac:dyDescent="0.15">
      <c r="BR8269" s="34"/>
      <c r="BV8269" s="34"/>
      <c r="BZ8269" s="34"/>
      <c r="CD8269" s="34"/>
    </row>
    <row r="8270" spans="70:82" x14ac:dyDescent="0.15">
      <c r="BR8270" s="34"/>
      <c r="BV8270" s="34"/>
      <c r="BZ8270" s="34"/>
      <c r="CD8270" s="34"/>
    </row>
    <row r="8271" spans="70:82" x14ac:dyDescent="0.15">
      <c r="BR8271" s="34"/>
      <c r="BV8271" s="34"/>
      <c r="BZ8271" s="34"/>
      <c r="CD8271" s="34"/>
    </row>
    <row r="8272" spans="70:82" x14ac:dyDescent="0.15">
      <c r="BR8272" s="34"/>
      <c r="BV8272" s="34"/>
      <c r="BZ8272" s="34"/>
      <c r="CD8272" s="34"/>
    </row>
    <row r="8273" spans="70:82" x14ac:dyDescent="0.15">
      <c r="BR8273" s="34"/>
      <c r="BV8273" s="34"/>
      <c r="BZ8273" s="34"/>
      <c r="CD8273" s="34"/>
    </row>
    <row r="8274" spans="70:82" x14ac:dyDescent="0.15">
      <c r="BR8274" s="34"/>
      <c r="BV8274" s="34"/>
      <c r="BZ8274" s="34"/>
      <c r="CD8274" s="34"/>
    </row>
    <row r="8275" spans="70:82" x14ac:dyDescent="0.15">
      <c r="BR8275" s="34"/>
      <c r="BV8275" s="34"/>
      <c r="BZ8275" s="34"/>
      <c r="CD8275" s="34"/>
    </row>
    <row r="8276" spans="70:82" x14ac:dyDescent="0.15">
      <c r="BR8276" s="34"/>
      <c r="BV8276" s="34"/>
      <c r="BZ8276" s="34"/>
      <c r="CD8276" s="34"/>
    </row>
    <row r="8277" spans="70:82" x14ac:dyDescent="0.15">
      <c r="BR8277" s="34"/>
      <c r="BV8277" s="34"/>
      <c r="BZ8277" s="34"/>
      <c r="CD8277" s="34"/>
    </row>
    <row r="8278" spans="70:82" x14ac:dyDescent="0.15">
      <c r="BR8278" s="34"/>
      <c r="BV8278" s="34"/>
      <c r="BZ8278" s="34"/>
      <c r="CD8278" s="34"/>
    </row>
    <row r="8279" spans="70:82" x14ac:dyDescent="0.15">
      <c r="BR8279" s="34"/>
      <c r="BV8279" s="34"/>
      <c r="BZ8279" s="34"/>
      <c r="CD8279" s="34"/>
    </row>
    <row r="8280" spans="70:82" x14ac:dyDescent="0.15">
      <c r="BR8280" s="34"/>
      <c r="BV8280" s="34"/>
      <c r="BZ8280" s="34"/>
      <c r="CD8280" s="34"/>
    </row>
    <row r="8281" spans="70:82" x14ac:dyDescent="0.15">
      <c r="BR8281" s="34"/>
      <c r="BV8281" s="34"/>
      <c r="BZ8281" s="34"/>
      <c r="CD8281" s="34"/>
    </row>
    <row r="8282" spans="70:82" x14ac:dyDescent="0.15">
      <c r="BR8282" s="34"/>
      <c r="BV8282" s="34"/>
      <c r="BZ8282" s="34"/>
      <c r="CD8282" s="34"/>
    </row>
    <row r="8283" spans="70:82" x14ac:dyDescent="0.15">
      <c r="BR8283" s="34"/>
      <c r="BV8283" s="34"/>
      <c r="BZ8283" s="34"/>
      <c r="CD8283" s="34"/>
    </row>
    <row r="8284" spans="70:82" x14ac:dyDescent="0.15">
      <c r="BR8284" s="34"/>
      <c r="BV8284" s="34"/>
      <c r="BZ8284" s="34"/>
      <c r="CD8284" s="34"/>
    </row>
    <row r="8285" spans="70:82" x14ac:dyDescent="0.15">
      <c r="BR8285" s="34"/>
      <c r="BV8285" s="34"/>
      <c r="BZ8285" s="34"/>
      <c r="CD8285" s="34"/>
    </row>
    <row r="8286" spans="70:82" x14ac:dyDescent="0.15">
      <c r="BR8286" s="34"/>
      <c r="BV8286" s="34"/>
      <c r="BZ8286" s="34"/>
      <c r="CD8286" s="34"/>
    </row>
    <row r="8287" spans="70:82" x14ac:dyDescent="0.15">
      <c r="BR8287" s="34"/>
      <c r="BV8287" s="34"/>
      <c r="BZ8287" s="34"/>
      <c r="CD8287" s="34"/>
    </row>
    <row r="8288" spans="70:82" x14ac:dyDescent="0.15">
      <c r="BR8288" s="34"/>
      <c r="BV8288" s="34"/>
      <c r="BZ8288" s="34"/>
      <c r="CD8288" s="34"/>
    </row>
    <row r="8289" spans="70:82" x14ac:dyDescent="0.15">
      <c r="BR8289" s="34"/>
      <c r="BV8289" s="34"/>
      <c r="BZ8289" s="34"/>
      <c r="CD8289" s="34"/>
    </row>
    <row r="8290" spans="70:82" x14ac:dyDescent="0.15">
      <c r="BR8290" s="34"/>
      <c r="BV8290" s="34"/>
      <c r="BZ8290" s="34"/>
      <c r="CD8290" s="34"/>
    </row>
    <row r="8291" spans="70:82" x14ac:dyDescent="0.15">
      <c r="BR8291" s="34"/>
      <c r="BV8291" s="34"/>
      <c r="BZ8291" s="34"/>
      <c r="CD8291" s="34"/>
    </row>
    <row r="8292" spans="70:82" x14ac:dyDescent="0.15">
      <c r="BR8292" s="34"/>
      <c r="BV8292" s="34"/>
      <c r="BZ8292" s="34"/>
      <c r="CD8292" s="34"/>
    </row>
    <row r="8293" spans="70:82" x14ac:dyDescent="0.15">
      <c r="BR8293" s="34"/>
      <c r="BV8293" s="34"/>
      <c r="BZ8293" s="34"/>
      <c r="CD8293" s="34"/>
    </row>
    <row r="8294" spans="70:82" x14ac:dyDescent="0.15">
      <c r="BR8294" s="34"/>
      <c r="BV8294" s="34"/>
      <c r="BZ8294" s="34"/>
      <c r="CD8294" s="34"/>
    </row>
    <row r="8295" spans="70:82" x14ac:dyDescent="0.15">
      <c r="BR8295" s="34"/>
      <c r="BV8295" s="34"/>
      <c r="BZ8295" s="34"/>
      <c r="CD8295" s="34"/>
    </row>
    <row r="8296" spans="70:82" x14ac:dyDescent="0.15">
      <c r="BR8296" s="34"/>
      <c r="BV8296" s="34"/>
      <c r="BZ8296" s="34"/>
      <c r="CD8296" s="34"/>
    </row>
    <row r="8297" spans="70:82" x14ac:dyDescent="0.15">
      <c r="BR8297" s="34"/>
      <c r="BV8297" s="34"/>
      <c r="BZ8297" s="34"/>
      <c r="CD8297" s="34"/>
    </row>
    <row r="8298" spans="70:82" x14ac:dyDescent="0.15">
      <c r="BR8298" s="34"/>
      <c r="BV8298" s="34"/>
      <c r="BZ8298" s="34"/>
      <c r="CD8298" s="34"/>
    </row>
    <row r="8299" spans="70:82" x14ac:dyDescent="0.15">
      <c r="BR8299" s="34"/>
      <c r="BV8299" s="34"/>
      <c r="BZ8299" s="34"/>
      <c r="CD8299" s="34"/>
    </row>
    <row r="8300" spans="70:82" x14ac:dyDescent="0.15">
      <c r="BR8300" s="34"/>
      <c r="BV8300" s="34"/>
      <c r="BZ8300" s="34"/>
      <c r="CD8300" s="34"/>
    </row>
    <row r="8301" spans="70:82" x14ac:dyDescent="0.15">
      <c r="BR8301" s="34"/>
      <c r="BV8301" s="34"/>
      <c r="BZ8301" s="34"/>
      <c r="CD8301" s="34"/>
    </row>
    <row r="8302" spans="70:82" x14ac:dyDescent="0.15">
      <c r="BR8302" s="34"/>
      <c r="BV8302" s="34"/>
      <c r="BZ8302" s="34"/>
      <c r="CD8302" s="34"/>
    </row>
    <row r="8303" spans="70:82" x14ac:dyDescent="0.15">
      <c r="BR8303" s="34"/>
      <c r="BV8303" s="34"/>
      <c r="BZ8303" s="34"/>
      <c r="CD8303" s="34"/>
    </row>
    <row r="8304" spans="70:82" x14ac:dyDescent="0.15">
      <c r="BR8304" s="34"/>
      <c r="BV8304" s="34"/>
      <c r="BZ8304" s="34"/>
      <c r="CD8304" s="34"/>
    </row>
    <row r="8305" spans="70:82" x14ac:dyDescent="0.15">
      <c r="BR8305" s="34"/>
      <c r="BV8305" s="34"/>
      <c r="BZ8305" s="34"/>
      <c r="CD8305" s="34"/>
    </row>
    <row r="8306" spans="70:82" x14ac:dyDescent="0.15">
      <c r="BR8306" s="34"/>
      <c r="BV8306" s="34"/>
      <c r="BZ8306" s="34"/>
      <c r="CD8306" s="34"/>
    </row>
    <row r="8307" spans="70:82" x14ac:dyDescent="0.15">
      <c r="BR8307" s="34"/>
      <c r="BV8307" s="34"/>
      <c r="BZ8307" s="34"/>
      <c r="CD8307" s="34"/>
    </row>
    <row r="8308" spans="70:82" x14ac:dyDescent="0.15">
      <c r="BR8308" s="34"/>
      <c r="BV8308" s="34"/>
      <c r="BZ8308" s="34"/>
      <c r="CD8308" s="34"/>
    </row>
    <row r="8309" spans="70:82" x14ac:dyDescent="0.15">
      <c r="BR8309" s="34"/>
      <c r="BV8309" s="34"/>
      <c r="BZ8309" s="34"/>
      <c r="CD8309" s="34"/>
    </row>
    <row r="8310" spans="70:82" x14ac:dyDescent="0.15">
      <c r="BR8310" s="34"/>
      <c r="BV8310" s="34"/>
      <c r="BZ8310" s="34"/>
      <c r="CD8310" s="34"/>
    </row>
    <row r="8311" spans="70:82" x14ac:dyDescent="0.15">
      <c r="BR8311" s="34"/>
      <c r="BV8311" s="34"/>
      <c r="BZ8311" s="34"/>
      <c r="CD8311" s="34"/>
    </row>
    <row r="8312" spans="70:82" x14ac:dyDescent="0.15">
      <c r="BR8312" s="34"/>
      <c r="BV8312" s="34"/>
      <c r="BZ8312" s="34"/>
      <c r="CD8312" s="34"/>
    </row>
    <row r="8313" spans="70:82" x14ac:dyDescent="0.15">
      <c r="BR8313" s="34"/>
      <c r="BV8313" s="34"/>
      <c r="BZ8313" s="34"/>
      <c r="CD8313" s="34"/>
    </row>
    <row r="8314" spans="70:82" x14ac:dyDescent="0.15">
      <c r="BR8314" s="34"/>
      <c r="BV8314" s="34"/>
      <c r="BZ8314" s="34"/>
      <c r="CD8314" s="34"/>
    </row>
    <row r="8315" spans="70:82" x14ac:dyDescent="0.15">
      <c r="BR8315" s="34"/>
      <c r="BV8315" s="34"/>
      <c r="BZ8315" s="34"/>
      <c r="CD8315" s="34"/>
    </row>
    <row r="8316" spans="70:82" x14ac:dyDescent="0.15">
      <c r="BR8316" s="34"/>
      <c r="BV8316" s="34"/>
      <c r="BZ8316" s="34"/>
      <c r="CD8316" s="34"/>
    </row>
    <row r="8317" spans="70:82" x14ac:dyDescent="0.15">
      <c r="BR8317" s="34"/>
      <c r="BV8317" s="34"/>
      <c r="BZ8317" s="34"/>
      <c r="CD8317" s="34"/>
    </row>
    <row r="8318" spans="70:82" x14ac:dyDescent="0.15">
      <c r="BR8318" s="34"/>
      <c r="BV8318" s="34"/>
      <c r="BZ8318" s="34"/>
      <c r="CD8318" s="34"/>
    </row>
    <row r="8319" spans="70:82" x14ac:dyDescent="0.15">
      <c r="BR8319" s="34"/>
      <c r="BV8319" s="34"/>
      <c r="BZ8319" s="34"/>
      <c r="CD8319" s="34"/>
    </row>
    <row r="8320" spans="70:82" x14ac:dyDescent="0.15">
      <c r="BR8320" s="34"/>
      <c r="BV8320" s="34"/>
      <c r="BZ8320" s="34"/>
      <c r="CD8320" s="34"/>
    </row>
    <row r="8321" spans="70:82" x14ac:dyDescent="0.15">
      <c r="BR8321" s="34"/>
      <c r="BV8321" s="34"/>
      <c r="BZ8321" s="34"/>
      <c r="CD8321" s="34"/>
    </row>
    <row r="8322" spans="70:82" x14ac:dyDescent="0.15">
      <c r="BR8322" s="34"/>
      <c r="BV8322" s="34"/>
      <c r="BZ8322" s="34"/>
      <c r="CD8322" s="34"/>
    </row>
    <row r="8323" spans="70:82" x14ac:dyDescent="0.15">
      <c r="BR8323" s="34"/>
      <c r="BV8323" s="34"/>
      <c r="BZ8323" s="34"/>
      <c r="CD8323" s="34"/>
    </row>
    <row r="8324" spans="70:82" x14ac:dyDescent="0.15">
      <c r="BR8324" s="34"/>
      <c r="BV8324" s="34"/>
      <c r="BZ8324" s="34"/>
      <c r="CD8324" s="34"/>
    </row>
    <row r="8325" spans="70:82" x14ac:dyDescent="0.15">
      <c r="BR8325" s="34"/>
      <c r="BV8325" s="34"/>
      <c r="BZ8325" s="34"/>
      <c r="CD8325" s="34"/>
    </row>
    <row r="8326" spans="70:82" x14ac:dyDescent="0.15">
      <c r="BR8326" s="34"/>
      <c r="BV8326" s="34"/>
      <c r="BZ8326" s="34"/>
      <c r="CD8326" s="34"/>
    </row>
    <row r="8327" spans="70:82" x14ac:dyDescent="0.15">
      <c r="BR8327" s="34"/>
      <c r="BV8327" s="34"/>
      <c r="BZ8327" s="34"/>
      <c r="CD8327" s="34"/>
    </row>
    <row r="8328" spans="70:82" x14ac:dyDescent="0.15">
      <c r="BR8328" s="34"/>
      <c r="BV8328" s="34"/>
      <c r="BZ8328" s="34"/>
      <c r="CD8328" s="34"/>
    </row>
    <row r="8329" spans="70:82" x14ac:dyDescent="0.15">
      <c r="BR8329" s="34"/>
      <c r="BV8329" s="34"/>
      <c r="BZ8329" s="34"/>
      <c r="CD8329" s="34"/>
    </row>
    <row r="8330" spans="70:82" x14ac:dyDescent="0.15">
      <c r="BR8330" s="34"/>
      <c r="BV8330" s="34"/>
      <c r="BZ8330" s="34"/>
      <c r="CD8330" s="34"/>
    </row>
    <row r="8331" spans="70:82" x14ac:dyDescent="0.15">
      <c r="BR8331" s="34"/>
      <c r="BV8331" s="34"/>
      <c r="BZ8331" s="34"/>
      <c r="CD8331" s="34"/>
    </row>
    <row r="8332" spans="70:82" x14ac:dyDescent="0.15">
      <c r="BR8332" s="34"/>
      <c r="BV8332" s="34"/>
      <c r="BZ8332" s="34"/>
      <c r="CD8332" s="34"/>
    </row>
    <row r="8333" spans="70:82" x14ac:dyDescent="0.15">
      <c r="BR8333" s="34"/>
      <c r="BV8333" s="34"/>
      <c r="BZ8333" s="34"/>
      <c r="CD8333" s="34"/>
    </row>
    <row r="8334" spans="70:82" x14ac:dyDescent="0.15">
      <c r="BR8334" s="34"/>
      <c r="BV8334" s="34"/>
      <c r="BZ8334" s="34"/>
      <c r="CD8334" s="34"/>
    </row>
    <row r="8335" spans="70:82" x14ac:dyDescent="0.15">
      <c r="BR8335" s="34"/>
      <c r="BV8335" s="34"/>
      <c r="BZ8335" s="34"/>
      <c r="CD8335" s="34"/>
    </row>
    <row r="8336" spans="70:82" x14ac:dyDescent="0.15">
      <c r="BR8336" s="34"/>
      <c r="BV8336" s="34"/>
      <c r="BZ8336" s="34"/>
      <c r="CD8336" s="34"/>
    </row>
    <row r="8337" spans="70:82" x14ac:dyDescent="0.15">
      <c r="BR8337" s="34"/>
      <c r="BV8337" s="34"/>
      <c r="BZ8337" s="34"/>
      <c r="CD8337" s="34"/>
    </row>
    <row r="8338" spans="70:82" x14ac:dyDescent="0.15">
      <c r="BR8338" s="34"/>
      <c r="BV8338" s="34"/>
      <c r="BZ8338" s="34"/>
      <c r="CD8338" s="34"/>
    </row>
    <row r="8339" spans="70:82" x14ac:dyDescent="0.15">
      <c r="BR8339" s="34"/>
      <c r="BV8339" s="34"/>
      <c r="BZ8339" s="34"/>
      <c r="CD8339" s="34"/>
    </row>
    <row r="8340" spans="70:82" x14ac:dyDescent="0.15">
      <c r="BR8340" s="34"/>
      <c r="BV8340" s="34"/>
      <c r="BZ8340" s="34"/>
      <c r="CD8340" s="34"/>
    </row>
    <row r="8341" spans="70:82" x14ac:dyDescent="0.15">
      <c r="BR8341" s="34"/>
      <c r="BV8341" s="34"/>
      <c r="BZ8341" s="34"/>
      <c r="CD8341" s="34"/>
    </row>
    <row r="8342" spans="70:82" x14ac:dyDescent="0.15">
      <c r="BR8342" s="34"/>
      <c r="BV8342" s="34"/>
      <c r="BZ8342" s="34"/>
      <c r="CD8342" s="34"/>
    </row>
    <row r="8343" spans="70:82" x14ac:dyDescent="0.15">
      <c r="BR8343" s="34"/>
      <c r="BV8343" s="34"/>
      <c r="BZ8343" s="34"/>
      <c r="CD8343" s="34"/>
    </row>
    <row r="8344" spans="70:82" x14ac:dyDescent="0.15">
      <c r="BR8344" s="34"/>
      <c r="BV8344" s="34"/>
      <c r="BZ8344" s="34"/>
      <c r="CD8344" s="34"/>
    </row>
    <row r="8345" spans="70:82" x14ac:dyDescent="0.15">
      <c r="BR8345" s="34"/>
      <c r="BV8345" s="34"/>
      <c r="BZ8345" s="34"/>
      <c r="CD8345" s="34"/>
    </row>
    <row r="8346" spans="70:82" x14ac:dyDescent="0.15">
      <c r="BR8346" s="34"/>
      <c r="BV8346" s="34"/>
      <c r="BZ8346" s="34"/>
      <c r="CD8346" s="34"/>
    </row>
    <row r="8347" spans="70:82" x14ac:dyDescent="0.15">
      <c r="BR8347" s="34"/>
      <c r="BV8347" s="34"/>
      <c r="BZ8347" s="34"/>
      <c r="CD8347" s="34"/>
    </row>
    <row r="8348" spans="70:82" x14ac:dyDescent="0.15">
      <c r="BR8348" s="34"/>
      <c r="BV8348" s="34"/>
      <c r="BZ8348" s="34"/>
      <c r="CD8348" s="34"/>
    </row>
    <row r="8349" spans="70:82" x14ac:dyDescent="0.15">
      <c r="BR8349" s="34"/>
      <c r="BV8349" s="34"/>
      <c r="BZ8349" s="34"/>
      <c r="CD8349" s="34"/>
    </row>
    <row r="8350" spans="70:82" x14ac:dyDescent="0.15">
      <c r="BR8350" s="34"/>
      <c r="BV8350" s="34"/>
      <c r="BZ8350" s="34"/>
      <c r="CD8350" s="34"/>
    </row>
    <row r="8351" spans="70:82" x14ac:dyDescent="0.15">
      <c r="BR8351" s="34"/>
      <c r="BV8351" s="34"/>
      <c r="BZ8351" s="34"/>
      <c r="CD8351" s="34"/>
    </row>
    <row r="8352" spans="70:82" x14ac:dyDescent="0.15">
      <c r="BR8352" s="34"/>
      <c r="BV8352" s="34"/>
      <c r="BZ8352" s="34"/>
      <c r="CD8352" s="34"/>
    </row>
    <row r="8353" spans="70:82" x14ac:dyDescent="0.15">
      <c r="BR8353" s="34"/>
      <c r="BV8353" s="34"/>
      <c r="BZ8353" s="34"/>
      <c r="CD8353" s="34"/>
    </row>
    <row r="8354" spans="70:82" x14ac:dyDescent="0.15">
      <c r="BR8354" s="34"/>
      <c r="BV8354" s="34"/>
      <c r="BZ8354" s="34"/>
      <c r="CD8354" s="34"/>
    </row>
    <row r="8355" spans="70:82" x14ac:dyDescent="0.15">
      <c r="BR8355" s="34"/>
      <c r="BV8355" s="34"/>
      <c r="BZ8355" s="34"/>
      <c r="CD8355" s="34"/>
    </row>
    <row r="8356" spans="70:82" x14ac:dyDescent="0.15">
      <c r="BR8356" s="34"/>
      <c r="BV8356" s="34"/>
      <c r="BZ8356" s="34"/>
      <c r="CD8356" s="34"/>
    </row>
    <row r="8357" spans="70:82" x14ac:dyDescent="0.15">
      <c r="BR8357" s="34"/>
      <c r="BV8357" s="34"/>
      <c r="BZ8357" s="34"/>
      <c r="CD8357" s="34"/>
    </row>
    <row r="8358" spans="70:82" x14ac:dyDescent="0.15">
      <c r="BR8358" s="34"/>
      <c r="BV8358" s="34"/>
      <c r="BZ8358" s="34"/>
      <c r="CD8358" s="34"/>
    </row>
    <row r="8359" spans="70:82" x14ac:dyDescent="0.15">
      <c r="BR8359" s="34"/>
      <c r="BV8359" s="34"/>
      <c r="BZ8359" s="34"/>
      <c r="CD8359" s="34"/>
    </row>
    <row r="8360" spans="70:82" x14ac:dyDescent="0.15">
      <c r="BR8360" s="34"/>
      <c r="BV8360" s="34"/>
      <c r="BZ8360" s="34"/>
      <c r="CD8360" s="34"/>
    </row>
    <row r="8361" spans="70:82" x14ac:dyDescent="0.15">
      <c r="BR8361" s="34"/>
      <c r="BV8361" s="34"/>
      <c r="BZ8361" s="34"/>
      <c r="CD8361" s="34"/>
    </row>
    <row r="8362" spans="70:82" x14ac:dyDescent="0.15">
      <c r="BR8362" s="34"/>
      <c r="BV8362" s="34"/>
      <c r="BZ8362" s="34"/>
      <c r="CD8362" s="34"/>
    </row>
    <row r="8363" spans="70:82" x14ac:dyDescent="0.15">
      <c r="BR8363" s="34"/>
      <c r="BV8363" s="34"/>
      <c r="BZ8363" s="34"/>
      <c r="CD8363" s="34"/>
    </row>
    <row r="8364" spans="70:82" x14ac:dyDescent="0.15">
      <c r="BR8364" s="34"/>
      <c r="BV8364" s="34"/>
      <c r="BZ8364" s="34"/>
      <c r="CD8364" s="34"/>
    </row>
    <row r="8365" spans="70:82" x14ac:dyDescent="0.15">
      <c r="BR8365" s="34"/>
      <c r="BV8365" s="34"/>
      <c r="BZ8365" s="34"/>
      <c r="CD8365" s="34"/>
    </row>
    <row r="8366" spans="70:82" x14ac:dyDescent="0.15">
      <c r="BR8366" s="34"/>
      <c r="BV8366" s="34"/>
      <c r="BZ8366" s="34"/>
      <c r="CD8366" s="34"/>
    </row>
    <row r="8367" spans="70:82" x14ac:dyDescent="0.15">
      <c r="BR8367" s="34"/>
      <c r="BV8367" s="34"/>
      <c r="BZ8367" s="34"/>
      <c r="CD8367" s="34"/>
    </row>
    <row r="8368" spans="70:82" x14ac:dyDescent="0.15">
      <c r="BR8368" s="34"/>
      <c r="BV8368" s="34"/>
      <c r="BZ8368" s="34"/>
      <c r="CD8368" s="34"/>
    </row>
    <row r="8369" spans="70:82" x14ac:dyDescent="0.15">
      <c r="BR8369" s="34"/>
      <c r="BV8369" s="34"/>
      <c r="BZ8369" s="34"/>
      <c r="CD8369" s="34"/>
    </row>
    <row r="8370" spans="70:82" x14ac:dyDescent="0.15">
      <c r="BR8370" s="34"/>
      <c r="BV8370" s="34"/>
      <c r="BZ8370" s="34"/>
      <c r="CD8370" s="34"/>
    </row>
    <row r="8371" spans="70:82" x14ac:dyDescent="0.15">
      <c r="BR8371" s="34"/>
      <c r="BV8371" s="34"/>
      <c r="BZ8371" s="34"/>
      <c r="CD8371" s="34"/>
    </row>
    <row r="8372" spans="70:82" x14ac:dyDescent="0.15">
      <c r="BR8372" s="34"/>
      <c r="BV8372" s="34"/>
      <c r="BZ8372" s="34"/>
      <c r="CD8372" s="34"/>
    </row>
    <row r="8373" spans="70:82" x14ac:dyDescent="0.15">
      <c r="BR8373" s="34"/>
      <c r="BV8373" s="34"/>
      <c r="BZ8373" s="34"/>
      <c r="CD8373" s="34"/>
    </row>
    <row r="8374" spans="70:82" x14ac:dyDescent="0.15">
      <c r="BR8374" s="34"/>
      <c r="BV8374" s="34"/>
      <c r="BZ8374" s="34"/>
      <c r="CD8374" s="34"/>
    </row>
    <row r="8375" spans="70:82" x14ac:dyDescent="0.15">
      <c r="BR8375" s="34"/>
      <c r="BV8375" s="34"/>
      <c r="BZ8375" s="34"/>
      <c r="CD8375" s="34"/>
    </row>
    <row r="8376" spans="70:82" x14ac:dyDescent="0.15">
      <c r="BR8376" s="34"/>
      <c r="BV8376" s="34"/>
      <c r="BZ8376" s="34"/>
      <c r="CD8376" s="34"/>
    </row>
    <row r="8377" spans="70:82" x14ac:dyDescent="0.15">
      <c r="BR8377" s="34"/>
      <c r="BV8377" s="34"/>
      <c r="BZ8377" s="34"/>
      <c r="CD8377" s="34"/>
    </row>
    <row r="8378" spans="70:82" x14ac:dyDescent="0.15">
      <c r="BR8378" s="34"/>
      <c r="BV8378" s="34"/>
      <c r="BZ8378" s="34"/>
      <c r="CD8378" s="34"/>
    </row>
    <row r="8379" spans="70:82" x14ac:dyDescent="0.15">
      <c r="BR8379" s="34"/>
      <c r="BV8379" s="34"/>
      <c r="BZ8379" s="34"/>
      <c r="CD8379" s="34"/>
    </row>
    <row r="8380" spans="70:82" x14ac:dyDescent="0.15">
      <c r="BR8380" s="34"/>
      <c r="BV8380" s="34"/>
      <c r="BZ8380" s="34"/>
      <c r="CD8380" s="34"/>
    </row>
    <row r="8381" spans="70:82" x14ac:dyDescent="0.15">
      <c r="BR8381" s="34"/>
      <c r="BV8381" s="34"/>
      <c r="BZ8381" s="34"/>
      <c r="CD8381" s="34"/>
    </row>
    <row r="8382" spans="70:82" x14ac:dyDescent="0.15">
      <c r="BR8382" s="34"/>
      <c r="BV8382" s="34"/>
      <c r="BZ8382" s="34"/>
      <c r="CD8382" s="34"/>
    </row>
    <row r="8383" spans="70:82" x14ac:dyDescent="0.15">
      <c r="BR8383" s="34"/>
      <c r="BV8383" s="34"/>
      <c r="BZ8383" s="34"/>
      <c r="CD8383" s="34"/>
    </row>
    <row r="8384" spans="70:82" x14ac:dyDescent="0.15">
      <c r="BR8384" s="34"/>
      <c r="BV8384" s="34"/>
      <c r="BZ8384" s="34"/>
      <c r="CD8384" s="34"/>
    </row>
    <row r="8385" spans="70:82" x14ac:dyDescent="0.15">
      <c r="BR8385" s="34"/>
      <c r="BV8385" s="34"/>
      <c r="BZ8385" s="34"/>
      <c r="CD8385" s="34"/>
    </row>
    <row r="8386" spans="70:82" x14ac:dyDescent="0.15">
      <c r="BR8386" s="34"/>
      <c r="BV8386" s="34"/>
      <c r="BZ8386" s="34"/>
      <c r="CD8386" s="34"/>
    </row>
    <row r="8387" spans="70:82" x14ac:dyDescent="0.15">
      <c r="BR8387" s="34"/>
      <c r="BV8387" s="34"/>
      <c r="BZ8387" s="34"/>
      <c r="CD8387" s="34"/>
    </row>
    <row r="8388" spans="70:82" x14ac:dyDescent="0.15">
      <c r="BR8388" s="34"/>
      <c r="BV8388" s="34"/>
      <c r="BZ8388" s="34"/>
      <c r="CD8388" s="34"/>
    </row>
    <row r="8389" spans="70:82" x14ac:dyDescent="0.15">
      <c r="BR8389" s="34"/>
      <c r="BV8389" s="34"/>
      <c r="BZ8389" s="34"/>
      <c r="CD8389" s="34"/>
    </row>
    <row r="8390" spans="70:82" x14ac:dyDescent="0.15">
      <c r="BR8390" s="34"/>
      <c r="BV8390" s="34"/>
      <c r="BZ8390" s="34"/>
      <c r="CD8390" s="34"/>
    </row>
    <row r="8391" spans="70:82" x14ac:dyDescent="0.15">
      <c r="BR8391" s="34"/>
      <c r="BV8391" s="34"/>
      <c r="BZ8391" s="34"/>
      <c r="CD8391" s="34"/>
    </row>
    <row r="8392" spans="70:82" x14ac:dyDescent="0.15">
      <c r="BR8392" s="34"/>
      <c r="BV8392" s="34"/>
      <c r="BZ8392" s="34"/>
      <c r="CD8392" s="34"/>
    </row>
    <row r="8393" spans="70:82" x14ac:dyDescent="0.15">
      <c r="BR8393" s="34"/>
      <c r="BV8393" s="34"/>
      <c r="BZ8393" s="34"/>
      <c r="CD8393" s="34"/>
    </row>
    <row r="8394" spans="70:82" x14ac:dyDescent="0.15">
      <c r="BR8394" s="34"/>
      <c r="BV8394" s="34"/>
      <c r="BZ8394" s="34"/>
      <c r="CD8394" s="34"/>
    </row>
    <row r="8395" spans="70:82" x14ac:dyDescent="0.15">
      <c r="BR8395" s="34"/>
      <c r="BV8395" s="34"/>
      <c r="BZ8395" s="34"/>
      <c r="CD8395" s="34"/>
    </row>
    <row r="8396" spans="70:82" x14ac:dyDescent="0.15">
      <c r="BR8396" s="34"/>
      <c r="BV8396" s="34"/>
      <c r="BZ8396" s="34"/>
      <c r="CD8396" s="34"/>
    </row>
    <row r="8397" spans="70:82" x14ac:dyDescent="0.15">
      <c r="BR8397" s="34"/>
      <c r="BV8397" s="34"/>
      <c r="BZ8397" s="34"/>
      <c r="CD8397" s="34"/>
    </row>
    <row r="8398" spans="70:82" x14ac:dyDescent="0.15">
      <c r="BR8398" s="34"/>
      <c r="BV8398" s="34"/>
      <c r="BZ8398" s="34"/>
      <c r="CD8398" s="34"/>
    </row>
    <row r="8399" spans="70:82" x14ac:dyDescent="0.15">
      <c r="BR8399" s="34"/>
      <c r="BV8399" s="34"/>
      <c r="BZ8399" s="34"/>
      <c r="CD8399" s="34"/>
    </row>
    <row r="8400" spans="70:82" x14ac:dyDescent="0.15">
      <c r="BR8400" s="34"/>
      <c r="BV8400" s="34"/>
      <c r="BZ8400" s="34"/>
      <c r="CD8400" s="34"/>
    </row>
    <row r="8401" spans="70:82" x14ac:dyDescent="0.15">
      <c r="BR8401" s="34"/>
      <c r="BV8401" s="34"/>
      <c r="BZ8401" s="34"/>
      <c r="CD8401" s="34"/>
    </row>
    <row r="8402" spans="70:82" x14ac:dyDescent="0.15">
      <c r="BR8402" s="34"/>
      <c r="BV8402" s="34"/>
      <c r="BZ8402" s="34"/>
      <c r="CD8402" s="34"/>
    </row>
    <row r="8403" spans="70:82" x14ac:dyDescent="0.15">
      <c r="BR8403" s="34"/>
      <c r="BV8403" s="34"/>
      <c r="BZ8403" s="34"/>
      <c r="CD8403" s="34"/>
    </row>
    <row r="8404" spans="70:82" x14ac:dyDescent="0.15">
      <c r="BR8404" s="34"/>
      <c r="BV8404" s="34"/>
      <c r="BZ8404" s="34"/>
      <c r="CD8404" s="34"/>
    </row>
    <row r="8405" spans="70:82" x14ac:dyDescent="0.15">
      <c r="BR8405" s="34"/>
      <c r="BV8405" s="34"/>
      <c r="BZ8405" s="34"/>
      <c r="CD8405" s="34"/>
    </row>
    <row r="8406" spans="70:82" x14ac:dyDescent="0.15">
      <c r="BR8406" s="34"/>
      <c r="BV8406" s="34"/>
      <c r="BZ8406" s="34"/>
      <c r="CD8406" s="34"/>
    </row>
    <row r="8407" spans="70:82" x14ac:dyDescent="0.15">
      <c r="BR8407" s="34"/>
      <c r="BV8407" s="34"/>
      <c r="BZ8407" s="34"/>
      <c r="CD8407" s="34"/>
    </row>
    <row r="8408" spans="70:82" x14ac:dyDescent="0.15">
      <c r="BR8408" s="34"/>
      <c r="BV8408" s="34"/>
      <c r="BZ8408" s="34"/>
      <c r="CD8408" s="34"/>
    </row>
    <row r="8409" spans="70:82" x14ac:dyDescent="0.15">
      <c r="BR8409" s="34"/>
      <c r="BV8409" s="34"/>
      <c r="BZ8409" s="34"/>
      <c r="CD8409" s="34"/>
    </row>
    <row r="8410" spans="70:82" x14ac:dyDescent="0.15">
      <c r="BR8410" s="34"/>
      <c r="BV8410" s="34"/>
      <c r="BZ8410" s="34"/>
      <c r="CD8410" s="34"/>
    </row>
    <row r="8411" spans="70:82" x14ac:dyDescent="0.15">
      <c r="BR8411" s="34"/>
      <c r="BV8411" s="34"/>
      <c r="BZ8411" s="34"/>
      <c r="CD8411" s="34"/>
    </row>
    <row r="8412" spans="70:82" x14ac:dyDescent="0.15">
      <c r="BR8412" s="34"/>
      <c r="BV8412" s="34"/>
      <c r="BZ8412" s="34"/>
      <c r="CD8412" s="34"/>
    </row>
    <row r="8413" spans="70:82" x14ac:dyDescent="0.15">
      <c r="BR8413" s="34"/>
      <c r="BV8413" s="34"/>
      <c r="BZ8413" s="34"/>
      <c r="CD8413" s="34"/>
    </row>
    <row r="8414" spans="70:82" x14ac:dyDescent="0.15">
      <c r="BR8414" s="34"/>
      <c r="BV8414" s="34"/>
      <c r="BZ8414" s="34"/>
      <c r="CD8414" s="34"/>
    </row>
    <row r="8415" spans="70:82" x14ac:dyDescent="0.15">
      <c r="BR8415" s="34"/>
      <c r="BV8415" s="34"/>
      <c r="BZ8415" s="34"/>
      <c r="CD8415" s="34"/>
    </row>
    <row r="8416" spans="70:82" x14ac:dyDescent="0.15">
      <c r="BR8416" s="34"/>
      <c r="BV8416" s="34"/>
      <c r="BZ8416" s="34"/>
      <c r="CD8416" s="34"/>
    </row>
    <row r="8417" spans="70:82" x14ac:dyDescent="0.15">
      <c r="BR8417" s="34"/>
      <c r="BV8417" s="34"/>
      <c r="BZ8417" s="34"/>
      <c r="CD8417" s="34"/>
    </row>
    <row r="8418" spans="70:82" x14ac:dyDescent="0.15">
      <c r="BR8418" s="34"/>
      <c r="BV8418" s="34"/>
      <c r="BZ8418" s="34"/>
      <c r="CD8418" s="34"/>
    </row>
    <row r="8419" spans="70:82" x14ac:dyDescent="0.15">
      <c r="BR8419" s="34"/>
      <c r="BV8419" s="34"/>
      <c r="BZ8419" s="34"/>
      <c r="CD8419" s="34"/>
    </row>
    <row r="8420" spans="70:82" x14ac:dyDescent="0.15">
      <c r="BR8420" s="34"/>
      <c r="BV8420" s="34"/>
      <c r="BZ8420" s="34"/>
      <c r="CD8420" s="34"/>
    </row>
    <row r="8421" spans="70:82" x14ac:dyDescent="0.15">
      <c r="BR8421" s="34"/>
      <c r="BV8421" s="34"/>
      <c r="BZ8421" s="34"/>
      <c r="CD8421" s="34"/>
    </row>
    <row r="8422" spans="70:82" x14ac:dyDescent="0.15">
      <c r="BR8422" s="34"/>
      <c r="BV8422" s="34"/>
      <c r="BZ8422" s="34"/>
      <c r="CD8422" s="34"/>
    </row>
    <row r="8423" spans="70:82" x14ac:dyDescent="0.15">
      <c r="BR8423" s="34"/>
      <c r="BV8423" s="34"/>
      <c r="BZ8423" s="34"/>
      <c r="CD8423" s="34"/>
    </row>
    <row r="8424" spans="70:82" x14ac:dyDescent="0.15">
      <c r="BR8424" s="34"/>
      <c r="BV8424" s="34"/>
      <c r="BZ8424" s="34"/>
      <c r="CD8424" s="34"/>
    </row>
    <row r="8425" spans="70:82" x14ac:dyDescent="0.15">
      <c r="BR8425" s="34"/>
      <c r="BV8425" s="34"/>
      <c r="BZ8425" s="34"/>
      <c r="CD8425" s="34"/>
    </row>
    <row r="8426" spans="70:82" x14ac:dyDescent="0.15">
      <c r="BR8426" s="34"/>
      <c r="BV8426" s="34"/>
      <c r="BZ8426" s="34"/>
      <c r="CD8426" s="34"/>
    </row>
    <row r="8427" spans="70:82" x14ac:dyDescent="0.15">
      <c r="BR8427" s="34"/>
      <c r="BV8427" s="34"/>
      <c r="BZ8427" s="34"/>
      <c r="CD8427" s="34"/>
    </row>
    <row r="8428" spans="70:82" x14ac:dyDescent="0.15">
      <c r="BR8428" s="34"/>
      <c r="BV8428" s="34"/>
      <c r="BZ8428" s="34"/>
      <c r="CD8428" s="34"/>
    </row>
    <row r="8429" spans="70:82" x14ac:dyDescent="0.15">
      <c r="BR8429" s="34"/>
      <c r="BV8429" s="34"/>
      <c r="BZ8429" s="34"/>
      <c r="CD8429" s="34"/>
    </row>
    <row r="8430" spans="70:82" x14ac:dyDescent="0.15">
      <c r="BR8430" s="34"/>
      <c r="BV8430" s="34"/>
      <c r="BZ8430" s="34"/>
      <c r="CD8430" s="34"/>
    </row>
    <row r="8431" spans="70:82" x14ac:dyDescent="0.15">
      <c r="BR8431" s="34"/>
      <c r="BV8431" s="34"/>
      <c r="BZ8431" s="34"/>
      <c r="CD8431" s="34"/>
    </row>
    <row r="8432" spans="70:82" x14ac:dyDescent="0.15">
      <c r="BR8432" s="34"/>
      <c r="BV8432" s="34"/>
      <c r="BZ8432" s="34"/>
      <c r="CD8432" s="34"/>
    </row>
    <row r="8433" spans="70:82" x14ac:dyDescent="0.15">
      <c r="BR8433" s="34"/>
      <c r="BV8433" s="34"/>
      <c r="BZ8433" s="34"/>
      <c r="CD8433" s="34"/>
    </row>
    <row r="8434" spans="70:82" x14ac:dyDescent="0.15">
      <c r="BR8434" s="34"/>
      <c r="BV8434" s="34"/>
      <c r="BZ8434" s="34"/>
      <c r="CD8434" s="34"/>
    </row>
    <row r="8435" spans="70:82" x14ac:dyDescent="0.15">
      <c r="BR8435" s="34"/>
      <c r="BV8435" s="34"/>
      <c r="BZ8435" s="34"/>
      <c r="CD8435" s="34"/>
    </row>
    <row r="8436" spans="70:82" x14ac:dyDescent="0.15">
      <c r="BR8436" s="34"/>
      <c r="BV8436" s="34"/>
      <c r="BZ8436" s="34"/>
      <c r="CD8436" s="34"/>
    </row>
    <row r="8437" spans="70:82" x14ac:dyDescent="0.15">
      <c r="BR8437" s="34"/>
      <c r="BV8437" s="34"/>
      <c r="BZ8437" s="34"/>
      <c r="CD8437" s="34"/>
    </row>
    <row r="8438" spans="70:82" x14ac:dyDescent="0.15">
      <c r="BR8438" s="34"/>
      <c r="BV8438" s="34"/>
      <c r="BZ8438" s="34"/>
      <c r="CD8438" s="34"/>
    </row>
    <row r="8439" spans="70:82" x14ac:dyDescent="0.15">
      <c r="BR8439" s="34"/>
      <c r="BV8439" s="34"/>
      <c r="BZ8439" s="34"/>
      <c r="CD8439" s="34"/>
    </row>
    <row r="8440" spans="70:82" x14ac:dyDescent="0.15">
      <c r="BR8440" s="34"/>
      <c r="BV8440" s="34"/>
      <c r="BZ8440" s="34"/>
      <c r="CD8440" s="34"/>
    </row>
    <row r="8441" spans="70:82" x14ac:dyDescent="0.15">
      <c r="BR8441" s="34"/>
      <c r="BV8441" s="34"/>
      <c r="BZ8441" s="34"/>
      <c r="CD8441" s="34"/>
    </row>
    <row r="8442" spans="70:82" x14ac:dyDescent="0.15">
      <c r="BR8442" s="34"/>
      <c r="BV8442" s="34"/>
      <c r="BZ8442" s="34"/>
      <c r="CD8442" s="34"/>
    </row>
    <row r="8443" spans="70:82" x14ac:dyDescent="0.15">
      <c r="BR8443" s="34"/>
      <c r="BV8443" s="34"/>
      <c r="BZ8443" s="34"/>
      <c r="CD8443" s="34"/>
    </row>
    <row r="8444" spans="70:82" x14ac:dyDescent="0.15">
      <c r="BR8444" s="34"/>
      <c r="BV8444" s="34"/>
      <c r="BZ8444" s="34"/>
      <c r="CD8444" s="34"/>
    </row>
    <row r="8445" spans="70:82" x14ac:dyDescent="0.15">
      <c r="BR8445" s="34"/>
      <c r="BV8445" s="34"/>
      <c r="BZ8445" s="34"/>
      <c r="CD8445" s="34"/>
    </row>
    <row r="8446" spans="70:82" x14ac:dyDescent="0.15">
      <c r="BR8446" s="34"/>
      <c r="BV8446" s="34"/>
      <c r="BZ8446" s="34"/>
      <c r="CD8446" s="34"/>
    </row>
    <row r="8447" spans="70:82" x14ac:dyDescent="0.15">
      <c r="BR8447" s="34"/>
      <c r="BV8447" s="34"/>
      <c r="BZ8447" s="34"/>
      <c r="CD8447" s="34"/>
    </row>
    <row r="8448" spans="70:82" x14ac:dyDescent="0.15">
      <c r="BR8448" s="34"/>
      <c r="BV8448" s="34"/>
      <c r="BZ8448" s="34"/>
      <c r="CD8448" s="34"/>
    </row>
    <row r="8449" spans="70:82" x14ac:dyDescent="0.15">
      <c r="BR8449" s="34"/>
      <c r="BV8449" s="34"/>
      <c r="BZ8449" s="34"/>
      <c r="CD8449" s="34"/>
    </row>
    <row r="8450" spans="70:82" x14ac:dyDescent="0.15">
      <c r="BR8450" s="34"/>
      <c r="BV8450" s="34"/>
      <c r="BZ8450" s="34"/>
      <c r="CD8450" s="34"/>
    </row>
    <row r="8451" spans="70:82" x14ac:dyDescent="0.15">
      <c r="BR8451" s="34"/>
      <c r="BV8451" s="34"/>
      <c r="BZ8451" s="34"/>
      <c r="CD8451" s="34"/>
    </row>
    <row r="8452" spans="70:82" x14ac:dyDescent="0.15">
      <c r="BR8452" s="34"/>
      <c r="BV8452" s="34"/>
      <c r="BZ8452" s="34"/>
      <c r="CD8452" s="34"/>
    </row>
    <row r="8453" spans="70:82" x14ac:dyDescent="0.15">
      <c r="BR8453" s="34"/>
      <c r="BV8453" s="34"/>
      <c r="BZ8453" s="34"/>
      <c r="CD8453" s="34"/>
    </row>
    <row r="8454" spans="70:82" x14ac:dyDescent="0.15">
      <c r="BR8454" s="34"/>
      <c r="BV8454" s="34"/>
      <c r="BZ8454" s="34"/>
      <c r="CD8454" s="34"/>
    </row>
    <row r="8455" spans="70:82" x14ac:dyDescent="0.15">
      <c r="BR8455" s="34"/>
      <c r="BV8455" s="34"/>
      <c r="BZ8455" s="34"/>
      <c r="CD8455" s="34"/>
    </row>
    <row r="8456" spans="70:82" x14ac:dyDescent="0.15">
      <c r="BR8456" s="34"/>
      <c r="BV8456" s="34"/>
      <c r="BZ8456" s="34"/>
      <c r="CD8456" s="34"/>
    </row>
    <row r="8457" spans="70:82" x14ac:dyDescent="0.15">
      <c r="BR8457" s="34"/>
      <c r="BV8457" s="34"/>
      <c r="BZ8457" s="34"/>
      <c r="CD8457" s="34"/>
    </row>
    <row r="8458" spans="70:82" x14ac:dyDescent="0.15">
      <c r="BR8458" s="34"/>
      <c r="BV8458" s="34"/>
      <c r="BZ8458" s="34"/>
      <c r="CD8458" s="34"/>
    </row>
    <row r="8459" spans="70:82" x14ac:dyDescent="0.15">
      <c r="BR8459" s="34"/>
      <c r="BV8459" s="34"/>
      <c r="BZ8459" s="34"/>
      <c r="CD8459" s="34"/>
    </row>
    <row r="8460" spans="70:82" x14ac:dyDescent="0.15">
      <c r="BR8460" s="34"/>
      <c r="BV8460" s="34"/>
      <c r="BZ8460" s="34"/>
      <c r="CD8460" s="34"/>
    </row>
    <row r="8461" spans="70:82" x14ac:dyDescent="0.15">
      <c r="BR8461" s="34"/>
      <c r="BV8461" s="34"/>
      <c r="BZ8461" s="34"/>
      <c r="CD8461" s="34"/>
    </row>
    <row r="8462" spans="70:82" x14ac:dyDescent="0.15">
      <c r="BR8462" s="34"/>
      <c r="BV8462" s="34"/>
      <c r="BZ8462" s="34"/>
      <c r="CD8462" s="34"/>
    </row>
    <row r="8463" spans="70:82" x14ac:dyDescent="0.15">
      <c r="BR8463" s="34"/>
      <c r="BV8463" s="34"/>
      <c r="BZ8463" s="34"/>
      <c r="CD8463" s="34"/>
    </row>
    <row r="8464" spans="70:82" x14ac:dyDescent="0.15">
      <c r="BR8464" s="34"/>
      <c r="BV8464" s="34"/>
      <c r="BZ8464" s="34"/>
      <c r="CD8464" s="34"/>
    </row>
    <row r="8465" spans="70:82" x14ac:dyDescent="0.15">
      <c r="BR8465" s="34"/>
      <c r="BV8465" s="34"/>
      <c r="BZ8465" s="34"/>
      <c r="CD8465" s="34"/>
    </row>
    <row r="8466" spans="70:82" x14ac:dyDescent="0.15">
      <c r="BR8466" s="34"/>
      <c r="BV8466" s="34"/>
      <c r="BZ8466" s="34"/>
      <c r="CD8466" s="34"/>
    </row>
    <row r="8467" spans="70:82" x14ac:dyDescent="0.15">
      <c r="BR8467" s="34"/>
      <c r="BV8467" s="34"/>
      <c r="BZ8467" s="34"/>
      <c r="CD8467" s="34"/>
    </row>
    <row r="8468" spans="70:82" x14ac:dyDescent="0.15">
      <c r="BR8468" s="34"/>
      <c r="BV8468" s="34"/>
      <c r="BZ8468" s="34"/>
      <c r="CD8468" s="34"/>
    </row>
    <row r="8469" spans="70:82" x14ac:dyDescent="0.15">
      <c r="BR8469" s="34"/>
      <c r="BV8469" s="34"/>
      <c r="BZ8469" s="34"/>
      <c r="CD8469" s="34"/>
    </row>
    <row r="8470" spans="70:82" x14ac:dyDescent="0.15">
      <c r="BR8470" s="34"/>
      <c r="BV8470" s="34"/>
      <c r="BZ8470" s="34"/>
      <c r="CD8470" s="34"/>
    </row>
    <row r="8471" spans="70:82" x14ac:dyDescent="0.15">
      <c r="BR8471" s="34"/>
      <c r="BV8471" s="34"/>
      <c r="BZ8471" s="34"/>
      <c r="CD8471" s="34"/>
    </row>
    <row r="8472" spans="70:82" x14ac:dyDescent="0.15">
      <c r="BR8472" s="34"/>
      <c r="BV8472" s="34"/>
      <c r="BZ8472" s="34"/>
      <c r="CD8472" s="34"/>
    </row>
    <row r="8473" spans="70:82" x14ac:dyDescent="0.15">
      <c r="BR8473" s="34"/>
      <c r="BV8473" s="34"/>
      <c r="BZ8473" s="34"/>
      <c r="CD8473" s="34"/>
    </row>
    <row r="8474" spans="70:82" x14ac:dyDescent="0.15">
      <c r="BR8474" s="34"/>
      <c r="BV8474" s="34"/>
      <c r="BZ8474" s="34"/>
      <c r="CD8474" s="34"/>
    </row>
    <row r="8475" spans="70:82" x14ac:dyDescent="0.15">
      <c r="BR8475" s="34"/>
      <c r="BV8475" s="34"/>
      <c r="BZ8475" s="34"/>
      <c r="CD8475" s="34"/>
    </row>
    <row r="8476" spans="70:82" x14ac:dyDescent="0.15">
      <c r="BR8476" s="34"/>
      <c r="BV8476" s="34"/>
      <c r="BZ8476" s="34"/>
      <c r="CD8476" s="34"/>
    </row>
    <row r="8477" spans="70:82" x14ac:dyDescent="0.15">
      <c r="BR8477" s="34"/>
      <c r="BV8477" s="34"/>
      <c r="BZ8477" s="34"/>
      <c r="CD8477" s="34"/>
    </row>
    <row r="8478" spans="70:82" x14ac:dyDescent="0.15">
      <c r="BR8478" s="34"/>
      <c r="BV8478" s="34"/>
      <c r="BZ8478" s="34"/>
      <c r="CD8478" s="34"/>
    </row>
    <row r="8479" spans="70:82" x14ac:dyDescent="0.15">
      <c r="BR8479" s="34"/>
      <c r="BV8479" s="34"/>
      <c r="BZ8479" s="34"/>
      <c r="CD8479" s="34"/>
    </row>
    <row r="8480" spans="70:82" x14ac:dyDescent="0.15">
      <c r="BR8480" s="34"/>
      <c r="BV8480" s="34"/>
      <c r="BZ8480" s="34"/>
      <c r="CD8480" s="34"/>
    </row>
    <row r="8481" spans="70:82" x14ac:dyDescent="0.15">
      <c r="BR8481" s="34"/>
      <c r="BV8481" s="34"/>
      <c r="BZ8481" s="34"/>
      <c r="CD8481" s="34"/>
    </row>
    <row r="8482" spans="70:82" x14ac:dyDescent="0.15">
      <c r="BR8482" s="34"/>
      <c r="BV8482" s="34"/>
      <c r="BZ8482" s="34"/>
      <c r="CD8482" s="34"/>
    </row>
    <row r="8483" spans="70:82" x14ac:dyDescent="0.15">
      <c r="BR8483" s="34"/>
      <c r="BV8483" s="34"/>
      <c r="BZ8483" s="34"/>
      <c r="CD8483" s="34"/>
    </row>
    <row r="8484" spans="70:82" x14ac:dyDescent="0.15">
      <c r="BR8484" s="34"/>
      <c r="BV8484" s="34"/>
      <c r="BZ8484" s="34"/>
      <c r="CD8484" s="34"/>
    </row>
    <row r="8485" spans="70:82" x14ac:dyDescent="0.15">
      <c r="BR8485" s="34"/>
      <c r="BV8485" s="34"/>
      <c r="BZ8485" s="34"/>
      <c r="CD8485" s="34"/>
    </row>
    <row r="8486" spans="70:82" x14ac:dyDescent="0.15">
      <c r="BR8486" s="34"/>
      <c r="BV8486" s="34"/>
      <c r="BZ8486" s="34"/>
      <c r="CD8486" s="34"/>
    </row>
    <row r="8487" spans="70:82" x14ac:dyDescent="0.15">
      <c r="BR8487" s="34"/>
      <c r="BV8487" s="34"/>
      <c r="BZ8487" s="34"/>
      <c r="CD8487" s="34"/>
    </row>
    <row r="8488" spans="70:82" x14ac:dyDescent="0.15">
      <c r="BR8488" s="34"/>
      <c r="BV8488" s="34"/>
      <c r="BZ8488" s="34"/>
      <c r="CD8488" s="34"/>
    </row>
    <row r="8489" spans="70:82" x14ac:dyDescent="0.15">
      <c r="BR8489" s="34"/>
      <c r="BV8489" s="34"/>
      <c r="BZ8489" s="34"/>
      <c r="CD8489" s="34"/>
    </row>
    <row r="8490" spans="70:82" x14ac:dyDescent="0.15">
      <c r="BR8490" s="34"/>
      <c r="BV8490" s="34"/>
      <c r="BZ8490" s="34"/>
      <c r="CD8490" s="34"/>
    </row>
    <row r="8491" spans="70:82" x14ac:dyDescent="0.15">
      <c r="BR8491" s="34"/>
      <c r="BV8491" s="34"/>
      <c r="BZ8491" s="34"/>
      <c r="CD8491" s="34"/>
    </row>
    <row r="8492" spans="70:82" x14ac:dyDescent="0.15">
      <c r="BR8492" s="34"/>
      <c r="BV8492" s="34"/>
      <c r="BZ8492" s="34"/>
      <c r="CD8492" s="34"/>
    </row>
    <row r="8493" spans="70:82" x14ac:dyDescent="0.15">
      <c r="BR8493" s="34"/>
      <c r="BV8493" s="34"/>
      <c r="BZ8493" s="34"/>
      <c r="CD8493" s="34"/>
    </row>
    <row r="8494" spans="70:82" x14ac:dyDescent="0.15">
      <c r="BR8494" s="34"/>
      <c r="BV8494" s="34"/>
      <c r="BZ8494" s="34"/>
      <c r="CD8494" s="34"/>
    </row>
    <row r="8495" spans="70:82" x14ac:dyDescent="0.15">
      <c r="BR8495" s="34"/>
      <c r="BV8495" s="34"/>
      <c r="BZ8495" s="34"/>
      <c r="CD8495" s="34"/>
    </row>
    <row r="8496" spans="70:82" x14ac:dyDescent="0.15">
      <c r="BR8496" s="34"/>
      <c r="BV8496" s="34"/>
      <c r="BZ8496" s="34"/>
      <c r="CD8496" s="34"/>
    </row>
    <row r="8497" spans="70:82" x14ac:dyDescent="0.15">
      <c r="BR8497" s="34"/>
      <c r="BV8497" s="34"/>
      <c r="BZ8497" s="34"/>
      <c r="CD8497" s="34"/>
    </row>
    <row r="8498" spans="70:82" x14ac:dyDescent="0.15">
      <c r="BR8498" s="34"/>
      <c r="BV8498" s="34"/>
      <c r="BZ8498" s="34"/>
      <c r="CD8498" s="34"/>
    </row>
    <row r="8499" spans="70:82" x14ac:dyDescent="0.15">
      <c r="BR8499" s="34"/>
      <c r="BV8499" s="34"/>
      <c r="BZ8499" s="34"/>
      <c r="CD8499" s="34"/>
    </row>
    <row r="8500" spans="70:82" x14ac:dyDescent="0.15">
      <c r="BR8500" s="34"/>
      <c r="BV8500" s="34"/>
      <c r="BZ8500" s="34"/>
      <c r="CD8500" s="34"/>
    </row>
    <row r="8501" spans="70:82" x14ac:dyDescent="0.15">
      <c r="BR8501" s="34"/>
      <c r="BV8501" s="34"/>
      <c r="BZ8501" s="34"/>
      <c r="CD8501" s="34"/>
    </row>
    <row r="8502" spans="70:82" x14ac:dyDescent="0.15">
      <c r="BR8502" s="34"/>
      <c r="BV8502" s="34"/>
      <c r="BZ8502" s="34"/>
      <c r="CD8502" s="34"/>
    </row>
    <row r="8503" spans="70:82" x14ac:dyDescent="0.15">
      <c r="BR8503" s="34"/>
      <c r="BV8503" s="34"/>
      <c r="BZ8503" s="34"/>
      <c r="CD8503" s="34"/>
    </row>
    <row r="8504" spans="70:82" x14ac:dyDescent="0.15">
      <c r="BR8504" s="34"/>
      <c r="BV8504" s="34"/>
      <c r="BZ8504" s="34"/>
      <c r="CD8504" s="34"/>
    </row>
    <row r="8505" spans="70:82" x14ac:dyDescent="0.15">
      <c r="BR8505" s="34"/>
      <c r="BV8505" s="34"/>
      <c r="BZ8505" s="34"/>
      <c r="CD8505" s="34"/>
    </row>
    <row r="8506" spans="70:82" x14ac:dyDescent="0.15">
      <c r="BR8506" s="34"/>
      <c r="BV8506" s="34"/>
      <c r="BZ8506" s="34"/>
      <c r="CD8506" s="34"/>
    </row>
    <row r="8507" spans="70:82" x14ac:dyDescent="0.15">
      <c r="BR8507" s="34"/>
      <c r="BV8507" s="34"/>
      <c r="BZ8507" s="34"/>
      <c r="CD8507" s="34"/>
    </row>
    <row r="8508" spans="70:82" x14ac:dyDescent="0.15">
      <c r="BR8508" s="34"/>
      <c r="BV8508" s="34"/>
      <c r="BZ8508" s="34"/>
      <c r="CD8508" s="34"/>
    </row>
    <row r="8509" spans="70:82" x14ac:dyDescent="0.15">
      <c r="BR8509" s="34"/>
      <c r="BV8509" s="34"/>
      <c r="BZ8509" s="34"/>
      <c r="CD8509" s="34"/>
    </row>
    <row r="8510" spans="70:82" x14ac:dyDescent="0.15">
      <c r="BR8510" s="34"/>
      <c r="BV8510" s="34"/>
      <c r="BZ8510" s="34"/>
      <c r="CD8510" s="34"/>
    </row>
    <row r="8511" spans="70:82" x14ac:dyDescent="0.15">
      <c r="BR8511" s="34"/>
      <c r="BV8511" s="34"/>
      <c r="BZ8511" s="34"/>
      <c r="CD8511" s="34"/>
    </row>
    <row r="8512" spans="70:82" x14ac:dyDescent="0.15">
      <c r="BR8512" s="34"/>
      <c r="BV8512" s="34"/>
      <c r="BZ8512" s="34"/>
      <c r="CD8512" s="34"/>
    </row>
    <row r="8513" spans="70:82" x14ac:dyDescent="0.15">
      <c r="BR8513" s="34"/>
      <c r="BV8513" s="34"/>
      <c r="BZ8513" s="34"/>
      <c r="CD8513" s="34"/>
    </row>
    <row r="8514" spans="70:82" x14ac:dyDescent="0.15">
      <c r="BR8514" s="34"/>
      <c r="BV8514" s="34"/>
      <c r="BZ8514" s="34"/>
      <c r="CD8514" s="34"/>
    </row>
    <row r="8515" spans="70:82" x14ac:dyDescent="0.15">
      <c r="BR8515" s="34"/>
      <c r="BV8515" s="34"/>
      <c r="BZ8515" s="34"/>
      <c r="CD8515" s="34"/>
    </row>
    <row r="8516" spans="70:82" x14ac:dyDescent="0.15">
      <c r="BR8516" s="34"/>
      <c r="BV8516" s="34"/>
      <c r="BZ8516" s="34"/>
      <c r="CD8516" s="34"/>
    </row>
    <row r="8517" spans="70:82" x14ac:dyDescent="0.15">
      <c r="BR8517" s="34"/>
      <c r="BV8517" s="34"/>
      <c r="BZ8517" s="34"/>
      <c r="CD8517" s="34"/>
    </row>
    <row r="8518" spans="70:82" x14ac:dyDescent="0.15">
      <c r="BR8518" s="34"/>
      <c r="BV8518" s="34"/>
      <c r="BZ8518" s="34"/>
      <c r="CD8518" s="34"/>
    </row>
    <row r="8519" spans="70:82" x14ac:dyDescent="0.15">
      <c r="BR8519" s="34"/>
      <c r="BV8519" s="34"/>
      <c r="BZ8519" s="34"/>
      <c r="CD8519" s="34"/>
    </row>
    <row r="8520" spans="70:82" x14ac:dyDescent="0.15">
      <c r="BR8520" s="34"/>
      <c r="BV8520" s="34"/>
      <c r="BZ8520" s="34"/>
      <c r="CD8520" s="34"/>
    </row>
    <row r="8521" spans="70:82" x14ac:dyDescent="0.15">
      <c r="BR8521" s="34"/>
      <c r="BV8521" s="34"/>
      <c r="BZ8521" s="34"/>
      <c r="CD8521" s="34"/>
    </row>
    <row r="8522" spans="70:82" x14ac:dyDescent="0.15">
      <c r="BR8522" s="34"/>
      <c r="BV8522" s="34"/>
      <c r="BZ8522" s="34"/>
      <c r="CD8522" s="34"/>
    </row>
    <row r="8523" spans="70:82" x14ac:dyDescent="0.15">
      <c r="BR8523" s="34"/>
      <c r="BV8523" s="34"/>
      <c r="BZ8523" s="34"/>
      <c r="CD8523" s="34"/>
    </row>
    <row r="8524" spans="70:82" x14ac:dyDescent="0.15">
      <c r="BR8524" s="34"/>
      <c r="BV8524" s="34"/>
      <c r="BZ8524" s="34"/>
      <c r="CD8524" s="34"/>
    </row>
    <row r="8525" spans="70:82" x14ac:dyDescent="0.15">
      <c r="BR8525" s="34"/>
      <c r="BV8525" s="34"/>
      <c r="BZ8525" s="34"/>
      <c r="CD8525" s="34"/>
    </row>
    <row r="8526" spans="70:82" x14ac:dyDescent="0.15">
      <c r="BR8526" s="34"/>
      <c r="BV8526" s="34"/>
      <c r="BZ8526" s="34"/>
      <c r="CD8526" s="34"/>
    </row>
    <row r="8527" spans="70:82" x14ac:dyDescent="0.15">
      <c r="BR8527" s="34"/>
      <c r="BV8527" s="34"/>
      <c r="BZ8527" s="34"/>
      <c r="CD8527" s="34"/>
    </row>
    <row r="8528" spans="70:82" x14ac:dyDescent="0.15">
      <c r="BR8528" s="34"/>
      <c r="BV8528" s="34"/>
      <c r="BZ8528" s="34"/>
      <c r="CD8528" s="34"/>
    </row>
    <row r="8529" spans="70:82" x14ac:dyDescent="0.15">
      <c r="BR8529" s="34"/>
      <c r="BV8529" s="34"/>
      <c r="BZ8529" s="34"/>
      <c r="CD8529" s="34"/>
    </row>
    <row r="8530" spans="70:82" x14ac:dyDescent="0.15">
      <c r="BR8530" s="34"/>
      <c r="BV8530" s="34"/>
      <c r="BZ8530" s="34"/>
      <c r="CD8530" s="34"/>
    </row>
    <row r="8531" spans="70:82" x14ac:dyDescent="0.15">
      <c r="BR8531" s="34"/>
      <c r="BV8531" s="34"/>
      <c r="BZ8531" s="34"/>
      <c r="CD8531" s="34"/>
    </row>
    <row r="8532" spans="70:82" x14ac:dyDescent="0.15">
      <c r="BR8532" s="34"/>
      <c r="BV8532" s="34"/>
      <c r="BZ8532" s="34"/>
      <c r="CD8532" s="34"/>
    </row>
    <row r="8533" spans="70:82" x14ac:dyDescent="0.15">
      <c r="BR8533" s="34"/>
      <c r="BV8533" s="34"/>
      <c r="BZ8533" s="34"/>
      <c r="CD8533" s="34"/>
    </row>
    <row r="8534" spans="70:82" x14ac:dyDescent="0.15">
      <c r="BR8534" s="34"/>
      <c r="BV8534" s="34"/>
      <c r="BZ8534" s="34"/>
      <c r="CD8534" s="34"/>
    </row>
    <row r="8535" spans="70:82" x14ac:dyDescent="0.15">
      <c r="BR8535" s="34"/>
      <c r="BV8535" s="34"/>
      <c r="BZ8535" s="34"/>
      <c r="CD8535" s="34"/>
    </row>
    <row r="8536" spans="70:82" x14ac:dyDescent="0.15">
      <c r="BR8536" s="34"/>
      <c r="BV8536" s="34"/>
      <c r="BZ8536" s="34"/>
      <c r="CD8536" s="34"/>
    </row>
    <row r="8537" spans="70:82" x14ac:dyDescent="0.15">
      <c r="BR8537" s="34"/>
      <c r="BV8537" s="34"/>
      <c r="BZ8537" s="34"/>
      <c r="CD8537" s="34"/>
    </row>
    <row r="8538" spans="70:82" x14ac:dyDescent="0.15">
      <c r="BR8538" s="34"/>
      <c r="BV8538" s="34"/>
      <c r="BZ8538" s="34"/>
      <c r="CD8538" s="34"/>
    </row>
    <row r="8539" spans="70:82" x14ac:dyDescent="0.15">
      <c r="BR8539" s="34"/>
      <c r="BV8539" s="34"/>
      <c r="BZ8539" s="34"/>
      <c r="CD8539" s="34"/>
    </row>
    <row r="8540" spans="70:82" x14ac:dyDescent="0.15">
      <c r="BR8540" s="34"/>
      <c r="BV8540" s="34"/>
      <c r="BZ8540" s="34"/>
      <c r="CD8540" s="34"/>
    </row>
    <row r="8541" spans="70:82" x14ac:dyDescent="0.15">
      <c r="BR8541" s="34"/>
      <c r="BV8541" s="34"/>
      <c r="BZ8541" s="34"/>
      <c r="CD8541" s="34"/>
    </row>
    <row r="8542" spans="70:82" x14ac:dyDescent="0.15">
      <c r="BR8542" s="34"/>
      <c r="BV8542" s="34"/>
      <c r="BZ8542" s="34"/>
      <c r="CD8542" s="34"/>
    </row>
    <row r="8543" spans="70:82" x14ac:dyDescent="0.15">
      <c r="BR8543" s="34"/>
      <c r="BV8543" s="34"/>
      <c r="BZ8543" s="34"/>
      <c r="CD8543" s="34"/>
    </row>
    <row r="8544" spans="70:82" x14ac:dyDescent="0.15">
      <c r="BR8544" s="34"/>
      <c r="BV8544" s="34"/>
      <c r="BZ8544" s="34"/>
      <c r="CD8544" s="34"/>
    </row>
    <row r="8545" spans="70:82" x14ac:dyDescent="0.15">
      <c r="BR8545" s="34"/>
      <c r="BV8545" s="34"/>
      <c r="BZ8545" s="34"/>
      <c r="CD8545" s="34"/>
    </row>
    <row r="8546" spans="70:82" x14ac:dyDescent="0.15">
      <c r="BR8546" s="34"/>
      <c r="BV8546" s="34"/>
      <c r="BZ8546" s="34"/>
      <c r="CD8546" s="34"/>
    </row>
    <row r="8547" spans="70:82" x14ac:dyDescent="0.15">
      <c r="BR8547" s="34"/>
      <c r="BV8547" s="34"/>
      <c r="BZ8547" s="34"/>
      <c r="CD8547" s="34"/>
    </row>
    <row r="8548" spans="70:82" x14ac:dyDescent="0.15">
      <c r="BR8548" s="34"/>
      <c r="BV8548" s="34"/>
      <c r="BZ8548" s="34"/>
      <c r="CD8548" s="34"/>
    </row>
    <row r="8549" spans="70:82" x14ac:dyDescent="0.15">
      <c r="BR8549" s="34"/>
      <c r="BV8549" s="34"/>
      <c r="BZ8549" s="34"/>
      <c r="CD8549" s="34"/>
    </row>
    <row r="8550" spans="70:82" x14ac:dyDescent="0.15">
      <c r="BR8550" s="34"/>
      <c r="BV8550" s="34"/>
      <c r="BZ8550" s="34"/>
      <c r="CD8550" s="34"/>
    </row>
    <row r="8551" spans="70:82" x14ac:dyDescent="0.15">
      <c r="BR8551" s="34"/>
      <c r="BV8551" s="34"/>
      <c r="BZ8551" s="34"/>
      <c r="CD8551" s="34"/>
    </row>
    <row r="8552" spans="70:82" x14ac:dyDescent="0.15">
      <c r="BR8552" s="34"/>
      <c r="BV8552" s="34"/>
      <c r="BZ8552" s="34"/>
      <c r="CD8552" s="34"/>
    </row>
    <row r="8553" spans="70:82" x14ac:dyDescent="0.15">
      <c r="BR8553" s="34"/>
      <c r="BV8553" s="34"/>
      <c r="BZ8553" s="34"/>
      <c r="CD8553" s="34"/>
    </row>
    <row r="8554" spans="70:82" x14ac:dyDescent="0.15">
      <c r="BR8554" s="34"/>
      <c r="BV8554" s="34"/>
      <c r="BZ8554" s="34"/>
      <c r="CD8554" s="34"/>
    </row>
    <row r="8555" spans="70:82" x14ac:dyDescent="0.15">
      <c r="BR8555" s="34"/>
      <c r="BV8555" s="34"/>
      <c r="BZ8555" s="34"/>
      <c r="CD8555" s="34"/>
    </row>
    <row r="8556" spans="70:82" x14ac:dyDescent="0.15">
      <c r="BR8556" s="34"/>
      <c r="BV8556" s="34"/>
      <c r="BZ8556" s="34"/>
      <c r="CD8556" s="34"/>
    </row>
    <row r="8557" spans="70:82" x14ac:dyDescent="0.15">
      <c r="BR8557" s="34"/>
      <c r="BV8557" s="34"/>
      <c r="BZ8557" s="34"/>
      <c r="CD8557" s="34"/>
    </row>
    <row r="8558" spans="70:82" x14ac:dyDescent="0.15">
      <c r="BR8558" s="34"/>
      <c r="BV8558" s="34"/>
      <c r="BZ8558" s="34"/>
      <c r="CD8558" s="34"/>
    </row>
    <row r="8559" spans="70:82" x14ac:dyDescent="0.15">
      <c r="BR8559" s="34"/>
      <c r="BV8559" s="34"/>
      <c r="BZ8559" s="34"/>
      <c r="CD8559" s="34"/>
    </row>
    <row r="8560" spans="70:82" x14ac:dyDescent="0.15">
      <c r="BR8560" s="34"/>
      <c r="BV8560" s="34"/>
      <c r="BZ8560" s="34"/>
      <c r="CD8560" s="34"/>
    </row>
    <row r="8561" spans="70:82" x14ac:dyDescent="0.15">
      <c r="BR8561" s="34"/>
      <c r="BV8561" s="34"/>
      <c r="BZ8561" s="34"/>
      <c r="CD8561" s="34"/>
    </row>
    <row r="8562" spans="70:82" x14ac:dyDescent="0.15">
      <c r="BR8562" s="34"/>
      <c r="BV8562" s="34"/>
      <c r="BZ8562" s="34"/>
      <c r="CD8562" s="34"/>
    </row>
    <row r="8563" spans="70:82" x14ac:dyDescent="0.15">
      <c r="BR8563" s="34"/>
      <c r="BV8563" s="34"/>
      <c r="BZ8563" s="34"/>
      <c r="CD8563" s="34"/>
    </row>
    <row r="8564" spans="70:82" x14ac:dyDescent="0.15">
      <c r="BR8564" s="34"/>
      <c r="BV8564" s="34"/>
      <c r="BZ8564" s="34"/>
      <c r="CD8564" s="34"/>
    </row>
    <row r="8565" spans="70:82" x14ac:dyDescent="0.15">
      <c r="BR8565" s="34"/>
      <c r="BV8565" s="34"/>
      <c r="BZ8565" s="34"/>
      <c r="CD8565" s="34"/>
    </row>
    <row r="8566" spans="70:82" x14ac:dyDescent="0.15">
      <c r="BR8566" s="34"/>
      <c r="BV8566" s="34"/>
      <c r="BZ8566" s="34"/>
      <c r="CD8566" s="34"/>
    </row>
    <row r="8567" spans="70:82" x14ac:dyDescent="0.15">
      <c r="BR8567" s="34"/>
      <c r="BV8567" s="34"/>
      <c r="BZ8567" s="34"/>
      <c r="CD8567" s="34"/>
    </row>
    <row r="8568" spans="70:82" x14ac:dyDescent="0.15">
      <c r="BR8568" s="34"/>
      <c r="BV8568" s="34"/>
      <c r="BZ8568" s="34"/>
      <c r="CD8568" s="34"/>
    </row>
    <row r="8569" spans="70:82" x14ac:dyDescent="0.15">
      <c r="BR8569" s="34"/>
      <c r="BV8569" s="34"/>
      <c r="BZ8569" s="34"/>
      <c r="CD8569" s="34"/>
    </row>
    <row r="8570" spans="70:82" x14ac:dyDescent="0.15">
      <c r="BR8570" s="34"/>
      <c r="BV8570" s="34"/>
      <c r="BZ8570" s="34"/>
      <c r="CD8570" s="34"/>
    </row>
    <row r="8571" spans="70:82" x14ac:dyDescent="0.15">
      <c r="BR8571" s="34"/>
      <c r="BV8571" s="34"/>
      <c r="BZ8571" s="34"/>
      <c r="CD8571" s="34"/>
    </row>
    <row r="8572" spans="70:82" x14ac:dyDescent="0.15">
      <c r="BR8572" s="34"/>
      <c r="BV8572" s="34"/>
      <c r="BZ8572" s="34"/>
      <c r="CD8572" s="34"/>
    </row>
    <row r="8573" spans="70:82" x14ac:dyDescent="0.15">
      <c r="BR8573" s="34"/>
      <c r="BV8573" s="34"/>
      <c r="BZ8573" s="34"/>
      <c r="CD8573" s="34"/>
    </row>
    <row r="8574" spans="70:82" x14ac:dyDescent="0.15">
      <c r="BR8574" s="34"/>
      <c r="BV8574" s="34"/>
      <c r="BZ8574" s="34"/>
      <c r="CD8574" s="34"/>
    </row>
    <row r="8575" spans="70:82" x14ac:dyDescent="0.15">
      <c r="BR8575" s="34"/>
      <c r="BV8575" s="34"/>
      <c r="BZ8575" s="34"/>
      <c r="CD8575" s="34"/>
    </row>
    <row r="8576" spans="70:82" x14ac:dyDescent="0.15">
      <c r="BR8576" s="34"/>
      <c r="BV8576" s="34"/>
      <c r="BZ8576" s="34"/>
      <c r="CD8576" s="34"/>
    </row>
    <row r="8577" spans="70:82" x14ac:dyDescent="0.15">
      <c r="BR8577" s="34"/>
      <c r="BV8577" s="34"/>
      <c r="BZ8577" s="34"/>
      <c r="CD8577" s="34"/>
    </row>
    <row r="8578" spans="70:82" x14ac:dyDescent="0.15">
      <c r="BR8578" s="34"/>
      <c r="BV8578" s="34"/>
      <c r="BZ8578" s="34"/>
      <c r="CD8578" s="34"/>
    </row>
    <row r="8579" spans="70:82" x14ac:dyDescent="0.15">
      <c r="BR8579" s="34"/>
      <c r="BV8579" s="34"/>
      <c r="BZ8579" s="34"/>
      <c r="CD8579" s="34"/>
    </row>
    <row r="8580" spans="70:82" x14ac:dyDescent="0.15">
      <c r="BR8580" s="34"/>
      <c r="BV8580" s="34"/>
      <c r="BZ8580" s="34"/>
      <c r="CD8580" s="34"/>
    </row>
    <row r="8581" spans="70:82" x14ac:dyDescent="0.15">
      <c r="BR8581" s="34"/>
      <c r="BV8581" s="34"/>
      <c r="BZ8581" s="34"/>
      <c r="CD8581" s="34"/>
    </row>
    <row r="8582" spans="70:82" x14ac:dyDescent="0.15">
      <c r="BR8582" s="34"/>
      <c r="BV8582" s="34"/>
      <c r="BZ8582" s="34"/>
      <c r="CD8582" s="34"/>
    </row>
    <row r="8583" spans="70:82" x14ac:dyDescent="0.15">
      <c r="BR8583" s="34"/>
      <c r="BV8583" s="34"/>
      <c r="BZ8583" s="34"/>
      <c r="CD8583" s="34"/>
    </row>
    <row r="8584" spans="70:82" x14ac:dyDescent="0.15">
      <c r="BR8584" s="34"/>
      <c r="BV8584" s="34"/>
      <c r="BZ8584" s="34"/>
      <c r="CD8584" s="34"/>
    </row>
    <row r="8585" spans="70:82" x14ac:dyDescent="0.15">
      <c r="BR8585" s="34"/>
      <c r="BV8585" s="34"/>
      <c r="BZ8585" s="34"/>
      <c r="CD8585" s="34"/>
    </row>
    <row r="8586" spans="70:82" x14ac:dyDescent="0.15">
      <c r="BR8586" s="34"/>
      <c r="BV8586" s="34"/>
      <c r="BZ8586" s="34"/>
      <c r="CD8586" s="34"/>
    </row>
    <row r="8587" spans="70:82" x14ac:dyDescent="0.15">
      <c r="BR8587" s="34"/>
      <c r="BV8587" s="34"/>
      <c r="BZ8587" s="34"/>
      <c r="CD8587" s="34"/>
    </row>
    <row r="8588" spans="70:82" x14ac:dyDescent="0.15">
      <c r="BR8588" s="34"/>
      <c r="BV8588" s="34"/>
      <c r="BZ8588" s="34"/>
      <c r="CD8588" s="34"/>
    </row>
    <row r="8589" spans="70:82" x14ac:dyDescent="0.15">
      <c r="BR8589" s="34"/>
      <c r="BV8589" s="34"/>
      <c r="BZ8589" s="34"/>
      <c r="CD8589" s="34"/>
    </row>
    <row r="8590" spans="70:82" x14ac:dyDescent="0.15">
      <c r="BR8590" s="34"/>
      <c r="BV8590" s="34"/>
      <c r="BZ8590" s="34"/>
      <c r="CD8590" s="34"/>
    </row>
    <row r="8591" spans="70:82" x14ac:dyDescent="0.15">
      <c r="BR8591" s="34"/>
      <c r="BV8591" s="34"/>
      <c r="BZ8591" s="34"/>
      <c r="CD8591" s="34"/>
    </row>
    <row r="8592" spans="70:82" x14ac:dyDescent="0.15">
      <c r="BR8592" s="34"/>
      <c r="BV8592" s="34"/>
      <c r="BZ8592" s="34"/>
      <c r="CD8592" s="34"/>
    </row>
    <row r="8593" spans="70:82" x14ac:dyDescent="0.15">
      <c r="BR8593" s="34"/>
      <c r="BV8593" s="34"/>
      <c r="BZ8593" s="34"/>
      <c r="CD8593" s="34"/>
    </row>
    <row r="8594" spans="70:82" x14ac:dyDescent="0.15">
      <c r="BR8594" s="34"/>
      <c r="BV8594" s="34"/>
      <c r="BZ8594" s="34"/>
      <c r="CD8594" s="34"/>
    </row>
    <row r="8595" spans="70:82" x14ac:dyDescent="0.15">
      <c r="BR8595" s="34"/>
      <c r="BV8595" s="34"/>
      <c r="BZ8595" s="34"/>
      <c r="CD8595" s="34"/>
    </row>
    <row r="8596" spans="70:82" x14ac:dyDescent="0.15">
      <c r="BR8596" s="34"/>
      <c r="BV8596" s="34"/>
      <c r="BZ8596" s="34"/>
      <c r="CD8596" s="34"/>
    </row>
    <row r="8597" spans="70:82" x14ac:dyDescent="0.15">
      <c r="BR8597" s="34"/>
      <c r="BV8597" s="34"/>
      <c r="BZ8597" s="34"/>
      <c r="CD8597" s="34"/>
    </row>
    <row r="8598" spans="70:82" x14ac:dyDescent="0.15">
      <c r="BR8598" s="34"/>
      <c r="BV8598" s="34"/>
      <c r="BZ8598" s="34"/>
      <c r="CD8598" s="34"/>
    </row>
    <row r="8599" spans="70:82" x14ac:dyDescent="0.15">
      <c r="BR8599" s="34"/>
      <c r="BV8599" s="34"/>
      <c r="BZ8599" s="34"/>
      <c r="CD8599" s="34"/>
    </row>
    <row r="8600" spans="70:82" x14ac:dyDescent="0.15">
      <c r="BR8600" s="34"/>
      <c r="BV8600" s="34"/>
      <c r="BZ8600" s="34"/>
      <c r="CD8600" s="34"/>
    </row>
    <row r="8601" spans="70:82" x14ac:dyDescent="0.15">
      <c r="BR8601" s="34"/>
      <c r="BV8601" s="34"/>
      <c r="BZ8601" s="34"/>
      <c r="CD8601" s="34"/>
    </row>
    <row r="8602" spans="70:82" x14ac:dyDescent="0.15">
      <c r="BR8602" s="34"/>
      <c r="BV8602" s="34"/>
      <c r="BZ8602" s="34"/>
      <c r="CD8602" s="34"/>
    </row>
    <row r="8603" spans="70:82" x14ac:dyDescent="0.15">
      <c r="BR8603" s="34"/>
      <c r="BV8603" s="34"/>
      <c r="BZ8603" s="34"/>
      <c r="CD8603" s="34"/>
    </row>
    <row r="8604" spans="70:82" x14ac:dyDescent="0.15">
      <c r="BR8604" s="34"/>
      <c r="BV8604" s="34"/>
      <c r="BZ8604" s="34"/>
      <c r="CD8604" s="34"/>
    </row>
    <row r="8605" spans="70:82" x14ac:dyDescent="0.15">
      <c r="BR8605" s="34"/>
      <c r="BV8605" s="34"/>
      <c r="BZ8605" s="34"/>
      <c r="CD8605" s="34"/>
    </row>
    <row r="8606" spans="70:82" x14ac:dyDescent="0.15">
      <c r="BR8606" s="34"/>
      <c r="BV8606" s="34"/>
      <c r="BZ8606" s="34"/>
      <c r="CD8606" s="34"/>
    </row>
    <row r="8607" spans="70:82" x14ac:dyDescent="0.15">
      <c r="BR8607" s="34"/>
      <c r="BV8607" s="34"/>
      <c r="BZ8607" s="34"/>
      <c r="CD8607" s="34"/>
    </row>
    <row r="8608" spans="70:82" x14ac:dyDescent="0.15">
      <c r="BR8608" s="34"/>
      <c r="BV8608" s="34"/>
      <c r="BZ8608" s="34"/>
      <c r="CD8608" s="34"/>
    </row>
    <row r="8609" spans="70:82" x14ac:dyDescent="0.15">
      <c r="BR8609" s="34"/>
      <c r="BV8609" s="34"/>
      <c r="BZ8609" s="34"/>
      <c r="CD8609" s="34"/>
    </row>
    <row r="8610" spans="70:82" x14ac:dyDescent="0.15">
      <c r="BR8610" s="34"/>
      <c r="BV8610" s="34"/>
      <c r="BZ8610" s="34"/>
      <c r="CD8610" s="34"/>
    </row>
    <row r="8611" spans="70:82" x14ac:dyDescent="0.15">
      <c r="BR8611" s="34"/>
      <c r="BV8611" s="34"/>
      <c r="BZ8611" s="34"/>
      <c r="CD8611" s="34"/>
    </row>
    <row r="8612" spans="70:82" x14ac:dyDescent="0.15">
      <c r="BR8612" s="34"/>
      <c r="BV8612" s="34"/>
      <c r="BZ8612" s="34"/>
      <c r="CD8612" s="34"/>
    </row>
    <row r="8613" spans="70:82" x14ac:dyDescent="0.15">
      <c r="BR8613" s="34"/>
      <c r="BV8613" s="34"/>
      <c r="BZ8613" s="34"/>
      <c r="CD8613" s="34"/>
    </row>
    <row r="8614" spans="70:82" x14ac:dyDescent="0.15">
      <c r="BR8614" s="34"/>
      <c r="BV8614" s="34"/>
      <c r="BZ8614" s="34"/>
      <c r="CD8614" s="34"/>
    </row>
    <row r="8615" spans="70:82" x14ac:dyDescent="0.15">
      <c r="BR8615" s="34"/>
      <c r="BV8615" s="34"/>
      <c r="BZ8615" s="34"/>
      <c r="CD8615" s="34"/>
    </row>
    <row r="8616" spans="70:82" x14ac:dyDescent="0.15">
      <c r="BR8616" s="34"/>
      <c r="BV8616" s="34"/>
      <c r="BZ8616" s="34"/>
      <c r="CD8616" s="34"/>
    </row>
    <row r="8617" spans="70:82" x14ac:dyDescent="0.15">
      <c r="BR8617" s="34"/>
      <c r="BV8617" s="34"/>
      <c r="BZ8617" s="34"/>
      <c r="CD8617" s="34"/>
    </row>
    <row r="8618" spans="70:82" x14ac:dyDescent="0.15">
      <c r="BR8618" s="34"/>
      <c r="BV8618" s="34"/>
      <c r="BZ8618" s="34"/>
      <c r="CD8618" s="34"/>
    </row>
    <row r="8619" spans="70:82" x14ac:dyDescent="0.15">
      <c r="BR8619" s="34"/>
      <c r="BV8619" s="34"/>
      <c r="BZ8619" s="34"/>
      <c r="CD8619" s="34"/>
    </row>
    <row r="8620" spans="70:82" x14ac:dyDescent="0.15">
      <c r="BR8620" s="34"/>
      <c r="BV8620" s="34"/>
      <c r="BZ8620" s="34"/>
      <c r="CD8620" s="34"/>
    </row>
    <row r="8621" spans="70:82" x14ac:dyDescent="0.15">
      <c r="BR8621" s="34"/>
      <c r="BV8621" s="34"/>
      <c r="BZ8621" s="34"/>
      <c r="CD8621" s="34"/>
    </row>
    <row r="8622" spans="70:82" x14ac:dyDescent="0.15">
      <c r="BR8622" s="34"/>
      <c r="BV8622" s="34"/>
      <c r="BZ8622" s="34"/>
      <c r="CD8622" s="34"/>
    </row>
    <row r="8623" spans="70:82" x14ac:dyDescent="0.15">
      <c r="BR8623" s="34"/>
      <c r="BV8623" s="34"/>
      <c r="BZ8623" s="34"/>
      <c r="CD8623" s="34"/>
    </row>
    <row r="8624" spans="70:82" x14ac:dyDescent="0.15">
      <c r="BR8624" s="34"/>
      <c r="BV8624" s="34"/>
      <c r="BZ8624" s="34"/>
      <c r="CD8624" s="34"/>
    </row>
    <row r="8625" spans="70:82" x14ac:dyDescent="0.15">
      <c r="BR8625" s="34"/>
      <c r="BV8625" s="34"/>
      <c r="BZ8625" s="34"/>
      <c r="CD8625" s="34"/>
    </row>
    <row r="8626" spans="70:82" x14ac:dyDescent="0.15">
      <c r="BR8626" s="34"/>
      <c r="BV8626" s="34"/>
      <c r="BZ8626" s="34"/>
      <c r="CD8626" s="34"/>
    </row>
    <row r="8627" spans="70:82" x14ac:dyDescent="0.15">
      <c r="BR8627" s="34"/>
      <c r="BV8627" s="34"/>
      <c r="BZ8627" s="34"/>
      <c r="CD8627" s="34"/>
    </row>
    <row r="8628" spans="70:82" x14ac:dyDescent="0.15">
      <c r="BR8628" s="34"/>
      <c r="BV8628" s="34"/>
      <c r="BZ8628" s="34"/>
      <c r="CD8628" s="34"/>
    </row>
    <row r="8629" spans="70:82" x14ac:dyDescent="0.15">
      <c r="BR8629" s="34"/>
      <c r="BV8629" s="34"/>
      <c r="BZ8629" s="34"/>
      <c r="CD8629" s="34"/>
    </row>
    <row r="8630" spans="70:82" x14ac:dyDescent="0.15">
      <c r="BR8630" s="34"/>
      <c r="BV8630" s="34"/>
      <c r="BZ8630" s="34"/>
      <c r="CD8630" s="34"/>
    </row>
    <row r="8631" spans="70:82" x14ac:dyDescent="0.15">
      <c r="BR8631" s="34"/>
      <c r="BV8631" s="34"/>
      <c r="BZ8631" s="34"/>
      <c r="CD8631" s="34"/>
    </row>
    <row r="8632" spans="70:82" x14ac:dyDescent="0.15">
      <c r="BR8632" s="34"/>
      <c r="BV8632" s="34"/>
      <c r="BZ8632" s="34"/>
      <c r="CD8632" s="34"/>
    </row>
    <row r="8633" spans="70:82" x14ac:dyDescent="0.15">
      <c r="BR8633" s="34"/>
      <c r="BV8633" s="34"/>
      <c r="BZ8633" s="34"/>
      <c r="CD8633" s="34"/>
    </row>
    <row r="8634" spans="70:82" x14ac:dyDescent="0.15">
      <c r="BR8634" s="34"/>
      <c r="BV8634" s="34"/>
      <c r="BZ8634" s="34"/>
      <c r="CD8634" s="34"/>
    </row>
    <row r="8635" spans="70:82" x14ac:dyDescent="0.15">
      <c r="BR8635" s="34"/>
      <c r="BV8635" s="34"/>
      <c r="BZ8635" s="34"/>
      <c r="CD8635" s="34"/>
    </row>
    <row r="8636" spans="70:82" x14ac:dyDescent="0.15">
      <c r="BR8636" s="34"/>
      <c r="BV8636" s="34"/>
      <c r="BZ8636" s="34"/>
      <c r="CD8636" s="34"/>
    </row>
    <row r="8637" spans="70:82" x14ac:dyDescent="0.15">
      <c r="BR8637" s="34"/>
      <c r="BV8637" s="34"/>
      <c r="BZ8637" s="34"/>
      <c r="CD8637" s="34"/>
    </row>
    <row r="8638" spans="70:82" x14ac:dyDescent="0.15">
      <c r="BR8638" s="34"/>
      <c r="BV8638" s="34"/>
      <c r="BZ8638" s="34"/>
      <c r="CD8638" s="34"/>
    </row>
    <row r="8639" spans="70:82" x14ac:dyDescent="0.15">
      <c r="BR8639" s="34"/>
      <c r="BV8639" s="34"/>
      <c r="BZ8639" s="34"/>
      <c r="CD8639" s="34"/>
    </row>
    <row r="8640" spans="70:82" x14ac:dyDescent="0.15">
      <c r="BR8640" s="34"/>
      <c r="BV8640" s="34"/>
      <c r="BZ8640" s="34"/>
      <c r="CD8640" s="34"/>
    </row>
    <row r="8641" spans="70:82" x14ac:dyDescent="0.15">
      <c r="BR8641" s="34"/>
      <c r="BV8641" s="34"/>
      <c r="BZ8641" s="34"/>
      <c r="CD8641" s="34"/>
    </row>
    <row r="8642" spans="70:82" x14ac:dyDescent="0.15">
      <c r="BR8642" s="34"/>
      <c r="BV8642" s="34"/>
      <c r="BZ8642" s="34"/>
      <c r="CD8642" s="34"/>
    </row>
    <row r="8643" spans="70:82" x14ac:dyDescent="0.15">
      <c r="BR8643" s="34"/>
      <c r="BV8643" s="34"/>
      <c r="BZ8643" s="34"/>
      <c r="CD8643" s="34"/>
    </row>
    <row r="8644" spans="70:82" x14ac:dyDescent="0.15">
      <c r="BR8644" s="34"/>
      <c r="BV8644" s="34"/>
      <c r="BZ8644" s="34"/>
      <c r="CD8644" s="34"/>
    </row>
    <row r="8645" spans="70:82" x14ac:dyDescent="0.15">
      <c r="BR8645" s="34"/>
      <c r="BV8645" s="34"/>
      <c r="BZ8645" s="34"/>
      <c r="CD8645" s="34"/>
    </row>
    <row r="8646" spans="70:82" x14ac:dyDescent="0.15">
      <c r="BR8646" s="34"/>
      <c r="BV8646" s="34"/>
      <c r="BZ8646" s="34"/>
      <c r="CD8646" s="34"/>
    </row>
    <row r="8647" spans="70:82" x14ac:dyDescent="0.15">
      <c r="BR8647" s="34"/>
      <c r="BV8647" s="34"/>
      <c r="BZ8647" s="34"/>
      <c r="CD8647" s="34"/>
    </row>
    <row r="8648" spans="70:82" x14ac:dyDescent="0.15">
      <c r="BR8648" s="34"/>
      <c r="BV8648" s="34"/>
      <c r="BZ8648" s="34"/>
      <c r="CD8648" s="34"/>
    </row>
    <row r="8649" spans="70:82" x14ac:dyDescent="0.15">
      <c r="BR8649" s="34"/>
      <c r="BV8649" s="34"/>
      <c r="BZ8649" s="34"/>
      <c r="CD8649" s="34"/>
    </row>
    <row r="8650" spans="70:82" x14ac:dyDescent="0.15">
      <c r="BR8650" s="34"/>
      <c r="BV8650" s="34"/>
      <c r="BZ8650" s="34"/>
      <c r="CD8650" s="34"/>
    </row>
    <row r="8651" spans="70:82" x14ac:dyDescent="0.15">
      <c r="BR8651" s="34"/>
      <c r="BV8651" s="34"/>
      <c r="BZ8651" s="34"/>
      <c r="CD8651" s="34"/>
    </row>
    <row r="8652" spans="70:82" x14ac:dyDescent="0.15">
      <c r="BR8652" s="34"/>
      <c r="BV8652" s="34"/>
      <c r="BZ8652" s="34"/>
      <c r="CD8652" s="34"/>
    </row>
    <row r="8653" spans="70:82" x14ac:dyDescent="0.15">
      <c r="BR8653" s="34"/>
      <c r="BV8653" s="34"/>
      <c r="BZ8653" s="34"/>
      <c r="CD8653" s="34"/>
    </row>
    <row r="8654" spans="70:82" x14ac:dyDescent="0.15">
      <c r="BR8654" s="34"/>
      <c r="BV8654" s="34"/>
      <c r="BZ8654" s="34"/>
      <c r="CD8654" s="34"/>
    </row>
    <row r="8655" spans="70:82" x14ac:dyDescent="0.15">
      <c r="BR8655" s="34"/>
      <c r="BV8655" s="34"/>
      <c r="BZ8655" s="34"/>
      <c r="CD8655" s="34"/>
    </row>
    <row r="8656" spans="70:82" x14ac:dyDescent="0.15">
      <c r="BR8656" s="34"/>
      <c r="BV8656" s="34"/>
      <c r="BZ8656" s="34"/>
      <c r="CD8656" s="34"/>
    </row>
    <row r="8657" spans="70:82" x14ac:dyDescent="0.15">
      <c r="BR8657" s="34"/>
      <c r="BV8657" s="34"/>
      <c r="BZ8657" s="34"/>
      <c r="CD8657" s="34"/>
    </row>
    <row r="8658" spans="70:82" x14ac:dyDescent="0.15">
      <c r="BR8658" s="34"/>
      <c r="BV8658" s="34"/>
      <c r="BZ8658" s="34"/>
      <c r="CD8658" s="34"/>
    </row>
    <row r="8659" spans="70:82" x14ac:dyDescent="0.15">
      <c r="BR8659" s="34"/>
      <c r="BV8659" s="34"/>
      <c r="BZ8659" s="34"/>
      <c r="CD8659" s="34"/>
    </row>
    <row r="8660" spans="70:82" x14ac:dyDescent="0.15">
      <c r="BR8660" s="34"/>
      <c r="BV8660" s="34"/>
      <c r="BZ8660" s="34"/>
      <c r="CD8660" s="34"/>
    </row>
    <row r="8661" spans="70:82" x14ac:dyDescent="0.15">
      <c r="BR8661" s="34"/>
      <c r="BV8661" s="34"/>
      <c r="BZ8661" s="34"/>
      <c r="CD8661" s="34"/>
    </row>
    <row r="8662" spans="70:82" x14ac:dyDescent="0.15">
      <c r="BR8662" s="34"/>
      <c r="BV8662" s="34"/>
      <c r="BZ8662" s="34"/>
      <c r="CD8662" s="34"/>
    </row>
    <row r="8663" spans="70:82" x14ac:dyDescent="0.15">
      <c r="BR8663" s="34"/>
      <c r="BV8663" s="34"/>
      <c r="BZ8663" s="34"/>
      <c r="CD8663" s="34"/>
    </row>
    <row r="8664" spans="70:82" x14ac:dyDescent="0.15">
      <c r="BR8664" s="34"/>
      <c r="BV8664" s="34"/>
      <c r="BZ8664" s="34"/>
      <c r="CD8664" s="34"/>
    </row>
    <row r="8665" spans="70:82" x14ac:dyDescent="0.15">
      <c r="BR8665" s="34"/>
      <c r="BV8665" s="34"/>
      <c r="BZ8665" s="34"/>
      <c r="CD8665" s="34"/>
    </row>
    <row r="8666" spans="70:82" x14ac:dyDescent="0.15">
      <c r="BR8666" s="34"/>
      <c r="BV8666" s="34"/>
      <c r="BZ8666" s="34"/>
      <c r="CD8666" s="34"/>
    </row>
    <row r="8667" spans="70:82" x14ac:dyDescent="0.15">
      <c r="BR8667" s="34"/>
      <c r="BV8667" s="34"/>
      <c r="BZ8667" s="34"/>
      <c r="CD8667" s="34"/>
    </row>
    <row r="8668" spans="70:82" x14ac:dyDescent="0.15">
      <c r="BR8668" s="34"/>
      <c r="BV8668" s="34"/>
      <c r="BZ8668" s="34"/>
      <c r="CD8668" s="34"/>
    </row>
    <row r="8669" spans="70:82" x14ac:dyDescent="0.15">
      <c r="BR8669" s="34"/>
      <c r="BV8669" s="34"/>
      <c r="BZ8669" s="34"/>
      <c r="CD8669" s="34"/>
    </row>
    <row r="8670" spans="70:82" x14ac:dyDescent="0.15">
      <c r="BR8670" s="34"/>
      <c r="BV8670" s="34"/>
      <c r="BZ8670" s="34"/>
      <c r="CD8670" s="34"/>
    </row>
    <row r="8671" spans="70:82" x14ac:dyDescent="0.15">
      <c r="BR8671" s="34"/>
      <c r="BV8671" s="34"/>
      <c r="BZ8671" s="34"/>
      <c r="CD8671" s="34"/>
    </row>
    <row r="8672" spans="70:82" x14ac:dyDescent="0.15">
      <c r="BR8672" s="34"/>
      <c r="BV8672" s="34"/>
      <c r="BZ8672" s="34"/>
      <c r="CD8672" s="34"/>
    </row>
    <row r="8673" spans="70:82" x14ac:dyDescent="0.15">
      <c r="BR8673" s="34"/>
      <c r="BV8673" s="34"/>
      <c r="BZ8673" s="34"/>
      <c r="CD8673" s="34"/>
    </row>
    <row r="8674" spans="70:82" x14ac:dyDescent="0.15">
      <c r="BR8674" s="34"/>
      <c r="BV8674" s="34"/>
      <c r="BZ8674" s="34"/>
      <c r="CD8674" s="34"/>
    </row>
    <row r="8675" spans="70:82" x14ac:dyDescent="0.15">
      <c r="BR8675" s="34"/>
      <c r="BV8675" s="34"/>
      <c r="BZ8675" s="34"/>
      <c r="CD8675" s="34"/>
    </row>
    <row r="8676" spans="70:82" x14ac:dyDescent="0.15">
      <c r="BR8676" s="34"/>
      <c r="BV8676" s="34"/>
      <c r="BZ8676" s="34"/>
      <c r="CD8676" s="34"/>
    </row>
    <row r="8677" spans="70:82" x14ac:dyDescent="0.15">
      <c r="BR8677" s="34"/>
      <c r="BV8677" s="34"/>
      <c r="BZ8677" s="34"/>
      <c r="CD8677" s="34"/>
    </row>
    <row r="8678" spans="70:82" x14ac:dyDescent="0.15">
      <c r="BR8678" s="34"/>
      <c r="BV8678" s="34"/>
      <c r="BZ8678" s="34"/>
      <c r="CD8678" s="34"/>
    </row>
    <row r="8679" spans="70:82" x14ac:dyDescent="0.15">
      <c r="BR8679" s="34"/>
      <c r="BV8679" s="34"/>
      <c r="BZ8679" s="34"/>
      <c r="CD8679" s="34"/>
    </row>
    <row r="8680" spans="70:82" x14ac:dyDescent="0.15">
      <c r="BR8680" s="34"/>
      <c r="BV8680" s="34"/>
      <c r="BZ8680" s="34"/>
      <c r="CD8680" s="34"/>
    </row>
    <row r="8681" spans="70:82" x14ac:dyDescent="0.15">
      <c r="BR8681" s="34"/>
      <c r="BV8681" s="34"/>
      <c r="BZ8681" s="34"/>
      <c r="CD8681" s="34"/>
    </row>
    <row r="8682" spans="70:82" x14ac:dyDescent="0.15">
      <c r="BR8682" s="34"/>
      <c r="BV8682" s="34"/>
      <c r="BZ8682" s="34"/>
      <c r="CD8682" s="34"/>
    </row>
    <row r="8683" spans="70:82" x14ac:dyDescent="0.15">
      <c r="BR8683" s="34"/>
      <c r="BV8683" s="34"/>
      <c r="BZ8683" s="34"/>
      <c r="CD8683" s="34"/>
    </row>
    <row r="8684" spans="70:82" x14ac:dyDescent="0.15">
      <c r="BR8684" s="34"/>
      <c r="BV8684" s="34"/>
      <c r="BZ8684" s="34"/>
      <c r="CD8684" s="34"/>
    </row>
    <row r="8685" spans="70:82" x14ac:dyDescent="0.15">
      <c r="BR8685" s="34"/>
      <c r="BV8685" s="34"/>
      <c r="BZ8685" s="34"/>
      <c r="CD8685" s="34"/>
    </row>
    <row r="8686" spans="70:82" x14ac:dyDescent="0.15">
      <c r="BR8686" s="34"/>
      <c r="BV8686" s="34"/>
      <c r="BZ8686" s="34"/>
      <c r="CD8686" s="34"/>
    </row>
    <row r="8687" spans="70:82" x14ac:dyDescent="0.15">
      <c r="BR8687" s="34"/>
      <c r="BV8687" s="34"/>
      <c r="BZ8687" s="34"/>
      <c r="CD8687" s="34"/>
    </row>
    <row r="8688" spans="70:82" x14ac:dyDescent="0.15">
      <c r="BR8688" s="34"/>
      <c r="BV8688" s="34"/>
      <c r="BZ8688" s="34"/>
      <c r="CD8688" s="34"/>
    </row>
    <row r="8689" spans="70:82" x14ac:dyDescent="0.15">
      <c r="BR8689" s="34"/>
      <c r="BV8689" s="34"/>
      <c r="BZ8689" s="34"/>
      <c r="CD8689" s="34"/>
    </row>
    <row r="8690" spans="70:82" x14ac:dyDescent="0.15">
      <c r="BR8690" s="34"/>
      <c r="BV8690" s="34"/>
      <c r="BZ8690" s="34"/>
      <c r="CD8690" s="34"/>
    </row>
    <row r="8691" spans="70:82" x14ac:dyDescent="0.15">
      <c r="BR8691" s="34"/>
      <c r="BV8691" s="34"/>
      <c r="BZ8691" s="34"/>
      <c r="CD8691" s="34"/>
    </row>
    <row r="8692" spans="70:82" x14ac:dyDescent="0.15">
      <c r="BR8692" s="34"/>
      <c r="BV8692" s="34"/>
      <c r="BZ8692" s="34"/>
      <c r="CD8692" s="34"/>
    </row>
    <row r="8693" spans="70:82" x14ac:dyDescent="0.15">
      <c r="BR8693" s="34"/>
      <c r="BV8693" s="34"/>
      <c r="BZ8693" s="34"/>
      <c r="CD8693" s="34"/>
    </row>
    <row r="8694" spans="70:82" x14ac:dyDescent="0.15">
      <c r="BR8694" s="34"/>
      <c r="BV8694" s="34"/>
      <c r="BZ8694" s="34"/>
      <c r="CD8694" s="34"/>
    </row>
    <row r="8695" spans="70:82" x14ac:dyDescent="0.15">
      <c r="BR8695" s="34"/>
      <c r="BV8695" s="34"/>
      <c r="BZ8695" s="34"/>
      <c r="CD8695" s="34"/>
    </row>
    <row r="8696" spans="70:82" x14ac:dyDescent="0.15">
      <c r="BR8696" s="34"/>
      <c r="BV8696" s="34"/>
      <c r="BZ8696" s="34"/>
      <c r="CD8696" s="34"/>
    </row>
    <row r="8697" spans="70:82" x14ac:dyDescent="0.15">
      <c r="BR8697" s="34"/>
      <c r="BV8697" s="34"/>
      <c r="BZ8697" s="34"/>
      <c r="CD8697" s="34"/>
    </row>
    <row r="8698" spans="70:82" x14ac:dyDescent="0.15">
      <c r="BR8698" s="34"/>
      <c r="BV8698" s="34"/>
      <c r="BZ8698" s="34"/>
      <c r="CD8698" s="34"/>
    </row>
    <row r="8699" spans="70:82" x14ac:dyDescent="0.15">
      <c r="BR8699" s="34"/>
      <c r="BV8699" s="34"/>
      <c r="BZ8699" s="34"/>
      <c r="CD8699" s="34"/>
    </row>
    <row r="8700" spans="70:82" x14ac:dyDescent="0.15">
      <c r="BR8700" s="34"/>
      <c r="BV8700" s="34"/>
      <c r="BZ8700" s="34"/>
      <c r="CD8700" s="34"/>
    </row>
    <row r="8701" spans="70:82" x14ac:dyDescent="0.15">
      <c r="BR8701" s="34"/>
      <c r="BV8701" s="34"/>
      <c r="BZ8701" s="34"/>
      <c r="CD8701" s="34"/>
    </row>
    <row r="8702" spans="70:82" x14ac:dyDescent="0.15">
      <c r="BR8702" s="34"/>
      <c r="BV8702" s="34"/>
      <c r="BZ8702" s="34"/>
      <c r="CD8702" s="34"/>
    </row>
    <row r="8703" spans="70:82" x14ac:dyDescent="0.15">
      <c r="BR8703" s="34"/>
      <c r="BV8703" s="34"/>
      <c r="BZ8703" s="34"/>
      <c r="CD8703" s="34"/>
    </row>
    <row r="8704" spans="70:82" x14ac:dyDescent="0.15">
      <c r="BR8704" s="34"/>
      <c r="BV8704" s="34"/>
      <c r="BZ8704" s="34"/>
      <c r="CD8704" s="34"/>
    </row>
    <row r="8705" spans="70:82" x14ac:dyDescent="0.15">
      <c r="BR8705" s="34"/>
      <c r="BV8705" s="34"/>
      <c r="BZ8705" s="34"/>
      <c r="CD8705" s="34"/>
    </row>
    <row r="8706" spans="70:82" x14ac:dyDescent="0.15">
      <c r="BR8706" s="34"/>
      <c r="BV8706" s="34"/>
      <c r="BZ8706" s="34"/>
      <c r="CD8706" s="34"/>
    </row>
    <row r="8707" spans="70:82" x14ac:dyDescent="0.15">
      <c r="BR8707" s="34"/>
      <c r="BV8707" s="34"/>
      <c r="BZ8707" s="34"/>
      <c r="CD8707" s="34"/>
    </row>
    <row r="8708" spans="70:82" x14ac:dyDescent="0.15">
      <c r="BR8708" s="34"/>
      <c r="BV8708" s="34"/>
      <c r="BZ8708" s="34"/>
      <c r="CD8708" s="34"/>
    </row>
    <row r="8709" spans="70:82" x14ac:dyDescent="0.15">
      <c r="BR8709" s="34"/>
      <c r="BV8709" s="34"/>
      <c r="BZ8709" s="34"/>
      <c r="CD8709" s="34"/>
    </row>
    <row r="8710" spans="70:82" x14ac:dyDescent="0.15">
      <c r="BR8710" s="34"/>
      <c r="BV8710" s="34"/>
      <c r="BZ8710" s="34"/>
      <c r="CD8710" s="34"/>
    </row>
    <row r="8711" spans="70:82" x14ac:dyDescent="0.15">
      <c r="BR8711" s="34"/>
      <c r="BV8711" s="34"/>
      <c r="BZ8711" s="34"/>
      <c r="CD8711" s="34"/>
    </row>
    <row r="8712" spans="70:82" x14ac:dyDescent="0.15">
      <c r="BR8712" s="34"/>
      <c r="BV8712" s="34"/>
      <c r="BZ8712" s="34"/>
      <c r="CD8712" s="34"/>
    </row>
    <row r="8713" spans="70:82" x14ac:dyDescent="0.15">
      <c r="BR8713" s="34"/>
      <c r="BV8713" s="34"/>
      <c r="BZ8713" s="34"/>
      <c r="CD8713" s="34"/>
    </row>
    <row r="8714" spans="70:82" x14ac:dyDescent="0.15">
      <c r="BR8714" s="34"/>
      <c r="BV8714" s="34"/>
      <c r="BZ8714" s="34"/>
      <c r="CD8714" s="34"/>
    </row>
    <row r="8715" spans="70:82" x14ac:dyDescent="0.15">
      <c r="BR8715" s="34"/>
      <c r="BV8715" s="34"/>
      <c r="BZ8715" s="34"/>
      <c r="CD8715" s="34"/>
    </row>
    <row r="8716" spans="70:82" x14ac:dyDescent="0.15">
      <c r="BR8716" s="34"/>
      <c r="BV8716" s="34"/>
      <c r="BZ8716" s="34"/>
      <c r="CD8716" s="34"/>
    </row>
    <row r="8717" spans="70:82" x14ac:dyDescent="0.15">
      <c r="BR8717" s="34"/>
      <c r="BV8717" s="34"/>
      <c r="BZ8717" s="34"/>
      <c r="CD8717" s="34"/>
    </row>
    <row r="8718" spans="70:82" x14ac:dyDescent="0.15">
      <c r="BR8718" s="34"/>
      <c r="BV8718" s="34"/>
      <c r="BZ8718" s="34"/>
      <c r="CD8718" s="34"/>
    </row>
    <row r="8719" spans="70:82" x14ac:dyDescent="0.15">
      <c r="BR8719" s="34"/>
      <c r="BV8719" s="34"/>
      <c r="BZ8719" s="34"/>
      <c r="CD8719" s="34"/>
    </row>
    <row r="8720" spans="70:82" x14ac:dyDescent="0.15">
      <c r="BR8720" s="34"/>
      <c r="BV8720" s="34"/>
      <c r="BZ8720" s="34"/>
      <c r="CD8720" s="34"/>
    </row>
    <row r="8721" spans="70:82" x14ac:dyDescent="0.15">
      <c r="BR8721" s="34"/>
      <c r="BV8721" s="34"/>
      <c r="BZ8721" s="34"/>
      <c r="CD8721" s="34"/>
    </row>
    <row r="8722" spans="70:82" x14ac:dyDescent="0.15">
      <c r="BR8722" s="34"/>
      <c r="BV8722" s="34"/>
      <c r="BZ8722" s="34"/>
      <c r="CD8722" s="34"/>
    </row>
    <row r="8723" spans="70:82" x14ac:dyDescent="0.15">
      <c r="BR8723" s="34"/>
      <c r="BV8723" s="34"/>
      <c r="BZ8723" s="34"/>
      <c r="CD8723" s="34"/>
    </row>
    <row r="8724" spans="70:82" x14ac:dyDescent="0.15">
      <c r="BR8724" s="34"/>
      <c r="BV8724" s="34"/>
      <c r="BZ8724" s="34"/>
      <c r="CD8724" s="34"/>
    </row>
    <row r="8725" spans="70:82" x14ac:dyDescent="0.15">
      <c r="BR8725" s="34"/>
      <c r="BV8725" s="34"/>
      <c r="BZ8725" s="34"/>
      <c r="CD8725" s="34"/>
    </row>
    <row r="8726" spans="70:82" x14ac:dyDescent="0.15">
      <c r="BR8726" s="34"/>
      <c r="BV8726" s="34"/>
      <c r="BZ8726" s="34"/>
      <c r="CD8726" s="34"/>
    </row>
    <row r="8727" spans="70:82" x14ac:dyDescent="0.15">
      <c r="BR8727" s="34"/>
      <c r="BV8727" s="34"/>
      <c r="BZ8727" s="34"/>
      <c r="CD8727" s="34"/>
    </row>
    <row r="8728" spans="70:82" x14ac:dyDescent="0.15">
      <c r="BR8728" s="34"/>
      <c r="BV8728" s="34"/>
      <c r="BZ8728" s="34"/>
      <c r="CD8728" s="34"/>
    </row>
    <row r="8729" spans="70:82" x14ac:dyDescent="0.15">
      <c r="BR8729" s="34"/>
      <c r="BV8729" s="34"/>
      <c r="BZ8729" s="34"/>
      <c r="CD8729" s="34"/>
    </row>
    <row r="8730" spans="70:82" x14ac:dyDescent="0.15">
      <c r="BR8730" s="34"/>
      <c r="BV8730" s="34"/>
      <c r="BZ8730" s="34"/>
      <c r="CD8730" s="34"/>
    </row>
    <row r="8731" spans="70:82" x14ac:dyDescent="0.15">
      <c r="BR8731" s="34"/>
      <c r="BV8731" s="34"/>
      <c r="BZ8731" s="34"/>
      <c r="CD8731" s="34"/>
    </row>
    <row r="8732" spans="70:82" x14ac:dyDescent="0.15">
      <c r="BR8732" s="34"/>
      <c r="BV8732" s="34"/>
      <c r="BZ8732" s="34"/>
      <c r="CD8732" s="34"/>
    </row>
    <row r="8733" spans="70:82" x14ac:dyDescent="0.15">
      <c r="BR8733" s="34"/>
      <c r="BV8733" s="34"/>
      <c r="BZ8733" s="34"/>
      <c r="CD8733" s="34"/>
    </row>
    <row r="8734" spans="70:82" x14ac:dyDescent="0.15">
      <c r="BR8734" s="34"/>
      <c r="BV8734" s="34"/>
      <c r="BZ8734" s="34"/>
      <c r="CD8734" s="34"/>
    </row>
    <row r="8735" spans="70:82" x14ac:dyDescent="0.15">
      <c r="BR8735" s="34"/>
      <c r="BV8735" s="34"/>
      <c r="BZ8735" s="34"/>
      <c r="CD8735" s="34"/>
    </row>
    <row r="8736" spans="70:82" x14ac:dyDescent="0.15">
      <c r="BR8736" s="34"/>
      <c r="BV8736" s="34"/>
      <c r="BZ8736" s="34"/>
      <c r="CD8736" s="34"/>
    </row>
    <row r="8737" spans="70:82" x14ac:dyDescent="0.15">
      <c r="BR8737" s="34"/>
      <c r="BV8737" s="34"/>
      <c r="BZ8737" s="34"/>
      <c r="CD8737" s="34"/>
    </row>
    <row r="8738" spans="70:82" x14ac:dyDescent="0.15">
      <c r="BR8738" s="34"/>
      <c r="BV8738" s="34"/>
      <c r="BZ8738" s="34"/>
      <c r="CD8738" s="34"/>
    </row>
    <row r="8739" spans="70:82" x14ac:dyDescent="0.15">
      <c r="BR8739" s="34"/>
      <c r="BV8739" s="34"/>
      <c r="BZ8739" s="34"/>
      <c r="CD8739" s="34"/>
    </row>
    <row r="8740" spans="70:82" x14ac:dyDescent="0.15">
      <c r="BR8740" s="34"/>
      <c r="BV8740" s="34"/>
      <c r="BZ8740" s="34"/>
      <c r="CD8740" s="34"/>
    </row>
    <row r="8741" spans="70:82" x14ac:dyDescent="0.15">
      <c r="BR8741" s="34"/>
      <c r="BV8741" s="34"/>
      <c r="BZ8741" s="34"/>
      <c r="CD8741" s="34"/>
    </row>
    <row r="8742" spans="70:82" x14ac:dyDescent="0.15">
      <c r="BR8742" s="34"/>
      <c r="BV8742" s="34"/>
      <c r="BZ8742" s="34"/>
      <c r="CD8742" s="34"/>
    </row>
    <row r="8743" spans="70:82" x14ac:dyDescent="0.15">
      <c r="BR8743" s="34"/>
      <c r="BV8743" s="34"/>
      <c r="BZ8743" s="34"/>
      <c r="CD8743" s="34"/>
    </row>
    <row r="8744" spans="70:82" x14ac:dyDescent="0.15">
      <c r="BR8744" s="34"/>
      <c r="BV8744" s="34"/>
      <c r="BZ8744" s="34"/>
      <c r="CD8744" s="34"/>
    </row>
    <row r="8745" spans="70:82" x14ac:dyDescent="0.15">
      <c r="BR8745" s="34"/>
      <c r="BV8745" s="34"/>
      <c r="BZ8745" s="34"/>
      <c r="CD8745" s="34"/>
    </row>
    <row r="8746" spans="70:82" x14ac:dyDescent="0.15">
      <c r="BR8746" s="34"/>
      <c r="BV8746" s="34"/>
      <c r="BZ8746" s="34"/>
      <c r="CD8746" s="34"/>
    </row>
    <row r="8747" spans="70:82" x14ac:dyDescent="0.15">
      <c r="BR8747" s="34"/>
      <c r="BV8747" s="34"/>
      <c r="BZ8747" s="34"/>
      <c r="CD8747" s="34"/>
    </row>
    <row r="8748" spans="70:82" x14ac:dyDescent="0.15">
      <c r="BR8748" s="34"/>
      <c r="BV8748" s="34"/>
      <c r="BZ8748" s="34"/>
      <c r="CD8748" s="34"/>
    </row>
    <row r="8749" spans="70:82" x14ac:dyDescent="0.15">
      <c r="BR8749" s="34"/>
      <c r="BV8749" s="34"/>
      <c r="BZ8749" s="34"/>
      <c r="CD8749" s="34"/>
    </row>
    <row r="8750" spans="70:82" x14ac:dyDescent="0.15">
      <c r="BR8750" s="34"/>
      <c r="BV8750" s="34"/>
      <c r="BZ8750" s="34"/>
      <c r="CD8750" s="34"/>
    </row>
    <row r="8751" spans="70:82" x14ac:dyDescent="0.15">
      <c r="BR8751" s="34"/>
      <c r="BV8751" s="34"/>
      <c r="BZ8751" s="34"/>
      <c r="CD8751" s="34"/>
    </row>
    <row r="8752" spans="70:82" x14ac:dyDescent="0.15">
      <c r="BR8752" s="34"/>
      <c r="BV8752" s="34"/>
      <c r="BZ8752" s="34"/>
      <c r="CD8752" s="34"/>
    </row>
    <row r="8753" spans="70:82" x14ac:dyDescent="0.15">
      <c r="BR8753" s="34"/>
      <c r="BV8753" s="34"/>
      <c r="BZ8753" s="34"/>
      <c r="CD8753" s="34"/>
    </row>
    <row r="8754" spans="70:82" x14ac:dyDescent="0.15">
      <c r="BR8754" s="34"/>
      <c r="BV8754" s="34"/>
      <c r="BZ8754" s="34"/>
      <c r="CD8754" s="34"/>
    </row>
    <row r="8755" spans="70:82" x14ac:dyDescent="0.15">
      <c r="BR8755" s="34"/>
      <c r="BV8755" s="34"/>
      <c r="BZ8755" s="34"/>
      <c r="CD8755" s="34"/>
    </row>
    <row r="8756" spans="70:82" x14ac:dyDescent="0.15">
      <c r="BR8756" s="34"/>
      <c r="BV8756" s="34"/>
      <c r="BZ8756" s="34"/>
      <c r="CD8756" s="34"/>
    </row>
    <row r="8757" spans="70:82" x14ac:dyDescent="0.15">
      <c r="BR8757" s="34"/>
      <c r="BV8757" s="34"/>
      <c r="BZ8757" s="34"/>
      <c r="CD8757" s="34"/>
    </row>
    <row r="8758" spans="70:82" x14ac:dyDescent="0.15">
      <c r="BR8758" s="34"/>
      <c r="BV8758" s="34"/>
      <c r="BZ8758" s="34"/>
      <c r="CD8758" s="34"/>
    </row>
    <row r="8759" spans="70:82" x14ac:dyDescent="0.15">
      <c r="BR8759" s="34"/>
      <c r="BV8759" s="34"/>
      <c r="BZ8759" s="34"/>
      <c r="CD8759" s="34"/>
    </row>
    <row r="8760" spans="70:82" x14ac:dyDescent="0.15">
      <c r="BR8760" s="34"/>
      <c r="BV8760" s="34"/>
      <c r="BZ8760" s="34"/>
      <c r="CD8760" s="34"/>
    </row>
    <row r="8761" spans="70:82" x14ac:dyDescent="0.15">
      <c r="BR8761" s="34"/>
      <c r="BV8761" s="34"/>
      <c r="BZ8761" s="34"/>
      <c r="CD8761" s="34"/>
    </row>
    <row r="8762" spans="70:82" x14ac:dyDescent="0.15">
      <c r="BR8762" s="34"/>
      <c r="BV8762" s="34"/>
      <c r="BZ8762" s="34"/>
      <c r="CD8762" s="34"/>
    </row>
    <row r="8763" spans="70:82" x14ac:dyDescent="0.15">
      <c r="BR8763" s="34"/>
      <c r="BV8763" s="34"/>
      <c r="BZ8763" s="34"/>
      <c r="CD8763" s="34"/>
    </row>
    <row r="8764" spans="70:82" x14ac:dyDescent="0.15">
      <c r="BR8764" s="34"/>
      <c r="BV8764" s="34"/>
      <c r="BZ8764" s="34"/>
      <c r="CD8764" s="34"/>
    </row>
    <row r="8765" spans="70:82" x14ac:dyDescent="0.15">
      <c r="BR8765" s="34"/>
      <c r="BV8765" s="34"/>
      <c r="BZ8765" s="34"/>
      <c r="CD8765" s="34"/>
    </row>
    <row r="8766" spans="70:82" x14ac:dyDescent="0.15">
      <c r="BR8766" s="34"/>
      <c r="BV8766" s="34"/>
      <c r="BZ8766" s="34"/>
      <c r="CD8766" s="34"/>
    </row>
    <row r="8767" spans="70:82" x14ac:dyDescent="0.15">
      <c r="BR8767" s="34"/>
      <c r="BV8767" s="34"/>
      <c r="BZ8767" s="34"/>
      <c r="CD8767" s="34"/>
    </row>
    <row r="8768" spans="70:82" x14ac:dyDescent="0.15">
      <c r="BR8768" s="34"/>
      <c r="BV8768" s="34"/>
      <c r="BZ8768" s="34"/>
      <c r="CD8768" s="34"/>
    </row>
    <row r="8769" spans="70:82" x14ac:dyDescent="0.15">
      <c r="BR8769" s="34"/>
      <c r="BV8769" s="34"/>
      <c r="BZ8769" s="34"/>
      <c r="CD8769" s="34"/>
    </row>
    <row r="8770" spans="70:82" x14ac:dyDescent="0.15">
      <c r="BR8770" s="34"/>
      <c r="BV8770" s="34"/>
      <c r="BZ8770" s="34"/>
      <c r="CD8770" s="34"/>
    </row>
    <row r="8771" spans="70:82" x14ac:dyDescent="0.15">
      <c r="BR8771" s="34"/>
      <c r="BV8771" s="34"/>
      <c r="BZ8771" s="34"/>
      <c r="CD8771" s="34"/>
    </row>
    <row r="8772" spans="70:82" x14ac:dyDescent="0.15">
      <c r="BR8772" s="34"/>
      <c r="BV8772" s="34"/>
      <c r="BZ8772" s="34"/>
      <c r="CD8772" s="34"/>
    </row>
    <row r="8773" spans="70:82" x14ac:dyDescent="0.15">
      <c r="BR8773" s="34"/>
      <c r="BV8773" s="34"/>
      <c r="BZ8773" s="34"/>
      <c r="CD8773" s="34"/>
    </row>
    <row r="8774" spans="70:82" x14ac:dyDescent="0.15">
      <c r="BR8774" s="34"/>
      <c r="BV8774" s="34"/>
      <c r="BZ8774" s="34"/>
      <c r="CD8774" s="34"/>
    </row>
    <row r="8775" spans="70:82" x14ac:dyDescent="0.15">
      <c r="BR8775" s="34"/>
      <c r="BV8775" s="34"/>
      <c r="BZ8775" s="34"/>
      <c r="CD8775" s="34"/>
    </row>
    <row r="8776" spans="70:82" x14ac:dyDescent="0.15">
      <c r="BR8776" s="34"/>
      <c r="BV8776" s="34"/>
      <c r="BZ8776" s="34"/>
      <c r="CD8776" s="34"/>
    </row>
    <row r="8777" spans="70:82" x14ac:dyDescent="0.15">
      <c r="BR8777" s="34"/>
      <c r="BV8777" s="34"/>
      <c r="BZ8777" s="34"/>
      <c r="CD8777" s="34"/>
    </row>
    <row r="8778" spans="70:82" x14ac:dyDescent="0.15">
      <c r="BR8778" s="34"/>
      <c r="BV8778" s="34"/>
      <c r="BZ8778" s="34"/>
      <c r="CD8778" s="34"/>
    </row>
    <row r="8779" spans="70:82" x14ac:dyDescent="0.15">
      <c r="BR8779" s="34"/>
      <c r="BV8779" s="34"/>
      <c r="BZ8779" s="34"/>
      <c r="CD8779" s="34"/>
    </row>
    <row r="8780" spans="70:82" x14ac:dyDescent="0.15">
      <c r="BR8780" s="34"/>
      <c r="BV8780" s="34"/>
      <c r="BZ8780" s="34"/>
      <c r="CD8780" s="34"/>
    </row>
    <row r="8781" spans="70:82" x14ac:dyDescent="0.15">
      <c r="BR8781" s="34"/>
      <c r="BV8781" s="34"/>
      <c r="BZ8781" s="34"/>
      <c r="CD8781" s="34"/>
    </row>
    <row r="8782" spans="70:82" x14ac:dyDescent="0.15">
      <c r="BR8782" s="34"/>
      <c r="BV8782" s="34"/>
      <c r="BZ8782" s="34"/>
      <c r="CD8782" s="34"/>
    </row>
    <row r="8783" spans="70:82" x14ac:dyDescent="0.15">
      <c r="BR8783" s="34"/>
      <c r="BV8783" s="34"/>
      <c r="BZ8783" s="34"/>
      <c r="CD8783" s="34"/>
    </row>
    <row r="8784" spans="70:82" x14ac:dyDescent="0.15">
      <c r="BR8784" s="34"/>
      <c r="BV8784" s="34"/>
      <c r="BZ8784" s="34"/>
      <c r="CD8784" s="34"/>
    </row>
    <row r="8785" spans="70:82" x14ac:dyDescent="0.15">
      <c r="BR8785" s="34"/>
      <c r="BV8785" s="34"/>
      <c r="BZ8785" s="34"/>
      <c r="CD8785" s="34"/>
    </row>
    <row r="8786" spans="70:82" x14ac:dyDescent="0.15">
      <c r="BR8786" s="34"/>
      <c r="BV8786" s="34"/>
      <c r="BZ8786" s="34"/>
      <c r="CD8786" s="34"/>
    </row>
    <row r="8787" spans="70:82" x14ac:dyDescent="0.15">
      <c r="BR8787" s="34"/>
      <c r="BV8787" s="34"/>
      <c r="BZ8787" s="34"/>
      <c r="CD8787" s="34"/>
    </row>
    <row r="8788" spans="70:82" x14ac:dyDescent="0.15">
      <c r="BR8788" s="34"/>
      <c r="BV8788" s="34"/>
      <c r="BZ8788" s="34"/>
      <c r="CD8788" s="34"/>
    </row>
    <row r="8789" spans="70:82" x14ac:dyDescent="0.15">
      <c r="BR8789" s="34"/>
      <c r="BV8789" s="34"/>
      <c r="BZ8789" s="34"/>
      <c r="CD8789" s="34"/>
    </row>
    <row r="8790" spans="70:82" x14ac:dyDescent="0.15">
      <c r="BR8790" s="34"/>
      <c r="BV8790" s="34"/>
      <c r="BZ8790" s="34"/>
      <c r="CD8790" s="34"/>
    </row>
    <row r="8791" spans="70:82" x14ac:dyDescent="0.15">
      <c r="BR8791" s="34"/>
      <c r="BV8791" s="34"/>
      <c r="BZ8791" s="34"/>
      <c r="CD8791" s="34"/>
    </row>
    <row r="8792" spans="70:82" x14ac:dyDescent="0.15">
      <c r="BR8792" s="34"/>
      <c r="BV8792" s="34"/>
      <c r="BZ8792" s="34"/>
      <c r="CD8792" s="34"/>
    </row>
    <row r="8793" spans="70:82" x14ac:dyDescent="0.15">
      <c r="BR8793" s="34"/>
      <c r="BV8793" s="34"/>
      <c r="BZ8793" s="34"/>
      <c r="CD8793" s="34"/>
    </row>
    <row r="8794" spans="70:82" x14ac:dyDescent="0.15">
      <c r="BR8794" s="34"/>
      <c r="BV8794" s="34"/>
      <c r="BZ8794" s="34"/>
      <c r="CD8794" s="34"/>
    </row>
    <row r="8795" spans="70:82" x14ac:dyDescent="0.15">
      <c r="BR8795" s="34"/>
      <c r="BV8795" s="34"/>
      <c r="BZ8795" s="34"/>
      <c r="CD8795" s="34"/>
    </row>
    <row r="8796" spans="70:82" x14ac:dyDescent="0.15">
      <c r="BR8796" s="34"/>
      <c r="BV8796" s="34"/>
      <c r="BZ8796" s="34"/>
      <c r="CD8796" s="34"/>
    </row>
    <row r="8797" spans="70:82" x14ac:dyDescent="0.15">
      <c r="BR8797" s="34"/>
      <c r="BV8797" s="34"/>
      <c r="BZ8797" s="34"/>
      <c r="CD8797" s="34"/>
    </row>
    <row r="8798" spans="70:82" x14ac:dyDescent="0.15">
      <c r="BR8798" s="34"/>
      <c r="BV8798" s="34"/>
      <c r="BZ8798" s="34"/>
      <c r="CD8798" s="34"/>
    </row>
    <row r="8799" spans="70:82" x14ac:dyDescent="0.15">
      <c r="BR8799" s="34"/>
      <c r="BV8799" s="34"/>
      <c r="BZ8799" s="34"/>
      <c r="CD8799" s="34"/>
    </row>
    <row r="8800" spans="70:82" x14ac:dyDescent="0.15">
      <c r="BR8800" s="34"/>
      <c r="BV8800" s="34"/>
      <c r="BZ8800" s="34"/>
      <c r="CD8800" s="34"/>
    </row>
    <row r="8801" spans="70:82" x14ac:dyDescent="0.15">
      <c r="BR8801" s="34"/>
      <c r="BV8801" s="34"/>
      <c r="BZ8801" s="34"/>
      <c r="CD8801" s="34"/>
    </row>
    <row r="8802" spans="70:82" x14ac:dyDescent="0.15">
      <c r="BR8802" s="34"/>
      <c r="BV8802" s="34"/>
      <c r="BZ8802" s="34"/>
      <c r="CD8802" s="34"/>
    </row>
    <row r="8803" spans="70:82" x14ac:dyDescent="0.15">
      <c r="BR8803" s="34"/>
      <c r="BV8803" s="34"/>
      <c r="BZ8803" s="34"/>
      <c r="CD8803" s="34"/>
    </row>
    <row r="8804" spans="70:82" x14ac:dyDescent="0.15">
      <c r="BR8804" s="34"/>
      <c r="BV8804" s="34"/>
      <c r="BZ8804" s="34"/>
      <c r="CD8804" s="34"/>
    </row>
    <row r="8805" spans="70:82" x14ac:dyDescent="0.15">
      <c r="BR8805" s="34"/>
      <c r="BV8805" s="34"/>
      <c r="BZ8805" s="34"/>
      <c r="CD8805" s="34"/>
    </row>
    <row r="8806" spans="70:82" x14ac:dyDescent="0.15">
      <c r="BR8806" s="34"/>
      <c r="BV8806" s="34"/>
      <c r="BZ8806" s="34"/>
      <c r="CD8806" s="34"/>
    </row>
    <row r="8807" spans="70:82" x14ac:dyDescent="0.15">
      <c r="BR8807" s="34"/>
      <c r="BV8807" s="34"/>
      <c r="BZ8807" s="34"/>
      <c r="CD8807" s="34"/>
    </row>
    <row r="8808" spans="70:82" x14ac:dyDescent="0.15">
      <c r="BR8808" s="34"/>
      <c r="BV8808" s="34"/>
      <c r="BZ8808" s="34"/>
      <c r="CD8808" s="34"/>
    </row>
    <row r="8809" spans="70:82" x14ac:dyDescent="0.15">
      <c r="BR8809" s="34"/>
      <c r="BV8809" s="34"/>
      <c r="BZ8809" s="34"/>
      <c r="CD8809" s="34"/>
    </row>
    <row r="8810" spans="70:82" x14ac:dyDescent="0.15">
      <c r="BR8810" s="34"/>
      <c r="BV8810" s="34"/>
      <c r="BZ8810" s="34"/>
      <c r="CD8810" s="34"/>
    </row>
    <row r="8811" spans="70:82" x14ac:dyDescent="0.15">
      <c r="BR8811" s="34"/>
      <c r="BV8811" s="34"/>
      <c r="BZ8811" s="34"/>
      <c r="CD8811" s="34"/>
    </row>
    <row r="8812" spans="70:82" x14ac:dyDescent="0.15">
      <c r="BR8812" s="34"/>
      <c r="BV8812" s="34"/>
      <c r="BZ8812" s="34"/>
      <c r="CD8812" s="34"/>
    </row>
    <row r="8813" spans="70:82" x14ac:dyDescent="0.15">
      <c r="BR8813" s="34"/>
      <c r="BV8813" s="34"/>
      <c r="BZ8813" s="34"/>
      <c r="CD8813" s="34"/>
    </row>
    <row r="8814" spans="70:82" x14ac:dyDescent="0.15">
      <c r="BR8814" s="34"/>
      <c r="BV8814" s="34"/>
      <c r="BZ8814" s="34"/>
      <c r="CD8814" s="34"/>
    </row>
    <row r="8815" spans="70:82" x14ac:dyDescent="0.15">
      <c r="BR8815" s="34"/>
      <c r="BV8815" s="34"/>
      <c r="BZ8815" s="34"/>
      <c r="CD8815" s="34"/>
    </row>
    <row r="8816" spans="70:82" x14ac:dyDescent="0.15">
      <c r="BR8816" s="34"/>
      <c r="BV8816" s="34"/>
      <c r="BZ8816" s="34"/>
      <c r="CD8816" s="34"/>
    </row>
    <row r="8817" spans="70:82" x14ac:dyDescent="0.15">
      <c r="BR8817" s="34"/>
      <c r="BV8817" s="34"/>
      <c r="BZ8817" s="34"/>
      <c r="CD8817" s="34"/>
    </row>
    <row r="8818" spans="70:82" x14ac:dyDescent="0.15">
      <c r="BR8818" s="34"/>
      <c r="BV8818" s="34"/>
      <c r="BZ8818" s="34"/>
      <c r="CD8818" s="34"/>
    </row>
    <row r="8819" spans="70:82" x14ac:dyDescent="0.15">
      <c r="BR8819" s="34"/>
      <c r="BV8819" s="34"/>
      <c r="BZ8819" s="34"/>
      <c r="CD8819" s="34"/>
    </row>
    <row r="8820" spans="70:82" x14ac:dyDescent="0.15">
      <c r="BR8820" s="34"/>
      <c r="BV8820" s="34"/>
      <c r="BZ8820" s="34"/>
      <c r="CD8820" s="34"/>
    </row>
    <row r="8821" spans="70:82" x14ac:dyDescent="0.15">
      <c r="BR8821" s="34"/>
      <c r="BV8821" s="34"/>
      <c r="BZ8821" s="34"/>
      <c r="CD8821" s="34"/>
    </row>
    <row r="8822" spans="70:82" x14ac:dyDescent="0.15">
      <c r="BR8822" s="34"/>
      <c r="BV8822" s="34"/>
      <c r="BZ8822" s="34"/>
      <c r="CD8822" s="34"/>
    </row>
    <row r="8823" spans="70:82" x14ac:dyDescent="0.15">
      <c r="BR8823" s="34"/>
      <c r="BV8823" s="34"/>
      <c r="BZ8823" s="34"/>
      <c r="CD8823" s="34"/>
    </row>
    <row r="8824" spans="70:82" x14ac:dyDescent="0.15">
      <c r="BR8824" s="34"/>
      <c r="BV8824" s="34"/>
      <c r="BZ8824" s="34"/>
      <c r="CD8824" s="34"/>
    </row>
    <row r="8825" spans="70:82" x14ac:dyDescent="0.15">
      <c r="BR8825" s="34"/>
      <c r="BV8825" s="34"/>
      <c r="BZ8825" s="34"/>
      <c r="CD8825" s="34"/>
    </row>
    <row r="8826" spans="70:82" x14ac:dyDescent="0.15">
      <c r="BR8826" s="34"/>
      <c r="BV8826" s="34"/>
      <c r="BZ8826" s="34"/>
      <c r="CD8826" s="34"/>
    </row>
    <row r="8827" spans="70:82" x14ac:dyDescent="0.15">
      <c r="BR8827" s="34"/>
      <c r="BV8827" s="34"/>
      <c r="BZ8827" s="34"/>
      <c r="CD8827" s="34"/>
    </row>
    <row r="8828" spans="70:82" x14ac:dyDescent="0.15">
      <c r="BR8828" s="34"/>
      <c r="BV8828" s="34"/>
      <c r="BZ8828" s="34"/>
      <c r="CD8828" s="34"/>
    </row>
    <row r="8829" spans="70:82" x14ac:dyDescent="0.15">
      <c r="BR8829" s="34"/>
      <c r="BV8829" s="34"/>
      <c r="BZ8829" s="34"/>
      <c r="CD8829" s="34"/>
    </row>
    <row r="8830" spans="70:82" x14ac:dyDescent="0.15">
      <c r="BR8830" s="34"/>
      <c r="BV8830" s="34"/>
      <c r="BZ8830" s="34"/>
      <c r="CD8830" s="34"/>
    </row>
    <row r="8831" spans="70:82" x14ac:dyDescent="0.15">
      <c r="BR8831" s="34"/>
      <c r="BV8831" s="34"/>
      <c r="BZ8831" s="34"/>
      <c r="CD8831" s="34"/>
    </row>
    <row r="8832" spans="70:82" x14ac:dyDescent="0.15">
      <c r="BR8832" s="34"/>
      <c r="BV8832" s="34"/>
      <c r="BZ8832" s="34"/>
      <c r="CD8832" s="34"/>
    </row>
    <row r="8833" spans="70:82" x14ac:dyDescent="0.15">
      <c r="BR8833" s="34"/>
      <c r="BV8833" s="34"/>
      <c r="BZ8833" s="34"/>
      <c r="CD8833" s="34"/>
    </row>
    <row r="8834" spans="70:82" x14ac:dyDescent="0.15">
      <c r="BR8834" s="34"/>
      <c r="BV8834" s="34"/>
      <c r="BZ8834" s="34"/>
      <c r="CD8834" s="34"/>
    </row>
    <row r="8835" spans="70:82" x14ac:dyDescent="0.15">
      <c r="BR8835" s="34"/>
      <c r="BV8835" s="34"/>
      <c r="BZ8835" s="34"/>
      <c r="CD8835" s="34"/>
    </row>
    <row r="8836" spans="70:82" x14ac:dyDescent="0.15">
      <c r="BR8836" s="34"/>
      <c r="BV8836" s="34"/>
      <c r="BZ8836" s="34"/>
      <c r="CD8836" s="34"/>
    </row>
    <row r="8837" spans="70:82" x14ac:dyDescent="0.15">
      <c r="BR8837" s="34"/>
      <c r="BV8837" s="34"/>
      <c r="BZ8837" s="34"/>
      <c r="CD8837" s="34"/>
    </row>
    <row r="8838" spans="70:82" x14ac:dyDescent="0.15">
      <c r="BR8838" s="34"/>
      <c r="BV8838" s="34"/>
      <c r="BZ8838" s="34"/>
      <c r="CD8838" s="34"/>
    </row>
    <row r="8839" spans="70:82" x14ac:dyDescent="0.15">
      <c r="BR8839" s="34"/>
      <c r="BV8839" s="34"/>
      <c r="BZ8839" s="34"/>
      <c r="CD8839" s="34"/>
    </row>
    <row r="8840" spans="70:82" x14ac:dyDescent="0.15">
      <c r="BR8840" s="34"/>
      <c r="BV8840" s="34"/>
      <c r="BZ8840" s="34"/>
      <c r="CD8840" s="34"/>
    </row>
    <row r="8841" spans="70:82" x14ac:dyDescent="0.15">
      <c r="BR8841" s="34"/>
      <c r="BV8841" s="34"/>
      <c r="BZ8841" s="34"/>
      <c r="CD8841" s="34"/>
    </row>
    <row r="8842" spans="70:82" x14ac:dyDescent="0.15">
      <c r="BR8842" s="34"/>
      <c r="BV8842" s="34"/>
      <c r="BZ8842" s="34"/>
      <c r="CD8842" s="34"/>
    </row>
    <row r="8843" spans="70:82" x14ac:dyDescent="0.15">
      <c r="BR8843" s="34"/>
      <c r="BV8843" s="34"/>
      <c r="BZ8843" s="34"/>
      <c r="CD8843" s="34"/>
    </row>
    <row r="8844" spans="70:82" x14ac:dyDescent="0.15">
      <c r="BR8844" s="34"/>
      <c r="BV8844" s="34"/>
      <c r="BZ8844" s="34"/>
      <c r="CD8844" s="34"/>
    </row>
    <row r="8845" spans="70:82" x14ac:dyDescent="0.15">
      <c r="BR8845" s="34"/>
      <c r="BV8845" s="34"/>
      <c r="BZ8845" s="34"/>
      <c r="CD8845" s="34"/>
    </row>
    <row r="8846" spans="70:82" x14ac:dyDescent="0.15">
      <c r="BR8846" s="34"/>
      <c r="BV8846" s="34"/>
      <c r="BZ8846" s="34"/>
      <c r="CD8846" s="34"/>
    </row>
    <row r="8847" spans="70:82" x14ac:dyDescent="0.15">
      <c r="BR8847" s="34"/>
      <c r="BV8847" s="34"/>
      <c r="BZ8847" s="34"/>
      <c r="CD8847" s="34"/>
    </row>
    <row r="8848" spans="70:82" x14ac:dyDescent="0.15">
      <c r="BR8848" s="34"/>
      <c r="BV8848" s="34"/>
      <c r="BZ8848" s="34"/>
      <c r="CD8848" s="34"/>
    </row>
    <row r="8849" spans="70:82" x14ac:dyDescent="0.15">
      <c r="BR8849" s="34"/>
      <c r="BV8849" s="34"/>
      <c r="BZ8849" s="34"/>
      <c r="CD8849" s="34"/>
    </row>
    <row r="8850" spans="70:82" x14ac:dyDescent="0.15">
      <c r="BR8850" s="34"/>
      <c r="BV8850" s="34"/>
      <c r="BZ8850" s="34"/>
      <c r="CD8850" s="34"/>
    </row>
    <row r="8851" spans="70:82" x14ac:dyDescent="0.15">
      <c r="BR8851" s="34"/>
      <c r="BV8851" s="34"/>
      <c r="BZ8851" s="34"/>
      <c r="CD8851" s="34"/>
    </row>
    <row r="8852" spans="70:82" x14ac:dyDescent="0.15">
      <c r="BR8852" s="34"/>
      <c r="BV8852" s="34"/>
      <c r="BZ8852" s="34"/>
      <c r="CD8852" s="34"/>
    </row>
    <row r="8853" spans="70:82" x14ac:dyDescent="0.15">
      <c r="BR8853" s="34"/>
      <c r="BV8853" s="34"/>
      <c r="BZ8853" s="34"/>
      <c r="CD8853" s="34"/>
    </row>
    <row r="8854" spans="70:82" x14ac:dyDescent="0.15">
      <c r="BR8854" s="34"/>
      <c r="BV8854" s="34"/>
      <c r="BZ8854" s="34"/>
      <c r="CD8854" s="34"/>
    </row>
    <row r="8855" spans="70:82" x14ac:dyDescent="0.15">
      <c r="BR8855" s="34"/>
      <c r="BV8855" s="34"/>
      <c r="BZ8855" s="34"/>
      <c r="CD8855" s="34"/>
    </row>
    <row r="8856" spans="70:82" x14ac:dyDescent="0.15">
      <c r="BR8856" s="34"/>
      <c r="BV8856" s="34"/>
      <c r="BZ8856" s="34"/>
      <c r="CD8856" s="34"/>
    </row>
    <row r="8857" spans="70:82" x14ac:dyDescent="0.15">
      <c r="BR8857" s="34"/>
      <c r="BV8857" s="34"/>
      <c r="BZ8857" s="34"/>
      <c r="CD8857" s="34"/>
    </row>
    <row r="8858" spans="70:82" x14ac:dyDescent="0.15">
      <c r="BR8858" s="34"/>
      <c r="BV8858" s="34"/>
      <c r="BZ8858" s="34"/>
      <c r="CD8858" s="34"/>
    </row>
    <row r="8859" spans="70:82" x14ac:dyDescent="0.15">
      <c r="BR8859" s="34"/>
      <c r="BV8859" s="34"/>
      <c r="BZ8859" s="34"/>
      <c r="CD8859" s="34"/>
    </row>
    <row r="8860" spans="70:82" x14ac:dyDescent="0.15">
      <c r="BR8860" s="34"/>
      <c r="BV8860" s="34"/>
      <c r="BZ8860" s="34"/>
      <c r="CD8860" s="34"/>
    </row>
    <row r="8861" spans="70:82" x14ac:dyDescent="0.15">
      <c r="BR8861" s="34"/>
      <c r="BV8861" s="34"/>
      <c r="BZ8861" s="34"/>
      <c r="CD8861" s="34"/>
    </row>
    <row r="8862" spans="70:82" x14ac:dyDescent="0.15">
      <c r="BR8862" s="34"/>
      <c r="BV8862" s="34"/>
      <c r="BZ8862" s="34"/>
      <c r="CD8862" s="34"/>
    </row>
    <row r="8863" spans="70:82" x14ac:dyDescent="0.15">
      <c r="BR8863" s="34"/>
      <c r="BV8863" s="34"/>
      <c r="BZ8863" s="34"/>
      <c r="CD8863" s="34"/>
    </row>
    <row r="8864" spans="70:82" x14ac:dyDescent="0.15">
      <c r="BR8864" s="34"/>
      <c r="BV8864" s="34"/>
      <c r="BZ8864" s="34"/>
      <c r="CD8864" s="34"/>
    </row>
    <row r="8865" spans="70:82" x14ac:dyDescent="0.15">
      <c r="BR8865" s="34"/>
      <c r="BV8865" s="34"/>
      <c r="BZ8865" s="34"/>
      <c r="CD8865" s="34"/>
    </row>
    <row r="8866" spans="70:82" x14ac:dyDescent="0.15">
      <c r="BR8866" s="34"/>
      <c r="BV8866" s="34"/>
      <c r="BZ8866" s="34"/>
      <c r="CD8866" s="34"/>
    </row>
    <row r="8867" spans="70:82" x14ac:dyDescent="0.15">
      <c r="BR8867" s="34"/>
      <c r="BV8867" s="34"/>
      <c r="BZ8867" s="34"/>
      <c r="CD8867" s="34"/>
    </row>
    <row r="8868" spans="70:82" x14ac:dyDescent="0.15">
      <c r="BR8868" s="34"/>
      <c r="BV8868" s="34"/>
      <c r="BZ8868" s="34"/>
      <c r="CD8868" s="34"/>
    </row>
    <row r="8869" spans="70:82" x14ac:dyDescent="0.15">
      <c r="BR8869" s="34"/>
      <c r="BV8869" s="34"/>
      <c r="BZ8869" s="34"/>
      <c r="CD8869" s="34"/>
    </row>
    <row r="8870" spans="70:82" x14ac:dyDescent="0.15">
      <c r="BR8870" s="34"/>
      <c r="BV8870" s="34"/>
      <c r="BZ8870" s="34"/>
      <c r="CD8870" s="34"/>
    </row>
    <row r="8871" spans="70:82" x14ac:dyDescent="0.15">
      <c r="BR8871" s="34"/>
      <c r="BV8871" s="34"/>
      <c r="BZ8871" s="34"/>
      <c r="CD8871" s="34"/>
    </row>
    <row r="8872" spans="70:82" x14ac:dyDescent="0.15">
      <c r="BR8872" s="34"/>
      <c r="BV8872" s="34"/>
      <c r="BZ8872" s="34"/>
      <c r="CD8872" s="34"/>
    </row>
    <row r="8873" spans="70:82" x14ac:dyDescent="0.15">
      <c r="BR8873" s="34"/>
      <c r="BV8873" s="34"/>
      <c r="BZ8873" s="34"/>
      <c r="CD8873" s="34"/>
    </row>
    <row r="8874" spans="70:82" x14ac:dyDescent="0.15">
      <c r="BR8874" s="34"/>
      <c r="BV8874" s="34"/>
      <c r="BZ8874" s="34"/>
      <c r="CD8874" s="34"/>
    </row>
    <row r="8875" spans="70:82" x14ac:dyDescent="0.15">
      <c r="BR8875" s="34"/>
      <c r="BV8875" s="34"/>
      <c r="BZ8875" s="34"/>
      <c r="CD8875" s="34"/>
    </row>
    <row r="8876" spans="70:82" x14ac:dyDescent="0.15">
      <c r="BR8876" s="34"/>
      <c r="BV8876" s="34"/>
      <c r="BZ8876" s="34"/>
      <c r="CD8876" s="34"/>
    </row>
    <row r="8877" spans="70:82" x14ac:dyDescent="0.15">
      <c r="BR8877" s="34"/>
      <c r="BV8877" s="34"/>
      <c r="BZ8877" s="34"/>
      <c r="CD8877" s="34"/>
    </row>
    <row r="8878" spans="70:82" x14ac:dyDescent="0.15">
      <c r="BR8878" s="34"/>
      <c r="BV8878" s="34"/>
      <c r="BZ8878" s="34"/>
      <c r="CD8878" s="34"/>
    </row>
    <row r="8879" spans="70:82" x14ac:dyDescent="0.15">
      <c r="BR8879" s="34"/>
      <c r="BV8879" s="34"/>
      <c r="BZ8879" s="34"/>
      <c r="CD8879" s="34"/>
    </row>
    <row r="8880" spans="70:82" x14ac:dyDescent="0.15">
      <c r="BR8880" s="34"/>
      <c r="BV8880" s="34"/>
      <c r="BZ8880" s="34"/>
      <c r="CD8880" s="34"/>
    </row>
    <row r="8881" spans="70:82" x14ac:dyDescent="0.15">
      <c r="BR8881" s="34"/>
      <c r="BV8881" s="34"/>
      <c r="BZ8881" s="34"/>
      <c r="CD8881" s="34"/>
    </row>
    <row r="8882" spans="70:82" x14ac:dyDescent="0.15">
      <c r="BR8882" s="34"/>
      <c r="BV8882" s="34"/>
      <c r="BZ8882" s="34"/>
      <c r="CD8882" s="34"/>
    </row>
    <row r="8883" spans="70:82" x14ac:dyDescent="0.15">
      <c r="BR8883" s="34"/>
      <c r="BV8883" s="34"/>
      <c r="BZ8883" s="34"/>
      <c r="CD8883" s="34"/>
    </row>
    <row r="8884" spans="70:82" x14ac:dyDescent="0.15">
      <c r="BR8884" s="34"/>
      <c r="BV8884" s="34"/>
      <c r="BZ8884" s="34"/>
      <c r="CD8884" s="34"/>
    </row>
    <row r="8885" spans="70:82" x14ac:dyDescent="0.15">
      <c r="BR8885" s="34"/>
      <c r="BV8885" s="34"/>
      <c r="BZ8885" s="34"/>
      <c r="CD8885" s="34"/>
    </row>
    <row r="8886" spans="70:82" x14ac:dyDescent="0.15">
      <c r="BR8886" s="34"/>
      <c r="BV8886" s="34"/>
      <c r="BZ8886" s="34"/>
      <c r="CD8886" s="34"/>
    </row>
    <row r="8887" spans="70:82" x14ac:dyDescent="0.15">
      <c r="BR8887" s="34"/>
      <c r="BV8887" s="34"/>
      <c r="BZ8887" s="34"/>
      <c r="CD8887" s="34"/>
    </row>
    <row r="8888" spans="70:82" x14ac:dyDescent="0.15">
      <c r="BR8888" s="34"/>
      <c r="BV8888" s="34"/>
      <c r="BZ8888" s="34"/>
      <c r="CD8888" s="34"/>
    </row>
    <row r="8889" spans="70:82" x14ac:dyDescent="0.15">
      <c r="BR8889" s="34"/>
      <c r="BV8889" s="34"/>
      <c r="BZ8889" s="34"/>
      <c r="CD8889" s="34"/>
    </row>
    <row r="8890" spans="70:82" x14ac:dyDescent="0.15">
      <c r="BR8890" s="34"/>
      <c r="BV8890" s="34"/>
      <c r="BZ8890" s="34"/>
      <c r="CD8890" s="34"/>
    </row>
    <row r="8891" spans="70:82" x14ac:dyDescent="0.15">
      <c r="BR8891" s="34"/>
      <c r="BV8891" s="34"/>
      <c r="BZ8891" s="34"/>
      <c r="CD8891" s="34"/>
    </row>
    <row r="8892" spans="70:82" x14ac:dyDescent="0.15">
      <c r="BR8892" s="34"/>
      <c r="BV8892" s="34"/>
      <c r="BZ8892" s="34"/>
      <c r="CD8892" s="34"/>
    </row>
    <row r="8893" spans="70:82" x14ac:dyDescent="0.15">
      <c r="BR8893" s="34"/>
      <c r="BV8893" s="34"/>
      <c r="BZ8893" s="34"/>
      <c r="CD8893" s="34"/>
    </row>
    <row r="8894" spans="70:82" x14ac:dyDescent="0.15">
      <c r="BR8894" s="34"/>
      <c r="BV8894" s="34"/>
      <c r="BZ8894" s="34"/>
      <c r="CD8894" s="34"/>
    </row>
    <row r="8895" spans="70:82" x14ac:dyDescent="0.15">
      <c r="BR8895" s="34"/>
      <c r="BV8895" s="34"/>
      <c r="BZ8895" s="34"/>
      <c r="CD8895" s="34"/>
    </row>
    <row r="8896" spans="70:82" x14ac:dyDescent="0.15">
      <c r="BR8896" s="34"/>
      <c r="BV8896" s="34"/>
      <c r="BZ8896" s="34"/>
      <c r="CD8896" s="34"/>
    </row>
    <row r="8897" spans="70:82" x14ac:dyDescent="0.15">
      <c r="BR8897" s="34"/>
      <c r="BV8897" s="34"/>
      <c r="BZ8897" s="34"/>
      <c r="CD8897" s="34"/>
    </row>
    <row r="8898" spans="70:82" x14ac:dyDescent="0.15">
      <c r="BR8898" s="34"/>
      <c r="BV8898" s="34"/>
      <c r="BZ8898" s="34"/>
      <c r="CD8898" s="34"/>
    </row>
    <row r="8899" spans="70:82" x14ac:dyDescent="0.15">
      <c r="BR8899" s="34"/>
      <c r="BV8899" s="34"/>
      <c r="BZ8899" s="34"/>
      <c r="CD8899" s="34"/>
    </row>
    <row r="8900" spans="70:82" x14ac:dyDescent="0.15">
      <c r="BR8900" s="34"/>
      <c r="BV8900" s="34"/>
      <c r="BZ8900" s="34"/>
      <c r="CD8900" s="34"/>
    </row>
    <row r="8901" spans="70:82" x14ac:dyDescent="0.15">
      <c r="BR8901" s="34"/>
      <c r="BV8901" s="34"/>
      <c r="BZ8901" s="34"/>
      <c r="CD8901" s="34"/>
    </row>
    <row r="8902" spans="70:82" x14ac:dyDescent="0.15">
      <c r="BR8902" s="34"/>
      <c r="BV8902" s="34"/>
      <c r="BZ8902" s="34"/>
      <c r="CD8902" s="34"/>
    </row>
    <row r="8903" spans="70:82" x14ac:dyDescent="0.15">
      <c r="BR8903" s="34"/>
      <c r="BV8903" s="34"/>
      <c r="BZ8903" s="34"/>
      <c r="CD8903" s="34"/>
    </row>
    <row r="8904" spans="70:82" x14ac:dyDescent="0.15">
      <c r="BR8904" s="34"/>
      <c r="BV8904" s="34"/>
      <c r="BZ8904" s="34"/>
      <c r="CD8904" s="34"/>
    </row>
    <row r="8905" spans="70:82" x14ac:dyDescent="0.15">
      <c r="BR8905" s="34"/>
      <c r="BV8905" s="34"/>
      <c r="BZ8905" s="34"/>
      <c r="CD8905" s="34"/>
    </row>
    <row r="8906" spans="70:82" x14ac:dyDescent="0.15">
      <c r="BR8906" s="34"/>
      <c r="BV8906" s="34"/>
      <c r="BZ8906" s="34"/>
      <c r="CD8906" s="34"/>
    </row>
    <row r="8907" spans="70:82" x14ac:dyDescent="0.15">
      <c r="BR8907" s="34"/>
      <c r="BV8907" s="34"/>
      <c r="BZ8907" s="34"/>
      <c r="CD8907" s="34"/>
    </row>
    <row r="8908" spans="70:82" x14ac:dyDescent="0.15">
      <c r="BR8908" s="34"/>
      <c r="BV8908" s="34"/>
      <c r="BZ8908" s="34"/>
      <c r="CD8908" s="34"/>
    </row>
    <row r="8909" spans="70:82" x14ac:dyDescent="0.15">
      <c r="BR8909" s="34"/>
      <c r="BV8909" s="34"/>
      <c r="BZ8909" s="34"/>
      <c r="CD8909" s="34"/>
    </row>
    <row r="8910" spans="70:82" x14ac:dyDescent="0.15">
      <c r="BR8910" s="34"/>
      <c r="BV8910" s="34"/>
      <c r="BZ8910" s="34"/>
      <c r="CD8910" s="34"/>
    </row>
    <row r="8911" spans="70:82" x14ac:dyDescent="0.15">
      <c r="BR8911" s="34"/>
      <c r="BV8911" s="34"/>
      <c r="BZ8911" s="34"/>
      <c r="CD8911" s="34"/>
    </row>
    <row r="8912" spans="70:82" x14ac:dyDescent="0.15">
      <c r="BR8912" s="34"/>
      <c r="BV8912" s="34"/>
      <c r="BZ8912" s="34"/>
      <c r="CD8912" s="34"/>
    </row>
    <row r="8913" spans="70:82" x14ac:dyDescent="0.15">
      <c r="BR8913" s="34"/>
      <c r="BV8913" s="34"/>
      <c r="BZ8913" s="34"/>
      <c r="CD8913" s="34"/>
    </row>
    <row r="8914" spans="70:82" x14ac:dyDescent="0.15">
      <c r="BR8914" s="34"/>
      <c r="BV8914" s="34"/>
      <c r="BZ8914" s="34"/>
      <c r="CD8914" s="34"/>
    </row>
    <row r="8915" spans="70:82" x14ac:dyDescent="0.15">
      <c r="BR8915" s="34"/>
      <c r="BV8915" s="34"/>
      <c r="BZ8915" s="34"/>
      <c r="CD8915" s="34"/>
    </row>
    <row r="8916" spans="70:82" x14ac:dyDescent="0.15">
      <c r="BR8916" s="34"/>
      <c r="BV8916" s="34"/>
      <c r="BZ8916" s="34"/>
      <c r="CD8916" s="34"/>
    </row>
    <row r="8917" spans="70:82" x14ac:dyDescent="0.15">
      <c r="BR8917" s="34"/>
      <c r="BV8917" s="34"/>
      <c r="BZ8917" s="34"/>
      <c r="CD8917" s="34"/>
    </row>
    <row r="8918" spans="70:82" x14ac:dyDescent="0.15">
      <c r="BR8918" s="34"/>
      <c r="BV8918" s="34"/>
      <c r="BZ8918" s="34"/>
      <c r="CD8918" s="34"/>
    </row>
    <row r="8919" spans="70:82" x14ac:dyDescent="0.15">
      <c r="BR8919" s="34"/>
      <c r="BV8919" s="34"/>
      <c r="BZ8919" s="34"/>
      <c r="CD8919" s="34"/>
    </row>
    <row r="8920" spans="70:82" x14ac:dyDescent="0.15">
      <c r="BR8920" s="34"/>
      <c r="BV8920" s="34"/>
      <c r="BZ8920" s="34"/>
      <c r="CD8920" s="34"/>
    </row>
    <row r="8921" spans="70:82" x14ac:dyDescent="0.15">
      <c r="BR8921" s="34"/>
      <c r="BV8921" s="34"/>
      <c r="BZ8921" s="34"/>
      <c r="CD8921" s="34"/>
    </row>
    <row r="8922" spans="70:82" x14ac:dyDescent="0.15">
      <c r="BR8922" s="34"/>
      <c r="BV8922" s="34"/>
      <c r="BZ8922" s="34"/>
      <c r="CD8922" s="34"/>
    </row>
    <row r="8923" spans="70:82" x14ac:dyDescent="0.15">
      <c r="BR8923" s="34"/>
      <c r="BV8923" s="34"/>
      <c r="BZ8923" s="34"/>
      <c r="CD8923" s="34"/>
    </row>
    <row r="8924" spans="70:82" x14ac:dyDescent="0.15">
      <c r="BR8924" s="34"/>
      <c r="BV8924" s="34"/>
      <c r="BZ8924" s="34"/>
      <c r="CD8924" s="34"/>
    </row>
    <row r="8925" spans="70:82" x14ac:dyDescent="0.15">
      <c r="BR8925" s="34"/>
      <c r="BV8925" s="34"/>
      <c r="BZ8925" s="34"/>
      <c r="CD8925" s="34"/>
    </row>
    <row r="8926" spans="70:82" x14ac:dyDescent="0.15">
      <c r="BR8926" s="34"/>
      <c r="BV8926" s="34"/>
      <c r="BZ8926" s="34"/>
      <c r="CD8926" s="34"/>
    </row>
    <row r="8927" spans="70:82" x14ac:dyDescent="0.15">
      <c r="BR8927" s="34"/>
      <c r="BV8927" s="34"/>
      <c r="BZ8927" s="34"/>
      <c r="CD8927" s="34"/>
    </row>
    <row r="8928" spans="70:82" x14ac:dyDescent="0.15">
      <c r="BR8928" s="34"/>
      <c r="BV8928" s="34"/>
      <c r="BZ8928" s="34"/>
      <c r="CD8928" s="34"/>
    </row>
    <row r="8929" spans="70:82" x14ac:dyDescent="0.15">
      <c r="BR8929" s="34"/>
      <c r="BV8929" s="34"/>
      <c r="BZ8929" s="34"/>
      <c r="CD8929" s="34"/>
    </row>
    <row r="8930" spans="70:82" x14ac:dyDescent="0.15">
      <c r="BR8930" s="34"/>
      <c r="BV8930" s="34"/>
      <c r="BZ8930" s="34"/>
      <c r="CD8930" s="34"/>
    </row>
    <row r="8931" spans="70:82" x14ac:dyDescent="0.15">
      <c r="BR8931" s="34"/>
      <c r="BV8931" s="34"/>
      <c r="BZ8931" s="34"/>
      <c r="CD8931" s="34"/>
    </row>
    <row r="8932" spans="70:82" x14ac:dyDescent="0.15">
      <c r="BR8932" s="34"/>
      <c r="BV8932" s="34"/>
      <c r="BZ8932" s="34"/>
      <c r="CD8932" s="34"/>
    </row>
    <row r="8933" spans="70:82" x14ac:dyDescent="0.15">
      <c r="BR8933" s="34"/>
      <c r="BV8933" s="34"/>
      <c r="BZ8933" s="34"/>
      <c r="CD8933" s="34"/>
    </row>
    <row r="8934" spans="70:82" x14ac:dyDescent="0.15">
      <c r="BR8934" s="34"/>
      <c r="BV8934" s="34"/>
      <c r="BZ8934" s="34"/>
      <c r="CD8934" s="34"/>
    </row>
    <row r="8935" spans="70:82" x14ac:dyDescent="0.15">
      <c r="BR8935" s="34"/>
      <c r="BV8935" s="34"/>
      <c r="BZ8935" s="34"/>
      <c r="CD8935" s="34"/>
    </row>
    <row r="8936" spans="70:82" x14ac:dyDescent="0.15">
      <c r="BR8936" s="34"/>
      <c r="BV8936" s="34"/>
      <c r="BZ8936" s="34"/>
      <c r="CD8936" s="34"/>
    </row>
    <row r="8937" spans="70:82" x14ac:dyDescent="0.15">
      <c r="BR8937" s="34"/>
      <c r="BV8937" s="34"/>
      <c r="BZ8937" s="34"/>
      <c r="CD8937" s="34"/>
    </row>
    <row r="8938" spans="70:82" x14ac:dyDescent="0.15">
      <c r="BR8938" s="34"/>
      <c r="BV8938" s="34"/>
      <c r="BZ8938" s="34"/>
      <c r="CD8938" s="34"/>
    </row>
    <row r="8939" spans="70:82" x14ac:dyDescent="0.15">
      <c r="BR8939" s="34"/>
      <c r="BV8939" s="34"/>
      <c r="BZ8939" s="34"/>
      <c r="CD8939" s="34"/>
    </row>
    <row r="8940" spans="70:82" x14ac:dyDescent="0.15">
      <c r="BR8940" s="34"/>
      <c r="BV8940" s="34"/>
      <c r="BZ8940" s="34"/>
      <c r="CD8940" s="34"/>
    </row>
    <row r="8941" spans="70:82" x14ac:dyDescent="0.15">
      <c r="BR8941" s="34"/>
      <c r="BV8941" s="34"/>
      <c r="BZ8941" s="34"/>
      <c r="CD8941" s="34"/>
    </row>
    <row r="8942" spans="70:82" x14ac:dyDescent="0.15">
      <c r="BR8942" s="34"/>
      <c r="BV8942" s="34"/>
      <c r="BZ8942" s="34"/>
      <c r="CD8942" s="34"/>
    </row>
    <row r="8943" spans="70:82" x14ac:dyDescent="0.15">
      <c r="BR8943" s="34"/>
      <c r="BV8943" s="34"/>
      <c r="BZ8943" s="34"/>
      <c r="CD8943" s="34"/>
    </row>
    <row r="8944" spans="70:82" x14ac:dyDescent="0.15">
      <c r="BR8944" s="34"/>
      <c r="BV8944" s="34"/>
      <c r="BZ8944" s="34"/>
      <c r="CD8944" s="34"/>
    </row>
    <row r="8945" spans="70:82" x14ac:dyDescent="0.15">
      <c r="BR8945" s="34"/>
      <c r="BV8945" s="34"/>
      <c r="BZ8945" s="34"/>
      <c r="CD8945" s="34"/>
    </row>
    <row r="8946" spans="70:82" x14ac:dyDescent="0.15">
      <c r="BR8946" s="34"/>
      <c r="BV8946" s="34"/>
      <c r="BZ8946" s="34"/>
      <c r="CD8946" s="34"/>
    </row>
    <row r="8947" spans="70:82" x14ac:dyDescent="0.15">
      <c r="BR8947" s="34"/>
      <c r="BV8947" s="34"/>
      <c r="BZ8947" s="34"/>
      <c r="CD8947" s="34"/>
    </row>
    <row r="8948" spans="70:82" x14ac:dyDescent="0.15">
      <c r="BR8948" s="34"/>
      <c r="BV8948" s="34"/>
      <c r="BZ8948" s="34"/>
      <c r="CD8948" s="34"/>
    </row>
    <row r="8949" spans="70:82" x14ac:dyDescent="0.15">
      <c r="BR8949" s="34"/>
      <c r="BV8949" s="34"/>
      <c r="BZ8949" s="34"/>
      <c r="CD8949" s="34"/>
    </row>
    <row r="8950" spans="70:82" x14ac:dyDescent="0.15">
      <c r="BR8950" s="34"/>
      <c r="BV8950" s="34"/>
      <c r="BZ8950" s="34"/>
      <c r="CD8950" s="34"/>
    </row>
    <row r="8951" spans="70:82" x14ac:dyDescent="0.15">
      <c r="BR8951" s="34"/>
      <c r="BV8951" s="34"/>
      <c r="BZ8951" s="34"/>
      <c r="CD8951" s="34"/>
    </row>
    <row r="8952" spans="70:82" x14ac:dyDescent="0.15">
      <c r="BR8952" s="34"/>
      <c r="BV8952" s="34"/>
      <c r="BZ8952" s="34"/>
      <c r="CD8952" s="34"/>
    </row>
    <row r="8953" spans="70:82" x14ac:dyDescent="0.15">
      <c r="BR8953" s="34"/>
      <c r="BV8953" s="34"/>
      <c r="BZ8953" s="34"/>
      <c r="CD8953" s="34"/>
    </row>
    <row r="8954" spans="70:82" x14ac:dyDescent="0.15">
      <c r="BR8954" s="34"/>
      <c r="BV8954" s="34"/>
      <c r="BZ8954" s="34"/>
      <c r="CD8954" s="34"/>
    </row>
    <row r="8955" spans="70:82" x14ac:dyDescent="0.15">
      <c r="BR8955" s="34"/>
      <c r="BV8955" s="34"/>
      <c r="BZ8955" s="34"/>
      <c r="CD8955" s="34"/>
    </row>
    <row r="8956" spans="70:82" x14ac:dyDescent="0.15">
      <c r="BR8956" s="34"/>
      <c r="BV8956" s="34"/>
      <c r="BZ8956" s="34"/>
      <c r="CD8956" s="34"/>
    </row>
    <row r="8957" spans="70:82" x14ac:dyDescent="0.15">
      <c r="BR8957" s="34"/>
      <c r="BV8957" s="34"/>
      <c r="BZ8957" s="34"/>
      <c r="CD8957" s="34"/>
    </row>
    <row r="8958" spans="70:82" x14ac:dyDescent="0.15">
      <c r="BR8958" s="34"/>
      <c r="BV8958" s="34"/>
      <c r="BZ8958" s="34"/>
      <c r="CD8958" s="34"/>
    </row>
    <row r="8959" spans="70:82" x14ac:dyDescent="0.15">
      <c r="BR8959" s="34"/>
      <c r="BV8959" s="34"/>
      <c r="BZ8959" s="34"/>
      <c r="CD8959" s="34"/>
    </row>
    <row r="8960" spans="70:82" x14ac:dyDescent="0.15">
      <c r="BR8960" s="34"/>
      <c r="BV8960" s="34"/>
      <c r="BZ8960" s="34"/>
      <c r="CD8960" s="34"/>
    </row>
    <row r="8961" spans="70:82" x14ac:dyDescent="0.15">
      <c r="BR8961" s="34"/>
      <c r="BV8961" s="34"/>
      <c r="BZ8961" s="34"/>
      <c r="CD8961" s="34"/>
    </row>
    <row r="8962" spans="70:82" x14ac:dyDescent="0.15">
      <c r="BR8962" s="34"/>
      <c r="BV8962" s="34"/>
      <c r="BZ8962" s="34"/>
      <c r="CD8962" s="34"/>
    </row>
    <row r="8963" spans="70:82" x14ac:dyDescent="0.15">
      <c r="BR8963" s="34"/>
      <c r="BV8963" s="34"/>
      <c r="BZ8963" s="34"/>
      <c r="CD8963" s="34"/>
    </row>
    <row r="8964" spans="70:82" x14ac:dyDescent="0.15">
      <c r="BR8964" s="34"/>
      <c r="BV8964" s="34"/>
      <c r="BZ8964" s="34"/>
      <c r="CD8964" s="34"/>
    </row>
    <row r="8965" spans="70:82" x14ac:dyDescent="0.15">
      <c r="BR8965" s="34"/>
      <c r="BV8965" s="34"/>
      <c r="BZ8965" s="34"/>
      <c r="CD8965" s="34"/>
    </row>
    <row r="8966" spans="70:82" x14ac:dyDescent="0.15">
      <c r="BR8966" s="34"/>
      <c r="BV8966" s="34"/>
      <c r="BZ8966" s="34"/>
      <c r="CD8966" s="34"/>
    </row>
    <row r="8967" spans="70:82" x14ac:dyDescent="0.15">
      <c r="BR8967" s="34"/>
      <c r="BV8967" s="34"/>
      <c r="BZ8967" s="34"/>
      <c r="CD8967" s="34"/>
    </row>
    <row r="8968" spans="70:82" x14ac:dyDescent="0.15">
      <c r="BR8968" s="34"/>
      <c r="BV8968" s="34"/>
      <c r="BZ8968" s="34"/>
      <c r="CD8968" s="34"/>
    </row>
    <row r="8969" spans="70:82" x14ac:dyDescent="0.15">
      <c r="BR8969" s="34"/>
      <c r="BV8969" s="34"/>
      <c r="BZ8969" s="34"/>
      <c r="CD8969" s="34"/>
    </row>
    <row r="8970" spans="70:82" x14ac:dyDescent="0.15">
      <c r="BR8970" s="34"/>
      <c r="BV8970" s="34"/>
      <c r="BZ8970" s="34"/>
      <c r="CD8970" s="34"/>
    </row>
    <row r="8971" spans="70:82" x14ac:dyDescent="0.15">
      <c r="BR8971" s="34"/>
      <c r="BV8971" s="34"/>
      <c r="BZ8971" s="34"/>
      <c r="CD8971" s="34"/>
    </row>
    <row r="8972" spans="70:82" x14ac:dyDescent="0.15">
      <c r="BR8972" s="34"/>
      <c r="BV8972" s="34"/>
      <c r="BZ8972" s="34"/>
      <c r="CD8972" s="34"/>
    </row>
    <row r="8973" spans="70:82" x14ac:dyDescent="0.15">
      <c r="BR8973" s="34"/>
      <c r="BV8973" s="34"/>
      <c r="BZ8973" s="34"/>
      <c r="CD8973" s="34"/>
    </row>
    <row r="8974" spans="70:82" x14ac:dyDescent="0.15">
      <c r="BR8974" s="34"/>
      <c r="BV8974" s="34"/>
      <c r="BZ8974" s="34"/>
      <c r="CD8974" s="34"/>
    </row>
    <row r="8975" spans="70:82" x14ac:dyDescent="0.15">
      <c r="BR8975" s="34"/>
      <c r="BV8975" s="34"/>
      <c r="BZ8975" s="34"/>
      <c r="CD8975" s="34"/>
    </row>
    <row r="8976" spans="70:82" x14ac:dyDescent="0.15">
      <c r="BR8976" s="34"/>
      <c r="BV8976" s="34"/>
      <c r="BZ8976" s="34"/>
      <c r="CD8976" s="34"/>
    </row>
    <row r="8977" spans="70:82" x14ac:dyDescent="0.15">
      <c r="BR8977" s="34"/>
      <c r="BV8977" s="34"/>
      <c r="BZ8977" s="34"/>
      <c r="CD8977" s="34"/>
    </row>
    <row r="8978" spans="70:82" x14ac:dyDescent="0.15">
      <c r="BR8978" s="34"/>
      <c r="BV8978" s="34"/>
      <c r="BZ8978" s="34"/>
      <c r="CD8978" s="34"/>
    </row>
    <row r="8979" spans="70:82" x14ac:dyDescent="0.15">
      <c r="BR8979" s="34"/>
      <c r="BV8979" s="34"/>
      <c r="BZ8979" s="34"/>
      <c r="CD8979" s="34"/>
    </row>
    <row r="8980" spans="70:82" x14ac:dyDescent="0.15">
      <c r="BR8980" s="34"/>
      <c r="BV8980" s="34"/>
      <c r="BZ8980" s="34"/>
      <c r="CD8980" s="34"/>
    </row>
    <row r="8981" spans="70:82" x14ac:dyDescent="0.15">
      <c r="BR8981" s="34"/>
      <c r="BV8981" s="34"/>
      <c r="BZ8981" s="34"/>
      <c r="CD8981" s="34"/>
    </row>
    <row r="8982" spans="70:82" x14ac:dyDescent="0.15">
      <c r="BR8982" s="34"/>
      <c r="BV8982" s="34"/>
      <c r="BZ8982" s="34"/>
      <c r="CD8982" s="34"/>
    </row>
    <row r="8983" spans="70:82" x14ac:dyDescent="0.15">
      <c r="BR8983" s="34"/>
      <c r="BV8983" s="34"/>
      <c r="BZ8983" s="34"/>
      <c r="CD8983" s="34"/>
    </row>
    <row r="8984" spans="70:82" x14ac:dyDescent="0.15">
      <c r="BR8984" s="34"/>
      <c r="BV8984" s="34"/>
      <c r="BZ8984" s="34"/>
      <c r="CD8984" s="34"/>
    </row>
    <row r="8985" spans="70:82" x14ac:dyDescent="0.15">
      <c r="BR8985" s="34"/>
      <c r="BV8985" s="34"/>
      <c r="BZ8985" s="34"/>
      <c r="CD8985" s="34"/>
    </row>
    <row r="8986" spans="70:82" x14ac:dyDescent="0.15">
      <c r="BR8986" s="34"/>
      <c r="BV8986" s="34"/>
      <c r="BZ8986" s="34"/>
      <c r="CD8986" s="34"/>
    </row>
    <row r="8987" spans="70:82" x14ac:dyDescent="0.15">
      <c r="BR8987" s="34"/>
      <c r="BV8987" s="34"/>
      <c r="BZ8987" s="34"/>
      <c r="CD8987" s="34"/>
    </row>
    <row r="8988" spans="70:82" x14ac:dyDescent="0.15">
      <c r="BR8988" s="34"/>
      <c r="BV8988" s="34"/>
      <c r="BZ8988" s="34"/>
      <c r="CD8988" s="34"/>
    </row>
    <row r="8989" spans="70:82" x14ac:dyDescent="0.15">
      <c r="BR8989" s="34"/>
      <c r="BV8989" s="34"/>
      <c r="BZ8989" s="34"/>
      <c r="CD8989" s="34"/>
    </row>
    <row r="8990" spans="70:82" x14ac:dyDescent="0.15">
      <c r="BR8990" s="34"/>
      <c r="BV8990" s="34"/>
      <c r="BZ8990" s="34"/>
      <c r="CD8990" s="34"/>
    </row>
    <row r="8991" spans="70:82" x14ac:dyDescent="0.15">
      <c r="BR8991" s="34"/>
      <c r="BV8991" s="34"/>
      <c r="BZ8991" s="34"/>
      <c r="CD8991" s="34"/>
    </row>
    <row r="8992" spans="70:82" x14ac:dyDescent="0.15">
      <c r="BR8992" s="34"/>
      <c r="BV8992" s="34"/>
      <c r="BZ8992" s="34"/>
      <c r="CD8992" s="34"/>
    </row>
    <row r="8993" spans="70:82" x14ac:dyDescent="0.15">
      <c r="BR8993" s="34"/>
      <c r="BV8993" s="34"/>
      <c r="BZ8993" s="34"/>
      <c r="CD8993" s="34"/>
    </row>
    <row r="8994" spans="70:82" x14ac:dyDescent="0.15">
      <c r="BR8994" s="34"/>
      <c r="BV8994" s="34"/>
      <c r="BZ8994" s="34"/>
      <c r="CD8994" s="34"/>
    </row>
    <row r="8995" spans="70:82" x14ac:dyDescent="0.15">
      <c r="BR8995" s="34"/>
      <c r="BV8995" s="34"/>
      <c r="BZ8995" s="34"/>
      <c r="CD8995" s="34"/>
    </row>
    <row r="8996" spans="70:82" x14ac:dyDescent="0.15">
      <c r="BR8996" s="34"/>
      <c r="BV8996" s="34"/>
      <c r="BZ8996" s="34"/>
      <c r="CD8996" s="34"/>
    </row>
    <row r="8997" spans="70:82" x14ac:dyDescent="0.15">
      <c r="BR8997" s="34"/>
      <c r="BV8997" s="34"/>
      <c r="BZ8997" s="34"/>
      <c r="CD8997" s="34"/>
    </row>
    <row r="8998" spans="70:82" x14ac:dyDescent="0.15">
      <c r="BR8998" s="34"/>
      <c r="BV8998" s="34"/>
      <c r="BZ8998" s="34"/>
      <c r="CD8998" s="34"/>
    </row>
    <row r="8999" spans="70:82" x14ac:dyDescent="0.15">
      <c r="BR8999" s="34"/>
      <c r="BV8999" s="34"/>
      <c r="BZ8999" s="34"/>
      <c r="CD8999" s="34"/>
    </row>
    <row r="9000" spans="70:82" x14ac:dyDescent="0.15">
      <c r="BR9000" s="34"/>
      <c r="BV9000" s="34"/>
      <c r="BZ9000" s="34"/>
      <c r="CD9000" s="34"/>
    </row>
    <row r="9001" spans="70:82" x14ac:dyDescent="0.15">
      <c r="BR9001" s="34"/>
      <c r="BV9001" s="34"/>
      <c r="BZ9001" s="34"/>
      <c r="CD9001" s="34"/>
    </row>
    <row r="9002" spans="70:82" x14ac:dyDescent="0.15">
      <c r="BR9002" s="34"/>
      <c r="BV9002" s="34"/>
      <c r="BZ9002" s="34"/>
      <c r="CD9002" s="34"/>
    </row>
    <row r="9003" spans="70:82" x14ac:dyDescent="0.15">
      <c r="BR9003" s="34"/>
      <c r="BV9003" s="34"/>
      <c r="BZ9003" s="34"/>
      <c r="CD9003" s="34"/>
    </row>
    <row r="9004" spans="70:82" x14ac:dyDescent="0.15">
      <c r="BR9004" s="34"/>
      <c r="BV9004" s="34"/>
      <c r="BZ9004" s="34"/>
      <c r="CD9004" s="34"/>
    </row>
    <row r="9005" spans="70:82" x14ac:dyDescent="0.15">
      <c r="BR9005" s="34"/>
      <c r="BV9005" s="34"/>
      <c r="BZ9005" s="34"/>
      <c r="CD9005" s="34"/>
    </row>
    <row r="9006" spans="70:82" x14ac:dyDescent="0.15">
      <c r="BR9006" s="34"/>
      <c r="BV9006" s="34"/>
      <c r="BZ9006" s="34"/>
      <c r="CD9006" s="34"/>
    </row>
    <row r="9007" spans="70:82" x14ac:dyDescent="0.15">
      <c r="BR9007" s="34"/>
      <c r="BV9007" s="34"/>
      <c r="BZ9007" s="34"/>
      <c r="CD9007" s="34"/>
    </row>
    <row r="9008" spans="70:82" x14ac:dyDescent="0.15">
      <c r="BR9008" s="34"/>
      <c r="BV9008" s="34"/>
      <c r="BZ9008" s="34"/>
      <c r="CD9008" s="34"/>
    </row>
    <row r="9009" spans="70:82" x14ac:dyDescent="0.15">
      <c r="BR9009" s="34"/>
      <c r="BV9009" s="34"/>
      <c r="BZ9009" s="34"/>
      <c r="CD9009" s="34"/>
    </row>
    <row r="9010" spans="70:82" x14ac:dyDescent="0.15">
      <c r="BR9010" s="34"/>
      <c r="BV9010" s="34"/>
      <c r="BZ9010" s="34"/>
      <c r="CD9010" s="34"/>
    </row>
    <row r="9011" spans="70:82" x14ac:dyDescent="0.15">
      <c r="BR9011" s="34"/>
      <c r="BV9011" s="34"/>
      <c r="BZ9011" s="34"/>
      <c r="CD9011" s="34"/>
    </row>
    <row r="9012" spans="70:82" x14ac:dyDescent="0.15">
      <c r="BR9012" s="34"/>
      <c r="BV9012" s="34"/>
      <c r="BZ9012" s="34"/>
      <c r="CD9012" s="34"/>
    </row>
    <row r="9013" spans="70:82" x14ac:dyDescent="0.15">
      <c r="BR9013" s="34"/>
      <c r="BV9013" s="34"/>
      <c r="BZ9013" s="34"/>
      <c r="CD9013" s="34"/>
    </row>
    <row r="9014" spans="70:82" x14ac:dyDescent="0.15">
      <c r="BR9014" s="34"/>
      <c r="BV9014" s="34"/>
      <c r="BZ9014" s="34"/>
      <c r="CD9014" s="34"/>
    </row>
    <row r="9015" spans="70:82" x14ac:dyDescent="0.15">
      <c r="BR9015" s="34"/>
      <c r="BV9015" s="34"/>
      <c r="BZ9015" s="34"/>
      <c r="CD9015" s="34"/>
    </row>
    <row r="9016" spans="70:82" x14ac:dyDescent="0.15">
      <c r="BR9016" s="34"/>
      <c r="BV9016" s="34"/>
      <c r="BZ9016" s="34"/>
      <c r="CD9016" s="34"/>
    </row>
    <row r="9017" spans="70:82" x14ac:dyDescent="0.15">
      <c r="BR9017" s="34"/>
      <c r="BV9017" s="34"/>
      <c r="BZ9017" s="34"/>
      <c r="CD9017" s="34"/>
    </row>
    <row r="9018" spans="70:82" x14ac:dyDescent="0.15">
      <c r="BR9018" s="34"/>
      <c r="BV9018" s="34"/>
      <c r="BZ9018" s="34"/>
      <c r="CD9018" s="34"/>
    </row>
    <row r="9019" spans="70:82" x14ac:dyDescent="0.15">
      <c r="BR9019" s="34"/>
      <c r="BV9019" s="34"/>
      <c r="BZ9019" s="34"/>
      <c r="CD9019" s="34"/>
    </row>
    <row r="9020" spans="70:82" x14ac:dyDescent="0.15">
      <c r="BR9020" s="34"/>
      <c r="BV9020" s="34"/>
      <c r="BZ9020" s="34"/>
      <c r="CD9020" s="34"/>
    </row>
    <row r="9021" spans="70:82" x14ac:dyDescent="0.15">
      <c r="BR9021" s="34"/>
      <c r="BV9021" s="34"/>
      <c r="BZ9021" s="34"/>
      <c r="CD9021" s="34"/>
    </row>
    <row r="9022" spans="70:82" x14ac:dyDescent="0.15">
      <c r="BR9022" s="34"/>
      <c r="BV9022" s="34"/>
      <c r="BZ9022" s="34"/>
      <c r="CD9022" s="34"/>
    </row>
    <row r="9023" spans="70:82" x14ac:dyDescent="0.15">
      <c r="BR9023" s="34"/>
      <c r="BV9023" s="34"/>
      <c r="BZ9023" s="34"/>
      <c r="CD9023" s="34"/>
    </row>
    <row r="9024" spans="70:82" x14ac:dyDescent="0.15">
      <c r="BR9024" s="34"/>
      <c r="BV9024" s="34"/>
      <c r="BZ9024" s="34"/>
      <c r="CD9024" s="34"/>
    </row>
    <row r="9025" spans="70:82" x14ac:dyDescent="0.15">
      <c r="BR9025" s="34"/>
      <c r="BV9025" s="34"/>
      <c r="BZ9025" s="34"/>
      <c r="CD9025" s="34"/>
    </row>
    <row r="9026" spans="70:82" x14ac:dyDescent="0.15">
      <c r="BR9026" s="34"/>
      <c r="BV9026" s="34"/>
      <c r="BZ9026" s="34"/>
      <c r="CD9026" s="34"/>
    </row>
    <row r="9027" spans="70:82" x14ac:dyDescent="0.15">
      <c r="BR9027" s="34"/>
      <c r="BV9027" s="34"/>
      <c r="BZ9027" s="34"/>
      <c r="CD9027" s="34"/>
    </row>
    <row r="9028" spans="70:82" x14ac:dyDescent="0.15">
      <c r="BR9028" s="34"/>
      <c r="BV9028" s="34"/>
      <c r="BZ9028" s="34"/>
      <c r="CD9028" s="34"/>
    </row>
    <row r="9029" spans="70:82" x14ac:dyDescent="0.15">
      <c r="BR9029" s="34"/>
      <c r="BV9029" s="34"/>
      <c r="BZ9029" s="34"/>
      <c r="CD9029" s="34"/>
    </row>
    <row r="9030" spans="70:82" x14ac:dyDescent="0.15">
      <c r="BR9030" s="34"/>
      <c r="BV9030" s="34"/>
      <c r="BZ9030" s="34"/>
      <c r="CD9030" s="34"/>
    </row>
    <row r="9031" spans="70:82" x14ac:dyDescent="0.15">
      <c r="BR9031" s="34"/>
      <c r="BV9031" s="34"/>
      <c r="BZ9031" s="34"/>
      <c r="CD9031" s="34"/>
    </row>
    <row r="9032" spans="70:82" x14ac:dyDescent="0.15">
      <c r="BR9032" s="34"/>
      <c r="BV9032" s="34"/>
      <c r="BZ9032" s="34"/>
      <c r="CD9032" s="34"/>
    </row>
    <row r="9033" spans="70:82" x14ac:dyDescent="0.15">
      <c r="BR9033" s="34"/>
      <c r="BV9033" s="34"/>
      <c r="BZ9033" s="34"/>
      <c r="CD9033" s="34"/>
    </row>
    <row r="9034" spans="70:82" x14ac:dyDescent="0.15">
      <c r="BR9034" s="34"/>
      <c r="BV9034" s="34"/>
      <c r="BZ9034" s="34"/>
      <c r="CD9034" s="34"/>
    </row>
    <row r="9035" spans="70:82" x14ac:dyDescent="0.15">
      <c r="BR9035" s="34"/>
      <c r="BV9035" s="34"/>
      <c r="BZ9035" s="34"/>
      <c r="CD9035" s="34"/>
    </row>
    <row r="9036" spans="70:82" x14ac:dyDescent="0.15">
      <c r="BR9036" s="34"/>
      <c r="BV9036" s="34"/>
      <c r="BZ9036" s="34"/>
      <c r="CD9036" s="34"/>
    </row>
    <row r="9037" spans="70:82" x14ac:dyDescent="0.15">
      <c r="BR9037" s="34"/>
      <c r="BV9037" s="34"/>
      <c r="BZ9037" s="34"/>
      <c r="CD9037" s="34"/>
    </row>
    <row r="9038" spans="70:82" x14ac:dyDescent="0.15">
      <c r="BR9038" s="34"/>
      <c r="BV9038" s="34"/>
      <c r="BZ9038" s="34"/>
      <c r="CD9038" s="34"/>
    </row>
    <row r="9039" spans="70:82" x14ac:dyDescent="0.15">
      <c r="BR9039" s="34"/>
      <c r="BV9039" s="34"/>
      <c r="BZ9039" s="34"/>
      <c r="CD9039" s="34"/>
    </row>
    <row r="9040" spans="70:82" x14ac:dyDescent="0.15">
      <c r="BR9040" s="34"/>
      <c r="BV9040" s="34"/>
      <c r="BZ9040" s="34"/>
      <c r="CD9040" s="34"/>
    </row>
    <row r="9041" spans="70:82" x14ac:dyDescent="0.15">
      <c r="BR9041" s="34"/>
      <c r="BV9041" s="34"/>
      <c r="BZ9041" s="34"/>
      <c r="CD9041" s="34"/>
    </row>
    <row r="9042" spans="70:82" x14ac:dyDescent="0.15">
      <c r="BR9042" s="34"/>
      <c r="BV9042" s="34"/>
      <c r="BZ9042" s="34"/>
      <c r="CD9042" s="34"/>
    </row>
    <row r="9043" spans="70:82" x14ac:dyDescent="0.15">
      <c r="BR9043" s="34"/>
      <c r="BV9043" s="34"/>
      <c r="BZ9043" s="34"/>
      <c r="CD9043" s="34"/>
    </row>
    <row r="9044" spans="70:82" x14ac:dyDescent="0.15">
      <c r="BR9044" s="34"/>
      <c r="BV9044" s="34"/>
      <c r="BZ9044" s="34"/>
      <c r="CD9044" s="34"/>
    </row>
    <row r="9045" spans="70:82" x14ac:dyDescent="0.15">
      <c r="BR9045" s="34"/>
      <c r="BV9045" s="34"/>
      <c r="BZ9045" s="34"/>
      <c r="CD9045" s="34"/>
    </row>
    <row r="9046" spans="70:82" x14ac:dyDescent="0.15">
      <c r="BR9046" s="34"/>
      <c r="BV9046" s="34"/>
      <c r="BZ9046" s="34"/>
      <c r="CD9046" s="34"/>
    </row>
    <row r="9047" spans="70:82" x14ac:dyDescent="0.15">
      <c r="BR9047" s="34"/>
      <c r="BV9047" s="34"/>
      <c r="BZ9047" s="34"/>
      <c r="CD9047" s="34"/>
    </row>
    <row r="9048" spans="70:82" x14ac:dyDescent="0.15">
      <c r="BR9048" s="34"/>
      <c r="BV9048" s="34"/>
      <c r="BZ9048" s="34"/>
      <c r="CD9048" s="34"/>
    </row>
    <row r="9049" spans="70:82" x14ac:dyDescent="0.15">
      <c r="BR9049" s="34"/>
      <c r="BV9049" s="34"/>
      <c r="BZ9049" s="34"/>
      <c r="CD9049" s="34"/>
    </row>
    <row r="9050" spans="70:82" x14ac:dyDescent="0.15">
      <c r="BR9050" s="34"/>
      <c r="BV9050" s="34"/>
      <c r="BZ9050" s="34"/>
      <c r="CD9050" s="34"/>
    </row>
    <row r="9051" spans="70:82" x14ac:dyDescent="0.15">
      <c r="BR9051" s="34"/>
      <c r="BV9051" s="34"/>
      <c r="BZ9051" s="34"/>
      <c r="CD9051" s="34"/>
    </row>
    <row r="9052" spans="70:82" x14ac:dyDescent="0.15">
      <c r="BR9052" s="34"/>
      <c r="BV9052" s="34"/>
      <c r="BZ9052" s="34"/>
      <c r="CD9052" s="34"/>
    </row>
    <row r="9053" spans="70:82" x14ac:dyDescent="0.15">
      <c r="BR9053" s="34"/>
      <c r="BV9053" s="34"/>
      <c r="BZ9053" s="34"/>
      <c r="CD9053" s="34"/>
    </row>
    <row r="9054" spans="70:82" x14ac:dyDescent="0.15">
      <c r="BR9054" s="34"/>
      <c r="BV9054" s="34"/>
      <c r="BZ9054" s="34"/>
      <c r="CD9054" s="34"/>
    </row>
    <row r="9055" spans="70:82" x14ac:dyDescent="0.15">
      <c r="BR9055" s="34"/>
      <c r="BV9055" s="34"/>
      <c r="BZ9055" s="34"/>
      <c r="CD9055" s="34"/>
    </row>
    <row r="9056" spans="70:82" x14ac:dyDescent="0.15">
      <c r="BR9056" s="34"/>
      <c r="BV9056" s="34"/>
      <c r="BZ9056" s="34"/>
      <c r="CD9056" s="34"/>
    </row>
    <row r="9057" spans="70:82" x14ac:dyDescent="0.15">
      <c r="BR9057" s="34"/>
      <c r="BV9057" s="34"/>
      <c r="BZ9057" s="34"/>
      <c r="CD9057" s="34"/>
    </row>
    <row r="9058" spans="70:82" x14ac:dyDescent="0.15">
      <c r="BR9058" s="34"/>
      <c r="BV9058" s="34"/>
      <c r="BZ9058" s="34"/>
      <c r="CD9058" s="34"/>
    </row>
    <row r="9059" spans="70:82" x14ac:dyDescent="0.15">
      <c r="BR9059" s="34"/>
      <c r="BV9059" s="34"/>
      <c r="BZ9059" s="34"/>
      <c r="CD9059" s="34"/>
    </row>
    <row r="9060" spans="70:82" x14ac:dyDescent="0.15">
      <c r="BR9060" s="34"/>
      <c r="BV9060" s="34"/>
      <c r="BZ9060" s="34"/>
      <c r="CD9060" s="34"/>
    </row>
    <row r="9061" spans="70:82" x14ac:dyDescent="0.15">
      <c r="BR9061" s="34"/>
      <c r="BV9061" s="34"/>
      <c r="BZ9061" s="34"/>
      <c r="CD9061" s="34"/>
    </row>
    <row r="9062" spans="70:82" x14ac:dyDescent="0.15">
      <c r="BR9062" s="34"/>
      <c r="BV9062" s="34"/>
      <c r="BZ9062" s="34"/>
      <c r="CD9062" s="34"/>
    </row>
    <row r="9063" spans="70:82" x14ac:dyDescent="0.15">
      <c r="BR9063" s="34"/>
      <c r="BV9063" s="34"/>
      <c r="BZ9063" s="34"/>
      <c r="CD9063" s="34"/>
    </row>
    <row r="9064" spans="70:82" x14ac:dyDescent="0.15">
      <c r="BR9064" s="34"/>
      <c r="BV9064" s="34"/>
      <c r="BZ9064" s="34"/>
      <c r="CD9064" s="34"/>
    </row>
    <row r="9065" spans="70:82" x14ac:dyDescent="0.15">
      <c r="BR9065" s="34"/>
      <c r="BV9065" s="34"/>
      <c r="BZ9065" s="34"/>
      <c r="CD9065" s="34"/>
    </row>
    <row r="9066" spans="70:82" x14ac:dyDescent="0.15">
      <c r="BR9066" s="34"/>
      <c r="BV9066" s="34"/>
      <c r="BZ9066" s="34"/>
      <c r="CD9066" s="34"/>
    </row>
    <row r="9067" spans="70:82" x14ac:dyDescent="0.15">
      <c r="BR9067" s="34"/>
      <c r="BV9067" s="34"/>
      <c r="BZ9067" s="34"/>
      <c r="CD9067" s="34"/>
    </row>
    <row r="9068" spans="70:82" x14ac:dyDescent="0.15">
      <c r="BR9068" s="34"/>
      <c r="BV9068" s="34"/>
      <c r="BZ9068" s="34"/>
      <c r="CD9068" s="34"/>
    </row>
    <row r="9069" spans="70:82" x14ac:dyDescent="0.15">
      <c r="BR9069" s="34"/>
      <c r="BV9069" s="34"/>
      <c r="BZ9069" s="34"/>
      <c r="CD9069" s="34"/>
    </row>
    <row r="9070" spans="70:82" x14ac:dyDescent="0.15">
      <c r="BR9070" s="34"/>
      <c r="BV9070" s="34"/>
      <c r="BZ9070" s="34"/>
      <c r="CD9070" s="34"/>
    </row>
    <row r="9071" spans="70:82" x14ac:dyDescent="0.15">
      <c r="BR9071" s="34"/>
      <c r="BV9071" s="34"/>
      <c r="BZ9071" s="34"/>
      <c r="CD9071" s="34"/>
    </row>
    <row r="9072" spans="70:82" x14ac:dyDescent="0.15">
      <c r="BR9072" s="34"/>
      <c r="BV9072" s="34"/>
      <c r="BZ9072" s="34"/>
      <c r="CD9072" s="34"/>
    </row>
    <row r="9073" spans="70:82" x14ac:dyDescent="0.15">
      <c r="BR9073" s="34"/>
      <c r="BV9073" s="34"/>
      <c r="BZ9073" s="34"/>
      <c r="CD9073" s="34"/>
    </row>
    <row r="9074" spans="70:82" x14ac:dyDescent="0.15">
      <c r="BR9074" s="34"/>
      <c r="BV9074" s="34"/>
      <c r="BZ9074" s="34"/>
      <c r="CD9074" s="34"/>
    </row>
    <row r="9075" spans="70:82" x14ac:dyDescent="0.15">
      <c r="BR9075" s="34"/>
      <c r="BV9075" s="34"/>
      <c r="BZ9075" s="34"/>
      <c r="CD9075" s="34"/>
    </row>
    <row r="9076" spans="70:82" x14ac:dyDescent="0.15">
      <c r="BR9076" s="34"/>
      <c r="BV9076" s="34"/>
      <c r="BZ9076" s="34"/>
      <c r="CD9076" s="34"/>
    </row>
    <row r="9077" spans="70:82" x14ac:dyDescent="0.15">
      <c r="BR9077" s="34"/>
      <c r="BV9077" s="34"/>
      <c r="BZ9077" s="34"/>
      <c r="CD9077" s="34"/>
    </row>
    <row r="9078" spans="70:82" x14ac:dyDescent="0.15">
      <c r="BR9078" s="34"/>
      <c r="BV9078" s="34"/>
      <c r="BZ9078" s="34"/>
      <c r="CD9078" s="34"/>
    </row>
    <row r="9079" spans="70:82" x14ac:dyDescent="0.15">
      <c r="BR9079" s="34"/>
      <c r="BV9079" s="34"/>
      <c r="BZ9079" s="34"/>
      <c r="CD9079" s="34"/>
    </row>
    <row r="9080" spans="70:82" x14ac:dyDescent="0.15">
      <c r="BR9080" s="34"/>
      <c r="BV9080" s="34"/>
      <c r="BZ9080" s="34"/>
      <c r="CD9080" s="34"/>
    </row>
    <row r="9081" spans="70:82" x14ac:dyDescent="0.15">
      <c r="BR9081" s="34"/>
      <c r="BV9081" s="34"/>
      <c r="BZ9081" s="34"/>
      <c r="CD9081" s="34"/>
    </row>
    <row r="9082" spans="70:82" x14ac:dyDescent="0.15">
      <c r="BR9082" s="34"/>
      <c r="BV9082" s="34"/>
      <c r="BZ9082" s="34"/>
      <c r="CD9082" s="34"/>
    </row>
    <row r="9083" spans="70:82" x14ac:dyDescent="0.15">
      <c r="BR9083" s="34"/>
      <c r="BV9083" s="34"/>
      <c r="BZ9083" s="34"/>
      <c r="CD9083" s="34"/>
    </row>
    <row r="9084" spans="70:82" x14ac:dyDescent="0.15">
      <c r="BR9084" s="34"/>
      <c r="BV9084" s="34"/>
      <c r="BZ9084" s="34"/>
      <c r="CD9084" s="34"/>
    </row>
    <row r="9085" spans="70:82" x14ac:dyDescent="0.15">
      <c r="BR9085" s="34"/>
      <c r="BV9085" s="34"/>
      <c r="BZ9085" s="34"/>
      <c r="CD9085" s="34"/>
    </row>
    <row r="9086" spans="70:82" x14ac:dyDescent="0.15">
      <c r="BR9086" s="34"/>
      <c r="BV9086" s="34"/>
      <c r="BZ9086" s="34"/>
      <c r="CD9086" s="34"/>
    </row>
    <row r="9087" spans="70:82" x14ac:dyDescent="0.15">
      <c r="BR9087" s="34"/>
      <c r="BV9087" s="34"/>
      <c r="BZ9087" s="34"/>
      <c r="CD9087" s="34"/>
    </row>
    <row r="9088" spans="70:82" x14ac:dyDescent="0.15">
      <c r="BR9088" s="34"/>
      <c r="BV9088" s="34"/>
      <c r="BZ9088" s="34"/>
      <c r="CD9088" s="34"/>
    </row>
    <row r="9089" spans="70:82" x14ac:dyDescent="0.15">
      <c r="BR9089" s="34"/>
      <c r="BV9089" s="34"/>
      <c r="BZ9089" s="34"/>
      <c r="CD9089" s="34"/>
    </row>
    <row r="9090" spans="70:82" x14ac:dyDescent="0.15">
      <c r="BR9090" s="34"/>
      <c r="BV9090" s="34"/>
      <c r="BZ9090" s="34"/>
      <c r="CD9090" s="34"/>
    </row>
    <row r="9091" spans="70:82" x14ac:dyDescent="0.15">
      <c r="BR9091" s="34"/>
      <c r="BV9091" s="34"/>
      <c r="BZ9091" s="34"/>
      <c r="CD9091" s="34"/>
    </row>
    <row r="9092" spans="70:82" x14ac:dyDescent="0.15">
      <c r="BR9092" s="34"/>
      <c r="BV9092" s="34"/>
      <c r="BZ9092" s="34"/>
      <c r="CD9092" s="34"/>
    </row>
    <row r="9093" spans="70:82" x14ac:dyDescent="0.15">
      <c r="BR9093" s="34"/>
      <c r="BV9093" s="34"/>
      <c r="BZ9093" s="34"/>
      <c r="CD9093" s="34"/>
    </row>
    <row r="9094" spans="70:82" x14ac:dyDescent="0.15">
      <c r="BR9094" s="34"/>
      <c r="BV9094" s="34"/>
      <c r="BZ9094" s="34"/>
      <c r="CD9094" s="34"/>
    </row>
    <row r="9095" spans="70:82" x14ac:dyDescent="0.15">
      <c r="BR9095" s="34"/>
      <c r="BV9095" s="34"/>
      <c r="BZ9095" s="34"/>
      <c r="CD9095" s="34"/>
    </row>
    <row r="9096" spans="70:82" x14ac:dyDescent="0.15">
      <c r="BR9096" s="34"/>
      <c r="BV9096" s="34"/>
      <c r="BZ9096" s="34"/>
      <c r="CD9096" s="34"/>
    </row>
    <row r="9097" spans="70:82" x14ac:dyDescent="0.15">
      <c r="BR9097" s="34"/>
      <c r="BV9097" s="34"/>
      <c r="BZ9097" s="34"/>
      <c r="CD9097" s="34"/>
    </row>
    <row r="9098" spans="70:82" x14ac:dyDescent="0.15">
      <c r="BR9098" s="34"/>
      <c r="BV9098" s="34"/>
      <c r="BZ9098" s="34"/>
      <c r="CD9098" s="34"/>
    </row>
    <row r="9099" spans="70:82" x14ac:dyDescent="0.15">
      <c r="BR9099" s="34"/>
      <c r="BV9099" s="34"/>
      <c r="BZ9099" s="34"/>
      <c r="CD9099" s="34"/>
    </row>
    <row r="9100" spans="70:82" x14ac:dyDescent="0.15">
      <c r="BR9100" s="34"/>
      <c r="BV9100" s="34"/>
      <c r="BZ9100" s="34"/>
      <c r="CD9100" s="34"/>
    </row>
    <row r="9101" spans="70:82" x14ac:dyDescent="0.15">
      <c r="BR9101" s="34"/>
      <c r="BV9101" s="34"/>
      <c r="BZ9101" s="34"/>
      <c r="CD9101" s="34"/>
    </row>
    <row r="9102" spans="70:82" x14ac:dyDescent="0.15">
      <c r="BR9102" s="34"/>
      <c r="BV9102" s="34"/>
      <c r="BZ9102" s="34"/>
      <c r="CD9102" s="34"/>
    </row>
    <row r="9103" spans="70:82" x14ac:dyDescent="0.15">
      <c r="BR9103" s="34"/>
      <c r="BV9103" s="34"/>
      <c r="BZ9103" s="34"/>
      <c r="CD9103" s="34"/>
    </row>
    <row r="9104" spans="70:82" x14ac:dyDescent="0.15">
      <c r="BR9104" s="34"/>
      <c r="BV9104" s="34"/>
      <c r="BZ9104" s="34"/>
      <c r="CD9104" s="34"/>
    </row>
    <row r="9105" spans="70:82" x14ac:dyDescent="0.15">
      <c r="BR9105" s="34"/>
      <c r="BV9105" s="34"/>
      <c r="BZ9105" s="34"/>
      <c r="CD9105" s="34"/>
    </row>
    <row r="9106" spans="70:82" x14ac:dyDescent="0.15">
      <c r="BR9106" s="34"/>
      <c r="BV9106" s="34"/>
      <c r="BZ9106" s="34"/>
      <c r="CD9106" s="34"/>
    </row>
    <row r="9107" spans="70:82" x14ac:dyDescent="0.15">
      <c r="BR9107" s="34"/>
      <c r="BV9107" s="34"/>
      <c r="BZ9107" s="34"/>
      <c r="CD9107" s="34"/>
    </row>
    <row r="9108" spans="70:82" x14ac:dyDescent="0.15">
      <c r="BR9108" s="34"/>
      <c r="BV9108" s="34"/>
      <c r="BZ9108" s="34"/>
      <c r="CD9108" s="34"/>
    </row>
    <row r="9109" spans="70:82" x14ac:dyDescent="0.15">
      <c r="BR9109" s="34"/>
      <c r="BV9109" s="34"/>
      <c r="BZ9109" s="34"/>
      <c r="CD9109" s="34"/>
    </row>
    <row r="9110" spans="70:82" x14ac:dyDescent="0.15">
      <c r="BR9110" s="34"/>
      <c r="BV9110" s="34"/>
      <c r="BZ9110" s="34"/>
      <c r="CD9110" s="34"/>
    </row>
    <row r="9111" spans="70:82" x14ac:dyDescent="0.15">
      <c r="BR9111" s="34"/>
      <c r="BV9111" s="34"/>
      <c r="BZ9111" s="34"/>
      <c r="CD9111" s="34"/>
    </row>
    <row r="9112" spans="70:82" x14ac:dyDescent="0.15">
      <c r="BR9112" s="34"/>
      <c r="BV9112" s="34"/>
      <c r="BZ9112" s="34"/>
      <c r="CD9112" s="34"/>
    </row>
    <row r="9113" spans="70:82" x14ac:dyDescent="0.15">
      <c r="BR9113" s="34"/>
      <c r="BV9113" s="34"/>
      <c r="BZ9113" s="34"/>
      <c r="CD9113" s="34"/>
    </row>
    <row r="9114" spans="70:82" x14ac:dyDescent="0.15">
      <c r="BR9114" s="34"/>
      <c r="BV9114" s="34"/>
      <c r="BZ9114" s="34"/>
      <c r="CD9114" s="34"/>
    </row>
    <row r="9115" spans="70:82" x14ac:dyDescent="0.15">
      <c r="BR9115" s="34"/>
      <c r="BV9115" s="34"/>
      <c r="BZ9115" s="34"/>
      <c r="CD9115" s="34"/>
    </row>
    <row r="9116" spans="70:82" x14ac:dyDescent="0.15">
      <c r="BR9116" s="34"/>
      <c r="BV9116" s="34"/>
      <c r="BZ9116" s="34"/>
      <c r="CD9116" s="34"/>
    </row>
    <row r="9117" spans="70:82" x14ac:dyDescent="0.15">
      <c r="BR9117" s="34"/>
      <c r="BV9117" s="34"/>
      <c r="BZ9117" s="34"/>
      <c r="CD9117" s="34"/>
    </row>
    <row r="9118" spans="70:82" x14ac:dyDescent="0.15">
      <c r="BR9118" s="34"/>
      <c r="BV9118" s="34"/>
      <c r="BZ9118" s="34"/>
      <c r="CD9118" s="34"/>
    </row>
    <row r="9119" spans="70:82" x14ac:dyDescent="0.15">
      <c r="BR9119" s="34"/>
      <c r="BV9119" s="34"/>
      <c r="BZ9119" s="34"/>
      <c r="CD9119" s="34"/>
    </row>
    <row r="9120" spans="70:82" x14ac:dyDescent="0.15">
      <c r="BR9120" s="34"/>
      <c r="BV9120" s="34"/>
      <c r="BZ9120" s="34"/>
      <c r="CD9120" s="34"/>
    </row>
    <row r="9121" spans="70:82" x14ac:dyDescent="0.15">
      <c r="BR9121" s="34"/>
      <c r="BV9121" s="34"/>
      <c r="BZ9121" s="34"/>
      <c r="CD9121" s="34"/>
    </row>
    <row r="9122" spans="70:82" x14ac:dyDescent="0.15">
      <c r="BR9122" s="34"/>
      <c r="BV9122" s="34"/>
      <c r="BZ9122" s="34"/>
      <c r="CD9122" s="34"/>
    </row>
    <row r="9123" spans="70:82" x14ac:dyDescent="0.15">
      <c r="BR9123" s="34"/>
      <c r="BV9123" s="34"/>
      <c r="BZ9123" s="34"/>
      <c r="CD9123" s="34"/>
    </row>
    <row r="9124" spans="70:82" x14ac:dyDescent="0.15">
      <c r="BR9124" s="34"/>
      <c r="BV9124" s="34"/>
      <c r="BZ9124" s="34"/>
      <c r="CD9124" s="34"/>
    </row>
    <row r="9125" spans="70:82" x14ac:dyDescent="0.15">
      <c r="BR9125" s="34"/>
      <c r="BV9125" s="34"/>
      <c r="BZ9125" s="34"/>
      <c r="CD9125" s="34"/>
    </row>
    <row r="9126" spans="70:82" x14ac:dyDescent="0.15">
      <c r="BR9126" s="34"/>
      <c r="BV9126" s="34"/>
      <c r="BZ9126" s="34"/>
      <c r="CD9126" s="34"/>
    </row>
    <row r="9127" spans="70:82" x14ac:dyDescent="0.15">
      <c r="BR9127" s="34"/>
      <c r="BV9127" s="34"/>
      <c r="BZ9127" s="34"/>
      <c r="CD9127" s="34"/>
    </row>
    <row r="9128" spans="70:82" x14ac:dyDescent="0.15">
      <c r="BR9128" s="34"/>
      <c r="BV9128" s="34"/>
      <c r="BZ9128" s="34"/>
      <c r="CD9128" s="34"/>
    </row>
    <row r="9129" spans="70:82" x14ac:dyDescent="0.15">
      <c r="BR9129" s="34"/>
      <c r="BV9129" s="34"/>
      <c r="BZ9129" s="34"/>
      <c r="CD9129" s="34"/>
    </row>
    <row r="9130" spans="70:82" x14ac:dyDescent="0.15">
      <c r="BR9130" s="34"/>
      <c r="BV9130" s="34"/>
      <c r="BZ9130" s="34"/>
      <c r="CD9130" s="34"/>
    </row>
    <row r="9131" spans="70:82" x14ac:dyDescent="0.15">
      <c r="BR9131" s="34"/>
      <c r="BV9131" s="34"/>
      <c r="BZ9131" s="34"/>
      <c r="CD9131" s="34"/>
    </row>
    <row r="9132" spans="70:82" x14ac:dyDescent="0.15">
      <c r="BR9132" s="34"/>
      <c r="BV9132" s="34"/>
      <c r="BZ9132" s="34"/>
      <c r="CD9132" s="34"/>
    </row>
    <row r="9133" spans="70:82" x14ac:dyDescent="0.15">
      <c r="BR9133" s="34"/>
      <c r="BV9133" s="34"/>
      <c r="BZ9133" s="34"/>
      <c r="CD9133" s="34"/>
    </row>
    <row r="9134" spans="70:82" x14ac:dyDescent="0.15">
      <c r="BR9134" s="34"/>
      <c r="BV9134" s="34"/>
      <c r="BZ9134" s="34"/>
      <c r="CD9134" s="34"/>
    </row>
    <row r="9135" spans="70:82" x14ac:dyDescent="0.15">
      <c r="BR9135" s="34"/>
      <c r="BV9135" s="34"/>
      <c r="BZ9135" s="34"/>
      <c r="CD9135" s="34"/>
    </row>
    <row r="9136" spans="70:82" x14ac:dyDescent="0.15">
      <c r="BR9136" s="34"/>
      <c r="BV9136" s="34"/>
      <c r="BZ9136" s="34"/>
      <c r="CD9136" s="34"/>
    </row>
    <row r="9137" spans="70:82" x14ac:dyDescent="0.15">
      <c r="BR9137" s="34"/>
      <c r="BV9137" s="34"/>
      <c r="BZ9137" s="34"/>
      <c r="CD9137" s="34"/>
    </row>
    <row r="9138" spans="70:82" x14ac:dyDescent="0.15">
      <c r="BR9138" s="34"/>
      <c r="BV9138" s="34"/>
      <c r="BZ9138" s="34"/>
      <c r="CD9138" s="34"/>
    </row>
    <row r="9139" spans="70:82" x14ac:dyDescent="0.15">
      <c r="BR9139" s="34"/>
      <c r="BV9139" s="34"/>
      <c r="BZ9139" s="34"/>
      <c r="CD9139" s="34"/>
    </row>
    <row r="9140" spans="70:82" x14ac:dyDescent="0.15">
      <c r="BR9140" s="34"/>
      <c r="BV9140" s="34"/>
      <c r="BZ9140" s="34"/>
      <c r="CD9140" s="34"/>
    </row>
    <row r="9141" spans="70:82" x14ac:dyDescent="0.15">
      <c r="BR9141" s="34"/>
      <c r="BV9141" s="34"/>
      <c r="BZ9141" s="34"/>
      <c r="CD9141" s="34"/>
    </row>
    <row r="9142" spans="70:82" x14ac:dyDescent="0.15">
      <c r="BR9142" s="34"/>
      <c r="BV9142" s="34"/>
      <c r="BZ9142" s="34"/>
      <c r="CD9142" s="34"/>
    </row>
    <row r="9143" spans="70:82" x14ac:dyDescent="0.15">
      <c r="BR9143" s="34"/>
      <c r="BV9143" s="34"/>
      <c r="BZ9143" s="34"/>
      <c r="CD9143" s="34"/>
    </row>
    <row r="9144" spans="70:82" x14ac:dyDescent="0.15">
      <c r="BR9144" s="34"/>
      <c r="BV9144" s="34"/>
      <c r="BZ9144" s="34"/>
      <c r="CD9144" s="34"/>
    </row>
    <row r="9145" spans="70:82" x14ac:dyDescent="0.15">
      <c r="BR9145" s="34"/>
      <c r="BV9145" s="34"/>
      <c r="BZ9145" s="34"/>
      <c r="CD9145" s="34"/>
    </row>
    <row r="9146" spans="70:82" x14ac:dyDescent="0.15">
      <c r="BR9146" s="34"/>
      <c r="BV9146" s="34"/>
      <c r="BZ9146" s="34"/>
      <c r="CD9146" s="34"/>
    </row>
    <row r="9147" spans="70:82" x14ac:dyDescent="0.15">
      <c r="BR9147" s="34"/>
      <c r="BV9147" s="34"/>
      <c r="BZ9147" s="34"/>
      <c r="CD9147" s="34"/>
    </row>
    <row r="9148" spans="70:82" x14ac:dyDescent="0.15">
      <c r="BR9148" s="34"/>
      <c r="BV9148" s="34"/>
      <c r="BZ9148" s="34"/>
      <c r="CD9148" s="34"/>
    </row>
    <row r="9149" spans="70:82" x14ac:dyDescent="0.15">
      <c r="BR9149" s="34"/>
      <c r="BV9149" s="34"/>
      <c r="BZ9149" s="34"/>
      <c r="CD9149" s="34"/>
    </row>
    <row r="9150" spans="70:82" x14ac:dyDescent="0.15">
      <c r="BR9150" s="34"/>
      <c r="BV9150" s="34"/>
      <c r="BZ9150" s="34"/>
      <c r="CD9150" s="34"/>
    </row>
    <row r="9151" spans="70:82" x14ac:dyDescent="0.15">
      <c r="BR9151" s="34"/>
      <c r="BV9151" s="34"/>
      <c r="BZ9151" s="34"/>
      <c r="CD9151" s="34"/>
    </row>
    <row r="9152" spans="70:82" x14ac:dyDescent="0.15">
      <c r="BR9152" s="34"/>
      <c r="BV9152" s="34"/>
      <c r="BZ9152" s="34"/>
      <c r="CD9152" s="34"/>
    </row>
    <row r="9153" spans="70:82" x14ac:dyDescent="0.15">
      <c r="BR9153" s="34"/>
      <c r="BV9153" s="34"/>
      <c r="BZ9153" s="34"/>
      <c r="CD9153" s="34"/>
    </row>
    <row r="9154" spans="70:82" x14ac:dyDescent="0.15">
      <c r="BR9154" s="34"/>
      <c r="BV9154" s="34"/>
      <c r="BZ9154" s="34"/>
      <c r="CD9154" s="34"/>
    </row>
    <row r="9155" spans="70:82" x14ac:dyDescent="0.15">
      <c r="BR9155" s="34"/>
      <c r="BV9155" s="34"/>
      <c r="BZ9155" s="34"/>
      <c r="CD9155" s="34"/>
    </row>
    <row r="9156" spans="70:82" x14ac:dyDescent="0.15">
      <c r="BR9156" s="34"/>
      <c r="BV9156" s="34"/>
      <c r="BZ9156" s="34"/>
      <c r="CD9156" s="34"/>
    </row>
    <row r="9157" spans="70:82" x14ac:dyDescent="0.15">
      <c r="BR9157" s="34"/>
      <c r="BV9157" s="34"/>
      <c r="BZ9157" s="34"/>
      <c r="CD9157" s="34"/>
    </row>
    <row r="9158" spans="70:82" x14ac:dyDescent="0.15">
      <c r="BR9158" s="34"/>
      <c r="BV9158" s="34"/>
      <c r="BZ9158" s="34"/>
      <c r="CD9158" s="34"/>
    </row>
    <row r="9159" spans="70:82" x14ac:dyDescent="0.15">
      <c r="BR9159" s="34"/>
      <c r="BV9159" s="34"/>
      <c r="BZ9159" s="34"/>
      <c r="CD9159" s="34"/>
    </row>
    <row r="9160" spans="70:82" x14ac:dyDescent="0.15">
      <c r="BR9160" s="34"/>
      <c r="BV9160" s="34"/>
      <c r="BZ9160" s="34"/>
      <c r="CD9160" s="34"/>
    </row>
    <row r="9161" spans="70:82" x14ac:dyDescent="0.15">
      <c r="BR9161" s="34"/>
      <c r="BV9161" s="34"/>
      <c r="BZ9161" s="34"/>
      <c r="CD9161" s="34"/>
    </row>
    <row r="9162" spans="70:82" x14ac:dyDescent="0.15">
      <c r="BR9162" s="34"/>
      <c r="BV9162" s="34"/>
      <c r="BZ9162" s="34"/>
      <c r="CD9162" s="34"/>
    </row>
    <row r="9163" spans="70:82" x14ac:dyDescent="0.15">
      <c r="BR9163" s="34"/>
      <c r="BV9163" s="34"/>
      <c r="BZ9163" s="34"/>
      <c r="CD9163" s="34"/>
    </row>
    <row r="9164" spans="70:82" x14ac:dyDescent="0.15">
      <c r="BR9164" s="34"/>
      <c r="BV9164" s="34"/>
      <c r="BZ9164" s="34"/>
      <c r="CD9164" s="34"/>
    </row>
    <row r="9165" spans="70:82" x14ac:dyDescent="0.15">
      <c r="BR9165" s="34"/>
      <c r="BV9165" s="34"/>
      <c r="BZ9165" s="34"/>
      <c r="CD9165" s="34"/>
    </row>
    <row r="9166" spans="70:82" x14ac:dyDescent="0.15">
      <c r="BR9166" s="34"/>
      <c r="BV9166" s="34"/>
      <c r="BZ9166" s="34"/>
      <c r="CD9166" s="34"/>
    </row>
    <row r="9167" spans="70:82" x14ac:dyDescent="0.15">
      <c r="BR9167" s="34"/>
      <c r="BV9167" s="34"/>
      <c r="BZ9167" s="34"/>
      <c r="CD9167" s="34"/>
    </row>
    <row r="9168" spans="70:82" x14ac:dyDescent="0.15">
      <c r="BR9168" s="34"/>
      <c r="BV9168" s="34"/>
      <c r="BZ9168" s="34"/>
      <c r="CD9168" s="34"/>
    </row>
    <row r="9169" spans="70:82" x14ac:dyDescent="0.15">
      <c r="BR9169" s="34"/>
      <c r="BV9169" s="34"/>
      <c r="BZ9169" s="34"/>
      <c r="CD9169" s="34"/>
    </row>
    <row r="9170" spans="70:82" x14ac:dyDescent="0.15">
      <c r="BR9170" s="34"/>
      <c r="BV9170" s="34"/>
      <c r="BZ9170" s="34"/>
      <c r="CD9170" s="34"/>
    </row>
    <row r="9171" spans="70:82" x14ac:dyDescent="0.15">
      <c r="BR9171" s="34"/>
      <c r="BV9171" s="34"/>
      <c r="BZ9171" s="34"/>
      <c r="CD9171" s="34"/>
    </row>
    <row r="9172" spans="70:82" x14ac:dyDescent="0.15">
      <c r="BR9172" s="34"/>
      <c r="BV9172" s="34"/>
      <c r="BZ9172" s="34"/>
      <c r="CD9172" s="34"/>
    </row>
    <row r="9173" spans="70:82" x14ac:dyDescent="0.15">
      <c r="BR9173" s="34"/>
      <c r="BV9173" s="34"/>
      <c r="BZ9173" s="34"/>
      <c r="CD9173" s="34"/>
    </row>
    <row r="9174" spans="70:82" x14ac:dyDescent="0.15">
      <c r="BR9174" s="34"/>
      <c r="BV9174" s="34"/>
      <c r="BZ9174" s="34"/>
      <c r="CD9174" s="34"/>
    </row>
    <row r="9175" spans="70:82" x14ac:dyDescent="0.15">
      <c r="BR9175" s="34"/>
      <c r="BV9175" s="34"/>
      <c r="BZ9175" s="34"/>
      <c r="CD9175" s="34"/>
    </row>
    <row r="9176" spans="70:82" x14ac:dyDescent="0.15">
      <c r="BR9176" s="34"/>
      <c r="BV9176" s="34"/>
      <c r="BZ9176" s="34"/>
      <c r="CD9176" s="34"/>
    </row>
    <row r="9177" spans="70:82" x14ac:dyDescent="0.15">
      <c r="BR9177" s="34"/>
      <c r="BV9177" s="34"/>
      <c r="BZ9177" s="34"/>
      <c r="CD9177" s="34"/>
    </row>
    <row r="9178" spans="70:82" x14ac:dyDescent="0.15">
      <c r="BR9178" s="34"/>
      <c r="BV9178" s="34"/>
      <c r="BZ9178" s="34"/>
      <c r="CD9178" s="34"/>
    </row>
    <row r="9179" spans="70:82" x14ac:dyDescent="0.15">
      <c r="BR9179" s="34"/>
      <c r="BV9179" s="34"/>
      <c r="BZ9179" s="34"/>
      <c r="CD9179" s="34"/>
    </row>
    <row r="9180" spans="70:82" x14ac:dyDescent="0.15">
      <c r="BR9180" s="34"/>
      <c r="BV9180" s="34"/>
      <c r="BZ9180" s="34"/>
      <c r="CD9180" s="34"/>
    </row>
    <row r="9181" spans="70:82" x14ac:dyDescent="0.15">
      <c r="BR9181" s="34"/>
      <c r="BV9181" s="34"/>
      <c r="BZ9181" s="34"/>
      <c r="CD9181" s="34"/>
    </row>
    <row r="9182" spans="70:82" x14ac:dyDescent="0.15">
      <c r="BR9182" s="34"/>
      <c r="BV9182" s="34"/>
      <c r="BZ9182" s="34"/>
      <c r="CD9182" s="34"/>
    </row>
    <row r="9183" spans="70:82" x14ac:dyDescent="0.15">
      <c r="BR9183" s="34"/>
      <c r="BV9183" s="34"/>
      <c r="BZ9183" s="34"/>
      <c r="CD9183" s="34"/>
    </row>
    <row r="9184" spans="70:82" x14ac:dyDescent="0.15">
      <c r="BR9184" s="34"/>
      <c r="BV9184" s="34"/>
      <c r="BZ9184" s="34"/>
      <c r="CD9184" s="34"/>
    </row>
    <row r="9185" spans="70:82" x14ac:dyDescent="0.15">
      <c r="BR9185" s="34"/>
      <c r="BV9185" s="34"/>
      <c r="BZ9185" s="34"/>
      <c r="CD9185" s="34"/>
    </row>
    <row r="9186" spans="70:82" x14ac:dyDescent="0.15">
      <c r="BR9186" s="34"/>
      <c r="BV9186" s="34"/>
      <c r="BZ9186" s="34"/>
      <c r="CD9186" s="34"/>
    </row>
    <row r="9187" spans="70:82" x14ac:dyDescent="0.15">
      <c r="BR9187" s="34"/>
      <c r="BV9187" s="34"/>
      <c r="BZ9187" s="34"/>
      <c r="CD9187" s="34"/>
    </row>
    <row r="9188" spans="70:82" x14ac:dyDescent="0.15">
      <c r="BR9188" s="34"/>
      <c r="BV9188" s="34"/>
      <c r="BZ9188" s="34"/>
      <c r="CD9188" s="34"/>
    </row>
    <row r="9189" spans="70:82" x14ac:dyDescent="0.15">
      <c r="BR9189" s="34"/>
      <c r="BV9189" s="34"/>
      <c r="BZ9189" s="34"/>
      <c r="CD9189" s="34"/>
    </row>
    <row r="9190" spans="70:82" x14ac:dyDescent="0.15">
      <c r="BR9190" s="34"/>
      <c r="BV9190" s="34"/>
      <c r="BZ9190" s="34"/>
      <c r="CD9190" s="34"/>
    </row>
    <row r="9191" spans="70:82" x14ac:dyDescent="0.15">
      <c r="BR9191" s="34"/>
      <c r="BV9191" s="34"/>
      <c r="BZ9191" s="34"/>
      <c r="CD9191" s="34"/>
    </row>
    <row r="9192" spans="70:82" x14ac:dyDescent="0.15">
      <c r="BR9192" s="34"/>
      <c r="BV9192" s="34"/>
      <c r="BZ9192" s="34"/>
      <c r="CD9192" s="34"/>
    </row>
    <row r="9193" spans="70:82" x14ac:dyDescent="0.15">
      <c r="BR9193" s="34"/>
      <c r="BV9193" s="34"/>
      <c r="BZ9193" s="34"/>
      <c r="CD9193" s="34"/>
    </row>
    <row r="9194" spans="70:82" x14ac:dyDescent="0.15">
      <c r="BR9194" s="34"/>
      <c r="BV9194" s="34"/>
      <c r="BZ9194" s="34"/>
      <c r="CD9194" s="34"/>
    </row>
    <row r="9195" spans="70:82" x14ac:dyDescent="0.15">
      <c r="BR9195" s="34"/>
      <c r="BV9195" s="34"/>
      <c r="BZ9195" s="34"/>
      <c r="CD9195" s="34"/>
    </row>
    <row r="9196" spans="70:82" x14ac:dyDescent="0.15">
      <c r="BR9196" s="34"/>
      <c r="BV9196" s="34"/>
      <c r="BZ9196" s="34"/>
      <c r="CD9196" s="34"/>
    </row>
    <row r="9197" spans="70:82" x14ac:dyDescent="0.15">
      <c r="BR9197" s="34"/>
      <c r="BV9197" s="34"/>
      <c r="BZ9197" s="34"/>
      <c r="CD9197" s="34"/>
    </row>
    <row r="9198" spans="70:82" x14ac:dyDescent="0.15">
      <c r="BR9198" s="34"/>
      <c r="BV9198" s="34"/>
      <c r="BZ9198" s="34"/>
      <c r="CD9198" s="34"/>
    </row>
    <row r="9199" spans="70:82" x14ac:dyDescent="0.15">
      <c r="BR9199" s="34"/>
      <c r="BV9199" s="34"/>
      <c r="BZ9199" s="34"/>
      <c r="CD9199" s="34"/>
    </row>
    <row r="9200" spans="70:82" x14ac:dyDescent="0.15">
      <c r="BR9200" s="34"/>
      <c r="BV9200" s="34"/>
      <c r="BZ9200" s="34"/>
      <c r="CD9200" s="34"/>
    </row>
    <row r="9201" spans="70:82" x14ac:dyDescent="0.15">
      <c r="BR9201" s="34"/>
      <c r="BV9201" s="34"/>
      <c r="BZ9201" s="34"/>
      <c r="CD9201" s="34"/>
    </row>
    <row r="9202" spans="70:82" x14ac:dyDescent="0.15">
      <c r="BR9202" s="34"/>
      <c r="BV9202" s="34"/>
      <c r="BZ9202" s="34"/>
      <c r="CD9202" s="34"/>
    </row>
    <row r="9203" spans="70:82" x14ac:dyDescent="0.15">
      <c r="BR9203" s="34"/>
      <c r="BV9203" s="34"/>
      <c r="BZ9203" s="34"/>
      <c r="CD9203" s="34"/>
    </row>
    <row r="9204" spans="70:82" x14ac:dyDescent="0.15">
      <c r="BR9204" s="34"/>
      <c r="BV9204" s="34"/>
      <c r="BZ9204" s="34"/>
      <c r="CD9204" s="34"/>
    </row>
    <row r="9205" spans="70:82" x14ac:dyDescent="0.15">
      <c r="BR9205" s="34"/>
      <c r="BV9205" s="34"/>
      <c r="BZ9205" s="34"/>
      <c r="CD9205" s="34"/>
    </row>
    <row r="9206" spans="70:82" x14ac:dyDescent="0.15">
      <c r="BR9206" s="34"/>
      <c r="BV9206" s="34"/>
      <c r="BZ9206" s="34"/>
      <c r="CD9206" s="34"/>
    </row>
    <row r="9207" spans="70:82" x14ac:dyDescent="0.15">
      <c r="BR9207" s="34"/>
      <c r="BV9207" s="34"/>
      <c r="BZ9207" s="34"/>
      <c r="CD9207" s="34"/>
    </row>
    <row r="9208" spans="70:82" x14ac:dyDescent="0.15">
      <c r="BR9208" s="34"/>
      <c r="BV9208" s="34"/>
      <c r="BZ9208" s="34"/>
      <c r="CD9208" s="34"/>
    </row>
    <row r="9209" spans="70:82" x14ac:dyDescent="0.15">
      <c r="BR9209" s="34"/>
      <c r="BV9209" s="34"/>
      <c r="BZ9209" s="34"/>
      <c r="CD9209" s="34"/>
    </row>
    <row r="9210" spans="70:82" x14ac:dyDescent="0.15">
      <c r="BR9210" s="34"/>
      <c r="BV9210" s="34"/>
      <c r="BZ9210" s="34"/>
      <c r="CD9210" s="34"/>
    </row>
    <row r="9211" spans="70:82" x14ac:dyDescent="0.15">
      <c r="BR9211" s="34"/>
      <c r="BV9211" s="34"/>
      <c r="BZ9211" s="34"/>
      <c r="CD9211" s="34"/>
    </row>
    <row r="9212" spans="70:82" x14ac:dyDescent="0.15">
      <c r="BR9212" s="34"/>
      <c r="BV9212" s="34"/>
      <c r="BZ9212" s="34"/>
      <c r="CD9212" s="34"/>
    </row>
    <row r="9213" spans="70:82" x14ac:dyDescent="0.15">
      <c r="BR9213" s="34"/>
      <c r="BV9213" s="34"/>
      <c r="BZ9213" s="34"/>
      <c r="CD9213" s="34"/>
    </row>
    <row r="9214" spans="70:82" x14ac:dyDescent="0.15">
      <c r="BR9214" s="34"/>
      <c r="BV9214" s="34"/>
      <c r="BZ9214" s="34"/>
      <c r="CD9214" s="34"/>
    </row>
    <row r="9215" spans="70:82" x14ac:dyDescent="0.15">
      <c r="BR9215" s="34"/>
      <c r="BV9215" s="34"/>
      <c r="BZ9215" s="34"/>
      <c r="CD9215" s="34"/>
    </row>
    <row r="9216" spans="70:82" x14ac:dyDescent="0.15">
      <c r="BR9216" s="34"/>
      <c r="BV9216" s="34"/>
      <c r="BZ9216" s="34"/>
      <c r="CD9216" s="34"/>
    </row>
    <row r="9217" spans="70:82" x14ac:dyDescent="0.15">
      <c r="BR9217" s="34"/>
      <c r="BV9217" s="34"/>
      <c r="BZ9217" s="34"/>
      <c r="CD9217" s="34"/>
    </row>
    <row r="9218" spans="70:82" x14ac:dyDescent="0.15">
      <c r="BR9218" s="34"/>
      <c r="BV9218" s="34"/>
      <c r="BZ9218" s="34"/>
      <c r="CD9218" s="34"/>
    </row>
    <row r="9219" spans="70:82" x14ac:dyDescent="0.15">
      <c r="BR9219" s="34"/>
      <c r="BV9219" s="34"/>
      <c r="BZ9219" s="34"/>
      <c r="CD9219" s="34"/>
    </row>
    <row r="9220" spans="70:82" x14ac:dyDescent="0.15">
      <c r="BR9220" s="34"/>
      <c r="BV9220" s="34"/>
      <c r="BZ9220" s="34"/>
      <c r="CD9220" s="34"/>
    </row>
    <row r="9221" spans="70:82" x14ac:dyDescent="0.15">
      <c r="BR9221" s="34"/>
      <c r="BV9221" s="34"/>
      <c r="BZ9221" s="34"/>
      <c r="CD9221" s="34"/>
    </row>
    <row r="9222" spans="70:82" x14ac:dyDescent="0.15">
      <c r="BR9222" s="34"/>
      <c r="BV9222" s="34"/>
      <c r="BZ9222" s="34"/>
      <c r="CD9222" s="34"/>
    </row>
    <row r="9223" spans="70:82" x14ac:dyDescent="0.15">
      <c r="BR9223" s="34"/>
      <c r="BV9223" s="34"/>
      <c r="BZ9223" s="34"/>
      <c r="CD9223" s="34"/>
    </row>
    <row r="9224" spans="70:82" x14ac:dyDescent="0.15">
      <c r="BR9224" s="34"/>
      <c r="BV9224" s="34"/>
      <c r="BZ9224" s="34"/>
      <c r="CD9224" s="34"/>
    </row>
    <row r="9225" spans="70:82" x14ac:dyDescent="0.15">
      <c r="BR9225" s="34"/>
      <c r="BV9225" s="34"/>
      <c r="BZ9225" s="34"/>
      <c r="CD9225" s="34"/>
    </row>
    <row r="9226" spans="70:82" x14ac:dyDescent="0.15">
      <c r="BR9226" s="34"/>
      <c r="BV9226" s="34"/>
      <c r="BZ9226" s="34"/>
      <c r="CD9226" s="34"/>
    </row>
    <row r="9227" spans="70:82" x14ac:dyDescent="0.15">
      <c r="BR9227" s="34"/>
      <c r="BV9227" s="34"/>
      <c r="BZ9227" s="34"/>
      <c r="CD9227" s="34"/>
    </row>
    <row r="9228" spans="70:82" x14ac:dyDescent="0.15">
      <c r="BR9228" s="34"/>
      <c r="BV9228" s="34"/>
      <c r="BZ9228" s="34"/>
      <c r="CD9228" s="34"/>
    </row>
    <row r="9229" spans="70:82" x14ac:dyDescent="0.15">
      <c r="BR9229" s="34"/>
      <c r="BV9229" s="34"/>
      <c r="BZ9229" s="34"/>
      <c r="CD9229" s="34"/>
    </row>
    <row r="9230" spans="70:82" x14ac:dyDescent="0.15">
      <c r="BR9230" s="34"/>
      <c r="BV9230" s="34"/>
      <c r="BZ9230" s="34"/>
      <c r="CD9230" s="34"/>
    </row>
    <row r="9231" spans="70:82" x14ac:dyDescent="0.15">
      <c r="BR9231" s="34"/>
      <c r="BV9231" s="34"/>
      <c r="BZ9231" s="34"/>
      <c r="CD9231" s="34"/>
    </row>
    <row r="9232" spans="70:82" x14ac:dyDescent="0.15">
      <c r="BR9232" s="34"/>
      <c r="BV9232" s="34"/>
      <c r="BZ9232" s="34"/>
      <c r="CD9232" s="34"/>
    </row>
    <row r="9233" spans="70:82" x14ac:dyDescent="0.15">
      <c r="BR9233" s="34"/>
      <c r="BV9233" s="34"/>
      <c r="BZ9233" s="34"/>
      <c r="CD9233" s="34"/>
    </row>
    <row r="9234" spans="70:82" x14ac:dyDescent="0.15">
      <c r="BR9234" s="34"/>
      <c r="BV9234" s="34"/>
      <c r="BZ9234" s="34"/>
      <c r="CD9234" s="34"/>
    </row>
    <row r="9235" spans="70:82" x14ac:dyDescent="0.15">
      <c r="BR9235" s="34"/>
      <c r="BV9235" s="34"/>
      <c r="BZ9235" s="34"/>
      <c r="CD9235" s="34"/>
    </row>
    <row r="9236" spans="70:82" x14ac:dyDescent="0.15">
      <c r="BR9236" s="34"/>
      <c r="BV9236" s="34"/>
      <c r="BZ9236" s="34"/>
      <c r="CD9236" s="34"/>
    </row>
    <row r="9237" spans="70:82" x14ac:dyDescent="0.15">
      <c r="BR9237" s="34"/>
      <c r="BV9237" s="34"/>
      <c r="BZ9237" s="34"/>
      <c r="CD9237" s="34"/>
    </row>
    <row r="9238" spans="70:82" x14ac:dyDescent="0.15">
      <c r="BR9238" s="34"/>
      <c r="BV9238" s="34"/>
      <c r="BZ9238" s="34"/>
      <c r="CD9238" s="34"/>
    </row>
    <row r="9239" spans="70:82" x14ac:dyDescent="0.15">
      <c r="BR9239" s="34"/>
      <c r="BV9239" s="34"/>
      <c r="BZ9239" s="34"/>
      <c r="CD9239" s="34"/>
    </row>
    <row r="9240" spans="70:82" x14ac:dyDescent="0.15">
      <c r="BR9240" s="34"/>
      <c r="BV9240" s="34"/>
      <c r="BZ9240" s="34"/>
      <c r="CD9240" s="34"/>
    </row>
    <row r="9241" spans="70:82" x14ac:dyDescent="0.15">
      <c r="BR9241" s="34"/>
      <c r="BV9241" s="34"/>
      <c r="BZ9241" s="34"/>
      <c r="CD9241" s="34"/>
    </row>
    <row r="9242" spans="70:82" x14ac:dyDescent="0.15">
      <c r="BR9242" s="34"/>
      <c r="BV9242" s="34"/>
      <c r="BZ9242" s="34"/>
      <c r="CD9242" s="34"/>
    </row>
    <row r="9243" spans="70:82" x14ac:dyDescent="0.15">
      <c r="BR9243" s="34"/>
      <c r="BV9243" s="34"/>
      <c r="BZ9243" s="34"/>
      <c r="CD9243" s="34"/>
    </row>
    <row r="9244" spans="70:82" x14ac:dyDescent="0.15">
      <c r="BR9244" s="34"/>
      <c r="BV9244" s="34"/>
      <c r="BZ9244" s="34"/>
      <c r="CD9244" s="34"/>
    </row>
    <row r="9245" spans="70:82" x14ac:dyDescent="0.15">
      <c r="BR9245" s="34"/>
      <c r="BV9245" s="34"/>
      <c r="BZ9245" s="34"/>
      <c r="CD9245" s="34"/>
    </row>
    <row r="9246" spans="70:82" x14ac:dyDescent="0.15">
      <c r="BR9246" s="34"/>
      <c r="BV9246" s="34"/>
      <c r="BZ9246" s="34"/>
      <c r="CD9246" s="34"/>
    </row>
    <row r="9247" spans="70:82" x14ac:dyDescent="0.15">
      <c r="BR9247" s="34"/>
      <c r="BV9247" s="34"/>
      <c r="BZ9247" s="34"/>
      <c r="CD9247" s="34"/>
    </row>
    <row r="9248" spans="70:82" x14ac:dyDescent="0.15">
      <c r="BR9248" s="34"/>
      <c r="BV9248" s="34"/>
      <c r="BZ9248" s="34"/>
      <c r="CD9248" s="34"/>
    </row>
    <row r="9249" spans="70:82" x14ac:dyDescent="0.15">
      <c r="BR9249" s="34"/>
      <c r="BV9249" s="34"/>
      <c r="BZ9249" s="34"/>
      <c r="CD9249" s="34"/>
    </row>
    <row r="9250" spans="70:82" x14ac:dyDescent="0.15">
      <c r="BR9250" s="34"/>
      <c r="BV9250" s="34"/>
      <c r="BZ9250" s="34"/>
      <c r="CD9250" s="34"/>
    </row>
    <row r="9251" spans="70:82" x14ac:dyDescent="0.15">
      <c r="BR9251" s="34"/>
      <c r="BV9251" s="34"/>
      <c r="BZ9251" s="34"/>
      <c r="CD9251" s="34"/>
    </row>
    <row r="9252" spans="70:82" x14ac:dyDescent="0.15">
      <c r="BR9252" s="34"/>
      <c r="BV9252" s="34"/>
      <c r="BZ9252" s="34"/>
      <c r="CD9252" s="34"/>
    </row>
    <row r="9253" spans="70:82" x14ac:dyDescent="0.15">
      <c r="BR9253" s="34"/>
      <c r="BV9253" s="34"/>
      <c r="BZ9253" s="34"/>
      <c r="CD9253" s="34"/>
    </row>
    <row r="9254" spans="70:82" x14ac:dyDescent="0.15">
      <c r="BR9254" s="34"/>
      <c r="BV9254" s="34"/>
      <c r="BZ9254" s="34"/>
      <c r="CD9254" s="34"/>
    </row>
    <row r="9255" spans="70:82" x14ac:dyDescent="0.15">
      <c r="BR9255" s="34"/>
      <c r="BV9255" s="34"/>
      <c r="BZ9255" s="34"/>
      <c r="CD9255" s="34"/>
    </row>
    <row r="9256" spans="70:82" x14ac:dyDescent="0.15">
      <c r="BR9256" s="34"/>
      <c r="BV9256" s="34"/>
      <c r="BZ9256" s="34"/>
      <c r="CD9256" s="34"/>
    </row>
    <row r="9257" spans="70:82" x14ac:dyDescent="0.15">
      <c r="BR9257" s="34"/>
      <c r="BV9257" s="34"/>
      <c r="BZ9257" s="34"/>
      <c r="CD9257" s="34"/>
    </row>
    <row r="9258" spans="70:82" x14ac:dyDescent="0.15">
      <c r="BR9258" s="34"/>
      <c r="BV9258" s="34"/>
      <c r="BZ9258" s="34"/>
      <c r="CD9258" s="34"/>
    </row>
    <row r="9259" spans="70:82" x14ac:dyDescent="0.15">
      <c r="BR9259" s="34"/>
      <c r="BV9259" s="34"/>
      <c r="BZ9259" s="34"/>
      <c r="CD9259" s="34"/>
    </row>
    <row r="9260" spans="70:82" x14ac:dyDescent="0.15">
      <c r="BR9260" s="34"/>
      <c r="BV9260" s="34"/>
      <c r="BZ9260" s="34"/>
      <c r="CD9260" s="34"/>
    </row>
    <row r="9261" spans="70:82" x14ac:dyDescent="0.15">
      <c r="BR9261" s="34"/>
      <c r="BV9261" s="34"/>
      <c r="BZ9261" s="34"/>
      <c r="CD9261" s="34"/>
    </row>
    <row r="9262" spans="70:82" x14ac:dyDescent="0.15">
      <c r="BR9262" s="34"/>
      <c r="BV9262" s="34"/>
      <c r="BZ9262" s="34"/>
      <c r="CD9262" s="34"/>
    </row>
    <row r="9263" spans="70:82" x14ac:dyDescent="0.15">
      <c r="BR9263" s="34"/>
      <c r="BV9263" s="34"/>
      <c r="BZ9263" s="34"/>
      <c r="CD9263" s="34"/>
    </row>
    <row r="9264" spans="70:82" x14ac:dyDescent="0.15">
      <c r="BR9264" s="34"/>
      <c r="BV9264" s="34"/>
      <c r="BZ9264" s="34"/>
      <c r="CD9264" s="34"/>
    </row>
    <row r="9265" spans="70:82" x14ac:dyDescent="0.15">
      <c r="BR9265" s="34"/>
      <c r="BV9265" s="34"/>
      <c r="BZ9265" s="34"/>
      <c r="CD9265" s="34"/>
    </row>
    <row r="9266" spans="70:82" x14ac:dyDescent="0.15">
      <c r="BR9266" s="34"/>
      <c r="BV9266" s="34"/>
      <c r="BZ9266" s="34"/>
      <c r="CD9266" s="34"/>
    </row>
    <row r="9267" spans="70:82" x14ac:dyDescent="0.15">
      <c r="BR9267" s="34"/>
      <c r="BV9267" s="34"/>
      <c r="BZ9267" s="34"/>
      <c r="CD9267" s="34"/>
    </row>
    <row r="9268" spans="70:82" x14ac:dyDescent="0.15">
      <c r="BR9268" s="34"/>
      <c r="BV9268" s="34"/>
      <c r="BZ9268" s="34"/>
      <c r="CD9268" s="34"/>
    </row>
    <row r="9269" spans="70:82" x14ac:dyDescent="0.15">
      <c r="BR9269" s="34"/>
      <c r="BV9269" s="34"/>
      <c r="BZ9269" s="34"/>
      <c r="CD9269" s="34"/>
    </row>
    <row r="9270" spans="70:82" x14ac:dyDescent="0.15">
      <c r="BR9270" s="34"/>
      <c r="BV9270" s="34"/>
      <c r="BZ9270" s="34"/>
      <c r="CD9270" s="34"/>
    </row>
    <row r="9271" spans="70:82" x14ac:dyDescent="0.15">
      <c r="BR9271" s="34"/>
      <c r="BV9271" s="34"/>
      <c r="BZ9271" s="34"/>
      <c r="CD9271" s="34"/>
    </row>
    <row r="9272" spans="70:82" x14ac:dyDescent="0.15">
      <c r="BR9272" s="34"/>
      <c r="BV9272" s="34"/>
      <c r="BZ9272" s="34"/>
      <c r="CD9272" s="34"/>
    </row>
    <row r="9273" spans="70:82" x14ac:dyDescent="0.15">
      <c r="BR9273" s="34"/>
      <c r="BV9273" s="34"/>
      <c r="BZ9273" s="34"/>
      <c r="CD9273" s="34"/>
    </row>
    <row r="9274" spans="70:82" x14ac:dyDescent="0.15">
      <c r="BR9274" s="34"/>
      <c r="BV9274" s="34"/>
      <c r="BZ9274" s="34"/>
      <c r="CD9274" s="34"/>
    </row>
    <row r="9275" spans="70:82" x14ac:dyDescent="0.15">
      <c r="BR9275" s="34"/>
      <c r="BV9275" s="34"/>
      <c r="BZ9275" s="34"/>
      <c r="CD9275" s="34"/>
    </row>
    <row r="9276" spans="70:82" x14ac:dyDescent="0.15">
      <c r="BR9276" s="34"/>
      <c r="BV9276" s="34"/>
      <c r="BZ9276" s="34"/>
      <c r="CD9276" s="34"/>
    </row>
    <row r="9277" spans="70:82" x14ac:dyDescent="0.15">
      <c r="BR9277" s="34"/>
      <c r="BV9277" s="34"/>
      <c r="BZ9277" s="34"/>
      <c r="CD9277" s="34"/>
    </row>
    <row r="9278" spans="70:82" x14ac:dyDescent="0.15">
      <c r="BR9278" s="34"/>
      <c r="BV9278" s="34"/>
      <c r="BZ9278" s="34"/>
      <c r="CD9278" s="34"/>
    </row>
    <row r="9279" spans="70:82" x14ac:dyDescent="0.15">
      <c r="BR9279" s="34"/>
      <c r="BV9279" s="34"/>
      <c r="BZ9279" s="34"/>
      <c r="CD9279" s="34"/>
    </row>
    <row r="9280" spans="70:82" x14ac:dyDescent="0.15">
      <c r="BR9280" s="34"/>
      <c r="BV9280" s="34"/>
      <c r="BZ9280" s="34"/>
      <c r="CD9280" s="34"/>
    </row>
    <row r="9281" spans="70:82" x14ac:dyDescent="0.15">
      <c r="BR9281" s="34"/>
      <c r="BV9281" s="34"/>
      <c r="BZ9281" s="34"/>
      <c r="CD9281" s="34"/>
    </row>
    <row r="9282" spans="70:82" x14ac:dyDescent="0.15">
      <c r="BR9282" s="34"/>
      <c r="BV9282" s="34"/>
      <c r="BZ9282" s="34"/>
      <c r="CD9282" s="34"/>
    </row>
    <row r="9283" spans="70:82" x14ac:dyDescent="0.15">
      <c r="BR9283" s="34"/>
      <c r="BV9283" s="34"/>
      <c r="BZ9283" s="34"/>
      <c r="CD9283" s="34"/>
    </row>
    <row r="9284" spans="70:82" x14ac:dyDescent="0.15">
      <c r="BR9284" s="34"/>
      <c r="BV9284" s="34"/>
      <c r="BZ9284" s="34"/>
      <c r="CD9284" s="34"/>
    </row>
    <row r="9285" spans="70:82" x14ac:dyDescent="0.15">
      <c r="BR9285" s="34"/>
      <c r="BV9285" s="34"/>
      <c r="BZ9285" s="34"/>
      <c r="CD9285" s="34"/>
    </row>
    <row r="9286" spans="70:82" x14ac:dyDescent="0.15">
      <c r="BR9286" s="34"/>
      <c r="BV9286" s="34"/>
      <c r="BZ9286" s="34"/>
      <c r="CD9286" s="34"/>
    </row>
    <row r="9287" spans="70:82" x14ac:dyDescent="0.15">
      <c r="BR9287" s="34"/>
      <c r="BV9287" s="34"/>
      <c r="BZ9287" s="34"/>
      <c r="CD9287" s="34"/>
    </row>
    <row r="9288" spans="70:82" x14ac:dyDescent="0.15">
      <c r="BR9288" s="34"/>
      <c r="BV9288" s="34"/>
      <c r="BZ9288" s="34"/>
      <c r="CD9288" s="34"/>
    </row>
    <row r="9289" spans="70:82" x14ac:dyDescent="0.15">
      <c r="BR9289" s="34"/>
      <c r="BV9289" s="34"/>
      <c r="BZ9289" s="34"/>
      <c r="CD9289" s="34"/>
    </row>
    <row r="9290" spans="70:82" x14ac:dyDescent="0.15">
      <c r="BR9290" s="34"/>
      <c r="BV9290" s="34"/>
      <c r="BZ9290" s="34"/>
      <c r="CD9290" s="34"/>
    </row>
    <row r="9291" spans="70:82" x14ac:dyDescent="0.15">
      <c r="BR9291" s="34"/>
      <c r="BV9291" s="34"/>
      <c r="BZ9291" s="34"/>
      <c r="CD9291" s="34"/>
    </row>
    <row r="9292" spans="70:82" x14ac:dyDescent="0.15">
      <c r="BR9292" s="34"/>
      <c r="BV9292" s="34"/>
      <c r="BZ9292" s="34"/>
      <c r="CD9292" s="34"/>
    </row>
    <row r="9293" spans="70:82" x14ac:dyDescent="0.15">
      <c r="BR9293" s="34"/>
      <c r="BV9293" s="34"/>
      <c r="BZ9293" s="34"/>
      <c r="CD9293" s="34"/>
    </row>
    <row r="9294" spans="70:82" x14ac:dyDescent="0.15">
      <c r="BR9294" s="34"/>
      <c r="BV9294" s="34"/>
      <c r="BZ9294" s="34"/>
      <c r="CD9294" s="34"/>
    </row>
    <row r="9295" spans="70:82" x14ac:dyDescent="0.15">
      <c r="BR9295" s="34"/>
      <c r="BV9295" s="34"/>
      <c r="BZ9295" s="34"/>
      <c r="CD9295" s="34"/>
    </row>
    <row r="9296" spans="70:82" x14ac:dyDescent="0.15">
      <c r="BR9296" s="34"/>
      <c r="BV9296" s="34"/>
      <c r="BZ9296" s="34"/>
      <c r="CD9296" s="34"/>
    </row>
    <row r="9297" spans="70:82" x14ac:dyDescent="0.15">
      <c r="BR9297" s="34"/>
      <c r="BV9297" s="34"/>
      <c r="BZ9297" s="34"/>
      <c r="CD9297" s="34"/>
    </row>
    <row r="9298" spans="70:82" x14ac:dyDescent="0.15">
      <c r="BR9298" s="34"/>
      <c r="BV9298" s="34"/>
      <c r="BZ9298" s="34"/>
      <c r="CD9298" s="34"/>
    </row>
    <row r="9299" spans="70:82" x14ac:dyDescent="0.15">
      <c r="BR9299" s="34"/>
      <c r="BV9299" s="34"/>
      <c r="BZ9299" s="34"/>
      <c r="CD9299" s="34"/>
    </row>
    <row r="9300" spans="70:82" x14ac:dyDescent="0.15">
      <c r="BR9300" s="34"/>
      <c r="BV9300" s="34"/>
      <c r="BZ9300" s="34"/>
      <c r="CD9300" s="34"/>
    </row>
    <row r="9301" spans="70:82" x14ac:dyDescent="0.15">
      <c r="BR9301" s="34"/>
      <c r="BV9301" s="34"/>
      <c r="BZ9301" s="34"/>
      <c r="CD9301" s="34"/>
    </row>
    <row r="9302" spans="70:82" x14ac:dyDescent="0.15">
      <c r="BR9302" s="34"/>
      <c r="BV9302" s="34"/>
      <c r="BZ9302" s="34"/>
      <c r="CD9302" s="34"/>
    </row>
    <row r="9303" spans="70:82" x14ac:dyDescent="0.15">
      <c r="BR9303" s="34"/>
      <c r="BV9303" s="34"/>
      <c r="BZ9303" s="34"/>
      <c r="CD9303" s="34"/>
    </row>
    <row r="9304" spans="70:82" x14ac:dyDescent="0.15">
      <c r="BR9304" s="34"/>
      <c r="BV9304" s="34"/>
      <c r="BZ9304" s="34"/>
      <c r="CD9304" s="34"/>
    </row>
    <row r="9305" spans="70:82" x14ac:dyDescent="0.15">
      <c r="BR9305" s="34"/>
      <c r="BV9305" s="34"/>
      <c r="BZ9305" s="34"/>
      <c r="CD9305" s="34"/>
    </row>
    <row r="9306" spans="70:82" x14ac:dyDescent="0.15">
      <c r="BR9306" s="34"/>
      <c r="BV9306" s="34"/>
      <c r="BZ9306" s="34"/>
      <c r="CD9306" s="34"/>
    </row>
    <row r="9307" spans="70:82" x14ac:dyDescent="0.15">
      <c r="BR9307" s="34"/>
      <c r="BV9307" s="34"/>
      <c r="BZ9307" s="34"/>
      <c r="CD9307" s="34"/>
    </row>
    <row r="9308" spans="70:82" x14ac:dyDescent="0.15">
      <c r="BR9308" s="34"/>
      <c r="BV9308" s="34"/>
      <c r="BZ9308" s="34"/>
      <c r="CD9308" s="34"/>
    </row>
    <row r="9309" spans="70:82" x14ac:dyDescent="0.15">
      <c r="BR9309" s="34"/>
      <c r="BV9309" s="34"/>
      <c r="BZ9309" s="34"/>
      <c r="CD9309" s="34"/>
    </row>
    <row r="9310" spans="70:82" x14ac:dyDescent="0.15">
      <c r="BR9310" s="34"/>
      <c r="BV9310" s="34"/>
      <c r="BZ9310" s="34"/>
      <c r="CD9310" s="34"/>
    </row>
    <row r="9311" spans="70:82" x14ac:dyDescent="0.15">
      <c r="BR9311" s="34"/>
      <c r="BV9311" s="34"/>
      <c r="BZ9311" s="34"/>
      <c r="CD9311" s="34"/>
    </row>
    <row r="9312" spans="70:82" x14ac:dyDescent="0.15">
      <c r="BR9312" s="34"/>
      <c r="BV9312" s="34"/>
      <c r="BZ9312" s="34"/>
      <c r="CD9312" s="34"/>
    </row>
    <row r="9313" spans="70:82" x14ac:dyDescent="0.15">
      <c r="BR9313" s="34"/>
      <c r="BV9313" s="34"/>
      <c r="BZ9313" s="34"/>
      <c r="CD9313" s="34"/>
    </row>
    <row r="9314" spans="70:82" x14ac:dyDescent="0.15">
      <c r="BR9314" s="34"/>
      <c r="BV9314" s="34"/>
      <c r="BZ9314" s="34"/>
      <c r="CD9314" s="34"/>
    </row>
    <row r="9315" spans="70:82" x14ac:dyDescent="0.15">
      <c r="BR9315" s="34"/>
      <c r="BV9315" s="34"/>
      <c r="BZ9315" s="34"/>
      <c r="CD9315" s="34"/>
    </row>
    <row r="9316" spans="70:82" x14ac:dyDescent="0.15">
      <c r="BR9316" s="34"/>
      <c r="BV9316" s="34"/>
      <c r="BZ9316" s="34"/>
      <c r="CD9316" s="34"/>
    </row>
    <row r="9317" spans="70:82" x14ac:dyDescent="0.15">
      <c r="BR9317" s="34"/>
      <c r="BV9317" s="34"/>
      <c r="BZ9317" s="34"/>
      <c r="CD9317" s="34"/>
    </row>
    <row r="9318" spans="70:82" x14ac:dyDescent="0.15">
      <c r="BR9318" s="34"/>
      <c r="BV9318" s="34"/>
      <c r="BZ9318" s="34"/>
      <c r="CD9318" s="34"/>
    </row>
    <row r="9319" spans="70:82" x14ac:dyDescent="0.15">
      <c r="BR9319" s="34"/>
      <c r="BV9319" s="34"/>
      <c r="BZ9319" s="34"/>
      <c r="CD9319" s="34"/>
    </row>
    <row r="9320" spans="70:82" x14ac:dyDescent="0.15">
      <c r="BR9320" s="34"/>
      <c r="BV9320" s="34"/>
      <c r="BZ9320" s="34"/>
      <c r="CD9320" s="34"/>
    </row>
    <row r="9321" spans="70:82" x14ac:dyDescent="0.15">
      <c r="BR9321" s="34"/>
      <c r="BV9321" s="34"/>
      <c r="BZ9321" s="34"/>
      <c r="CD9321" s="34"/>
    </row>
    <row r="9322" spans="70:82" x14ac:dyDescent="0.15">
      <c r="BR9322" s="34"/>
      <c r="BV9322" s="34"/>
      <c r="BZ9322" s="34"/>
      <c r="CD9322" s="34"/>
    </row>
    <row r="9323" spans="70:82" x14ac:dyDescent="0.15">
      <c r="BR9323" s="34"/>
      <c r="BV9323" s="34"/>
      <c r="BZ9323" s="34"/>
      <c r="CD9323" s="34"/>
    </row>
    <row r="9324" spans="70:82" x14ac:dyDescent="0.15">
      <c r="BR9324" s="34"/>
      <c r="BV9324" s="34"/>
      <c r="BZ9324" s="34"/>
      <c r="CD9324" s="34"/>
    </row>
    <row r="9325" spans="70:82" x14ac:dyDescent="0.15">
      <c r="BR9325" s="34"/>
      <c r="BV9325" s="34"/>
      <c r="BZ9325" s="34"/>
      <c r="CD9325" s="34"/>
    </row>
    <row r="9326" spans="70:82" x14ac:dyDescent="0.15">
      <c r="BR9326" s="34"/>
      <c r="BV9326" s="34"/>
      <c r="BZ9326" s="34"/>
      <c r="CD9326" s="34"/>
    </row>
    <row r="9327" spans="70:82" x14ac:dyDescent="0.15">
      <c r="BR9327" s="34"/>
      <c r="BV9327" s="34"/>
      <c r="BZ9327" s="34"/>
      <c r="CD9327" s="34"/>
    </row>
    <row r="9328" spans="70:82" x14ac:dyDescent="0.15">
      <c r="BR9328" s="34"/>
      <c r="BV9328" s="34"/>
      <c r="BZ9328" s="34"/>
      <c r="CD9328" s="34"/>
    </row>
    <row r="9329" spans="70:82" x14ac:dyDescent="0.15">
      <c r="BR9329" s="34"/>
      <c r="BV9329" s="34"/>
      <c r="BZ9329" s="34"/>
      <c r="CD9329" s="34"/>
    </row>
    <row r="9330" spans="70:82" x14ac:dyDescent="0.15">
      <c r="BR9330" s="34"/>
      <c r="BV9330" s="34"/>
      <c r="BZ9330" s="34"/>
      <c r="CD9330" s="34"/>
    </row>
    <row r="9331" spans="70:82" x14ac:dyDescent="0.15">
      <c r="BR9331" s="34"/>
      <c r="BV9331" s="34"/>
      <c r="BZ9331" s="34"/>
      <c r="CD9331" s="34"/>
    </row>
    <row r="9332" spans="70:82" x14ac:dyDescent="0.15">
      <c r="BR9332" s="34"/>
      <c r="BV9332" s="34"/>
      <c r="BZ9332" s="34"/>
      <c r="CD9332" s="34"/>
    </row>
    <row r="9333" spans="70:82" x14ac:dyDescent="0.15">
      <c r="BR9333" s="34"/>
      <c r="BV9333" s="34"/>
      <c r="BZ9333" s="34"/>
      <c r="CD9333" s="34"/>
    </row>
    <row r="9334" spans="70:82" x14ac:dyDescent="0.15">
      <c r="BR9334" s="34"/>
      <c r="BV9334" s="34"/>
      <c r="BZ9334" s="34"/>
      <c r="CD9334" s="34"/>
    </row>
    <row r="9335" spans="70:82" x14ac:dyDescent="0.15">
      <c r="BR9335" s="34"/>
      <c r="BV9335" s="34"/>
      <c r="BZ9335" s="34"/>
      <c r="CD9335" s="34"/>
    </row>
    <row r="9336" spans="70:82" x14ac:dyDescent="0.15">
      <c r="BR9336" s="34"/>
      <c r="BV9336" s="34"/>
      <c r="BZ9336" s="34"/>
      <c r="CD9336" s="34"/>
    </row>
    <row r="9337" spans="70:82" x14ac:dyDescent="0.15">
      <c r="BR9337" s="34"/>
      <c r="BV9337" s="34"/>
      <c r="BZ9337" s="34"/>
      <c r="CD9337" s="34"/>
    </row>
    <row r="9338" spans="70:82" x14ac:dyDescent="0.15">
      <c r="BR9338" s="34"/>
      <c r="BV9338" s="34"/>
      <c r="BZ9338" s="34"/>
      <c r="CD9338" s="34"/>
    </row>
    <row r="9339" spans="70:82" x14ac:dyDescent="0.15">
      <c r="BR9339" s="34"/>
      <c r="BV9339" s="34"/>
      <c r="BZ9339" s="34"/>
      <c r="CD9339" s="34"/>
    </row>
    <row r="9340" spans="70:82" x14ac:dyDescent="0.15">
      <c r="BR9340" s="34"/>
      <c r="BV9340" s="34"/>
      <c r="BZ9340" s="34"/>
      <c r="CD9340" s="34"/>
    </row>
    <row r="9341" spans="70:82" x14ac:dyDescent="0.15">
      <c r="BR9341" s="34"/>
      <c r="BV9341" s="34"/>
      <c r="BZ9341" s="34"/>
      <c r="CD9341" s="34"/>
    </row>
    <row r="9342" spans="70:82" x14ac:dyDescent="0.15">
      <c r="BR9342" s="34"/>
      <c r="BV9342" s="34"/>
      <c r="BZ9342" s="34"/>
      <c r="CD9342" s="34"/>
    </row>
    <row r="9343" spans="70:82" x14ac:dyDescent="0.15">
      <c r="BR9343" s="34"/>
      <c r="BV9343" s="34"/>
      <c r="BZ9343" s="34"/>
      <c r="CD9343" s="34"/>
    </row>
    <row r="9344" spans="70:82" x14ac:dyDescent="0.15">
      <c r="BR9344" s="34"/>
      <c r="BV9344" s="34"/>
      <c r="BZ9344" s="34"/>
      <c r="CD9344" s="34"/>
    </row>
    <row r="9345" spans="70:82" x14ac:dyDescent="0.15">
      <c r="BR9345" s="34"/>
      <c r="BV9345" s="34"/>
      <c r="BZ9345" s="34"/>
      <c r="CD9345" s="34"/>
    </row>
    <row r="9346" spans="70:82" x14ac:dyDescent="0.15">
      <c r="BR9346" s="34"/>
      <c r="BV9346" s="34"/>
      <c r="BZ9346" s="34"/>
      <c r="CD9346" s="34"/>
    </row>
    <row r="9347" spans="70:82" x14ac:dyDescent="0.15">
      <c r="BR9347" s="34"/>
      <c r="BV9347" s="34"/>
      <c r="BZ9347" s="34"/>
      <c r="CD9347" s="34"/>
    </row>
    <row r="9348" spans="70:82" x14ac:dyDescent="0.15">
      <c r="BR9348" s="34"/>
      <c r="BV9348" s="34"/>
      <c r="BZ9348" s="34"/>
      <c r="CD9348" s="34"/>
    </row>
    <row r="9349" spans="70:82" x14ac:dyDescent="0.15">
      <c r="BR9349" s="34"/>
      <c r="BV9349" s="34"/>
      <c r="BZ9349" s="34"/>
      <c r="CD9349" s="34"/>
    </row>
    <row r="9350" spans="70:82" x14ac:dyDescent="0.15">
      <c r="BR9350" s="34"/>
      <c r="BV9350" s="34"/>
      <c r="BZ9350" s="34"/>
      <c r="CD9350" s="34"/>
    </row>
    <row r="9351" spans="70:82" x14ac:dyDescent="0.15">
      <c r="BR9351" s="34"/>
      <c r="BV9351" s="34"/>
      <c r="BZ9351" s="34"/>
      <c r="CD9351" s="34"/>
    </row>
    <row r="9352" spans="70:82" x14ac:dyDescent="0.15">
      <c r="BR9352" s="34"/>
      <c r="BV9352" s="34"/>
      <c r="BZ9352" s="34"/>
      <c r="CD9352" s="34"/>
    </row>
    <row r="9353" spans="70:82" x14ac:dyDescent="0.15">
      <c r="BR9353" s="34"/>
      <c r="BV9353" s="34"/>
      <c r="BZ9353" s="34"/>
      <c r="CD9353" s="34"/>
    </row>
    <row r="9354" spans="70:82" x14ac:dyDescent="0.15">
      <c r="BR9354" s="34"/>
      <c r="BV9354" s="34"/>
      <c r="BZ9354" s="34"/>
      <c r="CD9354" s="34"/>
    </row>
    <row r="9355" spans="70:82" x14ac:dyDescent="0.15">
      <c r="BR9355" s="34"/>
      <c r="BV9355" s="34"/>
      <c r="BZ9355" s="34"/>
      <c r="CD9355" s="34"/>
    </row>
    <row r="9356" spans="70:82" x14ac:dyDescent="0.15">
      <c r="BR9356" s="34"/>
      <c r="BV9356" s="34"/>
      <c r="BZ9356" s="34"/>
      <c r="CD9356" s="34"/>
    </row>
    <row r="9357" spans="70:82" x14ac:dyDescent="0.15">
      <c r="BR9357" s="34"/>
      <c r="BV9357" s="34"/>
      <c r="BZ9357" s="34"/>
      <c r="CD9357" s="34"/>
    </row>
    <row r="9358" spans="70:82" x14ac:dyDescent="0.15">
      <c r="BR9358" s="34"/>
      <c r="BV9358" s="34"/>
      <c r="BZ9358" s="34"/>
      <c r="CD9358" s="34"/>
    </row>
    <row r="9359" spans="70:82" x14ac:dyDescent="0.15">
      <c r="BR9359" s="34"/>
      <c r="BV9359" s="34"/>
      <c r="BZ9359" s="34"/>
      <c r="CD9359" s="34"/>
    </row>
    <row r="9360" spans="70:82" x14ac:dyDescent="0.15">
      <c r="BR9360" s="34"/>
      <c r="BV9360" s="34"/>
      <c r="BZ9360" s="34"/>
      <c r="CD9360" s="34"/>
    </row>
    <row r="9361" spans="70:82" x14ac:dyDescent="0.15">
      <c r="BR9361" s="34"/>
      <c r="BV9361" s="34"/>
      <c r="BZ9361" s="34"/>
      <c r="CD9361" s="34"/>
    </row>
    <row r="9362" spans="70:82" x14ac:dyDescent="0.15">
      <c r="BR9362" s="34"/>
      <c r="BV9362" s="34"/>
      <c r="BZ9362" s="34"/>
      <c r="CD9362" s="34"/>
    </row>
    <row r="9363" spans="70:82" x14ac:dyDescent="0.15">
      <c r="BR9363" s="34"/>
      <c r="BV9363" s="34"/>
      <c r="BZ9363" s="34"/>
      <c r="CD9363" s="34"/>
    </row>
    <row r="9364" spans="70:82" x14ac:dyDescent="0.15">
      <c r="BR9364" s="34"/>
      <c r="BV9364" s="34"/>
      <c r="BZ9364" s="34"/>
      <c r="CD9364" s="34"/>
    </row>
    <row r="9365" spans="70:82" x14ac:dyDescent="0.15">
      <c r="BR9365" s="34"/>
      <c r="BV9365" s="34"/>
      <c r="BZ9365" s="34"/>
      <c r="CD9365" s="34"/>
    </row>
    <row r="9366" spans="70:82" x14ac:dyDescent="0.15">
      <c r="BR9366" s="34"/>
      <c r="BV9366" s="34"/>
      <c r="BZ9366" s="34"/>
      <c r="CD9366" s="34"/>
    </row>
    <row r="9367" spans="70:82" x14ac:dyDescent="0.15">
      <c r="BR9367" s="34"/>
      <c r="BV9367" s="34"/>
      <c r="BZ9367" s="34"/>
      <c r="CD9367" s="34"/>
    </row>
    <row r="9368" spans="70:82" x14ac:dyDescent="0.15">
      <c r="BR9368" s="34"/>
      <c r="BV9368" s="34"/>
      <c r="BZ9368" s="34"/>
      <c r="CD9368" s="34"/>
    </row>
    <row r="9369" spans="70:82" x14ac:dyDescent="0.15">
      <c r="BR9369" s="34"/>
      <c r="BV9369" s="34"/>
      <c r="BZ9369" s="34"/>
      <c r="CD9369" s="34"/>
    </row>
    <row r="9370" spans="70:82" x14ac:dyDescent="0.15">
      <c r="BR9370" s="34"/>
      <c r="BV9370" s="34"/>
      <c r="BZ9370" s="34"/>
      <c r="CD9370" s="34"/>
    </row>
    <row r="9371" spans="70:82" x14ac:dyDescent="0.15">
      <c r="BR9371" s="34"/>
      <c r="BV9371" s="34"/>
      <c r="BZ9371" s="34"/>
      <c r="CD9371" s="34"/>
    </row>
    <row r="9372" spans="70:82" x14ac:dyDescent="0.15">
      <c r="BR9372" s="34"/>
      <c r="BV9372" s="34"/>
      <c r="BZ9372" s="34"/>
      <c r="CD9372" s="34"/>
    </row>
    <row r="9373" spans="70:82" x14ac:dyDescent="0.15">
      <c r="BR9373" s="34"/>
      <c r="BV9373" s="34"/>
      <c r="BZ9373" s="34"/>
      <c r="CD9373" s="34"/>
    </row>
    <row r="9374" spans="70:82" x14ac:dyDescent="0.15">
      <c r="BR9374" s="34"/>
      <c r="BV9374" s="34"/>
      <c r="BZ9374" s="34"/>
      <c r="CD9374" s="34"/>
    </row>
    <row r="9375" spans="70:82" x14ac:dyDescent="0.15">
      <c r="BR9375" s="34"/>
      <c r="BV9375" s="34"/>
      <c r="BZ9375" s="34"/>
      <c r="CD9375" s="34"/>
    </row>
    <row r="9376" spans="70:82" x14ac:dyDescent="0.15">
      <c r="BR9376" s="34"/>
      <c r="BV9376" s="34"/>
      <c r="BZ9376" s="34"/>
      <c r="CD9376" s="34"/>
    </row>
    <row r="9377" spans="70:82" x14ac:dyDescent="0.15">
      <c r="BR9377" s="34"/>
      <c r="BV9377" s="34"/>
      <c r="BZ9377" s="34"/>
      <c r="CD9377" s="34"/>
    </row>
    <row r="9378" spans="70:82" x14ac:dyDescent="0.15">
      <c r="BR9378" s="34"/>
      <c r="BV9378" s="34"/>
      <c r="BZ9378" s="34"/>
      <c r="CD9378" s="34"/>
    </row>
    <row r="9379" spans="70:82" x14ac:dyDescent="0.15">
      <c r="BR9379" s="34"/>
      <c r="BV9379" s="34"/>
      <c r="BZ9379" s="34"/>
      <c r="CD9379" s="34"/>
    </row>
    <row r="9380" spans="70:82" x14ac:dyDescent="0.15">
      <c r="BR9380" s="34"/>
      <c r="BV9380" s="34"/>
      <c r="BZ9380" s="34"/>
      <c r="CD9380" s="34"/>
    </row>
    <row r="9381" spans="70:82" x14ac:dyDescent="0.15">
      <c r="BR9381" s="34"/>
      <c r="BV9381" s="34"/>
      <c r="BZ9381" s="34"/>
      <c r="CD9381" s="34"/>
    </row>
    <row r="9382" spans="70:82" x14ac:dyDescent="0.15">
      <c r="BR9382" s="34"/>
      <c r="BV9382" s="34"/>
      <c r="BZ9382" s="34"/>
      <c r="CD9382" s="34"/>
    </row>
    <row r="9383" spans="70:82" x14ac:dyDescent="0.15">
      <c r="BR9383" s="34"/>
      <c r="BV9383" s="34"/>
      <c r="BZ9383" s="34"/>
      <c r="CD9383" s="34"/>
    </row>
    <row r="9384" spans="70:82" x14ac:dyDescent="0.15">
      <c r="BR9384" s="34"/>
      <c r="BV9384" s="34"/>
      <c r="BZ9384" s="34"/>
      <c r="CD9384" s="34"/>
    </row>
    <row r="9385" spans="70:82" x14ac:dyDescent="0.15">
      <c r="BR9385" s="34"/>
      <c r="BV9385" s="34"/>
      <c r="BZ9385" s="34"/>
      <c r="CD9385" s="34"/>
    </row>
    <row r="9386" spans="70:82" x14ac:dyDescent="0.15">
      <c r="BR9386" s="34"/>
      <c r="BV9386" s="34"/>
      <c r="BZ9386" s="34"/>
      <c r="CD9386" s="34"/>
    </row>
    <row r="9387" spans="70:82" x14ac:dyDescent="0.15">
      <c r="BR9387" s="34"/>
      <c r="BV9387" s="34"/>
      <c r="BZ9387" s="34"/>
      <c r="CD9387" s="34"/>
    </row>
    <row r="9388" spans="70:82" x14ac:dyDescent="0.15">
      <c r="BR9388" s="34"/>
      <c r="BV9388" s="34"/>
      <c r="BZ9388" s="34"/>
      <c r="CD9388" s="34"/>
    </row>
    <row r="9389" spans="70:82" x14ac:dyDescent="0.15">
      <c r="BR9389" s="34"/>
      <c r="BV9389" s="34"/>
      <c r="BZ9389" s="34"/>
      <c r="CD9389" s="34"/>
    </row>
    <row r="9390" spans="70:82" x14ac:dyDescent="0.15">
      <c r="BR9390" s="34"/>
      <c r="BV9390" s="34"/>
      <c r="BZ9390" s="34"/>
      <c r="CD9390" s="34"/>
    </row>
    <row r="9391" spans="70:82" x14ac:dyDescent="0.15">
      <c r="BR9391" s="34"/>
      <c r="BV9391" s="34"/>
      <c r="BZ9391" s="34"/>
      <c r="CD9391" s="34"/>
    </row>
    <row r="9392" spans="70:82" x14ac:dyDescent="0.15">
      <c r="BR9392" s="34"/>
      <c r="BV9392" s="34"/>
      <c r="BZ9392" s="34"/>
      <c r="CD9392" s="34"/>
    </row>
    <row r="9393" spans="70:82" x14ac:dyDescent="0.15">
      <c r="BR9393" s="34"/>
      <c r="BV9393" s="34"/>
      <c r="BZ9393" s="34"/>
      <c r="CD9393" s="34"/>
    </row>
    <row r="9394" spans="70:82" x14ac:dyDescent="0.15">
      <c r="BR9394" s="34"/>
      <c r="BV9394" s="34"/>
      <c r="BZ9394" s="34"/>
      <c r="CD9394" s="34"/>
    </row>
    <row r="9395" spans="70:82" x14ac:dyDescent="0.15">
      <c r="BR9395" s="34"/>
      <c r="BV9395" s="34"/>
      <c r="BZ9395" s="34"/>
      <c r="CD9395" s="34"/>
    </row>
    <row r="9396" spans="70:82" x14ac:dyDescent="0.15">
      <c r="BR9396" s="34"/>
      <c r="BV9396" s="34"/>
      <c r="BZ9396" s="34"/>
      <c r="CD9396" s="34"/>
    </row>
    <row r="9397" spans="70:82" x14ac:dyDescent="0.15">
      <c r="BR9397" s="34"/>
      <c r="BV9397" s="34"/>
      <c r="BZ9397" s="34"/>
      <c r="CD9397" s="34"/>
    </row>
    <row r="9398" spans="70:82" x14ac:dyDescent="0.15">
      <c r="BR9398" s="34"/>
      <c r="BV9398" s="34"/>
      <c r="BZ9398" s="34"/>
      <c r="CD9398" s="34"/>
    </row>
    <row r="9399" spans="70:82" x14ac:dyDescent="0.15">
      <c r="BR9399" s="34"/>
      <c r="BV9399" s="34"/>
      <c r="BZ9399" s="34"/>
      <c r="CD9399" s="34"/>
    </row>
    <row r="9400" spans="70:82" x14ac:dyDescent="0.15">
      <c r="BR9400" s="34"/>
      <c r="BV9400" s="34"/>
      <c r="BZ9400" s="34"/>
      <c r="CD9400" s="34"/>
    </row>
    <row r="9401" spans="70:82" x14ac:dyDescent="0.15">
      <c r="BR9401" s="34"/>
      <c r="BV9401" s="34"/>
      <c r="BZ9401" s="34"/>
      <c r="CD9401" s="34"/>
    </row>
    <row r="9402" spans="70:82" x14ac:dyDescent="0.15">
      <c r="BR9402" s="34"/>
      <c r="BV9402" s="34"/>
      <c r="BZ9402" s="34"/>
      <c r="CD9402" s="34"/>
    </row>
    <row r="9403" spans="70:82" x14ac:dyDescent="0.15">
      <c r="BR9403" s="34"/>
      <c r="BV9403" s="34"/>
      <c r="BZ9403" s="34"/>
      <c r="CD9403" s="34"/>
    </row>
    <row r="9404" spans="70:82" x14ac:dyDescent="0.15">
      <c r="BR9404" s="34"/>
      <c r="BV9404" s="34"/>
      <c r="BZ9404" s="34"/>
      <c r="CD9404" s="34"/>
    </row>
    <row r="9405" spans="70:82" x14ac:dyDescent="0.15">
      <c r="BR9405" s="34"/>
      <c r="BV9405" s="34"/>
      <c r="BZ9405" s="34"/>
      <c r="CD9405" s="34"/>
    </row>
    <row r="9406" spans="70:82" x14ac:dyDescent="0.15">
      <c r="BR9406" s="34"/>
      <c r="BV9406" s="34"/>
      <c r="BZ9406" s="34"/>
      <c r="CD9406" s="34"/>
    </row>
    <row r="9407" spans="70:82" x14ac:dyDescent="0.15">
      <c r="BR9407" s="34"/>
      <c r="BV9407" s="34"/>
      <c r="BZ9407" s="34"/>
      <c r="CD9407" s="34"/>
    </row>
    <row r="9408" spans="70:82" x14ac:dyDescent="0.15">
      <c r="BR9408" s="34"/>
      <c r="BV9408" s="34"/>
      <c r="BZ9408" s="34"/>
      <c r="CD9408" s="34"/>
    </row>
    <row r="9409" spans="70:82" x14ac:dyDescent="0.15">
      <c r="BR9409" s="34"/>
      <c r="BV9409" s="34"/>
      <c r="BZ9409" s="34"/>
      <c r="CD9409" s="34"/>
    </row>
    <row r="9410" spans="70:82" x14ac:dyDescent="0.15">
      <c r="BR9410" s="34"/>
      <c r="BV9410" s="34"/>
      <c r="BZ9410" s="34"/>
      <c r="CD9410" s="34"/>
    </row>
    <row r="9411" spans="70:82" x14ac:dyDescent="0.15">
      <c r="BR9411" s="34"/>
      <c r="BV9411" s="34"/>
      <c r="BZ9411" s="34"/>
      <c r="CD9411" s="34"/>
    </row>
    <row r="9412" spans="70:82" x14ac:dyDescent="0.15">
      <c r="BR9412" s="34"/>
      <c r="BV9412" s="34"/>
      <c r="BZ9412" s="34"/>
      <c r="CD9412" s="34"/>
    </row>
    <row r="9413" spans="70:82" x14ac:dyDescent="0.15">
      <c r="BR9413" s="34"/>
      <c r="BV9413" s="34"/>
      <c r="BZ9413" s="34"/>
      <c r="CD9413" s="34"/>
    </row>
    <row r="9414" spans="70:82" x14ac:dyDescent="0.15">
      <c r="BR9414" s="34"/>
      <c r="BV9414" s="34"/>
      <c r="BZ9414" s="34"/>
      <c r="CD9414" s="34"/>
    </row>
    <row r="9415" spans="70:82" x14ac:dyDescent="0.15">
      <c r="BR9415" s="34"/>
      <c r="BV9415" s="34"/>
      <c r="BZ9415" s="34"/>
      <c r="CD9415" s="34"/>
    </row>
    <row r="9416" spans="70:82" x14ac:dyDescent="0.15">
      <c r="BR9416" s="34"/>
      <c r="BV9416" s="34"/>
      <c r="BZ9416" s="34"/>
      <c r="CD9416" s="34"/>
    </row>
    <row r="9417" spans="70:82" x14ac:dyDescent="0.15">
      <c r="BR9417" s="34"/>
      <c r="BV9417" s="34"/>
      <c r="BZ9417" s="34"/>
      <c r="CD9417" s="34"/>
    </row>
    <row r="9418" spans="70:82" x14ac:dyDescent="0.15">
      <c r="BR9418" s="34"/>
      <c r="BV9418" s="34"/>
      <c r="BZ9418" s="34"/>
      <c r="CD9418" s="34"/>
    </row>
    <row r="9419" spans="70:82" x14ac:dyDescent="0.15">
      <c r="BR9419" s="34"/>
      <c r="BV9419" s="34"/>
      <c r="BZ9419" s="34"/>
      <c r="CD9419" s="34"/>
    </row>
    <row r="9420" spans="70:82" x14ac:dyDescent="0.15">
      <c r="BR9420" s="34"/>
      <c r="BV9420" s="34"/>
      <c r="BZ9420" s="34"/>
      <c r="CD9420" s="34"/>
    </row>
    <row r="9421" spans="70:82" x14ac:dyDescent="0.15">
      <c r="BR9421" s="34"/>
      <c r="BV9421" s="34"/>
      <c r="BZ9421" s="34"/>
      <c r="CD9421" s="34"/>
    </row>
    <row r="9422" spans="70:82" x14ac:dyDescent="0.15">
      <c r="BR9422" s="34"/>
      <c r="BV9422" s="34"/>
      <c r="BZ9422" s="34"/>
      <c r="CD9422" s="34"/>
    </row>
    <row r="9423" spans="70:82" x14ac:dyDescent="0.15">
      <c r="BR9423" s="34"/>
      <c r="BV9423" s="34"/>
      <c r="BZ9423" s="34"/>
      <c r="CD9423" s="34"/>
    </row>
    <row r="9424" spans="70:82" x14ac:dyDescent="0.15">
      <c r="BR9424" s="34"/>
      <c r="BV9424" s="34"/>
      <c r="BZ9424" s="34"/>
      <c r="CD9424" s="34"/>
    </row>
    <row r="9425" spans="70:82" x14ac:dyDescent="0.15">
      <c r="BR9425" s="34"/>
      <c r="BV9425" s="34"/>
      <c r="BZ9425" s="34"/>
      <c r="CD9425" s="34"/>
    </row>
    <row r="9426" spans="70:82" x14ac:dyDescent="0.15">
      <c r="BR9426" s="34"/>
      <c r="BV9426" s="34"/>
      <c r="BZ9426" s="34"/>
      <c r="CD9426" s="34"/>
    </row>
    <row r="9427" spans="70:82" x14ac:dyDescent="0.15">
      <c r="BR9427" s="34"/>
      <c r="BV9427" s="34"/>
      <c r="BZ9427" s="34"/>
      <c r="CD9427" s="34"/>
    </row>
    <row r="9428" spans="70:82" x14ac:dyDescent="0.15">
      <c r="BR9428" s="34"/>
      <c r="BV9428" s="34"/>
      <c r="BZ9428" s="34"/>
      <c r="CD9428" s="34"/>
    </row>
    <row r="9429" spans="70:82" x14ac:dyDescent="0.15">
      <c r="BR9429" s="34"/>
      <c r="BV9429" s="34"/>
      <c r="BZ9429" s="34"/>
      <c r="CD9429" s="34"/>
    </row>
    <row r="9430" spans="70:82" x14ac:dyDescent="0.15">
      <c r="BR9430" s="34"/>
      <c r="BV9430" s="34"/>
      <c r="BZ9430" s="34"/>
      <c r="CD9430" s="34"/>
    </row>
    <row r="9431" spans="70:82" x14ac:dyDescent="0.15">
      <c r="BR9431" s="34"/>
      <c r="BV9431" s="34"/>
      <c r="BZ9431" s="34"/>
      <c r="CD9431" s="34"/>
    </row>
    <row r="9432" spans="70:82" x14ac:dyDescent="0.15">
      <c r="BR9432" s="34"/>
      <c r="BV9432" s="34"/>
      <c r="BZ9432" s="34"/>
      <c r="CD9432" s="34"/>
    </row>
    <row r="9433" spans="70:82" x14ac:dyDescent="0.15">
      <c r="BR9433" s="34"/>
      <c r="BV9433" s="34"/>
      <c r="BZ9433" s="34"/>
      <c r="CD9433" s="34"/>
    </row>
    <row r="9434" spans="70:82" x14ac:dyDescent="0.15">
      <c r="BR9434" s="34"/>
      <c r="BV9434" s="34"/>
      <c r="BZ9434" s="34"/>
      <c r="CD9434" s="34"/>
    </row>
    <row r="9435" spans="70:82" x14ac:dyDescent="0.15">
      <c r="BR9435" s="34"/>
      <c r="BV9435" s="34"/>
      <c r="BZ9435" s="34"/>
      <c r="CD9435" s="34"/>
    </row>
    <row r="9436" spans="70:82" x14ac:dyDescent="0.15">
      <c r="BR9436" s="34"/>
      <c r="BV9436" s="34"/>
      <c r="BZ9436" s="34"/>
      <c r="CD9436" s="34"/>
    </row>
    <row r="9437" spans="70:82" x14ac:dyDescent="0.15">
      <c r="BR9437" s="34"/>
      <c r="BV9437" s="34"/>
      <c r="BZ9437" s="34"/>
      <c r="CD9437" s="34"/>
    </row>
    <row r="9438" spans="70:82" x14ac:dyDescent="0.15">
      <c r="BR9438" s="34"/>
      <c r="BV9438" s="34"/>
      <c r="BZ9438" s="34"/>
      <c r="CD9438" s="34"/>
    </row>
    <row r="9439" spans="70:82" x14ac:dyDescent="0.15">
      <c r="BR9439" s="34"/>
      <c r="BV9439" s="34"/>
      <c r="BZ9439" s="34"/>
      <c r="CD9439" s="34"/>
    </row>
    <row r="9440" spans="70:82" x14ac:dyDescent="0.15">
      <c r="BR9440" s="34"/>
      <c r="BV9440" s="34"/>
      <c r="BZ9440" s="34"/>
      <c r="CD9440" s="34"/>
    </row>
    <row r="9441" spans="70:82" x14ac:dyDescent="0.15">
      <c r="BR9441" s="34"/>
      <c r="BV9441" s="34"/>
      <c r="BZ9441" s="34"/>
      <c r="CD9441" s="34"/>
    </row>
    <row r="9442" spans="70:82" x14ac:dyDescent="0.15">
      <c r="BR9442" s="34"/>
      <c r="BV9442" s="34"/>
      <c r="BZ9442" s="34"/>
      <c r="CD9442" s="34"/>
    </row>
    <row r="9443" spans="70:82" x14ac:dyDescent="0.15">
      <c r="BR9443" s="34"/>
      <c r="BV9443" s="34"/>
      <c r="BZ9443" s="34"/>
      <c r="CD9443" s="34"/>
    </row>
    <row r="9444" spans="70:82" x14ac:dyDescent="0.15">
      <c r="BR9444" s="34"/>
      <c r="BV9444" s="34"/>
      <c r="BZ9444" s="34"/>
      <c r="CD9444" s="34"/>
    </row>
    <row r="9445" spans="70:82" x14ac:dyDescent="0.15">
      <c r="BR9445" s="34"/>
      <c r="BV9445" s="34"/>
      <c r="BZ9445" s="34"/>
      <c r="CD9445" s="34"/>
    </row>
    <row r="9446" spans="70:82" x14ac:dyDescent="0.15">
      <c r="BR9446" s="34"/>
      <c r="BV9446" s="34"/>
      <c r="BZ9446" s="34"/>
      <c r="CD9446" s="34"/>
    </row>
    <row r="9447" spans="70:82" x14ac:dyDescent="0.15">
      <c r="BR9447" s="34"/>
      <c r="BV9447" s="34"/>
      <c r="BZ9447" s="34"/>
      <c r="CD9447" s="34"/>
    </row>
    <row r="9448" spans="70:82" x14ac:dyDescent="0.15">
      <c r="BR9448" s="34"/>
      <c r="BV9448" s="34"/>
      <c r="BZ9448" s="34"/>
      <c r="CD9448" s="34"/>
    </row>
    <row r="9449" spans="70:82" x14ac:dyDescent="0.15">
      <c r="BR9449" s="34"/>
      <c r="BV9449" s="34"/>
      <c r="BZ9449" s="34"/>
      <c r="CD9449" s="34"/>
    </row>
    <row r="9450" spans="70:82" x14ac:dyDescent="0.15">
      <c r="BR9450" s="34"/>
      <c r="BV9450" s="34"/>
      <c r="BZ9450" s="34"/>
      <c r="CD9450" s="34"/>
    </row>
    <row r="9451" spans="70:82" x14ac:dyDescent="0.15">
      <c r="BR9451" s="34"/>
      <c r="BV9451" s="34"/>
      <c r="BZ9451" s="34"/>
      <c r="CD9451" s="34"/>
    </row>
    <row r="9452" spans="70:82" x14ac:dyDescent="0.15">
      <c r="BR9452" s="34"/>
      <c r="BV9452" s="34"/>
      <c r="BZ9452" s="34"/>
      <c r="CD9452" s="34"/>
    </row>
    <row r="9453" spans="70:82" x14ac:dyDescent="0.15">
      <c r="BR9453" s="34"/>
      <c r="BV9453" s="34"/>
      <c r="BZ9453" s="34"/>
      <c r="CD9453" s="34"/>
    </row>
    <row r="9454" spans="70:82" x14ac:dyDescent="0.15">
      <c r="BR9454" s="34"/>
      <c r="BV9454" s="34"/>
      <c r="BZ9454" s="34"/>
      <c r="CD9454" s="34"/>
    </row>
    <row r="9455" spans="70:82" x14ac:dyDescent="0.15">
      <c r="BR9455" s="34"/>
      <c r="BV9455" s="34"/>
      <c r="BZ9455" s="34"/>
      <c r="CD9455" s="34"/>
    </row>
    <row r="9456" spans="70:82" x14ac:dyDescent="0.15">
      <c r="BR9456" s="34"/>
      <c r="BV9456" s="34"/>
      <c r="BZ9456" s="34"/>
      <c r="CD9456" s="34"/>
    </row>
    <row r="9457" spans="70:82" x14ac:dyDescent="0.15">
      <c r="BR9457" s="34"/>
      <c r="BV9457" s="34"/>
      <c r="BZ9457" s="34"/>
      <c r="CD9457" s="34"/>
    </row>
    <row r="9458" spans="70:82" x14ac:dyDescent="0.15">
      <c r="BR9458" s="34"/>
      <c r="BV9458" s="34"/>
      <c r="BZ9458" s="34"/>
      <c r="CD9458" s="34"/>
    </row>
    <row r="9459" spans="70:82" x14ac:dyDescent="0.15">
      <c r="BR9459" s="34"/>
      <c r="BV9459" s="34"/>
      <c r="BZ9459" s="34"/>
      <c r="CD9459" s="34"/>
    </row>
    <row r="9460" spans="70:82" x14ac:dyDescent="0.15">
      <c r="BR9460" s="34"/>
      <c r="BV9460" s="34"/>
      <c r="BZ9460" s="34"/>
      <c r="CD9460" s="34"/>
    </row>
    <row r="9461" spans="70:82" x14ac:dyDescent="0.15">
      <c r="BR9461" s="34"/>
      <c r="BV9461" s="34"/>
      <c r="BZ9461" s="34"/>
      <c r="CD9461" s="34"/>
    </row>
    <row r="9462" spans="70:82" x14ac:dyDescent="0.15">
      <c r="BR9462" s="34"/>
      <c r="BV9462" s="34"/>
      <c r="BZ9462" s="34"/>
      <c r="CD9462" s="34"/>
    </row>
    <row r="9463" spans="70:82" x14ac:dyDescent="0.15">
      <c r="BR9463" s="34"/>
      <c r="BV9463" s="34"/>
      <c r="BZ9463" s="34"/>
      <c r="CD9463" s="34"/>
    </row>
    <row r="9464" spans="70:82" x14ac:dyDescent="0.15">
      <c r="BR9464" s="34"/>
      <c r="BV9464" s="34"/>
      <c r="BZ9464" s="34"/>
      <c r="CD9464" s="34"/>
    </row>
    <row r="9465" spans="70:82" x14ac:dyDescent="0.15">
      <c r="BR9465" s="34"/>
      <c r="BV9465" s="34"/>
      <c r="BZ9465" s="34"/>
      <c r="CD9465" s="34"/>
    </row>
    <row r="9466" spans="70:82" x14ac:dyDescent="0.15">
      <c r="BR9466" s="34"/>
      <c r="BV9466" s="34"/>
      <c r="BZ9466" s="34"/>
      <c r="CD9466" s="34"/>
    </row>
    <row r="9467" spans="70:82" x14ac:dyDescent="0.15">
      <c r="BR9467" s="34"/>
      <c r="BV9467" s="34"/>
      <c r="BZ9467" s="34"/>
      <c r="CD9467" s="34"/>
    </row>
    <row r="9468" spans="70:82" x14ac:dyDescent="0.15">
      <c r="BR9468" s="34"/>
      <c r="BV9468" s="34"/>
      <c r="BZ9468" s="34"/>
      <c r="CD9468" s="34"/>
    </row>
    <row r="9469" spans="70:82" x14ac:dyDescent="0.15">
      <c r="BR9469" s="34"/>
      <c r="BV9469" s="34"/>
      <c r="BZ9469" s="34"/>
      <c r="CD9469" s="34"/>
    </row>
    <row r="9470" spans="70:82" x14ac:dyDescent="0.15">
      <c r="BR9470" s="34"/>
      <c r="BV9470" s="34"/>
      <c r="BZ9470" s="34"/>
      <c r="CD9470" s="34"/>
    </row>
    <row r="9471" spans="70:82" x14ac:dyDescent="0.15">
      <c r="BR9471" s="34"/>
      <c r="BV9471" s="34"/>
      <c r="BZ9471" s="34"/>
      <c r="CD9471" s="34"/>
    </row>
    <row r="9472" spans="70:82" x14ac:dyDescent="0.15">
      <c r="BR9472" s="34"/>
      <c r="BV9472" s="34"/>
      <c r="BZ9472" s="34"/>
      <c r="CD9472" s="34"/>
    </row>
    <row r="9473" spans="70:82" x14ac:dyDescent="0.15">
      <c r="BR9473" s="34"/>
      <c r="BV9473" s="34"/>
      <c r="BZ9473" s="34"/>
      <c r="CD9473" s="34"/>
    </row>
    <row r="9474" spans="70:82" x14ac:dyDescent="0.15">
      <c r="BR9474" s="34"/>
      <c r="BV9474" s="34"/>
      <c r="BZ9474" s="34"/>
      <c r="CD9474" s="34"/>
    </row>
    <row r="9475" spans="70:82" x14ac:dyDescent="0.15">
      <c r="BR9475" s="34"/>
      <c r="BV9475" s="34"/>
      <c r="BZ9475" s="34"/>
      <c r="CD9475" s="34"/>
    </row>
    <row r="9476" spans="70:82" x14ac:dyDescent="0.15">
      <c r="BR9476" s="34"/>
      <c r="BV9476" s="34"/>
      <c r="BZ9476" s="34"/>
      <c r="CD9476" s="34"/>
    </row>
    <row r="9477" spans="70:82" x14ac:dyDescent="0.15">
      <c r="BR9477" s="34"/>
      <c r="BV9477" s="34"/>
      <c r="BZ9477" s="34"/>
      <c r="CD9477" s="34"/>
    </row>
    <row r="9478" spans="70:82" x14ac:dyDescent="0.15">
      <c r="BR9478" s="34"/>
      <c r="BV9478" s="34"/>
      <c r="BZ9478" s="34"/>
      <c r="CD9478" s="34"/>
    </row>
    <row r="9479" spans="70:82" x14ac:dyDescent="0.15">
      <c r="BR9479" s="34"/>
      <c r="BV9479" s="34"/>
      <c r="BZ9479" s="34"/>
      <c r="CD9479" s="34"/>
    </row>
    <row r="9480" spans="70:82" x14ac:dyDescent="0.15">
      <c r="BR9480" s="34"/>
      <c r="BV9480" s="34"/>
      <c r="BZ9480" s="34"/>
      <c r="CD9480" s="34"/>
    </row>
    <row r="9481" spans="70:82" x14ac:dyDescent="0.15">
      <c r="BR9481" s="34"/>
      <c r="BV9481" s="34"/>
      <c r="BZ9481" s="34"/>
      <c r="CD9481" s="34"/>
    </row>
    <row r="9482" spans="70:82" x14ac:dyDescent="0.15">
      <c r="BR9482" s="34"/>
      <c r="BV9482" s="34"/>
      <c r="BZ9482" s="34"/>
      <c r="CD9482" s="34"/>
    </row>
    <row r="9483" spans="70:82" x14ac:dyDescent="0.15">
      <c r="BR9483" s="34"/>
      <c r="BV9483" s="34"/>
      <c r="BZ9483" s="34"/>
      <c r="CD9483" s="34"/>
    </row>
    <row r="9484" spans="70:82" x14ac:dyDescent="0.15">
      <c r="BR9484" s="34"/>
      <c r="BV9484" s="34"/>
      <c r="BZ9484" s="34"/>
      <c r="CD9484" s="34"/>
    </row>
    <row r="9485" spans="70:82" x14ac:dyDescent="0.15">
      <c r="BR9485" s="34"/>
      <c r="BV9485" s="34"/>
      <c r="BZ9485" s="34"/>
      <c r="CD9485" s="34"/>
    </row>
    <row r="9486" spans="70:82" x14ac:dyDescent="0.15">
      <c r="BR9486" s="34"/>
      <c r="BV9486" s="34"/>
      <c r="BZ9486" s="34"/>
      <c r="CD9486" s="34"/>
    </row>
    <row r="9487" spans="70:82" x14ac:dyDescent="0.15">
      <c r="BR9487" s="34"/>
      <c r="BV9487" s="34"/>
      <c r="BZ9487" s="34"/>
      <c r="CD9487" s="34"/>
    </row>
    <row r="9488" spans="70:82" x14ac:dyDescent="0.15">
      <c r="BR9488" s="34"/>
      <c r="BV9488" s="34"/>
      <c r="BZ9488" s="34"/>
      <c r="CD9488" s="34"/>
    </row>
    <row r="9489" spans="70:82" x14ac:dyDescent="0.15">
      <c r="BR9489" s="34"/>
      <c r="BV9489" s="34"/>
      <c r="BZ9489" s="34"/>
      <c r="CD9489" s="34"/>
    </row>
    <row r="9490" spans="70:82" x14ac:dyDescent="0.15">
      <c r="BR9490" s="34"/>
      <c r="BV9490" s="34"/>
      <c r="BZ9490" s="34"/>
      <c r="CD9490" s="34"/>
    </row>
    <row r="9491" spans="70:82" x14ac:dyDescent="0.15">
      <c r="BR9491" s="34"/>
      <c r="BV9491" s="34"/>
      <c r="BZ9491" s="34"/>
      <c r="CD9491" s="34"/>
    </row>
    <row r="9492" spans="70:82" x14ac:dyDescent="0.15">
      <c r="BR9492" s="34"/>
      <c r="BV9492" s="34"/>
      <c r="BZ9492" s="34"/>
      <c r="CD9492" s="34"/>
    </row>
    <row r="9493" spans="70:82" x14ac:dyDescent="0.15">
      <c r="BR9493" s="34"/>
      <c r="BV9493" s="34"/>
      <c r="BZ9493" s="34"/>
      <c r="CD9493" s="34"/>
    </row>
    <row r="9494" spans="70:82" x14ac:dyDescent="0.15">
      <c r="BR9494" s="34"/>
      <c r="BV9494" s="34"/>
      <c r="BZ9494" s="34"/>
      <c r="CD9494" s="34"/>
    </row>
    <row r="9495" spans="70:82" x14ac:dyDescent="0.15">
      <c r="BR9495" s="34"/>
      <c r="BV9495" s="34"/>
      <c r="BZ9495" s="34"/>
      <c r="CD9495" s="34"/>
    </row>
    <row r="9496" spans="70:82" x14ac:dyDescent="0.15">
      <c r="BR9496" s="34"/>
      <c r="BV9496" s="34"/>
      <c r="BZ9496" s="34"/>
      <c r="CD9496" s="34"/>
    </row>
    <row r="9497" spans="70:82" x14ac:dyDescent="0.15">
      <c r="BR9497" s="34"/>
      <c r="BV9497" s="34"/>
      <c r="BZ9497" s="34"/>
      <c r="CD9497" s="34"/>
    </row>
    <row r="9498" spans="70:82" x14ac:dyDescent="0.15">
      <c r="BR9498" s="34"/>
      <c r="BV9498" s="34"/>
      <c r="BZ9498" s="34"/>
      <c r="CD9498" s="34"/>
    </row>
    <row r="9499" spans="70:82" x14ac:dyDescent="0.15">
      <c r="BR9499" s="34"/>
      <c r="BV9499" s="34"/>
      <c r="BZ9499" s="34"/>
      <c r="CD9499" s="34"/>
    </row>
    <row r="9500" spans="70:82" x14ac:dyDescent="0.15">
      <c r="BR9500" s="34"/>
      <c r="BV9500" s="34"/>
      <c r="BZ9500" s="34"/>
      <c r="CD9500" s="34"/>
    </row>
    <row r="9501" spans="70:82" x14ac:dyDescent="0.15">
      <c r="BR9501" s="34"/>
      <c r="BV9501" s="34"/>
      <c r="BZ9501" s="34"/>
      <c r="CD9501" s="34"/>
    </row>
    <row r="9502" spans="70:82" x14ac:dyDescent="0.15">
      <c r="BR9502" s="34"/>
      <c r="BV9502" s="34"/>
      <c r="BZ9502" s="34"/>
      <c r="CD9502" s="34"/>
    </row>
    <row r="9503" spans="70:82" x14ac:dyDescent="0.15">
      <c r="BR9503" s="34"/>
      <c r="BV9503" s="34"/>
      <c r="BZ9503" s="34"/>
      <c r="CD9503" s="34"/>
    </row>
    <row r="9504" spans="70:82" x14ac:dyDescent="0.15">
      <c r="BR9504" s="34"/>
      <c r="BV9504" s="34"/>
      <c r="BZ9504" s="34"/>
      <c r="CD9504" s="34"/>
    </row>
    <row r="9505" spans="70:82" x14ac:dyDescent="0.15">
      <c r="BR9505" s="34"/>
      <c r="BV9505" s="34"/>
      <c r="BZ9505" s="34"/>
      <c r="CD9505" s="34"/>
    </row>
    <row r="9506" spans="70:82" x14ac:dyDescent="0.15">
      <c r="BR9506" s="34"/>
      <c r="BV9506" s="34"/>
      <c r="BZ9506" s="34"/>
      <c r="CD9506" s="34"/>
    </row>
    <row r="9507" spans="70:82" x14ac:dyDescent="0.15">
      <c r="BR9507" s="34"/>
      <c r="BV9507" s="34"/>
      <c r="BZ9507" s="34"/>
      <c r="CD9507" s="34"/>
    </row>
    <row r="9508" spans="70:82" x14ac:dyDescent="0.15">
      <c r="BR9508" s="34"/>
      <c r="BV9508" s="34"/>
      <c r="BZ9508" s="34"/>
      <c r="CD9508" s="34"/>
    </row>
    <row r="9509" spans="70:82" x14ac:dyDescent="0.15">
      <c r="BR9509" s="34"/>
      <c r="BV9509" s="34"/>
      <c r="BZ9509" s="34"/>
      <c r="CD9509" s="34"/>
    </row>
    <row r="9510" spans="70:82" x14ac:dyDescent="0.15">
      <c r="BR9510" s="34"/>
      <c r="BV9510" s="34"/>
      <c r="BZ9510" s="34"/>
      <c r="CD9510" s="34"/>
    </row>
    <row r="9511" spans="70:82" x14ac:dyDescent="0.15">
      <c r="BR9511" s="34"/>
      <c r="BV9511" s="34"/>
      <c r="BZ9511" s="34"/>
      <c r="CD9511" s="34"/>
    </row>
    <row r="9512" spans="70:82" x14ac:dyDescent="0.15">
      <c r="BR9512" s="34"/>
      <c r="BV9512" s="34"/>
      <c r="BZ9512" s="34"/>
      <c r="CD9512" s="34"/>
    </row>
    <row r="9513" spans="70:82" x14ac:dyDescent="0.15">
      <c r="BR9513" s="34"/>
      <c r="BV9513" s="34"/>
      <c r="BZ9513" s="34"/>
      <c r="CD9513" s="34"/>
    </row>
    <row r="9514" spans="70:82" x14ac:dyDescent="0.15">
      <c r="BR9514" s="34"/>
      <c r="BV9514" s="34"/>
      <c r="BZ9514" s="34"/>
      <c r="CD9514" s="34"/>
    </row>
    <row r="9515" spans="70:82" x14ac:dyDescent="0.15">
      <c r="BR9515" s="34"/>
      <c r="BV9515" s="34"/>
      <c r="BZ9515" s="34"/>
      <c r="CD9515" s="34"/>
    </row>
    <row r="9516" spans="70:82" x14ac:dyDescent="0.15">
      <c r="BR9516" s="34"/>
      <c r="BV9516" s="34"/>
      <c r="BZ9516" s="34"/>
      <c r="CD9516" s="34"/>
    </row>
    <row r="9517" spans="70:82" x14ac:dyDescent="0.15">
      <c r="BR9517" s="34"/>
      <c r="BV9517" s="34"/>
      <c r="BZ9517" s="34"/>
      <c r="CD9517" s="34"/>
    </row>
    <row r="9518" spans="70:82" x14ac:dyDescent="0.15">
      <c r="BR9518" s="34"/>
      <c r="BV9518" s="34"/>
      <c r="BZ9518" s="34"/>
      <c r="CD9518" s="34"/>
    </row>
    <row r="9519" spans="70:82" x14ac:dyDescent="0.15">
      <c r="BR9519" s="34"/>
      <c r="BV9519" s="34"/>
      <c r="BZ9519" s="34"/>
      <c r="CD9519" s="34"/>
    </row>
    <row r="9520" spans="70:82" x14ac:dyDescent="0.15">
      <c r="BR9520" s="34"/>
      <c r="BV9520" s="34"/>
      <c r="BZ9520" s="34"/>
      <c r="CD9520" s="34"/>
    </row>
    <row r="9521" spans="70:82" x14ac:dyDescent="0.15">
      <c r="BR9521" s="34"/>
      <c r="BV9521" s="34"/>
      <c r="BZ9521" s="34"/>
      <c r="CD9521" s="34"/>
    </row>
    <row r="9522" spans="70:82" x14ac:dyDescent="0.15">
      <c r="BR9522" s="34"/>
      <c r="BV9522" s="34"/>
      <c r="BZ9522" s="34"/>
      <c r="CD9522" s="34"/>
    </row>
    <row r="9523" spans="70:82" x14ac:dyDescent="0.15">
      <c r="BR9523" s="34"/>
      <c r="BV9523" s="34"/>
      <c r="BZ9523" s="34"/>
      <c r="CD9523" s="34"/>
    </row>
    <row r="9524" spans="70:82" x14ac:dyDescent="0.15">
      <c r="BR9524" s="34"/>
      <c r="BV9524" s="34"/>
      <c r="BZ9524" s="34"/>
      <c r="CD9524" s="34"/>
    </row>
    <row r="9525" spans="70:82" x14ac:dyDescent="0.15">
      <c r="BR9525" s="34"/>
      <c r="BV9525" s="34"/>
      <c r="BZ9525" s="34"/>
      <c r="CD9525" s="34"/>
    </row>
    <row r="9526" spans="70:82" x14ac:dyDescent="0.15">
      <c r="BR9526" s="34"/>
      <c r="BV9526" s="34"/>
      <c r="BZ9526" s="34"/>
      <c r="CD9526" s="34"/>
    </row>
    <row r="9527" spans="70:82" x14ac:dyDescent="0.15">
      <c r="BR9527" s="34"/>
      <c r="BV9527" s="34"/>
      <c r="BZ9527" s="34"/>
      <c r="CD9527" s="34"/>
    </row>
    <row r="9528" spans="70:82" x14ac:dyDescent="0.15">
      <c r="BR9528" s="34"/>
      <c r="BV9528" s="34"/>
      <c r="BZ9528" s="34"/>
      <c r="CD9528" s="34"/>
    </row>
    <row r="9529" spans="70:82" x14ac:dyDescent="0.15">
      <c r="BR9529" s="34"/>
      <c r="BV9529" s="34"/>
      <c r="BZ9529" s="34"/>
      <c r="CD9529" s="34"/>
    </row>
    <row r="9530" spans="70:82" x14ac:dyDescent="0.15">
      <c r="BR9530" s="34"/>
      <c r="BV9530" s="34"/>
      <c r="BZ9530" s="34"/>
      <c r="CD9530" s="34"/>
    </row>
    <row r="9531" spans="70:82" x14ac:dyDescent="0.15">
      <c r="BR9531" s="34"/>
      <c r="BV9531" s="34"/>
      <c r="BZ9531" s="34"/>
      <c r="CD9531" s="34"/>
    </row>
    <row r="9532" spans="70:82" x14ac:dyDescent="0.15">
      <c r="BR9532" s="34"/>
      <c r="BV9532" s="34"/>
      <c r="BZ9532" s="34"/>
      <c r="CD9532" s="34"/>
    </row>
    <row r="9533" spans="70:82" x14ac:dyDescent="0.15">
      <c r="BR9533" s="34"/>
      <c r="BV9533" s="34"/>
      <c r="BZ9533" s="34"/>
      <c r="CD9533" s="34"/>
    </row>
    <row r="9534" spans="70:82" x14ac:dyDescent="0.15">
      <c r="BR9534" s="34"/>
      <c r="BV9534" s="34"/>
      <c r="BZ9534" s="34"/>
      <c r="CD9534" s="34"/>
    </row>
    <row r="9535" spans="70:82" x14ac:dyDescent="0.15">
      <c r="BR9535" s="34"/>
      <c r="BV9535" s="34"/>
      <c r="BZ9535" s="34"/>
      <c r="CD9535" s="34"/>
    </row>
    <row r="9536" spans="70:82" x14ac:dyDescent="0.15">
      <c r="BR9536" s="34"/>
      <c r="BV9536" s="34"/>
      <c r="BZ9536" s="34"/>
      <c r="CD9536" s="34"/>
    </row>
    <row r="9537" spans="70:82" x14ac:dyDescent="0.15">
      <c r="BR9537" s="34"/>
      <c r="BV9537" s="34"/>
      <c r="BZ9537" s="34"/>
      <c r="CD9537" s="34"/>
    </row>
    <row r="9538" spans="70:82" x14ac:dyDescent="0.15">
      <c r="BR9538" s="34"/>
      <c r="BV9538" s="34"/>
      <c r="BZ9538" s="34"/>
      <c r="CD9538" s="34"/>
    </row>
    <row r="9539" spans="70:82" x14ac:dyDescent="0.15">
      <c r="BR9539" s="34"/>
      <c r="BV9539" s="34"/>
      <c r="BZ9539" s="34"/>
      <c r="CD9539" s="34"/>
    </row>
    <row r="9540" spans="70:82" x14ac:dyDescent="0.15">
      <c r="BR9540" s="34"/>
      <c r="BV9540" s="34"/>
      <c r="BZ9540" s="34"/>
      <c r="CD9540" s="34"/>
    </row>
    <row r="9541" spans="70:82" x14ac:dyDescent="0.15">
      <c r="BR9541" s="34"/>
      <c r="BV9541" s="34"/>
      <c r="BZ9541" s="34"/>
      <c r="CD9541" s="34"/>
    </row>
    <row r="9542" spans="70:82" x14ac:dyDescent="0.15">
      <c r="BR9542" s="34"/>
      <c r="BV9542" s="34"/>
      <c r="BZ9542" s="34"/>
      <c r="CD9542" s="34"/>
    </row>
    <row r="9543" spans="70:82" x14ac:dyDescent="0.15">
      <c r="BR9543" s="34"/>
      <c r="BV9543" s="34"/>
      <c r="BZ9543" s="34"/>
      <c r="CD9543" s="34"/>
    </row>
    <row r="9544" spans="70:82" x14ac:dyDescent="0.15">
      <c r="BR9544" s="34"/>
      <c r="BV9544" s="34"/>
      <c r="BZ9544" s="34"/>
      <c r="CD9544" s="34"/>
    </row>
    <row r="9545" spans="70:82" x14ac:dyDescent="0.15">
      <c r="BR9545" s="34"/>
      <c r="BV9545" s="34"/>
      <c r="BZ9545" s="34"/>
      <c r="CD9545" s="34"/>
    </row>
    <row r="9546" spans="70:82" x14ac:dyDescent="0.15">
      <c r="BR9546" s="34"/>
      <c r="BV9546" s="34"/>
      <c r="BZ9546" s="34"/>
      <c r="CD9546" s="34"/>
    </row>
    <row r="9547" spans="70:82" x14ac:dyDescent="0.15">
      <c r="BR9547" s="34"/>
      <c r="BV9547" s="34"/>
      <c r="BZ9547" s="34"/>
      <c r="CD9547" s="34"/>
    </row>
    <row r="9548" spans="70:82" x14ac:dyDescent="0.15">
      <c r="BR9548" s="34"/>
      <c r="BV9548" s="34"/>
      <c r="BZ9548" s="34"/>
      <c r="CD9548" s="34"/>
    </row>
    <row r="9549" spans="70:82" x14ac:dyDescent="0.15">
      <c r="BR9549" s="34"/>
      <c r="BV9549" s="34"/>
      <c r="BZ9549" s="34"/>
      <c r="CD9549" s="34"/>
    </row>
    <row r="9550" spans="70:82" x14ac:dyDescent="0.15">
      <c r="BR9550" s="34"/>
      <c r="BV9550" s="34"/>
      <c r="BZ9550" s="34"/>
      <c r="CD9550" s="34"/>
    </row>
    <row r="9551" spans="70:82" x14ac:dyDescent="0.15">
      <c r="BR9551" s="34"/>
      <c r="BV9551" s="34"/>
      <c r="BZ9551" s="34"/>
      <c r="CD9551" s="34"/>
    </row>
    <row r="9552" spans="70:82" x14ac:dyDescent="0.15">
      <c r="BR9552" s="34"/>
      <c r="BV9552" s="34"/>
      <c r="BZ9552" s="34"/>
      <c r="CD9552" s="34"/>
    </row>
    <row r="9553" spans="70:82" x14ac:dyDescent="0.15">
      <c r="BR9553" s="34"/>
      <c r="BV9553" s="34"/>
      <c r="BZ9553" s="34"/>
      <c r="CD9553" s="34"/>
    </row>
    <row r="9554" spans="70:82" x14ac:dyDescent="0.15">
      <c r="BR9554" s="34"/>
      <c r="BV9554" s="34"/>
      <c r="BZ9554" s="34"/>
      <c r="CD9554" s="34"/>
    </row>
    <row r="9555" spans="70:82" x14ac:dyDescent="0.15">
      <c r="BR9555" s="34"/>
      <c r="BV9555" s="34"/>
      <c r="BZ9555" s="34"/>
      <c r="CD9555" s="34"/>
    </row>
    <row r="9556" spans="70:82" x14ac:dyDescent="0.15">
      <c r="BR9556" s="34"/>
      <c r="BV9556" s="34"/>
      <c r="BZ9556" s="34"/>
      <c r="CD9556" s="34"/>
    </row>
    <row r="9557" spans="70:82" x14ac:dyDescent="0.15">
      <c r="BR9557" s="34"/>
      <c r="BV9557" s="34"/>
      <c r="BZ9557" s="34"/>
      <c r="CD9557" s="34"/>
    </row>
    <row r="9558" spans="70:82" x14ac:dyDescent="0.15">
      <c r="BR9558" s="34"/>
      <c r="BV9558" s="34"/>
      <c r="BZ9558" s="34"/>
      <c r="CD9558" s="34"/>
    </row>
    <row r="9559" spans="70:82" x14ac:dyDescent="0.15">
      <c r="BR9559" s="34"/>
      <c r="BV9559" s="34"/>
      <c r="BZ9559" s="34"/>
      <c r="CD9559" s="34"/>
    </row>
    <row r="9560" spans="70:82" x14ac:dyDescent="0.15">
      <c r="BR9560" s="34"/>
      <c r="BV9560" s="34"/>
      <c r="BZ9560" s="34"/>
      <c r="CD9560" s="34"/>
    </row>
    <row r="9561" spans="70:82" x14ac:dyDescent="0.15">
      <c r="BR9561" s="34"/>
      <c r="BV9561" s="34"/>
      <c r="BZ9561" s="34"/>
      <c r="CD9561" s="34"/>
    </row>
    <row r="9562" spans="70:82" x14ac:dyDescent="0.15">
      <c r="BR9562" s="34"/>
      <c r="BV9562" s="34"/>
      <c r="BZ9562" s="34"/>
      <c r="CD9562" s="34"/>
    </row>
    <row r="9563" spans="70:82" x14ac:dyDescent="0.15">
      <c r="BR9563" s="34"/>
      <c r="BV9563" s="34"/>
      <c r="BZ9563" s="34"/>
      <c r="CD9563" s="34"/>
    </row>
    <row r="9564" spans="70:82" x14ac:dyDescent="0.15">
      <c r="BR9564" s="34"/>
      <c r="BV9564" s="34"/>
      <c r="BZ9564" s="34"/>
      <c r="CD9564" s="34"/>
    </row>
    <row r="9565" spans="70:82" x14ac:dyDescent="0.15">
      <c r="BR9565" s="34"/>
      <c r="BV9565" s="34"/>
      <c r="BZ9565" s="34"/>
      <c r="CD9565" s="34"/>
    </row>
    <row r="9566" spans="70:82" x14ac:dyDescent="0.15">
      <c r="BR9566" s="34"/>
      <c r="BV9566" s="34"/>
      <c r="BZ9566" s="34"/>
      <c r="CD9566" s="34"/>
    </row>
    <row r="9567" spans="70:82" x14ac:dyDescent="0.15">
      <c r="BR9567" s="34"/>
      <c r="BV9567" s="34"/>
      <c r="BZ9567" s="34"/>
      <c r="CD9567" s="34"/>
    </row>
    <row r="9568" spans="70:82" x14ac:dyDescent="0.15">
      <c r="BR9568" s="34"/>
      <c r="BV9568" s="34"/>
      <c r="BZ9568" s="34"/>
      <c r="CD9568" s="34"/>
    </row>
    <row r="9569" spans="70:82" x14ac:dyDescent="0.15">
      <c r="BR9569" s="34"/>
      <c r="BV9569" s="34"/>
      <c r="BZ9569" s="34"/>
      <c r="CD9569" s="34"/>
    </row>
    <row r="9570" spans="70:82" x14ac:dyDescent="0.15">
      <c r="BR9570" s="34"/>
      <c r="BV9570" s="34"/>
      <c r="BZ9570" s="34"/>
      <c r="CD9570" s="34"/>
    </row>
    <row r="9571" spans="70:82" x14ac:dyDescent="0.15">
      <c r="BR9571" s="34"/>
      <c r="BV9571" s="34"/>
      <c r="BZ9571" s="34"/>
      <c r="CD9571" s="34"/>
    </row>
    <row r="9572" spans="70:82" x14ac:dyDescent="0.15">
      <c r="BR9572" s="34"/>
      <c r="BV9572" s="34"/>
      <c r="BZ9572" s="34"/>
      <c r="CD9572" s="34"/>
    </row>
    <row r="9573" spans="70:82" x14ac:dyDescent="0.15">
      <c r="BR9573" s="34"/>
      <c r="BV9573" s="34"/>
      <c r="BZ9573" s="34"/>
      <c r="CD9573" s="34"/>
    </row>
    <row r="9574" spans="70:82" x14ac:dyDescent="0.15">
      <c r="BR9574" s="34"/>
      <c r="BV9574" s="34"/>
      <c r="BZ9574" s="34"/>
      <c r="CD9574" s="34"/>
    </row>
    <row r="9575" spans="70:82" x14ac:dyDescent="0.15">
      <c r="BR9575" s="34"/>
      <c r="BV9575" s="34"/>
      <c r="BZ9575" s="34"/>
      <c r="CD9575" s="34"/>
    </row>
    <row r="9576" spans="70:82" x14ac:dyDescent="0.15">
      <c r="BR9576" s="34"/>
      <c r="BV9576" s="34"/>
      <c r="BZ9576" s="34"/>
      <c r="CD9576" s="34"/>
    </row>
    <row r="9577" spans="70:82" x14ac:dyDescent="0.15">
      <c r="BR9577" s="34"/>
      <c r="BV9577" s="34"/>
      <c r="BZ9577" s="34"/>
      <c r="CD9577" s="34"/>
    </row>
    <row r="9578" spans="70:82" x14ac:dyDescent="0.15">
      <c r="BR9578" s="34"/>
      <c r="BV9578" s="34"/>
      <c r="BZ9578" s="34"/>
      <c r="CD9578" s="34"/>
    </row>
    <row r="9579" spans="70:82" x14ac:dyDescent="0.15">
      <c r="BR9579" s="34"/>
      <c r="BV9579" s="34"/>
      <c r="BZ9579" s="34"/>
      <c r="CD9579" s="34"/>
    </row>
    <row r="9580" spans="70:82" x14ac:dyDescent="0.15">
      <c r="BR9580" s="34"/>
      <c r="BV9580" s="34"/>
      <c r="BZ9580" s="34"/>
      <c r="CD9580" s="34"/>
    </row>
    <row r="9581" spans="70:82" x14ac:dyDescent="0.15">
      <c r="BR9581" s="34"/>
      <c r="BV9581" s="34"/>
      <c r="BZ9581" s="34"/>
      <c r="CD9581" s="34"/>
    </row>
    <row r="9582" spans="70:82" x14ac:dyDescent="0.15">
      <c r="BR9582" s="34"/>
      <c r="BV9582" s="34"/>
      <c r="BZ9582" s="34"/>
      <c r="CD9582" s="34"/>
    </row>
    <row r="9583" spans="70:82" x14ac:dyDescent="0.15">
      <c r="BR9583" s="34"/>
      <c r="BV9583" s="34"/>
      <c r="BZ9583" s="34"/>
      <c r="CD9583" s="34"/>
    </row>
    <row r="9584" spans="70:82" x14ac:dyDescent="0.15">
      <c r="BR9584" s="34"/>
      <c r="BV9584" s="34"/>
      <c r="BZ9584" s="34"/>
      <c r="CD9584" s="34"/>
    </row>
    <row r="9585" spans="70:82" x14ac:dyDescent="0.15">
      <c r="BR9585" s="34"/>
      <c r="BV9585" s="34"/>
      <c r="BZ9585" s="34"/>
      <c r="CD9585" s="34"/>
    </row>
    <row r="9586" spans="70:82" x14ac:dyDescent="0.15">
      <c r="BR9586" s="34"/>
      <c r="BV9586" s="34"/>
      <c r="BZ9586" s="34"/>
      <c r="CD9586" s="34"/>
    </row>
    <row r="9587" spans="70:82" x14ac:dyDescent="0.15">
      <c r="BR9587" s="34"/>
      <c r="BV9587" s="34"/>
      <c r="BZ9587" s="34"/>
      <c r="CD9587" s="34"/>
    </row>
    <row r="9588" spans="70:82" x14ac:dyDescent="0.15">
      <c r="BR9588" s="34"/>
      <c r="BV9588" s="34"/>
      <c r="BZ9588" s="34"/>
      <c r="CD9588" s="34"/>
    </row>
    <row r="9589" spans="70:82" x14ac:dyDescent="0.15">
      <c r="BR9589" s="34"/>
      <c r="BV9589" s="34"/>
      <c r="BZ9589" s="34"/>
      <c r="CD9589" s="34"/>
    </row>
    <row r="9590" spans="70:82" x14ac:dyDescent="0.15">
      <c r="BR9590" s="34"/>
      <c r="BV9590" s="34"/>
      <c r="BZ9590" s="34"/>
      <c r="CD9590" s="34"/>
    </row>
    <row r="9591" spans="70:82" x14ac:dyDescent="0.15">
      <c r="BR9591" s="34"/>
      <c r="BV9591" s="34"/>
      <c r="BZ9591" s="34"/>
      <c r="CD9591" s="34"/>
    </row>
    <row r="9592" spans="70:82" x14ac:dyDescent="0.15">
      <c r="BR9592" s="34"/>
      <c r="BV9592" s="34"/>
      <c r="BZ9592" s="34"/>
      <c r="CD9592" s="34"/>
    </row>
    <row r="9593" spans="70:82" x14ac:dyDescent="0.15">
      <c r="BR9593" s="34"/>
      <c r="BV9593" s="34"/>
      <c r="BZ9593" s="34"/>
      <c r="CD9593" s="34"/>
    </row>
    <row r="9594" spans="70:82" x14ac:dyDescent="0.15">
      <c r="BR9594" s="34"/>
      <c r="BV9594" s="34"/>
      <c r="BZ9594" s="34"/>
      <c r="CD9594" s="34"/>
    </row>
    <row r="9595" spans="70:82" x14ac:dyDescent="0.15">
      <c r="BR9595" s="34"/>
      <c r="BV9595" s="34"/>
      <c r="BZ9595" s="34"/>
      <c r="CD9595" s="34"/>
    </row>
    <row r="9596" spans="70:82" x14ac:dyDescent="0.15">
      <c r="BR9596" s="34"/>
      <c r="BV9596" s="34"/>
      <c r="BZ9596" s="34"/>
      <c r="CD9596" s="34"/>
    </row>
    <row r="9597" spans="70:82" x14ac:dyDescent="0.15">
      <c r="BR9597" s="34"/>
      <c r="BV9597" s="34"/>
      <c r="BZ9597" s="34"/>
      <c r="CD9597" s="34"/>
    </row>
    <row r="9598" spans="70:82" x14ac:dyDescent="0.15">
      <c r="BR9598" s="34"/>
      <c r="BV9598" s="34"/>
      <c r="BZ9598" s="34"/>
      <c r="CD9598" s="34"/>
    </row>
    <row r="9599" spans="70:82" x14ac:dyDescent="0.15">
      <c r="BR9599" s="34"/>
      <c r="BV9599" s="34"/>
      <c r="BZ9599" s="34"/>
      <c r="CD9599" s="34"/>
    </row>
    <row r="9600" spans="70:82" x14ac:dyDescent="0.15">
      <c r="BR9600" s="34"/>
      <c r="BV9600" s="34"/>
      <c r="BZ9600" s="34"/>
      <c r="CD9600" s="34"/>
    </row>
    <row r="9601" spans="70:82" x14ac:dyDescent="0.15">
      <c r="BR9601" s="34"/>
      <c r="BV9601" s="34"/>
      <c r="BZ9601" s="34"/>
      <c r="CD9601" s="34"/>
    </row>
    <row r="9602" spans="70:82" x14ac:dyDescent="0.15">
      <c r="BR9602" s="34"/>
      <c r="BV9602" s="34"/>
      <c r="BZ9602" s="34"/>
      <c r="CD9602" s="34"/>
    </row>
    <row r="9603" spans="70:82" x14ac:dyDescent="0.15">
      <c r="BR9603" s="34"/>
      <c r="BV9603" s="34"/>
      <c r="BZ9603" s="34"/>
      <c r="CD9603" s="34"/>
    </row>
    <row r="9604" spans="70:82" x14ac:dyDescent="0.15">
      <c r="BR9604" s="34"/>
      <c r="BV9604" s="34"/>
      <c r="BZ9604" s="34"/>
      <c r="CD9604" s="34"/>
    </row>
    <row r="9605" spans="70:82" x14ac:dyDescent="0.15">
      <c r="BR9605" s="34"/>
      <c r="BV9605" s="34"/>
      <c r="BZ9605" s="34"/>
      <c r="CD9605" s="34"/>
    </row>
    <row r="9606" spans="70:82" x14ac:dyDescent="0.15">
      <c r="BR9606" s="34"/>
      <c r="BV9606" s="34"/>
      <c r="BZ9606" s="34"/>
      <c r="CD9606" s="34"/>
    </row>
    <row r="9607" spans="70:82" x14ac:dyDescent="0.15">
      <c r="BR9607" s="34"/>
      <c r="BV9607" s="34"/>
      <c r="BZ9607" s="34"/>
      <c r="CD9607" s="34"/>
    </row>
    <row r="9608" spans="70:82" x14ac:dyDescent="0.15">
      <c r="BR9608" s="34"/>
      <c r="BV9608" s="34"/>
      <c r="BZ9608" s="34"/>
      <c r="CD9608" s="34"/>
    </row>
    <row r="9609" spans="70:82" x14ac:dyDescent="0.15">
      <c r="BR9609" s="34"/>
      <c r="BV9609" s="34"/>
      <c r="BZ9609" s="34"/>
      <c r="CD9609" s="34"/>
    </row>
    <row r="9610" spans="70:82" x14ac:dyDescent="0.15">
      <c r="BR9610" s="34"/>
      <c r="BV9610" s="34"/>
      <c r="BZ9610" s="34"/>
      <c r="CD9610" s="34"/>
    </row>
    <row r="9611" spans="70:82" x14ac:dyDescent="0.15">
      <c r="BR9611" s="34"/>
      <c r="BV9611" s="34"/>
      <c r="BZ9611" s="34"/>
      <c r="CD9611" s="34"/>
    </row>
    <row r="9612" spans="70:82" x14ac:dyDescent="0.15">
      <c r="BR9612" s="34"/>
      <c r="BV9612" s="34"/>
      <c r="BZ9612" s="34"/>
      <c r="CD9612" s="34"/>
    </row>
    <row r="9613" spans="70:82" x14ac:dyDescent="0.15">
      <c r="BR9613" s="34"/>
      <c r="BV9613" s="34"/>
      <c r="BZ9613" s="34"/>
      <c r="CD9613" s="34"/>
    </row>
    <row r="9614" spans="70:82" x14ac:dyDescent="0.15">
      <c r="BR9614" s="34"/>
      <c r="BV9614" s="34"/>
      <c r="BZ9614" s="34"/>
      <c r="CD9614" s="34"/>
    </row>
    <row r="9615" spans="70:82" x14ac:dyDescent="0.15">
      <c r="BR9615" s="34"/>
      <c r="BV9615" s="34"/>
      <c r="BZ9615" s="34"/>
      <c r="CD9615" s="34"/>
    </row>
    <row r="9616" spans="70:82" x14ac:dyDescent="0.15">
      <c r="BR9616" s="34"/>
      <c r="BV9616" s="34"/>
      <c r="BZ9616" s="34"/>
      <c r="CD9616" s="34"/>
    </row>
    <row r="9617" spans="70:82" x14ac:dyDescent="0.15">
      <c r="BR9617" s="34"/>
      <c r="BV9617" s="34"/>
      <c r="BZ9617" s="34"/>
      <c r="CD9617" s="34"/>
    </row>
    <row r="9618" spans="70:82" x14ac:dyDescent="0.15">
      <c r="BR9618" s="34"/>
      <c r="BV9618" s="34"/>
      <c r="BZ9618" s="34"/>
      <c r="CD9618" s="34"/>
    </row>
    <row r="9619" spans="70:82" x14ac:dyDescent="0.15">
      <c r="BR9619" s="34"/>
      <c r="BV9619" s="34"/>
      <c r="BZ9619" s="34"/>
      <c r="CD9619" s="34"/>
    </row>
    <row r="9620" spans="70:82" x14ac:dyDescent="0.15">
      <c r="BR9620" s="34"/>
      <c r="BV9620" s="34"/>
      <c r="BZ9620" s="34"/>
      <c r="CD9620" s="34"/>
    </row>
    <row r="9621" spans="70:82" x14ac:dyDescent="0.15">
      <c r="BR9621" s="34"/>
      <c r="BV9621" s="34"/>
      <c r="BZ9621" s="34"/>
      <c r="CD9621" s="34"/>
    </row>
    <row r="9622" spans="70:82" x14ac:dyDescent="0.15">
      <c r="BR9622" s="34"/>
      <c r="BV9622" s="34"/>
      <c r="BZ9622" s="34"/>
      <c r="CD9622" s="34"/>
    </row>
    <row r="9623" spans="70:82" x14ac:dyDescent="0.15">
      <c r="BR9623" s="34"/>
      <c r="BV9623" s="34"/>
      <c r="BZ9623" s="34"/>
      <c r="CD9623" s="34"/>
    </row>
    <row r="9624" spans="70:82" x14ac:dyDescent="0.15">
      <c r="BR9624" s="34"/>
      <c r="BV9624" s="34"/>
      <c r="BZ9624" s="34"/>
      <c r="CD9624" s="34"/>
    </row>
    <row r="9625" spans="70:82" x14ac:dyDescent="0.15">
      <c r="BR9625" s="34"/>
      <c r="BV9625" s="34"/>
      <c r="BZ9625" s="34"/>
      <c r="CD9625" s="34"/>
    </row>
    <row r="9626" spans="70:82" x14ac:dyDescent="0.15">
      <c r="BR9626" s="34"/>
      <c r="BV9626" s="34"/>
      <c r="BZ9626" s="34"/>
      <c r="CD9626" s="34"/>
    </row>
    <row r="9627" spans="70:82" x14ac:dyDescent="0.15">
      <c r="BR9627" s="34"/>
      <c r="BV9627" s="34"/>
      <c r="BZ9627" s="34"/>
      <c r="CD9627" s="34"/>
    </row>
    <row r="9628" spans="70:82" x14ac:dyDescent="0.15">
      <c r="BR9628" s="34"/>
      <c r="BV9628" s="34"/>
      <c r="BZ9628" s="34"/>
      <c r="CD9628" s="34"/>
    </row>
    <row r="9629" spans="70:82" x14ac:dyDescent="0.15">
      <c r="BR9629" s="34"/>
      <c r="BV9629" s="34"/>
      <c r="BZ9629" s="34"/>
      <c r="CD9629" s="34"/>
    </row>
    <row r="9630" spans="70:82" x14ac:dyDescent="0.15">
      <c r="BR9630" s="34"/>
      <c r="BV9630" s="34"/>
      <c r="BZ9630" s="34"/>
      <c r="CD9630" s="34"/>
    </row>
    <row r="9631" spans="70:82" x14ac:dyDescent="0.15">
      <c r="BR9631" s="34"/>
      <c r="BV9631" s="34"/>
      <c r="BZ9631" s="34"/>
      <c r="CD9631" s="34"/>
    </row>
    <row r="9632" spans="70:82" x14ac:dyDescent="0.15">
      <c r="BR9632" s="34"/>
      <c r="BV9632" s="34"/>
      <c r="BZ9632" s="34"/>
      <c r="CD9632" s="34"/>
    </row>
    <row r="9633" spans="70:82" x14ac:dyDescent="0.15">
      <c r="BR9633" s="34"/>
      <c r="BV9633" s="34"/>
      <c r="BZ9633" s="34"/>
      <c r="CD9633" s="34"/>
    </row>
    <row r="9634" spans="70:82" x14ac:dyDescent="0.15">
      <c r="BR9634" s="34"/>
      <c r="BV9634" s="34"/>
      <c r="BZ9634" s="34"/>
      <c r="CD9634" s="34"/>
    </row>
    <row r="9635" spans="70:82" x14ac:dyDescent="0.15">
      <c r="BR9635" s="34"/>
      <c r="BV9635" s="34"/>
      <c r="BZ9635" s="34"/>
      <c r="CD9635" s="34"/>
    </row>
    <row r="9636" spans="70:82" x14ac:dyDescent="0.15">
      <c r="BR9636" s="34"/>
      <c r="BV9636" s="34"/>
      <c r="BZ9636" s="34"/>
      <c r="CD9636" s="34"/>
    </row>
    <row r="9637" spans="70:82" x14ac:dyDescent="0.15">
      <c r="BR9637" s="34"/>
      <c r="BV9637" s="34"/>
      <c r="BZ9637" s="34"/>
      <c r="CD9637" s="34"/>
    </row>
    <row r="9638" spans="70:82" x14ac:dyDescent="0.15">
      <c r="BR9638" s="34"/>
      <c r="BV9638" s="34"/>
      <c r="BZ9638" s="34"/>
      <c r="CD9638" s="34"/>
    </row>
    <row r="9639" spans="70:82" x14ac:dyDescent="0.15">
      <c r="BR9639" s="34"/>
      <c r="BV9639" s="34"/>
      <c r="BZ9639" s="34"/>
      <c r="CD9639" s="34"/>
    </row>
    <row r="9640" spans="70:82" x14ac:dyDescent="0.15">
      <c r="BR9640" s="34"/>
      <c r="BV9640" s="34"/>
      <c r="BZ9640" s="34"/>
      <c r="CD9640" s="34"/>
    </row>
    <row r="9641" spans="70:82" x14ac:dyDescent="0.15">
      <c r="BR9641" s="34"/>
      <c r="BV9641" s="34"/>
      <c r="BZ9641" s="34"/>
      <c r="CD9641" s="34"/>
    </row>
    <row r="9642" spans="70:82" x14ac:dyDescent="0.15">
      <c r="BR9642" s="34"/>
      <c r="BV9642" s="34"/>
      <c r="BZ9642" s="34"/>
      <c r="CD9642" s="34"/>
    </row>
    <row r="9643" spans="70:82" x14ac:dyDescent="0.15">
      <c r="BR9643" s="34"/>
      <c r="BV9643" s="34"/>
      <c r="BZ9643" s="34"/>
      <c r="CD9643" s="34"/>
    </row>
    <row r="9644" spans="70:82" x14ac:dyDescent="0.15">
      <c r="BR9644" s="34"/>
      <c r="BV9644" s="34"/>
      <c r="BZ9644" s="34"/>
      <c r="CD9644" s="34"/>
    </row>
    <row r="9645" spans="70:82" x14ac:dyDescent="0.15">
      <c r="BR9645" s="34"/>
      <c r="BV9645" s="34"/>
      <c r="BZ9645" s="34"/>
      <c r="CD9645" s="34"/>
    </row>
    <row r="9646" spans="70:82" x14ac:dyDescent="0.15">
      <c r="BR9646" s="34"/>
      <c r="BV9646" s="34"/>
      <c r="BZ9646" s="34"/>
      <c r="CD9646" s="34"/>
    </row>
    <row r="9647" spans="70:82" x14ac:dyDescent="0.15">
      <c r="BR9647" s="34"/>
      <c r="BV9647" s="34"/>
      <c r="BZ9647" s="34"/>
      <c r="CD9647" s="34"/>
    </row>
    <row r="9648" spans="70:82" x14ac:dyDescent="0.15">
      <c r="BR9648" s="34"/>
      <c r="BV9648" s="34"/>
      <c r="BZ9648" s="34"/>
      <c r="CD9648" s="34"/>
    </row>
    <row r="9649" spans="70:82" x14ac:dyDescent="0.15">
      <c r="BR9649" s="34"/>
      <c r="BV9649" s="34"/>
      <c r="BZ9649" s="34"/>
      <c r="CD9649" s="34"/>
    </row>
    <row r="9650" spans="70:82" x14ac:dyDescent="0.15">
      <c r="BR9650" s="34"/>
      <c r="BV9650" s="34"/>
      <c r="BZ9650" s="34"/>
      <c r="CD9650" s="34"/>
    </row>
    <row r="9651" spans="70:82" x14ac:dyDescent="0.15">
      <c r="BR9651" s="34"/>
      <c r="BV9651" s="34"/>
      <c r="BZ9651" s="34"/>
      <c r="CD9651" s="34"/>
    </row>
    <row r="9652" spans="70:82" x14ac:dyDescent="0.15">
      <c r="BR9652" s="34"/>
      <c r="BV9652" s="34"/>
      <c r="BZ9652" s="34"/>
      <c r="CD9652" s="34"/>
    </row>
    <row r="9653" spans="70:82" x14ac:dyDescent="0.15">
      <c r="BR9653" s="34"/>
      <c r="BV9653" s="34"/>
      <c r="BZ9653" s="34"/>
      <c r="CD9653" s="34"/>
    </row>
    <row r="9654" spans="70:82" x14ac:dyDescent="0.15">
      <c r="BR9654" s="34"/>
      <c r="BV9654" s="34"/>
      <c r="BZ9654" s="34"/>
      <c r="CD9654" s="34"/>
    </row>
    <row r="9655" spans="70:82" x14ac:dyDescent="0.15">
      <c r="BR9655" s="34"/>
      <c r="BV9655" s="34"/>
      <c r="BZ9655" s="34"/>
      <c r="CD9655" s="34"/>
    </row>
    <row r="9656" spans="70:82" x14ac:dyDescent="0.15">
      <c r="BR9656" s="34"/>
      <c r="BV9656" s="34"/>
      <c r="BZ9656" s="34"/>
      <c r="CD9656" s="34"/>
    </row>
    <row r="9657" spans="70:82" x14ac:dyDescent="0.15">
      <c r="BR9657" s="34"/>
      <c r="BV9657" s="34"/>
      <c r="BZ9657" s="34"/>
      <c r="CD9657" s="34"/>
    </row>
    <row r="9658" spans="70:82" x14ac:dyDescent="0.15">
      <c r="BR9658" s="34"/>
      <c r="BV9658" s="34"/>
      <c r="BZ9658" s="34"/>
      <c r="CD9658" s="34"/>
    </row>
    <row r="9659" spans="70:82" x14ac:dyDescent="0.15">
      <c r="BR9659" s="34"/>
      <c r="BV9659" s="34"/>
      <c r="BZ9659" s="34"/>
      <c r="CD9659" s="34"/>
    </row>
    <row r="9660" spans="70:82" x14ac:dyDescent="0.15">
      <c r="BR9660" s="34"/>
      <c r="BV9660" s="34"/>
      <c r="BZ9660" s="34"/>
      <c r="CD9660" s="34"/>
    </row>
    <row r="9661" spans="70:82" x14ac:dyDescent="0.15">
      <c r="BR9661" s="34"/>
      <c r="BV9661" s="34"/>
      <c r="BZ9661" s="34"/>
      <c r="CD9661" s="34"/>
    </row>
    <row r="9662" spans="70:82" x14ac:dyDescent="0.15">
      <c r="BR9662" s="34"/>
      <c r="BV9662" s="34"/>
      <c r="BZ9662" s="34"/>
      <c r="CD9662" s="34"/>
    </row>
    <row r="9663" spans="70:82" x14ac:dyDescent="0.15">
      <c r="BR9663" s="34"/>
      <c r="BV9663" s="34"/>
      <c r="BZ9663" s="34"/>
      <c r="CD9663" s="34"/>
    </row>
    <row r="9664" spans="70:82" x14ac:dyDescent="0.15">
      <c r="BR9664" s="34"/>
      <c r="BV9664" s="34"/>
      <c r="BZ9664" s="34"/>
      <c r="CD9664" s="34"/>
    </row>
    <row r="9665" spans="70:82" x14ac:dyDescent="0.15">
      <c r="BR9665" s="34"/>
      <c r="BV9665" s="34"/>
      <c r="BZ9665" s="34"/>
      <c r="CD9665" s="34"/>
    </row>
    <row r="9666" spans="70:82" x14ac:dyDescent="0.15">
      <c r="BR9666" s="34"/>
      <c r="BV9666" s="34"/>
      <c r="BZ9666" s="34"/>
      <c r="CD9666" s="34"/>
    </row>
    <row r="9667" spans="70:82" x14ac:dyDescent="0.15">
      <c r="BR9667" s="34"/>
      <c r="BV9667" s="34"/>
      <c r="BZ9667" s="34"/>
      <c r="CD9667" s="34"/>
    </row>
    <row r="9668" spans="70:82" x14ac:dyDescent="0.15">
      <c r="BR9668" s="34"/>
      <c r="BV9668" s="34"/>
      <c r="BZ9668" s="34"/>
      <c r="CD9668" s="34"/>
    </row>
    <row r="9669" spans="70:82" x14ac:dyDescent="0.15">
      <c r="BR9669" s="34"/>
      <c r="BV9669" s="34"/>
      <c r="BZ9669" s="34"/>
      <c r="CD9669" s="34"/>
    </row>
    <row r="9670" spans="70:82" x14ac:dyDescent="0.15">
      <c r="BR9670" s="34"/>
      <c r="BV9670" s="34"/>
      <c r="BZ9670" s="34"/>
      <c r="CD9670" s="34"/>
    </row>
    <row r="9671" spans="70:82" x14ac:dyDescent="0.15">
      <c r="BR9671" s="34"/>
      <c r="BV9671" s="34"/>
      <c r="BZ9671" s="34"/>
      <c r="CD9671" s="34"/>
    </row>
    <row r="9672" spans="70:82" x14ac:dyDescent="0.15">
      <c r="BR9672" s="34"/>
      <c r="BV9672" s="34"/>
      <c r="BZ9672" s="34"/>
      <c r="CD9672" s="34"/>
    </row>
    <row r="9673" spans="70:82" x14ac:dyDescent="0.15">
      <c r="BR9673" s="34"/>
      <c r="BV9673" s="34"/>
      <c r="BZ9673" s="34"/>
      <c r="CD9673" s="34"/>
    </row>
    <row r="9674" spans="70:82" x14ac:dyDescent="0.15">
      <c r="BR9674" s="34"/>
      <c r="BV9674" s="34"/>
      <c r="BZ9674" s="34"/>
      <c r="CD9674" s="34"/>
    </row>
    <row r="9675" spans="70:82" x14ac:dyDescent="0.15">
      <c r="BR9675" s="34"/>
      <c r="BV9675" s="34"/>
      <c r="BZ9675" s="34"/>
      <c r="CD9675" s="34"/>
    </row>
    <row r="9676" spans="70:82" x14ac:dyDescent="0.15">
      <c r="BR9676" s="34"/>
      <c r="BV9676" s="34"/>
      <c r="BZ9676" s="34"/>
      <c r="CD9676" s="34"/>
    </row>
    <row r="9677" spans="70:82" x14ac:dyDescent="0.15">
      <c r="BR9677" s="34"/>
      <c r="BV9677" s="34"/>
      <c r="BZ9677" s="34"/>
      <c r="CD9677" s="34"/>
    </row>
    <row r="9678" spans="70:82" x14ac:dyDescent="0.15">
      <c r="BR9678" s="34"/>
      <c r="BV9678" s="34"/>
      <c r="BZ9678" s="34"/>
      <c r="CD9678" s="34"/>
    </row>
    <row r="9679" spans="70:82" x14ac:dyDescent="0.15">
      <c r="BR9679" s="34"/>
      <c r="BV9679" s="34"/>
      <c r="BZ9679" s="34"/>
      <c r="CD9679" s="34"/>
    </row>
    <row r="9680" spans="70:82" x14ac:dyDescent="0.15">
      <c r="BR9680" s="34"/>
      <c r="BV9680" s="34"/>
      <c r="BZ9680" s="34"/>
      <c r="CD9680" s="34"/>
    </row>
    <row r="9681" spans="70:82" x14ac:dyDescent="0.15">
      <c r="BR9681" s="34"/>
      <c r="BV9681" s="34"/>
      <c r="BZ9681" s="34"/>
      <c r="CD9681" s="34"/>
    </row>
    <row r="9682" spans="70:82" x14ac:dyDescent="0.15">
      <c r="BR9682" s="34"/>
      <c r="BV9682" s="34"/>
      <c r="BZ9682" s="34"/>
      <c r="CD9682" s="34"/>
    </row>
    <row r="9683" spans="70:82" x14ac:dyDescent="0.15">
      <c r="BR9683" s="34"/>
      <c r="BV9683" s="34"/>
      <c r="BZ9683" s="34"/>
      <c r="CD9683" s="34"/>
    </row>
    <row r="9684" spans="70:82" x14ac:dyDescent="0.15">
      <c r="BR9684" s="34"/>
      <c r="BV9684" s="34"/>
      <c r="BZ9684" s="34"/>
      <c r="CD9684" s="34"/>
    </row>
    <row r="9685" spans="70:82" x14ac:dyDescent="0.15">
      <c r="BR9685" s="34"/>
      <c r="BV9685" s="34"/>
      <c r="BZ9685" s="34"/>
      <c r="CD9685" s="34"/>
    </row>
    <row r="9686" spans="70:82" x14ac:dyDescent="0.15">
      <c r="BR9686" s="34"/>
      <c r="BV9686" s="34"/>
      <c r="BZ9686" s="34"/>
      <c r="CD9686" s="34"/>
    </row>
    <row r="9687" spans="70:82" x14ac:dyDescent="0.15">
      <c r="BR9687" s="34"/>
      <c r="BV9687" s="34"/>
      <c r="BZ9687" s="34"/>
      <c r="CD9687" s="34"/>
    </row>
    <row r="9688" spans="70:82" x14ac:dyDescent="0.15">
      <c r="BR9688" s="34"/>
      <c r="BV9688" s="34"/>
      <c r="BZ9688" s="34"/>
      <c r="CD9688" s="34"/>
    </row>
    <row r="9689" spans="70:82" x14ac:dyDescent="0.15">
      <c r="BR9689" s="34"/>
      <c r="BV9689" s="34"/>
      <c r="BZ9689" s="34"/>
      <c r="CD9689" s="34"/>
    </row>
    <row r="9690" spans="70:82" x14ac:dyDescent="0.15">
      <c r="BR9690" s="34"/>
      <c r="BV9690" s="34"/>
      <c r="BZ9690" s="34"/>
      <c r="CD9690" s="34"/>
    </row>
    <row r="9691" spans="70:82" x14ac:dyDescent="0.15">
      <c r="BR9691" s="34"/>
      <c r="BV9691" s="34"/>
      <c r="BZ9691" s="34"/>
      <c r="CD9691" s="34"/>
    </row>
    <row r="9692" spans="70:82" x14ac:dyDescent="0.15">
      <c r="BR9692" s="34"/>
      <c r="BV9692" s="34"/>
      <c r="BZ9692" s="34"/>
      <c r="CD9692" s="34"/>
    </row>
    <row r="9693" spans="70:82" x14ac:dyDescent="0.15">
      <c r="BR9693" s="34"/>
      <c r="BV9693" s="34"/>
      <c r="BZ9693" s="34"/>
      <c r="CD9693" s="34"/>
    </row>
    <row r="9694" spans="70:82" x14ac:dyDescent="0.15">
      <c r="BR9694" s="34"/>
      <c r="BV9694" s="34"/>
      <c r="BZ9694" s="34"/>
      <c r="CD9694" s="34"/>
    </row>
    <row r="9695" spans="70:82" x14ac:dyDescent="0.15">
      <c r="BR9695" s="34"/>
      <c r="BV9695" s="34"/>
      <c r="BZ9695" s="34"/>
      <c r="CD9695" s="34"/>
    </row>
    <row r="9696" spans="70:82" x14ac:dyDescent="0.15">
      <c r="BR9696" s="34"/>
      <c r="BV9696" s="34"/>
      <c r="BZ9696" s="34"/>
      <c r="CD9696" s="34"/>
    </row>
    <row r="9697" spans="70:82" x14ac:dyDescent="0.15">
      <c r="BR9697" s="34"/>
      <c r="BV9697" s="34"/>
      <c r="BZ9697" s="34"/>
      <c r="CD9697" s="34"/>
    </row>
    <row r="9698" spans="70:82" x14ac:dyDescent="0.15">
      <c r="BR9698" s="34"/>
      <c r="BV9698" s="34"/>
      <c r="BZ9698" s="34"/>
      <c r="CD9698" s="34"/>
    </row>
    <row r="9699" spans="70:82" x14ac:dyDescent="0.15">
      <c r="BR9699" s="34"/>
      <c r="BV9699" s="34"/>
      <c r="BZ9699" s="34"/>
      <c r="CD9699" s="34"/>
    </row>
    <row r="9700" spans="70:82" x14ac:dyDescent="0.15">
      <c r="BR9700" s="34"/>
      <c r="BV9700" s="34"/>
      <c r="BZ9700" s="34"/>
      <c r="CD9700" s="34"/>
    </row>
    <row r="9701" spans="70:82" x14ac:dyDescent="0.15">
      <c r="BR9701" s="34"/>
      <c r="BV9701" s="34"/>
      <c r="BZ9701" s="34"/>
      <c r="CD9701" s="34"/>
    </row>
    <row r="9702" spans="70:82" x14ac:dyDescent="0.15">
      <c r="BR9702" s="34"/>
      <c r="BV9702" s="34"/>
      <c r="BZ9702" s="34"/>
      <c r="CD9702" s="34"/>
    </row>
    <row r="9703" spans="70:82" x14ac:dyDescent="0.15">
      <c r="BR9703" s="34"/>
      <c r="BV9703" s="34"/>
      <c r="BZ9703" s="34"/>
      <c r="CD9703" s="34"/>
    </row>
    <row r="9704" spans="70:82" x14ac:dyDescent="0.15">
      <c r="BR9704" s="34"/>
      <c r="BV9704" s="34"/>
      <c r="BZ9704" s="34"/>
      <c r="CD9704" s="34"/>
    </row>
    <row r="9705" spans="70:82" x14ac:dyDescent="0.15">
      <c r="BR9705" s="34"/>
      <c r="BV9705" s="34"/>
      <c r="BZ9705" s="34"/>
      <c r="CD9705" s="34"/>
    </row>
    <row r="9706" spans="70:82" x14ac:dyDescent="0.15">
      <c r="BR9706" s="34"/>
      <c r="BV9706" s="34"/>
      <c r="BZ9706" s="34"/>
      <c r="CD9706" s="34"/>
    </row>
    <row r="9707" spans="70:82" x14ac:dyDescent="0.15">
      <c r="BR9707" s="34"/>
      <c r="BV9707" s="34"/>
      <c r="BZ9707" s="34"/>
      <c r="CD9707" s="34"/>
    </row>
    <row r="9708" spans="70:82" x14ac:dyDescent="0.15">
      <c r="BR9708" s="34"/>
      <c r="BV9708" s="34"/>
      <c r="BZ9708" s="34"/>
      <c r="CD9708" s="34"/>
    </row>
    <row r="9709" spans="70:82" x14ac:dyDescent="0.15">
      <c r="BR9709" s="34"/>
      <c r="BV9709" s="34"/>
      <c r="BZ9709" s="34"/>
      <c r="CD9709" s="34"/>
    </row>
    <row r="9710" spans="70:82" x14ac:dyDescent="0.15">
      <c r="BR9710" s="34"/>
      <c r="BV9710" s="34"/>
      <c r="BZ9710" s="34"/>
      <c r="CD9710" s="34"/>
    </row>
    <row r="9711" spans="70:82" x14ac:dyDescent="0.15">
      <c r="BR9711" s="34"/>
      <c r="BV9711" s="34"/>
      <c r="BZ9711" s="34"/>
      <c r="CD9711" s="34"/>
    </row>
    <row r="9712" spans="70:82" x14ac:dyDescent="0.15">
      <c r="BR9712" s="34"/>
      <c r="BV9712" s="34"/>
      <c r="BZ9712" s="34"/>
      <c r="CD9712" s="34"/>
    </row>
    <row r="9713" spans="70:82" x14ac:dyDescent="0.15">
      <c r="BR9713" s="34"/>
      <c r="BV9713" s="34"/>
      <c r="BZ9713" s="34"/>
      <c r="CD9713" s="34"/>
    </row>
    <row r="9714" spans="70:82" x14ac:dyDescent="0.15">
      <c r="BR9714" s="34"/>
      <c r="BV9714" s="34"/>
      <c r="BZ9714" s="34"/>
      <c r="CD9714" s="34"/>
    </row>
    <row r="9715" spans="70:82" x14ac:dyDescent="0.15">
      <c r="BR9715" s="34"/>
      <c r="BV9715" s="34"/>
      <c r="BZ9715" s="34"/>
      <c r="CD9715" s="34"/>
    </row>
    <row r="9716" spans="70:82" x14ac:dyDescent="0.15">
      <c r="BR9716" s="34"/>
      <c r="BV9716" s="34"/>
      <c r="BZ9716" s="34"/>
      <c r="CD9716" s="34"/>
    </row>
    <row r="9717" spans="70:82" x14ac:dyDescent="0.15">
      <c r="BR9717" s="34"/>
      <c r="BV9717" s="34"/>
      <c r="BZ9717" s="34"/>
      <c r="CD9717" s="34"/>
    </row>
    <row r="9718" spans="70:82" x14ac:dyDescent="0.15">
      <c r="BR9718" s="34"/>
      <c r="BV9718" s="34"/>
      <c r="BZ9718" s="34"/>
      <c r="CD9718" s="34"/>
    </row>
    <row r="9719" spans="70:82" x14ac:dyDescent="0.15">
      <c r="BR9719" s="34"/>
      <c r="BV9719" s="34"/>
      <c r="BZ9719" s="34"/>
      <c r="CD9719" s="34"/>
    </row>
    <row r="9720" spans="70:82" x14ac:dyDescent="0.15">
      <c r="BR9720" s="34"/>
      <c r="BV9720" s="34"/>
      <c r="BZ9720" s="34"/>
      <c r="CD9720" s="34"/>
    </row>
    <row r="9721" spans="70:82" x14ac:dyDescent="0.15">
      <c r="BR9721" s="34"/>
      <c r="BV9721" s="34"/>
      <c r="BZ9721" s="34"/>
      <c r="CD9721" s="34"/>
    </row>
    <row r="9722" spans="70:82" x14ac:dyDescent="0.15">
      <c r="BR9722" s="34"/>
      <c r="BV9722" s="34"/>
      <c r="BZ9722" s="34"/>
      <c r="CD9722" s="34"/>
    </row>
    <row r="9723" spans="70:82" x14ac:dyDescent="0.15">
      <c r="BR9723" s="34"/>
      <c r="BV9723" s="34"/>
      <c r="BZ9723" s="34"/>
      <c r="CD9723" s="34"/>
    </row>
    <row r="9724" spans="70:82" x14ac:dyDescent="0.15">
      <c r="BR9724" s="34"/>
      <c r="BV9724" s="34"/>
      <c r="BZ9724" s="34"/>
      <c r="CD9724" s="34"/>
    </row>
    <row r="9725" spans="70:82" x14ac:dyDescent="0.15">
      <c r="BR9725" s="34"/>
      <c r="BV9725" s="34"/>
      <c r="BZ9725" s="34"/>
      <c r="CD9725" s="34"/>
    </row>
    <row r="9726" spans="70:82" x14ac:dyDescent="0.15">
      <c r="BR9726" s="34"/>
      <c r="BV9726" s="34"/>
      <c r="BZ9726" s="34"/>
      <c r="CD9726" s="34"/>
    </row>
    <row r="9727" spans="70:82" x14ac:dyDescent="0.15">
      <c r="BR9727" s="34"/>
      <c r="BV9727" s="34"/>
      <c r="BZ9727" s="34"/>
      <c r="CD9727" s="34"/>
    </row>
    <row r="9728" spans="70:82" x14ac:dyDescent="0.15">
      <c r="BR9728" s="34"/>
      <c r="BV9728" s="34"/>
      <c r="BZ9728" s="34"/>
      <c r="CD9728" s="34"/>
    </row>
    <row r="9729" spans="70:82" x14ac:dyDescent="0.15">
      <c r="BR9729" s="34"/>
      <c r="BV9729" s="34"/>
      <c r="BZ9729" s="34"/>
      <c r="CD9729" s="34"/>
    </row>
    <row r="9730" spans="70:82" x14ac:dyDescent="0.15">
      <c r="BR9730" s="34"/>
      <c r="BV9730" s="34"/>
      <c r="BZ9730" s="34"/>
      <c r="CD9730" s="34"/>
    </row>
    <row r="9731" spans="70:82" x14ac:dyDescent="0.15">
      <c r="BR9731" s="34"/>
      <c r="BV9731" s="34"/>
      <c r="BZ9731" s="34"/>
      <c r="CD9731" s="34"/>
    </row>
    <row r="9732" spans="70:82" x14ac:dyDescent="0.15">
      <c r="BR9732" s="34"/>
      <c r="BV9732" s="34"/>
      <c r="BZ9732" s="34"/>
      <c r="CD9732" s="34"/>
    </row>
    <row r="9733" spans="70:82" x14ac:dyDescent="0.15">
      <c r="BR9733" s="34"/>
      <c r="BV9733" s="34"/>
      <c r="BZ9733" s="34"/>
      <c r="CD9733" s="34"/>
    </row>
    <row r="9734" spans="70:82" x14ac:dyDescent="0.15">
      <c r="BR9734" s="34"/>
      <c r="BV9734" s="34"/>
      <c r="BZ9734" s="34"/>
      <c r="CD9734" s="34"/>
    </row>
    <row r="9735" spans="70:82" x14ac:dyDescent="0.15">
      <c r="BR9735" s="34"/>
      <c r="BV9735" s="34"/>
      <c r="BZ9735" s="34"/>
      <c r="CD9735" s="34"/>
    </row>
    <row r="9736" spans="70:82" x14ac:dyDescent="0.15">
      <c r="BR9736" s="34"/>
      <c r="BV9736" s="34"/>
      <c r="BZ9736" s="34"/>
      <c r="CD9736" s="34"/>
    </row>
    <row r="9737" spans="70:82" x14ac:dyDescent="0.15">
      <c r="BR9737" s="34"/>
      <c r="BV9737" s="34"/>
      <c r="BZ9737" s="34"/>
      <c r="CD9737" s="34"/>
    </row>
    <row r="9738" spans="70:82" x14ac:dyDescent="0.15">
      <c r="BR9738" s="34"/>
      <c r="BV9738" s="34"/>
      <c r="BZ9738" s="34"/>
      <c r="CD9738" s="34"/>
    </row>
    <row r="9739" spans="70:82" x14ac:dyDescent="0.15">
      <c r="BR9739" s="34"/>
      <c r="BV9739" s="34"/>
      <c r="BZ9739" s="34"/>
      <c r="CD9739" s="34"/>
    </row>
    <row r="9740" spans="70:82" x14ac:dyDescent="0.15">
      <c r="BR9740" s="34"/>
      <c r="BV9740" s="34"/>
      <c r="BZ9740" s="34"/>
      <c r="CD9740" s="34"/>
    </row>
    <row r="9741" spans="70:82" x14ac:dyDescent="0.15">
      <c r="BR9741" s="34"/>
      <c r="BV9741" s="34"/>
      <c r="BZ9741" s="34"/>
      <c r="CD9741" s="34"/>
    </row>
    <row r="9742" spans="70:82" x14ac:dyDescent="0.15">
      <c r="BR9742" s="34"/>
      <c r="BV9742" s="34"/>
      <c r="BZ9742" s="34"/>
      <c r="CD9742" s="34"/>
    </row>
    <row r="9743" spans="70:82" x14ac:dyDescent="0.15">
      <c r="BR9743" s="34"/>
      <c r="BV9743" s="34"/>
      <c r="BZ9743" s="34"/>
      <c r="CD9743" s="34"/>
    </row>
    <row r="9744" spans="70:82" x14ac:dyDescent="0.15">
      <c r="BR9744" s="34"/>
      <c r="BV9744" s="34"/>
      <c r="BZ9744" s="34"/>
      <c r="CD9744" s="34"/>
    </row>
    <row r="9745" spans="70:82" x14ac:dyDescent="0.15">
      <c r="BR9745" s="34"/>
      <c r="BV9745" s="34"/>
      <c r="BZ9745" s="34"/>
      <c r="CD9745" s="34"/>
    </row>
    <row r="9746" spans="70:82" x14ac:dyDescent="0.15">
      <c r="BR9746" s="34"/>
      <c r="BV9746" s="34"/>
      <c r="BZ9746" s="34"/>
      <c r="CD9746" s="34"/>
    </row>
    <row r="9747" spans="70:82" x14ac:dyDescent="0.15">
      <c r="BR9747" s="34"/>
      <c r="BV9747" s="34"/>
      <c r="BZ9747" s="34"/>
      <c r="CD9747" s="34"/>
    </row>
    <row r="9748" spans="70:82" x14ac:dyDescent="0.15">
      <c r="BR9748" s="34"/>
      <c r="BV9748" s="34"/>
      <c r="BZ9748" s="34"/>
      <c r="CD9748" s="34"/>
    </row>
    <row r="9749" spans="70:82" x14ac:dyDescent="0.15">
      <c r="BR9749" s="34"/>
      <c r="BV9749" s="34"/>
      <c r="BZ9749" s="34"/>
      <c r="CD9749" s="34"/>
    </row>
    <row r="9750" spans="70:82" x14ac:dyDescent="0.15">
      <c r="BR9750" s="34"/>
      <c r="BV9750" s="34"/>
      <c r="BZ9750" s="34"/>
      <c r="CD9750" s="34"/>
    </row>
    <row r="9751" spans="70:82" x14ac:dyDescent="0.15">
      <c r="BR9751" s="34"/>
      <c r="BV9751" s="34"/>
      <c r="BZ9751" s="34"/>
      <c r="CD9751" s="34"/>
    </row>
    <row r="9752" spans="70:82" x14ac:dyDescent="0.15">
      <c r="BR9752" s="34"/>
      <c r="BV9752" s="34"/>
      <c r="BZ9752" s="34"/>
      <c r="CD9752" s="34"/>
    </row>
    <row r="9753" spans="70:82" x14ac:dyDescent="0.15">
      <c r="BR9753" s="34"/>
      <c r="BV9753" s="34"/>
      <c r="BZ9753" s="34"/>
      <c r="CD9753" s="34"/>
    </row>
    <row r="9754" spans="70:82" x14ac:dyDescent="0.15">
      <c r="BR9754" s="34"/>
      <c r="BV9754" s="34"/>
      <c r="BZ9754" s="34"/>
      <c r="CD9754" s="34"/>
    </row>
    <row r="9755" spans="70:82" x14ac:dyDescent="0.15">
      <c r="BR9755" s="34"/>
      <c r="BV9755" s="34"/>
      <c r="BZ9755" s="34"/>
      <c r="CD9755" s="34"/>
    </row>
    <row r="9756" spans="70:82" x14ac:dyDescent="0.15">
      <c r="BR9756" s="34"/>
      <c r="BV9756" s="34"/>
      <c r="BZ9756" s="34"/>
      <c r="CD9756" s="34"/>
    </row>
    <row r="9757" spans="70:82" x14ac:dyDescent="0.15">
      <c r="BR9757" s="34"/>
      <c r="BV9757" s="34"/>
      <c r="BZ9757" s="34"/>
      <c r="CD9757" s="34"/>
    </row>
    <row r="9758" spans="70:82" x14ac:dyDescent="0.15">
      <c r="BR9758" s="34"/>
      <c r="BV9758" s="34"/>
      <c r="BZ9758" s="34"/>
      <c r="CD9758" s="34"/>
    </row>
    <row r="9759" spans="70:82" x14ac:dyDescent="0.15">
      <c r="BR9759" s="34"/>
      <c r="BV9759" s="34"/>
      <c r="BZ9759" s="34"/>
      <c r="CD9759" s="34"/>
    </row>
    <row r="9760" spans="70:82" x14ac:dyDescent="0.15">
      <c r="BR9760" s="34"/>
      <c r="BV9760" s="34"/>
      <c r="BZ9760" s="34"/>
      <c r="CD9760" s="34"/>
    </row>
    <row r="9761" spans="70:82" x14ac:dyDescent="0.15">
      <c r="BR9761" s="34"/>
      <c r="BV9761" s="34"/>
      <c r="BZ9761" s="34"/>
      <c r="CD9761" s="34"/>
    </row>
    <row r="9762" spans="70:82" x14ac:dyDescent="0.15">
      <c r="BR9762" s="34"/>
      <c r="BV9762" s="34"/>
      <c r="BZ9762" s="34"/>
      <c r="CD9762" s="34"/>
    </row>
    <row r="9763" spans="70:82" x14ac:dyDescent="0.15">
      <c r="BR9763" s="34"/>
      <c r="BV9763" s="34"/>
      <c r="BZ9763" s="34"/>
      <c r="CD9763" s="34"/>
    </row>
    <row r="9764" spans="70:82" x14ac:dyDescent="0.15">
      <c r="BR9764" s="34"/>
      <c r="BV9764" s="34"/>
      <c r="BZ9764" s="34"/>
      <c r="CD9764" s="34"/>
    </row>
    <row r="9765" spans="70:82" x14ac:dyDescent="0.15">
      <c r="BR9765" s="34"/>
      <c r="BV9765" s="34"/>
      <c r="BZ9765" s="34"/>
      <c r="CD9765" s="34"/>
    </row>
    <row r="9766" spans="70:82" x14ac:dyDescent="0.15">
      <c r="BR9766" s="34"/>
      <c r="BV9766" s="34"/>
      <c r="BZ9766" s="34"/>
      <c r="CD9766" s="34"/>
    </row>
    <row r="9767" spans="70:82" x14ac:dyDescent="0.15">
      <c r="BR9767" s="34"/>
      <c r="BV9767" s="34"/>
      <c r="BZ9767" s="34"/>
      <c r="CD9767" s="34"/>
    </row>
    <row r="9768" spans="70:82" x14ac:dyDescent="0.15">
      <c r="BR9768" s="34"/>
      <c r="BV9768" s="34"/>
      <c r="BZ9768" s="34"/>
      <c r="CD9768" s="34"/>
    </row>
    <row r="9769" spans="70:82" x14ac:dyDescent="0.15">
      <c r="BR9769" s="34"/>
      <c r="BV9769" s="34"/>
      <c r="BZ9769" s="34"/>
      <c r="CD9769" s="34"/>
    </row>
    <row r="9770" spans="70:82" x14ac:dyDescent="0.15">
      <c r="BR9770" s="34"/>
      <c r="BV9770" s="34"/>
      <c r="BZ9770" s="34"/>
      <c r="CD9770" s="34"/>
    </row>
    <row r="9771" spans="70:82" x14ac:dyDescent="0.15">
      <c r="BR9771" s="34"/>
      <c r="BV9771" s="34"/>
      <c r="BZ9771" s="34"/>
      <c r="CD9771" s="34"/>
    </row>
    <row r="9772" spans="70:82" x14ac:dyDescent="0.15">
      <c r="BR9772" s="34"/>
      <c r="BV9772" s="34"/>
      <c r="BZ9772" s="34"/>
      <c r="CD9772" s="34"/>
    </row>
    <row r="9773" spans="70:82" x14ac:dyDescent="0.15">
      <c r="BR9773" s="34"/>
      <c r="BV9773" s="34"/>
      <c r="BZ9773" s="34"/>
      <c r="CD9773" s="34"/>
    </row>
    <row r="9774" spans="70:82" x14ac:dyDescent="0.15">
      <c r="BR9774" s="34"/>
      <c r="BV9774" s="34"/>
      <c r="BZ9774" s="34"/>
      <c r="CD9774" s="34"/>
    </row>
    <row r="9775" spans="70:82" x14ac:dyDescent="0.15">
      <c r="BR9775" s="34"/>
      <c r="BV9775" s="34"/>
      <c r="BZ9775" s="34"/>
      <c r="CD9775" s="34"/>
    </row>
    <row r="9776" spans="70:82" x14ac:dyDescent="0.15">
      <c r="BR9776" s="34"/>
      <c r="BV9776" s="34"/>
      <c r="BZ9776" s="34"/>
      <c r="CD9776" s="34"/>
    </row>
    <row r="9777" spans="70:82" x14ac:dyDescent="0.15">
      <c r="BR9777" s="34"/>
      <c r="BV9777" s="34"/>
      <c r="BZ9777" s="34"/>
      <c r="CD9777" s="34"/>
    </row>
    <row r="9778" spans="70:82" x14ac:dyDescent="0.15">
      <c r="BR9778" s="34"/>
      <c r="BV9778" s="34"/>
      <c r="BZ9778" s="34"/>
      <c r="CD9778" s="34"/>
    </row>
    <row r="9779" spans="70:82" x14ac:dyDescent="0.15">
      <c r="BR9779" s="34"/>
      <c r="BV9779" s="34"/>
      <c r="BZ9779" s="34"/>
      <c r="CD9779" s="34"/>
    </row>
    <row r="9780" spans="70:82" x14ac:dyDescent="0.15">
      <c r="BR9780" s="34"/>
      <c r="BV9780" s="34"/>
      <c r="BZ9780" s="34"/>
      <c r="CD9780" s="34"/>
    </row>
    <row r="9781" spans="70:82" x14ac:dyDescent="0.15">
      <c r="BR9781" s="34"/>
      <c r="BV9781" s="34"/>
      <c r="BZ9781" s="34"/>
      <c r="CD9781" s="34"/>
    </row>
    <row r="9782" spans="70:82" x14ac:dyDescent="0.15">
      <c r="BR9782" s="34"/>
      <c r="BV9782" s="34"/>
      <c r="BZ9782" s="34"/>
      <c r="CD9782" s="34"/>
    </row>
    <row r="9783" spans="70:82" x14ac:dyDescent="0.15">
      <c r="BR9783" s="34"/>
      <c r="BV9783" s="34"/>
      <c r="BZ9783" s="34"/>
      <c r="CD9783" s="34"/>
    </row>
    <row r="9784" spans="70:82" x14ac:dyDescent="0.15">
      <c r="BR9784" s="34"/>
      <c r="BV9784" s="34"/>
      <c r="BZ9784" s="34"/>
      <c r="CD9784" s="34"/>
    </row>
    <row r="9785" spans="70:82" x14ac:dyDescent="0.15">
      <c r="BR9785" s="34"/>
      <c r="BV9785" s="34"/>
      <c r="BZ9785" s="34"/>
      <c r="CD9785" s="34"/>
    </row>
    <row r="9786" spans="70:82" x14ac:dyDescent="0.15">
      <c r="BR9786" s="34"/>
      <c r="BV9786" s="34"/>
      <c r="BZ9786" s="34"/>
      <c r="CD9786" s="34"/>
    </row>
    <row r="9787" spans="70:82" x14ac:dyDescent="0.15">
      <c r="BR9787" s="34"/>
      <c r="BV9787" s="34"/>
      <c r="BZ9787" s="34"/>
      <c r="CD9787" s="34"/>
    </row>
    <row r="9788" spans="70:82" x14ac:dyDescent="0.15">
      <c r="BR9788" s="34"/>
      <c r="BV9788" s="34"/>
      <c r="BZ9788" s="34"/>
      <c r="CD9788" s="34"/>
    </row>
    <row r="9789" spans="70:82" x14ac:dyDescent="0.15">
      <c r="BR9789" s="34"/>
      <c r="BV9789" s="34"/>
      <c r="BZ9789" s="34"/>
      <c r="CD9789" s="34"/>
    </row>
    <row r="9790" spans="70:82" x14ac:dyDescent="0.15">
      <c r="BR9790" s="34"/>
      <c r="BV9790" s="34"/>
      <c r="BZ9790" s="34"/>
      <c r="CD9790" s="34"/>
    </row>
    <row r="9791" spans="70:82" x14ac:dyDescent="0.15">
      <c r="BR9791" s="34"/>
      <c r="BV9791" s="34"/>
      <c r="BZ9791" s="34"/>
      <c r="CD9791" s="34"/>
    </row>
    <row r="9792" spans="70:82" x14ac:dyDescent="0.15">
      <c r="BR9792" s="34"/>
      <c r="BV9792" s="34"/>
      <c r="BZ9792" s="34"/>
      <c r="CD9792" s="34"/>
    </row>
    <row r="9793" spans="70:82" x14ac:dyDescent="0.15">
      <c r="BR9793" s="34"/>
      <c r="BV9793" s="34"/>
      <c r="BZ9793" s="34"/>
      <c r="CD9793" s="34"/>
    </row>
    <row r="9794" spans="70:82" x14ac:dyDescent="0.15">
      <c r="BR9794" s="34"/>
      <c r="BV9794" s="34"/>
      <c r="BZ9794" s="34"/>
      <c r="CD9794" s="34"/>
    </row>
    <row r="9795" spans="70:82" x14ac:dyDescent="0.15">
      <c r="BR9795" s="34"/>
      <c r="BV9795" s="34"/>
      <c r="BZ9795" s="34"/>
      <c r="CD9795" s="34"/>
    </row>
    <row r="9796" spans="70:82" x14ac:dyDescent="0.15">
      <c r="BR9796" s="34"/>
      <c r="BV9796" s="34"/>
      <c r="BZ9796" s="34"/>
      <c r="CD9796" s="34"/>
    </row>
    <row r="9797" spans="70:82" x14ac:dyDescent="0.15">
      <c r="BR9797" s="34"/>
      <c r="BV9797" s="34"/>
      <c r="BZ9797" s="34"/>
      <c r="CD9797" s="34"/>
    </row>
    <row r="9798" spans="70:82" x14ac:dyDescent="0.15">
      <c r="BR9798" s="34"/>
      <c r="BV9798" s="34"/>
      <c r="BZ9798" s="34"/>
      <c r="CD9798" s="34"/>
    </row>
    <row r="9799" spans="70:82" x14ac:dyDescent="0.15">
      <c r="BR9799" s="34"/>
      <c r="BV9799" s="34"/>
      <c r="BZ9799" s="34"/>
      <c r="CD9799" s="34"/>
    </row>
    <row r="9800" spans="70:82" x14ac:dyDescent="0.15">
      <c r="BR9800" s="34"/>
      <c r="BV9800" s="34"/>
      <c r="BZ9800" s="34"/>
      <c r="CD9800" s="34"/>
    </row>
    <row r="9801" spans="70:82" x14ac:dyDescent="0.15">
      <c r="BR9801" s="34"/>
      <c r="BV9801" s="34"/>
      <c r="BZ9801" s="34"/>
      <c r="CD9801" s="34"/>
    </row>
    <row r="9802" spans="70:82" x14ac:dyDescent="0.15">
      <c r="BR9802" s="34"/>
      <c r="BV9802" s="34"/>
      <c r="BZ9802" s="34"/>
      <c r="CD9802" s="34"/>
    </row>
    <row r="9803" spans="70:82" x14ac:dyDescent="0.15">
      <c r="BR9803" s="34"/>
      <c r="BV9803" s="34"/>
      <c r="BZ9803" s="34"/>
      <c r="CD9803" s="34"/>
    </row>
    <row r="9804" spans="70:82" x14ac:dyDescent="0.15">
      <c r="BR9804" s="34"/>
      <c r="BV9804" s="34"/>
      <c r="BZ9804" s="34"/>
      <c r="CD9804" s="34"/>
    </row>
    <row r="9805" spans="70:82" x14ac:dyDescent="0.15">
      <c r="BR9805" s="34"/>
      <c r="BV9805" s="34"/>
      <c r="BZ9805" s="34"/>
      <c r="CD9805" s="34"/>
    </row>
    <row r="9806" spans="70:82" x14ac:dyDescent="0.15">
      <c r="BR9806" s="34"/>
      <c r="BV9806" s="34"/>
      <c r="BZ9806" s="34"/>
      <c r="CD9806" s="34"/>
    </row>
    <row r="9807" spans="70:82" x14ac:dyDescent="0.15">
      <c r="BR9807" s="34"/>
      <c r="BV9807" s="34"/>
      <c r="BZ9807" s="34"/>
      <c r="CD9807" s="34"/>
    </row>
    <row r="9808" spans="70:82" x14ac:dyDescent="0.15">
      <c r="BR9808" s="34"/>
      <c r="BV9808" s="34"/>
      <c r="BZ9808" s="34"/>
      <c r="CD9808" s="34"/>
    </row>
    <row r="9809" spans="70:82" x14ac:dyDescent="0.15">
      <c r="BR9809" s="34"/>
      <c r="BV9809" s="34"/>
      <c r="BZ9809" s="34"/>
      <c r="CD9809" s="34"/>
    </row>
    <row r="9810" spans="70:82" x14ac:dyDescent="0.15">
      <c r="BR9810" s="34"/>
      <c r="BV9810" s="34"/>
      <c r="BZ9810" s="34"/>
      <c r="CD9810" s="34"/>
    </row>
    <row r="9811" spans="70:82" x14ac:dyDescent="0.15">
      <c r="BR9811" s="34"/>
      <c r="BV9811" s="34"/>
      <c r="BZ9811" s="34"/>
      <c r="CD9811" s="34"/>
    </row>
    <row r="9812" spans="70:82" x14ac:dyDescent="0.15">
      <c r="BR9812" s="34"/>
      <c r="BV9812" s="34"/>
      <c r="BZ9812" s="34"/>
      <c r="CD9812" s="34"/>
    </row>
    <row r="9813" spans="70:82" x14ac:dyDescent="0.15">
      <c r="BR9813" s="34"/>
      <c r="BV9813" s="34"/>
      <c r="BZ9813" s="34"/>
      <c r="CD9813" s="34"/>
    </row>
    <row r="9814" spans="70:82" x14ac:dyDescent="0.15">
      <c r="BR9814" s="34"/>
      <c r="BV9814" s="34"/>
      <c r="BZ9814" s="34"/>
      <c r="CD9814" s="34"/>
    </row>
    <row r="9815" spans="70:82" x14ac:dyDescent="0.15">
      <c r="BR9815" s="34"/>
      <c r="BV9815" s="34"/>
      <c r="BZ9815" s="34"/>
      <c r="CD9815" s="34"/>
    </row>
    <row r="9816" spans="70:82" x14ac:dyDescent="0.15">
      <c r="BR9816" s="34"/>
      <c r="BV9816" s="34"/>
      <c r="BZ9816" s="34"/>
      <c r="CD9816" s="34"/>
    </row>
    <row r="9817" spans="70:82" x14ac:dyDescent="0.15">
      <c r="BR9817" s="34"/>
      <c r="BV9817" s="34"/>
      <c r="BZ9817" s="34"/>
      <c r="CD9817" s="34"/>
    </row>
    <row r="9818" spans="70:82" x14ac:dyDescent="0.15">
      <c r="BR9818" s="34"/>
      <c r="BV9818" s="34"/>
      <c r="BZ9818" s="34"/>
      <c r="CD9818" s="34"/>
    </row>
    <row r="9819" spans="70:82" x14ac:dyDescent="0.15">
      <c r="BR9819" s="34"/>
      <c r="BV9819" s="34"/>
      <c r="BZ9819" s="34"/>
      <c r="CD9819" s="34"/>
    </row>
    <row r="9820" spans="70:82" x14ac:dyDescent="0.15">
      <c r="BR9820" s="34"/>
      <c r="BV9820" s="34"/>
      <c r="BZ9820" s="34"/>
      <c r="CD9820" s="34"/>
    </row>
    <row r="9821" spans="70:82" x14ac:dyDescent="0.15">
      <c r="BR9821" s="34"/>
      <c r="BV9821" s="34"/>
      <c r="BZ9821" s="34"/>
      <c r="CD9821" s="34"/>
    </row>
    <row r="9822" spans="70:82" x14ac:dyDescent="0.15">
      <c r="BR9822" s="34"/>
      <c r="BV9822" s="34"/>
      <c r="BZ9822" s="34"/>
      <c r="CD9822" s="34"/>
    </row>
    <row r="9823" spans="70:82" x14ac:dyDescent="0.15">
      <c r="BR9823" s="34"/>
      <c r="BV9823" s="34"/>
      <c r="BZ9823" s="34"/>
      <c r="CD9823" s="34"/>
    </row>
    <row r="9824" spans="70:82" x14ac:dyDescent="0.15">
      <c r="BR9824" s="34"/>
      <c r="BV9824" s="34"/>
      <c r="BZ9824" s="34"/>
      <c r="CD9824" s="34"/>
    </row>
    <row r="9825" spans="70:82" x14ac:dyDescent="0.15">
      <c r="BR9825" s="34"/>
      <c r="BV9825" s="34"/>
      <c r="BZ9825" s="34"/>
      <c r="CD9825" s="34"/>
    </row>
    <row r="9826" spans="70:82" x14ac:dyDescent="0.15">
      <c r="BR9826" s="34"/>
      <c r="BV9826" s="34"/>
      <c r="BZ9826" s="34"/>
      <c r="CD9826" s="34"/>
    </row>
    <row r="9827" spans="70:82" x14ac:dyDescent="0.15">
      <c r="BR9827" s="34"/>
      <c r="BV9827" s="34"/>
      <c r="BZ9827" s="34"/>
      <c r="CD9827" s="34"/>
    </row>
    <row r="9828" spans="70:82" x14ac:dyDescent="0.15">
      <c r="BR9828" s="34"/>
      <c r="BV9828" s="34"/>
      <c r="BZ9828" s="34"/>
      <c r="CD9828" s="34"/>
    </row>
    <row r="9829" spans="70:82" x14ac:dyDescent="0.15">
      <c r="BR9829" s="34"/>
      <c r="BV9829" s="34"/>
      <c r="BZ9829" s="34"/>
      <c r="CD9829" s="34"/>
    </row>
    <row r="9830" spans="70:82" x14ac:dyDescent="0.15">
      <c r="BR9830" s="34"/>
      <c r="BV9830" s="34"/>
      <c r="BZ9830" s="34"/>
      <c r="CD9830" s="34"/>
    </row>
    <row r="9831" spans="70:82" x14ac:dyDescent="0.15">
      <c r="BR9831" s="34"/>
      <c r="BV9831" s="34"/>
      <c r="BZ9831" s="34"/>
      <c r="CD9831" s="34"/>
    </row>
    <row r="9832" spans="70:82" x14ac:dyDescent="0.15">
      <c r="BR9832" s="34"/>
      <c r="BV9832" s="34"/>
      <c r="BZ9832" s="34"/>
      <c r="CD9832" s="34"/>
    </row>
    <row r="9833" spans="70:82" x14ac:dyDescent="0.15">
      <c r="BR9833" s="34"/>
      <c r="BV9833" s="34"/>
      <c r="BZ9833" s="34"/>
      <c r="CD9833" s="34"/>
    </row>
    <row r="9834" spans="70:82" x14ac:dyDescent="0.15">
      <c r="BR9834" s="34"/>
      <c r="BV9834" s="34"/>
      <c r="BZ9834" s="34"/>
      <c r="CD9834" s="34"/>
    </row>
    <row r="9835" spans="70:82" x14ac:dyDescent="0.15">
      <c r="BR9835" s="34"/>
      <c r="BV9835" s="34"/>
      <c r="BZ9835" s="34"/>
      <c r="CD9835" s="34"/>
    </row>
    <row r="9836" spans="70:82" x14ac:dyDescent="0.15">
      <c r="BR9836" s="34"/>
      <c r="BV9836" s="34"/>
      <c r="BZ9836" s="34"/>
      <c r="CD9836" s="34"/>
    </row>
    <row r="9837" spans="70:82" x14ac:dyDescent="0.15">
      <c r="BR9837" s="34"/>
      <c r="BV9837" s="34"/>
      <c r="BZ9837" s="34"/>
      <c r="CD9837" s="34"/>
    </row>
    <row r="9838" spans="70:82" x14ac:dyDescent="0.15">
      <c r="BR9838" s="34"/>
      <c r="BV9838" s="34"/>
      <c r="BZ9838" s="34"/>
      <c r="CD9838" s="34"/>
    </row>
    <row r="9839" spans="70:82" x14ac:dyDescent="0.15">
      <c r="BR9839" s="34"/>
      <c r="BV9839" s="34"/>
      <c r="BZ9839" s="34"/>
      <c r="CD9839" s="34"/>
    </row>
    <row r="9840" spans="70:82" x14ac:dyDescent="0.15">
      <c r="BR9840" s="34"/>
      <c r="BV9840" s="34"/>
      <c r="BZ9840" s="34"/>
      <c r="CD9840" s="34"/>
    </row>
    <row r="9841" spans="70:82" x14ac:dyDescent="0.15">
      <c r="BR9841" s="34"/>
      <c r="BV9841" s="34"/>
      <c r="BZ9841" s="34"/>
      <c r="CD9841" s="34"/>
    </row>
    <row r="9842" spans="70:82" x14ac:dyDescent="0.15">
      <c r="BR9842" s="34"/>
      <c r="BV9842" s="34"/>
      <c r="BZ9842" s="34"/>
      <c r="CD9842" s="34"/>
    </row>
    <row r="9843" spans="70:82" x14ac:dyDescent="0.15">
      <c r="BR9843" s="34"/>
      <c r="BV9843" s="34"/>
      <c r="BZ9843" s="34"/>
      <c r="CD9843" s="34"/>
    </row>
    <row r="9844" spans="70:82" x14ac:dyDescent="0.15">
      <c r="BR9844" s="34"/>
      <c r="BV9844" s="34"/>
      <c r="BZ9844" s="34"/>
      <c r="CD9844" s="34"/>
    </row>
    <row r="9845" spans="70:82" x14ac:dyDescent="0.15">
      <c r="BR9845" s="34"/>
      <c r="BV9845" s="34"/>
      <c r="BZ9845" s="34"/>
      <c r="CD9845" s="34"/>
    </row>
    <row r="9846" spans="70:82" x14ac:dyDescent="0.15">
      <c r="BR9846" s="34"/>
      <c r="BV9846" s="34"/>
      <c r="BZ9846" s="34"/>
      <c r="CD9846" s="34"/>
    </row>
    <row r="9847" spans="70:82" x14ac:dyDescent="0.15">
      <c r="BR9847" s="34"/>
      <c r="BV9847" s="34"/>
      <c r="BZ9847" s="34"/>
      <c r="CD9847" s="34"/>
    </row>
    <row r="9848" spans="70:82" x14ac:dyDescent="0.15">
      <c r="BR9848" s="34"/>
      <c r="BV9848" s="34"/>
      <c r="BZ9848" s="34"/>
      <c r="CD9848" s="34"/>
    </row>
    <row r="9849" spans="70:82" x14ac:dyDescent="0.15">
      <c r="BR9849" s="34"/>
      <c r="BV9849" s="34"/>
      <c r="BZ9849" s="34"/>
      <c r="CD9849" s="34"/>
    </row>
    <row r="9850" spans="70:82" x14ac:dyDescent="0.15">
      <c r="BR9850" s="34"/>
      <c r="BV9850" s="34"/>
      <c r="BZ9850" s="34"/>
      <c r="CD9850" s="34"/>
    </row>
    <row r="9851" spans="70:82" x14ac:dyDescent="0.15">
      <c r="BR9851" s="34"/>
      <c r="BV9851" s="34"/>
      <c r="BZ9851" s="34"/>
      <c r="CD9851" s="34"/>
    </row>
    <row r="9852" spans="70:82" x14ac:dyDescent="0.15">
      <c r="BR9852" s="34"/>
      <c r="BV9852" s="34"/>
      <c r="BZ9852" s="34"/>
      <c r="CD9852" s="34"/>
    </row>
    <row r="9853" spans="70:82" x14ac:dyDescent="0.15">
      <c r="BR9853" s="34"/>
      <c r="BV9853" s="34"/>
      <c r="BZ9853" s="34"/>
      <c r="CD9853" s="34"/>
    </row>
    <row r="9854" spans="70:82" x14ac:dyDescent="0.15">
      <c r="BR9854" s="34"/>
      <c r="BV9854" s="34"/>
      <c r="BZ9854" s="34"/>
      <c r="CD9854" s="34"/>
    </row>
    <row r="9855" spans="70:82" x14ac:dyDescent="0.15">
      <c r="BR9855" s="34"/>
      <c r="BV9855" s="34"/>
      <c r="BZ9855" s="34"/>
      <c r="CD9855" s="34"/>
    </row>
    <row r="9856" spans="70:82" x14ac:dyDescent="0.15">
      <c r="BR9856" s="34"/>
      <c r="BV9856" s="34"/>
      <c r="BZ9856" s="34"/>
      <c r="CD9856" s="34"/>
    </row>
    <row r="9857" spans="70:82" x14ac:dyDescent="0.15">
      <c r="BR9857" s="34"/>
      <c r="BV9857" s="34"/>
      <c r="BZ9857" s="34"/>
      <c r="CD9857" s="34"/>
    </row>
    <row r="9858" spans="70:82" x14ac:dyDescent="0.15">
      <c r="BR9858" s="34"/>
      <c r="BV9858" s="34"/>
      <c r="BZ9858" s="34"/>
      <c r="CD9858" s="34"/>
    </row>
    <row r="9859" spans="70:82" x14ac:dyDescent="0.15">
      <c r="BR9859" s="34"/>
      <c r="BV9859" s="34"/>
      <c r="BZ9859" s="34"/>
      <c r="CD9859" s="34"/>
    </row>
    <row r="9860" spans="70:82" x14ac:dyDescent="0.15">
      <c r="BR9860" s="34"/>
      <c r="BV9860" s="34"/>
      <c r="BZ9860" s="34"/>
      <c r="CD9860" s="34"/>
    </row>
    <row r="9861" spans="70:82" x14ac:dyDescent="0.15">
      <c r="BR9861" s="34"/>
      <c r="BV9861" s="34"/>
      <c r="BZ9861" s="34"/>
      <c r="CD9861" s="34"/>
    </row>
    <row r="9862" spans="70:82" x14ac:dyDescent="0.15">
      <c r="BR9862" s="34"/>
      <c r="BV9862" s="34"/>
      <c r="BZ9862" s="34"/>
      <c r="CD9862" s="34"/>
    </row>
    <row r="9863" spans="70:82" x14ac:dyDescent="0.15">
      <c r="BR9863" s="34"/>
      <c r="BV9863" s="34"/>
      <c r="BZ9863" s="34"/>
      <c r="CD9863" s="34"/>
    </row>
    <row r="9864" spans="70:82" x14ac:dyDescent="0.15">
      <c r="BR9864" s="34"/>
      <c r="BV9864" s="34"/>
      <c r="BZ9864" s="34"/>
      <c r="CD9864" s="34"/>
    </row>
    <row r="9865" spans="70:82" x14ac:dyDescent="0.15">
      <c r="BR9865" s="34"/>
      <c r="BV9865" s="34"/>
      <c r="BZ9865" s="34"/>
      <c r="CD9865" s="34"/>
    </row>
    <row r="9866" spans="70:82" x14ac:dyDescent="0.15">
      <c r="BR9866" s="34"/>
      <c r="BV9866" s="34"/>
      <c r="BZ9866" s="34"/>
      <c r="CD9866" s="34"/>
    </row>
    <row r="9867" spans="70:82" x14ac:dyDescent="0.15">
      <c r="BR9867" s="34"/>
      <c r="BV9867" s="34"/>
      <c r="BZ9867" s="34"/>
      <c r="CD9867" s="34"/>
    </row>
    <row r="9868" spans="70:82" x14ac:dyDescent="0.15">
      <c r="BR9868" s="34"/>
      <c r="BV9868" s="34"/>
      <c r="BZ9868" s="34"/>
      <c r="CD9868" s="34"/>
    </row>
    <row r="9869" spans="70:82" x14ac:dyDescent="0.15">
      <c r="BR9869" s="34"/>
      <c r="BV9869" s="34"/>
      <c r="BZ9869" s="34"/>
      <c r="CD9869" s="34"/>
    </row>
    <row r="9870" spans="70:82" x14ac:dyDescent="0.15">
      <c r="BR9870" s="34"/>
      <c r="BV9870" s="34"/>
      <c r="BZ9870" s="34"/>
      <c r="CD9870" s="34"/>
    </row>
    <row r="9871" spans="70:82" x14ac:dyDescent="0.15">
      <c r="BR9871" s="34"/>
      <c r="BV9871" s="34"/>
      <c r="BZ9871" s="34"/>
      <c r="CD9871" s="34"/>
    </row>
    <row r="9872" spans="70:82" x14ac:dyDescent="0.15">
      <c r="BR9872" s="34"/>
      <c r="BV9872" s="34"/>
      <c r="BZ9872" s="34"/>
      <c r="CD9872" s="34"/>
    </row>
    <row r="9873" spans="70:82" x14ac:dyDescent="0.15">
      <c r="BR9873" s="34"/>
      <c r="BV9873" s="34"/>
      <c r="BZ9873" s="34"/>
      <c r="CD9873" s="34"/>
    </row>
    <row r="9874" spans="70:82" x14ac:dyDescent="0.15">
      <c r="BR9874" s="34"/>
      <c r="BV9874" s="34"/>
      <c r="BZ9874" s="34"/>
      <c r="CD9874" s="34"/>
    </row>
    <row r="9875" spans="70:82" x14ac:dyDescent="0.15">
      <c r="BR9875" s="34"/>
      <c r="BV9875" s="34"/>
      <c r="BZ9875" s="34"/>
      <c r="CD9875" s="34"/>
    </row>
    <row r="9876" spans="70:82" x14ac:dyDescent="0.15">
      <c r="BR9876" s="34"/>
      <c r="BV9876" s="34"/>
      <c r="BZ9876" s="34"/>
      <c r="CD9876" s="34"/>
    </row>
    <row r="9877" spans="70:82" x14ac:dyDescent="0.15">
      <c r="BR9877" s="34"/>
      <c r="BV9877" s="34"/>
      <c r="BZ9877" s="34"/>
      <c r="CD9877" s="34"/>
    </row>
    <row r="9878" spans="70:82" x14ac:dyDescent="0.15">
      <c r="BR9878" s="34"/>
      <c r="BV9878" s="34"/>
      <c r="BZ9878" s="34"/>
      <c r="CD9878" s="34"/>
    </row>
    <row r="9879" spans="70:82" x14ac:dyDescent="0.15">
      <c r="BR9879" s="34"/>
      <c r="BV9879" s="34"/>
      <c r="BZ9879" s="34"/>
      <c r="CD9879" s="34"/>
    </row>
    <row r="9880" spans="70:82" x14ac:dyDescent="0.15">
      <c r="BR9880" s="34"/>
      <c r="BV9880" s="34"/>
      <c r="BZ9880" s="34"/>
      <c r="CD9880" s="34"/>
    </row>
    <row r="9881" spans="70:82" x14ac:dyDescent="0.15">
      <c r="BR9881" s="34"/>
      <c r="BV9881" s="34"/>
      <c r="BZ9881" s="34"/>
      <c r="CD9881" s="34"/>
    </row>
    <row r="9882" spans="70:82" x14ac:dyDescent="0.15">
      <c r="BR9882" s="34"/>
      <c r="BV9882" s="34"/>
      <c r="BZ9882" s="34"/>
      <c r="CD9882" s="34"/>
    </row>
    <row r="9883" spans="70:82" x14ac:dyDescent="0.15">
      <c r="BR9883" s="34"/>
      <c r="BV9883" s="34"/>
      <c r="BZ9883" s="34"/>
      <c r="CD9883" s="34"/>
    </row>
    <row r="9884" spans="70:82" x14ac:dyDescent="0.15">
      <c r="BR9884" s="34"/>
      <c r="BV9884" s="34"/>
      <c r="BZ9884" s="34"/>
      <c r="CD9884" s="34"/>
    </row>
    <row r="9885" spans="70:82" x14ac:dyDescent="0.15">
      <c r="BR9885" s="34"/>
      <c r="BV9885" s="34"/>
      <c r="BZ9885" s="34"/>
      <c r="CD9885" s="34"/>
    </row>
    <row r="9886" spans="70:82" x14ac:dyDescent="0.15">
      <c r="BR9886" s="34"/>
      <c r="BV9886" s="34"/>
      <c r="BZ9886" s="34"/>
      <c r="CD9886" s="34"/>
    </row>
    <row r="9887" spans="70:82" x14ac:dyDescent="0.15">
      <c r="BR9887" s="34"/>
      <c r="BV9887" s="34"/>
      <c r="BZ9887" s="34"/>
      <c r="CD9887" s="34"/>
    </row>
    <row r="9888" spans="70:82" x14ac:dyDescent="0.15">
      <c r="BR9888" s="34"/>
      <c r="BV9888" s="34"/>
      <c r="BZ9888" s="34"/>
      <c r="CD9888" s="34"/>
    </row>
    <row r="9889" spans="70:82" x14ac:dyDescent="0.15">
      <c r="BR9889" s="34"/>
      <c r="BV9889" s="34"/>
      <c r="BZ9889" s="34"/>
      <c r="CD9889" s="34"/>
    </row>
    <row r="9890" spans="70:82" x14ac:dyDescent="0.15">
      <c r="BR9890" s="34"/>
      <c r="BV9890" s="34"/>
      <c r="BZ9890" s="34"/>
      <c r="CD9890" s="34"/>
    </row>
    <row r="9891" spans="70:82" x14ac:dyDescent="0.15">
      <c r="BR9891" s="34"/>
      <c r="BV9891" s="34"/>
      <c r="BZ9891" s="34"/>
      <c r="CD9891" s="34"/>
    </row>
    <row r="9892" spans="70:82" x14ac:dyDescent="0.15">
      <c r="BR9892" s="34"/>
      <c r="BV9892" s="34"/>
      <c r="BZ9892" s="34"/>
      <c r="CD9892" s="34"/>
    </row>
    <row r="9893" spans="70:82" x14ac:dyDescent="0.15">
      <c r="BR9893" s="34"/>
      <c r="BV9893" s="34"/>
      <c r="BZ9893" s="34"/>
      <c r="CD9893" s="34"/>
    </row>
    <row r="9894" spans="70:82" x14ac:dyDescent="0.15">
      <c r="BR9894" s="34"/>
      <c r="BV9894" s="34"/>
      <c r="BZ9894" s="34"/>
      <c r="CD9894" s="34"/>
    </row>
    <row r="9895" spans="70:82" x14ac:dyDescent="0.15">
      <c r="BR9895" s="34"/>
      <c r="BV9895" s="34"/>
      <c r="BZ9895" s="34"/>
      <c r="CD9895" s="34"/>
    </row>
    <row r="9896" spans="70:82" x14ac:dyDescent="0.15">
      <c r="BR9896" s="34"/>
      <c r="BV9896" s="34"/>
      <c r="BZ9896" s="34"/>
      <c r="CD9896" s="34"/>
    </row>
    <row r="9897" spans="70:82" x14ac:dyDescent="0.15">
      <c r="BR9897" s="34"/>
      <c r="BV9897" s="34"/>
      <c r="BZ9897" s="34"/>
      <c r="CD9897" s="34"/>
    </row>
    <row r="9898" spans="70:82" x14ac:dyDescent="0.15">
      <c r="BR9898" s="34"/>
      <c r="BV9898" s="34"/>
      <c r="BZ9898" s="34"/>
      <c r="CD9898" s="34"/>
    </row>
    <row r="9899" spans="70:82" x14ac:dyDescent="0.15">
      <c r="BR9899" s="34"/>
      <c r="BV9899" s="34"/>
      <c r="BZ9899" s="34"/>
      <c r="CD9899" s="34"/>
    </row>
    <row r="9900" spans="70:82" x14ac:dyDescent="0.15">
      <c r="BR9900" s="34"/>
      <c r="BV9900" s="34"/>
      <c r="BZ9900" s="34"/>
      <c r="CD9900" s="34"/>
    </row>
    <row r="9901" spans="70:82" x14ac:dyDescent="0.15">
      <c r="BR9901" s="34"/>
      <c r="BV9901" s="34"/>
      <c r="BZ9901" s="34"/>
      <c r="CD9901" s="34"/>
    </row>
    <row r="9902" spans="70:82" x14ac:dyDescent="0.15">
      <c r="BR9902" s="34"/>
      <c r="BV9902" s="34"/>
      <c r="BZ9902" s="34"/>
      <c r="CD9902" s="34"/>
    </row>
    <row r="9903" spans="70:82" x14ac:dyDescent="0.15">
      <c r="BR9903" s="34"/>
      <c r="BV9903" s="34"/>
      <c r="BZ9903" s="34"/>
      <c r="CD9903" s="34"/>
    </row>
    <row r="9904" spans="70:82" x14ac:dyDescent="0.15">
      <c r="BR9904" s="34"/>
      <c r="BV9904" s="34"/>
      <c r="BZ9904" s="34"/>
      <c r="CD9904" s="34"/>
    </row>
    <row r="9905" spans="70:82" x14ac:dyDescent="0.15">
      <c r="BR9905" s="34"/>
      <c r="BV9905" s="34"/>
      <c r="BZ9905" s="34"/>
      <c r="CD9905" s="34"/>
    </row>
    <row r="9906" spans="70:82" x14ac:dyDescent="0.15">
      <c r="BR9906" s="34"/>
      <c r="BV9906" s="34"/>
      <c r="BZ9906" s="34"/>
      <c r="CD9906" s="34"/>
    </row>
    <row r="9907" spans="70:82" x14ac:dyDescent="0.15">
      <c r="BR9907" s="34"/>
      <c r="BV9907" s="34"/>
      <c r="BZ9907" s="34"/>
      <c r="CD9907" s="34"/>
    </row>
    <row r="9908" spans="70:82" x14ac:dyDescent="0.15">
      <c r="BR9908" s="34"/>
      <c r="BV9908" s="34"/>
      <c r="BZ9908" s="34"/>
      <c r="CD9908" s="34"/>
    </row>
    <row r="9909" spans="70:82" x14ac:dyDescent="0.15">
      <c r="BR9909" s="34"/>
      <c r="BV9909" s="34"/>
      <c r="BZ9909" s="34"/>
      <c r="CD9909" s="34"/>
    </row>
    <row r="9910" spans="70:82" x14ac:dyDescent="0.15">
      <c r="BR9910" s="34"/>
      <c r="BV9910" s="34"/>
      <c r="BZ9910" s="34"/>
      <c r="CD9910" s="34"/>
    </row>
    <row r="9911" spans="70:82" x14ac:dyDescent="0.15">
      <c r="BR9911" s="34"/>
      <c r="BV9911" s="34"/>
      <c r="BZ9911" s="34"/>
      <c r="CD9911" s="34"/>
    </row>
    <row r="9912" spans="70:82" x14ac:dyDescent="0.15">
      <c r="BR9912" s="34"/>
      <c r="BV9912" s="34"/>
      <c r="BZ9912" s="34"/>
      <c r="CD9912" s="34"/>
    </row>
    <row r="9913" spans="70:82" x14ac:dyDescent="0.15">
      <c r="BR9913" s="34"/>
      <c r="BV9913" s="34"/>
      <c r="BZ9913" s="34"/>
      <c r="CD9913" s="34"/>
    </row>
    <row r="9914" spans="70:82" x14ac:dyDescent="0.15">
      <c r="BR9914" s="34"/>
      <c r="BV9914" s="34"/>
      <c r="BZ9914" s="34"/>
      <c r="CD9914" s="34"/>
    </row>
    <row r="9915" spans="70:82" x14ac:dyDescent="0.15">
      <c r="BR9915" s="34"/>
      <c r="BV9915" s="34"/>
      <c r="BZ9915" s="34"/>
      <c r="CD9915" s="34"/>
    </row>
    <row r="9916" spans="70:82" x14ac:dyDescent="0.15">
      <c r="BR9916" s="34"/>
      <c r="BV9916" s="34"/>
      <c r="BZ9916" s="34"/>
      <c r="CD9916" s="34"/>
    </row>
    <row r="9917" spans="70:82" x14ac:dyDescent="0.15">
      <c r="BR9917" s="34"/>
      <c r="BV9917" s="34"/>
      <c r="BZ9917" s="34"/>
      <c r="CD9917" s="34"/>
    </row>
    <row r="9918" spans="70:82" x14ac:dyDescent="0.15">
      <c r="BR9918" s="34"/>
      <c r="BV9918" s="34"/>
      <c r="BZ9918" s="34"/>
      <c r="CD9918" s="34"/>
    </row>
    <row r="9919" spans="70:82" x14ac:dyDescent="0.15">
      <c r="BR9919" s="34"/>
      <c r="BV9919" s="34"/>
      <c r="BZ9919" s="34"/>
      <c r="CD9919" s="34"/>
    </row>
    <row r="9920" spans="70:82" x14ac:dyDescent="0.15">
      <c r="BR9920" s="34"/>
      <c r="BV9920" s="34"/>
      <c r="BZ9920" s="34"/>
      <c r="CD9920" s="34"/>
    </row>
    <row r="9921" spans="70:82" x14ac:dyDescent="0.15">
      <c r="BR9921" s="34"/>
      <c r="BV9921" s="34"/>
      <c r="BZ9921" s="34"/>
      <c r="CD9921" s="34"/>
    </row>
    <row r="9922" spans="70:82" x14ac:dyDescent="0.15">
      <c r="BR9922" s="34"/>
      <c r="BV9922" s="34"/>
      <c r="BZ9922" s="34"/>
      <c r="CD9922" s="34"/>
    </row>
    <row r="9923" spans="70:82" x14ac:dyDescent="0.15">
      <c r="BR9923" s="34"/>
      <c r="BV9923" s="34"/>
      <c r="BZ9923" s="34"/>
      <c r="CD9923" s="34"/>
    </row>
    <row r="9924" spans="70:82" x14ac:dyDescent="0.15">
      <c r="BR9924" s="34"/>
      <c r="BV9924" s="34"/>
      <c r="BZ9924" s="34"/>
      <c r="CD9924" s="34"/>
    </row>
    <row r="9925" spans="70:82" x14ac:dyDescent="0.15">
      <c r="BR9925" s="34"/>
      <c r="BV9925" s="34"/>
      <c r="BZ9925" s="34"/>
      <c r="CD9925" s="34"/>
    </row>
    <row r="9926" spans="70:82" x14ac:dyDescent="0.15">
      <c r="BR9926" s="34"/>
      <c r="BV9926" s="34"/>
      <c r="BZ9926" s="34"/>
      <c r="CD9926" s="34"/>
    </row>
    <row r="9927" spans="70:82" x14ac:dyDescent="0.15">
      <c r="BR9927" s="34"/>
      <c r="BV9927" s="34"/>
      <c r="BZ9927" s="34"/>
      <c r="CD9927" s="34"/>
    </row>
    <row r="9928" spans="70:82" x14ac:dyDescent="0.15">
      <c r="BR9928" s="34"/>
      <c r="BV9928" s="34"/>
      <c r="BZ9928" s="34"/>
      <c r="CD9928" s="34"/>
    </row>
    <row r="9929" spans="70:82" x14ac:dyDescent="0.15">
      <c r="BR9929" s="34"/>
      <c r="BV9929" s="34"/>
      <c r="BZ9929" s="34"/>
      <c r="CD9929" s="34"/>
    </row>
    <row r="9930" spans="70:82" x14ac:dyDescent="0.15">
      <c r="BR9930" s="34"/>
      <c r="BV9930" s="34"/>
      <c r="BZ9930" s="34"/>
      <c r="CD9930" s="34"/>
    </row>
    <row r="9931" spans="70:82" x14ac:dyDescent="0.15">
      <c r="BR9931" s="34"/>
      <c r="BV9931" s="34"/>
      <c r="BZ9931" s="34"/>
      <c r="CD9931" s="34"/>
    </row>
    <row r="9932" spans="70:82" x14ac:dyDescent="0.15">
      <c r="BR9932" s="34"/>
      <c r="BV9932" s="34"/>
      <c r="BZ9932" s="34"/>
      <c r="CD9932" s="34"/>
    </row>
    <row r="9933" spans="70:82" x14ac:dyDescent="0.15">
      <c r="BR9933" s="34"/>
      <c r="BV9933" s="34"/>
      <c r="BZ9933" s="34"/>
      <c r="CD9933" s="34"/>
    </row>
    <row r="9934" spans="70:82" x14ac:dyDescent="0.15">
      <c r="BR9934" s="34"/>
      <c r="BV9934" s="34"/>
      <c r="BZ9934" s="34"/>
      <c r="CD9934" s="34"/>
    </row>
    <row r="9935" spans="70:82" x14ac:dyDescent="0.15">
      <c r="BR9935" s="34"/>
      <c r="BV9935" s="34"/>
      <c r="BZ9935" s="34"/>
      <c r="CD9935" s="34"/>
    </row>
    <row r="9936" spans="70:82" x14ac:dyDescent="0.15">
      <c r="BR9936" s="34"/>
      <c r="BV9936" s="34"/>
      <c r="BZ9936" s="34"/>
      <c r="CD9936" s="34"/>
    </row>
    <row r="9937" spans="70:82" x14ac:dyDescent="0.15">
      <c r="BR9937" s="34"/>
      <c r="BV9937" s="34"/>
      <c r="BZ9937" s="34"/>
      <c r="CD9937" s="34"/>
    </row>
    <row r="9938" spans="70:82" x14ac:dyDescent="0.15">
      <c r="BR9938" s="34"/>
      <c r="BV9938" s="34"/>
      <c r="BZ9938" s="34"/>
      <c r="CD9938" s="34"/>
    </row>
    <row r="9939" spans="70:82" x14ac:dyDescent="0.15">
      <c r="BR9939" s="34"/>
      <c r="BV9939" s="34"/>
      <c r="BZ9939" s="34"/>
      <c r="CD9939" s="34"/>
    </row>
    <row r="9940" spans="70:82" x14ac:dyDescent="0.15">
      <c r="BR9940" s="34"/>
      <c r="BV9940" s="34"/>
      <c r="BZ9940" s="34"/>
      <c r="CD9940" s="34"/>
    </row>
    <row r="9941" spans="70:82" x14ac:dyDescent="0.15">
      <c r="BR9941" s="34"/>
      <c r="BV9941" s="34"/>
      <c r="BZ9941" s="34"/>
      <c r="CD9941" s="34"/>
    </row>
    <row r="9942" spans="70:82" x14ac:dyDescent="0.15">
      <c r="BR9942" s="34"/>
      <c r="BV9942" s="34"/>
      <c r="BZ9942" s="34"/>
      <c r="CD9942" s="34"/>
    </row>
    <row r="9943" spans="70:82" x14ac:dyDescent="0.15">
      <c r="BR9943" s="34"/>
      <c r="BV9943" s="34"/>
      <c r="BZ9943" s="34"/>
      <c r="CD9943" s="34"/>
    </row>
    <row r="9944" spans="70:82" x14ac:dyDescent="0.15">
      <c r="BR9944" s="34"/>
      <c r="BV9944" s="34"/>
      <c r="BZ9944" s="34"/>
      <c r="CD9944" s="34"/>
    </row>
    <row r="9945" spans="70:82" x14ac:dyDescent="0.15">
      <c r="BR9945" s="34"/>
      <c r="BV9945" s="34"/>
      <c r="BZ9945" s="34"/>
      <c r="CD9945" s="34"/>
    </row>
    <row r="9946" spans="70:82" x14ac:dyDescent="0.15">
      <c r="BR9946" s="34"/>
      <c r="BV9946" s="34"/>
      <c r="BZ9946" s="34"/>
      <c r="CD9946" s="34"/>
    </row>
    <row r="9947" spans="70:82" x14ac:dyDescent="0.15">
      <c r="BR9947" s="34"/>
      <c r="BV9947" s="34"/>
      <c r="BZ9947" s="34"/>
      <c r="CD9947" s="34"/>
    </row>
    <row r="9948" spans="70:82" x14ac:dyDescent="0.15">
      <c r="BR9948" s="34"/>
      <c r="BV9948" s="34"/>
      <c r="BZ9948" s="34"/>
      <c r="CD9948" s="34"/>
    </row>
    <row r="9949" spans="70:82" x14ac:dyDescent="0.15">
      <c r="BR9949" s="34"/>
      <c r="BV9949" s="34"/>
      <c r="BZ9949" s="34"/>
      <c r="CD9949" s="34"/>
    </row>
    <row r="9950" spans="70:82" x14ac:dyDescent="0.15">
      <c r="BR9950" s="34"/>
      <c r="BV9950" s="34"/>
      <c r="BZ9950" s="34"/>
      <c r="CD9950" s="34"/>
    </row>
    <row r="9951" spans="70:82" x14ac:dyDescent="0.15">
      <c r="BR9951" s="34"/>
      <c r="BV9951" s="34"/>
      <c r="BZ9951" s="34"/>
      <c r="CD9951" s="34"/>
    </row>
    <row r="9952" spans="70:82" x14ac:dyDescent="0.15">
      <c r="BR9952" s="34"/>
      <c r="BV9952" s="34"/>
      <c r="BZ9952" s="34"/>
      <c r="CD9952" s="34"/>
    </row>
    <row r="9953" spans="70:82" x14ac:dyDescent="0.15">
      <c r="BR9953" s="34"/>
      <c r="BV9953" s="34"/>
      <c r="BZ9953" s="34"/>
      <c r="CD9953" s="34"/>
    </row>
    <row r="9954" spans="70:82" x14ac:dyDescent="0.15">
      <c r="BR9954" s="34"/>
      <c r="BV9954" s="34"/>
      <c r="BZ9954" s="34"/>
      <c r="CD9954" s="34"/>
    </row>
    <row r="9955" spans="70:82" x14ac:dyDescent="0.15">
      <c r="BR9955" s="34"/>
      <c r="BV9955" s="34"/>
      <c r="BZ9955" s="34"/>
      <c r="CD9955" s="34"/>
    </row>
    <row r="9956" spans="70:82" x14ac:dyDescent="0.15">
      <c r="BR9956" s="34"/>
      <c r="BV9956" s="34"/>
      <c r="BZ9956" s="34"/>
      <c r="CD9956" s="34"/>
    </row>
    <row r="9957" spans="70:82" x14ac:dyDescent="0.15">
      <c r="BR9957" s="34"/>
      <c r="BV9957" s="34"/>
      <c r="BZ9957" s="34"/>
      <c r="CD9957" s="34"/>
    </row>
    <row r="9958" spans="70:82" x14ac:dyDescent="0.15">
      <c r="BR9958" s="34"/>
      <c r="BV9958" s="34"/>
      <c r="BZ9958" s="34"/>
      <c r="CD9958" s="34"/>
    </row>
    <row r="9959" spans="70:82" x14ac:dyDescent="0.15">
      <c r="BR9959" s="34"/>
      <c r="BV9959" s="34"/>
      <c r="BZ9959" s="34"/>
      <c r="CD9959" s="34"/>
    </row>
    <row r="9960" spans="70:82" x14ac:dyDescent="0.15">
      <c r="BR9960" s="34"/>
      <c r="BV9960" s="34"/>
      <c r="BZ9960" s="34"/>
      <c r="CD9960" s="34"/>
    </row>
    <row r="9961" spans="70:82" x14ac:dyDescent="0.15">
      <c r="BR9961" s="34"/>
      <c r="BV9961" s="34"/>
      <c r="BZ9961" s="34"/>
      <c r="CD9961" s="34"/>
    </row>
    <row r="9962" spans="70:82" x14ac:dyDescent="0.15">
      <c r="BR9962" s="34"/>
      <c r="BV9962" s="34"/>
      <c r="BZ9962" s="34"/>
      <c r="CD9962" s="34"/>
    </row>
    <row r="9963" spans="70:82" x14ac:dyDescent="0.15">
      <c r="BR9963" s="34"/>
      <c r="BV9963" s="34"/>
      <c r="BZ9963" s="34"/>
      <c r="CD9963" s="34"/>
    </row>
    <row r="9964" spans="70:82" x14ac:dyDescent="0.15">
      <c r="BR9964" s="34"/>
      <c r="BV9964" s="34"/>
      <c r="BZ9964" s="34"/>
      <c r="CD9964" s="34"/>
    </row>
    <row r="9965" spans="70:82" x14ac:dyDescent="0.15">
      <c r="BR9965" s="34"/>
      <c r="BV9965" s="34"/>
      <c r="BZ9965" s="34"/>
      <c r="CD9965" s="34"/>
    </row>
    <row r="9966" spans="70:82" x14ac:dyDescent="0.15">
      <c r="BR9966" s="34"/>
      <c r="BV9966" s="34"/>
      <c r="BZ9966" s="34"/>
      <c r="CD9966" s="34"/>
    </row>
    <row r="9967" spans="70:82" x14ac:dyDescent="0.15">
      <c r="BR9967" s="34"/>
      <c r="BV9967" s="34"/>
      <c r="BZ9967" s="34"/>
      <c r="CD9967" s="34"/>
    </row>
    <row r="9968" spans="70:82" x14ac:dyDescent="0.15">
      <c r="BR9968" s="34"/>
      <c r="BV9968" s="34"/>
      <c r="BZ9968" s="34"/>
      <c r="CD9968" s="34"/>
    </row>
    <row r="9969" spans="70:82" x14ac:dyDescent="0.15">
      <c r="BR9969" s="34"/>
      <c r="BV9969" s="34"/>
      <c r="BZ9969" s="34"/>
      <c r="CD9969" s="34"/>
    </row>
    <row r="9970" spans="70:82" x14ac:dyDescent="0.15">
      <c r="BR9970" s="34"/>
      <c r="BV9970" s="34"/>
      <c r="BZ9970" s="34"/>
      <c r="CD9970" s="34"/>
    </row>
    <row r="9971" spans="70:82" x14ac:dyDescent="0.15">
      <c r="BR9971" s="34"/>
      <c r="BV9971" s="34"/>
      <c r="BZ9971" s="34"/>
      <c r="CD9971" s="34"/>
    </row>
    <row r="9972" spans="70:82" x14ac:dyDescent="0.15">
      <c r="BR9972" s="34"/>
      <c r="BV9972" s="34"/>
      <c r="BZ9972" s="34"/>
      <c r="CD9972" s="34"/>
    </row>
    <row r="9973" spans="70:82" x14ac:dyDescent="0.15">
      <c r="BR9973" s="34"/>
      <c r="BV9973" s="34"/>
      <c r="BZ9973" s="34"/>
      <c r="CD9973" s="34"/>
    </row>
    <row r="9974" spans="70:82" x14ac:dyDescent="0.15">
      <c r="BR9974" s="34"/>
      <c r="BV9974" s="34"/>
      <c r="BZ9974" s="34"/>
      <c r="CD9974" s="34"/>
    </row>
    <row r="9975" spans="70:82" x14ac:dyDescent="0.15">
      <c r="BR9975" s="34"/>
      <c r="BV9975" s="34"/>
      <c r="BZ9975" s="34"/>
      <c r="CD9975" s="34"/>
    </row>
    <row r="9976" spans="70:82" x14ac:dyDescent="0.15">
      <c r="BR9976" s="34"/>
      <c r="BV9976" s="34"/>
      <c r="BZ9976" s="34"/>
      <c r="CD9976" s="34"/>
    </row>
    <row r="9977" spans="70:82" x14ac:dyDescent="0.15">
      <c r="BR9977" s="34"/>
      <c r="BV9977" s="34"/>
      <c r="BZ9977" s="34"/>
      <c r="CD9977" s="34"/>
    </row>
    <row r="9978" spans="70:82" x14ac:dyDescent="0.15">
      <c r="BR9978" s="34"/>
      <c r="BV9978" s="34"/>
      <c r="BZ9978" s="34"/>
      <c r="CD9978" s="34"/>
    </row>
    <row r="9979" spans="70:82" x14ac:dyDescent="0.15">
      <c r="BR9979" s="34"/>
      <c r="BV9979" s="34"/>
      <c r="BZ9979" s="34"/>
      <c r="CD9979" s="34"/>
    </row>
    <row r="9980" spans="70:82" x14ac:dyDescent="0.15">
      <c r="BR9980" s="34"/>
      <c r="BV9980" s="34"/>
      <c r="BZ9980" s="34"/>
      <c r="CD9980" s="34"/>
    </row>
    <row r="9981" spans="70:82" x14ac:dyDescent="0.15">
      <c r="BR9981" s="34"/>
      <c r="BV9981" s="34"/>
      <c r="BZ9981" s="34"/>
      <c r="CD9981" s="34"/>
    </row>
    <row r="9982" spans="70:82" x14ac:dyDescent="0.15">
      <c r="BR9982" s="34"/>
      <c r="BV9982" s="34"/>
      <c r="BZ9982" s="34"/>
      <c r="CD9982" s="34"/>
    </row>
    <row r="9983" spans="70:82" x14ac:dyDescent="0.15">
      <c r="BR9983" s="34"/>
      <c r="BV9983" s="34"/>
      <c r="BZ9983" s="34"/>
      <c r="CD9983" s="34"/>
    </row>
    <row r="9984" spans="70:82" x14ac:dyDescent="0.15">
      <c r="BR9984" s="34"/>
      <c r="BV9984" s="34"/>
      <c r="BZ9984" s="34"/>
      <c r="CD9984" s="34"/>
    </row>
    <row r="9985" spans="70:82" x14ac:dyDescent="0.15">
      <c r="BR9985" s="34"/>
      <c r="BV9985" s="34"/>
      <c r="BZ9985" s="34"/>
      <c r="CD9985" s="34"/>
    </row>
    <row r="9986" spans="70:82" x14ac:dyDescent="0.15">
      <c r="BR9986" s="34"/>
      <c r="BV9986" s="34"/>
      <c r="BZ9986" s="34"/>
      <c r="CD9986" s="34"/>
    </row>
    <row r="9987" spans="70:82" x14ac:dyDescent="0.15">
      <c r="BR9987" s="34"/>
      <c r="BV9987" s="34"/>
      <c r="BZ9987" s="34"/>
      <c r="CD9987" s="34"/>
    </row>
    <row r="9988" spans="70:82" x14ac:dyDescent="0.15">
      <c r="BR9988" s="34"/>
      <c r="BV9988" s="34"/>
      <c r="BZ9988" s="34"/>
      <c r="CD9988" s="34"/>
    </row>
    <row r="9989" spans="70:82" x14ac:dyDescent="0.15">
      <c r="BR9989" s="34"/>
      <c r="BV9989" s="34"/>
      <c r="BZ9989" s="34"/>
      <c r="CD9989" s="34"/>
    </row>
    <row r="9990" spans="70:82" x14ac:dyDescent="0.15">
      <c r="BR9990" s="34"/>
      <c r="BV9990" s="34"/>
      <c r="BZ9990" s="34"/>
      <c r="CD9990" s="34"/>
    </row>
    <row r="9991" spans="70:82" x14ac:dyDescent="0.15">
      <c r="BR9991" s="34"/>
      <c r="BV9991" s="34"/>
      <c r="BZ9991" s="34"/>
      <c r="CD9991" s="34"/>
    </row>
    <row r="9992" spans="70:82" x14ac:dyDescent="0.15">
      <c r="BR9992" s="34"/>
      <c r="BV9992" s="34"/>
      <c r="BZ9992" s="34"/>
      <c r="CD9992" s="34"/>
    </row>
    <row r="9993" spans="70:82" x14ac:dyDescent="0.15">
      <c r="BR9993" s="34"/>
      <c r="BV9993" s="34"/>
      <c r="BZ9993" s="34"/>
      <c r="CD9993" s="34"/>
    </row>
    <row r="9994" spans="70:82" x14ac:dyDescent="0.15">
      <c r="BR9994" s="34"/>
      <c r="BV9994" s="34"/>
      <c r="BZ9994" s="34"/>
      <c r="CD9994" s="34"/>
    </row>
    <row r="9995" spans="70:82" x14ac:dyDescent="0.15">
      <c r="BR9995" s="34"/>
      <c r="BV9995" s="34"/>
      <c r="BZ9995" s="34"/>
      <c r="CD9995" s="34"/>
    </row>
    <row r="9996" spans="70:82" x14ac:dyDescent="0.15">
      <c r="BR9996" s="34"/>
      <c r="BV9996" s="34"/>
      <c r="BZ9996" s="34"/>
      <c r="CD9996" s="34"/>
    </row>
    <row r="9997" spans="70:82" x14ac:dyDescent="0.15">
      <c r="BR9997" s="34"/>
      <c r="BV9997" s="34"/>
      <c r="BZ9997" s="34"/>
      <c r="CD9997" s="34"/>
    </row>
    <row r="9998" spans="70:82" x14ac:dyDescent="0.15">
      <c r="BR9998" s="34"/>
      <c r="BV9998" s="34"/>
      <c r="BZ9998" s="34"/>
      <c r="CD9998" s="34"/>
    </row>
    <row r="9999" spans="70:82" x14ac:dyDescent="0.15">
      <c r="BR9999" s="34"/>
      <c r="BV9999" s="34"/>
      <c r="BZ9999" s="34"/>
      <c r="CD9999" s="34"/>
    </row>
    <row r="10000" spans="70:82" x14ac:dyDescent="0.15">
      <c r="BR10000" s="34"/>
      <c r="BV10000" s="34"/>
      <c r="BZ10000" s="34"/>
      <c r="CD10000" s="34"/>
    </row>
    <row r="10001" spans="70:82" x14ac:dyDescent="0.15">
      <c r="BR10001" s="34"/>
      <c r="BV10001" s="34"/>
      <c r="BZ10001" s="34"/>
      <c r="CD10001" s="34"/>
    </row>
    <row r="10002" spans="70:82" x14ac:dyDescent="0.15">
      <c r="BR10002" s="34"/>
      <c r="BV10002" s="34"/>
      <c r="BZ10002" s="34"/>
      <c r="CD10002" s="34"/>
    </row>
    <row r="10003" spans="70:82" x14ac:dyDescent="0.15">
      <c r="BR10003" s="34"/>
      <c r="BV10003" s="34"/>
      <c r="BZ10003" s="34"/>
      <c r="CD10003" s="34"/>
    </row>
    <row r="10004" spans="70:82" x14ac:dyDescent="0.15">
      <c r="BR10004" s="34"/>
      <c r="BV10004" s="34"/>
      <c r="BZ10004" s="34"/>
      <c r="CD10004" s="34"/>
    </row>
    <row r="10005" spans="70:82" x14ac:dyDescent="0.15">
      <c r="BR10005" s="34"/>
      <c r="BV10005" s="34"/>
      <c r="BZ10005" s="34"/>
      <c r="CD10005" s="34"/>
    </row>
    <row r="10006" spans="70:82" x14ac:dyDescent="0.15">
      <c r="BR10006" s="34"/>
      <c r="BV10006" s="34"/>
      <c r="BZ10006" s="34"/>
      <c r="CD10006" s="34"/>
    </row>
    <row r="10007" spans="70:82" x14ac:dyDescent="0.15">
      <c r="BR10007" s="34"/>
      <c r="BV10007" s="34"/>
      <c r="BZ10007" s="34"/>
      <c r="CD10007" s="34"/>
    </row>
    <row r="10008" spans="70:82" x14ac:dyDescent="0.15">
      <c r="BR10008" s="34"/>
      <c r="BV10008" s="34"/>
      <c r="BZ10008" s="34"/>
      <c r="CD10008" s="34"/>
    </row>
  </sheetData>
  <mergeCells count="11">
    <mergeCell ref="R2:AP2"/>
    <mergeCell ref="G35:I35"/>
    <mergeCell ref="J35:L35"/>
    <mergeCell ref="R4:W4"/>
    <mergeCell ref="X4:AC4"/>
    <mergeCell ref="AK4:AP4"/>
    <mergeCell ref="R28:W28"/>
    <mergeCell ref="X28:AC28"/>
    <mergeCell ref="AK28:AP28"/>
    <mergeCell ref="AE4:AJ4"/>
    <mergeCell ref="AE28:AJ28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4" name="Drop Down 3">
              <controlPr defaultSize="0" autoLine="0" autoPict="0">
                <anchor moveWithCells="1">
                  <from>
                    <xdr:col>17</xdr:col>
                    <xdr:colOff>47625</xdr:colOff>
                    <xdr:row>5</xdr:row>
                    <xdr:rowOff>0</xdr:rowOff>
                  </from>
                  <to>
                    <xdr:col>18</xdr:col>
                    <xdr:colOff>400050</xdr:colOff>
                    <xdr:row>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5" name="Drop Down 4">
              <controlPr defaultSize="0" autoLine="0" autoPict="0">
                <anchor moveWithCells="1">
                  <from>
                    <xdr:col>19</xdr:col>
                    <xdr:colOff>28575</xdr:colOff>
                    <xdr:row>5</xdr:row>
                    <xdr:rowOff>0</xdr:rowOff>
                  </from>
                  <to>
                    <xdr:col>21</xdr:col>
                    <xdr:colOff>209550</xdr:colOff>
                    <xdr:row>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6" name="Drop Down 5">
              <controlPr defaultSize="0" autoLine="0" autoPict="0">
                <anchor moveWithCells="1">
                  <from>
                    <xdr:col>23</xdr:col>
                    <xdr:colOff>57150</xdr:colOff>
                    <xdr:row>5</xdr:row>
                    <xdr:rowOff>0</xdr:rowOff>
                  </from>
                  <to>
                    <xdr:col>24</xdr:col>
                    <xdr:colOff>400050</xdr:colOff>
                    <xdr:row>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7" name="Drop Down 6">
              <controlPr defaultSize="0" autoLine="0" autoPict="0">
                <anchor moveWithCells="1">
                  <from>
                    <xdr:col>25</xdr:col>
                    <xdr:colOff>38100</xdr:colOff>
                    <xdr:row>5</xdr:row>
                    <xdr:rowOff>0</xdr:rowOff>
                  </from>
                  <to>
                    <xdr:col>27</xdr:col>
                    <xdr:colOff>209550</xdr:colOff>
                    <xdr:row>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8" name="Drop Down 7">
              <controlPr defaultSize="0" autoLine="0" autoPict="0">
                <anchor moveWithCells="1">
                  <from>
                    <xdr:col>21</xdr:col>
                    <xdr:colOff>285750</xdr:colOff>
                    <xdr:row>5</xdr:row>
                    <xdr:rowOff>0</xdr:rowOff>
                  </from>
                  <to>
                    <xdr:col>22</xdr:col>
                    <xdr:colOff>381000</xdr:colOff>
                    <xdr:row>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9" name="Drop Down 8">
              <controlPr defaultSize="0" autoLine="0" autoPict="0">
                <anchor moveWithCells="1">
                  <from>
                    <xdr:col>27</xdr:col>
                    <xdr:colOff>295275</xdr:colOff>
                    <xdr:row>5</xdr:row>
                    <xdr:rowOff>0</xdr:rowOff>
                  </from>
                  <to>
                    <xdr:col>28</xdr:col>
                    <xdr:colOff>390525</xdr:colOff>
                    <xdr:row>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10" name="Drop Down 31">
              <controlPr defaultSize="0" autoLine="0" autoPict="0">
                <anchor moveWithCells="1">
                  <from>
                    <xdr:col>30</xdr:col>
                    <xdr:colOff>47625</xdr:colOff>
                    <xdr:row>5</xdr:row>
                    <xdr:rowOff>0</xdr:rowOff>
                  </from>
                  <to>
                    <xdr:col>31</xdr:col>
                    <xdr:colOff>390525</xdr:colOff>
                    <xdr:row>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11" name="Drop Down 32">
              <controlPr defaultSize="0" autoLine="0" autoPict="0">
                <anchor moveWithCells="1">
                  <from>
                    <xdr:col>31</xdr:col>
                    <xdr:colOff>438150</xdr:colOff>
                    <xdr:row>5</xdr:row>
                    <xdr:rowOff>0</xdr:rowOff>
                  </from>
                  <to>
                    <xdr:col>34</xdr:col>
                    <xdr:colOff>171450</xdr:colOff>
                    <xdr:row>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12" name="Drop Down 33">
              <controlPr defaultSize="0" autoLine="0" autoPict="0">
                <anchor moveWithCells="1">
                  <from>
                    <xdr:col>36</xdr:col>
                    <xdr:colOff>57150</xdr:colOff>
                    <xdr:row>5</xdr:row>
                    <xdr:rowOff>0</xdr:rowOff>
                  </from>
                  <to>
                    <xdr:col>37</xdr:col>
                    <xdr:colOff>400050</xdr:colOff>
                    <xdr:row>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13" name="Drop Down 34">
              <controlPr defaultSize="0" autoLine="0" autoPict="0">
                <anchor moveWithCells="1">
                  <from>
                    <xdr:col>38</xdr:col>
                    <xdr:colOff>38100</xdr:colOff>
                    <xdr:row>5</xdr:row>
                    <xdr:rowOff>0</xdr:rowOff>
                  </from>
                  <to>
                    <xdr:col>40</xdr:col>
                    <xdr:colOff>219075</xdr:colOff>
                    <xdr:row>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14" name="Drop Down 35">
              <controlPr defaultSize="0" autoLine="0" autoPict="0">
                <anchor moveWithCells="1">
                  <from>
                    <xdr:col>34</xdr:col>
                    <xdr:colOff>219075</xdr:colOff>
                    <xdr:row>5</xdr:row>
                    <xdr:rowOff>0</xdr:rowOff>
                  </from>
                  <to>
                    <xdr:col>35</xdr:col>
                    <xdr:colOff>390525</xdr:colOff>
                    <xdr:row>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15" name="Drop Down 36">
              <controlPr defaultSize="0" autoLine="0" autoPict="0">
                <anchor moveWithCells="1">
                  <from>
                    <xdr:col>40</xdr:col>
                    <xdr:colOff>304800</xdr:colOff>
                    <xdr:row>5</xdr:row>
                    <xdr:rowOff>0</xdr:rowOff>
                  </from>
                  <to>
                    <xdr:col>41</xdr:col>
                    <xdr:colOff>400050</xdr:colOff>
                    <xdr:row>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16" name="Drop Down 37">
              <controlPr defaultSize="0" autoLine="0" autoPict="0">
                <anchor moveWithCells="1">
                  <from>
                    <xdr:col>17</xdr:col>
                    <xdr:colOff>47625</xdr:colOff>
                    <xdr:row>29</xdr:row>
                    <xdr:rowOff>9525</xdr:rowOff>
                  </from>
                  <to>
                    <xdr:col>18</xdr:col>
                    <xdr:colOff>400050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17" name="Drop Down 38">
              <controlPr defaultSize="0" autoLine="0" autoPict="0">
                <anchor moveWithCells="1">
                  <from>
                    <xdr:col>19</xdr:col>
                    <xdr:colOff>19050</xdr:colOff>
                    <xdr:row>29</xdr:row>
                    <xdr:rowOff>0</xdr:rowOff>
                  </from>
                  <to>
                    <xdr:col>21</xdr:col>
                    <xdr:colOff>200025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18" name="Drop Down 39">
              <controlPr defaultSize="0" autoLine="0" autoPict="0">
                <anchor moveWithCells="1">
                  <from>
                    <xdr:col>23</xdr:col>
                    <xdr:colOff>95250</xdr:colOff>
                    <xdr:row>29</xdr:row>
                    <xdr:rowOff>0</xdr:rowOff>
                  </from>
                  <to>
                    <xdr:col>24</xdr:col>
                    <xdr:colOff>438150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19" name="Drop Down 40">
              <controlPr defaultSize="0" autoLine="0" autoPict="0">
                <anchor moveWithCells="1">
                  <from>
                    <xdr:col>25</xdr:col>
                    <xdr:colOff>57150</xdr:colOff>
                    <xdr:row>29</xdr:row>
                    <xdr:rowOff>0</xdr:rowOff>
                  </from>
                  <to>
                    <xdr:col>27</xdr:col>
                    <xdr:colOff>238125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20" name="Drop Down 41">
              <controlPr defaultSize="0" autoLine="0" autoPict="0">
                <anchor moveWithCells="1">
                  <from>
                    <xdr:col>21</xdr:col>
                    <xdr:colOff>266700</xdr:colOff>
                    <xdr:row>29</xdr:row>
                    <xdr:rowOff>0</xdr:rowOff>
                  </from>
                  <to>
                    <xdr:col>22</xdr:col>
                    <xdr:colOff>361950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21" name="Drop Down 42">
              <controlPr defaultSize="0" autoLine="0" autoPict="0">
                <anchor moveWithCells="1">
                  <from>
                    <xdr:col>27</xdr:col>
                    <xdr:colOff>295275</xdr:colOff>
                    <xdr:row>29</xdr:row>
                    <xdr:rowOff>0</xdr:rowOff>
                  </from>
                  <to>
                    <xdr:col>28</xdr:col>
                    <xdr:colOff>390525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22" name="Drop Down 43">
              <controlPr defaultSize="0" autoLine="0" autoPict="0">
                <anchor moveWithCells="1">
                  <from>
                    <xdr:col>30</xdr:col>
                    <xdr:colOff>66675</xdr:colOff>
                    <xdr:row>29</xdr:row>
                    <xdr:rowOff>0</xdr:rowOff>
                  </from>
                  <to>
                    <xdr:col>31</xdr:col>
                    <xdr:colOff>409575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23" name="Drop Down 44">
              <controlPr defaultSize="0" autoLine="0" autoPict="0">
                <anchor moveWithCells="1">
                  <from>
                    <xdr:col>32</xdr:col>
                    <xdr:colOff>57150</xdr:colOff>
                    <xdr:row>29</xdr:row>
                    <xdr:rowOff>0</xdr:rowOff>
                  </from>
                  <to>
                    <xdr:col>34</xdr:col>
                    <xdr:colOff>238125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24" name="Drop Down 45">
              <controlPr defaultSize="0" autoLine="0" autoPict="0">
                <anchor moveWithCells="1">
                  <from>
                    <xdr:col>36</xdr:col>
                    <xdr:colOff>76200</xdr:colOff>
                    <xdr:row>29</xdr:row>
                    <xdr:rowOff>0</xdr:rowOff>
                  </from>
                  <to>
                    <xdr:col>37</xdr:col>
                    <xdr:colOff>419100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25" name="Drop Down 46">
              <controlPr defaultSize="0" autoLine="0" autoPict="0">
                <anchor moveWithCells="1">
                  <from>
                    <xdr:col>38</xdr:col>
                    <xdr:colOff>47625</xdr:colOff>
                    <xdr:row>29</xdr:row>
                    <xdr:rowOff>0</xdr:rowOff>
                  </from>
                  <to>
                    <xdr:col>40</xdr:col>
                    <xdr:colOff>228600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26" name="Drop Down 47">
              <controlPr defaultSize="0" autoLine="0" autoPict="0">
                <anchor moveWithCells="1">
                  <from>
                    <xdr:col>34</xdr:col>
                    <xdr:colOff>333375</xdr:colOff>
                    <xdr:row>28</xdr:row>
                    <xdr:rowOff>38100</xdr:rowOff>
                  </from>
                  <to>
                    <xdr:col>35</xdr:col>
                    <xdr:colOff>371475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27" name="Drop Down 48">
              <controlPr defaultSize="0" autoLine="0" autoPict="0">
                <anchor moveWithCells="1">
                  <from>
                    <xdr:col>40</xdr:col>
                    <xdr:colOff>295275</xdr:colOff>
                    <xdr:row>29</xdr:row>
                    <xdr:rowOff>0</xdr:rowOff>
                  </from>
                  <to>
                    <xdr:col>41</xdr:col>
                    <xdr:colOff>390525</xdr:colOff>
                    <xdr:row>29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Short Term Interest</vt:lpstr>
      <vt:lpstr>history_chart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2016-11-23T02:24:51Z</dcterms:created>
  <dcterms:modified xsi:type="dcterms:W3CDTF">2023-01-18T04:25:21Z</dcterms:modified>
</cp:coreProperties>
</file>