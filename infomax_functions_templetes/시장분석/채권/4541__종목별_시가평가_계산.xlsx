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1.xml" ContentType="application/vnd.ms-office.chartstyle+xml"/>
  <Override PartName="/xl/ctrlProps/ctrlProp9.xml" ContentType="application/vnd.ms-excel.control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volatileDependencies.xml" ContentType="application/vnd.openxmlformats-officedocument.spreadsheetml.volatileDependencies+xml"/>
  <Override PartName="/xl/ctrlProps/ctrlProp8.xml" ContentType="application/vnd.ms-excel.controlproperties+xml"/>
  <Override PartName="/xl/ctrlProps/ctrlProp7.xml" ContentType="application/vnd.ms-excel.control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ctrlProps/ctrlProp5.xml" ContentType="application/vnd.ms-excel.controlproperties+xml"/>
  <Override PartName="/xl/ctrlProps/ctrlProp12.xml" ContentType="application/vnd.ms-excel.controlproperties+xml"/>
  <Override PartName="/xl/ctrlProps/ctrlProp6.xml" ContentType="application/vnd.ms-excel.controlproperties+xml"/>
  <Override PartName="/xl/ctrlProps/ctrlProp11.xml" ContentType="application/vnd.ms-excel.controlproperties+xml"/>
  <Override PartName="/xl/sharedStrings.xml" ContentType="application/vnd.openxmlformats-officedocument.spreadsheetml.sharedStrings+xml"/>
  <Override PartName="/xl/ctrlProps/ctrlProp10.xml" ContentType="application/vnd.ms-excel.controlproperties+xml"/>
  <Override PartName="/xl/ctrlProps/ctrlProp4.xml" ContentType="application/vnd.ms-excel.controlproperties+xml"/>
  <Override PartName="/xl/ctrlProps/ctrlProp3.xml" ContentType="application/vnd.ms-excel.controlproperties+xml"/>
  <Override PartName="/xl/metadata.xml" ContentType="application/vnd.openxmlformats-officedocument.spreadsheetml.sheetMetadata+xml"/>
  <Override PartName="/xl/charts/colors1.xml" ContentType="application/vnd.ms-office.chartcolorstyle+xml"/>
  <Override PartName="/xl/ctrlProps/ctrlProp2.xml" ContentType="application/vnd.ms-excel.controlproperties+xml"/>
  <Override PartName="/xl/ctrlProps/ctrlProp1.xml" ContentType="application/vnd.ms-excel.contro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5440" windowHeight="15720"/>
  </bookViews>
  <sheets>
    <sheet name="시가평가_계산" sheetId="1" r:id="rId1"/>
    <sheet name="data" sheetId="2" state="hidden" r:id="rId2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" i="2"/>
  <c r="Q97" i="1" s="1"/>
  <c r="Q80" l="1"/>
  <c r="Q36"/>
  <c r="Q48"/>
  <c r="Q60"/>
  <c r="Q72"/>
  <c r="Q84"/>
  <c r="Q96"/>
  <c r="Q108"/>
  <c r="Q68"/>
  <c r="Q12"/>
  <c r="Q23"/>
  <c r="Q47"/>
  <c r="Q59"/>
  <c r="Q71"/>
  <c r="Q83"/>
  <c r="Q95"/>
  <c r="Q107"/>
  <c r="Q32"/>
  <c r="Q31"/>
  <c r="Q24"/>
  <c r="Q35"/>
  <c r="Q22"/>
  <c r="Q34"/>
  <c r="Q46"/>
  <c r="Q58"/>
  <c r="Q70"/>
  <c r="Q82"/>
  <c r="Q94"/>
  <c r="Q106"/>
  <c r="Q92"/>
  <c r="Q17"/>
  <c r="Q11"/>
  <c r="Q10"/>
  <c r="Q9"/>
  <c r="Q21"/>
  <c r="Q33"/>
  <c r="Q45"/>
  <c r="Q57"/>
  <c r="Q69"/>
  <c r="Q81"/>
  <c r="Q93"/>
  <c r="Q105"/>
  <c r="Q56"/>
  <c r="Q55"/>
  <c r="Q67"/>
  <c r="Q79"/>
  <c r="Q91"/>
  <c r="Q103"/>
  <c r="Q18"/>
  <c r="Q30"/>
  <c r="Q42"/>
  <c r="Q54"/>
  <c r="Q66"/>
  <c r="Q78"/>
  <c r="Q90"/>
  <c r="Q102"/>
  <c r="Q20"/>
  <c r="Q19"/>
  <c r="Q53"/>
  <c r="Q89"/>
  <c r="Q16"/>
  <c r="Q52"/>
  <c r="Q88"/>
  <c r="Q100"/>
  <c r="Q15"/>
  <c r="Q27"/>
  <c r="Q39"/>
  <c r="Q51"/>
  <c r="Q63"/>
  <c r="Q75"/>
  <c r="Q87"/>
  <c r="Q99"/>
  <c r="Q44"/>
  <c r="Q43"/>
  <c r="Q41"/>
  <c r="Q77"/>
  <c r="Q28"/>
  <c r="Q64"/>
  <c r="Q14"/>
  <c r="Q38"/>
  <c r="Q50"/>
  <c r="Q62"/>
  <c r="Q74"/>
  <c r="Q86"/>
  <c r="Q98"/>
  <c r="Q104"/>
  <c r="Q29"/>
  <c r="Q65"/>
  <c r="Q101"/>
  <c r="Q40"/>
  <c r="Q76"/>
  <c r="Q26"/>
  <c r="Q13"/>
  <c r="Q25"/>
  <c r="Q37"/>
  <c r="Q49"/>
  <c r="Q61"/>
  <c r="Q73"/>
  <c r="Q85"/>
  <c r="AJ105" i="2"/>
  <c r="AJ104"/>
  <c r="AJ103"/>
  <c r="AJ102"/>
  <c r="AJ101"/>
  <c r="AJ100"/>
  <c r="AJ99"/>
  <c r="AJ98"/>
  <c r="AJ97"/>
  <c r="AJ96"/>
  <c r="AJ95"/>
  <c r="AJ94"/>
  <c r="AJ93"/>
  <c r="AJ92"/>
  <c r="AJ91"/>
  <c r="AJ90"/>
  <c r="AJ89"/>
  <c r="AJ88"/>
  <c r="AJ87"/>
  <c r="AJ86"/>
  <c r="AJ85"/>
  <c r="AJ84"/>
  <c r="AJ83"/>
  <c r="AJ82"/>
  <c r="AJ81"/>
  <c r="AJ80"/>
  <c r="AJ79"/>
  <c r="AJ78"/>
  <c r="AJ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J7"/>
  <c r="AJ6"/>
  <c r="AJ5"/>
  <c r="P108" i="1"/>
  <c r="O108"/>
  <c r="N108"/>
  <c r="M108"/>
  <c r="L108"/>
  <c r="K108"/>
  <c r="J108"/>
  <c r="I108"/>
  <c r="B108"/>
  <c r="P107"/>
  <c r="O107"/>
  <c r="N107"/>
  <c r="M107"/>
  <c r="L107"/>
  <c r="K107"/>
  <c r="J107"/>
  <c r="I107"/>
  <c r="B107"/>
  <c r="C107" s="1"/>
  <c r="P106"/>
  <c r="O106"/>
  <c r="N106"/>
  <c r="M106"/>
  <c r="L106"/>
  <c r="K106"/>
  <c r="J106"/>
  <c r="I106"/>
  <c r="B106"/>
  <c r="P105"/>
  <c r="O105"/>
  <c r="N105"/>
  <c r="M105"/>
  <c r="L105"/>
  <c r="K105"/>
  <c r="J105"/>
  <c r="I105"/>
  <c r="B105"/>
  <c r="P104"/>
  <c r="O104"/>
  <c r="N104"/>
  <c r="M104"/>
  <c r="L104"/>
  <c r="K104"/>
  <c r="J104"/>
  <c r="I104"/>
  <c r="B104"/>
  <c r="P103"/>
  <c r="O103"/>
  <c r="N103"/>
  <c r="M103"/>
  <c r="L103"/>
  <c r="K103"/>
  <c r="J103"/>
  <c r="I103"/>
  <c r="B103"/>
  <c r="C103" s="1"/>
  <c r="P102"/>
  <c r="O102"/>
  <c r="N102"/>
  <c r="M102"/>
  <c r="L102"/>
  <c r="K102"/>
  <c r="J102"/>
  <c r="I102"/>
  <c r="B102"/>
  <c r="P101"/>
  <c r="O101"/>
  <c r="N101"/>
  <c r="M101"/>
  <c r="L101"/>
  <c r="K101"/>
  <c r="J101"/>
  <c r="I101"/>
  <c r="B101"/>
  <c r="P100"/>
  <c r="O100"/>
  <c r="N100"/>
  <c r="M100"/>
  <c r="L100"/>
  <c r="K100"/>
  <c r="J100"/>
  <c r="I100"/>
  <c r="B100"/>
  <c r="P99"/>
  <c r="O99"/>
  <c r="N99"/>
  <c r="M99"/>
  <c r="L99"/>
  <c r="K99"/>
  <c r="J99"/>
  <c r="I99"/>
  <c r="B99"/>
  <c r="C99" s="1"/>
  <c r="P98"/>
  <c r="O98"/>
  <c r="N98"/>
  <c r="M98"/>
  <c r="L98"/>
  <c r="K98"/>
  <c r="J98"/>
  <c r="I98"/>
  <c r="B98"/>
  <c r="P97"/>
  <c r="O97"/>
  <c r="N97"/>
  <c r="M97"/>
  <c r="L97"/>
  <c r="K97"/>
  <c r="J97"/>
  <c r="I97"/>
  <c r="B97"/>
  <c r="P96"/>
  <c r="O96"/>
  <c r="N96"/>
  <c r="M96"/>
  <c r="L96"/>
  <c r="K96"/>
  <c r="J96"/>
  <c r="I96"/>
  <c r="B96"/>
  <c r="P95"/>
  <c r="O95"/>
  <c r="N95"/>
  <c r="M95"/>
  <c r="L95"/>
  <c r="K95"/>
  <c r="J95"/>
  <c r="I95"/>
  <c r="B95"/>
  <c r="C95" s="1"/>
  <c r="P94"/>
  <c r="O94"/>
  <c r="N94"/>
  <c r="M94"/>
  <c r="L94"/>
  <c r="K94"/>
  <c r="J94"/>
  <c r="I94"/>
  <c r="B94"/>
  <c r="P93"/>
  <c r="O93"/>
  <c r="N93"/>
  <c r="M93"/>
  <c r="L93"/>
  <c r="K93"/>
  <c r="J93"/>
  <c r="I93"/>
  <c r="B93"/>
  <c r="P92"/>
  <c r="O92"/>
  <c r="N92"/>
  <c r="M92"/>
  <c r="L92"/>
  <c r="K92"/>
  <c r="J92"/>
  <c r="I92"/>
  <c r="B92"/>
  <c r="P91"/>
  <c r="O91"/>
  <c r="N91"/>
  <c r="M91"/>
  <c r="L91"/>
  <c r="K91"/>
  <c r="J91"/>
  <c r="I91"/>
  <c r="B91"/>
  <c r="C91" s="1"/>
  <c r="P90"/>
  <c r="O90"/>
  <c r="N90"/>
  <c r="M90"/>
  <c r="L90"/>
  <c r="K90"/>
  <c r="J90"/>
  <c r="I90"/>
  <c r="B90"/>
  <c r="R90" s="1"/>
  <c r="P89"/>
  <c r="O89"/>
  <c r="N89"/>
  <c r="M89"/>
  <c r="L89"/>
  <c r="K89"/>
  <c r="J89"/>
  <c r="I89"/>
  <c r="B89"/>
  <c r="P88"/>
  <c r="O88"/>
  <c r="N88"/>
  <c r="M88"/>
  <c r="L88"/>
  <c r="K88"/>
  <c r="J88"/>
  <c r="I88"/>
  <c r="B88"/>
  <c r="P87"/>
  <c r="O87"/>
  <c r="N87"/>
  <c r="M87"/>
  <c r="L87"/>
  <c r="K87"/>
  <c r="J87"/>
  <c r="I87"/>
  <c r="B87"/>
  <c r="C87" s="1"/>
  <c r="P86"/>
  <c r="O86"/>
  <c r="N86"/>
  <c r="M86"/>
  <c r="L86"/>
  <c r="K86"/>
  <c r="J86"/>
  <c r="I86"/>
  <c r="B86"/>
  <c r="P85"/>
  <c r="O85"/>
  <c r="N85"/>
  <c r="M85"/>
  <c r="L85"/>
  <c r="K85"/>
  <c r="J85"/>
  <c r="I85"/>
  <c r="B85"/>
  <c r="P84"/>
  <c r="O84"/>
  <c r="N84"/>
  <c r="M84"/>
  <c r="L84"/>
  <c r="K84"/>
  <c r="J84"/>
  <c r="I84"/>
  <c r="B84"/>
  <c r="P83"/>
  <c r="O83"/>
  <c r="N83"/>
  <c r="M83"/>
  <c r="L83"/>
  <c r="K83"/>
  <c r="J83"/>
  <c r="I83"/>
  <c r="B83"/>
  <c r="P82"/>
  <c r="O82"/>
  <c r="N82"/>
  <c r="M82"/>
  <c r="L82"/>
  <c r="K82"/>
  <c r="J82"/>
  <c r="I82"/>
  <c r="B82"/>
  <c r="P81"/>
  <c r="O81"/>
  <c r="N81"/>
  <c r="M81"/>
  <c r="L81"/>
  <c r="K81"/>
  <c r="J81"/>
  <c r="I81"/>
  <c r="B81"/>
  <c r="C81" s="1"/>
  <c r="P80"/>
  <c r="O80"/>
  <c r="N80"/>
  <c r="M80"/>
  <c r="L80"/>
  <c r="K80"/>
  <c r="J80"/>
  <c r="I80"/>
  <c r="B80"/>
  <c r="C80" s="1"/>
  <c r="P79"/>
  <c r="O79"/>
  <c r="N79"/>
  <c r="M79"/>
  <c r="L79"/>
  <c r="K79"/>
  <c r="J79"/>
  <c r="I79"/>
  <c r="B79"/>
  <c r="C79" s="1"/>
  <c r="P78"/>
  <c r="O78"/>
  <c r="N78"/>
  <c r="M78"/>
  <c r="L78"/>
  <c r="K78"/>
  <c r="J78"/>
  <c r="I78"/>
  <c r="B78"/>
  <c r="P77"/>
  <c r="O77"/>
  <c r="N77"/>
  <c r="M77"/>
  <c r="L77"/>
  <c r="K77"/>
  <c r="J77"/>
  <c r="I77"/>
  <c r="B77"/>
  <c r="C77" s="1"/>
  <c r="P76"/>
  <c r="O76"/>
  <c r="N76"/>
  <c r="M76"/>
  <c r="L76"/>
  <c r="K76"/>
  <c r="J76"/>
  <c r="I76"/>
  <c r="B76"/>
  <c r="P75"/>
  <c r="O75"/>
  <c r="N75"/>
  <c r="M75"/>
  <c r="L75"/>
  <c r="K75"/>
  <c r="J75"/>
  <c r="I75"/>
  <c r="B75"/>
  <c r="P74"/>
  <c r="O74"/>
  <c r="N74"/>
  <c r="M74"/>
  <c r="L74"/>
  <c r="K74"/>
  <c r="J74"/>
  <c r="I74"/>
  <c r="B74"/>
  <c r="P73"/>
  <c r="O73"/>
  <c r="N73"/>
  <c r="M73"/>
  <c r="L73"/>
  <c r="K73"/>
  <c r="J73"/>
  <c r="I73"/>
  <c r="B73"/>
  <c r="C73" s="1"/>
  <c r="P72"/>
  <c r="O72"/>
  <c r="N72"/>
  <c r="M72"/>
  <c r="L72"/>
  <c r="K72"/>
  <c r="J72"/>
  <c r="I72"/>
  <c r="B72"/>
  <c r="P71"/>
  <c r="O71"/>
  <c r="N71"/>
  <c r="M71"/>
  <c r="L71"/>
  <c r="K71"/>
  <c r="J71"/>
  <c r="I71"/>
  <c r="B71"/>
  <c r="P70"/>
  <c r="O70"/>
  <c r="N70"/>
  <c r="M70"/>
  <c r="L70"/>
  <c r="K70"/>
  <c r="J70"/>
  <c r="I70"/>
  <c r="B70"/>
  <c r="P69"/>
  <c r="O69"/>
  <c r="N69"/>
  <c r="M69"/>
  <c r="L69"/>
  <c r="K69"/>
  <c r="J69"/>
  <c r="I69"/>
  <c r="B69"/>
  <c r="C69" s="1"/>
  <c r="P68"/>
  <c r="O68"/>
  <c r="N68"/>
  <c r="M68"/>
  <c r="L68"/>
  <c r="K68"/>
  <c r="J68"/>
  <c r="I68"/>
  <c r="B68"/>
  <c r="P67"/>
  <c r="O67"/>
  <c r="N67"/>
  <c r="M67"/>
  <c r="L67"/>
  <c r="K67"/>
  <c r="J67"/>
  <c r="I67"/>
  <c r="B67"/>
  <c r="P66"/>
  <c r="O66"/>
  <c r="N66"/>
  <c r="M66"/>
  <c r="L66"/>
  <c r="K66"/>
  <c r="J66"/>
  <c r="I66"/>
  <c r="B66"/>
  <c r="P65"/>
  <c r="O65"/>
  <c r="N65"/>
  <c r="M65"/>
  <c r="L65"/>
  <c r="K65"/>
  <c r="J65"/>
  <c r="I65"/>
  <c r="B65"/>
  <c r="C65" s="1"/>
  <c r="P64"/>
  <c r="O64"/>
  <c r="N64"/>
  <c r="M64"/>
  <c r="L64"/>
  <c r="K64"/>
  <c r="J64"/>
  <c r="I64"/>
  <c r="B64"/>
  <c r="P63"/>
  <c r="O63"/>
  <c r="N63"/>
  <c r="M63"/>
  <c r="L63"/>
  <c r="K63"/>
  <c r="J63"/>
  <c r="I63"/>
  <c r="B63"/>
  <c r="P62"/>
  <c r="O62"/>
  <c r="N62"/>
  <c r="M62"/>
  <c r="L62"/>
  <c r="K62"/>
  <c r="J62"/>
  <c r="I62"/>
  <c r="B62"/>
  <c r="P61"/>
  <c r="O61"/>
  <c r="N61"/>
  <c r="M61"/>
  <c r="L61"/>
  <c r="K61"/>
  <c r="J61"/>
  <c r="I61"/>
  <c r="B61"/>
  <c r="C61" s="1"/>
  <c r="P60"/>
  <c r="O60"/>
  <c r="N60"/>
  <c r="M60"/>
  <c r="L60"/>
  <c r="K60"/>
  <c r="J60"/>
  <c r="I60"/>
  <c r="B60"/>
  <c r="P59"/>
  <c r="O59"/>
  <c r="N59"/>
  <c r="M59"/>
  <c r="L59"/>
  <c r="K59"/>
  <c r="J59"/>
  <c r="I59"/>
  <c r="B59"/>
  <c r="P58"/>
  <c r="O58"/>
  <c r="N58"/>
  <c r="M58"/>
  <c r="L58"/>
  <c r="K58"/>
  <c r="J58"/>
  <c r="I58"/>
  <c r="B58"/>
  <c r="P57"/>
  <c r="O57"/>
  <c r="N57"/>
  <c r="M57"/>
  <c r="L57"/>
  <c r="K57"/>
  <c r="J57"/>
  <c r="I57"/>
  <c r="B57"/>
  <c r="C57" s="1"/>
  <c r="P56"/>
  <c r="O56"/>
  <c r="N56"/>
  <c r="M56"/>
  <c r="L56"/>
  <c r="K56"/>
  <c r="J56"/>
  <c r="I56"/>
  <c r="B56"/>
  <c r="R56" s="1"/>
  <c r="P55"/>
  <c r="O55"/>
  <c r="N55"/>
  <c r="M55"/>
  <c r="L55"/>
  <c r="K55"/>
  <c r="J55"/>
  <c r="I55"/>
  <c r="B55"/>
  <c r="P54"/>
  <c r="O54"/>
  <c r="N54"/>
  <c r="M54"/>
  <c r="L54"/>
  <c r="K54"/>
  <c r="J54"/>
  <c r="I54"/>
  <c r="B54"/>
  <c r="P53"/>
  <c r="O53"/>
  <c r="N53"/>
  <c r="M53"/>
  <c r="L53"/>
  <c r="K53"/>
  <c r="J53"/>
  <c r="I53"/>
  <c r="B53"/>
  <c r="P52"/>
  <c r="O52"/>
  <c r="N52"/>
  <c r="M52"/>
  <c r="L52"/>
  <c r="K52"/>
  <c r="J52"/>
  <c r="I52"/>
  <c r="B52"/>
  <c r="P51"/>
  <c r="O51"/>
  <c r="N51"/>
  <c r="M51"/>
  <c r="L51"/>
  <c r="K51"/>
  <c r="J51"/>
  <c r="I51"/>
  <c r="B51"/>
  <c r="P50"/>
  <c r="O50"/>
  <c r="N50"/>
  <c r="M50"/>
  <c r="L50"/>
  <c r="K50"/>
  <c r="J50"/>
  <c r="I50"/>
  <c r="B50"/>
  <c r="P49"/>
  <c r="O49"/>
  <c r="N49"/>
  <c r="M49"/>
  <c r="L49"/>
  <c r="K49"/>
  <c r="J49"/>
  <c r="I49"/>
  <c r="B49"/>
  <c r="P48"/>
  <c r="O48"/>
  <c r="N48"/>
  <c r="M48"/>
  <c r="L48"/>
  <c r="K48"/>
  <c r="J48"/>
  <c r="I48"/>
  <c r="B48"/>
  <c r="P47"/>
  <c r="O47"/>
  <c r="N47"/>
  <c r="M47"/>
  <c r="L47"/>
  <c r="K47"/>
  <c r="J47"/>
  <c r="I47"/>
  <c r="B47"/>
  <c r="P46"/>
  <c r="O46"/>
  <c r="N46"/>
  <c r="M46"/>
  <c r="L46"/>
  <c r="K46"/>
  <c r="J46"/>
  <c r="I46"/>
  <c r="B46"/>
  <c r="P45"/>
  <c r="O45"/>
  <c r="N45"/>
  <c r="M45"/>
  <c r="L45"/>
  <c r="K45"/>
  <c r="J45"/>
  <c r="I45"/>
  <c r="B45"/>
  <c r="P44"/>
  <c r="O44"/>
  <c r="N44"/>
  <c r="M44"/>
  <c r="L44"/>
  <c r="K44"/>
  <c r="J44"/>
  <c r="I44"/>
  <c r="B44"/>
  <c r="P43"/>
  <c r="O43"/>
  <c r="N43"/>
  <c r="M43"/>
  <c r="L43"/>
  <c r="K43"/>
  <c r="J43"/>
  <c r="I43"/>
  <c r="B43"/>
  <c r="P42"/>
  <c r="O42"/>
  <c r="N42"/>
  <c r="M42"/>
  <c r="L42"/>
  <c r="K42"/>
  <c r="J42"/>
  <c r="I42"/>
  <c r="B42"/>
  <c r="P41"/>
  <c r="O41"/>
  <c r="N41"/>
  <c r="M41"/>
  <c r="L41"/>
  <c r="K41"/>
  <c r="J41"/>
  <c r="I41"/>
  <c r="B41"/>
  <c r="C41" s="1"/>
  <c r="P40"/>
  <c r="O40"/>
  <c r="N40"/>
  <c r="M40"/>
  <c r="L40"/>
  <c r="K40"/>
  <c r="J40"/>
  <c r="I40"/>
  <c r="B40"/>
  <c r="R40" s="1"/>
  <c r="P39"/>
  <c r="O39"/>
  <c r="N39"/>
  <c r="M39"/>
  <c r="L39"/>
  <c r="K39"/>
  <c r="J39"/>
  <c r="I39"/>
  <c r="B39"/>
  <c r="P38"/>
  <c r="O38"/>
  <c r="N38"/>
  <c r="M38"/>
  <c r="L38"/>
  <c r="K38"/>
  <c r="J38"/>
  <c r="I38"/>
  <c r="B38"/>
  <c r="P37"/>
  <c r="O37"/>
  <c r="N37"/>
  <c r="M37"/>
  <c r="L37"/>
  <c r="K37"/>
  <c r="J37"/>
  <c r="I37"/>
  <c r="B37"/>
  <c r="P36"/>
  <c r="O36"/>
  <c r="N36"/>
  <c r="M36"/>
  <c r="L36"/>
  <c r="K36"/>
  <c r="J36"/>
  <c r="I36"/>
  <c r="B36"/>
  <c r="P35"/>
  <c r="O35"/>
  <c r="N35"/>
  <c r="M35"/>
  <c r="L35"/>
  <c r="K35"/>
  <c r="J35"/>
  <c r="I35"/>
  <c r="B35"/>
  <c r="P34"/>
  <c r="O34"/>
  <c r="N34"/>
  <c r="M34"/>
  <c r="L34"/>
  <c r="K34"/>
  <c r="J34"/>
  <c r="I34"/>
  <c r="B34"/>
  <c r="P33"/>
  <c r="O33"/>
  <c r="N33"/>
  <c r="M33"/>
  <c r="L33"/>
  <c r="K33"/>
  <c r="J33"/>
  <c r="I33"/>
  <c r="B33"/>
  <c r="C33" s="1"/>
  <c r="P32"/>
  <c r="O32"/>
  <c r="N32"/>
  <c r="M32"/>
  <c r="L32"/>
  <c r="K32"/>
  <c r="J32"/>
  <c r="I32"/>
  <c r="B32"/>
  <c r="R32" s="1"/>
  <c r="P31"/>
  <c r="O31"/>
  <c r="N31"/>
  <c r="M31"/>
  <c r="L31"/>
  <c r="K31"/>
  <c r="J31"/>
  <c r="I31"/>
  <c r="B31"/>
  <c r="P30"/>
  <c r="O30"/>
  <c r="N30"/>
  <c r="M30"/>
  <c r="L30"/>
  <c r="K30"/>
  <c r="J30"/>
  <c r="I30"/>
  <c r="B30"/>
  <c r="P29"/>
  <c r="O29"/>
  <c r="N29"/>
  <c r="M29"/>
  <c r="L29"/>
  <c r="K29"/>
  <c r="J29"/>
  <c r="I29"/>
  <c r="B29"/>
  <c r="C29" s="1"/>
  <c r="P28"/>
  <c r="O28"/>
  <c r="N28"/>
  <c r="M28"/>
  <c r="L28"/>
  <c r="K28"/>
  <c r="J28"/>
  <c r="I28"/>
  <c r="B28"/>
  <c r="P27"/>
  <c r="O27"/>
  <c r="N27"/>
  <c r="M27"/>
  <c r="L27"/>
  <c r="K27"/>
  <c r="J27"/>
  <c r="I27"/>
  <c r="B27"/>
  <c r="P26"/>
  <c r="O26"/>
  <c r="N26"/>
  <c r="M26"/>
  <c r="L26"/>
  <c r="K26"/>
  <c r="J26"/>
  <c r="I26"/>
  <c r="B26"/>
  <c r="P25"/>
  <c r="O25"/>
  <c r="N25"/>
  <c r="M25"/>
  <c r="L25"/>
  <c r="K25"/>
  <c r="J25"/>
  <c r="I25"/>
  <c r="B25"/>
  <c r="C25" s="1"/>
  <c r="P24"/>
  <c r="O24"/>
  <c r="N24"/>
  <c r="M24"/>
  <c r="L24"/>
  <c r="K24"/>
  <c r="J24"/>
  <c r="I24"/>
  <c r="B24"/>
  <c r="R24" s="1"/>
  <c r="P23"/>
  <c r="O23"/>
  <c r="N23"/>
  <c r="M23"/>
  <c r="L23"/>
  <c r="K23"/>
  <c r="J23"/>
  <c r="I23"/>
  <c r="B23"/>
  <c r="P22"/>
  <c r="O22"/>
  <c r="N22"/>
  <c r="M22"/>
  <c r="L22"/>
  <c r="K22"/>
  <c r="J22"/>
  <c r="I22"/>
  <c r="B22"/>
  <c r="P21"/>
  <c r="O21"/>
  <c r="N21"/>
  <c r="M21"/>
  <c r="L21"/>
  <c r="K21"/>
  <c r="J21"/>
  <c r="I21"/>
  <c r="B21"/>
  <c r="P20"/>
  <c r="O20"/>
  <c r="N20"/>
  <c r="M20"/>
  <c r="L20"/>
  <c r="K20"/>
  <c r="J20"/>
  <c r="I20"/>
  <c r="B20"/>
  <c r="P19"/>
  <c r="O19"/>
  <c r="N19"/>
  <c r="M19"/>
  <c r="L19"/>
  <c r="K19"/>
  <c r="J19"/>
  <c r="I19"/>
  <c r="B19"/>
  <c r="P18"/>
  <c r="O18"/>
  <c r="N18"/>
  <c r="M18"/>
  <c r="L18"/>
  <c r="K18"/>
  <c r="J18"/>
  <c r="I18"/>
  <c r="B18"/>
  <c r="P17"/>
  <c r="O17"/>
  <c r="N17"/>
  <c r="M17"/>
  <c r="L17"/>
  <c r="K17"/>
  <c r="J17"/>
  <c r="I17"/>
  <c r="B17"/>
  <c r="C17" s="1"/>
  <c r="P16"/>
  <c r="O16"/>
  <c r="N16"/>
  <c r="M16"/>
  <c r="L16"/>
  <c r="K16"/>
  <c r="J16"/>
  <c r="I16"/>
  <c r="B16"/>
  <c r="R16" s="1"/>
  <c r="P15"/>
  <c r="O15"/>
  <c r="N15"/>
  <c r="M15"/>
  <c r="L15"/>
  <c r="K15"/>
  <c r="J15"/>
  <c r="I15"/>
  <c r="B15"/>
  <c r="P14"/>
  <c r="O14"/>
  <c r="N14"/>
  <c r="M14"/>
  <c r="L14"/>
  <c r="K14"/>
  <c r="J14"/>
  <c r="I14"/>
  <c r="B14"/>
  <c r="P13"/>
  <c r="O13"/>
  <c r="N13"/>
  <c r="M13"/>
  <c r="L13"/>
  <c r="K13"/>
  <c r="J13"/>
  <c r="I13"/>
  <c r="B13"/>
  <c r="P12"/>
  <c r="O12"/>
  <c r="N12"/>
  <c r="M12"/>
  <c r="L12"/>
  <c r="K12"/>
  <c r="J12"/>
  <c r="I12"/>
  <c r="B12"/>
  <c r="P11"/>
  <c r="O11"/>
  <c r="N11"/>
  <c r="M11"/>
  <c r="L11"/>
  <c r="K11"/>
  <c r="J11"/>
  <c r="I11"/>
  <c r="B11"/>
  <c r="P10"/>
  <c r="O10"/>
  <c r="N10"/>
  <c r="M10"/>
  <c r="L10"/>
  <c r="K10"/>
  <c r="J10"/>
  <c r="I10"/>
  <c r="B10"/>
  <c r="R98" l="1"/>
  <c r="R77"/>
  <c r="C37"/>
  <c r="C84"/>
  <c r="C13"/>
  <c r="C21"/>
  <c r="C49"/>
  <c r="R94"/>
  <c r="C108"/>
  <c r="C53"/>
  <c r="C45"/>
  <c r="C60"/>
  <c r="C64"/>
  <c r="C68"/>
  <c r="C72"/>
  <c r="C76"/>
  <c r="R86"/>
  <c r="C92"/>
  <c r="R102"/>
  <c r="R106"/>
  <c r="C83"/>
  <c r="C88"/>
  <c r="C100"/>
  <c r="C96"/>
  <c r="C104"/>
  <c r="C12"/>
  <c r="C16"/>
  <c r="C20"/>
  <c r="C24"/>
  <c r="C28"/>
  <c r="C32"/>
  <c r="C36"/>
  <c r="C40"/>
  <c r="C44"/>
  <c r="C56"/>
  <c r="C52"/>
  <c r="C54"/>
  <c r="C10"/>
  <c r="C14"/>
  <c r="C18"/>
  <c r="C22"/>
  <c r="C26"/>
  <c r="C30"/>
  <c r="C34"/>
  <c r="C38"/>
  <c r="C42"/>
  <c r="C48"/>
  <c r="C50"/>
  <c r="C46"/>
  <c r="C78"/>
  <c r="C105"/>
  <c r="C97"/>
  <c r="C59"/>
  <c r="C63"/>
  <c r="C67"/>
  <c r="C71"/>
  <c r="C75"/>
  <c r="C11"/>
  <c r="C15"/>
  <c r="C19"/>
  <c r="C23"/>
  <c r="C27"/>
  <c r="C31"/>
  <c r="C35"/>
  <c r="C39"/>
  <c r="C43"/>
  <c r="C47"/>
  <c r="C51"/>
  <c r="C55"/>
  <c r="C58"/>
  <c r="C62"/>
  <c r="C66"/>
  <c r="C70"/>
  <c r="C74"/>
  <c r="C85"/>
  <c r="C89"/>
  <c r="C82"/>
  <c r="C93"/>
  <c r="C101"/>
  <c r="C86"/>
  <c r="C90"/>
  <c r="C94"/>
  <c r="C98"/>
  <c r="C102"/>
  <c r="C106"/>
  <c r="B5"/>
  <c r="D1" i="2" s="1"/>
  <c r="B1" s="1"/>
  <c r="AI105"/>
  <c r="AH105"/>
  <c r="AF105"/>
  <c r="AE105"/>
  <c r="AC105"/>
  <c r="AB105"/>
  <c r="Z105"/>
  <c r="Y105"/>
  <c r="P109" i="1"/>
  <c r="O109"/>
  <c r="N109"/>
  <c r="M109"/>
  <c r="L109"/>
  <c r="K109"/>
  <c r="J109"/>
  <c r="I109"/>
  <c r="G109"/>
  <c r="E109"/>
  <c r="B109"/>
  <c r="Y95" i="2"/>
  <c r="Z95"/>
  <c r="AB95"/>
  <c r="AC95"/>
  <c r="AE95"/>
  <c r="AF95"/>
  <c r="AH95"/>
  <c r="AI95"/>
  <c r="Y96"/>
  <c r="Z96"/>
  <c r="AB96"/>
  <c r="AC96"/>
  <c r="AE96"/>
  <c r="AF96"/>
  <c r="AH96"/>
  <c r="AI96"/>
  <c r="Y97"/>
  <c r="Z97"/>
  <c r="AB97"/>
  <c r="AC97"/>
  <c r="AE97"/>
  <c r="AF97"/>
  <c r="AH97"/>
  <c r="AI97"/>
  <c r="Y98"/>
  <c r="Z98"/>
  <c r="AB98"/>
  <c r="AC98"/>
  <c r="AE98"/>
  <c r="AF98"/>
  <c r="AH98"/>
  <c r="AI98"/>
  <c r="Y99"/>
  <c r="Z99"/>
  <c r="AB99"/>
  <c r="AC99"/>
  <c r="AE99"/>
  <c r="AF99"/>
  <c r="AH99"/>
  <c r="AI99"/>
  <c r="Y100"/>
  <c r="Z100"/>
  <c r="AB100"/>
  <c r="AC100"/>
  <c r="AE100"/>
  <c r="AF100"/>
  <c r="AH100"/>
  <c r="AI100"/>
  <c r="Y101"/>
  <c r="Z101"/>
  <c r="AB101"/>
  <c r="AC101"/>
  <c r="AE101"/>
  <c r="AF101"/>
  <c r="AH101"/>
  <c r="AI101"/>
  <c r="Y102"/>
  <c r="Z102"/>
  <c r="AB102"/>
  <c r="AC102"/>
  <c r="AE102"/>
  <c r="AF102"/>
  <c r="AH102"/>
  <c r="AI102"/>
  <c r="Y103"/>
  <c r="Z103"/>
  <c r="AB103"/>
  <c r="AC103"/>
  <c r="AE103"/>
  <c r="AF103"/>
  <c r="AH103"/>
  <c r="AI103"/>
  <c r="Y104"/>
  <c r="Z104"/>
  <c r="AB104"/>
  <c r="AC104"/>
  <c r="AE104"/>
  <c r="AF104"/>
  <c r="AH104"/>
  <c r="AI104"/>
  <c r="P9" i="1"/>
  <c r="O9"/>
  <c r="N9"/>
  <c r="M9"/>
  <c r="L9"/>
  <c r="K9"/>
  <c r="G4" i="2"/>
  <c r="F4"/>
  <c r="E4"/>
  <c r="B4"/>
  <c r="C4"/>
  <c r="D4"/>
  <c r="H4"/>
  <c r="I4"/>
  <c r="J4"/>
  <c r="K4"/>
  <c r="L4"/>
  <c r="M4"/>
  <c r="N4"/>
  <c r="O4"/>
  <c r="Y5"/>
  <c r="Z5"/>
  <c r="AB5"/>
  <c r="AC5"/>
  <c r="AE5"/>
  <c r="AF5"/>
  <c r="AH5"/>
  <c r="AI5"/>
  <c r="Y6"/>
  <c r="Z6"/>
  <c r="AB6"/>
  <c r="AC6"/>
  <c r="AE6"/>
  <c r="AF6"/>
  <c r="AH6"/>
  <c r="AI6"/>
  <c r="Y7"/>
  <c r="Z7"/>
  <c r="AB7"/>
  <c r="AC7"/>
  <c r="AE7"/>
  <c r="AF7"/>
  <c r="AH7"/>
  <c r="AI7"/>
  <c r="Y8"/>
  <c r="Z8"/>
  <c r="AB8"/>
  <c r="AC8"/>
  <c r="AE8"/>
  <c r="AF8"/>
  <c r="AH8"/>
  <c r="AI8"/>
  <c r="Y9"/>
  <c r="Z9"/>
  <c r="AB9"/>
  <c r="AC9"/>
  <c r="AE9"/>
  <c r="AF9"/>
  <c r="AH9"/>
  <c r="AI9"/>
  <c r="Y10"/>
  <c r="Z10"/>
  <c r="AB10"/>
  <c r="AC10"/>
  <c r="AE10"/>
  <c r="AF10"/>
  <c r="AH10"/>
  <c r="AI10"/>
  <c r="Y11"/>
  <c r="Z11"/>
  <c r="AB11"/>
  <c r="AC11"/>
  <c r="AE11"/>
  <c r="AF11"/>
  <c r="AH11"/>
  <c r="AI11"/>
  <c r="Y12"/>
  <c r="Z12"/>
  <c r="AB12"/>
  <c r="AC12"/>
  <c r="AE12"/>
  <c r="AF12"/>
  <c r="AH12"/>
  <c r="AI12"/>
  <c r="Y13"/>
  <c r="Z13"/>
  <c r="AB13"/>
  <c r="AC13"/>
  <c r="AE13"/>
  <c r="AF13"/>
  <c r="AH13"/>
  <c r="AI13"/>
  <c r="Y14"/>
  <c r="Z14"/>
  <c r="AB14"/>
  <c r="AC14"/>
  <c r="AE14"/>
  <c r="AF14"/>
  <c r="AH14"/>
  <c r="AI14"/>
  <c r="Y15"/>
  <c r="Z15"/>
  <c r="AB15"/>
  <c r="AC15"/>
  <c r="AE15"/>
  <c r="AF15"/>
  <c r="AH15"/>
  <c r="AI15"/>
  <c r="Y16"/>
  <c r="Z16"/>
  <c r="AB16"/>
  <c r="AC16"/>
  <c r="AE16"/>
  <c r="AF16"/>
  <c r="AH16"/>
  <c r="AI16"/>
  <c r="Y17"/>
  <c r="Z17"/>
  <c r="AB17"/>
  <c r="AC17"/>
  <c r="AE17"/>
  <c r="AF17"/>
  <c r="AH17"/>
  <c r="AI17"/>
  <c r="Y18"/>
  <c r="Z18"/>
  <c r="AB18"/>
  <c r="AC18"/>
  <c r="AE18"/>
  <c r="AF18"/>
  <c r="AH18"/>
  <c r="AI18"/>
  <c r="Y19"/>
  <c r="Z19"/>
  <c r="AB19"/>
  <c r="AC19"/>
  <c r="AE19"/>
  <c r="AF19"/>
  <c r="AH19"/>
  <c r="AI19"/>
  <c r="Y20"/>
  <c r="Z20"/>
  <c r="AB20"/>
  <c r="AC20"/>
  <c r="AE20"/>
  <c r="AF20"/>
  <c r="AH20"/>
  <c r="AI20"/>
  <c r="Y21"/>
  <c r="Z21"/>
  <c r="AB21"/>
  <c r="AC21"/>
  <c r="AE21"/>
  <c r="AF21"/>
  <c r="AH21"/>
  <c r="AI21"/>
  <c r="Y22"/>
  <c r="Z22"/>
  <c r="AB22"/>
  <c r="AC22"/>
  <c r="AE22"/>
  <c r="AF22"/>
  <c r="AH22"/>
  <c r="AI22"/>
  <c r="Y23"/>
  <c r="Z23"/>
  <c r="AB23"/>
  <c r="AC23"/>
  <c r="AE23"/>
  <c r="AF23"/>
  <c r="AH23"/>
  <c r="AI23"/>
  <c r="Y24"/>
  <c r="Z24"/>
  <c r="AB24"/>
  <c r="AC24"/>
  <c r="AE24"/>
  <c r="AF24"/>
  <c r="AH24"/>
  <c r="AI24"/>
  <c r="Y25"/>
  <c r="Z25"/>
  <c r="AB25"/>
  <c r="AC25"/>
  <c r="AE25"/>
  <c r="AF25"/>
  <c r="AH25"/>
  <c r="AI25"/>
  <c r="Y26"/>
  <c r="Z26"/>
  <c r="AB26"/>
  <c r="AC26"/>
  <c r="AE26"/>
  <c r="AF26"/>
  <c r="AH26"/>
  <c r="AI26"/>
  <c r="Y27"/>
  <c r="Z27"/>
  <c r="AB27"/>
  <c r="AC27"/>
  <c r="AE27"/>
  <c r="AF27"/>
  <c r="AH27"/>
  <c r="AI27"/>
  <c r="Y28"/>
  <c r="Z28"/>
  <c r="AB28"/>
  <c r="AC28"/>
  <c r="AE28"/>
  <c r="AF28"/>
  <c r="AH28"/>
  <c r="AI28"/>
  <c r="Y29"/>
  <c r="Z29"/>
  <c r="AB29"/>
  <c r="AC29"/>
  <c r="AE29"/>
  <c r="AF29"/>
  <c r="AH29"/>
  <c r="AI29"/>
  <c r="Y30"/>
  <c r="Z30"/>
  <c r="AB30"/>
  <c r="AC30"/>
  <c r="AE30"/>
  <c r="AF30"/>
  <c r="AH30"/>
  <c r="AI30"/>
  <c r="Y31"/>
  <c r="Z31"/>
  <c r="AB31"/>
  <c r="AC31"/>
  <c r="AE31"/>
  <c r="AF31"/>
  <c r="AH31"/>
  <c r="AI31"/>
  <c r="Y32"/>
  <c r="Z32"/>
  <c r="AB32"/>
  <c r="AC32"/>
  <c r="AE32"/>
  <c r="AF32"/>
  <c r="AH32"/>
  <c r="AI32"/>
  <c r="Y33"/>
  <c r="Z33"/>
  <c r="AB33"/>
  <c r="AC33"/>
  <c r="AE33"/>
  <c r="AF33"/>
  <c r="AH33"/>
  <c r="AI33"/>
  <c r="Y34"/>
  <c r="Z34"/>
  <c r="AB34"/>
  <c r="AC34"/>
  <c r="AE34"/>
  <c r="AF34"/>
  <c r="AH34"/>
  <c r="AI34"/>
  <c r="Y35"/>
  <c r="Z35"/>
  <c r="AB35"/>
  <c r="AC35"/>
  <c r="AE35"/>
  <c r="AF35"/>
  <c r="AH35"/>
  <c r="AI35"/>
  <c r="Y36"/>
  <c r="Z36"/>
  <c r="AB36"/>
  <c r="AC36"/>
  <c r="AE36"/>
  <c r="AF36"/>
  <c r="AH36"/>
  <c r="AI36"/>
  <c r="Y37"/>
  <c r="Z37"/>
  <c r="AB37"/>
  <c r="AC37"/>
  <c r="AE37"/>
  <c r="AF37"/>
  <c r="AH37"/>
  <c r="AI37"/>
  <c r="Y38"/>
  <c r="Z38"/>
  <c r="AB38"/>
  <c r="AC38"/>
  <c r="AE38"/>
  <c r="AF38"/>
  <c r="AH38"/>
  <c r="AI38"/>
  <c r="Y39"/>
  <c r="Z39"/>
  <c r="AB39"/>
  <c r="AC39"/>
  <c r="AE39"/>
  <c r="AF39"/>
  <c r="AH39"/>
  <c r="AI39"/>
  <c r="Y40"/>
  <c r="Z40"/>
  <c r="AB40"/>
  <c r="AC40"/>
  <c r="AE40"/>
  <c r="AF40"/>
  <c r="AH40"/>
  <c r="AI40"/>
  <c r="Y41"/>
  <c r="Z41"/>
  <c r="AB41"/>
  <c r="AC41"/>
  <c r="AE41"/>
  <c r="AF41"/>
  <c r="AH41"/>
  <c r="AI41"/>
  <c r="Y42"/>
  <c r="Z42"/>
  <c r="AB42"/>
  <c r="AC42"/>
  <c r="AE42"/>
  <c r="AF42"/>
  <c r="AH42"/>
  <c r="AI42"/>
  <c r="Y43"/>
  <c r="Z43"/>
  <c r="AB43"/>
  <c r="AC43"/>
  <c r="AE43"/>
  <c r="AF43"/>
  <c r="AH43"/>
  <c r="AI43"/>
  <c r="Y44"/>
  <c r="Z44"/>
  <c r="AB44"/>
  <c r="AC44"/>
  <c r="AE44"/>
  <c r="AF44"/>
  <c r="AH44"/>
  <c r="AI44"/>
  <c r="Y45"/>
  <c r="Z45"/>
  <c r="AB45"/>
  <c r="AC45"/>
  <c r="AE45"/>
  <c r="AF45"/>
  <c r="AH45"/>
  <c r="AI45"/>
  <c r="Y46"/>
  <c r="Z46"/>
  <c r="AB46"/>
  <c r="AC46"/>
  <c r="AE46"/>
  <c r="AF46"/>
  <c r="AH46"/>
  <c r="AI46"/>
  <c r="Y47"/>
  <c r="Z47"/>
  <c r="AB47"/>
  <c r="AC47"/>
  <c r="AE47"/>
  <c r="AF47"/>
  <c r="AH47"/>
  <c r="AI47"/>
  <c r="Y48"/>
  <c r="Z48"/>
  <c r="AB48"/>
  <c r="AC48"/>
  <c r="AE48"/>
  <c r="AF48"/>
  <c r="AH48"/>
  <c r="AI48"/>
  <c r="Y49"/>
  <c r="Z49"/>
  <c r="AB49"/>
  <c r="AC49"/>
  <c r="AE49"/>
  <c r="AF49"/>
  <c r="AH49"/>
  <c r="AI49"/>
  <c r="Y50"/>
  <c r="Z50"/>
  <c r="AB50"/>
  <c r="AC50"/>
  <c r="AE50"/>
  <c r="AF50"/>
  <c r="AH50"/>
  <c r="AI50"/>
  <c r="Y51"/>
  <c r="Z51"/>
  <c r="AB51"/>
  <c r="AC51"/>
  <c r="AE51"/>
  <c r="AF51"/>
  <c r="AH51"/>
  <c r="AI51"/>
  <c r="Y52"/>
  <c r="Z52"/>
  <c r="AB52"/>
  <c r="AC52"/>
  <c r="AE52"/>
  <c r="AF52"/>
  <c r="AH52"/>
  <c r="AI52"/>
  <c r="Y53"/>
  <c r="Z53"/>
  <c r="AB53"/>
  <c r="AC53"/>
  <c r="AE53"/>
  <c r="AF53"/>
  <c r="AH53"/>
  <c r="AI53"/>
  <c r="Y54"/>
  <c r="Z54"/>
  <c r="AB54"/>
  <c r="AC54"/>
  <c r="AE54"/>
  <c r="AF54"/>
  <c r="AH54"/>
  <c r="AI54"/>
  <c r="Y55"/>
  <c r="Z55"/>
  <c r="AB55"/>
  <c r="AC55"/>
  <c r="AE55"/>
  <c r="AF55"/>
  <c r="AH55"/>
  <c r="AI55"/>
  <c r="Y56"/>
  <c r="Z56"/>
  <c r="AB56"/>
  <c r="AC56"/>
  <c r="AE56"/>
  <c r="AF56"/>
  <c r="AH56"/>
  <c r="AI56"/>
  <c r="Y57"/>
  <c r="Z57"/>
  <c r="AB57"/>
  <c r="AC57"/>
  <c r="AE57"/>
  <c r="AF57"/>
  <c r="AH57"/>
  <c r="AI57"/>
  <c r="Y58"/>
  <c r="Z58"/>
  <c r="AB58"/>
  <c r="AC58"/>
  <c r="AE58"/>
  <c r="AF58"/>
  <c r="AH58"/>
  <c r="AI58"/>
  <c r="Y59"/>
  <c r="Z59"/>
  <c r="AB59"/>
  <c r="AC59"/>
  <c r="AE59"/>
  <c r="AF59"/>
  <c r="AH59"/>
  <c r="AI59"/>
  <c r="Y60"/>
  <c r="Z60"/>
  <c r="AB60"/>
  <c r="AC60"/>
  <c r="AE60"/>
  <c r="AF60"/>
  <c r="AH60"/>
  <c r="AI60"/>
  <c r="Y61"/>
  <c r="Z61"/>
  <c r="AB61"/>
  <c r="AC61"/>
  <c r="AE61"/>
  <c r="AF61"/>
  <c r="AH61"/>
  <c r="AI61"/>
  <c r="Y62"/>
  <c r="Z62"/>
  <c r="AB62"/>
  <c r="AC62"/>
  <c r="AE62"/>
  <c r="AF62"/>
  <c r="AH62"/>
  <c r="AI62"/>
  <c r="Y63"/>
  <c r="Z63"/>
  <c r="AB63"/>
  <c r="AC63"/>
  <c r="AE63"/>
  <c r="AF63"/>
  <c r="AH63"/>
  <c r="AI63"/>
  <c r="Y64"/>
  <c r="Z64"/>
  <c r="AB64"/>
  <c r="AC64"/>
  <c r="AE64"/>
  <c r="AF64"/>
  <c r="AH64"/>
  <c r="AI64"/>
  <c r="Y65"/>
  <c r="Z65"/>
  <c r="AB65"/>
  <c r="AC65"/>
  <c r="AE65"/>
  <c r="AF65"/>
  <c r="AH65"/>
  <c r="AI65"/>
  <c r="Y66"/>
  <c r="Z66"/>
  <c r="AB66"/>
  <c r="AC66"/>
  <c r="AE66"/>
  <c r="AF66"/>
  <c r="AH66"/>
  <c r="AI66"/>
  <c r="Y67"/>
  <c r="Z67"/>
  <c r="AB67"/>
  <c r="AC67"/>
  <c r="AE67"/>
  <c r="AF67"/>
  <c r="AH67"/>
  <c r="AI67"/>
  <c r="Y68"/>
  <c r="Z68"/>
  <c r="AB68"/>
  <c r="AC68"/>
  <c r="AE68"/>
  <c r="AF68"/>
  <c r="AH68"/>
  <c r="AI68"/>
  <c r="Y69"/>
  <c r="Z69"/>
  <c r="AB69"/>
  <c r="AC69"/>
  <c r="AE69"/>
  <c r="AF69"/>
  <c r="AH69"/>
  <c r="AI69"/>
  <c r="Y70"/>
  <c r="Z70"/>
  <c r="AB70"/>
  <c r="AC70"/>
  <c r="AE70"/>
  <c r="AF70"/>
  <c r="AH70"/>
  <c r="AI70"/>
  <c r="Y71"/>
  <c r="Z71"/>
  <c r="AB71"/>
  <c r="AC71"/>
  <c r="AE71"/>
  <c r="AF71"/>
  <c r="AH71"/>
  <c r="AI71"/>
  <c r="Y72"/>
  <c r="Z72"/>
  <c r="AB72"/>
  <c r="AC72"/>
  <c r="AE72"/>
  <c r="AF72"/>
  <c r="AH72"/>
  <c r="AI72"/>
  <c r="Y73"/>
  <c r="Z73"/>
  <c r="AB73"/>
  <c r="AC73"/>
  <c r="AE73"/>
  <c r="AF73"/>
  <c r="AH73"/>
  <c r="AI73"/>
  <c r="Y74"/>
  <c r="Z74"/>
  <c r="AB74"/>
  <c r="AC74"/>
  <c r="AE74"/>
  <c r="AF74"/>
  <c r="AH74"/>
  <c r="AI74"/>
  <c r="Y75"/>
  <c r="Z75"/>
  <c r="AB75"/>
  <c r="AC75"/>
  <c r="AE75"/>
  <c r="AF75"/>
  <c r="AH75"/>
  <c r="AI75"/>
  <c r="Y76"/>
  <c r="Z76"/>
  <c r="AB76"/>
  <c r="AC76"/>
  <c r="AE76"/>
  <c r="AF76"/>
  <c r="AH76"/>
  <c r="AI76"/>
  <c r="Y77"/>
  <c r="Z77"/>
  <c r="AB77"/>
  <c r="AC77"/>
  <c r="AE77"/>
  <c r="AF77"/>
  <c r="AH77"/>
  <c r="AI77"/>
  <c r="Y78"/>
  <c r="Z78"/>
  <c r="AB78"/>
  <c r="AC78"/>
  <c r="AE78"/>
  <c r="AF78"/>
  <c r="AH78"/>
  <c r="AI78"/>
  <c r="Y79"/>
  <c r="Z79"/>
  <c r="AB79"/>
  <c r="AC79"/>
  <c r="AE79"/>
  <c r="AF79"/>
  <c r="AH79"/>
  <c r="AI79"/>
  <c r="Y80"/>
  <c r="Z80"/>
  <c r="AB80"/>
  <c r="AC80"/>
  <c r="AE80"/>
  <c r="AF80"/>
  <c r="AH80"/>
  <c r="AI80"/>
  <c r="Y81"/>
  <c r="Z81"/>
  <c r="AB81"/>
  <c r="AC81"/>
  <c r="AE81"/>
  <c r="AF81"/>
  <c r="AH81"/>
  <c r="AI81"/>
  <c r="Y82"/>
  <c r="Z82"/>
  <c r="AB82"/>
  <c r="AC82"/>
  <c r="AE82"/>
  <c r="AF82"/>
  <c r="AH82"/>
  <c r="AI82"/>
  <c r="Y83"/>
  <c r="Z83"/>
  <c r="AB83"/>
  <c r="AC83"/>
  <c r="AE83"/>
  <c r="AF83"/>
  <c r="AH83"/>
  <c r="AI83"/>
  <c r="Y84"/>
  <c r="Z84"/>
  <c r="AB84"/>
  <c r="AC84"/>
  <c r="AE84"/>
  <c r="AF84"/>
  <c r="AH84"/>
  <c r="AI84"/>
  <c r="Y85"/>
  <c r="Z85"/>
  <c r="AB85"/>
  <c r="AC85"/>
  <c r="AE85"/>
  <c r="AF85"/>
  <c r="AH85"/>
  <c r="AI85"/>
  <c r="Y86"/>
  <c r="Z86"/>
  <c r="AB86"/>
  <c r="AC86"/>
  <c r="AE86"/>
  <c r="AF86"/>
  <c r="AH86"/>
  <c r="AI86"/>
  <c r="Y87"/>
  <c r="Z87"/>
  <c r="AB87"/>
  <c r="AC87"/>
  <c r="AE87"/>
  <c r="AF87"/>
  <c r="AH87"/>
  <c r="AI87"/>
  <c r="Y88"/>
  <c r="Z88"/>
  <c r="AB88"/>
  <c r="AC88"/>
  <c r="AE88"/>
  <c r="AF88"/>
  <c r="AH88"/>
  <c r="AI88"/>
  <c r="Y89"/>
  <c r="Z89"/>
  <c r="AB89"/>
  <c r="AC89"/>
  <c r="AE89"/>
  <c r="AF89"/>
  <c r="AH89"/>
  <c r="AI89"/>
  <c r="Y90"/>
  <c r="Z90"/>
  <c r="AB90"/>
  <c r="AC90"/>
  <c r="AE90"/>
  <c r="AF90"/>
  <c r="AH90"/>
  <c r="AI90"/>
  <c r="Y91"/>
  <c r="Z91"/>
  <c r="AB91"/>
  <c r="AC91"/>
  <c r="AE91"/>
  <c r="AF91"/>
  <c r="AH91"/>
  <c r="AI91"/>
  <c r="Y92"/>
  <c r="Z92"/>
  <c r="AB92"/>
  <c r="AC92"/>
  <c r="AE92"/>
  <c r="AF92"/>
  <c r="AH92"/>
  <c r="AI92"/>
  <c r="Y93"/>
  <c r="Z93"/>
  <c r="AB93"/>
  <c r="AC93"/>
  <c r="AE93"/>
  <c r="AF93"/>
  <c r="AH93"/>
  <c r="AI93"/>
  <c r="Y94"/>
  <c r="Z94"/>
  <c r="AB94"/>
  <c r="AC94"/>
  <c r="AE94"/>
  <c r="AF94"/>
  <c r="AH94"/>
  <c r="AI94"/>
  <c r="D4" i="1" a="1"/>
  <c r="A3" i="2"/>
  <c r="P3"/>
  <c r="AD105" l="1"/>
  <c r="AD101"/>
  <c r="AD97"/>
  <c r="AD93"/>
  <c r="AD89"/>
  <c r="AD85"/>
  <c r="AD81"/>
  <c r="AD77"/>
  <c r="AD73"/>
  <c r="AD69"/>
  <c r="AD65"/>
  <c r="AD61"/>
  <c r="AD57"/>
  <c r="AD53"/>
  <c r="AD49"/>
  <c r="AD45"/>
  <c r="AD41"/>
  <c r="AD37"/>
  <c r="AD33"/>
  <c r="AD29"/>
  <c r="AD25"/>
  <c r="AD21"/>
  <c r="AD17"/>
  <c r="AD13"/>
  <c r="AD9"/>
  <c r="AD104"/>
  <c r="AD100"/>
  <c r="AD96"/>
  <c r="AD92"/>
  <c r="AD88"/>
  <c r="AD84"/>
  <c r="AD80"/>
  <c r="AD76"/>
  <c r="AD72"/>
  <c r="AD68"/>
  <c r="AD64"/>
  <c r="AD60"/>
  <c r="AD56"/>
  <c r="AD52"/>
  <c r="AD48"/>
  <c r="AD44"/>
  <c r="AD40"/>
  <c r="AD36"/>
  <c r="AD32"/>
  <c r="AD28"/>
  <c r="AD24"/>
  <c r="AD20"/>
  <c r="AD16"/>
  <c r="AD12"/>
  <c r="AD8"/>
  <c r="AD103"/>
  <c r="AD99"/>
  <c r="AD95"/>
  <c r="AD91"/>
  <c r="AD87"/>
  <c r="AD83"/>
  <c r="AD79"/>
  <c r="AD75"/>
  <c r="AD71"/>
  <c r="AD67"/>
  <c r="AD63"/>
  <c r="AD59"/>
  <c r="AD55"/>
  <c r="AD51"/>
  <c r="AD47"/>
  <c r="AD43"/>
  <c r="AD39"/>
  <c r="AD35"/>
  <c r="AD31"/>
  <c r="AD27"/>
  <c r="AD23"/>
  <c r="AD19"/>
  <c r="AD15"/>
  <c r="AD11"/>
  <c r="AD7"/>
  <c r="AD102"/>
  <c r="AD98"/>
  <c r="AD94"/>
  <c r="AD90"/>
  <c r="AD86"/>
  <c r="AD82"/>
  <c r="AD78"/>
  <c r="AD74"/>
  <c r="AD70"/>
  <c r="AD66"/>
  <c r="AD62"/>
  <c r="AD58"/>
  <c r="AD54"/>
  <c r="AD50"/>
  <c r="AD46"/>
  <c r="AD42"/>
  <c r="AD38"/>
  <c r="AD34"/>
  <c r="AD30"/>
  <c r="AD26"/>
  <c r="AD22"/>
  <c r="AD18"/>
  <c r="AD14"/>
  <c r="AD10"/>
  <c r="AD6"/>
  <c r="AG105"/>
  <c r="AG101"/>
  <c r="AG97"/>
  <c r="AG93"/>
  <c r="AG89"/>
  <c r="AG85"/>
  <c r="AG81"/>
  <c r="AG77"/>
  <c r="AG73"/>
  <c r="AG69"/>
  <c r="AG65"/>
  <c r="AG61"/>
  <c r="AG57"/>
  <c r="AG53"/>
  <c r="AG49"/>
  <c r="AG45"/>
  <c r="AG41"/>
  <c r="AG37"/>
  <c r="AG33"/>
  <c r="AG29"/>
  <c r="AG25"/>
  <c r="AG21"/>
  <c r="AG17"/>
  <c r="AG13"/>
  <c r="AG9"/>
  <c r="AG86"/>
  <c r="AG58"/>
  <c r="AG50"/>
  <c r="AG42"/>
  <c r="AG30"/>
  <c r="AG22"/>
  <c r="AG14"/>
  <c r="AG6"/>
  <c r="AG104"/>
  <c r="AG100"/>
  <c r="AG96"/>
  <c r="AG92"/>
  <c r="AG88"/>
  <c r="AG84"/>
  <c r="AG80"/>
  <c r="AG76"/>
  <c r="AG72"/>
  <c r="AG68"/>
  <c r="AG64"/>
  <c r="AG60"/>
  <c r="AG56"/>
  <c r="AG52"/>
  <c r="AG48"/>
  <c r="AG44"/>
  <c r="AG40"/>
  <c r="AG36"/>
  <c r="AG32"/>
  <c r="AG28"/>
  <c r="AG24"/>
  <c r="AG20"/>
  <c r="AG16"/>
  <c r="AG12"/>
  <c r="AG8"/>
  <c r="AG103"/>
  <c r="AG99"/>
  <c r="AG95"/>
  <c r="AG91"/>
  <c r="AG87"/>
  <c r="AG83"/>
  <c r="AG79"/>
  <c r="AG75"/>
  <c r="AG71"/>
  <c r="AG67"/>
  <c r="AG63"/>
  <c r="AG59"/>
  <c r="AG55"/>
  <c r="AG51"/>
  <c r="AG47"/>
  <c r="AG43"/>
  <c r="AG39"/>
  <c r="AG35"/>
  <c r="AG31"/>
  <c r="AG27"/>
  <c r="AG23"/>
  <c r="AG19"/>
  <c r="AG15"/>
  <c r="AG11"/>
  <c r="AG7"/>
  <c r="AG102"/>
  <c r="AG98"/>
  <c r="AG94"/>
  <c r="AG90"/>
  <c r="AG82"/>
  <c r="AG78"/>
  <c r="AG74"/>
  <c r="AG70"/>
  <c r="AG66"/>
  <c r="AG62"/>
  <c r="AG54"/>
  <c r="AG46"/>
  <c r="AG38"/>
  <c r="AG34"/>
  <c r="AG26"/>
  <c r="AG18"/>
  <c r="AG10"/>
  <c r="AG5"/>
  <c r="AD5"/>
  <c r="AA105"/>
  <c r="AA101"/>
  <c r="AA97"/>
  <c r="AA93"/>
  <c r="AA89"/>
  <c r="AA85"/>
  <c r="AA81"/>
  <c r="AA77"/>
  <c r="AA73"/>
  <c r="AA69"/>
  <c r="AA65"/>
  <c r="AA61"/>
  <c r="AA57"/>
  <c r="AA53"/>
  <c r="AA49"/>
  <c r="AA45"/>
  <c r="AA41"/>
  <c r="AA37"/>
  <c r="AA33"/>
  <c r="AA29"/>
  <c r="AA25"/>
  <c r="AA21"/>
  <c r="AA17"/>
  <c r="AA13"/>
  <c r="AA9"/>
  <c r="AA104"/>
  <c r="AA100"/>
  <c r="AA96"/>
  <c r="AA92"/>
  <c r="AA88"/>
  <c r="AA84"/>
  <c r="AA80"/>
  <c r="AA76"/>
  <c r="AA72"/>
  <c r="AA68"/>
  <c r="AA64"/>
  <c r="AA60"/>
  <c r="AA56"/>
  <c r="AA52"/>
  <c r="AA48"/>
  <c r="AA44"/>
  <c r="AA40"/>
  <c r="AA36"/>
  <c r="AA32"/>
  <c r="AA28"/>
  <c r="AA24"/>
  <c r="AA20"/>
  <c r="AA16"/>
  <c r="AA12"/>
  <c r="AA8"/>
  <c r="AA103"/>
  <c r="AA99"/>
  <c r="AA95"/>
  <c r="AA91"/>
  <c r="AA87"/>
  <c r="AA83"/>
  <c r="AA79"/>
  <c r="AA75"/>
  <c r="AA71"/>
  <c r="AA67"/>
  <c r="AA63"/>
  <c r="AA59"/>
  <c r="AA55"/>
  <c r="AA51"/>
  <c r="AA47"/>
  <c r="AA43"/>
  <c r="AA39"/>
  <c r="AA35"/>
  <c r="AA31"/>
  <c r="AA27"/>
  <c r="AA23"/>
  <c r="AA19"/>
  <c r="AA15"/>
  <c r="AA11"/>
  <c r="AA7"/>
  <c r="AA102"/>
  <c r="AA98"/>
  <c r="AA94"/>
  <c r="AA90"/>
  <c r="AA86"/>
  <c r="AA82"/>
  <c r="AA78"/>
  <c r="AA74"/>
  <c r="AA70"/>
  <c r="AA66"/>
  <c r="AA62"/>
  <c r="AA58"/>
  <c r="AA54"/>
  <c r="AA50"/>
  <c r="AA46"/>
  <c r="AA42"/>
  <c r="AA38"/>
  <c r="AA34"/>
  <c r="AA30"/>
  <c r="AA26"/>
  <c r="AA22"/>
  <c r="AA18"/>
  <c r="AA14"/>
  <c r="AA10"/>
  <c r="AA6"/>
  <c r="AA5"/>
  <c r="R28" i="1"/>
  <c r="R12"/>
  <c r="R36"/>
  <c r="R20"/>
  <c r="R72"/>
  <c r="R37"/>
  <c r="R21"/>
  <c r="R60"/>
  <c r="R95"/>
  <c r="R83"/>
  <c r="R68"/>
  <c r="R49"/>
  <c r="R33"/>
  <c r="R17"/>
  <c r="R91"/>
  <c r="R79"/>
  <c r="R29"/>
  <c r="R13"/>
  <c r="R45"/>
  <c r="R87"/>
  <c r="R76"/>
  <c r="R41"/>
  <c r="R25"/>
  <c r="R64"/>
  <c r="R53"/>
  <c r="R101"/>
  <c r="R55"/>
  <c r="R31"/>
  <c r="R80"/>
  <c r="R70"/>
  <c r="R61"/>
  <c r="R51"/>
  <c r="R43"/>
  <c r="R35"/>
  <c r="R27"/>
  <c r="R19"/>
  <c r="R11"/>
  <c r="R67"/>
  <c r="R50"/>
  <c r="R52"/>
  <c r="R100"/>
  <c r="R81"/>
  <c r="R62"/>
  <c r="R39"/>
  <c r="R108"/>
  <c r="R93"/>
  <c r="R85"/>
  <c r="R96"/>
  <c r="R88"/>
  <c r="R99"/>
  <c r="R82"/>
  <c r="R73"/>
  <c r="R66"/>
  <c r="R57"/>
  <c r="R71"/>
  <c r="R46"/>
  <c r="R10"/>
  <c r="R69"/>
  <c r="R47"/>
  <c r="R15"/>
  <c r="R59"/>
  <c r="R97"/>
  <c r="R44"/>
  <c r="R48"/>
  <c r="R42"/>
  <c r="R38"/>
  <c r="R34"/>
  <c r="R30"/>
  <c r="R26"/>
  <c r="R22"/>
  <c r="R18"/>
  <c r="R14"/>
  <c r="R54"/>
  <c r="R23"/>
  <c r="R75"/>
  <c r="R104"/>
  <c r="R92"/>
  <c r="R84"/>
  <c r="R107"/>
  <c r="R103"/>
  <c r="R89"/>
  <c r="R74"/>
  <c r="R65"/>
  <c r="R58"/>
  <c r="R63"/>
  <c r="R105"/>
  <c r="R78"/>
  <c r="D4"/>
  <c r="AM2" i="2"/>
  <c r="W97"/>
  <c r="F101" i="1" s="1"/>
  <c r="V96" i="2"/>
  <c r="D100" i="1" s="1"/>
  <c r="V105" i="2"/>
  <c r="D109" i="1" s="1"/>
  <c r="W103" i="2"/>
  <c r="F107" i="1" s="1"/>
  <c r="V103" i="2"/>
  <c r="D107" i="1" s="1"/>
  <c r="W99" i="2"/>
  <c r="F103" i="1" s="1"/>
  <c r="V99" i="2"/>
  <c r="D103" i="1" s="1"/>
  <c r="W105" i="2"/>
  <c r="F109" i="1" s="1"/>
  <c r="W96" i="2"/>
  <c r="F100" i="1" s="1"/>
  <c r="G100" s="1"/>
  <c r="W101" i="2"/>
  <c r="F105" i="1" s="1"/>
  <c r="V101" i="2"/>
  <c r="D105" i="1" s="1"/>
  <c r="V97" i="2"/>
  <c r="D101" i="1" s="1"/>
  <c r="V104" i="2"/>
  <c r="D108" i="1" s="1"/>
  <c r="W104" i="2"/>
  <c r="F108" i="1" s="1"/>
  <c r="V100" i="2"/>
  <c r="D104" i="1" s="1"/>
  <c r="W100" i="2"/>
  <c r="F104" i="1" s="1"/>
  <c r="W102" i="2"/>
  <c r="F106" i="1" s="1"/>
  <c r="V102" i="2"/>
  <c r="D106" i="1" s="1"/>
  <c r="E106" s="1"/>
  <c r="W98" i="2"/>
  <c r="F102" i="1" s="1"/>
  <c r="V98" i="2"/>
  <c r="D102" i="1" s="1"/>
  <c r="W95" i="2"/>
  <c r="F99" i="1" s="1"/>
  <c r="V95" i="2"/>
  <c r="D99" i="1" s="1"/>
  <c r="V30" i="2"/>
  <c r="D34" i="1" s="1"/>
  <c r="W18" i="2"/>
  <c r="F22" i="1" s="1"/>
  <c r="V18" i="2"/>
  <c r="D22" i="1" s="1"/>
  <c r="W16" i="2"/>
  <c r="F20" i="1" s="1"/>
  <c r="W6" i="2"/>
  <c r="F10" i="1" s="1"/>
  <c r="V6" i="2"/>
  <c r="D10" i="1" s="1"/>
  <c r="W30" i="2"/>
  <c r="F34" i="1" s="1"/>
  <c r="V83" i="2"/>
  <c r="D87" i="1" s="1"/>
  <c r="W81" i="2"/>
  <c r="F85" i="1" s="1"/>
  <c r="W80" i="2"/>
  <c r="F84" i="1" s="1"/>
  <c r="V67" i="2"/>
  <c r="D71" i="1" s="1"/>
  <c r="W65" i="2"/>
  <c r="F69" i="1" s="1"/>
  <c r="V65" i="2"/>
  <c r="D69" i="1" s="1"/>
  <c r="W64" i="2"/>
  <c r="F68" i="1" s="1"/>
  <c r="V51" i="2"/>
  <c r="D55" i="1" s="1"/>
  <c r="W49" i="2"/>
  <c r="F53" i="1" s="1"/>
  <c r="V49" i="2"/>
  <c r="D53" i="1" s="1"/>
  <c r="W48" i="2"/>
  <c r="F52" i="1" s="1"/>
  <c r="W33" i="2"/>
  <c r="F37" i="1" s="1"/>
  <c r="V94" i="2"/>
  <c r="D98" i="1" s="1"/>
  <c r="V91" i="2"/>
  <c r="D95" i="1" s="1"/>
  <c r="V79" i="2"/>
  <c r="D83" i="1" s="1"/>
  <c r="V78" i="2"/>
  <c r="D82" i="1" s="1"/>
  <c r="V75" i="2"/>
  <c r="D79" i="1" s="1"/>
  <c r="V63" i="2"/>
  <c r="D67" i="1" s="1"/>
  <c r="W62" i="2"/>
  <c r="F66" i="1" s="1"/>
  <c r="V62" i="2"/>
  <c r="D66" i="1" s="1"/>
  <c r="V59" i="2"/>
  <c r="D63" i="1" s="1"/>
  <c r="V47" i="2"/>
  <c r="D51" i="1" s="1"/>
  <c r="W46" i="2"/>
  <c r="F50" i="1" s="1"/>
  <c r="V46" i="2"/>
  <c r="D50" i="1" s="1"/>
  <c r="V43" i="2"/>
  <c r="D47" i="1" s="1"/>
  <c r="V35" i="2"/>
  <c r="D39" i="1" s="1"/>
  <c r="W28" i="2"/>
  <c r="F32" i="1" s="1"/>
  <c r="V23" i="2"/>
  <c r="D27" i="1" s="1"/>
  <c r="V33" i="2"/>
  <c r="D37" i="1" s="1"/>
  <c r="W32" i="2"/>
  <c r="F36" i="1" s="1"/>
  <c r="W21" i="2"/>
  <c r="F25" i="1" s="1"/>
  <c r="V21" i="2"/>
  <c r="D25" i="1" s="1"/>
  <c r="V19" i="2"/>
  <c r="D23" i="1" s="1"/>
  <c r="V7" i="2"/>
  <c r="D11" i="1" s="1"/>
  <c r="V84" i="2"/>
  <c r="D88" i="1" s="1"/>
  <c r="V68" i="2"/>
  <c r="D72" i="1" s="1"/>
  <c r="V52" i="2"/>
  <c r="D56" i="1" s="1"/>
  <c r="V36" i="2"/>
  <c r="D40" i="1" s="1"/>
  <c r="V8" i="2"/>
  <c r="D12" i="1" s="1"/>
  <c r="W88" i="2"/>
  <c r="F92" i="1" s="1"/>
  <c r="W72" i="2"/>
  <c r="F76" i="1" s="1"/>
  <c r="W56" i="2"/>
  <c r="F60" i="1" s="1"/>
  <c r="W40" i="2"/>
  <c r="F44" i="1" s="1"/>
  <c r="V27" i="2"/>
  <c r="D31" i="1" s="1"/>
  <c r="W27" i="2"/>
  <c r="F31" i="1" s="1"/>
  <c r="W24" i="2"/>
  <c r="F28" i="1" s="1"/>
  <c r="V15" i="2"/>
  <c r="D19" i="1" s="1"/>
  <c r="W15" i="2"/>
  <c r="F19" i="1" s="1"/>
  <c r="W12" i="2"/>
  <c r="F16" i="1" s="1"/>
  <c r="W8" i="2"/>
  <c r="F12" i="1" s="1"/>
  <c r="W93" i="2"/>
  <c r="F97" i="1" s="1"/>
  <c r="V90" i="2"/>
  <c r="D94" i="1" s="1"/>
  <c r="V89" i="2"/>
  <c r="D93" i="1" s="1"/>
  <c r="W87" i="2"/>
  <c r="F91" i="1" s="1"/>
  <c r="W86" i="2"/>
  <c r="F90" i="1" s="1"/>
  <c r="W84" i="2"/>
  <c r="F88" i="1" s="1"/>
  <c r="W83" i="2"/>
  <c r="F87" i="1" s="1"/>
  <c r="V80" i="2"/>
  <c r="D84" i="1" s="1"/>
  <c r="W77" i="2"/>
  <c r="F81" i="1" s="1"/>
  <c r="V74" i="2"/>
  <c r="D78" i="1" s="1"/>
  <c r="V73" i="2"/>
  <c r="D77" i="1" s="1"/>
  <c r="W71" i="2"/>
  <c r="F75" i="1" s="1"/>
  <c r="W70" i="2"/>
  <c r="F74" i="1" s="1"/>
  <c r="W68" i="2"/>
  <c r="F72" i="1" s="1"/>
  <c r="W67" i="2"/>
  <c r="F71" i="1" s="1"/>
  <c r="V64" i="2"/>
  <c r="D68" i="1" s="1"/>
  <c r="W61" i="2"/>
  <c r="F65" i="1" s="1"/>
  <c r="V61" i="2"/>
  <c r="D65" i="1" s="1"/>
  <c r="W58" i="2"/>
  <c r="F62" i="1" s="1"/>
  <c r="V58" i="2"/>
  <c r="D62" i="1" s="1"/>
  <c r="W55" i="2"/>
  <c r="F59" i="1" s="1"/>
  <c r="W52" i="2"/>
  <c r="F56" i="1" s="1"/>
  <c r="W51" i="2"/>
  <c r="F55" i="1" s="1"/>
  <c r="V48" i="2"/>
  <c r="D52" i="1" s="1"/>
  <c r="W45" i="2"/>
  <c r="F49" i="1" s="1"/>
  <c r="V45" i="2"/>
  <c r="D49" i="1" s="1"/>
  <c r="W42" i="2"/>
  <c r="F46" i="1" s="1"/>
  <c r="V42" i="2"/>
  <c r="D46" i="1" s="1"/>
  <c r="W39" i="2"/>
  <c r="F43" i="1" s="1"/>
  <c r="W36" i="2"/>
  <c r="F40" i="1" s="1"/>
  <c r="W35" i="2"/>
  <c r="F39" i="1" s="1"/>
  <c r="V32" i="2"/>
  <c r="D36" i="1" s="1"/>
  <c r="W29" i="2"/>
  <c r="F33" i="1" s="1"/>
  <c r="V29" i="2"/>
  <c r="D33" i="1" s="1"/>
  <c r="W26" i="2"/>
  <c r="F30" i="1" s="1"/>
  <c r="V26" i="2"/>
  <c r="D30" i="1" s="1"/>
  <c r="E30" s="1"/>
  <c r="W23" i="2"/>
  <c r="F27" i="1" s="1"/>
  <c r="W20" i="2"/>
  <c r="F24" i="1" s="1"/>
  <c r="V20" i="2"/>
  <c r="D24" i="1" s="1"/>
  <c r="W17" i="2"/>
  <c r="F21" i="1" s="1"/>
  <c r="V17" i="2"/>
  <c r="D21" i="1" s="1"/>
  <c r="W14" i="2"/>
  <c r="F18" i="1" s="1"/>
  <c r="G18" s="1"/>
  <c r="V14" i="2"/>
  <c r="D18" i="1" s="1"/>
  <c r="V11" i="2"/>
  <c r="D15" i="1" s="1"/>
  <c r="W11" i="2"/>
  <c r="F15" i="1" s="1"/>
  <c r="G15" s="1"/>
  <c r="W5" i="2"/>
  <c r="V5"/>
  <c r="V92"/>
  <c r="D96" i="1" s="1"/>
  <c r="W89" i="2"/>
  <c r="F93" i="1" s="1"/>
  <c r="V87" i="2"/>
  <c r="D91" i="1" s="1"/>
  <c r="V86" i="2"/>
  <c r="D90" i="1" s="1"/>
  <c r="V76" i="2"/>
  <c r="D80" i="1" s="1"/>
  <c r="W73" i="2"/>
  <c r="F77" i="1" s="1"/>
  <c r="V71" i="2"/>
  <c r="D75" i="1" s="1"/>
  <c r="V70" i="2"/>
  <c r="D74" i="1" s="1"/>
  <c r="V60" i="2"/>
  <c r="D64" i="1" s="1"/>
  <c r="W57" i="2"/>
  <c r="F61" i="1" s="1"/>
  <c r="V57" i="2"/>
  <c r="D61" i="1" s="1"/>
  <c r="V55" i="2"/>
  <c r="D59" i="1" s="1"/>
  <c r="W54" i="2"/>
  <c r="F58" i="1" s="1"/>
  <c r="V54" i="2"/>
  <c r="D58" i="1" s="1"/>
  <c r="V44" i="2"/>
  <c r="D48" i="1" s="1"/>
  <c r="W41" i="2"/>
  <c r="F45" i="1" s="1"/>
  <c r="V41" i="2"/>
  <c r="D45" i="1" s="1"/>
  <c r="V39" i="2"/>
  <c r="D43" i="1" s="1"/>
  <c r="W38" i="2"/>
  <c r="F42" i="1" s="1"/>
  <c r="V38" i="2"/>
  <c r="D42" i="1" s="1"/>
  <c r="V28" i="2"/>
  <c r="D32" i="1" s="1"/>
  <c r="W25" i="2"/>
  <c r="F29" i="1" s="1"/>
  <c r="V25" i="2"/>
  <c r="D29" i="1" s="1"/>
  <c r="W19" i="2"/>
  <c r="F23" i="1" s="1"/>
  <c r="V16" i="2"/>
  <c r="D20" i="1" s="1"/>
  <c r="W13" i="2"/>
  <c r="F17" i="1" s="1"/>
  <c r="G17" s="1"/>
  <c r="V13" i="2"/>
  <c r="D17" i="1" s="1"/>
  <c r="W10" i="2"/>
  <c r="F14" i="1" s="1"/>
  <c r="V10" i="2"/>
  <c r="D14" i="1" s="1"/>
  <c r="W7" i="2"/>
  <c r="F11" i="1" s="1"/>
  <c r="W94" i="2"/>
  <c r="F98" i="1" s="1"/>
  <c r="W92" i="2"/>
  <c r="F96" i="1" s="1"/>
  <c r="W91" i="2"/>
  <c r="F95" i="1" s="1"/>
  <c r="V88" i="2"/>
  <c r="D92" i="1" s="1"/>
  <c r="W85" i="2"/>
  <c r="F89" i="1" s="1"/>
  <c r="V82" i="2"/>
  <c r="D86" i="1" s="1"/>
  <c r="E86" s="1"/>
  <c r="V81" i="2"/>
  <c r="D85" i="1" s="1"/>
  <c r="W79" i="2"/>
  <c r="F83" i="1" s="1"/>
  <c r="W78" i="2"/>
  <c r="F82" i="1" s="1"/>
  <c r="W76" i="2"/>
  <c r="F80" i="1" s="1"/>
  <c r="W75" i="2"/>
  <c r="F79" i="1" s="1"/>
  <c r="V72" i="2"/>
  <c r="D76" i="1" s="1"/>
  <c r="W69" i="2"/>
  <c r="F73" i="1" s="1"/>
  <c r="W66" i="2"/>
  <c r="F70" i="1" s="1"/>
  <c r="G70" s="1"/>
  <c r="V66" i="2"/>
  <c r="D70" i="1" s="1"/>
  <c r="W63" i="2"/>
  <c r="F67" i="1" s="1"/>
  <c r="W60" i="2"/>
  <c r="F64" i="1" s="1"/>
  <c r="W59" i="2"/>
  <c r="F63" i="1" s="1"/>
  <c r="V56" i="2"/>
  <c r="D60" i="1" s="1"/>
  <c r="W53" i="2"/>
  <c r="F57" i="1" s="1"/>
  <c r="V53" i="2"/>
  <c r="D57" i="1" s="1"/>
  <c r="W50" i="2"/>
  <c r="F54" i="1" s="1"/>
  <c r="G54" s="1"/>
  <c r="V50" i="2"/>
  <c r="D54" i="1" s="1"/>
  <c r="W47" i="2"/>
  <c r="F51" i="1" s="1"/>
  <c r="W44" i="2"/>
  <c r="F48" i="1" s="1"/>
  <c r="W43" i="2"/>
  <c r="F47" i="1" s="1"/>
  <c r="V40" i="2"/>
  <c r="D44" i="1" s="1"/>
  <c r="W37" i="2"/>
  <c r="F41" i="1" s="1"/>
  <c r="V37" i="2"/>
  <c r="D41" i="1" s="1"/>
  <c r="W34" i="2"/>
  <c r="F38" i="1" s="1"/>
  <c r="V34" i="2"/>
  <c r="D38" i="1" s="1"/>
  <c r="V31" i="2"/>
  <c r="D35" i="1" s="1"/>
  <c r="W31" i="2"/>
  <c r="F35" i="1" s="1"/>
  <c r="V24" i="2"/>
  <c r="D28" i="1" s="1"/>
  <c r="W22" i="2"/>
  <c r="F26" i="1" s="1"/>
  <c r="G26" s="1"/>
  <c r="V22" i="2"/>
  <c r="D26" i="1" s="1"/>
  <c r="E26" s="1"/>
  <c r="V12" i="2"/>
  <c r="D16" i="1" s="1"/>
  <c r="W9" i="2"/>
  <c r="F13" i="1" s="1"/>
  <c r="V9" i="2"/>
  <c r="D13" i="1" s="1"/>
  <c r="V93" i="2"/>
  <c r="D97" i="1" s="1"/>
  <c r="W90" i="2"/>
  <c r="F94" i="1" s="1"/>
  <c r="V85" i="2"/>
  <c r="D89" i="1" s="1"/>
  <c r="W82" i="2"/>
  <c r="F86" i="1" s="1"/>
  <c r="V77" i="2"/>
  <c r="D81" i="1" s="1"/>
  <c r="W74" i="2"/>
  <c r="F78" i="1" s="1"/>
  <c r="V69" i="2"/>
  <c r="D73" i="1" s="1"/>
  <c r="V37"/>
  <c r="U42"/>
  <c r="S75"/>
  <c r="T11"/>
  <c r="T90"/>
  <c r="V80"/>
  <c r="T66"/>
  <c r="T27"/>
  <c r="S50"/>
  <c r="V69"/>
  <c r="T78"/>
  <c r="S65"/>
  <c r="S57"/>
  <c r="U104"/>
  <c r="S77"/>
  <c r="V32"/>
  <c r="T105"/>
  <c r="V87"/>
  <c r="T16"/>
  <c r="T96"/>
  <c r="U99"/>
  <c r="U74"/>
  <c r="V26"/>
  <c r="V10"/>
  <c r="V30"/>
  <c r="S93"/>
  <c r="S13"/>
  <c r="T95"/>
  <c r="S39"/>
  <c r="T50"/>
  <c r="T30"/>
  <c r="V85"/>
  <c r="U86"/>
  <c r="V13"/>
  <c r="U100"/>
  <c r="V46"/>
  <c r="S70"/>
  <c r="S32"/>
  <c r="U35"/>
  <c r="S68"/>
  <c r="S56"/>
  <c r="T47"/>
  <c r="V45"/>
  <c r="V33"/>
  <c r="T39"/>
  <c r="T15"/>
  <c r="U73"/>
  <c r="S79"/>
  <c r="U50"/>
  <c r="T67"/>
  <c r="T108"/>
  <c r="S23"/>
  <c r="U68"/>
  <c r="U60"/>
  <c r="V103"/>
  <c r="S94"/>
  <c r="V43"/>
  <c r="V107"/>
  <c r="T36"/>
  <c r="T92"/>
  <c r="T84"/>
  <c r="S101"/>
  <c r="V18"/>
  <c r="V28"/>
  <c r="V22"/>
  <c r="T49"/>
  <c r="U79"/>
  <c r="T38"/>
  <c r="S108"/>
  <c r="T22"/>
  <c r="S53"/>
  <c r="U94"/>
  <c r="S62"/>
  <c r="S35"/>
  <c r="T58"/>
  <c r="V19"/>
  <c r="U27"/>
  <c r="V52"/>
  <c r="V93"/>
  <c r="V14"/>
  <c r="T60"/>
  <c r="T51"/>
  <c r="U16"/>
  <c r="S95"/>
  <c r="S63"/>
  <c r="U53"/>
  <c r="U107"/>
  <c r="V78"/>
  <c r="T48"/>
  <c r="T93"/>
  <c r="V38"/>
  <c r="S17"/>
  <c r="S27"/>
  <c r="T20"/>
  <c r="U103"/>
  <c r="T55"/>
  <c r="U61"/>
  <c r="V41"/>
  <c r="T98"/>
  <c r="U24"/>
  <c r="T35"/>
  <c r="U69"/>
  <c r="S67"/>
  <c r="U54"/>
  <c r="V86"/>
  <c r="V54"/>
  <c r="U72"/>
  <c r="U17"/>
  <c r="T81"/>
  <c r="V31"/>
  <c r="T59"/>
  <c r="V70"/>
  <c r="V40"/>
  <c r="V90"/>
  <c r="V67"/>
  <c r="T65"/>
  <c r="V65"/>
  <c r="V57"/>
  <c r="T104"/>
  <c r="V77"/>
  <c r="S89"/>
  <c r="S58"/>
  <c r="S16"/>
  <c r="S33"/>
  <c r="T79"/>
  <c r="T10"/>
  <c r="U83"/>
  <c r="S24"/>
  <c r="S99"/>
  <c r="T74"/>
  <c r="S44"/>
  <c r="U85"/>
  <c r="V23"/>
  <c r="U64"/>
  <c r="T68"/>
  <c r="U106"/>
  <c r="U101"/>
  <c r="U18"/>
  <c r="S28"/>
  <c r="U22"/>
  <c r="V49"/>
  <c r="V92"/>
  <c r="T106"/>
  <c r="V53"/>
  <c r="U14"/>
  <c r="T29"/>
  <c r="U62"/>
  <c r="U37"/>
  <c r="S42"/>
  <c r="T75"/>
  <c r="V11"/>
  <c r="S90"/>
  <c r="U80"/>
  <c r="V66"/>
  <c r="S14"/>
  <c r="V36"/>
  <c r="S72"/>
  <c r="U78"/>
  <c r="T76"/>
  <c r="T100"/>
  <c r="U19"/>
  <c r="V44"/>
  <c r="V105"/>
  <c r="U59"/>
  <c r="S76"/>
  <c r="V89"/>
  <c r="U75"/>
  <c r="S66"/>
  <c r="U98"/>
  <c r="S97"/>
  <c r="S92"/>
  <c r="V97"/>
  <c r="S98"/>
  <c r="T37"/>
  <c r="V59"/>
  <c r="U48"/>
  <c r="S25"/>
  <c r="U63"/>
  <c r="S15"/>
  <c r="U26"/>
  <c r="V71"/>
  <c r="U36"/>
  <c r="U46"/>
  <c r="U38"/>
  <c r="T102"/>
  <c r="S52"/>
  <c r="V29"/>
  <c r="V108"/>
  <c r="S71"/>
  <c r="S91"/>
  <c r="T21"/>
  <c r="T25"/>
  <c r="V47"/>
  <c r="U45"/>
  <c r="U33"/>
  <c r="V39"/>
  <c r="V15"/>
  <c r="S73"/>
  <c r="V79"/>
  <c r="U96"/>
  <c r="T88"/>
  <c r="S37"/>
  <c r="T72"/>
  <c r="T17"/>
  <c r="V81"/>
  <c r="U31"/>
  <c r="T32"/>
  <c r="S64"/>
  <c r="S21"/>
  <c r="S45"/>
  <c r="T73"/>
  <c r="T26"/>
  <c r="T34"/>
  <c r="S104"/>
  <c r="T54"/>
  <c r="V48"/>
  <c r="U52"/>
  <c r="S60"/>
  <c r="S96"/>
  <c r="V35"/>
  <c r="S51"/>
  <c r="U11"/>
  <c r="U12"/>
  <c r="S41"/>
  <c r="T64"/>
  <c r="U44"/>
  <c r="U10"/>
  <c r="S54"/>
  <c r="T103"/>
  <c r="U65"/>
  <c r="U57"/>
  <c r="V104"/>
  <c r="T77"/>
  <c r="U32"/>
  <c r="U105"/>
  <c r="S87"/>
  <c r="V96"/>
  <c r="T85"/>
  <c r="V50"/>
  <c r="V51"/>
  <c r="V58"/>
  <c r="U13"/>
  <c r="S82"/>
  <c r="U21"/>
  <c r="V16"/>
  <c r="V95"/>
  <c r="T12"/>
  <c r="U95"/>
  <c r="S47"/>
  <c r="U23"/>
  <c r="V20"/>
  <c r="T56"/>
  <c r="U77"/>
  <c r="U91"/>
  <c r="T107"/>
  <c r="U41"/>
  <c r="V42"/>
  <c r="S31"/>
  <c r="T80"/>
  <c r="V12"/>
  <c r="S74"/>
  <c r="U30"/>
  <c r="S86"/>
  <c r="U67"/>
  <c r="V68"/>
  <c r="V60"/>
  <c r="S103"/>
  <c r="T94"/>
  <c r="T43"/>
  <c r="S107"/>
  <c r="S36"/>
  <c r="T62"/>
  <c r="V91"/>
  <c r="T83"/>
  <c r="V55"/>
  <c r="S61"/>
  <c r="V24"/>
  <c r="S69"/>
  <c r="V27"/>
  <c r="V34"/>
  <c r="V75"/>
  <c r="T91"/>
  <c r="T42"/>
  <c r="U39"/>
  <c r="T57"/>
  <c r="U34"/>
  <c r="U88"/>
  <c r="U28"/>
  <c r="S78"/>
  <c r="V76"/>
  <c r="V100"/>
  <c r="T19"/>
  <c r="S48"/>
  <c r="U89"/>
  <c r="U93"/>
  <c r="V84"/>
  <c r="V62"/>
  <c r="T87"/>
  <c r="V99"/>
  <c r="V74"/>
  <c r="S26"/>
  <c r="S10"/>
  <c r="S30"/>
  <c r="T44"/>
  <c r="S34"/>
  <c r="T63"/>
  <c r="S105"/>
  <c r="S55"/>
  <c r="U47"/>
  <c r="T45"/>
  <c r="T33"/>
  <c r="V82"/>
  <c r="U87"/>
  <c r="S83"/>
  <c r="V94"/>
  <c r="V72"/>
  <c r="V17"/>
  <c r="U81"/>
  <c r="T31"/>
  <c r="S59"/>
  <c r="T70"/>
  <c r="U40"/>
  <c r="S12"/>
  <c r="U84"/>
  <c r="T40"/>
  <c r="T101"/>
  <c r="S18"/>
  <c r="T28"/>
  <c r="S22"/>
  <c r="U49"/>
  <c r="U92"/>
  <c r="S106"/>
  <c r="V83"/>
  <c r="U70"/>
  <c r="V101"/>
  <c r="U51"/>
  <c r="U58"/>
  <c r="T13"/>
  <c r="U82"/>
  <c r="U15"/>
  <c r="V63"/>
  <c r="U102"/>
  <c r="U71"/>
  <c r="S49"/>
  <c r="T14"/>
  <c r="S43"/>
  <c r="U20"/>
  <c r="S88"/>
  <c r="V21"/>
  <c r="T99"/>
  <c r="T89"/>
  <c r="T18"/>
  <c r="V106"/>
  <c r="S11"/>
  <c r="T97"/>
  <c r="V73"/>
  <c r="T23"/>
  <c r="S20"/>
  <c r="U97"/>
  <c r="V56"/>
  <c r="V64"/>
  <c r="T86"/>
  <c r="V88"/>
  <c r="V25"/>
  <c r="U25"/>
  <c r="U66"/>
  <c r="T46"/>
  <c r="S46"/>
  <c r="S38"/>
  <c r="S102"/>
  <c r="T52"/>
  <c r="U29"/>
  <c r="U108"/>
  <c r="T71"/>
  <c r="S80"/>
  <c r="S85"/>
  <c r="U55"/>
  <c r="V61"/>
  <c r="T41"/>
  <c r="V98"/>
  <c r="T24"/>
  <c r="T53"/>
  <c r="S81"/>
  <c r="S40"/>
  <c r="S19"/>
  <c r="S84"/>
  <c r="U90"/>
  <c r="T61"/>
  <c r="T69"/>
  <c r="T82"/>
  <c r="U76"/>
  <c r="U43"/>
  <c r="V102"/>
  <c r="S100"/>
  <c r="U56"/>
  <c r="S29"/>
  <c r="AM3" i="2"/>
  <c r="X12" l="1"/>
  <c r="H16" i="1" s="1"/>
  <c r="G23"/>
  <c r="G27"/>
  <c r="X89" i="2"/>
  <c r="H93" i="1" s="1"/>
  <c r="G98"/>
  <c r="X60" i="2"/>
  <c r="H64" i="1" s="1"/>
  <c r="X57" i="2"/>
  <c r="H61" i="1" s="1"/>
  <c r="X14" i="2"/>
  <c r="H18" i="1" s="1"/>
  <c r="X30" i="2"/>
  <c r="H34" i="1" s="1"/>
  <c r="G45"/>
  <c r="G102"/>
  <c r="G29"/>
  <c r="X46" i="2"/>
  <c r="H50" i="1" s="1"/>
  <c r="X62" i="2"/>
  <c r="H66" i="1" s="1"/>
  <c r="X78" i="2"/>
  <c r="H82" i="1" s="1"/>
  <c r="X94" i="2"/>
  <c r="H98" i="1" s="1"/>
  <c r="X11" i="2"/>
  <c r="H15" i="1" s="1"/>
  <c r="X27" i="2"/>
  <c r="H31" i="1" s="1"/>
  <c r="X43" i="2"/>
  <c r="H47" i="1" s="1"/>
  <c r="X59" i="2"/>
  <c r="H63" i="1" s="1"/>
  <c r="X75" i="2"/>
  <c r="H79" i="1" s="1"/>
  <c r="X91" i="2"/>
  <c r="H95" i="1" s="1"/>
  <c r="X8" i="2"/>
  <c r="H12" i="1" s="1"/>
  <c r="X24" i="2"/>
  <c r="H28" i="1" s="1"/>
  <c r="X40" i="2"/>
  <c r="H44" i="1" s="1"/>
  <c r="X56" i="2"/>
  <c r="H60" i="1" s="1"/>
  <c r="X72" i="2"/>
  <c r="H76" i="1" s="1"/>
  <c r="X88" i="2"/>
  <c r="H92" i="1" s="1"/>
  <c r="X104" i="2"/>
  <c r="H108" i="1" s="1"/>
  <c r="X53" i="2"/>
  <c r="H57" i="1" s="1"/>
  <c r="G96"/>
  <c r="G21"/>
  <c r="G48"/>
  <c r="G64"/>
  <c r="G73"/>
  <c r="G89"/>
  <c r="G94"/>
  <c r="G80"/>
  <c r="G51"/>
  <c r="G57"/>
  <c r="G67"/>
  <c r="G11"/>
  <c r="G106"/>
  <c r="X19" i="2"/>
  <c r="H23" i="1" s="1"/>
  <c r="X45" i="2"/>
  <c r="H49" i="1" s="1"/>
  <c r="X77" i="2"/>
  <c r="H81" i="1" s="1"/>
  <c r="X93" i="2"/>
  <c r="H97" i="1" s="1"/>
  <c r="X34" i="2"/>
  <c r="H38" i="1" s="1"/>
  <c r="X50" i="2"/>
  <c r="H54" i="1" s="1"/>
  <c r="X31" i="2"/>
  <c r="H35" i="1" s="1"/>
  <c r="X63" i="2"/>
  <c r="H67" i="1" s="1"/>
  <c r="X95" i="2"/>
  <c r="H99" i="1" s="1"/>
  <c r="X28" i="2"/>
  <c r="H32" i="1" s="1"/>
  <c r="X64" i="2"/>
  <c r="H68" i="1" s="1"/>
  <c r="X13" i="2"/>
  <c r="H17" i="1" s="1"/>
  <c r="X7" i="2"/>
  <c r="H11" i="1" s="1"/>
  <c r="X15" i="2"/>
  <c r="H19" i="1" s="1"/>
  <c r="X47" i="2"/>
  <c r="H51" i="1" s="1"/>
  <c r="X79" i="2"/>
  <c r="H83" i="1" s="1"/>
  <c r="X44" i="2"/>
  <c r="H48" i="1" s="1"/>
  <c r="X76" i="2"/>
  <c r="H80" i="1" s="1"/>
  <c r="X92" i="2"/>
  <c r="H96" i="1" s="1"/>
  <c r="X9" i="2"/>
  <c r="H13" i="1" s="1"/>
  <c r="X25" i="2"/>
  <c r="H29" i="1" s="1"/>
  <c r="X41" i="2"/>
  <c r="H45" i="1" s="1"/>
  <c r="X73" i="2"/>
  <c r="H77" i="1" s="1"/>
  <c r="X105" i="2"/>
  <c r="H109" i="1" s="1"/>
  <c r="X5" i="2"/>
  <c r="X18"/>
  <c r="H22" i="1" s="1"/>
  <c r="X66" i="2"/>
  <c r="H70" i="1" s="1"/>
  <c r="X82" i="2"/>
  <c r="H86" i="1" s="1"/>
  <c r="X98" i="2"/>
  <c r="H102" i="1" s="1"/>
  <c r="X21" i="2"/>
  <c r="H25" i="1" s="1"/>
  <c r="X37" i="2"/>
  <c r="H41" i="1" s="1"/>
  <c r="X69" i="2"/>
  <c r="H73" i="1" s="1"/>
  <c r="X85" i="2"/>
  <c r="H89" i="1" s="1"/>
  <c r="X101" i="2"/>
  <c r="H105" i="1" s="1"/>
  <c r="X39" i="2"/>
  <c r="H43" i="1" s="1"/>
  <c r="X84" i="2"/>
  <c r="H88" i="1" s="1"/>
  <c r="X100" i="2"/>
  <c r="H104" i="1" s="1"/>
  <c r="X6" i="2"/>
  <c r="H10" i="1" s="1"/>
  <c r="X22" i="2"/>
  <c r="H26" i="1" s="1"/>
  <c r="X38" i="2"/>
  <c r="H42" i="1" s="1"/>
  <c r="X54" i="2"/>
  <c r="H58" i="1" s="1"/>
  <c r="X70" i="2"/>
  <c r="H74" i="1" s="1"/>
  <c r="X86" i="2"/>
  <c r="H90" i="1" s="1"/>
  <c r="X102" i="2"/>
  <c r="H106" i="1" s="1"/>
  <c r="X35" i="2"/>
  <c r="H39" i="1" s="1"/>
  <c r="X51" i="2"/>
  <c r="H55" i="1" s="1"/>
  <c r="X67" i="2"/>
  <c r="H71" i="1" s="1"/>
  <c r="X83" i="2"/>
  <c r="H87" i="1" s="1"/>
  <c r="X99" i="2"/>
  <c r="H103" i="1" s="1"/>
  <c r="X16" i="2"/>
  <c r="H20" i="1" s="1"/>
  <c r="X32" i="2"/>
  <c r="H36" i="1" s="1"/>
  <c r="X48" i="2"/>
  <c r="H52" i="1" s="1"/>
  <c r="X80" i="2"/>
  <c r="H84" i="1" s="1"/>
  <c r="X96" i="2"/>
  <c r="H100" i="1" s="1"/>
  <c r="X29" i="2"/>
  <c r="H33" i="1" s="1"/>
  <c r="X61" i="2"/>
  <c r="H65" i="1" s="1"/>
  <c r="X10" i="2"/>
  <c r="H14" i="1" s="1"/>
  <c r="X26" i="2"/>
  <c r="H30" i="1" s="1"/>
  <c r="X42" i="2"/>
  <c r="H46" i="1" s="1"/>
  <c r="X58" i="2"/>
  <c r="H62" i="1" s="1"/>
  <c r="X74" i="2"/>
  <c r="H78" i="1" s="1"/>
  <c r="X90" i="2"/>
  <c r="H94" i="1" s="1"/>
  <c r="X23" i="2"/>
  <c r="H27" i="1" s="1"/>
  <c r="X55" i="2"/>
  <c r="H59" i="1" s="1"/>
  <c r="X71" i="2"/>
  <c r="H75" i="1" s="1"/>
  <c r="X87" i="2"/>
  <c r="H91" i="1" s="1"/>
  <c r="X103" i="2"/>
  <c r="H107" i="1" s="1"/>
  <c r="X20" i="2"/>
  <c r="H24" i="1" s="1"/>
  <c r="X36" i="2"/>
  <c r="H40" i="1" s="1"/>
  <c r="X52" i="2"/>
  <c r="H56" i="1" s="1"/>
  <c r="X68" i="2"/>
  <c r="H72" i="1" s="1"/>
  <c r="X17" i="2"/>
  <c r="H21" i="1" s="1"/>
  <c r="X33" i="2"/>
  <c r="H37" i="1" s="1"/>
  <c r="X49" i="2"/>
  <c r="H53" i="1" s="1"/>
  <c r="X65" i="2"/>
  <c r="H69" i="1" s="1"/>
  <c r="X81" i="2"/>
  <c r="H85" i="1" s="1"/>
  <c r="X97" i="2"/>
  <c r="H101" i="1" s="1"/>
  <c r="E98"/>
  <c r="G99"/>
  <c r="G86"/>
  <c r="G13"/>
  <c r="G83"/>
  <c r="G41"/>
  <c r="G14"/>
  <c r="G43"/>
  <c r="E38"/>
  <c r="G47"/>
  <c r="E56"/>
  <c r="E58"/>
  <c r="E18"/>
  <c r="G35"/>
  <c r="G38"/>
  <c r="G63"/>
  <c r="G58"/>
  <c r="G65"/>
  <c r="G71"/>
  <c r="G91"/>
  <c r="G68"/>
  <c r="G104"/>
  <c r="G105"/>
  <c r="E97"/>
  <c r="G87"/>
  <c r="G32"/>
  <c r="G84"/>
  <c r="G79"/>
  <c r="G97"/>
  <c r="G31"/>
  <c r="G60"/>
  <c r="G93"/>
  <c r="G56"/>
  <c r="G25"/>
  <c r="G37"/>
  <c r="E105"/>
  <c r="E107"/>
  <c r="E80"/>
  <c r="G62"/>
  <c r="G82"/>
  <c r="G39"/>
  <c r="G72"/>
  <c r="E77"/>
  <c r="G66"/>
  <c r="E10"/>
  <c r="E61"/>
  <c r="E74"/>
  <c r="G30"/>
  <c r="G74"/>
  <c r="G90"/>
  <c r="G108"/>
  <c r="G101"/>
  <c r="E84"/>
  <c r="E13"/>
  <c r="E14"/>
  <c r="G42"/>
  <c r="G61"/>
  <c r="E91"/>
  <c r="G40"/>
  <c r="G46"/>
  <c r="G75"/>
  <c r="G19"/>
  <c r="E12"/>
  <c r="E27"/>
  <c r="E50"/>
  <c r="E63"/>
  <c r="E67"/>
  <c r="E83"/>
  <c r="E53"/>
  <c r="E71"/>
  <c r="E87"/>
  <c r="E85"/>
  <c r="E36"/>
  <c r="G81"/>
  <c r="E92"/>
  <c r="E40"/>
  <c r="E88"/>
  <c r="G50"/>
  <c r="E79"/>
  <c r="E95"/>
  <c r="G53"/>
  <c r="G34"/>
  <c r="G20"/>
  <c r="E33"/>
  <c r="E34"/>
  <c r="G33"/>
  <c r="E90"/>
  <c r="E93"/>
  <c r="E89"/>
  <c r="E73"/>
  <c r="E16"/>
  <c r="E35"/>
  <c r="E44"/>
  <c r="E32"/>
  <c r="E43"/>
  <c r="E48"/>
  <c r="E59"/>
  <c r="E64"/>
  <c r="G76"/>
  <c r="E15"/>
  <c r="E24"/>
  <c r="E29"/>
  <c r="E49"/>
  <c r="E52"/>
  <c r="G59"/>
  <c r="E76"/>
  <c r="G88"/>
  <c r="G12"/>
  <c r="E19"/>
  <c r="E31"/>
  <c r="G92"/>
  <c r="E11"/>
  <c r="G36"/>
  <c r="E39"/>
  <c r="E82"/>
  <c r="G69"/>
  <c r="G85"/>
  <c r="E21"/>
  <c r="E22"/>
  <c r="E103"/>
  <c r="G107"/>
  <c r="E66"/>
  <c r="E54"/>
  <c r="E94"/>
  <c r="E102"/>
  <c r="G77"/>
  <c r="E62"/>
  <c r="E108"/>
  <c r="E81"/>
  <c r="E96"/>
  <c r="E75"/>
  <c r="G78"/>
  <c r="E25"/>
  <c r="E28"/>
  <c r="E37"/>
  <c r="E57"/>
  <c r="E60"/>
  <c r="G95"/>
  <c r="E20"/>
  <c r="E41"/>
  <c r="E42"/>
  <c r="E45"/>
  <c r="E17"/>
  <c r="G24"/>
  <c r="G49"/>
  <c r="G55"/>
  <c r="E65"/>
  <c r="E68"/>
  <c r="E78"/>
  <c r="G16"/>
  <c r="G28"/>
  <c r="G44"/>
  <c r="E72"/>
  <c r="E23"/>
  <c r="E46"/>
  <c r="E47"/>
  <c r="E51"/>
  <c r="G52"/>
  <c r="E55"/>
  <c r="G10"/>
  <c r="G22"/>
  <c r="E99"/>
  <c r="E101"/>
  <c r="G103"/>
  <c r="E100"/>
  <c r="E69"/>
  <c r="E104"/>
  <c r="E70"/>
  <c r="J9"/>
  <c r="I9"/>
  <c r="B9"/>
  <c r="C9" s="1"/>
  <c r="H9" l="1"/>
  <c r="D9"/>
  <c r="F9"/>
  <c r="U9"/>
  <c r="S9"/>
  <c r="V9"/>
  <c r="T9"/>
  <c r="R9" l="1"/>
  <c r="G9"/>
  <c r="E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<sst xmlns="http://schemas.openxmlformats.org/spreadsheetml/2006/main" count="159" uniqueCount="82">
  <si>
    <t>KBP 수익률(산출일)</t>
  </si>
  <si>
    <t>KIS 수익률(산출일)</t>
  </si>
  <si>
    <t>NIC 수익률(산출일)</t>
  </si>
  <si>
    <t>FNP 수익률(산출일)</t>
  </si>
  <si>
    <t>민평3사 수익률(산출일)</t>
  </si>
  <si>
    <t>민평4사 수익률(산출일)</t>
  </si>
  <si>
    <t>KBP 가격(산출일)</t>
  </si>
  <si>
    <t>KIS 가격(산출일)</t>
  </si>
  <si>
    <t>NIC 가격(산출일)</t>
  </si>
  <si>
    <t>FNP 가격(산출일)</t>
  </si>
  <si>
    <t>민평3사 가격(산출일)</t>
  </si>
  <si>
    <t>민평4사 가격(산출일)</t>
  </si>
  <si>
    <t>일자</t>
  </si>
  <si>
    <t>일자</t>
    <phoneticPr fontId="1" type="noConversion"/>
  </si>
  <si>
    <t>시작</t>
  </si>
  <si>
    <t>종료</t>
  </si>
  <si>
    <t>요일</t>
    <phoneticPr fontId="1" type="noConversion"/>
  </si>
  <si>
    <t>수익률</t>
    <phoneticPr fontId="1" type="noConversion"/>
  </si>
  <si>
    <t>대비</t>
    <phoneticPr fontId="1" type="noConversion"/>
  </si>
  <si>
    <t>가격</t>
    <phoneticPr fontId="1" type="noConversion"/>
  </si>
  <si>
    <t>KAP</t>
    <phoneticPr fontId="1" type="noConversion"/>
  </si>
  <si>
    <t>KIS</t>
    <phoneticPr fontId="1" type="noConversion"/>
  </si>
  <si>
    <t>NICE</t>
    <phoneticPr fontId="1" type="noConversion"/>
  </si>
  <si>
    <t>FN</t>
    <phoneticPr fontId="1" type="noConversion"/>
  </si>
  <si>
    <t>민평3사</t>
    <phoneticPr fontId="1" type="noConversion"/>
  </si>
  <si>
    <t>민평4사</t>
    <phoneticPr fontId="1" type="noConversion"/>
  </si>
  <si>
    <t>계산</t>
    <phoneticPr fontId="1" type="noConversion"/>
  </si>
  <si>
    <t>일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</si>
  <si>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</si>
  <si>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</si>
  <si>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</si>
  <si>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</si>
  <si>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</si>
  <si>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</si>
  <si>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대비(bp)</t>
    <phoneticPr fontId="1" type="noConversion"/>
  </si>
  <si>
    <t>M.dur</t>
    <phoneticPr fontId="1" type="noConversion"/>
  </si>
  <si>
    <t>민평3사 듀레이션(산출일)</t>
    <phoneticPr fontId="1" type="noConversion"/>
  </si>
  <si>
    <t>민평4사 듀레이션(산출일)</t>
    <phoneticPr fontId="1" type="noConversion"/>
  </si>
  <si>
    <t>이론가</t>
    <phoneticPr fontId="1" type="noConversion"/>
  </si>
  <si>
    <t>결제일</t>
    <phoneticPr fontId="1" type="noConversion"/>
  </si>
  <si>
    <t>경과이자</t>
    <phoneticPr fontId="1" type="noConversion"/>
  </si>
  <si>
    <t>bpv</t>
    <phoneticPr fontId="1" type="noConversion"/>
  </si>
  <si>
    <t>KR103501GCC0</t>
    <phoneticPr fontId="1" type="noConversion"/>
  </si>
  <si>
    <t>T+1</t>
    <phoneticPr fontId="1" type="noConversion"/>
  </si>
  <si>
    <t>T+0</t>
    <phoneticPr fontId="1" type="noConversion"/>
  </si>
  <si>
    <t>휴장일</t>
    <phoneticPr fontId="1" type="noConversion"/>
  </si>
  <si>
    <t>내용</t>
    <phoneticPr fontId="1" type="noConversion"/>
  </si>
  <si>
    <t>(금리) 지준일</t>
  </si>
  <si>
    <t>설날</t>
  </si>
  <si>
    <t>설날 (대체)</t>
  </si>
  <si>
    <t>삼일절</t>
  </si>
  <si>
    <t>(금리) 지준일 (대체)</t>
  </si>
  <si>
    <t>국회의원 선거, (금리) 지준일</t>
  </si>
  <si>
    <t>근로자의날</t>
  </si>
  <si>
    <t>어린이날</t>
  </si>
  <si>
    <t>어린이날 (대체)</t>
  </si>
  <si>
    <t>부처님오신날</t>
  </si>
  <si>
    <t>현충일</t>
  </si>
  <si>
    <t>광복절</t>
  </si>
  <si>
    <t>추석</t>
  </si>
  <si>
    <t>개천절</t>
  </si>
  <si>
    <t>한글날, (금리) 지준일</t>
  </si>
  <si>
    <t>크리스마스</t>
  </si>
  <si>
    <t>(주식, 외환) 연말 휴장일</t>
  </si>
  <si>
    <t>신정</t>
  </si>
  <si>
    <t>삼일절 (대체)</t>
  </si>
  <si>
    <t>부처님오신날, 어린이날</t>
  </si>
  <si>
    <t>한글날</t>
  </si>
  <si>
    <t>부처님오신날 (대체)</t>
  </si>
  <si>
    <t>임시 공휴일</t>
  </si>
  <si>
    <t>세전단가</t>
    <phoneticPr fontId="1" type="noConversion"/>
  </si>
  <si>
    <t>CleanPrice</t>
    <phoneticPr fontId="1" type="noConversion"/>
  </si>
  <si>
    <t xml:space="preserve"> 종목별 시가평가 계산</t>
    <phoneticPr fontId="1" type="noConversion"/>
  </si>
  <si>
    <t>KBP 듀레이션(산출일)</t>
  </si>
  <si>
    <t>KIS 듀레이션(산출일)</t>
  </si>
  <si>
    <t>NIC 듀레이션(산출일)</t>
  </si>
  <si>
    <t>FNP 듀레이션(산출일)</t>
  </si>
  <si>
    <t>일자</t>
    <phoneticPr fontId="1" type="noConversion"/>
  </si>
  <si>
    <t>국군의날</t>
  </si>
  <si>
    <t>대통령 선거일</t>
  </si>
  <si>
    <t>추석 (대체), (금리) 지준일</t>
  </si>
  <si>
    <t>광복절 (대체)</t>
  </si>
</sst>
</file>

<file path=xl/styles.xml><?xml version="1.0" encoding="utf-8"?>
<styleSheet xmlns="http://schemas.openxmlformats.org/spreadsheetml/2006/main">
  <numFmts count="4">
    <numFmt numFmtId="176" formatCode="#,##0.00_ "/>
    <numFmt numFmtId="177" formatCode="#,##0.000_ "/>
    <numFmt numFmtId="178" formatCode="#,##0.0_ "/>
    <numFmt numFmtId="179" formatCode="#,##0.0000_ 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b/>
      <sz val="10.5"/>
      <color theme="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theme="0" tint="-0.1499679555650502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hair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4" fontId="2" fillId="0" borderId="18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8" fontId="2" fillId="0" borderId="19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9" fontId="2" fillId="0" borderId="19" xfId="0" applyNumberFormat="1" applyFont="1" applyBorder="1">
      <alignment vertical="center"/>
    </xf>
    <xf numFmtId="179" fontId="2" fillId="0" borderId="20" xfId="0" applyNumberFormat="1" applyFont="1" applyBorder="1">
      <alignment vertical="center"/>
    </xf>
    <xf numFmtId="14" fontId="2" fillId="0" borderId="2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8" fontId="2" fillId="0" borderId="22" xfId="0" applyNumberFormat="1" applyFont="1" applyBorder="1">
      <alignment vertical="center"/>
    </xf>
    <xf numFmtId="176" fontId="2" fillId="0" borderId="22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4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8" fontId="2" fillId="0" borderId="25" xfId="0" applyNumberFormat="1" applyFont="1" applyBorder="1">
      <alignment vertical="center"/>
    </xf>
    <xf numFmtId="176" fontId="2" fillId="0" borderId="25" xfId="0" applyNumberFormat="1" applyFont="1" applyBorder="1">
      <alignment vertical="center"/>
    </xf>
    <xf numFmtId="179" fontId="2" fillId="0" borderId="25" xfId="0" applyNumberFormat="1" applyFont="1" applyBorder="1">
      <alignment vertical="center"/>
    </xf>
    <xf numFmtId="179" fontId="2" fillId="0" borderId="26" xfId="0" applyNumberFormat="1" applyFont="1" applyBorder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7" fontId="2" fillId="0" borderId="18" xfId="0" applyNumberFormat="1" applyFont="1" applyBorder="1">
      <alignment vertical="center"/>
    </xf>
    <xf numFmtId="177" fontId="2" fillId="0" borderId="21" xfId="0" applyNumberFormat="1" applyFont="1" applyBorder="1">
      <alignment vertical="center"/>
    </xf>
    <xf numFmtId="177" fontId="2" fillId="0" borderId="24" xfId="0" applyNumberFormat="1" applyFont="1" applyBorder="1">
      <alignment vertical="center"/>
    </xf>
    <xf numFmtId="176" fontId="2" fillId="0" borderId="20" xfId="0" applyNumberFormat="1" applyFont="1" applyBorder="1">
      <alignment vertical="center"/>
    </xf>
    <xf numFmtId="176" fontId="2" fillId="0" borderId="23" xfId="0" applyNumberFormat="1" applyFont="1" applyBorder="1">
      <alignment vertical="center"/>
    </xf>
    <xf numFmtId="176" fontId="2" fillId="0" borderId="26" xfId="0" applyNumberFormat="1" applyFont="1" applyBorder="1">
      <alignment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27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6" fillId="7" borderId="0" xfId="0" applyFont="1" applyFill="1">
      <alignment vertical="center"/>
    </xf>
    <xf numFmtId="14" fontId="7" fillId="5" borderId="9" xfId="0" applyNumberFormat="1" applyFont="1" applyFill="1" applyBorder="1" applyAlignment="1">
      <alignment horizontal="center" vertical="center"/>
    </xf>
    <xf numFmtId="14" fontId="7" fillId="5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7" fillId="5" borderId="10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>국고04250-2512(22-13)</v>
        <stp/>
        <stp>P</stp>
        <stp>0</stp>
        <stp>BND</stp>
        <stp>KR103501GCC0</stp>
        <stp>한글종목명</stp>
        <stp/>
        <stp/>
        <tr r="D4" s="1"/>
      </tp>
      <tp>
        <v>0</v>
        <stp/>
        <stp>H</stp>
        <stp>x1.hMu41_0</stp>
        <stp>36</stp>
        <stp>402666</stp>
        <tr r="A3" s="2"/>
      </tp>
      <tp>
        <v>0</v>
        <stp/>
        <stp>H</stp>
        <stp>x2.hMu41_0</stp>
        <stp>37</stp>
        <stp>402666</stp>
        <tr r="P3" s="2"/>
      </tp>
      <tp>
        <v>0</v>
        <stp/>
        <stp>T</stp>
        <stp>x3.hMu41_0</stp>
        <stp>38</stp>
        <stp>402666</stp>
        <tr r="AM3" s="2"/>
      </tp>
      <tp>
        <v>109.7527</v>
        <stp/>
        <stp>C</stp>
        <stp>0</stp>
        <stp>KR103501GCC0</stp>
        <stp>경과이자</stp>
        <stp>45730</stp>
        <stp>2.59</stp>
        <stp>세전수익률</stp>
        <tr r="U72" s="1"/>
      </tp>
      <tp>
        <v>10199.969999999999</v>
        <stp/>
        <stp>C</stp>
        <stp>0</stp>
        <stp>KR103501GCC0</stp>
        <stp>세전단가</stp>
        <stp>45699</stp>
        <stp>2.6875</stp>
        <stp>세전수익률</stp>
        <tr r="S103" s="1"/>
      </tp>
      <tp>
        <v>10199.629999999999</v>
        <stp/>
        <stp>C</stp>
        <stp>0</stp>
        <stp>KR103501GCC0</stp>
        <stp>세전단가</stp>
        <stp>45698</stp>
        <stp>2.6825</stp>
        <stp>세전수익률</stp>
        <tr r="S106" s="1"/>
      </tp>
      <tp>
        <v>10199.219999999999</v>
        <stp/>
        <stp>C</stp>
        <stp>0</stp>
        <stp>KR103501GCC0</stp>
        <stp>세전단가</stp>
        <stp>45698</stp>
        <stp>2.6875</stp>
        <stp>세전수익률</stp>
        <tr r="S105" s="1"/>
        <tr r="S104" s="1"/>
      </tp>
      <tp>
        <v>10197.4</v>
        <stp/>
        <stp>C</stp>
        <stp>0</stp>
        <stp>KR103501GCC0</stp>
        <stp>세전단가</stp>
        <stp>45695</stp>
        <stp>2.6825</stp>
        <stp>세전수익률</stp>
        <tr r="S107" s="1"/>
      </tp>
      <tp>
        <v>166.96420000000001</v>
        <stp/>
        <stp>C</stp>
        <stp>0</stp>
        <stp>KR103501GCC0</stp>
        <stp>경과이자</stp>
        <stp>45779</stp>
        <stp>2.45</stp>
        <stp>세전수익률</stp>
        <tr r="U23" s="1"/>
      </tp>
      <tp>
        <v>81.730699999999999</v>
        <stp/>
        <stp>C</stp>
        <stp>0</stp>
        <stp>KR103501GCC0</stp>
        <stp>경과이자</stp>
        <stp>45706</stp>
        <stp>2.65</stp>
        <stp>세전수익률</stp>
        <tr r="U96" s="1"/>
      </tp>
      <tp>
        <v>80.563100000000006</v>
        <stp/>
        <stp>C</stp>
        <stp>0</stp>
        <stp>KR103501GCC0</stp>
        <stp>경과이자</stp>
        <stp>45705</stp>
        <stp>2.65</stp>
        <stp>세전수익률</stp>
        <tr r="U97" s="1"/>
        <tr r="U98" s="1"/>
      </tp>
      <tp>
        <v>173.96969999999999</v>
        <stp/>
        <stp>C</stp>
        <stp>0</stp>
        <stp>KR103501GCC0</stp>
        <stp>경과이자</stp>
        <stp>45785</stp>
        <stp>2.45</stp>
        <stp>세전수익률</stp>
        <tr r="U20" s="1"/>
        <tr r="U21" s="1"/>
        <tr r="U19" s="1"/>
        <tr r="U22" s="1"/>
        <tr r="U18" s="1"/>
        <tr r="U17" s="1"/>
      </tp>
      <tp>
        <v>10236.76</v>
        <stp/>
        <stp>C</stp>
        <stp>0</stp>
        <stp>KR103501GCC0</stp>
        <stp>세전단가</stp>
        <stp>45742</stp>
        <stp>2.6225</stp>
        <stp>세전수익률</stp>
        <tr r="S60" s="1"/>
      </tp>
      <tp>
        <v>10251.17</v>
        <stp/>
        <stp>C</stp>
        <stp>0</stp>
        <stp>KR103501GCC0</stp>
        <stp>세전단가</stp>
        <stp>45758</stp>
        <stp>2.5825</stp>
        <stp>세전수익률</stp>
        <tr r="S44" s="1"/>
      </tp>
      <tp>
        <v>10250.780000000001</v>
        <stp/>
        <stp>C</stp>
        <stp>0</stp>
        <stp>KR103501GCC0</stp>
        <stp>세전단가</stp>
        <stp>45757</stp>
        <stp>2.5775</stp>
        <stp>세전수익률</stp>
        <tr r="S46" s="1"/>
      </tp>
      <tp>
        <v>10250.450000000001</v>
        <stp/>
        <stp>C</stp>
        <stp>0</stp>
        <stp>KR103501GCC0</stp>
        <stp>세전단가</stp>
        <stp>45757</stp>
        <stp>2.5825</stp>
        <stp>세전수익률</stp>
        <tr r="S45" s="1"/>
      </tp>
      <tp>
        <v>10242.64</v>
        <stp/>
        <stp>C</stp>
        <stp>0</stp>
        <stp>KR103501GCC0</stp>
        <stp>세전단가</stp>
        <stp>45750</stp>
        <stp>2.6225</stp>
        <stp>세전수익률</stp>
        <tr r="S52" s="1"/>
      </tp>
      <tp>
        <v>77.060400000000001</v>
        <stp/>
        <stp>C</stp>
        <stp>0</stp>
        <stp>KR103501GCC0</stp>
        <stp>경과이자</stp>
        <stp>45702</stp>
        <stp>2.67</stp>
        <stp>세전수익률</stp>
        <tr r="U100" s="1"/>
      </tp>
      <tp>
        <v>75.892799999999994</v>
        <stp/>
        <stp>C</stp>
        <stp>0</stp>
        <stp>KR103501GCC0</stp>
        <stp>경과이자</stp>
        <stp>45701</stp>
        <stp>2.67</stp>
        <stp>세전수익률</stp>
        <tr r="U101" s="1"/>
      </tp>
      <tp>
        <v>10254.07</v>
        <stp/>
        <stp>C</stp>
        <stp>0</stp>
        <stp>KR103501GCC0</stp>
        <stp>세전단가</stp>
        <stp>45762</stp>
        <stp>2.5825</stp>
        <stp>세전수익률</stp>
        <tr r="S40" s="1"/>
      </tp>
      <tp>
        <v>10254.790000000001</v>
        <stp/>
        <stp>C</stp>
        <stp>0</stp>
        <stp>KR103501GCC0</stp>
        <stp>세전단가</stp>
        <stp>45763</stp>
        <stp>2.5825</stp>
        <stp>세전수익률</stp>
        <tr r="S39" s="1"/>
      </tp>
      <tp>
        <v>10253.34</v>
        <stp/>
        <stp>C</stp>
        <stp>0</stp>
        <stp>KR103501GCC0</stp>
        <stp>세전단가</stp>
        <stp>45761</stp>
        <stp>2.5825</stp>
        <stp>세전수익률</stp>
        <tr r="S43" s="1"/>
        <tr r="S41" s="1"/>
        <tr r="S42" s="1"/>
      </tp>
      <tp>
        <v>80.563100000000006</v>
        <stp/>
        <stp>C</stp>
        <stp>0</stp>
        <stp>KR103501GCC0</stp>
        <stp>경과이자</stp>
        <stp>45705</stp>
        <stp>2.66</stp>
        <stp>세전수익률</stp>
        <tr r="U99" s="1"/>
      </tp>
      <tp>
        <v>10272.459999999999</v>
        <stp/>
        <stp>C</stp>
        <stp>0</stp>
        <stp>KR103501GCC0</stp>
        <stp>세전단가</stp>
        <stp>45779</stp>
        <stp>2.4825</stp>
        <stp>세전수익률</stp>
        <tr r="S24" s="1"/>
      </tp>
      <tp>
        <v>10270.76</v>
        <stp/>
        <stp>C</stp>
        <stp>0</stp>
        <stp>KR103501GCC0</stp>
        <stp>세전단가</stp>
        <stp>45777</stp>
        <stp>2.4875</stp>
        <stp>세전수익률</stp>
        <tr r="S25" s="1"/>
      </tp>
      <tp>
        <v>10269.75</v>
        <stp/>
        <stp>C</stp>
        <stp>0</stp>
        <stp>KR103501GCC0</stp>
        <stp>세전단가</stp>
        <stp>45776</stp>
        <stp>2.4925</stp>
        <stp>세전수익률</stp>
        <tr r="S26" s="1"/>
      </tp>
      <tp>
        <v>10269.049999999999</v>
        <stp/>
        <stp>C</stp>
        <stp>0</stp>
        <stp>KR103501GCC0</stp>
        <stp>세전단가</stp>
        <stp>45775</stp>
        <stp>2.4925</stp>
        <stp>세전수익률</stp>
        <tr r="S28" s="1"/>
        <tr r="S27" s="1"/>
      </tp>
      <tp>
        <v>157.62360000000001</v>
        <stp/>
        <stp>C</stp>
        <stp>0</stp>
        <stp>KR103501GCC0</stp>
        <stp>경과이자</stp>
        <stp>45771</stp>
        <stp>2.51</stp>
        <stp>세전수익률</stp>
        <tr r="U31" s="1"/>
      </tp>
      <tp>
        <v>158.7912</v>
        <stp/>
        <stp>C</stp>
        <stp>0</stp>
        <stp>KR103501GCC0</stp>
        <stp>경과이자</stp>
        <stp>45772</stp>
        <stp>2.51</stp>
        <stp>세전수익률</stp>
        <tr r="U30" s="1"/>
      </tp>
      <tp>
        <v>137.7747</v>
        <stp/>
        <stp>C</stp>
        <stp>0</stp>
        <stp>KR103501GCC0</stp>
        <stp>경과이자</stp>
        <stp>45754</stp>
        <stp>2.61</stp>
        <stp>세전수익률</stp>
        <tr r="U50" s="1"/>
      </tp>
      <tp>
        <v>121.4285</v>
        <stp/>
        <stp>C</stp>
        <stp>0</stp>
        <stp>KR103501GCC0</stp>
        <stp>경과이자</stp>
        <stp>45740</stp>
        <stp>2.61</stp>
        <stp>세전수익률</stp>
        <tr r="U64" s="1"/>
      </tp>
      <tp>
        <v>117.9258</v>
        <stp/>
        <stp>C</stp>
        <stp>0</stp>
        <stp>KR103501GCC0</stp>
        <stp>경과이자</stp>
        <stp>45737</stp>
        <stp>2.61</stp>
        <stp>세전수익률</stp>
        <tr r="U65" s="1"/>
      </tp>
      <tp>
        <v>93.406499999999994</v>
        <stp/>
        <stp>C</stp>
        <stp>0</stp>
        <stp>KR103501GCC0</stp>
        <stp>경과이자</stp>
        <stp>45716</stp>
        <stp>2.61</stp>
        <stp>세전수익률</stp>
        <tr r="U86" s="1"/>
      </tp>
      <tp>
        <v>10211.02</v>
        <stp/>
        <stp>C</stp>
        <stp>0</stp>
        <stp>KR103501GCC0</stp>
        <stp>세전단가</stp>
        <stp>45709</stp>
        <stp>2.6425</stp>
        <stp>세전수익률</stp>
        <tr r="S93" s="1"/>
      </tp>
      <tp>
        <v>10209.49</v>
        <stp/>
        <stp>C</stp>
        <stp>0</stp>
        <stp>KR103501GCC0</stp>
        <stp>세전단가</stp>
        <stp>45708</stp>
        <stp>2.6525</stp>
        <stp>세전수익률</stp>
        <tr r="S94" s="1"/>
      </tp>
      <tp>
        <v>10220.69</v>
        <stp/>
        <stp>C</stp>
        <stp>0</stp>
        <stp>KR103501GCC0</stp>
        <stp>세전단가</stp>
        <stp>45719</stp>
        <stp>2.6125</stp>
        <stp>세전수익률</stp>
        <tr r="S85" s="1"/>
      </tp>
      <tp>
        <v>10221.08</v>
        <stp/>
        <stp>C</stp>
        <stp>0</stp>
        <stp>KR103501GCC0</stp>
        <stp>세전단가</stp>
        <stp>45719</stp>
        <stp>2.6075</stp>
        <stp>세전수익률</stp>
        <tr r="S84" s="1"/>
        <tr r="S83" s="1"/>
      </tp>
      <tp>
        <v>10217</v>
        <stp/>
        <stp>C</stp>
        <stp>0</stp>
        <stp>KR103501GCC0</stp>
        <stp>세전단가</stp>
        <stp>45715</stp>
        <stp>2.6225</stp>
        <stp>세전수익률</stp>
        <tr r="S87" s="1"/>
      </tp>
      <tp>
        <v>10215.48</v>
        <stp/>
        <stp>C</stp>
        <stp>0</stp>
        <stp>KR103501GCC0</stp>
        <stp>세전단가</stp>
        <stp>45714</stp>
        <stp>2.6325</stp>
        <stp>세전수익률</stp>
        <tr r="S88" s="1"/>
      </tp>
      <tp>
        <v>10213.959999999999</v>
        <stp/>
        <stp>C</stp>
        <stp>0</stp>
        <stp>KR103501GCC0</stp>
        <stp>세전단가</stp>
        <stp>45713</stp>
        <stp>2.6425</stp>
        <stp>세전수익률</stp>
        <tr r="S89" s="1"/>
      </tp>
      <tp>
        <v>10213.23</v>
        <stp/>
        <stp>C</stp>
        <stp>0</stp>
        <stp>KR103501GCC0</stp>
        <stp>세전단가</stp>
        <stp>45712</stp>
        <stp>2.6425</stp>
        <stp>세전수익률</stp>
        <tr r="S91" s="1"/>
        <tr r="S92" s="1"/>
        <tr r="S90" s="1"/>
      </tp>
      <tp>
        <v>124.93129999999999</v>
        <stp/>
        <stp>C</stp>
        <stp>0</stp>
        <stp>KR103501GCC0</stp>
        <stp>경과이자</stp>
        <stp>45743</stp>
        <stp>2.63</stp>
        <stp>세전수익률</stp>
        <tr r="U59" s="1"/>
      </tp>
      <tp>
        <v>180.9752</v>
        <stp/>
        <stp>C</stp>
        <stp>0</stp>
        <stp>KR103501GCC0</stp>
        <stp>경과이자</stp>
        <stp>45791</stp>
        <stp>2.43</stp>
        <stp>세전수익률</stp>
        <tr r="U11" s="1"/>
      </tp>
      <tp>
        <v>182.14279999999999</v>
        <stp/>
        <stp>C</stp>
        <stp>0</stp>
        <stp>KR103501GCC0</stp>
        <stp>경과이자</stp>
        <stp>45792</stp>
        <stp>2.43</stp>
        <stp>세전수익률</stp>
        <tr r="U10" s="1"/>
      </tp>
      <tp>
        <v>175.13730000000001</v>
        <stp/>
        <stp>C</stp>
        <stp>0</stp>
        <stp>KR103501GCC0</stp>
        <stp>경과이자</stp>
        <stp>45786</stp>
        <stp>2.43</stp>
        <stp>세전수익률</stp>
        <tr r="U16" s="1"/>
      </tp>
      <tp>
        <v>10229.1</v>
        <stp/>
        <stp>C</stp>
        <stp>0</stp>
        <stp>KR103501GCC0</stp>
        <stp>세전단가</stp>
        <stp>45729</stp>
        <stp>2.5975</stp>
        <stp>세전수익률</stp>
        <tr r="S73" s="1"/>
      </tp>
      <tp>
        <v>10227.27</v>
        <stp/>
        <stp>C</stp>
        <stp>0</stp>
        <stp>KR103501GCC0</stp>
        <stp>세전단가</stp>
        <stp>45727</stp>
        <stp>2.6025</stp>
        <stp>세전수익률</stp>
        <tr r="S75" s="1"/>
      </tp>
      <tp>
        <v>10225.42</v>
        <stp/>
        <stp>C</stp>
        <stp>0</stp>
        <stp>KR103501GCC0</stp>
        <stp>세전단가</stp>
        <stp>45726</stp>
        <stp>2.6175</stp>
        <stp>세전수익률</stp>
        <tr r="S78" s="1"/>
      </tp>
      <tp>
        <v>10226.540000000001</v>
        <stp/>
        <stp>C</stp>
        <stp>0</stp>
        <stp>KR103501GCC0</stp>
        <stp>세전단가</stp>
        <stp>45726</stp>
        <stp>2.6025</stp>
        <stp>세전수익률</stp>
        <tr r="S76" s="1"/>
        <tr r="S77" s="1"/>
      </tp>
      <tp>
        <v>10222.530000000001</v>
        <stp/>
        <stp>C</stp>
        <stp>0</stp>
        <stp>KR103501GCC0</stp>
        <stp>세전단가</stp>
        <stp>45721</stp>
        <stp>2.6075</stp>
        <stp>세전수익률</stp>
        <tr r="S81" s="1"/>
      </tp>
      <tp>
        <v>10221.799999999999</v>
        <stp/>
        <stp>C</stp>
        <stp>0</stp>
        <stp>KR103501GCC0</stp>
        <stp>세전단가</stp>
        <stp>45720</stp>
        <stp>2.6075</stp>
        <stp>세전수익률</stp>
        <tr r="S82" s="1"/>
      </tp>
      <tp>
        <v>10223.23</v>
        <stp/>
        <stp>C</stp>
        <stp>0</stp>
        <stp>KR103501GCC0</stp>
        <stp>세전단가</stp>
        <stp>45723</stp>
        <stp>2.6175</stp>
        <stp>세전수익률</stp>
        <tr r="S79" s="1"/>
      </tp>
      <tp>
        <v>183.31039999999999</v>
        <stp/>
        <stp>C</stp>
        <stp>0</stp>
        <stp>KR103501GCC0</stp>
        <stp>경과이자</stp>
        <stp>45793</stp>
        <stp>2.42</stp>
        <stp>세전수익률</stp>
        <tr r="U9" s="1"/>
      </tp>
      <tp>
        <v>10232.719999999999</v>
        <stp/>
        <stp>C</stp>
        <stp>0</stp>
        <stp>KR103501GCC0</stp>
        <stp>세전단가</stp>
        <stp>45735</stp>
        <stp>2.6075</stp>
        <stp>세전수익률</stp>
        <tr r="S67" s="1"/>
      </tp>
      <tp>
        <v>10231.99</v>
        <stp/>
        <stp>C</stp>
        <stp>0</stp>
        <stp>KR103501GCC0</stp>
        <stp>세전단가</stp>
        <stp>45734</stp>
        <stp>2.6075</stp>
        <stp>세전수익률</stp>
        <tr r="S68" s="1"/>
      </tp>
      <tp>
        <v>10231.27</v>
        <stp/>
        <stp>C</stp>
        <stp>0</stp>
        <stp>KR103501GCC0</stp>
        <stp>세전단가</stp>
        <stp>45733</stp>
        <stp>2.6075</stp>
        <stp>세전수익률</stp>
        <tr r="S69" s="1"/>
        <tr r="S70" s="1"/>
      </tp>
      <tp>
        <v>10282.209999999999</v>
        <stp/>
        <stp>C</stp>
        <stp>0</stp>
        <stp>KR103501GCC0</stp>
        <stp>세전단가</stp>
        <stp>45789</stp>
        <stp>2.435</stp>
        <stp>세전수익률</stp>
        <tr r="S15" s="1"/>
        <tr r="S14" s="1"/>
        <tr r="S13" s="1"/>
      </tp>
      <tp>
        <v>10282.89</v>
        <stp/>
        <stp>C</stp>
        <stp>0</stp>
        <stp>KR103501GCC0</stp>
        <stp>세전단가</stp>
        <stp>45790</stp>
        <stp>2.435</stp>
        <stp>세전수익률</stp>
        <tr r="S12" s="1"/>
      </tp>
      <tp>
        <v>10256</v>
        <stp/>
        <stp>C</stp>
        <stp>0</stp>
        <stp>KR103501GCC0</stp>
        <stp>세전단가</stp>
        <stp>45764</stp>
        <stp>2.575</stp>
        <stp>세전수익률</stp>
        <tr r="S38" s="1"/>
      </tp>
      <tp>
        <v>10258.66</v>
        <stp/>
        <stp>C</stp>
        <stp>0</stp>
        <stp>KR103501GCC0</stp>
        <stp>세전단가</stp>
        <stp>45765</stp>
        <stp>2.545</stp>
        <stp>세전수익률</stp>
        <tr r="S37" s="1"/>
      </tp>
      <tp>
        <v>10262.08</v>
        <stp/>
        <stp>C</stp>
        <stp>0</stp>
        <stp>KR103501GCC0</stp>
        <stp>세전단가</stp>
        <stp>45768</stp>
        <stp>2.525</stp>
        <stp>세전수익률</stp>
        <tr r="S34" s="1"/>
        <tr r="S35" s="1"/>
      </tp>
      <tp>
        <v>10261.44</v>
        <stp/>
        <stp>C</stp>
        <stp>0</stp>
        <stp>KR103501GCC0</stp>
        <stp>세전단가</stp>
        <stp>45768</stp>
        <stp>2.535</stp>
        <stp>세전수익률</stp>
        <tr r="S36" s="1"/>
      </tp>
      <tp>
        <v>10262.790000000001</v>
        <stp/>
        <stp>C</stp>
        <stp>0</stp>
        <stp>KR103501GCC0</stp>
        <stp>세전단가</stp>
        <stp>45769</stp>
        <stp>2.525</stp>
        <stp>세전수익률</stp>
        <tr r="S33" s="1"/>
      </tp>
      <tp>
        <v>10268.280000000001</v>
        <stp/>
        <stp>C</stp>
        <stp>0</stp>
        <stp>KR103501GCC0</stp>
        <stp>세전단가</stp>
        <stp>45775</stp>
        <stp>2.505</stp>
        <stp>세전수익률</stp>
        <tr r="S29" s="1"/>
      </tp>
      <tp>
        <v>10264.129999999999</v>
        <stp/>
        <stp>C</stp>
        <stp>0</stp>
        <stp>KR103501GCC0</stp>
        <stp>세전단가</stp>
        <stp>45770</stp>
        <stp>2.515</stp>
        <stp>세전수익률</stp>
        <tr r="S32" s="1"/>
      </tp>
      <tp>
        <v>10237.35</v>
        <stp/>
        <stp>C</stp>
        <stp>0</stp>
        <stp>KR103501GCC0</stp>
        <stp>세전단가</stp>
        <stp>45744</stp>
        <stp>2.635</stp>
        <stp>세전수익률</stp>
        <tr r="S58" s="1"/>
      </tp>
      <tp>
        <v>10239.57</v>
        <stp/>
        <stp>C</stp>
        <stp>0</stp>
        <stp>KR103501GCC0</stp>
        <stp>세전단가</stp>
        <stp>45747</stp>
        <stp>2.635</stp>
        <stp>세전수익률</stp>
        <tr r="S55" s="1"/>
        <tr r="S56" s="1"/>
        <tr r="S57" s="1"/>
      </tp>
      <tp>
        <v>10236.56</v>
        <stp/>
        <stp>C</stp>
        <stp>0</stp>
        <stp>KR103501GCC0</stp>
        <stp>세전단가</stp>
        <stp>45741</stp>
        <stp>2.615</stp>
        <stp>세전수익률</stp>
        <tr r="S61" s="1"/>
      </tp>
      <tp>
        <v>10235.83</v>
        <stp/>
        <stp>C</stp>
        <stp>0</stp>
        <stp>KR103501GCC0</stp>
        <stp>세전단가</stp>
        <stp>45740</stp>
        <stp>2.615</stp>
        <stp>세전수익률</stp>
        <tr r="S63" s="1"/>
        <tr r="S62" s="1"/>
      </tp>
      <tp>
        <v>10241.73</v>
        <stp/>
        <stp>C</stp>
        <stp>0</stp>
        <stp>KR103501GCC0</stp>
        <stp>세전단가</stp>
        <stp>45749</stp>
        <stp>2.625</stp>
        <stp>세전수익률</stp>
        <tr r="S53" s="1"/>
      </tp>
      <tp>
        <v>10240.299999999999</v>
        <stp/>
        <stp>C</stp>
        <stp>0</stp>
        <stp>KR103501GCC0</stp>
        <stp>세전단가</stp>
        <stp>45748</stp>
        <stp>2.635</stp>
        <stp>세전수익률</stp>
        <tr r="S54" s="1"/>
      </tp>
      <tp>
        <v>10248.1</v>
        <stp/>
        <stp>C</stp>
        <stp>0</stp>
        <stp>KR103501GCC0</stp>
        <stp>세전단가</stp>
        <stp>45754</stp>
        <stp>2.585</stp>
        <stp>세전수익률</stp>
        <tr r="S49" s="1"/>
        <tr r="S48" s="1"/>
      </tp>
      <tp>
        <v>10248.83</v>
        <stp/>
        <stp>C</stp>
        <stp>0</stp>
        <stp>KR103501GCC0</stp>
        <stp>세전단가</stp>
        <stp>45755</stp>
        <stp>2.585</stp>
        <stp>세전수익률</stp>
        <tr r="S47" s="1"/>
      </tp>
      <tp>
        <v>10243.200000000001</v>
        <stp/>
        <stp>C</stp>
        <stp>0</stp>
        <stp>KR103501GCC0</stp>
        <stp>세전단가</stp>
        <stp>45751</stp>
        <stp>2.625</stp>
        <stp>세전수익률</stp>
        <tr r="S51" s="1"/>
      </tp>
      <tp>
        <v>10223.450000000001</v>
        <stp/>
        <stp>C</stp>
        <stp>0</stp>
        <stp>KR103501GCC0</stp>
        <stp>세전단가</stp>
        <stp>45722</stp>
        <stp>2.605</stp>
        <stp>세전수익률</stp>
        <tr r="S80" s="1"/>
      </tp>
      <tp>
        <v>10227.81</v>
        <stp/>
        <stp>C</stp>
        <stp>0</stp>
        <stp>KR103501GCC0</stp>
        <stp>세전단가</stp>
        <stp>45728</stp>
        <stp>2.605</stp>
        <stp>세전수익률</stp>
        <tr r="S74" s="1"/>
      </tp>
      <tp>
        <v>10233.629999999999</v>
        <stp/>
        <stp>C</stp>
        <stp>0</stp>
        <stp>KR103501GCC0</stp>
        <stp>세전단가</stp>
        <stp>45736</stp>
        <stp>2.605</stp>
        <stp>세전수익률</stp>
        <tr r="S66" s="1"/>
      </tp>
      <tp>
        <v>10232.18</v>
        <stp/>
        <stp>C</stp>
        <stp>0</stp>
        <stp>KR103501GCC0</stp>
        <stp>세전단가</stp>
        <stp>45733</stp>
        <stp>2.595</stp>
        <stp>세전수익률</stp>
        <tr r="S71" s="1"/>
      </tp>
      <tp>
        <v>10208.549999999999</v>
        <stp/>
        <stp>C</stp>
        <stp>0</stp>
        <stp>KR103501GCC0</stp>
        <stp>세전단가</stp>
        <stp>45707</stp>
        <stp>2.655</stp>
        <stp>세전수익률</stp>
        <tr r="S95" s="1"/>
      </tp>
      <tp>
        <v>10201.74</v>
        <stp/>
        <stp>C</stp>
        <stp>0</stp>
        <stp>KR103501GCC0</stp>
        <stp>세전단가</stp>
        <stp>45700</stp>
        <stp>2.675</stp>
        <stp>세전수익률</stp>
        <tr r="S102" s="1"/>
      </tp>
      <tp>
        <v>10197.280000000001</v>
        <stp/>
        <stp>C</stp>
        <stp>0</stp>
        <stp>KR103501GCC0</stp>
        <stp>세전단가</stp>
        <stp>45694</stp>
        <stp>2.675</stp>
        <stp>세전수익률</stp>
        <tr r="S108" s="1"/>
      </tp>
      <tp>
        <v>67.719700000000003</v>
        <stp/>
        <stp>C</stp>
        <stp>0</stp>
        <stp>KR103501GCC0</stp>
        <stp>경과이자</stp>
        <stp>45694</stp>
        <stp>2.675</stp>
        <stp>세전수익률</stp>
        <tr r="U108" s="1"/>
      </tp>
      <tp>
        <v>179.80760000000001</v>
        <stp/>
        <stp>C</stp>
        <stp>0</stp>
        <stp>KR103501GCC0</stp>
        <stp>경과이자</stp>
        <stp>45790</stp>
        <stp>2.435</stp>
        <stp>세전수익률</stp>
        <tr r="U12" s="1"/>
      </tp>
      <tp>
        <v>178.64009999999999</v>
        <stp/>
        <stp>C</stp>
        <stp>0</stp>
        <stp>KR103501GCC0</stp>
        <stp>경과이자</stp>
        <stp>45789</stp>
        <stp>2.435</stp>
        <stp>세전수익률</stp>
        <tr r="U15" s="1"/>
        <tr r="U13" s="1"/>
        <tr r="U14" s="1"/>
      </tp>
      <tp>
        <v>156.45599999999999</v>
        <stp/>
        <stp>C</stp>
        <stp>0</stp>
        <stp>KR103501GCC0</stp>
        <stp>경과이자</stp>
        <stp>45770</stp>
        <stp>2.515</stp>
        <stp>세전수익률</stp>
        <tr r="U32" s="1"/>
      </tp>
      <tp>
        <v>162.29390000000001</v>
        <stp/>
        <stp>C</stp>
        <stp>0</stp>
        <stp>KR103501GCC0</stp>
        <stp>경과이자</stp>
        <stp>45775</stp>
        <stp>2.505</stp>
        <stp>세전수익률</stp>
        <tr r="U29" s="1"/>
      </tp>
      <tp>
        <v>155.2884</v>
        <stp/>
        <stp>C</stp>
        <stp>0</stp>
        <stp>KR103501GCC0</stp>
        <stp>경과이자</stp>
        <stp>45769</stp>
        <stp>2.525</stp>
        <stp>세전수익률</stp>
        <tr r="U33" s="1"/>
      </tp>
      <tp>
        <v>154.1208</v>
        <stp/>
        <stp>C</stp>
        <stp>0</stp>
        <stp>KR103501GCC0</stp>
        <stp>경과이자</stp>
        <stp>45768</stp>
        <stp>2.535</stp>
        <stp>세전수익률</stp>
        <tr r="U36" s="1"/>
      </tp>
      <tp>
        <v>154.1208</v>
        <stp/>
        <stp>C</stp>
        <stp>0</stp>
        <stp>KR103501GCC0</stp>
        <stp>경과이자</stp>
        <stp>45768</stp>
        <stp>2.525</stp>
        <stp>세전수익률</stp>
        <tr r="U34" s="1"/>
        <tr r="U35" s="1"/>
      </tp>
      <tp>
        <v>150.6181</v>
        <stp/>
        <stp>C</stp>
        <stp>0</stp>
        <stp>KR103501GCC0</stp>
        <stp>경과이자</stp>
        <stp>45765</stp>
        <stp>2.545</stp>
        <stp>세전수익률</stp>
        <tr r="U37" s="1"/>
      </tp>
      <tp>
        <v>149.45050000000001</v>
        <stp/>
        <stp>C</stp>
        <stp>0</stp>
        <stp>KR103501GCC0</stp>
        <stp>경과이자</stp>
        <stp>45764</stp>
        <stp>2.575</stp>
        <stp>세전수익률</stp>
        <tr r="U38" s="1"/>
      </tp>
      <tp>
        <v>134.27189999999999</v>
        <stp/>
        <stp>C</stp>
        <stp>0</stp>
        <stp>KR103501GCC0</stp>
        <stp>경과이자</stp>
        <stp>45751</stp>
        <stp>2.625</stp>
        <stp>세전수익률</stp>
        <tr r="U51" s="1"/>
      </tp>
      <tp>
        <v>138.94229999999999</v>
        <stp/>
        <stp>C</stp>
        <stp>0</stp>
        <stp>KR103501GCC0</stp>
        <stp>경과이자</stp>
        <stp>45755</stp>
        <stp>2.585</stp>
        <stp>세전수익률</stp>
        <tr r="U47" s="1"/>
      </tp>
      <tp>
        <v>137.7747</v>
        <stp/>
        <stp>C</stp>
        <stp>0</stp>
        <stp>KR103501GCC0</stp>
        <stp>경과이자</stp>
        <stp>45754</stp>
        <stp>2.585</stp>
        <stp>세전수익률</stp>
        <tr r="U49" s="1"/>
        <tr r="U48" s="1"/>
      </tp>
      <tp>
        <v>130.76920000000001</v>
        <stp/>
        <stp>C</stp>
        <stp>0</stp>
        <stp>KR103501GCC0</stp>
        <stp>경과이자</stp>
        <stp>45748</stp>
        <stp>2.635</stp>
        <stp>세전수익률</stp>
        <tr r="U54" s="1"/>
      </tp>
      <tp>
        <v>131.93680000000001</v>
        <stp/>
        <stp>C</stp>
        <stp>0</stp>
        <stp>KR103501GCC0</stp>
        <stp>경과이자</stp>
        <stp>45749</stp>
        <stp>2.625</stp>
        <stp>세전수익률</stp>
        <tr r="U53" s="1"/>
      </tp>
      <tp>
        <v>121.4285</v>
        <stp/>
        <stp>C</stp>
        <stp>0</stp>
        <stp>KR103501GCC0</stp>
        <stp>경과이자</stp>
        <stp>45740</stp>
        <stp>2.615</stp>
        <stp>세전수익률</stp>
        <tr r="U63" s="1"/>
        <tr r="U62" s="1"/>
      </tp>
      <tp>
        <v>122.59610000000001</v>
        <stp/>
        <stp>C</stp>
        <stp>0</stp>
        <stp>KR103501GCC0</stp>
        <stp>경과이자</stp>
        <stp>45741</stp>
        <stp>2.615</stp>
        <stp>세전수익률</stp>
        <tr r="U61" s="1"/>
      </tp>
      <tp>
        <v>126.0989</v>
        <stp/>
        <stp>C</stp>
        <stp>0</stp>
        <stp>KR103501GCC0</stp>
        <stp>경과이자</stp>
        <stp>45744</stp>
        <stp>2.635</stp>
        <stp>세전수익률</stp>
        <tr r="U58" s="1"/>
      </tp>
      <tp>
        <v>129.60159999999999</v>
        <stp/>
        <stp>C</stp>
        <stp>0</stp>
        <stp>KR103501GCC0</stp>
        <stp>경과이자</stp>
        <stp>45747</stp>
        <stp>2.635</stp>
        <stp>세전수익률</stp>
        <tr r="U56" s="1"/>
        <tr r="U55" s="1"/>
        <tr r="U57" s="1"/>
      </tp>
      <tp>
        <v>113.25539999999999</v>
        <stp/>
        <stp>C</stp>
        <stp>0</stp>
        <stp>KR103501GCC0</stp>
        <stp>경과이자</stp>
        <stp>45733</stp>
        <stp>2.595</stp>
        <stp>세전수익률</stp>
        <tr r="U71" s="1"/>
      </tp>
      <tp>
        <v>116.7582</v>
        <stp/>
        <stp>C</stp>
        <stp>0</stp>
        <stp>KR103501GCC0</stp>
        <stp>경과이자</stp>
        <stp>45736</stp>
        <stp>2.605</stp>
        <stp>세전수익률</stp>
        <tr r="U66" s="1"/>
      </tp>
      <tp>
        <v>107.4175</v>
        <stp/>
        <stp>C</stp>
        <stp>0</stp>
        <stp>KR103501GCC0</stp>
        <stp>경과이자</stp>
        <stp>45728</stp>
        <stp>2.605</stp>
        <stp>세전수익률</stp>
        <tr r="U74" s="1"/>
      </tp>
      <tp>
        <v>100.41200000000001</v>
        <stp/>
        <stp>C</stp>
        <stp>0</stp>
        <stp>KR103501GCC0</stp>
        <stp>경과이자</stp>
        <stp>45722</stp>
        <stp>2.605</stp>
        <stp>세전수익률</stp>
        <tr r="U80" s="1"/>
      </tp>
      <tp>
        <v>74.725200000000001</v>
        <stp/>
        <stp>C</stp>
        <stp>0</stp>
        <stp>KR103501GCC0</stp>
        <stp>경과이자</stp>
        <stp>45700</stp>
        <stp>2.675</stp>
        <stp>세전수익률</stp>
        <tr r="U102" s="1"/>
      </tp>
      <tp>
        <v>82.898300000000006</v>
        <stp/>
        <stp>C</stp>
        <stp>0</stp>
        <stp>KR103501GCC0</stp>
        <stp>경과이자</stp>
        <stp>45707</stp>
        <stp>2.655</stp>
        <stp>세전수익률</stp>
        <tr r="U95" s="1"/>
      </tp>
      <tp>
        <v>10120.628199999999</v>
        <stp/>
        <stp>C</stp>
        <stp>0</stp>
        <stp>KR103501GCC0</stp>
        <stp>CleanPrice</stp>
        <stp>45730</stp>
        <stp>2.59</stp>
        <stp>세전수익률</stp>
        <tr r="T72" s="1"/>
      </tp>
      <tp>
        <v>10129.5666</v>
        <stp/>
        <stp>C</stp>
        <stp>0</stp>
        <stp>KR103501GCC0</stp>
        <stp>CleanPrice</stp>
        <stp>45694</stp>
        <stp>2.675</stp>
        <stp>세전수익률</stp>
        <tr r="T108" s="1"/>
      </tp>
      <tp>
        <v>10111.2608</v>
        <stp/>
        <stp>C</stp>
        <stp>0</stp>
        <stp>KR103501GCC0</stp>
        <stp>CleanPrice</stp>
        <stp>45744</stp>
        <stp>2.635</stp>
        <stp>세전수익률</stp>
        <tr r="T58" s="1"/>
      </tp>
      <tp>
        <v>10109.969999999999</v>
        <stp/>
        <stp>C</stp>
        <stp>0</stp>
        <stp>KR103501GCC0</stp>
        <stp>CleanPrice</stp>
        <stp>45747</stp>
        <stp>2.635</stp>
        <stp>세전수익률</stp>
        <tr r="T57" s="1"/>
        <tr r="T56" s="1"/>
        <tr r="T55" s="1"/>
      </tp>
      <tp>
        <v>10114.409</v>
        <stp/>
        <stp>C</stp>
        <stp>0</stp>
        <stp>KR103501GCC0</stp>
        <stp>CleanPrice</stp>
        <stp>45740</stp>
        <stp>2.615</stp>
        <stp>세전수익률</stp>
        <tr r="T63" s="1"/>
        <tr r="T62" s="1"/>
      </tp>
      <tp>
        <v>10113.9728</v>
        <stp/>
        <stp>C</stp>
        <stp>0</stp>
        <stp>KR103501GCC0</stp>
        <stp>CleanPrice</stp>
        <stp>45741</stp>
        <stp>2.615</stp>
        <stp>세전수익률</stp>
        <tr r="T61" s="1"/>
      </tp>
      <tp>
        <v>10109.5399</v>
        <stp/>
        <stp>C</stp>
        <stp>0</stp>
        <stp>KR103501GCC0</stp>
        <stp>CleanPrice</stp>
        <stp>45748</stp>
        <stp>2.635</stp>
        <stp>세전수익률</stp>
        <tr r="T54" s="1"/>
      </tp>
      <tp>
        <v>10109.7981</v>
        <stp/>
        <stp>C</stp>
        <stp>0</stp>
        <stp>KR103501GCC0</stp>
        <stp>CleanPrice</stp>
        <stp>45749</stp>
        <stp>2.625</stp>
        <stp>세전수익률</stp>
        <tr r="T53" s="1"/>
      </tp>
      <tp>
        <v>10109.8917</v>
        <stp/>
        <stp>C</stp>
        <stp>0</stp>
        <stp>KR103501GCC0</stp>
        <stp>CleanPrice</stp>
        <stp>45755</stp>
        <stp>2.585</stp>
        <stp>세전수익률</stp>
        <tr r="T47" s="1"/>
      </tp>
      <tp>
        <v>10110.334699999999</v>
        <stp/>
        <stp>C</stp>
        <stp>0</stp>
        <stp>KR103501GCC0</stp>
        <stp>CleanPrice</stp>
        <stp>45754</stp>
        <stp>2.585</stp>
        <stp>세전수익률</stp>
        <tr r="T48" s="1"/>
        <tr r="T49" s="1"/>
      </tp>
      <tp>
        <v>10108.933000000001</v>
        <stp/>
        <stp>C</stp>
        <stp>0</stp>
        <stp>KR103501GCC0</stp>
        <stp>CleanPrice</stp>
        <stp>45751</stp>
        <stp>2.625</stp>
        <stp>세전수익률</stp>
        <tr r="T51" s="1"/>
      </tp>
      <tp>
        <v>10108.0458</v>
        <stp/>
        <stp>C</stp>
        <stp>0</stp>
        <stp>KR103501GCC0</stp>
        <stp>CleanPrice</stp>
        <stp>45765</stp>
        <stp>2.545</stp>
        <stp>세전수익률</stp>
        <tr r="T37" s="1"/>
      </tp>
      <tp>
        <v>10106.5563</v>
        <stp/>
        <stp>C</stp>
        <stp>0</stp>
        <stp>KR103501GCC0</stp>
        <stp>CleanPrice</stp>
        <stp>45764</stp>
        <stp>2.575</stp>
        <stp>세전수익률</stp>
        <tr r="T38" s="1"/>
      </tp>
      <tp>
        <v>10107.502500000001</v>
        <stp/>
        <stp>C</stp>
        <stp>0</stp>
        <stp>KR103501GCC0</stp>
        <stp>CleanPrice</stp>
        <stp>45769</stp>
        <stp>2.525</stp>
        <stp>세전수익률</stp>
        <tr r="T33" s="1"/>
      </tp>
      <tp>
        <v>10107.324000000001</v>
        <stp/>
        <stp>C</stp>
        <stp>0</stp>
        <stp>KR103501GCC0</stp>
        <stp>CleanPrice</stp>
        <stp>45768</stp>
        <stp>2.535</stp>
        <stp>세전수익률</stp>
        <tr r="T36" s="1"/>
      </tp>
      <tp>
        <v>10107.9607</v>
        <stp/>
        <stp>C</stp>
        <stp>0</stp>
        <stp>KR103501GCC0</stp>
        <stp>CleanPrice</stp>
        <stp>45768</stp>
        <stp>2.525</stp>
        <stp>세전수익률</stp>
        <tr r="T34" s="1"/>
        <tr r="T35" s="1"/>
      </tp>
      <tp>
        <v>10105.9908</v>
        <stp/>
        <stp>C</stp>
        <stp>0</stp>
        <stp>KR103501GCC0</stp>
        <stp>CleanPrice</stp>
        <stp>45775</stp>
        <stp>2.505</stp>
        <stp>세전수익률</stp>
        <tr r="T29" s="1"/>
      </tp>
      <tp>
        <v>10107.6757</v>
        <stp/>
        <stp>C</stp>
        <stp>0</stp>
        <stp>KR103501GCC0</stp>
        <stp>CleanPrice</stp>
        <stp>45770</stp>
        <stp>2.515</stp>
        <stp>세전수익률</stp>
        <tr r="T32" s="1"/>
      </tp>
      <tp>
        <v>10125.6554</v>
        <stp/>
        <stp>C</stp>
        <stp>0</stp>
        <stp>KR103501GCC0</stp>
        <stp>CleanPrice</stp>
        <stp>45707</stp>
        <stp>2.655</stp>
        <stp>세전수익률</stp>
        <tr r="T95" s="1"/>
      </tp>
      <tp>
        <v>10127.0188</v>
        <stp/>
        <stp>C</stp>
        <stp>0</stp>
        <stp>KR103501GCC0</stp>
        <stp>CleanPrice</stp>
        <stp>45700</stp>
        <stp>2.675</stp>
        <stp>세전수익률</stp>
        <tr r="T102" s="1"/>
      </tp>
      <tp>
        <v>10123.041800000001</v>
        <stp/>
        <stp>C</stp>
        <stp>0</stp>
        <stp>KR103501GCC0</stp>
        <stp>CleanPrice</stp>
        <stp>45722</stp>
        <stp>2.605</stp>
        <stp>세전수익률</stp>
        <tr r="T80" s="1"/>
      </tp>
      <tp>
        <v>10120.3981</v>
        <stp/>
        <stp>C</stp>
        <stp>0</stp>
        <stp>KR103501GCC0</stp>
        <stp>CleanPrice</stp>
        <stp>45728</stp>
        <stp>2.605</stp>
        <stp>세전수익률</stp>
        <tr r="T74" s="1"/>
      </tp>
      <tp>
        <v>10116.879000000001</v>
        <stp/>
        <stp>C</stp>
        <stp>0</stp>
        <stp>KR103501GCC0</stp>
        <stp>CleanPrice</stp>
        <stp>45736</stp>
        <stp>2.605</stp>
        <stp>세전수익률</stp>
        <tr r="T66" s="1"/>
      </tp>
      <tp>
        <v>10118.93</v>
        <stp/>
        <stp>C</stp>
        <stp>0</stp>
        <stp>KR103501GCC0</stp>
        <stp>CleanPrice</stp>
        <stp>45733</stp>
        <stp>2.595</stp>
        <stp>세전수익률</stp>
        <tr r="T71" s="1"/>
      </tp>
      <tp>
        <v>10103.571</v>
        <stp/>
        <stp>C</stp>
        <stp>0</stp>
        <stp>KR103501GCC0</stp>
        <stp>CleanPrice</stp>
        <stp>45789</stp>
        <stp>2.435</stp>
        <stp>세전수익률</stp>
        <tr r="T14" s="1"/>
        <tr r="T13" s="1"/>
        <tr r="T15" s="1"/>
      </tp>
      <tp>
        <v>10103.09</v>
        <stp/>
        <stp>C</stp>
        <stp>0</stp>
        <stp>KR103501GCC0</stp>
        <stp>CleanPrice</stp>
        <stp>45790</stp>
        <stp>2.435</stp>
        <stp>세전수익률</stp>
        <tr r="T12" s="1"/>
      </tp>
      <tp>
        <v>10104.610699999999</v>
        <stp/>
        <stp>C</stp>
        <stp>0</stp>
        <stp>KR103501GCC0</stp>
        <stp>CleanPrice</stp>
        <stp>45785</stp>
        <stp>2.45</stp>
        <stp>세전수익률</stp>
        <tr r="T18" s="1"/>
        <tr r="T19" s="1"/>
        <tr r="T17" s="1"/>
        <tr r="T21" s="1"/>
        <tr r="T20" s="1"/>
        <tr r="T22" s="1"/>
      </tp>
      <tp>
        <v>10107.4761</v>
        <stp/>
        <stp>C</stp>
        <stp>0</stp>
        <stp>KR103501GCC0</stp>
        <stp>CleanPrice</stp>
        <stp>45779</stp>
        <stp>2.45</stp>
        <stp>세전수익률</stp>
        <tr r="T23" s="1"/>
      </tp>
      <tp>
        <v>10126.486800000001</v>
        <stp/>
        <stp>C</stp>
        <stp>0</stp>
        <stp>KR103501GCC0</stp>
        <stp>CleanPrice</stp>
        <stp>45706</stp>
        <stp>2.65</stp>
        <stp>세전수익률</stp>
        <tr r="T96" s="1"/>
      </tp>
      <tp>
        <v>10126.917299999999</v>
        <stp/>
        <stp>C</stp>
        <stp>0</stp>
        <stp>KR103501GCC0</stp>
        <stp>CleanPrice</stp>
        <stp>45705</stp>
        <stp>2.65</stp>
        <stp>세전수익률</stp>
        <tr r="T97" s="1"/>
        <tr r="T98" s="1"/>
      </tp>
      <tp>
        <v>10126.578100000001</v>
        <stp/>
        <stp>C</stp>
        <stp>0</stp>
        <stp>KR103501GCC0</stp>
        <stp>CleanPrice</stp>
        <stp>45702</stp>
        <stp>2.67</stp>
        <stp>세전수익률</stp>
        <tr r="T100" s="1"/>
      </tp>
      <tp>
        <v>10127.0036</v>
        <stp/>
        <stp>C</stp>
        <stp>0</stp>
        <stp>KR103501GCC0</stp>
        <stp>CleanPrice</stp>
        <stp>45701</stp>
        <stp>2.67</stp>
        <stp>세전수익률</stp>
        <tr r="T101" s="1"/>
      </tp>
      <tp>
        <v>10126.109700000001</v>
        <stp/>
        <stp>C</stp>
        <stp>0</stp>
        <stp>KR103501GCC0</stp>
        <stp>CleanPrice</stp>
        <stp>45705</stp>
        <stp>2.66</stp>
        <stp>세전수익률</stp>
        <tr r="T99" s="1"/>
      </tp>
      <tp>
        <v>10114.7655</v>
        <stp/>
        <stp>C</stp>
        <stp>0</stp>
        <stp>KR103501GCC0</stp>
        <stp>CleanPrice</stp>
        <stp>45740</stp>
        <stp>2.61</stp>
        <stp>세전수익률</stp>
        <tr r="T64" s="1"/>
      </tp>
      <tp>
        <v>10108.647999999999</v>
        <stp/>
        <stp>C</stp>
        <stp>0</stp>
        <stp>KR103501GCC0</stp>
        <stp>CleanPrice</stp>
        <stp>45754</stp>
        <stp>2.61</stp>
        <stp>세전수익률</stp>
        <tr r="T50" s="1"/>
      </tp>
      <tp>
        <v>10107.5293</v>
        <stp/>
        <stp>C</stp>
        <stp>0</stp>
        <stp>KR103501GCC0</stp>
        <stp>CleanPrice</stp>
        <stp>45771</stp>
        <stp>2.51</stp>
        <stp>세전수익률</stp>
        <tr r="T31" s="1"/>
      </tp>
      <tp>
        <v>10107.067300000001</v>
        <stp/>
        <stp>C</stp>
        <stp>0</stp>
        <stp>KR103501GCC0</stp>
        <stp>CleanPrice</stp>
        <stp>45772</stp>
        <stp>2.51</stp>
        <stp>세전수익률</stp>
        <tr r="T30" s="1"/>
      </tp>
      <tp>
        <v>10125.3001</v>
        <stp/>
        <stp>C</stp>
        <stp>0</stp>
        <stp>KR103501GCC0</stp>
        <stp>CleanPrice</stp>
        <stp>45716</stp>
        <stp>2.61</stp>
        <stp>세전수익률</stp>
        <tr r="T86" s="1"/>
      </tp>
      <tp>
        <v>10116.079</v>
        <stp/>
        <stp>C</stp>
        <stp>0</stp>
        <stp>KR103501GCC0</stp>
        <stp>CleanPrice</stp>
        <stp>45737</stp>
        <stp>2.61</stp>
        <stp>세전수익률</stp>
        <tr r="T65" s="1"/>
      </tp>
      <tp>
        <v>10105.308499999999</v>
        <stp/>
        <stp>C</stp>
        <stp>0</stp>
        <stp>KR103501GCC0</stp>
        <stp>CleanPrice</stp>
        <stp>45786</stp>
        <stp>2.43</stp>
        <stp>세전수익률</stp>
        <tr r="T16" s="1"/>
      </tp>
      <tp>
        <v>10102.8959</v>
        <stp/>
        <stp>C</stp>
        <stp>0</stp>
        <stp>KR103501GCC0</stp>
        <stp>CleanPrice</stp>
        <stp>45791</stp>
        <stp>2.43</stp>
        <stp>세전수익률</stp>
        <tr r="T11" s="1"/>
      </tp>
      <tp>
        <v>10102.413699999999</v>
        <stp/>
        <stp>C</stp>
        <stp>0</stp>
        <stp>KR103501GCC0</stp>
        <stp>CleanPrice</stp>
        <stp>45792</stp>
        <stp>2.43</stp>
        <stp>세전수익률</stp>
        <tr r="T10" s="1"/>
      </tp>
      <tp>
        <v>10112.043600000001</v>
        <stp/>
        <stp>C</stp>
        <stp>0</stp>
        <stp>KR103501GCC0</stp>
        <stp>CleanPrice</stp>
        <stp>45743</stp>
        <stp>2.63</stp>
        <stp>세전수익률</stp>
        <tr r="T59" s="1"/>
      </tp>
      <tp>
        <v>10102.4997</v>
        <stp/>
        <stp>C</stp>
        <stp>0</stp>
        <stp>KR103501GCC0</stp>
        <stp>CleanPrice</stp>
        <stp>45793</stp>
        <stp>2.42</stp>
        <stp>세전수익률</stp>
        <tr r="T9" s="1"/>
      </tp>
      <tp>
        <v>0.65149999999999997</v>
        <stp/>
        <stp>C</stp>
        <stp>0</stp>
        <stp>KR103501GCC0</stp>
        <stp>bpv</stp>
        <stp>45762</stp>
        <stp>2.5825</stp>
        <stp>세전수익률</stp>
        <tr r="V40" s="1"/>
      </tp>
      <tp>
        <v>0.64870000000000005</v>
        <stp/>
        <stp>C</stp>
        <stp>0</stp>
        <stp>KR103501GCC0</stp>
        <stp>bpv</stp>
        <stp>45763</stp>
        <stp>2.5825</stp>
        <stp>세전수익률</stp>
        <tr r="V39" s="1"/>
      </tp>
      <tp>
        <v>0.6542</v>
        <stp/>
        <stp>C</stp>
        <stp>0</stp>
        <stp>KR103501GCC0</stp>
        <stp>bpv</stp>
        <stp>45761</stp>
        <stp>2.5825</stp>
        <stp>세전수익률</stp>
        <tr r="V42" s="1"/>
        <tr r="V41" s="1"/>
        <tr r="V43" s="1"/>
      </tp>
      <tp>
        <v>10106.5136</v>
        <stp/>
        <stp>C</stp>
        <stp>0</stp>
        <stp>KR103501GCC0</stp>
        <stp>CleanPrice</stp>
        <stp>45763</stp>
        <stp>2.5825</stp>
        <stp>세전수익률</stp>
        <tr r="T39" s="1"/>
      </tp>
      <tp>
        <v>10106.9565</v>
        <stp/>
        <stp>C</stp>
        <stp>0</stp>
        <stp>KR103501GCC0</stp>
        <stp>CleanPrice</stp>
        <stp>45762</stp>
        <stp>2.5825</stp>
        <stp>세전수익률</stp>
        <tr r="T40" s="1"/>
      </tp>
      <tp>
        <v>10107.3995</v>
        <stp/>
        <stp>C</stp>
        <stp>0</stp>
        <stp>KR103501GCC0</stp>
        <stp>CleanPrice</stp>
        <stp>45761</stp>
        <stp>2.5825</stp>
        <stp>세전수익률</stp>
        <tr r="T41" s="1"/>
        <tr r="T42" s="1"/>
        <tr r="T43" s="1"/>
      </tp>
      <tp>
        <v>0.61099999999999999</v>
        <stp/>
        <stp>C</stp>
        <stp>0</stp>
        <stp>KR103501GCC0</stp>
        <stp>bpv</stp>
        <stp>45777</stp>
        <stp>2.4875</stp>
        <stp>세전수익률</stp>
        <tr r="V25" s="1"/>
      </tp>
      <tp>
        <v>0.61370000000000002</v>
        <stp/>
        <stp>C</stp>
        <stp>0</stp>
        <stp>KR103501GCC0</stp>
        <stp>bpv</stp>
        <stp>45776</stp>
        <stp>2.4925</stp>
        <stp>세전수익률</stp>
        <tr r="V26" s="1"/>
      </tp>
      <tp>
        <v>0.61650000000000005</v>
        <stp/>
        <stp>C</stp>
        <stp>0</stp>
        <stp>KR103501GCC0</stp>
        <stp>bpv</stp>
        <stp>45775</stp>
        <stp>2.4925</stp>
        <stp>세전수익률</stp>
        <tr r="V27" s="1"/>
        <tr r="V28" s="1"/>
      </tp>
      <tp>
        <v>0.60560000000000003</v>
        <stp/>
        <stp>C</stp>
        <stp>0</stp>
        <stp>KR103501GCC0</stp>
        <stp>bpv</stp>
        <stp>45779</stp>
        <stp>2.4825</stp>
        <stp>세전수익률</stp>
        <tr r="V24" s="1"/>
      </tp>
      <tp>
        <v>10105.504199999999</v>
        <stp/>
        <stp>C</stp>
        <stp>0</stp>
        <stp>KR103501GCC0</stp>
        <stp>CleanPrice</stp>
        <stp>45779</stp>
        <stp>2.4825</stp>
        <stp>세전수익률</stp>
        <tr r="T24" s="1"/>
      </tp>
      <tp>
        <v>10106.2963</v>
        <stp/>
        <stp>C</stp>
        <stp>0</stp>
        <stp>KR103501GCC0</stp>
        <stp>CleanPrice</stp>
        <stp>45776</stp>
        <stp>2.4925</stp>
        <stp>세전수익률</stp>
        <tr r="T26" s="1"/>
      </tp>
      <tp>
        <v>10106.1361</v>
        <stp/>
        <stp>C</stp>
        <stp>0</stp>
        <stp>KR103501GCC0</stp>
        <stp>CleanPrice</stp>
        <stp>45777</stp>
        <stp>2.4875</stp>
        <stp>세전수익률</stp>
        <tr r="T25" s="1"/>
      </tp>
      <tp>
        <v>10106.762699999999</v>
        <stp/>
        <stp>C</stp>
        <stp>0</stp>
        <stp>KR103501GCC0</stp>
        <stp>CleanPrice</stp>
        <stp>45775</stp>
        <stp>2.4925</stp>
        <stp>세전수익률</stp>
        <tr r="T28" s="1"/>
        <tr r="T27" s="1"/>
      </tp>
      <tp>
        <v>0.70579999999999998</v>
        <stp/>
        <stp>C</stp>
        <stp>0</stp>
        <stp>KR103501GCC0</stp>
        <stp>bpv</stp>
        <stp>45742</stp>
        <stp>2.6225</stp>
        <stp>세전수익률</stp>
        <tr r="V60" s="1"/>
      </tp>
      <tp>
        <v>10113.006100000001</v>
        <stp/>
        <stp>C</stp>
        <stp>0</stp>
        <stp>KR103501GCC0</stp>
        <stp>CleanPrice</stp>
        <stp>45742</stp>
        <stp>2.6225</stp>
        <stp>세전수익률</stp>
        <tr r="T60" s="1"/>
      </tp>
      <tp>
        <v>0.66520000000000001</v>
        <stp/>
        <stp>C</stp>
        <stp>0</stp>
        <stp>KR103501GCC0</stp>
        <stp>bpv</stp>
        <stp>45757</stp>
        <stp>2.5775</stp>
        <stp>세전수익률</stp>
        <tr r="V46" s="1"/>
      </tp>
      <tp>
        <v>0.66510000000000002</v>
        <stp/>
        <stp>C</stp>
        <stp>0</stp>
        <stp>KR103501GCC0</stp>
        <stp>bpv</stp>
        <stp>45757</stp>
        <stp>2.5825</stp>
        <stp>세전수익률</stp>
        <tr r="V45" s="1"/>
      </tp>
      <tp>
        <v>0.68389999999999995</v>
        <stp/>
        <stp>C</stp>
        <stp>0</stp>
        <stp>KR103501GCC0</stp>
        <stp>bpv</stp>
        <stp>45750</stp>
        <stp>2.6225</stp>
        <stp>세전수익률</stp>
        <tr r="V52" s="1"/>
      </tp>
      <tp>
        <v>0.66239999999999999</v>
        <stp/>
        <stp>C</stp>
        <stp>0</stp>
        <stp>KR103501GCC0</stp>
        <stp>bpv</stp>
        <stp>45758</stp>
        <stp>2.5825</stp>
        <stp>세전수익률</stp>
        <tr r="V44" s="1"/>
      </tp>
      <tp>
        <v>10108.7291</v>
        <stp/>
        <stp>C</stp>
        <stp>0</stp>
        <stp>KR103501GCC0</stp>
        <stp>CleanPrice</stp>
        <stp>45758</stp>
        <stp>2.5825</stp>
        <stp>세전수익률</stp>
        <tr r="T44" s="1"/>
      </tp>
      <tp>
        <v>10109.5059</v>
        <stp/>
        <stp>C</stp>
        <stp>0</stp>
        <stp>KR103501GCC0</stp>
        <stp>CleanPrice</stp>
        <stp>45757</stp>
        <stp>2.5775</stp>
        <stp>세전수익률</stp>
        <tr r="T46" s="1"/>
      </tp>
      <tp>
        <v>10109.1726</v>
        <stp/>
        <stp>C</stp>
        <stp>0</stp>
        <stp>KR103501GCC0</stp>
        <stp>CleanPrice</stp>
        <stp>45757</stp>
        <stp>2.5825</stp>
        <stp>세전수익률</stp>
        <tr r="T45" s="1"/>
      </tp>
      <tp>
        <v>10109.5368</v>
        <stp/>
        <stp>C</stp>
        <stp>0</stp>
        <stp>KR103501GCC0</stp>
        <stp>CleanPrice</stp>
        <stp>45750</stp>
        <stp>2.6225</stp>
        <stp>세전수익률</stp>
        <tr r="T52" s="1"/>
      </tp>
      <tp>
        <v>0.74680000000000002</v>
        <stp/>
        <stp>C</stp>
        <stp>0</stp>
        <stp>KR103501GCC0</stp>
        <stp>bpv</stp>
        <stp>45727</stp>
        <stp>2.6025</stp>
        <stp>세전수익률</stp>
        <tr r="V75" s="1"/>
      </tp>
      <tp>
        <v>0.74950000000000006</v>
        <stp/>
        <stp>C</stp>
        <stp>0</stp>
        <stp>KR103501GCC0</stp>
        <stp>bpv</stp>
        <stp>45726</stp>
        <stp>2.6025</stp>
        <stp>세전수익률</stp>
        <tr r="V76" s="1"/>
        <tr r="V77" s="1"/>
      </tp>
      <tp>
        <v>0.74939999999999996</v>
        <stp/>
        <stp>C</stp>
        <stp>0</stp>
        <stp>KR103501GCC0</stp>
        <stp>bpv</stp>
        <stp>45726</stp>
        <stp>2.6175</stp>
        <stp>세전수익률</stp>
        <tr r="V78" s="1"/>
      </tp>
      <tp>
        <v>0.76300000000000001</v>
        <stp/>
        <stp>C</stp>
        <stp>0</stp>
        <stp>KR103501GCC0</stp>
        <stp>bpv</stp>
        <stp>45721</stp>
        <stp>2.6075</stp>
        <stp>세전수익률</stp>
        <tr r="V81" s="1"/>
      </tp>
      <tp>
        <v>0.76580000000000004</v>
        <stp/>
        <stp>C</stp>
        <stp>0</stp>
        <stp>KR103501GCC0</stp>
        <stp>bpv</stp>
        <stp>45720</stp>
        <stp>2.6075</stp>
        <stp>세전수익률</stp>
        <tr r="V82" s="1"/>
      </tp>
      <tp>
        <v>0.75749999999999995</v>
        <stp/>
        <stp>C</stp>
        <stp>0</stp>
        <stp>KR103501GCC0</stp>
        <stp>bpv</stp>
        <stp>45723</stp>
        <stp>2.6175</stp>
        <stp>세전수익률</stp>
        <tr r="V79" s="1"/>
      </tp>
      <tp>
        <v>0.74139999999999995</v>
        <stp/>
        <stp>C</stp>
        <stp>0</stp>
        <stp>KR103501GCC0</stp>
        <stp>bpv</stp>
        <stp>45729</stp>
        <stp>2.5975</stp>
        <stp>세전수익률</stp>
        <tr r="V73" s="1"/>
      </tp>
      <tp>
        <v>10120.515100000001</v>
        <stp/>
        <stp>C</stp>
        <stp>0</stp>
        <stp>KR103501GCC0</stp>
        <stp>CleanPrice</stp>
        <stp>45729</stp>
        <stp>2.5975</stp>
        <stp>세전수익률</stp>
        <tr r="T73" s="1"/>
      </tp>
      <tp>
        <v>10121.466700000001</v>
        <stp/>
        <stp>C</stp>
        <stp>0</stp>
        <stp>KR103501GCC0</stp>
        <stp>CleanPrice</stp>
        <stp>45726</stp>
        <stp>2.6025</stp>
        <stp>세전수익률</stp>
        <tr r="T77" s="1"/>
        <tr r="T76" s="1"/>
      </tp>
      <tp>
        <v>10120.340200000001</v>
        <stp/>
        <stp>C</stp>
        <stp>0</stp>
        <stp>KR103501GCC0</stp>
        <stp>CleanPrice</stp>
        <stp>45726</stp>
        <stp>2.6175</stp>
        <stp>세전수익률</stp>
        <tr r="T78" s="1"/>
      </tp>
      <tp>
        <v>10121.025600000001</v>
        <stp/>
        <stp>C</stp>
        <stp>0</stp>
        <stp>KR103501GCC0</stp>
        <stp>CleanPrice</stp>
        <stp>45727</stp>
        <stp>2.6025</stp>
        <stp>세전수익률</stp>
        <tr r="T75" s="1"/>
      </tp>
      <tp>
        <v>10123.732</v>
        <stp/>
        <stp>C</stp>
        <stp>0</stp>
        <stp>KR103501GCC0</stp>
        <stp>CleanPrice</stp>
        <stp>45720</stp>
        <stp>2.6075</stp>
        <stp>세전수익률</stp>
        <tr r="T82" s="1"/>
      </tp>
      <tp>
        <v>10123.2916</v>
        <stp/>
        <stp>C</stp>
        <stp>0</stp>
        <stp>KR103501GCC0</stp>
        <stp>CleanPrice</stp>
        <stp>45721</stp>
        <stp>2.6075</stp>
        <stp>세전수익률</stp>
        <tr r="T81" s="1"/>
      </tp>
      <tp>
        <v>10121.652</v>
        <stp/>
        <stp>C</stp>
        <stp>0</stp>
        <stp>KR103501GCC0</stp>
        <stp>CleanPrice</stp>
        <stp>45723</stp>
        <stp>2.6175</stp>
        <stp>세전수익률</stp>
        <tr r="T79" s="1"/>
      </tp>
      <tp>
        <v>0.72499999999999998</v>
        <stp/>
        <stp>C</stp>
        <stp>0</stp>
        <stp>KR103501GCC0</stp>
        <stp>bpv</stp>
        <stp>45735</stp>
        <stp>2.6075</stp>
        <stp>세전수익률</stp>
        <tr r="V67" s="1"/>
      </tp>
      <tp>
        <v>0.72770000000000001</v>
        <stp/>
        <stp>C</stp>
        <stp>0</stp>
        <stp>KR103501GCC0</stp>
        <stp>bpv</stp>
        <stp>45734</stp>
        <stp>2.6075</stp>
        <stp>세전수익률</stp>
        <tr r="V68" s="1"/>
      </tp>
      <tp>
        <v>0.73040000000000005</v>
        <stp/>
        <stp>C</stp>
        <stp>0</stp>
        <stp>KR103501GCC0</stp>
        <stp>bpv</stp>
        <stp>45733</stp>
        <stp>2.6075</stp>
        <stp>세전수익률</stp>
        <tr r="V70" s="1"/>
        <tr r="V69" s="1"/>
      </tp>
      <tp>
        <v>10117.5759</v>
        <stp/>
        <stp>C</stp>
        <stp>0</stp>
        <stp>KR103501GCC0</stp>
        <stp>CleanPrice</stp>
        <stp>45734</stp>
        <stp>2.6075</stp>
        <stp>세전수익률</stp>
        <tr r="T68" s="1"/>
      </tp>
      <tp>
        <v>10117.1369</v>
        <stp/>
        <stp>C</stp>
        <stp>0</stp>
        <stp>KR103501GCC0</stp>
        <stp>CleanPrice</stp>
        <stp>45735</stp>
        <stp>2.6075</stp>
        <stp>세전수익률</stp>
        <tr r="T67" s="1"/>
      </tp>
      <tp>
        <v>10118.0149</v>
        <stp/>
        <stp>C</stp>
        <stp>0</stp>
        <stp>KR103501GCC0</stp>
        <stp>CleanPrice</stp>
        <stp>45733</stp>
        <stp>2.6075</stp>
        <stp>세전수익률</stp>
        <tr r="T69" s="1"/>
        <tr r="T70" s="1"/>
      </tp>
      <tp>
        <v>0.73870000000000002</v>
        <stp/>
        <stp>C</stp>
        <stp>0</stp>
        <stp>KR103501GCC0</stp>
        <stp>bpv</stp>
        <stp>45730</stp>
        <stp>2.59</stp>
        <stp>세전수익률</stp>
        <tr r="V72" s="1"/>
      </tp>
      <tp>
        <v>0.79530000000000001</v>
        <stp/>
        <stp>C</stp>
        <stp>0</stp>
        <stp>KR103501GCC0</stp>
        <stp>bpv</stp>
        <stp>45709</stp>
        <stp>2.6425</stp>
        <stp>세전수익률</stp>
        <tr r="V93" s="1"/>
      </tp>
      <tp>
        <v>0.79790000000000005</v>
        <stp/>
        <stp>C</stp>
        <stp>0</stp>
        <stp>KR103501GCC0</stp>
        <stp>bpv</stp>
        <stp>45708</stp>
        <stp>2.6525</stp>
        <stp>세전수익률</stp>
        <tr r="V94" s="1"/>
      </tp>
      <tp>
        <v>10125.426299999999</v>
        <stp/>
        <stp>C</stp>
        <stp>0</stp>
        <stp>KR103501GCC0</stp>
        <stp>CleanPrice</stp>
        <stp>45708</stp>
        <stp>2.6525</stp>
        <stp>세전수익률</stp>
        <tr r="T94" s="1"/>
      </tp>
      <tp>
        <v>10125.7937</v>
        <stp/>
        <stp>C</stp>
        <stp>0</stp>
        <stp>KR103501GCC0</stp>
        <stp>CleanPrice</stp>
        <stp>45709</stp>
        <stp>2.6425</stp>
        <stp>세전수익률</stp>
        <tr r="T93" s="1"/>
      </tp>
      <tp>
        <v>0.7792</v>
        <stp/>
        <stp>C</stp>
        <stp>0</stp>
        <stp>KR103501GCC0</stp>
        <stp>bpv</stp>
        <stp>45715</stp>
        <stp>2.6225</stp>
        <stp>세전수익률</stp>
        <tr r="V87" s="1"/>
      </tp>
      <tp>
        <v>0.78180000000000005</v>
        <stp/>
        <stp>C</stp>
        <stp>0</stp>
        <stp>KR103501GCC0</stp>
        <stp>bpv</stp>
        <stp>45714</stp>
        <stp>2.6325</stp>
        <stp>세전수익률</stp>
        <tr r="V88" s="1"/>
      </tp>
      <tp>
        <v>0.78439999999999999</v>
        <stp/>
        <stp>C</stp>
        <stp>0</stp>
        <stp>KR103501GCC0</stp>
        <stp>bpv</stp>
        <stp>45713</stp>
        <stp>2.6425</stp>
        <stp>세전수익률</stp>
        <tr r="V89" s="1"/>
      </tp>
      <tp>
        <v>0.78710000000000002</v>
        <stp/>
        <stp>C</stp>
        <stp>0</stp>
        <stp>KR103501GCC0</stp>
        <stp>bpv</stp>
        <stp>45712</stp>
        <stp>2.6425</stp>
        <stp>세전수익률</stp>
        <tr r="V91" s="1"/>
        <tr r="V92" s="1"/>
        <tr r="V90" s="1"/>
      </tp>
      <tp>
        <v>0.76849999999999996</v>
        <stp/>
        <stp>C</stp>
        <stp>0</stp>
        <stp>KR103501GCC0</stp>
        <stp>bpv</stp>
        <stp>45719</stp>
        <stp>2.6075</stp>
        <stp>세전수익률</stp>
        <tr r="V83" s="1"/>
        <tr r="V84" s="1"/>
      </tp>
      <tp>
        <v>0.76839999999999997</v>
        <stp/>
        <stp>C</stp>
        <stp>0</stp>
        <stp>KR103501GCC0</stp>
        <stp>bpv</stp>
        <stp>45719</stp>
        <stp>2.6125</stp>
        <stp>세전수익률</stp>
        <tr r="V85" s="1"/>
      </tp>
      <tp>
        <v>10124.172500000001</v>
        <stp/>
        <stp>C</stp>
        <stp>0</stp>
        <stp>KR103501GCC0</stp>
        <stp>CleanPrice</stp>
        <stp>45719</stp>
        <stp>2.6075</stp>
        <stp>세전수익률</stp>
        <tr r="T83" s="1"/>
        <tr r="T84" s="1"/>
      </tp>
      <tp>
        <v>10123.7875</v>
        <stp/>
        <stp>C</stp>
        <stp>0</stp>
        <stp>KR103501GCC0</stp>
        <stp>CleanPrice</stp>
        <stp>45719</stp>
        <stp>2.6125</stp>
        <stp>세전수익률</stp>
        <tr r="T85" s="1"/>
      </tp>
      <tp>
        <v>10124.417799999999</v>
        <stp/>
        <stp>C</stp>
        <stp>0</stp>
        <stp>KR103501GCC0</stp>
        <stp>CleanPrice</stp>
        <stp>45714</stp>
        <stp>2.6325</stp>
        <stp>세전수익률</stp>
        <tr r="T88" s="1"/>
      </tp>
      <tp>
        <v>10124.764300000001</v>
        <stp/>
        <stp>C</stp>
        <stp>0</stp>
        <stp>KR103501GCC0</stp>
        <stp>CleanPrice</stp>
        <stp>45715</stp>
        <stp>2.6225</stp>
        <stp>세전수익률</stp>
        <tr r="T87" s="1"/>
      </tp>
      <tp>
        <v>10124.497799999999</v>
        <stp/>
        <stp>C</stp>
        <stp>0</stp>
        <stp>KR103501GCC0</stp>
        <stp>CleanPrice</stp>
        <stp>45712</stp>
        <stp>2.6425</stp>
        <stp>세전수익률</stp>
        <tr r="T91" s="1"/>
        <tr r="T92" s="1"/>
        <tr r="T90" s="1"/>
      </tp>
      <tp>
        <v>10124.066000000001</v>
        <stp/>
        <stp>C</stp>
        <stp>0</stp>
        <stp>KR103501GCC0</stp>
        <stp>CleanPrice</stp>
        <stp>45713</stp>
        <stp>2.6425</stp>
        <stp>세전수익률</stp>
        <tr r="T89" s="1"/>
      </tp>
      <tp>
        <v>0.81399999999999995</v>
        <stp/>
        <stp>C</stp>
        <stp>0</stp>
        <stp>KR103501GCC0</stp>
        <stp>bpv</stp>
        <stp>45702</stp>
        <stp>2.67</stp>
        <stp>세전수익률</stp>
        <tr r="V100" s="1"/>
      </tp>
      <tp>
        <v>0.81669999999999998</v>
        <stp/>
        <stp>C</stp>
        <stp>0</stp>
        <stp>KR103501GCC0</stp>
        <stp>bpv</stp>
        <stp>45701</stp>
        <stp>2.67</stp>
        <stp>세전수익률</stp>
        <tr r="V101" s="1"/>
      </tp>
      <tp>
        <v>0.80589999999999995</v>
        <stp/>
        <stp>C</stp>
        <stp>0</stp>
        <stp>KR103501GCC0</stp>
        <stp>bpv</stp>
        <stp>45705</stp>
        <stp>2.66</stp>
        <stp>세전수익률</stp>
        <tr r="V99" s="1"/>
      </tp>
      <tp>
        <v>0.58930000000000005</v>
        <stp/>
        <stp>C</stp>
        <stp>0</stp>
        <stp>KR103501GCC0</stp>
        <stp>bpv</stp>
        <stp>45785</stp>
        <stp>2.45</stp>
        <stp>세전수익률</stp>
        <tr r="V21" s="1"/>
        <tr r="V17" s="1"/>
        <tr r="V20" s="1"/>
        <tr r="V19" s="1"/>
        <tr r="V22" s="1"/>
        <tr r="V18" s="1"/>
      </tp>
      <tp>
        <v>0.60580000000000001</v>
        <stp/>
        <stp>C</stp>
        <stp>0</stp>
        <stp>KR103501GCC0</stp>
        <stp>bpv</stp>
        <stp>45779</stp>
        <stp>2.45</stp>
        <stp>세전수익률</stp>
        <tr r="V23" s="1"/>
      </tp>
      <tp>
        <v>0.80330000000000001</v>
        <stp/>
        <stp>C</stp>
        <stp>0</stp>
        <stp>KR103501GCC0</stp>
        <stp>bpv</stp>
        <stp>45706</stp>
        <stp>2.65</stp>
        <stp>세전수익률</stp>
        <tr r="V96" s="1"/>
      </tp>
      <tp>
        <v>0.80600000000000005</v>
        <stp/>
        <stp>C</stp>
        <stp>0</stp>
        <stp>KR103501GCC0</stp>
        <stp>bpv</stp>
        <stp>45705</stp>
        <stp>2.65</stp>
        <stp>세전수익률</stp>
        <tr r="V98" s="1"/>
        <tr r="V97" s="1"/>
      </tp>
      <tp>
        <v>0.5867</v>
        <stp/>
        <stp>C</stp>
        <stp>0</stp>
        <stp>KR103501GCC0</stp>
        <stp>bpv</stp>
        <stp>45786</stp>
        <stp>2.43</stp>
        <stp>세전수익률</stp>
        <tr r="V16" s="1"/>
      </tp>
      <tp>
        <v>0.57289999999999996</v>
        <stp/>
        <stp>C</stp>
        <stp>0</stp>
        <stp>KR103501GCC0</stp>
        <stp>bpv</stp>
        <stp>45791</stp>
        <stp>2.43</stp>
        <stp>세전수익률</stp>
        <tr r="V11" s="1"/>
      </tp>
      <tp>
        <v>0.57020000000000004</v>
        <stp/>
        <stp>C</stp>
        <stp>0</stp>
        <stp>KR103501GCC0</stp>
        <stp>bpv</stp>
        <stp>45792</stp>
        <stp>2.43</stp>
        <stp>세전수익률</stp>
        <tr r="V10" s="1"/>
      </tp>
      <tp>
        <v>0.70299999999999996</v>
        <stp/>
        <stp>C</stp>
        <stp>0</stp>
        <stp>KR103501GCC0</stp>
        <stp>bpv</stp>
        <stp>45743</stp>
        <stp>2.63</stp>
        <stp>세전수익률</stp>
        <tr r="V59" s="1"/>
      </tp>
      <tp>
        <v>0.5675</v>
        <stp/>
        <stp>C</stp>
        <stp>0</stp>
        <stp>KR103501GCC0</stp>
        <stp>bpv</stp>
        <stp>45793</stp>
        <stp>2.42</stp>
        <stp>세전수익률</stp>
        <tr r="V9" s="1"/>
      </tp>
      <tp>
        <v>0.71130000000000004</v>
        <stp/>
        <stp>C</stp>
        <stp>0</stp>
        <stp>KR103501GCC0</stp>
        <stp>bpv</stp>
        <stp>45740</stp>
        <stp>2.61</stp>
        <stp>세전수익률</stp>
        <tr r="V64" s="1"/>
      </tp>
      <tp>
        <v>0.67310000000000003</v>
        <stp/>
        <stp>C</stp>
        <stp>0</stp>
        <stp>KR103501GCC0</stp>
        <stp>bpv</stp>
        <stp>45754</stp>
        <stp>2.61</stp>
        <stp>세전수익률</stp>
        <tr r="V50" s="1"/>
      </tp>
      <tp>
        <v>0.62729999999999997</v>
        <stp/>
        <stp>C</stp>
        <stp>0</stp>
        <stp>KR103501GCC0</stp>
        <stp>bpv</stp>
        <stp>45771</stp>
        <stp>2.51</stp>
        <stp>세전수익률</stp>
        <tr r="V31" s="1"/>
      </tp>
      <tp>
        <v>0.62460000000000004</v>
        <stp/>
        <stp>C</stp>
        <stp>0</stp>
        <stp>KR103501GCC0</stp>
        <stp>bpv</stp>
        <stp>45772</stp>
        <stp>2.51</stp>
        <stp>세전수익률</stp>
        <tr r="V30" s="1"/>
      </tp>
      <tp>
        <v>0.77659999999999996</v>
        <stp/>
        <stp>C</stp>
        <stp>0</stp>
        <stp>KR103501GCC0</stp>
        <stp>bpv</stp>
        <stp>45716</stp>
        <stp>2.61</stp>
        <stp>세전수익률</stp>
        <tr r="V86" s="1"/>
      </tp>
      <tp>
        <v>0.71950000000000003</v>
        <stp/>
        <stp>C</stp>
        <stp>0</stp>
        <stp>KR103501GCC0</stp>
        <stp>bpv</stp>
        <stp>45737</stp>
        <stp>2.61</stp>
        <stp>세전수익률</stp>
        <tr r="V65" s="1"/>
      </tp>
      <tp>
        <v>0.83279999999999998</v>
        <stp/>
        <stp>C</stp>
        <stp>0</stp>
        <stp>KR103501GCC0</stp>
        <stp>bpv</stp>
        <stp>45695</stp>
        <stp>2.6825</stp>
        <stp>세전수익률</stp>
        <tr r="V107" s="1"/>
      </tp>
      <tp>
        <v>0.82189999999999996</v>
        <stp/>
        <stp>C</stp>
        <stp>0</stp>
        <stp>KR103501GCC0</stp>
        <stp>bpv</stp>
        <stp>45699</stp>
        <stp>2.6875</stp>
        <stp>세전수익률</stp>
        <tr r="V103" s="1"/>
      </tp>
      <tp>
        <v>0.8246</v>
        <stp/>
        <stp>C</stp>
        <stp>0</stp>
        <stp>KR103501GCC0</stp>
        <stp>bpv</stp>
        <stp>45698</stp>
        <stp>2.6875</stp>
        <stp>세전수익률</stp>
        <tr r="V104" s="1"/>
        <tr r="V105" s="1"/>
      </tp>
      <tp>
        <v>0.8246</v>
        <stp/>
        <stp>C</stp>
        <stp>0</stp>
        <stp>KR103501GCC0</stp>
        <stp>bpv</stp>
        <stp>45698</stp>
        <stp>2.6825</stp>
        <stp>세전수익률</stp>
        <tr r="V106" s="1"/>
      </tp>
      <tp>
        <v>10127.248</v>
        <stp/>
        <stp>C</stp>
        <stp>0</stp>
        <stp>KR103501GCC0</stp>
        <stp>CleanPrice</stp>
        <stp>45698</stp>
        <stp>2.6825</stp>
        <stp>세전수익률</stp>
        <tr r="T106" s="1"/>
      </tp>
      <tp>
        <v>10126.8349</v>
        <stp/>
        <stp>C</stp>
        <stp>0</stp>
        <stp>KR103501GCC0</stp>
        <stp>CleanPrice</stp>
        <stp>45698</stp>
        <stp>2.6875</stp>
        <stp>세전수익률</stp>
        <tr r="T104" s="1"/>
        <tr r="T105" s="1"/>
      </tp>
      <tp>
        <v>10126.4138</v>
        <stp/>
        <stp>C</stp>
        <stp>0</stp>
        <stp>KR103501GCC0</stp>
        <stp>CleanPrice</stp>
        <stp>45699</stp>
        <stp>2.6875</stp>
        <stp>세전수익률</stp>
        <tr r="T103" s="1"/>
      </tp>
      <tp>
        <v>10128.516</v>
        <stp/>
        <stp>C</stp>
        <stp>0</stp>
        <stp>KR103501GCC0</stp>
        <stp>CleanPrice</stp>
        <stp>45695</stp>
        <stp>2.6825</stp>
        <stp>세전수익률</stp>
        <tr r="T107" s="1"/>
      </tp>
      <tp>
        <v>10230.379999999999</v>
        <stp/>
        <stp>C</stp>
        <stp>0</stp>
        <stp>KR103501GCC0</stp>
        <stp>세전단가</stp>
        <stp>45730</stp>
        <stp>2.59</stp>
        <stp>세전수익률</stp>
        <tr r="S72" s="1"/>
      </tp>
      <tp>
        <v>0.83550000000000002</v>
        <stp/>
        <stp>C</stp>
        <stp>0</stp>
        <stp>KR103501GCC0</stp>
        <stp>bpv</stp>
        <stp>45694</stp>
        <stp>2.675</stp>
        <stp>세전수익률</stp>
        <tr r="V108" s="1"/>
      </tp>
      <tp>
        <v>10285.81</v>
        <stp/>
        <stp>C</stp>
        <stp>0</stp>
        <stp>KR103501GCC0</stp>
        <stp>세전단가</stp>
        <stp>45793</stp>
        <stp>2.42</stp>
        <stp>세전수익률</stp>
        <tr r="S9" s="1"/>
      </tp>
      <tp>
        <v>0.68659999999999999</v>
        <stp/>
        <stp>C</stp>
        <stp>0</stp>
        <stp>KR103501GCC0</stp>
        <stp>bpv</stp>
        <stp>45749</stp>
        <stp>2.625</stp>
        <stp>세전수익률</stp>
        <tr r="V53" s="1"/>
      </tp>
      <tp>
        <v>0.68930000000000002</v>
        <stp/>
        <stp>C</stp>
        <stp>0</stp>
        <stp>KR103501GCC0</stp>
        <stp>bpv</stp>
        <stp>45748</stp>
        <stp>2.635</stp>
        <stp>세전수익률</stp>
        <tr r="V54" s="1"/>
      </tp>
      <tp>
        <v>0.70020000000000004</v>
        <stp/>
        <stp>C</stp>
        <stp>0</stp>
        <stp>KR103501GCC0</stp>
        <stp>bpv</stp>
        <stp>45744</stp>
        <stp>2.635</stp>
        <stp>세전수익률</stp>
        <tr r="V58" s="1"/>
      </tp>
      <tp>
        <v>0.69199999999999995</v>
        <stp/>
        <stp>C</stp>
        <stp>0</stp>
        <stp>KR103501GCC0</stp>
        <stp>bpv</stp>
        <stp>45747</stp>
        <stp>2.635</stp>
        <stp>세전수익률</stp>
        <tr r="V56" s="1"/>
        <tr r="V55" s="1"/>
        <tr r="V57" s="1"/>
      </tp>
      <tp>
        <v>0.70850000000000002</v>
        <stp/>
        <stp>C</stp>
        <stp>0</stp>
        <stp>KR103501GCC0</stp>
        <stp>bpv</stp>
        <stp>45741</stp>
        <stp>2.615</stp>
        <stp>세전수익률</stp>
        <tr r="V61" s="1"/>
      </tp>
      <tp>
        <v>0.71130000000000004</v>
        <stp/>
        <stp>C</stp>
        <stp>0</stp>
        <stp>KR103501GCC0</stp>
        <stp>bpv</stp>
        <stp>45740</stp>
        <stp>2.615</stp>
        <stp>세전수익률</stp>
        <tr r="V63" s="1"/>
        <tr r="V62" s="1"/>
      </tp>
      <tp>
        <v>0.67330000000000001</v>
        <stp/>
        <stp>C</stp>
        <stp>0</stp>
        <stp>KR103501GCC0</stp>
        <stp>bpv</stp>
        <stp>45754</stp>
        <stp>2.585</stp>
        <stp>세전수익률</stp>
        <tr r="V48" s="1"/>
        <tr r="V49" s="1"/>
      </tp>
      <tp>
        <v>0.67059999999999997</v>
        <stp/>
        <stp>C</stp>
        <stp>0</stp>
        <stp>KR103501GCC0</stp>
        <stp>bpv</stp>
        <stp>45755</stp>
        <stp>2.585</stp>
        <stp>세전수익률</stp>
        <tr r="V47" s="1"/>
      </tp>
      <tp>
        <v>0.68120000000000003</v>
        <stp/>
        <stp>C</stp>
        <stp>0</stp>
        <stp>KR103501GCC0</stp>
        <stp>bpv</stp>
        <stp>45751</stp>
        <stp>2.625</stp>
        <stp>세전수익률</stp>
        <tr r="V51" s="1"/>
      </tp>
      <tp>
        <v>0.63539999999999996</v>
        <stp/>
        <stp>C</stp>
        <stp>0</stp>
        <stp>KR103501GCC0</stp>
        <stp>bpv</stp>
        <stp>45768</stp>
        <stp>2.535</stp>
        <stp>세전수익률</stp>
        <tr r="V36" s="1"/>
      </tp>
      <tp>
        <v>0.63549999999999995</v>
        <stp/>
        <stp>C</stp>
        <stp>0</stp>
        <stp>KR103501GCC0</stp>
        <stp>bpv</stp>
        <stp>45768</stp>
        <stp>2.525</stp>
        <stp>세전수익률</stp>
        <tr r="V34" s="1"/>
        <tr r="V35" s="1"/>
      </tp>
      <tp>
        <v>0.63270000000000004</v>
        <stp/>
        <stp>C</stp>
        <stp>0</stp>
        <stp>KR103501GCC0</stp>
        <stp>bpv</stp>
        <stp>45769</stp>
        <stp>2.525</stp>
        <stp>세전수익률</stp>
        <tr r="V33" s="1"/>
      </tp>
      <tp>
        <v>0.64600000000000002</v>
        <stp/>
        <stp>C</stp>
        <stp>0</stp>
        <stp>KR103501GCC0</stp>
        <stp>bpv</stp>
        <stp>45764</stp>
        <stp>2.575</stp>
        <stp>세전수익률</stp>
        <tr r="V38" s="1"/>
      </tp>
      <tp>
        <v>0.64349999999999996</v>
        <stp/>
        <stp>C</stp>
        <stp>0</stp>
        <stp>KR103501GCC0</stp>
        <stp>bpv</stp>
        <stp>45765</stp>
        <stp>2.545</stp>
        <stp>세전수익률</stp>
        <tr r="V37" s="1"/>
      </tp>
      <tp>
        <v>0.61639999999999995</v>
        <stp/>
        <stp>C</stp>
        <stp>0</stp>
        <stp>KR103501GCC0</stp>
        <stp>bpv</stp>
        <stp>45775</stp>
        <stp>2.505</stp>
        <stp>세전수익률</stp>
        <tr r="V29" s="1"/>
      </tp>
      <tp>
        <v>0.63</v>
        <stp/>
        <stp>C</stp>
        <stp>0</stp>
        <stp>KR103501GCC0</stp>
        <stp>bpv</stp>
        <stp>45770</stp>
        <stp>2.515</stp>
        <stp>세전수익률</stp>
        <tr r="V32" s="1"/>
      </tp>
      <tp>
        <v>0.80059999999999998</v>
        <stp/>
        <stp>C</stp>
        <stp>0</stp>
        <stp>KR103501GCC0</stp>
        <stp>bpv</stp>
        <stp>45707</stp>
        <stp>2.655</stp>
        <stp>세전수익률</stp>
        <tr r="V95" s="1"/>
      </tp>
      <tp>
        <v>0.81930000000000003</v>
        <stp/>
        <stp>C</stp>
        <stp>0</stp>
        <stp>KR103501GCC0</stp>
        <stp>bpv</stp>
        <stp>45700</stp>
        <stp>2.675</stp>
        <stp>세전수익률</stp>
        <tr r="V102" s="1"/>
      </tp>
      <tp>
        <v>0.74399999999999999</v>
        <stp/>
        <stp>C</stp>
        <stp>0</stp>
        <stp>KR103501GCC0</stp>
        <stp>bpv</stp>
        <stp>45728</stp>
        <stp>2.605</stp>
        <stp>세전수익률</stp>
        <tr r="V74" s="1"/>
      </tp>
      <tp>
        <v>0.76029999999999998</v>
        <stp/>
        <stp>C</stp>
        <stp>0</stp>
        <stp>KR103501GCC0</stp>
        <stp>bpv</stp>
        <stp>45722</stp>
        <stp>2.605</stp>
        <stp>세전수익률</stp>
        <tr r="V80" s="1"/>
      </tp>
      <tp>
        <v>0.72219999999999995</v>
        <stp/>
        <stp>C</stp>
        <stp>0</stp>
        <stp>KR103501GCC0</stp>
        <stp>bpv</stp>
        <stp>45736</stp>
        <stp>2.605</stp>
        <stp>세전수익률</stp>
        <tr r="V66" s="1"/>
      </tp>
      <tp>
        <v>0.73050000000000004</v>
        <stp/>
        <stp>C</stp>
        <stp>0</stp>
        <stp>KR103501GCC0</stp>
        <stp>bpv</stp>
        <stp>45733</stp>
        <stp>2.595</stp>
        <stp>세전수익률</stp>
        <tr r="V71" s="1"/>
      </tp>
      <tp>
        <v>0.57840000000000003</v>
        <stp/>
        <stp>C</stp>
        <stp>0</stp>
        <stp>KR103501GCC0</stp>
        <stp>bpv</stp>
        <stp>45789</stp>
        <stp>2.435</stp>
        <stp>세전수익률</stp>
        <tr r="V15" s="1"/>
        <tr r="V14" s="1"/>
        <tr r="V13" s="1"/>
      </tp>
      <tp>
        <v>0.5756</v>
        <stp/>
        <stp>C</stp>
        <stp>0</stp>
        <stp>KR103501GCC0</stp>
        <stp>bpv</stp>
        <stp>45790</stp>
        <stp>2.435</stp>
        <stp>세전수익률</stp>
        <tr r="V12" s="1"/>
      </tp>
      <tp>
        <v>10236.969999999999</v>
        <stp/>
        <stp>C</stp>
        <stp>0</stp>
        <stp>KR103501GCC0</stp>
        <stp>세전단가</stp>
        <stp>45743</stp>
        <stp>2.63</stp>
        <stp>세전수익률</stp>
        <tr r="S59" s="1"/>
      </tp>
      <tp>
        <v>10280.44</v>
        <stp/>
        <stp>C</stp>
        <stp>0</stp>
        <stp>KR103501GCC0</stp>
        <stp>세전단가</stp>
        <stp>45786</stp>
        <stp>2.43</stp>
        <stp>세전수익률</stp>
        <tr r="S16" s="1"/>
      </tp>
      <tp>
        <v>10283.870000000001</v>
        <stp/>
        <stp>C</stp>
        <stp>0</stp>
        <stp>KR103501GCC0</stp>
        <stp>세전단가</stp>
        <stp>45791</stp>
        <stp>2.43</stp>
        <stp>세전수익률</stp>
        <tr r="S11" s="1"/>
      </tp>
      <tp>
        <v>10284.549999999999</v>
        <stp/>
        <stp>C</stp>
        <stp>0</stp>
        <stp>KR103501GCC0</stp>
        <stp>세전단가</stp>
        <stp>45792</stp>
        <stp>2.43</stp>
        <stp>세전수익률</stp>
        <tr r="S10" s="1"/>
      </tp>
      <tp>
        <v>10265.15</v>
        <stp/>
        <stp>C</stp>
        <stp>0</stp>
        <stp>KR103501GCC0</stp>
        <stp>세전단가</stp>
        <stp>45771</stp>
        <stp>2.51</stp>
        <stp>세전수익률</stp>
        <tr r="S31" s="1"/>
      </tp>
      <tp>
        <v>10265.85</v>
        <stp/>
        <stp>C</stp>
        <stp>0</stp>
        <stp>KR103501GCC0</stp>
        <stp>세전단가</stp>
        <stp>45772</stp>
        <stp>2.51</stp>
        <stp>세전수익률</stp>
        <tr r="S30" s="1"/>
      </tp>
      <tp>
        <v>10236.19</v>
        <stp/>
        <stp>C</stp>
        <stp>0</stp>
        <stp>KR103501GCC0</stp>
        <stp>세전단가</stp>
        <stp>45740</stp>
        <stp>2.61</stp>
        <stp>세전수익률</stp>
        <tr r="S64" s="1"/>
      </tp>
      <tp>
        <v>10246.42</v>
        <stp/>
        <stp>C</stp>
        <stp>0</stp>
        <stp>KR103501GCC0</stp>
        <stp>세전단가</stp>
        <stp>45754</stp>
        <stp>2.61</stp>
        <stp>세전수익률</stp>
        <tr r="S50" s="1"/>
      </tp>
      <tp>
        <v>10234</v>
        <stp/>
        <stp>C</stp>
        <stp>0</stp>
        <stp>KR103501GCC0</stp>
        <stp>세전단가</stp>
        <stp>45737</stp>
        <stp>2.61</stp>
        <stp>세전수익률</stp>
        <tr r="S65" s="1"/>
      </tp>
      <tp>
        <v>10218.700000000001</v>
        <stp/>
        <stp>C</stp>
        <stp>0</stp>
        <stp>KR103501GCC0</stp>
        <stp>세전단가</stp>
        <stp>45716</stp>
        <stp>2.61</stp>
        <stp>세전수익률</stp>
        <tr r="S86" s="1"/>
      </tp>
      <tp>
        <v>10206.67</v>
        <stp/>
        <stp>C</stp>
        <stp>0</stp>
        <stp>KR103501GCC0</stp>
        <stp>세전단가</stp>
        <stp>45705</stp>
        <stp>2.66</stp>
        <stp>세전수익률</stp>
        <tr r="S99" s="1"/>
      </tp>
      <tp>
        <v>10203.629999999999</v>
        <stp/>
        <stp>C</stp>
        <stp>0</stp>
        <stp>KR103501GCC0</stp>
        <stp>세전단가</stp>
        <stp>45702</stp>
        <stp>2.67</stp>
        <stp>세전수익률</stp>
        <tr r="S100" s="1"/>
      </tp>
      <tp>
        <v>10202.89</v>
        <stp/>
        <stp>C</stp>
        <stp>0</stp>
        <stp>KR103501GCC0</stp>
        <stp>세전단가</stp>
        <stp>45701</stp>
        <stp>2.67</stp>
        <stp>세전수익률</stp>
        <tr r="S101" s="1"/>
      </tp>
      <tp>
        <v>10274.44</v>
        <stp/>
        <stp>C</stp>
        <stp>0</stp>
        <stp>KR103501GCC0</stp>
        <stp>세전단가</stp>
        <stp>45779</stp>
        <stp>2.45</stp>
        <stp>세전수익률</stp>
        <tr r="S23" s="1"/>
      </tp>
      <tp>
        <v>10208.209999999999</v>
        <stp/>
        <stp>C</stp>
        <stp>0</stp>
        <stp>KR103501GCC0</stp>
        <stp>세전단가</stp>
        <stp>45706</stp>
        <stp>2.65</stp>
        <stp>세전수익률</stp>
        <tr r="S96" s="1"/>
      </tp>
      <tp>
        <v>10207.48</v>
        <stp/>
        <stp>C</stp>
        <stp>0</stp>
        <stp>KR103501GCC0</stp>
        <stp>세전단가</stp>
        <stp>45705</stp>
        <stp>2.65</stp>
        <stp>세전수익률</stp>
        <tr r="S98" s="1"/>
        <tr r="S97" s="1"/>
      </tp>
      <tp>
        <v>10278.58</v>
        <stp/>
        <stp>C</stp>
        <stp>0</stp>
        <stp>KR103501GCC0</stp>
        <stp>세전단가</stp>
        <stp>45785</stp>
        <stp>2.45</stp>
        <stp>세전수익률</stp>
        <tr r="S19" s="1"/>
        <tr r="S20" s="1"/>
        <tr r="S22" s="1"/>
        <tr r="S18" s="1"/>
        <tr r="S21" s="1"/>
        <tr r="S17" s="1"/>
      </tp>
      <tp>
        <v>68.887299999999996</v>
        <stp/>
        <stp>C</stp>
        <stp>0</stp>
        <stp>KR103501GCC0</stp>
        <stp>경과이자</stp>
        <stp>45695</stp>
        <stp>2.6825</stp>
        <stp>세전수익률</stp>
        <tr r="U107" s="1"/>
      </tp>
      <tp>
        <v>72.390100000000004</v>
        <stp/>
        <stp>C</stp>
        <stp>0</stp>
        <stp>KR103501GCC0</stp>
        <stp>경과이자</stp>
        <stp>45698</stp>
        <stp>2.6875</stp>
        <stp>세전수익률</stp>
        <tr r="U105" s="1"/>
        <tr r="U104" s="1"/>
      </tp>
      <tp>
        <v>72.390100000000004</v>
        <stp/>
        <stp>C</stp>
        <stp>0</stp>
        <stp>KR103501GCC0</stp>
        <stp>경과이자</stp>
        <stp>45698</stp>
        <stp>2.6825</stp>
        <stp>세전수익률</stp>
        <tr r="U106" s="1"/>
      </tp>
      <tp>
        <v>73.557599999999994</v>
        <stp/>
        <stp>C</stp>
        <stp>0</stp>
        <stp>KR103501GCC0</stp>
        <stp>경과이자</stp>
        <stp>45699</stp>
        <stp>2.6875</stp>
        <stp>세전수익률</stp>
        <tr r="U103" s="1"/>
      </tp>
      <tp>
        <v>133.10429999999999</v>
        <stp/>
        <stp>C</stp>
        <stp>0</stp>
        <stp>KR103501GCC0</stp>
        <stp>경과이자</stp>
        <stp>45750</stp>
        <stp>2.6225</stp>
        <stp>세전수익률</stp>
        <tr r="U52" s="1"/>
      </tp>
      <tp>
        <v>141.2774</v>
        <stp/>
        <stp>C</stp>
        <stp>0</stp>
        <stp>KR103501GCC0</stp>
        <stp>경과이자</stp>
        <stp>45757</stp>
        <stp>2.5775</stp>
        <stp>세전수익률</stp>
        <tr r="U46" s="1"/>
      </tp>
      <tp>
        <v>141.2774</v>
        <stp/>
        <stp>C</stp>
        <stp>0</stp>
        <stp>KR103501GCC0</stp>
        <stp>경과이자</stp>
        <stp>45757</stp>
        <stp>2.5825</stp>
        <stp>세전수익률</stp>
        <tr r="U45" s="1"/>
      </tp>
      <tp>
        <v>142.44499999999999</v>
        <stp/>
        <stp>C</stp>
        <stp>0</stp>
        <stp>KR103501GCC0</stp>
        <stp>경과이자</stp>
        <stp>45758</stp>
        <stp>2.5825</stp>
        <stp>세전수익률</stp>
        <tr r="U44" s="1"/>
      </tp>
      <tp>
        <v>123.7637</v>
        <stp/>
        <stp>C</stp>
        <stp>0</stp>
        <stp>KR103501GCC0</stp>
        <stp>경과이자</stp>
        <stp>45742</stp>
        <stp>2.6225</stp>
        <stp>세전수익률</stp>
        <tr r="U60" s="1"/>
      </tp>
      <tp>
        <v>163.4615</v>
        <stp/>
        <stp>C</stp>
        <stp>0</stp>
        <stp>KR103501GCC0</stp>
        <stp>경과이자</stp>
        <stp>45776</stp>
        <stp>2.4925</stp>
        <stp>세전수익률</stp>
        <tr r="U26" s="1"/>
      </tp>
      <tp>
        <v>164.62909999999999</v>
        <stp/>
        <stp>C</stp>
        <stp>0</stp>
        <stp>KR103501GCC0</stp>
        <stp>경과이자</stp>
        <stp>45777</stp>
        <stp>2.4875</stp>
        <stp>세전수익률</stp>
        <tr r="U25" s="1"/>
      </tp>
      <tp>
        <v>162.29390000000001</v>
        <stp/>
        <stp>C</stp>
        <stp>0</stp>
        <stp>KR103501GCC0</stp>
        <stp>경과이자</stp>
        <stp>45775</stp>
        <stp>2.4925</stp>
        <stp>세전수익률</stp>
        <tr r="U28" s="1"/>
        <tr r="U27" s="1"/>
      </tp>
      <tp>
        <v>166.96420000000001</v>
        <stp/>
        <stp>C</stp>
        <stp>0</stp>
        <stp>KR103501GCC0</stp>
        <stp>경과이자</stp>
        <stp>45779</stp>
        <stp>2.4825</stp>
        <stp>세전수익률</stp>
        <tr r="U24" s="1"/>
      </tp>
      <tp>
        <v>148.28290000000001</v>
        <stp/>
        <stp>C</stp>
        <stp>0</stp>
        <stp>KR103501GCC0</stp>
        <stp>경과이자</stp>
        <stp>45763</stp>
        <stp>2.5825</stp>
        <stp>세전수익률</stp>
        <tr r="U39" s="1"/>
      </tp>
      <tp>
        <v>147.11529999999999</v>
        <stp/>
        <stp>C</stp>
        <stp>0</stp>
        <stp>KR103501GCC0</stp>
        <stp>경과이자</stp>
        <stp>45762</stp>
        <stp>2.5825</stp>
        <stp>세전수익률</stp>
        <tr r="U40" s="1"/>
      </tp>
      <tp>
        <v>145.9478</v>
        <stp/>
        <stp>C</stp>
        <stp>0</stp>
        <stp>KR103501GCC0</stp>
        <stp>경과이자</stp>
        <stp>45761</stp>
        <stp>2.5825</stp>
        <stp>세전수익률</stp>
        <tr r="U43" s="1"/>
        <tr r="U41" s="1"/>
        <tr r="U42" s="1"/>
      </tp>
      <tp>
        <v>88.736199999999997</v>
        <stp/>
        <stp>C</stp>
        <stp>0</stp>
        <stp>KR103501GCC0</stp>
        <stp>경과이자</stp>
        <stp>45712</stp>
        <stp>2.6425</stp>
        <stp>세전수익률</stp>
        <tr r="U90" s="1"/>
        <tr r="U92" s="1"/>
        <tr r="U91" s="1"/>
      </tp>
      <tp>
        <v>89.903800000000004</v>
        <stp/>
        <stp>C</stp>
        <stp>0</stp>
        <stp>KR103501GCC0</stp>
        <stp>경과이자</stp>
        <stp>45713</stp>
        <stp>2.6425</stp>
        <stp>세전수익률</stp>
        <tr r="U89" s="1"/>
      </tp>
      <tp>
        <v>91.071399999999997</v>
        <stp/>
        <stp>C</stp>
        <stp>0</stp>
        <stp>KR103501GCC0</stp>
        <stp>경과이자</stp>
        <stp>45714</stp>
        <stp>2.6325</stp>
        <stp>세전수익률</stp>
        <tr r="U88" s="1"/>
      </tp>
      <tp>
        <v>92.239000000000004</v>
        <stp/>
        <stp>C</stp>
        <stp>0</stp>
        <stp>KR103501GCC0</stp>
        <stp>경과이자</stp>
        <stp>45715</stp>
        <stp>2.6225</stp>
        <stp>세전수익률</stp>
        <tr r="U87" s="1"/>
      </tp>
      <tp>
        <v>96.909300000000002</v>
        <stp/>
        <stp>C</stp>
        <stp>0</stp>
        <stp>KR103501GCC0</stp>
        <stp>경과이자</stp>
        <stp>45719</stp>
        <stp>2.6075</stp>
        <stp>세전수익률</stp>
        <tr r="U84" s="1"/>
        <tr r="U83" s="1"/>
      </tp>
      <tp>
        <v>96.909300000000002</v>
        <stp/>
        <stp>C</stp>
        <stp>0</stp>
        <stp>KR103501GCC0</stp>
        <stp>경과이자</stp>
        <stp>45719</stp>
        <stp>2.6125</stp>
        <stp>세전수익률</stp>
        <tr r="U85" s="1"/>
      </tp>
      <tp>
        <v>84.065899999999999</v>
        <stp/>
        <stp>C</stp>
        <stp>0</stp>
        <stp>KR103501GCC0</stp>
        <stp>경과이자</stp>
        <stp>45708</stp>
        <stp>2.6525</stp>
        <stp>세전수익률</stp>
        <tr r="U94" s="1"/>
      </tp>
      <tp>
        <v>85.233500000000006</v>
        <stp/>
        <stp>C</stp>
        <stp>0</stp>
        <stp>KR103501GCC0</stp>
        <stp>경과이자</stp>
        <stp>45709</stp>
        <stp>2.6425</stp>
        <stp>세전수익률</stp>
        <tr r="U93" s="1"/>
      </tp>
      <tp>
        <v>113.25539999999999</v>
        <stp/>
        <stp>C</stp>
        <stp>0</stp>
        <stp>KR103501GCC0</stp>
        <stp>경과이자</stp>
        <stp>45733</stp>
        <stp>2.6075</stp>
        <stp>세전수익률</stp>
        <tr r="U70" s="1"/>
        <tr r="U69" s="1"/>
      </tp>
      <tp>
        <v>114.423</v>
        <stp/>
        <stp>C</stp>
        <stp>0</stp>
        <stp>KR103501GCC0</stp>
        <stp>경과이자</stp>
        <stp>45734</stp>
        <stp>2.6075</stp>
        <stp>세전수익률</stp>
        <tr r="U68" s="1"/>
      </tp>
      <tp>
        <v>115.59059999999999</v>
        <stp/>
        <stp>C</stp>
        <stp>0</stp>
        <stp>KR103501GCC0</stp>
        <stp>경과이자</stp>
        <stp>45735</stp>
        <stp>2.6075</stp>
        <stp>세전수익률</stp>
        <tr r="U67" s="1"/>
      </tp>
      <tp>
        <v>98.076899999999995</v>
        <stp/>
        <stp>C</stp>
        <stp>0</stp>
        <stp>KR103501GCC0</stp>
        <stp>경과이자</stp>
        <stp>45720</stp>
        <stp>2.6075</stp>
        <stp>세전수익률</stp>
        <tr r="U82" s="1"/>
      </tp>
      <tp>
        <v>99.244500000000002</v>
        <stp/>
        <stp>C</stp>
        <stp>0</stp>
        <stp>KR103501GCC0</stp>
        <stp>경과이자</stp>
        <stp>45721</stp>
        <stp>2.6075</stp>
        <stp>세전수익률</stp>
        <tr r="U81" s="1"/>
      </tp>
      <tp>
        <v>101.5796</v>
        <stp/>
        <stp>C</stp>
        <stp>0</stp>
        <stp>KR103501GCC0</stp>
        <stp>경과이자</stp>
        <stp>45723</stp>
        <stp>2.6175</stp>
        <stp>세전수익률</stp>
        <tr r="U79" s="1"/>
      </tp>
      <tp>
        <v>105.08240000000001</v>
        <stp/>
        <stp>C</stp>
        <stp>0</stp>
        <stp>KR103501GCC0</stp>
        <stp>경과이자</stp>
        <stp>45726</stp>
        <stp>2.6025</stp>
        <stp>세전수익률</stp>
        <tr r="U76" s="1"/>
        <tr r="U77" s="1"/>
      </tp>
      <tp>
        <v>105.08240000000001</v>
        <stp/>
        <stp>C</stp>
        <stp>0</stp>
        <stp>KR103501GCC0</stp>
        <stp>경과이자</stp>
        <stp>45726</stp>
        <stp>2.6175</stp>
        <stp>세전수익률</stp>
        <tr r="U78" s="1"/>
      </tp>
      <tp>
        <v>106.25</v>
        <stp/>
        <stp>C</stp>
        <stp>0</stp>
        <stp>KR103501GCC0</stp>
        <stp>경과이자</stp>
        <stp>45727</stp>
        <stp>2.6025</stp>
        <stp>세전수익률</stp>
        <tr r="U75" s="1"/>
      </tp>
      <tp>
        <v>108.5851</v>
        <stp/>
        <stp>C</stp>
        <stp>0</stp>
        <stp>KR103501GCC0</stp>
        <stp>경과이자</stp>
        <stp>45729</stp>
        <stp>2.5975</stp>
        <stp>세전수익률</stp>
        <tr r="U7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plotArea>
      <c:layout/>
      <c:lineChart>
        <c:grouping val="standard"/>
        <c:ser>
          <c:idx val="0"/>
          <c:order val="0"/>
          <c:tx>
            <c:v>Clean 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시가평가_계산!$B$9:$B$108</c:f>
              <c:numCache>
                <c:formatCode>yyyy/mm/dd</c:formatCode>
                <c:ptCount val="100"/>
                <c:pt idx="0">
                  <c:v>45792</c:v>
                </c:pt>
                <c:pt idx="1">
                  <c:v>45791</c:v>
                </c:pt>
                <c:pt idx="2">
                  <c:v>45790</c:v>
                </c:pt>
                <c:pt idx="3">
                  <c:v>45789</c:v>
                </c:pt>
                <c:pt idx="4">
                  <c:v>45788</c:v>
                </c:pt>
                <c:pt idx="5">
                  <c:v>45787</c:v>
                </c:pt>
                <c:pt idx="6">
                  <c:v>45786</c:v>
                </c:pt>
                <c:pt idx="7">
                  <c:v>45785</c:v>
                </c:pt>
                <c:pt idx="8">
                  <c:v>45784</c:v>
                </c:pt>
                <c:pt idx="9">
                  <c:v>45783</c:v>
                </c:pt>
                <c:pt idx="10">
                  <c:v>45782</c:v>
                </c:pt>
                <c:pt idx="11">
                  <c:v>45781</c:v>
                </c:pt>
                <c:pt idx="12">
                  <c:v>45780</c:v>
                </c:pt>
                <c:pt idx="13">
                  <c:v>45779</c:v>
                </c:pt>
                <c:pt idx="14">
                  <c:v>45778</c:v>
                </c:pt>
                <c:pt idx="15">
                  <c:v>45777</c:v>
                </c:pt>
                <c:pt idx="16">
                  <c:v>45776</c:v>
                </c:pt>
                <c:pt idx="17">
                  <c:v>45775</c:v>
                </c:pt>
                <c:pt idx="18">
                  <c:v>45774</c:v>
                </c:pt>
                <c:pt idx="19">
                  <c:v>45773</c:v>
                </c:pt>
                <c:pt idx="20">
                  <c:v>45772</c:v>
                </c:pt>
                <c:pt idx="21">
                  <c:v>45771</c:v>
                </c:pt>
                <c:pt idx="22">
                  <c:v>45770</c:v>
                </c:pt>
                <c:pt idx="23">
                  <c:v>45769</c:v>
                </c:pt>
                <c:pt idx="24">
                  <c:v>45768</c:v>
                </c:pt>
                <c:pt idx="25">
                  <c:v>45767</c:v>
                </c:pt>
                <c:pt idx="26">
                  <c:v>45766</c:v>
                </c:pt>
                <c:pt idx="27">
                  <c:v>45765</c:v>
                </c:pt>
                <c:pt idx="28">
                  <c:v>45764</c:v>
                </c:pt>
                <c:pt idx="29">
                  <c:v>45763</c:v>
                </c:pt>
                <c:pt idx="30">
                  <c:v>45762</c:v>
                </c:pt>
                <c:pt idx="31">
                  <c:v>45761</c:v>
                </c:pt>
                <c:pt idx="32">
                  <c:v>45760</c:v>
                </c:pt>
                <c:pt idx="33">
                  <c:v>45759</c:v>
                </c:pt>
                <c:pt idx="34">
                  <c:v>45758</c:v>
                </c:pt>
                <c:pt idx="35">
                  <c:v>45757</c:v>
                </c:pt>
                <c:pt idx="36">
                  <c:v>45756</c:v>
                </c:pt>
                <c:pt idx="37">
                  <c:v>45755</c:v>
                </c:pt>
                <c:pt idx="38">
                  <c:v>45754</c:v>
                </c:pt>
                <c:pt idx="39">
                  <c:v>45753</c:v>
                </c:pt>
                <c:pt idx="40">
                  <c:v>45752</c:v>
                </c:pt>
                <c:pt idx="41">
                  <c:v>45751</c:v>
                </c:pt>
                <c:pt idx="42">
                  <c:v>45750</c:v>
                </c:pt>
                <c:pt idx="43">
                  <c:v>45749</c:v>
                </c:pt>
                <c:pt idx="44">
                  <c:v>45748</c:v>
                </c:pt>
                <c:pt idx="45">
                  <c:v>45747</c:v>
                </c:pt>
                <c:pt idx="46">
                  <c:v>45746</c:v>
                </c:pt>
                <c:pt idx="47">
                  <c:v>45745</c:v>
                </c:pt>
                <c:pt idx="48">
                  <c:v>45744</c:v>
                </c:pt>
                <c:pt idx="49">
                  <c:v>45743</c:v>
                </c:pt>
                <c:pt idx="50">
                  <c:v>45742</c:v>
                </c:pt>
                <c:pt idx="51">
                  <c:v>45741</c:v>
                </c:pt>
                <c:pt idx="52">
                  <c:v>45740</c:v>
                </c:pt>
                <c:pt idx="53">
                  <c:v>45739</c:v>
                </c:pt>
                <c:pt idx="54">
                  <c:v>45738</c:v>
                </c:pt>
                <c:pt idx="55">
                  <c:v>45737</c:v>
                </c:pt>
                <c:pt idx="56">
                  <c:v>45736</c:v>
                </c:pt>
                <c:pt idx="57">
                  <c:v>45735</c:v>
                </c:pt>
                <c:pt idx="58">
                  <c:v>45734</c:v>
                </c:pt>
                <c:pt idx="59">
                  <c:v>45733</c:v>
                </c:pt>
                <c:pt idx="60">
                  <c:v>45732</c:v>
                </c:pt>
                <c:pt idx="61">
                  <c:v>45731</c:v>
                </c:pt>
                <c:pt idx="62">
                  <c:v>45730</c:v>
                </c:pt>
                <c:pt idx="63">
                  <c:v>45729</c:v>
                </c:pt>
                <c:pt idx="64">
                  <c:v>45728</c:v>
                </c:pt>
                <c:pt idx="65">
                  <c:v>45727</c:v>
                </c:pt>
                <c:pt idx="66">
                  <c:v>45726</c:v>
                </c:pt>
                <c:pt idx="67">
                  <c:v>45725</c:v>
                </c:pt>
                <c:pt idx="68">
                  <c:v>45724</c:v>
                </c:pt>
                <c:pt idx="69">
                  <c:v>45723</c:v>
                </c:pt>
                <c:pt idx="70">
                  <c:v>45722</c:v>
                </c:pt>
                <c:pt idx="71">
                  <c:v>45721</c:v>
                </c:pt>
                <c:pt idx="72">
                  <c:v>45720</c:v>
                </c:pt>
                <c:pt idx="73">
                  <c:v>45719</c:v>
                </c:pt>
                <c:pt idx="74">
                  <c:v>45718</c:v>
                </c:pt>
                <c:pt idx="75">
                  <c:v>45717</c:v>
                </c:pt>
                <c:pt idx="76">
                  <c:v>45716</c:v>
                </c:pt>
                <c:pt idx="77">
                  <c:v>45715</c:v>
                </c:pt>
                <c:pt idx="78">
                  <c:v>45714</c:v>
                </c:pt>
                <c:pt idx="79">
                  <c:v>45713</c:v>
                </c:pt>
                <c:pt idx="80">
                  <c:v>45712</c:v>
                </c:pt>
                <c:pt idx="81">
                  <c:v>45711</c:v>
                </c:pt>
                <c:pt idx="82">
                  <c:v>45710</c:v>
                </c:pt>
                <c:pt idx="83">
                  <c:v>45709</c:v>
                </c:pt>
                <c:pt idx="84">
                  <c:v>45708</c:v>
                </c:pt>
                <c:pt idx="85">
                  <c:v>45707</c:v>
                </c:pt>
                <c:pt idx="86">
                  <c:v>45706</c:v>
                </c:pt>
                <c:pt idx="87">
                  <c:v>45705</c:v>
                </c:pt>
                <c:pt idx="88">
                  <c:v>45704</c:v>
                </c:pt>
                <c:pt idx="89">
                  <c:v>45703</c:v>
                </c:pt>
                <c:pt idx="90">
                  <c:v>45702</c:v>
                </c:pt>
                <c:pt idx="91">
                  <c:v>45701</c:v>
                </c:pt>
                <c:pt idx="92">
                  <c:v>45700</c:v>
                </c:pt>
                <c:pt idx="93">
                  <c:v>45699</c:v>
                </c:pt>
                <c:pt idx="94">
                  <c:v>45698</c:v>
                </c:pt>
                <c:pt idx="95">
                  <c:v>45697</c:v>
                </c:pt>
                <c:pt idx="96">
                  <c:v>45696</c:v>
                </c:pt>
                <c:pt idx="97">
                  <c:v>45695</c:v>
                </c:pt>
                <c:pt idx="98">
                  <c:v>45694</c:v>
                </c:pt>
                <c:pt idx="99">
                  <c:v>45693</c:v>
                </c:pt>
              </c:numCache>
            </c:numRef>
          </c:cat>
          <c:val>
            <c:numRef>
              <c:f>시가평가_계산!$T$9:$T$108</c:f>
              <c:numCache>
                <c:formatCode>#,##0.0000_ </c:formatCode>
                <c:ptCount val="100"/>
                <c:pt idx="0">
                  <c:v>10102.4997</c:v>
                </c:pt>
                <c:pt idx="1">
                  <c:v>10102.413699999999</c:v>
                </c:pt>
                <c:pt idx="2">
                  <c:v>10102.8959</c:v>
                </c:pt>
                <c:pt idx="3">
                  <c:v>10103.09</c:v>
                </c:pt>
                <c:pt idx="4">
                  <c:v>10103.571</c:v>
                </c:pt>
                <c:pt idx="5">
                  <c:v>10103.571</c:v>
                </c:pt>
                <c:pt idx="6">
                  <c:v>10103.571</c:v>
                </c:pt>
                <c:pt idx="7">
                  <c:v>10105.308499999999</c:v>
                </c:pt>
                <c:pt idx="8">
                  <c:v>10104.610699999999</c:v>
                </c:pt>
                <c:pt idx="9">
                  <c:v>10104.610699999999</c:v>
                </c:pt>
                <c:pt idx="10">
                  <c:v>10104.610699999999</c:v>
                </c:pt>
                <c:pt idx="11">
                  <c:v>10104.610699999999</c:v>
                </c:pt>
                <c:pt idx="12">
                  <c:v>10104.610699999999</c:v>
                </c:pt>
                <c:pt idx="13">
                  <c:v>10104.610699999999</c:v>
                </c:pt>
                <c:pt idx="14">
                  <c:v>10107.4761</c:v>
                </c:pt>
                <c:pt idx="15">
                  <c:v>10105.504199999999</c:v>
                </c:pt>
                <c:pt idx="16">
                  <c:v>10106.1361</c:v>
                </c:pt>
                <c:pt idx="17">
                  <c:v>10106.2963</c:v>
                </c:pt>
                <c:pt idx="18">
                  <c:v>10106.762699999999</c:v>
                </c:pt>
                <c:pt idx="19">
                  <c:v>10106.762699999999</c:v>
                </c:pt>
                <c:pt idx="20">
                  <c:v>10105.9908</c:v>
                </c:pt>
                <c:pt idx="21">
                  <c:v>10107.067300000001</c:v>
                </c:pt>
                <c:pt idx="22">
                  <c:v>10107.5293</c:v>
                </c:pt>
                <c:pt idx="23">
                  <c:v>10107.6757</c:v>
                </c:pt>
                <c:pt idx="24">
                  <c:v>10107.502500000001</c:v>
                </c:pt>
                <c:pt idx="25">
                  <c:v>10107.9607</c:v>
                </c:pt>
                <c:pt idx="26">
                  <c:v>10107.9607</c:v>
                </c:pt>
                <c:pt idx="27">
                  <c:v>10107.324000000001</c:v>
                </c:pt>
                <c:pt idx="28">
                  <c:v>10108.0458</c:v>
                </c:pt>
                <c:pt idx="29">
                  <c:v>10106.5563</c:v>
                </c:pt>
                <c:pt idx="30">
                  <c:v>10106.5136</c:v>
                </c:pt>
                <c:pt idx="31">
                  <c:v>10106.9565</c:v>
                </c:pt>
                <c:pt idx="32">
                  <c:v>10107.3995</c:v>
                </c:pt>
                <c:pt idx="33">
                  <c:v>10107.3995</c:v>
                </c:pt>
                <c:pt idx="34">
                  <c:v>10107.3995</c:v>
                </c:pt>
                <c:pt idx="35">
                  <c:v>10108.7291</c:v>
                </c:pt>
                <c:pt idx="36">
                  <c:v>10109.1726</c:v>
                </c:pt>
                <c:pt idx="37">
                  <c:v>10109.5059</c:v>
                </c:pt>
                <c:pt idx="38">
                  <c:v>10109.8917</c:v>
                </c:pt>
                <c:pt idx="39">
                  <c:v>10110.334699999999</c:v>
                </c:pt>
                <c:pt idx="40">
                  <c:v>10110.334699999999</c:v>
                </c:pt>
                <c:pt idx="41">
                  <c:v>10108.647999999999</c:v>
                </c:pt>
                <c:pt idx="42">
                  <c:v>10108.933000000001</c:v>
                </c:pt>
                <c:pt idx="43">
                  <c:v>10109.5368</c:v>
                </c:pt>
                <c:pt idx="44">
                  <c:v>10109.7981</c:v>
                </c:pt>
                <c:pt idx="45">
                  <c:v>10109.5399</c:v>
                </c:pt>
                <c:pt idx="46">
                  <c:v>10109.969999999999</c:v>
                </c:pt>
                <c:pt idx="47">
                  <c:v>10109.969999999999</c:v>
                </c:pt>
                <c:pt idx="48">
                  <c:v>10109.969999999999</c:v>
                </c:pt>
                <c:pt idx="49">
                  <c:v>10111.2608</c:v>
                </c:pt>
                <c:pt idx="50">
                  <c:v>10112.043600000001</c:v>
                </c:pt>
                <c:pt idx="51">
                  <c:v>10113.006100000001</c:v>
                </c:pt>
                <c:pt idx="52">
                  <c:v>10113.9728</c:v>
                </c:pt>
                <c:pt idx="53">
                  <c:v>10114.409</c:v>
                </c:pt>
                <c:pt idx="54">
                  <c:v>10114.409</c:v>
                </c:pt>
                <c:pt idx="55">
                  <c:v>10114.7655</c:v>
                </c:pt>
                <c:pt idx="56">
                  <c:v>10116.079</c:v>
                </c:pt>
                <c:pt idx="57">
                  <c:v>10116.879000000001</c:v>
                </c:pt>
                <c:pt idx="58">
                  <c:v>10117.1369</c:v>
                </c:pt>
                <c:pt idx="59">
                  <c:v>10117.5759</c:v>
                </c:pt>
                <c:pt idx="60">
                  <c:v>10118.0149</c:v>
                </c:pt>
                <c:pt idx="61">
                  <c:v>10118.0149</c:v>
                </c:pt>
                <c:pt idx="62">
                  <c:v>10118.93</c:v>
                </c:pt>
                <c:pt idx="63">
                  <c:v>10120.628199999999</c:v>
                </c:pt>
                <c:pt idx="64">
                  <c:v>10120.515100000001</c:v>
                </c:pt>
                <c:pt idx="65">
                  <c:v>10120.3981</c:v>
                </c:pt>
                <c:pt idx="66">
                  <c:v>10121.025600000001</c:v>
                </c:pt>
                <c:pt idx="67">
                  <c:v>10121.466700000001</c:v>
                </c:pt>
                <c:pt idx="68">
                  <c:v>10121.466700000001</c:v>
                </c:pt>
                <c:pt idx="69">
                  <c:v>10120.340200000001</c:v>
                </c:pt>
                <c:pt idx="70">
                  <c:v>10121.652</c:v>
                </c:pt>
                <c:pt idx="71">
                  <c:v>10123.041800000001</c:v>
                </c:pt>
                <c:pt idx="72">
                  <c:v>10123.2916</c:v>
                </c:pt>
                <c:pt idx="73">
                  <c:v>10123.732</c:v>
                </c:pt>
                <c:pt idx="74">
                  <c:v>10124.172500000001</c:v>
                </c:pt>
                <c:pt idx="75">
                  <c:v>10124.172500000001</c:v>
                </c:pt>
                <c:pt idx="76">
                  <c:v>10123.7875</c:v>
                </c:pt>
                <c:pt idx="77">
                  <c:v>10125.3001</c:v>
                </c:pt>
                <c:pt idx="78">
                  <c:v>10124.764300000001</c:v>
                </c:pt>
                <c:pt idx="79">
                  <c:v>10124.417799999999</c:v>
                </c:pt>
                <c:pt idx="80">
                  <c:v>10124.066000000001</c:v>
                </c:pt>
                <c:pt idx="81">
                  <c:v>10124.497799999999</c:v>
                </c:pt>
                <c:pt idx="82">
                  <c:v>10124.497799999999</c:v>
                </c:pt>
                <c:pt idx="83">
                  <c:v>10124.497799999999</c:v>
                </c:pt>
                <c:pt idx="84">
                  <c:v>10125.7937</c:v>
                </c:pt>
                <c:pt idx="85">
                  <c:v>10125.426299999999</c:v>
                </c:pt>
                <c:pt idx="86">
                  <c:v>10125.6554</c:v>
                </c:pt>
                <c:pt idx="87">
                  <c:v>10126.486800000001</c:v>
                </c:pt>
                <c:pt idx="88">
                  <c:v>10126.917299999999</c:v>
                </c:pt>
                <c:pt idx="89">
                  <c:v>10126.917299999999</c:v>
                </c:pt>
                <c:pt idx="90">
                  <c:v>10126.109700000001</c:v>
                </c:pt>
                <c:pt idx="91">
                  <c:v>10126.578100000001</c:v>
                </c:pt>
                <c:pt idx="92">
                  <c:v>10127.0036</c:v>
                </c:pt>
                <c:pt idx="93">
                  <c:v>10127.0188</c:v>
                </c:pt>
                <c:pt idx="94">
                  <c:v>10126.4138</c:v>
                </c:pt>
                <c:pt idx="95">
                  <c:v>10126.8349</c:v>
                </c:pt>
                <c:pt idx="96">
                  <c:v>10126.8349</c:v>
                </c:pt>
                <c:pt idx="97">
                  <c:v>10127.248</c:v>
                </c:pt>
                <c:pt idx="98">
                  <c:v>10128.516</c:v>
                </c:pt>
                <c:pt idx="99">
                  <c:v>10129.5666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C61-4D08-89AF-0D722C8C179B}"/>
            </c:ext>
          </c:extLst>
        </c:ser>
        <c:dLbls/>
        <c:marker val="1"/>
        <c:axId val="212433152"/>
        <c:axId val="215343104"/>
      </c:lineChart>
      <c:dateAx>
        <c:axId val="212433152"/>
        <c:scaling>
          <c:orientation val="minMax"/>
        </c:scaling>
        <c:axPos val="b"/>
        <c:numFmt formatCode="yyyy/mm/dd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5343104"/>
        <c:crosses val="autoZero"/>
        <c:auto val="1"/>
        <c:lblOffset val="100"/>
        <c:baseTimeUnit val="days"/>
      </c:dateAx>
      <c:valAx>
        <c:axId val="21534310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0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243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data!$V$1" fmlaRange="data!$V$2:$V$4" noThreeD="1" sel="3" val="0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CheckBox" checked="Checked" fmlaLink="data!$Y$3" lockText="1" noThreeD="1"/>
</file>

<file path=xl/ctrlProps/ctrlProp4.xml><?xml version="1.0" encoding="utf-8"?>
<formControlPr xmlns="http://schemas.microsoft.com/office/spreadsheetml/2009/9/main" objectType="CheckBox" checked="Checked" fmlaLink="data!$AB$3" lockText="1" noThreeD="1"/>
</file>

<file path=xl/ctrlProps/ctrlProp5.xml><?xml version="1.0" encoding="utf-8"?>
<formControlPr xmlns="http://schemas.microsoft.com/office/spreadsheetml/2009/9/main" objectType="CheckBox" fmlaLink="data!$AE$3" lockText="1" noThreeD="1"/>
</file>

<file path=xl/ctrlProps/ctrlProp6.xml><?xml version="1.0" encoding="utf-8"?>
<formControlPr xmlns="http://schemas.microsoft.com/office/spreadsheetml/2009/9/main" objectType="CheckBox" fmlaLink="data!$AH$3" lockText="1" noThreeD="1"/>
</file>

<file path=xl/ctrlProps/ctrlProp7.xml><?xml version="1.0" encoding="utf-8"?>
<formControlPr xmlns="http://schemas.microsoft.com/office/spreadsheetml/2009/9/main" objectType="GBox" noThreeD="1"/>
</file>

<file path=xl/ctrlProps/ctrlProp8.xml><?xml version="1.0" encoding="utf-8"?>
<formControlPr xmlns="http://schemas.microsoft.com/office/spreadsheetml/2009/9/main" objectType="Radio" checked="Checked" firstButton="1" fmlaLink="data!$A$2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checked="Checked" firstButton="1" fmlaLink="data!$W$1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Drop" dropStyle="combo" dx="22" fmlaLink="data!$AL$2" fmlaRange="data!$AL$3:$AL$4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110</xdr:row>
      <xdr:rowOff>0</xdr:rowOff>
    </xdr:from>
    <xdr:to>
      <xdr:col>21</xdr:col>
      <xdr:colOff>676275</xdr:colOff>
      <xdr:row>129</xdr:row>
      <xdr:rowOff>200025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xmlns="" id="{4A6C9F06-9351-468D-906B-96FA98AA3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1"/>
  <sheetViews>
    <sheetView showGridLines="0" showRowColHeaders="0" tabSelected="1" zoomScaleNormal="100" workbookViewId="0">
      <pane ySplit="8" topLeftCell="A9" activePane="bottomLeft" state="frozen"/>
      <selection pane="bottomLeft"/>
    </sheetView>
  </sheetViews>
  <sheetFormatPr defaultColWidth="0" defaultRowHeight="16.5" zeroHeight="1"/>
  <cols>
    <col min="1" max="1" width="1.5" customWidth="1"/>
    <col min="2" max="2" width="10.375" customWidth="1"/>
    <col min="3" max="3" width="5.125" customWidth="1"/>
    <col min="4" max="4" width="7.75" customWidth="1"/>
    <col min="5" max="5" width="8.25" customWidth="1"/>
    <col min="6" max="6" width="11.125" customWidth="1"/>
    <col min="7" max="7" width="7.5" customWidth="1"/>
    <col min="8" max="8" width="8.625" customWidth="1"/>
    <col min="9" max="9" width="7.75" customWidth="1"/>
    <col min="10" max="10" width="11.125" customWidth="1"/>
    <col min="11" max="11" width="7.75" customWidth="1"/>
    <col min="12" max="12" width="11.125" customWidth="1"/>
    <col min="13" max="13" width="7.75" customWidth="1"/>
    <col min="14" max="14" width="11.125" customWidth="1"/>
    <col min="15" max="15" width="7.75" customWidth="1"/>
    <col min="16" max="16" width="11.125" customWidth="1"/>
    <col min="17" max="17" width="10.375" customWidth="1"/>
    <col min="18" max="18" width="5.125" customWidth="1"/>
    <col min="19" max="19" width="11.125" customWidth="1"/>
    <col min="20" max="20" width="13" customWidth="1"/>
    <col min="21" max="21" width="11.25" customWidth="1"/>
    <col min="22" max="22" width="9" customWidth="1"/>
    <col min="23" max="23" width="18.375" customWidth="1"/>
    <col min="24" max="16384" width="9" hidden="1"/>
  </cols>
  <sheetData>
    <row r="1" spans="2:23" ht="5.25" customHeight="1"/>
    <row r="2" spans="2:23" ht="34.5" customHeight="1">
      <c r="B2" s="54" t="s">
        <v>72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45"/>
    </row>
    <row r="3" spans="2:23" ht="9.75" customHeight="1" thickBot="1">
      <c r="W3" s="45"/>
    </row>
    <row r="4" spans="2:23" ht="17.25" thickBot="1">
      <c r="B4" s="58" t="s">
        <v>42</v>
      </c>
      <c r="C4" s="59"/>
      <c r="D4" s="51" t="str" cm="1">
        <f t="array" ref="D4">_xll.IMDP("BND", $B$4, "한글종목명")</f>
        <v>국고04250-2512(22-13)</v>
      </c>
      <c r="E4" s="52"/>
      <c r="F4" s="52"/>
      <c r="G4" s="52"/>
      <c r="H4" s="53"/>
      <c r="W4" s="45"/>
    </row>
    <row r="5" spans="2:23" ht="17.25" thickBot="1">
      <c r="B5" s="55">
        <f ca="1">TODAY()</f>
        <v>45792</v>
      </c>
      <c r="C5" s="56"/>
      <c r="W5" s="45"/>
    </row>
    <row r="6" spans="2:23" ht="7.5" customHeight="1" thickBot="1">
      <c r="W6" s="45"/>
    </row>
    <row r="7" spans="2:23" ht="27.75" customHeight="1" thickBot="1">
      <c r="D7" s="57"/>
      <c r="E7" s="57"/>
      <c r="F7" s="57"/>
      <c r="G7" s="57"/>
      <c r="I7" s="48" t="s">
        <v>20</v>
      </c>
      <c r="J7" s="49"/>
      <c r="K7" s="48" t="s">
        <v>21</v>
      </c>
      <c r="L7" s="49"/>
      <c r="M7" s="48" t="s">
        <v>22</v>
      </c>
      <c r="N7" s="49"/>
      <c r="O7" s="48" t="s">
        <v>23</v>
      </c>
      <c r="P7" s="49"/>
      <c r="Q7" s="48" t="s">
        <v>38</v>
      </c>
      <c r="R7" s="50"/>
      <c r="S7" s="50"/>
      <c r="T7" s="50"/>
      <c r="U7" s="50"/>
      <c r="V7" s="49"/>
      <c r="W7" s="45"/>
    </row>
    <row r="8" spans="2:23" ht="21" customHeight="1" thickBot="1">
      <c r="B8" s="42" t="s">
        <v>13</v>
      </c>
      <c r="C8" s="43" t="s">
        <v>16</v>
      </c>
      <c r="D8" s="42" t="s">
        <v>17</v>
      </c>
      <c r="E8" s="44" t="s">
        <v>34</v>
      </c>
      <c r="F8" s="44" t="s">
        <v>19</v>
      </c>
      <c r="G8" s="44" t="s">
        <v>18</v>
      </c>
      <c r="H8" s="43" t="s">
        <v>35</v>
      </c>
      <c r="I8" s="42" t="s">
        <v>17</v>
      </c>
      <c r="J8" s="43" t="s">
        <v>19</v>
      </c>
      <c r="K8" s="42" t="s">
        <v>17</v>
      </c>
      <c r="L8" s="43" t="s">
        <v>19</v>
      </c>
      <c r="M8" s="42" t="s">
        <v>17</v>
      </c>
      <c r="N8" s="43" t="s">
        <v>19</v>
      </c>
      <c r="O8" s="42" t="s">
        <v>17</v>
      </c>
      <c r="P8" s="43" t="s">
        <v>19</v>
      </c>
      <c r="Q8" s="42" t="s">
        <v>39</v>
      </c>
      <c r="R8" s="44" t="s">
        <v>16</v>
      </c>
      <c r="S8" s="44" t="s">
        <v>70</v>
      </c>
      <c r="T8" s="44" t="s">
        <v>71</v>
      </c>
      <c r="U8" s="44" t="s">
        <v>40</v>
      </c>
      <c r="V8" s="43" t="s">
        <v>41</v>
      </c>
      <c r="W8" s="46"/>
    </row>
    <row r="9" spans="2:23" s="6" customFormat="1" ht="13.5">
      <c r="B9" s="15">
        <f>IF(data!A5="", "", data!A5)</f>
        <v>45792</v>
      </c>
      <c r="C9" s="33" t="str">
        <f>IF( $B9="", "", INDEX( data!$U$2:$U$8, WEEKDAY($B9) ) )</f>
        <v>목</v>
      </c>
      <c r="D9" s="36">
        <f>IF( $B9="", "", CHOOSE(data!$V$1, data!B5, data!E5, data!V5) )</f>
        <v>2.42</v>
      </c>
      <c r="E9" s="17">
        <f>IF($B10="", "", (D9-D10)*100)</f>
        <v>-1.0000000000000231</v>
      </c>
      <c r="F9" s="18">
        <f>IF( $B9="", "", CHOOSE(data!$V$1, data!C5, data!F5, data!W5) )</f>
        <v>10285.120000000001</v>
      </c>
      <c r="G9" s="18">
        <f>IF($B10="", "", (F9-F10) )</f>
        <v>1.25</v>
      </c>
      <c r="H9" s="20">
        <f>IF( $B9="", "", CHOOSE(data!$V$1, data!D5, data!G5, data!X5) )</f>
        <v>0.55630000000000002</v>
      </c>
      <c r="I9" s="36">
        <f>IF(data!H5="", "", data!H5)</f>
        <v>2.42</v>
      </c>
      <c r="J9" s="39">
        <f>IF(data!I5="", "", data!I5)</f>
        <v>10285.120000000001</v>
      </c>
      <c r="K9" s="36">
        <f>IF(data!J5="", "", data!J5)</f>
        <v>2.42</v>
      </c>
      <c r="L9" s="39">
        <f>IF(data!K5="", "", data!K5)</f>
        <v>10285.120000000001</v>
      </c>
      <c r="M9" s="36">
        <f>IF(data!L5="", "", data!L5)</f>
        <v>2.42</v>
      </c>
      <c r="N9" s="39">
        <f>IF(data!M5="", "", data!M5)</f>
        <v>10285.120000000001</v>
      </c>
      <c r="O9" s="36">
        <f>IF(data!N5="", "", data!N5)</f>
        <v>2.42</v>
      </c>
      <c r="P9" s="39">
        <f>IF(data!O5="", "", data!O5)</f>
        <v>10285.120000000001</v>
      </c>
      <c r="Q9" s="15">
        <f>WORKDAY($B9, data!$AL$1, data!AM5:$AM$2041)</f>
        <v>45793</v>
      </c>
      <c r="R9" s="16" t="str">
        <f>IF( $Q9="", "", INDEX( data!$U$2:$U$8, WEEKDAY($Q9) ) )</f>
        <v>금</v>
      </c>
      <c r="S9" s="18">
        <f>_xll.IMBC($B$4, S$8, $Q9, $D9, "세전수익률")</f>
        <v>10285.81</v>
      </c>
      <c r="T9" s="19">
        <f>_xll.IMBC($B$4, T$8, $Q9, $D9, "세전수익률")</f>
        <v>10102.4997</v>
      </c>
      <c r="U9" s="19">
        <f>_xll.IMBC($B$4, U$8, $Q9, $D9, "세전수익률")</f>
        <v>183.31039999999999</v>
      </c>
      <c r="V9" s="20">
        <f>_xll.IMBC($B$4, V$8, $Q9, $D9, "세전수익률")</f>
        <v>0.5675</v>
      </c>
      <c r="W9" s="47"/>
    </row>
    <row r="10" spans="2:23" s="6" customFormat="1" ht="13.5">
      <c r="B10" s="21">
        <f>IF(data!A6="", "", data!A6)</f>
        <v>45791</v>
      </c>
      <c r="C10" s="34" t="str">
        <f>IF( $B10="", "", INDEX( data!$U$2:$U$8, WEEKDAY($B10) ) )</f>
        <v>수</v>
      </c>
      <c r="D10" s="37">
        <f>IF( $B10="", "", CHOOSE(data!$V$1, data!B6, data!E6, data!V6) )</f>
        <v>2.4300000000000002</v>
      </c>
      <c r="E10" s="23">
        <f t="shared" ref="E10:E73" si="0">IF($B11="", "", (D10-D11)*100)</f>
        <v>0</v>
      </c>
      <c r="F10" s="24">
        <f>IF( $B10="", "", CHOOSE(data!$V$1, data!C6, data!F6, data!W6) )</f>
        <v>10283.870000000001</v>
      </c>
      <c r="G10" s="24">
        <f t="shared" ref="G10:G73" si="1">IF($B11="", "", (F10-F11) )</f>
        <v>0.69000000000050932</v>
      </c>
      <c r="H10" s="26">
        <f>IF( $B10="", "", CHOOSE(data!$V$1, data!D6, data!G6, data!X6) )</f>
        <v>0.55899999999999994</v>
      </c>
      <c r="I10" s="37">
        <f>IF(data!H6="", "", data!H6)</f>
        <v>2.4300000000000002</v>
      </c>
      <c r="J10" s="40">
        <f>IF(data!I6="", "", data!I6)</f>
        <v>10283.870000000001</v>
      </c>
      <c r="K10" s="37">
        <f>IF(data!J6="", "", data!J6)</f>
        <v>2.4300000000000002</v>
      </c>
      <c r="L10" s="40">
        <f>IF(data!K6="", "", data!K6)</f>
        <v>10283.870000000001</v>
      </c>
      <c r="M10" s="37">
        <f>IF(data!L6="", "", data!L6)</f>
        <v>2.4249999999999998</v>
      </c>
      <c r="N10" s="40">
        <f>IF(data!M6="", "", data!M6)</f>
        <v>10284.15</v>
      </c>
      <c r="O10" s="37">
        <f>IF(data!N6="", "", data!N6)</f>
        <v>2.4300000000000002</v>
      </c>
      <c r="P10" s="40">
        <f>IF(data!O6="", "", data!O6)</f>
        <v>10283.870000000001</v>
      </c>
      <c r="Q10" s="21">
        <f>WORKDAY($B10, data!$AL$1, data!AM6:$AM$2041)</f>
        <v>45792</v>
      </c>
      <c r="R10" s="22" t="str">
        <f>IF( $Q10="", "", INDEX( data!$U$2:$U$8, WEEKDAY($Q10) ) )</f>
        <v>목</v>
      </c>
      <c r="S10" s="24">
        <f>_xll.IMBC($B$4, S$8, $Q10, $D10, "세전수익률")</f>
        <v>10284.549999999999</v>
      </c>
      <c r="T10" s="25">
        <f>_xll.IMBC($B$4, T$8, $Q10, $D10, "세전수익률")</f>
        <v>10102.413699999999</v>
      </c>
      <c r="U10" s="25">
        <f>_xll.IMBC($B$4, U$8, $Q10, $D10, "세전수익률")</f>
        <v>182.14279999999999</v>
      </c>
      <c r="V10" s="26">
        <f>_xll.IMBC($B$4, V$8, $Q10, $D10, "세전수익률")</f>
        <v>0.57020000000000004</v>
      </c>
      <c r="W10" s="47"/>
    </row>
    <row r="11" spans="2:23" s="6" customFormat="1" ht="13.5">
      <c r="B11" s="21">
        <f>IF(data!A7="", "", data!A7)</f>
        <v>45790</v>
      </c>
      <c r="C11" s="34" t="str">
        <f>IF( $B11="", "", INDEX( data!$U$2:$U$8, WEEKDAY($B11) ) )</f>
        <v>화</v>
      </c>
      <c r="D11" s="37">
        <f>IF( $B11="", "", CHOOSE(data!$V$1, data!B7, data!E7, data!V7) )</f>
        <v>2.4300000000000002</v>
      </c>
      <c r="E11" s="23">
        <f t="shared" si="0"/>
        <v>-0.49999999999998934</v>
      </c>
      <c r="F11" s="24">
        <f>IF( $B11="", "", CHOOSE(data!$V$1, data!C7, data!F7, data!W7) )</f>
        <v>10283.18</v>
      </c>
      <c r="G11" s="24">
        <f t="shared" si="1"/>
        <v>0.97000000000116415</v>
      </c>
      <c r="H11" s="26">
        <f>IF( $B11="", "", CHOOSE(data!$V$1, data!D7, data!G7, data!X7) )</f>
        <v>0.56169999999999998</v>
      </c>
      <c r="I11" s="37">
        <f>IF(data!H7="", "", data!H7)</f>
        <v>2.4300000000000002</v>
      </c>
      <c r="J11" s="40">
        <f>IF(data!I7="", "", data!I7)</f>
        <v>10283.18</v>
      </c>
      <c r="K11" s="37">
        <f>IF(data!J7="", "", data!J7)</f>
        <v>2.4300000000000002</v>
      </c>
      <c r="L11" s="40">
        <f>IF(data!K7="", "", data!K7)</f>
        <v>10283.18</v>
      </c>
      <c r="M11" s="37">
        <f>IF(data!L7="", "", data!L7)</f>
        <v>2.42</v>
      </c>
      <c r="N11" s="40">
        <f>IF(data!M7="", "", data!M7)</f>
        <v>10283.76</v>
      </c>
      <c r="O11" s="37">
        <f>IF(data!N7="", "", data!N7)</f>
        <v>2.4300000000000002</v>
      </c>
      <c r="P11" s="40">
        <f>IF(data!O7="", "", data!O7)</f>
        <v>10283.18</v>
      </c>
      <c r="Q11" s="21">
        <f>WORKDAY($B11, data!$AL$1, data!AM7:$AM$2041)</f>
        <v>45791</v>
      </c>
      <c r="R11" s="22" t="str">
        <f>IF( $Q11="", "", INDEX( data!$U$2:$U$8, WEEKDAY($Q11) ) )</f>
        <v>수</v>
      </c>
      <c r="S11" s="24">
        <f>_xll.IMBC($B$4, S$8, $Q11, $D11, "세전수익률")</f>
        <v>10283.870000000001</v>
      </c>
      <c r="T11" s="25">
        <f>_xll.IMBC($B$4, T$8, $Q11, $D11, "세전수익률")</f>
        <v>10102.8959</v>
      </c>
      <c r="U11" s="25">
        <f>_xll.IMBC($B$4, U$8, $Q11, $D11, "세전수익률")</f>
        <v>180.9752</v>
      </c>
      <c r="V11" s="26">
        <f>_xll.IMBC($B$4, V$8, $Q11, $D11, "세전수익률")</f>
        <v>0.57289999999999996</v>
      </c>
      <c r="W11" s="47"/>
    </row>
    <row r="12" spans="2:23" s="6" customFormat="1" ht="13.5">
      <c r="B12" s="21">
        <f>IF(data!A8="", "", data!A8)</f>
        <v>45789</v>
      </c>
      <c r="C12" s="34" t="str">
        <f>IF( $B12="", "", INDEX( data!$U$2:$U$8, WEEKDAY($B12) ) )</f>
        <v>월</v>
      </c>
      <c r="D12" s="37">
        <f>IF( $B12="", "", CHOOSE(data!$V$1, data!B8, data!E8, data!V8) )</f>
        <v>2.4350000000000001</v>
      </c>
      <c r="E12" s="23">
        <f t="shared" si="0"/>
        <v>0</v>
      </c>
      <c r="F12" s="24">
        <f>IF( $B12="", "", CHOOSE(data!$V$1, data!C8, data!F8, data!W8) )</f>
        <v>10282.209999999999</v>
      </c>
      <c r="G12" s="24">
        <f t="shared" si="1"/>
        <v>0.68999999999869033</v>
      </c>
      <c r="H12" s="26">
        <f>IF( $B12="", "", CHOOSE(data!$V$1, data!D8, data!G8, data!X8) )</f>
        <v>0.56715000000000004</v>
      </c>
      <c r="I12" s="37">
        <f>IF(data!H8="", "", data!H8)</f>
        <v>2.4350000000000001</v>
      </c>
      <c r="J12" s="40">
        <f>IF(data!I8="", "", data!I8)</f>
        <v>10282.209999999999</v>
      </c>
      <c r="K12" s="37">
        <f>IF(data!J8="", "", data!J8)</f>
        <v>2.4350000000000001</v>
      </c>
      <c r="L12" s="40">
        <f>IF(data!K8="", "", data!K8)</f>
        <v>10282.209999999999</v>
      </c>
      <c r="M12" s="37">
        <f>IF(data!L8="", "", data!L8)</f>
        <v>2.4249999999999998</v>
      </c>
      <c r="N12" s="40">
        <f>IF(data!M8="", "", data!M8)</f>
        <v>10282.790000000001</v>
      </c>
      <c r="O12" s="37">
        <f>IF(data!N8="", "", data!N8)</f>
        <v>2.4350000000000001</v>
      </c>
      <c r="P12" s="40">
        <f>IF(data!O8="", "", data!O8)</f>
        <v>10282.209999999999</v>
      </c>
      <c r="Q12" s="21">
        <f>WORKDAY($B12, data!$AL$1, data!AM8:$AM$2041)</f>
        <v>45790</v>
      </c>
      <c r="R12" s="22" t="str">
        <f>IF( $Q12="", "", INDEX( data!$U$2:$U$8, WEEKDAY($Q12) ) )</f>
        <v>화</v>
      </c>
      <c r="S12" s="24">
        <f>_xll.IMBC($B$4, S$8, $Q12, $D12, "세전수익률")</f>
        <v>10282.89</v>
      </c>
      <c r="T12" s="25">
        <f>_xll.IMBC($B$4, T$8, $Q12, $D12, "세전수익률")</f>
        <v>10103.09</v>
      </c>
      <c r="U12" s="25">
        <f>_xll.IMBC($B$4, U$8, $Q12, $D12, "세전수익률")</f>
        <v>179.80760000000001</v>
      </c>
      <c r="V12" s="26">
        <f>_xll.IMBC($B$4, V$8, $Q12, $D12, "세전수익률")</f>
        <v>0.5756</v>
      </c>
      <c r="W12" s="47"/>
    </row>
    <row r="13" spans="2:23" s="6" customFormat="1" ht="13.5">
      <c r="B13" s="21">
        <f>IF(data!A9="", "", data!A9)</f>
        <v>45788</v>
      </c>
      <c r="C13" s="34" t="str">
        <f>IF( $B13="", "", INDEX( data!$U$2:$U$8, WEEKDAY($B13) ) )</f>
        <v>일</v>
      </c>
      <c r="D13" s="37">
        <f>IF( $B13="", "", CHOOSE(data!$V$1, data!B9, data!E9, data!V9) )</f>
        <v>2.4350000000000001</v>
      </c>
      <c r="E13" s="23">
        <f t="shared" si="0"/>
        <v>0</v>
      </c>
      <c r="F13" s="24">
        <f>IF( $B13="", "", CHOOSE(data!$V$1, data!C9, data!F9, data!W9) )</f>
        <v>10281.52</v>
      </c>
      <c r="G13" s="24">
        <f t="shared" si="1"/>
        <v>0.69000000000050932</v>
      </c>
      <c r="H13" s="26">
        <f>IF( $B13="", "", CHOOSE(data!$V$1, data!D9, data!G9, data!X9) )</f>
        <v>0.56850000000000001</v>
      </c>
      <c r="I13" s="37">
        <f>IF(data!H9="", "", data!H9)</f>
        <v>2.4350000000000001</v>
      </c>
      <c r="J13" s="40">
        <f>IF(data!I9="", "", data!I9)</f>
        <v>10281.52</v>
      </c>
      <c r="K13" s="37">
        <f>IF(data!J9="", "", data!J9)</f>
        <v>2.4350000000000001</v>
      </c>
      <c r="L13" s="40">
        <f>IF(data!K9="", "", data!K9)</f>
        <v>10281.52</v>
      </c>
      <c r="M13" s="37">
        <f>IF(data!L9="", "", data!L9)</f>
        <v>2.4249999999999998</v>
      </c>
      <c r="N13" s="40">
        <f>IF(data!M9="", "", data!M9)</f>
        <v>10282.1</v>
      </c>
      <c r="O13" s="37">
        <f>IF(data!N9="", "", data!N9)</f>
        <v>2.4350000000000001</v>
      </c>
      <c r="P13" s="40">
        <f>IF(data!O9="", "", data!O9)</f>
        <v>10281.52</v>
      </c>
      <c r="Q13" s="21">
        <f>WORKDAY($B13, data!$AL$1, data!AM9:$AM$2041)</f>
        <v>45789</v>
      </c>
      <c r="R13" s="22" t="str">
        <f>IF( $Q13="", "", INDEX( data!$U$2:$U$8, WEEKDAY($Q13) ) )</f>
        <v>월</v>
      </c>
      <c r="S13" s="24">
        <f>_xll.IMBC($B$4, S$8, $Q13, $D13, "세전수익률")</f>
        <v>10282.209999999999</v>
      </c>
      <c r="T13" s="25">
        <f>_xll.IMBC($B$4, T$8, $Q13, $D13, "세전수익률")</f>
        <v>10103.571</v>
      </c>
      <c r="U13" s="25">
        <f>_xll.IMBC($B$4, U$8, $Q13, $D13, "세전수익률")</f>
        <v>178.64009999999999</v>
      </c>
      <c r="V13" s="26">
        <f>_xll.IMBC($B$4, V$8, $Q13, $D13, "세전수익률")</f>
        <v>0.57840000000000003</v>
      </c>
      <c r="W13" s="47"/>
    </row>
    <row r="14" spans="2:23" s="6" customFormat="1" ht="13.5">
      <c r="B14" s="21">
        <f>IF(data!A10="", "", data!A10)</f>
        <v>45787</v>
      </c>
      <c r="C14" s="34" t="str">
        <f>IF( $B14="", "", INDEX( data!$U$2:$U$8, WEEKDAY($B14) ) )</f>
        <v>토</v>
      </c>
      <c r="D14" s="37">
        <f>IF( $B14="", "", CHOOSE(data!$V$1, data!B10, data!E10, data!V10) )</f>
        <v>2.4350000000000001</v>
      </c>
      <c r="E14" s="23">
        <f t="shared" si="0"/>
        <v>0</v>
      </c>
      <c r="F14" s="24">
        <f>IF( $B14="", "", CHOOSE(data!$V$1, data!C10, data!F10, data!W10) )</f>
        <v>10280.83</v>
      </c>
      <c r="G14" s="24">
        <f t="shared" si="1"/>
        <v>0.68000000000029104</v>
      </c>
      <c r="H14" s="26">
        <f>IF( $B14="", "", CHOOSE(data!$V$1, data!D10, data!G10, data!X10) )</f>
        <v>0.56984999999999997</v>
      </c>
      <c r="I14" s="37">
        <f>IF(data!H10="", "", data!H10)</f>
        <v>2.4350000000000001</v>
      </c>
      <c r="J14" s="40">
        <f>IF(data!I10="", "", data!I10)</f>
        <v>10280.83</v>
      </c>
      <c r="K14" s="37">
        <f>IF(data!J10="", "", data!J10)</f>
        <v>2.4350000000000001</v>
      </c>
      <c r="L14" s="40">
        <f>IF(data!K10="", "", data!K10)</f>
        <v>10280.83</v>
      </c>
      <c r="M14" s="37">
        <f>IF(data!L10="", "", data!L10)</f>
        <v>2.4249999999999998</v>
      </c>
      <c r="N14" s="40">
        <f>IF(data!M10="", "", data!M10)</f>
        <v>10281.42</v>
      </c>
      <c r="O14" s="37">
        <f>IF(data!N10="", "", data!N10)</f>
        <v>2.4350000000000001</v>
      </c>
      <c r="P14" s="40">
        <f>IF(data!O10="", "", data!O10)</f>
        <v>10280.83</v>
      </c>
      <c r="Q14" s="21">
        <f>WORKDAY($B14, data!$AL$1, data!AM10:$AM$2041)</f>
        <v>45789</v>
      </c>
      <c r="R14" s="22" t="str">
        <f>IF( $Q14="", "", INDEX( data!$U$2:$U$8, WEEKDAY($Q14) ) )</f>
        <v>월</v>
      </c>
      <c r="S14" s="24">
        <f>_xll.IMBC($B$4, S$8, $Q14, $D14, "세전수익률")</f>
        <v>10282.209999999999</v>
      </c>
      <c r="T14" s="25">
        <f>_xll.IMBC($B$4, T$8, $Q14, $D14, "세전수익률")</f>
        <v>10103.571</v>
      </c>
      <c r="U14" s="25">
        <f>_xll.IMBC($B$4, U$8, $Q14, $D14, "세전수익률")</f>
        <v>178.64009999999999</v>
      </c>
      <c r="V14" s="26">
        <f>_xll.IMBC($B$4, V$8, $Q14, $D14, "세전수익률")</f>
        <v>0.57840000000000003</v>
      </c>
      <c r="W14" s="47"/>
    </row>
    <row r="15" spans="2:23" s="6" customFormat="1" ht="13.5">
      <c r="B15" s="21">
        <f>IF(data!A11="", "", data!A11)</f>
        <v>45786</v>
      </c>
      <c r="C15" s="34" t="str">
        <f>IF( $B15="", "", INDEX( data!$U$2:$U$8, WEEKDAY($B15) ) )</f>
        <v>금</v>
      </c>
      <c r="D15" s="37">
        <f>IF( $B15="", "", CHOOSE(data!$V$1, data!B11, data!E11, data!V11) )</f>
        <v>2.4350000000000001</v>
      </c>
      <c r="E15" s="23">
        <f t="shared" si="0"/>
        <v>0.49999999999998934</v>
      </c>
      <c r="F15" s="24">
        <f>IF( $B15="", "", CHOOSE(data!$V$1, data!C11, data!F11, data!W11) )</f>
        <v>10280.15</v>
      </c>
      <c r="G15" s="24">
        <f t="shared" si="1"/>
        <v>0.38999999999941792</v>
      </c>
      <c r="H15" s="26">
        <f>IF( $B15="", "", CHOOSE(data!$V$1, data!D11, data!G11, data!X11) )</f>
        <v>0.57255</v>
      </c>
      <c r="I15" s="37">
        <f>IF(data!H11="", "", data!H11)</f>
        <v>2.4350000000000001</v>
      </c>
      <c r="J15" s="40">
        <f>IF(data!I11="", "", data!I11)</f>
        <v>10280.15</v>
      </c>
      <c r="K15" s="37">
        <f>IF(data!J11="", "", data!J11)</f>
        <v>2.4350000000000001</v>
      </c>
      <c r="L15" s="40">
        <f>IF(data!K11="", "", data!K11)</f>
        <v>10280.15</v>
      </c>
      <c r="M15" s="37">
        <f>IF(data!L11="", "", data!L11)</f>
        <v>2.4350000000000001</v>
      </c>
      <c r="N15" s="40">
        <f>IF(data!M11="", "", data!M11)</f>
        <v>10280.15</v>
      </c>
      <c r="O15" s="37">
        <f>IF(data!N11="", "", data!N11)</f>
        <v>2.4350000000000001</v>
      </c>
      <c r="P15" s="40">
        <f>IF(data!O11="", "", data!O11)</f>
        <v>10280.15</v>
      </c>
      <c r="Q15" s="21">
        <f>WORKDAY($B15, data!$AL$1, data!AM11:$AM$2041)</f>
        <v>45789</v>
      </c>
      <c r="R15" s="22" t="str">
        <f>IF( $Q15="", "", INDEX( data!$U$2:$U$8, WEEKDAY($Q15) ) )</f>
        <v>월</v>
      </c>
      <c r="S15" s="24">
        <f>_xll.IMBC($B$4, S$8, $Q15, $D15, "세전수익률")</f>
        <v>10282.209999999999</v>
      </c>
      <c r="T15" s="25">
        <f>_xll.IMBC($B$4, T$8, $Q15, $D15, "세전수익률")</f>
        <v>10103.571</v>
      </c>
      <c r="U15" s="25">
        <f>_xll.IMBC($B$4, U$8, $Q15, $D15, "세전수익률")</f>
        <v>178.64009999999999</v>
      </c>
      <c r="V15" s="26">
        <f>_xll.IMBC($B$4, V$8, $Q15, $D15, "세전수익률")</f>
        <v>0.57840000000000003</v>
      </c>
      <c r="W15" s="47"/>
    </row>
    <row r="16" spans="2:23" s="6" customFormat="1" ht="13.5">
      <c r="B16" s="21">
        <f>IF(data!A12="", "", data!A12)</f>
        <v>45785</v>
      </c>
      <c r="C16" s="34" t="str">
        <f>IF( $B16="", "", INDEX( data!$U$2:$U$8, WEEKDAY($B16) ) )</f>
        <v>목</v>
      </c>
      <c r="D16" s="37">
        <f>IF( $B16="", "", CHOOSE(data!$V$1, data!B12, data!E12, data!V12) )</f>
        <v>2.4300000000000002</v>
      </c>
      <c r="E16" s="23">
        <f t="shared" si="0"/>
        <v>-2.0000000000000018</v>
      </c>
      <c r="F16" s="24">
        <f>IF( $B16="", "", CHOOSE(data!$V$1, data!C12, data!F12, data!W12) )</f>
        <v>10279.76</v>
      </c>
      <c r="G16" s="24">
        <f t="shared" si="1"/>
        <v>1.8700000000008004</v>
      </c>
      <c r="H16" s="26">
        <f>IF( $B16="", "", CHOOSE(data!$V$1, data!D12, data!G12, data!X12) )</f>
        <v>0.57529999999999992</v>
      </c>
      <c r="I16" s="37">
        <f>IF(data!H12="", "", data!H12)</f>
        <v>2.4300000000000002</v>
      </c>
      <c r="J16" s="40">
        <f>IF(data!I12="", "", data!I12)</f>
        <v>10279.76</v>
      </c>
      <c r="K16" s="37">
        <f>IF(data!J12="", "", data!J12)</f>
        <v>2.4300000000000002</v>
      </c>
      <c r="L16" s="40">
        <f>IF(data!K12="", "", data!K12)</f>
        <v>10279.76</v>
      </c>
      <c r="M16" s="37">
        <f>IF(data!L12="", "", data!L12)</f>
        <v>2.42</v>
      </c>
      <c r="N16" s="40">
        <f>IF(data!M12="", "", data!M12)</f>
        <v>10280.35</v>
      </c>
      <c r="O16" s="37">
        <f>IF(data!N12="", "", data!N12)</f>
        <v>2.4300000000000002</v>
      </c>
      <c r="P16" s="40">
        <f>IF(data!O12="", "", data!O12)</f>
        <v>10279.76</v>
      </c>
      <c r="Q16" s="21">
        <f>WORKDAY($B16, data!$AL$1, data!AM12:$AM$2041)</f>
        <v>45786</v>
      </c>
      <c r="R16" s="22" t="str">
        <f>IF( $Q16="", "", INDEX( data!$U$2:$U$8, WEEKDAY($Q16) ) )</f>
        <v>금</v>
      </c>
      <c r="S16" s="24">
        <f>_xll.IMBC($B$4, S$8, $Q16, $D16, "세전수익률")</f>
        <v>10280.44</v>
      </c>
      <c r="T16" s="25">
        <f>_xll.IMBC($B$4, T$8, $Q16, $D16, "세전수익률")</f>
        <v>10105.308499999999</v>
      </c>
      <c r="U16" s="25">
        <f>_xll.IMBC($B$4, U$8, $Q16, $D16, "세전수익률")</f>
        <v>175.13730000000001</v>
      </c>
      <c r="V16" s="26">
        <f>_xll.IMBC($B$4, V$8, $Q16, $D16, "세전수익률")</f>
        <v>0.5867</v>
      </c>
      <c r="W16" s="47"/>
    </row>
    <row r="17" spans="2:23" s="6" customFormat="1" ht="13.5">
      <c r="B17" s="21">
        <f>IF(data!A13="", "", data!A13)</f>
        <v>45784</v>
      </c>
      <c r="C17" s="34" t="str">
        <f>IF( $B17="", "", INDEX( data!$U$2:$U$8, WEEKDAY($B17) ) )</f>
        <v>수</v>
      </c>
      <c r="D17" s="37">
        <f>IF( $B17="", "", CHOOSE(data!$V$1, data!B13, data!E13, data!V13) )</f>
        <v>2.4500000000000002</v>
      </c>
      <c r="E17" s="23">
        <f t="shared" si="0"/>
        <v>0</v>
      </c>
      <c r="F17" s="24">
        <f>IF( $B17="", "", CHOOSE(data!$V$1, data!C13, data!F13, data!W13) )</f>
        <v>10277.89</v>
      </c>
      <c r="G17" s="24">
        <f t="shared" si="1"/>
        <v>0.68999999999869033</v>
      </c>
      <c r="H17" s="26">
        <f>IF( $B17="", "", CHOOSE(data!$V$1, data!D13, data!G13, data!X13) )</f>
        <v>0.58335000000000004</v>
      </c>
      <c r="I17" s="37">
        <f>IF(data!H13="", "", data!H13)</f>
        <v>2.4500000000000002</v>
      </c>
      <c r="J17" s="40">
        <f>IF(data!I13="", "", data!I13)</f>
        <v>10277.89</v>
      </c>
      <c r="K17" s="37">
        <f>IF(data!J13="", "", data!J13)</f>
        <v>2.4500000000000002</v>
      </c>
      <c r="L17" s="40">
        <f>IF(data!K13="", "", data!K13)</f>
        <v>10277.89</v>
      </c>
      <c r="M17" s="37">
        <f>IF(data!L13="", "", data!L13)</f>
        <v>2.4249999999999998</v>
      </c>
      <c r="N17" s="40">
        <f>IF(data!M13="", "", data!M13)</f>
        <v>10279.370000000001</v>
      </c>
      <c r="O17" s="37">
        <f>IF(data!N13="", "", data!N13)</f>
        <v>2.4500000000000002</v>
      </c>
      <c r="P17" s="40">
        <f>IF(data!O13="", "", data!O13)</f>
        <v>10277.89</v>
      </c>
      <c r="Q17" s="21">
        <f>WORKDAY($B17, data!$AL$1, data!AM13:$AM$2041)</f>
        <v>45785</v>
      </c>
      <c r="R17" s="22" t="str">
        <f>IF( $Q17="", "", INDEX( data!$U$2:$U$8, WEEKDAY($Q17) ) )</f>
        <v>목</v>
      </c>
      <c r="S17" s="24">
        <f>_xll.IMBC($B$4, S$8, $Q17, $D17, "세전수익률")</f>
        <v>10278.58</v>
      </c>
      <c r="T17" s="25">
        <f>_xll.IMBC($B$4, T$8, $Q17, $D17, "세전수익률")</f>
        <v>10104.610699999999</v>
      </c>
      <c r="U17" s="25">
        <f>_xll.IMBC($B$4, U$8, $Q17, $D17, "세전수익률")</f>
        <v>173.96969999999999</v>
      </c>
      <c r="V17" s="26">
        <f>_xll.IMBC($B$4, V$8, $Q17, $D17, "세전수익률")</f>
        <v>0.58930000000000005</v>
      </c>
      <c r="W17" s="47"/>
    </row>
    <row r="18" spans="2:23" s="6" customFormat="1" ht="13.5">
      <c r="B18" s="21">
        <f>IF(data!A14="", "", data!A14)</f>
        <v>45783</v>
      </c>
      <c r="C18" s="34" t="str">
        <f>IF( $B18="", "", INDEX( data!$U$2:$U$8, WEEKDAY($B18) ) )</f>
        <v>화</v>
      </c>
      <c r="D18" s="37">
        <f>IF( $B18="", "", CHOOSE(data!$V$1, data!B14, data!E14, data!V14) )</f>
        <v>2.4500000000000002</v>
      </c>
      <c r="E18" s="23">
        <f t="shared" si="0"/>
        <v>0</v>
      </c>
      <c r="F18" s="24">
        <f>IF( $B18="", "", CHOOSE(data!$V$1, data!C14, data!F14, data!W14) )</f>
        <v>10277.200000000001</v>
      </c>
      <c r="G18" s="24">
        <f t="shared" si="1"/>
        <v>0.69000000000050932</v>
      </c>
      <c r="H18" s="26">
        <f>IF( $B18="", "", CHOOSE(data!$V$1, data!D14, data!G14, data!X14) )</f>
        <v>0.5847</v>
      </c>
      <c r="I18" s="37">
        <f>IF(data!H14="", "", data!H14)</f>
        <v>2.4500000000000002</v>
      </c>
      <c r="J18" s="40">
        <f>IF(data!I14="", "", data!I14)</f>
        <v>10277.200000000001</v>
      </c>
      <c r="K18" s="37">
        <f>IF(data!J14="", "", data!J14)</f>
        <v>2.4500000000000002</v>
      </c>
      <c r="L18" s="40">
        <f>IF(data!K14="", "", data!K14)</f>
        <v>10277.200000000001</v>
      </c>
      <c r="M18" s="37">
        <f>IF(data!L14="", "", data!L14)</f>
        <v>2.4249999999999998</v>
      </c>
      <c r="N18" s="40">
        <f>IF(data!M14="", "", data!M14)</f>
        <v>10278.68</v>
      </c>
      <c r="O18" s="37">
        <f>IF(data!N14="", "", data!N14)</f>
        <v>2.4500000000000002</v>
      </c>
      <c r="P18" s="40">
        <f>IF(data!O14="", "", data!O14)</f>
        <v>10277.200000000001</v>
      </c>
      <c r="Q18" s="21">
        <f>WORKDAY($B18, data!$AL$1, data!AM14:$AM$2041)</f>
        <v>45785</v>
      </c>
      <c r="R18" s="22" t="str">
        <f>IF( $Q18="", "", INDEX( data!$U$2:$U$8, WEEKDAY($Q18) ) )</f>
        <v>목</v>
      </c>
      <c r="S18" s="24">
        <f>_xll.IMBC($B$4, S$8, $Q18, $D18, "세전수익률")</f>
        <v>10278.58</v>
      </c>
      <c r="T18" s="25">
        <f>_xll.IMBC($B$4, T$8, $Q18, $D18, "세전수익률")</f>
        <v>10104.610699999999</v>
      </c>
      <c r="U18" s="25">
        <f>_xll.IMBC($B$4, U$8, $Q18, $D18, "세전수익률")</f>
        <v>173.96969999999999</v>
      </c>
      <c r="V18" s="26">
        <f>_xll.IMBC($B$4, V$8, $Q18, $D18, "세전수익률")</f>
        <v>0.58930000000000005</v>
      </c>
      <c r="W18" s="47"/>
    </row>
    <row r="19" spans="2:23" s="6" customFormat="1" ht="13.5">
      <c r="B19" s="21">
        <f>IF(data!A15="", "", data!A15)</f>
        <v>45782</v>
      </c>
      <c r="C19" s="34" t="str">
        <f>IF( $B19="", "", INDEX( data!$U$2:$U$8, WEEKDAY($B19) ) )</f>
        <v>월</v>
      </c>
      <c r="D19" s="37">
        <f>IF( $B19="", "", CHOOSE(data!$V$1, data!B15, data!E15, data!V15) )</f>
        <v>2.4500000000000002</v>
      </c>
      <c r="E19" s="23">
        <f t="shared" si="0"/>
        <v>0</v>
      </c>
      <c r="F19" s="24">
        <f>IF( $B19="", "", CHOOSE(data!$V$1, data!C15, data!F15, data!W15) )</f>
        <v>10276.51</v>
      </c>
      <c r="G19" s="24">
        <f t="shared" si="1"/>
        <v>0.69000000000050932</v>
      </c>
      <c r="H19" s="26">
        <f>IF( $B19="", "", CHOOSE(data!$V$1, data!D15, data!G15, data!X15) )</f>
        <v>0.58604999999999996</v>
      </c>
      <c r="I19" s="37">
        <f>IF(data!H15="", "", data!H15)</f>
        <v>2.4500000000000002</v>
      </c>
      <c r="J19" s="40">
        <f>IF(data!I15="", "", data!I15)</f>
        <v>10276.51</v>
      </c>
      <c r="K19" s="37">
        <f>IF(data!J15="", "", data!J15)</f>
        <v>2.4500000000000002</v>
      </c>
      <c r="L19" s="40">
        <f>IF(data!K15="", "", data!K15)</f>
        <v>10276.51</v>
      </c>
      <c r="M19" s="37">
        <f>IF(data!L15="", "", data!L15)</f>
        <v>2.4249999999999998</v>
      </c>
      <c r="N19" s="40">
        <f>IF(data!M15="", "", data!M15)</f>
        <v>10278</v>
      </c>
      <c r="O19" s="37">
        <f>IF(data!N15="", "", data!N15)</f>
        <v>2.4500000000000002</v>
      </c>
      <c r="P19" s="40">
        <f>IF(data!O15="", "", data!O15)</f>
        <v>10276.51</v>
      </c>
      <c r="Q19" s="21">
        <f>WORKDAY($B19, data!$AL$1, data!AM15:$AM$2041)</f>
        <v>45785</v>
      </c>
      <c r="R19" s="22" t="str">
        <f>IF( $Q19="", "", INDEX( data!$U$2:$U$8, WEEKDAY($Q19) ) )</f>
        <v>목</v>
      </c>
      <c r="S19" s="24">
        <f>_xll.IMBC($B$4, S$8, $Q19, $D19, "세전수익률")</f>
        <v>10278.58</v>
      </c>
      <c r="T19" s="25">
        <f>_xll.IMBC($B$4, T$8, $Q19, $D19, "세전수익률")</f>
        <v>10104.610699999999</v>
      </c>
      <c r="U19" s="25">
        <f>_xll.IMBC($B$4, U$8, $Q19, $D19, "세전수익률")</f>
        <v>173.96969999999999</v>
      </c>
      <c r="V19" s="26">
        <f>_xll.IMBC($B$4, V$8, $Q19, $D19, "세전수익률")</f>
        <v>0.58930000000000005</v>
      </c>
      <c r="W19" s="47"/>
    </row>
    <row r="20" spans="2:23" s="6" customFormat="1" ht="13.5">
      <c r="B20" s="21">
        <f>IF(data!A16="", "", data!A16)</f>
        <v>45781</v>
      </c>
      <c r="C20" s="34" t="str">
        <f>IF( $B20="", "", INDEX( data!$U$2:$U$8, WEEKDAY($B20) ) )</f>
        <v>일</v>
      </c>
      <c r="D20" s="37">
        <f>IF( $B20="", "", CHOOSE(data!$V$1, data!B16, data!E16, data!V16) )</f>
        <v>2.4500000000000002</v>
      </c>
      <c r="E20" s="23">
        <f t="shared" si="0"/>
        <v>0</v>
      </c>
      <c r="F20" s="24">
        <f>IF( $B20="", "", CHOOSE(data!$V$1, data!C16, data!F16, data!W16) )</f>
        <v>10275.82</v>
      </c>
      <c r="G20" s="24">
        <f t="shared" si="1"/>
        <v>0.69000000000050932</v>
      </c>
      <c r="H20" s="26">
        <f>IF( $B20="", "", CHOOSE(data!$V$1, data!D16, data!G16, data!X16) )</f>
        <v>0.58740000000000003</v>
      </c>
      <c r="I20" s="37">
        <f>IF(data!H16="", "", data!H16)</f>
        <v>2.4500000000000002</v>
      </c>
      <c r="J20" s="40">
        <f>IF(data!I16="", "", data!I16)</f>
        <v>10275.82</v>
      </c>
      <c r="K20" s="37">
        <f>IF(data!J16="", "", data!J16)</f>
        <v>2.4500000000000002</v>
      </c>
      <c r="L20" s="40">
        <f>IF(data!K16="", "", data!K16)</f>
        <v>10275.82</v>
      </c>
      <c r="M20" s="37">
        <f>IF(data!L16="", "", data!L16)</f>
        <v>2.4249999999999998</v>
      </c>
      <c r="N20" s="40">
        <f>IF(data!M16="", "", data!M16)</f>
        <v>10277.32</v>
      </c>
      <c r="O20" s="37">
        <f>IF(data!N16="", "", data!N16)</f>
        <v>2.4500000000000002</v>
      </c>
      <c r="P20" s="40">
        <f>IF(data!O16="", "", data!O16)</f>
        <v>10275.82</v>
      </c>
      <c r="Q20" s="21">
        <f>WORKDAY($B20, data!$AL$1, data!AM16:$AM$2041)</f>
        <v>45785</v>
      </c>
      <c r="R20" s="22" t="str">
        <f>IF( $Q20="", "", INDEX( data!$U$2:$U$8, WEEKDAY($Q20) ) )</f>
        <v>목</v>
      </c>
      <c r="S20" s="24">
        <f>_xll.IMBC($B$4, S$8, $Q20, $D20, "세전수익률")</f>
        <v>10278.58</v>
      </c>
      <c r="T20" s="25">
        <f>_xll.IMBC($B$4, T$8, $Q20, $D20, "세전수익률")</f>
        <v>10104.610699999999</v>
      </c>
      <c r="U20" s="25">
        <f>_xll.IMBC($B$4, U$8, $Q20, $D20, "세전수익률")</f>
        <v>173.96969999999999</v>
      </c>
      <c r="V20" s="26">
        <f>_xll.IMBC($B$4, V$8, $Q20, $D20, "세전수익률")</f>
        <v>0.58930000000000005</v>
      </c>
      <c r="W20" s="47"/>
    </row>
    <row r="21" spans="2:23" s="6" customFormat="1" ht="13.5">
      <c r="B21" s="21">
        <f>IF(data!A17="", "", data!A17)</f>
        <v>45780</v>
      </c>
      <c r="C21" s="34" t="str">
        <f>IF( $B21="", "", INDEX( data!$U$2:$U$8, WEEKDAY($B21) ) )</f>
        <v>토</v>
      </c>
      <c r="D21" s="37">
        <f>IF( $B21="", "", CHOOSE(data!$V$1, data!B17, data!E17, data!V17) )</f>
        <v>2.4500000000000002</v>
      </c>
      <c r="E21" s="23">
        <f t="shared" si="0"/>
        <v>0</v>
      </c>
      <c r="F21" s="24">
        <f>IF( $B21="", "", CHOOSE(data!$V$1, data!C17, data!F17, data!W17) )</f>
        <v>10275.129999999999</v>
      </c>
      <c r="G21" s="24">
        <f t="shared" si="1"/>
        <v>0.68999999999869033</v>
      </c>
      <c r="H21" s="26">
        <f>IF( $B21="", "", CHOOSE(data!$V$1, data!D17, data!G17, data!X17) )</f>
        <v>0.58875</v>
      </c>
      <c r="I21" s="37">
        <f>IF(data!H17="", "", data!H17)</f>
        <v>2.4500000000000002</v>
      </c>
      <c r="J21" s="40">
        <f>IF(data!I17="", "", data!I17)</f>
        <v>10275.129999999999</v>
      </c>
      <c r="K21" s="37">
        <f>IF(data!J17="", "", data!J17)</f>
        <v>2.4500000000000002</v>
      </c>
      <c r="L21" s="40">
        <f>IF(data!K17="", "", data!K17)</f>
        <v>10275.129999999999</v>
      </c>
      <c r="M21" s="37">
        <f>IF(data!L17="", "", data!L17)</f>
        <v>2.4249999999999998</v>
      </c>
      <c r="N21" s="40">
        <f>IF(data!M17="", "", data!M17)</f>
        <v>10276.64</v>
      </c>
      <c r="O21" s="37">
        <f>IF(data!N17="", "", data!N17)</f>
        <v>2.4500000000000002</v>
      </c>
      <c r="P21" s="40">
        <f>IF(data!O17="", "", data!O17)</f>
        <v>10275.129999999999</v>
      </c>
      <c r="Q21" s="21">
        <f>WORKDAY($B21, data!$AL$1, data!AM17:$AM$2041)</f>
        <v>45785</v>
      </c>
      <c r="R21" s="22" t="str">
        <f>IF( $Q21="", "", INDEX( data!$U$2:$U$8, WEEKDAY($Q21) ) )</f>
        <v>목</v>
      </c>
      <c r="S21" s="24">
        <f>_xll.IMBC($B$4, S$8, $Q21, $D21, "세전수익률")</f>
        <v>10278.58</v>
      </c>
      <c r="T21" s="25">
        <f>_xll.IMBC($B$4, T$8, $Q21, $D21, "세전수익률")</f>
        <v>10104.610699999999</v>
      </c>
      <c r="U21" s="25">
        <f>_xll.IMBC($B$4, U$8, $Q21, $D21, "세전수익률")</f>
        <v>173.96969999999999</v>
      </c>
      <c r="V21" s="26">
        <f>_xll.IMBC($B$4, V$8, $Q21, $D21, "세전수익률")</f>
        <v>0.58930000000000005</v>
      </c>
    </row>
    <row r="22" spans="2:23" s="6" customFormat="1" ht="13.5">
      <c r="B22" s="21">
        <f>IF(data!A18="", "", data!A18)</f>
        <v>45779</v>
      </c>
      <c r="C22" s="34" t="str">
        <f>IF( $B22="", "", INDEX( data!$U$2:$U$8, WEEKDAY($B22) ) )</f>
        <v>금</v>
      </c>
      <c r="D22" s="37">
        <f>IF( $B22="", "", CHOOSE(data!$V$1, data!B18, data!E18, data!V18) )</f>
        <v>2.4500000000000002</v>
      </c>
      <c r="E22" s="23">
        <f t="shared" si="0"/>
        <v>0</v>
      </c>
      <c r="F22" s="24">
        <f>IF( $B22="", "", CHOOSE(data!$V$1, data!C18, data!F18, data!W18) )</f>
        <v>10274.44</v>
      </c>
      <c r="G22" s="24">
        <f t="shared" si="1"/>
        <v>0.69000000000050932</v>
      </c>
      <c r="H22" s="26">
        <f>IF( $B22="", "", CHOOSE(data!$V$1, data!D18, data!G18, data!X18) )</f>
        <v>0.59279999999999999</v>
      </c>
      <c r="I22" s="37">
        <f>IF(data!H18="", "", data!H18)</f>
        <v>2.4500000000000002</v>
      </c>
      <c r="J22" s="40">
        <f>IF(data!I18="", "", data!I18)</f>
        <v>10274.44</v>
      </c>
      <c r="K22" s="37">
        <f>IF(data!J18="", "", data!J18)</f>
        <v>2.4500000000000002</v>
      </c>
      <c r="L22" s="40">
        <f>IF(data!K18="", "", data!K18)</f>
        <v>10274.44</v>
      </c>
      <c r="M22" s="37">
        <f>IF(data!L18="", "", data!L18)</f>
        <v>2.4249999999999998</v>
      </c>
      <c r="N22" s="40">
        <f>IF(data!M18="", "", data!M18)</f>
        <v>10275.950000000001</v>
      </c>
      <c r="O22" s="37">
        <f>IF(data!N18="", "", data!N18)</f>
        <v>2.4500000000000002</v>
      </c>
      <c r="P22" s="40">
        <f>IF(data!O18="", "", data!O18)</f>
        <v>10274.44</v>
      </c>
      <c r="Q22" s="21">
        <f>WORKDAY($B22, data!$AL$1, data!AM18:$AM$2041)</f>
        <v>45785</v>
      </c>
      <c r="R22" s="22" t="str">
        <f>IF( $Q22="", "", INDEX( data!$U$2:$U$8, WEEKDAY($Q22) ) )</f>
        <v>목</v>
      </c>
      <c r="S22" s="24">
        <f>_xll.IMBC($B$4, S$8, $Q22, $D22, "세전수익률")</f>
        <v>10278.58</v>
      </c>
      <c r="T22" s="25">
        <f>_xll.IMBC($B$4, T$8, $Q22, $D22, "세전수익률")</f>
        <v>10104.610699999999</v>
      </c>
      <c r="U22" s="25">
        <f>_xll.IMBC($B$4, U$8, $Q22, $D22, "세전수익률")</f>
        <v>173.96969999999999</v>
      </c>
      <c r="V22" s="26">
        <f>_xll.IMBC($B$4, V$8, $Q22, $D22, "세전수익률")</f>
        <v>0.58930000000000005</v>
      </c>
    </row>
    <row r="23" spans="2:23" s="6" customFormat="1" ht="13.5">
      <c r="B23" s="21">
        <f>IF(data!A19="", "", data!A19)</f>
        <v>45778</v>
      </c>
      <c r="C23" s="34" t="str">
        <f>IF( $B23="", "", INDEX( data!$U$2:$U$8, WEEKDAY($B23) ) )</f>
        <v>목</v>
      </c>
      <c r="D23" s="37">
        <f>IF( $B23="", "", CHOOSE(data!$V$1, data!B19, data!E19, data!V19) )</f>
        <v>2.4500000000000002</v>
      </c>
      <c r="E23" s="23">
        <f t="shared" si="0"/>
        <v>-3.2499999999999751</v>
      </c>
      <c r="F23" s="24">
        <f>IF( $B23="", "", CHOOSE(data!$V$1, data!C19, data!F19, data!W19) )</f>
        <v>10273.75</v>
      </c>
      <c r="G23" s="24">
        <f t="shared" si="1"/>
        <v>2.6850000000013097</v>
      </c>
      <c r="H23" s="26">
        <f>IF( $B23="", "", CHOOSE(data!$V$1, data!D19, data!G19, data!X19) )</f>
        <v>0.59414999999999996</v>
      </c>
      <c r="I23" s="37">
        <f>IF(data!H19="", "", data!H19)</f>
        <v>2.4500000000000002</v>
      </c>
      <c r="J23" s="40">
        <f>IF(data!I19="", "", data!I19)</f>
        <v>10273.75</v>
      </c>
      <c r="K23" s="37">
        <f>IF(data!J19="", "", data!J19)</f>
        <v>2.4500000000000002</v>
      </c>
      <c r="L23" s="40">
        <f>IF(data!K19="", "", data!K19)</f>
        <v>10273.75</v>
      </c>
      <c r="M23" s="37">
        <f>IF(data!L19="", "", data!L19)</f>
        <v>2.4249999999999998</v>
      </c>
      <c r="N23" s="40">
        <f>IF(data!M19="", "", data!M19)</f>
        <v>10275.27</v>
      </c>
      <c r="O23" s="37">
        <f>IF(data!N19="", "", data!N19)</f>
        <v>2.4500000000000002</v>
      </c>
      <c r="P23" s="40">
        <f>IF(data!O19="", "", data!O19)</f>
        <v>10273.75</v>
      </c>
      <c r="Q23" s="21">
        <f>WORKDAY($B23, data!$AL$1, data!AM19:$AM$2041)</f>
        <v>45779</v>
      </c>
      <c r="R23" s="22" t="str">
        <f>IF( $Q23="", "", INDEX( data!$U$2:$U$8, WEEKDAY($Q23) ) )</f>
        <v>금</v>
      </c>
      <c r="S23" s="24">
        <f>_xll.IMBC($B$4, S$8, $Q23, $D23, "세전수익률")</f>
        <v>10274.44</v>
      </c>
      <c r="T23" s="25">
        <f>_xll.IMBC($B$4, T$8, $Q23, $D23, "세전수익률")</f>
        <v>10107.4761</v>
      </c>
      <c r="U23" s="25">
        <f>_xll.IMBC($B$4, U$8, $Q23, $D23, "세전수익률")</f>
        <v>166.96420000000001</v>
      </c>
      <c r="V23" s="26">
        <f>_xll.IMBC($B$4, V$8, $Q23, $D23, "세전수익률")</f>
        <v>0.60580000000000001</v>
      </c>
    </row>
    <row r="24" spans="2:23" s="6" customFormat="1" ht="13.5">
      <c r="B24" s="21">
        <f>IF(data!A20="", "", data!A20)</f>
        <v>45777</v>
      </c>
      <c r="C24" s="34" t="str">
        <f>IF( $B24="", "", INDEX( data!$U$2:$U$8, WEEKDAY($B24) ) )</f>
        <v>수</v>
      </c>
      <c r="D24" s="37">
        <f>IF( $B24="", "", CHOOSE(data!$V$1, data!B20, data!E20, data!V20) )</f>
        <v>2.4824999999999999</v>
      </c>
      <c r="E24" s="23">
        <f t="shared" si="0"/>
        <v>-0.49999999999998934</v>
      </c>
      <c r="F24" s="24">
        <f>IF( $B24="", "", CHOOSE(data!$V$1, data!C20, data!F20, data!W20) )</f>
        <v>10271.064999999999</v>
      </c>
      <c r="G24" s="24">
        <f t="shared" si="1"/>
        <v>1.0049999999991996</v>
      </c>
      <c r="H24" s="26">
        <f>IF( $B24="", "", CHOOSE(data!$V$1, data!D20, data!G20, data!X20) )</f>
        <v>0.5968</v>
      </c>
      <c r="I24" s="37">
        <f>IF(data!H20="", "", data!H20)</f>
        <v>2.4849999999999999</v>
      </c>
      <c r="J24" s="40">
        <f>IF(data!I20="", "", data!I20)</f>
        <v>10270.91</v>
      </c>
      <c r="K24" s="37">
        <f>IF(data!J20="", "", data!J20)</f>
        <v>2.48</v>
      </c>
      <c r="L24" s="40">
        <f>IF(data!K20="", "", data!K20)</f>
        <v>10271.219999999999</v>
      </c>
      <c r="M24" s="37">
        <f>IF(data!L20="", "", data!L20)</f>
        <v>2.4649999999999999</v>
      </c>
      <c r="N24" s="40">
        <f>IF(data!M20="", "", data!M20)</f>
        <v>10272.14</v>
      </c>
      <c r="O24" s="37">
        <f>IF(data!N20="", "", data!N20)</f>
        <v>2.4750000000000001</v>
      </c>
      <c r="P24" s="40">
        <f>IF(data!O20="", "", data!O20)</f>
        <v>10271.530000000001</v>
      </c>
      <c r="Q24" s="21">
        <f>WORKDAY($B24, data!$AL$1, data!AM20:$AM$2041)</f>
        <v>45779</v>
      </c>
      <c r="R24" s="22" t="str">
        <f>IF( $Q24="", "", INDEX( data!$U$2:$U$8, WEEKDAY($Q24) ) )</f>
        <v>금</v>
      </c>
      <c r="S24" s="24">
        <f>_xll.IMBC($B$4, S$8, $Q24, $D24, "세전수익률")</f>
        <v>10272.459999999999</v>
      </c>
      <c r="T24" s="25">
        <f>_xll.IMBC($B$4, T$8, $Q24, $D24, "세전수익률")</f>
        <v>10105.504199999999</v>
      </c>
      <c r="U24" s="25">
        <f>_xll.IMBC($B$4, U$8, $Q24, $D24, "세전수익률")</f>
        <v>166.96420000000001</v>
      </c>
      <c r="V24" s="26">
        <f>_xll.IMBC($B$4, V$8, $Q24, $D24, "세전수익률")</f>
        <v>0.60560000000000003</v>
      </c>
    </row>
    <row r="25" spans="2:23" s="6" customFormat="1" ht="13.5">
      <c r="B25" s="21">
        <f>IF(data!A21="", "", data!A21)</f>
        <v>45776</v>
      </c>
      <c r="C25" s="34" t="str">
        <f>IF( $B25="", "", INDEX( data!$U$2:$U$8, WEEKDAY($B25) ) )</f>
        <v>화</v>
      </c>
      <c r="D25" s="37">
        <f>IF( $B25="", "", CHOOSE(data!$V$1, data!B21, data!E21, data!V21) )</f>
        <v>2.4874999999999998</v>
      </c>
      <c r="E25" s="23">
        <f t="shared" si="0"/>
        <v>-0.50000000000003375</v>
      </c>
      <c r="F25" s="24">
        <f>IF( $B25="", "", CHOOSE(data!$V$1, data!C21, data!F21, data!W21) )</f>
        <v>10270.06</v>
      </c>
      <c r="G25" s="24">
        <f t="shared" si="1"/>
        <v>1.0049999999991996</v>
      </c>
      <c r="H25" s="26">
        <f>IF( $B25="", "", CHOOSE(data!$V$1, data!D21, data!G21, data!X21) )</f>
        <v>0.59950000000000003</v>
      </c>
      <c r="I25" s="37">
        <f>IF(data!H21="", "", data!H21)</f>
        <v>2.4849999999999999</v>
      </c>
      <c r="J25" s="40">
        <f>IF(data!I21="", "", data!I21)</f>
        <v>10270.209999999999</v>
      </c>
      <c r="K25" s="37">
        <f>IF(data!J21="", "", data!J21)</f>
        <v>2.4900000000000002</v>
      </c>
      <c r="L25" s="40">
        <f>IF(data!K21="", "", data!K21)</f>
        <v>10269.91</v>
      </c>
      <c r="M25" s="37">
        <f>IF(data!L21="", "", data!L21)</f>
        <v>2.4750000000000001</v>
      </c>
      <c r="N25" s="40">
        <f>IF(data!M21="", "", data!M21)</f>
        <v>10270.83</v>
      </c>
      <c r="O25" s="37">
        <f>IF(data!N21="", "", data!N21)</f>
        <v>2.48</v>
      </c>
      <c r="P25" s="40">
        <f>IF(data!O21="", "", data!O21)</f>
        <v>10270.52</v>
      </c>
      <c r="Q25" s="21">
        <f>WORKDAY($B25, data!$AL$1, data!AM21:$AM$2041)</f>
        <v>45777</v>
      </c>
      <c r="R25" s="22" t="str">
        <f>IF( $Q25="", "", INDEX( data!$U$2:$U$8, WEEKDAY($Q25) ) )</f>
        <v>수</v>
      </c>
      <c r="S25" s="24">
        <f>_xll.IMBC($B$4, S$8, $Q25, $D25, "세전수익률")</f>
        <v>10270.76</v>
      </c>
      <c r="T25" s="25">
        <f>_xll.IMBC($B$4, T$8, $Q25, $D25, "세전수익률")</f>
        <v>10106.1361</v>
      </c>
      <c r="U25" s="25">
        <f>_xll.IMBC($B$4, U$8, $Q25, $D25, "세전수익률")</f>
        <v>164.62909999999999</v>
      </c>
      <c r="V25" s="26">
        <f>_xll.IMBC($B$4, V$8, $Q25, $D25, "세전수익률")</f>
        <v>0.61099999999999999</v>
      </c>
    </row>
    <row r="26" spans="2:23" s="6" customFormat="1" ht="13.5">
      <c r="B26" s="21">
        <f>IF(data!A22="", "", data!A22)</f>
        <v>45775</v>
      </c>
      <c r="C26" s="34" t="str">
        <f>IF( $B26="", "", INDEX( data!$U$2:$U$8, WEEKDAY($B26) ) )</f>
        <v>월</v>
      </c>
      <c r="D26" s="37">
        <f>IF( $B26="", "", CHOOSE(data!$V$1, data!B22, data!E22, data!V22) )</f>
        <v>2.4925000000000002</v>
      </c>
      <c r="E26" s="23">
        <f t="shared" si="0"/>
        <v>0</v>
      </c>
      <c r="F26" s="24">
        <f>IF( $B26="", "", CHOOSE(data!$V$1, data!C22, data!F22, data!W22) )</f>
        <v>10269.055</v>
      </c>
      <c r="G26" s="24">
        <f t="shared" si="1"/>
        <v>0.7000000000007276</v>
      </c>
      <c r="H26" s="26">
        <f>IF( $B26="", "", CHOOSE(data!$V$1, data!D22, data!G22, data!X22) )</f>
        <v>0.60489999999999999</v>
      </c>
      <c r="I26" s="37">
        <f>IF(data!H22="", "", data!H22)</f>
        <v>2.4950000000000001</v>
      </c>
      <c r="J26" s="40">
        <f>IF(data!I22="", "", data!I22)</f>
        <v>10268.9</v>
      </c>
      <c r="K26" s="37">
        <f>IF(data!J22="", "", data!J22)</f>
        <v>2.4900000000000002</v>
      </c>
      <c r="L26" s="40">
        <f>IF(data!K22="", "", data!K22)</f>
        <v>10269.209999999999</v>
      </c>
      <c r="M26" s="37">
        <f>IF(data!L22="", "", data!L22)</f>
        <v>2.4750000000000001</v>
      </c>
      <c r="N26" s="40">
        <f>IF(data!M22="", "", data!M22)</f>
        <v>10270.129999999999</v>
      </c>
      <c r="O26" s="37">
        <f>IF(data!N22="", "", data!N22)</f>
        <v>2.4900000000000002</v>
      </c>
      <c r="P26" s="40">
        <f>IF(data!O22="", "", data!O22)</f>
        <v>10269.209999999999</v>
      </c>
      <c r="Q26" s="21">
        <f>WORKDAY($B26, data!$AL$1, data!AM22:$AM$2041)</f>
        <v>45776</v>
      </c>
      <c r="R26" s="22" t="str">
        <f>IF( $Q26="", "", INDEX( data!$U$2:$U$8, WEEKDAY($Q26) ) )</f>
        <v>화</v>
      </c>
      <c r="S26" s="24">
        <f>_xll.IMBC($B$4, S$8, $Q26, $D26, "세전수익률")</f>
        <v>10269.75</v>
      </c>
      <c r="T26" s="25">
        <f>_xll.IMBC($B$4, T$8, $Q26, $D26, "세전수익률")</f>
        <v>10106.2963</v>
      </c>
      <c r="U26" s="25">
        <f>_xll.IMBC($B$4, U$8, $Q26, $D26, "세전수익률")</f>
        <v>163.4615</v>
      </c>
      <c r="V26" s="26">
        <f>_xll.IMBC($B$4, V$8, $Q26, $D26, "세전수익률")</f>
        <v>0.61370000000000002</v>
      </c>
    </row>
    <row r="27" spans="2:23" s="6" customFormat="1" ht="13.5">
      <c r="B27" s="21">
        <f>IF(data!A23="", "", data!A23)</f>
        <v>45774</v>
      </c>
      <c r="C27" s="34" t="str">
        <f>IF( $B27="", "", INDEX( data!$U$2:$U$8, WEEKDAY($B27) ) )</f>
        <v>일</v>
      </c>
      <c r="D27" s="37">
        <f>IF( $B27="", "", CHOOSE(data!$V$1, data!B23, data!E23, data!V23) )</f>
        <v>2.4925000000000002</v>
      </c>
      <c r="E27" s="23">
        <f t="shared" si="0"/>
        <v>0</v>
      </c>
      <c r="F27" s="24">
        <f>IF( $B27="", "", CHOOSE(data!$V$1, data!C23, data!F23, data!W23) )</f>
        <v>10268.355</v>
      </c>
      <c r="G27" s="24">
        <f t="shared" si="1"/>
        <v>0.70499999999992724</v>
      </c>
      <c r="H27" s="26">
        <f>IF( $B27="", "", CHOOSE(data!$V$1, data!D23, data!G23, data!X23) )</f>
        <v>0.60630000000000006</v>
      </c>
      <c r="I27" s="37">
        <f>IF(data!H23="", "", data!H23)</f>
        <v>2.4950000000000001</v>
      </c>
      <c r="J27" s="40">
        <f>IF(data!I23="", "", data!I23)</f>
        <v>10268.200000000001</v>
      </c>
      <c r="K27" s="37">
        <f>IF(data!J23="", "", data!J23)</f>
        <v>2.4900000000000002</v>
      </c>
      <c r="L27" s="40">
        <f>IF(data!K23="", "", data!K23)</f>
        <v>10268.51</v>
      </c>
      <c r="M27" s="37">
        <f>IF(data!L23="", "", data!L23)</f>
        <v>2.4750000000000001</v>
      </c>
      <c r="N27" s="40">
        <f>IF(data!M23="", "", data!M23)</f>
        <v>10269.44</v>
      </c>
      <c r="O27" s="37">
        <f>IF(data!N23="", "", data!N23)</f>
        <v>2.4900000000000002</v>
      </c>
      <c r="P27" s="40">
        <f>IF(data!O23="", "", data!O23)</f>
        <v>10268.51</v>
      </c>
      <c r="Q27" s="21">
        <f>WORKDAY($B27, data!$AL$1, data!AM23:$AM$2041)</f>
        <v>45775</v>
      </c>
      <c r="R27" s="22" t="str">
        <f>IF( $Q27="", "", INDEX( data!$U$2:$U$8, WEEKDAY($Q27) ) )</f>
        <v>월</v>
      </c>
      <c r="S27" s="24">
        <f>_xll.IMBC($B$4, S$8, $Q27, $D27, "세전수익률")</f>
        <v>10269.049999999999</v>
      </c>
      <c r="T27" s="25">
        <f>_xll.IMBC($B$4, T$8, $Q27, $D27, "세전수익률")</f>
        <v>10106.762699999999</v>
      </c>
      <c r="U27" s="25">
        <f>_xll.IMBC($B$4, U$8, $Q27, $D27, "세전수익률")</f>
        <v>162.29390000000001</v>
      </c>
      <c r="V27" s="26">
        <f>_xll.IMBC($B$4, V$8, $Q27, $D27, "세전수익률")</f>
        <v>0.61650000000000005</v>
      </c>
    </row>
    <row r="28" spans="2:23" s="6" customFormat="1" ht="13.5">
      <c r="B28" s="21">
        <f>IF(data!A24="", "", data!A24)</f>
        <v>45773</v>
      </c>
      <c r="C28" s="34" t="str">
        <f>IF( $B28="", "", INDEX( data!$U$2:$U$8, WEEKDAY($B28) ) )</f>
        <v>토</v>
      </c>
      <c r="D28" s="37">
        <f>IF( $B28="", "", CHOOSE(data!$V$1, data!B24, data!E24, data!V24) )</f>
        <v>2.4925000000000002</v>
      </c>
      <c r="E28" s="23">
        <f t="shared" si="0"/>
        <v>-1.2499999999999734</v>
      </c>
      <c r="F28" s="24">
        <f>IF( $B28="", "", CHOOSE(data!$V$1, data!C24, data!F24, data!W24) )</f>
        <v>10267.65</v>
      </c>
      <c r="G28" s="24">
        <f t="shared" si="1"/>
        <v>1.4849999999987631</v>
      </c>
      <c r="H28" s="26">
        <f>IF( $B28="", "", CHOOSE(data!$V$1, data!D24, data!G24, data!X24) )</f>
        <v>0.60765000000000002</v>
      </c>
      <c r="I28" s="37">
        <f>IF(data!H24="", "", data!H24)</f>
        <v>2.4950000000000001</v>
      </c>
      <c r="J28" s="40">
        <f>IF(data!I24="", "", data!I24)</f>
        <v>10267.49</v>
      </c>
      <c r="K28" s="37">
        <f>IF(data!J24="", "", data!J24)</f>
        <v>2.4900000000000002</v>
      </c>
      <c r="L28" s="40">
        <f>IF(data!K24="", "", data!K24)</f>
        <v>10267.81</v>
      </c>
      <c r="M28" s="37">
        <f>IF(data!L24="", "", data!L24)</f>
        <v>2.4750000000000001</v>
      </c>
      <c r="N28" s="40">
        <f>IF(data!M24="", "", data!M24)</f>
        <v>10268.74</v>
      </c>
      <c r="O28" s="37">
        <f>IF(data!N24="", "", data!N24)</f>
        <v>2.4900000000000002</v>
      </c>
      <c r="P28" s="40">
        <f>IF(data!O24="", "", data!O24)</f>
        <v>10267.81</v>
      </c>
      <c r="Q28" s="21">
        <f>WORKDAY($B28, data!$AL$1, data!AM24:$AM$2041)</f>
        <v>45775</v>
      </c>
      <c r="R28" s="22" t="str">
        <f>IF( $Q28="", "", INDEX( data!$U$2:$U$8, WEEKDAY($Q28) ) )</f>
        <v>월</v>
      </c>
      <c r="S28" s="24">
        <f>_xll.IMBC($B$4, S$8, $Q28, $D28, "세전수익률")</f>
        <v>10269.049999999999</v>
      </c>
      <c r="T28" s="25">
        <f>_xll.IMBC($B$4, T$8, $Q28, $D28, "세전수익률")</f>
        <v>10106.762699999999</v>
      </c>
      <c r="U28" s="25">
        <f>_xll.IMBC($B$4, U$8, $Q28, $D28, "세전수익률")</f>
        <v>162.29390000000001</v>
      </c>
      <c r="V28" s="26">
        <f>_xll.IMBC($B$4, V$8, $Q28, $D28, "세전수익률")</f>
        <v>0.61650000000000005</v>
      </c>
    </row>
    <row r="29" spans="2:23" s="6" customFormat="1" ht="13.5">
      <c r="B29" s="21">
        <f>IF(data!A25="", "", data!A25)</f>
        <v>45772</v>
      </c>
      <c r="C29" s="34" t="str">
        <f>IF( $B29="", "", INDEX( data!$U$2:$U$8, WEEKDAY($B29) ) )</f>
        <v>금</v>
      </c>
      <c r="D29" s="37">
        <f>IF( $B29="", "", CHOOSE(data!$V$1, data!B25, data!E25, data!V25) )</f>
        <v>2.5049999999999999</v>
      </c>
      <c r="E29" s="23">
        <f t="shared" si="0"/>
        <v>-0.49999999999998934</v>
      </c>
      <c r="F29" s="24">
        <f>IF( $B29="", "", CHOOSE(data!$V$1, data!C25, data!F25, data!W25) )</f>
        <v>10266.165000000001</v>
      </c>
      <c r="G29" s="24">
        <f t="shared" si="1"/>
        <v>1.0150000000012369</v>
      </c>
      <c r="H29" s="26">
        <f>IF( $B29="", "", CHOOSE(data!$V$1, data!D25, data!G25, data!X25) )</f>
        <v>0.61024999999999996</v>
      </c>
      <c r="I29" s="37">
        <f>IF(data!H25="", "", data!H25)</f>
        <v>2.5099999999999998</v>
      </c>
      <c r="J29" s="40">
        <f>IF(data!I25="", "", data!I25)</f>
        <v>10265.85</v>
      </c>
      <c r="K29" s="37">
        <f>IF(data!J25="", "", data!J25)</f>
        <v>2.5</v>
      </c>
      <c r="L29" s="40">
        <f>IF(data!K25="", "", data!K25)</f>
        <v>10266.48</v>
      </c>
      <c r="M29" s="37">
        <f>IF(data!L25="", "", data!L25)</f>
        <v>2.4900000000000002</v>
      </c>
      <c r="N29" s="40">
        <f>IF(data!M25="", "", data!M25)</f>
        <v>10267.11</v>
      </c>
      <c r="O29" s="37">
        <f>IF(data!N25="", "", data!N25)</f>
        <v>2.5</v>
      </c>
      <c r="P29" s="40">
        <f>IF(data!O25="", "", data!O25)</f>
        <v>10266.48</v>
      </c>
      <c r="Q29" s="21">
        <f>WORKDAY($B29, data!$AL$1, data!AM25:$AM$2041)</f>
        <v>45775</v>
      </c>
      <c r="R29" s="22" t="str">
        <f>IF( $Q29="", "", INDEX( data!$U$2:$U$8, WEEKDAY($Q29) ) )</f>
        <v>월</v>
      </c>
      <c r="S29" s="24">
        <f>_xll.IMBC($B$4, S$8, $Q29, $D29, "세전수익률")</f>
        <v>10268.280000000001</v>
      </c>
      <c r="T29" s="25">
        <f>_xll.IMBC($B$4, T$8, $Q29, $D29, "세전수익률")</f>
        <v>10105.9908</v>
      </c>
      <c r="U29" s="25">
        <f>_xll.IMBC($B$4, U$8, $Q29, $D29, "세전수익률")</f>
        <v>162.29390000000001</v>
      </c>
      <c r="V29" s="26">
        <f>_xll.IMBC($B$4, V$8, $Q29, $D29, "세전수익률")</f>
        <v>0.61639999999999995</v>
      </c>
    </row>
    <row r="30" spans="2:23" s="6" customFormat="1" ht="13.5">
      <c r="B30" s="21">
        <f>IF(data!A26="", "", data!A26)</f>
        <v>45771</v>
      </c>
      <c r="C30" s="34" t="str">
        <f>IF( $B30="", "", INDEX( data!$U$2:$U$8, WEEKDAY($B30) ) )</f>
        <v>목</v>
      </c>
      <c r="D30" s="37">
        <f>IF( $B30="", "", CHOOSE(data!$V$1, data!B26, data!E26, data!V26) )</f>
        <v>2.5099999999999998</v>
      </c>
      <c r="E30" s="23">
        <f t="shared" si="0"/>
        <v>0</v>
      </c>
      <c r="F30" s="24">
        <f>IF( $B30="", "", CHOOSE(data!$V$1, data!C26, data!F26, data!W26) )</f>
        <v>10265.15</v>
      </c>
      <c r="G30" s="24">
        <f t="shared" si="1"/>
        <v>0.70999999999912689</v>
      </c>
      <c r="H30" s="26">
        <f>IF( $B30="", "", CHOOSE(data!$V$1, data!D26, data!G26, data!X26) )</f>
        <v>0.61294999999999999</v>
      </c>
      <c r="I30" s="37">
        <f>IF(data!H26="", "", data!H26)</f>
        <v>2.5099999999999998</v>
      </c>
      <c r="J30" s="40">
        <f>IF(data!I26="", "", data!I26)</f>
        <v>10265.15</v>
      </c>
      <c r="K30" s="37">
        <f>IF(data!J26="", "", data!J26)</f>
        <v>2.5099999999999998</v>
      </c>
      <c r="L30" s="40">
        <f>IF(data!K26="", "", data!K26)</f>
        <v>10265.15</v>
      </c>
      <c r="M30" s="37">
        <f>IF(data!L26="", "", data!L26)</f>
        <v>2.5</v>
      </c>
      <c r="N30" s="40">
        <f>IF(data!M26="", "", data!M26)</f>
        <v>10265.780000000001</v>
      </c>
      <c r="O30" s="37">
        <f>IF(data!N26="", "", data!N26)</f>
        <v>2.5099999999999998</v>
      </c>
      <c r="P30" s="40">
        <f>IF(data!O26="", "", data!O26)</f>
        <v>10265.15</v>
      </c>
      <c r="Q30" s="21">
        <f>WORKDAY($B30, data!$AL$1, data!AM26:$AM$2041)</f>
        <v>45772</v>
      </c>
      <c r="R30" s="22" t="str">
        <f>IF( $Q30="", "", INDEX( data!$U$2:$U$8, WEEKDAY($Q30) ) )</f>
        <v>금</v>
      </c>
      <c r="S30" s="24">
        <f>_xll.IMBC($B$4, S$8, $Q30, $D30, "세전수익률")</f>
        <v>10265.85</v>
      </c>
      <c r="T30" s="25">
        <f>_xll.IMBC($B$4, T$8, $Q30, $D30, "세전수익률")</f>
        <v>10107.067300000001</v>
      </c>
      <c r="U30" s="25">
        <f>_xll.IMBC($B$4, U$8, $Q30, $D30, "세전수익률")</f>
        <v>158.7912</v>
      </c>
      <c r="V30" s="26">
        <f>_xll.IMBC($B$4, V$8, $Q30, $D30, "세전수익률")</f>
        <v>0.62460000000000004</v>
      </c>
    </row>
    <row r="31" spans="2:23" s="6" customFormat="1" ht="13.5">
      <c r="B31" s="21">
        <f>IF(data!A27="", "", data!A27)</f>
        <v>45770</v>
      </c>
      <c r="C31" s="34" t="str">
        <f>IF( $B31="", "", INDEX( data!$U$2:$U$8, WEEKDAY($B31) ) )</f>
        <v>수</v>
      </c>
      <c r="D31" s="37">
        <f>IF( $B31="", "", CHOOSE(data!$V$1, data!B27, data!E27, data!V27) )</f>
        <v>2.5099999999999998</v>
      </c>
      <c r="E31" s="23">
        <f t="shared" si="0"/>
        <v>-0.50000000000003375</v>
      </c>
      <c r="F31" s="24">
        <f>IF( $B31="", "", CHOOSE(data!$V$1, data!C27, data!F27, data!W27) )</f>
        <v>10264.44</v>
      </c>
      <c r="G31" s="24">
        <f t="shared" si="1"/>
        <v>1.0200000000004366</v>
      </c>
      <c r="H31" s="26">
        <f>IF( $B31="", "", CHOOSE(data!$V$1, data!D27, data!G27, data!X27) )</f>
        <v>0.61570000000000003</v>
      </c>
      <c r="I31" s="37">
        <f>IF(data!H27="", "", data!H27)</f>
        <v>2.5099999999999998</v>
      </c>
      <c r="J31" s="40">
        <f>IF(data!I27="", "", data!I27)</f>
        <v>10264.44</v>
      </c>
      <c r="K31" s="37">
        <f>IF(data!J27="", "", data!J27)</f>
        <v>2.5099999999999998</v>
      </c>
      <c r="L31" s="40">
        <f>IF(data!K27="", "", data!K27)</f>
        <v>10264.44</v>
      </c>
      <c r="M31" s="37">
        <f>IF(data!L27="", "", data!L27)</f>
        <v>2.5</v>
      </c>
      <c r="N31" s="40">
        <f>IF(data!M27="", "", data!M27)</f>
        <v>10265.07</v>
      </c>
      <c r="O31" s="37">
        <f>IF(data!N27="", "", data!N27)</f>
        <v>2.5099999999999998</v>
      </c>
      <c r="P31" s="40">
        <f>IF(data!O27="", "", data!O27)</f>
        <v>10264.44</v>
      </c>
      <c r="Q31" s="21">
        <f>WORKDAY($B31, data!$AL$1, data!AM27:$AM$2041)</f>
        <v>45771</v>
      </c>
      <c r="R31" s="22" t="str">
        <f>IF( $Q31="", "", INDEX( data!$U$2:$U$8, WEEKDAY($Q31) ) )</f>
        <v>목</v>
      </c>
      <c r="S31" s="24">
        <f>_xll.IMBC($B$4, S$8, $Q31, $D31, "세전수익률")</f>
        <v>10265.15</v>
      </c>
      <c r="T31" s="25">
        <f>_xll.IMBC($B$4, T$8, $Q31, $D31, "세전수익률")</f>
        <v>10107.5293</v>
      </c>
      <c r="U31" s="25">
        <f>_xll.IMBC($B$4, U$8, $Q31, $D31, "세전수익률")</f>
        <v>157.62360000000001</v>
      </c>
      <c r="V31" s="26">
        <f>_xll.IMBC($B$4, V$8, $Q31, $D31, "세전수익률")</f>
        <v>0.62729999999999997</v>
      </c>
    </row>
    <row r="32" spans="2:23" s="6" customFormat="1" ht="13.5">
      <c r="B32" s="21">
        <f>IF(data!A28="", "", data!A28)</f>
        <v>45769</v>
      </c>
      <c r="C32" s="34" t="str">
        <f>IF( $B32="", "", INDEX( data!$U$2:$U$8, WEEKDAY($B32) ) )</f>
        <v>화</v>
      </c>
      <c r="D32" s="37">
        <f>IF( $B32="", "", CHOOSE(data!$V$1, data!B28, data!E28, data!V28) )</f>
        <v>2.5150000000000001</v>
      </c>
      <c r="E32" s="23">
        <f t="shared" si="0"/>
        <v>-0.99999999999997868</v>
      </c>
      <c r="F32" s="24">
        <f>IF( $B32="", "", CHOOSE(data!$V$1, data!C28, data!F28, data!W28) )</f>
        <v>10263.42</v>
      </c>
      <c r="G32" s="24">
        <f t="shared" si="1"/>
        <v>1.3400000000001455</v>
      </c>
      <c r="H32" s="26">
        <f>IF( $B32="", "", CHOOSE(data!$V$1, data!D28, data!G28, data!X28) )</f>
        <v>0.61840000000000006</v>
      </c>
      <c r="I32" s="37">
        <f>IF(data!H28="", "", data!H28)</f>
        <v>2.5150000000000001</v>
      </c>
      <c r="J32" s="40">
        <f>IF(data!I28="", "", data!I28)</f>
        <v>10263.42</v>
      </c>
      <c r="K32" s="37">
        <f>IF(data!J28="", "", data!J28)</f>
        <v>2.5150000000000001</v>
      </c>
      <c r="L32" s="40">
        <f>IF(data!K28="", "", data!K28)</f>
        <v>10263.42</v>
      </c>
      <c r="M32" s="37">
        <f>IF(data!L28="", "", data!L28)</f>
        <v>2.5</v>
      </c>
      <c r="N32" s="40">
        <f>IF(data!M28="", "", data!M28)</f>
        <v>10264.370000000001</v>
      </c>
      <c r="O32" s="37">
        <f>IF(data!N28="", "", data!N28)</f>
        <v>2.5150000000000001</v>
      </c>
      <c r="P32" s="40">
        <f>IF(data!O28="", "", data!O28)</f>
        <v>10263.42</v>
      </c>
      <c r="Q32" s="21">
        <f>WORKDAY($B32, data!$AL$1, data!AM28:$AM$2041)</f>
        <v>45770</v>
      </c>
      <c r="R32" s="22" t="str">
        <f>IF( $Q32="", "", INDEX( data!$U$2:$U$8, WEEKDAY($Q32) ) )</f>
        <v>수</v>
      </c>
      <c r="S32" s="24">
        <f>_xll.IMBC($B$4, S$8, $Q32, $D32, "세전수익률")</f>
        <v>10264.129999999999</v>
      </c>
      <c r="T32" s="25">
        <f>_xll.IMBC($B$4, T$8, $Q32, $D32, "세전수익률")</f>
        <v>10107.6757</v>
      </c>
      <c r="U32" s="25">
        <f>_xll.IMBC($B$4, U$8, $Q32, $D32, "세전수익률")</f>
        <v>156.45599999999999</v>
      </c>
      <c r="V32" s="26">
        <f>_xll.IMBC($B$4, V$8, $Q32, $D32, "세전수익률")</f>
        <v>0.63</v>
      </c>
    </row>
    <row r="33" spans="2:22" s="6" customFormat="1" ht="13.5">
      <c r="B33" s="21">
        <f>IF(data!A29="", "", data!A29)</f>
        <v>45768</v>
      </c>
      <c r="C33" s="34" t="str">
        <f>IF( $B33="", "", INDEX( data!$U$2:$U$8, WEEKDAY($B33) ) )</f>
        <v>월</v>
      </c>
      <c r="D33" s="37">
        <f>IF( $B33="", "", CHOOSE(data!$V$1, data!B29, data!E29, data!V29) )</f>
        <v>2.5249999999999999</v>
      </c>
      <c r="E33" s="23">
        <f t="shared" si="0"/>
        <v>0</v>
      </c>
      <c r="F33" s="24">
        <f>IF( $B33="", "", CHOOSE(data!$V$1, data!C29, data!F29, data!W29) )</f>
        <v>10262.08</v>
      </c>
      <c r="G33" s="24">
        <f t="shared" si="1"/>
        <v>0.70999999999912689</v>
      </c>
      <c r="H33" s="26">
        <f>IF( $B33="", "", CHOOSE(data!$V$1, data!D29, data!G29, data!X29) )</f>
        <v>0.62379999999999991</v>
      </c>
      <c r="I33" s="37">
        <f>IF(data!H29="", "", data!H29)</f>
        <v>2.5249999999999999</v>
      </c>
      <c r="J33" s="40">
        <f>IF(data!I29="", "", data!I29)</f>
        <v>10262.08</v>
      </c>
      <c r="K33" s="37">
        <f>IF(data!J29="", "", data!J29)</f>
        <v>2.5249999999999999</v>
      </c>
      <c r="L33" s="40">
        <f>IF(data!K29="", "", data!K29)</f>
        <v>10262.08</v>
      </c>
      <c r="M33" s="37">
        <f>IF(data!L29="", "", data!L29)</f>
        <v>2.5150000000000001</v>
      </c>
      <c r="N33" s="40">
        <f>IF(data!M29="", "", data!M29)</f>
        <v>10262.709999999999</v>
      </c>
      <c r="O33" s="37">
        <f>IF(data!N29="", "", data!N29)</f>
        <v>2.5249999999999999</v>
      </c>
      <c r="P33" s="40">
        <f>IF(data!O29="", "", data!O29)</f>
        <v>10262.08</v>
      </c>
      <c r="Q33" s="21">
        <f>WORKDAY($B33, data!$AL$1, data!AM29:$AM$2041)</f>
        <v>45769</v>
      </c>
      <c r="R33" s="22" t="str">
        <f>IF( $Q33="", "", INDEX( data!$U$2:$U$8, WEEKDAY($Q33) ) )</f>
        <v>화</v>
      </c>
      <c r="S33" s="24">
        <f>_xll.IMBC($B$4, S$8, $Q33, $D33, "세전수익률")</f>
        <v>10262.790000000001</v>
      </c>
      <c r="T33" s="25">
        <f>_xll.IMBC($B$4, T$8, $Q33, $D33, "세전수익률")</f>
        <v>10107.502500000001</v>
      </c>
      <c r="U33" s="25">
        <f>_xll.IMBC($B$4, U$8, $Q33, $D33, "세전수익률")</f>
        <v>155.2884</v>
      </c>
      <c r="V33" s="26">
        <f>_xll.IMBC($B$4, V$8, $Q33, $D33, "세전수익률")</f>
        <v>0.63270000000000004</v>
      </c>
    </row>
    <row r="34" spans="2:22" s="6" customFormat="1" ht="13.5">
      <c r="B34" s="21">
        <f>IF(data!A30="", "", data!A30)</f>
        <v>45767</v>
      </c>
      <c r="C34" s="34" t="str">
        <f>IF( $B34="", "", INDEX( data!$U$2:$U$8, WEEKDAY($B34) ) )</f>
        <v>일</v>
      </c>
      <c r="D34" s="37">
        <f>IF( $B34="", "", CHOOSE(data!$V$1, data!B30, data!E30, data!V30) )</f>
        <v>2.5249999999999999</v>
      </c>
      <c r="E34" s="23">
        <f t="shared" si="0"/>
        <v>0</v>
      </c>
      <c r="F34" s="24">
        <f>IF( $B34="", "", CHOOSE(data!$V$1, data!C30, data!F30, data!W30) )</f>
        <v>10261.370000000001</v>
      </c>
      <c r="G34" s="24">
        <f t="shared" si="1"/>
        <v>0.71000000000094587</v>
      </c>
      <c r="H34" s="26">
        <f>IF( $B34="", "", CHOOSE(data!$V$1, data!D30, data!G30, data!X30) )</f>
        <v>0.62514999999999998</v>
      </c>
      <c r="I34" s="37">
        <f>IF(data!H30="", "", data!H30)</f>
        <v>2.5249999999999999</v>
      </c>
      <c r="J34" s="40">
        <f>IF(data!I30="", "", data!I30)</f>
        <v>10261.370000000001</v>
      </c>
      <c r="K34" s="37">
        <f>IF(data!J30="", "", data!J30)</f>
        <v>2.5249999999999999</v>
      </c>
      <c r="L34" s="40">
        <f>IF(data!K30="", "", data!K30)</f>
        <v>10261.370000000001</v>
      </c>
      <c r="M34" s="37">
        <f>IF(data!L30="", "", data!L30)</f>
        <v>2.5150000000000001</v>
      </c>
      <c r="N34" s="40">
        <f>IF(data!M30="", "", data!M30)</f>
        <v>10262.01</v>
      </c>
      <c r="O34" s="37">
        <f>IF(data!N30="", "", data!N30)</f>
        <v>2.5249999999999999</v>
      </c>
      <c r="P34" s="40">
        <f>IF(data!O30="", "", data!O30)</f>
        <v>10261.370000000001</v>
      </c>
      <c r="Q34" s="21">
        <f>WORKDAY($B34, data!$AL$1, data!AM30:$AM$2041)</f>
        <v>45768</v>
      </c>
      <c r="R34" s="22" t="str">
        <f>IF( $Q34="", "", INDEX( data!$U$2:$U$8, WEEKDAY($Q34) ) )</f>
        <v>월</v>
      </c>
      <c r="S34" s="24">
        <f>_xll.IMBC($B$4, S$8, $Q34, $D34, "세전수익률")</f>
        <v>10262.08</v>
      </c>
      <c r="T34" s="25">
        <f>_xll.IMBC($B$4, T$8, $Q34, $D34, "세전수익률")</f>
        <v>10107.9607</v>
      </c>
      <c r="U34" s="25">
        <f>_xll.IMBC($B$4, U$8, $Q34, $D34, "세전수익률")</f>
        <v>154.1208</v>
      </c>
      <c r="V34" s="26">
        <f>_xll.IMBC($B$4, V$8, $Q34, $D34, "세전수익률")</f>
        <v>0.63549999999999995</v>
      </c>
    </row>
    <row r="35" spans="2:22" s="6" customFormat="1" ht="13.5">
      <c r="B35" s="21">
        <f>IF(data!A31="", "", data!A31)</f>
        <v>45766</v>
      </c>
      <c r="C35" s="34" t="str">
        <f>IF( $B35="", "", INDEX( data!$U$2:$U$8, WEEKDAY($B35) ) )</f>
        <v>토</v>
      </c>
      <c r="D35" s="37">
        <f>IF( $B35="", "", CHOOSE(data!$V$1, data!B31, data!E31, data!V31) )</f>
        <v>2.5249999999999999</v>
      </c>
      <c r="E35" s="23">
        <f t="shared" si="0"/>
        <v>-1.0000000000000231</v>
      </c>
      <c r="F35" s="24">
        <f>IF( $B35="", "", CHOOSE(data!$V$1, data!C31, data!F31, data!W31) )</f>
        <v>10260.66</v>
      </c>
      <c r="G35" s="24">
        <f t="shared" si="1"/>
        <v>1.3600000000005821</v>
      </c>
      <c r="H35" s="26">
        <f>IF( $B35="", "", CHOOSE(data!$V$1, data!D31, data!G31, data!X31) )</f>
        <v>0.62650000000000006</v>
      </c>
      <c r="I35" s="37">
        <f>IF(data!H31="", "", data!H31)</f>
        <v>2.5249999999999999</v>
      </c>
      <c r="J35" s="40">
        <f>IF(data!I31="", "", data!I31)</f>
        <v>10260.66</v>
      </c>
      <c r="K35" s="37">
        <f>IF(data!J31="", "", data!J31)</f>
        <v>2.5249999999999999</v>
      </c>
      <c r="L35" s="40">
        <f>IF(data!K31="", "", data!K31)</f>
        <v>10260.66</v>
      </c>
      <c r="M35" s="37">
        <f>IF(data!L31="", "", data!L31)</f>
        <v>2.5150000000000001</v>
      </c>
      <c r="N35" s="40">
        <f>IF(data!M31="", "", data!M31)</f>
        <v>10261.299999999999</v>
      </c>
      <c r="O35" s="37">
        <f>IF(data!N31="", "", data!N31)</f>
        <v>2.5249999999999999</v>
      </c>
      <c r="P35" s="40">
        <f>IF(data!O31="", "", data!O31)</f>
        <v>10260.66</v>
      </c>
      <c r="Q35" s="21">
        <f>WORKDAY($B35, data!$AL$1, data!AM31:$AM$2041)</f>
        <v>45768</v>
      </c>
      <c r="R35" s="22" t="str">
        <f>IF( $Q35="", "", INDEX( data!$U$2:$U$8, WEEKDAY($Q35) ) )</f>
        <v>월</v>
      </c>
      <c r="S35" s="24">
        <f>_xll.IMBC($B$4, S$8, $Q35, $D35, "세전수익률")</f>
        <v>10262.08</v>
      </c>
      <c r="T35" s="25">
        <f>_xll.IMBC($B$4, T$8, $Q35, $D35, "세전수익률")</f>
        <v>10107.9607</v>
      </c>
      <c r="U35" s="25">
        <f>_xll.IMBC($B$4, U$8, $Q35, $D35, "세전수익률")</f>
        <v>154.1208</v>
      </c>
      <c r="V35" s="26">
        <f>_xll.IMBC($B$4, V$8, $Q35, $D35, "세전수익률")</f>
        <v>0.63549999999999995</v>
      </c>
    </row>
    <row r="36" spans="2:22" s="6" customFormat="1" ht="13.5">
      <c r="B36" s="21">
        <f>IF(data!A32="", "", data!A32)</f>
        <v>45765</v>
      </c>
      <c r="C36" s="34" t="str">
        <f>IF( $B36="", "", INDEX( data!$U$2:$U$8, WEEKDAY($B36) ) )</f>
        <v>금</v>
      </c>
      <c r="D36" s="37">
        <f>IF( $B36="", "", CHOOSE(data!$V$1, data!B32, data!E32, data!V32) )</f>
        <v>2.5350000000000001</v>
      </c>
      <c r="E36" s="23">
        <f t="shared" si="0"/>
        <v>-0.99999999999997868</v>
      </c>
      <c r="F36" s="24">
        <f>IF( $B36="", "", CHOOSE(data!$V$1, data!C32, data!F32, data!W32) )</f>
        <v>10259.299999999999</v>
      </c>
      <c r="G36" s="24">
        <f t="shared" si="1"/>
        <v>1.3599999999987631</v>
      </c>
      <c r="H36" s="26">
        <f>IF( $B36="", "", CHOOSE(data!$V$1, data!D32, data!G32, data!X32) )</f>
        <v>0.62914999999999999</v>
      </c>
      <c r="I36" s="37">
        <f>IF(data!H32="", "", data!H32)</f>
        <v>2.5350000000000001</v>
      </c>
      <c r="J36" s="40">
        <f>IF(data!I32="", "", data!I32)</f>
        <v>10259.299999999999</v>
      </c>
      <c r="K36" s="37">
        <f>IF(data!J32="", "", data!J32)</f>
        <v>2.5350000000000001</v>
      </c>
      <c r="L36" s="40">
        <f>IF(data!K32="", "", data!K32)</f>
        <v>10259.299999999999</v>
      </c>
      <c r="M36" s="37">
        <f>IF(data!L32="", "", data!L32)</f>
        <v>2.5369999999999999</v>
      </c>
      <c r="N36" s="40">
        <f>IF(data!M32="", "", data!M32)</f>
        <v>10259.17</v>
      </c>
      <c r="O36" s="37">
        <f>IF(data!N32="", "", data!N32)</f>
        <v>2.5350000000000001</v>
      </c>
      <c r="P36" s="40">
        <f>IF(data!O32="", "", data!O32)</f>
        <v>10259.299999999999</v>
      </c>
      <c r="Q36" s="21">
        <f>WORKDAY($B36, data!$AL$1, data!AM32:$AM$2041)</f>
        <v>45768</v>
      </c>
      <c r="R36" s="22" t="str">
        <f>IF( $Q36="", "", INDEX( data!$U$2:$U$8, WEEKDAY($Q36) ) )</f>
        <v>월</v>
      </c>
      <c r="S36" s="24">
        <f>_xll.IMBC($B$4, S$8, $Q36, $D36, "세전수익률")</f>
        <v>10261.44</v>
      </c>
      <c r="T36" s="25">
        <f>_xll.IMBC($B$4, T$8, $Q36, $D36, "세전수익률")</f>
        <v>10107.324000000001</v>
      </c>
      <c r="U36" s="25">
        <f>_xll.IMBC($B$4, U$8, $Q36, $D36, "세전수익률")</f>
        <v>154.1208</v>
      </c>
      <c r="V36" s="26">
        <f>_xll.IMBC($B$4, V$8, $Q36, $D36, "세전수익률")</f>
        <v>0.63539999999999996</v>
      </c>
    </row>
    <row r="37" spans="2:22" s="6" customFormat="1" ht="13.5">
      <c r="B37" s="21">
        <f>IF(data!A33="", "", data!A33)</f>
        <v>45764</v>
      </c>
      <c r="C37" s="34" t="str">
        <f>IF( $B37="", "", INDEX( data!$U$2:$U$8, WEEKDAY($B37) ) )</f>
        <v>목</v>
      </c>
      <c r="D37" s="37">
        <f>IF( $B37="", "", CHOOSE(data!$V$1, data!B33, data!E33, data!V33) )</f>
        <v>2.5449999999999999</v>
      </c>
      <c r="E37" s="23">
        <f t="shared" si="0"/>
        <v>-3.0000000000000249</v>
      </c>
      <c r="F37" s="24">
        <f>IF( $B37="", "", CHOOSE(data!$V$1, data!C33, data!F33, data!W33) )</f>
        <v>10257.94</v>
      </c>
      <c r="G37" s="24">
        <f t="shared" si="1"/>
        <v>2.6599999999998545</v>
      </c>
      <c r="H37" s="26">
        <f>IF( $B37="", "", CHOOSE(data!$V$1, data!D33, data!G33, data!X33) )</f>
        <v>0.63180000000000003</v>
      </c>
      <c r="I37" s="37">
        <f>IF(data!H33="", "", data!H33)</f>
        <v>2.5449999999999999</v>
      </c>
      <c r="J37" s="40">
        <f>IF(data!I33="", "", data!I33)</f>
        <v>10257.94</v>
      </c>
      <c r="K37" s="37">
        <f>IF(data!J33="", "", data!J33)</f>
        <v>2.5449999999999999</v>
      </c>
      <c r="L37" s="40">
        <f>IF(data!K33="", "", data!K33)</f>
        <v>10257.94</v>
      </c>
      <c r="M37" s="37">
        <f>IF(data!L33="", "", data!L33)</f>
        <v>2.5350000000000001</v>
      </c>
      <c r="N37" s="40">
        <f>IF(data!M33="", "", data!M33)</f>
        <v>10258.59</v>
      </c>
      <c r="O37" s="37">
        <f>IF(data!N33="", "", data!N33)</f>
        <v>2.5449999999999999</v>
      </c>
      <c r="P37" s="40">
        <f>IF(data!O33="", "", data!O33)</f>
        <v>10257.94</v>
      </c>
      <c r="Q37" s="21">
        <f>WORKDAY($B37, data!$AL$1, data!AM33:$AM$2041)</f>
        <v>45765</v>
      </c>
      <c r="R37" s="22" t="str">
        <f>IF( $Q37="", "", INDEX( data!$U$2:$U$8, WEEKDAY($Q37) ) )</f>
        <v>금</v>
      </c>
      <c r="S37" s="24">
        <f>_xll.IMBC($B$4, S$8, $Q37, $D37, "세전수익률")</f>
        <v>10258.66</v>
      </c>
      <c r="T37" s="25">
        <f>_xll.IMBC($B$4, T$8, $Q37, $D37, "세전수익률")</f>
        <v>10108.0458</v>
      </c>
      <c r="U37" s="25">
        <f>_xll.IMBC($B$4, U$8, $Q37, $D37, "세전수익률")</f>
        <v>150.6181</v>
      </c>
      <c r="V37" s="26">
        <f>_xll.IMBC($B$4, V$8, $Q37, $D37, "세전수익률")</f>
        <v>0.64349999999999996</v>
      </c>
    </row>
    <row r="38" spans="2:22" s="6" customFormat="1" ht="13.5">
      <c r="B38" s="21">
        <f>IF(data!A34="", "", data!A34)</f>
        <v>45763</v>
      </c>
      <c r="C38" s="34" t="str">
        <f>IF( $B38="", "", INDEX( data!$U$2:$U$8, WEEKDAY($B38) ) )</f>
        <v>수</v>
      </c>
      <c r="D38" s="37">
        <f>IF( $B38="", "", CHOOSE(data!$V$1, data!B34, data!E34, data!V34) )</f>
        <v>2.5750000000000002</v>
      </c>
      <c r="E38" s="23">
        <f t="shared" si="0"/>
        <v>-0.74999999999998401</v>
      </c>
      <c r="F38" s="24">
        <f>IF( $B38="", "", CHOOSE(data!$V$1, data!C34, data!F34, data!W34) )</f>
        <v>10255.280000000001</v>
      </c>
      <c r="G38" s="24">
        <f t="shared" si="1"/>
        <v>1.2150000000019645</v>
      </c>
      <c r="H38" s="26">
        <f>IF( $B38="", "", CHOOSE(data!$V$1, data!D34, data!G34, data!X34) )</f>
        <v>0.63439999999999996</v>
      </c>
      <c r="I38" s="37">
        <f>IF(data!H34="", "", data!H34)</f>
        <v>2.5750000000000002</v>
      </c>
      <c r="J38" s="40">
        <f>IF(data!I34="", "", data!I34)</f>
        <v>10255.280000000001</v>
      </c>
      <c r="K38" s="37">
        <f>IF(data!J34="", "", data!J34)</f>
        <v>2.5750000000000002</v>
      </c>
      <c r="L38" s="40">
        <f>IF(data!K34="", "", data!K34)</f>
        <v>10255.280000000001</v>
      </c>
      <c r="M38" s="37">
        <f>IF(data!L34="", "", data!L34)</f>
        <v>2.56</v>
      </c>
      <c r="N38" s="40">
        <f>IF(data!M34="", "", data!M34)</f>
        <v>10256.25</v>
      </c>
      <c r="O38" s="37">
        <f>IF(data!N34="", "", data!N34)</f>
        <v>2.5750000000000002</v>
      </c>
      <c r="P38" s="40">
        <f>IF(data!O34="", "", data!O34)</f>
        <v>10255.280000000001</v>
      </c>
      <c r="Q38" s="21">
        <f>WORKDAY($B38, data!$AL$1, data!AM34:$AM$2041)</f>
        <v>45764</v>
      </c>
      <c r="R38" s="22" t="str">
        <f>IF( $Q38="", "", INDEX( data!$U$2:$U$8, WEEKDAY($Q38) ) )</f>
        <v>목</v>
      </c>
      <c r="S38" s="24">
        <f>_xll.IMBC($B$4, S$8, $Q38, $D38, "세전수익률")</f>
        <v>10256</v>
      </c>
      <c r="T38" s="25">
        <f>_xll.IMBC($B$4, T$8, $Q38, $D38, "세전수익률")</f>
        <v>10106.5563</v>
      </c>
      <c r="U38" s="25">
        <f>_xll.IMBC($B$4, U$8, $Q38, $D38, "세전수익률")</f>
        <v>149.45050000000001</v>
      </c>
      <c r="V38" s="26">
        <f>_xll.IMBC($B$4, V$8, $Q38, $D38, "세전수익률")</f>
        <v>0.64600000000000002</v>
      </c>
    </row>
    <row r="39" spans="2:22" s="6" customFormat="1" ht="13.5">
      <c r="B39" s="21">
        <f>IF(data!A35="", "", data!A35)</f>
        <v>45762</v>
      </c>
      <c r="C39" s="34" t="str">
        <f>IF( $B39="", "", INDEX( data!$U$2:$U$8, WEEKDAY($B39) ) )</f>
        <v>화</v>
      </c>
      <c r="D39" s="37">
        <f>IF( $B39="", "", CHOOSE(data!$V$1, data!B35, data!E35, data!V35) )</f>
        <v>2.5825</v>
      </c>
      <c r="E39" s="23">
        <f t="shared" si="0"/>
        <v>0</v>
      </c>
      <c r="F39" s="24">
        <f>IF( $B39="", "", CHOOSE(data!$V$1, data!C35, data!F35, data!W35) )</f>
        <v>10254.064999999999</v>
      </c>
      <c r="G39" s="24">
        <f t="shared" si="1"/>
        <v>0.71999999999752617</v>
      </c>
      <c r="H39" s="26">
        <f>IF( $B39="", "", CHOOSE(data!$V$1, data!D35, data!G35, data!X35) )</f>
        <v>0.6371</v>
      </c>
      <c r="I39" s="37">
        <f>IF(data!H35="", "", data!H35)</f>
        <v>2.585</v>
      </c>
      <c r="J39" s="40">
        <f>IF(data!I35="", "", data!I35)</f>
        <v>10253.9</v>
      </c>
      <c r="K39" s="37">
        <f>IF(data!J35="", "", data!J35)</f>
        <v>2.58</v>
      </c>
      <c r="L39" s="40">
        <f>IF(data!K35="", "", data!K35)</f>
        <v>10254.23</v>
      </c>
      <c r="M39" s="37">
        <f>IF(data!L35="", "", data!L35)</f>
        <v>2.56</v>
      </c>
      <c r="N39" s="40">
        <f>IF(data!M35="", "", data!M35)</f>
        <v>10255.540000000001</v>
      </c>
      <c r="O39" s="37">
        <f>IF(data!N35="", "", data!N35)</f>
        <v>2.58</v>
      </c>
      <c r="P39" s="40">
        <f>IF(data!O35="", "", data!O35)</f>
        <v>10254.23</v>
      </c>
      <c r="Q39" s="21">
        <f>WORKDAY($B39, data!$AL$1, data!AM35:$AM$2041)</f>
        <v>45763</v>
      </c>
      <c r="R39" s="22" t="str">
        <f>IF( $Q39="", "", INDEX( data!$U$2:$U$8, WEEKDAY($Q39) ) )</f>
        <v>수</v>
      </c>
      <c r="S39" s="24">
        <f>_xll.IMBC($B$4, S$8, $Q39, $D39, "세전수익률")</f>
        <v>10254.790000000001</v>
      </c>
      <c r="T39" s="25">
        <f>_xll.IMBC($B$4, T$8, $Q39, $D39, "세전수익률")</f>
        <v>10106.5136</v>
      </c>
      <c r="U39" s="25">
        <f>_xll.IMBC($B$4, U$8, $Q39, $D39, "세전수익률")</f>
        <v>148.28290000000001</v>
      </c>
      <c r="V39" s="26">
        <f>_xll.IMBC($B$4, V$8, $Q39, $D39, "세전수익률")</f>
        <v>0.64870000000000005</v>
      </c>
    </row>
    <row r="40" spans="2:22" s="6" customFormat="1" ht="13.5">
      <c r="B40" s="21">
        <f>IF(data!A36="", "", data!A36)</f>
        <v>45761</v>
      </c>
      <c r="C40" s="34" t="str">
        <f>IF( $B40="", "", INDEX( data!$U$2:$U$8, WEEKDAY($B40) ) )</f>
        <v>월</v>
      </c>
      <c r="D40" s="37">
        <f>IF( $B40="", "", CHOOSE(data!$V$1, data!B36, data!E36, data!V36) )</f>
        <v>2.5825</v>
      </c>
      <c r="E40" s="23">
        <f t="shared" si="0"/>
        <v>0</v>
      </c>
      <c r="F40" s="24">
        <f>IF( $B40="", "", CHOOSE(data!$V$1, data!C36, data!F36, data!W36) )</f>
        <v>10253.345000000001</v>
      </c>
      <c r="G40" s="24">
        <f t="shared" si="1"/>
        <v>0.72999999999956344</v>
      </c>
      <c r="H40" s="26">
        <f>IF( $B40="", "", CHOOSE(data!$V$1, data!D36, data!G36, data!X36) )</f>
        <v>0.64254999999999995</v>
      </c>
      <c r="I40" s="37">
        <f>IF(data!H36="", "", data!H36)</f>
        <v>2.585</v>
      </c>
      <c r="J40" s="40">
        <f>IF(data!I36="", "", data!I36)</f>
        <v>10253.18</v>
      </c>
      <c r="K40" s="37">
        <f>IF(data!J36="", "", data!J36)</f>
        <v>2.58</v>
      </c>
      <c r="L40" s="40">
        <f>IF(data!K36="", "", data!K36)</f>
        <v>10253.51</v>
      </c>
      <c r="M40" s="37">
        <f>IF(data!L36="", "", data!L36)</f>
        <v>2.57</v>
      </c>
      <c r="N40" s="40">
        <f>IF(data!M36="", "", data!M36)</f>
        <v>10254.16</v>
      </c>
      <c r="O40" s="37">
        <f>IF(data!N36="", "", data!N36)</f>
        <v>2.58</v>
      </c>
      <c r="P40" s="40">
        <f>IF(data!O36="", "", data!O36)</f>
        <v>10253.51</v>
      </c>
      <c r="Q40" s="21">
        <f>WORKDAY($B40, data!$AL$1, data!AM36:$AM$2041)</f>
        <v>45762</v>
      </c>
      <c r="R40" s="22" t="str">
        <f>IF( $Q40="", "", INDEX( data!$U$2:$U$8, WEEKDAY($Q40) ) )</f>
        <v>화</v>
      </c>
      <c r="S40" s="24">
        <f>_xll.IMBC($B$4, S$8, $Q40, $D40, "세전수익률")</f>
        <v>10254.07</v>
      </c>
      <c r="T40" s="25">
        <f>_xll.IMBC($B$4, T$8, $Q40, $D40, "세전수익률")</f>
        <v>10106.9565</v>
      </c>
      <c r="U40" s="25">
        <f>_xll.IMBC($B$4, U$8, $Q40, $D40, "세전수익률")</f>
        <v>147.11529999999999</v>
      </c>
      <c r="V40" s="26">
        <f>_xll.IMBC($B$4, V$8, $Q40, $D40, "세전수익률")</f>
        <v>0.65149999999999997</v>
      </c>
    </row>
    <row r="41" spans="2:22" s="6" customFormat="1" ht="13.5">
      <c r="B41" s="21">
        <f>IF(data!A37="", "", data!A37)</f>
        <v>45760</v>
      </c>
      <c r="C41" s="34" t="str">
        <f>IF( $B41="", "", INDEX( data!$U$2:$U$8, WEEKDAY($B41) ) )</f>
        <v>일</v>
      </c>
      <c r="D41" s="37">
        <f>IF( $B41="", "", CHOOSE(data!$V$1, data!B37, data!E37, data!V37) )</f>
        <v>2.5825</v>
      </c>
      <c r="E41" s="23">
        <f t="shared" si="0"/>
        <v>0</v>
      </c>
      <c r="F41" s="24">
        <f>IF( $B41="", "", CHOOSE(data!$V$1, data!C37, data!F37, data!W37) )</f>
        <v>10252.615000000002</v>
      </c>
      <c r="G41" s="24">
        <f t="shared" si="1"/>
        <v>0.72000000000116415</v>
      </c>
      <c r="H41" s="26">
        <f>IF( $B41="", "", CHOOSE(data!$V$1, data!D37, data!G37, data!X37) )</f>
        <v>0.64389999999999992</v>
      </c>
      <c r="I41" s="37">
        <f>IF(data!H37="", "", data!H37)</f>
        <v>2.585</v>
      </c>
      <c r="J41" s="40">
        <f>IF(data!I37="", "", data!I37)</f>
        <v>10252.450000000001</v>
      </c>
      <c r="K41" s="37">
        <f>IF(data!J37="", "", data!J37)</f>
        <v>2.58</v>
      </c>
      <c r="L41" s="40">
        <f>IF(data!K37="", "", data!K37)</f>
        <v>10252.780000000001</v>
      </c>
      <c r="M41" s="37">
        <f>IF(data!L37="", "", data!L37)</f>
        <v>2.57</v>
      </c>
      <c r="N41" s="40">
        <f>IF(data!M37="", "", data!M37)</f>
        <v>10253.44</v>
      </c>
      <c r="O41" s="37">
        <f>IF(data!N37="", "", data!N37)</f>
        <v>2.58</v>
      </c>
      <c r="P41" s="40">
        <f>IF(data!O37="", "", data!O37)</f>
        <v>10252.780000000001</v>
      </c>
      <c r="Q41" s="21">
        <f>WORKDAY($B41, data!$AL$1, data!AM37:$AM$2041)</f>
        <v>45761</v>
      </c>
      <c r="R41" s="22" t="str">
        <f>IF( $Q41="", "", INDEX( data!$U$2:$U$8, WEEKDAY($Q41) ) )</f>
        <v>월</v>
      </c>
      <c r="S41" s="24">
        <f>_xll.IMBC($B$4, S$8, $Q41, $D41, "세전수익률")</f>
        <v>10253.34</v>
      </c>
      <c r="T41" s="25">
        <f>_xll.IMBC($B$4, T$8, $Q41, $D41, "세전수익률")</f>
        <v>10107.3995</v>
      </c>
      <c r="U41" s="25">
        <f>_xll.IMBC($B$4, U$8, $Q41, $D41, "세전수익률")</f>
        <v>145.9478</v>
      </c>
      <c r="V41" s="26">
        <f>_xll.IMBC($B$4, V$8, $Q41, $D41, "세전수익률")</f>
        <v>0.6542</v>
      </c>
    </row>
    <row r="42" spans="2:22" s="6" customFormat="1" ht="13.5">
      <c r="B42" s="21">
        <f>IF(data!A38="", "", data!A38)</f>
        <v>45759</v>
      </c>
      <c r="C42" s="34" t="str">
        <f>IF( $B42="", "", INDEX( data!$U$2:$U$8, WEEKDAY($B42) ) )</f>
        <v>토</v>
      </c>
      <c r="D42" s="37">
        <f>IF( $B42="", "", CHOOSE(data!$V$1, data!B38, data!E38, data!V38) )</f>
        <v>2.5825</v>
      </c>
      <c r="E42" s="23">
        <f t="shared" si="0"/>
        <v>0</v>
      </c>
      <c r="F42" s="24">
        <f>IF( $B42="", "", CHOOSE(data!$V$1, data!C38, data!F38, data!W38) )</f>
        <v>10251.895</v>
      </c>
      <c r="G42" s="24">
        <f t="shared" si="1"/>
        <v>0.7250000000003638</v>
      </c>
      <c r="H42" s="26">
        <f>IF( $B42="", "", CHOOSE(data!$V$1, data!D38, data!G38, data!X38) )</f>
        <v>0.64529999999999998</v>
      </c>
      <c r="I42" s="37">
        <f>IF(data!H38="", "", data!H38)</f>
        <v>2.585</v>
      </c>
      <c r="J42" s="40">
        <f>IF(data!I38="", "", data!I38)</f>
        <v>10251.73</v>
      </c>
      <c r="K42" s="37">
        <f>IF(data!J38="", "", data!J38)</f>
        <v>2.58</v>
      </c>
      <c r="L42" s="40">
        <f>IF(data!K38="", "", data!K38)</f>
        <v>10252.06</v>
      </c>
      <c r="M42" s="37">
        <f>IF(data!L38="", "", data!L38)</f>
        <v>2.57</v>
      </c>
      <c r="N42" s="40">
        <f>IF(data!M38="", "", data!M38)</f>
        <v>10252.719999999999</v>
      </c>
      <c r="O42" s="37">
        <f>IF(data!N38="", "", data!N38)</f>
        <v>2.58</v>
      </c>
      <c r="P42" s="40">
        <f>IF(data!O38="", "", data!O38)</f>
        <v>10252.06</v>
      </c>
      <c r="Q42" s="21">
        <f>WORKDAY($B42, data!$AL$1, data!AM38:$AM$2041)</f>
        <v>45761</v>
      </c>
      <c r="R42" s="22" t="str">
        <f>IF( $Q42="", "", INDEX( data!$U$2:$U$8, WEEKDAY($Q42) ) )</f>
        <v>월</v>
      </c>
      <c r="S42" s="24">
        <f>_xll.IMBC($B$4, S$8, $Q42, $D42, "세전수익률")</f>
        <v>10253.34</v>
      </c>
      <c r="T42" s="25">
        <f>_xll.IMBC($B$4, T$8, $Q42, $D42, "세전수익률")</f>
        <v>10107.3995</v>
      </c>
      <c r="U42" s="25">
        <f>_xll.IMBC($B$4, U$8, $Q42, $D42, "세전수익률")</f>
        <v>145.9478</v>
      </c>
      <c r="V42" s="26">
        <f>_xll.IMBC($B$4, V$8, $Q42, $D42, "세전수익률")</f>
        <v>0.6542</v>
      </c>
    </row>
    <row r="43" spans="2:22" s="6" customFormat="1" ht="13.5">
      <c r="B43" s="21">
        <f>IF(data!A39="", "", data!A39)</f>
        <v>45758</v>
      </c>
      <c r="C43" s="34" t="str">
        <f>IF( $B43="", "", INDEX( data!$U$2:$U$8, WEEKDAY($B43) ) )</f>
        <v>금</v>
      </c>
      <c r="D43" s="37">
        <f>IF( $B43="", "", CHOOSE(data!$V$1, data!B39, data!E39, data!V39) )</f>
        <v>2.5825</v>
      </c>
      <c r="E43" s="23">
        <f t="shared" si="0"/>
        <v>0</v>
      </c>
      <c r="F43" s="24">
        <f>IF( $B43="", "", CHOOSE(data!$V$1, data!C39, data!F39, data!W39) )</f>
        <v>10251.17</v>
      </c>
      <c r="G43" s="24">
        <f t="shared" si="1"/>
        <v>0.7250000000003638</v>
      </c>
      <c r="H43" s="26">
        <f>IF( $B43="", "", CHOOSE(data!$V$1, data!D39, data!G39, data!X39) )</f>
        <v>0.64800000000000002</v>
      </c>
      <c r="I43" s="37">
        <f>IF(data!H39="", "", data!H39)</f>
        <v>2.585</v>
      </c>
      <c r="J43" s="40">
        <f>IF(data!I39="", "", data!I39)</f>
        <v>10251</v>
      </c>
      <c r="K43" s="37">
        <f>IF(data!J39="", "", data!J39)</f>
        <v>2.58</v>
      </c>
      <c r="L43" s="40">
        <f>IF(data!K39="", "", data!K39)</f>
        <v>10251.34</v>
      </c>
      <c r="M43" s="37">
        <f>IF(data!L39="", "", data!L39)</f>
        <v>2.57</v>
      </c>
      <c r="N43" s="40">
        <f>IF(data!M39="", "", data!M39)</f>
        <v>10252</v>
      </c>
      <c r="O43" s="37">
        <f>IF(data!N39="", "", data!N39)</f>
        <v>2.58</v>
      </c>
      <c r="P43" s="40">
        <f>IF(data!O39="", "", data!O39)</f>
        <v>10251.34</v>
      </c>
      <c r="Q43" s="21">
        <f>WORKDAY($B43, data!$AL$1, data!AM39:$AM$2041)</f>
        <v>45761</v>
      </c>
      <c r="R43" s="22" t="str">
        <f>IF( $Q43="", "", INDEX( data!$U$2:$U$8, WEEKDAY($Q43) ) )</f>
        <v>월</v>
      </c>
      <c r="S43" s="24">
        <f>_xll.IMBC($B$4, S$8, $Q43, $D43, "세전수익률")</f>
        <v>10253.34</v>
      </c>
      <c r="T43" s="25">
        <f>_xll.IMBC($B$4, T$8, $Q43, $D43, "세전수익률")</f>
        <v>10107.3995</v>
      </c>
      <c r="U43" s="25">
        <f>_xll.IMBC($B$4, U$8, $Q43, $D43, "세전수익률")</f>
        <v>145.9478</v>
      </c>
      <c r="V43" s="26">
        <f>_xll.IMBC($B$4, V$8, $Q43, $D43, "세전수익률")</f>
        <v>0.6542</v>
      </c>
    </row>
    <row r="44" spans="2:22" s="6" customFormat="1" ht="13.5">
      <c r="B44" s="21">
        <f>IF(data!A40="", "", data!A40)</f>
        <v>45757</v>
      </c>
      <c r="C44" s="34" t="str">
        <f>IF( $B44="", "", INDEX( data!$U$2:$U$8, WEEKDAY($B44) ) )</f>
        <v>목</v>
      </c>
      <c r="D44" s="37">
        <f>IF( $B44="", "", CHOOSE(data!$V$1, data!B40, data!E40, data!V40) )</f>
        <v>2.5825</v>
      </c>
      <c r="E44" s="23">
        <f t="shared" si="0"/>
        <v>0</v>
      </c>
      <c r="F44" s="24">
        <f>IF( $B44="", "", CHOOSE(data!$V$1, data!C40, data!F40, data!W40) )</f>
        <v>10250.445</v>
      </c>
      <c r="G44" s="24">
        <f t="shared" si="1"/>
        <v>0.7250000000003638</v>
      </c>
      <c r="H44" s="26">
        <f>IF( $B44="", "", CHOOSE(data!$V$1, data!D40, data!G40, data!X40) )</f>
        <v>0.65070000000000006</v>
      </c>
      <c r="I44" s="37">
        <f>IF(data!H40="", "", data!H40)</f>
        <v>2.585</v>
      </c>
      <c r="J44" s="40">
        <f>IF(data!I40="", "", data!I40)</f>
        <v>10250.280000000001</v>
      </c>
      <c r="K44" s="37">
        <f>IF(data!J40="", "", data!J40)</f>
        <v>2.58</v>
      </c>
      <c r="L44" s="40">
        <f>IF(data!K40="", "", data!K40)</f>
        <v>10250.61</v>
      </c>
      <c r="M44" s="37">
        <f>IF(data!L40="", "", data!L40)</f>
        <v>2.5750000000000002</v>
      </c>
      <c r="N44" s="40">
        <f>IF(data!M40="", "", data!M40)</f>
        <v>10250.950000000001</v>
      </c>
      <c r="O44" s="37">
        <f>IF(data!N40="", "", data!N40)</f>
        <v>2.58</v>
      </c>
      <c r="P44" s="40">
        <f>IF(data!O40="", "", data!O40)</f>
        <v>10250.61</v>
      </c>
      <c r="Q44" s="21">
        <f>WORKDAY($B44, data!$AL$1, data!AM40:$AM$2041)</f>
        <v>45758</v>
      </c>
      <c r="R44" s="22" t="str">
        <f>IF( $Q44="", "", INDEX( data!$U$2:$U$8, WEEKDAY($Q44) ) )</f>
        <v>금</v>
      </c>
      <c r="S44" s="24">
        <f>_xll.IMBC($B$4, S$8, $Q44, $D44, "세전수익률")</f>
        <v>10251.17</v>
      </c>
      <c r="T44" s="25">
        <f>_xll.IMBC($B$4, T$8, $Q44, $D44, "세전수익률")</f>
        <v>10108.7291</v>
      </c>
      <c r="U44" s="25">
        <f>_xll.IMBC($B$4, U$8, $Q44, $D44, "세전수익률")</f>
        <v>142.44499999999999</v>
      </c>
      <c r="V44" s="26">
        <f>_xll.IMBC($B$4, V$8, $Q44, $D44, "세전수익률")</f>
        <v>0.66239999999999999</v>
      </c>
    </row>
    <row r="45" spans="2:22" s="6" customFormat="1" ht="13.5">
      <c r="B45" s="21">
        <f>IF(data!A41="", "", data!A41)</f>
        <v>45756</v>
      </c>
      <c r="C45" s="34" t="str">
        <f>IF( $B45="", "", INDEX( data!$U$2:$U$8, WEEKDAY($B45) ) )</f>
        <v>수</v>
      </c>
      <c r="D45" s="37">
        <f>IF( $B45="", "", CHOOSE(data!$V$1, data!B41, data!E41, data!V41) )</f>
        <v>2.5825</v>
      </c>
      <c r="E45" s="23">
        <f t="shared" si="0"/>
        <v>0.49999999999998934</v>
      </c>
      <c r="F45" s="24">
        <f>IF( $B45="", "", CHOOSE(data!$V$1, data!C41, data!F41, data!W41) )</f>
        <v>10249.719999999999</v>
      </c>
      <c r="G45" s="24">
        <f t="shared" si="1"/>
        <v>0.38500000000021828</v>
      </c>
      <c r="H45" s="26">
        <f>IF( $B45="", "", CHOOSE(data!$V$1, data!D41, data!G41, data!X41) )</f>
        <v>0.65339999999999998</v>
      </c>
      <c r="I45" s="37">
        <f>IF(data!H41="", "", data!H41)</f>
        <v>2.585</v>
      </c>
      <c r="J45" s="40">
        <f>IF(data!I41="", "", data!I41)</f>
        <v>10249.549999999999</v>
      </c>
      <c r="K45" s="37">
        <f>IF(data!J41="", "", data!J41)</f>
        <v>2.58</v>
      </c>
      <c r="L45" s="40">
        <f>IF(data!K41="", "", data!K41)</f>
        <v>10249.89</v>
      </c>
      <c r="M45" s="37">
        <f>IF(data!L41="", "", data!L41)</f>
        <v>2.59</v>
      </c>
      <c r="N45" s="40">
        <f>IF(data!M41="", "", data!M41)</f>
        <v>10249.219999999999</v>
      </c>
      <c r="O45" s="37">
        <f>IF(data!N41="", "", data!N41)</f>
        <v>2.58</v>
      </c>
      <c r="P45" s="40">
        <f>IF(data!O41="", "", data!O41)</f>
        <v>10249.89</v>
      </c>
      <c r="Q45" s="21">
        <f>WORKDAY($B45, data!$AL$1, data!AM41:$AM$2041)</f>
        <v>45757</v>
      </c>
      <c r="R45" s="22" t="str">
        <f>IF( $Q45="", "", INDEX( data!$U$2:$U$8, WEEKDAY($Q45) ) )</f>
        <v>목</v>
      </c>
      <c r="S45" s="24">
        <f>_xll.IMBC($B$4, S$8, $Q45, $D45, "세전수익률")</f>
        <v>10250.450000000001</v>
      </c>
      <c r="T45" s="25">
        <f>_xll.IMBC($B$4, T$8, $Q45, $D45, "세전수익률")</f>
        <v>10109.1726</v>
      </c>
      <c r="U45" s="25">
        <f>_xll.IMBC($B$4, U$8, $Q45, $D45, "세전수익률")</f>
        <v>141.2774</v>
      </c>
      <c r="V45" s="26">
        <f>_xll.IMBC($B$4, V$8, $Q45, $D45, "세전수익률")</f>
        <v>0.66510000000000002</v>
      </c>
    </row>
    <row r="46" spans="2:22" s="6" customFormat="1" ht="13.5">
      <c r="B46" s="21">
        <f>IF(data!A42="", "", data!A42)</f>
        <v>45755</v>
      </c>
      <c r="C46" s="34" t="str">
        <f>IF( $B46="", "", INDEX( data!$U$2:$U$8, WEEKDAY($B46) ) )</f>
        <v>화</v>
      </c>
      <c r="D46" s="37">
        <f>IF( $B46="", "", CHOOSE(data!$V$1, data!B42, data!E42, data!V42) )</f>
        <v>2.5775000000000001</v>
      </c>
      <c r="E46" s="23">
        <f t="shared" si="0"/>
        <v>-0.74999999999998401</v>
      </c>
      <c r="F46" s="24">
        <f>IF( $B46="", "", CHOOSE(data!$V$1, data!C42, data!F42, data!W42) )</f>
        <v>10249.334999999999</v>
      </c>
      <c r="G46" s="24">
        <f t="shared" si="1"/>
        <v>1.2299999999995634</v>
      </c>
      <c r="H46" s="26">
        <f>IF( $B46="", "", CHOOSE(data!$V$1, data!D42, data!G42, data!X42) )</f>
        <v>0.65610000000000002</v>
      </c>
      <c r="I46" s="37">
        <f>IF(data!H42="", "", data!H42)</f>
        <v>2.58</v>
      </c>
      <c r="J46" s="40">
        <f>IF(data!I42="", "", data!I42)</f>
        <v>10249.17</v>
      </c>
      <c r="K46" s="37">
        <f>IF(data!J42="", "", data!J42)</f>
        <v>2.5750000000000002</v>
      </c>
      <c r="L46" s="40">
        <f>IF(data!K42="", "", data!K42)</f>
        <v>10249.5</v>
      </c>
      <c r="M46" s="37">
        <f>IF(data!L42="", "", data!L42)</f>
        <v>2.58</v>
      </c>
      <c r="N46" s="40">
        <f>IF(data!M42="", "", data!M42)</f>
        <v>10249.17</v>
      </c>
      <c r="O46" s="37">
        <f>IF(data!N42="", "", data!N42)</f>
        <v>2.5750000000000002</v>
      </c>
      <c r="P46" s="40">
        <f>IF(data!O42="", "", data!O42)</f>
        <v>10249.5</v>
      </c>
      <c r="Q46" s="21">
        <f>WORKDAY($B46, data!$AL$1, data!AM42:$AM$2041)</f>
        <v>45757</v>
      </c>
      <c r="R46" s="22" t="str">
        <f>IF( $Q46="", "", INDEX( data!$U$2:$U$8, WEEKDAY($Q46) ) )</f>
        <v>목</v>
      </c>
      <c r="S46" s="24">
        <f>_xll.IMBC($B$4, S$8, $Q46, $D46, "세전수익률")</f>
        <v>10250.780000000001</v>
      </c>
      <c r="T46" s="25">
        <f>_xll.IMBC($B$4, T$8, $Q46, $D46, "세전수익률")</f>
        <v>10109.5059</v>
      </c>
      <c r="U46" s="25">
        <f>_xll.IMBC($B$4, U$8, $Q46, $D46, "세전수익률")</f>
        <v>141.2774</v>
      </c>
      <c r="V46" s="26">
        <f>_xll.IMBC($B$4, V$8, $Q46, $D46, "세전수익률")</f>
        <v>0.66520000000000001</v>
      </c>
    </row>
    <row r="47" spans="2:22" s="6" customFormat="1" ht="13.5">
      <c r="B47" s="21">
        <f>IF(data!A43="", "", data!A43)</f>
        <v>45754</v>
      </c>
      <c r="C47" s="34" t="str">
        <f>IF( $B47="", "", INDEX( data!$U$2:$U$8, WEEKDAY($B47) ) )</f>
        <v>월</v>
      </c>
      <c r="D47" s="37">
        <f>IF( $B47="", "", CHOOSE(data!$V$1, data!B43, data!E43, data!V43) )</f>
        <v>2.585</v>
      </c>
      <c r="E47" s="23">
        <f t="shared" si="0"/>
        <v>0</v>
      </c>
      <c r="F47" s="24">
        <f>IF( $B47="", "", CHOOSE(data!$V$1, data!C43, data!F43, data!W43) )</f>
        <v>10248.105</v>
      </c>
      <c r="G47" s="24">
        <f t="shared" si="1"/>
        <v>0.72499999999854481</v>
      </c>
      <c r="H47" s="26">
        <f>IF( $B47="", "", CHOOSE(data!$V$1, data!D43, data!G43, data!X43) )</f>
        <v>0.66149999999999998</v>
      </c>
      <c r="I47" s="37">
        <f>IF(data!H43="", "", data!H43)</f>
        <v>2.59</v>
      </c>
      <c r="J47" s="40">
        <f>IF(data!I43="", "", data!I43)</f>
        <v>10247.77</v>
      </c>
      <c r="K47" s="37">
        <f>IF(data!J43="", "", data!J43)</f>
        <v>2.58</v>
      </c>
      <c r="L47" s="40">
        <f>IF(data!K43="", "", data!K43)</f>
        <v>10248.44</v>
      </c>
      <c r="M47" s="37">
        <f>IF(data!L43="", "", data!L43)</f>
        <v>2.6</v>
      </c>
      <c r="N47" s="40">
        <f>IF(data!M43="", "", data!M43)</f>
        <v>10247.09</v>
      </c>
      <c r="O47" s="37">
        <f>IF(data!N43="", "", data!N43)</f>
        <v>2.5750000000000002</v>
      </c>
      <c r="P47" s="40">
        <f>IF(data!O43="", "", data!O43)</f>
        <v>10248.780000000001</v>
      </c>
      <c r="Q47" s="21">
        <f>WORKDAY($B47, data!$AL$1, data!AM43:$AM$2041)</f>
        <v>45755</v>
      </c>
      <c r="R47" s="22" t="str">
        <f>IF( $Q47="", "", INDEX( data!$U$2:$U$8, WEEKDAY($Q47) ) )</f>
        <v>화</v>
      </c>
      <c r="S47" s="24">
        <f>_xll.IMBC($B$4, S$8, $Q47, $D47, "세전수익률")</f>
        <v>10248.83</v>
      </c>
      <c r="T47" s="25">
        <f>_xll.IMBC($B$4, T$8, $Q47, $D47, "세전수익률")</f>
        <v>10109.8917</v>
      </c>
      <c r="U47" s="25">
        <f>_xll.IMBC($B$4, U$8, $Q47, $D47, "세전수익률")</f>
        <v>138.94229999999999</v>
      </c>
      <c r="V47" s="26">
        <f>_xll.IMBC($B$4, V$8, $Q47, $D47, "세전수익률")</f>
        <v>0.67059999999999997</v>
      </c>
    </row>
    <row r="48" spans="2:22" s="6" customFormat="1" ht="13.5">
      <c r="B48" s="21">
        <f>IF(data!A44="", "", data!A44)</f>
        <v>45753</v>
      </c>
      <c r="C48" s="34" t="str">
        <f>IF( $B48="", "", INDEX( data!$U$2:$U$8, WEEKDAY($B48) ) )</f>
        <v>일</v>
      </c>
      <c r="D48" s="37">
        <f>IF( $B48="", "", CHOOSE(data!$V$1, data!B44, data!E44, data!V44) )</f>
        <v>2.585</v>
      </c>
      <c r="E48" s="23">
        <f t="shared" si="0"/>
        <v>0</v>
      </c>
      <c r="F48" s="24">
        <f>IF( $B48="", "", CHOOSE(data!$V$1, data!C44, data!F44, data!W44) )</f>
        <v>10247.380000000001</v>
      </c>
      <c r="G48" s="24">
        <f t="shared" si="1"/>
        <v>0.72000000000116415</v>
      </c>
      <c r="H48" s="26">
        <f>IF( $B48="", "", CHOOSE(data!$V$1, data!D44, data!G44, data!X44) )</f>
        <v>0.66284999999999994</v>
      </c>
      <c r="I48" s="37">
        <f>IF(data!H44="", "", data!H44)</f>
        <v>2.59</v>
      </c>
      <c r="J48" s="40">
        <f>IF(data!I44="", "", data!I44)</f>
        <v>10247.040000000001</v>
      </c>
      <c r="K48" s="37">
        <f>IF(data!J44="", "", data!J44)</f>
        <v>2.58</v>
      </c>
      <c r="L48" s="40">
        <f>IF(data!K44="", "", data!K44)</f>
        <v>10247.719999999999</v>
      </c>
      <c r="M48" s="37">
        <f>IF(data!L44="", "", data!L44)</f>
        <v>2.6</v>
      </c>
      <c r="N48" s="40">
        <f>IF(data!M44="", "", data!M44)</f>
        <v>10246.36</v>
      </c>
      <c r="O48" s="37">
        <f>IF(data!N44="", "", data!N44)</f>
        <v>2.5750000000000002</v>
      </c>
      <c r="P48" s="40">
        <f>IF(data!O44="", "", data!O44)</f>
        <v>10248.06</v>
      </c>
      <c r="Q48" s="21">
        <f>WORKDAY($B48, data!$AL$1, data!AM44:$AM$2041)</f>
        <v>45754</v>
      </c>
      <c r="R48" s="22" t="str">
        <f>IF( $Q48="", "", INDEX( data!$U$2:$U$8, WEEKDAY($Q48) ) )</f>
        <v>월</v>
      </c>
      <c r="S48" s="24">
        <f>_xll.IMBC($B$4, S$8, $Q48, $D48, "세전수익률")</f>
        <v>10248.1</v>
      </c>
      <c r="T48" s="25">
        <f>_xll.IMBC($B$4, T$8, $Q48, $D48, "세전수익률")</f>
        <v>10110.334699999999</v>
      </c>
      <c r="U48" s="25">
        <f>_xll.IMBC($B$4, U$8, $Q48, $D48, "세전수익률")</f>
        <v>137.7747</v>
      </c>
      <c r="V48" s="26">
        <f>_xll.IMBC($B$4, V$8, $Q48, $D48, "세전수익률")</f>
        <v>0.67330000000000001</v>
      </c>
    </row>
    <row r="49" spans="2:22" s="6" customFormat="1" ht="13.5">
      <c r="B49" s="21">
        <f>IF(data!A45="", "", data!A45)</f>
        <v>45752</v>
      </c>
      <c r="C49" s="34" t="str">
        <f>IF( $B49="", "", INDEX( data!$U$2:$U$8, WEEKDAY($B49) ) )</f>
        <v>토</v>
      </c>
      <c r="D49" s="37">
        <f>IF( $B49="", "", CHOOSE(data!$V$1, data!B45, data!E45, data!V45) )</f>
        <v>2.585</v>
      </c>
      <c r="E49" s="23">
        <f t="shared" si="0"/>
        <v>-2.4999999999999911</v>
      </c>
      <c r="F49" s="24">
        <f>IF( $B49="", "", CHOOSE(data!$V$1, data!C45, data!F45, data!W45) )</f>
        <v>10246.66</v>
      </c>
      <c r="G49" s="24">
        <f t="shared" si="1"/>
        <v>2.4400000000005093</v>
      </c>
      <c r="H49" s="26">
        <f>IF( $B49="", "", CHOOSE(data!$V$1, data!D45, data!G45, data!X45) )</f>
        <v>0.66420000000000001</v>
      </c>
      <c r="I49" s="37">
        <f>IF(data!H45="", "", data!H45)</f>
        <v>2.59</v>
      </c>
      <c r="J49" s="40">
        <f>IF(data!I45="", "", data!I45)</f>
        <v>10246.32</v>
      </c>
      <c r="K49" s="37">
        <f>IF(data!J45="", "", data!J45)</f>
        <v>2.58</v>
      </c>
      <c r="L49" s="40">
        <f>IF(data!K45="", "", data!K45)</f>
        <v>10247</v>
      </c>
      <c r="M49" s="37">
        <f>IF(data!L45="", "", data!L45)</f>
        <v>2.6</v>
      </c>
      <c r="N49" s="40">
        <f>IF(data!M45="", "", data!M45)</f>
        <v>10245.64</v>
      </c>
      <c r="O49" s="37">
        <f>IF(data!N45="", "", data!N45)</f>
        <v>2.5750000000000002</v>
      </c>
      <c r="P49" s="40">
        <f>IF(data!O45="", "", data!O45)</f>
        <v>10247.34</v>
      </c>
      <c r="Q49" s="21">
        <f>WORKDAY($B49, data!$AL$1, data!AM45:$AM$2041)</f>
        <v>45754</v>
      </c>
      <c r="R49" s="22" t="str">
        <f>IF( $Q49="", "", INDEX( data!$U$2:$U$8, WEEKDAY($Q49) ) )</f>
        <v>월</v>
      </c>
      <c r="S49" s="24">
        <f>_xll.IMBC($B$4, S$8, $Q49, $D49, "세전수익률")</f>
        <v>10248.1</v>
      </c>
      <c r="T49" s="25">
        <f>_xll.IMBC($B$4, T$8, $Q49, $D49, "세전수익률")</f>
        <v>10110.334699999999</v>
      </c>
      <c r="U49" s="25">
        <f>_xll.IMBC($B$4, U$8, $Q49, $D49, "세전수익률")</f>
        <v>137.7747</v>
      </c>
      <c r="V49" s="26">
        <f>_xll.IMBC($B$4, V$8, $Q49, $D49, "세전수익률")</f>
        <v>0.67330000000000001</v>
      </c>
    </row>
    <row r="50" spans="2:22" s="6" customFormat="1" ht="13.5">
      <c r="B50" s="21">
        <f>IF(data!A46="", "", data!A46)</f>
        <v>45751</v>
      </c>
      <c r="C50" s="34" t="str">
        <f>IF( $B50="", "", INDEX( data!$U$2:$U$8, WEEKDAY($B50) ) )</f>
        <v>금</v>
      </c>
      <c r="D50" s="37">
        <f>IF( $B50="", "", CHOOSE(data!$V$1, data!B46, data!E46, data!V46) )</f>
        <v>2.61</v>
      </c>
      <c r="E50" s="23">
        <f t="shared" si="0"/>
        <v>-1.5000000000000124</v>
      </c>
      <c r="F50" s="24">
        <f>IF( $B50="", "", CHOOSE(data!$V$1, data!C46, data!F46, data!W46) )</f>
        <v>10244.219999999999</v>
      </c>
      <c r="G50" s="24">
        <f t="shared" si="1"/>
        <v>1.7549999999991996</v>
      </c>
      <c r="H50" s="26">
        <f>IF( $B50="", "", CHOOSE(data!$V$1, data!D46, data!G46, data!X46) )</f>
        <v>0.66684999999999994</v>
      </c>
      <c r="I50" s="37">
        <f>IF(data!H46="", "", data!H46)</f>
        <v>2.61</v>
      </c>
      <c r="J50" s="40">
        <f>IF(data!I46="", "", data!I46)</f>
        <v>10244.219999999999</v>
      </c>
      <c r="K50" s="37">
        <f>IF(data!J46="", "", data!J46)</f>
        <v>2.61</v>
      </c>
      <c r="L50" s="40">
        <f>IF(data!K46="", "", data!K46)</f>
        <v>10244.219999999999</v>
      </c>
      <c r="M50" s="37">
        <f>IF(data!L46="", "", data!L46)</f>
        <v>2.62</v>
      </c>
      <c r="N50" s="40">
        <f>IF(data!M46="", "", data!M46)</f>
        <v>10243.540000000001</v>
      </c>
      <c r="O50" s="37">
        <f>IF(data!N46="", "", data!N46)</f>
        <v>2.6150000000000002</v>
      </c>
      <c r="P50" s="40">
        <f>IF(data!O46="", "", data!O46)</f>
        <v>10243.879999999999</v>
      </c>
      <c r="Q50" s="21">
        <f>WORKDAY($B50, data!$AL$1, data!AM46:$AM$2041)</f>
        <v>45754</v>
      </c>
      <c r="R50" s="22" t="str">
        <f>IF( $Q50="", "", INDEX( data!$U$2:$U$8, WEEKDAY($Q50) ) )</f>
        <v>월</v>
      </c>
      <c r="S50" s="24">
        <f>_xll.IMBC($B$4, S$8, $Q50, $D50, "세전수익률")</f>
        <v>10246.42</v>
      </c>
      <c r="T50" s="25">
        <f>_xll.IMBC($B$4, T$8, $Q50, $D50, "세전수익률")</f>
        <v>10108.647999999999</v>
      </c>
      <c r="U50" s="25">
        <f>_xll.IMBC($B$4, U$8, $Q50, $D50, "세전수익률")</f>
        <v>137.7747</v>
      </c>
      <c r="V50" s="26">
        <f>_xll.IMBC($B$4, V$8, $Q50, $D50, "세전수익률")</f>
        <v>0.67310000000000003</v>
      </c>
    </row>
    <row r="51" spans="2:22" s="6" customFormat="1" ht="13.5">
      <c r="B51" s="21">
        <f>IF(data!A47="", "", data!A47)</f>
        <v>45750</v>
      </c>
      <c r="C51" s="34" t="str">
        <f>IF( $B51="", "", INDEX( data!$U$2:$U$8, WEEKDAY($B51) ) )</f>
        <v>목</v>
      </c>
      <c r="D51" s="37">
        <f>IF( $B51="", "", CHOOSE(data!$V$1, data!B47, data!E47, data!V47) )</f>
        <v>2.625</v>
      </c>
      <c r="E51" s="23">
        <f t="shared" si="0"/>
        <v>0.24999999999999467</v>
      </c>
      <c r="F51" s="24">
        <f>IF( $B51="", "", CHOOSE(data!$V$1, data!C47, data!F47, data!W47) )</f>
        <v>10242.465</v>
      </c>
      <c r="G51" s="24">
        <f t="shared" si="1"/>
        <v>0.56500000000050932</v>
      </c>
      <c r="H51" s="26">
        <f>IF( $B51="", "", CHOOSE(data!$V$1, data!D47, data!G47, data!X47) )</f>
        <v>0.66949999999999998</v>
      </c>
      <c r="I51" s="37">
        <f>IF(data!H47="", "", data!H47)</f>
        <v>2.62</v>
      </c>
      <c r="J51" s="40">
        <f>IF(data!I47="", "", data!I47)</f>
        <v>10242.81</v>
      </c>
      <c r="K51" s="37">
        <f>IF(data!J47="", "", data!J47)</f>
        <v>2.63</v>
      </c>
      <c r="L51" s="40">
        <f>IF(data!K47="", "", data!K47)</f>
        <v>10242.120000000001</v>
      </c>
      <c r="M51" s="37">
        <f>IF(data!L47="", "", data!L47)</f>
        <v>2.63</v>
      </c>
      <c r="N51" s="40">
        <f>IF(data!M47="", "", data!M47)</f>
        <v>10242.120000000001</v>
      </c>
      <c r="O51" s="37">
        <f>IF(data!N47="", "", data!N47)</f>
        <v>2.625</v>
      </c>
      <c r="P51" s="40">
        <f>IF(data!O47="", "", data!O47)</f>
        <v>10242.459999999999</v>
      </c>
      <c r="Q51" s="21">
        <f>WORKDAY($B51, data!$AL$1, data!AM47:$AM$2041)</f>
        <v>45751</v>
      </c>
      <c r="R51" s="22" t="str">
        <f>IF( $Q51="", "", INDEX( data!$U$2:$U$8, WEEKDAY($Q51) ) )</f>
        <v>금</v>
      </c>
      <c r="S51" s="24">
        <f>_xll.IMBC($B$4, S$8, $Q51, $D51, "세전수익률")</f>
        <v>10243.200000000001</v>
      </c>
      <c r="T51" s="25">
        <f>_xll.IMBC($B$4, T$8, $Q51, $D51, "세전수익률")</f>
        <v>10108.933000000001</v>
      </c>
      <c r="U51" s="25">
        <f>_xll.IMBC($B$4, U$8, $Q51, $D51, "세전수익률")</f>
        <v>134.27189999999999</v>
      </c>
      <c r="V51" s="26">
        <f>_xll.IMBC($B$4, V$8, $Q51, $D51, "세전수익률")</f>
        <v>0.68120000000000003</v>
      </c>
    </row>
    <row r="52" spans="2:22" s="6" customFormat="1" ht="13.5">
      <c r="B52" s="21">
        <f>IF(data!A48="", "", data!A48)</f>
        <v>45749</v>
      </c>
      <c r="C52" s="34" t="str">
        <f>IF( $B52="", "", INDEX( data!$U$2:$U$8, WEEKDAY($B52) ) )</f>
        <v>수</v>
      </c>
      <c r="D52" s="37">
        <f>IF( $B52="", "", CHOOSE(data!$V$1, data!B48, data!E48, data!V48) )</f>
        <v>2.6225000000000001</v>
      </c>
      <c r="E52" s="23">
        <f t="shared" si="0"/>
        <v>-0.24999999999999467</v>
      </c>
      <c r="F52" s="24">
        <f>IF( $B52="", "", CHOOSE(data!$V$1, data!C48, data!F48, data!W48) )</f>
        <v>10241.9</v>
      </c>
      <c r="G52" s="24">
        <f t="shared" si="1"/>
        <v>0.90500000000065484</v>
      </c>
      <c r="H52" s="26">
        <f>IF( $B52="", "", CHOOSE(data!$V$1, data!D48, data!G48, data!X48) )</f>
        <v>0.67220000000000002</v>
      </c>
      <c r="I52" s="37">
        <f>IF(data!H48="", "", data!H48)</f>
        <v>2.62</v>
      </c>
      <c r="J52" s="40">
        <f>IF(data!I48="", "", data!I48)</f>
        <v>10242.07</v>
      </c>
      <c r="K52" s="37">
        <f>IF(data!J48="", "", data!J48)</f>
        <v>2.625</v>
      </c>
      <c r="L52" s="40">
        <f>IF(data!K48="", "", data!K48)</f>
        <v>10241.73</v>
      </c>
      <c r="M52" s="37">
        <f>IF(data!L48="", "", data!L48)</f>
        <v>2.63</v>
      </c>
      <c r="N52" s="40">
        <f>IF(data!M48="", "", data!M48)</f>
        <v>10241.39</v>
      </c>
      <c r="O52" s="37">
        <f>IF(data!N48="", "", data!N48)</f>
        <v>2.625</v>
      </c>
      <c r="P52" s="40">
        <f>IF(data!O48="", "", data!O48)</f>
        <v>10241.73</v>
      </c>
      <c r="Q52" s="21">
        <f>WORKDAY($B52, data!$AL$1, data!AM48:$AM$2041)</f>
        <v>45750</v>
      </c>
      <c r="R52" s="22" t="str">
        <f>IF( $Q52="", "", INDEX( data!$U$2:$U$8, WEEKDAY($Q52) ) )</f>
        <v>목</v>
      </c>
      <c r="S52" s="24">
        <f>_xll.IMBC($B$4, S$8, $Q52, $D52, "세전수익률")</f>
        <v>10242.64</v>
      </c>
      <c r="T52" s="25">
        <f>_xll.IMBC($B$4, T$8, $Q52, $D52, "세전수익률")</f>
        <v>10109.5368</v>
      </c>
      <c r="U52" s="25">
        <f>_xll.IMBC($B$4, U$8, $Q52, $D52, "세전수익률")</f>
        <v>133.10429999999999</v>
      </c>
      <c r="V52" s="26">
        <f>_xll.IMBC($B$4, V$8, $Q52, $D52, "세전수익률")</f>
        <v>0.68389999999999995</v>
      </c>
    </row>
    <row r="53" spans="2:22" s="6" customFormat="1" ht="13.5">
      <c r="B53" s="21">
        <f>IF(data!A49="", "", data!A49)</f>
        <v>45748</v>
      </c>
      <c r="C53" s="34" t="str">
        <f>IF( $B53="", "", INDEX( data!$U$2:$U$8, WEEKDAY($B53) ) )</f>
        <v>화</v>
      </c>
      <c r="D53" s="37">
        <f>IF( $B53="", "", CHOOSE(data!$V$1, data!B49, data!E49, data!V49) )</f>
        <v>2.625</v>
      </c>
      <c r="E53" s="23">
        <f t="shared" si="0"/>
        <v>-0.99999999999997868</v>
      </c>
      <c r="F53" s="24">
        <f>IF( $B53="", "", CHOOSE(data!$V$1, data!C49, data!F49, data!W49) )</f>
        <v>10240.994999999999</v>
      </c>
      <c r="G53" s="24">
        <f t="shared" si="1"/>
        <v>1.430000000000291</v>
      </c>
      <c r="H53" s="26">
        <f>IF( $B53="", "", CHOOSE(data!$V$1, data!D49, data!G49, data!X49) )</f>
        <v>0.67490000000000006</v>
      </c>
      <c r="I53" s="37">
        <f>IF(data!H49="", "", data!H49)</f>
        <v>2.62</v>
      </c>
      <c r="J53" s="40">
        <f>IF(data!I49="", "", data!I49)</f>
        <v>10241.34</v>
      </c>
      <c r="K53" s="37">
        <f>IF(data!J49="", "", data!J49)</f>
        <v>2.63</v>
      </c>
      <c r="L53" s="40">
        <f>IF(data!K49="", "", data!K49)</f>
        <v>10240.65</v>
      </c>
      <c r="M53" s="37">
        <f>IF(data!L49="", "", data!L49)</f>
        <v>2.62</v>
      </c>
      <c r="N53" s="40">
        <f>IF(data!M49="", "", data!M49)</f>
        <v>10241.34</v>
      </c>
      <c r="O53" s="37">
        <f>IF(data!N49="", "", data!N49)</f>
        <v>2.625</v>
      </c>
      <c r="P53" s="40">
        <f>IF(data!O49="", "", data!O49)</f>
        <v>10241</v>
      </c>
      <c r="Q53" s="21">
        <f>WORKDAY($B53, data!$AL$1, data!AM49:$AM$2041)</f>
        <v>45749</v>
      </c>
      <c r="R53" s="22" t="str">
        <f>IF( $Q53="", "", INDEX( data!$U$2:$U$8, WEEKDAY($Q53) ) )</f>
        <v>수</v>
      </c>
      <c r="S53" s="24">
        <f>_xll.IMBC($B$4, S$8, $Q53, $D53, "세전수익률")</f>
        <v>10241.73</v>
      </c>
      <c r="T53" s="25">
        <f>_xll.IMBC($B$4, T$8, $Q53, $D53, "세전수익률")</f>
        <v>10109.7981</v>
      </c>
      <c r="U53" s="25">
        <f>_xll.IMBC($B$4, U$8, $Q53, $D53, "세전수익률")</f>
        <v>131.93680000000001</v>
      </c>
      <c r="V53" s="26">
        <f>_xll.IMBC($B$4, V$8, $Q53, $D53, "세전수익률")</f>
        <v>0.68659999999999999</v>
      </c>
    </row>
    <row r="54" spans="2:22" s="6" customFormat="1" ht="13.5">
      <c r="B54" s="21">
        <f>IF(data!A50="", "", data!A50)</f>
        <v>45747</v>
      </c>
      <c r="C54" s="34" t="str">
        <f>IF( $B54="", "", INDEX( data!$U$2:$U$8, WEEKDAY($B54) ) )</f>
        <v>월</v>
      </c>
      <c r="D54" s="37">
        <f>IF( $B54="", "", CHOOSE(data!$V$1, data!B50, data!E50, data!V50) )</f>
        <v>2.6349999999999998</v>
      </c>
      <c r="E54" s="23">
        <f t="shared" si="0"/>
        <v>0</v>
      </c>
      <c r="F54" s="24">
        <f>IF( $B54="", "", CHOOSE(data!$V$1, data!C50, data!F50, data!W50) )</f>
        <v>10239.564999999999</v>
      </c>
      <c r="G54" s="24">
        <f t="shared" si="1"/>
        <v>0.73499999999876309</v>
      </c>
      <c r="H54" s="26">
        <f>IF( $B54="", "", CHOOSE(data!$V$1, data!D50, data!G50, data!X50) )</f>
        <v>0.68030000000000002</v>
      </c>
      <c r="I54" s="37">
        <f>IF(data!H50="", "", data!H50)</f>
        <v>2.63</v>
      </c>
      <c r="J54" s="40">
        <f>IF(data!I50="", "", data!I50)</f>
        <v>10239.91</v>
      </c>
      <c r="K54" s="37">
        <f>IF(data!J50="", "", data!J50)</f>
        <v>2.64</v>
      </c>
      <c r="L54" s="40">
        <f>IF(data!K50="", "", data!K50)</f>
        <v>10239.219999999999</v>
      </c>
      <c r="M54" s="37">
        <f>IF(data!L50="", "", data!L50)</f>
        <v>2.6349999999999998</v>
      </c>
      <c r="N54" s="40">
        <f>IF(data!M50="", "", data!M50)</f>
        <v>10239.57</v>
      </c>
      <c r="O54" s="37">
        <f>IF(data!N50="", "", data!N50)</f>
        <v>2.6349999999999998</v>
      </c>
      <c r="P54" s="40">
        <f>IF(data!O50="", "", data!O50)</f>
        <v>10239.57</v>
      </c>
      <c r="Q54" s="21">
        <f>WORKDAY($B54, data!$AL$1, data!AM50:$AM$2041)</f>
        <v>45748</v>
      </c>
      <c r="R54" s="22" t="str">
        <f>IF( $Q54="", "", INDEX( data!$U$2:$U$8, WEEKDAY($Q54) ) )</f>
        <v>화</v>
      </c>
      <c r="S54" s="24">
        <f>_xll.IMBC($B$4, S$8, $Q54, $D54, "세전수익률")</f>
        <v>10240.299999999999</v>
      </c>
      <c r="T54" s="25">
        <f>_xll.IMBC($B$4, T$8, $Q54, $D54, "세전수익률")</f>
        <v>10109.5399</v>
      </c>
      <c r="U54" s="25">
        <f>_xll.IMBC($B$4, U$8, $Q54, $D54, "세전수익률")</f>
        <v>130.76920000000001</v>
      </c>
      <c r="V54" s="26">
        <f>_xll.IMBC($B$4, V$8, $Q54, $D54, "세전수익률")</f>
        <v>0.68930000000000002</v>
      </c>
    </row>
    <row r="55" spans="2:22" s="6" customFormat="1" ht="13.5">
      <c r="B55" s="21">
        <f>IF(data!A51="", "", data!A51)</f>
        <v>45746</v>
      </c>
      <c r="C55" s="34" t="str">
        <f>IF( $B55="", "", INDEX( data!$U$2:$U$8, WEEKDAY($B55) ) )</f>
        <v>일</v>
      </c>
      <c r="D55" s="37">
        <f>IF( $B55="", "", CHOOSE(data!$V$1, data!B51, data!E51, data!V51) )</f>
        <v>2.6349999999999998</v>
      </c>
      <c r="E55" s="23">
        <f t="shared" si="0"/>
        <v>0</v>
      </c>
      <c r="F55" s="24">
        <f>IF( $B55="", "", CHOOSE(data!$V$1, data!C51, data!F51, data!W51) )</f>
        <v>10238.83</v>
      </c>
      <c r="G55" s="24">
        <f t="shared" si="1"/>
        <v>0.73999999999978172</v>
      </c>
      <c r="H55" s="26">
        <f>IF( $B55="", "", CHOOSE(data!$V$1, data!D51, data!G51, data!X51) )</f>
        <v>0.68165000000000009</v>
      </c>
      <c r="I55" s="37">
        <f>IF(data!H51="", "", data!H51)</f>
        <v>2.63</v>
      </c>
      <c r="J55" s="40">
        <f>IF(data!I51="", "", data!I51)</f>
        <v>10239.18</v>
      </c>
      <c r="K55" s="37">
        <f>IF(data!J51="", "", data!J51)</f>
        <v>2.64</v>
      </c>
      <c r="L55" s="40">
        <f>IF(data!K51="", "", data!K51)</f>
        <v>10238.48</v>
      </c>
      <c r="M55" s="37">
        <f>IF(data!L51="", "", data!L51)</f>
        <v>2.6349999999999998</v>
      </c>
      <c r="N55" s="40">
        <f>IF(data!M51="", "", data!M51)</f>
        <v>10238.83</v>
      </c>
      <c r="O55" s="37">
        <f>IF(data!N51="", "", data!N51)</f>
        <v>2.6349999999999998</v>
      </c>
      <c r="P55" s="40">
        <f>IF(data!O51="", "", data!O51)</f>
        <v>10238.83</v>
      </c>
      <c r="Q55" s="21">
        <f>WORKDAY($B55, data!$AL$1, data!AM51:$AM$2041)</f>
        <v>45747</v>
      </c>
      <c r="R55" s="22" t="str">
        <f>IF( $Q55="", "", INDEX( data!$U$2:$U$8, WEEKDAY($Q55) ) )</f>
        <v>월</v>
      </c>
      <c r="S55" s="24">
        <f>_xll.IMBC($B$4, S$8, $Q55, $D55, "세전수익률")</f>
        <v>10239.57</v>
      </c>
      <c r="T55" s="25">
        <f>_xll.IMBC($B$4, T$8, $Q55, $D55, "세전수익률")</f>
        <v>10109.969999999999</v>
      </c>
      <c r="U55" s="25">
        <f>_xll.IMBC($B$4, U$8, $Q55, $D55, "세전수익률")</f>
        <v>129.60159999999999</v>
      </c>
      <c r="V55" s="26">
        <f>_xll.IMBC($B$4, V$8, $Q55, $D55, "세전수익률")</f>
        <v>0.69199999999999995</v>
      </c>
    </row>
    <row r="56" spans="2:22" s="6" customFormat="1" ht="13.5">
      <c r="B56" s="21">
        <f>IF(data!A52="", "", data!A52)</f>
        <v>45745</v>
      </c>
      <c r="C56" s="34" t="str">
        <f>IF( $B56="", "", INDEX( data!$U$2:$U$8, WEEKDAY($B56) ) )</f>
        <v>토</v>
      </c>
      <c r="D56" s="37">
        <f>IF( $B56="", "", CHOOSE(data!$V$1, data!B52, data!E52, data!V52) )</f>
        <v>2.6349999999999998</v>
      </c>
      <c r="E56" s="23">
        <f t="shared" si="0"/>
        <v>0</v>
      </c>
      <c r="F56" s="24">
        <f>IF( $B56="", "", CHOOSE(data!$V$1, data!C52, data!F52, data!W52) )</f>
        <v>10238.09</v>
      </c>
      <c r="G56" s="24">
        <f t="shared" si="1"/>
        <v>0.73500000000058208</v>
      </c>
      <c r="H56" s="26">
        <f>IF( $B56="", "", CHOOSE(data!$V$1, data!D52, data!G52, data!X52) )</f>
        <v>0.68300000000000005</v>
      </c>
      <c r="I56" s="37">
        <f>IF(data!H52="", "", data!H52)</f>
        <v>2.63</v>
      </c>
      <c r="J56" s="40">
        <f>IF(data!I52="", "", data!I52)</f>
        <v>10238.44</v>
      </c>
      <c r="K56" s="37">
        <f>IF(data!J52="", "", data!J52)</f>
        <v>2.64</v>
      </c>
      <c r="L56" s="40">
        <f>IF(data!K52="", "", data!K52)</f>
        <v>10237.74</v>
      </c>
      <c r="M56" s="37">
        <f>IF(data!L52="", "", data!L52)</f>
        <v>2.6349999999999998</v>
      </c>
      <c r="N56" s="40">
        <f>IF(data!M52="", "", data!M52)</f>
        <v>10238.09</v>
      </c>
      <c r="O56" s="37">
        <f>IF(data!N52="", "", data!N52)</f>
        <v>2.6349999999999998</v>
      </c>
      <c r="P56" s="40">
        <f>IF(data!O52="", "", data!O52)</f>
        <v>10238.09</v>
      </c>
      <c r="Q56" s="21">
        <f>WORKDAY($B56, data!$AL$1, data!AM52:$AM$2041)</f>
        <v>45747</v>
      </c>
      <c r="R56" s="22" t="str">
        <f>IF( $Q56="", "", INDEX( data!$U$2:$U$8, WEEKDAY($Q56) ) )</f>
        <v>월</v>
      </c>
      <c r="S56" s="24">
        <f>_xll.IMBC($B$4, S$8, $Q56, $D56, "세전수익률")</f>
        <v>10239.57</v>
      </c>
      <c r="T56" s="25">
        <f>_xll.IMBC($B$4, T$8, $Q56, $D56, "세전수익률")</f>
        <v>10109.969999999999</v>
      </c>
      <c r="U56" s="25">
        <f>_xll.IMBC($B$4, U$8, $Q56, $D56, "세전수익률")</f>
        <v>129.60159999999999</v>
      </c>
      <c r="V56" s="26">
        <f>_xll.IMBC($B$4, V$8, $Q56, $D56, "세전수익률")</f>
        <v>0.69199999999999995</v>
      </c>
    </row>
    <row r="57" spans="2:22" s="6" customFormat="1" ht="13.5">
      <c r="B57" s="21">
        <f>IF(data!A53="", "", data!A53)</f>
        <v>45744</v>
      </c>
      <c r="C57" s="34" t="str">
        <f>IF( $B57="", "", INDEX( data!$U$2:$U$8, WEEKDAY($B57) ) )</f>
        <v>금</v>
      </c>
      <c r="D57" s="37">
        <f>IF( $B57="", "", CHOOSE(data!$V$1, data!B53, data!E53, data!V53) )</f>
        <v>2.6349999999999998</v>
      </c>
      <c r="E57" s="23">
        <f t="shared" si="0"/>
        <v>0</v>
      </c>
      <c r="F57" s="24">
        <f>IF( $B57="", "", CHOOSE(data!$V$1, data!C53, data!F53, data!W53) )</f>
        <v>10237.355</v>
      </c>
      <c r="G57" s="24">
        <f t="shared" si="1"/>
        <v>0.73500000000058208</v>
      </c>
      <c r="H57" s="26">
        <f>IF( $B57="", "", CHOOSE(data!$V$1, data!D53, data!G53, data!X53) )</f>
        <v>0.68569999999999998</v>
      </c>
      <c r="I57" s="37">
        <f>IF(data!H53="", "", data!H53)</f>
        <v>2.63</v>
      </c>
      <c r="J57" s="40">
        <f>IF(data!I53="", "", data!I53)</f>
        <v>10237.709999999999</v>
      </c>
      <c r="K57" s="37">
        <f>IF(data!J53="", "", data!J53)</f>
        <v>2.64</v>
      </c>
      <c r="L57" s="40">
        <f>IF(data!K53="", "", data!K53)</f>
        <v>10237</v>
      </c>
      <c r="M57" s="37">
        <f>IF(data!L53="", "", data!L53)</f>
        <v>2.63</v>
      </c>
      <c r="N57" s="40">
        <f>IF(data!M53="", "", data!M53)</f>
        <v>10237.709999999999</v>
      </c>
      <c r="O57" s="37">
        <f>IF(data!N53="", "", data!N53)</f>
        <v>2.6349999999999998</v>
      </c>
      <c r="P57" s="40">
        <f>IF(data!O53="", "", data!O53)</f>
        <v>10237.35</v>
      </c>
      <c r="Q57" s="21">
        <f>WORKDAY($B57, data!$AL$1, data!AM53:$AM$2041)</f>
        <v>45747</v>
      </c>
      <c r="R57" s="22" t="str">
        <f>IF( $Q57="", "", INDEX( data!$U$2:$U$8, WEEKDAY($Q57) ) )</f>
        <v>월</v>
      </c>
      <c r="S57" s="24">
        <f>_xll.IMBC($B$4, S$8, $Q57, $D57, "세전수익률")</f>
        <v>10239.57</v>
      </c>
      <c r="T57" s="25">
        <f>_xll.IMBC($B$4, T$8, $Q57, $D57, "세전수익률")</f>
        <v>10109.969999999999</v>
      </c>
      <c r="U57" s="25">
        <f>_xll.IMBC($B$4, U$8, $Q57, $D57, "세전수익률")</f>
        <v>129.60159999999999</v>
      </c>
      <c r="V57" s="26">
        <f>_xll.IMBC($B$4, V$8, $Q57, $D57, "세전수익률")</f>
        <v>0.69199999999999995</v>
      </c>
    </row>
    <row r="58" spans="2:22" s="6" customFormat="1" ht="13.5">
      <c r="B58" s="21">
        <f>IF(data!A54="", "", data!A54)</f>
        <v>45743</v>
      </c>
      <c r="C58" s="34" t="str">
        <f>IF( $B58="", "", INDEX( data!$U$2:$U$8, WEEKDAY($B58) ) )</f>
        <v>목</v>
      </c>
      <c r="D58" s="37">
        <f>IF( $B58="", "", CHOOSE(data!$V$1, data!B54, data!E54, data!V54) )</f>
        <v>2.6349999999999998</v>
      </c>
      <c r="E58" s="23">
        <f t="shared" si="0"/>
        <v>0.49999999999998934</v>
      </c>
      <c r="F58" s="24">
        <f>IF( $B58="", "", CHOOSE(data!$V$1, data!C54, data!F54, data!W54) )</f>
        <v>10236.619999999999</v>
      </c>
      <c r="G58" s="24">
        <f t="shared" si="1"/>
        <v>0.38999999999941792</v>
      </c>
      <c r="H58" s="26">
        <f>IF( $B58="", "", CHOOSE(data!$V$1, data!D54, data!G54, data!X54) )</f>
        <v>0.68840000000000001</v>
      </c>
      <c r="I58" s="37">
        <f>IF(data!H54="", "", data!H54)</f>
        <v>2.63</v>
      </c>
      <c r="J58" s="40">
        <f>IF(data!I54="", "", data!I54)</f>
        <v>10236.969999999999</v>
      </c>
      <c r="K58" s="37">
        <f>IF(data!J54="", "", data!J54)</f>
        <v>2.64</v>
      </c>
      <c r="L58" s="40">
        <f>IF(data!K54="", "", data!K54)</f>
        <v>10236.27</v>
      </c>
      <c r="M58" s="37">
        <f>IF(data!L54="", "", data!L54)</f>
        <v>2.6320000000000001</v>
      </c>
      <c r="N58" s="40">
        <f>IF(data!M54="", "", data!M54)</f>
        <v>10236.83</v>
      </c>
      <c r="O58" s="37">
        <f>IF(data!N54="", "", data!N54)</f>
        <v>2.6349999999999998</v>
      </c>
      <c r="P58" s="40">
        <f>IF(data!O54="", "", data!O54)</f>
        <v>10236.620000000001</v>
      </c>
      <c r="Q58" s="21">
        <f>WORKDAY($B58, data!$AL$1, data!AM54:$AM$2041)</f>
        <v>45744</v>
      </c>
      <c r="R58" s="22" t="str">
        <f>IF( $Q58="", "", INDEX( data!$U$2:$U$8, WEEKDAY($Q58) ) )</f>
        <v>금</v>
      </c>
      <c r="S58" s="24">
        <f>_xll.IMBC($B$4, S$8, $Q58, $D58, "세전수익률")</f>
        <v>10237.35</v>
      </c>
      <c r="T58" s="25">
        <f>_xll.IMBC($B$4, T$8, $Q58, $D58, "세전수익률")</f>
        <v>10111.2608</v>
      </c>
      <c r="U58" s="25">
        <f>_xll.IMBC($B$4, U$8, $Q58, $D58, "세전수익률")</f>
        <v>126.0989</v>
      </c>
      <c r="V58" s="26">
        <f>_xll.IMBC($B$4, V$8, $Q58, $D58, "세전수익률")</f>
        <v>0.70020000000000004</v>
      </c>
    </row>
    <row r="59" spans="2:22" s="6" customFormat="1" ht="13.5">
      <c r="B59" s="21">
        <f>IF(data!A55="", "", data!A55)</f>
        <v>45742</v>
      </c>
      <c r="C59" s="34" t="str">
        <f>IF( $B59="", "", INDEX( data!$U$2:$U$8, WEEKDAY($B59) ) )</f>
        <v>수</v>
      </c>
      <c r="D59" s="37">
        <f>IF( $B59="", "", CHOOSE(data!$V$1, data!B55, data!E55, data!V55) )</f>
        <v>2.63</v>
      </c>
      <c r="E59" s="23">
        <f t="shared" si="0"/>
        <v>0.74999999999998401</v>
      </c>
      <c r="F59" s="24">
        <f>IF( $B59="", "", CHOOSE(data!$V$1, data!C55, data!F55, data!W55) )</f>
        <v>10236.23</v>
      </c>
      <c r="G59" s="24">
        <f t="shared" si="1"/>
        <v>0.2000000000007276</v>
      </c>
      <c r="H59" s="26">
        <f>IF( $B59="", "", CHOOSE(data!$V$1, data!D55, data!G55, data!X55) )</f>
        <v>0.69115000000000004</v>
      </c>
      <c r="I59" s="37">
        <f>IF(data!H55="", "", data!H55)</f>
        <v>2.63</v>
      </c>
      <c r="J59" s="40">
        <f>IF(data!I55="", "", data!I55)</f>
        <v>10236.23</v>
      </c>
      <c r="K59" s="37">
        <f>IF(data!J55="", "", data!J55)</f>
        <v>2.63</v>
      </c>
      <c r="L59" s="40">
        <f>IF(data!K55="", "", data!K55)</f>
        <v>10236.23</v>
      </c>
      <c r="M59" s="37">
        <f>IF(data!L55="", "", data!L55)</f>
        <v>2.637</v>
      </c>
      <c r="N59" s="40">
        <f>IF(data!M55="", "", data!M55)</f>
        <v>10235.74</v>
      </c>
      <c r="O59" s="37">
        <f>IF(data!N55="", "", data!N55)</f>
        <v>2.63</v>
      </c>
      <c r="P59" s="40">
        <f>IF(data!O55="", "", data!O55)</f>
        <v>10236.23</v>
      </c>
      <c r="Q59" s="21">
        <f>WORKDAY($B59, data!$AL$1, data!AM55:$AM$2041)</f>
        <v>45743</v>
      </c>
      <c r="R59" s="22" t="str">
        <f>IF( $Q59="", "", INDEX( data!$U$2:$U$8, WEEKDAY($Q59) ) )</f>
        <v>목</v>
      </c>
      <c r="S59" s="24">
        <f>_xll.IMBC($B$4, S$8, $Q59, $D59, "세전수익률")</f>
        <v>10236.969999999999</v>
      </c>
      <c r="T59" s="25">
        <f>_xll.IMBC($B$4, T$8, $Q59, $D59, "세전수익률")</f>
        <v>10112.043600000001</v>
      </c>
      <c r="U59" s="25">
        <f>_xll.IMBC($B$4, U$8, $Q59, $D59, "세전수익률")</f>
        <v>124.93129999999999</v>
      </c>
      <c r="V59" s="26">
        <f>_xll.IMBC($B$4, V$8, $Q59, $D59, "세전수익률")</f>
        <v>0.70299999999999996</v>
      </c>
    </row>
    <row r="60" spans="2:22" s="6" customFormat="1" ht="13.5">
      <c r="B60" s="21">
        <f>IF(data!A56="", "", data!A56)</f>
        <v>45741</v>
      </c>
      <c r="C60" s="34" t="str">
        <f>IF( $B60="", "", INDEX( data!$U$2:$U$8, WEEKDAY($B60) ) )</f>
        <v>화</v>
      </c>
      <c r="D60" s="37">
        <f>IF( $B60="", "", CHOOSE(data!$V$1, data!B56, data!E56, data!V56) )</f>
        <v>2.6225000000000001</v>
      </c>
      <c r="E60" s="23">
        <f t="shared" si="0"/>
        <v>0.74999999999998401</v>
      </c>
      <c r="F60" s="24">
        <f>IF( $B60="", "", CHOOSE(data!$V$1, data!C56, data!F56, data!W56) )</f>
        <v>10236.029999999999</v>
      </c>
      <c r="G60" s="24">
        <f t="shared" si="1"/>
        <v>0.19499999999970896</v>
      </c>
      <c r="H60" s="26">
        <f>IF( $B60="", "", CHOOSE(data!$V$1, data!D56, data!G56, data!X56) )</f>
        <v>0.69389999999999996</v>
      </c>
      <c r="I60" s="37">
        <f>IF(data!H56="", "", data!H56)</f>
        <v>2.62</v>
      </c>
      <c r="J60" s="40">
        <f>IF(data!I56="", "", data!I56)</f>
        <v>10236.209999999999</v>
      </c>
      <c r="K60" s="37">
        <f>IF(data!J56="", "", data!J56)</f>
        <v>2.625</v>
      </c>
      <c r="L60" s="40">
        <f>IF(data!K56="", "", data!K56)</f>
        <v>10235.85</v>
      </c>
      <c r="M60" s="37">
        <f>IF(data!L56="", "", data!L56)</f>
        <v>2.637</v>
      </c>
      <c r="N60" s="40">
        <f>IF(data!M56="", "", data!M56)</f>
        <v>10235</v>
      </c>
      <c r="O60" s="37">
        <f>IF(data!N56="", "", data!N56)</f>
        <v>2.62</v>
      </c>
      <c r="P60" s="40">
        <f>IF(data!O56="", "", data!O56)</f>
        <v>10236.209999999999</v>
      </c>
      <c r="Q60" s="21">
        <f>WORKDAY($B60, data!$AL$1, data!AM56:$AM$2041)</f>
        <v>45742</v>
      </c>
      <c r="R60" s="22" t="str">
        <f>IF( $Q60="", "", INDEX( data!$U$2:$U$8, WEEKDAY($Q60) ) )</f>
        <v>수</v>
      </c>
      <c r="S60" s="24">
        <f>_xll.IMBC($B$4, S$8, $Q60, $D60, "세전수익률")</f>
        <v>10236.76</v>
      </c>
      <c r="T60" s="25">
        <f>_xll.IMBC($B$4, T$8, $Q60, $D60, "세전수익률")</f>
        <v>10113.006100000001</v>
      </c>
      <c r="U60" s="25">
        <f>_xll.IMBC($B$4, U$8, $Q60, $D60, "세전수익률")</f>
        <v>123.7637</v>
      </c>
      <c r="V60" s="26">
        <f>_xll.IMBC($B$4, V$8, $Q60, $D60, "세전수익률")</f>
        <v>0.70579999999999998</v>
      </c>
    </row>
    <row r="61" spans="2:22" s="6" customFormat="1" ht="13.5">
      <c r="B61" s="21">
        <f>IF(data!A57="", "", data!A57)</f>
        <v>45740</v>
      </c>
      <c r="C61" s="34" t="str">
        <f>IF( $B61="", "", INDEX( data!$U$2:$U$8, WEEKDAY($B61) ) )</f>
        <v>월</v>
      </c>
      <c r="D61" s="37">
        <f>IF( $B61="", "", CHOOSE(data!$V$1, data!B57, data!E57, data!V57) )</f>
        <v>2.6150000000000002</v>
      </c>
      <c r="E61" s="23">
        <f t="shared" si="0"/>
        <v>0</v>
      </c>
      <c r="F61" s="24">
        <f>IF( $B61="", "", CHOOSE(data!$V$1, data!C57, data!F57, data!W57) )</f>
        <v>10235.834999999999</v>
      </c>
      <c r="G61" s="24">
        <f t="shared" si="1"/>
        <v>0.73500000000058208</v>
      </c>
      <c r="H61" s="26">
        <f>IF( $B61="", "", CHOOSE(data!$V$1, data!D57, data!G57, data!X57) )</f>
        <v>0.69930000000000003</v>
      </c>
      <c r="I61" s="37">
        <f>IF(data!H57="", "", data!H57)</f>
        <v>2.62</v>
      </c>
      <c r="J61" s="40">
        <f>IF(data!I57="", "", data!I57)</f>
        <v>10235.48</v>
      </c>
      <c r="K61" s="37">
        <f>IF(data!J57="", "", data!J57)</f>
        <v>2.61</v>
      </c>
      <c r="L61" s="40">
        <f>IF(data!K57="", "", data!K57)</f>
        <v>10236.19</v>
      </c>
      <c r="M61" s="37">
        <f>IF(data!L57="", "", data!L57)</f>
        <v>2.625</v>
      </c>
      <c r="N61" s="40">
        <f>IF(data!M57="", "", data!M57)</f>
        <v>10235.120000000001</v>
      </c>
      <c r="O61" s="37">
        <f>IF(data!N57="", "", data!N57)</f>
        <v>2.61</v>
      </c>
      <c r="P61" s="40">
        <f>IF(data!O57="", "", data!O57)</f>
        <v>10236.19</v>
      </c>
      <c r="Q61" s="21">
        <f>WORKDAY($B61, data!$AL$1, data!AM57:$AM$2041)</f>
        <v>45741</v>
      </c>
      <c r="R61" s="22" t="str">
        <f>IF( $Q61="", "", INDEX( data!$U$2:$U$8, WEEKDAY($Q61) ) )</f>
        <v>화</v>
      </c>
      <c r="S61" s="24">
        <f>_xll.IMBC($B$4, S$8, $Q61, $D61, "세전수익률")</f>
        <v>10236.56</v>
      </c>
      <c r="T61" s="25">
        <f>_xll.IMBC($B$4, T$8, $Q61, $D61, "세전수익률")</f>
        <v>10113.9728</v>
      </c>
      <c r="U61" s="25">
        <f>_xll.IMBC($B$4, U$8, $Q61, $D61, "세전수익률")</f>
        <v>122.59610000000001</v>
      </c>
      <c r="V61" s="26">
        <f>_xll.IMBC($B$4, V$8, $Q61, $D61, "세전수익률")</f>
        <v>0.70850000000000002</v>
      </c>
    </row>
    <row r="62" spans="2:22" s="6" customFormat="1" ht="13.5">
      <c r="B62" s="21">
        <f>IF(data!A58="", "", data!A58)</f>
        <v>45739</v>
      </c>
      <c r="C62" s="34" t="str">
        <f>IF( $B62="", "", INDEX( data!$U$2:$U$8, WEEKDAY($B62) ) )</f>
        <v>일</v>
      </c>
      <c r="D62" s="37">
        <f>IF( $B62="", "", CHOOSE(data!$V$1, data!B58, data!E58, data!V58) )</f>
        <v>2.6150000000000002</v>
      </c>
      <c r="E62" s="23">
        <f t="shared" si="0"/>
        <v>0</v>
      </c>
      <c r="F62" s="24">
        <f>IF( $B62="", "", CHOOSE(data!$V$1, data!C58, data!F58, data!W58) )</f>
        <v>10235.099999999999</v>
      </c>
      <c r="G62" s="24">
        <f t="shared" si="1"/>
        <v>0.72999999999956344</v>
      </c>
      <c r="H62" s="26">
        <f>IF( $B62="", "", CHOOSE(data!$V$1, data!D58, data!G58, data!X58) )</f>
        <v>0.70065</v>
      </c>
      <c r="I62" s="37">
        <f>IF(data!H58="", "", data!H58)</f>
        <v>2.62</v>
      </c>
      <c r="J62" s="40">
        <f>IF(data!I58="", "", data!I58)</f>
        <v>10234.74</v>
      </c>
      <c r="K62" s="37">
        <f>IF(data!J58="", "", data!J58)</f>
        <v>2.61</v>
      </c>
      <c r="L62" s="40">
        <f>IF(data!K58="", "", data!K58)</f>
        <v>10235.459999999999</v>
      </c>
      <c r="M62" s="37">
        <f>IF(data!L58="", "", data!L58)</f>
        <v>2.625</v>
      </c>
      <c r="N62" s="40">
        <f>IF(data!M58="", "", data!M58)</f>
        <v>10234.39</v>
      </c>
      <c r="O62" s="37">
        <f>IF(data!N58="", "", data!N58)</f>
        <v>2.61</v>
      </c>
      <c r="P62" s="40">
        <f>IF(data!O58="", "", data!O58)</f>
        <v>10235.459999999999</v>
      </c>
      <c r="Q62" s="21">
        <f>WORKDAY($B62, data!$AL$1, data!AM58:$AM$2041)</f>
        <v>45740</v>
      </c>
      <c r="R62" s="22" t="str">
        <f>IF( $Q62="", "", INDEX( data!$U$2:$U$8, WEEKDAY($Q62) ) )</f>
        <v>월</v>
      </c>
      <c r="S62" s="24">
        <f>_xll.IMBC($B$4, S$8, $Q62, $D62, "세전수익률")</f>
        <v>10235.83</v>
      </c>
      <c r="T62" s="25">
        <f>_xll.IMBC($B$4, T$8, $Q62, $D62, "세전수익률")</f>
        <v>10114.409</v>
      </c>
      <c r="U62" s="25">
        <f>_xll.IMBC($B$4, U$8, $Q62, $D62, "세전수익률")</f>
        <v>121.4285</v>
      </c>
      <c r="V62" s="26">
        <f>_xll.IMBC($B$4, V$8, $Q62, $D62, "세전수익률")</f>
        <v>0.71130000000000004</v>
      </c>
    </row>
    <row r="63" spans="2:22" s="6" customFormat="1" ht="13.5">
      <c r="B63" s="21">
        <f>IF(data!A59="", "", data!A59)</f>
        <v>45738</v>
      </c>
      <c r="C63" s="34" t="str">
        <f>IF( $B63="", "", INDEX( data!$U$2:$U$8, WEEKDAY($B63) ) )</f>
        <v>토</v>
      </c>
      <c r="D63" s="37">
        <f>IF( $B63="", "", CHOOSE(data!$V$1, data!B59, data!E59, data!V59) )</f>
        <v>2.6150000000000002</v>
      </c>
      <c r="E63" s="23">
        <f t="shared" si="0"/>
        <v>0.50000000000003375</v>
      </c>
      <c r="F63" s="24">
        <f>IF( $B63="", "", CHOOSE(data!$V$1, data!C59, data!F59, data!W59) )</f>
        <v>10234.369999999999</v>
      </c>
      <c r="G63" s="24">
        <f t="shared" si="1"/>
        <v>0.36999999999898137</v>
      </c>
      <c r="H63" s="26">
        <f>IF( $B63="", "", CHOOSE(data!$V$1, data!D59, data!G59, data!X59) )</f>
        <v>0.70199999999999996</v>
      </c>
      <c r="I63" s="37">
        <f>IF(data!H59="", "", data!H59)</f>
        <v>2.62</v>
      </c>
      <c r="J63" s="40">
        <f>IF(data!I59="", "", data!I59)</f>
        <v>10234.01</v>
      </c>
      <c r="K63" s="37">
        <f>IF(data!J59="", "", data!J59)</f>
        <v>2.61</v>
      </c>
      <c r="L63" s="40">
        <f>IF(data!K59="", "", data!K59)</f>
        <v>10234.73</v>
      </c>
      <c r="M63" s="37">
        <f>IF(data!L59="", "", data!L59)</f>
        <v>2.625</v>
      </c>
      <c r="N63" s="40">
        <f>IF(data!M59="", "", data!M59)</f>
        <v>10233.65</v>
      </c>
      <c r="O63" s="37">
        <f>IF(data!N59="", "", data!N59)</f>
        <v>2.61</v>
      </c>
      <c r="P63" s="40">
        <f>IF(data!O59="", "", data!O59)</f>
        <v>10234.73</v>
      </c>
      <c r="Q63" s="21">
        <f>WORKDAY($B63, data!$AL$1, data!AM59:$AM$2041)</f>
        <v>45740</v>
      </c>
      <c r="R63" s="22" t="str">
        <f>IF( $Q63="", "", INDEX( data!$U$2:$U$8, WEEKDAY($Q63) ) )</f>
        <v>월</v>
      </c>
      <c r="S63" s="24">
        <f>_xll.IMBC($B$4, S$8, $Q63, $D63, "세전수익률")</f>
        <v>10235.83</v>
      </c>
      <c r="T63" s="25">
        <f>_xll.IMBC($B$4, T$8, $Q63, $D63, "세전수익률")</f>
        <v>10114.409</v>
      </c>
      <c r="U63" s="25">
        <f>_xll.IMBC($B$4, U$8, $Q63, $D63, "세전수익률")</f>
        <v>121.4285</v>
      </c>
      <c r="V63" s="26">
        <f>_xll.IMBC($B$4, V$8, $Q63, $D63, "세전수익률")</f>
        <v>0.71130000000000004</v>
      </c>
    </row>
    <row r="64" spans="2:22" s="6" customFormat="1" ht="13.5">
      <c r="B64" s="21">
        <f>IF(data!A60="", "", data!A60)</f>
        <v>45737</v>
      </c>
      <c r="C64" s="34" t="str">
        <f>IF( $B64="", "", INDEX( data!$U$2:$U$8, WEEKDAY($B64) ) )</f>
        <v>금</v>
      </c>
      <c r="D64" s="37">
        <f>IF( $B64="", "", CHOOSE(data!$V$1, data!B60, data!E60, data!V60) )</f>
        <v>2.61</v>
      </c>
      <c r="E64" s="23">
        <f t="shared" si="0"/>
        <v>0</v>
      </c>
      <c r="F64" s="24">
        <f>IF( $B64="", "", CHOOSE(data!$V$1, data!C60, data!F60, data!W60) )</f>
        <v>10234</v>
      </c>
      <c r="G64" s="24">
        <f t="shared" si="1"/>
        <v>0.72999999999956344</v>
      </c>
      <c r="H64" s="26">
        <f>IF( $B64="", "", CHOOSE(data!$V$1, data!D60, data!G60, data!X60) )</f>
        <v>0.70474999999999999</v>
      </c>
      <c r="I64" s="37">
        <f>IF(data!H60="", "", data!H60)</f>
        <v>2.61</v>
      </c>
      <c r="J64" s="40">
        <f>IF(data!I60="", "", data!I60)</f>
        <v>10234</v>
      </c>
      <c r="K64" s="37">
        <f>IF(data!J60="", "", data!J60)</f>
        <v>2.61</v>
      </c>
      <c r="L64" s="40">
        <f>IF(data!K60="", "", data!K60)</f>
        <v>10234</v>
      </c>
      <c r="M64" s="37">
        <f>IF(data!L60="", "", data!L60)</f>
        <v>2.61</v>
      </c>
      <c r="N64" s="40">
        <f>IF(data!M60="", "", data!M60)</f>
        <v>10234</v>
      </c>
      <c r="O64" s="37">
        <f>IF(data!N60="", "", data!N60)</f>
        <v>2.61</v>
      </c>
      <c r="P64" s="40">
        <f>IF(data!O60="", "", data!O60)</f>
        <v>10234</v>
      </c>
      <c r="Q64" s="21">
        <f>WORKDAY($B64, data!$AL$1, data!AM60:$AM$2041)</f>
        <v>45740</v>
      </c>
      <c r="R64" s="22" t="str">
        <f>IF( $Q64="", "", INDEX( data!$U$2:$U$8, WEEKDAY($Q64) ) )</f>
        <v>월</v>
      </c>
      <c r="S64" s="24">
        <f>_xll.IMBC($B$4, S$8, $Q64, $D64, "세전수익률")</f>
        <v>10236.19</v>
      </c>
      <c r="T64" s="25">
        <f>_xll.IMBC($B$4, T$8, $Q64, $D64, "세전수익률")</f>
        <v>10114.7655</v>
      </c>
      <c r="U64" s="25">
        <f>_xll.IMBC($B$4, U$8, $Q64, $D64, "세전수익률")</f>
        <v>121.4285</v>
      </c>
      <c r="V64" s="26">
        <f>_xll.IMBC($B$4, V$8, $Q64, $D64, "세전수익률")</f>
        <v>0.71130000000000004</v>
      </c>
    </row>
    <row r="65" spans="2:22" s="6" customFormat="1" ht="13.5">
      <c r="B65" s="21">
        <f>IF(data!A61="", "", data!A61)</f>
        <v>45736</v>
      </c>
      <c r="C65" s="34" t="str">
        <f>IF( $B65="", "", INDEX( data!$U$2:$U$8, WEEKDAY($B65) ) )</f>
        <v>목</v>
      </c>
      <c r="D65" s="37">
        <f>IF( $B65="", "", CHOOSE(data!$V$1, data!B61, data!E61, data!V61) )</f>
        <v>2.61</v>
      </c>
      <c r="E65" s="23">
        <f t="shared" si="0"/>
        <v>0.49999999999998934</v>
      </c>
      <c r="F65" s="24">
        <f>IF( $B65="", "", CHOOSE(data!$V$1, data!C61, data!F61, data!W61) )</f>
        <v>10233.27</v>
      </c>
      <c r="G65" s="24">
        <f t="shared" si="1"/>
        <v>0.36499999999978172</v>
      </c>
      <c r="H65" s="26">
        <f>IF( $B65="", "", CHOOSE(data!$V$1, data!D61, data!G61, data!X61) )</f>
        <v>0.70750000000000002</v>
      </c>
      <c r="I65" s="37">
        <f>IF(data!H61="", "", data!H61)</f>
        <v>2.61</v>
      </c>
      <c r="J65" s="40">
        <f>IF(data!I61="", "", data!I61)</f>
        <v>10233.27</v>
      </c>
      <c r="K65" s="37">
        <f>IF(data!J61="", "", data!J61)</f>
        <v>2.61</v>
      </c>
      <c r="L65" s="40">
        <f>IF(data!K61="", "", data!K61)</f>
        <v>10233.27</v>
      </c>
      <c r="M65" s="37">
        <f>IF(data!L61="", "", data!L61)</f>
        <v>2.6150000000000002</v>
      </c>
      <c r="N65" s="40">
        <f>IF(data!M61="", "", data!M61)</f>
        <v>10232.91</v>
      </c>
      <c r="O65" s="37">
        <f>IF(data!N61="", "", data!N61)</f>
        <v>2.62</v>
      </c>
      <c r="P65" s="40">
        <f>IF(data!O61="", "", data!O61)</f>
        <v>10232.549999999999</v>
      </c>
      <c r="Q65" s="21">
        <f>WORKDAY($B65, data!$AL$1, data!AM61:$AM$2041)</f>
        <v>45737</v>
      </c>
      <c r="R65" s="22" t="str">
        <f>IF( $Q65="", "", INDEX( data!$U$2:$U$8, WEEKDAY($Q65) ) )</f>
        <v>금</v>
      </c>
      <c r="S65" s="24">
        <f>_xll.IMBC($B$4, S$8, $Q65, $D65, "세전수익률")</f>
        <v>10234</v>
      </c>
      <c r="T65" s="25">
        <f>_xll.IMBC($B$4, T$8, $Q65, $D65, "세전수익률")</f>
        <v>10116.079</v>
      </c>
      <c r="U65" s="25">
        <f>_xll.IMBC($B$4, U$8, $Q65, $D65, "세전수익률")</f>
        <v>117.9258</v>
      </c>
      <c r="V65" s="26">
        <f>_xll.IMBC($B$4, V$8, $Q65, $D65, "세전수익률")</f>
        <v>0.71950000000000003</v>
      </c>
    </row>
    <row r="66" spans="2:22" s="6" customFormat="1" ht="13.5">
      <c r="B66" s="21">
        <f>IF(data!A62="", "", data!A62)</f>
        <v>45735</v>
      </c>
      <c r="C66" s="34" t="str">
        <f>IF( $B66="", "", INDEX( data!$U$2:$U$8, WEEKDAY($B66) ) )</f>
        <v>수</v>
      </c>
      <c r="D66" s="37">
        <f>IF( $B66="", "", CHOOSE(data!$V$1, data!B62, data!E62, data!V62) )</f>
        <v>2.605</v>
      </c>
      <c r="E66" s="23">
        <f t="shared" si="0"/>
        <v>-0.24999999999999467</v>
      </c>
      <c r="F66" s="24">
        <f>IF( $B66="", "", CHOOSE(data!$V$1, data!C62, data!F62, data!W62) )</f>
        <v>10232.905000000001</v>
      </c>
      <c r="G66" s="24">
        <f t="shared" si="1"/>
        <v>0.91000000000167347</v>
      </c>
      <c r="H66" s="26">
        <f>IF( $B66="", "", CHOOSE(data!$V$1, data!D62, data!G62, data!X62) )</f>
        <v>0.71020000000000005</v>
      </c>
      <c r="I66" s="37">
        <f>IF(data!H62="", "", data!H62)</f>
        <v>2.61</v>
      </c>
      <c r="J66" s="40">
        <f>IF(data!I62="", "", data!I62)</f>
        <v>10232.540000000001</v>
      </c>
      <c r="K66" s="37">
        <f>IF(data!J62="", "", data!J62)</f>
        <v>2.6</v>
      </c>
      <c r="L66" s="40">
        <f>IF(data!K62="", "", data!K62)</f>
        <v>10233.27</v>
      </c>
      <c r="M66" s="37">
        <f>IF(data!L62="", "", data!L62)</f>
        <v>2.61</v>
      </c>
      <c r="N66" s="40">
        <f>IF(data!M62="", "", data!M62)</f>
        <v>10232.540000000001</v>
      </c>
      <c r="O66" s="37">
        <f>IF(data!N62="", "", data!N62)</f>
        <v>2.61</v>
      </c>
      <c r="P66" s="40">
        <f>IF(data!O62="", "", data!O62)</f>
        <v>10232.540000000001</v>
      </c>
      <c r="Q66" s="21">
        <f>WORKDAY($B66, data!$AL$1, data!AM62:$AM$2041)</f>
        <v>45736</v>
      </c>
      <c r="R66" s="22" t="str">
        <f>IF( $Q66="", "", INDEX( data!$U$2:$U$8, WEEKDAY($Q66) ) )</f>
        <v>목</v>
      </c>
      <c r="S66" s="24">
        <f>_xll.IMBC($B$4, S$8, $Q66, $D66, "세전수익률")</f>
        <v>10233.629999999999</v>
      </c>
      <c r="T66" s="25">
        <f>_xll.IMBC($B$4, T$8, $Q66, $D66, "세전수익률")</f>
        <v>10116.879000000001</v>
      </c>
      <c r="U66" s="25">
        <f>_xll.IMBC($B$4, U$8, $Q66, $D66, "세전수익률")</f>
        <v>116.7582</v>
      </c>
      <c r="V66" s="26">
        <f>_xll.IMBC($B$4, V$8, $Q66, $D66, "세전수익률")</f>
        <v>0.72219999999999995</v>
      </c>
    </row>
    <row r="67" spans="2:22" s="6" customFormat="1" ht="13.5">
      <c r="B67" s="21">
        <f>IF(data!A63="", "", data!A63)</f>
        <v>45734</v>
      </c>
      <c r="C67" s="34" t="str">
        <f>IF( $B67="", "", INDEX( data!$U$2:$U$8, WEEKDAY($B67) ) )</f>
        <v>화</v>
      </c>
      <c r="D67" s="37">
        <f>IF( $B67="", "", CHOOSE(data!$V$1, data!B63, data!E63, data!V63) )</f>
        <v>2.6074999999999999</v>
      </c>
      <c r="E67" s="23">
        <f t="shared" si="0"/>
        <v>0</v>
      </c>
      <c r="F67" s="24">
        <f>IF( $B67="", "", CHOOSE(data!$V$1, data!C63, data!F63, data!W63) )</f>
        <v>10231.994999999999</v>
      </c>
      <c r="G67" s="24">
        <f t="shared" si="1"/>
        <v>0.72999999999956344</v>
      </c>
      <c r="H67" s="26">
        <f>IF( $B67="", "", CHOOSE(data!$V$1, data!D63, data!G63, data!X63) )</f>
        <v>0.71289999999999998</v>
      </c>
      <c r="I67" s="37">
        <f>IF(data!H63="", "", data!H63)</f>
        <v>2.61</v>
      </c>
      <c r="J67" s="40">
        <f>IF(data!I63="", "", data!I63)</f>
        <v>10231.81</v>
      </c>
      <c r="K67" s="37">
        <f>IF(data!J63="", "", data!J63)</f>
        <v>2.605</v>
      </c>
      <c r="L67" s="40">
        <f>IF(data!K63="", "", data!K63)</f>
        <v>10232.18</v>
      </c>
      <c r="M67" s="37">
        <f>IF(data!L63="", "", data!L63)</f>
        <v>2.61</v>
      </c>
      <c r="N67" s="40">
        <f>IF(data!M63="", "", data!M63)</f>
        <v>10231.81</v>
      </c>
      <c r="O67" s="37">
        <f>IF(data!N63="", "", data!N63)</f>
        <v>2.61</v>
      </c>
      <c r="P67" s="40">
        <f>IF(data!O63="", "", data!O63)</f>
        <v>10231.81</v>
      </c>
      <c r="Q67" s="21">
        <f>WORKDAY($B67, data!$AL$1, data!AM63:$AM$2041)</f>
        <v>45735</v>
      </c>
      <c r="R67" s="22" t="str">
        <f>IF( $Q67="", "", INDEX( data!$U$2:$U$8, WEEKDAY($Q67) ) )</f>
        <v>수</v>
      </c>
      <c r="S67" s="24">
        <f>_xll.IMBC($B$4, S$8, $Q67, $D67, "세전수익률")</f>
        <v>10232.719999999999</v>
      </c>
      <c r="T67" s="25">
        <f>_xll.IMBC($B$4, T$8, $Q67, $D67, "세전수익률")</f>
        <v>10117.1369</v>
      </c>
      <c r="U67" s="25">
        <f>_xll.IMBC($B$4, U$8, $Q67, $D67, "세전수익률")</f>
        <v>115.59059999999999</v>
      </c>
      <c r="V67" s="26">
        <f>_xll.IMBC($B$4, V$8, $Q67, $D67, "세전수익률")</f>
        <v>0.72499999999999998</v>
      </c>
    </row>
    <row r="68" spans="2:22" s="6" customFormat="1" ht="13.5">
      <c r="B68" s="21">
        <f>IF(data!A64="", "", data!A64)</f>
        <v>45733</v>
      </c>
      <c r="C68" s="34" t="str">
        <f>IF( $B68="", "", INDEX( data!$U$2:$U$8, WEEKDAY($B68) ) )</f>
        <v>월</v>
      </c>
      <c r="D68" s="37">
        <f>IF( $B68="", "", CHOOSE(data!$V$1, data!B64, data!E64, data!V64) )</f>
        <v>2.6074999999999999</v>
      </c>
      <c r="E68" s="23">
        <f t="shared" si="0"/>
        <v>0</v>
      </c>
      <c r="F68" s="24">
        <f>IF( $B68="", "", CHOOSE(data!$V$1, data!C64, data!F64, data!W64) )</f>
        <v>10231.264999999999</v>
      </c>
      <c r="G68" s="24">
        <f t="shared" si="1"/>
        <v>0.72999999999956344</v>
      </c>
      <c r="H68" s="26">
        <f>IF( $B68="", "", CHOOSE(data!$V$1, data!D64, data!G64, data!X64) )</f>
        <v>0.71829999999999994</v>
      </c>
      <c r="I68" s="37">
        <f>IF(data!H64="", "", data!H64)</f>
        <v>2.61</v>
      </c>
      <c r="J68" s="40">
        <f>IF(data!I64="", "", data!I64)</f>
        <v>10231.08</v>
      </c>
      <c r="K68" s="37">
        <f>IF(data!J64="", "", data!J64)</f>
        <v>2.605</v>
      </c>
      <c r="L68" s="40">
        <f>IF(data!K64="", "", data!K64)</f>
        <v>10231.450000000001</v>
      </c>
      <c r="M68" s="37">
        <f>IF(data!L64="", "", data!L64)</f>
        <v>2.61</v>
      </c>
      <c r="N68" s="40">
        <f>IF(data!M64="", "", data!M64)</f>
        <v>10231.08</v>
      </c>
      <c r="O68" s="37">
        <f>IF(data!N64="", "", data!N64)</f>
        <v>2.61</v>
      </c>
      <c r="P68" s="40">
        <f>IF(data!O64="", "", data!O64)</f>
        <v>10231.08</v>
      </c>
      <c r="Q68" s="21">
        <f>WORKDAY($B68, data!$AL$1, data!AM64:$AM$2041)</f>
        <v>45734</v>
      </c>
      <c r="R68" s="22" t="str">
        <f>IF( $Q68="", "", INDEX( data!$U$2:$U$8, WEEKDAY($Q68) ) )</f>
        <v>화</v>
      </c>
      <c r="S68" s="24">
        <f>_xll.IMBC($B$4, S$8, $Q68, $D68, "세전수익률")</f>
        <v>10231.99</v>
      </c>
      <c r="T68" s="25">
        <f>_xll.IMBC($B$4, T$8, $Q68, $D68, "세전수익률")</f>
        <v>10117.5759</v>
      </c>
      <c r="U68" s="25">
        <f>_xll.IMBC($B$4, U$8, $Q68, $D68, "세전수익률")</f>
        <v>114.423</v>
      </c>
      <c r="V68" s="26">
        <f>_xll.IMBC($B$4, V$8, $Q68, $D68, "세전수익률")</f>
        <v>0.72770000000000001</v>
      </c>
    </row>
    <row r="69" spans="2:22" s="6" customFormat="1" ht="13.5">
      <c r="B69" s="21">
        <f>IF(data!A65="", "", data!A65)</f>
        <v>45732</v>
      </c>
      <c r="C69" s="34" t="str">
        <f>IF( $B69="", "", INDEX( data!$U$2:$U$8, WEEKDAY($B69) ) )</f>
        <v>일</v>
      </c>
      <c r="D69" s="37">
        <f>IF( $B69="", "", CHOOSE(data!$V$1, data!B65, data!E65, data!V65) )</f>
        <v>2.6074999999999999</v>
      </c>
      <c r="E69" s="23">
        <f t="shared" si="0"/>
        <v>0</v>
      </c>
      <c r="F69" s="24">
        <f>IF( $B69="", "", CHOOSE(data!$V$1, data!C65, data!F65, data!W65) )</f>
        <v>10230.535</v>
      </c>
      <c r="G69" s="24">
        <f t="shared" si="1"/>
        <v>0.72999999999956344</v>
      </c>
      <c r="H69" s="26">
        <f>IF( $B69="", "", CHOOSE(data!$V$1, data!D65, data!G65, data!X65) )</f>
        <v>0.71965000000000001</v>
      </c>
      <c r="I69" s="37">
        <f>IF(data!H65="", "", data!H65)</f>
        <v>2.61</v>
      </c>
      <c r="J69" s="40">
        <f>IF(data!I65="", "", data!I65)</f>
        <v>10230.35</v>
      </c>
      <c r="K69" s="37">
        <f>IF(data!J65="", "", data!J65)</f>
        <v>2.605</v>
      </c>
      <c r="L69" s="40">
        <f>IF(data!K65="", "", data!K65)</f>
        <v>10230.719999999999</v>
      </c>
      <c r="M69" s="37">
        <f>IF(data!L65="", "", data!L65)</f>
        <v>2.61</v>
      </c>
      <c r="N69" s="40">
        <f>IF(data!M65="", "", data!M65)</f>
        <v>10230.35</v>
      </c>
      <c r="O69" s="37">
        <f>IF(data!N65="", "", data!N65)</f>
        <v>2.61</v>
      </c>
      <c r="P69" s="40">
        <f>IF(data!O65="", "", data!O65)</f>
        <v>10230.35</v>
      </c>
      <c r="Q69" s="21">
        <f>WORKDAY($B69, data!$AL$1, data!AM65:$AM$2041)</f>
        <v>45733</v>
      </c>
      <c r="R69" s="22" t="str">
        <f>IF( $Q69="", "", INDEX( data!$U$2:$U$8, WEEKDAY($Q69) ) )</f>
        <v>월</v>
      </c>
      <c r="S69" s="24">
        <f>_xll.IMBC($B$4, S$8, $Q69, $D69, "세전수익률")</f>
        <v>10231.27</v>
      </c>
      <c r="T69" s="25">
        <f>_xll.IMBC($B$4, T$8, $Q69, $D69, "세전수익률")</f>
        <v>10118.0149</v>
      </c>
      <c r="U69" s="25">
        <f>_xll.IMBC($B$4, U$8, $Q69, $D69, "세전수익률")</f>
        <v>113.25539999999999</v>
      </c>
      <c r="V69" s="26">
        <f>_xll.IMBC($B$4, V$8, $Q69, $D69, "세전수익률")</f>
        <v>0.73040000000000005</v>
      </c>
    </row>
    <row r="70" spans="2:22" s="6" customFormat="1" ht="13.5">
      <c r="B70" s="21">
        <f>IF(data!A66="", "", data!A66)</f>
        <v>45731</v>
      </c>
      <c r="C70" s="34" t="str">
        <f>IF( $B70="", "", INDEX( data!$U$2:$U$8, WEEKDAY($B70) ) )</f>
        <v>토</v>
      </c>
      <c r="D70" s="37">
        <f>IF( $B70="", "", CHOOSE(data!$V$1, data!B66, data!E66, data!V66) )</f>
        <v>2.6074999999999999</v>
      </c>
      <c r="E70" s="23">
        <f t="shared" si="0"/>
        <v>1.2499999999999734</v>
      </c>
      <c r="F70" s="24">
        <f>IF( $B70="", "", CHOOSE(data!$V$1, data!C66, data!F66, data!W66) )</f>
        <v>10229.805</v>
      </c>
      <c r="G70" s="24">
        <f t="shared" si="1"/>
        <v>-0.20499999999992724</v>
      </c>
      <c r="H70" s="26">
        <f>IF( $B70="", "", CHOOSE(data!$V$1, data!D66, data!G66, data!X66) )</f>
        <v>0.72099999999999997</v>
      </c>
      <c r="I70" s="37">
        <f>IF(data!H66="", "", data!H66)</f>
        <v>2.61</v>
      </c>
      <c r="J70" s="40">
        <f>IF(data!I66="", "", data!I66)</f>
        <v>10229.620000000001</v>
      </c>
      <c r="K70" s="37">
        <f>IF(data!J66="", "", data!J66)</f>
        <v>2.605</v>
      </c>
      <c r="L70" s="40">
        <f>IF(data!K66="", "", data!K66)</f>
        <v>10229.99</v>
      </c>
      <c r="M70" s="37">
        <f>IF(data!L66="", "", data!L66)</f>
        <v>2.61</v>
      </c>
      <c r="N70" s="40">
        <f>IF(data!M66="", "", data!M66)</f>
        <v>10229.620000000001</v>
      </c>
      <c r="O70" s="37">
        <f>IF(data!N66="", "", data!N66)</f>
        <v>2.61</v>
      </c>
      <c r="P70" s="40">
        <f>IF(data!O66="", "", data!O66)</f>
        <v>10229.620000000001</v>
      </c>
      <c r="Q70" s="21">
        <f>WORKDAY($B70, data!$AL$1, data!AM66:$AM$2041)</f>
        <v>45733</v>
      </c>
      <c r="R70" s="22" t="str">
        <f>IF( $Q70="", "", INDEX( data!$U$2:$U$8, WEEKDAY($Q70) ) )</f>
        <v>월</v>
      </c>
      <c r="S70" s="24">
        <f>_xll.IMBC($B$4, S$8, $Q70, $D70, "세전수익률")</f>
        <v>10231.27</v>
      </c>
      <c r="T70" s="25">
        <f>_xll.IMBC($B$4, T$8, $Q70, $D70, "세전수익률")</f>
        <v>10118.0149</v>
      </c>
      <c r="U70" s="25">
        <f>_xll.IMBC($B$4, U$8, $Q70, $D70, "세전수익률")</f>
        <v>113.25539999999999</v>
      </c>
      <c r="V70" s="26">
        <f>_xll.IMBC($B$4, V$8, $Q70, $D70, "세전수익률")</f>
        <v>0.73040000000000005</v>
      </c>
    </row>
    <row r="71" spans="2:22" s="6" customFormat="1" ht="13.5">
      <c r="B71" s="21">
        <f>IF(data!A67="", "", data!A67)</f>
        <v>45730</v>
      </c>
      <c r="C71" s="34" t="str">
        <f>IF( $B71="", "", INDEX( data!$U$2:$U$8, WEEKDAY($B71) ) )</f>
        <v>금</v>
      </c>
      <c r="D71" s="37">
        <f>IF( $B71="", "", CHOOSE(data!$V$1, data!B67, data!E67, data!V67) )</f>
        <v>2.5950000000000002</v>
      </c>
      <c r="E71" s="23">
        <f t="shared" si="0"/>
        <v>0.50000000000003375</v>
      </c>
      <c r="F71" s="24">
        <f>IF( $B71="", "", CHOOSE(data!$V$1, data!C67, data!F67, data!W67) )</f>
        <v>10230.01</v>
      </c>
      <c r="G71" s="24">
        <f t="shared" si="1"/>
        <v>0.36000000000058208</v>
      </c>
      <c r="H71" s="26">
        <f>IF( $B71="", "", CHOOSE(data!$V$1, data!D67, data!G67, data!X67) )</f>
        <v>0.72375</v>
      </c>
      <c r="I71" s="37">
        <f>IF(data!H67="", "", data!H67)</f>
        <v>2.5950000000000002</v>
      </c>
      <c r="J71" s="40">
        <f>IF(data!I67="", "", data!I67)</f>
        <v>10230.01</v>
      </c>
      <c r="K71" s="37">
        <f>IF(data!J67="", "", data!J67)</f>
        <v>2.5950000000000002</v>
      </c>
      <c r="L71" s="40">
        <f>IF(data!K67="", "", data!K67)</f>
        <v>10230.01</v>
      </c>
      <c r="M71" s="37">
        <f>IF(data!L67="", "", data!L67)</f>
        <v>2.59</v>
      </c>
      <c r="N71" s="40">
        <f>IF(data!M67="", "", data!M67)</f>
        <v>10230.379999999999</v>
      </c>
      <c r="O71" s="37">
        <f>IF(data!N67="", "", data!N67)</f>
        <v>2.5950000000000002</v>
      </c>
      <c r="P71" s="40">
        <f>IF(data!O67="", "", data!O67)</f>
        <v>10230.01</v>
      </c>
      <c r="Q71" s="21">
        <f>WORKDAY($B71, data!$AL$1, data!AM67:$AM$2041)</f>
        <v>45733</v>
      </c>
      <c r="R71" s="22" t="str">
        <f>IF( $Q71="", "", INDEX( data!$U$2:$U$8, WEEKDAY($Q71) ) )</f>
        <v>월</v>
      </c>
      <c r="S71" s="24">
        <f>_xll.IMBC($B$4, S$8, $Q71, $D71, "세전수익률")</f>
        <v>10232.18</v>
      </c>
      <c r="T71" s="25">
        <f>_xll.IMBC($B$4, T$8, $Q71, $D71, "세전수익률")</f>
        <v>10118.93</v>
      </c>
      <c r="U71" s="25">
        <f>_xll.IMBC($B$4, U$8, $Q71, $D71, "세전수익률")</f>
        <v>113.25539999999999</v>
      </c>
      <c r="V71" s="26">
        <f>_xll.IMBC($B$4, V$8, $Q71, $D71, "세전수익률")</f>
        <v>0.73050000000000004</v>
      </c>
    </row>
    <row r="72" spans="2:22" s="6" customFormat="1" ht="13.5">
      <c r="B72" s="21">
        <f>IF(data!A68="", "", data!A68)</f>
        <v>45729</v>
      </c>
      <c r="C72" s="34" t="str">
        <f>IF( $B72="", "", INDEX( data!$U$2:$U$8, WEEKDAY($B72) ) )</f>
        <v>목</v>
      </c>
      <c r="D72" s="37">
        <f>IF( $B72="", "", CHOOSE(data!$V$1, data!B68, data!E68, data!V68) )</f>
        <v>2.59</v>
      </c>
      <c r="E72" s="23">
        <f t="shared" si="0"/>
        <v>-0.75000000000002842</v>
      </c>
      <c r="F72" s="24">
        <f>IF( $B72="", "", CHOOSE(data!$V$1, data!C68, data!F68, data!W68) )</f>
        <v>10229.65</v>
      </c>
      <c r="G72" s="24">
        <f t="shared" si="1"/>
        <v>1.2800000000006548</v>
      </c>
      <c r="H72" s="26">
        <f>IF( $B72="", "", CHOOSE(data!$V$1, data!D68, data!G68, data!X68) )</f>
        <v>0.72650000000000003</v>
      </c>
      <c r="I72" s="37">
        <f>IF(data!H68="", "", data!H68)</f>
        <v>2.59</v>
      </c>
      <c r="J72" s="40">
        <f>IF(data!I68="", "", data!I68)</f>
        <v>10229.65</v>
      </c>
      <c r="K72" s="37">
        <f>IF(data!J68="", "", data!J68)</f>
        <v>2.59</v>
      </c>
      <c r="L72" s="40">
        <f>IF(data!K68="", "", data!K68)</f>
        <v>10229.65</v>
      </c>
      <c r="M72" s="37">
        <f>IF(data!L68="", "", data!L68)</f>
        <v>2.585</v>
      </c>
      <c r="N72" s="40">
        <f>IF(data!M68="", "", data!M68)</f>
        <v>10230.02</v>
      </c>
      <c r="O72" s="37">
        <f>IF(data!N68="", "", data!N68)</f>
        <v>2.5950000000000002</v>
      </c>
      <c r="P72" s="40">
        <f>IF(data!O68="", "", data!O68)</f>
        <v>10229.280000000001</v>
      </c>
      <c r="Q72" s="21">
        <f>WORKDAY($B72, data!$AL$1, data!AM68:$AM$2041)</f>
        <v>45730</v>
      </c>
      <c r="R72" s="22" t="str">
        <f>IF( $Q72="", "", INDEX( data!$U$2:$U$8, WEEKDAY($Q72) ) )</f>
        <v>금</v>
      </c>
      <c r="S72" s="24">
        <f>_xll.IMBC($B$4, S$8, $Q72, $D72, "세전수익률")</f>
        <v>10230.379999999999</v>
      </c>
      <c r="T72" s="25">
        <f>_xll.IMBC($B$4, T$8, $Q72, $D72, "세전수익률")</f>
        <v>10120.628199999999</v>
      </c>
      <c r="U72" s="25">
        <f>_xll.IMBC($B$4, U$8, $Q72, $D72, "세전수익률")</f>
        <v>109.7527</v>
      </c>
      <c r="V72" s="26">
        <f>_xll.IMBC($B$4, V$8, $Q72, $D72, "세전수익률")</f>
        <v>0.73870000000000002</v>
      </c>
    </row>
    <row r="73" spans="2:22" s="6" customFormat="1" ht="13.5">
      <c r="B73" s="21">
        <f>IF(data!A69="", "", data!A69)</f>
        <v>45728</v>
      </c>
      <c r="C73" s="34" t="str">
        <f>IF( $B73="", "", INDEX( data!$U$2:$U$8, WEEKDAY($B73) ) )</f>
        <v>수</v>
      </c>
      <c r="D73" s="37">
        <f>IF( $B73="", "", CHOOSE(data!$V$1, data!B69, data!E69, data!V69) )</f>
        <v>2.5975000000000001</v>
      </c>
      <c r="E73" s="23">
        <f t="shared" si="0"/>
        <v>-0.74999999999998401</v>
      </c>
      <c r="F73" s="24">
        <f>IF( $B73="", "", CHOOSE(data!$V$1, data!C69, data!F69, data!W69) )</f>
        <v>10228.369999999999</v>
      </c>
      <c r="G73" s="24">
        <f t="shared" si="1"/>
        <v>1.2849999999998545</v>
      </c>
      <c r="H73" s="26">
        <f>IF( $B73="", "", CHOOSE(data!$V$1, data!D69, data!G69, data!X69) )</f>
        <v>0.72914999999999996</v>
      </c>
      <c r="I73" s="37">
        <f>IF(data!H69="", "", data!H69)</f>
        <v>2.6</v>
      </c>
      <c r="J73" s="40">
        <f>IF(data!I69="", "", data!I69)</f>
        <v>10228.18</v>
      </c>
      <c r="K73" s="37">
        <f>IF(data!J69="", "", data!J69)</f>
        <v>2.5950000000000002</v>
      </c>
      <c r="L73" s="40">
        <f>IF(data!K69="", "", data!K69)</f>
        <v>10228.56</v>
      </c>
      <c r="M73" s="37">
        <f>IF(data!L69="", "", data!L69)</f>
        <v>2.6</v>
      </c>
      <c r="N73" s="40">
        <f>IF(data!M69="", "", data!M69)</f>
        <v>10228.18</v>
      </c>
      <c r="O73" s="37">
        <f>IF(data!N69="", "", data!N69)</f>
        <v>2.6</v>
      </c>
      <c r="P73" s="40">
        <f>IF(data!O69="", "", data!O69)</f>
        <v>10228.18</v>
      </c>
      <c r="Q73" s="21">
        <f>WORKDAY($B73, data!$AL$1, data!AM69:$AM$2041)</f>
        <v>45729</v>
      </c>
      <c r="R73" s="22" t="str">
        <f>IF( $Q73="", "", INDEX( data!$U$2:$U$8, WEEKDAY($Q73) ) )</f>
        <v>목</v>
      </c>
      <c r="S73" s="24">
        <f>_xll.IMBC($B$4, S$8, $Q73, $D73, "세전수익률")</f>
        <v>10229.1</v>
      </c>
      <c r="T73" s="25">
        <f>_xll.IMBC($B$4, T$8, $Q73, $D73, "세전수익률")</f>
        <v>10120.515100000001</v>
      </c>
      <c r="U73" s="25">
        <f>_xll.IMBC($B$4, U$8, $Q73, $D73, "세전수익률")</f>
        <v>108.5851</v>
      </c>
      <c r="V73" s="26">
        <f>_xll.IMBC($B$4, V$8, $Q73, $D73, "세전수익률")</f>
        <v>0.74139999999999995</v>
      </c>
    </row>
    <row r="74" spans="2:22" s="6" customFormat="1" ht="13.5">
      <c r="B74" s="21">
        <f>IF(data!A70="", "", data!A70)</f>
        <v>45727</v>
      </c>
      <c r="C74" s="34" t="str">
        <f>IF( $B74="", "", INDEX( data!$U$2:$U$8, WEEKDAY($B74) ) )</f>
        <v>화</v>
      </c>
      <c r="D74" s="37">
        <f>IF( $B74="", "", CHOOSE(data!$V$1, data!B70, data!E70, data!V70) )</f>
        <v>2.605</v>
      </c>
      <c r="E74" s="23">
        <f t="shared" ref="E74:E108" si="2">IF($B75="", "", (D74-D75)*100)</f>
        <v>0.24999999999999467</v>
      </c>
      <c r="F74" s="24">
        <f>IF( $B74="", "", CHOOSE(data!$V$1, data!C70, data!F70, data!W70) )</f>
        <v>10227.084999999999</v>
      </c>
      <c r="G74" s="24">
        <f t="shared" ref="G74:G108" si="3">IF($B75="", "", (F74-F75) )</f>
        <v>0.53999999999905413</v>
      </c>
      <c r="H74" s="26">
        <f>IF( $B74="", "", CHOOSE(data!$V$1, data!D70, data!G70, data!X70) )</f>
        <v>0.73185</v>
      </c>
      <c r="I74" s="37">
        <f>IF(data!H70="", "", data!H70)</f>
        <v>2.6</v>
      </c>
      <c r="J74" s="40">
        <f>IF(data!I70="", "", data!I70)</f>
        <v>10227.459999999999</v>
      </c>
      <c r="K74" s="37">
        <f>IF(data!J70="", "", data!J70)</f>
        <v>2.61</v>
      </c>
      <c r="L74" s="40">
        <f>IF(data!K70="", "", data!K70)</f>
        <v>10226.709999999999</v>
      </c>
      <c r="M74" s="37">
        <f>IF(data!L70="", "", data!L70)</f>
        <v>2.61</v>
      </c>
      <c r="N74" s="40">
        <f>IF(data!M70="", "", data!M70)</f>
        <v>10226.709999999999</v>
      </c>
      <c r="O74" s="37">
        <f>IF(data!N70="", "", data!N70)</f>
        <v>2.61</v>
      </c>
      <c r="P74" s="40">
        <f>IF(data!O70="", "", data!O70)</f>
        <v>10226.709999999999</v>
      </c>
      <c r="Q74" s="21">
        <f>WORKDAY($B74, data!$AL$1, data!AM70:$AM$2041)</f>
        <v>45728</v>
      </c>
      <c r="R74" s="22" t="str">
        <f>IF( $Q74="", "", INDEX( data!$U$2:$U$8, WEEKDAY($Q74) ) )</f>
        <v>수</v>
      </c>
      <c r="S74" s="24">
        <f>_xll.IMBC($B$4, S$8, $Q74, $D74, "세전수익률")</f>
        <v>10227.81</v>
      </c>
      <c r="T74" s="25">
        <f>_xll.IMBC($B$4, T$8, $Q74, $D74, "세전수익률")</f>
        <v>10120.3981</v>
      </c>
      <c r="U74" s="25">
        <f>_xll.IMBC($B$4, U$8, $Q74, $D74, "세전수익률")</f>
        <v>107.4175</v>
      </c>
      <c r="V74" s="26">
        <f>_xll.IMBC($B$4, V$8, $Q74, $D74, "세전수익률")</f>
        <v>0.74399999999999999</v>
      </c>
    </row>
    <row r="75" spans="2:22" s="6" customFormat="1" ht="13.5">
      <c r="B75" s="21">
        <f>IF(data!A71="", "", data!A71)</f>
        <v>45726</v>
      </c>
      <c r="C75" s="34" t="str">
        <f>IF( $B75="", "", INDEX( data!$U$2:$U$8, WEEKDAY($B75) ) )</f>
        <v>월</v>
      </c>
      <c r="D75" s="37">
        <f>IF( $B75="", "", CHOOSE(data!$V$1, data!B71, data!E71, data!V71) )</f>
        <v>2.6025</v>
      </c>
      <c r="E75" s="23">
        <f t="shared" si="2"/>
        <v>0</v>
      </c>
      <c r="F75" s="24">
        <f>IF( $B75="", "", CHOOSE(data!$V$1, data!C71, data!F71, data!W71) )</f>
        <v>10226.545</v>
      </c>
      <c r="G75" s="24">
        <f t="shared" si="3"/>
        <v>0.7250000000003638</v>
      </c>
      <c r="H75" s="26">
        <f>IF( $B75="", "", CHOOSE(data!$V$1, data!D71, data!G71, data!X71) )</f>
        <v>0.73724999999999996</v>
      </c>
      <c r="I75" s="37">
        <f>IF(data!H71="", "", data!H71)</f>
        <v>2.6</v>
      </c>
      <c r="J75" s="40">
        <f>IF(data!I71="", "", data!I71)</f>
        <v>10226.73</v>
      </c>
      <c r="K75" s="37">
        <f>IF(data!J71="", "", data!J71)</f>
        <v>2.605</v>
      </c>
      <c r="L75" s="40">
        <f>IF(data!K71="", "", data!K71)</f>
        <v>10226.36</v>
      </c>
      <c r="M75" s="37">
        <f>IF(data!L71="", "", data!L71)</f>
        <v>2.62</v>
      </c>
      <c r="N75" s="40">
        <f>IF(data!M71="", "", data!M71)</f>
        <v>10225.23</v>
      </c>
      <c r="O75" s="37">
        <f>IF(data!N71="", "", data!N71)</f>
        <v>2.605</v>
      </c>
      <c r="P75" s="40">
        <f>IF(data!O71="", "", data!O71)</f>
        <v>10226.36</v>
      </c>
      <c r="Q75" s="21">
        <f>WORKDAY($B75, data!$AL$1, data!AM71:$AM$2041)</f>
        <v>45727</v>
      </c>
      <c r="R75" s="22" t="str">
        <f>IF( $Q75="", "", INDEX( data!$U$2:$U$8, WEEKDAY($Q75) ) )</f>
        <v>화</v>
      </c>
      <c r="S75" s="24">
        <f>_xll.IMBC($B$4, S$8, $Q75, $D75, "세전수익률")</f>
        <v>10227.27</v>
      </c>
      <c r="T75" s="25">
        <f>_xll.IMBC($B$4, T$8, $Q75, $D75, "세전수익률")</f>
        <v>10121.025600000001</v>
      </c>
      <c r="U75" s="25">
        <f>_xll.IMBC($B$4, U$8, $Q75, $D75, "세전수익률")</f>
        <v>106.25</v>
      </c>
      <c r="V75" s="26">
        <f>_xll.IMBC($B$4, V$8, $Q75, $D75, "세전수익률")</f>
        <v>0.74680000000000002</v>
      </c>
    </row>
    <row r="76" spans="2:22" s="6" customFormat="1" ht="13.5">
      <c r="B76" s="21">
        <f>IF(data!A72="", "", data!A72)</f>
        <v>45725</v>
      </c>
      <c r="C76" s="34" t="str">
        <f>IF( $B76="", "", INDEX( data!$U$2:$U$8, WEEKDAY($B76) ) )</f>
        <v>일</v>
      </c>
      <c r="D76" s="37">
        <f>IF( $B76="", "", CHOOSE(data!$V$1, data!B72, data!E72, data!V72) )</f>
        <v>2.6025</v>
      </c>
      <c r="E76" s="23">
        <f t="shared" si="2"/>
        <v>0</v>
      </c>
      <c r="F76" s="24">
        <f>IF( $B76="", "", CHOOSE(data!$V$1, data!C72, data!F72, data!W72) )</f>
        <v>10225.82</v>
      </c>
      <c r="G76" s="24">
        <f t="shared" si="3"/>
        <v>0.72999999999956344</v>
      </c>
      <c r="H76" s="26">
        <f>IF( $B76="", "", CHOOSE(data!$V$1, data!D72, data!G72, data!X72) )</f>
        <v>0.73859999999999992</v>
      </c>
      <c r="I76" s="37">
        <f>IF(data!H72="", "", data!H72)</f>
        <v>2.6</v>
      </c>
      <c r="J76" s="40">
        <f>IF(data!I72="", "", data!I72)</f>
        <v>10226.01</v>
      </c>
      <c r="K76" s="37">
        <f>IF(data!J72="", "", data!J72)</f>
        <v>2.605</v>
      </c>
      <c r="L76" s="40">
        <f>IF(data!K72="", "", data!K72)</f>
        <v>10225.629999999999</v>
      </c>
      <c r="M76" s="37">
        <f>IF(data!L72="", "", data!L72)</f>
        <v>2.62</v>
      </c>
      <c r="N76" s="40">
        <f>IF(data!M72="", "", data!M72)</f>
        <v>10224.5</v>
      </c>
      <c r="O76" s="37">
        <f>IF(data!N72="", "", data!N72)</f>
        <v>2.605</v>
      </c>
      <c r="P76" s="40">
        <f>IF(data!O72="", "", data!O72)</f>
        <v>10225.629999999999</v>
      </c>
      <c r="Q76" s="21">
        <f>WORKDAY($B76, data!$AL$1, data!AM72:$AM$2041)</f>
        <v>45726</v>
      </c>
      <c r="R76" s="22" t="str">
        <f>IF( $Q76="", "", INDEX( data!$U$2:$U$8, WEEKDAY($Q76) ) )</f>
        <v>월</v>
      </c>
      <c r="S76" s="24">
        <f>_xll.IMBC($B$4, S$8, $Q76, $D76, "세전수익률")</f>
        <v>10226.540000000001</v>
      </c>
      <c r="T76" s="25">
        <f>_xll.IMBC($B$4, T$8, $Q76, $D76, "세전수익률")</f>
        <v>10121.466700000001</v>
      </c>
      <c r="U76" s="25">
        <f>_xll.IMBC($B$4, U$8, $Q76, $D76, "세전수익률")</f>
        <v>105.08240000000001</v>
      </c>
      <c r="V76" s="26">
        <f>_xll.IMBC($B$4, V$8, $Q76, $D76, "세전수익률")</f>
        <v>0.74950000000000006</v>
      </c>
    </row>
    <row r="77" spans="2:22" s="6" customFormat="1" ht="13.5">
      <c r="B77" s="21">
        <f>IF(data!A73="", "", data!A73)</f>
        <v>45724</v>
      </c>
      <c r="C77" s="34" t="str">
        <f>IF( $B77="", "", INDEX( data!$U$2:$U$8, WEEKDAY($B77) ) )</f>
        <v>토</v>
      </c>
      <c r="D77" s="37">
        <f>IF( $B77="", "", CHOOSE(data!$V$1, data!B73, data!E73, data!V73) )</f>
        <v>2.6025</v>
      </c>
      <c r="E77" s="23">
        <f t="shared" si="2"/>
        <v>-1.5000000000000124</v>
      </c>
      <c r="F77" s="24">
        <f>IF( $B77="", "", CHOOSE(data!$V$1, data!C73, data!F73, data!W73) )</f>
        <v>10225.09</v>
      </c>
      <c r="G77" s="24">
        <f t="shared" si="3"/>
        <v>1.8600000000005821</v>
      </c>
      <c r="H77" s="26">
        <f>IF( $B77="", "", CHOOSE(data!$V$1, data!D73, data!G73, data!X73) )</f>
        <v>0.73995</v>
      </c>
      <c r="I77" s="37">
        <f>IF(data!H73="", "", data!H73)</f>
        <v>2.6</v>
      </c>
      <c r="J77" s="40">
        <f>IF(data!I73="", "", data!I73)</f>
        <v>10225.280000000001</v>
      </c>
      <c r="K77" s="37">
        <f>IF(data!J73="", "", data!J73)</f>
        <v>2.605</v>
      </c>
      <c r="L77" s="40">
        <f>IF(data!K73="", "", data!K73)</f>
        <v>10224.9</v>
      </c>
      <c r="M77" s="37">
        <f>IF(data!L73="", "", data!L73)</f>
        <v>2.62</v>
      </c>
      <c r="N77" s="40">
        <f>IF(data!M73="", "", data!M73)</f>
        <v>10223.77</v>
      </c>
      <c r="O77" s="37">
        <f>IF(data!N73="", "", data!N73)</f>
        <v>2.605</v>
      </c>
      <c r="P77" s="40">
        <f>IF(data!O73="", "", data!O73)</f>
        <v>10224.9</v>
      </c>
      <c r="Q77" s="21">
        <f>WORKDAY($B77, data!$AL$1, data!AM73:$AM$2041)</f>
        <v>45726</v>
      </c>
      <c r="R77" s="22" t="str">
        <f>IF( $Q77="", "", INDEX( data!$U$2:$U$8, WEEKDAY($Q77) ) )</f>
        <v>월</v>
      </c>
      <c r="S77" s="24">
        <f>_xll.IMBC($B$4, S$8, $Q77, $D77, "세전수익률")</f>
        <v>10226.540000000001</v>
      </c>
      <c r="T77" s="25">
        <f>_xll.IMBC($B$4, T$8, $Q77, $D77, "세전수익률")</f>
        <v>10121.466700000001</v>
      </c>
      <c r="U77" s="25">
        <f>_xll.IMBC($B$4, U$8, $Q77, $D77, "세전수익률")</f>
        <v>105.08240000000001</v>
      </c>
      <c r="V77" s="26">
        <f>_xll.IMBC($B$4, V$8, $Q77, $D77, "세전수익률")</f>
        <v>0.74950000000000006</v>
      </c>
    </row>
    <row r="78" spans="2:22" s="6" customFormat="1" ht="13.5">
      <c r="B78" s="21">
        <f>IF(data!A74="", "", data!A74)</f>
        <v>45723</v>
      </c>
      <c r="C78" s="34" t="str">
        <f>IF( $B78="", "", INDEX( data!$U$2:$U$8, WEEKDAY($B78) ) )</f>
        <v>금</v>
      </c>
      <c r="D78" s="37">
        <f>IF( $B78="", "", CHOOSE(data!$V$1, data!B74, data!E74, data!V74) )</f>
        <v>2.6175000000000002</v>
      </c>
      <c r="E78" s="23">
        <f t="shared" si="2"/>
        <v>0</v>
      </c>
      <c r="F78" s="24">
        <f>IF( $B78="", "", CHOOSE(data!$V$1, data!C74, data!F74, data!W74) )</f>
        <v>10223.23</v>
      </c>
      <c r="G78" s="24">
        <f t="shared" si="3"/>
        <v>0.72999999999956344</v>
      </c>
      <c r="H78" s="26">
        <f>IF( $B78="", "", CHOOSE(data!$V$1, data!D74, data!G74, data!X74) )</f>
        <v>0.74265000000000003</v>
      </c>
      <c r="I78" s="37">
        <f>IF(data!H74="", "", data!H74)</f>
        <v>2.6150000000000002</v>
      </c>
      <c r="J78" s="40">
        <f>IF(data!I74="", "", data!I74)</f>
        <v>10223.42</v>
      </c>
      <c r="K78" s="37">
        <f>IF(data!J74="", "", data!J74)</f>
        <v>2.62</v>
      </c>
      <c r="L78" s="40">
        <f>IF(data!K74="", "", data!K74)</f>
        <v>10223.040000000001</v>
      </c>
      <c r="M78" s="37">
        <f>IF(data!L74="", "", data!L74)</f>
        <v>2.6269999999999998</v>
      </c>
      <c r="N78" s="40">
        <f>IF(data!M74="", "", data!M74)</f>
        <v>10222.51</v>
      </c>
      <c r="O78" s="37">
        <f>IF(data!N74="", "", data!N74)</f>
        <v>2.62</v>
      </c>
      <c r="P78" s="40">
        <f>IF(data!O74="", "", data!O74)</f>
        <v>10223.040000000001</v>
      </c>
      <c r="Q78" s="21">
        <f>WORKDAY($B78, data!$AL$1, data!AM74:$AM$2041)</f>
        <v>45726</v>
      </c>
      <c r="R78" s="22" t="str">
        <f>IF( $Q78="", "", INDEX( data!$U$2:$U$8, WEEKDAY($Q78) ) )</f>
        <v>월</v>
      </c>
      <c r="S78" s="24">
        <f>_xll.IMBC($B$4, S$8, $Q78, $D78, "세전수익률")</f>
        <v>10225.42</v>
      </c>
      <c r="T78" s="25">
        <f>_xll.IMBC($B$4, T$8, $Q78, $D78, "세전수익률")</f>
        <v>10120.340200000001</v>
      </c>
      <c r="U78" s="25">
        <f>_xll.IMBC($B$4, U$8, $Q78, $D78, "세전수익률")</f>
        <v>105.08240000000001</v>
      </c>
      <c r="V78" s="26">
        <f>_xll.IMBC($B$4, V$8, $Q78, $D78, "세전수익률")</f>
        <v>0.74939999999999996</v>
      </c>
    </row>
    <row r="79" spans="2:22" s="6" customFormat="1" ht="13.5">
      <c r="B79" s="21">
        <f>IF(data!A75="", "", data!A75)</f>
        <v>45722</v>
      </c>
      <c r="C79" s="34" t="str">
        <f>IF( $B79="", "", INDEX( data!$U$2:$U$8, WEEKDAY($B79) ) )</f>
        <v>목</v>
      </c>
      <c r="D79" s="37">
        <f>IF( $B79="", "", CHOOSE(data!$V$1, data!B75, data!E75, data!V75) )</f>
        <v>2.6175000000000002</v>
      </c>
      <c r="E79" s="23">
        <f t="shared" si="2"/>
        <v>1.2500000000000178</v>
      </c>
      <c r="F79" s="24">
        <f>IF( $B79="", "", CHOOSE(data!$V$1, data!C75, data!F75, data!W75) )</f>
        <v>10222.5</v>
      </c>
      <c r="G79" s="24">
        <f t="shared" si="3"/>
        <v>-0.21999999999934516</v>
      </c>
      <c r="H79" s="26">
        <f>IF( $B79="", "", CHOOSE(data!$V$1, data!D75, data!G75, data!X75) )</f>
        <v>0.74534999999999996</v>
      </c>
      <c r="I79" s="37">
        <f>IF(data!H75="", "", data!H75)</f>
        <v>2.6150000000000002</v>
      </c>
      <c r="J79" s="40">
        <f>IF(data!I75="", "", data!I75)</f>
        <v>10222.69</v>
      </c>
      <c r="K79" s="37">
        <f>IF(data!J75="", "", data!J75)</f>
        <v>2.62</v>
      </c>
      <c r="L79" s="40">
        <f>IF(data!K75="", "", data!K75)</f>
        <v>10222.31</v>
      </c>
      <c r="M79" s="37">
        <f>IF(data!L75="", "", data!L75)</f>
        <v>2.61</v>
      </c>
      <c r="N79" s="40">
        <f>IF(data!M75="", "", data!M75)</f>
        <v>10223.07</v>
      </c>
      <c r="O79" s="37">
        <f>IF(data!N75="", "", data!N75)</f>
        <v>2.62</v>
      </c>
      <c r="P79" s="40">
        <f>IF(data!O75="", "", data!O75)</f>
        <v>10222.31</v>
      </c>
      <c r="Q79" s="21">
        <f>WORKDAY($B79, data!$AL$1, data!AM75:$AM$2041)</f>
        <v>45723</v>
      </c>
      <c r="R79" s="22" t="str">
        <f>IF( $Q79="", "", INDEX( data!$U$2:$U$8, WEEKDAY($Q79) ) )</f>
        <v>금</v>
      </c>
      <c r="S79" s="24">
        <f>_xll.IMBC($B$4, S$8, $Q79, $D79, "세전수익률")</f>
        <v>10223.23</v>
      </c>
      <c r="T79" s="25">
        <f>_xll.IMBC($B$4, T$8, $Q79, $D79, "세전수익률")</f>
        <v>10121.652</v>
      </c>
      <c r="U79" s="25">
        <f>_xll.IMBC($B$4, U$8, $Q79, $D79, "세전수익률")</f>
        <v>101.5796</v>
      </c>
      <c r="V79" s="26">
        <f>_xll.IMBC($B$4, V$8, $Q79, $D79, "세전수익률")</f>
        <v>0.75749999999999995</v>
      </c>
    </row>
    <row r="80" spans="2:22" s="6" customFormat="1" ht="13.5">
      <c r="B80" s="21">
        <f>IF(data!A76="", "", data!A76)</f>
        <v>45721</v>
      </c>
      <c r="C80" s="34" t="str">
        <f>IF( $B80="", "", INDEX( data!$U$2:$U$8, WEEKDAY($B80) ) )</f>
        <v>수</v>
      </c>
      <c r="D80" s="37">
        <f>IF( $B80="", "", CHOOSE(data!$V$1, data!B76, data!E76, data!V76) )</f>
        <v>2.605</v>
      </c>
      <c r="E80" s="23">
        <f t="shared" si="2"/>
        <v>-0.24999999999999467</v>
      </c>
      <c r="F80" s="24">
        <f>IF( $B80="", "", CHOOSE(data!$V$1, data!C76, data!F76, data!W76) )</f>
        <v>10222.719999999999</v>
      </c>
      <c r="G80" s="24">
        <f t="shared" si="3"/>
        <v>0.91499999999905413</v>
      </c>
      <c r="H80" s="26">
        <f>IF( $B80="", "", CHOOSE(data!$V$1, data!D76, data!G76, data!X76) )</f>
        <v>0.74809999999999999</v>
      </c>
      <c r="I80" s="37">
        <f>IF(data!H76="", "", data!H76)</f>
        <v>2.605</v>
      </c>
      <c r="J80" s="40">
        <f>IF(data!I76="", "", data!I76)</f>
        <v>10222.719999999999</v>
      </c>
      <c r="K80" s="37">
        <f>IF(data!J76="", "", data!J76)</f>
        <v>2.605</v>
      </c>
      <c r="L80" s="40">
        <f>IF(data!K76="", "", data!K76)</f>
        <v>10222.719999999999</v>
      </c>
      <c r="M80" s="37">
        <f>IF(data!L76="", "", data!L76)</f>
        <v>2.6</v>
      </c>
      <c r="N80" s="40">
        <f>IF(data!M76="", "", data!M76)</f>
        <v>10223.1</v>
      </c>
      <c r="O80" s="37">
        <f>IF(data!N76="", "", data!N76)</f>
        <v>2.605</v>
      </c>
      <c r="P80" s="40">
        <f>IF(data!O76="", "", data!O76)</f>
        <v>10222.719999999999</v>
      </c>
      <c r="Q80" s="21">
        <f>WORKDAY($B80, data!$AL$1, data!AM76:$AM$2041)</f>
        <v>45722</v>
      </c>
      <c r="R80" s="22" t="str">
        <f>IF( $Q80="", "", INDEX( data!$U$2:$U$8, WEEKDAY($Q80) ) )</f>
        <v>목</v>
      </c>
      <c r="S80" s="24">
        <f>_xll.IMBC($B$4, S$8, $Q80, $D80, "세전수익률")</f>
        <v>10223.450000000001</v>
      </c>
      <c r="T80" s="25">
        <f>_xll.IMBC($B$4, T$8, $Q80, $D80, "세전수익률")</f>
        <v>10123.041800000001</v>
      </c>
      <c r="U80" s="25">
        <f>_xll.IMBC($B$4, U$8, $Q80, $D80, "세전수익률")</f>
        <v>100.41200000000001</v>
      </c>
      <c r="V80" s="26">
        <f>_xll.IMBC($B$4, V$8, $Q80, $D80, "세전수익률")</f>
        <v>0.76029999999999998</v>
      </c>
    </row>
    <row r="81" spans="2:22" s="6" customFormat="1" ht="13.5">
      <c r="B81" s="21">
        <f>IF(data!A77="", "", data!A77)</f>
        <v>45720</v>
      </c>
      <c r="C81" s="34" t="str">
        <f>IF( $B81="", "", INDEX( data!$U$2:$U$8, WEEKDAY($B81) ) )</f>
        <v>화</v>
      </c>
      <c r="D81" s="37">
        <f>IF( $B81="", "", CHOOSE(data!$V$1, data!B77, data!E77, data!V77) )</f>
        <v>2.6074999999999999</v>
      </c>
      <c r="E81" s="23">
        <f t="shared" si="2"/>
        <v>0</v>
      </c>
      <c r="F81" s="24">
        <f>IF( $B81="", "", CHOOSE(data!$V$1, data!C77, data!F77, data!W77) )</f>
        <v>10221.805</v>
      </c>
      <c r="G81" s="24">
        <f t="shared" si="3"/>
        <v>0.72999999999956344</v>
      </c>
      <c r="H81" s="26">
        <f>IF( $B81="", "", CHOOSE(data!$V$1, data!D77, data!G77, data!X77) )</f>
        <v>0.75485000000000002</v>
      </c>
      <c r="I81" s="37">
        <f>IF(data!H77="", "", data!H77)</f>
        <v>2.605</v>
      </c>
      <c r="J81" s="40">
        <f>IF(data!I77="", "", data!I77)</f>
        <v>10222</v>
      </c>
      <c r="K81" s="37">
        <f>IF(data!J77="", "", data!J77)</f>
        <v>2.61</v>
      </c>
      <c r="L81" s="40">
        <f>IF(data!K77="", "", data!K77)</f>
        <v>10221.61</v>
      </c>
      <c r="M81" s="37">
        <f>IF(data!L77="", "", data!L77)</f>
        <v>2.605</v>
      </c>
      <c r="N81" s="40">
        <f>IF(data!M77="", "", data!M77)</f>
        <v>10222</v>
      </c>
      <c r="O81" s="37">
        <f>IF(data!N77="", "", data!N77)</f>
        <v>2.61</v>
      </c>
      <c r="P81" s="40">
        <f>IF(data!O77="", "", data!O77)</f>
        <v>10221.61</v>
      </c>
      <c r="Q81" s="21">
        <f>WORKDAY($B81, data!$AL$1, data!AM77:$AM$2041)</f>
        <v>45721</v>
      </c>
      <c r="R81" s="22" t="str">
        <f>IF( $Q81="", "", INDEX( data!$U$2:$U$8, WEEKDAY($Q81) ) )</f>
        <v>수</v>
      </c>
      <c r="S81" s="24">
        <f>_xll.IMBC($B$4, S$8, $Q81, $D81, "세전수익률")</f>
        <v>10222.530000000001</v>
      </c>
      <c r="T81" s="25">
        <f>_xll.IMBC($B$4, T$8, $Q81, $D81, "세전수익률")</f>
        <v>10123.2916</v>
      </c>
      <c r="U81" s="25">
        <f>_xll.IMBC($B$4, U$8, $Q81, $D81, "세전수익률")</f>
        <v>99.244500000000002</v>
      </c>
      <c r="V81" s="26">
        <f>_xll.IMBC($B$4, V$8, $Q81, $D81, "세전수익률")</f>
        <v>0.76300000000000001</v>
      </c>
    </row>
    <row r="82" spans="2:22" s="6" customFormat="1" ht="13.5">
      <c r="B82" s="21">
        <f>IF(data!A78="", "", data!A78)</f>
        <v>45719</v>
      </c>
      <c r="C82" s="34" t="str">
        <f>IF( $B82="", "", INDEX( data!$U$2:$U$8, WEEKDAY($B82) ) )</f>
        <v>월</v>
      </c>
      <c r="D82" s="37">
        <f>IF( $B82="", "", CHOOSE(data!$V$1, data!B78, data!E78, data!V78) )</f>
        <v>2.6074999999999999</v>
      </c>
      <c r="E82" s="23">
        <f t="shared" si="2"/>
        <v>0</v>
      </c>
      <c r="F82" s="24">
        <f>IF( $B82="", "", CHOOSE(data!$V$1, data!C78, data!F78, data!W78) )</f>
        <v>10221.075000000001</v>
      </c>
      <c r="G82" s="24">
        <f t="shared" si="3"/>
        <v>0.7250000000003638</v>
      </c>
      <c r="H82" s="26">
        <f>IF( $B82="", "", CHOOSE(data!$V$1, data!D78, data!G78, data!X78) )</f>
        <v>0.75619999999999998</v>
      </c>
      <c r="I82" s="37">
        <f>IF(data!H78="", "", data!H78)</f>
        <v>2.605</v>
      </c>
      <c r="J82" s="40">
        <f>IF(data!I78="", "", data!I78)</f>
        <v>10221.27</v>
      </c>
      <c r="K82" s="37">
        <f>IF(data!J78="", "", data!J78)</f>
        <v>2.61</v>
      </c>
      <c r="L82" s="40">
        <f>IF(data!K78="", "", data!K78)</f>
        <v>10220.879999999999</v>
      </c>
      <c r="M82" s="37">
        <f>IF(data!L78="", "", data!L78)</f>
        <v>2.605</v>
      </c>
      <c r="N82" s="40">
        <f>IF(data!M78="", "", data!M78)</f>
        <v>10221.27</v>
      </c>
      <c r="O82" s="37">
        <f>IF(data!N78="", "", data!N78)</f>
        <v>2.61</v>
      </c>
      <c r="P82" s="40">
        <f>IF(data!O78="", "", data!O78)</f>
        <v>10220.879999999999</v>
      </c>
      <c r="Q82" s="21">
        <f>WORKDAY($B82, data!$AL$1, data!AM78:$AM$2041)</f>
        <v>45720</v>
      </c>
      <c r="R82" s="22" t="str">
        <f>IF( $Q82="", "", INDEX( data!$U$2:$U$8, WEEKDAY($Q82) ) )</f>
        <v>화</v>
      </c>
      <c r="S82" s="24">
        <f>_xll.IMBC($B$4, S$8, $Q82, $D82, "세전수익률")</f>
        <v>10221.799999999999</v>
      </c>
      <c r="T82" s="25">
        <f>_xll.IMBC($B$4, T$8, $Q82, $D82, "세전수익률")</f>
        <v>10123.732</v>
      </c>
      <c r="U82" s="25">
        <f>_xll.IMBC($B$4, U$8, $Q82, $D82, "세전수익률")</f>
        <v>98.076899999999995</v>
      </c>
      <c r="V82" s="26">
        <f>_xll.IMBC($B$4, V$8, $Q82, $D82, "세전수익률")</f>
        <v>0.76580000000000004</v>
      </c>
    </row>
    <row r="83" spans="2:22" s="6" customFormat="1" ht="13.5">
      <c r="B83" s="21">
        <f>IF(data!A79="", "", data!A79)</f>
        <v>45718</v>
      </c>
      <c r="C83" s="34" t="str">
        <f>IF( $B83="", "", INDEX( data!$U$2:$U$8, WEEKDAY($B83) ) )</f>
        <v>일</v>
      </c>
      <c r="D83" s="37">
        <f>IF( $B83="", "", CHOOSE(data!$V$1, data!B79, data!E79, data!V79) )</f>
        <v>2.6074999999999999</v>
      </c>
      <c r="E83" s="23">
        <f t="shared" si="2"/>
        <v>0</v>
      </c>
      <c r="F83" s="24">
        <f>IF( $B83="", "", CHOOSE(data!$V$1, data!C79, data!F79, data!W79) )</f>
        <v>10220.35</v>
      </c>
      <c r="G83" s="24">
        <f t="shared" si="3"/>
        <v>0.7250000000003638</v>
      </c>
      <c r="H83" s="26">
        <f>IF( $B83="", "", CHOOSE(data!$V$1, data!D79, data!G79, data!X79) )</f>
        <v>0.75754999999999995</v>
      </c>
      <c r="I83" s="37">
        <f>IF(data!H79="", "", data!H79)</f>
        <v>2.605</v>
      </c>
      <c r="J83" s="40">
        <f>IF(data!I79="", "", data!I79)</f>
        <v>10220.540000000001</v>
      </c>
      <c r="K83" s="37">
        <f>IF(data!J79="", "", data!J79)</f>
        <v>2.61</v>
      </c>
      <c r="L83" s="40">
        <f>IF(data!K79="", "", data!K79)</f>
        <v>10220.16</v>
      </c>
      <c r="M83" s="37">
        <f>IF(data!L79="", "", data!L79)</f>
        <v>2.605</v>
      </c>
      <c r="N83" s="40">
        <f>IF(data!M79="", "", data!M79)</f>
        <v>10220.540000000001</v>
      </c>
      <c r="O83" s="37">
        <f>IF(data!N79="", "", data!N79)</f>
        <v>2.61</v>
      </c>
      <c r="P83" s="40">
        <f>IF(data!O79="", "", data!O79)</f>
        <v>10220.16</v>
      </c>
      <c r="Q83" s="21">
        <f>WORKDAY($B83, data!$AL$1, data!AM79:$AM$2041)</f>
        <v>45719</v>
      </c>
      <c r="R83" s="22" t="str">
        <f>IF( $Q83="", "", INDEX( data!$U$2:$U$8, WEEKDAY($Q83) ) )</f>
        <v>월</v>
      </c>
      <c r="S83" s="24">
        <f>_xll.IMBC($B$4, S$8, $Q83, $D83, "세전수익률")</f>
        <v>10221.08</v>
      </c>
      <c r="T83" s="25">
        <f>_xll.IMBC($B$4, T$8, $Q83, $D83, "세전수익률")</f>
        <v>10124.172500000001</v>
      </c>
      <c r="U83" s="25">
        <f>_xll.IMBC($B$4, U$8, $Q83, $D83, "세전수익률")</f>
        <v>96.909300000000002</v>
      </c>
      <c r="V83" s="26">
        <f>_xll.IMBC($B$4, V$8, $Q83, $D83, "세전수익률")</f>
        <v>0.76849999999999996</v>
      </c>
    </row>
    <row r="84" spans="2:22" s="6" customFormat="1" ht="13.5">
      <c r="B84" s="21">
        <f>IF(data!A80="", "", data!A80)</f>
        <v>45717</v>
      </c>
      <c r="C84" s="34" t="str">
        <f>IF( $B84="", "", INDEX( data!$U$2:$U$8, WEEKDAY($B84) ) )</f>
        <v>토</v>
      </c>
      <c r="D84" s="37">
        <f>IF( $B84="", "", CHOOSE(data!$V$1, data!B80, data!E80, data!V80) )</f>
        <v>2.6074999999999999</v>
      </c>
      <c r="E84" s="23">
        <f t="shared" si="2"/>
        <v>-0.49999999999998934</v>
      </c>
      <c r="F84" s="24">
        <f>IF( $B84="", "", CHOOSE(data!$V$1, data!C80, data!F80, data!W80) )</f>
        <v>10219.625</v>
      </c>
      <c r="G84" s="24">
        <f t="shared" si="3"/>
        <v>1.1199999999989814</v>
      </c>
      <c r="H84" s="26">
        <f>IF( $B84="", "", CHOOSE(data!$V$1, data!D80, data!G80, data!X80) )</f>
        <v>0.75890000000000002</v>
      </c>
      <c r="I84" s="37">
        <f>IF(data!H80="", "", data!H80)</f>
        <v>2.605</v>
      </c>
      <c r="J84" s="40">
        <f>IF(data!I80="", "", data!I80)</f>
        <v>10219.82</v>
      </c>
      <c r="K84" s="37">
        <f>IF(data!J80="", "", data!J80)</f>
        <v>2.61</v>
      </c>
      <c r="L84" s="40">
        <f>IF(data!K80="", "", data!K80)</f>
        <v>10219.43</v>
      </c>
      <c r="M84" s="37">
        <f>IF(data!L80="", "", data!L80)</f>
        <v>2.605</v>
      </c>
      <c r="N84" s="40">
        <f>IF(data!M80="", "", data!M80)</f>
        <v>10219.82</v>
      </c>
      <c r="O84" s="37">
        <f>IF(data!N80="", "", data!N80)</f>
        <v>2.61</v>
      </c>
      <c r="P84" s="40">
        <f>IF(data!O80="", "", data!O80)</f>
        <v>10219.43</v>
      </c>
      <c r="Q84" s="21">
        <f>WORKDAY($B84, data!$AL$1, data!AM80:$AM$2041)</f>
        <v>45719</v>
      </c>
      <c r="R84" s="22" t="str">
        <f>IF( $Q84="", "", INDEX( data!$U$2:$U$8, WEEKDAY($Q84) ) )</f>
        <v>월</v>
      </c>
      <c r="S84" s="24">
        <f>_xll.IMBC($B$4, S$8, $Q84, $D84, "세전수익률")</f>
        <v>10221.08</v>
      </c>
      <c r="T84" s="25">
        <f>_xll.IMBC($B$4, T$8, $Q84, $D84, "세전수익률")</f>
        <v>10124.172500000001</v>
      </c>
      <c r="U84" s="25">
        <f>_xll.IMBC($B$4, U$8, $Q84, $D84, "세전수익률")</f>
        <v>96.909300000000002</v>
      </c>
      <c r="V84" s="26">
        <f>_xll.IMBC($B$4, V$8, $Q84, $D84, "세전수익률")</f>
        <v>0.76849999999999996</v>
      </c>
    </row>
    <row r="85" spans="2:22" s="6" customFormat="1" ht="13.5">
      <c r="B85" s="21">
        <f>IF(data!A81="", "", data!A81)</f>
        <v>45716</v>
      </c>
      <c r="C85" s="34" t="str">
        <f>IF( $B85="", "", INDEX( data!$U$2:$U$8, WEEKDAY($B85) ) )</f>
        <v>금</v>
      </c>
      <c r="D85" s="37">
        <f>IF( $B85="", "", CHOOSE(data!$V$1, data!B81, data!E81, data!V81) )</f>
        <v>2.6124999999999998</v>
      </c>
      <c r="E85" s="23">
        <f t="shared" si="2"/>
        <v>0.24999999999999467</v>
      </c>
      <c r="F85" s="24">
        <f>IF( $B85="", "", CHOOSE(data!$V$1, data!C81, data!F81, data!W81) )</f>
        <v>10218.505000000001</v>
      </c>
      <c r="G85" s="24">
        <f t="shared" si="3"/>
        <v>0.53500000000167347</v>
      </c>
      <c r="H85" s="26">
        <f>IF( $B85="", "", CHOOSE(data!$V$1, data!D81, data!G81, data!X81) )</f>
        <v>0.76160000000000005</v>
      </c>
      <c r="I85" s="37">
        <f>IF(data!H81="", "", data!H81)</f>
        <v>2.61</v>
      </c>
      <c r="J85" s="40">
        <f>IF(data!I81="", "", data!I81)</f>
        <v>10218.700000000001</v>
      </c>
      <c r="K85" s="37">
        <f>IF(data!J81="", "", data!J81)</f>
        <v>2.6150000000000002</v>
      </c>
      <c r="L85" s="40">
        <f>IF(data!K81="", "", data!K81)</f>
        <v>10218.31</v>
      </c>
      <c r="M85" s="37">
        <f>IF(data!L81="", "", data!L81)</f>
        <v>2.6150000000000002</v>
      </c>
      <c r="N85" s="40">
        <f>IF(data!M81="", "", data!M81)</f>
        <v>10218.31</v>
      </c>
      <c r="O85" s="37">
        <f>IF(data!N81="", "", data!N81)</f>
        <v>2.61</v>
      </c>
      <c r="P85" s="40">
        <f>IF(data!O81="", "", data!O81)</f>
        <v>10218.700000000001</v>
      </c>
      <c r="Q85" s="21">
        <f>WORKDAY($B85, data!$AL$1, data!AM81:$AM$2041)</f>
        <v>45719</v>
      </c>
      <c r="R85" s="22" t="str">
        <f>IF( $Q85="", "", INDEX( data!$U$2:$U$8, WEEKDAY($Q85) ) )</f>
        <v>월</v>
      </c>
      <c r="S85" s="24">
        <f>_xll.IMBC($B$4, S$8, $Q85, $D85, "세전수익률")</f>
        <v>10220.69</v>
      </c>
      <c r="T85" s="25">
        <f>_xll.IMBC($B$4, T$8, $Q85, $D85, "세전수익률")</f>
        <v>10123.7875</v>
      </c>
      <c r="U85" s="25">
        <f>_xll.IMBC($B$4, U$8, $Q85, $D85, "세전수익률")</f>
        <v>96.909300000000002</v>
      </c>
      <c r="V85" s="26">
        <f>_xll.IMBC($B$4, V$8, $Q85, $D85, "세전수익률")</f>
        <v>0.76839999999999997</v>
      </c>
    </row>
    <row r="86" spans="2:22" s="6" customFormat="1" ht="13.5">
      <c r="B86" s="21">
        <f>IF(data!A82="", "", data!A82)</f>
        <v>45715</v>
      </c>
      <c r="C86" s="34" t="str">
        <f>IF( $B86="", "", INDEX( data!$U$2:$U$8, WEEKDAY($B86) ) )</f>
        <v>목</v>
      </c>
      <c r="D86" s="37">
        <f>IF( $B86="", "", CHOOSE(data!$V$1, data!B82, data!E82, data!V82) )</f>
        <v>2.61</v>
      </c>
      <c r="E86" s="23">
        <f t="shared" si="2"/>
        <v>-1.2500000000000178</v>
      </c>
      <c r="F86" s="24">
        <f>IF( $B86="", "", CHOOSE(data!$V$1, data!C82, data!F82, data!W82) )</f>
        <v>10217.969999999999</v>
      </c>
      <c r="G86" s="24">
        <f t="shared" si="3"/>
        <v>1.7049999999999272</v>
      </c>
      <c r="H86" s="26">
        <f>IF( $B86="", "", CHOOSE(data!$V$1, data!D82, data!G82, data!X82) )</f>
        <v>0.76434999999999997</v>
      </c>
      <c r="I86" s="37">
        <f>IF(data!H82="", "", data!H82)</f>
        <v>2.61</v>
      </c>
      <c r="J86" s="40">
        <f>IF(data!I82="", "", data!I82)</f>
        <v>10217.969999999999</v>
      </c>
      <c r="K86" s="37">
        <f>IF(data!J82="", "", data!J82)</f>
        <v>2.61</v>
      </c>
      <c r="L86" s="40">
        <f>IF(data!K82="", "", data!K82)</f>
        <v>10217.969999999999</v>
      </c>
      <c r="M86" s="37">
        <f>IF(data!L82="", "", data!L82)</f>
        <v>2.6150000000000002</v>
      </c>
      <c r="N86" s="40">
        <f>IF(data!M82="", "", data!M82)</f>
        <v>10217.58</v>
      </c>
      <c r="O86" s="37">
        <f>IF(data!N82="", "", data!N82)</f>
        <v>2.61</v>
      </c>
      <c r="P86" s="40">
        <f>IF(data!O82="", "", data!O82)</f>
        <v>10217.969999999999</v>
      </c>
      <c r="Q86" s="21">
        <f>WORKDAY($B86, data!$AL$1, data!AM82:$AM$2041)</f>
        <v>45716</v>
      </c>
      <c r="R86" s="22" t="str">
        <f>IF( $Q86="", "", INDEX( data!$U$2:$U$8, WEEKDAY($Q86) ) )</f>
        <v>금</v>
      </c>
      <c r="S86" s="24">
        <f>_xll.IMBC($B$4, S$8, $Q86, $D86, "세전수익률")</f>
        <v>10218.700000000001</v>
      </c>
      <c r="T86" s="25">
        <f>_xll.IMBC($B$4, T$8, $Q86, $D86, "세전수익률")</f>
        <v>10125.3001</v>
      </c>
      <c r="U86" s="25">
        <f>_xll.IMBC($B$4, U$8, $Q86, $D86, "세전수익률")</f>
        <v>93.406499999999994</v>
      </c>
      <c r="V86" s="26">
        <f>_xll.IMBC($B$4, V$8, $Q86, $D86, "세전수익률")</f>
        <v>0.77659999999999996</v>
      </c>
    </row>
    <row r="87" spans="2:22" s="6" customFormat="1" ht="13.5">
      <c r="B87" s="21">
        <f>IF(data!A83="", "", data!A83)</f>
        <v>45714</v>
      </c>
      <c r="C87" s="34" t="str">
        <f>IF( $B87="", "", INDEX( data!$U$2:$U$8, WEEKDAY($B87) ) )</f>
        <v>수</v>
      </c>
      <c r="D87" s="37">
        <f>IF( $B87="", "", CHOOSE(data!$V$1, data!B83, data!E83, data!V83) )</f>
        <v>2.6225000000000001</v>
      </c>
      <c r="E87" s="23">
        <f t="shared" si="2"/>
        <v>-0.99999999999997868</v>
      </c>
      <c r="F87" s="24">
        <f>IF( $B87="", "", CHOOSE(data!$V$1, data!C83, data!F83, data!W83) )</f>
        <v>10216.264999999999</v>
      </c>
      <c r="G87" s="24">
        <f t="shared" si="3"/>
        <v>1.5149999999994179</v>
      </c>
      <c r="H87" s="26">
        <f>IF( $B87="", "", CHOOSE(data!$V$1, data!D83, data!G83, data!X83) )</f>
        <v>0.76700000000000002</v>
      </c>
      <c r="I87" s="37">
        <f>IF(data!H83="", "", data!H83)</f>
        <v>2.625</v>
      </c>
      <c r="J87" s="40">
        <f>IF(data!I83="", "", data!I83)</f>
        <v>10216.07</v>
      </c>
      <c r="K87" s="37">
        <f>IF(data!J83="", "", data!J83)</f>
        <v>2.62</v>
      </c>
      <c r="L87" s="40">
        <f>IF(data!K83="", "", data!K83)</f>
        <v>10216.459999999999</v>
      </c>
      <c r="M87" s="37">
        <f>IF(data!L83="", "", data!L83)</f>
        <v>2.625</v>
      </c>
      <c r="N87" s="40">
        <f>IF(data!M83="", "", data!M83)</f>
        <v>10216.07</v>
      </c>
      <c r="O87" s="37">
        <f>IF(data!N83="", "", data!N83)</f>
        <v>2.62</v>
      </c>
      <c r="P87" s="40">
        <f>IF(data!O83="", "", data!O83)</f>
        <v>10216.459999999999</v>
      </c>
      <c r="Q87" s="21">
        <f>WORKDAY($B87, data!$AL$1, data!AM83:$AM$2041)</f>
        <v>45715</v>
      </c>
      <c r="R87" s="22" t="str">
        <f>IF( $Q87="", "", INDEX( data!$U$2:$U$8, WEEKDAY($Q87) ) )</f>
        <v>목</v>
      </c>
      <c r="S87" s="24">
        <f>_xll.IMBC($B$4, S$8, $Q87, $D87, "세전수익률")</f>
        <v>10217</v>
      </c>
      <c r="T87" s="25">
        <f>_xll.IMBC($B$4, T$8, $Q87, $D87, "세전수익률")</f>
        <v>10124.764300000001</v>
      </c>
      <c r="U87" s="25">
        <f>_xll.IMBC($B$4, U$8, $Q87, $D87, "세전수익률")</f>
        <v>92.239000000000004</v>
      </c>
      <c r="V87" s="26">
        <f>_xll.IMBC($B$4, V$8, $Q87, $D87, "세전수익률")</f>
        <v>0.7792</v>
      </c>
    </row>
    <row r="88" spans="2:22" s="6" customFormat="1" ht="13.5">
      <c r="B88" s="21">
        <f>IF(data!A84="", "", data!A84)</f>
        <v>45713</v>
      </c>
      <c r="C88" s="34" t="str">
        <f>IF( $B88="", "", INDEX( data!$U$2:$U$8, WEEKDAY($B88) ) )</f>
        <v>화</v>
      </c>
      <c r="D88" s="37">
        <f>IF( $B88="", "", CHOOSE(data!$V$1, data!B84, data!E84, data!V84) )</f>
        <v>2.6324999999999998</v>
      </c>
      <c r="E88" s="23">
        <f t="shared" si="2"/>
        <v>-1.0000000000000231</v>
      </c>
      <c r="F88" s="24">
        <f>IF( $B88="", "", CHOOSE(data!$V$1, data!C84, data!F84, data!W84) )</f>
        <v>10214.75</v>
      </c>
      <c r="G88" s="24">
        <f t="shared" si="3"/>
        <v>1.5200000000004366</v>
      </c>
      <c r="H88" s="26">
        <f>IF( $B88="", "", CHOOSE(data!$V$1, data!D84, data!G84, data!X84) )</f>
        <v>0.76964999999999995</v>
      </c>
      <c r="I88" s="37">
        <f>IF(data!H84="", "", data!H84)</f>
        <v>2.6349999999999998</v>
      </c>
      <c r="J88" s="40">
        <f>IF(data!I84="", "", data!I84)</f>
        <v>10214.549999999999</v>
      </c>
      <c r="K88" s="37">
        <f>IF(data!J84="", "", data!J84)</f>
        <v>2.63</v>
      </c>
      <c r="L88" s="40">
        <f>IF(data!K84="", "", data!K84)</f>
        <v>10214.950000000001</v>
      </c>
      <c r="M88" s="37">
        <f>IF(data!L84="", "", data!L84)</f>
        <v>2.6349999999999998</v>
      </c>
      <c r="N88" s="40">
        <f>IF(data!M84="", "", data!M84)</f>
        <v>10214.549999999999</v>
      </c>
      <c r="O88" s="37">
        <f>IF(data!N84="", "", data!N84)</f>
        <v>2.63</v>
      </c>
      <c r="P88" s="40">
        <f>IF(data!O84="", "", data!O84)</f>
        <v>10214.950000000001</v>
      </c>
      <c r="Q88" s="21">
        <f>WORKDAY($B88, data!$AL$1, data!AM84:$AM$2041)</f>
        <v>45714</v>
      </c>
      <c r="R88" s="22" t="str">
        <f>IF( $Q88="", "", INDEX( data!$U$2:$U$8, WEEKDAY($Q88) ) )</f>
        <v>수</v>
      </c>
      <c r="S88" s="24">
        <f>_xll.IMBC($B$4, S$8, $Q88, $D88, "세전수익률")</f>
        <v>10215.48</v>
      </c>
      <c r="T88" s="25">
        <f>_xll.IMBC($B$4, T$8, $Q88, $D88, "세전수익률")</f>
        <v>10124.417799999999</v>
      </c>
      <c r="U88" s="25">
        <f>_xll.IMBC($B$4, U$8, $Q88, $D88, "세전수익률")</f>
        <v>91.071399999999997</v>
      </c>
      <c r="V88" s="26">
        <f>_xll.IMBC($B$4, V$8, $Q88, $D88, "세전수익률")</f>
        <v>0.78180000000000005</v>
      </c>
    </row>
    <row r="89" spans="2:22" s="6" customFormat="1" ht="13.5">
      <c r="B89" s="21">
        <f>IF(data!A85="", "", data!A85)</f>
        <v>45712</v>
      </c>
      <c r="C89" s="34" t="str">
        <f>IF( $B89="", "", INDEX( data!$U$2:$U$8, WEEKDAY($B89) ) )</f>
        <v>월</v>
      </c>
      <c r="D89" s="37">
        <f>IF( $B89="", "", CHOOSE(data!$V$1, data!B85, data!E85, data!V85) )</f>
        <v>2.6425000000000001</v>
      </c>
      <c r="E89" s="23">
        <f t="shared" si="2"/>
        <v>0</v>
      </c>
      <c r="F89" s="24">
        <f>IF( $B89="", "", CHOOSE(data!$V$1, data!C85, data!F85, data!W85) )</f>
        <v>10213.23</v>
      </c>
      <c r="G89" s="24">
        <f t="shared" si="3"/>
        <v>0.73500000000058208</v>
      </c>
      <c r="H89" s="26">
        <f>IF( $B89="", "", CHOOSE(data!$V$1, data!D85, data!G85, data!X85) )</f>
        <v>0.77500000000000002</v>
      </c>
      <c r="I89" s="37">
        <f>IF(data!H85="", "", data!H85)</f>
        <v>2.645</v>
      </c>
      <c r="J89" s="40">
        <f>IF(data!I85="", "", data!I85)</f>
        <v>10213.030000000001</v>
      </c>
      <c r="K89" s="37">
        <f>IF(data!J85="", "", data!J85)</f>
        <v>2.64</v>
      </c>
      <c r="L89" s="40">
        <f>IF(data!K85="", "", data!K85)</f>
        <v>10213.43</v>
      </c>
      <c r="M89" s="37">
        <f>IF(data!L85="", "", data!L85)</f>
        <v>2.64</v>
      </c>
      <c r="N89" s="40">
        <f>IF(data!M85="", "", data!M85)</f>
        <v>10213.43</v>
      </c>
      <c r="O89" s="37">
        <f>IF(data!N85="", "", data!N85)</f>
        <v>2.64</v>
      </c>
      <c r="P89" s="40">
        <f>IF(data!O85="", "", data!O85)</f>
        <v>10213.43</v>
      </c>
      <c r="Q89" s="21">
        <f>WORKDAY($B89, data!$AL$1, data!AM85:$AM$2041)</f>
        <v>45713</v>
      </c>
      <c r="R89" s="22" t="str">
        <f>IF( $Q89="", "", INDEX( data!$U$2:$U$8, WEEKDAY($Q89) ) )</f>
        <v>화</v>
      </c>
      <c r="S89" s="24">
        <f>_xll.IMBC($B$4, S$8, $Q89, $D89, "세전수익률")</f>
        <v>10213.959999999999</v>
      </c>
      <c r="T89" s="25">
        <f>_xll.IMBC($B$4, T$8, $Q89, $D89, "세전수익률")</f>
        <v>10124.066000000001</v>
      </c>
      <c r="U89" s="25">
        <f>_xll.IMBC($B$4, U$8, $Q89, $D89, "세전수익률")</f>
        <v>89.903800000000004</v>
      </c>
      <c r="V89" s="26">
        <f>_xll.IMBC($B$4, V$8, $Q89, $D89, "세전수익률")</f>
        <v>0.78439999999999999</v>
      </c>
    </row>
    <row r="90" spans="2:22" s="6" customFormat="1" ht="13.5">
      <c r="B90" s="21">
        <f>IF(data!A86="", "", data!A86)</f>
        <v>45711</v>
      </c>
      <c r="C90" s="34" t="str">
        <f>IF( $B90="", "", INDEX( data!$U$2:$U$8, WEEKDAY($B90) ) )</f>
        <v>일</v>
      </c>
      <c r="D90" s="37">
        <f>IF( $B90="", "", CHOOSE(data!$V$1, data!B86, data!E86, data!V86) )</f>
        <v>2.6425000000000001</v>
      </c>
      <c r="E90" s="23">
        <f t="shared" si="2"/>
        <v>0</v>
      </c>
      <c r="F90" s="24">
        <f>IF( $B90="", "", CHOOSE(data!$V$1, data!C86, data!F86, data!W86) )</f>
        <v>10212.494999999999</v>
      </c>
      <c r="G90" s="24">
        <f t="shared" si="3"/>
        <v>0.73500000000058208</v>
      </c>
      <c r="H90" s="26">
        <f>IF( $B90="", "", CHOOSE(data!$V$1, data!D86, data!G86, data!X86) )</f>
        <v>0.77639999999999998</v>
      </c>
      <c r="I90" s="37">
        <f>IF(data!H86="", "", data!H86)</f>
        <v>2.645</v>
      </c>
      <c r="J90" s="40">
        <f>IF(data!I86="", "", data!I86)</f>
        <v>10212.299999999999</v>
      </c>
      <c r="K90" s="37">
        <f>IF(data!J86="", "", data!J86)</f>
        <v>2.64</v>
      </c>
      <c r="L90" s="40">
        <f>IF(data!K86="", "", data!K86)</f>
        <v>10212.69</v>
      </c>
      <c r="M90" s="37">
        <f>IF(data!L86="", "", data!L86)</f>
        <v>2.64</v>
      </c>
      <c r="N90" s="40">
        <f>IF(data!M86="", "", data!M86)</f>
        <v>10212.69</v>
      </c>
      <c r="O90" s="37">
        <f>IF(data!N86="", "", data!N86)</f>
        <v>2.64</v>
      </c>
      <c r="P90" s="40">
        <f>IF(data!O86="", "", data!O86)</f>
        <v>10212.69</v>
      </c>
      <c r="Q90" s="21">
        <f>WORKDAY($B90, data!$AL$1, data!AM86:$AM$2041)</f>
        <v>45712</v>
      </c>
      <c r="R90" s="22" t="str">
        <f>IF( $Q90="", "", INDEX( data!$U$2:$U$8, WEEKDAY($Q90) ) )</f>
        <v>월</v>
      </c>
      <c r="S90" s="24">
        <f>_xll.IMBC($B$4, S$8, $Q90, $D90, "세전수익률")</f>
        <v>10213.23</v>
      </c>
      <c r="T90" s="25">
        <f>_xll.IMBC($B$4, T$8, $Q90, $D90, "세전수익률")</f>
        <v>10124.497799999999</v>
      </c>
      <c r="U90" s="25">
        <f>_xll.IMBC($B$4, U$8, $Q90, $D90, "세전수익률")</f>
        <v>88.736199999999997</v>
      </c>
      <c r="V90" s="26">
        <f>_xll.IMBC($B$4, V$8, $Q90, $D90, "세전수익률")</f>
        <v>0.78710000000000002</v>
      </c>
    </row>
    <row r="91" spans="2:22" s="6" customFormat="1" ht="13.5">
      <c r="B91" s="21">
        <f>IF(data!A87="", "", data!A87)</f>
        <v>45710</v>
      </c>
      <c r="C91" s="34" t="str">
        <f>IF( $B91="", "", INDEX( data!$U$2:$U$8, WEEKDAY($B91) ) )</f>
        <v>토</v>
      </c>
      <c r="D91" s="37">
        <f>IF( $B91="", "", CHOOSE(data!$V$1, data!B87, data!E87, data!V87) )</f>
        <v>2.6425000000000001</v>
      </c>
      <c r="E91" s="23">
        <f t="shared" si="2"/>
        <v>0</v>
      </c>
      <c r="F91" s="24">
        <f>IF( $B91="", "", CHOOSE(data!$V$1, data!C87, data!F87, data!W87) )</f>
        <v>10211.759999999998</v>
      </c>
      <c r="G91" s="24">
        <f t="shared" si="3"/>
        <v>0.73999999999796273</v>
      </c>
      <c r="H91" s="26">
        <f>IF( $B91="", "", CHOOSE(data!$V$1, data!D87, data!G87, data!X87) )</f>
        <v>0.77774999999999994</v>
      </c>
      <c r="I91" s="37">
        <f>IF(data!H87="", "", data!H87)</f>
        <v>2.645</v>
      </c>
      <c r="J91" s="40">
        <f>IF(data!I87="", "", data!I87)</f>
        <v>10211.56</v>
      </c>
      <c r="K91" s="37">
        <f>IF(data!J87="", "", data!J87)</f>
        <v>2.64</v>
      </c>
      <c r="L91" s="40">
        <f>IF(data!K87="", "", data!K87)</f>
        <v>10211.959999999999</v>
      </c>
      <c r="M91" s="37">
        <f>IF(data!L87="", "", data!L87)</f>
        <v>2.64</v>
      </c>
      <c r="N91" s="40">
        <f>IF(data!M87="", "", data!M87)</f>
        <v>10211.959999999999</v>
      </c>
      <c r="O91" s="37">
        <f>IF(data!N87="", "", data!N87)</f>
        <v>2.64</v>
      </c>
      <c r="P91" s="40">
        <f>IF(data!O87="", "", data!O87)</f>
        <v>10211.959999999999</v>
      </c>
      <c r="Q91" s="21">
        <f>WORKDAY($B91, data!$AL$1, data!AM87:$AM$2041)</f>
        <v>45712</v>
      </c>
      <c r="R91" s="22" t="str">
        <f>IF( $Q91="", "", INDEX( data!$U$2:$U$8, WEEKDAY($Q91) ) )</f>
        <v>월</v>
      </c>
      <c r="S91" s="24">
        <f>_xll.IMBC($B$4, S$8, $Q91, $D91, "세전수익률")</f>
        <v>10213.23</v>
      </c>
      <c r="T91" s="25">
        <f>_xll.IMBC($B$4, T$8, $Q91, $D91, "세전수익률")</f>
        <v>10124.497799999999</v>
      </c>
      <c r="U91" s="25">
        <f>_xll.IMBC($B$4, U$8, $Q91, $D91, "세전수익률")</f>
        <v>88.736199999999997</v>
      </c>
      <c r="V91" s="26">
        <f>_xll.IMBC($B$4, V$8, $Q91, $D91, "세전수익률")</f>
        <v>0.78710000000000002</v>
      </c>
    </row>
    <row r="92" spans="2:22" s="6" customFormat="1" ht="13.5">
      <c r="B92" s="21">
        <f>IF(data!A88="", "", data!A88)</f>
        <v>45709</v>
      </c>
      <c r="C92" s="34" t="str">
        <f>IF( $B92="", "", INDEX( data!$U$2:$U$8, WEEKDAY($B92) ) )</f>
        <v>금</v>
      </c>
      <c r="D92" s="37">
        <f>IF( $B92="", "", CHOOSE(data!$V$1, data!B88, data!E88, data!V88) )</f>
        <v>2.6425000000000001</v>
      </c>
      <c r="E92" s="23">
        <f t="shared" si="2"/>
        <v>0</v>
      </c>
      <c r="F92" s="24">
        <f>IF( $B92="", "", CHOOSE(data!$V$1, data!C88, data!F88, data!W88) )</f>
        <v>10211.02</v>
      </c>
      <c r="G92" s="24">
        <f t="shared" si="3"/>
        <v>0.72999999999956344</v>
      </c>
      <c r="H92" s="26">
        <f>IF( $B92="", "", CHOOSE(data!$V$1, data!D88, data!G88, data!X88) )</f>
        <v>0.78044999999999998</v>
      </c>
      <c r="I92" s="37">
        <f>IF(data!H88="", "", data!H88)</f>
        <v>2.645</v>
      </c>
      <c r="J92" s="40">
        <f>IF(data!I88="", "", data!I88)</f>
        <v>10210.82</v>
      </c>
      <c r="K92" s="37">
        <f>IF(data!J88="", "", data!J88)</f>
        <v>2.64</v>
      </c>
      <c r="L92" s="40">
        <f>IF(data!K88="", "", data!K88)</f>
        <v>10211.219999999999</v>
      </c>
      <c r="M92" s="37">
        <f>IF(data!L88="", "", data!L88)</f>
        <v>2.6419999999999999</v>
      </c>
      <c r="N92" s="40">
        <f>IF(data!M88="", "", data!M88)</f>
        <v>10211.06</v>
      </c>
      <c r="O92" s="37">
        <f>IF(data!N88="", "", data!N88)</f>
        <v>2.64</v>
      </c>
      <c r="P92" s="40">
        <f>IF(data!O88="", "", data!O88)</f>
        <v>10211.219999999999</v>
      </c>
      <c r="Q92" s="21">
        <f>WORKDAY($B92, data!$AL$1, data!AM88:$AM$2041)</f>
        <v>45712</v>
      </c>
      <c r="R92" s="22" t="str">
        <f>IF( $Q92="", "", INDEX( data!$U$2:$U$8, WEEKDAY($Q92) ) )</f>
        <v>월</v>
      </c>
      <c r="S92" s="24">
        <f>_xll.IMBC($B$4, S$8, $Q92, $D92, "세전수익률")</f>
        <v>10213.23</v>
      </c>
      <c r="T92" s="25">
        <f>_xll.IMBC($B$4, T$8, $Q92, $D92, "세전수익률")</f>
        <v>10124.497799999999</v>
      </c>
      <c r="U92" s="25">
        <f>_xll.IMBC($B$4, U$8, $Q92, $D92, "세전수익률")</f>
        <v>88.736199999999997</v>
      </c>
      <c r="V92" s="26">
        <f>_xll.IMBC($B$4, V$8, $Q92, $D92, "세전수익률")</f>
        <v>0.78710000000000002</v>
      </c>
    </row>
    <row r="93" spans="2:22" s="6" customFormat="1" ht="13.5">
      <c r="B93" s="21">
        <f>IF(data!A89="", "", data!A89)</f>
        <v>45708</v>
      </c>
      <c r="C93" s="34" t="str">
        <f>IF( $B93="", "", INDEX( data!$U$2:$U$8, WEEKDAY($B93) ) )</f>
        <v>목</v>
      </c>
      <c r="D93" s="37">
        <f>IF( $B93="", "", CHOOSE(data!$V$1, data!B89, data!E89, data!V89) )</f>
        <v>2.6425000000000001</v>
      </c>
      <c r="E93" s="23">
        <f t="shared" si="2"/>
        <v>-0.99999999999997868</v>
      </c>
      <c r="F93" s="24">
        <f>IF( $B93="", "", CHOOSE(data!$V$1, data!C89, data!F89, data!W89) )</f>
        <v>10210.290000000001</v>
      </c>
      <c r="G93" s="24">
        <f t="shared" si="3"/>
        <v>1.5400000000008731</v>
      </c>
      <c r="H93" s="26">
        <f>IF( $B93="", "", CHOOSE(data!$V$1, data!D89, data!G89, data!X89) )</f>
        <v>0.78315000000000001</v>
      </c>
      <c r="I93" s="37">
        <f>IF(data!H89="", "", data!H89)</f>
        <v>2.645</v>
      </c>
      <c r="J93" s="40">
        <f>IF(data!I89="", "", data!I89)</f>
        <v>10210.09</v>
      </c>
      <c r="K93" s="37">
        <f>IF(data!J89="", "", data!J89)</f>
        <v>2.64</v>
      </c>
      <c r="L93" s="40">
        <f>IF(data!K89="", "", data!K89)</f>
        <v>10210.49</v>
      </c>
      <c r="M93" s="37">
        <f>IF(data!L89="", "", data!L89)</f>
        <v>2.64</v>
      </c>
      <c r="N93" s="40">
        <f>IF(data!M89="", "", data!M89)</f>
        <v>10210.49</v>
      </c>
      <c r="O93" s="37">
        <f>IF(data!N89="", "", data!N89)</f>
        <v>2.64</v>
      </c>
      <c r="P93" s="40">
        <f>IF(data!O89="", "", data!O89)</f>
        <v>10210.49</v>
      </c>
      <c r="Q93" s="21">
        <f>WORKDAY($B93, data!$AL$1, data!AM89:$AM$2041)</f>
        <v>45709</v>
      </c>
      <c r="R93" s="22" t="str">
        <f>IF( $Q93="", "", INDEX( data!$U$2:$U$8, WEEKDAY($Q93) ) )</f>
        <v>금</v>
      </c>
      <c r="S93" s="24">
        <f>_xll.IMBC($B$4, S$8, $Q93, $D93, "세전수익률")</f>
        <v>10211.02</v>
      </c>
      <c r="T93" s="25">
        <f>_xll.IMBC($B$4, T$8, $Q93, $D93, "세전수익률")</f>
        <v>10125.7937</v>
      </c>
      <c r="U93" s="25">
        <f>_xll.IMBC($B$4, U$8, $Q93, $D93, "세전수익률")</f>
        <v>85.233500000000006</v>
      </c>
      <c r="V93" s="26">
        <f>_xll.IMBC($B$4, V$8, $Q93, $D93, "세전수익률")</f>
        <v>0.79530000000000001</v>
      </c>
    </row>
    <row r="94" spans="2:22" s="6" customFormat="1" ht="13.5">
      <c r="B94" s="21">
        <f>IF(data!A90="", "", data!A90)</f>
        <v>45707</v>
      </c>
      <c r="C94" s="34" t="str">
        <f>IF( $B94="", "", INDEX( data!$U$2:$U$8, WEEKDAY($B94) ) )</f>
        <v>수</v>
      </c>
      <c r="D94" s="37">
        <f>IF( $B94="", "", CHOOSE(data!$V$1, data!B90, data!E90, data!V90) )</f>
        <v>2.6524999999999999</v>
      </c>
      <c r="E94" s="23">
        <f t="shared" si="2"/>
        <v>-0.24999999999999467</v>
      </c>
      <c r="F94" s="24">
        <f>IF( $B94="", "", CHOOSE(data!$V$1, data!C90, data!F90, data!W90) )</f>
        <v>10208.75</v>
      </c>
      <c r="G94" s="24">
        <f t="shared" si="3"/>
        <v>0.94000000000050932</v>
      </c>
      <c r="H94" s="26">
        <f>IF( $B94="", "", CHOOSE(data!$V$1, data!D90, data!G90, data!X90) )</f>
        <v>0.78580000000000005</v>
      </c>
      <c r="I94" s="37">
        <f>IF(data!H90="", "", data!H90)</f>
        <v>2.6549999999999998</v>
      </c>
      <c r="J94" s="40">
        <f>IF(data!I90="", "", data!I90)</f>
        <v>10208.549999999999</v>
      </c>
      <c r="K94" s="37">
        <f>IF(data!J90="", "", data!J90)</f>
        <v>2.65</v>
      </c>
      <c r="L94" s="40">
        <f>IF(data!K90="", "", data!K90)</f>
        <v>10208.950000000001</v>
      </c>
      <c r="M94" s="37">
        <f>IF(data!L90="", "", data!L90)</f>
        <v>2.65</v>
      </c>
      <c r="N94" s="40">
        <f>IF(data!M90="", "", data!M90)</f>
        <v>10208.950000000001</v>
      </c>
      <c r="O94" s="37">
        <f>IF(data!N90="", "", data!N90)</f>
        <v>2.65</v>
      </c>
      <c r="P94" s="40">
        <f>IF(data!O90="", "", data!O90)</f>
        <v>10208.950000000001</v>
      </c>
      <c r="Q94" s="21">
        <f>WORKDAY($B94, data!$AL$1, data!AM90:$AM$2041)</f>
        <v>45708</v>
      </c>
      <c r="R94" s="22" t="str">
        <f>IF( $Q94="", "", INDEX( data!$U$2:$U$8, WEEKDAY($Q94) ) )</f>
        <v>목</v>
      </c>
      <c r="S94" s="24">
        <f>_xll.IMBC($B$4, S$8, $Q94, $D94, "세전수익률")</f>
        <v>10209.49</v>
      </c>
      <c r="T94" s="25">
        <f>_xll.IMBC($B$4, T$8, $Q94, $D94, "세전수익률")</f>
        <v>10125.426299999999</v>
      </c>
      <c r="U94" s="25">
        <f>_xll.IMBC($B$4, U$8, $Q94, $D94, "세전수익률")</f>
        <v>84.065899999999999</v>
      </c>
      <c r="V94" s="26">
        <f>_xll.IMBC($B$4, V$8, $Q94, $D94, "세전수익률")</f>
        <v>0.79790000000000005</v>
      </c>
    </row>
    <row r="95" spans="2:22" s="6" customFormat="1" ht="13.5">
      <c r="B95" s="21">
        <f>IF(data!A91="", "", data!A91)</f>
        <v>45706</v>
      </c>
      <c r="C95" s="34" t="str">
        <f>IF( $B95="", "", INDEX( data!$U$2:$U$8, WEEKDAY($B95) ) )</f>
        <v>화</v>
      </c>
      <c r="D95" s="37">
        <f>IF( $B95="", "", CHOOSE(data!$V$1, data!B91, data!E91, data!V91) )</f>
        <v>2.6549999999999998</v>
      </c>
      <c r="E95" s="23">
        <f t="shared" si="2"/>
        <v>0.49999999999998934</v>
      </c>
      <c r="F95" s="24">
        <f>IF( $B95="", "", CHOOSE(data!$V$1, data!C91, data!F91, data!W91) )</f>
        <v>10207.81</v>
      </c>
      <c r="G95" s="24">
        <f t="shared" si="3"/>
        <v>0.32999999999992724</v>
      </c>
      <c r="H95" s="26">
        <f>IF( $B95="", "", CHOOSE(data!$V$1, data!D91, data!G91, data!X91) )</f>
        <v>0.78849999999999998</v>
      </c>
      <c r="I95" s="37">
        <f>IF(data!H91="", "", data!H91)</f>
        <v>2.6549999999999998</v>
      </c>
      <c r="J95" s="40">
        <f>IF(data!I91="", "", data!I91)</f>
        <v>10207.81</v>
      </c>
      <c r="K95" s="37">
        <f>IF(data!J91="", "", data!J91)</f>
        <v>2.6549999999999998</v>
      </c>
      <c r="L95" s="40">
        <f>IF(data!K91="", "", data!K91)</f>
        <v>10207.81</v>
      </c>
      <c r="M95" s="37">
        <f>IF(data!L91="", "", data!L91)</f>
        <v>2.65</v>
      </c>
      <c r="N95" s="40">
        <f>IF(data!M91="", "", data!M91)</f>
        <v>10208.209999999999</v>
      </c>
      <c r="O95" s="37">
        <f>IF(data!N91="", "", data!N91)</f>
        <v>2.66</v>
      </c>
      <c r="P95" s="40">
        <f>IF(data!O91="", "", data!O91)</f>
        <v>10207.41</v>
      </c>
      <c r="Q95" s="21">
        <f>WORKDAY($B95, data!$AL$1, data!AM91:$AM$2041)</f>
        <v>45707</v>
      </c>
      <c r="R95" s="22" t="str">
        <f>IF( $Q95="", "", INDEX( data!$U$2:$U$8, WEEKDAY($Q95) ) )</f>
        <v>수</v>
      </c>
      <c r="S95" s="24">
        <f>_xll.IMBC($B$4, S$8, $Q95, $D95, "세전수익률")</f>
        <v>10208.549999999999</v>
      </c>
      <c r="T95" s="25">
        <f>_xll.IMBC($B$4, T$8, $Q95, $D95, "세전수익률")</f>
        <v>10125.6554</v>
      </c>
      <c r="U95" s="25">
        <f>_xll.IMBC($B$4, U$8, $Q95, $D95, "세전수익률")</f>
        <v>82.898300000000006</v>
      </c>
      <c r="V95" s="26">
        <f>_xll.IMBC($B$4, V$8, $Q95, $D95, "세전수익률")</f>
        <v>0.80059999999999998</v>
      </c>
    </row>
    <row r="96" spans="2:22" s="6" customFormat="1" ht="13.5">
      <c r="B96" s="21">
        <f>IF(data!A92="", "", data!A92)</f>
        <v>45705</v>
      </c>
      <c r="C96" s="34" t="str">
        <f>IF( $B96="", "", INDEX( data!$U$2:$U$8, WEEKDAY($B96) ) )</f>
        <v>월</v>
      </c>
      <c r="D96" s="37">
        <f>IF( $B96="", "", CHOOSE(data!$V$1, data!B92, data!E92, data!V92) )</f>
        <v>2.65</v>
      </c>
      <c r="E96" s="23">
        <f t="shared" si="2"/>
        <v>0</v>
      </c>
      <c r="F96" s="24">
        <f>IF( $B96="", "", CHOOSE(data!$V$1, data!C92, data!F92, data!W92) )</f>
        <v>10207.48</v>
      </c>
      <c r="G96" s="24">
        <f t="shared" si="3"/>
        <v>0.73999999999978172</v>
      </c>
      <c r="H96" s="26">
        <f>IF( $B96="", "", CHOOSE(data!$V$1, data!D92, data!G92, data!X92) )</f>
        <v>0.79394999999999993</v>
      </c>
      <c r="I96" s="37">
        <f>IF(data!H92="", "", data!H92)</f>
        <v>2.65</v>
      </c>
      <c r="J96" s="40">
        <f>IF(data!I92="", "", data!I92)</f>
        <v>10207.48</v>
      </c>
      <c r="K96" s="37">
        <f>IF(data!J92="", "", data!J92)</f>
        <v>2.65</v>
      </c>
      <c r="L96" s="40">
        <f>IF(data!K92="", "", data!K92)</f>
        <v>10207.48</v>
      </c>
      <c r="M96" s="37">
        <f>IF(data!L92="", "", data!L92)</f>
        <v>2.6549999999999998</v>
      </c>
      <c r="N96" s="40">
        <f>IF(data!M92="", "", data!M92)</f>
        <v>10207.07</v>
      </c>
      <c r="O96" s="37">
        <f>IF(data!N92="", "", data!N92)</f>
        <v>2.6549999999999998</v>
      </c>
      <c r="P96" s="40">
        <f>IF(data!O92="", "", data!O92)</f>
        <v>10207.07</v>
      </c>
      <c r="Q96" s="21">
        <f>WORKDAY($B96, data!$AL$1, data!AM92:$AM$2041)</f>
        <v>45706</v>
      </c>
      <c r="R96" s="22" t="str">
        <f>IF( $Q96="", "", INDEX( data!$U$2:$U$8, WEEKDAY($Q96) ) )</f>
        <v>화</v>
      </c>
      <c r="S96" s="24">
        <f>_xll.IMBC($B$4, S$8, $Q96, $D96, "세전수익률")</f>
        <v>10208.209999999999</v>
      </c>
      <c r="T96" s="25">
        <f>_xll.IMBC($B$4, T$8, $Q96, $D96, "세전수익률")</f>
        <v>10126.486800000001</v>
      </c>
      <c r="U96" s="25">
        <f>_xll.IMBC($B$4, U$8, $Q96, $D96, "세전수익률")</f>
        <v>81.730699999999999</v>
      </c>
      <c r="V96" s="26">
        <f>_xll.IMBC($B$4, V$8, $Q96, $D96, "세전수익률")</f>
        <v>0.80330000000000001</v>
      </c>
    </row>
    <row r="97" spans="2:22" s="6" customFormat="1" ht="13.5">
      <c r="B97" s="21">
        <f>IF(data!A93="", "", data!A93)</f>
        <v>45704</v>
      </c>
      <c r="C97" s="34" t="str">
        <f>IF( $B97="", "", INDEX( data!$U$2:$U$8, WEEKDAY($B97) ) )</f>
        <v>일</v>
      </c>
      <c r="D97" s="37">
        <f>IF( $B97="", "", CHOOSE(data!$V$1, data!B93, data!E93, data!V93) )</f>
        <v>2.65</v>
      </c>
      <c r="E97" s="23">
        <f t="shared" si="2"/>
        <v>0</v>
      </c>
      <c r="F97" s="24">
        <f>IF( $B97="", "", CHOOSE(data!$V$1, data!C93, data!F93, data!W93) )</f>
        <v>10206.74</v>
      </c>
      <c r="G97" s="24">
        <f t="shared" si="3"/>
        <v>0.73999999999978172</v>
      </c>
      <c r="H97" s="26">
        <f>IF( $B97="", "", CHOOSE(data!$V$1, data!D93, data!G93, data!X93) )</f>
        <v>0.7952999999999999</v>
      </c>
      <c r="I97" s="37">
        <f>IF(data!H93="", "", data!H93)</f>
        <v>2.65</v>
      </c>
      <c r="J97" s="40">
        <f>IF(data!I93="", "", data!I93)</f>
        <v>10206.74</v>
      </c>
      <c r="K97" s="37">
        <f>IF(data!J93="", "", data!J93)</f>
        <v>2.65</v>
      </c>
      <c r="L97" s="40">
        <f>IF(data!K93="", "", data!K93)</f>
        <v>10206.74</v>
      </c>
      <c r="M97" s="37">
        <f>IF(data!L93="", "", data!L93)</f>
        <v>2.6549999999999998</v>
      </c>
      <c r="N97" s="40">
        <f>IF(data!M93="", "", data!M93)</f>
        <v>10206.33</v>
      </c>
      <c r="O97" s="37">
        <f>IF(data!N93="", "", data!N93)</f>
        <v>2.6549999999999998</v>
      </c>
      <c r="P97" s="40">
        <f>IF(data!O93="", "", data!O93)</f>
        <v>10206.33</v>
      </c>
      <c r="Q97" s="21">
        <f>WORKDAY($B97, data!$AL$1, data!AM93:$AM$2041)</f>
        <v>45705</v>
      </c>
      <c r="R97" s="22" t="str">
        <f>IF( $Q97="", "", INDEX( data!$U$2:$U$8, WEEKDAY($Q97) ) )</f>
        <v>월</v>
      </c>
      <c r="S97" s="24">
        <f>_xll.IMBC($B$4, S$8, $Q97, $D97, "세전수익률")</f>
        <v>10207.48</v>
      </c>
      <c r="T97" s="25">
        <f>_xll.IMBC($B$4, T$8, $Q97, $D97, "세전수익률")</f>
        <v>10126.917299999999</v>
      </c>
      <c r="U97" s="25">
        <f>_xll.IMBC($B$4, U$8, $Q97, $D97, "세전수익률")</f>
        <v>80.563100000000006</v>
      </c>
      <c r="V97" s="26">
        <f>_xll.IMBC($B$4, V$8, $Q97, $D97, "세전수익률")</f>
        <v>0.80600000000000005</v>
      </c>
    </row>
    <row r="98" spans="2:22" s="6" customFormat="1" ht="13.5">
      <c r="B98" s="21">
        <f>IF(data!A94="", "", data!A94)</f>
        <v>45703</v>
      </c>
      <c r="C98" s="34" t="str">
        <f>IF( $B98="", "", INDEX( data!$U$2:$U$8, WEEKDAY($B98) ) )</f>
        <v>토</v>
      </c>
      <c r="D98" s="37">
        <f>IF( $B98="", "", CHOOSE(data!$V$1, data!B94, data!E94, data!V94) )</f>
        <v>2.65</v>
      </c>
      <c r="E98" s="23">
        <f t="shared" si="2"/>
        <v>-1.0000000000000231</v>
      </c>
      <c r="F98" s="24">
        <f>IF( $B98="", "", CHOOSE(data!$V$1, data!C94, data!F94, data!W94) )</f>
        <v>10206</v>
      </c>
      <c r="G98" s="24">
        <f t="shared" si="3"/>
        <v>1.5499999999992724</v>
      </c>
      <c r="H98" s="26">
        <f>IF( $B98="", "", CHOOSE(data!$V$1, data!D94, data!G94, data!X94) )</f>
        <v>0.79664999999999997</v>
      </c>
      <c r="I98" s="37">
        <f>IF(data!H94="", "", data!H94)</f>
        <v>2.65</v>
      </c>
      <c r="J98" s="40">
        <f>IF(data!I94="", "", data!I94)</f>
        <v>10206</v>
      </c>
      <c r="K98" s="37">
        <f>IF(data!J94="", "", data!J94)</f>
        <v>2.65</v>
      </c>
      <c r="L98" s="40">
        <f>IF(data!K94="", "", data!K94)</f>
        <v>10206</v>
      </c>
      <c r="M98" s="37">
        <f>IF(data!L94="", "", data!L94)</f>
        <v>2.6549999999999998</v>
      </c>
      <c r="N98" s="40">
        <f>IF(data!M94="", "", data!M94)</f>
        <v>10205.6</v>
      </c>
      <c r="O98" s="37">
        <f>IF(data!N94="", "", data!N94)</f>
        <v>2.6549999999999998</v>
      </c>
      <c r="P98" s="40">
        <f>IF(data!O94="", "", data!O94)</f>
        <v>10205.6</v>
      </c>
      <c r="Q98" s="21">
        <f>WORKDAY($B98, data!$AL$1, data!AM94:$AM$2041)</f>
        <v>45705</v>
      </c>
      <c r="R98" s="22" t="str">
        <f>IF( $Q98="", "", INDEX( data!$U$2:$U$8, WEEKDAY($Q98) ) )</f>
        <v>월</v>
      </c>
      <c r="S98" s="24">
        <f>_xll.IMBC($B$4, S$8, $Q98, $D98, "세전수익률")</f>
        <v>10207.48</v>
      </c>
      <c r="T98" s="25">
        <f>_xll.IMBC($B$4, T$8, $Q98, $D98, "세전수익률")</f>
        <v>10126.917299999999</v>
      </c>
      <c r="U98" s="25">
        <f>_xll.IMBC($B$4, U$8, $Q98, $D98, "세전수익률")</f>
        <v>80.563100000000006</v>
      </c>
      <c r="V98" s="26">
        <f>_xll.IMBC($B$4, V$8, $Q98, $D98, "세전수익률")</f>
        <v>0.80600000000000005</v>
      </c>
    </row>
    <row r="99" spans="2:22" s="6" customFormat="1" ht="13.5">
      <c r="B99" s="21">
        <f>IF(data!A95="", "", data!A95)</f>
        <v>45702</v>
      </c>
      <c r="C99" s="34" t="str">
        <f>IF( $B99="", "", INDEX( data!$U$2:$U$8, WEEKDAY($B99) ) )</f>
        <v>금</v>
      </c>
      <c r="D99" s="37">
        <f>IF( $B99="", "", CHOOSE(data!$V$1, data!B95, data!E95, data!V95) )</f>
        <v>2.66</v>
      </c>
      <c r="E99" s="23">
        <f t="shared" si="2"/>
        <v>-0.99999999999997868</v>
      </c>
      <c r="F99" s="24">
        <f>IF( $B99="", "", CHOOSE(data!$V$1, data!C95, data!F95, data!W95) )</f>
        <v>10204.450000000001</v>
      </c>
      <c r="G99" s="24">
        <f t="shared" si="3"/>
        <v>1.5600000000013097</v>
      </c>
      <c r="H99" s="26">
        <f>IF( $B99="", "", CHOOSE(data!$V$1, data!D95, data!G95, data!X95) )</f>
        <v>0.79935</v>
      </c>
      <c r="I99" s="37">
        <f>IF(data!H95="", "", data!H95)</f>
        <v>2.66</v>
      </c>
      <c r="J99" s="40">
        <f>IF(data!I95="", "", data!I95)</f>
        <v>10204.450000000001</v>
      </c>
      <c r="K99" s="37">
        <f>IF(data!J95="", "", data!J95)</f>
        <v>2.66</v>
      </c>
      <c r="L99" s="40">
        <f>IF(data!K95="", "", data!K95)</f>
        <v>10204.450000000001</v>
      </c>
      <c r="M99" s="37">
        <f>IF(data!L95="", "", data!L95)</f>
        <v>2.66</v>
      </c>
      <c r="N99" s="40">
        <f>IF(data!M95="", "", data!M95)</f>
        <v>10204.450000000001</v>
      </c>
      <c r="O99" s="37">
        <f>IF(data!N95="", "", data!N95)</f>
        <v>2.66</v>
      </c>
      <c r="P99" s="40">
        <f>IF(data!O95="", "", data!O95)</f>
        <v>10204.450000000001</v>
      </c>
      <c r="Q99" s="21">
        <f>WORKDAY($B99, data!$AL$1, data!AM95:$AM$2041)</f>
        <v>45705</v>
      </c>
      <c r="R99" s="22" t="str">
        <f>IF( $Q99="", "", INDEX( data!$U$2:$U$8, WEEKDAY($Q99) ) )</f>
        <v>월</v>
      </c>
      <c r="S99" s="24">
        <f>_xll.IMBC($B$4, S$8, $Q99, $D99, "세전수익률")</f>
        <v>10206.67</v>
      </c>
      <c r="T99" s="25">
        <f>_xll.IMBC($B$4, T$8, $Q99, $D99, "세전수익률")</f>
        <v>10126.109700000001</v>
      </c>
      <c r="U99" s="25">
        <f>_xll.IMBC($B$4, U$8, $Q99, $D99, "세전수익률")</f>
        <v>80.563100000000006</v>
      </c>
      <c r="V99" s="26">
        <f>_xll.IMBC($B$4, V$8, $Q99, $D99, "세전수익률")</f>
        <v>0.80589999999999995</v>
      </c>
    </row>
    <row r="100" spans="2:22" s="6" customFormat="1" ht="13.5">
      <c r="B100" s="21">
        <f>IF(data!A96="", "", data!A96)</f>
        <v>45701</v>
      </c>
      <c r="C100" s="34" t="str">
        <f>IF( $B100="", "", INDEX( data!$U$2:$U$8, WEEKDAY($B100) ) )</f>
        <v>목</v>
      </c>
      <c r="D100" s="37">
        <f>IF( $B100="", "", CHOOSE(data!$V$1, data!B96, data!E96, data!V96) )</f>
        <v>2.67</v>
      </c>
      <c r="E100" s="23">
        <f t="shared" si="2"/>
        <v>0</v>
      </c>
      <c r="F100" s="24">
        <f>IF( $B100="", "", CHOOSE(data!$V$1, data!C96, data!F96, data!W96) )</f>
        <v>10202.89</v>
      </c>
      <c r="G100" s="24">
        <f t="shared" si="3"/>
        <v>0.73999999999978172</v>
      </c>
      <c r="H100" s="26">
        <f>IF( $B100="", "", CHOOSE(data!$V$1, data!D96, data!G96, data!X96) )</f>
        <v>0.80200000000000005</v>
      </c>
      <c r="I100" s="37">
        <f>IF(data!H96="", "", data!H96)</f>
        <v>2.67</v>
      </c>
      <c r="J100" s="40">
        <f>IF(data!I96="", "", data!I96)</f>
        <v>10202.89</v>
      </c>
      <c r="K100" s="37">
        <f>IF(data!J96="", "", data!J96)</f>
        <v>2.67</v>
      </c>
      <c r="L100" s="40">
        <f>IF(data!K96="", "", data!K96)</f>
        <v>10202.89</v>
      </c>
      <c r="M100" s="37">
        <f>IF(data!L96="", "", data!L96)</f>
        <v>2.6749999999999998</v>
      </c>
      <c r="N100" s="40">
        <f>IF(data!M96="", "", data!M96)</f>
        <v>10202.48</v>
      </c>
      <c r="O100" s="37">
        <f>IF(data!N96="", "", data!N96)</f>
        <v>2.67</v>
      </c>
      <c r="P100" s="40">
        <f>IF(data!O96="", "", data!O96)</f>
        <v>10202.89</v>
      </c>
      <c r="Q100" s="21">
        <f>WORKDAY($B100, data!$AL$1, data!AM96:$AM$2041)</f>
        <v>45702</v>
      </c>
      <c r="R100" s="22" t="str">
        <f>IF( $Q100="", "", INDEX( data!$U$2:$U$8, WEEKDAY($Q100) ) )</f>
        <v>금</v>
      </c>
      <c r="S100" s="24">
        <f>_xll.IMBC($B$4, S$8, $Q100, $D100, "세전수익률")</f>
        <v>10203.629999999999</v>
      </c>
      <c r="T100" s="25">
        <f>_xll.IMBC($B$4, T$8, $Q100, $D100, "세전수익률")</f>
        <v>10126.578100000001</v>
      </c>
      <c r="U100" s="25">
        <f>_xll.IMBC($B$4, U$8, $Q100, $D100, "세전수익률")</f>
        <v>77.060400000000001</v>
      </c>
      <c r="V100" s="26">
        <f>_xll.IMBC($B$4, V$8, $Q100, $D100, "세전수익률")</f>
        <v>0.81399999999999995</v>
      </c>
    </row>
    <row r="101" spans="2:22" s="6" customFormat="1" ht="13.5">
      <c r="B101" s="21">
        <f>IF(data!A97="", "", data!A97)</f>
        <v>45700</v>
      </c>
      <c r="C101" s="34" t="str">
        <f>IF( $B101="", "", INDEX( data!$U$2:$U$8, WEEKDAY($B101) ) )</f>
        <v>수</v>
      </c>
      <c r="D101" s="37">
        <f>IF( $B101="", "", CHOOSE(data!$V$1, data!B97, data!E97, data!V97) )</f>
        <v>2.67</v>
      </c>
      <c r="E101" s="23">
        <f t="shared" si="2"/>
        <v>-0.49999999999998934</v>
      </c>
      <c r="F101" s="24">
        <f>IF( $B101="", "", CHOOSE(data!$V$1, data!C97, data!F97, data!W97) )</f>
        <v>10202.15</v>
      </c>
      <c r="G101" s="24">
        <f t="shared" si="3"/>
        <v>1.1550000000006548</v>
      </c>
      <c r="H101" s="26">
        <f>IF( $B101="", "", CHOOSE(data!$V$1, data!D97, data!G97, data!X97) )</f>
        <v>0.80469999999999997</v>
      </c>
      <c r="I101" s="37">
        <f>IF(data!H97="", "", data!H97)</f>
        <v>2.67</v>
      </c>
      <c r="J101" s="40">
        <f>IF(data!I97="", "", data!I97)</f>
        <v>10202.15</v>
      </c>
      <c r="K101" s="37">
        <f>IF(data!J97="", "", data!J97)</f>
        <v>2.67</v>
      </c>
      <c r="L101" s="40">
        <f>IF(data!K97="", "", data!K97)</f>
        <v>10202.15</v>
      </c>
      <c r="M101" s="37">
        <f>IF(data!L97="", "", data!L97)</f>
        <v>2.665</v>
      </c>
      <c r="N101" s="40">
        <f>IF(data!M97="", "", data!M97)</f>
        <v>10202.56</v>
      </c>
      <c r="O101" s="37">
        <f>IF(data!N97="", "", data!N97)</f>
        <v>2.67</v>
      </c>
      <c r="P101" s="40">
        <f>IF(data!O97="", "", data!O97)</f>
        <v>10202.15</v>
      </c>
      <c r="Q101" s="21">
        <f>WORKDAY($B101, data!$AL$1, data!AM97:$AM$2041)</f>
        <v>45701</v>
      </c>
      <c r="R101" s="22" t="str">
        <f>IF( $Q101="", "", INDEX( data!$U$2:$U$8, WEEKDAY($Q101) ) )</f>
        <v>목</v>
      </c>
      <c r="S101" s="24">
        <f>_xll.IMBC($B$4, S$8, $Q101, $D101, "세전수익률")</f>
        <v>10202.89</v>
      </c>
      <c r="T101" s="25">
        <f>_xll.IMBC($B$4, T$8, $Q101, $D101, "세전수익률")</f>
        <v>10127.0036</v>
      </c>
      <c r="U101" s="25">
        <f>_xll.IMBC($B$4, U$8, $Q101, $D101, "세전수익률")</f>
        <v>75.892799999999994</v>
      </c>
      <c r="V101" s="26">
        <f>_xll.IMBC($B$4, V$8, $Q101, $D101, "세전수익률")</f>
        <v>0.81669999999999998</v>
      </c>
    </row>
    <row r="102" spans="2:22" s="6" customFormat="1" ht="13.5">
      <c r="B102" s="21">
        <f>IF(data!A98="", "", data!A98)</f>
        <v>45699</v>
      </c>
      <c r="C102" s="34" t="str">
        <f>IF( $B102="", "", INDEX( data!$U$2:$U$8, WEEKDAY($B102) ) )</f>
        <v>화</v>
      </c>
      <c r="D102" s="37">
        <f>IF( $B102="", "", CHOOSE(data!$V$1, data!B98, data!E98, data!V98) )</f>
        <v>2.6749999999999998</v>
      </c>
      <c r="E102" s="23">
        <f t="shared" si="2"/>
        <v>-1.2500000000000178</v>
      </c>
      <c r="F102" s="24">
        <f>IF( $B102="", "", CHOOSE(data!$V$1, data!C98, data!F98, data!W98) )</f>
        <v>10200.994999999999</v>
      </c>
      <c r="G102" s="24">
        <f t="shared" si="3"/>
        <v>1.7749999999978172</v>
      </c>
      <c r="H102" s="26">
        <f>IF( $B102="", "", CHOOSE(data!$V$1, data!D98, data!G98, data!X98) )</f>
        <v>0.80740000000000001</v>
      </c>
      <c r="I102" s="37">
        <f>IF(data!H98="", "", data!H98)</f>
        <v>2.67</v>
      </c>
      <c r="J102" s="40">
        <f>IF(data!I98="", "", data!I98)</f>
        <v>10201.41</v>
      </c>
      <c r="K102" s="37">
        <f>IF(data!J98="", "", data!J98)</f>
        <v>2.68</v>
      </c>
      <c r="L102" s="40">
        <f>IF(data!K98="", "", data!K98)</f>
        <v>10200.58</v>
      </c>
      <c r="M102" s="37">
        <f>IF(data!L98="", "", data!L98)</f>
        <v>2.6850000000000001</v>
      </c>
      <c r="N102" s="40">
        <f>IF(data!M98="", "", data!M98)</f>
        <v>10200.17</v>
      </c>
      <c r="O102" s="37">
        <f>IF(data!N98="", "", data!N98)</f>
        <v>2.68</v>
      </c>
      <c r="P102" s="40">
        <f>IF(data!O98="", "", data!O98)</f>
        <v>10200.58</v>
      </c>
      <c r="Q102" s="21">
        <f>WORKDAY($B102, data!$AL$1, data!AM98:$AM$2041)</f>
        <v>45700</v>
      </c>
      <c r="R102" s="22" t="str">
        <f>IF( $Q102="", "", INDEX( data!$U$2:$U$8, WEEKDAY($Q102) ) )</f>
        <v>수</v>
      </c>
      <c r="S102" s="24">
        <f>_xll.IMBC($B$4, S$8, $Q102, $D102, "세전수익률")</f>
        <v>10201.74</v>
      </c>
      <c r="T102" s="25">
        <f>_xll.IMBC($B$4, T$8, $Q102, $D102, "세전수익률")</f>
        <v>10127.0188</v>
      </c>
      <c r="U102" s="25">
        <f>_xll.IMBC($B$4, U$8, $Q102, $D102, "세전수익률")</f>
        <v>74.725200000000001</v>
      </c>
      <c r="V102" s="26">
        <f>_xll.IMBC($B$4, V$8, $Q102, $D102, "세전수익률")</f>
        <v>0.81930000000000003</v>
      </c>
    </row>
    <row r="103" spans="2:22" s="6" customFormat="1" ht="13.5">
      <c r="B103" s="21">
        <f>IF(data!A99="", "", data!A99)</f>
        <v>45698</v>
      </c>
      <c r="C103" s="34" t="str">
        <f>IF( $B103="", "", INDEX( data!$U$2:$U$8, WEEKDAY($B103) ) )</f>
        <v>월</v>
      </c>
      <c r="D103" s="37">
        <f>IF( $B103="", "", CHOOSE(data!$V$1, data!B99, data!E99, data!V99) )</f>
        <v>2.6875</v>
      </c>
      <c r="E103" s="23">
        <f t="shared" si="2"/>
        <v>0</v>
      </c>
      <c r="F103" s="24">
        <f>IF( $B103="", "", CHOOSE(data!$V$1, data!C99, data!F99, data!W99) )</f>
        <v>10199.220000000001</v>
      </c>
      <c r="G103" s="24">
        <f t="shared" si="3"/>
        <v>0.74500000000080036</v>
      </c>
      <c r="H103" s="26">
        <f>IF( $B103="", "", CHOOSE(data!$V$1, data!D99, data!G99, data!X99) )</f>
        <v>0.81274999999999997</v>
      </c>
      <c r="I103" s="37">
        <f>IF(data!H99="", "", data!H99)</f>
        <v>2.68</v>
      </c>
      <c r="J103" s="40">
        <f>IF(data!I99="", "", data!I99)</f>
        <v>10199.84</v>
      </c>
      <c r="K103" s="37">
        <f>IF(data!J99="", "", data!J99)</f>
        <v>2.6949999999999998</v>
      </c>
      <c r="L103" s="40">
        <f>IF(data!K99="", "", data!K99)</f>
        <v>10198.6</v>
      </c>
      <c r="M103" s="37">
        <f>IF(data!L99="", "", data!L99)</f>
        <v>2.69</v>
      </c>
      <c r="N103" s="40">
        <f>IF(data!M99="", "", data!M99)</f>
        <v>10199.01</v>
      </c>
      <c r="O103" s="37">
        <f>IF(data!N99="", "", data!N99)</f>
        <v>2.69</v>
      </c>
      <c r="P103" s="40">
        <f>IF(data!O99="", "", data!O99)</f>
        <v>10199.01</v>
      </c>
      <c r="Q103" s="21">
        <f>WORKDAY($B103, data!$AL$1, data!AM99:$AM$2041)</f>
        <v>45699</v>
      </c>
      <c r="R103" s="22" t="str">
        <f>IF( $Q103="", "", INDEX( data!$U$2:$U$8, WEEKDAY($Q103) ) )</f>
        <v>화</v>
      </c>
      <c r="S103" s="24">
        <f>_xll.IMBC($B$4, S$8, $Q103, $D103, "세전수익률")</f>
        <v>10199.969999999999</v>
      </c>
      <c r="T103" s="25">
        <f>_xll.IMBC($B$4, T$8, $Q103, $D103, "세전수익률")</f>
        <v>10126.4138</v>
      </c>
      <c r="U103" s="25">
        <f>_xll.IMBC($B$4, U$8, $Q103, $D103, "세전수익률")</f>
        <v>73.557599999999994</v>
      </c>
      <c r="V103" s="26">
        <f>_xll.IMBC($B$4, V$8, $Q103, $D103, "세전수익률")</f>
        <v>0.82189999999999996</v>
      </c>
    </row>
    <row r="104" spans="2:22" s="6" customFormat="1" ht="13.5">
      <c r="B104" s="21">
        <f>IF(data!A100="", "", data!A100)</f>
        <v>45697</v>
      </c>
      <c r="C104" s="34" t="str">
        <f>IF( $B104="", "", INDEX( data!$U$2:$U$8, WEEKDAY($B104) ) )</f>
        <v>일</v>
      </c>
      <c r="D104" s="37">
        <f>IF( $B104="", "", CHOOSE(data!$V$1, data!B100, data!E100, data!V100) )</f>
        <v>2.6875</v>
      </c>
      <c r="E104" s="23">
        <f t="shared" si="2"/>
        <v>0</v>
      </c>
      <c r="F104" s="24">
        <f>IF( $B104="", "", CHOOSE(data!$V$1, data!C100, data!F100, data!W100) )</f>
        <v>10198.475</v>
      </c>
      <c r="G104" s="24">
        <f t="shared" si="3"/>
        <v>0.75</v>
      </c>
      <c r="H104" s="26">
        <f>IF( $B104="", "", CHOOSE(data!$V$1, data!D100, data!G100, data!X100) )</f>
        <v>0.81410000000000005</v>
      </c>
      <c r="I104" s="37">
        <f>IF(data!H100="", "", data!H100)</f>
        <v>2.68</v>
      </c>
      <c r="J104" s="40">
        <f>IF(data!I100="", "", data!I100)</f>
        <v>10199.1</v>
      </c>
      <c r="K104" s="37">
        <f>IF(data!J100="", "", data!J100)</f>
        <v>2.6949999999999998</v>
      </c>
      <c r="L104" s="40">
        <f>IF(data!K100="", "", data!K100)</f>
        <v>10197.85</v>
      </c>
      <c r="M104" s="37">
        <f>IF(data!L100="", "", data!L100)</f>
        <v>2.69</v>
      </c>
      <c r="N104" s="40">
        <f>IF(data!M100="", "", data!M100)</f>
        <v>10198.27</v>
      </c>
      <c r="O104" s="37">
        <f>IF(data!N100="", "", data!N100)</f>
        <v>2.69</v>
      </c>
      <c r="P104" s="40">
        <f>IF(data!O100="", "", data!O100)</f>
        <v>10198.27</v>
      </c>
      <c r="Q104" s="21">
        <f>WORKDAY($B104, data!$AL$1, data!AM100:$AM$2041)</f>
        <v>45698</v>
      </c>
      <c r="R104" s="22" t="str">
        <f>IF( $Q104="", "", INDEX( data!$U$2:$U$8, WEEKDAY($Q104) ) )</f>
        <v>월</v>
      </c>
      <c r="S104" s="24">
        <f>_xll.IMBC($B$4, S$8, $Q104, $D104, "세전수익률")</f>
        <v>10199.219999999999</v>
      </c>
      <c r="T104" s="25">
        <f>_xll.IMBC($B$4, T$8, $Q104, $D104, "세전수익률")</f>
        <v>10126.8349</v>
      </c>
      <c r="U104" s="25">
        <f>_xll.IMBC($B$4, U$8, $Q104, $D104, "세전수익률")</f>
        <v>72.390100000000004</v>
      </c>
      <c r="V104" s="26">
        <f>_xll.IMBC($B$4, V$8, $Q104, $D104, "세전수익률")</f>
        <v>0.8246</v>
      </c>
    </row>
    <row r="105" spans="2:22" s="6" customFormat="1" ht="13.5">
      <c r="B105" s="21">
        <f>IF(data!A101="", "", data!A101)</f>
        <v>45696</v>
      </c>
      <c r="C105" s="34" t="str">
        <f>IF( $B105="", "", INDEX( data!$U$2:$U$8, WEEKDAY($B105) ) )</f>
        <v>토</v>
      </c>
      <c r="D105" s="37">
        <f>IF( $B105="", "", CHOOSE(data!$V$1, data!B101, data!E101, data!V101) )</f>
        <v>2.6875</v>
      </c>
      <c r="E105" s="23">
        <f t="shared" si="2"/>
        <v>0.49999999999998934</v>
      </c>
      <c r="F105" s="24">
        <f>IF( $B105="", "", CHOOSE(data!$V$1, data!C101, data!F101, data!W101) )</f>
        <v>10197.725</v>
      </c>
      <c r="G105" s="24">
        <f t="shared" si="3"/>
        <v>0.32499999999890861</v>
      </c>
      <c r="H105" s="26">
        <f>IF( $B105="", "", CHOOSE(data!$V$1, data!D101, data!G101, data!X101) )</f>
        <v>0.81545000000000001</v>
      </c>
      <c r="I105" s="37">
        <f>IF(data!H101="", "", data!H101)</f>
        <v>2.68</v>
      </c>
      <c r="J105" s="40">
        <f>IF(data!I101="", "", data!I101)</f>
        <v>10198.35</v>
      </c>
      <c r="K105" s="37">
        <f>IF(data!J101="", "", data!J101)</f>
        <v>2.6949999999999998</v>
      </c>
      <c r="L105" s="40">
        <f>IF(data!K101="", "", data!K101)</f>
        <v>10197.1</v>
      </c>
      <c r="M105" s="37">
        <f>IF(data!L101="", "", data!L101)</f>
        <v>2.69</v>
      </c>
      <c r="N105" s="40">
        <f>IF(data!M101="", "", data!M101)</f>
        <v>10197.52</v>
      </c>
      <c r="O105" s="37">
        <f>IF(data!N101="", "", data!N101)</f>
        <v>2.69</v>
      </c>
      <c r="P105" s="40">
        <f>IF(data!O101="", "", data!O101)</f>
        <v>10197.52</v>
      </c>
      <c r="Q105" s="21">
        <f>WORKDAY($B105, data!$AL$1, data!AM101:$AM$2041)</f>
        <v>45698</v>
      </c>
      <c r="R105" s="22" t="str">
        <f>IF( $Q105="", "", INDEX( data!$U$2:$U$8, WEEKDAY($Q105) ) )</f>
        <v>월</v>
      </c>
      <c r="S105" s="24">
        <f>_xll.IMBC($B$4, S$8, $Q105, $D105, "세전수익률")</f>
        <v>10199.219999999999</v>
      </c>
      <c r="T105" s="25">
        <f>_xll.IMBC($B$4, T$8, $Q105, $D105, "세전수익률")</f>
        <v>10126.8349</v>
      </c>
      <c r="U105" s="25">
        <f>_xll.IMBC($B$4, U$8, $Q105, $D105, "세전수익률")</f>
        <v>72.390100000000004</v>
      </c>
      <c r="V105" s="26">
        <f>_xll.IMBC($B$4, V$8, $Q105, $D105, "세전수익률")</f>
        <v>0.8246</v>
      </c>
    </row>
    <row r="106" spans="2:22" s="6" customFormat="1" ht="13.5">
      <c r="B106" s="21">
        <f>IF(data!A102="", "", data!A102)</f>
        <v>45695</v>
      </c>
      <c r="C106" s="34" t="str">
        <f>IF( $B106="", "", INDEX( data!$U$2:$U$8, WEEKDAY($B106) ) )</f>
        <v>금</v>
      </c>
      <c r="D106" s="37">
        <f>IF( $B106="", "", CHOOSE(data!$V$1, data!B102, data!E102, data!V102) )</f>
        <v>2.6825000000000001</v>
      </c>
      <c r="E106" s="23">
        <f t="shared" si="2"/>
        <v>0</v>
      </c>
      <c r="F106" s="24">
        <f>IF( $B106="", "", CHOOSE(data!$V$1, data!C102, data!F102, data!W102) )</f>
        <v>10197.400000000001</v>
      </c>
      <c r="G106" s="24">
        <f t="shared" si="3"/>
        <v>0.75</v>
      </c>
      <c r="H106" s="26">
        <f>IF( $B106="", "", CHOOSE(data!$V$1, data!D102, data!G102, data!X102) )</f>
        <v>0.81820000000000004</v>
      </c>
      <c r="I106" s="37">
        <f>IF(data!H102="", "", data!H102)</f>
        <v>2.68</v>
      </c>
      <c r="J106" s="40">
        <f>IF(data!I102="", "", data!I102)</f>
        <v>10197.61</v>
      </c>
      <c r="K106" s="37">
        <f>IF(data!J102="", "", data!J102)</f>
        <v>2.6850000000000001</v>
      </c>
      <c r="L106" s="40">
        <f>IF(data!K102="", "", data!K102)</f>
        <v>10197.19</v>
      </c>
      <c r="M106" s="37">
        <f>IF(data!L102="", "", data!L102)</f>
        <v>2.6869999999999998</v>
      </c>
      <c r="N106" s="40">
        <f>IF(data!M102="", "", data!M102)</f>
        <v>10197.02</v>
      </c>
      <c r="O106" s="37">
        <f>IF(data!N102="", "", data!N102)</f>
        <v>2.6850000000000001</v>
      </c>
      <c r="P106" s="40">
        <f>IF(data!O102="", "", data!O102)</f>
        <v>10197.19</v>
      </c>
      <c r="Q106" s="21">
        <f>WORKDAY($B106, data!$AL$1, data!AM102:$AM$2041)</f>
        <v>45698</v>
      </c>
      <c r="R106" s="22" t="str">
        <f>IF( $Q106="", "", INDEX( data!$U$2:$U$8, WEEKDAY($Q106) ) )</f>
        <v>월</v>
      </c>
      <c r="S106" s="24">
        <f>_xll.IMBC($B$4, S$8, $Q106, $D106, "세전수익률")</f>
        <v>10199.629999999999</v>
      </c>
      <c r="T106" s="25">
        <f>_xll.IMBC($B$4, T$8, $Q106, $D106, "세전수익률")</f>
        <v>10127.248</v>
      </c>
      <c r="U106" s="25">
        <f>_xll.IMBC($B$4, U$8, $Q106, $D106, "세전수익률")</f>
        <v>72.390100000000004</v>
      </c>
      <c r="V106" s="26">
        <f>_xll.IMBC($B$4, V$8, $Q106, $D106, "세전수익률")</f>
        <v>0.8246</v>
      </c>
    </row>
    <row r="107" spans="2:22" s="6" customFormat="1" ht="13.5">
      <c r="B107" s="21">
        <f>IF(data!A103="", "", data!A103)</f>
        <v>45694</v>
      </c>
      <c r="C107" s="34" t="str">
        <f>IF( $B107="", "", INDEX( data!$U$2:$U$8, WEEKDAY($B107) ) )</f>
        <v>목</v>
      </c>
      <c r="D107" s="37">
        <f>IF( $B107="", "", CHOOSE(data!$V$1, data!B103, data!E103, data!V103) )</f>
        <v>2.6825000000000001</v>
      </c>
      <c r="E107" s="23">
        <f t="shared" si="2"/>
        <v>0.75000000000002842</v>
      </c>
      <c r="F107" s="24">
        <f>IF( $B107="", "", CHOOSE(data!$V$1, data!C103, data!F103, data!W103) )</f>
        <v>10196.650000000001</v>
      </c>
      <c r="G107" s="24">
        <f t="shared" si="3"/>
        <v>0.11000000000058208</v>
      </c>
      <c r="H107" s="26">
        <f>IF( $B107="", "", CHOOSE(data!$V$1, data!D103, data!G103, data!X103) )</f>
        <v>0.82089999999999996</v>
      </c>
      <c r="I107" s="37">
        <f>IF(data!H103="", "", data!H103)</f>
        <v>2.68</v>
      </c>
      <c r="J107" s="40">
        <f>IF(data!I103="", "", data!I103)</f>
        <v>10196.86</v>
      </c>
      <c r="K107" s="37">
        <f>IF(data!J103="", "", data!J103)</f>
        <v>2.6850000000000001</v>
      </c>
      <c r="L107" s="40">
        <f>IF(data!K103="", "", data!K103)</f>
        <v>10196.44</v>
      </c>
      <c r="M107" s="37">
        <f>IF(data!L103="", "", data!L103)</f>
        <v>2.6850000000000001</v>
      </c>
      <c r="N107" s="40">
        <f>IF(data!M103="", "", data!M103)</f>
        <v>10196.44</v>
      </c>
      <c r="O107" s="37">
        <f>IF(data!N103="", "", data!N103)</f>
        <v>2.6850000000000001</v>
      </c>
      <c r="P107" s="40">
        <f>IF(data!O103="", "", data!O103)</f>
        <v>10196.44</v>
      </c>
      <c r="Q107" s="21">
        <f>WORKDAY($B107, data!$AL$1, data!AM103:$AM$2041)</f>
        <v>45695</v>
      </c>
      <c r="R107" s="22" t="str">
        <f>IF( $Q107="", "", INDEX( data!$U$2:$U$8, WEEKDAY($Q107) ) )</f>
        <v>금</v>
      </c>
      <c r="S107" s="24">
        <f>_xll.IMBC($B$4, S$8, $Q107, $D107, "세전수익률")</f>
        <v>10197.4</v>
      </c>
      <c r="T107" s="25">
        <f>_xll.IMBC($B$4, T$8, $Q107, $D107, "세전수익률")</f>
        <v>10128.516</v>
      </c>
      <c r="U107" s="25">
        <f>_xll.IMBC($B$4, U$8, $Q107, $D107, "세전수익률")</f>
        <v>68.887299999999996</v>
      </c>
      <c r="V107" s="26">
        <f>_xll.IMBC($B$4, V$8, $Q107, $D107, "세전수익률")</f>
        <v>0.83279999999999998</v>
      </c>
    </row>
    <row r="108" spans="2:22" s="6" customFormat="1" ht="14.25" thickBot="1">
      <c r="B108" s="27">
        <f>IF(data!A104="", "", data!A104)</f>
        <v>45693</v>
      </c>
      <c r="C108" s="35" t="str">
        <f>IF( $B108="", "", INDEX( data!$U$2:$U$8, WEEKDAY($B108) ) )</f>
        <v>수</v>
      </c>
      <c r="D108" s="38">
        <f>IF( $B108="", "", CHOOSE(data!$V$1, data!B104, data!E104, data!V104) )</f>
        <v>2.6749999999999998</v>
      </c>
      <c r="E108" s="29">
        <f t="shared" si="2"/>
        <v>1.7500000000000071</v>
      </c>
      <c r="F108" s="30">
        <f>IF( $B108="", "", CHOOSE(data!$V$1, data!C104, data!F104, data!W104) )</f>
        <v>10196.540000000001</v>
      </c>
      <c r="G108" s="30">
        <f t="shared" si="3"/>
        <v>-0.72999999999956344</v>
      </c>
      <c r="H108" s="32">
        <f>IF( $B108="", "", CHOOSE(data!$V$1, data!D104, data!G104, data!X104) )</f>
        <v>0.82364999999999999</v>
      </c>
      <c r="I108" s="38">
        <f>IF(data!H104="", "", data!H104)</f>
        <v>2.68</v>
      </c>
      <c r="J108" s="41">
        <f>IF(data!I104="", "", data!I104)</f>
        <v>10196.120000000001</v>
      </c>
      <c r="K108" s="38">
        <f>IF(data!J104="", "", data!J104)</f>
        <v>2.67</v>
      </c>
      <c r="L108" s="41">
        <f>IF(data!K104="", "", data!K104)</f>
        <v>10196.959999999999</v>
      </c>
      <c r="M108" s="38">
        <f>IF(data!L104="", "", data!L104)</f>
        <v>2.68</v>
      </c>
      <c r="N108" s="41">
        <f>IF(data!M104="", "", data!M104)</f>
        <v>10196.120000000001</v>
      </c>
      <c r="O108" s="38">
        <f>IF(data!N104="", "", data!N104)</f>
        <v>2.67</v>
      </c>
      <c r="P108" s="41">
        <f>IF(data!O104="", "", data!O104)</f>
        <v>10196.959999999999</v>
      </c>
      <c r="Q108" s="27">
        <f>WORKDAY($B108, data!$AL$1, data!AM104:$AM$2041)</f>
        <v>45694</v>
      </c>
      <c r="R108" s="28" t="str">
        <f>IF( $Q108="", "", INDEX( data!$U$2:$U$8, WEEKDAY($Q108) ) )</f>
        <v>목</v>
      </c>
      <c r="S108" s="30">
        <f>_xll.IMBC($B$4, S$8, $Q108, $D108, "세전수익률")</f>
        <v>10197.280000000001</v>
      </c>
      <c r="T108" s="31">
        <f>_xll.IMBC($B$4, T$8, $Q108, $D108, "세전수익률")</f>
        <v>10129.5666</v>
      </c>
      <c r="U108" s="31">
        <f>_xll.IMBC($B$4, U$8, $Q108, $D108, "세전수익률")</f>
        <v>67.719700000000003</v>
      </c>
      <c r="V108" s="32">
        <f>_xll.IMBC($B$4, V$8, $Q108, $D108, "세전수익률")</f>
        <v>0.83550000000000002</v>
      </c>
    </row>
    <row r="109" spans="2:22" hidden="1">
      <c r="B109">
        <f>IF(data!A105="", "", data!A105)</f>
        <v>45692</v>
      </c>
      <c r="D109">
        <f>IF( $B109="", "", CHOOSE(data!$V$1, data!B105, data!E105, data!V105) )</f>
        <v>2.6574999999999998</v>
      </c>
      <c r="E109" t="str">
        <f t="shared" ref="E109" si="4">IF($B110="", "", (D109-D110)*100)</f>
        <v/>
      </c>
      <c r="F109">
        <f>IF( $B109="", "", CHOOSE(data!$V$1, data!C105, data!F105, data!W105) )</f>
        <v>10197.27</v>
      </c>
      <c r="G109" t="str">
        <f t="shared" ref="G109" si="5">IF($B110="", "", (F109-F110) )</f>
        <v/>
      </c>
      <c r="H109">
        <f>IF( $B109="", "", CHOOSE(data!$V$1, data!D105, data!G105, data!X105) )</f>
        <v>0.82645000000000002</v>
      </c>
      <c r="I109">
        <f>IF(data!H105="", "", data!H105)</f>
        <v>2.66</v>
      </c>
      <c r="J109">
        <f>IF(data!I105="", "", data!I105)</f>
        <v>10197.06</v>
      </c>
      <c r="K109">
        <f>IF(data!J105="", "", data!J105)</f>
        <v>2.6549999999999998</v>
      </c>
      <c r="L109">
        <f>IF(data!K105="", "", data!K105)</f>
        <v>10197.48</v>
      </c>
      <c r="M109">
        <f>IF(data!L105="", "", data!L105)</f>
        <v>2.665</v>
      </c>
      <c r="N109">
        <f>IF(data!M105="", "", data!M105)</f>
        <v>10196.64</v>
      </c>
      <c r="O109">
        <f>IF(data!N105="", "", data!N105)</f>
        <v>2.6549999999999998</v>
      </c>
      <c r="P109">
        <f>IF(data!O105="", "", data!O105)</f>
        <v>10197.48</v>
      </c>
    </row>
    <row r="110" spans="2:22"/>
    <row r="111" spans="2:22"/>
    <row r="112" spans="2:2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</sheetData>
  <mergeCells count="10">
    <mergeCell ref="O7:P7"/>
    <mergeCell ref="Q7:V7"/>
    <mergeCell ref="D4:H4"/>
    <mergeCell ref="B2:V2"/>
    <mergeCell ref="B5:C5"/>
    <mergeCell ref="D7:G7"/>
    <mergeCell ref="B4:C4"/>
    <mergeCell ref="I7:J7"/>
    <mergeCell ref="K7:L7"/>
    <mergeCell ref="M7:N7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003"/>
  <sheetViews>
    <sheetView topLeftCell="V1" workbookViewId="0">
      <selection activeCell="AL1" sqref="AL1"/>
    </sheetView>
  </sheetViews>
  <sheetFormatPr defaultRowHeight="16.5"/>
  <cols>
    <col min="1" max="1" width="10.125" customWidth="1"/>
    <col min="2" max="2" width="10.875" customWidth="1"/>
    <col min="4" max="4" width="10.5" customWidth="1"/>
    <col min="16" max="16" width="10.25" customWidth="1"/>
    <col min="24" max="24" width="9" customWidth="1"/>
    <col min="39" max="39" width="10.625" customWidth="1"/>
  </cols>
  <sheetData>
    <row r="1" spans="1:40">
      <c r="A1" s="1" t="s">
        <v>14</v>
      </c>
      <c r="B1" s="2">
        <f ca="1">D1-365</f>
        <v>45427</v>
      </c>
      <c r="C1" s="1" t="s">
        <v>15</v>
      </c>
      <c r="D1" s="2">
        <f ca="1">시가평가_계산!$B$5</f>
        <v>45792</v>
      </c>
      <c r="V1">
        <v>3</v>
      </c>
      <c r="W1">
        <v>1</v>
      </c>
      <c r="AL1">
        <f>CHOOSE($AL$2, 0, 1)</f>
        <v>1</v>
      </c>
    </row>
    <row r="2" spans="1:40">
      <c r="A2">
        <v>1</v>
      </c>
      <c r="U2" t="s">
        <v>27</v>
      </c>
      <c r="V2" t="s">
        <v>24</v>
      </c>
      <c r="AL2">
        <v>2</v>
      </c>
      <c r="AM2" t="str">
        <f ca="1">TEXT(시가평가_계산!$B$5-500, "YYYYMMDD") &amp; "~" &amp; TEXT(시가평가_계산!$B$5+500, "YYYYMMDD")</f>
        <v>20240101~20260927</v>
      </c>
    </row>
    <row r="3" spans="1:40">
      <c r="A3" t="str">
        <f ca="1">_xll.IMDH("BND", 시가평가_계산!$B$4, A4:O4, $B$1, $D$1, "101", "Per=일, sort=D, real=false, Bizday=0, Quote=종가, Pos=20, Orient=V, DtFmt=1, TmFmt=1, unit=true")</f>
        <v>조회[KR103501GCC0]</v>
      </c>
      <c r="B3" t="s">
        <v>4</v>
      </c>
      <c r="C3" t="s">
        <v>10</v>
      </c>
      <c r="D3" t="s">
        <v>36</v>
      </c>
      <c r="E3" t="s">
        <v>5</v>
      </c>
      <c r="F3" t="s">
        <v>11</v>
      </c>
      <c r="G3" t="s">
        <v>37</v>
      </c>
      <c r="H3" t="s">
        <v>0</v>
      </c>
      <c r="I3" t="s">
        <v>6</v>
      </c>
      <c r="J3" t="s">
        <v>1</v>
      </c>
      <c r="K3" t="s">
        <v>7</v>
      </c>
      <c r="L3" t="s">
        <v>2</v>
      </c>
      <c r="M3" t="s">
        <v>8</v>
      </c>
      <c r="N3" t="s">
        <v>3</v>
      </c>
      <c r="O3" t="s">
        <v>9</v>
      </c>
      <c r="P3" t="str">
        <f ca="1">_xll.IMDH("BND", 시가평가_계산!$B$4, P4:T4, $B$1-100, $D$1, "201", "Per=일, sort=D, real=false, Bizday=0, Quote=종가, Pos=20, Orient=V, DtFmt=1, TmFmt=1, unit=true")</f>
        <v>조회[KR103501GCC0]</v>
      </c>
      <c r="U3" t="s">
        <v>28</v>
      </c>
      <c r="V3" t="s">
        <v>25</v>
      </c>
      <c r="Y3" t="b">
        <v>1</v>
      </c>
      <c r="AB3" t="b">
        <v>1</v>
      </c>
      <c r="AE3" t="b">
        <v>0</v>
      </c>
      <c r="AH3" t="b">
        <v>0</v>
      </c>
      <c r="AL3" t="s">
        <v>44</v>
      </c>
      <c r="AM3" t="str">
        <f ca="1">_xll.IMDT("세계휴장", "CALENDAR", AM4:AN4, 9999, $AM$2, "한국", "휴장일", "sort=A,DtFmt=1,TmFmt=1,Pos=20,Orient=V")</f>
        <v>조회[CALENDAR]</v>
      </c>
    </row>
    <row r="4" spans="1:40">
      <c r="A4" s="3" t="s">
        <v>12</v>
      </c>
      <c r="B4" s="5" t="str">
        <f>B$3&amp;CHOOSE($A$2, "", " 당일")</f>
        <v>민평3사 수익률(산출일)</v>
      </c>
      <c r="C4" s="5" t="str">
        <f t="shared" ref="C4:I4" si="0">C$3&amp;CHOOSE($A$2, "", " 당일")</f>
        <v>민평3사 가격(산출일)</v>
      </c>
      <c r="D4" s="5" t="str">
        <f t="shared" si="0"/>
        <v>민평3사 듀레이션(산출일)</v>
      </c>
      <c r="E4" s="5" t="str">
        <f t="shared" si="0"/>
        <v>민평4사 수익률(산출일)</v>
      </c>
      <c r="F4" s="5" t="str">
        <f t="shared" si="0"/>
        <v>민평4사 가격(산출일)</v>
      </c>
      <c r="G4" s="5" t="str">
        <f t="shared" si="0"/>
        <v>민평4사 듀레이션(산출일)</v>
      </c>
      <c r="H4" s="5" t="str">
        <f t="shared" si="0"/>
        <v>KBP 수익률(산출일)</v>
      </c>
      <c r="I4" s="5" t="str">
        <f t="shared" si="0"/>
        <v>KBP 가격(산출일)</v>
      </c>
      <c r="J4" s="5" t="str">
        <f t="shared" ref="J4:O4" si="1">J$3&amp;CHOOSE($A$2, "", " 당일")</f>
        <v>KIS 수익률(산출일)</v>
      </c>
      <c r="K4" s="5" t="str">
        <f t="shared" si="1"/>
        <v>KIS 가격(산출일)</v>
      </c>
      <c r="L4" s="5" t="str">
        <f t="shared" si="1"/>
        <v>NIC 수익률(산출일)</v>
      </c>
      <c r="M4" s="5" t="str">
        <f t="shared" si="1"/>
        <v>NIC 가격(산출일)</v>
      </c>
      <c r="N4" s="5" t="str">
        <f t="shared" si="1"/>
        <v>FNP 수익률(산출일)</v>
      </c>
      <c r="O4" s="5" t="str">
        <f t="shared" si="1"/>
        <v>FNP 가격(산출일)</v>
      </c>
      <c r="P4" s="5" t="s">
        <v>77</v>
      </c>
      <c r="Q4" s="5" t="s">
        <v>73</v>
      </c>
      <c r="R4" s="5" t="s">
        <v>74</v>
      </c>
      <c r="S4" s="5" t="s">
        <v>75</v>
      </c>
      <c r="T4" s="5" t="s">
        <v>76</v>
      </c>
      <c r="U4" t="s">
        <v>29</v>
      </c>
      <c r="V4" t="s">
        <v>26</v>
      </c>
      <c r="Y4" s="4" t="s">
        <v>20</v>
      </c>
      <c r="Z4" s="4"/>
      <c r="AA4" s="4"/>
      <c r="AB4" s="4" t="s">
        <v>21</v>
      </c>
      <c r="AC4" s="4"/>
      <c r="AD4" s="4"/>
      <c r="AE4" s="4" t="s">
        <v>22</v>
      </c>
      <c r="AF4" s="4"/>
      <c r="AG4" s="4"/>
      <c r="AH4" s="4" t="s">
        <v>23</v>
      </c>
      <c r="AI4" s="4"/>
      <c r="AL4" t="s">
        <v>43</v>
      </c>
      <c r="AM4" t="s">
        <v>45</v>
      </c>
      <c r="AN4" t="s">
        <v>46</v>
      </c>
    </row>
    <row r="5" spans="1:40">
      <c r="A5" s="2">
        <v>45792</v>
      </c>
      <c r="B5">
        <v>2.42</v>
      </c>
      <c r="C5">
        <v>10285.120000000001</v>
      </c>
      <c r="D5">
        <v>0.55559999999999998</v>
      </c>
      <c r="E5">
        <v>2.42</v>
      </c>
      <c r="F5">
        <v>10285.120000000001</v>
      </c>
      <c r="G5">
        <v>0.55769999999999997</v>
      </c>
      <c r="H5">
        <v>2.42</v>
      </c>
      <c r="I5">
        <v>10285.120000000001</v>
      </c>
      <c r="J5">
        <v>2.42</v>
      </c>
      <c r="K5">
        <v>10285.120000000001</v>
      </c>
      <c r="L5">
        <v>2.42</v>
      </c>
      <c r="M5">
        <v>10285.120000000001</v>
      </c>
      <c r="N5">
        <v>2.42</v>
      </c>
      <c r="O5">
        <v>10285.120000000001</v>
      </c>
      <c r="P5" s="2">
        <v>45792</v>
      </c>
      <c r="Q5">
        <v>0.55710000000000004</v>
      </c>
      <c r="R5">
        <v>0.55549999999999999</v>
      </c>
      <c r="S5">
        <v>0.5544</v>
      </c>
      <c r="T5">
        <v>0.56379999999999997</v>
      </c>
      <c r="U5" t="s">
        <v>30</v>
      </c>
      <c r="V5" s="7">
        <f t="shared" ref="V5:V36" si="2">IF($A5="", "", CHOOSE( $W$1, AVERAGE(Y5,AB5,AE5,AH5), GEOMEAN(Y5,AB5,AE5,AH5) ) )</f>
        <v>2.42</v>
      </c>
      <c r="W5" s="8">
        <f t="shared" ref="W5:W36" si="3">IF($A5="", "", CHOOSE( $W$1, AVERAGE(Z5,AC5,AF5,AI5), GEOMEAN(Z5,AC5,AF5,AI5) ) )</f>
        <v>10285.120000000001</v>
      </c>
      <c r="X5" s="8">
        <f t="shared" ref="X5:X36" si="4">IF($A5="", "", CHOOSE( $W$1, AVERAGE(AA5,AD5,AG5,AJ5), GEOMEAN(AA5,AD5,AG5,AJ5) ) )</f>
        <v>0.55630000000000002</v>
      </c>
      <c r="Y5" s="8">
        <f t="shared" ref="Y5:Y36" si="5">IF(AND($Y$3,H5&lt;&gt;""), H5, "")</f>
        <v>2.42</v>
      </c>
      <c r="Z5" s="8">
        <f t="shared" ref="Z5:Z36" si="6">IF(AND($Y$3,I5&lt;&gt;""), I5, "")</f>
        <v>10285.120000000001</v>
      </c>
      <c r="AA5" s="8">
        <f>CHOOSE( $A$2,
    IF(AND($Y$3,Q5&lt;&gt;""), Q5, ""),
    IF(AND($Y$3,Q5&lt;&gt;""), INDEX($Q:$Q, MATCH($A5,$P:$P, 0)-1), "")
)</f>
        <v>0.55710000000000004</v>
      </c>
      <c r="AB5" s="8">
        <f t="shared" ref="AB5:AB36" si="7">IF(AND($AB$3,J5&lt;&gt;""), J5, "")</f>
        <v>2.42</v>
      </c>
      <c r="AC5" s="8">
        <f t="shared" ref="AC5:AC36" si="8">IF(AND($AB$3,K5&lt;&gt;""), K5, "")</f>
        <v>10285.120000000001</v>
      </c>
      <c r="AD5" s="8">
        <f>CHOOSE( $A$2,
    IF(AND($AB$3,R5&lt;&gt;""), R5, ""),
    IF(AND($AB$3,R5&lt;&gt;""), INDEX($R:$R, MATCH($A5,$P:$P, 0)-1), "")
)</f>
        <v>0.55549999999999999</v>
      </c>
      <c r="AE5" s="8" t="str">
        <f t="shared" ref="AE5:AE36" si="9">IF(AND($AE$3,L5&lt;&gt;""), L5, "")</f>
        <v/>
      </c>
      <c r="AF5" s="8" t="str">
        <f t="shared" ref="AF5:AF36" si="10">IF(AND($AE$3,M5&lt;&gt;""), M5, "")</f>
        <v/>
      </c>
      <c r="AG5" s="8" t="str">
        <f>CHOOSE( $A$2,
    IF(AND($AE$3,S5&lt;&gt;""), S5, ""),
    IF(AND($AE$3,S5&lt;&gt;""), INDEX($S:$S, MATCH($A5,$P:$P, 0)-1), "")
)</f>
        <v/>
      </c>
      <c r="AH5" s="8" t="str">
        <f t="shared" ref="AH5:AH36" si="11">IF(AND($AH$3,N5&lt;&gt;""), N5, "")</f>
        <v/>
      </c>
      <c r="AI5" s="8" t="str">
        <f t="shared" ref="AI5:AI36" si="12">IF(AND($AH$3,O5&lt;&gt;""), O5, "")</f>
        <v/>
      </c>
      <c r="AJ5" s="9" t="str">
        <f>CHOOSE( $A$2,
    IF(AND($AH$3,T5&lt;&gt;""), T5, ""),
    IF(AND($AH$3,T5&lt;&gt;""), INDEX($T:$T, MATCH($A5,$P:$P, 0)-1), "")
)</f>
        <v/>
      </c>
      <c r="AM5" s="2">
        <v>45292</v>
      </c>
      <c r="AN5" t="s">
        <v>64</v>
      </c>
    </row>
    <row r="6" spans="1:40">
      <c r="A6" s="2">
        <v>45791</v>
      </c>
      <c r="B6">
        <v>2.4279999999999999</v>
      </c>
      <c r="C6">
        <v>10283.959999999999</v>
      </c>
      <c r="D6">
        <v>0.55830000000000002</v>
      </c>
      <c r="E6">
        <v>2.4279999999999999</v>
      </c>
      <c r="F6">
        <v>10283.94</v>
      </c>
      <c r="G6">
        <v>0.56040000000000001</v>
      </c>
      <c r="H6">
        <v>2.4300000000000002</v>
      </c>
      <c r="I6">
        <v>10283.870000000001</v>
      </c>
      <c r="J6">
        <v>2.4300000000000002</v>
      </c>
      <c r="K6">
        <v>10283.870000000001</v>
      </c>
      <c r="L6">
        <v>2.4249999999999998</v>
      </c>
      <c r="M6">
        <v>10284.15</v>
      </c>
      <c r="N6">
        <v>2.4300000000000002</v>
      </c>
      <c r="O6">
        <v>10283.870000000001</v>
      </c>
      <c r="P6" s="2">
        <v>45791</v>
      </c>
      <c r="Q6">
        <v>0.55979999999999996</v>
      </c>
      <c r="R6">
        <v>0.55820000000000003</v>
      </c>
      <c r="S6">
        <v>0.55710000000000004</v>
      </c>
      <c r="T6">
        <v>0.56659999999999999</v>
      </c>
      <c r="U6" t="s">
        <v>31</v>
      </c>
      <c r="V6" s="10">
        <f t="shared" si="2"/>
        <v>2.4300000000000002</v>
      </c>
      <c r="W6">
        <f t="shared" si="3"/>
        <v>10283.870000000001</v>
      </c>
      <c r="X6">
        <f t="shared" si="4"/>
        <v>0.55899999999999994</v>
      </c>
      <c r="Y6">
        <f t="shared" si="5"/>
        <v>2.4300000000000002</v>
      </c>
      <c r="Z6">
        <f t="shared" si="6"/>
        <v>10283.870000000001</v>
      </c>
      <c r="AA6">
        <f t="shared" ref="AA6:AA69" si="13">CHOOSE( $A$2,
    IF(AND($Y$3,Q6&lt;&gt;""), Q6, ""),
    IF(AND($Y$3,Q6&lt;&gt;""), INDEX($Q:$Q, MATCH($A6,$P:$P, 0)-1), "")
)</f>
        <v>0.55979999999999996</v>
      </c>
      <c r="AB6">
        <f t="shared" si="7"/>
        <v>2.4300000000000002</v>
      </c>
      <c r="AC6">
        <f t="shared" si="8"/>
        <v>10283.870000000001</v>
      </c>
      <c r="AD6">
        <f t="shared" ref="AD6:AD69" si="14">CHOOSE( $A$2,
    IF(AND($AB$3,R6&lt;&gt;""), R6, ""),
    IF(AND($AB$3,R6&lt;&gt;""), INDEX($R:$R, MATCH($A6,$P:$P, 0)-1), "")
)</f>
        <v>0.55820000000000003</v>
      </c>
      <c r="AE6" t="str">
        <f t="shared" si="9"/>
        <v/>
      </c>
      <c r="AF6" t="str">
        <f t="shared" si="10"/>
        <v/>
      </c>
      <c r="AG6" t="str">
        <f t="shared" ref="AG6:AG69" si="15">CHOOSE( $A$2,
    IF(AND($AE$3,S6&lt;&gt;""), S6, ""),
    IF(AND($AE$3,S6&lt;&gt;""), INDEX($S:$S, MATCH($A6,$P:$P, 0)-1), "")
)</f>
        <v/>
      </c>
      <c r="AH6" t="str">
        <f t="shared" si="11"/>
        <v/>
      </c>
      <c r="AI6" t="str">
        <f t="shared" si="12"/>
        <v/>
      </c>
      <c r="AJ6" s="11" t="str">
        <f t="shared" ref="AJ6:AJ69" si="16">CHOOSE( $A$2,
    IF(AND($AH$3,T6&lt;&gt;""), T6, ""),
    IF(AND($AH$3,T6&lt;&gt;""), INDEX($T:$T, MATCH($A6,$P:$P, 0)-1), "")
)</f>
        <v/>
      </c>
      <c r="AM6" s="2">
        <v>45301</v>
      </c>
      <c r="AN6" t="s">
        <v>47</v>
      </c>
    </row>
    <row r="7" spans="1:40">
      <c r="A7" s="2">
        <v>45790</v>
      </c>
      <c r="B7">
        <v>2.4260000000000002</v>
      </c>
      <c r="C7">
        <v>10283.370000000001</v>
      </c>
      <c r="D7">
        <v>0.56100000000000005</v>
      </c>
      <c r="E7">
        <v>2.427</v>
      </c>
      <c r="F7">
        <v>10283.32</v>
      </c>
      <c r="G7">
        <v>0.56310000000000004</v>
      </c>
      <c r="H7">
        <v>2.4300000000000002</v>
      </c>
      <c r="I7">
        <v>10283.18</v>
      </c>
      <c r="J7">
        <v>2.4300000000000002</v>
      </c>
      <c r="K7">
        <v>10283.18</v>
      </c>
      <c r="L7">
        <v>2.42</v>
      </c>
      <c r="M7">
        <v>10283.76</v>
      </c>
      <c r="N7">
        <v>2.4300000000000002</v>
      </c>
      <c r="O7">
        <v>10283.18</v>
      </c>
      <c r="P7" s="2">
        <v>45790</v>
      </c>
      <c r="Q7">
        <v>0.5625</v>
      </c>
      <c r="R7">
        <v>0.56089999999999995</v>
      </c>
      <c r="S7">
        <v>0.55979999999999996</v>
      </c>
      <c r="T7">
        <v>0.56930000000000003</v>
      </c>
      <c r="U7" t="s">
        <v>32</v>
      </c>
      <c r="V7" s="10">
        <f t="shared" si="2"/>
        <v>2.4300000000000002</v>
      </c>
      <c r="W7">
        <f t="shared" si="3"/>
        <v>10283.18</v>
      </c>
      <c r="X7">
        <f t="shared" si="4"/>
        <v>0.56169999999999998</v>
      </c>
      <c r="Y7">
        <f t="shared" si="5"/>
        <v>2.4300000000000002</v>
      </c>
      <c r="Z7">
        <f t="shared" si="6"/>
        <v>10283.18</v>
      </c>
      <c r="AA7">
        <f t="shared" si="13"/>
        <v>0.5625</v>
      </c>
      <c r="AB7">
        <f t="shared" si="7"/>
        <v>2.4300000000000002</v>
      </c>
      <c r="AC7">
        <f t="shared" si="8"/>
        <v>10283.18</v>
      </c>
      <c r="AD7">
        <f t="shared" si="14"/>
        <v>0.56089999999999995</v>
      </c>
      <c r="AE7" t="str">
        <f t="shared" si="9"/>
        <v/>
      </c>
      <c r="AF7" t="str">
        <f t="shared" si="10"/>
        <v/>
      </c>
      <c r="AG7" t="str">
        <f t="shared" si="15"/>
        <v/>
      </c>
      <c r="AH7" t="str">
        <f t="shared" si="11"/>
        <v/>
      </c>
      <c r="AI7" t="str">
        <f t="shared" si="12"/>
        <v/>
      </c>
      <c r="AJ7" s="11" t="str">
        <f t="shared" si="16"/>
        <v/>
      </c>
      <c r="AM7" s="2">
        <v>45329</v>
      </c>
      <c r="AN7" t="s">
        <v>47</v>
      </c>
    </row>
    <row r="8" spans="1:40">
      <c r="A8" s="2">
        <v>45789</v>
      </c>
      <c r="B8">
        <v>2.431</v>
      </c>
      <c r="C8">
        <v>10282.4</v>
      </c>
      <c r="D8">
        <v>0.56559999999999999</v>
      </c>
      <c r="E8">
        <v>2.4319999999999999</v>
      </c>
      <c r="F8">
        <v>10282.35</v>
      </c>
      <c r="G8">
        <v>0.56720000000000004</v>
      </c>
      <c r="H8">
        <v>2.4350000000000001</v>
      </c>
      <c r="I8">
        <v>10282.209999999999</v>
      </c>
      <c r="J8">
        <v>2.4350000000000001</v>
      </c>
      <c r="K8">
        <v>10282.209999999999</v>
      </c>
      <c r="L8">
        <v>2.4249999999999998</v>
      </c>
      <c r="M8">
        <v>10282.790000000001</v>
      </c>
      <c r="N8">
        <v>2.4350000000000001</v>
      </c>
      <c r="O8">
        <v>10282.209999999999</v>
      </c>
      <c r="P8" s="2">
        <v>45789</v>
      </c>
      <c r="Q8">
        <v>0.57069999999999999</v>
      </c>
      <c r="R8">
        <v>0.56359999999999999</v>
      </c>
      <c r="S8">
        <v>0.5625</v>
      </c>
      <c r="T8">
        <v>0.57210000000000005</v>
      </c>
      <c r="U8" t="s">
        <v>33</v>
      </c>
      <c r="V8" s="10">
        <f t="shared" si="2"/>
        <v>2.4350000000000001</v>
      </c>
      <c r="W8">
        <f t="shared" si="3"/>
        <v>10282.209999999999</v>
      </c>
      <c r="X8">
        <f t="shared" si="4"/>
        <v>0.56715000000000004</v>
      </c>
      <c r="Y8">
        <f t="shared" si="5"/>
        <v>2.4350000000000001</v>
      </c>
      <c r="Z8">
        <f t="shared" si="6"/>
        <v>10282.209999999999</v>
      </c>
      <c r="AA8">
        <f t="shared" si="13"/>
        <v>0.57069999999999999</v>
      </c>
      <c r="AB8">
        <f t="shared" si="7"/>
        <v>2.4350000000000001</v>
      </c>
      <c r="AC8">
        <f t="shared" si="8"/>
        <v>10282.209999999999</v>
      </c>
      <c r="AD8">
        <f t="shared" si="14"/>
        <v>0.56359999999999999</v>
      </c>
      <c r="AE8" t="str">
        <f t="shared" si="9"/>
        <v/>
      </c>
      <c r="AF8" t="str">
        <f t="shared" si="10"/>
        <v/>
      </c>
      <c r="AG8" t="str">
        <f t="shared" si="15"/>
        <v/>
      </c>
      <c r="AH8" t="str">
        <f t="shared" si="11"/>
        <v/>
      </c>
      <c r="AI8" t="str">
        <f t="shared" si="12"/>
        <v/>
      </c>
      <c r="AJ8" s="11" t="str">
        <f t="shared" si="16"/>
        <v/>
      </c>
      <c r="AM8" s="2">
        <v>45331</v>
      </c>
      <c r="AN8" t="s">
        <v>48</v>
      </c>
    </row>
    <row r="9" spans="1:40">
      <c r="A9" s="2">
        <v>45788</v>
      </c>
      <c r="B9">
        <v>2.431</v>
      </c>
      <c r="C9">
        <v>10281.709999999999</v>
      </c>
      <c r="D9">
        <v>0.56740000000000002</v>
      </c>
      <c r="E9">
        <v>2.4319999999999999</v>
      </c>
      <c r="F9">
        <v>10281.66</v>
      </c>
      <c r="G9">
        <v>0.56920000000000004</v>
      </c>
      <c r="H9">
        <v>2.4350000000000001</v>
      </c>
      <c r="I9">
        <v>10281.52</v>
      </c>
      <c r="J9">
        <v>2.4350000000000001</v>
      </c>
      <c r="K9">
        <v>10281.52</v>
      </c>
      <c r="L9">
        <v>2.4249999999999998</v>
      </c>
      <c r="M9">
        <v>10282.1</v>
      </c>
      <c r="N9">
        <v>2.4350000000000001</v>
      </c>
      <c r="O9">
        <v>10281.52</v>
      </c>
      <c r="P9" s="2">
        <v>45788</v>
      </c>
      <c r="Q9">
        <v>0.57069999999999999</v>
      </c>
      <c r="R9">
        <v>0.56630000000000003</v>
      </c>
      <c r="S9">
        <v>0.56530000000000002</v>
      </c>
      <c r="T9">
        <v>0.57479999999999998</v>
      </c>
      <c r="V9" s="10">
        <f t="shared" si="2"/>
        <v>2.4350000000000001</v>
      </c>
      <c r="W9">
        <f t="shared" si="3"/>
        <v>10281.52</v>
      </c>
      <c r="X9">
        <f t="shared" si="4"/>
        <v>0.56850000000000001</v>
      </c>
      <c r="Y9">
        <f t="shared" si="5"/>
        <v>2.4350000000000001</v>
      </c>
      <c r="Z9">
        <f t="shared" si="6"/>
        <v>10281.52</v>
      </c>
      <c r="AA9">
        <f t="shared" si="13"/>
        <v>0.57069999999999999</v>
      </c>
      <c r="AB9">
        <f t="shared" si="7"/>
        <v>2.4350000000000001</v>
      </c>
      <c r="AC9">
        <f t="shared" si="8"/>
        <v>10281.52</v>
      </c>
      <c r="AD9">
        <f t="shared" si="14"/>
        <v>0.56630000000000003</v>
      </c>
      <c r="AE9" t="str">
        <f t="shared" si="9"/>
        <v/>
      </c>
      <c r="AF9" t="str">
        <f t="shared" si="10"/>
        <v/>
      </c>
      <c r="AG9" t="str">
        <f t="shared" si="15"/>
        <v/>
      </c>
      <c r="AH9" t="str">
        <f t="shared" si="11"/>
        <v/>
      </c>
      <c r="AI9" t="str">
        <f t="shared" si="12"/>
        <v/>
      </c>
      <c r="AJ9" s="11" t="str">
        <f t="shared" si="16"/>
        <v/>
      </c>
      <c r="AM9" s="2">
        <v>45332</v>
      </c>
      <c r="AN9" t="s">
        <v>48</v>
      </c>
    </row>
    <row r="10" spans="1:40">
      <c r="A10" s="2">
        <v>45787</v>
      </c>
      <c r="B10">
        <v>2.431</v>
      </c>
      <c r="C10">
        <v>10281.02</v>
      </c>
      <c r="D10">
        <v>0.56920000000000004</v>
      </c>
      <c r="E10">
        <v>2.4319999999999999</v>
      </c>
      <c r="F10">
        <v>10280.969999999999</v>
      </c>
      <c r="G10">
        <v>0.57130000000000003</v>
      </c>
      <c r="H10">
        <v>2.4350000000000001</v>
      </c>
      <c r="I10">
        <v>10280.83</v>
      </c>
      <c r="J10">
        <v>2.4350000000000001</v>
      </c>
      <c r="K10">
        <v>10280.83</v>
      </c>
      <c r="L10">
        <v>2.4249999999999998</v>
      </c>
      <c r="M10">
        <v>10281.42</v>
      </c>
      <c r="N10">
        <v>2.4350000000000001</v>
      </c>
      <c r="O10">
        <v>10280.83</v>
      </c>
      <c r="P10" s="2">
        <v>45787</v>
      </c>
      <c r="Q10">
        <v>0.57069999999999999</v>
      </c>
      <c r="R10">
        <v>0.56899999999999995</v>
      </c>
      <c r="S10">
        <v>0.56799999999999995</v>
      </c>
      <c r="T10">
        <v>0.57750000000000001</v>
      </c>
      <c r="V10" s="10">
        <f t="shared" si="2"/>
        <v>2.4350000000000001</v>
      </c>
      <c r="W10">
        <f t="shared" si="3"/>
        <v>10280.83</v>
      </c>
      <c r="X10">
        <f t="shared" si="4"/>
        <v>0.56984999999999997</v>
      </c>
      <c r="Y10">
        <f t="shared" si="5"/>
        <v>2.4350000000000001</v>
      </c>
      <c r="Z10">
        <f t="shared" si="6"/>
        <v>10280.83</v>
      </c>
      <c r="AA10">
        <f t="shared" si="13"/>
        <v>0.57069999999999999</v>
      </c>
      <c r="AB10">
        <f t="shared" si="7"/>
        <v>2.4350000000000001</v>
      </c>
      <c r="AC10">
        <f t="shared" si="8"/>
        <v>10280.83</v>
      </c>
      <c r="AD10">
        <f t="shared" si="14"/>
        <v>0.56899999999999995</v>
      </c>
      <c r="AE10" t="str">
        <f t="shared" si="9"/>
        <v/>
      </c>
      <c r="AF10" t="str">
        <f t="shared" si="10"/>
        <v/>
      </c>
      <c r="AG10" t="str">
        <f t="shared" si="15"/>
        <v/>
      </c>
      <c r="AH10" t="str">
        <f t="shared" si="11"/>
        <v/>
      </c>
      <c r="AI10" t="str">
        <f t="shared" si="12"/>
        <v/>
      </c>
      <c r="AJ10" s="11" t="str">
        <f t="shared" si="16"/>
        <v/>
      </c>
      <c r="AM10" s="2">
        <v>45333</v>
      </c>
      <c r="AN10" t="s">
        <v>48</v>
      </c>
    </row>
    <row r="11" spans="1:40">
      <c r="A11" s="2">
        <v>45786</v>
      </c>
      <c r="B11">
        <v>2.4350000000000001</v>
      </c>
      <c r="C11">
        <v>10280.15</v>
      </c>
      <c r="D11">
        <v>0.57189999999999996</v>
      </c>
      <c r="E11">
        <v>2.4350000000000001</v>
      </c>
      <c r="F11">
        <v>10280.15</v>
      </c>
      <c r="G11">
        <v>0.57399999999999995</v>
      </c>
      <c r="H11">
        <v>2.4350000000000001</v>
      </c>
      <c r="I11">
        <v>10280.15</v>
      </c>
      <c r="J11">
        <v>2.4350000000000001</v>
      </c>
      <c r="K11">
        <v>10280.15</v>
      </c>
      <c r="L11">
        <v>2.4350000000000001</v>
      </c>
      <c r="M11">
        <v>10280.15</v>
      </c>
      <c r="N11">
        <v>2.4350000000000001</v>
      </c>
      <c r="O11">
        <v>10280.15</v>
      </c>
      <c r="P11" s="2">
        <v>45786</v>
      </c>
      <c r="Q11">
        <v>0.57340000000000002</v>
      </c>
      <c r="R11">
        <v>0.57169999999999999</v>
      </c>
      <c r="S11">
        <v>0.57069999999999999</v>
      </c>
      <c r="T11">
        <v>0.58030000000000004</v>
      </c>
      <c r="V11" s="10">
        <f t="shared" si="2"/>
        <v>2.4350000000000001</v>
      </c>
      <c r="W11">
        <f t="shared" si="3"/>
        <v>10280.15</v>
      </c>
      <c r="X11">
        <f t="shared" si="4"/>
        <v>0.57255</v>
      </c>
      <c r="Y11">
        <f t="shared" si="5"/>
        <v>2.4350000000000001</v>
      </c>
      <c r="Z11">
        <f t="shared" si="6"/>
        <v>10280.15</v>
      </c>
      <c r="AA11">
        <f t="shared" si="13"/>
        <v>0.57340000000000002</v>
      </c>
      <c r="AB11">
        <f t="shared" si="7"/>
        <v>2.4350000000000001</v>
      </c>
      <c r="AC11">
        <f t="shared" si="8"/>
        <v>10280.15</v>
      </c>
      <c r="AD11">
        <f t="shared" si="14"/>
        <v>0.57169999999999999</v>
      </c>
      <c r="AE11" t="str">
        <f t="shared" si="9"/>
        <v/>
      </c>
      <c r="AF11" t="str">
        <f t="shared" si="10"/>
        <v/>
      </c>
      <c r="AG11" t="str">
        <f t="shared" si="15"/>
        <v/>
      </c>
      <c r="AH11" t="str">
        <f t="shared" si="11"/>
        <v/>
      </c>
      <c r="AI11" t="str">
        <f t="shared" si="12"/>
        <v/>
      </c>
      <c r="AJ11" s="11" t="str">
        <f t="shared" si="16"/>
        <v/>
      </c>
      <c r="AM11" s="2">
        <v>45334</v>
      </c>
      <c r="AN11" t="s">
        <v>49</v>
      </c>
    </row>
    <row r="12" spans="1:40">
      <c r="A12" s="2">
        <v>45785</v>
      </c>
      <c r="B12">
        <v>2.4260000000000002</v>
      </c>
      <c r="C12">
        <v>10279.950000000001</v>
      </c>
      <c r="D12">
        <v>0.5746</v>
      </c>
      <c r="E12">
        <v>2.427</v>
      </c>
      <c r="F12">
        <v>10279.9</v>
      </c>
      <c r="G12">
        <v>0.57669999999999999</v>
      </c>
      <c r="H12">
        <v>2.4300000000000002</v>
      </c>
      <c r="I12">
        <v>10279.76</v>
      </c>
      <c r="J12">
        <v>2.4300000000000002</v>
      </c>
      <c r="K12">
        <v>10279.76</v>
      </c>
      <c r="L12">
        <v>2.42</v>
      </c>
      <c r="M12">
        <v>10280.35</v>
      </c>
      <c r="N12">
        <v>2.4300000000000002</v>
      </c>
      <c r="O12">
        <v>10279.76</v>
      </c>
      <c r="P12" s="2">
        <v>45785</v>
      </c>
      <c r="Q12">
        <v>0.57609999999999995</v>
      </c>
      <c r="R12">
        <v>0.57450000000000001</v>
      </c>
      <c r="S12">
        <v>0.57340000000000002</v>
      </c>
      <c r="T12">
        <v>0.58299999999999996</v>
      </c>
      <c r="V12" s="10">
        <f t="shared" si="2"/>
        <v>2.4300000000000002</v>
      </c>
      <c r="W12">
        <f t="shared" si="3"/>
        <v>10279.76</v>
      </c>
      <c r="X12">
        <f t="shared" si="4"/>
        <v>0.57529999999999992</v>
      </c>
      <c r="Y12">
        <f t="shared" si="5"/>
        <v>2.4300000000000002</v>
      </c>
      <c r="Z12">
        <f t="shared" si="6"/>
        <v>10279.76</v>
      </c>
      <c r="AA12">
        <f t="shared" si="13"/>
        <v>0.57609999999999995</v>
      </c>
      <c r="AB12">
        <f t="shared" si="7"/>
        <v>2.4300000000000002</v>
      </c>
      <c r="AC12">
        <f t="shared" si="8"/>
        <v>10279.76</v>
      </c>
      <c r="AD12">
        <f t="shared" si="14"/>
        <v>0.57450000000000001</v>
      </c>
      <c r="AE12" t="str">
        <f t="shared" si="9"/>
        <v/>
      </c>
      <c r="AF12" t="str">
        <f t="shared" si="10"/>
        <v/>
      </c>
      <c r="AG12" t="str">
        <f t="shared" si="15"/>
        <v/>
      </c>
      <c r="AH12" t="str">
        <f t="shared" si="11"/>
        <v/>
      </c>
      <c r="AI12" t="str">
        <f t="shared" si="12"/>
        <v/>
      </c>
      <c r="AJ12" s="11" t="str">
        <f t="shared" si="16"/>
        <v/>
      </c>
      <c r="AM12" s="2">
        <v>45352</v>
      </c>
      <c r="AN12" t="s">
        <v>50</v>
      </c>
    </row>
    <row r="13" spans="1:40">
      <c r="A13" s="2">
        <v>45784</v>
      </c>
      <c r="B13">
        <v>2.4409999999999998</v>
      </c>
      <c r="C13">
        <v>10278.379999999999</v>
      </c>
      <c r="D13">
        <v>0.58089999999999997</v>
      </c>
      <c r="E13">
        <v>2.4430000000000001</v>
      </c>
      <c r="F13">
        <v>10278.26</v>
      </c>
      <c r="G13">
        <v>0.58209999999999995</v>
      </c>
      <c r="H13">
        <v>2.4500000000000002</v>
      </c>
      <c r="I13">
        <v>10277.89</v>
      </c>
      <c r="J13">
        <v>2.4500000000000002</v>
      </c>
      <c r="K13">
        <v>10277.89</v>
      </c>
      <c r="L13">
        <v>2.4249999999999998</v>
      </c>
      <c r="M13">
        <v>10279.370000000001</v>
      </c>
      <c r="N13">
        <v>2.4500000000000002</v>
      </c>
      <c r="O13">
        <v>10277.89</v>
      </c>
      <c r="P13" s="2">
        <v>45784</v>
      </c>
      <c r="Q13">
        <v>0.58960000000000001</v>
      </c>
      <c r="R13">
        <v>0.57709999999999995</v>
      </c>
      <c r="S13">
        <v>0.57609999999999995</v>
      </c>
      <c r="T13">
        <v>0.58579999999999999</v>
      </c>
      <c r="V13" s="10">
        <f t="shared" si="2"/>
        <v>2.4500000000000002</v>
      </c>
      <c r="W13">
        <f t="shared" si="3"/>
        <v>10277.89</v>
      </c>
      <c r="X13">
        <f t="shared" si="4"/>
        <v>0.58335000000000004</v>
      </c>
      <c r="Y13">
        <f t="shared" si="5"/>
        <v>2.4500000000000002</v>
      </c>
      <c r="Z13">
        <f t="shared" si="6"/>
        <v>10277.89</v>
      </c>
      <c r="AA13">
        <f t="shared" si="13"/>
        <v>0.58960000000000001</v>
      </c>
      <c r="AB13">
        <f t="shared" si="7"/>
        <v>2.4500000000000002</v>
      </c>
      <c r="AC13">
        <f t="shared" si="8"/>
        <v>10277.89</v>
      </c>
      <c r="AD13">
        <f t="shared" si="14"/>
        <v>0.57709999999999995</v>
      </c>
      <c r="AE13" t="str">
        <f t="shared" si="9"/>
        <v/>
      </c>
      <c r="AF13" t="str">
        <f t="shared" si="10"/>
        <v/>
      </c>
      <c r="AG13" t="str">
        <f t="shared" si="15"/>
        <v/>
      </c>
      <c r="AH13" t="str">
        <f t="shared" si="11"/>
        <v/>
      </c>
      <c r="AI13" t="str">
        <f t="shared" si="12"/>
        <v/>
      </c>
      <c r="AJ13" s="11" t="str">
        <f t="shared" si="16"/>
        <v/>
      </c>
      <c r="AM13" s="2">
        <v>45357</v>
      </c>
      <c r="AN13" t="s">
        <v>47</v>
      </c>
    </row>
    <row r="14" spans="1:40">
      <c r="A14" s="2">
        <v>45783</v>
      </c>
      <c r="B14">
        <v>2.4409999999999998</v>
      </c>
      <c r="C14">
        <v>10277.69</v>
      </c>
      <c r="D14">
        <v>0.5827</v>
      </c>
      <c r="E14">
        <v>2.4430000000000001</v>
      </c>
      <c r="F14">
        <v>10277.57</v>
      </c>
      <c r="G14">
        <v>0.58409999999999995</v>
      </c>
      <c r="H14">
        <v>2.4500000000000002</v>
      </c>
      <c r="I14">
        <v>10277.200000000001</v>
      </c>
      <c r="J14">
        <v>2.4500000000000002</v>
      </c>
      <c r="K14">
        <v>10277.200000000001</v>
      </c>
      <c r="L14">
        <v>2.4249999999999998</v>
      </c>
      <c r="M14">
        <v>10278.68</v>
      </c>
      <c r="N14">
        <v>2.4500000000000002</v>
      </c>
      <c r="O14">
        <v>10277.200000000001</v>
      </c>
      <c r="P14" s="2">
        <v>45783</v>
      </c>
      <c r="Q14">
        <v>0.58960000000000001</v>
      </c>
      <c r="R14">
        <v>0.57979999999999998</v>
      </c>
      <c r="S14">
        <v>0.57879999999999998</v>
      </c>
      <c r="T14">
        <v>0.58850000000000002</v>
      </c>
      <c r="V14" s="10">
        <f t="shared" si="2"/>
        <v>2.4500000000000002</v>
      </c>
      <c r="W14">
        <f t="shared" si="3"/>
        <v>10277.200000000001</v>
      </c>
      <c r="X14">
        <f t="shared" si="4"/>
        <v>0.5847</v>
      </c>
      <c r="Y14">
        <f t="shared" si="5"/>
        <v>2.4500000000000002</v>
      </c>
      <c r="Z14">
        <f t="shared" si="6"/>
        <v>10277.200000000001</v>
      </c>
      <c r="AA14">
        <f t="shared" si="13"/>
        <v>0.58960000000000001</v>
      </c>
      <c r="AB14">
        <f t="shared" si="7"/>
        <v>2.4500000000000002</v>
      </c>
      <c r="AC14">
        <f t="shared" si="8"/>
        <v>10277.200000000001</v>
      </c>
      <c r="AD14">
        <f t="shared" si="14"/>
        <v>0.57979999999999998</v>
      </c>
      <c r="AE14" t="str">
        <f t="shared" si="9"/>
        <v/>
      </c>
      <c r="AF14" t="str">
        <f t="shared" si="10"/>
        <v/>
      </c>
      <c r="AG14" t="str">
        <f t="shared" si="15"/>
        <v/>
      </c>
      <c r="AH14" t="str">
        <f t="shared" si="11"/>
        <v/>
      </c>
      <c r="AI14" t="str">
        <f t="shared" si="12"/>
        <v/>
      </c>
      <c r="AJ14" s="11" t="str">
        <f t="shared" si="16"/>
        <v/>
      </c>
      <c r="AM14" s="2">
        <v>45391</v>
      </c>
      <c r="AN14" t="s">
        <v>51</v>
      </c>
    </row>
    <row r="15" spans="1:40">
      <c r="A15" s="2">
        <v>45782</v>
      </c>
      <c r="B15">
        <v>2.4409999999999998</v>
      </c>
      <c r="C15">
        <v>10277</v>
      </c>
      <c r="D15">
        <v>0.58450000000000002</v>
      </c>
      <c r="E15">
        <v>2.4430000000000001</v>
      </c>
      <c r="F15">
        <v>10276.879999999999</v>
      </c>
      <c r="G15">
        <v>0.58620000000000005</v>
      </c>
      <c r="H15">
        <v>2.4500000000000002</v>
      </c>
      <c r="I15">
        <v>10276.51</v>
      </c>
      <c r="J15">
        <v>2.4500000000000002</v>
      </c>
      <c r="K15">
        <v>10276.51</v>
      </c>
      <c r="L15">
        <v>2.4249999999999998</v>
      </c>
      <c r="M15">
        <v>10278</v>
      </c>
      <c r="N15">
        <v>2.4500000000000002</v>
      </c>
      <c r="O15">
        <v>10276.51</v>
      </c>
      <c r="P15" s="2">
        <v>45782</v>
      </c>
      <c r="Q15">
        <v>0.58960000000000001</v>
      </c>
      <c r="R15">
        <v>0.58250000000000002</v>
      </c>
      <c r="S15">
        <v>0.58150000000000002</v>
      </c>
      <c r="T15">
        <v>0.59130000000000005</v>
      </c>
      <c r="V15" s="10">
        <f t="shared" si="2"/>
        <v>2.4500000000000002</v>
      </c>
      <c r="W15">
        <f t="shared" si="3"/>
        <v>10276.51</v>
      </c>
      <c r="X15">
        <f t="shared" si="4"/>
        <v>0.58604999999999996</v>
      </c>
      <c r="Y15">
        <f t="shared" si="5"/>
        <v>2.4500000000000002</v>
      </c>
      <c r="Z15">
        <f t="shared" si="6"/>
        <v>10276.51</v>
      </c>
      <c r="AA15">
        <f t="shared" si="13"/>
        <v>0.58960000000000001</v>
      </c>
      <c r="AB15">
        <f t="shared" si="7"/>
        <v>2.4500000000000002</v>
      </c>
      <c r="AC15">
        <f t="shared" si="8"/>
        <v>10276.51</v>
      </c>
      <c r="AD15">
        <f t="shared" si="14"/>
        <v>0.58250000000000002</v>
      </c>
      <c r="AE15" t="str">
        <f t="shared" si="9"/>
        <v/>
      </c>
      <c r="AF15" t="str">
        <f t="shared" si="10"/>
        <v/>
      </c>
      <c r="AG15" t="str">
        <f t="shared" si="15"/>
        <v/>
      </c>
      <c r="AH15" t="str">
        <f t="shared" si="11"/>
        <v/>
      </c>
      <c r="AI15" t="str">
        <f t="shared" si="12"/>
        <v/>
      </c>
      <c r="AJ15" s="11" t="str">
        <f t="shared" si="16"/>
        <v/>
      </c>
      <c r="AM15" s="2">
        <v>45392</v>
      </c>
      <c r="AN15" t="s">
        <v>52</v>
      </c>
    </row>
    <row r="16" spans="1:40">
      <c r="A16" s="2">
        <v>45781</v>
      </c>
      <c r="B16">
        <v>2.4409999999999998</v>
      </c>
      <c r="C16">
        <v>10276.32</v>
      </c>
      <c r="D16">
        <v>0.58630000000000004</v>
      </c>
      <c r="E16">
        <v>2.4430000000000001</v>
      </c>
      <c r="F16">
        <v>10276.19</v>
      </c>
      <c r="G16">
        <v>0.58819999999999995</v>
      </c>
      <c r="H16">
        <v>2.4500000000000002</v>
      </c>
      <c r="I16">
        <v>10275.82</v>
      </c>
      <c r="J16">
        <v>2.4500000000000002</v>
      </c>
      <c r="K16">
        <v>10275.82</v>
      </c>
      <c r="L16">
        <v>2.4249999999999998</v>
      </c>
      <c r="M16">
        <v>10277.32</v>
      </c>
      <c r="N16">
        <v>2.4500000000000002</v>
      </c>
      <c r="O16">
        <v>10275.82</v>
      </c>
      <c r="P16" s="2">
        <v>45781</v>
      </c>
      <c r="Q16">
        <v>0.58960000000000001</v>
      </c>
      <c r="R16">
        <v>0.58520000000000005</v>
      </c>
      <c r="S16">
        <v>0.58430000000000004</v>
      </c>
      <c r="T16">
        <v>0.59399999999999997</v>
      </c>
      <c r="V16" s="10">
        <f t="shared" si="2"/>
        <v>2.4500000000000002</v>
      </c>
      <c r="W16">
        <f t="shared" si="3"/>
        <v>10275.82</v>
      </c>
      <c r="X16">
        <f t="shared" si="4"/>
        <v>0.58740000000000003</v>
      </c>
      <c r="Y16">
        <f t="shared" si="5"/>
        <v>2.4500000000000002</v>
      </c>
      <c r="Z16">
        <f t="shared" si="6"/>
        <v>10275.82</v>
      </c>
      <c r="AA16">
        <f t="shared" si="13"/>
        <v>0.58960000000000001</v>
      </c>
      <c r="AB16">
        <f t="shared" si="7"/>
        <v>2.4500000000000002</v>
      </c>
      <c r="AC16">
        <f t="shared" si="8"/>
        <v>10275.82</v>
      </c>
      <c r="AD16">
        <f t="shared" si="14"/>
        <v>0.58520000000000005</v>
      </c>
      <c r="AE16" t="str">
        <f t="shared" si="9"/>
        <v/>
      </c>
      <c r="AF16" t="str">
        <f t="shared" si="10"/>
        <v/>
      </c>
      <c r="AG16" t="str">
        <f t="shared" si="15"/>
        <v/>
      </c>
      <c r="AH16" t="str">
        <f t="shared" si="11"/>
        <v/>
      </c>
      <c r="AI16" t="str">
        <f t="shared" si="12"/>
        <v/>
      </c>
      <c r="AJ16" s="11" t="str">
        <f t="shared" si="16"/>
        <v/>
      </c>
      <c r="AM16" s="2">
        <v>45413</v>
      </c>
      <c r="AN16" t="s">
        <v>53</v>
      </c>
    </row>
    <row r="17" spans="1:40">
      <c r="A17" s="2">
        <v>45780</v>
      </c>
      <c r="B17">
        <v>2.4409999999999998</v>
      </c>
      <c r="C17">
        <v>10275.629999999999</v>
      </c>
      <c r="D17">
        <v>0.58809999999999996</v>
      </c>
      <c r="E17">
        <v>2.4430000000000001</v>
      </c>
      <c r="F17">
        <v>10275.5</v>
      </c>
      <c r="G17">
        <v>0.59030000000000005</v>
      </c>
      <c r="H17">
        <v>2.4500000000000002</v>
      </c>
      <c r="I17">
        <v>10275.129999999999</v>
      </c>
      <c r="J17">
        <v>2.4500000000000002</v>
      </c>
      <c r="K17">
        <v>10275.129999999999</v>
      </c>
      <c r="L17">
        <v>2.4249999999999998</v>
      </c>
      <c r="M17">
        <v>10276.64</v>
      </c>
      <c r="N17">
        <v>2.4500000000000002</v>
      </c>
      <c r="O17">
        <v>10275.129999999999</v>
      </c>
      <c r="P17" s="2">
        <v>45780</v>
      </c>
      <c r="Q17">
        <v>0.58960000000000001</v>
      </c>
      <c r="R17">
        <v>0.58789999999999998</v>
      </c>
      <c r="S17">
        <v>0.58699999999999997</v>
      </c>
      <c r="T17">
        <v>0.5968</v>
      </c>
      <c r="V17" s="10">
        <f t="shared" si="2"/>
        <v>2.4500000000000002</v>
      </c>
      <c r="W17">
        <f t="shared" si="3"/>
        <v>10275.129999999999</v>
      </c>
      <c r="X17">
        <f t="shared" si="4"/>
        <v>0.58875</v>
      </c>
      <c r="Y17">
        <f t="shared" si="5"/>
        <v>2.4500000000000002</v>
      </c>
      <c r="Z17">
        <f t="shared" si="6"/>
        <v>10275.129999999999</v>
      </c>
      <c r="AA17">
        <f t="shared" si="13"/>
        <v>0.58960000000000001</v>
      </c>
      <c r="AB17">
        <f t="shared" si="7"/>
        <v>2.4500000000000002</v>
      </c>
      <c r="AC17">
        <f t="shared" si="8"/>
        <v>10275.129999999999</v>
      </c>
      <c r="AD17">
        <f t="shared" si="14"/>
        <v>0.58789999999999998</v>
      </c>
      <c r="AE17" t="str">
        <f t="shared" si="9"/>
        <v/>
      </c>
      <c r="AF17" t="str">
        <f t="shared" si="10"/>
        <v/>
      </c>
      <c r="AG17" t="str">
        <f t="shared" si="15"/>
        <v/>
      </c>
      <c r="AH17" t="str">
        <f t="shared" si="11"/>
        <v/>
      </c>
      <c r="AI17" t="str">
        <f t="shared" si="12"/>
        <v/>
      </c>
      <c r="AJ17" s="11" t="str">
        <f t="shared" si="16"/>
        <v/>
      </c>
      <c r="AM17" s="2">
        <v>45417</v>
      </c>
      <c r="AN17" t="s">
        <v>54</v>
      </c>
    </row>
    <row r="18" spans="1:40">
      <c r="A18" s="2">
        <v>45779</v>
      </c>
      <c r="B18">
        <v>2.4409999999999998</v>
      </c>
      <c r="C18">
        <v>10274.94</v>
      </c>
      <c r="D18">
        <v>0.5917</v>
      </c>
      <c r="E18">
        <v>2.4430000000000001</v>
      </c>
      <c r="F18">
        <v>10274.81</v>
      </c>
      <c r="G18">
        <v>0.59370000000000001</v>
      </c>
      <c r="H18">
        <v>2.4500000000000002</v>
      </c>
      <c r="I18">
        <v>10274.44</v>
      </c>
      <c r="J18">
        <v>2.4500000000000002</v>
      </c>
      <c r="K18">
        <v>10274.44</v>
      </c>
      <c r="L18">
        <v>2.4249999999999998</v>
      </c>
      <c r="M18">
        <v>10275.950000000001</v>
      </c>
      <c r="N18">
        <v>2.4500000000000002</v>
      </c>
      <c r="O18">
        <v>10274.44</v>
      </c>
      <c r="P18" s="2">
        <v>45779</v>
      </c>
      <c r="Q18">
        <v>0.59499999999999997</v>
      </c>
      <c r="R18">
        <v>0.59060000000000001</v>
      </c>
      <c r="S18">
        <v>0.5897</v>
      </c>
      <c r="T18">
        <v>0.59950000000000003</v>
      </c>
      <c r="V18" s="10">
        <f t="shared" si="2"/>
        <v>2.4500000000000002</v>
      </c>
      <c r="W18">
        <f t="shared" si="3"/>
        <v>10274.44</v>
      </c>
      <c r="X18">
        <f t="shared" si="4"/>
        <v>0.59279999999999999</v>
      </c>
      <c r="Y18">
        <f t="shared" si="5"/>
        <v>2.4500000000000002</v>
      </c>
      <c r="Z18">
        <f t="shared" si="6"/>
        <v>10274.44</v>
      </c>
      <c r="AA18">
        <f t="shared" si="13"/>
        <v>0.59499999999999997</v>
      </c>
      <c r="AB18">
        <f t="shared" si="7"/>
        <v>2.4500000000000002</v>
      </c>
      <c r="AC18">
        <f t="shared" si="8"/>
        <v>10274.44</v>
      </c>
      <c r="AD18">
        <f t="shared" si="14"/>
        <v>0.59060000000000001</v>
      </c>
      <c r="AE18" t="str">
        <f t="shared" si="9"/>
        <v/>
      </c>
      <c r="AF18" t="str">
        <f t="shared" si="10"/>
        <v/>
      </c>
      <c r="AG18" t="str">
        <f t="shared" si="15"/>
        <v/>
      </c>
      <c r="AH18" t="str">
        <f t="shared" si="11"/>
        <v/>
      </c>
      <c r="AI18" t="str">
        <f t="shared" si="12"/>
        <v/>
      </c>
      <c r="AJ18" s="11" t="str">
        <f t="shared" si="16"/>
        <v/>
      </c>
      <c r="AM18" s="2">
        <v>45418</v>
      </c>
      <c r="AN18" t="s">
        <v>55</v>
      </c>
    </row>
    <row r="19" spans="1:40">
      <c r="A19" s="2">
        <v>45778</v>
      </c>
      <c r="B19">
        <v>2.4409999999999998</v>
      </c>
      <c r="C19">
        <v>10274.25</v>
      </c>
      <c r="D19">
        <v>0.59350000000000003</v>
      </c>
      <c r="E19">
        <v>2.4430000000000001</v>
      </c>
      <c r="F19">
        <v>10274.129999999999</v>
      </c>
      <c r="G19">
        <v>0.59570000000000001</v>
      </c>
      <c r="H19">
        <v>2.4500000000000002</v>
      </c>
      <c r="I19">
        <v>10273.75</v>
      </c>
      <c r="J19">
        <v>2.4500000000000002</v>
      </c>
      <c r="K19">
        <v>10273.75</v>
      </c>
      <c r="L19">
        <v>2.4249999999999998</v>
      </c>
      <c r="M19">
        <v>10275.27</v>
      </c>
      <c r="N19">
        <v>2.4500000000000002</v>
      </c>
      <c r="O19">
        <v>10273.75</v>
      </c>
      <c r="P19" s="2">
        <v>45778</v>
      </c>
      <c r="Q19">
        <v>0.59499999999999997</v>
      </c>
      <c r="R19">
        <v>0.59330000000000005</v>
      </c>
      <c r="S19">
        <v>0.59240000000000004</v>
      </c>
      <c r="T19">
        <v>0.60229999999999995</v>
      </c>
      <c r="V19" s="10">
        <f t="shared" si="2"/>
        <v>2.4500000000000002</v>
      </c>
      <c r="W19">
        <f t="shared" si="3"/>
        <v>10273.75</v>
      </c>
      <c r="X19">
        <f t="shared" si="4"/>
        <v>0.59414999999999996</v>
      </c>
      <c r="Y19">
        <f t="shared" si="5"/>
        <v>2.4500000000000002</v>
      </c>
      <c r="Z19">
        <f t="shared" si="6"/>
        <v>10273.75</v>
      </c>
      <c r="AA19">
        <f t="shared" si="13"/>
        <v>0.59499999999999997</v>
      </c>
      <c r="AB19">
        <f t="shared" si="7"/>
        <v>2.4500000000000002</v>
      </c>
      <c r="AC19">
        <f t="shared" si="8"/>
        <v>10273.75</v>
      </c>
      <c r="AD19">
        <f t="shared" si="14"/>
        <v>0.59330000000000005</v>
      </c>
      <c r="AE19" t="str">
        <f t="shared" si="9"/>
        <v/>
      </c>
      <c r="AF19" t="str">
        <f t="shared" si="10"/>
        <v/>
      </c>
      <c r="AG19" t="str">
        <f t="shared" si="15"/>
        <v/>
      </c>
      <c r="AH19" t="str">
        <f t="shared" si="11"/>
        <v/>
      </c>
      <c r="AI19" t="str">
        <f t="shared" si="12"/>
        <v/>
      </c>
      <c r="AJ19" s="11" t="str">
        <f t="shared" si="16"/>
        <v/>
      </c>
      <c r="AM19" s="2">
        <v>45420</v>
      </c>
      <c r="AN19" t="s">
        <v>47</v>
      </c>
    </row>
    <row r="20" spans="1:40">
      <c r="A20" s="2">
        <v>45777</v>
      </c>
      <c r="B20">
        <v>2.476</v>
      </c>
      <c r="C20">
        <v>10271.42</v>
      </c>
      <c r="D20">
        <v>0.59619999999999995</v>
      </c>
      <c r="E20">
        <v>2.476</v>
      </c>
      <c r="F20">
        <v>10271.450000000001</v>
      </c>
      <c r="G20">
        <v>0.59840000000000004</v>
      </c>
      <c r="H20">
        <v>2.4849999999999999</v>
      </c>
      <c r="I20">
        <v>10270.91</v>
      </c>
      <c r="J20">
        <v>2.48</v>
      </c>
      <c r="K20">
        <v>10271.219999999999</v>
      </c>
      <c r="L20">
        <v>2.4649999999999999</v>
      </c>
      <c r="M20">
        <v>10272.14</v>
      </c>
      <c r="N20">
        <v>2.4750000000000001</v>
      </c>
      <c r="O20">
        <v>10271.530000000001</v>
      </c>
      <c r="P20" s="2">
        <v>45777</v>
      </c>
      <c r="Q20">
        <v>0.59760000000000002</v>
      </c>
      <c r="R20">
        <v>0.59599999999999997</v>
      </c>
      <c r="S20">
        <v>0.59499999999999997</v>
      </c>
      <c r="T20">
        <v>0.60499999999999998</v>
      </c>
      <c r="V20" s="10">
        <f t="shared" si="2"/>
        <v>2.4824999999999999</v>
      </c>
      <c r="W20">
        <f t="shared" si="3"/>
        <v>10271.064999999999</v>
      </c>
      <c r="X20">
        <f t="shared" si="4"/>
        <v>0.5968</v>
      </c>
      <c r="Y20">
        <f t="shared" si="5"/>
        <v>2.4849999999999999</v>
      </c>
      <c r="Z20">
        <f t="shared" si="6"/>
        <v>10270.91</v>
      </c>
      <c r="AA20">
        <f t="shared" si="13"/>
        <v>0.59760000000000002</v>
      </c>
      <c r="AB20">
        <f t="shared" si="7"/>
        <v>2.48</v>
      </c>
      <c r="AC20">
        <f t="shared" si="8"/>
        <v>10271.219999999999</v>
      </c>
      <c r="AD20">
        <f t="shared" si="14"/>
        <v>0.59599999999999997</v>
      </c>
      <c r="AE20" t="str">
        <f t="shared" si="9"/>
        <v/>
      </c>
      <c r="AF20" t="str">
        <f t="shared" si="10"/>
        <v/>
      </c>
      <c r="AG20" t="str">
        <f t="shared" si="15"/>
        <v/>
      </c>
      <c r="AH20" t="str">
        <f t="shared" si="11"/>
        <v/>
      </c>
      <c r="AI20" t="str">
        <f t="shared" si="12"/>
        <v/>
      </c>
      <c r="AJ20" s="11" t="str">
        <f t="shared" si="16"/>
        <v/>
      </c>
      <c r="AM20" s="2">
        <v>45427</v>
      </c>
      <c r="AN20" t="s">
        <v>56</v>
      </c>
    </row>
    <row r="21" spans="1:40">
      <c r="A21" s="2">
        <v>45776</v>
      </c>
      <c r="B21">
        <v>2.4830000000000001</v>
      </c>
      <c r="C21">
        <v>10270.31</v>
      </c>
      <c r="D21">
        <v>0.59889999999999999</v>
      </c>
      <c r="E21">
        <v>2.4820000000000002</v>
      </c>
      <c r="F21">
        <v>10270.36</v>
      </c>
      <c r="G21">
        <v>0.60109999999999997</v>
      </c>
      <c r="H21">
        <v>2.4849999999999999</v>
      </c>
      <c r="I21">
        <v>10270.209999999999</v>
      </c>
      <c r="J21">
        <v>2.4900000000000002</v>
      </c>
      <c r="K21">
        <v>10269.91</v>
      </c>
      <c r="L21">
        <v>2.4750000000000001</v>
      </c>
      <c r="M21">
        <v>10270.83</v>
      </c>
      <c r="N21">
        <v>2.48</v>
      </c>
      <c r="O21">
        <v>10270.52</v>
      </c>
      <c r="P21" s="2">
        <v>45776</v>
      </c>
      <c r="Q21">
        <v>0.60040000000000004</v>
      </c>
      <c r="R21">
        <v>0.59860000000000002</v>
      </c>
      <c r="S21">
        <v>0.59770000000000001</v>
      </c>
      <c r="T21">
        <v>0.60780000000000001</v>
      </c>
      <c r="V21" s="10">
        <f t="shared" si="2"/>
        <v>2.4874999999999998</v>
      </c>
      <c r="W21">
        <f t="shared" si="3"/>
        <v>10270.06</v>
      </c>
      <c r="X21">
        <f t="shared" si="4"/>
        <v>0.59950000000000003</v>
      </c>
      <c r="Y21">
        <f t="shared" si="5"/>
        <v>2.4849999999999999</v>
      </c>
      <c r="Z21">
        <f t="shared" si="6"/>
        <v>10270.209999999999</v>
      </c>
      <c r="AA21">
        <f t="shared" si="13"/>
        <v>0.60040000000000004</v>
      </c>
      <c r="AB21">
        <f t="shared" si="7"/>
        <v>2.4900000000000002</v>
      </c>
      <c r="AC21">
        <f t="shared" si="8"/>
        <v>10269.91</v>
      </c>
      <c r="AD21">
        <f t="shared" si="14"/>
        <v>0.59860000000000002</v>
      </c>
      <c r="AE21" t="str">
        <f t="shared" si="9"/>
        <v/>
      </c>
      <c r="AF21" t="str">
        <f t="shared" si="10"/>
        <v/>
      </c>
      <c r="AG21" t="str">
        <f t="shared" si="15"/>
        <v/>
      </c>
      <c r="AH21" t="str">
        <f t="shared" si="11"/>
        <v/>
      </c>
      <c r="AI21" t="str">
        <f t="shared" si="12"/>
        <v/>
      </c>
      <c r="AJ21" s="11" t="str">
        <f t="shared" si="16"/>
        <v/>
      </c>
      <c r="AM21" s="2">
        <v>45448</v>
      </c>
      <c r="AN21" t="s">
        <v>47</v>
      </c>
    </row>
    <row r="22" spans="1:40">
      <c r="A22" s="2">
        <v>45775</v>
      </c>
      <c r="B22">
        <v>2.4860000000000002</v>
      </c>
      <c r="C22">
        <v>10269.41</v>
      </c>
      <c r="D22">
        <v>0.60340000000000005</v>
      </c>
      <c r="E22">
        <v>2.4870000000000001</v>
      </c>
      <c r="F22">
        <v>10269.36</v>
      </c>
      <c r="G22">
        <v>0.60509999999999997</v>
      </c>
      <c r="H22">
        <v>2.4950000000000001</v>
      </c>
      <c r="I22">
        <v>10268.9</v>
      </c>
      <c r="J22">
        <v>2.4900000000000002</v>
      </c>
      <c r="K22">
        <v>10269.209999999999</v>
      </c>
      <c r="L22">
        <v>2.4750000000000001</v>
      </c>
      <c r="M22">
        <v>10270.129999999999</v>
      </c>
      <c r="N22">
        <v>2.4900000000000002</v>
      </c>
      <c r="O22">
        <v>10269.209999999999</v>
      </c>
      <c r="P22" s="2">
        <v>45775</v>
      </c>
      <c r="Q22">
        <v>0.60850000000000004</v>
      </c>
      <c r="R22">
        <v>0.60129999999999995</v>
      </c>
      <c r="S22">
        <v>0.60040000000000004</v>
      </c>
      <c r="T22">
        <v>0.61050000000000004</v>
      </c>
      <c r="V22" s="10">
        <f t="shared" si="2"/>
        <v>2.4925000000000002</v>
      </c>
      <c r="W22">
        <f t="shared" si="3"/>
        <v>10269.055</v>
      </c>
      <c r="X22">
        <f t="shared" si="4"/>
        <v>0.60489999999999999</v>
      </c>
      <c r="Y22">
        <f t="shared" si="5"/>
        <v>2.4950000000000001</v>
      </c>
      <c r="Z22">
        <f t="shared" si="6"/>
        <v>10268.9</v>
      </c>
      <c r="AA22">
        <f t="shared" si="13"/>
        <v>0.60850000000000004</v>
      </c>
      <c r="AB22">
        <f t="shared" si="7"/>
        <v>2.4900000000000002</v>
      </c>
      <c r="AC22">
        <f t="shared" si="8"/>
        <v>10269.209999999999</v>
      </c>
      <c r="AD22">
        <f t="shared" si="14"/>
        <v>0.60129999999999995</v>
      </c>
      <c r="AE22" t="str">
        <f t="shared" si="9"/>
        <v/>
      </c>
      <c r="AF22" t="str">
        <f t="shared" si="10"/>
        <v/>
      </c>
      <c r="AG22" t="str">
        <f t="shared" si="15"/>
        <v/>
      </c>
      <c r="AH22" t="str">
        <f t="shared" si="11"/>
        <v/>
      </c>
      <c r="AI22" t="str">
        <f t="shared" si="12"/>
        <v/>
      </c>
      <c r="AJ22" s="11" t="str">
        <f t="shared" si="16"/>
        <v/>
      </c>
      <c r="AM22" s="2">
        <v>45449</v>
      </c>
      <c r="AN22" t="s">
        <v>57</v>
      </c>
    </row>
    <row r="23" spans="1:40">
      <c r="A23" s="2">
        <v>45774</v>
      </c>
      <c r="B23">
        <v>2.4860000000000002</v>
      </c>
      <c r="C23">
        <v>10268.709999999999</v>
      </c>
      <c r="D23">
        <v>0.60519999999999996</v>
      </c>
      <c r="E23">
        <v>2.4870000000000001</v>
      </c>
      <c r="F23">
        <v>10268.66</v>
      </c>
      <c r="G23">
        <v>0.60719999999999996</v>
      </c>
      <c r="H23">
        <v>2.4950000000000001</v>
      </c>
      <c r="I23">
        <v>10268.200000000001</v>
      </c>
      <c r="J23">
        <v>2.4900000000000002</v>
      </c>
      <c r="K23">
        <v>10268.51</v>
      </c>
      <c r="L23">
        <v>2.4750000000000001</v>
      </c>
      <c r="M23">
        <v>10269.44</v>
      </c>
      <c r="N23">
        <v>2.4900000000000002</v>
      </c>
      <c r="O23">
        <v>10268.51</v>
      </c>
      <c r="P23" s="2">
        <v>45774</v>
      </c>
      <c r="Q23">
        <v>0.60850000000000004</v>
      </c>
      <c r="R23">
        <v>0.60409999999999997</v>
      </c>
      <c r="S23">
        <v>0.60309999999999997</v>
      </c>
      <c r="T23">
        <v>0.61329999999999996</v>
      </c>
      <c r="V23" s="10">
        <f t="shared" si="2"/>
        <v>2.4925000000000002</v>
      </c>
      <c r="W23">
        <f t="shared" si="3"/>
        <v>10268.355</v>
      </c>
      <c r="X23">
        <f t="shared" si="4"/>
        <v>0.60630000000000006</v>
      </c>
      <c r="Y23">
        <f t="shared" si="5"/>
        <v>2.4950000000000001</v>
      </c>
      <c r="Z23">
        <f t="shared" si="6"/>
        <v>10268.200000000001</v>
      </c>
      <c r="AA23">
        <f t="shared" si="13"/>
        <v>0.60850000000000004</v>
      </c>
      <c r="AB23">
        <f t="shared" si="7"/>
        <v>2.4900000000000002</v>
      </c>
      <c r="AC23">
        <f t="shared" si="8"/>
        <v>10268.51</v>
      </c>
      <c r="AD23">
        <f t="shared" si="14"/>
        <v>0.60409999999999997</v>
      </c>
      <c r="AE23" t="str">
        <f t="shared" si="9"/>
        <v/>
      </c>
      <c r="AF23" t="str">
        <f t="shared" si="10"/>
        <v/>
      </c>
      <c r="AG23" t="str">
        <f t="shared" si="15"/>
        <v/>
      </c>
      <c r="AH23" t="str">
        <f t="shared" si="11"/>
        <v/>
      </c>
      <c r="AI23" t="str">
        <f t="shared" si="12"/>
        <v/>
      </c>
      <c r="AJ23" s="11" t="str">
        <f t="shared" si="16"/>
        <v/>
      </c>
      <c r="AM23" s="2">
        <v>45483</v>
      </c>
      <c r="AN23" t="s">
        <v>47</v>
      </c>
    </row>
    <row r="24" spans="1:40">
      <c r="A24" s="2">
        <v>45773</v>
      </c>
      <c r="B24">
        <v>2.4860000000000002</v>
      </c>
      <c r="C24">
        <v>10268.01</v>
      </c>
      <c r="D24">
        <v>0.60699999999999998</v>
      </c>
      <c r="E24">
        <v>2.4870000000000001</v>
      </c>
      <c r="F24">
        <v>10267.959999999999</v>
      </c>
      <c r="G24">
        <v>0.60919999999999996</v>
      </c>
      <c r="H24">
        <v>2.4950000000000001</v>
      </c>
      <c r="I24">
        <v>10267.49</v>
      </c>
      <c r="J24">
        <v>2.4900000000000002</v>
      </c>
      <c r="K24">
        <v>10267.81</v>
      </c>
      <c r="L24">
        <v>2.4750000000000001</v>
      </c>
      <c r="M24">
        <v>10268.74</v>
      </c>
      <c r="N24">
        <v>2.4900000000000002</v>
      </c>
      <c r="O24">
        <v>10267.81</v>
      </c>
      <c r="P24" s="2">
        <v>45773</v>
      </c>
      <c r="Q24">
        <v>0.60850000000000004</v>
      </c>
      <c r="R24">
        <v>0.60680000000000001</v>
      </c>
      <c r="S24">
        <v>0.60580000000000001</v>
      </c>
      <c r="T24">
        <v>0.61599999999999999</v>
      </c>
      <c r="V24" s="10">
        <f t="shared" si="2"/>
        <v>2.4925000000000002</v>
      </c>
      <c r="W24">
        <f t="shared" si="3"/>
        <v>10267.65</v>
      </c>
      <c r="X24">
        <f t="shared" si="4"/>
        <v>0.60765000000000002</v>
      </c>
      <c r="Y24">
        <f t="shared" si="5"/>
        <v>2.4950000000000001</v>
      </c>
      <c r="Z24">
        <f t="shared" si="6"/>
        <v>10267.49</v>
      </c>
      <c r="AA24">
        <f t="shared" si="13"/>
        <v>0.60850000000000004</v>
      </c>
      <c r="AB24">
        <f t="shared" si="7"/>
        <v>2.4900000000000002</v>
      </c>
      <c r="AC24">
        <f t="shared" si="8"/>
        <v>10267.81</v>
      </c>
      <c r="AD24">
        <f t="shared" si="14"/>
        <v>0.60680000000000001</v>
      </c>
      <c r="AE24" t="str">
        <f t="shared" si="9"/>
        <v/>
      </c>
      <c r="AF24" t="str">
        <f t="shared" si="10"/>
        <v/>
      </c>
      <c r="AG24" t="str">
        <f t="shared" si="15"/>
        <v/>
      </c>
      <c r="AH24" t="str">
        <f t="shared" si="11"/>
        <v/>
      </c>
      <c r="AI24" t="str">
        <f t="shared" si="12"/>
        <v/>
      </c>
      <c r="AJ24" s="11" t="str">
        <f t="shared" si="16"/>
        <v/>
      </c>
      <c r="AM24" s="2">
        <v>45511</v>
      </c>
      <c r="AN24" t="s">
        <v>47</v>
      </c>
    </row>
    <row r="25" spans="1:40">
      <c r="A25" s="2">
        <v>45772</v>
      </c>
      <c r="B25">
        <v>2.5</v>
      </c>
      <c r="C25">
        <v>10266.48</v>
      </c>
      <c r="D25">
        <v>0.60960000000000003</v>
      </c>
      <c r="E25">
        <v>2.5</v>
      </c>
      <c r="F25">
        <v>10266.48</v>
      </c>
      <c r="G25">
        <v>0.6119</v>
      </c>
      <c r="H25">
        <v>2.5099999999999998</v>
      </c>
      <c r="I25">
        <v>10265.85</v>
      </c>
      <c r="J25">
        <v>2.5</v>
      </c>
      <c r="K25">
        <v>10266.48</v>
      </c>
      <c r="L25">
        <v>2.4900000000000002</v>
      </c>
      <c r="M25">
        <v>10267.11</v>
      </c>
      <c r="N25">
        <v>2.5</v>
      </c>
      <c r="O25">
        <v>10266.48</v>
      </c>
      <c r="P25" s="2">
        <v>45772</v>
      </c>
      <c r="Q25">
        <v>0.61109999999999998</v>
      </c>
      <c r="R25">
        <v>0.60940000000000005</v>
      </c>
      <c r="S25">
        <v>0.60850000000000004</v>
      </c>
      <c r="T25">
        <v>0.61880000000000002</v>
      </c>
      <c r="V25" s="10">
        <f t="shared" si="2"/>
        <v>2.5049999999999999</v>
      </c>
      <c r="W25">
        <f t="shared" si="3"/>
        <v>10266.165000000001</v>
      </c>
      <c r="X25">
        <f t="shared" si="4"/>
        <v>0.61024999999999996</v>
      </c>
      <c r="Y25">
        <f t="shared" si="5"/>
        <v>2.5099999999999998</v>
      </c>
      <c r="Z25">
        <f t="shared" si="6"/>
        <v>10265.85</v>
      </c>
      <c r="AA25">
        <f t="shared" si="13"/>
        <v>0.61109999999999998</v>
      </c>
      <c r="AB25">
        <f t="shared" si="7"/>
        <v>2.5</v>
      </c>
      <c r="AC25">
        <f t="shared" si="8"/>
        <v>10266.48</v>
      </c>
      <c r="AD25">
        <f t="shared" si="14"/>
        <v>0.60940000000000005</v>
      </c>
      <c r="AE25" t="str">
        <f t="shared" si="9"/>
        <v/>
      </c>
      <c r="AF25" t="str">
        <f t="shared" si="10"/>
        <v/>
      </c>
      <c r="AG25" t="str">
        <f t="shared" si="15"/>
        <v/>
      </c>
      <c r="AH25" t="str">
        <f t="shared" si="11"/>
        <v/>
      </c>
      <c r="AI25" t="str">
        <f t="shared" si="12"/>
        <v/>
      </c>
      <c r="AJ25" s="11" t="str">
        <f t="shared" si="16"/>
        <v/>
      </c>
      <c r="AM25" s="2">
        <v>45519</v>
      </c>
      <c r="AN25" t="s">
        <v>58</v>
      </c>
    </row>
    <row r="26" spans="1:40">
      <c r="A26" s="2">
        <v>45771</v>
      </c>
      <c r="B26">
        <v>2.5059999999999998</v>
      </c>
      <c r="C26">
        <v>10265.36</v>
      </c>
      <c r="D26">
        <v>0.61229999999999996</v>
      </c>
      <c r="E26">
        <v>2.5070000000000001</v>
      </c>
      <c r="F26">
        <v>10265.299999999999</v>
      </c>
      <c r="G26">
        <v>0.61460000000000004</v>
      </c>
      <c r="H26">
        <v>2.5099999999999998</v>
      </c>
      <c r="I26">
        <v>10265.15</v>
      </c>
      <c r="J26">
        <v>2.5099999999999998</v>
      </c>
      <c r="K26">
        <v>10265.15</v>
      </c>
      <c r="L26">
        <v>2.5</v>
      </c>
      <c r="M26">
        <v>10265.780000000001</v>
      </c>
      <c r="N26">
        <v>2.5099999999999998</v>
      </c>
      <c r="O26">
        <v>10265.15</v>
      </c>
      <c r="P26" s="2">
        <v>45771</v>
      </c>
      <c r="Q26">
        <v>0.61380000000000001</v>
      </c>
      <c r="R26">
        <v>0.61209999999999998</v>
      </c>
      <c r="S26">
        <v>0.61119999999999997</v>
      </c>
      <c r="T26">
        <v>0.62150000000000005</v>
      </c>
      <c r="V26" s="10">
        <f t="shared" si="2"/>
        <v>2.5099999999999998</v>
      </c>
      <c r="W26">
        <f t="shared" si="3"/>
        <v>10265.15</v>
      </c>
      <c r="X26">
        <f t="shared" si="4"/>
        <v>0.61294999999999999</v>
      </c>
      <c r="Y26">
        <f t="shared" si="5"/>
        <v>2.5099999999999998</v>
      </c>
      <c r="Z26">
        <f t="shared" si="6"/>
        <v>10265.15</v>
      </c>
      <c r="AA26">
        <f t="shared" si="13"/>
        <v>0.61380000000000001</v>
      </c>
      <c r="AB26">
        <f t="shared" si="7"/>
        <v>2.5099999999999998</v>
      </c>
      <c r="AC26">
        <f t="shared" si="8"/>
        <v>10265.15</v>
      </c>
      <c r="AD26">
        <f t="shared" si="14"/>
        <v>0.61209999999999998</v>
      </c>
      <c r="AE26" t="str">
        <f t="shared" si="9"/>
        <v/>
      </c>
      <c r="AF26" t="str">
        <f t="shared" si="10"/>
        <v/>
      </c>
      <c r="AG26" t="str">
        <f t="shared" si="15"/>
        <v/>
      </c>
      <c r="AH26" t="str">
        <f t="shared" si="11"/>
        <v/>
      </c>
      <c r="AI26" t="str">
        <f t="shared" si="12"/>
        <v/>
      </c>
      <c r="AJ26" s="11" t="str">
        <f t="shared" si="16"/>
        <v/>
      </c>
      <c r="AM26" s="2">
        <v>45546</v>
      </c>
      <c r="AN26" t="s">
        <v>47</v>
      </c>
    </row>
    <row r="27" spans="1:40">
      <c r="A27" s="2">
        <v>45770</v>
      </c>
      <c r="B27">
        <v>2.5059999999999998</v>
      </c>
      <c r="C27">
        <v>10264.65</v>
      </c>
      <c r="D27">
        <v>0.61509999999999998</v>
      </c>
      <c r="E27">
        <v>2.5070000000000001</v>
      </c>
      <c r="F27">
        <v>10264.59</v>
      </c>
      <c r="G27">
        <v>0.61729999999999996</v>
      </c>
      <c r="H27">
        <v>2.5099999999999998</v>
      </c>
      <c r="I27">
        <v>10264.44</v>
      </c>
      <c r="J27">
        <v>2.5099999999999998</v>
      </c>
      <c r="K27">
        <v>10264.44</v>
      </c>
      <c r="L27">
        <v>2.5</v>
      </c>
      <c r="M27">
        <v>10265.07</v>
      </c>
      <c r="N27">
        <v>2.5099999999999998</v>
      </c>
      <c r="O27">
        <v>10264.44</v>
      </c>
      <c r="P27" s="2">
        <v>45770</v>
      </c>
      <c r="Q27">
        <v>0.61660000000000004</v>
      </c>
      <c r="R27">
        <v>0.61480000000000001</v>
      </c>
      <c r="S27">
        <v>0.6139</v>
      </c>
      <c r="T27">
        <v>0.62419999999999998</v>
      </c>
      <c r="V27" s="10">
        <f t="shared" si="2"/>
        <v>2.5099999999999998</v>
      </c>
      <c r="W27">
        <f t="shared" si="3"/>
        <v>10264.44</v>
      </c>
      <c r="X27">
        <f t="shared" si="4"/>
        <v>0.61570000000000003</v>
      </c>
      <c r="Y27">
        <f t="shared" si="5"/>
        <v>2.5099999999999998</v>
      </c>
      <c r="Z27">
        <f t="shared" si="6"/>
        <v>10264.44</v>
      </c>
      <c r="AA27">
        <f t="shared" si="13"/>
        <v>0.61660000000000004</v>
      </c>
      <c r="AB27">
        <f t="shared" si="7"/>
        <v>2.5099999999999998</v>
      </c>
      <c r="AC27">
        <f t="shared" si="8"/>
        <v>10264.44</v>
      </c>
      <c r="AD27">
        <f t="shared" si="14"/>
        <v>0.61480000000000001</v>
      </c>
      <c r="AE27" t="str">
        <f t="shared" si="9"/>
        <v/>
      </c>
      <c r="AF27" t="str">
        <f t="shared" si="10"/>
        <v/>
      </c>
      <c r="AG27" t="str">
        <f t="shared" si="15"/>
        <v/>
      </c>
      <c r="AH27" t="str">
        <f t="shared" si="11"/>
        <v/>
      </c>
      <c r="AI27" t="str">
        <f t="shared" si="12"/>
        <v/>
      </c>
      <c r="AJ27" s="11" t="str">
        <f t="shared" si="16"/>
        <v/>
      </c>
      <c r="AM27" s="2">
        <v>45551</v>
      </c>
      <c r="AN27" t="s">
        <v>59</v>
      </c>
    </row>
    <row r="28" spans="1:40">
      <c r="A28" s="2">
        <v>45769</v>
      </c>
      <c r="B28">
        <v>2.5099999999999998</v>
      </c>
      <c r="C28">
        <v>10263.73</v>
      </c>
      <c r="D28">
        <v>0.61780000000000002</v>
      </c>
      <c r="E28">
        <v>2.5110000000000001</v>
      </c>
      <c r="F28">
        <v>10263.65</v>
      </c>
      <c r="G28">
        <v>0.62009999999999998</v>
      </c>
      <c r="H28">
        <v>2.5150000000000001</v>
      </c>
      <c r="I28">
        <v>10263.42</v>
      </c>
      <c r="J28">
        <v>2.5150000000000001</v>
      </c>
      <c r="K28">
        <v>10263.42</v>
      </c>
      <c r="L28">
        <v>2.5</v>
      </c>
      <c r="M28">
        <v>10264.370000000001</v>
      </c>
      <c r="N28">
        <v>2.5150000000000001</v>
      </c>
      <c r="O28">
        <v>10263.42</v>
      </c>
      <c r="P28" s="2">
        <v>45769</v>
      </c>
      <c r="Q28">
        <v>0.61929999999999996</v>
      </c>
      <c r="R28">
        <v>0.61750000000000005</v>
      </c>
      <c r="S28">
        <v>0.61660000000000004</v>
      </c>
      <c r="T28">
        <v>0.627</v>
      </c>
      <c r="V28" s="10">
        <f t="shared" si="2"/>
        <v>2.5150000000000001</v>
      </c>
      <c r="W28">
        <f t="shared" si="3"/>
        <v>10263.42</v>
      </c>
      <c r="X28">
        <f t="shared" si="4"/>
        <v>0.61840000000000006</v>
      </c>
      <c r="Y28">
        <f t="shared" si="5"/>
        <v>2.5150000000000001</v>
      </c>
      <c r="Z28">
        <f t="shared" si="6"/>
        <v>10263.42</v>
      </c>
      <c r="AA28">
        <f t="shared" si="13"/>
        <v>0.61929999999999996</v>
      </c>
      <c r="AB28">
        <f t="shared" si="7"/>
        <v>2.5150000000000001</v>
      </c>
      <c r="AC28">
        <f t="shared" si="8"/>
        <v>10263.42</v>
      </c>
      <c r="AD28">
        <f t="shared" si="14"/>
        <v>0.61750000000000005</v>
      </c>
      <c r="AE28" t="str">
        <f t="shared" si="9"/>
        <v/>
      </c>
      <c r="AF28" t="str">
        <f t="shared" si="10"/>
        <v/>
      </c>
      <c r="AG28" t="str">
        <f t="shared" si="15"/>
        <v/>
      </c>
      <c r="AH28" t="str">
        <f t="shared" si="11"/>
        <v/>
      </c>
      <c r="AI28" t="str">
        <f t="shared" si="12"/>
        <v/>
      </c>
      <c r="AJ28" s="11" t="str">
        <f t="shared" si="16"/>
        <v/>
      </c>
      <c r="AM28" s="2">
        <v>45552</v>
      </c>
      <c r="AN28" t="s">
        <v>59</v>
      </c>
    </row>
    <row r="29" spans="1:40">
      <c r="A29" s="2">
        <v>45768</v>
      </c>
      <c r="B29">
        <v>2.5209999999999999</v>
      </c>
      <c r="C29">
        <v>10262.290000000001</v>
      </c>
      <c r="D29">
        <v>0.62229999999999996</v>
      </c>
      <c r="E29">
        <v>2.5219999999999998</v>
      </c>
      <c r="F29">
        <v>10262.23</v>
      </c>
      <c r="G29">
        <v>0.62409999999999999</v>
      </c>
      <c r="H29">
        <v>2.5249999999999999</v>
      </c>
      <c r="I29">
        <v>10262.08</v>
      </c>
      <c r="J29">
        <v>2.5249999999999999</v>
      </c>
      <c r="K29">
        <v>10262.08</v>
      </c>
      <c r="L29">
        <v>2.5150000000000001</v>
      </c>
      <c r="M29">
        <v>10262.709999999999</v>
      </c>
      <c r="N29">
        <v>2.5249999999999999</v>
      </c>
      <c r="O29">
        <v>10262.08</v>
      </c>
      <c r="P29" s="2">
        <v>45768</v>
      </c>
      <c r="Q29">
        <v>0.62739999999999996</v>
      </c>
      <c r="R29">
        <v>0.62019999999999997</v>
      </c>
      <c r="S29">
        <v>0.61929999999999996</v>
      </c>
      <c r="T29">
        <v>0.62970000000000004</v>
      </c>
      <c r="V29" s="10">
        <f t="shared" si="2"/>
        <v>2.5249999999999999</v>
      </c>
      <c r="W29">
        <f t="shared" si="3"/>
        <v>10262.08</v>
      </c>
      <c r="X29">
        <f t="shared" si="4"/>
        <v>0.62379999999999991</v>
      </c>
      <c r="Y29">
        <f t="shared" si="5"/>
        <v>2.5249999999999999</v>
      </c>
      <c r="Z29">
        <f t="shared" si="6"/>
        <v>10262.08</v>
      </c>
      <c r="AA29">
        <f t="shared" si="13"/>
        <v>0.62739999999999996</v>
      </c>
      <c r="AB29">
        <f t="shared" si="7"/>
        <v>2.5249999999999999</v>
      </c>
      <c r="AC29">
        <f t="shared" si="8"/>
        <v>10262.08</v>
      </c>
      <c r="AD29">
        <f t="shared" si="14"/>
        <v>0.62019999999999997</v>
      </c>
      <c r="AE29" t="str">
        <f t="shared" si="9"/>
        <v/>
      </c>
      <c r="AF29" t="str">
        <f t="shared" si="10"/>
        <v/>
      </c>
      <c r="AG29" t="str">
        <f t="shared" si="15"/>
        <v/>
      </c>
      <c r="AH29" t="str">
        <f t="shared" si="11"/>
        <v/>
      </c>
      <c r="AI29" t="str">
        <f t="shared" si="12"/>
        <v/>
      </c>
      <c r="AJ29" s="11" t="str">
        <f t="shared" si="16"/>
        <v/>
      </c>
      <c r="AM29" s="2">
        <v>45553</v>
      </c>
      <c r="AN29" t="s">
        <v>59</v>
      </c>
    </row>
    <row r="30" spans="1:40">
      <c r="A30" s="2">
        <v>45767</v>
      </c>
      <c r="B30">
        <v>2.5209999999999999</v>
      </c>
      <c r="C30">
        <v>10261.58</v>
      </c>
      <c r="D30">
        <v>0.62409999999999999</v>
      </c>
      <c r="E30">
        <v>2.5219999999999998</v>
      </c>
      <c r="F30">
        <v>10261.530000000001</v>
      </c>
      <c r="G30">
        <v>0.62619999999999998</v>
      </c>
      <c r="H30">
        <v>2.5249999999999999</v>
      </c>
      <c r="I30">
        <v>10261.370000000001</v>
      </c>
      <c r="J30">
        <v>2.5249999999999999</v>
      </c>
      <c r="K30">
        <v>10261.370000000001</v>
      </c>
      <c r="L30">
        <v>2.5150000000000001</v>
      </c>
      <c r="M30">
        <v>10262.01</v>
      </c>
      <c r="N30">
        <v>2.5249999999999999</v>
      </c>
      <c r="O30">
        <v>10261.370000000001</v>
      </c>
      <c r="P30" s="2">
        <v>45767</v>
      </c>
      <c r="Q30">
        <v>0.62739999999999996</v>
      </c>
      <c r="R30">
        <v>0.62290000000000001</v>
      </c>
      <c r="S30">
        <v>0.622</v>
      </c>
      <c r="T30">
        <v>0.63249999999999995</v>
      </c>
      <c r="V30" s="10">
        <f t="shared" si="2"/>
        <v>2.5249999999999999</v>
      </c>
      <c r="W30">
        <f t="shared" si="3"/>
        <v>10261.370000000001</v>
      </c>
      <c r="X30">
        <f t="shared" si="4"/>
        <v>0.62514999999999998</v>
      </c>
      <c r="Y30">
        <f t="shared" si="5"/>
        <v>2.5249999999999999</v>
      </c>
      <c r="Z30">
        <f t="shared" si="6"/>
        <v>10261.370000000001</v>
      </c>
      <c r="AA30">
        <f t="shared" si="13"/>
        <v>0.62739999999999996</v>
      </c>
      <c r="AB30">
        <f t="shared" si="7"/>
        <v>2.5249999999999999</v>
      </c>
      <c r="AC30">
        <f t="shared" si="8"/>
        <v>10261.370000000001</v>
      </c>
      <c r="AD30">
        <f t="shared" si="14"/>
        <v>0.62290000000000001</v>
      </c>
      <c r="AE30" t="str">
        <f t="shared" si="9"/>
        <v/>
      </c>
      <c r="AF30" t="str">
        <f t="shared" si="10"/>
        <v/>
      </c>
      <c r="AG30" t="str">
        <f t="shared" si="15"/>
        <v/>
      </c>
      <c r="AH30" t="str">
        <f t="shared" si="11"/>
        <v/>
      </c>
      <c r="AI30" t="str">
        <f t="shared" si="12"/>
        <v/>
      </c>
      <c r="AJ30" s="11" t="str">
        <f t="shared" si="16"/>
        <v/>
      </c>
      <c r="AM30" s="2">
        <v>45566</v>
      </c>
      <c r="AN30" t="s">
        <v>78</v>
      </c>
    </row>
    <row r="31" spans="1:40">
      <c r="A31" s="2">
        <v>45766</v>
      </c>
      <c r="B31">
        <v>2.5209999999999999</v>
      </c>
      <c r="C31">
        <v>10260.870000000001</v>
      </c>
      <c r="D31">
        <v>0.62590000000000001</v>
      </c>
      <c r="E31">
        <v>2.5219999999999998</v>
      </c>
      <c r="F31">
        <v>10260.82</v>
      </c>
      <c r="G31">
        <v>0.62819999999999998</v>
      </c>
      <c r="H31">
        <v>2.5249999999999999</v>
      </c>
      <c r="I31">
        <v>10260.66</v>
      </c>
      <c r="J31">
        <v>2.5249999999999999</v>
      </c>
      <c r="K31">
        <v>10260.66</v>
      </c>
      <c r="L31">
        <v>2.5150000000000001</v>
      </c>
      <c r="M31">
        <v>10261.299999999999</v>
      </c>
      <c r="N31">
        <v>2.5249999999999999</v>
      </c>
      <c r="O31">
        <v>10260.66</v>
      </c>
      <c r="P31" s="2">
        <v>45766</v>
      </c>
      <c r="Q31">
        <v>0.62739999999999996</v>
      </c>
      <c r="R31">
        <v>0.62560000000000004</v>
      </c>
      <c r="S31">
        <v>0.62470000000000003</v>
      </c>
      <c r="T31">
        <v>0.63519999999999999</v>
      </c>
      <c r="V31" s="10">
        <f t="shared" si="2"/>
        <v>2.5249999999999999</v>
      </c>
      <c r="W31">
        <f t="shared" si="3"/>
        <v>10260.66</v>
      </c>
      <c r="X31">
        <f t="shared" si="4"/>
        <v>0.62650000000000006</v>
      </c>
      <c r="Y31">
        <f t="shared" si="5"/>
        <v>2.5249999999999999</v>
      </c>
      <c r="Z31">
        <f t="shared" si="6"/>
        <v>10260.66</v>
      </c>
      <c r="AA31">
        <f t="shared" si="13"/>
        <v>0.62739999999999996</v>
      </c>
      <c r="AB31">
        <f t="shared" si="7"/>
        <v>2.5249999999999999</v>
      </c>
      <c r="AC31">
        <f t="shared" si="8"/>
        <v>10260.66</v>
      </c>
      <c r="AD31">
        <f t="shared" si="14"/>
        <v>0.62560000000000004</v>
      </c>
      <c r="AE31" t="str">
        <f t="shared" si="9"/>
        <v/>
      </c>
      <c r="AF31" t="str">
        <f t="shared" si="10"/>
        <v/>
      </c>
      <c r="AG31" t="str">
        <f t="shared" si="15"/>
        <v/>
      </c>
      <c r="AH31" t="str">
        <f t="shared" si="11"/>
        <v/>
      </c>
      <c r="AI31" t="str">
        <f t="shared" si="12"/>
        <v/>
      </c>
      <c r="AJ31" s="11" t="str">
        <f t="shared" si="16"/>
        <v/>
      </c>
      <c r="AM31" s="2">
        <v>45568</v>
      </c>
      <c r="AN31" t="s">
        <v>60</v>
      </c>
    </row>
    <row r="32" spans="1:40">
      <c r="A32" s="2">
        <v>45765</v>
      </c>
      <c r="B32">
        <v>2.5350000000000001</v>
      </c>
      <c r="C32">
        <v>10259.25</v>
      </c>
      <c r="D32">
        <v>0.62849999999999995</v>
      </c>
      <c r="E32">
        <v>2.5350000000000001</v>
      </c>
      <c r="F32">
        <v>10259.26</v>
      </c>
      <c r="G32">
        <v>0.63090000000000002</v>
      </c>
      <c r="H32">
        <v>2.5350000000000001</v>
      </c>
      <c r="I32">
        <v>10259.299999999999</v>
      </c>
      <c r="J32">
        <v>2.5350000000000001</v>
      </c>
      <c r="K32">
        <v>10259.299999999999</v>
      </c>
      <c r="L32">
        <v>2.5369999999999999</v>
      </c>
      <c r="M32">
        <v>10259.17</v>
      </c>
      <c r="N32">
        <v>2.5350000000000001</v>
      </c>
      <c r="O32">
        <v>10259.299999999999</v>
      </c>
      <c r="P32" s="2">
        <v>45765</v>
      </c>
      <c r="Q32">
        <v>0.63</v>
      </c>
      <c r="R32">
        <v>0.62829999999999997</v>
      </c>
      <c r="S32">
        <v>0.62729999999999997</v>
      </c>
      <c r="T32">
        <v>0.63800000000000001</v>
      </c>
      <c r="V32" s="10">
        <f t="shared" si="2"/>
        <v>2.5350000000000001</v>
      </c>
      <c r="W32">
        <f t="shared" si="3"/>
        <v>10259.299999999999</v>
      </c>
      <c r="X32">
        <f t="shared" si="4"/>
        <v>0.62914999999999999</v>
      </c>
      <c r="Y32">
        <f t="shared" si="5"/>
        <v>2.5350000000000001</v>
      </c>
      <c r="Z32">
        <f t="shared" si="6"/>
        <v>10259.299999999999</v>
      </c>
      <c r="AA32">
        <f t="shared" si="13"/>
        <v>0.63</v>
      </c>
      <c r="AB32">
        <f t="shared" si="7"/>
        <v>2.5350000000000001</v>
      </c>
      <c r="AC32">
        <f t="shared" si="8"/>
        <v>10259.299999999999</v>
      </c>
      <c r="AD32">
        <f t="shared" si="14"/>
        <v>0.62829999999999997</v>
      </c>
      <c r="AE32" t="str">
        <f t="shared" si="9"/>
        <v/>
      </c>
      <c r="AF32" t="str">
        <f t="shared" si="10"/>
        <v/>
      </c>
      <c r="AG32" t="str">
        <f t="shared" si="15"/>
        <v/>
      </c>
      <c r="AH32" t="str">
        <f t="shared" si="11"/>
        <v/>
      </c>
      <c r="AI32" t="str">
        <f t="shared" si="12"/>
        <v/>
      </c>
      <c r="AJ32" s="11" t="str">
        <f t="shared" si="16"/>
        <v/>
      </c>
      <c r="AM32" s="2">
        <v>45573</v>
      </c>
      <c r="AN32" t="s">
        <v>51</v>
      </c>
    </row>
    <row r="33" spans="1:40">
      <c r="A33" s="2">
        <v>45764</v>
      </c>
      <c r="B33">
        <v>2.5409999999999999</v>
      </c>
      <c r="C33">
        <v>10258.15</v>
      </c>
      <c r="D33">
        <v>0.63119999999999998</v>
      </c>
      <c r="E33">
        <v>2.5419999999999998</v>
      </c>
      <c r="F33">
        <v>10258.1</v>
      </c>
      <c r="G33">
        <v>0.63349999999999995</v>
      </c>
      <c r="H33">
        <v>2.5449999999999999</v>
      </c>
      <c r="I33">
        <v>10257.94</v>
      </c>
      <c r="J33">
        <v>2.5449999999999999</v>
      </c>
      <c r="K33">
        <v>10257.94</v>
      </c>
      <c r="L33">
        <v>2.5350000000000001</v>
      </c>
      <c r="M33">
        <v>10258.59</v>
      </c>
      <c r="N33">
        <v>2.5449999999999999</v>
      </c>
      <c r="O33">
        <v>10257.94</v>
      </c>
      <c r="P33" s="2">
        <v>45764</v>
      </c>
      <c r="Q33">
        <v>0.63270000000000004</v>
      </c>
      <c r="R33">
        <v>0.63090000000000002</v>
      </c>
      <c r="S33">
        <v>0.63</v>
      </c>
      <c r="T33">
        <v>0.64070000000000005</v>
      </c>
      <c r="V33" s="10">
        <f t="shared" si="2"/>
        <v>2.5449999999999999</v>
      </c>
      <c r="W33">
        <f t="shared" si="3"/>
        <v>10257.94</v>
      </c>
      <c r="X33">
        <f t="shared" si="4"/>
        <v>0.63180000000000003</v>
      </c>
      <c r="Y33">
        <f t="shared" si="5"/>
        <v>2.5449999999999999</v>
      </c>
      <c r="Z33">
        <f t="shared" si="6"/>
        <v>10257.94</v>
      </c>
      <c r="AA33">
        <f t="shared" si="13"/>
        <v>0.63270000000000004</v>
      </c>
      <c r="AB33">
        <f t="shared" si="7"/>
        <v>2.5449999999999999</v>
      </c>
      <c r="AC33">
        <f t="shared" si="8"/>
        <v>10257.94</v>
      </c>
      <c r="AD33">
        <f t="shared" si="14"/>
        <v>0.63090000000000002</v>
      </c>
      <c r="AE33" t="str">
        <f t="shared" si="9"/>
        <v/>
      </c>
      <c r="AF33" t="str">
        <f t="shared" si="10"/>
        <v/>
      </c>
      <c r="AG33" t="str">
        <f t="shared" si="15"/>
        <v/>
      </c>
      <c r="AH33" t="str">
        <f t="shared" si="11"/>
        <v/>
      </c>
      <c r="AI33" t="str">
        <f t="shared" si="12"/>
        <v/>
      </c>
      <c r="AJ33" s="11" t="str">
        <f t="shared" si="16"/>
        <v/>
      </c>
      <c r="AM33" s="2">
        <v>45574</v>
      </c>
      <c r="AN33" t="s">
        <v>61</v>
      </c>
    </row>
    <row r="34" spans="1:40">
      <c r="A34" s="2">
        <v>45763</v>
      </c>
      <c r="B34">
        <v>2.57</v>
      </c>
      <c r="C34">
        <v>10255.6</v>
      </c>
      <c r="D34">
        <v>0.63380000000000003</v>
      </c>
      <c r="E34">
        <v>2.5710000000000002</v>
      </c>
      <c r="F34">
        <v>10255.52</v>
      </c>
      <c r="G34">
        <v>0.63619999999999999</v>
      </c>
      <c r="H34">
        <v>2.5750000000000002</v>
      </c>
      <c r="I34">
        <v>10255.280000000001</v>
      </c>
      <c r="J34">
        <v>2.5750000000000002</v>
      </c>
      <c r="K34">
        <v>10255.280000000001</v>
      </c>
      <c r="L34">
        <v>2.56</v>
      </c>
      <c r="M34">
        <v>10256.25</v>
      </c>
      <c r="N34">
        <v>2.5750000000000002</v>
      </c>
      <c r="O34">
        <v>10255.280000000001</v>
      </c>
      <c r="P34" s="2">
        <v>45763</v>
      </c>
      <c r="Q34">
        <v>0.63529999999999998</v>
      </c>
      <c r="R34">
        <v>0.63349999999999995</v>
      </c>
      <c r="S34">
        <v>0.63270000000000004</v>
      </c>
      <c r="T34">
        <v>0.64349999999999996</v>
      </c>
      <c r="V34" s="10">
        <f t="shared" si="2"/>
        <v>2.5750000000000002</v>
      </c>
      <c r="W34">
        <f t="shared" si="3"/>
        <v>10255.280000000001</v>
      </c>
      <c r="X34">
        <f t="shared" si="4"/>
        <v>0.63439999999999996</v>
      </c>
      <c r="Y34">
        <f t="shared" si="5"/>
        <v>2.5750000000000002</v>
      </c>
      <c r="Z34">
        <f t="shared" si="6"/>
        <v>10255.280000000001</v>
      </c>
      <c r="AA34">
        <f t="shared" si="13"/>
        <v>0.63529999999999998</v>
      </c>
      <c r="AB34">
        <f t="shared" si="7"/>
        <v>2.5750000000000002</v>
      </c>
      <c r="AC34">
        <f t="shared" si="8"/>
        <v>10255.280000000001</v>
      </c>
      <c r="AD34">
        <f t="shared" si="14"/>
        <v>0.63349999999999995</v>
      </c>
      <c r="AE34" t="str">
        <f t="shared" si="9"/>
        <v/>
      </c>
      <c r="AF34" t="str">
        <f t="shared" si="10"/>
        <v/>
      </c>
      <c r="AG34" t="str">
        <f t="shared" si="15"/>
        <v/>
      </c>
      <c r="AH34" t="str">
        <f t="shared" si="11"/>
        <v/>
      </c>
      <c r="AI34" t="str">
        <f t="shared" si="12"/>
        <v/>
      </c>
      <c r="AJ34" s="11" t="str">
        <f t="shared" si="16"/>
        <v/>
      </c>
      <c r="AM34" s="2">
        <v>45602</v>
      </c>
      <c r="AN34" t="s">
        <v>47</v>
      </c>
    </row>
    <row r="35" spans="1:40">
      <c r="A35" s="2">
        <v>45762</v>
      </c>
      <c r="B35">
        <v>2.5750000000000002</v>
      </c>
      <c r="C35">
        <v>10254.549999999999</v>
      </c>
      <c r="D35">
        <v>0.63649999999999995</v>
      </c>
      <c r="E35">
        <v>2.5760000000000001</v>
      </c>
      <c r="F35">
        <v>10254.469999999999</v>
      </c>
      <c r="G35">
        <v>0.63890000000000002</v>
      </c>
      <c r="H35">
        <v>2.585</v>
      </c>
      <c r="I35">
        <v>10253.9</v>
      </c>
      <c r="J35">
        <v>2.58</v>
      </c>
      <c r="K35">
        <v>10254.23</v>
      </c>
      <c r="L35">
        <v>2.56</v>
      </c>
      <c r="M35">
        <v>10255.540000000001</v>
      </c>
      <c r="N35">
        <v>2.58</v>
      </c>
      <c r="O35">
        <v>10254.23</v>
      </c>
      <c r="P35" s="2">
        <v>45762</v>
      </c>
      <c r="Q35">
        <v>0.63800000000000001</v>
      </c>
      <c r="R35">
        <v>0.63619999999999999</v>
      </c>
      <c r="S35">
        <v>0.63539999999999996</v>
      </c>
      <c r="T35">
        <v>0.6462</v>
      </c>
      <c r="V35" s="10">
        <f t="shared" si="2"/>
        <v>2.5825</v>
      </c>
      <c r="W35">
        <f t="shared" si="3"/>
        <v>10254.064999999999</v>
      </c>
      <c r="X35">
        <f t="shared" si="4"/>
        <v>0.6371</v>
      </c>
      <c r="Y35">
        <f t="shared" si="5"/>
        <v>2.585</v>
      </c>
      <c r="Z35">
        <f t="shared" si="6"/>
        <v>10253.9</v>
      </c>
      <c r="AA35">
        <f t="shared" si="13"/>
        <v>0.63800000000000001</v>
      </c>
      <c r="AB35">
        <f t="shared" si="7"/>
        <v>2.58</v>
      </c>
      <c r="AC35">
        <f t="shared" si="8"/>
        <v>10254.23</v>
      </c>
      <c r="AD35">
        <f t="shared" si="14"/>
        <v>0.63619999999999999</v>
      </c>
      <c r="AE35" t="str">
        <f t="shared" si="9"/>
        <v/>
      </c>
      <c r="AF35" t="str">
        <f t="shared" si="10"/>
        <v/>
      </c>
      <c r="AG35" t="str">
        <f t="shared" si="15"/>
        <v/>
      </c>
      <c r="AH35" t="str">
        <f t="shared" si="11"/>
        <v/>
      </c>
      <c r="AI35" t="str">
        <f t="shared" si="12"/>
        <v/>
      </c>
      <c r="AJ35" s="11" t="str">
        <f t="shared" si="16"/>
        <v/>
      </c>
      <c r="AM35" s="2">
        <v>45637</v>
      </c>
      <c r="AN35" t="s">
        <v>47</v>
      </c>
    </row>
    <row r="36" spans="1:40">
      <c r="A36" s="2">
        <v>45761</v>
      </c>
      <c r="B36">
        <v>2.5779999999999998</v>
      </c>
      <c r="C36">
        <v>10253.61</v>
      </c>
      <c r="D36">
        <v>0.64100000000000001</v>
      </c>
      <c r="E36">
        <v>2.5779999999999998</v>
      </c>
      <c r="F36">
        <v>10253.59</v>
      </c>
      <c r="G36">
        <v>0.64300000000000002</v>
      </c>
      <c r="H36">
        <v>2.585</v>
      </c>
      <c r="I36">
        <v>10253.18</v>
      </c>
      <c r="J36">
        <v>2.58</v>
      </c>
      <c r="K36">
        <v>10253.51</v>
      </c>
      <c r="L36">
        <v>2.57</v>
      </c>
      <c r="M36">
        <v>10254.16</v>
      </c>
      <c r="N36">
        <v>2.58</v>
      </c>
      <c r="O36">
        <v>10253.51</v>
      </c>
      <c r="P36" s="2">
        <v>45761</v>
      </c>
      <c r="Q36">
        <v>0.6462</v>
      </c>
      <c r="R36">
        <v>0.63890000000000002</v>
      </c>
      <c r="S36">
        <v>0.6381</v>
      </c>
      <c r="T36">
        <v>0.64900000000000002</v>
      </c>
      <c r="V36" s="10">
        <f t="shared" si="2"/>
        <v>2.5825</v>
      </c>
      <c r="W36">
        <f t="shared" si="3"/>
        <v>10253.345000000001</v>
      </c>
      <c r="X36">
        <f t="shared" si="4"/>
        <v>0.64254999999999995</v>
      </c>
      <c r="Y36">
        <f t="shared" si="5"/>
        <v>2.585</v>
      </c>
      <c r="Z36">
        <f t="shared" si="6"/>
        <v>10253.18</v>
      </c>
      <c r="AA36">
        <f t="shared" si="13"/>
        <v>0.6462</v>
      </c>
      <c r="AB36">
        <f t="shared" si="7"/>
        <v>2.58</v>
      </c>
      <c r="AC36">
        <f t="shared" si="8"/>
        <v>10253.51</v>
      </c>
      <c r="AD36">
        <f t="shared" si="14"/>
        <v>0.63890000000000002</v>
      </c>
      <c r="AE36" t="str">
        <f t="shared" si="9"/>
        <v/>
      </c>
      <c r="AF36" t="str">
        <f t="shared" si="10"/>
        <v/>
      </c>
      <c r="AG36" t="str">
        <f t="shared" si="15"/>
        <v/>
      </c>
      <c r="AH36" t="str">
        <f t="shared" si="11"/>
        <v/>
      </c>
      <c r="AI36" t="str">
        <f t="shared" si="12"/>
        <v/>
      </c>
      <c r="AJ36" s="11" t="str">
        <f t="shared" si="16"/>
        <v/>
      </c>
      <c r="AM36" s="2">
        <v>45651</v>
      </c>
      <c r="AN36" t="s">
        <v>62</v>
      </c>
    </row>
    <row r="37" spans="1:40">
      <c r="A37" s="2">
        <v>45760</v>
      </c>
      <c r="B37">
        <v>2.5779999999999998</v>
      </c>
      <c r="C37">
        <v>10252.89</v>
      </c>
      <c r="D37">
        <v>0.64280000000000004</v>
      </c>
      <c r="E37">
        <v>2.5779999999999998</v>
      </c>
      <c r="F37">
        <v>10252.86</v>
      </c>
      <c r="G37">
        <v>0.64500000000000002</v>
      </c>
      <c r="H37">
        <v>2.585</v>
      </c>
      <c r="I37">
        <v>10252.450000000001</v>
      </c>
      <c r="J37">
        <v>2.58</v>
      </c>
      <c r="K37">
        <v>10252.780000000001</v>
      </c>
      <c r="L37">
        <v>2.57</v>
      </c>
      <c r="M37">
        <v>10253.44</v>
      </c>
      <c r="N37">
        <v>2.58</v>
      </c>
      <c r="O37">
        <v>10252.780000000001</v>
      </c>
      <c r="P37" s="2">
        <v>45760</v>
      </c>
      <c r="Q37">
        <v>0.6462</v>
      </c>
      <c r="R37">
        <v>0.64159999999999995</v>
      </c>
      <c r="S37">
        <v>0.64080000000000004</v>
      </c>
      <c r="T37">
        <v>0.65169999999999995</v>
      </c>
      <c r="V37" s="10">
        <f t="shared" ref="V37:V68" si="17">IF($A37="", "", CHOOSE( $W$1, AVERAGE(Y37,AB37,AE37,AH37), GEOMEAN(Y37,AB37,AE37,AH37) ) )</f>
        <v>2.5825</v>
      </c>
      <c r="W37">
        <f t="shared" ref="W37:W68" si="18">IF($A37="", "", CHOOSE( $W$1, AVERAGE(Z37,AC37,AF37,AI37), GEOMEAN(Z37,AC37,AF37,AI37) ) )</f>
        <v>10252.615000000002</v>
      </c>
      <c r="X37">
        <f t="shared" ref="X37:X68" si="19">IF($A37="", "", CHOOSE( $W$1, AVERAGE(AA37,AD37,AG37,AJ37), GEOMEAN(AA37,AD37,AG37,AJ37) ) )</f>
        <v>0.64389999999999992</v>
      </c>
      <c r="Y37">
        <f t="shared" ref="Y37:Y68" si="20">IF(AND($Y$3,H37&lt;&gt;""), H37, "")</f>
        <v>2.585</v>
      </c>
      <c r="Z37">
        <f t="shared" ref="Z37:Z68" si="21">IF(AND($Y$3,I37&lt;&gt;""), I37, "")</f>
        <v>10252.450000000001</v>
      </c>
      <c r="AA37">
        <f t="shared" si="13"/>
        <v>0.6462</v>
      </c>
      <c r="AB37">
        <f t="shared" ref="AB37:AB68" si="22">IF(AND($AB$3,J37&lt;&gt;""), J37, "")</f>
        <v>2.58</v>
      </c>
      <c r="AC37">
        <f t="shared" ref="AC37:AC68" si="23">IF(AND($AB$3,K37&lt;&gt;""), K37, "")</f>
        <v>10252.780000000001</v>
      </c>
      <c r="AD37">
        <f t="shared" si="14"/>
        <v>0.64159999999999995</v>
      </c>
      <c r="AE37" t="str">
        <f t="shared" ref="AE37:AE68" si="24">IF(AND($AE$3,L37&lt;&gt;""), L37, "")</f>
        <v/>
      </c>
      <c r="AF37" t="str">
        <f t="shared" ref="AF37:AF68" si="25">IF(AND($AE$3,M37&lt;&gt;""), M37, "")</f>
        <v/>
      </c>
      <c r="AG37" t="str">
        <f t="shared" si="15"/>
        <v/>
      </c>
      <c r="AH37" t="str">
        <f t="shared" ref="AH37:AH68" si="26">IF(AND($AH$3,N37&lt;&gt;""), N37, "")</f>
        <v/>
      </c>
      <c r="AI37" t="str">
        <f t="shared" ref="AI37:AI68" si="27">IF(AND($AH$3,O37&lt;&gt;""), O37, "")</f>
        <v/>
      </c>
      <c r="AJ37" s="11" t="str">
        <f t="shared" si="16"/>
        <v/>
      </c>
      <c r="AM37" s="2">
        <v>45657</v>
      </c>
      <c r="AN37" t="s">
        <v>63</v>
      </c>
    </row>
    <row r="38" spans="1:40">
      <c r="A38" s="2">
        <v>45759</v>
      </c>
      <c r="B38">
        <v>2.5779999999999998</v>
      </c>
      <c r="C38">
        <v>10252.17</v>
      </c>
      <c r="D38">
        <v>0.64470000000000005</v>
      </c>
      <c r="E38">
        <v>2.5779999999999998</v>
      </c>
      <c r="F38">
        <v>10252.14</v>
      </c>
      <c r="G38">
        <v>0.64710000000000001</v>
      </c>
      <c r="H38">
        <v>2.585</v>
      </c>
      <c r="I38">
        <v>10251.73</v>
      </c>
      <c r="J38">
        <v>2.58</v>
      </c>
      <c r="K38">
        <v>10252.06</v>
      </c>
      <c r="L38">
        <v>2.57</v>
      </c>
      <c r="M38">
        <v>10252.719999999999</v>
      </c>
      <c r="N38">
        <v>2.58</v>
      </c>
      <c r="O38">
        <v>10252.06</v>
      </c>
      <c r="P38" s="2">
        <v>45759</v>
      </c>
      <c r="Q38">
        <v>0.6462</v>
      </c>
      <c r="R38">
        <v>0.64439999999999997</v>
      </c>
      <c r="S38">
        <v>0.64349999999999996</v>
      </c>
      <c r="T38">
        <v>0.65449999999999997</v>
      </c>
      <c r="V38" s="10">
        <f t="shared" si="17"/>
        <v>2.5825</v>
      </c>
      <c r="W38">
        <f t="shared" si="18"/>
        <v>10251.895</v>
      </c>
      <c r="X38">
        <f t="shared" si="19"/>
        <v>0.64529999999999998</v>
      </c>
      <c r="Y38">
        <f t="shared" si="20"/>
        <v>2.585</v>
      </c>
      <c r="Z38">
        <f t="shared" si="21"/>
        <v>10251.73</v>
      </c>
      <c r="AA38">
        <f t="shared" si="13"/>
        <v>0.6462</v>
      </c>
      <c r="AB38">
        <f t="shared" si="22"/>
        <v>2.58</v>
      </c>
      <c r="AC38">
        <f t="shared" si="23"/>
        <v>10252.06</v>
      </c>
      <c r="AD38">
        <f t="shared" si="14"/>
        <v>0.64439999999999997</v>
      </c>
      <c r="AE38" t="str">
        <f t="shared" si="24"/>
        <v/>
      </c>
      <c r="AF38" t="str">
        <f t="shared" si="25"/>
        <v/>
      </c>
      <c r="AG38" t="str">
        <f t="shared" si="15"/>
        <v/>
      </c>
      <c r="AH38" t="str">
        <f t="shared" si="26"/>
        <v/>
      </c>
      <c r="AI38" t="str">
        <f t="shared" si="27"/>
        <v/>
      </c>
      <c r="AJ38" s="11" t="str">
        <f t="shared" si="16"/>
        <v/>
      </c>
      <c r="AM38" s="2">
        <v>45658</v>
      </c>
      <c r="AN38" t="s">
        <v>64</v>
      </c>
    </row>
    <row r="39" spans="1:40">
      <c r="A39" s="2">
        <v>45758</v>
      </c>
      <c r="B39">
        <v>2.5779999999999998</v>
      </c>
      <c r="C39">
        <v>10251.44</v>
      </c>
      <c r="D39">
        <v>0.64739999999999998</v>
      </c>
      <c r="E39">
        <v>2.5779999999999998</v>
      </c>
      <c r="F39">
        <v>10251.42</v>
      </c>
      <c r="G39">
        <v>0.64980000000000004</v>
      </c>
      <c r="H39">
        <v>2.585</v>
      </c>
      <c r="I39">
        <v>10251</v>
      </c>
      <c r="J39">
        <v>2.58</v>
      </c>
      <c r="K39">
        <v>10251.34</v>
      </c>
      <c r="L39">
        <v>2.57</v>
      </c>
      <c r="M39">
        <v>10252</v>
      </c>
      <c r="N39">
        <v>2.58</v>
      </c>
      <c r="O39">
        <v>10251.34</v>
      </c>
      <c r="P39" s="2">
        <v>45758</v>
      </c>
      <c r="Q39">
        <v>0.64890000000000003</v>
      </c>
      <c r="R39">
        <v>0.64710000000000001</v>
      </c>
      <c r="S39">
        <v>0.6462</v>
      </c>
      <c r="T39">
        <v>0.65720000000000001</v>
      </c>
      <c r="V39" s="10">
        <f t="shared" si="17"/>
        <v>2.5825</v>
      </c>
      <c r="W39">
        <f t="shared" si="18"/>
        <v>10251.17</v>
      </c>
      <c r="X39">
        <f t="shared" si="19"/>
        <v>0.64800000000000002</v>
      </c>
      <c r="Y39">
        <f t="shared" si="20"/>
        <v>2.585</v>
      </c>
      <c r="Z39">
        <f t="shared" si="21"/>
        <v>10251</v>
      </c>
      <c r="AA39">
        <f t="shared" si="13"/>
        <v>0.64890000000000003</v>
      </c>
      <c r="AB39">
        <f t="shared" si="22"/>
        <v>2.58</v>
      </c>
      <c r="AC39">
        <f t="shared" si="23"/>
        <v>10251.34</v>
      </c>
      <c r="AD39">
        <f t="shared" si="14"/>
        <v>0.64710000000000001</v>
      </c>
      <c r="AE39" t="str">
        <f t="shared" si="24"/>
        <v/>
      </c>
      <c r="AF39" t="str">
        <f t="shared" si="25"/>
        <v/>
      </c>
      <c r="AG39" t="str">
        <f t="shared" si="15"/>
        <v/>
      </c>
      <c r="AH39" t="str">
        <f t="shared" si="26"/>
        <v/>
      </c>
      <c r="AI39" t="str">
        <f t="shared" si="27"/>
        <v/>
      </c>
      <c r="AJ39" s="11" t="str">
        <f t="shared" si="16"/>
        <v/>
      </c>
      <c r="AM39" s="2">
        <v>45665</v>
      </c>
      <c r="AN39" t="s">
        <v>47</v>
      </c>
    </row>
    <row r="40" spans="1:40">
      <c r="A40" s="2">
        <v>45757</v>
      </c>
      <c r="B40">
        <v>2.58</v>
      </c>
      <c r="C40">
        <v>10250.61</v>
      </c>
      <c r="D40">
        <v>0.65010000000000001</v>
      </c>
      <c r="E40">
        <v>2.58</v>
      </c>
      <c r="F40">
        <v>10250.61</v>
      </c>
      <c r="G40">
        <v>0.65249999999999997</v>
      </c>
      <c r="H40">
        <v>2.585</v>
      </c>
      <c r="I40">
        <v>10250.280000000001</v>
      </c>
      <c r="J40">
        <v>2.58</v>
      </c>
      <c r="K40">
        <v>10250.61</v>
      </c>
      <c r="L40">
        <v>2.5750000000000002</v>
      </c>
      <c r="M40">
        <v>10250.950000000001</v>
      </c>
      <c r="N40">
        <v>2.58</v>
      </c>
      <c r="O40">
        <v>10250.61</v>
      </c>
      <c r="P40" s="2">
        <v>45757</v>
      </c>
      <c r="Q40">
        <v>0.65159999999999996</v>
      </c>
      <c r="R40">
        <v>0.64980000000000004</v>
      </c>
      <c r="S40">
        <v>0.64890000000000003</v>
      </c>
      <c r="T40">
        <v>0.66</v>
      </c>
      <c r="V40" s="10">
        <f t="shared" si="17"/>
        <v>2.5825</v>
      </c>
      <c r="W40">
        <f t="shared" si="18"/>
        <v>10250.445</v>
      </c>
      <c r="X40">
        <f t="shared" si="19"/>
        <v>0.65070000000000006</v>
      </c>
      <c r="Y40">
        <f t="shared" si="20"/>
        <v>2.585</v>
      </c>
      <c r="Z40">
        <f t="shared" si="21"/>
        <v>10250.280000000001</v>
      </c>
      <c r="AA40">
        <f t="shared" si="13"/>
        <v>0.65159999999999996</v>
      </c>
      <c r="AB40">
        <f t="shared" si="22"/>
        <v>2.58</v>
      </c>
      <c r="AC40">
        <f t="shared" si="23"/>
        <v>10250.61</v>
      </c>
      <c r="AD40">
        <f t="shared" si="14"/>
        <v>0.64980000000000004</v>
      </c>
      <c r="AE40" t="str">
        <f t="shared" si="24"/>
        <v/>
      </c>
      <c r="AF40" t="str">
        <f t="shared" si="25"/>
        <v/>
      </c>
      <c r="AG40" t="str">
        <f t="shared" si="15"/>
        <v/>
      </c>
      <c r="AH40" t="str">
        <f t="shared" si="26"/>
        <v/>
      </c>
      <c r="AI40" t="str">
        <f t="shared" si="27"/>
        <v/>
      </c>
      <c r="AJ40" s="11" t="str">
        <f t="shared" si="16"/>
        <v/>
      </c>
      <c r="AM40" s="2">
        <v>45684</v>
      </c>
      <c r="AN40" t="s">
        <v>69</v>
      </c>
    </row>
    <row r="41" spans="1:40">
      <c r="A41" s="2">
        <v>45756</v>
      </c>
      <c r="B41">
        <v>2.585</v>
      </c>
      <c r="C41">
        <v>10249.549999999999</v>
      </c>
      <c r="D41">
        <v>0.65280000000000005</v>
      </c>
      <c r="E41">
        <v>2.5830000000000002</v>
      </c>
      <c r="F41">
        <v>10249.629999999999</v>
      </c>
      <c r="G41">
        <v>0.6552</v>
      </c>
      <c r="H41">
        <v>2.585</v>
      </c>
      <c r="I41">
        <v>10249.549999999999</v>
      </c>
      <c r="J41">
        <v>2.58</v>
      </c>
      <c r="K41">
        <v>10249.89</v>
      </c>
      <c r="L41">
        <v>2.59</v>
      </c>
      <c r="M41">
        <v>10249.219999999999</v>
      </c>
      <c r="N41">
        <v>2.58</v>
      </c>
      <c r="O41">
        <v>10249.89</v>
      </c>
      <c r="P41" s="2">
        <v>45756</v>
      </c>
      <c r="Q41">
        <v>0.65429999999999999</v>
      </c>
      <c r="R41">
        <v>0.65249999999999997</v>
      </c>
      <c r="S41">
        <v>0.65159999999999996</v>
      </c>
      <c r="T41">
        <v>0.66269999999999996</v>
      </c>
      <c r="V41" s="10">
        <f t="shared" si="17"/>
        <v>2.5825</v>
      </c>
      <c r="W41">
        <f t="shared" si="18"/>
        <v>10249.719999999999</v>
      </c>
      <c r="X41">
        <f t="shared" si="19"/>
        <v>0.65339999999999998</v>
      </c>
      <c r="Y41">
        <f t="shared" si="20"/>
        <v>2.585</v>
      </c>
      <c r="Z41">
        <f t="shared" si="21"/>
        <v>10249.549999999999</v>
      </c>
      <c r="AA41">
        <f t="shared" si="13"/>
        <v>0.65429999999999999</v>
      </c>
      <c r="AB41">
        <f t="shared" si="22"/>
        <v>2.58</v>
      </c>
      <c r="AC41">
        <f t="shared" si="23"/>
        <v>10249.89</v>
      </c>
      <c r="AD41">
        <f t="shared" si="14"/>
        <v>0.65249999999999997</v>
      </c>
      <c r="AE41" t="str">
        <f t="shared" si="24"/>
        <v/>
      </c>
      <c r="AF41" t="str">
        <f t="shared" si="25"/>
        <v/>
      </c>
      <c r="AG41" t="str">
        <f t="shared" si="15"/>
        <v/>
      </c>
      <c r="AH41" t="str">
        <f t="shared" si="26"/>
        <v/>
      </c>
      <c r="AI41" t="str">
        <f t="shared" si="27"/>
        <v/>
      </c>
      <c r="AJ41" s="11" t="str">
        <f t="shared" si="16"/>
        <v/>
      </c>
      <c r="AM41" s="2">
        <v>45685</v>
      </c>
      <c r="AN41" t="s">
        <v>48</v>
      </c>
    </row>
    <row r="42" spans="1:40">
      <c r="A42" s="2">
        <v>45755</v>
      </c>
      <c r="B42">
        <v>2.5779999999999998</v>
      </c>
      <c r="C42">
        <v>10249.280000000001</v>
      </c>
      <c r="D42">
        <v>0.65549999999999997</v>
      </c>
      <c r="E42">
        <v>2.577</v>
      </c>
      <c r="F42">
        <v>10249.33</v>
      </c>
      <c r="G42">
        <v>0.65800000000000003</v>
      </c>
      <c r="H42">
        <v>2.58</v>
      </c>
      <c r="I42">
        <v>10249.17</v>
      </c>
      <c r="J42">
        <v>2.5750000000000002</v>
      </c>
      <c r="K42">
        <v>10249.5</v>
      </c>
      <c r="L42">
        <v>2.58</v>
      </c>
      <c r="M42">
        <v>10249.17</v>
      </c>
      <c r="N42">
        <v>2.5750000000000002</v>
      </c>
      <c r="O42">
        <v>10249.5</v>
      </c>
      <c r="P42" s="2">
        <v>45755</v>
      </c>
      <c r="Q42">
        <v>0.65700000000000003</v>
      </c>
      <c r="R42">
        <v>0.6552</v>
      </c>
      <c r="S42">
        <v>0.65429999999999999</v>
      </c>
      <c r="T42">
        <v>0.66549999999999998</v>
      </c>
      <c r="V42" s="10">
        <f t="shared" si="17"/>
        <v>2.5775000000000001</v>
      </c>
      <c r="W42">
        <f t="shared" si="18"/>
        <v>10249.334999999999</v>
      </c>
      <c r="X42">
        <f t="shared" si="19"/>
        <v>0.65610000000000002</v>
      </c>
      <c r="Y42">
        <f t="shared" si="20"/>
        <v>2.58</v>
      </c>
      <c r="Z42">
        <f t="shared" si="21"/>
        <v>10249.17</v>
      </c>
      <c r="AA42">
        <f t="shared" si="13"/>
        <v>0.65700000000000003</v>
      </c>
      <c r="AB42">
        <f t="shared" si="22"/>
        <v>2.5750000000000002</v>
      </c>
      <c r="AC42">
        <f t="shared" si="23"/>
        <v>10249.5</v>
      </c>
      <c r="AD42">
        <f t="shared" si="14"/>
        <v>0.6552</v>
      </c>
      <c r="AE42" t="str">
        <f t="shared" si="24"/>
        <v/>
      </c>
      <c r="AF42" t="str">
        <f t="shared" si="25"/>
        <v/>
      </c>
      <c r="AG42" t="str">
        <f t="shared" si="15"/>
        <v/>
      </c>
      <c r="AH42" t="str">
        <f t="shared" si="26"/>
        <v/>
      </c>
      <c r="AI42" t="str">
        <f t="shared" si="27"/>
        <v/>
      </c>
      <c r="AJ42" s="11" t="str">
        <f t="shared" si="16"/>
        <v/>
      </c>
      <c r="AM42" s="2">
        <v>45686</v>
      </c>
      <c r="AN42" t="s">
        <v>48</v>
      </c>
    </row>
    <row r="43" spans="1:40">
      <c r="A43" s="2">
        <v>45754</v>
      </c>
      <c r="B43">
        <v>2.59</v>
      </c>
      <c r="C43">
        <v>10247.76</v>
      </c>
      <c r="D43">
        <v>0.66</v>
      </c>
      <c r="E43">
        <v>2.5859999999999999</v>
      </c>
      <c r="F43">
        <v>10248.02</v>
      </c>
      <c r="G43">
        <v>0.66200000000000003</v>
      </c>
      <c r="H43">
        <v>2.59</v>
      </c>
      <c r="I43">
        <v>10247.77</v>
      </c>
      <c r="J43">
        <v>2.58</v>
      </c>
      <c r="K43">
        <v>10248.44</v>
      </c>
      <c r="L43">
        <v>2.6</v>
      </c>
      <c r="M43">
        <v>10247.09</v>
      </c>
      <c r="N43">
        <v>2.5750000000000002</v>
      </c>
      <c r="O43">
        <v>10248.780000000001</v>
      </c>
      <c r="P43" s="2">
        <v>45754</v>
      </c>
      <c r="Q43">
        <v>0.66510000000000002</v>
      </c>
      <c r="R43">
        <v>0.65790000000000004</v>
      </c>
      <c r="S43">
        <v>0.65700000000000003</v>
      </c>
      <c r="T43">
        <v>0.66820000000000002</v>
      </c>
      <c r="V43" s="10">
        <f t="shared" si="17"/>
        <v>2.585</v>
      </c>
      <c r="W43">
        <f t="shared" si="18"/>
        <v>10248.105</v>
      </c>
      <c r="X43">
        <f t="shared" si="19"/>
        <v>0.66149999999999998</v>
      </c>
      <c r="Y43">
        <f t="shared" si="20"/>
        <v>2.59</v>
      </c>
      <c r="Z43">
        <f t="shared" si="21"/>
        <v>10247.77</v>
      </c>
      <c r="AA43">
        <f t="shared" si="13"/>
        <v>0.66510000000000002</v>
      </c>
      <c r="AB43">
        <f t="shared" si="22"/>
        <v>2.58</v>
      </c>
      <c r="AC43">
        <f t="shared" si="23"/>
        <v>10248.44</v>
      </c>
      <c r="AD43">
        <f t="shared" si="14"/>
        <v>0.65790000000000004</v>
      </c>
      <c r="AE43" t="str">
        <f t="shared" si="24"/>
        <v/>
      </c>
      <c r="AF43" t="str">
        <f t="shared" si="25"/>
        <v/>
      </c>
      <c r="AG43" t="str">
        <f t="shared" si="15"/>
        <v/>
      </c>
      <c r="AH43" t="str">
        <f t="shared" si="26"/>
        <v/>
      </c>
      <c r="AI43" t="str">
        <f t="shared" si="27"/>
        <v/>
      </c>
      <c r="AJ43" s="11" t="str">
        <f t="shared" si="16"/>
        <v/>
      </c>
      <c r="AM43" s="2">
        <v>45687</v>
      </c>
      <c r="AN43" t="s">
        <v>48</v>
      </c>
    </row>
    <row r="44" spans="1:40">
      <c r="A44" s="2">
        <v>45753</v>
      </c>
      <c r="B44">
        <v>2.59</v>
      </c>
      <c r="C44">
        <v>10247.040000000001</v>
      </c>
      <c r="D44">
        <v>0.66180000000000005</v>
      </c>
      <c r="E44">
        <v>2.5859999999999999</v>
      </c>
      <c r="F44">
        <v>10247.290000000001</v>
      </c>
      <c r="G44">
        <v>0.66400000000000003</v>
      </c>
      <c r="H44">
        <v>2.59</v>
      </c>
      <c r="I44">
        <v>10247.040000000001</v>
      </c>
      <c r="J44">
        <v>2.58</v>
      </c>
      <c r="K44">
        <v>10247.719999999999</v>
      </c>
      <c r="L44">
        <v>2.6</v>
      </c>
      <c r="M44">
        <v>10246.36</v>
      </c>
      <c r="N44">
        <v>2.5750000000000002</v>
      </c>
      <c r="O44">
        <v>10248.06</v>
      </c>
      <c r="P44" s="2">
        <v>45753</v>
      </c>
      <c r="Q44">
        <v>0.66510000000000002</v>
      </c>
      <c r="R44">
        <v>0.66059999999999997</v>
      </c>
      <c r="S44">
        <v>0.65969999999999995</v>
      </c>
      <c r="T44">
        <v>0.67090000000000005</v>
      </c>
      <c r="V44" s="10">
        <f t="shared" si="17"/>
        <v>2.585</v>
      </c>
      <c r="W44">
        <f t="shared" si="18"/>
        <v>10247.380000000001</v>
      </c>
      <c r="X44">
        <f t="shared" si="19"/>
        <v>0.66284999999999994</v>
      </c>
      <c r="Y44">
        <f t="shared" si="20"/>
        <v>2.59</v>
      </c>
      <c r="Z44">
        <f t="shared" si="21"/>
        <v>10247.040000000001</v>
      </c>
      <c r="AA44">
        <f t="shared" si="13"/>
        <v>0.66510000000000002</v>
      </c>
      <c r="AB44">
        <f t="shared" si="22"/>
        <v>2.58</v>
      </c>
      <c r="AC44">
        <f t="shared" si="23"/>
        <v>10247.719999999999</v>
      </c>
      <c r="AD44">
        <f t="shared" si="14"/>
        <v>0.66059999999999997</v>
      </c>
      <c r="AE44" t="str">
        <f t="shared" si="24"/>
        <v/>
      </c>
      <c r="AF44" t="str">
        <f t="shared" si="25"/>
        <v/>
      </c>
      <c r="AG44" t="str">
        <f t="shared" si="15"/>
        <v/>
      </c>
      <c r="AH44" t="str">
        <f t="shared" si="26"/>
        <v/>
      </c>
      <c r="AI44" t="str">
        <f t="shared" si="27"/>
        <v/>
      </c>
      <c r="AJ44" s="11" t="str">
        <f t="shared" si="16"/>
        <v/>
      </c>
      <c r="AM44" s="2">
        <v>45693</v>
      </c>
      <c r="AN44" t="s">
        <v>47</v>
      </c>
    </row>
    <row r="45" spans="1:40">
      <c r="A45" s="2">
        <v>45752</v>
      </c>
      <c r="B45">
        <v>2.59</v>
      </c>
      <c r="C45">
        <v>10246.32</v>
      </c>
      <c r="D45">
        <v>0.66359999999999997</v>
      </c>
      <c r="E45">
        <v>2.5859999999999999</v>
      </c>
      <c r="F45">
        <v>10246.57</v>
      </c>
      <c r="G45">
        <v>0.66610000000000003</v>
      </c>
      <c r="H45">
        <v>2.59</v>
      </c>
      <c r="I45">
        <v>10246.32</v>
      </c>
      <c r="J45">
        <v>2.58</v>
      </c>
      <c r="K45">
        <v>10247</v>
      </c>
      <c r="L45">
        <v>2.6</v>
      </c>
      <c r="M45">
        <v>10245.64</v>
      </c>
      <c r="N45">
        <v>2.5750000000000002</v>
      </c>
      <c r="O45">
        <v>10247.34</v>
      </c>
      <c r="P45" s="2">
        <v>45752</v>
      </c>
      <c r="Q45">
        <v>0.66510000000000002</v>
      </c>
      <c r="R45">
        <v>0.6633</v>
      </c>
      <c r="S45">
        <v>0.66239999999999999</v>
      </c>
      <c r="T45">
        <v>0.67369999999999997</v>
      </c>
      <c r="V45" s="10">
        <f t="shared" si="17"/>
        <v>2.585</v>
      </c>
      <c r="W45">
        <f t="shared" si="18"/>
        <v>10246.66</v>
      </c>
      <c r="X45">
        <f t="shared" si="19"/>
        <v>0.66420000000000001</v>
      </c>
      <c r="Y45">
        <f t="shared" si="20"/>
        <v>2.59</v>
      </c>
      <c r="Z45">
        <f t="shared" si="21"/>
        <v>10246.32</v>
      </c>
      <c r="AA45">
        <f t="shared" si="13"/>
        <v>0.66510000000000002</v>
      </c>
      <c r="AB45">
        <f t="shared" si="22"/>
        <v>2.58</v>
      </c>
      <c r="AC45">
        <f t="shared" si="23"/>
        <v>10247</v>
      </c>
      <c r="AD45">
        <f t="shared" si="14"/>
        <v>0.6633</v>
      </c>
      <c r="AE45" t="str">
        <f t="shared" si="24"/>
        <v/>
      </c>
      <c r="AF45" t="str">
        <f t="shared" si="25"/>
        <v/>
      </c>
      <c r="AG45" t="str">
        <f t="shared" si="15"/>
        <v/>
      </c>
      <c r="AH45" t="str">
        <f t="shared" si="26"/>
        <v/>
      </c>
      <c r="AI45" t="str">
        <f t="shared" si="27"/>
        <v/>
      </c>
      <c r="AJ45" s="11" t="str">
        <f t="shared" si="16"/>
        <v/>
      </c>
      <c r="AM45" s="2">
        <v>45717</v>
      </c>
      <c r="AN45" t="s">
        <v>50</v>
      </c>
    </row>
    <row r="46" spans="1:40">
      <c r="A46" s="2">
        <v>45751</v>
      </c>
      <c r="B46">
        <v>2.613</v>
      </c>
      <c r="C46">
        <v>10243.99</v>
      </c>
      <c r="D46">
        <v>0.66620000000000001</v>
      </c>
      <c r="E46">
        <v>2.613</v>
      </c>
      <c r="F46">
        <v>10243.959999999999</v>
      </c>
      <c r="G46">
        <v>0.66869999999999996</v>
      </c>
      <c r="H46">
        <v>2.61</v>
      </c>
      <c r="I46">
        <v>10244.219999999999</v>
      </c>
      <c r="J46">
        <v>2.61</v>
      </c>
      <c r="K46">
        <v>10244.219999999999</v>
      </c>
      <c r="L46">
        <v>2.62</v>
      </c>
      <c r="M46">
        <v>10243.540000000001</v>
      </c>
      <c r="N46">
        <v>2.6150000000000002</v>
      </c>
      <c r="O46">
        <v>10243.879999999999</v>
      </c>
      <c r="P46" s="2">
        <v>45751</v>
      </c>
      <c r="Q46">
        <v>0.66779999999999995</v>
      </c>
      <c r="R46">
        <v>0.66590000000000005</v>
      </c>
      <c r="S46">
        <v>0.66500000000000004</v>
      </c>
      <c r="T46">
        <v>0.6764</v>
      </c>
      <c r="V46" s="10">
        <f t="shared" si="17"/>
        <v>2.61</v>
      </c>
      <c r="W46">
        <f t="shared" si="18"/>
        <v>10244.219999999999</v>
      </c>
      <c r="X46">
        <f t="shared" si="19"/>
        <v>0.66684999999999994</v>
      </c>
      <c r="Y46">
        <f t="shared" si="20"/>
        <v>2.61</v>
      </c>
      <c r="Z46">
        <f t="shared" si="21"/>
        <v>10244.219999999999</v>
      </c>
      <c r="AA46">
        <f t="shared" si="13"/>
        <v>0.66779999999999995</v>
      </c>
      <c r="AB46">
        <f t="shared" si="22"/>
        <v>2.61</v>
      </c>
      <c r="AC46">
        <f t="shared" si="23"/>
        <v>10244.219999999999</v>
      </c>
      <c r="AD46">
        <f t="shared" si="14"/>
        <v>0.66590000000000005</v>
      </c>
      <c r="AE46" t="str">
        <f t="shared" si="24"/>
        <v/>
      </c>
      <c r="AF46" t="str">
        <f t="shared" si="25"/>
        <v/>
      </c>
      <c r="AG46" t="str">
        <f t="shared" si="15"/>
        <v/>
      </c>
      <c r="AH46" t="str">
        <f t="shared" si="26"/>
        <v/>
      </c>
      <c r="AI46" t="str">
        <f t="shared" si="27"/>
        <v/>
      </c>
      <c r="AJ46" s="11" t="str">
        <f t="shared" si="16"/>
        <v/>
      </c>
      <c r="AM46" s="2">
        <v>45719</v>
      </c>
      <c r="AN46" t="s">
        <v>65</v>
      </c>
    </row>
    <row r="47" spans="1:40">
      <c r="A47" s="2">
        <v>45750</v>
      </c>
      <c r="B47">
        <v>2.6259999999999999</v>
      </c>
      <c r="C47">
        <v>10242.35</v>
      </c>
      <c r="D47">
        <v>0.66890000000000005</v>
      </c>
      <c r="E47">
        <v>2.6259999999999999</v>
      </c>
      <c r="F47">
        <v>10242.370000000001</v>
      </c>
      <c r="G47">
        <v>0.6714</v>
      </c>
      <c r="H47">
        <v>2.62</v>
      </c>
      <c r="I47">
        <v>10242.81</v>
      </c>
      <c r="J47">
        <v>2.63</v>
      </c>
      <c r="K47">
        <v>10242.120000000001</v>
      </c>
      <c r="L47">
        <v>2.63</v>
      </c>
      <c r="M47">
        <v>10242.120000000001</v>
      </c>
      <c r="N47">
        <v>2.625</v>
      </c>
      <c r="O47">
        <v>10242.459999999999</v>
      </c>
      <c r="P47" s="2">
        <v>45750</v>
      </c>
      <c r="Q47">
        <v>0.67049999999999998</v>
      </c>
      <c r="R47">
        <v>0.66849999999999998</v>
      </c>
      <c r="S47">
        <v>0.66769999999999996</v>
      </c>
      <c r="T47">
        <v>0.67920000000000003</v>
      </c>
      <c r="V47" s="10">
        <f t="shared" si="17"/>
        <v>2.625</v>
      </c>
      <c r="W47">
        <f t="shared" si="18"/>
        <v>10242.465</v>
      </c>
      <c r="X47">
        <f t="shared" si="19"/>
        <v>0.66949999999999998</v>
      </c>
      <c r="Y47">
        <f t="shared" si="20"/>
        <v>2.62</v>
      </c>
      <c r="Z47">
        <f t="shared" si="21"/>
        <v>10242.81</v>
      </c>
      <c r="AA47">
        <f t="shared" si="13"/>
        <v>0.67049999999999998</v>
      </c>
      <c r="AB47">
        <f t="shared" si="22"/>
        <v>2.63</v>
      </c>
      <c r="AC47">
        <f t="shared" si="23"/>
        <v>10242.120000000001</v>
      </c>
      <c r="AD47">
        <f t="shared" si="14"/>
        <v>0.66849999999999998</v>
      </c>
      <c r="AE47" t="str">
        <f t="shared" si="24"/>
        <v/>
      </c>
      <c r="AF47" t="str">
        <f t="shared" si="25"/>
        <v/>
      </c>
      <c r="AG47" t="str">
        <f t="shared" si="15"/>
        <v/>
      </c>
      <c r="AH47" t="str">
        <f t="shared" si="26"/>
        <v/>
      </c>
      <c r="AI47" t="str">
        <f t="shared" si="27"/>
        <v/>
      </c>
      <c r="AJ47" s="11" t="str">
        <f t="shared" si="16"/>
        <v/>
      </c>
      <c r="AM47" s="2">
        <v>45721</v>
      </c>
      <c r="AN47" t="s">
        <v>47</v>
      </c>
    </row>
    <row r="48" spans="1:40">
      <c r="A48" s="2">
        <v>45749</v>
      </c>
      <c r="B48">
        <v>2.625</v>
      </c>
      <c r="C48">
        <v>10241.73</v>
      </c>
      <c r="D48">
        <v>0.67159999999999997</v>
      </c>
      <c r="E48">
        <v>2.625</v>
      </c>
      <c r="F48">
        <v>10241.73</v>
      </c>
      <c r="G48">
        <v>0.67410000000000003</v>
      </c>
      <c r="H48">
        <v>2.62</v>
      </c>
      <c r="I48">
        <v>10242.07</v>
      </c>
      <c r="J48">
        <v>2.625</v>
      </c>
      <c r="K48">
        <v>10241.73</v>
      </c>
      <c r="L48">
        <v>2.63</v>
      </c>
      <c r="M48">
        <v>10241.39</v>
      </c>
      <c r="N48">
        <v>2.625</v>
      </c>
      <c r="O48">
        <v>10241.73</v>
      </c>
      <c r="P48" s="2">
        <v>45749</v>
      </c>
      <c r="Q48">
        <v>0.67320000000000002</v>
      </c>
      <c r="R48">
        <v>0.67120000000000002</v>
      </c>
      <c r="S48">
        <v>0.6704</v>
      </c>
      <c r="T48">
        <v>0.68189999999999995</v>
      </c>
      <c r="V48" s="10">
        <f t="shared" si="17"/>
        <v>2.6225000000000001</v>
      </c>
      <c r="W48">
        <f t="shared" si="18"/>
        <v>10241.9</v>
      </c>
      <c r="X48">
        <f t="shared" si="19"/>
        <v>0.67220000000000002</v>
      </c>
      <c r="Y48">
        <f t="shared" si="20"/>
        <v>2.62</v>
      </c>
      <c r="Z48">
        <f t="shared" si="21"/>
        <v>10242.07</v>
      </c>
      <c r="AA48">
        <f t="shared" si="13"/>
        <v>0.67320000000000002</v>
      </c>
      <c r="AB48">
        <f t="shared" si="22"/>
        <v>2.625</v>
      </c>
      <c r="AC48">
        <f t="shared" si="23"/>
        <v>10241.73</v>
      </c>
      <c r="AD48">
        <f t="shared" si="14"/>
        <v>0.67120000000000002</v>
      </c>
      <c r="AE48" t="str">
        <f t="shared" si="24"/>
        <v/>
      </c>
      <c r="AF48" t="str">
        <f t="shared" si="25"/>
        <v/>
      </c>
      <c r="AG48" t="str">
        <f t="shared" si="15"/>
        <v/>
      </c>
      <c r="AH48" t="str">
        <f t="shared" si="26"/>
        <v/>
      </c>
      <c r="AI48" t="str">
        <f t="shared" si="27"/>
        <v/>
      </c>
      <c r="AJ48" s="11" t="str">
        <f t="shared" si="16"/>
        <v/>
      </c>
      <c r="AM48" s="2">
        <v>45756</v>
      </c>
      <c r="AN48" t="s">
        <v>47</v>
      </c>
    </row>
    <row r="49" spans="1:40">
      <c r="A49" s="2">
        <v>45748</v>
      </c>
      <c r="B49">
        <v>2.6230000000000002</v>
      </c>
      <c r="C49">
        <v>10241.11</v>
      </c>
      <c r="D49">
        <v>0.67430000000000001</v>
      </c>
      <c r="E49">
        <v>2.6230000000000002</v>
      </c>
      <c r="F49">
        <v>10241.08</v>
      </c>
      <c r="G49">
        <v>0.67689999999999995</v>
      </c>
      <c r="H49">
        <v>2.62</v>
      </c>
      <c r="I49">
        <v>10241.34</v>
      </c>
      <c r="J49">
        <v>2.63</v>
      </c>
      <c r="K49">
        <v>10240.65</v>
      </c>
      <c r="L49">
        <v>2.62</v>
      </c>
      <c r="M49">
        <v>10241.34</v>
      </c>
      <c r="N49">
        <v>2.625</v>
      </c>
      <c r="O49">
        <v>10241</v>
      </c>
      <c r="P49" s="2">
        <v>45748</v>
      </c>
      <c r="Q49">
        <v>0.67589999999999995</v>
      </c>
      <c r="R49">
        <v>0.67390000000000005</v>
      </c>
      <c r="S49">
        <v>0.67320000000000002</v>
      </c>
      <c r="T49">
        <v>0.68469999999999998</v>
      </c>
      <c r="V49" s="10">
        <f t="shared" si="17"/>
        <v>2.625</v>
      </c>
      <c r="W49">
        <f t="shared" si="18"/>
        <v>10240.994999999999</v>
      </c>
      <c r="X49">
        <f t="shared" si="19"/>
        <v>0.67490000000000006</v>
      </c>
      <c r="Y49">
        <f t="shared" si="20"/>
        <v>2.62</v>
      </c>
      <c r="Z49">
        <f t="shared" si="21"/>
        <v>10241.34</v>
      </c>
      <c r="AA49">
        <f t="shared" si="13"/>
        <v>0.67589999999999995</v>
      </c>
      <c r="AB49">
        <f t="shared" si="22"/>
        <v>2.63</v>
      </c>
      <c r="AC49">
        <f t="shared" si="23"/>
        <v>10240.65</v>
      </c>
      <c r="AD49">
        <f t="shared" si="14"/>
        <v>0.67390000000000005</v>
      </c>
      <c r="AE49" t="str">
        <f t="shared" si="24"/>
        <v/>
      </c>
      <c r="AF49" t="str">
        <f t="shared" si="25"/>
        <v/>
      </c>
      <c r="AG49" t="str">
        <f t="shared" si="15"/>
        <v/>
      </c>
      <c r="AH49" t="str">
        <f t="shared" si="26"/>
        <v/>
      </c>
      <c r="AI49" t="str">
        <f t="shared" si="27"/>
        <v/>
      </c>
      <c r="AJ49" s="11" t="str">
        <f t="shared" si="16"/>
        <v/>
      </c>
      <c r="AM49" s="2">
        <v>45778</v>
      </c>
      <c r="AN49" t="s">
        <v>53</v>
      </c>
    </row>
    <row r="50" spans="1:40">
      <c r="A50" s="2">
        <v>45747</v>
      </c>
      <c r="B50">
        <v>2.6349999999999998</v>
      </c>
      <c r="C50">
        <v>10239.56</v>
      </c>
      <c r="D50">
        <v>0.67879999999999996</v>
      </c>
      <c r="E50">
        <v>2.6349999999999998</v>
      </c>
      <c r="F50">
        <v>10239.56</v>
      </c>
      <c r="G50">
        <v>0.68089999999999995</v>
      </c>
      <c r="H50">
        <v>2.63</v>
      </c>
      <c r="I50">
        <v>10239.91</v>
      </c>
      <c r="J50">
        <v>2.64</v>
      </c>
      <c r="K50">
        <v>10239.219999999999</v>
      </c>
      <c r="L50">
        <v>2.6349999999999998</v>
      </c>
      <c r="M50">
        <v>10239.57</v>
      </c>
      <c r="N50">
        <v>2.6349999999999998</v>
      </c>
      <c r="O50">
        <v>10239.57</v>
      </c>
      <c r="P50" s="2">
        <v>45747</v>
      </c>
      <c r="Q50">
        <v>0.68400000000000005</v>
      </c>
      <c r="R50">
        <v>0.67659999999999998</v>
      </c>
      <c r="S50">
        <v>0.67579999999999996</v>
      </c>
      <c r="T50">
        <v>0.68740000000000001</v>
      </c>
      <c r="V50" s="10">
        <f t="shared" si="17"/>
        <v>2.6349999999999998</v>
      </c>
      <c r="W50">
        <f t="shared" si="18"/>
        <v>10239.564999999999</v>
      </c>
      <c r="X50">
        <f t="shared" si="19"/>
        <v>0.68030000000000002</v>
      </c>
      <c r="Y50">
        <f t="shared" si="20"/>
        <v>2.63</v>
      </c>
      <c r="Z50">
        <f t="shared" si="21"/>
        <v>10239.91</v>
      </c>
      <c r="AA50">
        <f t="shared" si="13"/>
        <v>0.68400000000000005</v>
      </c>
      <c r="AB50">
        <f t="shared" si="22"/>
        <v>2.64</v>
      </c>
      <c r="AC50">
        <f t="shared" si="23"/>
        <v>10239.219999999999</v>
      </c>
      <c r="AD50">
        <f t="shared" si="14"/>
        <v>0.67659999999999998</v>
      </c>
      <c r="AE50" t="str">
        <f t="shared" si="24"/>
        <v/>
      </c>
      <c r="AF50" t="str">
        <f t="shared" si="25"/>
        <v/>
      </c>
      <c r="AG50" t="str">
        <f t="shared" si="15"/>
        <v/>
      </c>
      <c r="AH50" t="str">
        <f t="shared" si="26"/>
        <v/>
      </c>
      <c r="AI50" t="str">
        <f t="shared" si="27"/>
        <v/>
      </c>
      <c r="AJ50" s="11" t="str">
        <f t="shared" si="16"/>
        <v/>
      </c>
      <c r="AM50" s="2">
        <v>45782</v>
      </c>
      <c r="AN50" t="s">
        <v>66</v>
      </c>
    </row>
    <row r="51" spans="1:40">
      <c r="A51" s="2">
        <v>45746</v>
      </c>
      <c r="B51">
        <v>2.6349999999999998</v>
      </c>
      <c r="C51">
        <v>10238.83</v>
      </c>
      <c r="D51">
        <v>0.68059999999999998</v>
      </c>
      <c r="E51">
        <v>2.6349999999999998</v>
      </c>
      <c r="F51">
        <v>10238.83</v>
      </c>
      <c r="G51">
        <v>0.68300000000000005</v>
      </c>
      <c r="H51">
        <v>2.63</v>
      </c>
      <c r="I51">
        <v>10239.18</v>
      </c>
      <c r="J51">
        <v>2.64</v>
      </c>
      <c r="K51">
        <v>10238.48</v>
      </c>
      <c r="L51">
        <v>2.6349999999999998</v>
      </c>
      <c r="M51">
        <v>10238.83</v>
      </c>
      <c r="N51">
        <v>2.6349999999999998</v>
      </c>
      <c r="O51">
        <v>10238.83</v>
      </c>
      <c r="P51" s="2">
        <v>45746</v>
      </c>
      <c r="Q51">
        <v>0.68400000000000005</v>
      </c>
      <c r="R51">
        <v>0.67930000000000001</v>
      </c>
      <c r="S51">
        <v>0.67849999999999999</v>
      </c>
      <c r="T51">
        <v>0.69020000000000004</v>
      </c>
      <c r="V51" s="10">
        <f t="shared" si="17"/>
        <v>2.6349999999999998</v>
      </c>
      <c r="W51">
        <f t="shared" si="18"/>
        <v>10238.83</v>
      </c>
      <c r="X51">
        <f t="shared" si="19"/>
        <v>0.68165000000000009</v>
      </c>
      <c r="Y51">
        <f t="shared" si="20"/>
        <v>2.63</v>
      </c>
      <c r="Z51">
        <f t="shared" si="21"/>
        <v>10239.18</v>
      </c>
      <c r="AA51">
        <f t="shared" si="13"/>
        <v>0.68400000000000005</v>
      </c>
      <c r="AB51">
        <f t="shared" si="22"/>
        <v>2.64</v>
      </c>
      <c r="AC51">
        <f t="shared" si="23"/>
        <v>10238.48</v>
      </c>
      <c r="AD51">
        <f t="shared" si="14"/>
        <v>0.67930000000000001</v>
      </c>
      <c r="AE51" t="str">
        <f t="shared" si="24"/>
        <v/>
      </c>
      <c r="AF51" t="str">
        <f t="shared" si="25"/>
        <v/>
      </c>
      <c r="AG51" t="str">
        <f t="shared" si="15"/>
        <v/>
      </c>
      <c r="AH51" t="str">
        <f t="shared" si="26"/>
        <v/>
      </c>
      <c r="AI51" t="str">
        <f t="shared" si="27"/>
        <v/>
      </c>
      <c r="AJ51" s="11" t="str">
        <f t="shared" si="16"/>
        <v/>
      </c>
      <c r="AM51" s="2">
        <v>45783</v>
      </c>
      <c r="AN51" t="s">
        <v>55</v>
      </c>
    </row>
    <row r="52" spans="1:40">
      <c r="A52" s="2">
        <v>45745</v>
      </c>
      <c r="B52">
        <v>2.6349999999999998</v>
      </c>
      <c r="C52">
        <v>10238.09</v>
      </c>
      <c r="D52">
        <v>0.68240000000000001</v>
      </c>
      <c r="E52">
        <v>2.6349999999999998</v>
      </c>
      <c r="F52">
        <v>10238.09</v>
      </c>
      <c r="G52">
        <v>0.68500000000000005</v>
      </c>
      <c r="H52">
        <v>2.63</v>
      </c>
      <c r="I52">
        <v>10238.44</v>
      </c>
      <c r="J52">
        <v>2.64</v>
      </c>
      <c r="K52">
        <v>10237.74</v>
      </c>
      <c r="L52">
        <v>2.6349999999999998</v>
      </c>
      <c r="M52">
        <v>10238.09</v>
      </c>
      <c r="N52">
        <v>2.6349999999999998</v>
      </c>
      <c r="O52">
        <v>10238.09</v>
      </c>
      <c r="P52" s="2">
        <v>45745</v>
      </c>
      <c r="Q52">
        <v>0.68400000000000005</v>
      </c>
      <c r="R52">
        <v>0.68200000000000005</v>
      </c>
      <c r="S52">
        <v>0.68130000000000002</v>
      </c>
      <c r="T52">
        <v>0.69289999999999996</v>
      </c>
      <c r="V52" s="10">
        <f t="shared" si="17"/>
        <v>2.6349999999999998</v>
      </c>
      <c r="W52">
        <f t="shared" si="18"/>
        <v>10238.09</v>
      </c>
      <c r="X52">
        <f t="shared" si="19"/>
        <v>0.68300000000000005</v>
      </c>
      <c r="Y52">
        <f t="shared" si="20"/>
        <v>2.63</v>
      </c>
      <c r="Z52">
        <f t="shared" si="21"/>
        <v>10238.44</v>
      </c>
      <c r="AA52">
        <f t="shared" si="13"/>
        <v>0.68400000000000005</v>
      </c>
      <c r="AB52">
        <f t="shared" si="22"/>
        <v>2.64</v>
      </c>
      <c r="AC52">
        <f t="shared" si="23"/>
        <v>10237.74</v>
      </c>
      <c r="AD52">
        <f t="shared" si="14"/>
        <v>0.68200000000000005</v>
      </c>
      <c r="AE52" t="str">
        <f t="shared" si="24"/>
        <v/>
      </c>
      <c r="AF52" t="str">
        <f t="shared" si="25"/>
        <v/>
      </c>
      <c r="AG52" t="str">
        <f t="shared" si="15"/>
        <v/>
      </c>
      <c r="AH52" t="str">
        <f t="shared" si="26"/>
        <v/>
      </c>
      <c r="AI52" t="str">
        <f t="shared" si="27"/>
        <v/>
      </c>
      <c r="AJ52" s="11" t="str">
        <f t="shared" si="16"/>
        <v/>
      </c>
      <c r="AM52" s="2">
        <v>45784</v>
      </c>
      <c r="AN52" t="s">
        <v>47</v>
      </c>
    </row>
    <row r="53" spans="1:40">
      <c r="A53" s="2">
        <v>45744</v>
      </c>
      <c r="B53">
        <v>2.633</v>
      </c>
      <c r="C53">
        <v>10237.469999999999</v>
      </c>
      <c r="D53">
        <v>0.68510000000000004</v>
      </c>
      <c r="E53">
        <v>2.633</v>
      </c>
      <c r="F53">
        <v>10237.44</v>
      </c>
      <c r="G53">
        <v>0.68769999999999998</v>
      </c>
      <c r="H53">
        <v>2.63</v>
      </c>
      <c r="I53">
        <v>10237.709999999999</v>
      </c>
      <c r="J53">
        <v>2.64</v>
      </c>
      <c r="K53">
        <v>10237</v>
      </c>
      <c r="L53">
        <v>2.63</v>
      </c>
      <c r="M53">
        <v>10237.709999999999</v>
      </c>
      <c r="N53">
        <v>2.6349999999999998</v>
      </c>
      <c r="O53">
        <v>10237.35</v>
      </c>
      <c r="P53" s="2">
        <v>45744</v>
      </c>
      <c r="Q53">
        <v>0.68669999999999998</v>
      </c>
      <c r="R53">
        <v>0.68469999999999998</v>
      </c>
      <c r="S53">
        <v>0.68400000000000005</v>
      </c>
      <c r="T53">
        <v>0.69569999999999999</v>
      </c>
      <c r="V53" s="10">
        <f t="shared" si="17"/>
        <v>2.6349999999999998</v>
      </c>
      <c r="W53">
        <f t="shared" si="18"/>
        <v>10237.355</v>
      </c>
      <c r="X53">
        <f t="shared" si="19"/>
        <v>0.68569999999999998</v>
      </c>
      <c r="Y53">
        <f t="shared" si="20"/>
        <v>2.63</v>
      </c>
      <c r="Z53">
        <f t="shared" si="21"/>
        <v>10237.709999999999</v>
      </c>
      <c r="AA53">
        <f t="shared" si="13"/>
        <v>0.68669999999999998</v>
      </c>
      <c r="AB53">
        <f t="shared" si="22"/>
        <v>2.64</v>
      </c>
      <c r="AC53">
        <f t="shared" si="23"/>
        <v>10237</v>
      </c>
      <c r="AD53">
        <f t="shared" si="14"/>
        <v>0.68469999999999998</v>
      </c>
      <c r="AE53" t="str">
        <f t="shared" si="24"/>
        <v/>
      </c>
      <c r="AF53" t="str">
        <f t="shared" si="25"/>
        <v/>
      </c>
      <c r="AG53" t="str">
        <f t="shared" si="15"/>
        <v/>
      </c>
      <c r="AH53" t="str">
        <f t="shared" si="26"/>
        <v/>
      </c>
      <c r="AI53" t="str">
        <f t="shared" si="27"/>
        <v/>
      </c>
      <c r="AJ53" s="11" t="str">
        <f t="shared" si="16"/>
        <v/>
      </c>
      <c r="AM53" s="2">
        <v>45811</v>
      </c>
      <c r="AN53" t="s">
        <v>79</v>
      </c>
    </row>
    <row r="54" spans="1:40">
      <c r="A54" s="2">
        <v>45743</v>
      </c>
      <c r="B54">
        <v>2.6339999999999999</v>
      </c>
      <c r="C54">
        <v>10236.69</v>
      </c>
      <c r="D54">
        <v>0.68779999999999997</v>
      </c>
      <c r="E54">
        <v>2.6339999999999999</v>
      </c>
      <c r="F54">
        <v>10236.67</v>
      </c>
      <c r="G54">
        <v>0.69040000000000001</v>
      </c>
      <c r="H54">
        <v>2.63</v>
      </c>
      <c r="I54">
        <v>10236.969999999999</v>
      </c>
      <c r="J54">
        <v>2.64</v>
      </c>
      <c r="K54">
        <v>10236.27</v>
      </c>
      <c r="L54">
        <v>2.6320000000000001</v>
      </c>
      <c r="M54">
        <v>10236.83</v>
      </c>
      <c r="N54">
        <v>2.6349999999999998</v>
      </c>
      <c r="O54">
        <v>10236.620000000001</v>
      </c>
      <c r="P54" s="2">
        <v>45743</v>
      </c>
      <c r="Q54">
        <v>0.68940000000000001</v>
      </c>
      <c r="R54">
        <v>0.68740000000000001</v>
      </c>
      <c r="S54">
        <v>0.68669999999999998</v>
      </c>
      <c r="T54">
        <v>0.69840000000000002</v>
      </c>
      <c r="V54" s="10">
        <f t="shared" si="17"/>
        <v>2.6349999999999998</v>
      </c>
      <c r="W54">
        <f t="shared" si="18"/>
        <v>10236.619999999999</v>
      </c>
      <c r="X54">
        <f t="shared" si="19"/>
        <v>0.68840000000000001</v>
      </c>
      <c r="Y54">
        <f t="shared" si="20"/>
        <v>2.63</v>
      </c>
      <c r="Z54">
        <f t="shared" si="21"/>
        <v>10236.969999999999</v>
      </c>
      <c r="AA54">
        <f t="shared" si="13"/>
        <v>0.68940000000000001</v>
      </c>
      <c r="AB54">
        <f t="shared" si="22"/>
        <v>2.64</v>
      </c>
      <c r="AC54">
        <f t="shared" si="23"/>
        <v>10236.27</v>
      </c>
      <c r="AD54">
        <f t="shared" si="14"/>
        <v>0.68740000000000001</v>
      </c>
      <c r="AE54" t="str">
        <f t="shared" si="24"/>
        <v/>
      </c>
      <c r="AF54" t="str">
        <f t="shared" si="25"/>
        <v/>
      </c>
      <c r="AG54" t="str">
        <f t="shared" si="15"/>
        <v/>
      </c>
      <c r="AH54" t="str">
        <f t="shared" si="26"/>
        <v/>
      </c>
      <c r="AI54" t="str">
        <f t="shared" si="27"/>
        <v/>
      </c>
      <c r="AJ54" s="11" t="str">
        <f t="shared" si="16"/>
        <v/>
      </c>
      <c r="AM54" s="2">
        <v>45814</v>
      </c>
      <c r="AN54" t="s">
        <v>57</v>
      </c>
    </row>
    <row r="55" spans="1:40">
      <c r="A55" s="2">
        <v>45742</v>
      </c>
      <c r="B55">
        <v>2.6320000000000001</v>
      </c>
      <c r="C55">
        <v>10236.06</v>
      </c>
      <c r="D55">
        <v>0.6905</v>
      </c>
      <c r="E55">
        <v>2.6309999999999998</v>
      </c>
      <c r="F55">
        <v>10236.1</v>
      </c>
      <c r="G55">
        <v>0.69320000000000004</v>
      </c>
      <c r="H55">
        <v>2.63</v>
      </c>
      <c r="I55">
        <v>10236.23</v>
      </c>
      <c r="J55">
        <v>2.63</v>
      </c>
      <c r="K55">
        <v>10236.23</v>
      </c>
      <c r="L55">
        <v>2.637</v>
      </c>
      <c r="M55">
        <v>10235.74</v>
      </c>
      <c r="N55">
        <v>2.63</v>
      </c>
      <c r="O55">
        <v>10236.23</v>
      </c>
      <c r="P55" s="2">
        <v>45742</v>
      </c>
      <c r="Q55">
        <v>0.69210000000000005</v>
      </c>
      <c r="R55">
        <v>0.69020000000000004</v>
      </c>
      <c r="S55">
        <v>0.68940000000000001</v>
      </c>
      <c r="T55">
        <v>0.70120000000000005</v>
      </c>
      <c r="V55" s="10">
        <f t="shared" si="17"/>
        <v>2.63</v>
      </c>
      <c r="W55">
        <f t="shared" si="18"/>
        <v>10236.23</v>
      </c>
      <c r="X55">
        <f t="shared" si="19"/>
        <v>0.69115000000000004</v>
      </c>
      <c r="Y55">
        <f t="shared" si="20"/>
        <v>2.63</v>
      </c>
      <c r="Z55">
        <f t="shared" si="21"/>
        <v>10236.23</v>
      </c>
      <c r="AA55">
        <f t="shared" si="13"/>
        <v>0.69210000000000005</v>
      </c>
      <c r="AB55">
        <f t="shared" si="22"/>
        <v>2.63</v>
      </c>
      <c r="AC55">
        <f t="shared" si="23"/>
        <v>10236.23</v>
      </c>
      <c r="AD55">
        <f t="shared" si="14"/>
        <v>0.69020000000000004</v>
      </c>
      <c r="AE55" t="str">
        <f t="shared" si="24"/>
        <v/>
      </c>
      <c r="AF55" t="str">
        <f t="shared" si="25"/>
        <v/>
      </c>
      <c r="AG55" t="str">
        <f t="shared" si="15"/>
        <v/>
      </c>
      <c r="AH55" t="str">
        <f t="shared" si="26"/>
        <v/>
      </c>
      <c r="AI55" t="str">
        <f t="shared" si="27"/>
        <v/>
      </c>
      <c r="AJ55" s="11" t="str">
        <f t="shared" si="16"/>
        <v/>
      </c>
      <c r="AM55" s="2">
        <v>45819</v>
      </c>
      <c r="AN55" t="s">
        <v>47</v>
      </c>
    </row>
    <row r="56" spans="1:40">
      <c r="A56" s="2">
        <v>45741</v>
      </c>
      <c r="B56">
        <v>2.6269999999999998</v>
      </c>
      <c r="C56">
        <v>10235.68</v>
      </c>
      <c r="D56">
        <v>0.69330000000000003</v>
      </c>
      <c r="E56">
        <v>2.625</v>
      </c>
      <c r="F56">
        <v>10235.81</v>
      </c>
      <c r="G56">
        <v>0.69589999999999996</v>
      </c>
      <c r="H56">
        <v>2.62</v>
      </c>
      <c r="I56">
        <v>10236.209999999999</v>
      </c>
      <c r="J56">
        <v>2.625</v>
      </c>
      <c r="K56">
        <v>10235.85</v>
      </c>
      <c r="L56">
        <v>2.637</v>
      </c>
      <c r="M56">
        <v>10235</v>
      </c>
      <c r="N56">
        <v>2.62</v>
      </c>
      <c r="O56">
        <v>10236.209999999999</v>
      </c>
      <c r="P56" s="2">
        <v>45741</v>
      </c>
      <c r="Q56">
        <v>0.69489999999999996</v>
      </c>
      <c r="R56">
        <v>0.69289999999999996</v>
      </c>
      <c r="S56">
        <v>0.69210000000000005</v>
      </c>
      <c r="T56">
        <v>0.70389999999999997</v>
      </c>
      <c r="V56" s="10">
        <f t="shared" si="17"/>
        <v>2.6225000000000001</v>
      </c>
      <c r="W56">
        <f t="shared" si="18"/>
        <v>10236.029999999999</v>
      </c>
      <c r="X56">
        <f t="shared" si="19"/>
        <v>0.69389999999999996</v>
      </c>
      <c r="Y56">
        <f t="shared" si="20"/>
        <v>2.62</v>
      </c>
      <c r="Z56">
        <f t="shared" si="21"/>
        <v>10236.209999999999</v>
      </c>
      <c r="AA56">
        <f t="shared" si="13"/>
        <v>0.69489999999999996</v>
      </c>
      <c r="AB56">
        <f t="shared" si="22"/>
        <v>2.625</v>
      </c>
      <c r="AC56">
        <f t="shared" si="23"/>
        <v>10235.85</v>
      </c>
      <c r="AD56">
        <f t="shared" si="14"/>
        <v>0.69289999999999996</v>
      </c>
      <c r="AE56" t="str">
        <f t="shared" si="24"/>
        <v/>
      </c>
      <c r="AF56" t="str">
        <f t="shared" si="25"/>
        <v/>
      </c>
      <c r="AG56" t="str">
        <f t="shared" si="15"/>
        <v/>
      </c>
      <c r="AH56" t="str">
        <f t="shared" si="26"/>
        <v/>
      </c>
      <c r="AI56" t="str">
        <f t="shared" si="27"/>
        <v/>
      </c>
      <c r="AJ56" s="11" t="str">
        <f t="shared" si="16"/>
        <v/>
      </c>
      <c r="AM56" s="2">
        <v>45847</v>
      </c>
      <c r="AN56" t="s">
        <v>47</v>
      </c>
    </row>
    <row r="57" spans="1:40">
      <c r="A57" s="2">
        <v>45740</v>
      </c>
      <c r="B57">
        <v>2.6179999999999999</v>
      </c>
      <c r="C57">
        <v>10235.59</v>
      </c>
      <c r="D57">
        <v>0.69779999999999998</v>
      </c>
      <c r="E57">
        <v>2.6160000000000001</v>
      </c>
      <c r="F57">
        <v>10235.74</v>
      </c>
      <c r="G57">
        <v>0.7</v>
      </c>
      <c r="H57">
        <v>2.62</v>
      </c>
      <c r="I57">
        <v>10235.48</v>
      </c>
      <c r="J57">
        <v>2.61</v>
      </c>
      <c r="K57">
        <v>10236.19</v>
      </c>
      <c r="L57">
        <v>2.625</v>
      </c>
      <c r="M57">
        <v>10235.120000000001</v>
      </c>
      <c r="N57">
        <v>2.61</v>
      </c>
      <c r="O57">
        <v>10236.19</v>
      </c>
      <c r="P57" s="2">
        <v>45740</v>
      </c>
      <c r="Q57">
        <v>0.70299999999999996</v>
      </c>
      <c r="R57">
        <v>0.6956</v>
      </c>
      <c r="S57">
        <v>0.69479999999999997</v>
      </c>
      <c r="T57">
        <v>0.70669999999999999</v>
      </c>
      <c r="V57" s="10">
        <f t="shared" si="17"/>
        <v>2.6150000000000002</v>
      </c>
      <c r="W57">
        <f t="shared" si="18"/>
        <v>10235.834999999999</v>
      </c>
      <c r="X57">
        <f t="shared" si="19"/>
        <v>0.69930000000000003</v>
      </c>
      <c r="Y57">
        <f t="shared" si="20"/>
        <v>2.62</v>
      </c>
      <c r="Z57">
        <f t="shared" si="21"/>
        <v>10235.48</v>
      </c>
      <c r="AA57">
        <f t="shared" si="13"/>
        <v>0.70299999999999996</v>
      </c>
      <c r="AB57">
        <f t="shared" si="22"/>
        <v>2.61</v>
      </c>
      <c r="AC57">
        <f t="shared" si="23"/>
        <v>10236.19</v>
      </c>
      <c r="AD57">
        <f t="shared" si="14"/>
        <v>0.6956</v>
      </c>
      <c r="AE57" t="str">
        <f t="shared" si="24"/>
        <v/>
      </c>
      <c r="AF57" t="str">
        <f t="shared" si="25"/>
        <v/>
      </c>
      <c r="AG57" t="str">
        <f t="shared" si="15"/>
        <v/>
      </c>
      <c r="AH57" t="str">
        <f t="shared" si="26"/>
        <v/>
      </c>
      <c r="AI57" t="str">
        <f t="shared" si="27"/>
        <v/>
      </c>
      <c r="AJ57" s="11" t="str">
        <f t="shared" si="16"/>
        <v/>
      </c>
      <c r="AM57" s="2">
        <v>45875</v>
      </c>
      <c r="AN57" t="s">
        <v>47</v>
      </c>
    </row>
    <row r="58" spans="1:40">
      <c r="A58" s="2">
        <v>45739</v>
      </c>
      <c r="B58">
        <v>2.6179999999999999</v>
      </c>
      <c r="C58">
        <v>10234.86</v>
      </c>
      <c r="D58">
        <v>0.6996</v>
      </c>
      <c r="E58">
        <v>2.6160000000000001</v>
      </c>
      <c r="F58">
        <v>10235.01</v>
      </c>
      <c r="G58">
        <v>0.70199999999999996</v>
      </c>
      <c r="H58">
        <v>2.62</v>
      </c>
      <c r="I58">
        <v>10234.74</v>
      </c>
      <c r="J58">
        <v>2.61</v>
      </c>
      <c r="K58">
        <v>10235.459999999999</v>
      </c>
      <c r="L58">
        <v>2.625</v>
      </c>
      <c r="M58">
        <v>10234.39</v>
      </c>
      <c r="N58">
        <v>2.61</v>
      </c>
      <c r="O58">
        <v>10235.459999999999</v>
      </c>
      <c r="P58" s="2">
        <v>45739</v>
      </c>
      <c r="Q58">
        <v>0.70299999999999996</v>
      </c>
      <c r="R58">
        <v>0.69830000000000003</v>
      </c>
      <c r="S58">
        <v>0.6976</v>
      </c>
      <c r="T58">
        <v>0.70940000000000003</v>
      </c>
      <c r="V58" s="10">
        <f t="shared" si="17"/>
        <v>2.6150000000000002</v>
      </c>
      <c r="W58">
        <f t="shared" si="18"/>
        <v>10235.099999999999</v>
      </c>
      <c r="X58">
        <f t="shared" si="19"/>
        <v>0.70065</v>
      </c>
      <c r="Y58">
        <f t="shared" si="20"/>
        <v>2.62</v>
      </c>
      <c r="Z58">
        <f t="shared" si="21"/>
        <v>10234.74</v>
      </c>
      <c r="AA58">
        <f t="shared" si="13"/>
        <v>0.70299999999999996</v>
      </c>
      <c r="AB58">
        <f t="shared" si="22"/>
        <v>2.61</v>
      </c>
      <c r="AC58">
        <f t="shared" si="23"/>
        <v>10235.459999999999</v>
      </c>
      <c r="AD58">
        <f t="shared" si="14"/>
        <v>0.69830000000000003</v>
      </c>
      <c r="AE58" t="str">
        <f t="shared" si="24"/>
        <v/>
      </c>
      <c r="AF58" t="str">
        <f t="shared" si="25"/>
        <v/>
      </c>
      <c r="AG58" t="str">
        <f t="shared" si="15"/>
        <v/>
      </c>
      <c r="AH58" t="str">
        <f t="shared" si="26"/>
        <v/>
      </c>
      <c r="AI58" t="str">
        <f t="shared" si="27"/>
        <v/>
      </c>
      <c r="AJ58" s="11" t="str">
        <f t="shared" si="16"/>
        <v/>
      </c>
      <c r="AM58" s="2">
        <v>45884</v>
      </c>
      <c r="AN58" t="s">
        <v>58</v>
      </c>
    </row>
    <row r="59" spans="1:40">
      <c r="A59" s="2">
        <v>45738</v>
      </c>
      <c r="B59">
        <v>2.6179999999999999</v>
      </c>
      <c r="C59">
        <v>10234.129999999999</v>
      </c>
      <c r="D59">
        <v>0.70140000000000002</v>
      </c>
      <c r="E59">
        <v>2.6160000000000001</v>
      </c>
      <c r="F59">
        <v>10234.280000000001</v>
      </c>
      <c r="G59">
        <v>0.70409999999999995</v>
      </c>
      <c r="H59">
        <v>2.62</v>
      </c>
      <c r="I59">
        <v>10234.01</v>
      </c>
      <c r="J59">
        <v>2.61</v>
      </c>
      <c r="K59">
        <v>10234.73</v>
      </c>
      <c r="L59">
        <v>2.625</v>
      </c>
      <c r="M59">
        <v>10233.65</v>
      </c>
      <c r="N59">
        <v>2.61</v>
      </c>
      <c r="O59">
        <v>10234.73</v>
      </c>
      <c r="P59" s="2">
        <v>45738</v>
      </c>
      <c r="Q59">
        <v>0.70299999999999996</v>
      </c>
      <c r="R59">
        <v>0.70099999999999996</v>
      </c>
      <c r="S59">
        <v>0.70030000000000003</v>
      </c>
      <c r="T59">
        <v>0.71220000000000006</v>
      </c>
      <c r="V59" s="10">
        <f t="shared" si="17"/>
        <v>2.6150000000000002</v>
      </c>
      <c r="W59">
        <f t="shared" si="18"/>
        <v>10234.369999999999</v>
      </c>
      <c r="X59">
        <f t="shared" si="19"/>
        <v>0.70199999999999996</v>
      </c>
      <c r="Y59">
        <f t="shared" si="20"/>
        <v>2.62</v>
      </c>
      <c r="Z59">
        <f t="shared" si="21"/>
        <v>10234.01</v>
      </c>
      <c r="AA59">
        <f t="shared" si="13"/>
        <v>0.70299999999999996</v>
      </c>
      <c r="AB59">
        <f t="shared" si="22"/>
        <v>2.61</v>
      </c>
      <c r="AC59">
        <f t="shared" si="23"/>
        <v>10234.73</v>
      </c>
      <c r="AD59">
        <f t="shared" si="14"/>
        <v>0.70099999999999996</v>
      </c>
      <c r="AE59" t="str">
        <f t="shared" si="24"/>
        <v/>
      </c>
      <c r="AF59" t="str">
        <f t="shared" si="25"/>
        <v/>
      </c>
      <c r="AG59" t="str">
        <f t="shared" si="15"/>
        <v/>
      </c>
      <c r="AH59" t="str">
        <f t="shared" si="26"/>
        <v/>
      </c>
      <c r="AI59" t="str">
        <f t="shared" si="27"/>
        <v/>
      </c>
      <c r="AJ59" s="11" t="str">
        <f t="shared" si="16"/>
        <v/>
      </c>
      <c r="AM59" s="2">
        <v>45910</v>
      </c>
      <c r="AN59" t="s">
        <v>47</v>
      </c>
    </row>
    <row r="60" spans="1:40">
      <c r="A60" s="2">
        <v>45737</v>
      </c>
      <c r="B60">
        <v>2.61</v>
      </c>
      <c r="C60">
        <v>10234</v>
      </c>
      <c r="D60">
        <v>0.70409999999999995</v>
      </c>
      <c r="E60">
        <v>2.61</v>
      </c>
      <c r="F60">
        <v>10234</v>
      </c>
      <c r="G60">
        <v>0.70679999999999998</v>
      </c>
      <c r="H60">
        <v>2.61</v>
      </c>
      <c r="I60">
        <v>10234</v>
      </c>
      <c r="J60">
        <v>2.61</v>
      </c>
      <c r="K60">
        <v>10234</v>
      </c>
      <c r="L60">
        <v>2.61</v>
      </c>
      <c r="M60">
        <v>10234</v>
      </c>
      <c r="N60">
        <v>2.61</v>
      </c>
      <c r="O60">
        <v>10234</v>
      </c>
      <c r="P60" s="2">
        <v>45737</v>
      </c>
      <c r="Q60">
        <v>0.70569999999999999</v>
      </c>
      <c r="R60">
        <v>0.70379999999999998</v>
      </c>
      <c r="S60">
        <v>0.70299999999999996</v>
      </c>
      <c r="T60">
        <v>0.71489999999999998</v>
      </c>
      <c r="V60" s="10">
        <f t="shared" si="17"/>
        <v>2.61</v>
      </c>
      <c r="W60">
        <f t="shared" si="18"/>
        <v>10234</v>
      </c>
      <c r="X60">
        <f t="shared" si="19"/>
        <v>0.70474999999999999</v>
      </c>
      <c r="Y60">
        <f t="shared" si="20"/>
        <v>2.61</v>
      </c>
      <c r="Z60">
        <f t="shared" si="21"/>
        <v>10234</v>
      </c>
      <c r="AA60">
        <f t="shared" si="13"/>
        <v>0.70569999999999999</v>
      </c>
      <c r="AB60">
        <f t="shared" si="22"/>
        <v>2.61</v>
      </c>
      <c r="AC60">
        <f t="shared" si="23"/>
        <v>10234</v>
      </c>
      <c r="AD60">
        <f t="shared" si="14"/>
        <v>0.70379999999999998</v>
      </c>
      <c r="AE60" t="str">
        <f t="shared" si="24"/>
        <v/>
      </c>
      <c r="AF60" t="str">
        <f t="shared" si="25"/>
        <v/>
      </c>
      <c r="AG60" t="str">
        <f t="shared" si="15"/>
        <v/>
      </c>
      <c r="AH60" t="str">
        <f t="shared" si="26"/>
        <v/>
      </c>
      <c r="AI60" t="str">
        <f t="shared" si="27"/>
        <v/>
      </c>
      <c r="AJ60" s="11" t="str">
        <f t="shared" si="16"/>
        <v/>
      </c>
      <c r="AM60" s="2">
        <v>45932</v>
      </c>
      <c r="AN60" t="s">
        <v>51</v>
      </c>
    </row>
    <row r="61" spans="1:40">
      <c r="A61" s="2">
        <v>45736</v>
      </c>
      <c r="B61">
        <v>2.6110000000000002</v>
      </c>
      <c r="C61">
        <v>10233.15</v>
      </c>
      <c r="D61">
        <v>0.70689999999999997</v>
      </c>
      <c r="E61">
        <v>2.613</v>
      </c>
      <c r="F61">
        <v>10233</v>
      </c>
      <c r="G61">
        <v>0.70950000000000002</v>
      </c>
      <c r="H61">
        <v>2.61</v>
      </c>
      <c r="I61">
        <v>10233.27</v>
      </c>
      <c r="J61">
        <v>2.61</v>
      </c>
      <c r="K61">
        <v>10233.27</v>
      </c>
      <c r="L61">
        <v>2.6150000000000002</v>
      </c>
      <c r="M61">
        <v>10232.91</v>
      </c>
      <c r="N61">
        <v>2.62</v>
      </c>
      <c r="O61">
        <v>10232.549999999999</v>
      </c>
      <c r="P61" s="2">
        <v>45736</v>
      </c>
      <c r="Q61">
        <v>0.70850000000000002</v>
      </c>
      <c r="R61">
        <v>0.70650000000000002</v>
      </c>
      <c r="S61">
        <v>0.70569999999999999</v>
      </c>
      <c r="T61">
        <v>0.71760000000000002</v>
      </c>
      <c r="V61" s="10">
        <f t="shared" si="17"/>
        <v>2.61</v>
      </c>
      <c r="W61">
        <f t="shared" si="18"/>
        <v>10233.27</v>
      </c>
      <c r="X61">
        <f t="shared" si="19"/>
        <v>0.70750000000000002</v>
      </c>
      <c r="Y61">
        <f t="shared" si="20"/>
        <v>2.61</v>
      </c>
      <c r="Z61">
        <f t="shared" si="21"/>
        <v>10233.27</v>
      </c>
      <c r="AA61">
        <f t="shared" si="13"/>
        <v>0.70850000000000002</v>
      </c>
      <c r="AB61">
        <f t="shared" si="22"/>
        <v>2.61</v>
      </c>
      <c r="AC61">
        <f t="shared" si="23"/>
        <v>10233.27</v>
      </c>
      <c r="AD61">
        <f t="shared" si="14"/>
        <v>0.70650000000000002</v>
      </c>
      <c r="AE61" t="str">
        <f t="shared" si="24"/>
        <v/>
      </c>
      <c r="AF61" t="str">
        <f t="shared" si="25"/>
        <v/>
      </c>
      <c r="AG61" t="str">
        <f t="shared" si="15"/>
        <v/>
      </c>
      <c r="AH61" t="str">
        <f t="shared" si="26"/>
        <v/>
      </c>
      <c r="AI61" t="str">
        <f t="shared" si="27"/>
        <v/>
      </c>
      <c r="AJ61" s="11" t="str">
        <f t="shared" si="16"/>
        <v/>
      </c>
      <c r="AM61" s="2">
        <v>45933</v>
      </c>
      <c r="AN61" t="s">
        <v>60</v>
      </c>
    </row>
    <row r="62" spans="1:40">
      <c r="A62" s="2">
        <v>45735</v>
      </c>
      <c r="B62">
        <v>2.6059999999999999</v>
      </c>
      <c r="C62">
        <v>10232.780000000001</v>
      </c>
      <c r="D62">
        <v>0.70960000000000001</v>
      </c>
      <c r="E62">
        <v>2.6070000000000002</v>
      </c>
      <c r="F62">
        <v>10232.719999999999</v>
      </c>
      <c r="G62">
        <v>0.71230000000000004</v>
      </c>
      <c r="H62">
        <v>2.61</v>
      </c>
      <c r="I62">
        <v>10232.540000000001</v>
      </c>
      <c r="J62">
        <v>2.6</v>
      </c>
      <c r="K62">
        <v>10233.27</v>
      </c>
      <c r="L62">
        <v>2.61</v>
      </c>
      <c r="M62">
        <v>10232.540000000001</v>
      </c>
      <c r="N62">
        <v>2.61</v>
      </c>
      <c r="O62">
        <v>10232.540000000001</v>
      </c>
      <c r="P62" s="2">
        <v>45735</v>
      </c>
      <c r="Q62">
        <v>0.71120000000000005</v>
      </c>
      <c r="R62">
        <v>0.70920000000000005</v>
      </c>
      <c r="S62">
        <v>0.70850000000000002</v>
      </c>
      <c r="T62">
        <v>0.72040000000000004</v>
      </c>
      <c r="V62" s="10">
        <f t="shared" si="17"/>
        <v>2.605</v>
      </c>
      <c r="W62">
        <f t="shared" si="18"/>
        <v>10232.905000000001</v>
      </c>
      <c r="X62">
        <f t="shared" si="19"/>
        <v>0.71020000000000005</v>
      </c>
      <c r="Y62">
        <f t="shared" si="20"/>
        <v>2.61</v>
      </c>
      <c r="Z62">
        <f t="shared" si="21"/>
        <v>10232.540000000001</v>
      </c>
      <c r="AA62">
        <f t="shared" si="13"/>
        <v>0.71120000000000005</v>
      </c>
      <c r="AB62">
        <f t="shared" si="22"/>
        <v>2.6</v>
      </c>
      <c r="AC62">
        <f t="shared" si="23"/>
        <v>10233.27</v>
      </c>
      <c r="AD62">
        <f t="shared" si="14"/>
        <v>0.70920000000000005</v>
      </c>
      <c r="AE62" t="str">
        <f t="shared" si="24"/>
        <v/>
      </c>
      <c r="AF62" t="str">
        <f t="shared" si="25"/>
        <v/>
      </c>
      <c r="AG62" t="str">
        <f t="shared" si="15"/>
        <v/>
      </c>
      <c r="AH62" t="str">
        <f t="shared" si="26"/>
        <v/>
      </c>
      <c r="AI62" t="str">
        <f t="shared" si="27"/>
        <v/>
      </c>
      <c r="AJ62" s="11" t="str">
        <f t="shared" si="16"/>
        <v/>
      </c>
      <c r="AM62" s="2">
        <v>45935</v>
      </c>
      <c r="AN62" t="s">
        <v>59</v>
      </c>
    </row>
    <row r="63" spans="1:40">
      <c r="A63" s="2">
        <v>45734</v>
      </c>
      <c r="B63">
        <v>2.6080000000000001</v>
      </c>
      <c r="C63">
        <v>10231.93</v>
      </c>
      <c r="D63">
        <v>0.71230000000000004</v>
      </c>
      <c r="E63">
        <v>2.6080000000000001</v>
      </c>
      <c r="F63">
        <v>10231.9</v>
      </c>
      <c r="G63">
        <v>0.71499999999999997</v>
      </c>
      <c r="H63">
        <v>2.61</v>
      </c>
      <c r="I63">
        <v>10231.81</v>
      </c>
      <c r="J63">
        <v>2.605</v>
      </c>
      <c r="K63">
        <v>10232.18</v>
      </c>
      <c r="L63">
        <v>2.61</v>
      </c>
      <c r="M63">
        <v>10231.81</v>
      </c>
      <c r="N63">
        <v>2.61</v>
      </c>
      <c r="O63">
        <v>10231.81</v>
      </c>
      <c r="P63" s="2">
        <v>45734</v>
      </c>
      <c r="Q63">
        <v>0.71389999999999998</v>
      </c>
      <c r="R63">
        <v>0.71189999999999998</v>
      </c>
      <c r="S63">
        <v>0.71120000000000005</v>
      </c>
      <c r="T63">
        <v>0.72309999999999997</v>
      </c>
      <c r="V63" s="10">
        <f t="shared" si="17"/>
        <v>2.6074999999999999</v>
      </c>
      <c r="W63">
        <f t="shared" si="18"/>
        <v>10231.994999999999</v>
      </c>
      <c r="X63">
        <f t="shared" si="19"/>
        <v>0.71289999999999998</v>
      </c>
      <c r="Y63">
        <f t="shared" si="20"/>
        <v>2.61</v>
      </c>
      <c r="Z63">
        <f t="shared" si="21"/>
        <v>10231.81</v>
      </c>
      <c r="AA63">
        <f t="shared" si="13"/>
        <v>0.71389999999999998</v>
      </c>
      <c r="AB63">
        <f t="shared" si="22"/>
        <v>2.605</v>
      </c>
      <c r="AC63">
        <f t="shared" si="23"/>
        <v>10232.18</v>
      </c>
      <c r="AD63">
        <f t="shared" si="14"/>
        <v>0.71189999999999998</v>
      </c>
      <c r="AE63" t="str">
        <f t="shared" si="24"/>
        <v/>
      </c>
      <c r="AF63" t="str">
        <f t="shared" si="25"/>
        <v/>
      </c>
      <c r="AG63" t="str">
        <f t="shared" si="15"/>
        <v/>
      </c>
      <c r="AH63" t="str">
        <f t="shared" si="26"/>
        <v/>
      </c>
      <c r="AI63" t="str">
        <f t="shared" si="27"/>
        <v/>
      </c>
      <c r="AJ63" s="11" t="str">
        <f t="shared" si="16"/>
        <v/>
      </c>
      <c r="AM63" s="2">
        <v>45936</v>
      </c>
      <c r="AN63" t="s">
        <v>59</v>
      </c>
    </row>
    <row r="64" spans="1:40">
      <c r="A64" s="2">
        <v>45733</v>
      </c>
      <c r="B64">
        <v>2.6080000000000001</v>
      </c>
      <c r="C64">
        <v>10231.200000000001</v>
      </c>
      <c r="D64">
        <v>0.71679999999999999</v>
      </c>
      <c r="E64">
        <v>2.6080000000000001</v>
      </c>
      <c r="F64">
        <v>10231.17</v>
      </c>
      <c r="G64">
        <v>0.71909999999999996</v>
      </c>
      <c r="H64">
        <v>2.61</v>
      </c>
      <c r="I64">
        <v>10231.08</v>
      </c>
      <c r="J64">
        <v>2.605</v>
      </c>
      <c r="K64">
        <v>10231.450000000001</v>
      </c>
      <c r="L64">
        <v>2.61</v>
      </c>
      <c r="M64">
        <v>10231.08</v>
      </c>
      <c r="N64">
        <v>2.61</v>
      </c>
      <c r="O64">
        <v>10231.08</v>
      </c>
      <c r="P64" s="2">
        <v>45733</v>
      </c>
      <c r="Q64">
        <v>0.72199999999999998</v>
      </c>
      <c r="R64">
        <v>0.71460000000000001</v>
      </c>
      <c r="S64">
        <v>0.71389999999999998</v>
      </c>
      <c r="T64">
        <v>0.72589999999999999</v>
      </c>
      <c r="V64" s="10">
        <f t="shared" si="17"/>
        <v>2.6074999999999999</v>
      </c>
      <c r="W64">
        <f t="shared" si="18"/>
        <v>10231.264999999999</v>
      </c>
      <c r="X64">
        <f t="shared" si="19"/>
        <v>0.71829999999999994</v>
      </c>
      <c r="Y64">
        <f t="shared" si="20"/>
        <v>2.61</v>
      </c>
      <c r="Z64">
        <f t="shared" si="21"/>
        <v>10231.08</v>
      </c>
      <c r="AA64">
        <f t="shared" si="13"/>
        <v>0.72199999999999998</v>
      </c>
      <c r="AB64">
        <f t="shared" si="22"/>
        <v>2.605</v>
      </c>
      <c r="AC64">
        <f t="shared" si="23"/>
        <v>10231.450000000001</v>
      </c>
      <c r="AD64">
        <f t="shared" si="14"/>
        <v>0.71460000000000001</v>
      </c>
      <c r="AE64" t="str">
        <f t="shared" si="24"/>
        <v/>
      </c>
      <c r="AF64" t="str">
        <f t="shared" si="25"/>
        <v/>
      </c>
      <c r="AG64" t="str">
        <f t="shared" si="15"/>
        <v/>
      </c>
      <c r="AH64" t="str">
        <f t="shared" si="26"/>
        <v/>
      </c>
      <c r="AI64" t="str">
        <f t="shared" si="27"/>
        <v/>
      </c>
      <c r="AJ64" s="11" t="str">
        <f t="shared" si="16"/>
        <v/>
      </c>
      <c r="AM64" s="2">
        <v>45937</v>
      </c>
      <c r="AN64" t="s">
        <v>59</v>
      </c>
    </row>
    <row r="65" spans="1:40">
      <c r="A65" s="2">
        <v>45732</v>
      </c>
      <c r="B65">
        <v>2.6080000000000001</v>
      </c>
      <c r="C65">
        <v>10230.469999999999</v>
      </c>
      <c r="D65">
        <v>0.71860000000000002</v>
      </c>
      <c r="E65">
        <v>2.6080000000000001</v>
      </c>
      <c r="F65">
        <v>10230.44</v>
      </c>
      <c r="G65">
        <v>0.72109999999999996</v>
      </c>
      <c r="H65">
        <v>2.61</v>
      </c>
      <c r="I65">
        <v>10230.35</v>
      </c>
      <c r="J65">
        <v>2.605</v>
      </c>
      <c r="K65">
        <v>10230.719999999999</v>
      </c>
      <c r="L65">
        <v>2.61</v>
      </c>
      <c r="M65">
        <v>10230.35</v>
      </c>
      <c r="N65">
        <v>2.61</v>
      </c>
      <c r="O65">
        <v>10230.35</v>
      </c>
      <c r="P65" s="2">
        <v>45732</v>
      </c>
      <c r="Q65">
        <v>0.72199999999999998</v>
      </c>
      <c r="R65">
        <v>0.71730000000000005</v>
      </c>
      <c r="S65">
        <v>0.71660000000000001</v>
      </c>
      <c r="T65">
        <v>0.72860000000000003</v>
      </c>
      <c r="V65" s="10">
        <f t="shared" si="17"/>
        <v>2.6074999999999999</v>
      </c>
      <c r="W65">
        <f t="shared" si="18"/>
        <v>10230.535</v>
      </c>
      <c r="X65">
        <f t="shared" si="19"/>
        <v>0.71965000000000001</v>
      </c>
      <c r="Y65">
        <f t="shared" si="20"/>
        <v>2.61</v>
      </c>
      <c r="Z65">
        <f t="shared" si="21"/>
        <v>10230.35</v>
      </c>
      <c r="AA65">
        <f t="shared" si="13"/>
        <v>0.72199999999999998</v>
      </c>
      <c r="AB65">
        <f t="shared" si="22"/>
        <v>2.605</v>
      </c>
      <c r="AC65">
        <f t="shared" si="23"/>
        <v>10230.719999999999</v>
      </c>
      <c r="AD65">
        <f t="shared" si="14"/>
        <v>0.71730000000000005</v>
      </c>
      <c r="AE65" t="str">
        <f t="shared" si="24"/>
        <v/>
      </c>
      <c r="AF65" t="str">
        <f t="shared" si="25"/>
        <v/>
      </c>
      <c r="AG65" t="str">
        <f t="shared" si="15"/>
        <v/>
      </c>
      <c r="AH65" t="str">
        <f t="shared" si="26"/>
        <v/>
      </c>
      <c r="AI65" t="str">
        <f t="shared" si="27"/>
        <v/>
      </c>
      <c r="AJ65" s="11" t="str">
        <f t="shared" si="16"/>
        <v/>
      </c>
      <c r="AM65" s="2">
        <v>45938</v>
      </c>
      <c r="AN65" t="s">
        <v>80</v>
      </c>
    </row>
    <row r="66" spans="1:40">
      <c r="A66" s="2">
        <v>45731</v>
      </c>
      <c r="B66">
        <v>2.6080000000000001</v>
      </c>
      <c r="C66">
        <v>10229.74</v>
      </c>
      <c r="D66">
        <v>0.72040000000000004</v>
      </c>
      <c r="E66">
        <v>2.6080000000000001</v>
      </c>
      <c r="F66">
        <v>10229.709999999999</v>
      </c>
      <c r="G66">
        <v>0.72309999999999997</v>
      </c>
      <c r="H66">
        <v>2.61</v>
      </c>
      <c r="I66">
        <v>10229.620000000001</v>
      </c>
      <c r="J66">
        <v>2.605</v>
      </c>
      <c r="K66">
        <v>10229.99</v>
      </c>
      <c r="L66">
        <v>2.61</v>
      </c>
      <c r="M66">
        <v>10229.620000000001</v>
      </c>
      <c r="N66">
        <v>2.61</v>
      </c>
      <c r="O66">
        <v>10229.620000000001</v>
      </c>
      <c r="P66" s="2">
        <v>45731</v>
      </c>
      <c r="Q66">
        <v>0.72199999999999998</v>
      </c>
      <c r="R66">
        <v>0.72</v>
      </c>
      <c r="S66">
        <v>0.71930000000000005</v>
      </c>
      <c r="T66">
        <v>0.73140000000000005</v>
      </c>
      <c r="V66" s="10">
        <f t="shared" si="17"/>
        <v>2.6074999999999999</v>
      </c>
      <c r="W66">
        <f t="shared" si="18"/>
        <v>10229.805</v>
      </c>
      <c r="X66">
        <f t="shared" si="19"/>
        <v>0.72099999999999997</v>
      </c>
      <c r="Y66">
        <f t="shared" si="20"/>
        <v>2.61</v>
      </c>
      <c r="Z66">
        <f t="shared" si="21"/>
        <v>10229.620000000001</v>
      </c>
      <c r="AA66">
        <f t="shared" si="13"/>
        <v>0.72199999999999998</v>
      </c>
      <c r="AB66">
        <f t="shared" si="22"/>
        <v>2.605</v>
      </c>
      <c r="AC66">
        <f t="shared" si="23"/>
        <v>10229.99</v>
      </c>
      <c r="AD66">
        <f t="shared" si="14"/>
        <v>0.72</v>
      </c>
      <c r="AE66" t="str">
        <f t="shared" si="24"/>
        <v/>
      </c>
      <c r="AF66" t="str">
        <f t="shared" si="25"/>
        <v/>
      </c>
      <c r="AG66" t="str">
        <f t="shared" si="15"/>
        <v/>
      </c>
      <c r="AH66" t="str">
        <f t="shared" si="26"/>
        <v/>
      </c>
      <c r="AI66" t="str">
        <f t="shared" si="27"/>
        <v/>
      </c>
      <c r="AJ66" s="11" t="str">
        <f t="shared" si="16"/>
        <v/>
      </c>
      <c r="AM66" s="2">
        <v>45939</v>
      </c>
      <c r="AN66" t="s">
        <v>67</v>
      </c>
    </row>
    <row r="67" spans="1:40">
      <c r="A67" s="2">
        <v>45730</v>
      </c>
      <c r="B67">
        <v>2.593</v>
      </c>
      <c r="C67">
        <v>10230.129999999999</v>
      </c>
      <c r="D67">
        <v>0.72319999999999995</v>
      </c>
      <c r="E67">
        <v>2.593</v>
      </c>
      <c r="F67">
        <v>10230.1</v>
      </c>
      <c r="G67">
        <v>0.72589999999999999</v>
      </c>
      <c r="H67">
        <v>2.5950000000000002</v>
      </c>
      <c r="I67">
        <v>10230.01</v>
      </c>
      <c r="J67">
        <v>2.5950000000000002</v>
      </c>
      <c r="K67">
        <v>10230.01</v>
      </c>
      <c r="L67">
        <v>2.59</v>
      </c>
      <c r="M67">
        <v>10230.379999999999</v>
      </c>
      <c r="N67">
        <v>2.5950000000000002</v>
      </c>
      <c r="O67">
        <v>10230.01</v>
      </c>
      <c r="P67" s="2">
        <v>45730</v>
      </c>
      <c r="Q67">
        <v>0.7248</v>
      </c>
      <c r="R67">
        <v>0.72270000000000001</v>
      </c>
      <c r="S67">
        <v>0.72209999999999996</v>
      </c>
      <c r="T67">
        <v>0.73409999999999997</v>
      </c>
      <c r="V67" s="10">
        <f t="shared" si="17"/>
        <v>2.5950000000000002</v>
      </c>
      <c r="W67">
        <f t="shared" si="18"/>
        <v>10230.01</v>
      </c>
      <c r="X67">
        <f t="shared" si="19"/>
        <v>0.72375</v>
      </c>
      <c r="Y67">
        <f t="shared" si="20"/>
        <v>2.5950000000000002</v>
      </c>
      <c r="Z67">
        <f t="shared" si="21"/>
        <v>10230.01</v>
      </c>
      <c r="AA67">
        <f t="shared" si="13"/>
        <v>0.7248</v>
      </c>
      <c r="AB67">
        <f t="shared" si="22"/>
        <v>2.5950000000000002</v>
      </c>
      <c r="AC67">
        <f t="shared" si="23"/>
        <v>10230.01</v>
      </c>
      <c r="AD67">
        <f t="shared" si="14"/>
        <v>0.72270000000000001</v>
      </c>
      <c r="AE67" t="str">
        <f t="shared" si="24"/>
        <v/>
      </c>
      <c r="AF67" t="str">
        <f t="shared" si="25"/>
        <v/>
      </c>
      <c r="AG67" t="str">
        <f t="shared" si="15"/>
        <v/>
      </c>
      <c r="AH67" t="str">
        <f t="shared" si="26"/>
        <v/>
      </c>
      <c r="AI67" t="str">
        <f t="shared" si="27"/>
        <v/>
      </c>
      <c r="AJ67" s="11" t="str">
        <f t="shared" si="16"/>
        <v/>
      </c>
      <c r="AM67" s="2">
        <v>45966</v>
      </c>
      <c r="AN67" t="s">
        <v>47</v>
      </c>
    </row>
    <row r="68" spans="1:40">
      <c r="A68" s="2">
        <v>45729</v>
      </c>
      <c r="B68">
        <v>2.5880000000000001</v>
      </c>
      <c r="C68">
        <v>10229.77</v>
      </c>
      <c r="D68">
        <v>0.72589999999999999</v>
      </c>
      <c r="E68">
        <v>2.59</v>
      </c>
      <c r="F68">
        <v>10229.65</v>
      </c>
      <c r="G68">
        <v>0.72860000000000003</v>
      </c>
      <c r="H68">
        <v>2.59</v>
      </c>
      <c r="I68">
        <v>10229.65</v>
      </c>
      <c r="J68">
        <v>2.59</v>
      </c>
      <c r="K68">
        <v>10229.65</v>
      </c>
      <c r="L68">
        <v>2.585</v>
      </c>
      <c r="M68">
        <v>10230.02</v>
      </c>
      <c r="N68">
        <v>2.5950000000000002</v>
      </c>
      <c r="O68">
        <v>10229.280000000001</v>
      </c>
      <c r="P68" s="2">
        <v>45729</v>
      </c>
      <c r="Q68">
        <v>0.72750000000000004</v>
      </c>
      <c r="R68">
        <v>0.72550000000000003</v>
      </c>
      <c r="S68">
        <v>0.7248</v>
      </c>
      <c r="T68">
        <v>0.7369</v>
      </c>
      <c r="V68" s="10">
        <f t="shared" si="17"/>
        <v>2.59</v>
      </c>
      <c r="W68">
        <f t="shared" si="18"/>
        <v>10229.65</v>
      </c>
      <c r="X68">
        <f t="shared" si="19"/>
        <v>0.72650000000000003</v>
      </c>
      <c r="Y68">
        <f t="shared" si="20"/>
        <v>2.59</v>
      </c>
      <c r="Z68">
        <f t="shared" si="21"/>
        <v>10229.65</v>
      </c>
      <c r="AA68">
        <f t="shared" si="13"/>
        <v>0.72750000000000004</v>
      </c>
      <c r="AB68">
        <f t="shared" si="22"/>
        <v>2.59</v>
      </c>
      <c r="AC68">
        <f t="shared" si="23"/>
        <v>10229.65</v>
      </c>
      <c r="AD68">
        <f t="shared" si="14"/>
        <v>0.72550000000000003</v>
      </c>
      <c r="AE68" t="str">
        <f t="shared" si="24"/>
        <v/>
      </c>
      <c r="AF68" t="str">
        <f t="shared" si="25"/>
        <v/>
      </c>
      <c r="AG68" t="str">
        <f t="shared" si="15"/>
        <v/>
      </c>
      <c r="AH68" t="str">
        <f t="shared" si="26"/>
        <v/>
      </c>
      <c r="AI68" t="str">
        <f t="shared" si="27"/>
        <v/>
      </c>
      <c r="AJ68" s="11" t="str">
        <f t="shared" si="16"/>
        <v/>
      </c>
      <c r="AM68" s="2">
        <v>46001</v>
      </c>
      <c r="AN68" t="s">
        <v>47</v>
      </c>
    </row>
    <row r="69" spans="1:40">
      <c r="A69" s="2">
        <v>45728</v>
      </c>
      <c r="B69">
        <v>2.5979999999999999</v>
      </c>
      <c r="C69">
        <v>10228.299999999999</v>
      </c>
      <c r="D69">
        <v>0.72860000000000003</v>
      </c>
      <c r="E69">
        <v>2.5979999999999999</v>
      </c>
      <c r="F69">
        <v>10228.27</v>
      </c>
      <c r="G69">
        <v>0.73129999999999995</v>
      </c>
      <c r="H69">
        <v>2.6</v>
      </c>
      <c r="I69">
        <v>10228.18</v>
      </c>
      <c r="J69">
        <v>2.5950000000000002</v>
      </c>
      <c r="K69">
        <v>10228.56</v>
      </c>
      <c r="L69">
        <v>2.6</v>
      </c>
      <c r="M69">
        <v>10228.18</v>
      </c>
      <c r="N69">
        <v>2.6</v>
      </c>
      <c r="O69">
        <v>10228.18</v>
      </c>
      <c r="P69" s="2">
        <v>45728</v>
      </c>
      <c r="Q69">
        <v>0.73019999999999996</v>
      </c>
      <c r="R69">
        <v>0.72809999999999997</v>
      </c>
      <c r="S69">
        <v>0.72750000000000004</v>
      </c>
      <c r="T69">
        <v>0.73960000000000004</v>
      </c>
      <c r="V69" s="10">
        <f t="shared" ref="V69:V105" si="28">IF($A69="", "", CHOOSE( $W$1, AVERAGE(Y69,AB69,AE69,AH69), GEOMEAN(Y69,AB69,AE69,AH69) ) )</f>
        <v>2.5975000000000001</v>
      </c>
      <c r="W69">
        <f t="shared" ref="W69:W105" si="29">IF($A69="", "", CHOOSE( $W$1, AVERAGE(Z69,AC69,AF69,AI69), GEOMEAN(Z69,AC69,AF69,AI69) ) )</f>
        <v>10228.369999999999</v>
      </c>
      <c r="X69">
        <f t="shared" ref="X69:X105" si="30">IF($A69="", "", CHOOSE( $W$1, AVERAGE(AA69,AD69,AG69,AJ69), GEOMEAN(AA69,AD69,AG69,AJ69) ) )</f>
        <v>0.72914999999999996</v>
      </c>
      <c r="Y69">
        <f t="shared" ref="Y69:Y105" si="31">IF(AND($Y$3,H69&lt;&gt;""), H69, "")</f>
        <v>2.6</v>
      </c>
      <c r="Z69">
        <f t="shared" ref="Z69:Z105" si="32">IF(AND($Y$3,I69&lt;&gt;""), I69, "")</f>
        <v>10228.18</v>
      </c>
      <c r="AA69">
        <f t="shared" si="13"/>
        <v>0.73019999999999996</v>
      </c>
      <c r="AB69">
        <f t="shared" ref="AB69:AB105" si="33">IF(AND($AB$3,J69&lt;&gt;""), J69, "")</f>
        <v>2.5950000000000002</v>
      </c>
      <c r="AC69">
        <f t="shared" ref="AC69:AC105" si="34">IF(AND($AB$3,K69&lt;&gt;""), K69, "")</f>
        <v>10228.56</v>
      </c>
      <c r="AD69">
        <f t="shared" si="14"/>
        <v>0.72809999999999997</v>
      </c>
      <c r="AE69" t="str">
        <f t="shared" ref="AE69:AE105" si="35">IF(AND($AE$3,L69&lt;&gt;""), L69, "")</f>
        <v/>
      </c>
      <c r="AF69" t="str">
        <f t="shared" ref="AF69:AF105" si="36">IF(AND($AE$3,M69&lt;&gt;""), M69, "")</f>
        <v/>
      </c>
      <c r="AG69" t="str">
        <f t="shared" si="15"/>
        <v/>
      </c>
      <c r="AH69" t="str">
        <f t="shared" ref="AH69:AH105" si="37">IF(AND($AH$3,N69&lt;&gt;""), N69, "")</f>
        <v/>
      </c>
      <c r="AI69" t="str">
        <f t="shared" ref="AI69:AI105" si="38">IF(AND($AH$3,O69&lt;&gt;""), O69, "")</f>
        <v/>
      </c>
      <c r="AJ69" s="11" t="str">
        <f t="shared" si="16"/>
        <v/>
      </c>
      <c r="AM69" s="2">
        <v>46016</v>
      </c>
      <c r="AN69" t="s">
        <v>62</v>
      </c>
    </row>
    <row r="70" spans="1:40">
      <c r="A70" s="2">
        <v>45727</v>
      </c>
      <c r="B70">
        <v>2.6059999999999999</v>
      </c>
      <c r="C70">
        <v>10226.959999999999</v>
      </c>
      <c r="D70">
        <v>0.73119999999999996</v>
      </c>
      <c r="E70">
        <v>2.6070000000000002</v>
      </c>
      <c r="F70">
        <v>10226.89</v>
      </c>
      <c r="G70">
        <v>0.73399999999999999</v>
      </c>
      <c r="H70">
        <v>2.6</v>
      </c>
      <c r="I70">
        <v>10227.459999999999</v>
      </c>
      <c r="J70">
        <v>2.61</v>
      </c>
      <c r="K70">
        <v>10226.709999999999</v>
      </c>
      <c r="L70">
        <v>2.61</v>
      </c>
      <c r="M70">
        <v>10226.709999999999</v>
      </c>
      <c r="N70">
        <v>2.61</v>
      </c>
      <c r="O70">
        <v>10226.709999999999</v>
      </c>
      <c r="P70" s="2">
        <v>45727</v>
      </c>
      <c r="Q70">
        <v>0.7329</v>
      </c>
      <c r="R70">
        <v>0.73080000000000001</v>
      </c>
      <c r="S70">
        <v>0.73009999999999997</v>
      </c>
      <c r="T70">
        <v>0.74239999999999995</v>
      </c>
      <c r="V70" s="10">
        <f t="shared" si="28"/>
        <v>2.605</v>
      </c>
      <c r="W70">
        <f t="shared" si="29"/>
        <v>10227.084999999999</v>
      </c>
      <c r="X70">
        <f t="shared" si="30"/>
        <v>0.73185</v>
      </c>
      <c r="Y70">
        <f t="shared" si="31"/>
        <v>2.6</v>
      </c>
      <c r="Z70">
        <f t="shared" si="32"/>
        <v>10227.459999999999</v>
      </c>
      <c r="AA70">
        <f t="shared" ref="AA70:AA105" si="39">CHOOSE( $A$2,
    IF(AND($Y$3,Q70&lt;&gt;""), Q70, ""),
    IF(AND($Y$3,Q70&lt;&gt;""), INDEX($Q:$Q, MATCH($A70,$P:$P, 0)-1), "")
)</f>
        <v>0.7329</v>
      </c>
      <c r="AB70">
        <f t="shared" si="33"/>
        <v>2.61</v>
      </c>
      <c r="AC70">
        <f t="shared" si="34"/>
        <v>10226.709999999999</v>
      </c>
      <c r="AD70">
        <f t="shared" ref="AD70:AD105" si="40">CHOOSE( $A$2,
    IF(AND($AB$3,R70&lt;&gt;""), R70, ""),
    IF(AND($AB$3,R70&lt;&gt;""), INDEX($R:$R, MATCH($A70,$P:$P, 0)-1), "")
)</f>
        <v>0.73080000000000001</v>
      </c>
      <c r="AE70" t="str">
        <f t="shared" si="35"/>
        <v/>
      </c>
      <c r="AF70" t="str">
        <f t="shared" si="36"/>
        <v/>
      </c>
      <c r="AG70" t="str">
        <f t="shared" ref="AG70:AG105" si="41">CHOOSE( $A$2,
    IF(AND($AE$3,S70&lt;&gt;""), S70, ""),
    IF(AND($AE$3,S70&lt;&gt;""), INDEX($S:$S, MATCH($A70,$P:$P, 0)-1), "")
)</f>
        <v/>
      </c>
      <c r="AH70" t="str">
        <f t="shared" si="37"/>
        <v/>
      </c>
      <c r="AI70" t="str">
        <f t="shared" si="38"/>
        <v/>
      </c>
      <c r="AJ70" s="11" t="str">
        <f t="shared" ref="AJ70:AJ105" si="42">CHOOSE( $A$2,
    IF(AND($AH$3,T70&lt;&gt;""), T70, ""),
    IF(AND($AH$3,T70&lt;&gt;""), INDEX($T:$T, MATCH($A70,$P:$P, 0)-1), "")
)</f>
        <v/>
      </c>
      <c r="AM70" s="2">
        <v>46022</v>
      </c>
      <c r="AN70" t="s">
        <v>63</v>
      </c>
    </row>
    <row r="71" spans="1:40">
      <c r="A71" s="2">
        <v>45726</v>
      </c>
      <c r="B71">
        <v>2.6080000000000001</v>
      </c>
      <c r="C71">
        <v>10226.1</v>
      </c>
      <c r="D71">
        <v>0.73570000000000002</v>
      </c>
      <c r="E71">
        <v>2.6070000000000002</v>
      </c>
      <c r="F71">
        <v>10226.17</v>
      </c>
      <c r="G71">
        <v>0.73809999999999998</v>
      </c>
      <c r="H71">
        <v>2.6</v>
      </c>
      <c r="I71">
        <v>10226.73</v>
      </c>
      <c r="J71">
        <v>2.605</v>
      </c>
      <c r="K71">
        <v>10226.36</v>
      </c>
      <c r="L71">
        <v>2.62</v>
      </c>
      <c r="M71">
        <v>10225.23</v>
      </c>
      <c r="N71">
        <v>2.605</v>
      </c>
      <c r="O71">
        <v>10226.36</v>
      </c>
      <c r="P71" s="2">
        <v>45726</v>
      </c>
      <c r="Q71">
        <v>0.74099999999999999</v>
      </c>
      <c r="R71">
        <v>0.73350000000000004</v>
      </c>
      <c r="S71">
        <v>0.73280000000000001</v>
      </c>
      <c r="T71">
        <v>0.74509999999999998</v>
      </c>
      <c r="V71" s="10">
        <f t="shared" si="28"/>
        <v>2.6025</v>
      </c>
      <c r="W71">
        <f t="shared" si="29"/>
        <v>10226.545</v>
      </c>
      <c r="X71">
        <f t="shared" si="30"/>
        <v>0.73724999999999996</v>
      </c>
      <c r="Y71">
        <f t="shared" si="31"/>
        <v>2.6</v>
      </c>
      <c r="Z71">
        <f t="shared" si="32"/>
        <v>10226.73</v>
      </c>
      <c r="AA71">
        <f t="shared" si="39"/>
        <v>0.74099999999999999</v>
      </c>
      <c r="AB71">
        <f t="shared" si="33"/>
        <v>2.605</v>
      </c>
      <c r="AC71">
        <f t="shared" si="34"/>
        <v>10226.36</v>
      </c>
      <c r="AD71">
        <f t="shared" si="40"/>
        <v>0.73350000000000004</v>
      </c>
      <c r="AE71" t="str">
        <f t="shared" si="35"/>
        <v/>
      </c>
      <c r="AF71" t="str">
        <f t="shared" si="36"/>
        <v/>
      </c>
      <c r="AG71" t="str">
        <f t="shared" si="41"/>
        <v/>
      </c>
      <c r="AH71" t="str">
        <f t="shared" si="37"/>
        <v/>
      </c>
      <c r="AI71" t="str">
        <f t="shared" si="38"/>
        <v/>
      </c>
      <c r="AJ71" s="11" t="str">
        <f t="shared" si="42"/>
        <v/>
      </c>
      <c r="AM71" s="2">
        <v>46023</v>
      </c>
      <c r="AN71" t="s">
        <v>64</v>
      </c>
    </row>
    <row r="72" spans="1:40">
      <c r="A72" s="2">
        <v>45725</v>
      </c>
      <c r="B72">
        <v>2.6080000000000001</v>
      </c>
      <c r="C72">
        <v>10225.379999999999</v>
      </c>
      <c r="D72">
        <v>0.73750000000000004</v>
      </c>
      <c r="E72">
        <v>2.6070000000000002</v>
      </c>
      <c r="F72">
        <v>10225.44</v>
      </c>
      <c r="G72">
        <v>0.74009999999999998</v>
      </c>
      <c r="H72">
        <v>2.6</v>
      </c>
      <c r="I72">
        <v>10226.01</v>
      </c>
      <c r="J72">
        <v>2.605</v>
      </c>
      <c r="K72">
        <v>10225.629999999999</v>
      </c>
      <c r="L72">
        <v>2.62</v>
      </c>
      <c r="M72">
        <v>10224.5</v>
      </c>
      <c r="N72">
        <v>2.605</v>
      </c>
      <c r="O72">
        <v>10225.629999999999</v>
      </c>
      <c r="P72" s="2">
        <v>45725</v>
      </c>
      <c r="Q72">
        <v>0.74099999999999999</v>
      </c>
      <c r="R72">
        <v>0.73619999999999997</v>
      </c>
      <c r="S72">
        <v>0.73550000000000004</v>
      </c>
      <c r="T72">
        <v>0.74790000000000001</v>
      </c>
      <c r="V72" s="10">
        <f t="shared" si="28"/>
        <v>2.6025</v>
      </c>
      <c r="W72">
        <f t="shared" si="29"/>
        <v>10225.82</v>
      </c>
      <c r="X72">
        <f t="shared" si="30"/>
        <v>0.73859999999999992</v>
      </c>
      <c r="Y72">
        <f t="shared" si="31"/>
        <v>2.6</v>
      </c>
      <c r="Z72">
        <f t="shared" si="32"/>
        <v>10226.01</v>
      </c>
      <c r="AA72">
        <f t="shared" si="39"/>
        <v>0.74099999999999999</v>
      </c>
      <c r="AB72">
        <f t="shared" si="33"/>
        <v>2.605</v>
      </c>
      <c r="AC72">
        <f t="shared" si="34"/>
        <v>10225.629999999999</v>
      </c>
      <c r="AD72">
        <f t="shared" si="40"/>
        <v>0.73619999999999997</v>
      </c>
      <c r="AE72" t="str">
        <f t="shared" si="35"/>
        <v/>
      </c>
      <c r="AF72" t="str">
        <f t="shared" si="36"/>
        <v/>
      </c>
      <c r="AG72" t="str">
        <f t="shared" si="41"/>
        <v/>
      </c>
      <c r="AH72" t="str">
        <f t="shared" si="37"/>
        <v/>
      </c>
      <c r="AI72" t="str">
        <f t="shared" si="38"/>
        <v/>
      </c>
      <c r="AJ72" s="11" t="str">
        <f t="shared" si="42"/>
        <v/>
      </c>
      <c r="AM72" s="2">
        <v>46029</v>
      </c>
      <c r="AN72" t="s">
        <v>47</v>
      </c>
    </row>
    <row r="73" spans="1:40">
      <c r="A73" s="2">
        <v>45724</v>
      </c>
      <c r="B73">
        <v>2.6080000000000001</v>
      </c>
      <c r="C73">
        <v>10224.65</v>
      </c>
      <c r="D73">
        <v>0.73929999999999996</v>
      </c>
      <c r="E73">
        <v>2.6070000000000002</v>
      </c>
      <c r="F73">
        <v>10224.709999999999</v>
      </c>
      <c r="G73">
        <v>0.74209999999999998</v>
      </c>
      <c r="H73">
        <v>2.6</v>
      </c>
      <c r="I73">
        <v>10225.280000000001</v>
      </c>
      <c r="J73">
        <v>2.605</v>
      </c>
      <c r="K73">
        <v>10224.9</v>
      </c>
      <c r="L73">
        <v>2.62</v>
      </c>
      <c r="M73">
        <v>10223.77</v>
      </c>
      <c r="N73">
        <v>2.605</v>
      </c>
      <c r="O73">
        <v>10224.9</v>
      </c>
      <c r="P73" s="2">
        <v>45724</v>
      </c>
      <c r="Q73">
        <v>0.74099999999999999</v>
      </c>
      <c r="R73">
        <v>0.7389</v>
      </c>
      <c r="S73">
        <v>0.73819999999999997</v>
      </c>
      <c r="T73">
        <v>0.75060000000000004</v>
      </c>
      <c r="V73" s="10">
        <f t="shared" si="28"/>
        <v>2.6025</v>
      </c>
      <c r="W73">
        <f t="shared" si="29"/>
        <v>10225.09</v>
      </c>
      <c r="X73">
        <f t="shared" si="30"/>
        <v>0.73995</v>
      </c>
      <c r="Y73">
        <f t="shared" si="31"/>
        <v>2.6</v>
      </c>
      <c r="Z73">
        <f t="shared" si="32"/>
        <v>10225.280000000001</v>
      </c>
      <c r="AA73">
        <f t="shared" si="39"/>
        <v>0.74099999999999999</v>
      </c>
      <c r="AB73">
        <f t="shared" si="33"/>
        <v>2.605</v>
      </c>
      <c r="AC73">
        <f t="shared" si="34"/>
        <v>10224.9</v>
      </c>
      <c r="AD73">
        <f t="shared" si="40"/>
        <v>0.7389</v>
      </c>
      <c r="AE73" t="str">
        <f t="shared" si="35"/>
        <v/>
      </c>
      <c r="AF73" t="str">
        <f t="shared" si="36"/>
        <v/>
      </c>
      <c r="AG73" t="str">
        <f t="shared" si="41"/>
        <v/>
      </c>
      <c r="AH73" t="str">
        <f t="shared" si="37"/>
        <v/>
      </c>
      <c r="AI73" t="str">
        <f t="shared" si="38"/>
        <v/>
      </c>
      <c r="AJ73" s="11" t="str">
        <f t="shared" si="42"/>
        <v/>
      </c>
      <c r="AM73" s="2">
        <v>46064</v>
      </c>
      <c r="AN73" t="s">
        <v>47</v>
      </c>
    </row>
    <row r="74" spans="1:40">
      <c r="A74" s="2">
        <v>45723</v>
      </c>
      <c r="B74">
        <v>2.62</v>
      </c>
      <c r="C74">
        <v>10222.99</v>
      </c>
      <c r="D74">
        <v>0.74199999999999999</v>
      </c>
      <c r="E74">
        <v>2.62</v>
      </c>
      <c r="F74">
        <v>10223</v>
      </c>
      <c r="G74">
        <v>0.74490000000000001</v>
      </c>
      <c r="H74">
        <v>2.6150000000000002</v>
      </c>
      <c r="I74">
        <v>10223.42</v>
      </c>
      <c r="J74">
        <v>2.62</v>
      </c>
      <c r="K74">
        <v>10223.040000000001</v>
      </c>
      <c r="L74">
        <v>2.6269999999999998</v>
      </c>
      <c r="M74">
        <v>10222.51</v>
      </c>
      <c r="N74">
        <v>2.62</v>
      </c>
      <c r="O74">
        <v>10223.040000000001</v>
      </c>
      <c r="P74" s="2">
        <v>45723</v>
      </c>
      <c r="Q74">
        <v>0.74370000000000003</v>
      </c>
      <c r="R74">
        <v>0.74160000000000004</v>
      </c>
      <c r="S74">
        <v>0.7409</v>
      </c>
      <c r="T74">
        <v>0.75339999999999996</v>
      </c>
      <c r="V74" s="10">
        <f t="shared" si="28"/>
        <v>2.6175000000000002</v>
      </c>
      <c r="W74">
        <f t="shared" si="29"/>
        <v>10223.23</v>
      </c>
      <c r="X74">
        <f t="shared" si="30"/>
        <v>0.74265000000000003</v>
      </c>
      <c r="Y74">
        <f t="shared" si="31"/>
        <v>2.6150000000000002</v>
      </c>
      <c r="Z74">
        <f t="shared" si="32"/>
        <v>10223.42</v>
      </c>
      <c r="AA74">
        <f t="shared" si="39"/>
        <v>0.74370000000000003</v>
      </c>
      <c r="AB74">
        <f t="shared" si="33"/>
        <v>2.62</v>
      </c>
      <c r="AC74">
        <f t="shared" si="34"/>
        <v>10223.040000000001</v>
      </c>
      <c r="AD74">
        <f t="shared" si="40"/>
        <v>0.74160000000000004</v>
      </c>
      <c r="AE74" t="str">
        <f t="shared" si="35"/>
        <v/>
      </c>
      <c r="AF74" t="str">
        <f t="shared" si="36"/>
        <v/>
      </c>
      <c r="AG74" t="str">
        <f t="shared" si="41"/>
        <v/>
      </c>
      <c r="AH74" t="str">
        <f t="shared" si="37"/>
        <v/>
      </c>
      <c r="AI74" t="str">
        <f t="shared" si="38"/>
        <v/>
      </c>
      <c r="AJ74" s="11" t="str">
        <f t="shared" si="42"/>
        <v/>
      </c>
      <c r="AM74" s="2">
        <v>46069</v>
      </c>
      <c r="AN74" t="s">
        <v>48</v>
      </c>
    </row>
    <row r="75" spans="1:40">
      <c r="A75" s="2">
        <v>45722</v>
      </c>
      <c r="B75">
        <v>2.6150000000000002</v>
      </c>
      <c r="C75">
        <v>10222.69</v>
      </c>
      <c r="D75">
        <v>0.74480000000000002</v>
      </c>
      <c r="E75">
        <v>2.6160000000000001</v>
      </c>
      <c r="F75">
        <v>10222.59</v>
      </c>
      <c r="G75">
        <v>0.74760000000000004</v>
      </c>
      <c r="H75">
        <v>2.6150000000000002</v>
      </c>
      <c r="I75">
        <v>10222.69</v>
      </c>
      <c r="J75">
        <v>2.62</v>
      </c>
      <c r="K75">
        <v>10222.31</v>
      </c>
      <c r="L75">
        <v>2.61</v>
      </c>
      <c r="M75">
        <v>10223.07</v>
      </c>
      <c r="N75">
        <v>2.62</v>
      </c>
      <c r="O75">
        <v>10222.31</v>
      </c>
      <c r="P75" s="2">
        <v>45722</v>
      </c>
      <c r="Q75">
        <v>0.74639999999999995</v>
      </c>
      <c r="R75">
        <v>0.74429999999999996</v>
      </c>
      <c r="S75">
        <v>0.74370000000000003</v>
      </c>
      <c r="T75">
        <v>0.75609999999999999</v>
      </c>
      <c r="V75" s="10">
        <f t="shared" si="28"/>
        <v>2.6175000000000002</v>
      </c>
      <c r="W75">
        <f t="shared" si="29"/>
        <v>10222.5</v>
      </c>
      <c r="X75">
        <f t="shared" si="30"/>
        <v>0.74534999999999996</v>
      </c>
      <c r="Y75">
        <f t="shared" si="31"/>
        <v>2.6150000000000002</v>
      </c>
      <c r="Z75">
        <f t="shared" si="32"/>
        <v>10222.69</v>
      </c>
      <c r="AA75">
        <f t="shared" si="39"/>
        <v>0.74639999999999995</v>
      </c>
      <c r="AB75">
        <f t="shared" si="33"/>
        <v>2.62</v>
      </c>
      <c r="AC75">
        <f t="shared" si="34"/>
        <v>10222.31</v>
      </c>
      <c r="AD75">
        <f t="shared" si="40"/>
        <v>0.74429999999999996</v>
      </c>
      <c r="AE75" t="str">
        <f t="shared" si="35"/>
        <v/>
      </c>
      <c r="AF75" t="str">
        <f t="shared" si="36"/>
        <v/>
      </c>
      <c r="AG75" t="str">
        <f t="shared" si="41"/>
        <v/>
      </c>
      <c r="AH75" t="str">
        <f t="shared" si="37"/>
        <v/>
      </c>
      <c r="AI75" t="str">
        <f t="shared" si="38"/>
        <v/>
      </c>
      <c r="AJ75" s="11" t="str">
        <f t="shared" si="42"/>
        <v/>
      </c>
      <c r="AM75" s="2">
        <v>46070</v>
      </c>
      <c r="AN75" t="s">
        <v>48</v>
      </c>
    </row>
    <row r="76" spans="1:40">
      <c r="A76" s="2">
        <v>45721</v>
      </c>
      <c r="B76">
        <v>2.6030000000000002</v>
      </c>
      <c r="C76">
        <v>10222.84</v>
      </c>
      <c r="D76">
        <v>0.74750000000000005</v>
      </c>
      <c r="E76">
        <v>2.6030000000000002</v>
      </c>
      <c r="F76">
        <v>10222.81</v>
      </c>
      <c r="G76">
        <v>0.75039999999999996</v>
      </c>
      <c r="H76">
        <v>2.605</v>
      </c>
      <c r="I76">
        <v>10222.719999999999</v>
      </c>
      <c r="J76">
        <v>2.605</v>
      </c>
      <c r="K76">
        <v>10222.719999999999</v>
      </c>
      <c r="L76">
        <v>2.6</v>
      </c>
      <c r="M76">
        <v>10223.1</v>
      </c>
      <c r="N76">
        <v>2.605</v>
      </c>
      <c r="O76">
        <v>10222.719999999999</v>
      </c>
      <c r="P76" s="2">
        <v>45721</v>
      </c>
      <c r="Q76">
        <v>0.74919999999999998</v>
      </c>
      <c r="R76">
        <v>0.747</v>
      </c>
      <c r="S76">
        <v>0.74650000000000005</v>
      </c>
      <c r="T76">
        <v>0.75890000000000002</v>
      </c>
      <c r="V76" s="10">
        <f t="shared" si="28"/>
        <v>2.605</v>
      </c>
      <c r="W76">
        <f t="shared" si="29"/>
        <v>10222.719999999999</v>
      </c>
      <c r="X76">
        <f t="shared" si="30"/>
        <v>0.74809999999999999</v>
      </c>
      <c r="Y76">
        <f t="shared" si="31"/>
        <v>2.605</v>
      </c>
      <c r="Z76">
        <f t="shared" si="32"/>
        <v>10222.719999999999</v>
      </c>
      <c r="AA76">
        <f t="shared" si="39"/>
        <v>0.74919999999999998</v>
      </c>
      <c r="AB76">
        <f t="shared" si="33"/>
        <v>2.605</v>
      </c>
      <c r="AC76">
        <f t="shared" si="34"/>
        <v>10222.719999999999</v>
      </c>
      <c r="AD76">
        <f t="shared" si="40"/>
        <v>0.747</v>
      </c>
      <c r="AE76" t="str">
        <f t="shared" si="35"/>
        <v/>
      </c>
      <c r="AF76" t="str">
        <f t="shared" si="36"/>
        <v/>
      </c>
      <c r="AG76" t="str">
        <f t="shared" si="41"/>
        <v/>
      </c>
      <c r="AH76" t="str">
        <f t="shared" si="37"/>
        <v/>
      </c>
      <c r="AI76" t="str">
        <f t="shared" si="38"/>
        <v/>
      </c>
      <c r="AJ76" s="11" t="str">
        <f t="shared" si="42"/>
        <v/>
      </c>
      <c r="AM76" s="2">
        <v>46071</v>
      </c>
      <c r="AN76" t="s">
        <v>48</v>
      </c>
    </row>
    <row r="77" spans="1:40">
      <c r="A77" s="2">
        <v>45720</v>
      </c>
      <c r="B77">
        <v>2.6059999999999999</v>
      </c>
      <c r="C77">
        <v>10221.870000000001</v>
      </c>
      <c r="D77">
        <v>0.75290000000000001</v>
      </c>
      <c r="E77">
        <v>2.6070000000000002</v>
      </c>
      <c r="F77">
        <v>10221.799999999999</v>
      </c>
      <c r="G77">
        <v>0.75509999999999999</v>
      </c>
      <c r="H77">
        <v>2.605</v>
      </c>
      <c r="I77">
        <v>10222</v>
      </c>
      <c r="J77">
        <v>2.61</v>
      </c>
      <c r="K77">
        <v>10221.61</v>
      </c>
      <c r="L77">
        <v>2.605</v>
      </c>
      <c r="M77">
        <v>10222</v>
      </c>
      <c r="N77">
        <v>2.61</v>
      </c>
      <c r="O77">
        <v>10221.61</v>
      </c>
      <c r="P77" s="2">
        <v>45720</v>
      </c>
      <c r="Q77">
        <v>0.76</v>
      </c>
      <c r="R77">
        <v>0.74970000000000003</v>
      </c>
      <c r="S77">
        <v>0.74919999999999998</v>
      </c>
      <c r="T77">
        <v>0.76160000000000005</v>
      </c>
      <c r="V77" s="10">
        <f t="shared" si="28"/>
        <v>2.6074999999999999</v>
      </c>
      <c r="W77">
        <f t="shared" si="29"/>
        <v>10221.805</v>
      </c>
      <c r="X77">
        <f t="shared" si="30"/>
        <v>0.75485000000000002</v>
      </c>
      <c r="Y77">
        <f t="shared" si="31"/>
        <v>2.605</v>
      </c>
      <c r="Z77">
        <f t="shared" si="32"/>
        <v>10222</v>
      </c>
      <c r="AA77">
        <f t="shared" si="39"/>
        <v>0.76</v>
      </c>
      <c r="AB77">
        <f t="shared" si="33"/>
        <v>2.61</v>
      </c>
      <c r="AC77">
        <f t="shared" si="34"/>
        <v>10221.61</v>
      </c>
      <c r="AD77">
        <f t="shared" si="40"/>
        <v>0.74970000000000003</v>
      </c>
      <c r="AE77" t="str">
        <f t="shared" si="35"/>
        <v/>
      </c>
      <c r="AF77" t="str">
        <f t="shared" si="36"/>
        <v/>
      </c>
      <c r="AG77" t="str">
        <f t="shared" si="41"/>
        <v/>
      </c>
      <c r="AH77" t="str">
        <f t="shared" si="37"/>
        <v/>
      </c>
      <c r="AI77" t="str">
        <f t="shared" si="38"/>
        <v/>
      </c>
      <c r="AJ77" s="11" t="str">
        <f t="shared" si="42"/>
        <v/>
      </c>
      <c r="AM77" s="2">
        <v>46082</v>
      </c>
      <c r="AN77" t="s">
        <v>50</v>
      </c>
    </row>
    <row r="78" spans="1:40">
      <c r="A78" s="2">
        <v>45719</v>
      </c>
      <c r="B78">
        <v>2.6059999999999999</v>
      </c>
      <c r="C78">
        <v>10221.14</v>
      </c>
      <c r="D78">
        <v>0.75470000000000004</v>
      </c>
      <c r="E78">
        <v>2.6070000000000002</v>
      </c>
      <c r="F78">
        <v>10221.07</v>
      </c>
      <c r="G78">
        <v>0.7571</v>
      </c>
      <c r="H78">
        <v>2.605</v>
      </c>
      <c r="I78">
        <v>10221.27</v>
      </c>
      <c r="J78">
        <v>2.61</v>
      </c>
      <c r="K78">
        <v>10220.879999999999</v>
      </c>
      <c r="L78">
        <v>2.605</v>
      </c>
      <c r="M78">
        <v>10221.27</v>
      </c>
      <c r="N78">
        <v>2.61</v>
      </c>
      <c r="O78">
        <v>10220.879999999999</v>
      </c>
      <c r="P78" s="2">
        <v>45719</v>
      </c>
      <c r="Q78">
        <v>0.76</v>
      </c>
      <c r="R78">
        <v>0.75239999999999996</v>
      </c>
      <c r="S78">
        <v>0.75190000000000001</v>
      </c>
      <c r="T78">
        <v>0.76439999999999997</v>
      </c>
      <c r="V78" s="10">
        <f t="shared" si="28"/>
        <v>2.6074999999999999</v>
      </c>
      <c r="W78">
        <f t="shared" si="29"/>
        <v>10221.075000000001</v>
      </c>
      <c r="X78">
        <f t="shared" si="30"/>
        <v>0.75619999999999998</v>
      </c>
      <c r="Y78">
        <f t="shared" si="31"/>
        <v>2.605</v>
      </c>
      <c r="Z78">
        <f t="shared" si="32"/>
        <v>10221.27</v>
      </c>
      <c r="AA78">
        <f t="shared" si="39"/>
        <v>0.76</v>
      </c>
      <c r="AB78">
        <f t="shared" si="33"/>
        <v>2.61</v>
      </c>
      <c r="AC78">
        <f t="shared" si="34"/>
        <v>10220.879999999999</v>
      </c>
      <c r="AD78">
        <f t="shared" si="40"/>
        <v>0.75239999999999996</v>
      </c>
      <c r="AE78" t="str">
        <f t="shared" si="35"/>
        <v/>
      </c>
      <c r="AF78" t="str">
        <f t="shared" si="36"/>
        <v/>
      </c>
      <c r="AG78" t="str">
        <f t="shared" si="41"/>
        <v/>
      </c>
      <c r="AH78" t="str">
        <f t="shared" si="37"/>
        <v/>
      </c>
      <c r="AI78" t="str">
        <f t="shared" si="38"/>
        <v/>
      </c>
      <c r="AJ78" s="11" t="str">
        <f t="shared" si="42"/>
        <v/>
      </c>
      <c r="AM78" s="2">
        <v>46083</v>
      </c>
      <c r="AN78" t="s">
        <v>65</v>
      </c>
    </row>
    <row r="79" spans="1:40">
      <c r="A79" s="2">
        <v>45718</v>
      </c>
      <c r="B79">
        <v>2.6059999999999999</v>
      </c>
      <c r="C79">
        <v>10220.41</v>
      </c>
      <c r="D79">
        <v>0.75649999999999995</v>
      </c>
      <c r="E79">
        <v>2.6070000000000002</v>
      </c>
      <c r="F79">
        <v>10220.35</v>
      </c>
      <c r="G79">
        <v>0.75919999999999999</v>
      </c>
      <c r="H79">
        <v>2.605</v>
      </c>
      <c r="I79">
        <v>10220.540000000001</v>
      </c>
      <c r="J79">
        <v>2.61</v>
      </c>
      <c r="K79">
        <v>10220.16</v>
      </c>
      <c r="L79">
        <v>2.605</v>
      </c>
      <c r="M79">
        <v>10220.540000000001</v>
      </c>
      <c r="N79">
        <v>2.61</v>
      </c>
      <c r="O79">
        <v>10220.16</v>
      </c>
      <c r="P79" s="2">
        <v>45718</v>
      </c>
      <c r="Q79">
        <v>0.76</v>
      </c>
      <c r="R79">
        <v>0.75509999999999999</v>
      </c>
      <c r="S79">
        <v>0.75460000000000005</v>
      </c>
      <c r="T79">
        <v>0.7671</v>
      </c>
      <c r="V79" s="10">
        <f t="shared" si="28"/>
        <v>2.6074999999999999</v>
      </c>
      <c r="W79">
        <f t="shared" si="29"/>
        <v>10220.35</v>
      </c>
      <c r="X79">
        <f t="shared" si="30"/>
        <v>0.75754999999999995</v>
      </c>
      <c r="Y79">
        <f t="shared" si="31"/>
        <v>2.605</v>
      </c>
      <c r="Z79">
        <f t="shared" si="32"/>
        <v>10220.540000000001</v>
      </c>
      <c r="AA79">
        <f t="shared" si="39"/>
        <v>0.76</v>
      </c>
      <c r="AB79">
        <f t="shared" si="33"/>
        <v>2.61</v>
      </c>
      <c r="AC79">
        <f t="shared" si="34"/>
        <v>10220.16</v>
      </c>
      <c r="AD79">
        <f t="shared" si="40"/>
        <v>0.75509999999999999</v>
      </c>
      <c r="AE79" t="str">
        <f t="shared" si="35"/>
        <v/>
      </c>
      <c r="AF79" t="str">
        <f t="shared" si="36"/>
        <v/>
      </c>
      <c r="AG79" t="str">
        <f t="shared" si="41"/>
        <v/>
      </c>
      <c r="AH79" t="str">
        <f t="shared" si="37"/>
        <v/>
      </c>
      <c r="AI79" t="str">
        <f t="shared" si="38"/>
        <v/>
      </c>
      <c r="AJ79" s="11" t="str">
        <f t="shared" si="42"/>
        <v/>
      </c>
      <c r="AM79" s="2">
        <v>46092</v>
      </c>
      <c r="AN79" t="s">
        <v>47</v>
      </c>
    </row>
    <row r="80" spans="1:40">
      <c r="A80" s="2">
        <v>45717</v>
      </c>
      <c r="B80">
        <v>2.6059999999999999</v>
      </c>
      <c r="C80">
        <v>10219.69</v>
      </c>
      <c r="D80">
        <v>0.75829999999999997</v>
      </c>
      <c r="E80">
        <v>2.6070000000000002</v>
      </c>
      <c r="F80">
        <v>10219.620000000001</v>
      </c>
      <c r="G80">
        <v>0.76119999999999999</v>
      </c>
      <c r="H80">
        <v>2.605</v>
      </c>
      <c r="I80">
        <v>10219.82</v>
      </c>
      <c r="J80">
        <v>2.61</v>
      </c>
      <c r="K80">
        <v>10219.43</v>
      </c>
      <c r="L80">
        <v>2.605</v>
      </c>
      <c r="M80">
        <v>10219.82</v>
      </c>
      <c r="N80">
        <v>2.61</v>
      </c>
      <c r="O80">
        <v>10219.43</v>
      </c>
      <c r="P80" s="2">
        <v>45717</v>
      </c>
      <c r="Q80">
        <v>0.76</v>
      </c>
      <c r="R80">
        <v>0.75780000000000003</v>
      </c>
      <c r="S80">
        <v>0.75729999999999997</v>
      </c>
      <c r="T80">
        <v>0.76980000000000004</v>
      </c>
      <c r="V80" s="10">
        <f t="shared" si="28"/>
        <v>2.6074999999999999</v>
      </c>
      <c r="W80">
        <f t="shared" si="29"/>
        <v>10219.625</v>
      </c>
      <c r="X80">
        <f t="shared" si="30"/>
        <v>0.75890000000000002</v>
      </c>
      <c r="Y80">
        <f t="shared" si="31"/>
        <v>2.605</v>
      </c>
      <c r="Z80">
        <f t="shared" si="32"/>
        <v>10219.82</v>
      </c>
      <c r="AA80">
        <f t="shared" si="39"/>
        <v>0.76</v>
      </c>
      <c r="AB80">
        <f t="shared" si="33"/>
        <v>2.61</v>
      </c>
      <c r="AC80">
        <f t="shared" si="34"/>
        <v>10219.43</v>
      </c>
      <c r="AD80">
        <f t="shared" si="40"/>
        <v>0.75780000000000003</v>
      </c>
      <c r="AE80" t="str">
        <f t="shared" si="35"/>
        <v/>
      </c>
      <c r="AF80" t="str">
        <f t="shared" si="36"/>
        <v/>
      </c>
      <c r="AG80" t="str">
        <f t="shared" si="41"/>
        <v/>
      </c>
      <c r="AH80" t="str">
        <f t="shared" si="37"/>
        <v/>
      </c>
      <c r="AI80" t="str">
        <f t="shared" si="38"/>
        <v/>
      </c>
      <c r="AJ80" s="11" t="str">
        <f t="shared" si="42"/>
        <v/>
      </c>
      <c r="AM80" s="2">
        <v>46120</v>
      </c>
      <c r="AN80" t="s">
        <v>47</v>
      </c>
    </row>
    <row r="81" spans="1:40">
      <c r="A81" s="2">
        <v>45716</v>
      </c>
      <c r="B81">
        <v>2.613</v>
      </c>
      <c r="C81">
        <v>10218.44</v>
      </c>
      <c r="D81">
        <v>0.76100000000000001</v>
      </c>
      <c r="E81">
        <v>2.6120000000000001</v>
      </c>
      <c r="F81">
        <v>10218.5</v>
      </c>
      <c r="G81">
        <v>0.76390000000000002</v>
      </c>
      <c r="H81">
        <v>2.61</v>
      </c>
      <c r="I81">
        <v>10218.700000000001</v>
      </c>
      <c r="J81">
        <v>2.6150000000000002</v>
      </c>
      <c r="K81">
        <v>10218.31</v>
      </c>
      <c r="L81">
        <v>2.6150000000000002</v>
      </c>
      <c r="M81">
        <v>10218.31</v>
      </c>
      <c r="N81">
        <v>2.61</v>
      </c>
      <c r="O81">
        <v>10218.700000000001</v>
      </c>
      <c r="P81" s="2">
        <v>45716</v>
      </c>
      <c r="Q81">
        <v>0.76270000000000004</v>
      </c>
      <c r="R81">
        <v>0.76049999999999995</v>
      </c>
      <c r="S81">
        <v>0.76</v>
      </c>
      <c r="T81">
        <v>0.77259999999999995</v>
      </c>
      <c r="V81" s="10">
        <f t="shared" si="28"/>
        <v>2.6124999999999998</v>
      </c>
      <c r="W81">
        <f t="shared" si="29"/>
        <v>10218.505000000001</v>
      </c>
      <c r="X81">
        <f t="shared" si="30"/>
        <v>0.76160000000000005</v>
      </c>
      <c r="Y81">
        <f t="shared" si="31"/>
        <v>2.61</v>
      </c>
      <c r="Z81">
        <f t="shared" si="32"/>
        <v>10218.700000000001</v>
      </c>
      <c r="AA81">
        <f t="shared" si="39"/>
        <v>0.76270000000000004</v>
      </c>
      <c r="AB81">
        <f t="shared" si="33"/>
        <v>2.6150000000000002</v>
      </c>
      <c r="AC81">
        <f t="shared" si="34"/>
        <v>10218.31</v>
      </c>
      <c r="AD81">
        <f t="shared" si="40"/>
        <v>0.76049999999999995</v>
      </c>
      <c r="AE81" t="str">
        <f t="shared" si="35"/>
        <v/>
      </c>
      <c r="AF81" t="str">
        <f t="shared" si="36"/>
        <v/>
      </c>
      <c r="AG81" t="str">
        <f t="shared" si="41"/>
        <v/>
      </c>
      <c r="AH81" t="str">
        <f t="shared" si="37"/>
        <v/>
      </c>
      <c r="AI81" t="str">
        <f t="shared" si="38"/>
        <v/>
      </c>
      <c r="AJ81" s="11" t="str">
        <f t="shared" si="42"/>
        <v/>
      </c>
      <c r="AM81" s="2">
        <v>46143</v>
      </c>
      <c r="AN81" t="s">
        <v>53</v>
      </c>
    </row>
    <row r="82" spans="1:40">
      <c r="A82" s="2">
        <v>45715</v>
      </c>
      <c r="B82">
        <v>2.6110000000000002</v>
      </c>
      <c r="C82">
        <v>10217.84</v>
      </c>
      <c r="D82">
        <v>0.76380000000000003</v>
      </c>
      <c r="E82">
        <v>2.6110000000000002</v>
      </c>
      <c r="F82">
        <v>10217.870000000001</v>
      </c>
      <c r="G82">
        <v>0.76659999999999995</v>
      </c>
      <c r="H82">
        <v>2.61</v>
      </c>
      <c r="I82">
        <v>10217.969999999999</v>
      </c>
      <c r="J82">
        <v>2.61</v>
      </c>
      <c r="K82">
        <v>10217.969999999999</v>
      </c>
      <c r="L82">
        <v>2.6150000000000002</v>
      </c>
      <c r="M82">
        <v>10217.58</v>
      </c>
      <c r="N82">
        <v>2.61</v>
      </c>
      <c r="O82">
        <v>10217.969999999999</v>
      </c>
      <c r="P82" s="2">
        <v>45715</v>
      </c>
      <c r="Q82">
        <v>0.76539999999999997</v>
      </c>
      <c r="R82">
        <v>0.76329999999999998</v>
      </c>
      <c r="S82">
        <v>0.76270000000000004</v>
      </c>
      <c r="T82">
        <v>0.77529999999999999</v>
      </c>
      <c r="V82" s="10">
        <f t="shared" si="28"/>
        <v>2.61</v>
      </c>
      <c r="W82">
        <f t="shared" si="29"/>
        <v>10217.969999999999</v>
      </c>
      <c r="X82">
        <f t="shared" si="30"/>
        <v>0.76434999999999997</v>
      </c>
      <c r="Y82">
        <f t="shared" si="31"/>
        <v>2.61</v>
      </c>
      <c r="Z82">
        <f t="shared" si="32"/>
        <v>10217.969999999999</v>
      </c>
      <c r="AA82">
        <f t="shared" si="39"/>
        <v>0.76539999999999997</v>
      </c>
      <c r="AB82">
        <f t="shared" si="33"/>
        <v>2.61</v>
      </c>
      <c r="AC82">
        <f t="shared" si="34"/>
        <v>10217.969999999999</v>
      </c>
      <c r="AD82">
        <f t="shared" si="40"/>
        <v>0.76329999999999998</v>
      </c>
      <c r="AE82" t="str">
        <f t="shared" si="35"/>
        <v/>
      </c>
      <c r="AF82" t="str">
        <f t="shared" si="36"/>
        <v/>
      </c>
      <c r="AG82" t="str">
        <f t="shared" si="41"/>
        <v/>
      </c>
      <c r="AH82" t="str">
        <f t="shared" si="37"/>
        <v/>
      </c>
      <c r="AI82" t="str">
        <f t="shared" si="38"/>
        <v/>
      </c>
      <c r="AJ82" s="11" t="str">
        <f t="shared" si="42"/>
        <v/>
      </c>
      <c r="AM82" s="2">
        <v>46147</v>
      </c>
      <c r="AN82" t="s">
        <v>54</v>
      </c>
    </row>
    <row r="83" spans="1:40">
      <c r="A83" s="2">
        <v>45714</v>
      </c>
      <c r="B83">
        <v>2.6230000000000002</v>
      </c>
      <c r="C83">
        <v>10216.200000000001</v>
      </c>
      <c r="D83">
        <v>0.76639999999999997</v>
      </c>
      <c r="E83">
        <v>2.6219999999999999</v>
      </c>
      <c r="F83">
        <v>10216.26</v>
      </c>
      <c r="G83">
        <v>0.76929999999999998</v>
      </c>
      <c r="H83">
        <v>2.625</v>
      </c>
      <c r="I83">
        <v>10216.07</v>
      </c>
      <c r="J83">
        <v>2.62</v>
      </c>
      <c r="K83">
        <v>10216.459999999999</v>
      </c>
      <c r="L83">
        <v>2.625</v>
      </c>
      <c r="M83">
        <v>10216.07</v>
      </c>
      <c r="N83">
        <v>2.62</v>
      </c>
      <c r="O83">
        <v>10216.459999999999</v>
      </c>
      <c r="P83" s="2">
        <v>45714</v>
      </c>
      <c r="Q83">
        <v>0.7681</v>
      </c>
      <c r="R83">
        <v>0.76590000000000003</v>
      </c>
      <c r="S83">
        <v>0.76529999999999998</v>
      </c>
      <c r="T83">
        <v>0.77810000000000001</v>
      </c>
      <c r="V83" s="10">
        <f t="shared" si="28"/>
        <v>2.6225000000000001</v>
      </c>
      <c r="W83">
        <f t="shared" si="29"/>
        <v>10216.264999999999</v>
      </c>
      <c r="X83">
        <f t="shared" si="30"/>
        <v>0.76700000000000002</v>
      </c>
      <c r="Y83">
        <f t="shared" si="31"/>
        <v>2.625</v>
      </c>
      <c r="Z83">
        <f t="shared" si="32"/>
        <v>10216.07</v>
      </c>
      <c r="AA83">
        <f t="shared" si="39"/>
        <v>0.7681</v>
      </c>
      <c r="AB83">
        <f t="shared" si="33"/>
        <v>2.62</v>
      </c>
      <c r="AC83">
        <f t="shared" si="34"/>
        <v>10216.459999999999</v>
      </c>
      <c r="AD83">
        <f t="shared" si="40"/>
        <v>0.76590000000000003</v>
      </c>
      <c r="AE83" t="str">
        <f t="shared" si="35"/>
        <v/>
      </c>
      <c r="AF83" t="str">
        <f t="shared" si="36"/>
        <v/>
      </c>
      <c r="AG83" t="str">
        <f t="shared" si="41"/>
        <v/>
      </c>
      <c r="AH83" t="str">
        <f t="shared" si="37"/>
        <v/>
      </c>
      <c r="AI83" t="str">
        <f t="shared" si="38"/>
        <v/>
      </c>
      <c r="AJ83" s="11" t="str">
        <f t="shared" si="42"/>
        <v/>
      </c>
      <c r="AM83" s="2">
        <v>46148</v>
      </c>
      <c r="AN83" t="s">
        <v>47</v>
      </c>
    </row>
    <row r="84" spans="1:40">
      <c r="A84" s="2">
        <v>45713</v>
      </c>
      <c r="B84">
        <v>2.633</v>
      </c>
      <c r="C84">
        <v>10214.68</v>
      </c>
      <c r="D84">
        <v>0.76910000000000001</v>
      </c>
      <c r="E84">
        <v>2.6320000000000001</v>
      </c>
      <c r="F84">
        <v>10214.75</v>
      </c>
      <c r="G84">
        <v>0.77200000000000002</v>
      </c>
      <c r="H84">
        <v>2.6349999999999998</v>
      </c>
      <c r="I84">
        <v>10214.549999999999</v>
      </c>
      <c r="J84">
        <v>2.63</v>
      </c>
      <c r="K84">
        <v>10214.950000000001</v>
      </c>
      <c r="L84">
        <v>2.6349999999999998</v>
      </c>
      <c r="M84">
        <v>10214.549999999999</v>
      </c>
      <c r="N84">
        <v>2.63</v>
      </c>
      <c r="O84">
        <v>10214.950000000001</v>
      </c>
      <c r="P84" s="2">
        <v>45713</v>
      </c>
      <c r="Q84">
        <v>0.77070000000000005</v>
      </c>
      <c r="R84">
        <v>0.76859999999999995</v>
      </c>
      <c r="S84">
        <v>0.76800000000000002</v>
      </c>
      <c r="T84">
        <v>0.78080000000000005</v>
      </c>
      <c r="V84" s="10">
        <f t="shared" si="28"/>
        <v>2.6324999999999998</v>
      </c>
      <c r="W84">
        <f t="shared" si="29"/>
        <v>10214.75</v>
      </c>
      <c r="X84">
        <f t="shared" si="30"/>
        <v>0.76964999999999995</v>
      </c>
      <c r="Y84">
        <f t="shared" si="31"/>
        <v>2.6349999999999998</v>
      </c>
      <c r="Z84">
        <f t="shared" si="32"/>
        <v>10214.549999999999</v>
      </c>
      <c r="AA84">
        <f t="shared" si="39"/>
        <v>0.77070000000000005</v>
      </c>
      <c r="AB84">
        <f t="shared" si="33"/>
        <v>2.63</v>
      </c>
      <c r="AC84">
        <f t="shared" si="34"/>
        <v>10214.950000000001</v>
      </c>
      <c r="AD84">
        <f t="shared" si="40"/>
        <v>0.76859999999999995</v>
      </c>
      <c r="AE84" t="str">
        <f t="shared" si="35"/>
        <v/>
      </c>
      <c r="AF84" t="str">
        <f t="shared" si="36"/>
        <v/>
      </c>
      <c r="AG84" t="str">
        <f t="shared" si="41"/>
        <v/>
      </c>
      <c r="AH84" t="str">
        <f t="shared" si="37"/>
        <v/>
      </c>
      <c r="AI84" t="str">
        <f t="shared" si="38"/>
        <v/>
      </c>
      <c r="AJ84" s="11" t="str">
        <f t="shared" si="42"/>
        <v/>
      </c>
      <c r="AM84" s="2">
        <v>46166</v>
      </c>
      <c r="AN84" t="s">
        <v>56</v>
      </c>
    </row>
    <row r="85" spans="1:40">
      <c r="A85" s="2">
        <v>45712</v>
      </c>
      <c r="B85">
        <v>2.641</v>
      </c>
      <c r="C85">
        <v>10213.290000000001</v>
      </c>
      <c r="D85">
        <v>0.77349999999999997</v>
      </c>
      <c r="E85">
        <v>2.641</v>
      </c>
      <c r="F85">
        <v>10213.33</v>
      </c>
      <c r="G85">
        <v>0.77600000000000002</v>
      </c>
      <c r="H85">
        <v>2.645</v>
      </c>
      <c r="I85">
        <v>10213.030000000001</v>
      </c>
      <c r="J85">
        <v>2.64</v>
      </c>
      <c r="K85">
        <v>10213.43</v>
      </c>
      <c r="L85">
        <v>2.64</v>
      </c>
      <c r="M85">
        <v>10213.43</v>
      </c>
      <c r="N85">
        <v>2.64</v>
      </c>
      <c r="O85">
        <v>10213.43</v>
      </c>
      <c r="P85" s="2">
        <v>45712</v>
      </c>
      <c r="Q85">
        <v>0.77880000000000005</v>
      </c>
      <c r="R85">
        <v>0.7712</v>
      </c>
      <c r="S85">
        <v>0.77070000000000005</v>
      </c>
      <c r="T85">
        <v>0.78359999999999996</v>
      </c>
      <c r="V85" s="10">
        <f t="shared" si="28"/>
        <v>2.6425000000000001</v>
      </c>
      <c r="W85">
        <f t="shared" si="29"/>
        <v>10213.23</v>
      </c>
      <c r="X85">
        <f t="shared" si="30"/>
        <v>0.77500000000000002</v>
      </c>
      <c r="Y85">
        <f t="shared" si="31"/>
        <v>2.645</v>
      </c>
      <c r="Z85">
        <f t="shared" si="32"/>
        <v>10213.030000000001</v>
      </c>
      <c r="AA85">
        <f t="shared" si="39"/>
        <v>0.77880000000000005</v>
      </c>
      <c r="AB85">
        <f t="shared" si="33"/>
        <v>2.64</v>
      </c>
      <c r="AC85">
        <f t="shared" si="34"/>
        <v>10213.43</v>
      </c>
      <c r="AD85">
        <f t="shared" si="40"/>
        <v>0.7712</v>
      </c>
      <c r="AE85" t="str">
        <f t="shared" si="35"/>
        <v/>
      </c>
      <c r="AF85" t="str">
        <f t="shared" si="36"/>
        <v/>
      </c>
      <c r="AG85" t="str">
        <f t="shared" si="41"/>
        <v/>
      </c>
      <c r="AH85" t="str">
        <f t="shared" si="37"/>
        <v/>
      </c>
      <c r="AI85" t="str">
        <f t="shared" si="38"/>
        <v/>
      </c>
      <c r="AJ85" s="11" t="str">
        <f t="shared" si="42"/>
        <v/>
      </c>
      <c r="AM85" s="2">
        <v>46167</v>
      </c>
      <c r="AN85" t="s">
        <v>68</v>
      </c>
    </row>
    <row r="86" spans="1:40">
      <c r="A86" s="2">
        <v>45711</v>
      </c>
      <c r="B86">
        <v>2.641</v>
      </c>
      <c r="C86">
        <v>10212.56</v>
      </c>
      <c r="D86">
        <v>0.77539999999999998</v>
      </c>
      <c r="E86">
        <v>2.641</v>
      </c>
      <c r="F86">
        <v>10212.59</v>
      </c>
      <c r="G86">
        <v>0.77810000000000001</v>
      </c>
      <c r="H86">
        <v>2.645</v>
      </c>
      <c r="I86">
        <v>10212.299999999999</v>
      </c>
      <c r="J86">
        <v>2.64</v>
      </c>
      <c r="K86">
        <v>10212.69</v>
      </c>
      <c r="L86">
        <v>2.64</v>
      </c>
      <c r="M86">
        <v>10212.69</v>
      </c>
      <c r="N86">
        <v>2.64</v>
      </c>
      <c r="O86">
        <v>10212.69</v>
      </c>
      <c r="P86" s="2">
        <v>45711</v>
      </c>
      <c r="Q86">
        <v>0.77880000000000005</v>
      </c>
      <c r="R86">
        <v>0.77400000000000002</v>
      </c>
      <c r="S86">
        <v>0.77339999999999998</v>
      </c>
      <c r="T86">
        <v>0.7863</v>
      </c>
      <c r="V86" s="10">
        <f t="shared" si="28"/>
        <v>2.6425000000000001</v>
      </c>
      <c r="W86">
        <f t="shared" si="29"/>
        <v>10212.494999999999</v>
      </c>
      <c r="X86">
        <f t="shared" si="30"/>
        <v>0.77639999999999998</v>
      </c>
      <c r="Y86">
        <f t="shared" si="31"/>
        <v>2.645</v>
      </c>
      <c r="Z86">
        <f t="shared" si="32"/>
        <v>10212.299999999999</v>
      </c>
      <c r="AA86">
        <f t="shared" si="39"/>
        <v>0.77880000000000005</v>
      </c>
      <c r="AB86">
        <f t="shared" si="33"/>
        <v>2.64</v>
      </c>
      <c r="AC86">
        <f t="shared" si="34"/>
        <v>10212.69</v>
      </c>
      <c r="AD86">
        <f t="shared" si="40"/>
        <v>0.77400000000000002</v>
      </c>
      <c r="AE86" t="str">
        <f t="shared" si="35"/>
        <v/>
      </c>
      <c r="AF86" t="str">
        <f t="shared" si="36"/>
        <v/>
      </c>
      <c r="AG86" t="str">
        <f t="shared" si="41"/>
        <v/>
      </c>
      <c r="AH86" t="str">
        <f t="shared" si="37"/>
        <v/>
      </c>
      <c r="AI86" t="str">
        <f t="shared" si="38"/>
        <v/>
      </c>
      <c r="AJ86" s="11" t="str">
        <f t="shared" si="42"/>
        <v/>
      </c>
      <c r="AM86" s="2">
        <v>46179</v>
      </c>
      <c r="AN86" t="s">
        <v>57</v>
      </c>
    </row>
    <row r="87" spans="1:40">
      <c r="A87" s="2">
        <v>45710</v>
      </c>
      <c r="B87">
        <v>2.641</v>
      </c>
      <c r="C87">
        <v>10211.82</v>
      </c>
      <c r="D87">
        <v>0.7772</v>
      </c>
      <c r="E87">
        <v>2.641</v>
      </c>
      <c r="F87">
        <v>10211.86</v>
      </c>
      <c r="G87">
        <v>0.78010000000000002</v>
      </c>
      <c r="H87">
        <v>2.645</v>
      </c>
      <c r="I87">
        <v>10211.56</v>
      </c>
      <c r="J87">
        <v>2.64</v>
      </c>
      <c r="K87">
        <v>10211.959999999999</v>
      </c>
      <c r="L87">
        <v>2.64</v>
      </c>
      <c r="M87">
        <v>10211.959999999999</v>
      </c>
      <c r="N87">
        <v>2.64</v>
      </c>
      <c r="O87">
        <v>10211.959999999999</v>
      </c>
      <c r="P87" s="2">
        <v>45710</v>
      </c>
      <c r="Q87">
        <v>0.77880000000000005</v>
      </c>
      <c r="R87">
        <v>0.77669999999999995</v>
      </c>
      <c r="S87">
        <v>0.77610000000000001</v>
      </c>
      <c r="T87">
        <v>0.78910000000000002</v>
      </c>
      <c r="V87" s="10">
        <f t="shared" si="28"/>
        <v>2.6425000000000001</v>
      </c>
      <c r="W87">
        <f t="shared" si="29"/>
        <v>10211.759999999998</v>
      </c>
      <c r="X87">
        <f t="shared" si="30"/>
        <v>0.77774999999999994</v>
      </c>
      <c r="Y87">
        <f t="shared" si="31"/>
        <v>2.645</v>
      </c>
      <c r="Z87">
        <f t="shared" si="32"/>
        <v>10211.56</v>
      </c>
      <c r="AA87">
        <f t="shared" si="39"/>
        <v>0.77880000000000005</v>
      </c>
      <c r="AB87">
        <f t="shared" si="33"/>
        <v>2.64</v>
      </c>
      <c r="AC87">
        <f t="shared" si="34"/>
        <v>10211.959999999999</v>
      </c>
      <c r="AD87">
        <f t="shared" si="40"/>
        <v>0.77669999999999995</v>
      </c>
      <c r="AE87" t="str">
        <f t="shared" si="35"/>
        <v/>
      </c>
      <c r="AF87" t="str">
        <f t="shared" si="36"/>
        <v/>
      </c>
      <c r="AG87" t="str">
        <f t="shared" si="41"/>
        <v/>
      </c>
      <c r="AH87" t="str">
        <f t="shared" si="37"/>
        <v/>
      </c>
      <c r="AI87" t="str">
        <f t="shared" si="38"/>
        <v/>
      </c>
      <c r="AJ87" s="11" t="str">
        <f t="shared" si="42"/>
        <v/>
      </c>
      <c r="AM87" s="2">
        <v>46183</v>
      </c>
      <c r="AN87" t="s">
        <v>47</v>
      </c>
    </row>
    <row r="88" spans="1:40">
      <c r="A88" s="2">
        <v>45709</v>
      </c>
      <c r="B88">
        <v>2.6419999999999999</v>
      </c>
      <c r="C88">
        <v>10211.030000000001</v>
      </c>
      <c r="D88">
        <v>0.77990000000000004</v>
      </c>
      <c r="E88">
        <v>2.641</v>
      </c>
      <c r="F88">
        <v>10211.08</v>
      </c>
      <c r="G88">
        <v>0.78280000000000005</v>
      </c>
      <c r="H88">
        <v>2.645</v>
      </c>
      <c r="I88">
        <v>10210.82</v>
      </c>
      <c r="J88">
        <v>2.64</v>
      </c>
      <c r="K88">
        <v>10211.219999999999</v>
      </c>
      <c r="L88">
        <v>2.6419999999999999</v>
      </c>
      <c r="M88">
        <v>10211.06</v>
      </c>
      <c r="N88">
        <v>2.64</v>
      </c>
      <c r="O88">
        <v>10211.219999999999</v>
      </c>
      <c r="P88" s="2">
        <v>45709</v>
      </c>
      <c r="Q88">
        <v>0.78149999999999997</v>
      </c>
      <c r="R88">
        <v>0.77939999999999998</v>
      </c>
      <c r="S88">
        <v>0.77880000000000005</v>
      </c>
      <c r="T88">
        <v>0.79179999999999995</v>
      </c>
      <c r="V88" s="10">
        <f t="shared" si="28"/>
        <v>2.6425000000000001</v>
      </c>
      <c r="W88">
        <f t="shared" si="29"/>
        <v>10211.02</v>
      </c>
      <c r="X88">
        <f t="shared" si="30"/>
        <v>0.78044999999999998</v>
      </c>
      <c r="Y88">
        <f t="shared" si="31"/>
        <v>2.645</v>
      </c>
      <c r="Z88">
        <f t="shared" si="32"/>
        <v>10210.82</v>
      </c>
      <c r="AA88">
        <f t="shared" si="39"/>
        <v>0.78149999999999997</v>
      </c>
      <c r="AB88">
        <f t="shared" si="33"/>
        <v>2.64</v>
      </c>
      <c r="AC88">
        <f t="shared" si="34"/>
        <v>10211.219999999999</v>
      </c>
      <c r="AD88">
        <f t="shared" si="40"/>
        <v>0.77939999999999998</v>
      </c>
      <c r="AE88" t="str">
        <f t="shared" si="35"/>
        <v/>
      </c>
      <c r="AF88" t="str">
        <f t="shared" si="36"/>
        <v/>
      </c>
      <c r="AG88" t="str">
        <f t="shared" si="41"/>
        <v/>
      </c>
      <c r="AH88" t="str">
        <f t="shared" si="37"/>
        <v/>
      </c>
      <c r="AI88" t="str">
        <f t="shared" si="38"/>
        <v/>
      </c>
      <c r="AJ88" s="11" t="str">
        <f t="shared" si="42"/>
        <v/>
      </c>
      <c r="AM88" s="2">
        <v>46211</v>
      </c>
      <c r="AN88" t="s">
        <v>47</v>
      </c>
    </row>
    <row r="89" spans="1:40">
      <c r="A89" s="2">
        <v>45708</v>
      </c>
      <c r="B89">
        <v>2.641</v>
      </c>
      <c r="C89">
        <v>10210.35</v>
      </c>
      <c r="D89">
        <v>0.78259999999999996</v>
      </c>
      <c r="E89">
        <v>2.641</v>
      </c>
      <c r="F89">
        <v>10210.39</v>
      </c>
      <c r="G89">
        <v>0.78559999999999997</v>
      </c>
      <c r="H89">
        <v>2.645</v>
      </c>
      <c r="I89">
        <v>10210.09</v>
      </c>
      <c r="J89">
        <v>2.64</v>
      </c>
      <c r="K89">
        <v>10210.49</v>
      </c>
      <c r="L89">
        <v>2.64</v>
      </c>
      <c r="M89">
        <v>10210.49</v>
      </c>
      <c r="N89">
        <v>2.64</v>
      </c>
      <c r="O89">
        <v>10210.49</v>
      </c>
      <c r="P89" s="2">
        <v>45708</v>
      </c>
      <c r="Q89">
        <v>0.78420000000000001</v>
      </c>
      <c r="R89">
        <v>0.78210000000000002</v>
      </c>
      <c r="S89">
        <v>0.78159999999999996</v>
      </c>
      <c r="T89">
        <v>0.79459999999999997</v>
      </c>
      <c r="V89" s="10">
        <f t="shared" si="28"/>
        <v>2.6425000000000001</v>
      </c>
      <c r="W89">
        <f t="shared" si="29"/>
        <v>10210.290000000001</v>
      </c>
      <c r="X89">
        <f t="shared" si="30"/>
        <v>0.78315000000000001</v>
      </c>
      <c r="Y89">
        <f t="shared" si="31"/>
        <v>2.645</v>
      </c>
      <c r="Z89">
        <f t="shared" si="32"/>
        <v>10210.09</v>
      </c>
      <c r="AA89">
        <f t="shared" si="39"/>
        <v>0.78420000000000001</v>
      </c>
      <c r="AB89">
        <f t="shared" si="33"/>
        <v>2.64</v>
      </c>
      <c r="AC89">
        <f t="shared" si="34"/>
        <v>10210.49</v>
      </c>
      <c r="AD89">
        <f t="shared" si="40"/>
        <v>0.78210000000000002</v>
      </c>
      <c r="AE89" t="str">
        <f t="shared" si="35"/>
        <v/>
      </c>
      <c r="AF89" t="str">
        <f t="shared" si="36"/>
        <v/>
      </c>
      <c r="AG89" t="str">
        <f t="shared" si="41"/>
        <v/>
      </c>
      <c r="AH89" t="str">
        <f t="shared" si="37"/>
        <v/>
      </c>
      <c r="AI89" t="str">
        <f t="shared" si="38"/>
        <v/>
      </c>
      <c r="AJ89" s="11" t="str">
        <f t="shared" si="42"/>
        <v/>
      </c>
      <c r="AM89" s="2">
        <v>46239</v>
      </c>
      <c r="AN89" t="s">
        <v>47</v>
      </c>
    </row>
    <row r="90" spans="1:40">
      <c r="A90" s="2">
        <v>45707</v>
      </c>
      <c r="B90">
        <v>2.6509999999999998</v>
      </c>
      <c r="C90">
        <v>10208.81</v>
      </c>
      <c r="D90">
        <v>0.78520000000000001</v>
      </c>
      <c r="E90">
        <v>2.6509999999999998</v>
      </c>
      <c r="F90">
        <v>10208.85</v>
      </c>
      <c r="G90">
        <v>0.78820000000000001</v>
      </c>
      <c r="H90">
        <v>2.6549999999999998</v>
      </c>
      <c r="I90">
        <v>10208.549999999999</v>
      </c>
      <c r="J90">
        <v>2.65</v>
      </c>
      <c r="K90">
        <v>10208.950000000001</v>
      </c>
      <c r="L90">
        <v>2.65</v>
      </c>
      <c r="M90">
        <v>10208.950000000001</v>
      </c>
      <c r="N90">
        <v>2.65</v>
      </c>
      <c r="O90">
        <v>10208.950000000001</v>
      </c>
      <c r="P90" s="2">
        <v>45707</v>
      </c>
      <c r="Q90">
        <v>0.78690000000000004</v>
      </c>
      <c r="R90">
        <v>0.78469999999999995</v>
      </c>
      <c r="S90">
        <v>0.78420000000000001</v>
      </c>
      <c r="T90">
        <v>0.79730000000000001</v>
      </c>
      <c r="V90" s="10">
        <f t="shared" si="28"/>
        <v>2.6524999999999999</v>
      </c>
      <c r="W90">
        <f t="shared" si="29"/>
        <v>10208.75</v>
      </c>
      <c r="X90">
        <f t="shared" si="30"/>
        <v>0.78580000000000005</v>
      </c>
      <c r="Y90">
        <f t="shared" si="31"/>
        <v>2.6549999999999998</v>
      </c>
      <c r="Z90">
        <f t="shared" si="32"/>
        <v>10208.549999999999</v>
      </c>
      <c r="AA90">
        <f t="shared" si="39"/>
        <v>0.78690000000000004</v>
      </c>
      <c r="AB90">
        <f t="shared" si="33"/>
        <v>2.65</v>
      </c>
      <c r="AC90">
        <f t="shared" si="34"/>
        <v>10208.950000000001</v>
      </c>
      <c r="AD90">
        <f t="shared" si="40"/>
        <v>0.78469999999999995</v>
      </c>
      <c r="AE90" t="str">
        <f t="shared" si="35"/>
        <v/>
      </c>
      <c r="AF90" t="str">
        <f t="shared" si="36"/>
        <v/>
      </c>
      <c r="AG90" t="str">
        <f t="shared" si="41"/>
        <v/>
      </c>
      <c r="AH90" t="str">
        <f t="shared" si="37"/>
        <v/>
      </c>
      <c r="AI90" t="str">
        <f t="shared" si="38"/>
        <v/>
      </c>
      <c r="AJ90" s="11" t="str">
        <f t="shared" si="42"/>
        <v/>
      </c>
      <c r="AM90" s="2">
        <v>46249</v>
      </c>
      <c r="AN90" t="s">
        <v>58</v>
      </c>
    </row>
    <row r="91" spans="1:40">
      <c r="A91" s="2">
        <v>45706</v>
      </c>
      <c r="B91">
        <v>2.653</v>
      </c>
      <c r="C91">
        <v>10207.94</v>
      </c>
      <c r="D91">
        <v>0.78790000000000004</v>
      </c>
      <c r="E91">
        <v>2.6549999999999998</v>
      </c>
      <c r="F91">
        <v>10207.81</v>
      </c>
      <c r="G91">
        <v>0.79100000000000004</v>
      </c>
      <c r="H91">
        <v>2.6549999999999998</v>
      </c>
      <c r="I91">
        <v>10207.81</v>
      </c>
      <c r="J91">
        <v>2.6549999999999998</v>
      </c>
      <c r="K91">
        <v>10207.81</v>
      </c>
      <c r="L91">
        <v>2.65</v>
      </c>
      <c r="M91">
        <v>10208.209999999999</v>
      </c>
      <c r="N91">
        <v>2.66</v>
      </c>
      <c r="O91">
        <v>10207.41</v>
      </c>
      <c r="P91" s="2">
        <v>45706</v>
      </c>
      <c r="Q91">
        <v>0.78959999999999997</v>
      </c>
      <c r="R91">
        <v>0.78739999999999999</v>
      </c>
      <c r="S91">
        <v>0.78690000000000004</v>
      </c>
      <c r="T91">
        <v>0.80010000000000003</v>
      </c>
      <c r="V91" s="10">
        <f t="shared" si="28"/>
        <v>2.6549999999999998</v>
      </c>
      <c r="W91">
        <f t="shared" si="29"/>
        <v>10207.81</v>
      </c>
      <c r="X91">
        <f t="shared" si="30"/>
        <v>0.78849999999999998</v>
      </c>
      <c r="Y91">
        <f t="shared" si="31"/>
        <v>2.6549999999999998</v>
      </c>
      <c r="Z91">
        <f t="shared" si="32"/>
        <v>10207.81</v>
      </c>
      <c r="AA91">
        <f t="shared" si="39"/>
        <v>0.78959999999999997</v>
      </c>
      <c r="AB91">
        <f t="shared" si="33"/>
        <v>2.6549999999999998</v>
      </c>
      <c r="AC91">
        <f t="shared" si="34"/>
        <v>10207.81</v>
      </c>
      <c r="AD91">
        <f t="shared" si="40"/>
        <v>0.78739999999999999</v>
      </c>
      <c r="AE91" t="str">
        <f t="shared" si="35"/>
        <v/>
      </c>
      <c r="AF91" t="str">
        <f t="shared" si="36"/>
        <v/>
      </c>
      <c r="AG91" t="str">
        <f t="shared" si="41"/>
        <v/>
      </c>
      <c r="AH91" t="str">
        <f t="shared" si="37"/>
        <v/>
      </c>
      <c r="AI91" t="str">
        <f t="shared" si="38"/>
        <v/>
      </c>
      <c r="AJ91" s="11" t="str">
        <f t="shared" si="42"/>
        <v/>
      </c>
      <c r="AM91" s="2">
        <v>46251</v>
      </c>
      <c r="AN91" t="s">
        <v>81</v>
      </c>
    </row>
    <row r="92" spans="1:40">
      <c r="A92" s="2">
        <v>45705</v>
      </c>
      <c r="B92">
        <v>2.6509999999999998</v>
      </c>
      <c r="C92">
        <v>10207.34</v>
      </c>
      <c r="D92">
        <v>0.79249999999999998</v>
      </c>
      <c r="E92">
        <v>2.6520000000000001</v>
      </c>
      <c r="F92">
        <v>10207.27</v>
      </c>
      <c r="G92">
        <v>0.79500000000000004</v>
      </c>
      <c r="H92">
        <v>2.65</v>
      </c>
      <c r="I92">
        <v>10207.48</v>
      </c>
      <c r="J92">
        <v>2.65</v>
      </c>
      <c r="K92">
        <v>10207.48</v>
      </c>
      <c r="L92">
        <v>2.6549999999999998</v>
      </c>
      <c r="M92">
        <v>10207.07</v>
      </c>
      <c r="N92">
        <v>2.6549999999999998</v>
      </c>
      <c r="O92">
        <v>10207.07</v>
      </c>
      <c r="P92" s="2">
        <v>45705</v>
      </c>
      <c r="Q92">
        <v>0.79779999999999995</v>
      </c>
      <c r="R92">
        <v>0.79010000000000002</v>
      </c>
      <c r="S92">
        <v>0.78959999999999997</v>
      </c>
      <c r="T92">
        <v>0.80279999999999996</v>
      </c>
      <c r="V92" s="10">
        <f t="shared" si="28"/>
        <v>2.65</v>
      </c>
      <c r="W92">
        <f t="shared" si="29"/>
        <v>10207.48</v>
      </c>
      <c r="X92">
        <f t="shared" si="30"/>
        <v>0.79394999999999993</v>
      </c>
      <c r="Y92">
        <f t="shared" si="31"/>
        <v>2.65</v>
      </c>
      <c r="Z92">
        <f t="shared" si="32"/>
        <v>10207.48</v>
      </c>
      <c r="AA92">
        <f t="shared" si="39"/>
        <v>0.79779999999999995</v>
      </c>
      <c r="AB92">
        <f t="shared" si="33"/>
        <v>2.65</v>
      </c>
      <c r="AC92">
        <f t="shared" si="34"/>
        <v>10207.48</v>
      </c>
      <c r="AD92">
        <f t="shared" si="40"/>
        <v>0.79010000000000002</v>
      </c>
      <c r="AE92" t="str">
        <f t="shared" si="35"/>
        <v/>
      </c>
      <c r="AF92" t="str">
        <f t="shared" si="36"/>
        <v/>
      </c>
      <c r="AG92" t="str">
        <f t="shared" si="41"/>
        <v/>
      </c>
      <c r="AH92" t="str">
        <f t="shared" si="37"/>
        <v/>
      </c>
      <c r="AI92" t="str">
        <f t="shared" si="38"/>
        <v/>
      </c>
      <c r="AJ92" s="11" t="str">
        <f t="shared" si="42"/>
        <v/>
      </c>
      <c r="AM92" s="2">
        <v>46274</v>
      </c>
      <c r="AN92" t="s">
        <v>47</v>
      </c>
    </row>
    <row r="93" spans="1:40">
      <c r="A93" s="2">
        <v>45704</v>
      </c>
      <c r="B93">
        <v>2.6509999999999998</v>
      </c>
      <c r="C93">
        <v>10206.6</v>
      </c>
      <c r="D93">
        <v>0.79430000000000001</v>
      </c>
      <c r="E93">
        <v>2.6520000000000001</v>
      </c>
      <c r="F93">
        <v>10206.530000000001</v>
      </c>
      <c r="G93">
        <v>0.79710000000000003</v>
      </c>
      <c r="H93">
        <v>2.65</v>
      </c>
      <c r="I93">
        <v>10206.74</v>
      </c>
      <c r="J93">
        <v>2.65</v>
      </c>
      <c r="K93">
        <v>10206.74</v>
      </c>
      <c r="L93">
        <v>2.6549999999999998</v>
      </c>
      <c r="M93">
        <v>10206.33</v>
      </c>
      <c r="N93">
        <v>2.6549999999999998</v>
      </c>
      <c r="O93">
        <v>10206.33</v>
      </c>
      <c r="P93" s="2">
        <v>45704</v>
      </c>
      <c r="Q93">
        <v>0.79779999999999995</v>
      </c>
      <c r="R93">
        <v>0.79279999999999995</v>
      </c>
      <c r="S93">
        <v>0.7923</v>
      </c>
      <c r="T93">
        <v>0.80559999999999998</v>
      </c>
      <c r="V93" s="10">
        <f t="shared" si="28"/>
        <v>2.65</v>
      </c>
      <c r="W93">
        <f t="shared" si="29"/>
        <v>10206.74</v>
      </c>
      <c r="X93">
        <f t="shared" si="30"/>
        <v>0.7952999999999999</v>
      </c>
      <c r="Y93">
        <f t="shared" si="31"/>
        <v>2.65</v>
      </c>
      <c r="Z93">
        <f t="shared" si="32"/>
        <v>10206.74</v>
      </c>
      <c r="AA93">
        <f t="shared" si="39"/>
        <v>0.79779999999999995</v>
      </c>
      <c r="AB93">
        <f t="shared" si="33"/>
        <v>2.65</v>
      </c>
      <c r="AC93">
        <f t="shared" si="34"/>
        <v>10206.74</v>
      </c>
      <c r="AD93">
        <f t="shared" si="40"/>
        <v>0.79279999999999995</v>
      </c>
      <c r="AE93" t="str">
        <f t="shared" si="35"/>
        <v/>
      </c>
      <c r="AF93" t="str">
        <f t="shared" si="36"/>
        <v/>
      </c>
      <c r="AG93" t="str">
        <f t="shared" si="41"/>
        <v/>
      </c>
      <c r="AH93" t="str">
        <f t="shared" si="37"/>
        <v/>
      </c>
      <c r="AI93" t="str">
        <f t="shared" si="38"/>
        <v/>
      </c>
      <c r="AJ93" s="11" t="str">
        <f t="shared" si="42"/>
        <v/>
      </c>
      <c r="AM93" s="2">
        <v>46289</v>
      </c>
      <c r="AN93" t="s">
        <v>59</v>
      </c>
    </row>
    <row r="94" spans="1:40">
      <c r="A94" s="2">
        <v>45703</v>
      </c>
      <c r="B94">
        <v>2.6509999999999998</v>
      </c>
      <c r="C94">
        <v>10205.86</v>
      </c>
      <c r="D94">
        <v>0.79610000000000003</v>
      </c>
      <c r="E94">
        <v>2.6520000000000001</v>
      </c>
      <c r="F94">
        <v>10205.799999999999</v>
      </c>
      <c r="G94">
        <v>0.79910000000000003</v>
      </c>
      <c r="H94">
        <v>2.65</v>
      </c>
      <c r="I94">
        <v>10206</v>
      </c>
      <c r="J94">
        <v>2.65</v>
      </c>
      <c r="K94">
        <v>10206</v>
      </c>
      <c r="L94">
        <v>2.6549999999999998</v>
      </c>
      <c r="M94">
        <v>10205.6</v>
      </c>
      <c r="N94">
        <v>2.6549999999999998</v>
      </c>
      <c r="O94">
        <v>10205.6</v>
      </c>
      <c r="P94" s="2">
        <v>45703</v>
      </c>
      <c r="Q94">
        <v>0.79779999999999995</v>
      </c>
      <c r="R94">
        <v>0.79549999999999998</v>
      </c>
      <c r="S94">
        <v>0.79510000000000003</v>
      </c>
      <c r="T94">
        <v>0.80830000000000002</v>
      </c>
      <c r="V94" s="10">
        <f t="shared" si="28"/>
        <v>2.65</v>
      </c>
      <c r="W94">
        <f t="shared" si="29"/>
        <v>10206</v>
      </c>
      <c r="X94">
        <f t="shared" si="30"/>
        <v>0.79664999999999997</v>
      </c>
      <c r="Y94">
        <f t="shared" si="31"/>
        <v>2.65</v>
      </c>
      <c r="Z94">
        <f t="shared" si="32"/>
        <v>10206</v>
      </c>
      <c r="AA94">
        <f t="shared" si="39"/>
        <v>0.79779999999999995</v>
      </c>
      <c r="AB94">
        <f t="shared" si="33"/>
        <v>2.65</v>
      </c>
      <c r="AC94">
        <f t="shared" si="34"/>
        <v>10206</v>
      </c>
      <c r="AD94">
        <f t="shared" si="40"/>
        <v>0.79549999999999998</v>
      </c>
      <c r="AE94" t="str">
        <f t="shared" si="35"/>
        <v/>
      </c>
      <c r="AF94" t="str">
        <f t="shared" si="36"/>
        <v/>
      </c>
      <c r="AG94" t="str">
        <f t="shared" si="41"/>
        <v/>
      </c>
      <c r="AH94" t="str">
        <f t="shared" si="37"/>
        <v/>
      </c>
      <c r="AI94" t="str">
        <f t="shared" si="38"/>
        <v/>
      </c>
      <c r="AJ94" s="11" t="str">
        <f t="shared" si="42"/>
        <v/>
      </c>
      <c r="AM94" s="2">
        <v>46290</v>
      </c>
      <c r="AN94" t="s">
        <v>59</v>
      </c>
    </row>
    <row r="95" spans="1:40">
      <c r="A95" s="2">
        <v>45702</v>
      </c>
      <c r="B95">
        <v>2.66</v>
      </c>
      <c r="C95">
        <v>10204.450000000001</v>
      </c>
      <c r="D95">
        <v>0.79879999999999995</v>
      </c>
      <c r="E95">
        <v>2.66</v>
      </c>
      <c r="F95">
        <v>10204.450000000001</v>
      </c>
      <c r="G95">
        <v>0.80179999999999996</v>
      </c>
      <c r="H95">
        <v>2.66</v>
      </c>
      <c r="I95">
        <v>10204.450000000001</v>
      </c>
      <c r="J95">
        <v>2.66</v>
      </c>
      <c r="K95">
        <v>10204.450000000001</v>
      </c>
      <c r="L95">
        <v>2.66</v>
      </c>
      <c r="M95">
        <v>10204.450000000001</v>
      </c>
      <c r="N95">
        <v>2.66</v>
      </c>
      <c r="O95">
        <v>10204.450000000001</v>
      </c>
      <c r="P95" s="2">
        <v>45702</v>
      </c>
      <c r="Q95">
        <v>0.80049999999999999</v>
      </c>
      <c r="R95">
        <v>0.79820000000000002</v>
      </c>
      <c r="S95">
        <v>0.79769999999999996</v>
      </c>
      <c r="T95">
        <v>0.81110000000000004</v>
      </c>
      <c r="V95" s="10">
        <f t="shared" si="28"/>
        <v>2.66</v>
      </c>
      <c r="W95">
        <f t="shared" si="29"/>
        <v>10204.450000000001</v>
      </c>
      <c r="X95">
        <f t="shared" si="30"/>
        <v>0.79935</v>
      </c>
      <c r="Y95">
        <f t="shared" si="31"/>
        <v>2.66</v>
      </c>
      <c r="Z95">
        <f t="shared" si="32"/>
        <v>10204.450000000001</v>
      </c>
      <c r="AA95">
        <f t="shared" si="39"/>
        <v>0.80049999999999999</v>
      </c>
      <c r="AB95">
        <f t="shared" si="33"/>
        <v>2.66</v>
      </c>
      <c r="AC95">
        <f t="shared" si="34"/>
        <v>10204.450000000001</v>
      </c>
      <c r="AD95">
        <f t="shared" si="40"/>
        <v>0.79820000000000002</v>
      </c>
      <c r="AE95" t="str">
        <f t="shared" si="35"/>
        <v/>
      </c>
      <c r="AF95" t="str">
        <f t="shared" si="36"/>
        <v/>
      </c>
      <c r="AG95" t="str">
        <f t="shared" si="41"/>
        <v/>
      </c>
      <c r="AH95" t="str">
        <f t="shared" si="37"/>
        <v/>
      </c>
      <c r="AI95" t="str">
        <f t="shared" si="38"/>
        <v/>
      </c>
      <c r="AJ95" s="11" t="str">
        <f t="shared" si="42"/>
        <v/>
      </c>
      <c r="AM95" s="2">
        <v>46291</v>
      </c>
      <c r="AN95" t="s">
        <v>59</v>
      </c>
    </row>
    <row r="96" spans="1:40">
      <c r="A96" s="2">
        <v>45701</v>
      </c>
      <c r="B96">
        <v>2.6709999999999998</v>
      </c>
      <c r="C96">
        <v>10202.75</v>
      </c>
      <c r="D96">
        <v>0.8014</v>
      </c>
      <c r="E96">
        <v>2.6709999999999998</v>
      </c>
      <c r="F96">
        <v>10202.780000000001</v>
      </c>
      <c r="G96">
        <v>0.80449999999999999</v>
      </c>
      <c r="H96">
        <v>2.67</v>
      </c>
      <c r="I96">
        <v>10202.89</v>
      </c>
      <c r="J96">
        <v>2.67</v>
      </c>
      <c r="K96">
        <v>10202.89</v>
      </c>
      <c r="L96">
        <v>2.6749999999999998</v>
      </c>
      <c r="M96">
        <v>10202.48</v>
      </c>
      <c r="N96">
        <v>2.67</v>
      </c>
      <c r="O96">
        <v>10202.89</v>
      </c>
      <c r="P96" s="2">
        <v>45701</v>
      </c>
      <c r="Q96">
        <v>0.80310000000000004</v>
      </c>
      <c r="R96">
        <v>0.80089999999999995</v>
      </c>
      <c r="S96">
        <v>0.8004</v>
      </c>
      <c r="T96">
        <v>0.81379999999999997</v>
      </c>
      <c r="V96" s="10">
        <f t="shared" si="28"/>
        <v>2.67</v>
      </c>
      <c r="W96">
        <f t="shared" si="29"/>
        <v>10202.89</v>
      </c>
      <c r="X96">
        <f t="shared" si="30"/>
        <v>0.80200000000000005</v>
      </c>
      <c r="Y96">
        <f t="shared" si="31"/>
        <v>2.67</v>
      </c>
      <c r="Z96">
        <f t="shared" si="32"/>
        <v>10202.89</v>
      </c>
      <c r="AA96">
        <f t="shared" si="39"/>
        <v>0.80310000000000004</v>
      </c>
      <c r="AB96">
        <f t="shared" si="33"/>
        <v>2.67</v>
      </c>
      <c r="AC96">
        <f t="shared" si="34"/>
        <v>10202.89</v>
      </c>
      <c r="AD96">
        <f t="shared" si="40"/>
        <v>0.80089999999999995</v>
      </c>
      <c r="AE96" t="str">
        <f t="shared" si="35"/>
        <v/>
      </c>
      <c r="AF96" t="str">
        <f t="shared" si="36"/>
        <v/>
      </c>
      <c r="AG96" t="str">
        <f t="shared" si="41"/>
        <v/>
      </c>
      <c r="AH96" t="str">
        <f t="shared" si="37"/>
        <v/>
      </c>
      <c r="AI96" t="str">
        <f t="shared" si="38"/>
        <v/>
      </c>
      <c r="AJ96" s="11" t="str">
        <f t="shared" si="42"/>
        <v/>
      </c>
      <c r="AM96" s="2"/>
    </row>
    <row r="97" spans="1:39">
      <c r="A97" s="2">
        <v>45700</v>
      </c>
      <c r="B97">
        <v>2.6680000000000001</v>
      </c>
      <c r="C97">
        <v>10202.280000000001</v>
      </c>
      <c r="D97">
        <v>0.80410000000000004</v>
      </c>
      <c r="E97">
        <v>2.6680000000000001</v>
      </c>
      <c r="F97">
        <v>10202.25</v>
      </c>
      <c r="G97">
        <v>0.80720000000000003</v>
      </c>
      <c r="H97">
        <v>2.67</v>
      </c>
      <c r="I97">
        <v>10202.15</v>
      </c>
      <c r="J97">
        <v>2.67</v>
      </c>
      <c r="K97">
        <v>10202.15</v>
      </c>
      <c r="L97">
        <v>2.665</v>
      </c>
      <c r="M97">
        <v>10202.56</v>
      </c>
      <c r="N97">
        <v>2.67</v>
      </c>
      <c r="O97">
        <v>10202.15</v>
      </c>
      <c r="P97" s="2">
        <v>45700</v>
      </c>
      <c r="Q97">
        <v>0.80579999999999996</v>
      </c>
      <c r="R97">
        <v>0.80359999999999998</v>
      </c>
      <c r="S97">
        <v>0.80310000000000004</v>
      </c>
      <c r="T97">
        <v>0.8165</v>
      </c>
      <c r="V97" s="10">
        <f t="shared" si="28"/>
        <v>2.67</v>
      </c>
      <c r="W97">
        <f t="shared" si="29"/>
        <v>10202.15</v>
      </c>
      <c r="X97">
        <f t="shared" si="30"/>
        <v>0.80469999999999997</v>
      </c>
      <c r="Y97">
        <f t="shared" si="31"/>
        <v>2.67</v>
      </c>
      <c r="Z97">
        <f t="shared" si="32"/>
        <v>10202.15</v>
      </c>
      <c r="AA97">
        <f t="shared" si="39"/>
        <v>0.80579999999999996</v>
      </c>
      <c r="AB97">
        <f t="shared" si="33"/>
        <v>2.67</v>
      </c>
      <c r="AC97">
        <f t="shared" si="34"/>
        <v>10202.15</v>
      </c>
      <c r="AD97">
        <f t="shared" si="40"/>
        <v>0.80359999999999998</v>
      </c>
      <c r="AE97" t="str">
        <f t="shared" si="35"/>
        <v/>
      </c>
      <c r="AF97" t="str">
        <f t="shared" si="36"/>
        <v/>
      </c>
      <c r="AG97" t="str">
        <f t="shared" si="41"/>
        <v/>
      </c>
      <c r="AH97" t="str">
        <f t="shared" si="37"/>
        <v/>
      </c>
      <c r="AI97" t="str">
        <f t="shared" si="38"/>
        <v/>
      </c>
      <c r="AJ97" s="11" t="str">
        <f t="shared" si="42"/>
        <v/>
      </c>
      <c r="AM97" s="2"/>
    </row>
    <row r="98" spans="1:39">
      <c r="A98" s="2">
        <v>45699</v>
      </c>
      <c r="B98">
        <v>2.6779999999999999</v>
      </c>
      <c r="C98">
        <v>10200.719999999999</v>
      </c>
      <c r="D98">
        <v>0.80679999999999996</v>
      </c>
      <c r="E98">
        <v>2.6779999999999999</v>
      </c>
      <c r="F98">
        <v>10200.68</v>
      </c>
      <c r="G98">
        <v>0.80989999999999995</v>
      </c>
      <c r="H98">
        <v>2.67</v>
      </c>
      <c r="I98">
        <v>10201.41</v>
      </c>
      <c r="J98">
        <v>2.68</v>
      </c>
      <c r="K98">
        <v>10200.58</v>
      </c>
      <c r="L98">
        <v>2.6850000000000001</v>
      </c>
      <c r="M98">
        <v>10200.17</v>
      </c>
      <c r="N98">
        <v>2.68</v>
      </c>
      <c r="O98">
        <v>10200.58</v>
      </c>
      <c r="P98" s="2">
        <v>45699</v>
      </c>
      <c r="Q98">
        <v>0.80859999999999999</v>
      </c>
      <c r="R98">
        <v>0.80620000000000003</v>
      </c>
      <c r="S98">
        <v>0.80579999999999996</v>
      </c>
      <c r="T98">
        <v>0.81930000000000003</v>
      </c>
      <c r="V98" s="10">
        <f t="shared" si="28"/>
        <v>2.6749999999999998</v>
      </c>
      <c r="W98">
        <f t="shared" si="29"/>
        <v>10200.994999999999</v>
      </c>
      <c r="X98">
        <f t="shared" si="30"/>
        <v>0.80740000000000001</v>
      </c>
      <c r="Y98">
        <f t="shared" si="31"/>
        <v>2.67</v>
      </c>
      <c r="Z98">
        <f t="shared" si="32"/>
        <v>10201.41</v>
      </c>
      <c r="AA98">
        <f t="shared" si="39"/>
        <v>0.80859999999999999</v>
      </c>
      <c r="AB98">
        <f t="shared" si="33"/>
        <v>2.68</v>
      </c>
      <c r="AC98">
        <f t="shared" si="34"/>
        <v>10200.58</v>
      </c>
      <c r="AD98">
        <f t="shared" si="40"/>
        <v>0.80620000000000003</v>
      </c>
      <c r="AE98" t="str">
        <f t="shared" si="35"/>
        <v/>
      </c>
      <c r="AF98" t="str">
        <f t="shared" si="36"/>
        <v/>
      </c>
      <c r="AG98" t="str">
        <f t="shared" si="41"/>
        <v/>
      </c>
      <c r="AH98" t="str">
        <f t="shared" si="37"/>
        <v/>
      </c>
      <c r="AI98" t="str">
        <f t="shared" si="38"/>
        <v/>
      </c>
      <c r="AJ98" s="11" t="str">
        <f t="shared" si="42"/>
        <v/>
      </c>
      <c r="AM98" s="2"/>
    </row>
    <row r="99" spans="1:39">
      <c r="A99" s="2">
        <v>45698</v>
      </c>
      <c r="B99">
        <v>2.6880000000000002</v>
      </c>
      <c r="C99">
        <v>10199.15</v>
      </c>
      <c r="D99">
        <v>0.81130000000000002</v>
      </c>
      <c r="E99">
        <v>2.6880000000000002</v>
      </c>
      <c r="F99">
        <v>10199.11</v>
      </c>
      <c r="G99">
        <v>0.81399999999999995</v>
      </c>
      <c r="H99">
        <v>2.68</v>
      </c>
      <c r="I99">
        <v>10199.84</v>
      </c>
      <c r="J99">
        <v>2.6949999999999998</v>
      </c>
      <c r="K99">
        <v>10198.6</v>
      </c>
      <c r="L99">
        <v>2.69</v>
      </c>
      <c r="M99">
        <v>10199.01</v>
      </c>
      <c r="N99">
        <v>2.69</v>
      </c>
      <c r="O99">
        <v>10199.01</v>
      </c>
      <c r="P99" s="2">
        <v>45698</v>
      </c>
      <c r="Q99">
        <v>0.81659999999999999</v>
      </c>
      <c r="R99">
        <v>0.80889999999999995</v>
      </c>
      <c r="S99">
        <v>0.8085</v>
      </c>
      <c r="T99">
        <v>0.82199999999999995</v>
      </c>
      <c r="V99" s="10">
        <f t="shared" si="28"/>
        <v>2.6875</v>
      </c>
      <c r="W99">
        <f t="shared" si="29"/>
        <v>10199.220000000001</v>
      </c>
      <c r="X99">
        <f t="shared" si="30"/>
        <v>0.81274999999999997</v>
      </c>
      <c r="Y99">
        <f t="shared" si="31"/>
        <v>2.68</v>
      </c>
      <c r="Z99">
        <f t="shared" si="32"/>
        <v>10199.84</v>
      </c>
      <c r="AA99">
        <f t="shared" si="39"/>
        <v>0.81659999999999999</v>
      </c>
      <c r="AB99">
        <f t="shared" si="33"/>
        <v>2.6949999999999998</v>
      </c>
      <c r="AC99">
        <f t="shared" si="34"/>
        <v>10198.6</v>
      </c>
      <c r="AD99">
        <f t="shared" si="40"/>
        <v>0.80889999999999995</v>
      </c>
      <c r="AE99" t="str">
        <f t="shared" si="35"/>
        <v/>
      </c>
      <c r="AF99" t="str">
        <f t="shared" si="36"/>
        <v/>
      </c>
      <c r="AG99" t="str">
        <f t="shared" si="41"/>
        <v/>
      </c>
      <c r="AH99" t="str">
        <f t="shared" si="37"/>
        <v/>
      </c>
      <c r="AI99" t="str">
        <f t="shared" si="38"/>
        <v/>
      </c>
      <c r="AJ99" s="11" t="str">
        <f t="shared" si="42"/>
        <v/>
      </c>
      <c r="AM99" s="2"/>
    </row>
    <row r="100" spans="1:39">
      <c r="A100" s="2">
        <v>45697</v>
      </c>
      <c r="B100">
        <v>2.6880000000000002</v>
      </c>
      <c r="C100">
        <v>10198.4</v>
      </c>
      <c r="D100">
        <v>0.81310000000000004</v>
      </c>
      <c r="E100">
        <v>2.6880000000000002</v>
      </c>
      <c r="F100">
        <v>10198.370000000001</v>
      </c>
      <c r="G100">
        <v>0.81599999999999995</v>
      </c>
      <c r="H100">
        <v>2.68</v>
      </c>
      <c r="I100">
        <v>10199.1</v>
      </c>
      <c r="J100">
        <v>2.6949999999999998</v>
      </c>
      <c r="K100">
        <v>10197.85</v>
      </c>
      <c r="L100">
        <v>2.69</v>
      </c>
      <c r="M100">
        <v>10198.27</v>
      </c>
      <c r="N100">
        <v>2.69</v>
      </c>
      <c r="O100">
        <v>10198.27</v>
      </c>
      <c r="P100" s="2">
        <v>45697</v>
      </c>
      <c r="Q100">
        <v>0.81659999999999999</v>
      </c>
      <c r="R100">
        <v>0.81159999999999999</v>
      </c>
      <c r="S100">
        <v>0.81120000000000003</v>
      </c>
      <c r="T100">
        <v>0.82479999999999998</v>
      </c>
      <c r="V100" s="10">
        <f t="shared" si="28"/>
        <v>2.6875</v>
      </c>
      <c r="W100">
        <f t="shared" si="29"/>
        <v>10198.475</v>
      </c>
      <c r="X100">
        <f t="shared" si="30"/>
        <v>0.81410000000000005</v>
      </c>
      <c r="Y100">
        <f t="shared" si="31"/>
        <v>2.68</v>
      </c>
      <c r="Z100">
        <f t="shared" si="32"/>
        <v>10199.1</v>
      </c>
      <c r="AA100">
        <f t="shared" si="39"/>
        <v>0.81659999999999999</v>
      </c>
      <c r="AB100">
        <f t="shared" si="33"/>
        <v>2.6949999999999998</v>
      </c>
      <c r="AC100">
        <f t="shared" si="34"/>
        <v>10197.85</v>
      </c>
      <c r="AD100">
        <f t="shared" si="40"/>
        <v>0.81159999999999999</v>
      </c>
      <c r="AE100" t="str">
        <f t="shared" si="35"/>
        <v/>
      </c>
      <c r="AF100" t="str">
        <f t="shared" si="36"/>
        <v/>
      </c>
      <c r="AG100" t="str">
        <f t="shared" si="41"/>
        <v/>
      </c>
      <c r="AH100" t="str">
        <f t="shared" si="37"/>
        <v/>
      </c>
      <c r="AI100" t="str">
        <f t="shared" si="38"/>
        <v/>
      </c>
      <c r="AJ100" s="11" t="str">
        <f t="shared" si="42"/>
        <v/>
      </c>
      <c r="AM100" s="2"/>
    </row>
    <row r="101" spans="1:39">
      <c r="A101" s="2">
        <v>45696</v>
      </c>
      <c r="B101">
        <v>2.6880000000000002</v>
      </c>
      <c r="C101">
        <v>10197.65</v>
      </c>
      <c r="D101">
        <v>0.81489999999999996</v>
      </c>
      <c r="E101">
        <v>2.6880000000000002</v>
      </c>
      <c r="F101">
        <v>10197.620000000001</v>
      </c>
      <c r="G101">
        <v>0.81799999999999995</v>
      </c>
      <c r="H101">
        <v>2.68</v>
      </c>
      <c r="I101">
        <v>10198.35</v>
      </c>
      <c r="J101">
        <v>2.6949999999999998</v>
      </c>
      <c r="K101">
        <v>10197.1</v>
      </c>
      <c r="L101">
        <v>2.69</v>
      </c>
      <c r="M101">
        <v>10197.52</v>
      </c>
      <c r="N101">
        <v>2.69</v>
      </c>
      <c r="O101">
        <v>10197.52</v>
      </c>
      <c r="P101" s="2">
        <v>45696</v>
      </c>
      <c r="Q101">
        <v>0.81659999999999999</v>
      </c>
      <c r="R101">
        <v>0.81430000000000002</v>
      </c>
      <c r="S101">
        <v>0.81389999999999996</v>
      </c>
      <c r="T101">
        <v>0.82750000000000001</v>
      </c>
      <c r="V101" s="10">
        <f t="shared" si="28"/>
        <v>2.6875</v>
      </c>
      <c r="W101">
        <f t="shared" si="29"/>
        <v>10197.725</v>
      </c>
      <c r="X101">
        <f t="shared" si="30"/>
        <v>0.81545000000000001</v>
      </c>
      <c r="Y101">
        <f t="shared" si="31"/>
        <v>2.68</v>
      </c>
      <c r="Z101">
        <f t="shared" si="32"/>
        <v>10198.35</v>
      </c>
      <c r="AA101">
        <f t="shared" si="39"/>
        <v>0.81659999999999999</v>
      </c>
      <c r="AB101">
        <f t="shared" si="33"/>
        <v>2.6949999999999998</v>
      </c>
      <c r="AC101">
        <f t="shared" si="34"/>
        <v>10197.1</v>
      </c>
      <c r="AD101">
        <f t="shared" si="40"/>
        <v>0.81430000000000002</v>
      </c>
      <c r="AE101" t="str">
        <f t="shared" si="35"/>
        <v/>
      </c>
      <c r="AF101" t="str">
        <f t="shared" si="36"/>
        <v/>
      </c>
      <c r="AG101" t="str">
        <f t="shared" si="41"/>
        <v/>
      </c>
      <c r="AH101" t="str">
        <f t="shared" si="37"/>
        <v/>
      </c>
      <c r="AI101" t="str">
        <f t="shared" si="38"/>
        <v/>
      </c>
      <c r="AJ101" s="11" t="str">
        <f t="shared" si="42"/>
        <v/>
      </c>
      <c r="AM101" s="2"/>
    </row>
    <row r="102" spans="1:39">
      <c r="A102" s="2">
        <v>45695</v>
      </c>
      <c r="B102">
        <v>2.6840000000000002</v>
      </c>
      <c r="C102">
        <v>10197.27</v>
      </c>
      <c r="D102">
        <v>0.81759999999999999</v>
      </c>
      <c r="E102">
        <v>2.6840000000000002</v>
      </c>
      <c r="F102">
        <v>10197.25</v>
      </c>
      <c r="G102">
        <v>0.82079999999999997</v>
      </c>
      <c r="H102">
        <v>2.68</v>
      </c>
      <c r="I102">
        <v>10197.61</v>
      </c>
      <c r="J102">
        <v>2.6850000000000001</v>
      </c>
      <c r="K102">
        <v>10197.19</v>
      </c>
      <c r="L102">
        <v>2.6869999999999998</v>
      </c>
      <c r="M102">
        <v>10197.02</v>
      </c>
      <c r="N102">
        <v>2.6850000000000001</v>
      </c>
      <c r="O102">
        <v>10197.19</v>
      </c>
      <c r="P102" s="2">
        <v>45695</v>
      </c>
      <c r="Q102">
        <v>0.81940000000000002</v>
      </c>
      <c r="R102">
        <v>0.81699999999999995</v>
      </c>
      <c r="S102">
        <v>0.81659999999999999</v>
      </c>
      <c r="T102">
        <v>0.83030000000000004</v>
      </c>
      <c r="V102" s="10">
        <f t="shared" si="28"/>
        <v>2.6825000000000001</v>
      </c>
      <c r="W102">
        <f t="shared" si="29"/>
        <v>10197.400000000001</v>
      </c>
      <c r="X102">
        <f t="shared" si="30"/>
        <v>0.81820000000000004</v>
      </c>
      <c r="Y102">
        <f t="shared" si="31"/>
        <v>2.68</v>
      </c>
      <c r="Z102">
        <f t="shared" si="32"/>
        <v>10197.61</v>
      </c>
      <c r="AA102">
        <f t="shared" si="39"/>
        <v>0.81940000000000002</v>
      </c>
      <c r="AB102">
        <f t="shared" si="33"/>
        <v>2.6850000000000001</v>
      </c>
      <c r="AC102">
        <f t="shared" si="34"/>
        <v>10197.19</v>
      </c>
      <c r="AD102">
        <f t="shared" si="40"/>
        <v>0.81699999999999995</v>
      </c>
      <c r="AE102" t="str">
        <f t="shared" si="35"/>
        <v/>
      </c>
      <c r="AF102" t="str">
        <f t="shared" si="36"/>
        <v/>
      </c>
      <c r="AG102" t="str">
        <f t="shared" si="41"/>
        <v/>
      </c>
      <c r="AH102" t="str">
        <f t="shared" si="37"/>
        <v/>
      </c>
      <c r="AI102" t="str">
        <f t="shared" si="38"/>
        <v/>
      </c>
      <c r="AJ102" s="11" t="str">
        <f t="shared" si="42"/>
        <v/>
      </c>
      <c r="AM102" s="2"/>
    </row>
    <row r="103" spans="1:39">
      <c r="A103" s="2">
        <v>45694</v>
      </c>
      <c r="B103">
        <v>2.6829999999999998</v>
      </c>
      <c r="C103">
        <v>10196.58</v>
      </c>
      <c r="D103">
        <v>0.82030000000000003</v>
      </c>
      <c r="E103">
        <v>2.6829999999999998</v>
      </c>
      <c r="F103">
        <v>10196.540000000001</v>
      </c>
      <c r="G103">
        <v>0.82350000000000001</v>
      </c>
      <c r="H103">
        <v>2.68</v>
      </c>
      <c r="I103">
        <v>10196.86</v>
      </c>
      <c r="J103">
        <v>2.6850000000000001</v>
      </c>
      <c r="K103">
        <v>10196.44</v>
      </c>
      <c r="L103">
        <v>2.6850000000000001</v>
      </c>
      <c r="M103">
        <v>10196.44</v>
      </c>
      <c r="N103">
        <v>2.6850000000000001</v>
      </c>
      <c r="O103">
        <v>10196.44</v>
      </c>
      <c r="P103" s="2">
        <v>45694</v>
      </c>
      <c r="Q103">
        <v>0.82210000000000005</v>
      </c>
      <c r="R103">
        <v>0.81969999999999998</v>
      </c>
      <c r="S103">
        <v>0.81930000000000003</v>
      </c>
      <c r="T103">
        <v>0.83299999999999996</v>
      </c>
      <c r="V103" s="10">
        <f t="shared" si="28"/>
        <v>2.6825000000000001</v>
      </c>
      <c r="W103">
        <f t="shared" si="29"/>
        <v>10196.650000000001</v>
      </c>
      <c r="X103">
        <f t="shared" si="30"/>
        <v>0.82089999999999996</v>
      </c>
      <c r="Y103">
        <f t="shared" si="31"/>
        <v>2.68</v>
      </c>
      <c r="Z103">
        <f t="shared" si="32"/>
        <v>10196.86</v>
      </c>
      <c r="AA103">
        <f t="shared" si="39"/>
        <v>0.82210000000000005</v>
      </c>
      <c r="AB103">
        <f t="shared" si="33"/>
        <v>2.6850000000000001</v>
      </c>
      <c r="AC103">
        <f t="shared" si="34"/>
        <v>10196.44</v>
      </c>
      <c r="AD103">
        <f t="shared" si="40"/>
        <v>0.81969999999999998</v>
      </c>
      <c r="AE103" t="str">
        <f t="shared" si="35"/>
        <v/>
      </c>
      <c r="AF103" t="str">
        <f t="shared" si="36"/>
        <v/>
      </c>
      <c r="AG103" t="str">
        <f t="shared" si="41"/>
        <v/>
      </c>
      <c r="AH103" t="str">
        <f t="shared" si="37"/>
        <v/>
      </c>
      <c r="AI103" t="str">
        <f t="shared" si="38"/>
        <v/>
      </c>
      <c r="AJ103" s="11" t="str">
        <f t="shared" si="42"/>
        <v/>
      </c>
      <c r="AM103" s="2"/>
    </row>
    <row r="104" spans="1:39">
      <c r="A104" s="2">
        <v>45693</v>
      </c>
      <c r="B104">
        <v>2.6760000000000002</v>
      </c>
      <c r="C104">
        <v>10196.4</v>
      </c>
      <c r="D104">
        <v>0.82310000000000005</v>
      </c>
      <c r="E104">
        <v>2.6749999999999998</v>
      </c>
      <c r="F104">
        <v>10196.540000000001</v>
      </c>
      <c r="G104">
        <v>0.82630000000000003</v>
      </c>
      <c r="H104">
        <v>2.68</v>
      </c>
      <c r="I104">
        <v>10196.120000000001</v>
      </c>
      <c r="J104">
        <v>2.67</v>
      </c>
      <c r="K104">
        <v>10196.959999999999</v>
      </c>
      <c r="L104">
        <v>2.68</v>
      </c>
      <c r="M104">
        <v>10196.120000000001</v>
      </c>
      <c r="N104">
        <v>2.67</v>
      </c>
      <c r="O104">
        <v>10196.959999999999</v>
      </c>
      <c r="P104" s="2">
        <v>45693</v>
      </c>
      <c r="Q104">
        <v>0.82479999999999998</v>
      </c>
      <c r="R104">
        <v>0.82250000000000001</v>
      </c>
      <c r="S104">
        <v>0.82210000000000005</v>
      </c>
      <c r="T104">
        <v>0.83579999999999999</v>
      </c>
      <c r="V104" s="12">
        <f t="shared" si="28"/>
        <v>2.6749999999999998</v>
      </c>
      <c r="W104" s="13">
        <f t="shared" si="29"/>
        <v>10196.540000000001</v>
      </c>
      <c r="X104" s="13">
        <f t="shared" si="30"/>
        <v>0.82364999999999999</v>
      </c>
      <c r="Y104" s="13">
        <f t="shared" si="31"/>
        <v>2.68</v>
      </c>
      <c r="Z104" s="13">
        <f t="shared" si="32"/>
        <v>10196.120000000001</v>
      </c>
      <c r="AA104" s="13">
        <f t="shared" si="39"/>
        <v>0.82479999999999998</v>
      </c>
      <c r="AB104" s="13">
        <f t="shared" si="33"/>
        <v>2.67</v>
      </c>
      <c r="AC104" s="13">
        <f t="shared" si="34"/>
        <v>10196.959999999999</v>
      </c>
      <c r="AD104" s="13">
        <f t="shared" si="40"/>
        <v>0.82250000000000001</v>
      </c>
      <c r="AE104" s="13" t="str">
        <f t="shared" si="35"/>
        <v/>
      </c>
      <c r="AF104" s="13" t="str">
        <f t="shared" si="36"/>
        <v/>
      </c>
      <c r="AG104" s="13" t="str">
        <f t="shared" si="41"/>
        <v/>
      </c>
      <c r="AH104" s="13" t="str">
        <f t="shared" si="37"/>
        <v/>
      </c>
      <c r="AI104" s="13" t="str">
        <f t="shared" si="38"/>
        <v/>
      </c>
      <c r="AJ104" s="14" t="str">
        <f t="shared" si="42"/>
        <v/>
      </c>
      <c r="AM104" s="2"/>
    </row>
    <row r="105" spans="1:39">
      <c r="A105" s="2">
        <v>45692</v>
      </c>
      <c r="B105">
        <v>2.66</v>
      </c>
      <c r="C105">
        <v>10197.06</v>
      </c>
      <c r="D105">
        <v>0.82589999999999997</v>
      </c>
      <c r="E105">
        <v>2.6579999999999999</v>
      </c>
      <c r="F105">
        <v>10197.16</v>
      </c>
      <c r="G105">
        <v>0.82899999999999996</v>
      </c>
      <c r="H105">
        <v>2.66</v>
      </c>
      <c r="I105">
        <v>10197.06</v>
      </c>
      <c r="J105">
        <v>2.6549999999999998</v>
      </c>
      <c r="K105">
        <v>10197.48</v>
      </c>
      <c r="L105">
        <v>2.665</v>
      </c>
      <c r="M105">
        <v>10196.64</v>
      </c>
      <c r="N105">
        <v>2.6549999999999998</v>
      </c>
      <c r="O105">
        <v>10197.48</v>
      </c>
      <c r="P105" s="2">
        <v>45692</v>
      </c>
      <c r="Q105">
        <v>0.8276</v>
      </c>
      <c r="R105">
        <v>0.82530000000000003</v>
      </c>
      <c r="S105">
        <v>0.82479999999999998</v>
      </c>
      <c r="T105">
        <v>0.83850000000000002</v>
      </c>
      <c r="V105" s="12">
        <f t="shared" si="28"/>
        <v>2.6574999999999998</v>
      </c>
      <c r="W105" s="13">
        <f t="shared" si="29"/>
        <v>10197.27</v>
      </c>
      <c r="X105" s="13">
        <f t="shared" si="30"/>
        <v>0.82645000000000002</v>
      </c>
      <c r="Y105" s="13">
        <f t="shared" si="31"/>
        <v>2.66</v>
      </c>
      <c r="Z105" s="13">
        <f t="shared" si="32"/>
        <v>10197.06</v>
      </c>
      <c r="AA105" s="13">
        <f t="shared" si="39"/>
        <v>0.8276</v>
      </c>
      <c r="AB105" s="13">
        <f t="shared" si="33"/>
        <v>2.6549999999999998</v>
      </c>
      <c r="AC105" s="13">
        <f t="shared" si="34"/>
        <v>10197.48</v>
      </c>
      <c r="AD105" s="13">
        <f t="shared" si="40"/>
        <v>0.82530000000000003</v>
      </c>
      <c r="AE105" s="13" t="str">
        <f t="shared" si="35"/>
        <v/>
      </c>
      <c r="AF105" s="13" t="str">
        <f t="shared" si="36"/>
        <v/>
      </c>
      <c r="AG105" s="13" t="str">
        <f t="shared" si="41"/>
        <v/>
      </c>
      <c r="AH105" s="13" t="str">
        <f t="shared" si="37"/>
        <v/>
      </c>
      <c r="AI105" s="13" t="str">
        <f t="shared" si="38"/>
        <v/>
      </c>
      <c r="AJ105" s="14" t="str">
        <f t="shared" si="42"/>
        <v/>
      </c>
      <c r="AM105" s="2"/>
    </row>
    <row r="106" spans="1:39">
      <c r="A106" s="2"/>
      <c r="P106" s="2">
        <v>45691</v>
      </c>
      <c r="Q106">
        <v>0.8357</v>
      </c>
      <c r="R106">
        <v>0.82799999999999996</v>
      </c>
      <c r="S106">
        <v>0.8276</v>
      </c>
      <c r="T106">
        <v>0.84130000000000005</v>
      </c>
      <c r="AM106" s="2"/>
    </row>
    <row r="107" spans="1:39">
      <c r="A107" s="2"/>
      <c r="P107" s="2">
        <v>45690</v>
      </c>
      <c r="Q107">
        <v>0.8357</v>
      </c>
      <c r="R107">
        <v>0.83069999999999999</v>
      </c>
      <c r="S107">
        <v>0.83030000000000004</v>
      </c>
      <c r="T107">
        <v>0.84399999999999997</v>
      </c>
      <c r="AM107" s="2"/>
    </row>
    <row r="108" spans="1:39">
      <c r="A108" s="2"/>
      <c r="P108" s="2">
        <v>45689</v>
      </c>
      <c r="Q108">
        <v>0.8357</v>
      </c>
      <c r="R108">
        <v>0.83340000000000003</v>
      </c>
      <c r="S108">
        <v>0.83299999999999996</v>
      </c>
      <c r="T108">
        <v>0.8468</v>
      </c>
      <c r="AM108" s="2"/>
    </row>
    <row r="109" spans="1:39">
      <c r="A109" s="2"/>
      <c r="P109" s="2">
        <v>45688</v>
      </c>
      <c r="Q109">
        <v>0.85470000000000002</v>
      </c>
      <c r="R109">
        <v>0.83609999999999995</v>
      </c>
      <c r="S109">
        <v>0.8357</v>
      </c>
      <c r="T109">
        <v>0.84950000000000003</v>
      </c>
      <c r="AM109" s="2"/>
    </row>
    <row r="110" spans="1:39">
      <c r="A110" s="2"/>
      <c r="P110" s="2">
        <v>45687</v>
      </c>
      <c r="Q110">
        <v>0.85470000000000002</v>
      </c>
      <c r="R110">
        <v>0.83879999999999999</v>
      </c>
      <c r="S110">
        <v>0.83840000000000003</v>
      </c>
      <c r="T110">
        <v>0.85229999999999995</v>
      </c>
      <c r="AM110" s="2"/>
    </row>
    <row r="111" spans="1:39">
      <c r="A111" s="2"/>
      <c r="P111" s="2">
        <v>45686</v>
      </c>
      <c r="Q111">
        <v>0.85470000000000002</v>
      </c>
      <c r="R111">
        <v>0.84150000000000003</v>
      </c>
      <c r="S111">
        <v>0.84109999999999996</v>
      </c>
      <c r="T111">
        <v>0.85499999999999998</v>
      </c>
      <c r="AM111" s="2"/>
    </row>
    <row r="112" spans="1:39">
      <c r="A112" s="2"/>
      <c r="P112" s="2">
        <v>45685</v>
      </c>
      <c r="Q112">
        <v>0.85470000000000002</v>
      </c>
      <c r="R112">
        <v>0.84419999999999995</v>
      </c>
      <c r="S112">
        <v>0.84379999999999999</v>
      </c>
      <c r="T112">
        <v>0.85780000000000001</v>
      </c>
      <c r="AM112" s="2"/>
    </row>
    <row r="113" spans="1:39">
      <c r="A113" s="2"/>
      <c r="P113" s="2">
        <v>45684</v>
      </c>
      <c r="Q113">
        <v>0.85470000000000002</v>
      </c>
      <c r="R113">
        <v>0.84689999999999999</v>
      </c>
      <c r="S113">
        <v>0.84650000000000003</v>
      </c>
      <c r="T113">
        <v>0.86050000000000004</v>
      </c>
      <c r="AM113" s="2"/>
    </row>
    <row r="114" spans="1:39">
      <c r="A114" s="2"/>
      <c r="P114" s="2">
        <v>45683</v>
      </c>
      <c r="Q114">
        <v>0.85470000000000002</v>
      </c>
      <c r="R114">
        <v>0.84960000000000002</v>
      </c>
      <c r="S114">
        <v>0.84930000000000005</v>
      </c>
      <c r="T114">
        <v>0.86329999999999996</v>
      </c>
      <c r="AM114" s="2"/>
    </row>
    <row r="115" spans="1:39">
      <c r="A115" s="2"/>
      <c r="P115" s="2">
        <v>45682</v>
      </c>
      <c r="Q115">
        <v>0.85470000000000002</v>
      </c>
      <c r="R115">
        <v>0.85229999999999995</v>
      </c>
      <c r="S115">
        <v>0.85199999999999998</v>
      </c>
      <c r="T115">
        <v>0.86599999999999999</v>
      </c>
      <c r="AM115" s="2"/>
    </row>
    <row r="116" spans="1:39">
      <c r="A116" s="2"/>
      <c r="P116" s="2">
        <v>45681</v>
      </c>
      <c r="Q116">
        <v>0.85740000000000005</v>
      </c>
      <c r="R116">
        <v>0.85499999999999998</v>
      </c>
      <c r="S116">
        <v>0.85470000000000002</v>
      </c>
      <c r="T116">
        <v>0.86870000000000003</v>
      </c>
      <c r="AM116" s="2"/>
    </row>
    <row r="117" spans="1:39">
      <c r="A117" s="2"/>
      <c r="P117" s="2">
        <v>45680</v>
      </c>
      <c r="Q117">
        <v>0.86019999999999996</v>
      </c>
      <c r="R117">
        <v>0.85780000000000001</v>
      </c>
      <c r="S117">
        <v>0.85740000000000005</v>
      </c>
      <c r="T117">
        <v>0.87150000000000005</v>
      </c>
      <c r="AM117" s="2"/>
    </row>
    <row r="118" spans="1:39">
      <c r="A118" s="2"/>
      <c r="P118" s="2">
        <v>45679</v>
      </c>
      <c r="Q118">
        <v>0.86299999999999999</v>
      </c>
      <c r="R118">
        <v>0.86050000000000004</v>
      </c>
      <c r="S118">
        <v>0.86019999999999996</v>
      </c>
      <c r="T118">
        <v>0.87419999999999998</v>
      </c>
      <c r="AM118" s="2"/>
    </row>
    <row r="119" spans="1:39">
      <c r="A119" s="2"/>
      <c r="P119" s="2">
        <v>45678</v>
      </c>
      <c r="Q119">
        <v>0.86570000000000003</v>
      </c>
      <c r="R119">
        <v>0.86319999999999997</v>
      </c>
      <c r="S119">
        <v>0.8629</v>
      </c>
      <c r="T119">
        <v>0.877</v>
      </c>
      <c r="AM119" s="2"/>
    </row>
    <row r="120" spans="1:39">
      <c r="A120" s="2"/>
      <c r="P120" s="2">
        <v>45677</v>
      </c>
      <c r="Q120">
        <v>0.87390000000000001</v>
      </c>
      <c r="R120">
        <v>0.86599999999999999</v>
      </c>
      <c r="S120">
        <v>0.86570000000000003</v>
      </c>
      <c r="T120">
        <v>0.87970000000000004</v>
      </c>
      <c r="AM120" s="2"/>
    </row>
    <row r="121" spans="1:39">
      <c r="A121" s="2"/>
      <c r="P121" s="2">
        <v>45676</v>
      </c>
      <c r="Q121">
        <v>0.87390000000000001</v>
      </c>
      <c r="R121">
        <v>0.86870000000000003</v>
      </c>
      <c r="S121">
        <v>0.86839999999999995</v>
      </c>
      <c r="T121">
        <v>0.88249999999999995</v>
      </c>
      <c r="AM121" s="2"/>
    </row>
    <row r="122" spans="1:39">
      <c r="A122" s="2"/>
      <c r="P122" s="2">
        <v>45675</v>
      </c>
      <c r="Q122">
        <v>0.87390000000000001</v>
      </c>
      <c r="R122">
        <v>0.87139999999999995</v>
      </c>
      <c r="S122">
        <v>0.87109999999999999</v>
      </c>
      <c r="T122">
        <v>0.88519999999999999</v>
      </c>
      <c r="AM122" s="2"/>
    </row>
    <row r="123" spans="1:39">
      <c r="A123" s="2"/>
      <c r="P123" s="2">
        <v>45674</v>
      </c>
      <c r="Q123">
        <v>0.87649999999999995</v>
      </c>
      <c r="R123">
        <v>0.87409999999999999</v>
      </c>
      <c r="S123">
        <v>0.87380000000000002</v>
      </c>
      <c r="T123">
        <v>0.88800000000000001</v>
      </c>
      <c r="AM123" s="2"/>
    </row>
    <row r="124" spans="1:39">
      <c r="A124" s="2"/>
      <c r="P124" s="2">
        <v>45673</v>
      </c>
      <c r="Q124">
        <v>0.87919999999999998</v>
      </c>
      <c r="R124">
        <v>0.87670000000000003</v>
      </c>
      <c r="S124">
        <v>0.87639999999999996</v>
      </c>
      <c r="T124">
        <v>0.89070000000000005</v>
      </c>
      <c r="AM124" s="2"/>
    </row>
    <row r="125" spans="1:39">
      <c r="A125" s="2"/>
      <c r="P125" s="2">
        <v>45672</v>
      </c>
      <c r="Q125">
        <v>0.88190000000000002</v>
      </c>
      <c r="R125">
        <v>0.87949999999999995</v>
      </c>
      <c r="S125">
        <v>0.87919999999999998</v>
      </c>
      <c r="T125">
        <v>0.89349999999999996</v>
      </c>
      <c r="AM125" s="2"/>
    </row>
    <row r="126" spans="1:39">
      <c r="A126" s="2"/>
      <c r="P126" s="2">
        <v>45671</v>
      </c>
      <c r="Q126">
        <v>0.88460000000000005</v>
      </c>
      <c r="R126">
        <v>0.8821</v>
      </c>
      <c r="S126">
        <v>0.88190000000000002</v>
      </c>
      <c r="T126">
        <v>0.8962</v>
      </c>
      <c r="AM126" s="2"/>
    </row>
    <row r="127" spans="1:39">
      <c r="A127" s="2"/>
      <c r="P127" s="2">
        <v>45670</v>
      </c>
      <c r="Q127">
        <v>0.89280000000000004</v>
      </c>
      <c r="R127">
        <v>0.88490000000000002</v>
      </c>
      <c r="S127">
        <v>0.88470000000000004</v>
      </c>
      <c r="T127">
        <v>0.89900000000000002</v>
      </c>
      <c r="AM127" s="2"/>
    </row>
    <row r="128" spans="1:39">
      <c r="A128" s="2"/>
      <c r="P128" s="2">
        <v>45669</v>
      </c>
      <c r="Q128">
        <v>0.89280000000000004</v>
      </c>
      <c r="R128">
        <v>0.88759999999999994</v>
      </c>
      <c r="S128">
        <v>0.88739999999999997</v>
      </c>
      <c r="T128">
        <v>0.90169999999999995</v>
      </c>
      <c r="AM128" s="2"/>
    </row>
    <row r="129" spans="1:39">
      <c r="A129" s="2"/>
      <c r="P129" s="2">
        <v>45668</v>
      </c>
      <c r="Q129">
        <v>0.89280000000000004</v>
      </c>
      <c r="R129">
        <v>0.89029999999999998</v>
      </c>
      <c r="S129">
        <v>0.8901</v>
      </c>
      <c r="T129">
        <v>0.90449999999999997</v>
      </c>
      <c r="AM129" s="2"/>
    </row>
    <row r="130" spans="1:39">
      <c r="A130" s="2"/>
      <c r="P130" s="2">
        <v>45667</v>
      </c>
      <c r="Q130">
        <v>0.89559999999999995</v>
      </c>
      <c r="R130">
        <v>0.89300000000000002</v>
      </c>
      <c r="S130">
        <v>0.89290000000000003</v>
      </c>
      <c r="T130">
        <v>0.90720000000000001</v>
      </c>
      <c r="AM130" s="2"/>
    </row>
    <row r="131" spans="1:39">
      <c r="A131" s="2"/>
      <c r="P131" s="2">
        <v>45666</v>
      </c>
      <c r="Q131">
        <v>0.89829999999999999</v>
      </c>
      <c r="R131">
        <v>0.89570000000000005</v>
      </c>
      <c r="S131">
        <v>0.89549999999999996</v>
      </c>
      <c r="T131">
        <v>0.91</v>
      </c>
      <c r="AM131" s="2"/>
    </row>
    <row r="132" spans="1:39">
      <c r="A132" s="2"/>
      <c r="P132" s="2">
        <v>45665</v>
      </c>
      <c r="Q132">
        <v>0.90090000000000003</v>
      </c>
      <c r="R132">
        <v>0.89829999999999999</v>
      </c>
      <c r="S132">
        <v>0.8982</v>
      </c>
      <c r="T132">
        <v>0.91269999999999996</v>
      </c>
      <c r="AM132" s="2"/>
    </row>
    <row r="133" spans="1:39">
      <c r="A133" s="2"/>
      <c r="P133" s="2">
        <v>45664</v>
      </c>
      <c r="Q133">
        <v>0.90349999999999997</v>
      </c>
      <c r="R133">
        <v>0.90100000000000002</v>
      </c>
      <c r="S133">
        <v>0.90080000000000005</v>
      </c>
      <c r="T133">
        <v>0.91549999999999998</v>
      </c>
      <c r="AM133" s="2"/>
    </row>
    <row r="134" spans="1:39">
      <c r="A134" s="2"/>
      <c r="P134" s="2">
        <v>45663</v>
      </c>
      <c r="Q134">
        <v>0.91169999999999995</v>
      </c>
      <c r="R134">
        <v>0.90369999999999995</v>
      </c>
      <c r="S134">
        <v>0.90359999999999996</v>
      </c>
      <c r="T134">
        <v>0.91820000000000002</v>
      </c>
      <c r="AM134" s="2"/>
    </row>
    <row r="135" spans="1:39">
      <c r="A135" s="2"/>
      <c r="P135" s="2">
        <v>45662</v>
      </c>
      <c r="Q135">
        <v>0.91169999999999995</v>
      </c>
      <c r="R135">
        <v>0.90639999999999998</v>
      </c>
      <c r="S135">
        <v>0.90629999999999999</v>
      </c>
      <c r="T135">
        <v>0.92090000000000005</v>
      </c>
      <c r="AM135" s="2"/>
    </row>
    <row r="136" spans="1:39">
      <c r="A136" s="2"/>
      <c r="P136" s="2">
        <v>45661</v>
      </c>
      <c r="Q136">
        <v>0.91169999999999995</v>
      </c>
      <c r="R136">
        <v>0.90910000000000002</v>
      </c>
      <c r="S136">
        <v>0.90900000000000003</v>
      </c>
      <c r="T136">
        <v>0.92369999999999997</v>
      </c>
      <c r="AM136" s="2"/>
    </row>
    <row r="137" spans="1:39">
      <c r="A137" s="2"/>
      <c r="P137" s="2">
        <v>45660</v>
      </c>
      <c r="Q137">
        <v>0.91439999999999999</v>
      </c>
      <c r="R137">
        <v>0.91180000000000005</v>
      </c>
      <c r="S137">
        <v>0.91159999999999997</v>
      </c>
      <c r="T137">
        <v>0.9264</v>
      </c>
      <c r="AM137" s="2"/>
    </row>
    <row r="138" spans="1:39">
      <c r="A138" s="2"/>
      <c r="P138" s="2">
        <v>45659</v>
      </c>
      <c r="Q138">
        <v>0.91959999999999997</v>
      </c>
      <c r="R138">
        <v>0.91420000000000001</v>
      </c>
      <c r="S138">
        <v>0.91410000000000002</v>
      </c>
      <c r="T138">
        <v>0.92920000000000003</v>
      </c>
      <c r="AM138" s="2"/>
    </row>
    <row r="139" spans="1:39">
      <c r="A139" s="2"/>
      <c r="P139" s="2">
        <v>45658</v>
      </c>
      <c r="Q139">
        <v>0.91959999999999997</v>
      </c>
      <c r="R139">
        <v>0.91690000000000005</v>
      </c>
      <c r="S139">
        <v>0.91690000000000005</v>
      </c>
      <c r="T139">
        <v>0.93189999999999995</v>
      </c>
      <c r="AM139" s="2"/>
    </row>
    <row r="140" spans="1:39">
      <c r="A140" s="2"/>
      <c r="P140" s="2">
        <v>45657</v>
      </c>
      <c r="Q140">
        <v>0.92230000000000001</v>
      </c>
      <c r="R140">
        <v>0.91959999999999997</v>
      </c>
      <c r="S140">
        <v>0.91959999999999997</v>
      </c>
      <c r="T140">
        <v>0.93469999999999998</v>
      </c>
      <c r="AM140" s="2"/>
    </row>
    <row r="141" spans="1:39">
      <c r="A141" s="2"/>
      <c r="P141" s="2">
        <v>45656</v>
      </c>
      <c r="Q141">
        <v>0.93049999999999999</v>
      </c>
      <c r="R141">
        <v>0.9224</v>
      </c>
      <c r="S141">
        <v>0.92230000000000001</v>
      </c>
      <c r="T141">
        <v>0.93740000000000001</v>
      </c>
      <c r="AM141" s="2"/>
    </row>
    <row r="142" spans="1:39">
      <c r="A142" s="2"/>
      <c r="P142" s="2">
        <v>45655</v>
      </c>
      <c r="Q142">
        <v>0.93049999999999999</v>
      </c>
      <c r="R142">
        <v>0.92510000000000003</v>
      </c>
      <c r="S142">
        <v>0.92500000000000004</v>
      </c>
      <c r="T142">
        <v>0.94020000000000004</v>
      </c>
      <c r="AM142" s="2"/>
    </row>
    <row r="143" spans="1:39">
      <c r="A143" s="2"/>
      <c r="P143" s="2">
        <v>45654</v>
      </c>
      <c r="Q143">
        <v>0.93049999999999999</v>
      </c>
      <c r="R143">
        <v>0.92779999999999996</v>
      </c>
      <c r="S143">
        <v>0.92769999999999997</v>
      </c>
      <c r="T143">
        <v>0.94289999999999996</v>
      </c>
      <c r="AM143" s="2"/>
    </row>
    <row r="144" spans="1:39">
      <c r="A144" s="2"/>
      <c r="P144" s="2">
        <v>45653</v>
      </c>
      <c r="Q144">
        <v>0.93310000000000004</v>
      </c>
      <c r="R144">
        <v>0.93049999999999999</v>
      </c>
      <c r="S144">
        <v>0.9304</v>
      </c>
      <c r="T144">
        <v>0.94569999999999999</v>
      </c>
      <c r="AM144" s="2"/>
    </row>
    <row r="145" spans="1:39">
      <c r="A145" s="2"/>
      <c r="P145" s="2">
        <v>45652</v>
      </c>
      <c r="Q145">
        <v>0.93859999999999999</v>
      </c>
      <c r="R145">
        <v>0.93330000000000002</v>
      </c>
      <c r="S145">
        <v>0.93320000000000003</v>
      </c>
      <c r="T145">
        <v>0.94840000000000002</v>
      </c>
      <c r="AM145" s="2"/>
    </row>
    <row r="146" spans="1:39">
      <c r="A146" s="2"/>
      <c r="P146" s="2">
        <v>45651</v>
      </c>
      <c r="Q146">
        <v>0.93859999999999999</v>
      </c>
      <c r="R146">
        <v>0.93600000000000005</v>
      </c>
      <c r="S146">
        <v>0.93589999999999995</v>
      </c>
      <c r="T146">
        <v>0.95120000000000005</v>
      </c>
      <c r="AM146" s="2"/>
    </row>
    <row r="147" spans="1:39">
      <c r="A147" s="2"/>
      <c r="P147" s="2">
        <v>45650</v>
      </c>
      <c r="Q147">
        <v>0.94140000000000001</v>
      </c>
      <c r="R147">
        <v>0.93869999999999998</v>
      </c>
      <c r="S147">
        <v>0.93859999999999999</v>
      </c>
      <c r="T147">
        <v>0.95389999999999997</v>
      </c>
      <c r="AM147" s="2"/>
    </row>
    <row r="148" spans="1:39">
      <c r="A148" s="2"/>
      <c r="P148" s="2">
        <v>45649</v>
      </c>
      <c r="Q148">
        <v>0.94950000000000001</v>
      </c>
      <c r="R148">
        <v>0.94140000000000001</v>
      </c>
      <c r="S148">
        <v>0.94130000000000003</v>
      </c>
      <c r="T148">
        <v>0.95669999999999999</v>
      </c>
      <c r="AM148" s="2"/>
    </row>
    <row r="149" spans="1:39">
      <c r="A149" s="2"/>
      <c r="P149" s="2">
        <v>45648</v>
      </c>
      <c r="Q149">
        <v>0.94950000000000001</v>
      </c>
      <c r="R149">
        <v>0.94410000000000005</v>
      </c>
      <c r="S149">
        <v>0.94399999999999995</v>
      </c>
      <c r="T149">
        <v>0.95940000000000003</v>
      </c>
      <c r="AM149" s="2"/>
    </row>
    <row r="150" spans="1:39">
      <c r="A150" s="2"/>
      <c r="P150" s="2">
        <v>45647</v>
      </c>
      <c r="Q150">
        <v>0.94950000000000001</v>
      </c>
      <c r="R150">
        <v>0.94679999999999997</v>
      </c>
      <c r="S150">
        <v>0.94669999999999999</v>
      </c>
      <c r="T150">
        <v>0.96220000000000006</v>
      </c>
      <c r="AM150" s="2"/>
    </row>
    <row r="151" spans="1:39">
      <c r="A151" s="2"/>
      <c r="P151" s="2">
        <v>45646</v>
      </c>
      <c r="Q151">
        <v>0.95220000000000005</v>
      </c>
      <c r="R151">
        <v>0.94950000000000001</v>
      </c>
      <c r="S151">
        <v>0.94950000000000001</v>
      </c>
      <c r="T151">
        <v>0.96489999999999998</v>
      </c>
      <c r="AM151" s="2"/>
    </row>
    <row r="152" spans="1:39">
      <c r="A152" s="2"/>
      <c r="P152" s="2">
        <v>45645</v>
      </c>
      <c r="Q152">
        <v>0.95499999999999996</v>
      </c>
      <c r="R152">
        <v>0.95230000000000004</v>
      </c>
      <c r="S152">
        <v>0.95230000000000004</v>
      </c>
      <c r="T152">
        <v>0.96760000000000002</v>
      </c>
      <c r="AM152" s="2"/>
    </row>
    <row r="153" spans="1:39">
      <c r="A153" s="2"/>
      <c r="P153" s="2">
        <v>45644</v>
      </c>
      <c r="Q153">
        <v>0.95760000000000001</v>
      </c>
      <c r="R153">
        <v>0.95489999999999997</v>
      </c>
      <c r="S153">
        <v>0.95489999999999997</v>
      </c>
      <c r="T153">
        <v>0.97040000000000004</v>
      </c>
      <c r="AM153" s="2"/>
    </row>
    <row r="154" spans="1:39">
      <c r="A154" s="2"/>
      <c r="P154" s="2">
        <v>45643</v>
      </c>
      <c r="Q154">
        <v>0.96040000000000003</v>
      </c>
      <c r="R154">
        <v>0.9577</v>
      </c>
      <c r="S154">
        <v>0.9577</v>
      </c>
      <c r="T154">
        <v>0.97309999999999997</v>
      </c>
      <c r="AM154" s="2"/>
    </row>
    <row r="155" spans="1:39">
      <c r="A155" s="2"/>
      <c r="P155" s="2">
        <v>45642</v>
      </c>
      <c r="Q155">
        <v>0.96850000000000003</v>
      </c>
      <c r="R155">
        <v>0.96040000000000003</v>
      </c>
      <c r="S155">
        <v>0.96040000000000003</v>
      </c>
      <c r="T155">
        <v>0.97589999999999999</v>
      </c>
      <c r="AM155" s="2"/>
    </row>
    <row r="156" spans="1:39">
      <c r="A156" s="2"/>
      <c r="P156" s="2">
        <v>45641</v>
      </c>
      <c r="Q156">
        <v>0.96850000000000003</v>
      </c>
      <c r="R156">
        <v>0.96309999999999996</v>
      </c>
      <c r="S156">
        <v>0.96309999999999996</v>
      </c>
      <c r="T156">
        <v>0.97860000000000003</v>
      </c>
      <c r="AM156" s="2"/>
    </row>
    <row r="157" spans="1:39">
      <c r="A157" s="2"/>
      <c r="P157" s="2">
        <v>45640</v>
      </c>
      <c r="Q157">
        <v>0.96850000000000003</v>
      </c>
      <c r="R157">
        <v>0.96579999999999999</v>
      </c>
      <c r="S157">
        <v>0.96579999999999999</v>
      </c>
      <c r="T157">
        <v>0.98140000000000005</v>
      </c>
      <c r="AM157" s="2"/>
    </row>
    <row r="158" spans="1:39">
      <c r="A158" s="2"/>
      <c r="P158" s="2">
        <v>45639</v>
      </c>
      <c r="Q158">
        <v>0.97119999999999995</v>
      </c>
      <c r="R158">
        <v>0.96850000000000003</v>
      </c>
      <c r="S158">
        <v>0.96850000000000003</v>
      </c>
      <c r="T158">
        <v>0.98409999999999997</v>
      </c>
      <c r="AM158" s="2"/>
    </row>
    <row r="159" spans="1:39">
      <c r="A159" s="2"/>
      <c r="P159" s="2">
        <v>45638</v>
      </c>
      <c r="Q159">
        <v>0.9738</v>
      </c>
      <c r="R159">
        <v>0.97109999999999996</v>
      </c>
      <c r="S159">
        <v>0.97109999999999996</v>
      </c>
      <c r="T159">
        <v>0.9869</v>
      </c>
      <c r="AM159" s="2"/>
    </row>
    <row r="160" spans="1:39">
      <c r="A160" s="2"/>
      <c r="P160" s="2">
        <v>45637</v>
      </c>
      <c r="Q160">
        <v>0.97650000000000003</v>
      </c>
      <c r="R160">
        <v>0.9738</v>
      </c>
      <c r="S160">
        <v>0.97389999999999999</v>
      </c>
      <c r="T160">
        <v>0.96930000000000005</v>
      </c>
      <c r="AM160" s="2"/>
    </row>
    <row r="161" spans="1:39">
      <c r="A161" s="2"/>
      <c r="P161" s="2">
        <v>45636</v>
      </c>
      <c r="Q161">
        <v>0.95920000000000005</v>
      </c>
      <c r="R161">
        <v>0.95650000000000002</v>
      </c>
      <c r="S161">
        <v>0.95650000000000002</v>
      </c>
      <c r="T161">
        <v>0.97209999999999996</v>
      </c>
      <c r="AM161" s="2"/>
    </row>
    <row r="162" spans="1:39">
      <c r="A162" s="2"/>
      <c r="P162" s="2">
        <v>45635</v>
      </c>
      <c r="Q162">
        <v>0.96719999999999995</v>
      </c>
      <c r="R162">
        <v>0.95909999999999995</v>
      </c>
      <c r="S162">
        <v>0.95920000000000005</v>
      </c>
      <c r="T162">
        <v>0.9748</v>
      </c>
      <c r="AM162" s="2"/>
    </row>
    <row r="163" spans="1:39">
      <c r="A163" s="2"/>
      <c r="P163" s="2">
        <v>45634</v>
      </c>
      <c r="Q163">
        <v>0.96719999999999995</v>
      </c>
      <c r="R163">
        <v>0.96179999999999999</v>
      </c>
      <c r="S163">
        <v>0.96189999999999998</v>
      </c>
      <c r="T163">
        <v>0.97750000000000004</v>
      </c>
      <c r="AM163" s="2"/>
    </row>
    <row r="164" spans="1:39">
      <c r="A164" s="2"/>
      <c r="P164" s="2">
        <v>45633</v>
      </c>
      <c r="Q164">
        <v>0.96719999999999995</v>
      </c>
      <c r="R164">
        <v>0.96450000000000002</v>
      </c>
      <c r="S164">
        <v>0.96460000000000001</v>
      </c>
      <c r="T164">
        <v>0.98029999999999995</v>
      </c>
      <c r="AM164" s="2"/>
    </row>
    <row r="165" spans="1:39">
      <c r="A165" s="2"/>
      <c r="P165" s="2">
        <v>45632</v>
      </c>
      <c r="Q165">
        <v>0.97</v>
      </c>
      <c r="R165">
        <v>0.96730000000000005</v>
      </c>
      <c r="S165">
        <v>0.96730000000000005</v>
      </c>
      <c r="T165">
        <v>0.98299999999999998</v>
      </c>
      <c r="AM165" s="2"/>
    </row>
    <row r="166" spans="1:39">
      <c r="A166" s="2"/>
      <c r="P166" s="2">
        <v>45631</v>
      </c>
      <c r="Q166">
        <v>0.97260000000000002</v>
      </c>
      <c r="R166">
        <v>0.96989999999999998</v>
      </c>
      <c r="S166">
        <v>0.96989999999999998</v>
      </c>
      <c r="T166">
        <v>0.98570000000000002</v>
      </c>
      <c r="AM166" s="2"/>
    </row>
    <row r="167" spans="1:39">
      <c r="A167" s="2"/>
      <c r="P167" s="2">
        <v>45630</v>
      </c>
      <c r="Q167">
        <v>0.97529999999999994</v>
      </c>
      <c r="R167">
        <v>0.97260000000000002</v>
      </c>
      <c r="S167">
        <v>0.97260000000000002</v>
      </c>
      <c r="T167">
        <v>0.98850000000000005</v>
      </c>
      <c r="AM167" s="2"/>
    </row>
    <row r="168" spans="1:39">
      <c r="A168" s="2"/>
      <c r="P168" s="2">
        <v>45629</v>
      </c>
      <c r="Q168">
        <v>0.97799999999999998</v>
      </c>
      <c r="R168">
        <v>0.97529999999999994</v>
      </c>
      <c r="S168">
        <v>0.97529999999999994</v>
      </c>
      <c r="T168">
        <v>0.99119999999999997</v>
      </c>
      <c r="AM168" s="2"/>
    </row>
    <row r="169" spans="1:39">
      <c r="A169" s="2"/>
      <c r="P169" s="2">
        <v>45628</v>
      </c>
      <c r="Q169">
        <v>0.98599999999999999</v>
      </c>
      <c r="R169">
        <v>0.97789999999999999</v>
      </c>
      <c r="S169">
        <v>0.97789999999999999</v>
      </c>
      <c r="T169">
        <v>0.99390000000000001</v>
      </c>
      <c r="AM169" s="2"/>
    </row>
    <row r="170" spans="1:39">
      <c r="A170" s="2"/>
      <c r="P170" s="2">
        <v>45627</v>
      </c>
      <c r="Q170">
        <v>0.98599999999999999</v>
      </c>
      <c r="R170">
        <v>0.98060000000000003</v>
      </c>
      <c r="S170">
        <v>0.98060000000000003</v>
      </c>
      <c r="T170">
        <v>0.99660000000000004</v>
      </c>
      <c r="AM170" s="2"/>
    </row>
    <row r="171" spans="1:39">
      <c r="A171" s="2"/>
      <c r="P171" s="2">
        <v>45626</v>
      </c>
      <c r="Q171">
        <v>0.98599999999999999</v>
      </c>
      <c r="R171">
        <v>0.98329999999999995</v>
      </c>
      <c r="S171">
        <v>0.98329999999999995</v>
      </c>
      <c r="T171">
        <v>0.99939999999999996</v>
      </c>
      <c r="AM171" s="2"/>
    </row>
    <row r="172" spans="1:39">
      <c r="A172" s="2"/>
      <c r="P172" s="2">
        <v>45625</v>
      </c>
      <c r="Q172">
        <v>0.98850000000000005</v>
      </c>
      <c r="R172">
        <v>0.98580000000000001</v>
      </c>
      <c r="S172">
        <v>0.98580000000000001</v>
      </c>
      <c r="T172">
        <v>1.0021</v>
      </c>
      <c r="AM172" s="2"/>
    </row>
    <row r="173" spans="1:39">
      <c r="A173" s="2"/>
      <c r="P173" s="2">
        <v>45624</v>
      </c>
      <c r="Q173">
        <v>0.99070000000000003</v>
      </c>
      <c r="R173">
        <v>0.98809999999999998</v>
      </c>
      <c r="S173">
        <v>0.98799999999999999</v>
      </c>
      <c r="T173">
        <v>1.0047999999999999</v>
      </c>
      <c r="AM173" s="2"/>
    </row>
    <row r="174" spans="1:39">
      <c r="A174" s="2"/>
      <c r="P174" s="2">
        <v>45623</v>
      </c>
      <c r="Q174">
        <v>0.99339999999999995</v>
      </c>
      <c r="R174">
        <v>0.99070000000000003</v>
      </c>
      <c r="S174">
        <v>0.99070000000000003</v>
      </c>
      <c r="T174">
        <v>1.0075000000000001</v>
      </c>
      <c r="AM174" s="2"/>
    </row>
    <row r="175" spans="1:39">
      <c r="A175" s="2"/>
      <c r="P175" s="2">
        <v>45622</v>
      </c>
      <c r="Q175">
        <v>0.99609999999999999</v>
      </c>
      <c r="R175">
        <v>0.99339999999999995</v>
      </c>
      <c r="S175">
        <v>0.99329999999999996</v>
      </c>
      <c r="T175">
        <v>1.0103</v>
      </c>
      <c r="AM175" s="2"/>
    </row>
    <row r="176" spans="1:39">
      <c r="A176" s="2"/>
      <c r="P176" s="2">
        <v>45621</v>
      </c>
      <c r="Q176">
        <v>1.0041</v>
      </c>
      <c r="R176">
        <v>0.99609999999999999</v>
      </c>
      <c r="S176">
        <v>0.996</v>
      </c>
      <c r="T176">
        <v>1.0129999999999999</v>
      </c>
      <c r="AM176" s="2"/>
    </row>
    <row r="177" spans="1:39">
      <c r="A177" s="2"/>
      <c r="P177" s="2">
        <v>45620</v>
      </c>
      <c r="Q177">
        <v>1.0041</v>
      </c>
      <c r="R177">
        <v>0.99880000000000002</v>
      </c>
      <c r="S177">
        <v>0.99870000000000003</v>
      </c>
      <c r="T177">
        <v>1.0157</v>
      </c>
      <c r="AM177" s="2"/>
    </row>
    <row r="178" spans="1:39">
      <c r="A178" s="2"/>
      <c r="P178" s="2">
        <v>45619</v>
      </c>
      <c r="Q178">
        <v>1.0041</v>
      </c>
      <c r="R178">
        <v>1.0015000000000001</v>
      </c>
      <c r="S178">
        <v>1.0014000000000001</v>
      </c>
      <c r="T178">
        <v>1.0185</v>
      </c>
      <c r="AM178" s="2"/>
    </row>
    <row r="179" spans="1:39">
      <c r="A179" s="2"/>
      <c r="P179" s="2">
        <v>45618</v>
      </c>
      <c r="Q179">
        <v>1.0067999999999999</v>
      </c>
      <c r="R179">
        <v>1.0042</v>
      </c>
      <c r="S179">
        <v>1.0041</v>
      </c>
      <c r="T179">
        <v>1.0212000000000001</v>
      </c>
      <c r="AM179" s="2"/>
    </row>
    <row r="180" spans="1:39">
      <c r="A180" s="2"/>
      <c r="P180" s="2">
        <v>45617</v>
      </c>
      <c r="Q180">
        <v>1.0094000000000001</v>
      </c>
      <c r="R180">
        <v>1.0067999999999999</v>
      </c>
      <c r="S180">
        <v>1.0065999999999999</v>
      </c>
      <c r="T180">
        <v>1.0239</v>
      </c>
      <c r="AM180" s="2"/>
    </row>
    <row r="181" spans="1:39">
      <c r="A181" s="2"/>
      <c r="P181" s="2">
        <v>45616</v>
      </c>
      <c r="Q181">
        <v>1.012</v>
      </c>
      <c r="R181">
        <v>1.0095000000000001</v>
      </c>
      <c r="S181">
        <v>1.0093000000000001</v>
      </c>
      <c r="T181">
        <v>1.0266999999999999</v>
      </c>
      <c r="AM181" s="2"/>
    </row>
    <row r="182" spans="1:39">
      <c r="A182" s="2"/>
      <c r="P182" s="2">
        <v>45615</v>
      </c>
      <c r="Q182">
        <v>1.0145999999999999</v>
      </c>
      <c r="R182">
        <v>1.0121</v>
      </c>
      <c r="S182">
        <v>1.0119</v>
      </c>
      <c r="T182">
        <v>1.0294000000000001</v>
      </c>
      <c r="AM182" s="2"/>
    </row>
    <row r="183" spans="1:39">
      <c r="A183" s="2"/>
      <c r="P183" s="2">
        <v>45614</v>
      </c>
      <c r="Q183">
        <v>1.0226999999999999</v>
      </c>
      <c r="R183">
        <v>1.0146999999999999</v>
      </c>
      <c r="S183">
        <v>1.0145</v>
      </c>
      <c r="T183">
        <v>1.0321</v>
      </c>
      <c r="AM183" s="2"/>
    </row>
    <row r="184" spans="1:39">
      <c r="A184" s="2"/>
      <c r="P184" s="2">
        <v>45613</v>
      </c>
      <c r="Q184">
        <v>1.0226999999999999</v>
      </c>
      <c r="R184">
        <v>1.0174000000000001</v>
      </c>
      <c r="S184">
        <v>1.0172000000000001</v>
      </c>
      <c r="T184">
        <v>1.0348999999999999</v>
      </c>
      <c r="AM184" s="2"/>
    </row>
    <row r="185" spans="1:39">
      <c r="A185" s="2"/>
      <c r="P185" s="2">
        <v>45612</v>
      </c>
      <c r="Q185">
        <v>1.0226999999999999</v>
      </c>
      <c r="R185">
        <v>1.0201</v>
      </c>
      <c r="S185">
        <v>1.0199</v>
      </c>
      <c r="T185">
        <v>1.0376000000000001</v>
      </c>
      <c r="AM185" s="2"/>
    </row>
    <row r="186" spans="1:39">
      <c r="A186" s="2"/>
      <c r="P186" s="2">
        <v>45611</v>
      </c>
      <c r="Q186">
        <v>1.0254000000000001</v>
      </c>
      <c r="R186">
        <v>1.0228999999999999</v>
      </c>
      <c r="S186">
        <v>1.0226999999999999</v>
      </c>
      <c r="T186">
        <v>1.0403</v>
      </c>
      <c r="AM186" s="2"/>
    </row>
    <row r="187" spans="1:39">
      <c r="A187" s="2"/>
      <c r="P187" s="2">
        <v>45610</v>
      </c>
      <c r="Q187">
        <v>1.0282</v>
      </c>
      <c r="R187">
        <v>1.0256000000000001</v>
      </c>
      <c r="S187">
        <v>1.0254000000000001</v>
      </c>
      <c r="T187">
        <v>1.0430999999999999</v>
      </c>
      <c r="AM187" s="2"/>
    </row>
    <row r="188" spans="1:39">
      <c r="A188" s="2"/>
      <c r="P188" s="2">
        <v>45609</v>
      </c>
      <c r="Q188">
        <v>1.0308999999999999</v>
      </c>
      <c r="R188">
        <v>1.0284</v>
      </c>
      <c r="S188">
        <v>1.0282</v>
      </c>
      <c r="T188">
        <v>1.0458000000000001</v>
      </c>
      <c r="AM188" s="2"/>
    </row>
    <row r="189" spans="1:39">
      <c r="A189" s="2"/>
      <c r="P189" s="2">
        <v>45608</v>
      </c>
      <c r="Q189">
        <v>1.0336000000000001</v>
      </c>
      <c r="R189">
        <v>1.0310999999999999</v>
      </c>
      <c r="S189">
        <v>1.0308999999999999</v>
      </c>
      <c r="T189">
        <v>1.0485</v>
      </c>
      <c r="AM189" s="2"/>
    </row>
    <row r="190" spans="1:39">
      <c r="A190" s="2"/>
      <c r="P190" s="2">
        <v>45607</v>
      </c>
      <c r="Q190">
        <v>1.0417000000000001</v>
      </c>
      <c r="R190">
        <v>1.0338000000000001</v>
      </c>
      <c r="S190">
        <v>1.0336000000000001</v>
      </c>
      <c r="T190">
        <v>1.0512999999999999</v>
      </c>
      <c r="AM190" s="2"/>
    </row>
    <row r="191" spans="1:39">
      <c r="A191" s="2"/>
      <c r="P191" s="2">
        <v>45606</v>
      </c>
      <c r="Q191">
        <v>1.0417000000000001</v>
      </c>
      <c r="R191">
        <v>1.0365</v>
      </c>
      <c r="S191">
        <v>1.0363</v>
      </c>
      <c r="T191">
        <v>1.054</v>
      </c>
      <c r="AM191" s="2"/>
    </row>
    <row r="192" spans="1:39">
      <c r="A192" s="2"/>
      <c r="P192" s="2">
        <v>45605</v>
      </c>
      <c r="Q192">
        <v>1.0417000000000001</v>
      </c>
      <c r="R192">
        <v>1.0391999999999999</v>
      </c>
      <c r="S192">
        <v>1.0389999999999999</v>
      </c>
      <c r="T192">
        <v>1.0567</v>
      </c>
      <c r="AM192" s="2"/>
    </row>
    <row r="193" spans="1:39">
      <c r="A193" s="2"/>
      <c r="P193" s="2">
        <v>45604</v>
      </c>
      <c r="Q193">
        <v>1.0444</v>
      </c>
      <c r="R193">
        <v>1.0419</v>
      </c>
      <c r="S193">
        <v>1.0416000000000001</v>
      </c>
      <c r="T193">
        <v>1.0593999999999999</v>
      </c>
      <c r="AM193" s="2"/>
    </row>
    <row r="194" spans="1:39">
      <c r="A194" s="2"/>
      <c r="P194" s="2">
        <v>45603</v>
      </c>
      <c r="Q194">
        <v>1.0469999999999999</v>
      </c>
      <c r="R194">
        <v>1.0445</v>
      </c>
      <c r="S194">
        <v>1.0443</v>
      </c>
      <c r="T194">
        <v>1.0622</v>
      </c>
      <c r="AM194" s="2"/>
    </row>
    <row r="195" spans="1:39">
      <c r="A195" s="2"/>
      <c r="P195" s="2">
        <v>45602</v>
      </c>
      <c r="Q195">
        <v>1.0498000000000001</v>
      </c>
      <c r="R195">
        <v>1.0472999999999999</v>
      </c>
      <c r="S195">
        <v>1.0469999999999999</v>
      </c>
      <c r="T195">
        <v>1.0649</v>
      </c>
      <c r="AM195" s="2"/>
    </row>
    <row r="196" spans="1:39">
      <c r="A196" s="2"/>
      <c r="P196" s="2">
        <v>45601</v>
      </c>
      <c r="Q196">
        <v>1.0524</v>
      </c>
      <c r="R196">
        <v>1.0499000000000001</v>
      </c>
      <c r="S196">
        <v>1.0497000000000001</v>
      </c>
      <c r="T196">
        <v>1.0676000000000001</v>
      </c>
      <c r="AM196" s="2"/>
    </row>
    <row r="197" spans="1:39">
      <c r="A197" s="2"/>
      <c r="P197" s="2">
        <v>45600</v>
      </c>
      <c r="Q197">
        <v>1.0603</v>
      </c>
      <c r="R197">
        <v>1.0525</v>
      </c>
      <c r="S197">
        <v>1.0523</v>
      </c>
      <c r="T197">
        <v>1.0704</v>
      </c>
      <c r="AM197" s="2"/>
    </row>
    <row r="198" spans="1:39">
      <c r="A198" s="2"/>
      <c r="P198" s="2">
        <v>45599</v>
      </c>
      <c r="Q198">
        <v>1.0603</v>
      </c>
      <c r="R198">
        <v>1.0551999999999999</v>
      </c>
      <c r="S198">
        <v>1.0549999999999999</v>
      </c>
      <c r="T198">
        <v>1.0730999999999999</v>
      </c>
      <c r="AM198" s="2"/>
    </row>
    <row r="199" spans="1:39">
      <c r="A199" s="2"/>
      <c r="P199" s="2">
        <v>45598</v>
      </c>
      <c r="Q199">
        <v>1.0603</v>
      </c>
      <c r="R199">
        <v>1.0579000000000001</v>
      </c>
      <c r="S199">
        <v>1.0577000000000001</v>
      </c>
      <c r="T199">
        <v>1.0758000000000001</v>
      </c>
      <c r="AM199" s="2"/>
    </row>
    <row r="200" spans="1:39">
      <c r="A200" s="2"/>
      <c r="P200" s="2">
        <v>45597</v>
      </c>
      <c r="Q200">
        <v>1.0629999999999999</v>
      </c>
      <c r="R200">
        <v>1.0606</v>
      </c>
      <c r="S200">
        <v>1.0603</v>
      </c>
      <c r="T200">
        <v>1.0786</v>
      </c>
      <c r="AM200" s="2"/>
    </row>
    <row r="201" spans="1:39">
      <c r="A201" s="2"/>
      <c r="P201" s="2">
        <v>45596</v>
      </c>
      <c r="Q201">
        <v>1.0657000000000001</v>
      </c>
      <c r="R201">
        <v>1.0632999999999999</v>
      </c>
      <c r="S201">
        <v>1.0629999999999999</v>
      </c>
      <c r="T201">
        <v>1.0812999999999999</v>
      </c>
      <c r="AM201" s="2"/>
    </row>
    <row r="202" spans="1:39">
      <c r="A202" s="2"/>
      <c r="P202" s="2">
        <v>45595</v>
      </c>
      <c r="Q202">
        <v>1.0685</v>
      </c>
      <c r="R202">
        <v>1.0660000000000001</v>
      </c>
      <c r="S202">
        <v>1.0658000000000001</v>
      </c>
      <c r="T202">
        <v>1.0840000000000001</v>
      </c>
      <c r="AM202" s="2"/>
    </row>
    <row r="203" spans="1:39">
      <c r="A203" s="2"/>
      <c r="P203" s="2">
        <v>45594</v>
      </c>
      <c r="Q203">
        <v>1.0710999999999999</v>
      </c>
      <c r="R203">
        <v>1.0687</v>
      </c>
      <c r="S203">
        <v>1.0685</v>
      </c>
      <c r="T203">
        <v>1.0868</v>
      </c>
      <c r="AM203" s="2"/>
    </row>
    <row r="204" spans="1:39">
      <c r="A204" s="2"/>
      <c r="P204" s="2">
        <v>45593</v>
      </c>
      <c r="Q204">
        <v>1.0792999999999999</v>
      </c>
      <c r="R204">
        <v>1.0714999999999999</v>
      </c>
      <c r="S204">
        <v>1.0711999999999999</v>
      </c>
      <c r="T204">
        <v>1.0894999999999999</v>
      </c>
      <c r="AM204" s="2"/>
    </row>
    <row r="205" spans="1:39">
      <c r="A205" s="2"/>
      <c r="P205" s="2">
        <v>45592</v>
      </c>
      <c r="Q205">
        <v>1.0792999999999999</v>
      </c>
      <c r="R205">
        <v>1.0742</v>
      </c>
      <c r="S205">
        <v>1.0739000000000001</v>
      </c>
      <c r="T205">
        <v>1.0922000000000001</v>
      </c>
      <c r="AM205" s="2"/>
    </row>
    <row r="206" spans="1:39">
      <c r="A206" s="2"/>
      <c r="AM206" s="2"/>
    </row>
    <row r="207" spans="1:39">
      <c r="A207" s="2"/>
      <c r="AM207" s="2"/>
    </row>
    <row r="208" spans="1:39">
      <c r="A208" s="2"/>
      <c r="AM208" s="2"/>
    </row>
    <row r="209" spans="1:39">
      <c r="A209" s="2"/>
      <c r="AM209" s="2"/>
    </row>
    <row r="210" spans="1:39">
      <c r="A210" s="2"/>
      <c r="AM210" s="2"/>
    </row>
    <row r="211" spans="1:39">
      <c r="A211" s="2"/>
      <c r="AM211" s="2"/>
    </row>
    <row r="212" spans="1:39">
      <c r="A212" s="2"/>
      <c r="AM212" s="2"/>
    </row>
    <row r="213" spans="1:39">
      <c r="A213" s="2"/>
      <c r="AM213" s="2"/>
    </row>
    <row r="214" spans="1:39">
      <c r="A214" s="2"/>
      <c r="AM214" s="2"/>
    </row>
    <row r="215" spans="1:39">
      <c r="A215" s="2"/>
      <c r="AM215" s="2"/>
    </row>
    <row r="216" spans="1:39">
      <c r="A216" s="2"/>
      <c r="AM216" s="2"/>
    </row>
    <row r="217" spans="1:39">
      <c r="A217" s="2"/>
      <c r="AM217" s="2"/>
    </row>
    <row r="218" spans="1:39">
      <c r="A218" s="2"/>
      <c r="AM218" s="2"/>
    </row>
    <row r="219" spans="1:39">
      <c r="A219" s="2"/>
      <c r="AM219" s="2"/>
    </row>
    <row r="220" spans="1:39">
      <c r="A220" s="2"/>
      <c r="AM220" s="2"/>
    </row>
    <row r="221" spans="1:39">
      <c r="A221" s="2"/>
      <c r="AM221" s="2"/>
    </row>
    <row r="222" spans="1:39">
      <c r="A222" s="2"/>
      <c r="AM222" s="2"/>
    </row>
    <row r="223" spans="1:39">
      <c r="A223" s="2"/>
      <c r="AM223" s="2"/>
    </row>
    <row r="224" spans="1:39">
      <c r="A224" s="2"/>
      <c r="AM224" s="2"/>
    </row>
    <row r="225" spans="1:39">
      <c r="A225" s="2"/>
      <c r="AM225" s="2"/>
    </row>
    <row r="226" spans="1:39">
      <c r="A226" s="2"/>
      <c r="AM226" s="2"/>
    </row>
    <row r="227" spans="1:39">
      <c r="A227" s="2"/>
      <c r="AM227" s="2"/>
    </row>
    <row r="228" spans="1:39">
      <c r="A228" s="2"/>
      <c r="AM228" s="2"/>
    </row>
    <row r="229" spans="1:39">
      <c r="A229" s="2"/>
      <c r="AM229" s="2"/>
    </row>
    <row r="230" spans="1:39">
      <c r="A230" s="2"/>
      <c r="AM230" s="2"/>
    </row>
    <row r="231" spans="1:39">
      <c r="A231" s="2"/>
      <c r="AM231" s="2"/>
    </row>
    <row r="232" spans="1:39">
      <c r="A232" s="2"/>
      <c r="AM232" s="2"/>
    </row>
    <row r="233" spans="1:39">
      <c r="A233" s="2"/>
      <c r="AM233" s="2"/>
    </row>
    <row r="234" spans="1:39">
      <c r="A234" s="2"/>
      <c r="AM234" s="2"/>
    </row>
    <row r="235" spans="1:39">
      <c r="A235" s="2"/>
      <c r="AM235" s="2"/>
    </row>
    <row r="236" spans="1:39">
      <c r="A236" s="2"/>
      <c r="AM236" s="2"/>
    </row>
    <row r="237" spans="1:39">
      <c r="A237" s="2"/>
      <c r="AM237" s="2"/>
    </row>
    <row r="238" spans="1:39">
      <c r="A238" s="2"/>
      <c r="AM238" s="2"/>
    </row>
    <row r="239" spans="1:39">
      <c r="A239" s="2"/>
      <c r="AM239" s="2"/>
    </row>
    <row r="240" spans="1:39">
      <c r="A240" s="2"/>
      <c r="AM240" s="2"/>
    </row>
    <row r="241" spans="1:39">
      <c r="A241" s="2"/>
      <c r="AM241" s="2"/>
    </row>
    <row r="242" spans="1:39">
      <c r="A242" s="2"/>
      <c r="AM242" s="2"/>
    </row>
    <row r="243" spans="1:39">
      <c r="A243" s="2"/>
      <c r="AM243" s="2"/>
    </row>
    <row r="244" spans="1:39">
      <c r="A244" s="2"/>
      <c r="AM244" s="2"/>
    </row>
    <row r="245" spans="1:39">
      <c r="A245" s="2"/>
      <c r="AM245" s="2"/>
    </row>
    <row r="246" spans="1:39">
      <c r="A246" s="2"/>
      <c r="AM246" s="2"/>
    </row>
    <row r="247" spans="1:39">
      <c r="A247" s="2"/>
      <c r="AM247" s="2"/>
    </row>
    <row r="248" spans="1:39">
      <c r="A248" s="2"/>
      <c r="AM248" s="2"/>
    </row>
    <row r="249" spans="1:39">
      <c r="A249" s="2"/>
      <c r="AM249" s="2"/>
    </row>
    <row r="250" spans="1:39">
      <c r="A250" s="2"/>
      <c r="AM250" s="2"/>
    </row>
    <row r="251" spans="1:39">
      <c r="A251" s="2"/>
      <c r="AM251" s="2"/>
    </row>
    <row r="252" spans="1:39">
      <c r="A252" s="2"/>
      <c r="AM252" s="2"/>
    </row>
    <row r="253" spans="1:39">
      <c r="A253" s="2"/>
      <c r="AM253" s="2"/>
    </row>
    <row r="254" spans="1:39">
      <c r="A254" s="2"/>
      <c r="AM254" s="2"/>
    </row>
    <row r="255" spans="1:39">
      <c r="A255" s="2"/>
      <c r="AM255" s="2"/>
    </row>
    <row r="256" spans="1:39">
      <c r="A256" s="2"/>
      <c r="AM256" s="2"/>
    </row>
    <row r="257" spans="1:39">
      <c r="A257" s="2"/>
      <c r="AM257" s="2"/>
    </row>
    <row r="258" spans="1:39">
      <c r="A258" s="2"/>
      <c r="AM258" s="2"/>
    </row>
    <row r="259" spans="1:39">
      <c r="A259" s="2"/>
      <c r="AM259" s="2"/>
    </row>
    <row r="260" spans="1:39">
      <c r="A260" s="2"/>
      <c r="AM260" s="2"/>
    </row>
    <row r="261" spans="1:39">
      <c r="A261" s="2"/>
      <c r="AM261" s="2"/>
    </row>
    <row r="262" spans="1:39">
      <c r="A262" s="2"/>
      <c r="AM262" s="2"/>
    </row>
    <row r="263" spans="1:39">
      <c r="A263" s="2"/>
      <c r="AM263" s="2"/>
    </row>
    <row r="264" spans="1:39">
      <c r="A264" s="2"/>
      <c r="AM264" s="2"/>
    </row>
    <row r="265" spans="1:39">
      <c r="A265" s="2"/>
      <c r="AM265" s="2"/>
    </row>
    <row r="266" spans="1:39">
      <c r="A266" s="2"/>
      <c r="AM266" s="2"/>
    </row>
    <row r="267" spans="1:39">
      <c r="A267" s="2"/>
      <c r="AM267" s="2"/>
    </row>
    <row r="268" spans="1:39">
      <c r="A268" s="2"/>
      <c r="AM268" s="2"/>
    </row>
    <row r="269" spans="1:39">
      <c r="A269" s="2"/>
      <c r="AM269" s="2"/>
    </row>
    <row r="270" spans="1:39">
      <c r="A270" s="2"/>
      <c r="AM270" s="2"/>
    </row>
    <row r="271" spans="1:39">
      <c r="A271" s="2"/>
      <c r="AM271" s="2"/>
    </row>
    <row r="272" spans="1:39">
      <c r="A272" s="2"/>
      <c r="AM272" s="2"/>
    </row>
    <row r="273" spans="1:39">
      <c r="A273" s="2"/>
      <c r="AM273" s="2"/>
    </row>
    <row r="274" spans="1:39">
      <c r="A274" s="2"/>
      <c r="AM274" s="2"/>
    </row>
    <row r="275" spans="1:39">
      <c r="A275" s="2"/>
      <c r="AM275" s="2"/>
    </row>
    <row r="276" spans="1:39">
      <c r="A276" s="2"/>
      <c r="AM276" s="2"/>
    </row>
    <row r="277" spans="1:39">
      <c r="A277" s="2"/>
      <c r="AM277" s="2"/>
    </row>
    <row r="278" spans="1:39">
      <c r="A278" s="2"/>
      <c r="AM278" s="2"/>
    </row>
    <row r="279" spans="1:39">
      <c r="A279" s="2"/>
      <c r="AM279" s="2"/>
    </row>
    <row r="280" spans="1:39">
      <c r="A280" s="2"/>
      <c r="AM280" s="2"/>
    </row>
    <row r="281" spans="1:39">
      <c r="A281" s="2"/>
      <c r="AM281" s="2"/>
    </row>
    <row r="282" spans="1:39">
      <c r="A282" s="2"/>
      <c r="AM282" s="2"/>
    </row>
    <row r="283" spans="1:39">
      <c r="A283" s="2"/>
      <c r="AM283" s="2"/>
    </row>
    <row r="284" spans="1:39">
      <c r="A284" s="2"/>
      <c r="AM284" s="2"/>
    </row>
    <row r="285" spans="1:39">
      <c r="A285" s="2"/>
      <c r="AM285" s="2"/>
    </row>
    <row r="286" spans="1:39">
      <c r="A286" s="2"/>
      <c r="AM286" s="2"/>
    </row>
    <row r="287" spans="1:39">
      <c r="A287" s="2"/>
      <c r="AM287" s="2"/>
    </row>
    <row r="288" spans="1:39">
      <c r="A288" s="2"/>
      <c r="AM288" s="2"/>
    </row>
    <row r="289" spans="1:39">
      <c r="A289" s="2"/>
      <c r="AM289" s="2"/>
    </row>
    <row r="290" spans="1:39">
      <c r="A290" s="2"/>
      <c r="AM290" s="2"/>
    </row>
    <row r="291" spans="1:39">
      <c r="A291" s="2"/>
      <c r="AM291" s="2"/>
    </row>
    <row r="292" spans="1:39">
      <c r="A292" s="2"/>
      <c r="AM292" s="2"/>
    </row>
    <row r="293" spans="1:39">
      <c r="A293" s="2"/>
      <c r="AM293" s="2"/>
    </row>
    <row r="294" spans="1:39">
      <c r="A294" s="2"/>
      <c r="AM294" s="2"/>
    </row>
    <row r="295" spans="1:39">
      <c r="A295" s="2"/>
      <c r="AM295" s="2"/>
    </row>
    <row r="296" spans="1:39">
      <c r="A296" s="2"/>
      <c r="AM296" s="2"/>
    </row>
    <row r="297" spans="1:39">
      <c r="A297" s="2"/>
      <c r="AM297" s="2"/>
    </row>
    <row r="298" spans="1:39">
      <c r="A298" s="2"/>
      <c r="AM298" s="2"/>
    </row>
    <row r="299" spans="1:39">
      <c r="A299" s="2"/>
      <c r="AM299" s="2"/>
    </row>
    <row r="300" spans="1:39">
      <c r="A300" s="2"/>
      <c r="AM300" s="2"/>
    </row>
    <row r="301" spans="1:39">
      <c r="A301" s="2"/>
      <c r="AM301" s="2"/>
    </row>
    <row r="302" spans="1:39">
      <c r="A302" s="2"/>
      <c r="AM302" s="2"/>
    </row>
    <row r="303" spans="1:39">
      <c r="A303" s="2"/>
      <c r="AM303" s="2"/>
    </row>
    <row r="304" spans="1:39">
      <c r="A304" s="2"/>
      <c r="AM304" s="2"/>
    </row>
    <row r="305" spans="1:39">
      <c r="A305" s="2"/>
      <c r="AM305" s="2"/>
    </row>
    <row r="306" spans="1:39">
      <c r="A306" s="2"/>
      <c r="AM306" s="2"/>
    </row>
    <row r="307" spans="1:39">
      <c r="A307" s="2"/>
      <c r="AM307" s="2"/>
    </row>
    <row r="308" spans="1:39">
      <c r="A308" s="2"/>
      <c r="AM308" s="2"/>
    </row>
    <row r="309" spans="1:39">
      <c r="A309" s="2"/>
      <c r="AM309" s="2"/>
    </row>
    <row r="310" spans="1:39">
      <c r="A310" s="2"/>
      <c r="AM310" s="2"/>
    </row>
    <row r="311" spans="1:39">
      <c r="A311" s="2"/>
      <c r="AM311" s="2"/>
    </row>
    <row r="312" spans="1:39">
      <c r="A312" s="2"/>
      <c r="AM312" s="2"/>
    </row>
    <row r="313" spans="1:39">
      <c r="A313" s="2"/>
      <c r="AM313" s="2"/>
    </row>
    <row r="314" spans="1:39">
      <c r="A314" s="2"/>
      <c r="AM314" s="2"/>
    </row>
    <row r="315" spans="1:39">
      <c r="A315" s="2"/>
      <c r="AM315" s="2"/>
    </row>
    <row r="316" spans="1:39">
      <c r="A316" s="2"/>
      <c r="AM316" s="2"/>
    </row>
    <row r="317" spans="1:39">
      <c r="A317" s="2"/>
      <c r="AM317" s="2"/>
    </row>
    <row r="318" spans="1:39">
      <c r="A318" s="2"/>
      <c r="AM318" s="2"/>
    </row>
    <row r="319" spans="1:39">
      <c r="A319" s="2"/>
      <c r="AM319" s="2"/>
    </row>
    <row r="320" spans="1:39">
      <c r="A320" s="2"/>
      <c r="AM320" s="2"/>
    </row>
    <row r="321" spans="1:39">
      <c r="A321" s="2"/>
      <c r="AM321" s="2"/>
    </row>
    <row r="322" spans="1:39">
      <c r="A322" s="2"/>
      <c r="AM322" s="2"/>
    </row>
    <row r="323" spans="1:39">
      <c r="A323" s="2"/>
      <c r="AM323" s="2"/>
    </row>
    <row r="324" spans="1:39">
      <c r="A324" s="2"/>
      <c r="AM324" s="2"/>
    </row>
    <row r="325" spans="1:39">
      <c r="A325" s="2"/>
      <c r="AM325" s="2"/>
    </row>
    <row r="326" spans="1:39">
      <c r="A326" s="2"/>
      <c r="AM326" s="2"/>
    </row>
    <row r="327" spans="1:39">
      <c r="A327" s="2"/>
      <c r="AM327" s="2"/>
    </row>
    <row r="328" spans="1:39">
      <c r="A328" s="2"/>
      <c r="AM328" s="2"/>
    </row>
    <row r="329" spans="1:39">
      <c r="A329" s="2"/>
      <c r="AM329" s="2"/>
    </row>
    <row r="330" spans="1:39">
      <c r="A330" s="2"/>
      <c r="AM330" s="2"/>
    </row>
    <row r="331" spans="1:39">
      <c r="A331" s="2"/>
      <c r="AM331" s="2"/>
    </row>
    <row r="332" spans="1:39">
      <c r="A332" s="2"/>
      <c r="AM332" s="2"/>
    </row>
    <row r="333" spans="1:39">
      <c r="A333" s="2"/>
      <c r="AM333" s="2"/>
    </row>
    <row r="334" spans="1:39">
      <c r="A334" s="2"/>
      <c r="AM334" s="2"/>
    </row>
    <row r="335" spans="1:39">
      <c r="A335" s="2"/>
      <c r="AM335" s="2"/>
    </row>
    <row r="336" spans="1:39">
      <c r="A336" s="2"/>
      <c r="AM336" s="2"/>
    </row>
    <row r="337" spans="1:39">
      <c r="A337" s="2"/>
      <c r="AM337" s="2"/>
    </row>
    <row r="338" spans="1:39">
      <c r="A338" s="2"/>
      <c r="AM338" s="2"/>
    </row>
    <row r="339" spans="1:39">
      <c r="A339" s="2"/>
      <c r="AM339" s="2"/>
    </row>
    <row r="340" spans="1:39">
      <c r="A340" s="2"/>
      <c r="AM340" s="2"/>
    </row>
    <row r="341" spans="1:39">
      <c r="A341" s="2"/>
      <c r="AM341" s="2"/>
    </row>
    <row r="342" spans="1:39">
      <c r="A342" s="2"/>
      <c r="AM342" s="2"/>
    </row>
    <row r="343" spans="1:39">
      <c r="A343" s="2"/>
      <c r="AM343" s="2"/>
    </row>
    <row r="344" spans="1:39">
      <c r="A344" s="2"/>
      <c r="AM344" s="2"/>
    </row>
    <row r="345" spans="1:39">
      <c r="A345" s="2"/>
      <c r="AM345" s="2"/>
    </row>
    <row r="346" spans="1:39">
      <c r="A346" s="2"/>
      <c r="AM346" s="2"/>
    </row>
    <row r="347" spans="1:39">
      <c r="A347" s="2"/>
      <c r="AM347" s="2"/>
    </row>
    <row r="348" spans="1:39">
      <c r="A348" s="2"/>
      <c r="AM348" s="2"/>
    </row>
    <row r="349" spans="1:39">
      <c r="A349" s="2"/>
      <c r="AM349" s="2"/>
    </row>
    <row r="350" spans="1:39">
      <c r="A350" s="2"/>
      <c r="AM350" s="2"/>
    </row>
    <row r="351" spans="1:39">
      <c r="A351" s="2"/>
      <c r="AM351" s="2"/>
    </row>
    <row r="352" spans="1:39">
      <c r="A352" s="2"/>
      <c r="AM352" s="2"/>
    </row>
    <row r="353" spans="1:39">
      <c r="A353" s="2"/>
      <c r="AM353" s="2"/>
    </row>
    <row r="354" spans="1:39">
      <c r="A354" s="2"/>
      <c r="AM354" s="2"/>
    </row>
    <row r="355" spans="1:39">
      <c r="A355" s="2"/>
      <c r="AM355" s="2"/>
    </row>
    <row r="356" spans="1:39">
      <c r="A356" s="2"/>
      <c r="AM356" s="2"/>
    </row>
    <row r="357" spans="1:39">
      <c r="A357" s="2"/>
      <c r="AM357" s="2"/>
    </row>
    <row r="358" spans="1:39">
      <c r="A358" s="2"/>
      <c r="AM358" s="2"/>
    </row>
    <row r="359" spans="1:39">
      <c r="A359" s="2"/>
      <c r="AM359" s="2"/>
    </row>
    <row r="360" spans="1:39">
      <c r="A360" s="2"/>
      <c r="AM360" s="2"/>
    </row>
    <row r="361" spans="1:39">
      <c r="A361" s="2"/>
      <c r="AM361" s="2"/>
    </row>
    <row r="362" spans="1:39">
      <c r="A362" s="2"/>
      <c r="AM362" s="2"/>
    </row>
    <row r="363" spans="1:39">
      <c r="A363" s="2"/>
      <c r="AM363" s="2"/>
    </row>
    <row r="364" spans="1:39">
      <c r="A364" s="2"/>
      <c r="AM364" s="2"/>
    </row>
    <row r="365" spans="1:39">
      <c r="A365" s="2"/>
      <c r="AM365" s="2"/>
    </row>
    <row r="366" spans="1:39">
      <c r="A366" s="2"/>
      <c r="AM366" s="2"/>
    </row>
    <row r="367" spans="1:39">
      <c r="A367" s="2"/>
      <c r="AM367" s="2"/>
    </row>
    <row r="368" spans="1:39">
      <c r="A368" s="2"/>
      <c r="AM368" s="2"/>
    </row>
    <row r="369" spans="1:39">
      <c r="A369" s="2"/>
      <c r="AM369" s="2"/>
    </row>
    <row r="370" spans="1:39">
      <c r="A370" s="2"/>
      <c r="AM370" s="2"/>
    </row>
    <row r="371" spans="1:39">
      <c r="A371" s="2"/>
      <c r="AM371" s="2"/>
    </row>
    <row r="372" spans="1:39">
      <c r="A372" s="2"/>
      <c r="AM372" s="2"/>
    </row>
    <row r="373" spans="1:39">
      <c r="A373" s="2"/>
      <c r="AM373" s="2"/>
    </row>
    <row r="374" spans="1:39">
      <c r="A374" s="2"/>
      <c r="AM374" s="2"/>
    </row>
    <row r="375" spans="1:39">
      <c r="A375" s="2"/>
      <c r="AM375" s="2"/>
    </row>
    <row r="376" spans="1:39">
      <c r="A376" s="2"/>
      <c r="AM376" s="2"/>
    </row>
    <row r="377" spans="1:39">
      <c r="A377" s="2"/>
      <c r="AM377" s="2"/>
    </row>
    <row r="378" spans="1:39">
      <c r="A378" s="2"/>
      <c r="AM378" s="2"/>
    </row>
    <row r="379" spans="1:39">
      <c r="A379" s="2"/>
      <c r="AM379" s="2"/>
    </row>
    <row r="380" spans="1:39">
      <c r="A380" s="2"/>
      <c r="AM380" s="2"/>
    </row>
    <row r="381" spans="1:39">
      <c r="A381" s="2"/>
      <c r="AM381" s="2"/>
    </row>
    <row r="382" spans="1:39">
      <c r="A382" s="2"/>
      <c r="AM382" s="2"/>
    </row>
    <row r="383" spans="1:39">
      <c r="A383" s="2"/>
      <c r="AM383" s="2"/>
    </row>
    <row r="384" spans="1:39">
      <c r="A384" s="2"/>
      <c r="AM384" s="2"/>
    </row>
    <row r="385" spans="1:39">
      <c r="A385" s="2"/>
      <c r="AM385" s="2"/>
    </row>
    <row r="386" spans="1:39">
      <c r="A386" s="2"/>
      <c r="AM386" s="2"/>
    </row>
    <row r="387" spans="1:39">
      <c r="A387" s="2"/>
      <c r="AM387" s="2"/>
    </row>
    <row r="388" spans="1:39">
      <c r="A388" s="2"/>
      <c r="AM388" s="2"/>
    </row>
    <row r="389" spans="1:39">
      <c r="A389" s="2"/>
      <c r="AM389" s="2"/>
    </row>
    <row r="390" spans="1:39">
      <c r="A390" s="2"/>
      <c r="AM390" s="2"/>
    </row>
    <row r="391" spans="1:39">
      <c r="A391" s="2"/>
      <c r="AM391" s="2"/>
    </row>
    <row r="392" spans="1:39">
      <c r="A392" s="2"/>
      <c r="AM392" s="2"/>
    </row>
    <row r="393" spans="1:39">
      <c r="A393" s="2"/>
      <c r="AM393" s="2"/>
    </row>
    <row r="394" spans="1:39">
      <c r="A394" s="2"/>
      <c r="AM394" s="2"/>
    </row>
    <row r="395" spans="1:39">
      <c r="A395" s="2"/>
      <c r="AM395" s="2"/>
    </row>
    <row r="396" spans="1:39">
      <c r="A396" s="2"/>
      <c r="AM396" s="2"/>
    </row>
    <row r="397" spans="1:39">
      <c r="A397" s="2"/>
      <c r="AM397" s="2"/>
    </row>
    <row r="398" spans="1:39">
      <c r="A398" s="2"/>
      <c r="AM398" s="2"/>
    </row>
    <row r="399" spans="1:39">
      <c r="A399" s="2"/>
      <c r="AM399" s="2"/>
    </row>
    <row r="400" spans="1:39">
      <c r="A400" s="2"/>
      <c r="AM400" s="2"/>
    </row>
    <row r="401" spans="1:39">
      <c r="A401" s="2"/>
      <c r="AM401" s="2"/>
    </row>
    <row r="402" spans="1:39">
      <c r="A402" s="2"/>
      <c r="AM402" s="2"/>
    </row>
    <row r="403" spans="1:39">
      <c r="A403" s="2"/>
      <c r="AM403" s="2"/>
    </row>
    <row r="404" spans="1:39">
      <c r="A404" s="2"/>
      <c r="AM404" s="2"/>
    </row>
    <row r="405" spans="1:39">
      <c r="A405" s="2"/>
      <c r="AM405" s="2"/>
    </row>
    <row r="406" spans="1:39">
      <c r="A406" s="2"/>
      <c r="AM406" s="2"/>
    </row>
    <row r="407" spans="1:39">
      <c r="A407" s="2"/>
      <c r="AM407" s="2"/>
    </row>
    <row r="408" spans="1:39">
      <c r="A408" s="2"/>
      <c r="AM408" s="2"/>
    </row>
    <row r="409" spans="1:39">
      <c r="A409" s="2"/>
      <c r="AM409" s="2"/>
    </row>
    <row r="410" spans="1:39">
      <c r="A410" s="2"/>
      <c r="AM410" s="2"/>
    </row>
    <row r="411" spans="1:39">
      <c r="A411" s="2"/>
      <c r="AM411" s="2"/>
    </row>
    <row r="412" spans="1:39">
      <c r="A412" s="2"/>
      <c r="AM412" s="2"/>
    </row>
    <row r="413" spans="1:39">
      <c r="A413" s="2"/>
      <c r="AM413" s="2"/>
    </row>
    <row r="414" spans="1:39">
      <c r="A414" s="2"/>
      <c r="AM414" s="2"/>
    </row>
    <row r="415" spans="1:39">
      <c r="A415" s="2"/>
      <c r="AM415" s="2"/>
    </row>
    <row r="416" spans="1:39">
      <c r="A416" s="2"/>
      <c r="AM416" s="2"/>
    </row>
    <row r="417" spans="1:39">
      <c r="A417" s="2"/>
      <c r="AM417" s="2"/>
    </row>
    <row r="418" spans="1:39">
      <c r="A418" s="2"/>
      <c r="AM418" s="2"/>
    </row>
    <row r="419" spans="1:39">
      <c r="A419" s="2"/>
      <c r="AM419" s="2"/>
    </row>
    <row r="420" spans="1:39">
      <c r="A420" s="2"/>
      <c r="AM420" s="2"/>
    </row>
    <row r="421" spans="1:39">
      <c r="A421" s="2"/>
      <c r="AM421" s="2"/>
    </row>
    <row r="422" spans="1:39">
      <c r="A422" s="2"/>
      <c r="AM422" s="2"/>
    </row>
    <row r="423" spans="1:39">
      <c r="A423" s="2"/>
      <c r="AM423" s="2"/>
    </row>
    <row r="424" spans="1:39">
      <c r="A424" s="2"/>
      <c r="AM424" s="2"/>
    </row>
    <row r="425" spans="1:39">
      <c r="A425" s="2"/>
      <c r="AM425" s="2"/>
    </row>
    <row r="426" spans="1:39">
      <c r="A426" s="2"/>
      <c r="AM426" s="2"/>
    </row>
    <row r="427" spans="1:39">
      <c r="A427" s="2"/>
      <c r="AM427" s="2"/>
    </row>
    <row r="428" spans="1:39">
      <c r="A428" s="2"/>
      <c r="AM428" s="2"/>
    </row>
    <row r="429" spans="1:39">
      <c r="A429" s="2"/>
      <c r="AM429" s="2"/>
    </row>
    <row r="430" spans="1:39">
      <c r="A430" s="2"/>
      <c r="AM430" s="2"/>
    </row>
    <row r="431" spans="1:39">
      <c r="A431" s="2"/>
      <c r="AM431" s="2"/>
    </row>
    <row r="432" spans="1:39">
      <c r="A432" s="2"/>
      <c r="AM432" s="2"/>
    </row>
    <row r="433" spans="1:39">
      <c r="A433" s="2"/>
      <c r="AM433" s="2"/>
    </row>
    <row r="434" spans="1:39">
      <c r="A434" s="2"/>
      <c r="AM434" s="2"/>
    </row>
    <row r="435" spans="1:39">
      <c r="A435" s="2"/>
      <c r="AM435" s="2"/>
    </row>
    <row r="436" spans="1:39">
      <c r="A436" s="2"/>
      <c r="AM436" s="2"/>
    </row>
    <row r="437" spans="1:39">
      <c r="A437" s="2"/>
      <c r="AM437" s="2"/>
    </row>
    <row r="438" spans="1:39">
      <c r="A438" s="2"/>
      <c r="AM438" s="2"/>
    </row>
    <row r="439" spans="1:39">
      <c r="A439" s="2"/>
      <c r="AM439" s="2"/>
    </row>
    <row r="440" spans="1:39">
      <c r="A440" s="2"/>
      <c r="AM440" s="2"/>
    </row>
    <row r="441" spans="1:39">
      <c r="A441" s="2"/>
      <c r="AM441" s="2"/>
    </row>
    <row r="442" spans="1:39">
      <c r="A442" s="2"/>
      <c r="AM442" s="2"/>
    </row>
    <row r="443" spans="1:39">
      <c r="A443" s="2"/>
      <c r="AM443" s="2"/>
    </row>
    <row r="444" spans="1:39">
      <c r="A444" s="2"/>
      <c r="AM444" s="2"/>
    </row>
    <row r="445" spans="1:39">
      <c r="A445" s="2"/>
      <c r="AM445" s="2"/>
    </row>
    <row r="446" spans="1:39">
      <c r="A446" s="2"/>
      <c r="AM446" s="2"/>
    </row>
    <row r="447" spans="1:39">
      <c r="A447" s="2"/>
      <c r="AM447" s="2"/>
    </row>
    <row r="448" spans="1:39">
      <c r="A448" s="2"/>
      <c r="AM448" s="2"/>
    </row>
    <row r="449" spans="1:39">
      <c r="A449" s="2"/>
      <c r="AM449" s="2"/>
    </row>
    <row r="450" spans="1:39">
      <c r="A450" s="2"/>
      <c r="AM450" s="2"/>
    </row>
    <row r="451" spans="1:39">
      <c r="A451" s="2"/>
      <c r="AM451" s="2"/>
    </row>
    <row r="452" spans="1:39">
      <c r="A452" s="2"/>
      <c r="AM452" s="2"/>
    </row>
    <row r="453" spans="1:39">
      <c r="A453" s="2"/>
      <c r="AM453" s="2"/>
    </row>
    <row r="454" spans="1:39">
      <c r="A454" s="2"/>
      <c r="AM454" s="2"/>
    </row>
    <row r="455" spans="1:39">
      <c r="A455" s="2"/>
      <c r="AM455" s="2"/>
    </row>
    <row r="456" spans="1:39">
      <c r="A456" s="2"/>
      <c r="AM456" s="2"/>
    </row>
    <row r="457" spans="1:39">
      <c r="A457" s="2"/>
      <c r="AM457" s="2"/>
    </row>
    <row r="458" spans="1:39">
      <c r="A458" s="2"/>
      <c r="AM458" s="2"/>
    </row>
    <row r="459" spans="1:39">
      <c r="A459" s="2"/>
      <c r="AM459" s="2"/>
    </row>
    <row r="460" spans="1:39">
      <c r="A460" s="2"/>
      <c r="AM460" s="2"/>
    </row>
    <row r="461" spans="1:39">
      <c r="A461" s="2"/>
      <c r="AM461" s="2"/>
    </row>
    <row r="462" spans="1:39">
      <c r="A462" s="2"/>
      <c r="AM462" s="2"/>
    </row>
    <row r="463" spans="1:39">
      <c r="A463" s="2"/>
      <c r="AM463" s="2"/>
    </row>
    <row r="464" spans="1:39">
      <c r="A464" s="2"/>
      <c r="AM464" s="2"/>
    </row>
    <row r="465" spans="1:39">
      <c r="A465" s="2"/>
      <c r="AM465" s="2"/>
    </row>
    <row r="466" spans="1:39">
      <c r="A466" s="2"/>
      <c r="AM466" s="2"/>
    </row>
    <row r="467" spans="1:39">
      <c r="A467" s="2"/>
      <c r="AM467" s="2"/>
    </row>
    <row r="468" spans="1:39">
      <c r="A468" s="2"/>
      <c r="AM468" s="2"/>
    </row>
    <row r="469" spans="1:39">
      <c r="A469" s="2"/>
      <c r="AM469" s="2"/>
    </row>
    <row r="470" spans="1:39">
      <c r="A470" s="2"/>
      <c r="AM470" s="2"/>
    </row>
    <row r="471" spans="1:39">
      <c r="A471" s="2"/>
      <c r="AM471" s="2"/>
    </row>
    <row r="472" spans="1:39">
      <c r="A472" s="2"/>
      <c r="AM472" s="2"/>
    </row>
    <row r="473" spans="1:39">
      <c r="A473" s="2"/>
      <c r="AM473" s="2"/>
    </row>
    <row r="474" spans="1:39">
      <c r="A474" s="2"/>
      <c r="AM474" s="2"/>
    </row>
    <row r="475" spans="1:39">
      <c r="A475" s="2"/>
      <c r="AM475" s="2"/>
    </row>
    <row r="476" spans="1:39">
      <c r="A476" s="2"/>
      <c r="AM476" s="2"/>
    </row>
    <row r="477" spans="1:39">
      <c r="A477" s="2"/>
      <c r="AM477" s="2"/>
    </row>
    <row r="478" spans="1:39">
      <c r="A478" s="2"/>
      <c r="AM478" s="2"/>
    </row>
    <row r="479" spans="1:39">
      <c r="A479" s="2"/>
      <c r="AM479" s="2"/>
    </row>
    <row r="480" spans="1:39">
      <c r="A480" s="2"/>
      <c r="AM480" s="2"/>
    </row>
    <row r="481" spans="1:39">
      <c r="A481" s="2"/>
      <c r="AM481" s="2"/>
    </row>
    <row r="482" spans="1:39">
      <c r="A482" s="2"/>
      <c r="AM482" s="2"/>
    </row>
    <row r="483" spans="1:39">
      <c r="A483" s="2"/>
      <c r="AM483" s="2"/>
    </row>
    <row r="484" spans="1:39">
      <c r="A484" s="2"/>
      <c r="AM484" s="2"/>
    </row>
    <row r="485" spans="1:39">
      <c r="A485" s="2"/>
      <c r="AM485" s="2"/>
    </row>
    <row r="486" spans="1:39">
      <c r="A486" s="2"/>
      <c r="AM486" s="2"/>
    </row>
    <row r="487" spans="1:39">
      <c r="A487" s="2"/>
      <c r="AM487" s="2"/>
    </row>
    <row r="488" spans="1:39">
      <c r="A488" s="2"/>
      <c r="AM488" s="2"/>
    </row>
    <row r="489" spans="1:39">
      <c r="A489" s="2"/>
      <c r="AM489" s="2"/>
    </row>
    <row r="490" spans="1:39">
      <c r="A490" s="2"/>
      <c r="AM490" s="2"/>
    </row>
    <row r="491" spans="1:39">
      <c r="A491" s="2"/>
      <c r="AM491" s="2"/>
    </row>
    <row r="492" spans="1:39">
      <c r="A492" s="2"/>
      <c r="AM492" s="2"/>
    </row>
    <row r="493" spans="1:39">
      <c r="A493" s="2"/>
      <c r="AM493" s="2"/>
    </row>
    <row r="494" spans="1:39">
      <c r="A494" s="2"/>
      <c r="AM494" s="2"/>
    </row>
    <row r="495" spans="1:39">
      <c r="A495" s="2"/>
      <c r="AM495" s="2"/>
    </row>
    <row r="496" spans="1:39">
      <c r="A496" s="2"/>
      <c r="AM496" s="2"/>
    </row>
    <row r="497" spans="1:39">
      <c r="A497" s="2"/>
      <c r="AM497" s="2"/>
    </row>
    <row r="498" spans="1:39">
      <c r="A498" s="2"/>
      <c r="AM498" s="2"/>
    </row>
    <row r="499" spans="1:39">
      <c r="A499" s="2"/>
      <c r="AM499" s="2"/>
    </row>
    <row r="500" spans="1:39">
      <c r="A500" s="2"/>
      <c r="AM500" s="2"/>
    </row>
    <row r="501" spans="1:39">
      <c r="A501" s="2"/>
      <c r="AM501" s="2"/>
    </row>
    <row r="502" spans="1:39">
      <c r="A502" s="2"/>
      <c r="AM502" s="2"/>
    </row>
    <row r="503" spans="1:39">
      <c r="A503" s="2"/>
      <c r="AM503" s="2"/>
    </row>
    <row r="504" spans="1:39">
      <c r="A504" s="2"/>
      <c r="AM504" s="2"/>
    </row>
    <row r="505" spans="1:39">
      <c r="A505" s="2"/>
      <c r="AM505" s="2"/>
    </row>
    <row r="506" spans="1:39">
      <c r="A506" s="2"/>
      <c r="AM506" s="2"/>
    </row>
    <row r="507" spans="1:39">
      <c r="A507" s="2"/>
      <c r="AM507" s="2"/>
    </row>
    <row r="508" spans="1:39">
      <c r="A508" s="2"/>
      <c r="AM508" s="2"/>
    </row>
    <row r="509" spans="1:39">
      <c r="A509" s="2"/>
      <c r="AM509" s="2"/>
    </row>
    <row r="510" spans="1:39">
      <c r="A510" s="2"/>
      <c r="AM510" s="2"/>
    </row>
    <row r="511" spans="1:39">
      <c r="A511" s="2"/>
      <c r="AM511" s="2"/>
    </row>
    <row r="512" spans="1:39">
      <c r="A512" s="2"/>
      <c r="AM512" s="2"/>
    </row>
    <row r="513" spans="1:39">
      <c r="A513" s="2"/>
      <c r="AM513" s="2"/>
    </row>
    <row r="514" spans="1:39">
      <c r="A514" s="2"/>
      <c r="AM514" s="2"/>
    </row>
    <row r="515" spans="1:39">
      <c r="A515" s="2"/>
      <c r="AM515" s="2"/>
    </row>
    <row r="516" spans="1:39">
      <c r="A516" s="2"/>
      <c r="AM516" s="2"/>
    </row>
    <row r="517" spans="1:39">
      <c r="A517" s="2"/>
      <c r="AM517" s="2"/>
    </row>
    <row r="518" spans="1:39">
      <c r="A518" s="2"/>
      <c r="AM518" s="2"/>
    </row>
    <row r="519" spans="1:39">
      <c r="A519" s="2"/>
      <c r="AM519" s="2"/>
    </row>
    <row r="520" spans="1:39">
      <c r="A520" s="2"/>
      <c r="AM520" s="2"/>
    </row>
    <row r="521" spans="1:39">
      <c r="A521" s="2"/>
      <c r="AM521" s="2"/>
    </row>
    <row r="522" spans="1:39">
      <c r="A522" s="2"/>
      <c r="AM522" s="2"/>
    </row>
    <row r="523" spans="1:39">
      <c r="A523" s="2"/>
      <c r="AM523" s="2"/>
    </row>
    <row r="524" spans="1:39">
      <c r="A524" s="2"/>
      <c r="AM524" s="2"/>
    </row>
    <row r="525" spans="1:39">
      <c r="A525" s="2"/>
      <c r="AM525" s="2"/>
    </row>
    <row r="526" spans="1:39">
      <c r="A526" s="2"/>
      <c r="AM526" s="2"/>
    </row>
    <row r="527" spans="1:39">
      <c r="A527" s="2"/>
      <c r="AM527" s="2"/>
    </row>
    <row r="528" spans="1:39">
      <c r="A528" s="2"/>
      <c r="AM528" s="2"/>
    </row>
    <row r="529" spans="1:39">
      <c r="A529" s="2"/>
      <c r="AM529" s="2"/>
    </row>
    <row r="530" spans="1:39">
      <c r="A530" s="2"/>
      <c r="AM530" s="2"/>
    </row>
    <row r="531" spans="1:39">
      <c r="A531" s="2"/>
      <c r="AM531" s="2"/>
    </row>
    <row r="532" spans="1:39">
      <c r="A532" s="2"/>
      <c r="AM532" s="2"/>
    </row>
    <row r="533" spans="1:39">
      <c r="A533" s="2"/>
      <c r="AM533" s="2"/>
    </row>
    <row r="534" spans="1:39">
      <c r="A534" s="2"/>
      <c r="AM534" s="2"/>
    </row>
    <row r="535" spans="1:39">
      <c r="A535" s="2"/>
      <c r="AM535" s="2"/>
    </row>
    <row r="536" spans="1:39">
      <c r="A536" s="2"/>
      <c r="AM536" s="2"/>
    </row>
    <row r="537" spans="1:39">
      <c r="A537" s="2"/>
      <c r="AM537" s="2"/>
    </row>
    <row r="538" spans="1:39">
      <c r="A538" s="2"/>
      <c r="AM538" s="2"/>
    </row>
    <row r="539" spans="1:39">
      <c r="A539" s="2"/>
      <c r="AM539" s="2"/>
    </row>
    <row r="540" spans="1:39">
      <c r="A540" s="2"/>
      <c r="AM540" s="2"/>
    </row>
    <row r="541" spans="1:39">
      <c r="A541" s="2"/>
      <c r="AM541" s="2"/>
    </row>
    <row r="542" spans="1:39">
      <c r="A542" s="2"/>
      <c r="AM542" s="2"/>
    </row>
    <row r="543" spans="1:39">
      <c r="A543" s="2"/>
      <c r="AM543" s="2"/>
    </row>
    <row r="544" spans="1:39">
      <c r="A544" s="2"/>
      <c r="AM544" s="2"/>
    </row>
    <row r="545" spans="1:39">
      <c r="A545" s="2"/>
      <c r="AM545" s="2"/>
    </row>
    <row r="546" spans="1:39">
      <c r="A546" s="2"/>
      <c r="AM546" s="2"/>
    </row>
    <row r="547" spans="1:39">
      <c r="A547" s="2"/>
      <c r="AM547" s="2"/>
    </row>
    <row r="548" spans="1:39">
      <c r="A548" s="2"/>
      <c r="AM548" s="2"/>
    </row>
    <row r="549" spans="1:39">
      <c r="A549" s="2"/>
      <c r="AM549" s="2"/>
    </row>
    <row r="550" spans="1:39">
      <c r="A550" s="2"/>
      <c r="AM550" s="2"/>
    </row>
    <row r="551" spans="1:39">
      <c r="A551" s="2"/>
      <c r="AM551" s="2"/>
    </row>
    <row r="552" spans="1:39">
      <c r="A552" s="2"/>
      <c r="AM552" s="2"/>
    </row>
    <row r="553" spans="1:39">
      <c r="A553" s="2"/>
      <c r="AM553" s="2"/>
    </row>
    <row r="554" spans="1:39">
      <c r="A554" s="2"/>
      <c r="AM554" s="2"/>
    </row>
    <row r="555" spans="1:39">
      <c r="A555" s="2"/>
      <c r="AM555" s="2"/>
    </row>
    <row r="556" spans="1:39">
      <c r="A556" s="2"/>
      <c r="AM556" s="2"/>
    </row>
    <row r="557" spans="1:39">
      <c r="A557" s="2"/>
      <c r="AM557" s="2"/>
    </row>
    <row r="558" spans="1:39">
      <c r="A558" s="2"/>
      <c r="AM558" s="2"/>
    </row>
    <row r="559" spans="1:39">
      <c r="A559" s="2"/>
      <c r="AM559" s="2"/>
    </row>
    <row r="560" spans="1:39">
      <c r="A560" s="2"/>
      <c r="AM560" s="2"/>
    </row>
    <row r="561" spans="1:39">
      <c r="A561" s="2"/>
      <c r="AM561" s="2"/>
    </row>
    <row r="562" spans="1:39">
      <c r="A562" s="2"/>
      <c r="AM562" s="2"/>
    </row>
    <row r="563" spans="1:39">
      <c r="A563" s="2"/>
      <c r="AM563" s="2"/>
    </row>
    <row r="564" spans="1:39">
      <c r="A564" s="2"/>
      <c r="AM564" s="2"/>
    </row>
    <row r="565" spans="1:39">
      <c r="A565" s="2"/>
      <c r="AM565" s="2"/>
    </row>
    <row r="566" spans="1:39">
      <c r="A566" s="2"/>
      <c r="AM566" s="2"/>
    </row>
    <row r="567" spans="1:39">
      <c r="A567" s="2"/>
      <c r="AM567" s="2"/>
    </row>
    <row r="568" spans="1:39">
      <c r="A568" s="2"/>
      <c r="AM568" s="2"/>
    </row>
    <row r="569" spans="1:39">
      <c r="A569" s="2"/>
      <c r="AM569" s="2"/>
    </row>
    <row r="570" spans="1:39">
      <c r="A570" s="2"/>
      <c r="AM570" s="2"/>
    </row>
    <row r="571" spans="1:39">
      <c r="A571" s="2"/>
      <c r="AM571" s="2"/>
    </row>
    <row r="572" spans="1:39">
      <c r="A572" s="2"/>
      <c r="AM572" s="2"/>
    </row>
    <row r="573" spans="1:39">
      <c r="A573" s="2"/>
      <c r="AM573" s="2"/>
    </row>
    <row r="574" spans="1:39">
      <c r="A574" s="2"/>
      <c r="AM574" s="2"/>
    </row>
    <row r="575" spans="1:39">
      <c r="A575" s="2"/>
      <c r="AM575" s="2"/>
    </row>
    <row r="576" spans="1:39">
      <c r="A576" s="2"/>
      <c r="AM576" s="2"/>
    </row>
    <row r="577" spans="1:39">
      <c r="A577" s="2"/>
      <c r="AM577" s="2"/>
    </row>
    <row r="578" spans="1:39">
      <c r="A578" s="2"/>
      <c r="AM578" s="2"/>
    </row>
    <row r="579" spans="1:39">
      <c r="A579" s="2"/>
      <c r="AM579" s="2"/>
    </row>
    <row r="580" spans="1:39">
      <c r="A580" s="2"/>
      <c r="AM580" s="2"/>
    </row>
    <row r="581" spans="1:39">
      <c r="A581" s="2"/>
      <c r="AM581" s="2"/>
    </row>
    <row r="582" spans="1:39">
      <c r="A582" s="2"/>
      <c r="AM582" s="2"/>
    </row>
    <row r="583" spans="1:39">
      <c r="A583" s="2"/>
      <c r="AM583" s="2"/>
    </row>
    <row r="584" spans="1:39">
      <c r="A584" s="2"/>
      <c r="AM584" s="2"/>
    </row>
    <row r="585" spans="1:39">
      <c r="A585" s="2"/>
      <c r="AM585" s="2"/>
    </row>
    <row r="586" spans="1:39">
      <c r="A586" s="2"/>
      <c r="AM586" s="2"/>
    </row>
    <row r="587" spans="1:39">
      <c r="A587" s="2"/>
      <c r="AM587" s="2"/>
    </row>
    <row r="588" spans="1:39">
      <c r="A588" s="2"/>
      <c r="AM588" s="2"/>
    </row>
    <row r="589" spans="1:39">
      <c r="A589" s="2"/>
      <c r="AM589" s="2"/>
    </row>
    <row r="590" spans="1:39">
      <c r="A590" s="2"/>
      <c r="AM590" s="2"/>
    </row>
    <row r="591" spans="1:39">
      <c r="A591" s="2"/>
      <c r="AM591" s="2"/>
    </row>
    <row r="592" spans="1:39">
      <c r="A592" s="2"/>
      <c r="AM592" s="2"/>
    </row>
    <row r="593" spans="1:39">
      <c r="A593" s="2"/>
      <c r="AM593" s="2"/>
    </row>
    <row r="594" spans="1:39">
      <c r="A594" s="2"/>
      <c r="AM594" s="2"/>
    </row>
    <row r="595" spans="1:39">
      <c r="A595" s="2"/>
      <c r="AM595" s="2"/>
    </row>
    <row r="596" spans="1:39">
      <c r="A596" s="2"/>
      <c r="AM596" s="2"/>
    </row>
    <row r="597" spans="1:39">
      <c r="A597" s="2"/>
      <c r="AM597" s="2"/>
    </row>
    <row r="598" spans="1:39">
      <c r="A598" s="2"/>
      <c r="AM598" s="2"/>
    </row>
    <row r="599" spans="1:39">
      <c r="A599" s="2"/>
      <c r="AM599" s="2"/>
    </row>
    <row r="600" spans="1:39">
      <c r="A600" s="2"/>
      <c r="AM600" s="2"/>
    </row>
    <row r="601" spans="1:39">
      <c r="A601" s="2"/>
      <c r="AM601" s="2"/>
    </row>
    <row r="602" spans="1:39">
      <c r="A602" s="2"/>
      <c r="AM602" s="2"/>
    </row>
    <row r="603" spans="1:39">
      <c r="A603" s="2"/>
      <c r="AM603" s="2"/>
    </row>
    <row r="604" spans="1:39">
      <c r="A604" s="2"/>
      <c r="AM604" s="2"/>
    </row>
    <row r="605" spans="1:39">
      <c r="A605" s="2"/>
      <c r="AM605" s="2"/>
    </row>
    <row r="606" spans="1:39">
      <c r="A606" s="2"/>
      <c r="AM606" s="2"/>
    </row>
    <row r="607" spans="1:39">
      <c r="A607" s="2"/>
      <c r="AM607" s="2"/>
    </row>
    <row r="608" spans="1:39">
      <c r="A608" s="2"/>
      <c r="AM608" s="2"/>
    </row>
    <row r="609" spans="1:39">
      <c r="A609" s="2"/>
      <c r="AM609" s="2"/>
    </row>
    <row r="610" spans="1:39">
      <c r="A610" s="2"/>
      <c r="AM610" s="2"/>
    </row>
    <row r="611" spans="1:39">
      <c r="A611" s="2"/>
      <c r="AM611" s="2"/>
    </row>
    <row r="612" spans="1:39">
      <c r="A612" s="2"/>
      <c r="AM612" s="2"/>
    </row>
    <row r="613" spans="1:39">
      <c r="A613" s="2"/>
      <c r="AM613" s="2"/>
    </row>
    <row r="614" spans="1:39">
      <c r="A614" s="2"/>
      <c r="AM614" s="2"/>
    </row>
    <row r="615" spans="1:39">
      <c r="A615" s="2"/>
      <c r="AM615" s="2"/>
    </row>
    <row r="616" spans="1:39">
      <c r="A616" s="2"/>
      <c r="AM616" s="2"/>
    </row>
    <row r="617" spans="1:39">
      <c r="A617" s="2"/>
      <c r="AM617" s="2"/>
    </row>
    <row r="618" spans="1:39">
      <c r="A618" s="2"/>
      <c r="AM618" s="2"/>
    </row>
    <row r="619" spans="1:39">
      <c r="A619" s="2"/>
      <c r="AM619" s="2"/>
    </row>
    <row r="620" spans="1:39">
      <c r="A620" s="2"/>
      <c r="AM620" s="2"/>
    </row>
    <row r="621" spans="1:39">
      <c r="A621" s="2"/>
      <c r="AM621" s="2"/>
    </row>
    <row r="622" spans="1:39">
      <c r="A622" s="2"/>
      <c r="AM622" s="2"/>
    </row>
    <row r="623" spans="1:39">
      <c r="A623" s="2"/>
      <c r="AM623" s="2"/>
    </row>
    <row r="624" spans="1:39">
      <c r="A624" s="2"/>
      <c r="AM624" s="2"/>
    </row>
    <row r="625" spans="1:39">
      <c r="A625" s="2"/>
      <c r="AM625" s="2"/>
    </row>
    <row r="626" spans="1:39">
      <c r="A626" s="2"/>
      <c r="AM626" s="2"/>
    </row>
    <row r="627" spans="1:39">
      <c r="A627" s="2"/>
      <c r="AM627" s="2"/>
    </row>
    <row r="628" spans="1:39">
      <c r="A628" s="2"/>
      <c r="AM628" s="2"/>
    </row>
    <row r="629" spans="1:39">
      <c r="A629" s="2"/>
      <c r="AM629" s="2"/>
    </row>
    <row r="630" spans="1:39">
      <c r="A630" s="2"/>
      <c r="AM630" s="2"/>
    </row>
    <row r="631" spans="1:39">
      <c r="A631" s="2"/>
      <c r="AM631" s="2"/>
    </row>
    <row r="632" spans="1:39">
      <c r="A632" s="2"/>
      <c r="AM632" s="2"/>
    </row>
    <row r="633" spans="1:39">
      <c r="A633" s="2"/>
      <c r="AM633" s="2"/>
    </row>
    <row r="634" spans="1:39">
      <c r="A634" s="2"/>
      <c r="AM634" s="2"/>
    </row>
    <row r="635" spans="1:39">
      <c r="A635" s="2"/>
      <c r="AM635" s="2"/>
    </row>
    <row r="636" spans="1:39">
      <c r="A636" s="2"/>
      <c r="AM636" s="2"/>
    </row>
    <row r="637" spans="1:39">
      <c r="A637" s="2"/>
      <c r="AM637" s="2"/>
    </row>
    <row r="638" spans="1:39">
      <c r="A638" s="2"/>
      <c r="AM638" s="2"/>
    </row>
    <row r="639" spans="1:39">
      <c r="A639" s="2"/>
      <c r="AM639" s="2"/>
    </row>
    <row r="640" spans="1:39">
      <c r="A640" s="2"/>
      <c r="AM640" s="2"/>
    </row>
    <row r="641" spans="1:39">
      <c r="A641" s="2"/>
      <c r="AM641" s="2"/>
    </row>
    <row r="642" spans="1:39">
      <c r="A642" s="2"/>
      <c r="AM642" s="2"/>
    </row>
    <row r="643" spans="1:39">
      <c r="A643" s="2"/>
      <c r="AM643" s="2"/>
    </row>
    <row r="644" spans="1:39">
      <c r="A644" s="2"/>
      <c r="AM644" s="2"/>
    </row>
    <row r="645" spans="1:39">
      <c r="A645" s="2"/>
      <c r="AM645" s="2"/>
    </row>
    <row r="646" spans="1:39">
      <c r="A646" s="2"/>
      <c r="AM646" s="2"/>
    </row>
    <row r="647" spans="1:39">
      <c r="A647" s="2"/>
      <c r="AM647" s="2"/>
    </row>
    <row r="648" spans="1:39">
      <c r="A648" s="2"/>
      <c r="AM648" s="2"/>
    </row>
    <row r="649" spans="1:39">
      <c r="A649" s="2"/>
      <c r="AM649" s="2"/>
    </row>
    <row r="650" spans="1:39">
      <c r="A650" s="2"/>
      <c r="AM650" s="2"/>
    </row>
    <row r="651" spans="1:39">
      <c r="A651" s="2"/>
      <c r="AM651" s="2"/>
    </row>
    <row r="652" spans="1:39">
      <c r="A652" s="2"/>
      <c r="AM652" s="2"/>
    </row>
    <row r="653" spans="1:39">
      <c r="A653" s="2"/>
      <c r="AM653" s="2"/>
    </row>
    <row r="654" spans="1:39">
      <c r="A654" s="2"/>
      <c r="AM654" s="2"/>
    </row>
    <row r="655" spans="1:39">
      <c r="A655" s="2"/>
      <c r="AM655" s="2"/>
    </row>
    <row r="656" spans="1:39">
      <c r="A656" s="2"/>
      <c r="AM656" s="2"/>
    </row>
    <row r="657" spans="1:39">
      <c r="A657" s="2"/>
      <c r="AM657" s="2"/>
    </row>
    <row r="658" spans="1:39">
      <c r="A658" s="2"/>
      <c r="AM658" s="2"/>
    </row>
    <row r="659" spans="1:39">
      <c r="A659" s="2"/>
      <c r="AM659" s="2"/>
    </row>
    <row r="660" spans="1:39">
      <c r="A660" s="2"/>
      <c r="AM660" s="2"/>
    </row>
    <row r="661" spans="1:39">
      <c r="A661" s="2"/>
      <c r="AM661" s="2"/>
    </row>
    <row r="662" spans="1:39">
      <c r="A662" s="2"/>
      <c r="AM662" s="2"/>
    </row>
    <row r="663" spans="1:39">
      <c r="A663" s="2"/>
      <c r="AM663" s="2"/>
    </row>
    <row r="664" spans="1:39">
      <c r="A664" s="2"/>
      <c r="AM664" s="2"/>
    </row>
    <row r="665" spans="1:39">
      <c r="A665" s="2"/>
      <c r="AM665" s="2"/>
    </row>
    <row r="666" spans="1:39">
      <c r="A666" s="2"/>
      <c r="AM666" s="2"/>
    </row>
    <row r="667" spans="1:39">
      <c r="A667" s="2"/>
      <c r="AM667" s="2"/>
    </row>
    <row r="668" spans="1:39">
      <c r="A668" s="2"/>
      <c r="AM668" s="2"/>
    </row>
    <row r="669" spans="1:39">
      <c r="A669" s="2"/>
      <c r="AM669" s="2"/>
    </row>
    <row r="670" spans="1:39">
      <c r="A670" s="2"/>
      <c r="AM670" s="2"/>
    </row>
    <row r="671" spans="1:39">
      <c r="A671" s="2"/>
      <c r="AM671" s="2"/>
    </row>
    <row r="672" spans="1:39">
      <c r="A672" s="2"/>
      <c r="AM672" s="2"/>
    </row>
    <row r="673" spans="1:39">
      <c r="A673" s="2"/>
      <c r="AM673" s="2"/>
    </row>
    <row r="674" spans="1:39">
      <c r="A674" s="2"/>
      <c r="AM674" s="2"/>
    </row>
    <row r="675" spans="1:39">
      <c r="A675" s="2"/>
      <c r="AM675" s="2"/>
    </row>
    <row r="676" spans="1:39">
      <c r="A676" s="2"/>
      <c r="AM676" s="2"/>
    </row>
    <row r="677" spans="1:39">
      <c r="A677" s="2"/>
      <c r="AM677" s="2"/>
    </row>
    <row r="678" spans="1:39">
      <c r="A678" s="2"/>
      <c r="AM678" s="2"/>
    </row>
    <row r="679" spans="1:39">
      <c r="A679" s="2"/>
      <c r="AM679" s="2"/>
    </row>
    <row r="680" spans="1:39">
      <c r="A680" s="2"/>
      <c r="AM680" s="2"/>
    </row>
    <row r="681" spans="1:39">
      <c r="A681" s="2"/>
      <c r="AM681" s="2"/>
    </row>
    <row r="682" spans="1:39">
      <c r="A682" s="2"/>
      <c r="AM682" s="2"/>
    </row>
    <row r="683" spans="1:39">
      <c r="A683" s="2"/>
      <c r="AM683" s="2"/>
    </row>
    <row r="684" spans="1:39">
      <c r="A684" s="2"/>
      <c r="AM684" s="2"/>
    </row>
    <row r="685" spans="1:39">
      <c r="A685" s="2"/>
      <c r="AM685" s="2"/>
    </row>
    <row r="686" spans="1:39">
      <c r="A686" s="2"/>
      <c r="AM686" s="2"/>
    </row>
    <row r="687" spans="1:39">
      <c r="A687" s="2"/>
      <c r="AM687" s="2"/>
    </row>
    <row r="688" spans="1:39">
      <c r="A688" s="2"/>
      <c r="AM688" s="2"/>
    </row>
    <row r="689" spans="1:39">
      <c r="A689" s="2"/>
      <c r="AM689" s="2"/>
    </row>
    <row r="690" spans="1:39">
      <c r="A690" s="2"/>
      <c r="AM690" s="2"/>
    </row>
    <row r="691" spans="1:39">
      <c r="A691" s="2"/>
      <c r="AM691" s="2"/>
    </row>
    <row r="692" spans="1:39">
      <c r="A692" s="2"/>
      <c r="AM692" s="2"/>
    </row>
    <row r="693" spans="1:39">
      <c r="A693" s="2"/>
      <c r="AM693" s="2"/>
    </row>
    <row r="694" spans="1:39">
      <c r="A694" s="2"/>
      <c r="AM694" s="2"/>
    </row>
    <row r="695" spans="1:39">
      <c r="A695" s="2"/>
      <c r="AM695" s="2"/>
    </row>
    <row r="696" spans="1:39">
      <c r="A696" s="2"/>
      <c r="AM696" s="2"/>
    </row>
    <row r="697" spans="1:39">
      <c r="A697" s="2"/>
      <c r="AM697" s="2"/>
    </row>
    <row r="698" spans="1:39">
      <c r="A698" s="2"/>
      <c r="AM698" s="2"/>
    </row>
    <row r="699" spans="1:39">
      <c r="A699" s="2"/>
      <c r="AM699" s="2"/>
    </row>
    <row r="700" spans="1:39">
      <c r="A700" s="2"/>
      <c r="AM700" s="2"/>
    </row>
    <row r="701" spans="1:39">
      <c r="A701" s="2"/>
      <c r="AM701" s="2"/>
    </row>
    <row r="702" spans="1:39">
      <c r="A702" s="2"/>
      <c r="AM702" s="2"/>
    </row>
    <row r="703" spans="1:39">
      <c r="A703" s="2"/>
      <c r="AM703" s="2"/>
    </row>
    <row r="704" spans="1:39">
      <c r="A704" s="2"/>
      <c r="AM704" s="2"/>
    </row>
    <row r="705" spans="1:39">
      <c r="A705" s="2"/>
      <c r="AM705" s="2"/>
    </row>
    <row r="706" spans="1:39">
      <c r="A706" s="2"/>
      <c r="AM706" s="2"/>
    </row>
    <row r="707" spans="1:39">
      <c r="A707" s="2"/>
      <c r="AM707" s="2"/>
    </row>
    <row r="708" spans="1:39">
      <c r="A708" s="2"/>
      <c r="AM708" s="2"/>
    </row>
    <row r="709" spans="1:39">
      <c r="A709" s="2"/>
      <c r="AM709" s="2"/>
    </row>
    <row r="710" spans="1:39">
      <c r="A710" s="2"/>
      <c r="AM710" s="2"/>
    </row>
    <row r="711" spans="1:39">
      <c r="A711" s="2"/>
      <c r="AM711" s="2"/>
    </row>
    <row r="712" spans="1:39">
      <c r="A712" s="2"/>
      <c r="AM712" s="2"/>
    </row>
    <row r="713" spans="1:39">
      <c r="A713" s="2"/>
      <c r="AM713" s="2"/>
    </row>
    <row r="714" spans="1:39">
      <c r="A714" s="2"/>
      <c r="AM714" s="2"/>
    </row>
    <row r="715" spans="1:39">
      <c r="A715" s="2"/>
      <c r="AM715" s="2"/>
    </row>
    <row r="716" spans="1:39">
      <c r="A716" s="2"/>
      <c r="AM716" s="2"/>
    </row>
    <row r="717" spans="1:39">
      <c r="A717" s="2"/>
      <c r="AM717" s="2"/>
    </row>
    <row r="718" spans="1:39">
      <c r="A718" s="2"/>
      <c r="AM718" s="2"/>
    </row>
    <row r="719" spans="1:39">
      <c r="A719" s="2"/>
      <c r="AM719" s="2"/>
    </row>
    <row r="720" spans="1:39">
      <c r="A720" s="2"/>
      <c r="AM720" s="2"/>
    </row>
    <row r="721" spans="1:39">
      <c r="A721" s="2"/>
      <c r="AM721" s="2"/>
    </row>
    <row r="722" spans="1:39">
      <c r="A722" s="2"/>
      <c r="AM722" s="2"/>
    </row>
    <row r="723" spans="1:39">
      <c r="A723" s="2"/>
      <c r="AM723" s="2"/>
    </row>
    <row r="724" spans="1:39">
      <c r="A724" s="2"/>
      <c r="AM724" s="2"/>
    </row>
    <row r="725" spans="1:39">
      <c r="A725" s="2"/>
      <c r="AM725" s="2"/>
    </row>
    <row r="726" spans="1:39">
      <c r="A726" s="2"/>
      <c r="AM726" s="2"/>
    </row>
    <row r="727" spans="1:39">
      <c r="A727" s="2"/>
      <c r="AM727" s="2"/>
    </row>
    <row r="728" spans="1:39">
      <c r="A728" s="2"/>
      <c r="AM728" s="2"/>
    </row>
    <row r="729" spans="1:39">
      <c r="A729" s="2"/>
      <c r="AM729" s="2"/>
    </row>
    <row r="730" spans="1:39">
      <c r="A730" s="2"/>
      <c r="AM730" s="2"/>
    </row>
    <row r="731" spans="1:39">
      <c r="A731" s="2"/>
      <c r="AM731" s="2"/>
    </row>
    <row r="732" spans="1:39">
      <c r="A732" s="2"/>
      <c r="AM732" s="2"/>
    </row>
    <row r="733" spans="1:39">
      <c r="A733" s="2"/>
      <c r="AM733" s="2"/>
    </row>
    <row r="734" spans="1:39">
      <c r="A734" s="2"/>
      <c r="AM734" s="2"/>
    </row>
    <row r="735" spans="1:39">
      <c r="A735" s="2"/>
      <c r="AM735" s="2"/>
    </row>
    <row r="736" spans="1:39">
      <c r="A736" s="2"/>
      <c r="AM736" s="2"/>
    </row>
    <row r="737" spans="1:39">
      <c r="A737" s="2"/>
      <c r="AM737" s="2"/>
    </row>
    <row r="738" spans="1:39">
      <c r="A738" s="2"/>
      <c r="AM738" s="2"/>
    </row>
    <row r="739" spans="1:39">
      <c r="A739" s="2"/>
      <c r="AM739" s="2"/>
    </row>
    <row r="740" spans="1:39">
      <c r="A740" s="2"/>
      <c r="AM740" s="2"/>
    </row>
    <row r="741" spans="1:39">
      <c r="A741" s="2"/>
      <c r="AM741" s="2"/>
    </row>
    <row r="742" spans="1:39">
      <c r="A742" s="2"/>
      <c r="AM742" s="2"/>
    </row>
    <row r="743" spans="1:39">
      <c r="A743" s="2"/>
      <c r="AM743" s="2"/>
    </row>
    <row r="744" spans="1:39">
      <c r="A744" s="2"/>
      <c r="AM744" s="2"/>
    </row>
    <row r="745" spans="1:39">
      <c r="A745" s="2"/>
      <c r="AM745" s="2"/>
    </row>
    <row r="746" spans="1:39">
      <c r="A746" s="2"/>
      <c r="AM746" s="2"/>
    </row>
    <row r="747" spans="1:39">
      <c r="A747" s="2"/>
      <c r="AM747" s="2"/>
    </row>
    <row r="748" spans="1:39">
      <c r="A748" s="2"/>
      <c r="AM748" s="2"/>
    </row>
    <row r="749" spans="1:39">
      <c r="A749" s="2"/>
      <c r="AM749" s="2"/>
    </row>
    <row r="750" spans="1:39">
      <c r="A750" s="2"/>
      <c r="AM750" s="2"/>
    </row>
    <row r="751" spans="1:39">
      <c r="A751" s="2"/>
      <c r="AM751" s="2"/>
    </row>
    <row r="752" spans="1:39">
      <c r="A752" s="2"/>
      <c r="AM752" s="2"/>
    </row>
    <row r="753" spans="1:39">
      <c r="A753" s="2"/>
      <c r="AM753" s="2"/>
    </row>
    <row r="754" spans="1:39">
      <c r="A754" s="2"/>
      <c r="AM754" s="2"/>
    </row>
    <row r="755" spans="1:39">
      <c r="A755" s="2"/>
      <c r="AM755" s="2"/>
    </row>
    <row r="756" spans="1:39">
      <c r="A756" s="2"/>
      <c r="AM756" s="2"/>
    </row>
    <row r="757" spans="1:39">
      <c r="A757" s="2"/>
      <c r="AM757" s="2"/>
    </row>
    <row r="758" spans="1:39">
      <c r="A758" s="2"/>
      <c r="AM758" s="2"/>
    </row>
    <row r="759" spans="1:39">
      <c r="A759" s="2"/>
      <c r="AM759" s="2"/>
    </row>
    <row r="760" spans="1:39">
      <c r="A760" s="2"/>
      <c r="AM760" s="2"/>
    </row>
    <row r="761" spans="1:39">
      <c r="A761" s="2"/>
      <c r="AM761" s="2"/>
    </row>
    <row r="762" spans="1:39">
      <c r="A762" s="2"/>
      <c r="AM762" s="2"/>
    </row>
    <row r="763" spans="1:39">
      <c r="A763" s="2"/>
      <c r="AM763" s="2"/>
    </row>
    <row r="764" spans="1:39">
      <c r="A764" s="2"/>
      <c r="AM764" s="2"/>
    </row>
    <row r="765" spans="1:39">
      <c r="A765" s="2"/>
      <c r="AM765" s="2"/>
    </row>
    <row r="766" spans="1:39">
      <c r="A766" s="2"/>
      <c r="AM766" s="2"/>
    </row>
    <row r="767" spans="1:39">
      <c r="A767" s="2"/>
      <c r="AM767" s="2"/>
    </row>
    <row r="768" spans="1:39">
      <c r="A768" s="2"/>
      <c r="AM768" s="2"/>
    </row>
    <row r="769" spans="1:39">
      <c r="A769" s="2"/>
      <c r="AM769" s="2"/>
    </row>
    <row r="770" spans="1:39">
      <c r="A770" s="2"/>
      <c r="AM770" s="2"/>
    </row>
    <row r="771" spans="1:39">
      <c r="A771" s="2"/>
      <c r="AM771" s="2"/>
    </row>
    <row r="772" spans="1:39">
      <c r="A772" s="2"/>
      <c r="AM772" s="2"/>
    </row>
    <row r="773" spans="1:39">
      <c r="A773" s="2"/>
      <c r="AM773" s="2"/>
    </row>
    <row r="774" spans="1:39">
      <c r="A774" s="2"/>
      <c r="AM774" s="2"/>
    </row>
    <row r="775" spans="1:39">
      <c r="A775" s="2"/>
      <c r="AM775" s="2"/>
    </row>
    <row r="776" spans="1:39">
      <c r="A776" s="2"/>
      <c r="AM776" s="2"/>
    </row>
    <row r="777" spans="1:39">
      <c r="A777" s="2"/>
      <c r="AM777" s="2"/>
    </row>
    <row r="778" spans="1:39">
      <c r="A778" s="2"/>
      <c r="AM778" s="2"/>
    </row>
    <row r="779" spans="1:39">
      <c r="A779" s="2"/>
      <c r="AM779" s="2"/>
    </row>
    <row r="780" spans="1:39">
      <c r="A780" s="2"/>
      <c r="AM780" s="2"/>
    </row>
    <row r="781" spans="1:39">
      <c r="A781" s="2"/>
      <c r="AM781" s="2"/>
    </row>
    <row r="782" spans="1:39">
      <c r="A782" s="2"/>
      <c r="AM782" s="2"/>
    </row>
    <row r="783" spans="1:39">
      <c r="A783" s="2"/>
      <c r="AM783" s="2"/>
    </row>
    <row r="784" spans="1:39">
      <c r="A784" s="2"/>
      <c r="AM784" s="2"/>
    </row>
    <row r="785" spans="1:39">
      <c r="A785" s="2"/>
      <c r="AM785" s="2"/>
    </row>
    <row r="786" spans="1:39">
      <c r="A786" s="2"/>
      <c r="AM786" s="2"/>
    </row>
    <row r="787" spans="1:39">
      <c r="A787" s="2"/>
      <c r="AM787" s="2"/>
    </row>
    <row r="788" spans="1:39">
      <c r="A788" s="2"/>
      <c r="AM788" s="2"/>
    </row>
    <row r="789" spans="1:39">
      <c r="A789" s="2"/>
      <c r="AM789" s="2"/>
    </row>
    <row r="790" spans="1:39">
      <c r="A790" s="2"/>
      <c r="AM790" s="2"/>
    </row>
    <row r="791" spans="1:39">
      <c r="A791" s="2"/>
      <c r="AM791" s="2"/>
    </row>
    <row r="792" spans="1:39">
      <c r="A792" s="2"/>
      <c r="AM792" s="2"/>
    </row>
    <row r="793" spans="1:39">
      <c r="A793" s="2"/>
      <c r="AM793" s="2"/>
    </row>
    <row r="794" spans="1:39">
      <c r="A794" s="2"/>
      <c r="AM794" s="2"/>
    </row>
    <row r="795" spans="1:39">
      <c r="A795" s="2"/>
      <c r="AM795" s="2"/>
    </row>
    <row r="796" spans="1:39">
      <c r="A796" s="2"/>
      <c r="AM796" s="2"/>
    </row>
    <row r="797" spans="1:39">
      <c r="A797" s="2"/>
      <c r="AM797" s="2"/>
    </row>
    <row r="798" spans="1:39">
      <c r="A798" s="2"/>
      <c r="AM798" s="2"/>
    </row>
    <row r="799" spans="1:39">
      <c r="A799" s="2"/>
      <c r="AM799" s="2"/>
    </row>
    <row r="800" spans="1:39">
      <c r="A800" s="2"/>
      <c r="AM800" s="2"/>
    </row>
    <row r="801" spans="1:39">
      <c r="A801" s="2"/>
      <c r="AM801" s="2"/>
    </row>
    <row r="802" spans="1:39">
      <c r="A802" s="2"/>
      <c r="AM802" s="2"/>
    </row>
    <row r="803" spans="1:39">
      <c r="A803" s="2"/>
      <c r="AM803" s="2"/>
    </row>
    <row r="804" spans="1:39">
      <c r="A804" s="2"/>
      <c r="AM804" s="2"/>
    </row>
    <row r="805" spans="1:39">
      <c r="A805" s="2"/>
      <c r="AM805" s="2"/>
    </row>
    <row r="806" spans="1:39">
      <c r="A806" s="2"/>
      <c r="AM806" s="2"/>
    </row>
    <row r="807" spans="1:39">
      <c r="A807" s="2"/>
      <c r="AM807" s="2"/>
    </row>
    <row r="808" spans="1:39">
      <c r="A808" s="2"/>
      <c r="AM808" s="2"/>
    </row>
    <row r="809" spans="1:39">
      <c r="A809" s="2"/>
      <c r="AM809" s="2"/>
    </row>
    <row r="810" spans="1:39">
      <c r="A810" s="2"/>
      <c r="AM810" s="2"/>
    </row>
    <row r="811" spans="1:39">
      <c r="A811" s="2"/>
      <c r="AM811" s="2"/>
    </row>
    <row r="812" spans="1:39">
      <c r="A812" s="2"/>
      <c r="AM812" s="2"/>
    </row>
    <row r="813" spans="1:39">
      <c r="A813" s="2"/>
      <c r="AM813" s="2"/>
    </row>
    <row r="814" spans="1:39">
      <c r="A814" s="2"/>
      <c r="AM814" s="2"/>
    </row>
    <row r="815" spans="1:39">
      <c r="A815" s="2"/>
      <c r="AM815" s="2"/>
    </row>
    <row r="816" spans="1:39">
      <c r="A816" s="2"/>
      <c r="AM816" s="2"/>
    </row>
    <row r="817" spans="1:39">
      <c r="A817" s="2"/>
      <c r="AM817" s="2"/>
    </row>
    <row r="818" spans="1:39">
      <c r="A818" s="2"/>
      <c r="AM818" s="2"/>
    </row>
    <row r="819" spans="1:39">
      <c r="A819" s="2"/>
      <c r="AM819" s="2"/>
    </row>
    <row r="820" spans="1:39">
      <c r="A820" s="2"/>
      <c r="AM820" s="2"/>
    </row>
    <row r="821" spans="1:39">
      <c r="A821" s="2"/>
      <c r="AM821" s="2"/>
    </row>
    <row r="822" spans="1:39">
      <c r="A822" s="2"/>
      <c r="AM822" s="2"/>
    </row>
    <row r="823" spans="1:39">
      <c r="A823" s="2"/>
      <c r="AM823" s="2"/>
    </row>
    <row r="824" spans="1:39">
      <c r="A824" s="2"/>
      <c r="AM824" s="2"/>
    </row>
    <row r="825" spans="1:39">
      <c r="A825" s="2"/>
      <c r="AM825" s="2"/>
    </row>
    <row r="826" spans="1:39">
      <c r="A826" s="2"/>
      <c r="AM826" s="2"/>
    </row>
    <row r="827" spans="1:39">
      <c r="A827" s="2"/>
      <c r="AM827" s="2"/>
    </row>
    <row r="828" spans="1:39">
      <c r="A828" s="2"/>
      <c r="AM828" s="2"/>
    </row>
    <row r="829" spans="1:39">
      <c r="A829" s="2"/>
      <c r="AM829" s="2"/>
    </row>
    <row r="830" spans="1:39">
      <c r="A830" s="2"/>
      <c r="AM830" s="2"/>
    </row>
    <row r="831" spans="1:39">
      <c r="A831" s="2"/>
      <c r="AM831" s="2"/>
    </row>
    <row r="832" spans="1:39">
      <c r="A832" s="2"/>
      <c r="AM832" s="2"/>
    </row>
    <row r="833" spans="1:39">
      <c r="A833" s="2"/>
      <c r="AM833" s="2"/>
    </row>
    <row r="834" spans="1:39">
      <c r="A834" s="2"/>
      <c r="AM834" s="2"/>
    </row>
    <row r="835" spans="1:39">
      <c r="A835" s="2"/>
      <c r="AM835" s="2"/>
    </row>
    <row r="836" spans="1:39">
      <c r="A836" s="2"/>
      <c r="AM836" s="2"/>
    </row>
    <row r="837" spans="1:39">
      <c r="A837" s="2"/>
      <c r="AM837" s="2"/>
    </row>
    <row r="838" spans="1:39">
      <c r="A838" s="2"/>
      <c r="AM838" s="2"/>
    </row>
    <row r="839" spans="1:39">
      <c r="A839" s="2"/>
      <c r="AM839" s="2"/>
    </row>
    <row r="840" spans="1:39">
      <c r="A840" s="2"/>
      <c r="AM840" s="2"/>
    </row>
    <row r="841" spans="1:39">
      <c r="A841" s="2"/>
      <c r="AM841" s="2"/>
    </row>
    <row r="842" spans="1:39">
      <c r="A842" s="2"/>
      <c r="AM842" s="2"/>
    </row>
    <row r="843" spans="1:39">
      <c r="A843" s="2"/>
      <c r="AM843" s="2"/>
    </row>
    <row r="844" spans="1:39">
      <c r="A844" s="2"/>
      <c r="AM844" s="2"/>
    </row>
    <row r="845" spans="1:39">
      <c r="A845" s="2"/>
      <c r="AM845" s="2"/>
    </row>
    <row r="846" spans="1:39">
      <c r="A846" s="2"/>
      <c r="AM846" s="2"/>
    </row>
    <row r="847" spans="1:39">
      <c r="A847" s="2"/>
      <c r="AM847" s="2"/>
    </row>
    <row r="848" spans="1:39">
      <c r="A848" s="2"/>
      <c r="AM848" s="2"/>
    </row>
    <row r="849" spans="1:39">
      <c r="A849" s="2"/>
      <c r="AM849" s="2"/>
    </row>
    <row r="850" spans="1:39">
      <c r="A850" s="2"/>
      <c r="AM850" s="2"/>
    </row>
    <row r="851" spans="1:39">
      <c r="A851" s="2"/>
      <c r="AM851" s="2"/>
    </row>
    <row r="852" spans="1:39">
      <c r="A852" s="2"/>
      <c r="AM852" s="2"/>
    </row>
    <row r="853" spans="1:39">
      <c r="A853" s="2"/>
      <c r="AM853" s="2"/>
    </row>
    <row r="854" spans="1:39">
      <c r="A854" s="2"/>
      <c r="AM854" s="2"/>
    </row>
    <row r="855" spans="1:39">
      <c r="A855" s="2"/>
      <c r="AM855" s="2"/>
    </row>
    <row r="856" spans="1:39">
      <c r="A856" s="2"/>
      <c r="AM856" s="2"/>
    </row>
    <row r="857" spans="1:39">
      <c r="A857" s="2"/>
      <c r="AM857" s="2"/>
    </row>
    <row r="858" spans="1:39">
      <c r="A858" s="2"/>
      <c r="AM858" s="2"/>
    </row>
    <row r="859" spans="1:39">
      <c r="A859" s="2"/>
      <c r="AM859" s="2"/>
    </row>
    <row r="860" spans="1:39">
      <c r="A860" s="2"/>
      <c r="AM860" s="2"/>
    </row>
    <row r="861" spans="1:39">
      <c r="A861" s="2"/>
      <c r="AM861" s="2"/>
    </row>
    <row r="862" spans="1:39">
      <c r="A862" s="2"/>
      <c r="AM862" s="2"/>
    </row>
    <row r="863" spans="1:39">
      <c r="A863" s="2"/>
      <c r="AM863" s="2"/>
    </row>
    <row r="864" spans="1:39">
      <c r="A864" s="2"/>
      <c r="AM864" s="2"/>
    </row>
    <row r="865" spans="1:39">
      <c r="A865" s="2"/>
      <c r="AM865" s="2"/>
    </row>
    <row r="866" spans="1:39">
      <c r="A866" s="2"/>
      <c r="AM866" s="2"/>
    </row>
    <row r="867" spans="1:39">
      <c r="A867" s="2"/>
      <c r="AM867" s="2"/>
    </row>
    <row r="868" spans="1:39">
      <c r="A868" s="2"/>
      <c r="AM868" s="2"/>
    </row>
    <row r="869" spans="1:39">
      <c r="A869" s="2"/>
      <c r="AM869" s="2"/>
    </row>
    <row r="870" spans="1:39">
      <c r="A870" s="2"/>
      <c r="AM870" s="2"/>
    </row>
    <row r="871" spans="1:39">
      <c r="A871" s="2"/>
      <c r="AM871" s="2"/>
    </row>
    <row r="872" spans="1:39">
      <c r="A872" s="2"/>
      <c r="AM872" s="2"/>
    </row>
    <row r="873" spans="1:39">
      <c r="A873" s="2"/>
      <c r="AM873" s="2"/>
    </row>
    <row r="874" spans="1:39">
      <c r="A874" s="2"/>
      <c r="AM874" s="2"/>
    </row>
    <row r="875" spans="1:39">
      <c r="A875" s="2"/>
      <c r="AM875" s="2"/>
    </row>
    <row r="876" spans="1:39">
      <c r="A876" s="2"/>
      <c r="AM876" s="2"/>
    </row>
    <row r="877" spans="1:39">
      <c r="A877" s="2"/>
      <c r="AM877" s="2"/>
    </row>
    <row r="878" spans="1:39">
      <c r="A878" s="2"/>
      <c r="AM878" s="2"/>
    </row>
    <row r="879" spans="1:39">
      <c r="A879" s="2"/>
      <c r="AM879" s="2"/>
    </row>
    <row r="880" spans="1:39">
      <c r="A880" s="2"/>
      <c r="AM880" s="2"/>
    </row>
    <row r="881" spans="1:39">
      <c r="A881" s="2"/>
      <c r="AM881" s="2"/>
    </row>
    <row r="882" spans="1:39">
      <c r="A882" s="2"/>
      <c r="AM882" s="2"/>
    </row>
    <row r="883" spans="1:39">
      <c r="A883" s="2"/>
      <c r="AM883" s="2"/>
    </row>
    <row r="884" spans="1:39">
      <c r="A884" s="2"/>
      <c r="AM884" s="2"/>
    </row>
    <row r="885" spans="1:39">
      <c r="A885" s="2"/>
      <c r="AM885" s="2"/>
    </row>
    <row r="886" spans="1:39">
      <c r="A886" s="2"/>
      <c r="AM886" s="2"/>
    </row>
    <row r="887" spans="1:39">
      <c r="A887" s="2"/>
      <c r="AM887" s="2"/>
    </row>
    <row r="888" spans="1:39">
      <c r="A888" s="2"/>
      <c r="AM888" s="2"/>
    </row>
    <row r="889" spans="1:39">
      <c r="A889" s="2"/>
      <c r="AM889" s="2"/>
    </row>
    <row r="890" spans="1:39">
      <c r="A890" s="2"/>
      <c r="AM890" s="2"/>
    </row>
    <row r="891" spans="1:39">
      <c r="A891" s="2"/>
      <c r="AM891" s="2"/>
    </row>
    <row r="892" spans="1:39">
      <c r="A892" s="2"/>
      <c r="AM892" s="2"/>
    </row>
    <row r="893" spans="1:39">
      <c r="A893" s="2"/>
      <c r="AM893" s="2"/>
    </row>
    <row r="894" spans="1:39">
      <c r="A894" s="2"/>
      <c r="AM894" s="2"/>
    </row>
    <row r="895" spans="1:39">
      <c r="A895" s="2"/>
      <c r="AM895" s="2"/>
    </row>
    <row r="896" spans="1:39">
      <c r="A896" s="2"/>
      <c r="AM896" s="2"/>
    </row>
    <row r="897" spans="1:39">
      <c r="A897" s="2"/>
      <c r="AM897" s="2"/>
    </row>
    <row r="898" spans="1:39">
      <c r="A898" s="2"/>
      <c r="AM898" s="2"/>
    </row>
    <row r="899" spans="1:39">
      <c r="A899" s="2"/>
      <c r="AM899" s="2"/>
    </row>
    <row r="900" spans="1:39">
      <c r="A900" s="2"/>
      <c r="AM900" s="2"/>
    </row>
    <row r="901" spans="1:39">
      <c r="A901" s="2"/>
      <c r="AM901" s="2"/>
    </row>
    <row r="902" spans="1:39">
      <c r="A902" s="2"/>
      <c r="AM902" s="2"/>
    </row>
    <row r="903" spans="1:39">
      <c r="A903" s="2"/>
      <c r="AM903" s="2"/>
    </row>
    <row r="904" spans="1:39">
      <c r="A904" s="2"/>
      <c r="AM904" s="2"/>
    </row>
    <row r="905" spans="1:39">
      <c r="A905" s="2"/>
      <c r="AM905" s="2"/>
    </row>
    <row r="906" spans="1:39">
      <c r="A906" s="2"/>
      <c r="AM906" s="2"/>
    </row>
    <row r="907" spans="1:39">
      <c r="A907" s="2"/>
      <c r="AM907" s="2"/>
    </row>
    <row r="908" spans="1:39">
      <c r="A908" s="2"/>
      <c r="AM908" s="2"/>
    </row>
    <row r="909" spans="1:39">
      <c r="A909" s="2"/>
      <c r="AM909" s="2"/>
    </row>
    <row r="910" spans="1:39">
      <c r="A910" s="2"/>
      <c r="AM910" s="2"/>
    </row>
    <row r="911" spans="1:39">
      <c r="A911" s="2"/>
      <c r="AM911" s="2"/>
    </row>
    <row r="912" spans="1:39">
      <c r="A912" s="2"/>
      <c r="AM912" s="2"/>
    </row>
    <row r="913" spans="1:39">
      <c r="A913" s="2"/>
      <c r="AM913" s="2"/>
    </row>
    <row r="914" spans="1:39">
      <c r="A914" s="2"/>
      <c r="AM914" s="2"/>
    </row>
    <row r="915" spans="1:39">
      <c r="A915" s="2"/>
      <c r="AM915" s="2"/>
    </row>
    <row r="916" spans="1:39">
      <c r="A916" s="2"/>
      <c r="AM916" s="2"/>
    </row>
    <row r="917" spans="1:39">
      <c r="A917" s="2"/>
      <c r="AM917" s="2"/>
    </row>
    <row r="918" spans="1:39">
      <c r="A918" s="2"/>
      <c r="AM918" s="2"/>
    </row>
    <row r="919" spans="1:39">
      <c r="A919" s="2"/>
      <c r="AM919" s="2"/>
    </row>
    <row r="920" spans="1:39">
      <c r="A920" s="2"/>
      <c r="AM920" s="2"/>
    </row>
    <row r="921" spans="1:39">
      <c r="A921" s="2"/>
      <c r="AM921" s="2"/>
    </row>
    <row r="922" spans="1:39">
      <c r="A922" s="2"/>
      <c r="AM922" s="2"/>
    </row>
    <row r="923" spans="1:39">
      <c r="A923" s="2"/>
      <c r="AM923" s="2"/>
    </row>
    <row r="924" spans="1:39">
      <c r="A924" s="2"/>
      <c r="AM924" s="2"/>
    </row>
    <row r="925" spans="1:39">
      <c r="A925" s="2"/>
      <c r="AM925" s="2"/>
    </row>
    <row r="926" spans="1:39">
      <c r="A926" s="2"/>
      <c r="AM926" s="2"/>
    </row>
    <row r="927" spans="1:39">
      <c r="A927" s="2"/>
      <c r="AM927" s="2"/>
    </row>
    <row r="928" spans="1:39">
      <c r="A928" s="2"/>
      <c r="AM928" s="2"/>
    </row>
    <row r="929" spans="1:39">
      <c r="A929" s="2"/>
      <c r="AM929" s="2"/>
    </row>
    <row r="930" spans="1:39">
      <c r="A930" s="2"/>
      <c r="AM930" s="2"/>
    </row>
    <row r="931" spans="1:39">
      <c r="A931" s="2"/>
      <c r="AM931" s="2"/>
    </row>
    <row r="932" spans="1:39">
      <c r="A932" s="2"/>
      <c r="AM932" s="2"/>
    </row>
    <row r="933" spans="1:39">
      <c r="A933" s="2"/>
      <c r="AM933" s="2"/>
    </row>
    <row r="934" spans="1:39">
      <c r="A934" s="2"/>
      <c r="AM934" s="2"/>
    </row>
    <row r="935" spans="1:39">
      <c r="A935" s="2"/>
      <c r="AM935" s="2"/>
    </row>
    <row r="936" spans="1:39">
      <c r="A936" s="2"/>
      <c r="AM936" s="2"/>
    </row>
    <row r="937" spans="1:39">
      <c r="A937" s="2"/>
      <c r="AM937" s="2"/>
    </row>
    <row r="938" spans="1:39">
      <c r="A938" s="2"/>
      <c r="AM938" s="2"/>
    </row>
    <row r="939" spans="1:39">
      <c r="A939" s="2"/>
      <c r="AM939" s="2"/>
    </row>
    <row r="940" spans="1:39">
      <c r="A940" s="2"/>
      <c r="AM940" s="2"/>
    </row>
    <row r="941" spans="1:39">
      <c r="A941" s="2"/>
      <c r="AM941" s="2"/>
    </row>
    <row r="942" spans="1:39">
      <c r="A942" s="2"/>
      <c r="AM942" s="2"/>
    </row>
    <row r="943" spans="1:39">
      <c r="A943" s="2"/>
      <c r="AM943" s="2"/>
    </row>
    <row r="944" spans="1:39">
      <c r="A944" s="2"/>
      <c r="AM944" s="2"/>
    </row>
    <row r="945" spans="1:39">
      <c r="A945" s="2"/>
      <c r="AM945" s="2"/>
    </row>
    <row r="946" spans="1:39">
      <c r="A946" s="2"/>
      <c r="AM946" s="2"/>
    </row>
    <row r="947" spans="1:39">
      <c r="A947" s="2"/>
      <c r="AM947" s="2"/>
    </row>
    <row r="948" spans="1:39">
      <c r="A948" s="2"/>
      <c r="AM948" s="2"/>
    </row>
    <row r="949" spans="1:39">
      <c r="A949" s="2"/>
      <c r="AM949" s="2"/>
    </row>
    <row r="950" spans="1:39">
      <c r="A950" s="2"/>
      <c r="AM950" s="2"/>
    </row>
    <row r="951" spans="1:39">
      <c r="A951" s="2"/>
      <c r="AM951" s="2"/>
    </row>
    <row r="952" spans="1:39">
      <c r="A952" s="2"/>
      <c r="AM952" s="2"/>
    </row>
    <row r="953" spans="1:39">
      <c r="A953" s="2"/>
      <c r="AM953" s="2"/>
    </row>
    <row r="954" spans="1:39">
      <c r="A954" s="2"/>
      <c r="AM954" s="2"/>
    </row>
    <row r="955" spans="1:39">
      <c r="A955" s="2"/>
      <c r="AM955" s="2"/>
    </row>
    <row r="956" spans="1:39">
      <c r="A956" s="2"/>
      <c r="AM956" s="2"/>
    </row>
    <row r="957" spans="1:39">
      <c r="A957" s="2"/>
      <c r="AM957" s="2"/>
    </row>
    <row r="958" spans="1:39">
      <c r="A958" s="2"/>
      <c r="AM958" s="2"/>
    </row>
    <row r="959" spans="1:39">
      <c r="A959" s="2"/>
      <c r="AM959" s="2"/>
    </row>
    <row r="960" spans="1:39">
      <c r="A960" s="2"/>
      <c r="AM960" s="2"/>
    </row>
    <row r="961" spans="1:39">
      <c r="A961" s="2"/>
      <c r="AM961" s="2"/>
    </row>
    <row r="962" spans="1:39">
      <c r="A962" s="2"/>
      <c r="AM962" s="2"/>
    </row>
    <row r="963" spans="1:39">
      <c r="A963" s="2"/>
      <c r="AM963" s="2"/>
    </row>
    <row r="964" spans="1:39">
      <c r="A964" s="2"/>
      <c r="AM964" s="2"/>
    </row>
    <row r="965" spans="1:39">
      <c r="A965" s="2"/>
      <c r="AM965" s="2"/>
    </row>
    <row r="966" spans="1:39">
      <c r="A966" s="2"/>
      <c r="AM966" s="2"/>
    </row>
    <row r="967" spans="1:39">
      <c r="A967" s="2"/>
      <c r="AM967" s="2"/>
    </row>
    <row r="968" spans="1:39">
      <c r="A968" s="2"/>
      <c r="AM968" s="2"/>
    </row>
    <row r="969" spans="1:39">
      <c r="A969" s="2"/>
      <c r="AM969" s="2"/>
    </row>
    <row r="970" spans="1:39">
      <c r="A970" s="2"/>
      <c r="AM970" s="2"/>
    </row>
    <row r="971" spans="1:39">
      <c r="A971" s="2"/>
      <c r="AM971" s="2"/>
    </row>
    <row r="972" spans="1:39">
      <c r="A972" s="2"/>
      <c r="AM972" s="2"/>
    </row>
    <row r="973" spans="1:39">
      <c r="A973" s="2"/>
      <c r="AM973" s="2"/>
    </row>
    <row r="974" spans="1:39">
      <c r="A974" s="2"/>
      <c r="AM974" s="2"/>
    </row>
    <row r="975" spans="1:39">
      <c r="A975" s="2"/>
      <c r="AM975" s="2"/>
    </row>
    <row r="976" spans="1:39">
      <c r="A976" s="2"/>
      <c r="AM976" s="2"/>
    </row>
    <row r="977" spans="1:39">
      <c r="A977" s="2"/>
      <c r="AM977" s="2"/>
    </row>
    <row r="978" spans="1:39">
      <c r="A978" s="2"/>
      <c r="AM978" s="2"/>
    </row>
    <row r="979" spans="1:39">
      <c r="A979" s="2"/>
      <c r="AM979" s="2"/>
    </row>
    <row r="980" spans="1:39">
      <c r="A980" s="2"/>
      <c r="AM980" s="2"/>
    </row>
    <row r="981" spans="1:39">
      <c r="A981" s="2"/>
      <c r="AM981" s="2"/>
    </row>
    <row r="982" spans="1:39">
      <c r="A982" s="2"/>
      <c r="AM982" s="2"/>
    </row>
    <row r="983" spans="1:39">
      <c r="A983" s="2"/>
      <c r="AM983" s="2"/>
    </row>
    <row r="984" spans="1:39">
      <c r="A984" s="2"/>
      <c r="AM984" s="2"/>
    </row>
    <row r="985" spans="1:39">
      <c r="A985" s="2"/>
      <c r="AM985" s="2"/>
    </row>
    <row r="986" spans="1:39">
      <c r="A986" s="2"/>
      <c r="AM986" s="2"/>
    </row>
    <row r="987" spans="1:39">
      <c r="A987" s="2"/>
      <c r="AM987" s="2"/>
    </row>
    <row r="988" spans="1:39">
      <c r="A988" s="2"/>
      <c r="AM988" s="2"/>
    </row>
    <row r="989" spans="1:39">
      <c r="A989" s="2"/>
      <c r="AM989" s="2"/>
    </row>
    <row r="990" spans="1:39">
      <c r="A990" s="2"/>
      <c r="AM990" s="2"/>
    </row>
    <row r="991" spans="1:39">
      <c r="A991" s="2"/>
      <c r="AM991" s="2"/>
    </row>
    <row r="992" spans="1:39">
      <c r="A992" s="2"/>
      <c r="AM992" s="2"/>
    </row>
    <row r="993" spans="1:39">
      <c r="A993" s="2"/>
      <c r="AM993" s="2"/>
    </row>
    <row r="994" spans="1:39">
      <c r="A994" s="2"/>
      <c r="AM994" s="2"/>
    </row>
    <row r="995" spans="1:39">
      <c r="A995" s="2"/>
      <c r="AM995" s="2"/>
    </row>
    <row r="996" spans="1:39">
      <c r="A996" s="2"/>
      <c r="AM996" s="2"/>
    </row>
    <row r="997" spans="1:39">
      <c r="A997" s="2"/>
      <c r="AM997" s="2"/>
    </row>
    <row r="998" spans="1:39">
      <c r="A998" s="2"/>
      <c r="AM998" s="2"/>
    </row>
    <row r="999" spans="1:39">
      <c r="A999" s="2"/>
      <c r="AM999" s="2"/>
    </row>
    <row r="1000" spans="1:39">
      <c r="A1000" s="2"/>
      <c r="AM1000" s="2"/>
    </row>
    <row r="1001" spans="1:39">
      <c r="A1001" s="2"/>
      <c r="AM1001" s="2"/>
    </row>
    <row r="1002" spans="1:39">
      <c r="A1002" s="2"/>
      <c r="AM1002" s="2"/>
    </row>
    <row r="1003" spans="1:39">
      <c r="A1003" s="2"/>
      <c r="AM1003" s="2"/>
    </row>
    <row r="1004" spans="1:39">
      <c r="A1004" s="2"/>
      <c r="AM1004" s="2"/>
    </row>
    <row r="1005" spans="1:39">
      <c r="A1005" s="2"/>
      <c r="AM1005" s="2"/>
    </row>
    <row r="1006" spans="1:39">
      <c r="A1006" s="2"/>
      <c r="AM1006" s="2"/>
    </row>
    <row r="1007" spans="1:39">
      <c r="A1007" s="2"/>
      <c r="AM1007" s="2"/>
    </row>
    <row r="1008" spans="1:39">
      <c r="A1008" s="2"/>
      <c r="AM1008" s="2"/>
    </row>
    <row r="1009" spans="1:39">
      <c r="A1009" s="2"/>
      <c r="AM1009" s="2"/>
    </row>
    <row r="1010" spans="1:39">
      <c r="A1010" s="2"/>
      <c r="AM1010" s="2"/>
    </row>
    <row r="1011" spans="1:39">
      <c r="A1011" s="2"/>
      <c r="AM1011" s="2"/>
    </row>
    <row r="1012" spans="1:39">
      <c r="A1012" s="2"/>
      <c r="AM1012" s="2"/>
    </row>
    <row r="1013" spans="1:39">
      <c r="A1013" s="2"/>
      <c r="AM1013" s="2"/>
    </row>
    <row r="1014" spans="1:39">
      <c r="A1014" s="2"/>
      <c r="AM1014" s="2"/>
    </row>
    <row r="1015" spans="1:39">
      <c r="A1015" s="2"/>
      <c r="AM1015" s="2"/>
    </row>
    <row r="1016" spans="1:39">
      <c r="A1016" s="2"/>
      <c r="AM1016" s="2"/>
    </row>
    <row r="1017" spans="1:39">
      <c r="A1017" s="2"/>
      <c r="AM1017" s="2"/>
    </row>
    <row r="1018" spans="1:39">
      <c r="A1018" s="2"/>
      <c r="AM1018" s="2"/>
    </row>
    <row r="1019" spans="1:39">
      <c r="A1019" s="2"/>
      <c r="AM1019" s="2"/>
    </row>
    <row r="1020" spans="1:39">
      <c r="A1020" s="2"/>
      <c r="AM1020" s="2"/>
    </row>
    <row r="1021" spans="1:39">
      <c r="A1021" s="2"/>
      <c r="AM1021" s="2"/>
    </row>
    <row r="1022" spans="1:39">
      <c r="A1022" s="2"/>
      <c r="AM1022" s="2"/>
    </row>
    <row r="1023" spans="1:39">
      <c r="A1023" s="2"/>
      <c r="AM1023" s="2"/>
    </row>
    <row r="1024" spans="1:39">
      <c r="A1024" s="2"/>
      <c r="AM1024" s="2"/>
    </row>
    <row r="1025" spans="1:39">
      <c r="A1025" s="2"/>
      <c r="AM1025" s="2"/>
    </row>
    <row r="1026" spans="1:39">
      <c r="A1026" s="2"/>
      <c r="AM1026" s="2"/>
    </row>
    <row r="1027" spans="1:39">
      <c r="A1027" s="2"/>
      <c r="AM1027" s="2"/>
    </row>
    <row r="1028" spans="1:39">
      <c r="A1028" s="2"/>
      <c r="AM1028" s="2"/>
    </row>
    <row r="1029" spans="1:39">
      <c r="A1029" s="2"/>
      <c r="AM1029" s="2"/>
    </row>
    <row r="1030" spans="1:39">
      <c r="A1030" s="2"/>
      <c r="AM1030" s="2"/>
    </row>
    <row r="1031" spans="1:39">
      <c r="A1031" s="2"/>
      <c r="AM1031" s="2"/>
    </row>
    <row r="1032" spans="1:39">
      <c r="A1032" s="2"/>
      <c r="AM1032" s="2"/>
    </row>
    <row r="1033" spans="1:39">
      <c r="A1033" s="2"/>
      <c r="AM1033" s="2"/>
    </row>
    <row r="1034" spans="1:39">
      <c r="A1034" s="2"/>
      <c r="AM1034" s="2"/>
    </row>
    <row r="1035" spans="1:39">
      <c r="A1035" s="2"/>
      <c r="AM1035" s="2"/>
    </row>
    <row r="1036" spans="1:39">
      <c r="A1036" s="2"/>
      <c r="AM1036" s="2"/>
    </row>
    <row r="1037" spans="1:39">
      <c r="A1037" s="2"/>
      <c r="AM1037" s="2"/>
    </row>
    <row r="1038" spans="1:39">
      <c r="A1038" s="2"/>
      <c r="AM1038" s="2"/>
    </row>
    <row r="1039" spans="1:39">
      <c r="A1039" s="2"/>
      <c r="AM1039" s="2"/>
    </row>
    <row r="1040" spans="1:39">
      <c r="A1040" s="2"/>
      <c r="AM1040" s="2"/>
    </row>
    <row r="1041" spans="1:39">
      <c r="A1041" s="2"/>
      <c r="AM1041" s="2"/>
    </row>
    <row r="1042" spans="1:39">
      <c r="A1042" s="2"/>
      <c r="AM1042" s="2"/>
    </row>
    <row r="1043" spans="1:39">
      <c r="A1043" s="2"/>
      <c r="AM1043" s="2"/>
    </row>
    <row r="1044" spans="1:39">
      <c r="A1044" s="2"/>
      <c r="AM1044" s="2"/>
    </row>
    <row r="1045" spans="1:39">
      <c r="A1045" s="2"/>
      <c r="AM1045" s="2"/>
    </row>
    <row r="1046" spans="1:39">
      <c r="A1046" s="2"/>
      <c r="AM1046" s="2"/>
    </row>
    <row r="1047" spans="1:39">
      <c r="A1047" s="2"/>
      <c r="AM1047" s="2"/>
    </row>
    <row r="1048" spans="1:39">
      <c r="A1048" s="2"/>
      <c r="AM1048" s="2"/>
    </row>
    <row r="1049" spans="1:39">
      <c r="A1049" s="2"/>
      <c r="AM1049" s="2"/>
    </row>
    <row r="1050" spans="1:39">
      <c r="A1050" s="2"/>
      <c r="AM1050" s="2"/>
    </row>
    <row r="1051" spans="1:39">
      <c r="A1051" s="2"/>
      <c r="AM1051" s="2"/>
    </row>
    <row r="1052" spans="1:39">
      <c r="A1052" s="2"/>
      <c r="AM1052" s="2"/>
    </row>
    <row r="1053" spans="1:39">
      <c r="A1053" s="2"/>
      <c r="AM1053" s="2"/>
    </row>
    <row r="1054" spans="1:39">
      <c r="A1054" s="2"/>
      <c r="AM1054" s="2"/>
    </row>
    <row r="1055" spans="1:39">
      <c r="A1055" s="2"/>
      <c r="AM1055" s="2"/>
    </row>
    <row r="1056" spans="1:39">
      <c r="A1056" s="2"/>
      <c r="AM1056" s="2"/>
    </row>
    <row r="1057" spans="1:39">
      <c r="A1057" s="2"/>
      <c r="AM1057" s="2"/>
    </row>
    <row r="1058" spans="1:39">
      <c r="A1058" s="2"/>
      <c r="AM1058" s="2"/>
    </row>
    <row r="1059" spans="1:39">
      <c r="A1059" s="2"/>
      <c r="AM1059" s="2"/>
    </row>
    <row r="1060" spans="1:39">
      <c r="A1060" s="2"/>
      <c r="AM1060" s="2"/>
    </row>
    <row r="1061" spans="1:39">
      <c r="A1061" s="2"/>
      <c r="AM1061" s="2"/>
    </row>
    <row r="1062" spans="1:39">
      <c r="A1062" s="2"/>
      <c r="AM1062" s="2"/>
    </row>
    <row r="1063" spans="1:39">
      <c r="A1063" s="2"/>
      <c r="AM1063" s="2"/>
    </row>
    <row r="1064" spans="1:39">
      <c r="A1064" s="2"/>
      <c r="AM1064" s="2"/>
    </row>
    <row r="1065" spans="1:39">
      <c r="A1065" s="2"/>
      <c r="AM1065" s="2"/>
    </row>
    <row r="1066" spans="1:39">
      <c r="A1066" s="2"/>
      <c r="AM1066" s="2"/>
    </row>
    <row r="1067" spans="1:39">
      <c r="A1067" s="2"/>
      <c r="AM1067" s="2"/>
    </row>
    <row r="1068" spans="1:39">
      <c r="A1068" s="2"/>
      <c r="AM1068" s="2"/>
    </row>
    <row r="1069" spans="1:39">
      <c r="A1069" s="2"/>
      <c r="AM1069" s="2"/>
    </row>
    <row r="1070" spans="1:39">
      <c r="A1070" s="2"/>
      <c r="AM1070" s="2"/>
    </row>
    <row r="1071" spans="1:39">
      <c r="A1071" s="2"/>
      <c r="AM1071" s="2"/>
    </row>
    <row r="1072" spans="1:39">
      <c r="A1072" s="2"/>
      <c r="AM1072" s="2"/>
    </row>
    <row r="1073" spans="1:39">
      <c r="A1073" s="2"/>
      <c r="AM1073" s="2"/>
    </row>
    <row r="1074" spans="1:39">
      <c r="A1074" s="2"/>
      <c r="AM1074" s="2"/>
    </row>
    <row r="1075" spans="1:39">
      <c r="A1075" s="2"/>
      <c r="AM1075" s="2"/>
    </row>
    <row r="1076" spans="1:39">
      <c r="A1076" s="2"/>
      <c r="AM1076" s="2"/>
    </row>
    <row r="1077" spans="1:39">
      <c r="A1077" s="2"/>
      <c r="AM1077" s="2"/>
    </row>
    <row r="1078" spans="1:39">
      <c r="A1078" s="2"/>
      <c r="AM1078" s="2"/>
    </row>
    <row r="1079" spans="1:39">
      <c r="A1079" s="2"/>
      <c r="AM1079" s="2"/>
    </row>
    <row r="1080" spans="1:39">
      <c r="A1080" s="2"/>
      <c r="AM1080" s="2"/>
    </row>
    <row r="1081" spans="1:39">
      <c r="A1081" s="2"/>
      <c r="AM1081" s="2"/>
    </row>
    <row r="1082" spans="1:39">
      <c r="A1082" s="2"/>
      <c r="AM1082" s="2"/>
    </row>
    <row r="1083" spans="1:39">
      <c r="A1083" s="2"/>
      <c r="AM1083" s="2"/>
    </row>
    <row r="1084" spans="1:39">
      <c r="A1084" s="2"/>
      <c r="AM1084" s="2"/>
    </row>
    <row r="1085" spans="1:39">
      <c r="A1085" s="2"/>
      <c r="AM1085" s="2"/>
    </row>
    <row r="1086" spans="1:39">
      <c r="A1086" s="2"/>
      <c r="AM1086" s="2"/>
    </row>
    <row r="1087" spans="1:39">
      <c r="A1087" s="2"/>
      <c r="AM1087" s="2"/>
    </row>
    <row r="1088" spans="1:39">
      <c r="A1088" s="2"/>
      <c r="AM1088" s="2"/>
    </row>
    <row r="1089" spans="1:39">
      <c r="A1089" s="2"/>
      <c r="AM1089" s="2"/>
    </row>
    <row r="1090" spans="1:39">
      <c r="A1090" s="2"/>
      <c r="AM1090" s="2"/>
    </row>
    <row r="1091" spans="1:39">
      <c r="A1091" s="2"/>
      <c r="AM1091" s="2"/>
    </row>
    <row r="1092" spans="1:39">
      <c r="A1092" s="2"/>
      <c r="AM1092" s="2"/>
    </row>
    <row r="1093" spans="1:39">
      <c r="A1093" s="2"/>
      <c r="AM1093" s="2"/>
    </row>
    <row r="1094" spans="1:39">
      <c r="A1094" s="2"/>
      <c r="AM1094" s="2"/>
    </row>
    <row r="1095" spans="1:39">
      <c r="A1095" s="2"/>
      <c r="AM1095" s="2"/>
    </row>
    <row r="1096" spans="1:39">
      <c r="A1096" s="2"/>
      <c r="AM1096" s="2"/>
    </row>
    <row r="1097" spans="1:39">
      <c r="A1097" s="2"/>
      <c r="AM1097" s="2"/>
    </row>
    <row r="1098" spans="1:39">
      <c r="A1098" s="2"/>
      <c r="AM1098" s="2"/>
    </row>
    <row r="1099" spans="1:39">
      <c r="A1099" s="2"/>
      <c r="AM1099" s="2"/>
    </row>
    <row r="1100" spans="1:39">
      <c r="A1100" s="2"/>
      <c r="AM1100" s="2"/>
    </row>
    <row r="1101" spans="1:39">
      <c r="A1101" s="2"/>
      <c r="AM1101" s="2"/>
    </row>
    <row r="1102" spans="1:39">
      <c r="A1102" s="2"/>
      <c r="AM1102" s="2"/>
    </row>
    <row r="1103" spans="1:39">
      <c r="A1103" s="2"/>
      <c r="AM1103" s="2"/>
    </row>
    <row r="1104" spans="1:39">
      <c r="A1104" s="2"/>
      <c r="AM1104" s="2"/>
    </row>
    <row r="1105" spans="1:39">
      <c r="A1105" s="2"/>
      <c r="AM1105" s="2"/>
    </row>
    <row r="1106" spans="1:39">
      <c r="A1106" s="2"/>
      <c r="AM1106" s="2"/>
    </row>
    <row r="1107" spans="1:39">
      <c r="A1107" s="2"/>
      <c r="AM1107" s="2"/>
    </row>
    <row r="1108" spans="1:39">
      <c r="A1108" s="2"/>
      <c r="AM1108" s="2"/>
    </row>
    <row r="1109" spans="1:39">
      <c r="A1109" s="2"/>
      <c r="AM1109" s="2"/>
    </row>
    <row r="1110" spans="1:39">
      <c r="A1110" s="2"/>
      <c r="AM1110" s="2"/>
    </row>
    <row r="1111" spans="1:39">
      <c r="A1111" s="2"/>
      <c r="AM1111" s="2"/>
    </row>
    <row r="1112" spans="1:39">
      <c r="A1112" s="2"/>
      <c r="AM1112" s="2"/>
    </row>
    <row r="1113" spans="1:39">
      <c r="A1113" s="2"/>
      <c r="AM1113" s="2"/>
    </row>
    <row r="1114" spans="1:39">
      <c r="A1114" s="2"/>
      <c r="AM1114" s="2"/>
    </row>
    <row r="1115" spans="1:39">
      <c r="A1115" s="2"/>
      <c r="AM1115" s="2"/>
    </row>
    <row r="1116" spans="1:39">
      <c r="A1116" s="2"/>
      <c r="AM1116" s="2"/>
    </row>
    <row r="1117" spans="1:39">
      <c r="A1117" s="2"/>
      <c r="AM1117" s="2"/>
    </row>
    <row r="1118" spans="1:39">
      <c r="A1118" s="2"/>
      <c r="AM1118" s="2"/>
    </row>
    <row r="1119" spans="1:39">
      <c r="A1119" s="2"/>
      <c r="AM1119" s="2"/>
    </row>
    <row r="1120" spans="1:39">
      <c r="A1120" s="2"/>
      <c r="AM1120" s="2"/>
    </row>
    <row r="1121" spans="1:39">
      <c r="A1121" s="2"/>
      <c r="AM1121" s="2"/>
    </row>
    <row r="1122" spans="1:39">
      <c r="A1122" s="2"/>
      <c r="AM1122" s="2"/>
    </row>
    <row r="1123" spans="1:39">
      <c r="A1123" s="2"/>
      <c r="AM1123" s="2"/>
    </row>
    <row r="1124" spans="1:39">
      <c r="A1124" s="2"/>
      <c r="AM1124" s="2"/>
    </row>
    <row r="1125" spans="1:39">
      <c r="A1125" s="2"/>
      <c r="AM1125" s="2"/>
    </row>
    <row r="1126" spans="1:39">
      <c r="A1126" s="2"/>
      <c r="AM1126" s="2"/>
    </row>
    <row r="1127" spans="1:39">
      <c r="A1127" s="2"/>
      <c r="AM1127" s="2"/>
    </row>
    <row r="1128" spans="1:39">
      <c r="A1128" s="2"/>
      <c r="AM1128" s="2"/>
    </row>
    <row r="1129" spans="1:39">
      <c r="A1129" s="2"/>
      <c r="AM1129" s="2"/>
    </row>
    <row r="1130" spans="1:39">
      <c r="A1130" s="2"/>
      <c r="AM1130" s="2"/>
    </row>
    <row r="1131" spans="1:39">
      <c r="A1131" s="2"/>
      <c r="AM1131" s="2"/>
    </row>
    <row r="1132" spans="1:39">
      <c r="A1132" s="2"/>
      <c r="AM1132" s="2"/>
    </row>
    <row r="1133" spans="1:39">
      <c r="A1133" s="2"/>
      <c r="AM1133" s="2"/>
    </row>
    <row r="1134" spans="1:39">
      <c r="A1134" s="2"/>
      <c r="AM1134" s="2"/>
    </row>
    <row r="1135" spans="1:39">
      <c r="A1135" s="2"/>
      <c r="AM1135" s="2"/>
    </row>
    <row r="1136" spans="1:39">
      <c r="A1136" s="2"/>
      <c r="AM1136" s="2"/>
    </row>
    <row r="1137" spans="1:39">
      <c r="A1137" s="2"/>
      <c r="AM1137" s="2"/>
    </row>
    <row r="1138" spans="1:39">
      <c r="A1138" s="2"/>
      <c r="AM1138" s="2"/>
    </row>
    <row r="1139" spans="1:39">
      <c r="A1139" s="2"/>
      <c r="AM1139" s="2"/>
    </row>
    <row r="1140" spans="1:39">
      <c r="A1140" s="2"/>
      <c r="AM1140" s="2"/>
    </row>
    <row r="1141" spans="1:39">
      <c r="A1141" s="2"/>
      <c r="AM1141" s="2"/>
    </row>
    <row r="1142" spans="1:39">
      <c r="A1142" s="2"/>
      <c r="AM1142" s="2"/>
    </row>
    <row r="1143" spans="1:39">
      <c r="A1143" s="2"/>
      <c r="AM1143" s="2"/>
    </row>
    <row r="1144" spans="1:39">
      <c r="A1144" s="2"/>
      <c r="AM1144" s="2"/>
    </row>
    <row r="1145" spans="1:39">
      <c r="A1145" s="2"/>
      <c r="AM1145" s="2"/>
    </row>
    <row r="1146" spans="1:39">
      <c r="A1146" s="2"/>
      <c r="AM1146" s="2"/>
    </row>
    <row r="1147" spans="1:39">
      <c r="A1147" s="2"/>
      <c r="AM1147" s="2"/>
    </row>
    <row r="1148" spans="1:39">
      <c r="A1148" s="2"/>
      <c r="AM1148" s="2"/>
    </row>
    <row r="1149" spans="1:39">
      <c r="A1149" s="2"/>
      <c r="AM1149" s="2"/>
    </row>
    <row r="1150" spans="1:39">
      <c r="A1150" s="2"/>
      <c r="AM1150" s="2"/>
    </row>
    <row r="1151" spans="1:39">
      <c r="A1151" s="2"/>
      <c r="AM1151" s="2"/>
    </row>
    <row r="1152" spans="1:39">
      <c r="A1152" s="2"/>
      <c r="AM1152" s="2"/>
    </row>
    <row r="1153" spans="1:39">
      <c r="A1153" s="2"/>
      <c r="AM1153" s="2"/>
    </row>
    <row r="1154" spans="1:39">
      <c r="A1154" s="2"/>
      <c r="AM1154" s="2"/>
    </row>
    <row r="1155" spans="1:39">
      <c r="A1155" s="2"/>
      <c r="AM1155" s="2"/>
    </row>
    <row r="1156" spans="1:39">
      <c r="A1156" s="2"/>
      <c r="AM1156" s="2"/>
    </row>
    <row r="1157" spans="1:39">
      <c r="A1157" s="2"/>
      <c r="AM1157" s="2"/>
    </row>
    <row r="1158" spans="1:39">
      <c r="A1158" s="2"/>
      <c r="AM1158" s="2"/>
    </row>
    <row r="1159" spans="1:39">
      <c r="A1159" s="2"/>
      <c r="AM1159" s="2"/>
    </row>
    <row r="1160" spans="1:39">
      <c r="A1160" s="2"/>
      <c r="AM1160" s="2"/>
    </row>
    <row r="1161" spans="1:39">
      <c r="A1161" s="2"/>
      <c r="AM1161" s="2"/>
    </row>
    <row r="1162" spans="1:39">
      <c r="A1162" s="2"/>
      <c r="AM1162" s="2"/>
    </row>
    <row r="1163" spans="1:39">
      <c r="A1163" s="2"/>
      <c r="AM1163" s="2"/>
    </row>
    <row r="1164" spans="1:39">
      <c r="A1164" s="2"/>
      <c r="AM1164" s="2"/>
    </row>
    <row r="1165" spans="1:39">
      <c r="A1165" s="2"/>
      <c r="AM1165" s="2"/>
    </row>
    <row r="1166" spans="1:39">
      <c r="A1166" s="2"/>
      <c r="AM1166" s="2"/>
    </row>
    <row r="1167" spans="1:39">
      <c r="A1167" s="2"/>
      <c r="AM1167" s="2"/>
    </row>
    <row r="1168" spans="1:39">
      <c r="A1168" s="2"/>
      <c r="AM1168" s="2"/>
    </row>
    <row r="1169" spans="1:39">
      <c r="A1169" s="2"/>
      <c r="AM1169" s="2"/>
    </row>
    <row r="1170" spans="1:39">
      <c r="A1170" s="2"/>
      <c r="AM1170" s="2"/>
    </row>
    <row r="1171" spans="1:39">
      <c r="A1171" s="2"/>
      <c r="AM1171" s="2"/>
    </row>
    <row r="1172" spans="1:39">
      <c r="A1172" s="2"/>
      <c r="AM1172" s="2"/>
    </row>
    <row r="1173" spans="1:39">
      <c r="A1173" s="2"/>
      <c r="AM1173" s="2"/>
    </row>
    <row r="1174" spans="1:39">
      <c r="A1174" s="2"/>
      <c r="AM1174" s="2"/>
    </row>
    <row r="1175" spans="1:39">
      <c r="A1175" s="2"/>
      <c r="AM1175" s="2"/>
    </row>
    <row r="1176" spans="1:39">
      <c r="A1176" s="2"/>
      <c r="AM1176" s="2"/>
    </row>
    <row r="1177" spans="1:39">
      <c r="A1177" s="2"/>
      <c r="AM1177" s="2"/>
    </row>
    <row r="1178" spans="1:39">
      <c r="A1178" s="2"/>
      <c r="AM1178" s="2"/>
    </row>
    <row r="1179" spans="1:39">
      <c r="A1179" s="2"/>
      <c r="AM1179" s="2"/>
    </row>
    <row r="1180" spans="1:39">
      <c r="A1180" s="2"/>
      <c r="AM1180" s="2"/>
    </row>
    <row r="1181" spans="1:39">
      <c r="A1181" s="2"/>
      <c r="AM1181" s="2"/>
    </row>
    <row r="1182" spans="1:39">
      <c r="A1182" s="2"/>
      <c r="AM1182" s="2"/>
    </row>
    <row r="1183" spans="1:39">
      <c r="A1183" s="2"/>
      <c r="AM1183" s="2"/>
    </row>
    <row r="1184" spans="1:39">
      <c r="A1184" s="2"/>
      <c r="AM1184" s="2"/>
    </row>
    <row r="1185" spans="1:39">
      <c r="A1185" s="2"/>
      <c r="AM1185" s="2"/>
    </row>
    <row r="1186" spans="1:39">
      <c r="A1186" s="2"/>
      <c r="AM1186" s="2"/>
    </row>
    <row r="1187" spans="1:39">
      <c r="A1187" s="2"/>
      <c r="AM1187" s="2"/>
    </row>
    <row r="1188" spans="1:39">
      <c r="A1188" s="2"/>
      <c r="AM1188" s="2"/>
    </row>
    <row r="1189" spans="1:39">
      <c r="A1189" s="2"/>
      <c r="AM1189" s="2"/>
    </row>
    <row r="1190" spans="1:39">
      <c r="A1190" s="2"/>
      <c r="AM1190" s="2"/>
    </row>
    <row r="1191" spans="1:39">
      <c r="A1191" s="2"/>
      <c r="AM1191" s="2"/>
    </row>
    <row r="1192" spans="1:39">
      <c r="A1192" s="2"/>
      <c r="AM1192" s="2"/>
    </row>
    <row r="1193" spans="1:39">
      <c r="A1193" s="2"/>
      <c r="AM1193" s="2"/>
    </row>
    <row r="1194" spans="1:39">
      <c r="A1194" s="2"/>
      <c r="AM1194" s="2"/>
    </row>
    <row r="1195" spans="1:39">
      <c r="A1195" s="2"/>
      <c r="AM1195" s="2"/>
    </row>
    <row r="1196" spans="1:39">
      <c r="A1196" s="2"/>
      <c r="AM1196" s="2"/>
    </row>
    <row r="1197" spans="1:39">
      <c r="A1197" s="2"/>
      <c r="AM1197" s="2"/>
    </row>
    <row r="1198" spans="1:39">
      <c r="A1198" s="2"/>
      <c r="AM1198" s="2"/>
    </row>
    <row r="1199" spans="1:39">
      <c r="A1199" s="2"/>
      <c r="AM1199" s="2"/>
    </row>
    <row r="1200" spans="1:39">
      <c r="A1200" s="2"/>
      <c r="AM1200" s="2"/>
    </row>
    <row r="1201" spans="1:39">
      <c r="A1201" s="2"/>
      <c r="AM1201" s="2"/>
    </row>
    <row r="1202" spans="1:39">
      <c r="A1202" s="2"/>
      <c r="AM1202" s="2"/>
    </row>
    <row r="1203" spans="1:39">
      <c r="A1203" s="2"/>
      <c r="AM1203" s="2"/>
    </row>
    <row r="1204" spans="1:39">
      <c r="A1204" s="2"/>
      <c r="AM1204" s="2"/>
    </row>
    <row r="1205" spans="1:39">
      <c r="A1205" s="2"/>
      <c r="AM1205" s="2"/>
    </row>
    <row r="1206" spans="1:39">
      <c r="A1206" s="2"/>
      <c r="AM1206" s="2"/>
    </row>
    <row r="1207" spans="1:39">
      <c r="A1207" s="2"/>
      <c r="AM1207" s="2"/>
    </row>
    <row r="1208" spans="1:39">
      <c r="A1208" s="2"/>
      <c r="AM1208" s="2"/>
    </row>
    <row r="1209" spans="1:39">
      <c r="A1209" s="2"/>
      <c r="AM1209" s="2"/>
    </row>
    <row r="1210" spans="1:39">
      <c r="A1210" s="2"/>
      <c r="AM1210" s="2"/>
    </row>
    <row r="1211" spans="1:39">
      <c r="A1211" s="2"/>
      <c r="AM1211" s="2"/>
    </row>
    <row r="1212" spans="1:39">
      <c r="A1212" s="2"/>
      <c r="AM1212" s="2"/>
    </row>
    <row r="1213" spans="1:39">
      <c r="A1213" s="2"/>
      <c r="AM1213" s="2"/>
    </row>
    <row r="1214" spans="1:39">
      <c r="A1214" s="2"/>
      <c r="AM1214" s="2"/>
    </row>
    <row r="1215" spans="1:39">
      <c r="A1215" s="2"/>
      <c r="AM1215" s="2"/>
    </row>
    <row r="1216" spans="1:39">
      <c r="A1216" s="2"/>
      <c r="AM1216" s="2"/>
    </row>
    <row r="1217" spans="1:39">
      <c r="A1217" s="2"/>
      <c r="AM1217" s="2"/>
    </row>
    <row r="1218" spans="1:39">
      <c r="A1218" s="2"/>
      <c r="AM1218" s="2"/>
    </row>
    <row r="1219" spans="1:39">
      <c r="A1219" s="2"/>
      <c r="AM1219" s="2"/>
    </row>
    <row r="1220" spans="1:39">
      <c r="A1220" s="2"/>
      <c r="AM1220" s="2"/>
    </row>
    <row r="1221" spans="1:39">
      <c r="A1221" s="2"/>
      <c r="AM1221" s="2"/>
    </row>
    <row r="1222" spans="1:39">
      <c r="A1222" s="2"/>
      <c r="AM1222" s="2"/>
    </row>
    <row r="1223" spans="1:39">
      <c r="A1223" s="2"/>
      <c r="AM1223" s="2"/>
    </row>
    <row r="1224" spans="1:39">
      <c r="A1224" s="2"/>
      <c r="AM1224" s="2"/>
    </row>
    <row r="1225" spans="1:39">
      <c r="A1225" s="2"/>
      <c r="AM1225" s="2"/>
    </row>
    <row r="1226" spans="1:39">
      <c r="A1226" s="2"/>
      <c r="AM1226" s="2"/>
    </row>
    <row r="1227" spans="1:39">
      <c r="A1227" s="2"/>
      <c r="AM1227" s="2"/>
    </row>
    <row r="1228" spans="1:39">
      <c r="A1228" s="2"/>
      <c r="AM1228" s="2"/>
    </row>
    <row r="1229" spans="1:39">
      <c r="A1229" s="2"/>
      <c r="AM1229" s="2"/>
    </row>
    <row r="1230" spans="1:39">
      <c r="A1230" s="2"/>
      <c r="AM1230" s="2"/>
    </row>
    <row r="1231" spans="1:39">
      <c r="A1231" s="2"/>
      <c r="AM1231" s="2"/>
    </row>
    <row r="1232" spans="1:39">
      <c r="A1232" s="2"/>
      <c r="AM1232" s="2"/>
    </row>
    <row r="1233" spans="1:39">
      <c r="A1233" s="2"/>
      <c r="AM1233" s="2"/>
    </row>
    <row r="1234" spans="1:39">
      <c r="A1234" s="2"/>
      <c r="AM1234" s="2"/>
    </row>
    <row r="1235" spans="1:39">
      <c r="A1235" s="2"/>
      <c r="AM1235" s="2"/>
    </row>
    <row r="1236" spans="1:39">
      <c r="A1236" s="2"/>
      <c r="AM1236" s="2"/>
    </row>
    <row r="1237" spans="1:39">
      <c r="A1237" s="2"/>
      <c r="AM1237" s="2"/>
    </row>
    <row r="1238" spans="1:39">
      <c r="A1238" s="2"/>
      <c r="AM1238" s="2"/>
    </row>
    <row r="1239" spans="1:39">
      <c r="A1239" s="2"/>
      <c r="AM1239" s="2"/>
    </row>
    <row r="1240" spans="1:39">
      <c r="A1240" s="2"/>
      <c r="AM1240" s="2"/>
    </row>
    <row r="1241" spans="1:39">
      <c r="A1241" s="2"/>
      <c r="AM1241" s="2"/>
    </row>
    <row r="1242" spans="1:39">
      <c r="A1242" s="2"/>
      <c r="AM1242" s="2"/>
    </row>
    <row r="1243" spans="1:39">
      <c r="A1243" s="2"/>
      <c r="AM1243" s="2"/>
    </row>
    <row r="1244" spans="1:39">
      <c r="A1244" s="2"/>
      <c r="AM1244" s="2"/>
    </row>
    <row r="1245" spans="1:39">
      <c r="A1245" s="2"/>
      <c r="AM1245" s="2"/>
    </row>
    <row r="1246" spans="1:39">
      <c r="A1246" s="2"/>
      <c r="AM1246" s="2"/>
    </row>
    <row r="1247" spans="1:39">
      <c r="A1247" s="2"/>
      <c r="AM1247" s="2"/>
    </row>
    <row r="1248" spans="1:39">
      <c r="A1248" s="2"/>
      <c r="AM1248" s="2"/>
    </row>
    <row r="1249" spans="1:39">
      <c r="A1249" s="2"/>
      <c r="AM1249" s="2"/>
    </row>
    <row r="1250" spans="1:39">
      <c r="A1250" s="2"/>
      <c r="AM1250" s="2"/>
    </row>
    <row r="1251" spans="1:39">
      <c r="A1251" s="2"/>
      <c r="AM1251" s="2"/>
    </row>
    <row r="1252" spans="1:39">
      <c r="A1252" s="2"/>
      <c r="AM1252" s="2"/>
    </row>
    <row r="1253" spans="1:39">
      <c r="A1253" s="2"/>
      <c r="AM1253" s="2"/>
    </row>
    <row r="1254" spans="1:39">
      <c r="A1254" s="2"/>
      <c r="AM1254" s="2"/>
    </row>
    <row r="1255" spans="1:39">
      <c r="A1255" s="2"/>
      <c r="AM1255" s="2"/>
    </row>
    <row r="1256" spans="1:39">
      <c r="A1256" s="2"/>
      <c r="AM1256" s="2"/>
    </row>
    <row r="1257" spans="1:39">
      <c r="A1257" s="2"/>
      <c r="AM1257" s="2"/>
    </row>
    <row r="1258" spans="1:39">
      <c r="A1258" s="2"/>
      <c r="AM1258" s="2"/>
    </row>
    <row r="1259" spans="1:39">
      <c r="A1259" s="2"/>
      <c r="AM1259" s="2"/>
    </row>
    <row r="1260" spans="1:39">
      <c r="A1260" s="2"/>
      <c r="AM1260" s="2"/>
    </row>
    <row r="1261" spans="1:39">
      <c r="A1261" s="2"/>
      <c r="AM1261" s="2"/>
    </row>
    <row r="1262" spans="1:39">
      <c r="A1262" s="2"/>
      <c r="AM1262" s="2"/>
    </row>
    <row r="1263" spans="1:39">
      <c r="A1263" s="2"/>
      <c r="AM1263" s="2"/>
    </row>
    <row r="1264" spans="1:39">
      <c r="A1264" s="2"/>
      <c r="AM1264" s="2"/>
    </row>
    <row r="1265" spans="1:39">
      <c r="A1265" s="2"/>
      <c r="AM1265" s="2"/>
    </row>
    <row r="1266" spans="1:39">
      <c r="A1266" s="2"/>
      <c r="AM1266" s="2"/>
    </row>
    <row r="1267" spans="1:39">
      <c r="A1267" s="2"/>
      <c r="AM1267" s="2"/>
    </row>
    <row r="1268" spans="1:39">
      <c r="A1268" s="2"/>
      <c r="AM1268" s="2"/>
    </row>
    <row r="1269" spans="1:39">
      <c r="A1269" s="2"/>
      <c r="AM1269" s="2"/>
    </row>
    <row r="1270" spans="1:39">
      <c r="A1270" s="2"/>
      <c r="AM1270" s="2"/>
    </row>
    <row r="1271" spans="1:39">
      <c r="A1271" s="2"/>
      <c r="AM1271" s="2"/>
    </row>
    <row r="1272" spans="1:39">
      <c r="A1272" s="2"/>
      <c r="AM1272" s="2"/>
    </row>
    <row r="1273" spans="1:39">
      <c r="A1273" s="2"/>
      <c r="AM1273" s="2"/>
    </row>
    <row r="1274" spans="1:39">
      <c r="A1274" s="2"/>
      <c r="AM1274" s="2"/>
    </row>
    <row r="1275" spans="1:39">
      <c r="A1275" s="2"/>
      <c r="AM1275" s="2"/>
    </row>
    <row r="1276" spans="1:39">
      <c r="A1276" s="2"/>
      <c r="AM1276" s="2"/>
    </row>
    <row r="1277" spans="1:39">
      <c r="A1277" s="2"/>
      <c r="AM1277" s="2"/>
    </row>
    <row r="1278" spans="1:39">
      <c r="A1278" s="2"/>
      <c r="AM1278" s="2"/>
    </row>
    <row r="1279" spans="1:39">
      <c r="A1279" s="2"/>
      <c r="AM1279" s="2"/>
    </row>
    <row r="1280" spans="1:39">
      <c r="A1280" s="2"/>
      <c r="AM1280" s="2"/>
    </row>
    <row r="1281" spans="1:39">
      <c r="A1281" s="2"/>
      <c r="AM1281" s="2"/>
    </row>
    <row r="1282" spans="1:39">
      <c r="A1282" s="2"/>
      <c r="AM1282" s="2"/>
    </row>
    <row r="1283" spans="1:39">
      <c r="A1283" s="2"/>
      <c r="AM1283" s="2"/>
    </row>
    <row r="1284" spans="1:39">
      <c r="A1284" s="2"/>
      <c r="AM1284" s="2"/>
    </row>
    <row r="1285" spans="1:39">
      <c r="A1285" s="2"/>
      <c r="AM1285" s="2"/>
    </row>
    <row r="1286" spans="1:39">
      <c r="A1286" s="2"/>
      <c r="AM1286" s="2"/>
    </row>
    <row r="1287" spans="1:39">
      <c r="A1287" s="2"/>
      <c r="AM1287" s="2"/>
    </row>
    <row r="1288" spans="1:39">
      <c r="A1288" s="2"/>
      <c r="AM1288" s="2"/>
    </row>
    <row r="1289" spans="1:39">
      <c r="A1289" s="2"/>
      <c r="AM1289" s="2"/>
    </row>
    <row r="1290" spans="1:39">
      <c r="A1290" s="2"/>
      <c r="AM1290" s="2"/>
    </row>
    <row r="1291" spans="1:39">
      <c r="A1291" s="2"/>
      <c r="AM1291" s="2"/>
    </row>
    <row r="1292" spans="1:39">
      <c r="A1292" s="2"/>
      <c r="AM1292" s="2"/>
    </row>
    <row r="1293" spans="1:39">
      <c r="A1293" s="2"/>
      <c r="AM1293" s="2"/>
    </row>
    <row r="1294" spans="1:39">
      <c r="A1294" s="2"/>
      <c r="AM1294" s="2"/>
    </row>
    <row r="1295" spans="1:39">
      <c r="A1295" s="2"/>
      <c r="AM1295" s="2"/>
    </row>
    <row r="1296" spans="1:39">
      <c r="A1296" s="2"/>
      <c r="AM1296" s="2"/>
    </row>
    <row r="1297" spans="1:39">
      <c r="A1297" s="2"/>
      <c r="AM1297" s="2"/>
    </row>
    <row r="1298" spans="1:39">
      <c r="A1298" s="2"/>
      <c r="AM1298" s="2"/>
    </row>
    <row r="1299" spans="1:39">
      <c r="A1299" s="2"/>
      <c r="AM1299" s="2"/>
    </row>
    <row r="1300" spans="1:39">
      <c r="A1300" s="2"/>
      <c r="AM1300" s="2"/>
    </row>
    <row r="1301" spans="1:39">
      <c r="A1301" s="2"/>
      <c r="AM1301" s="2"/>
    </row>
    <row r="1302" spans="1:39">
      <c r="A1302" s="2"/>
      <c r="AM1302" s="2"/>
    </row>
    <row r="1303" spans="1:39">
      <c r="A1303" s="2"/>
      <c r="AM1303" s="2"/>
    </row>
    <row r="1304" spans="1:39">
      <c r="A1304" s="2"/>
      <c r="AM1304" s="2"/>
    </row>
    <row r="1305" spans="1:39">
      <c r="A1305" s="2"/>
      <c r="AM1305" s="2"/>
    </row>
    <row r="1306" spans="1:39">
      <c r="A1306" s="2"/>
      <c r="AM1306" s="2"/>
    </row>
    <row r="1307" spans="1:39">
      <c r="A1307" s="2"/>
      <c r="AM1307" s="2"/>
    </row>
    <row r="1308" spans="1:39">
      <c r="A1308" s="2"/>
      <c r="AM1308" s="2"/>
    </row>
    <row r="1309" spans="1:39">
      <c r="A1309" s="2"/>
      <c r="AM1309" s="2"/>
    </row>
    <row r="1310" spans="1:39">
      <c r="A1310" s="2"/>
      <c r="AM1310" s="2"/>
    </row>
    <row r="1311" spans="1:39">
      <c r="A1311" s="2"/>
      <c r="AM1311" s="2"/>
    </row>
    <row r="1312" spans="1:39">
      <c r="A1312" s="2"/>
      <c r="AM1312" s="2"/>
    </row>
    <row r="1313" spans="1:39">
      <c r="A1313" s="2"/>
      <c r="AM1313" s="2"/>
    </row>
    <row r="1314" spans="1:39">
      <c r="A1314" s="2"/>
      <c r="AM1314" s="2"/>
    </row>
    <row r="1315" spans="1:39">
      <c r="A1315" s="2"/>
      <c r="AM1315" s="2"/>
    </row>
    <row r="1316" spans="1:39">
      <c r="A1316" s="2"/>
      <c r="AM1316" s="2"/>
    </row>
    <row r="1317" spans="1:39">
      <c r="A1317" s="2"/>
      <c r="AM1317" s="2"/>
    </row>
    <row r="1318" spans="1:39">
      <c r="A1318" s="2"/>
      <c r="AM1318" s="2"/>
    </row>
    <row r="1319" spans="1:39">
      <c r="A1319" s="2"/>
      <c r="AM1319" s="2"/>
    </row>
    <row r="1320" spans="1:39">
      <c r="A1320" s="2"/>
      <c r="AM1320" s="2"/>
    </row>
    <row r="1321" spans="1:39">
      <c r="A1321" s="2"/>
      <c r="AM1321" s="2"/>
    </row>
    <row r="1322" spans="1:39">
      <c r="A1322" s="2"/>
      <c r="AM1322" s="2"/>
    </row>
    <row r="1323" spans="1:39">
      <c r="A1323" s="2"/>
      <c r="AM1323" s="2"/>
    </row>
    <row r="1324" spans="1:39">
      <c r="A1324" s="2"/>
      <c r="AM1324" s="2"/>
    </row>
    <row r="1325" spans="1:39">
      <c r="A1325" s="2"/>
      <c r="AM1325" s="2"/>
    </row>
    <row r="1326" spans="1:39">
      <c r="A1326" s="2"/>
      <c r="AM1326" s="2"/>
    </row>
    <row r="1327" spans="1:39">
      <c r="A1327" s="2"/>
      <c r="AM1327" s="2"/>
    </row>
    <row r="1328" spans="1:39">
      <c r="A1328" s="2"/>
      <c r="AM1328" s="2"/>
    </row>
    <row r="1329" spans="1:39">
      <c r="A1329" s="2"/>
      <c r="AM1329" s="2"/>
    </row>
    <row r="1330" spans="1:39">
      <c r="A1330" s="2"/>
      <c r="AM1330" s="2"/>
    </row>
    <row r="1331" spans="1:39">
      <c r="A1331" s="2"/>
      <c r="AM1331" s="2"/>
    </row>
    <row r="1332" spans="1:39">
      <c r="A1332" s="2"/>
      <c r="AM1332" s="2"/>
    </row>
    <row r="1333" spans="1:39">
      <c r="A1333" s="2"/>
      <c r="AM1333" s="2"/>
    </row>
    <row r="1334" spans="1:39">
      <c r="A1334" s="2"/>
      <c r="AM1334" s="2"/>
    </row>
    <row r="1335" spans="1:39">
      <c r="A1335" s="2"/>
      <c r="AM1335" s="2"/>
    </row>
    <row r="1336" spans="1:39">
      <c r="A1336" s="2"/>
      <c r="AM1336" s="2"/>
    </row>
    <row r="1337" spans="1:39">
      <c r="A1337" s="2"/>
      <c r="AM1337" s="2"/>
    </row>
    <row r="1338" spans="1:39">
      <c r="A1338" s="2"/>
      <c r="AM1338" s="2"/>
    </row>
    <row r="1339" spans="1:39">
      <c r="A1339" s="2"/>
      <c r="AM1339" s="2"/>
    </row>
    <row r="1340" spans="1:39">
      <c r="A1340" s="2"/>
      <c r="AM1340" s="2"/>
    </row>
    <row r="1341" spans="1:39">
      <c r="A1341" s="2"/>
      <c r="AM1341" s="2"/>
    </row>
    <row r="1342" spans="1:39">
      <c r="A1342" s="2"/>
      <c r="AM1342" s="2"/>
    </row>
    <row r="1343" spans="1:39">
      <c r="A1343" s="2"/>
      <c r="AM1343" s="2"/>
    </row>
    <row r="1344" spans="1:39">
      <c r="A1344" s="2"/>
      <c r="AM1344" s="2"/>
    </row>
    <row r="1345" spans="1:39">
      <c r="A1345" s="2"/>
      <c r="AM1345" s="2"/>
    </row>
    <row r="1346" spans="1:39">
      <c r="A1346" s="2"/>
      <c r="AM1346" s="2"/>
    </row>
    <row r="1347" spans="1:39">
      <c r="A1347" s="2"/>
      <c r="AM1347" s="2"/>
    </row>
    <row r="1348" spans="1:39">
      <c r="A1348" s="2"/>
      <c r="AM1348" s="2"/>
    </row>
    <row r="1349" spans="1:39">
      <c r="A1349" s="2"/>
      <c r="AM1349" s="2"/>
    </row>
    <row r="1350" spans="1:39">
      <c r="A1350" s="2"/>
      <c r="AM1350" s="2"/>
    </row>
    <row r="1351" spans="1:39">
      <c r="A1351" s="2"/>
      <c r="AM1351" s="2"/>
    </row>
    <row r="1352" spans="1:39">
      <c r="A1352" s="2"/>
      <c r="AM1352" s="2"/>
    </row>
    <row r="1353" spans="1:39">
      <c r="A1353" s="2"/>
      <c r="AM1353" s="2"/>
    </row>
    <row r="1354" spans="1:39">
      <c r="A1354" s="2"/>
      <c r="AM1354" s="2"/>
    </row>
    <row r="1355" spans="1:39">
      <c r="A1355" s="2"/>
      <c r="AM1355" s="2"/>
    </row>
    <row r="1356" spans="1:39">
      <c r="A1356" s="2"/>
      <c r="AM1356" s="2"/>
    </row>
    <row r="1357" spans="1:39">
      <c r="A1357" s="2"/>
      <c r="AM1357" s="2"/>
    </row>
    <row r="1358" spans="1:39">
      <c r="A1358" s="2"/>
      <c r="AM1358" s="2"/>
    </row>
    <row r="1359" spans="1:39">
      <c r="A1359" s="2"/>
      <c r="AM1359" s="2"/>
    </row>
    <row r="1360" spans="1:39">
      <c r="A1360" s="2"/>
      <c r="AM1360" s="2"/>
    </row>
    <row r="1361" spans="1:39">
      <c r="A1361" s="2"/>
      <c r="AM1361" s="2"/>
    </row>
    <row r="1362" spans="1:39">
      <c r="A1362" s="2"/>
      <c r="AM1362" s="2"/>
    </row>
    <row r="1363" spans="1:39">
      <c r="A1363" s="2"/>
      <c r="AM1363" s="2"/>
    </row>
    <row r="1364" spans="1:39">
      <c r="A1364" s="2"/>
      <c r="AM1364" s="2"/>
    </row>
    <row r="1365" spans="1:39">
      <c r="A1365" s="2"/>
      <c r="AM1365" s="2"/>
    </row>
    <row r="1366" spans="1:39">
      <c r="A1366" s="2"/>
      <c r="AM1366" s="2"/>
    </row>
    <row r="1367" spans="1:39">
      <c r="A1367" s="2"/>
      <c r="AM1367" s="2"/>
    </row>
    <row r="1368" spans="1:39">
      <c r="A1368" s="2"/>
      <c r="AM1368" s="2"/>
    </row>
    <row r="1369" spans="1:39">
      <c r="A1369" s="2"/>
      <c r="AM1369" s="2"/>
    </row>
    <row r="1370" spans="1:39">
      <c r="A1370" s="2"/>
      <c r="AM1370" s="2"/>
    </row>
    <row r="1371" spans="1:39">
      <c r="A1371" s="2"/>
      <c r="AM1371" s="2"/>
    </row>
    <row r="1372" spans="1:39">
      <c r="A1372" s="2"/>
      <c r="AM1372" s="2"/>
    </row>
    <row r="1373" spans="1:39">
      <c r="A1373" s="2"/>
      <c r="AM1373" s="2"/>
    </row>
    <row r="1374" spans="1:39">
      <c r="A1374" s="2"/>
      <c r="AM1374" s="2"/>
    </row>
    <row r="1375" spans="1:39">
      <c r="A1375" s="2"/>
      <c r="AM1375" s="2"/>
    </row>
    <row r="1376" spans="1:39">
      <c r="A1376" s="2"/>
      <c r="AM1376" s="2"/>
    </row>
    <row r="1377" spans="1:39">
      <c r="A1377" s="2"/>
      <c r="AM1377" s="2"/>
    </row>
    <row r="1378" spans="1:39">
      <c r="A1378" s="2"/>
      <c r="AM1378" s="2"/>
    </row>
    <row r="1379" spans="1:39">
      <c r="A1379" s="2"/>
      <c r="AM1379" s="2"/>
    </row>
    <row r="1380" spans="1:39">
      <c r="A1380" s="2"/>
      <c r="AM1380" s="2"/>
    </row>
    <row r="1381" spans="1:39">
      <c r="A1381" s="2"/>
      <c r="AM1381" s="2"/>
    </row>
    <row r="1382" spans="1:39">
      <c r="A1382" s="2"/>
      <c r="AM1382" s="2"/>
    </row>
    <row r="1383" spans="1:39">
      <c r="A1383" s="2"/>
      <c r="AM1383" s="2"/>
    </row>
    <row r="1384" spans="1:39">
      <c r="A1384" s="2"/>
      <c r="AM1384" s="2"/>
    </row>
    <row r="1385" spans="1:39">
      <c r="A1385" s="2"/>
      <c r="AM1385" s="2"/>
    </row>
    <row r="1386" spans="1:39">
      <c r="A1386" s="2"/>
      <c r="AM1386" s="2"/>
    </row>
    <row r="1387" spans="1:39">
      <c r="A1387" s="2"/>
      <c r="AM1387" s="2"/>
    </row>
    <row r="1388" spans="1:39">
      <c r="A1388" s="2"/>
      <c r="AM1388" s="2"/>
    </row>
    <row r="1389" spans="1:39">
      <c r="A1389" s="2"/>
      <c r="AM1389" s="2"/>
    </row>
    <row r="1390" spans="1:39">
      <c r="A1390" s="2"/>
      <c r="AM1390" s="2"/>
    </row>
    <row r="1391" spans="1:39">
      <c r="A1391" s="2"/>
      <c r="AM1391" s="2"/>
    </row>
    <row r="1392" spans="1:39">
      <c r="A1392" s="2"/>
      <c r="AM1392" s="2"/>
    </row>
    <row r="1393" spans="1:39">
      <c r="A1393" s="2"/>
      <c r="AM1393" s="2"/>
    </row>
    <row r="1394" spans="1:39">
      <c r="A1394" s="2"/>
      <c r="AM1394" s="2"/>
    </row>
    <row r="1395" spans="1:39">
      <c r="A1395" s="2"/>
      <c r="AM1395" s="2"/>
    </row>
    <row r="1396" spans="1:39">
      <c r="A1396" s="2"/>
      <c r="AM1396" s="2"/>
    </row>
    <row r="1397" spans="1:39">
      <c r="A1397" s="2"/>
      <c r="AM1397" s="2"/>
    </row>
    <row r="1398" spans="1:39">
      <c r="A1398" s="2"/>
      <c r="AM1398" s="2"/>
    </row>
    <row r="1399" spans="1:39">
      <c r="A1399" s="2"/>
      <c r="AM1399" s="2"/>
    </row>
    <row r="1400" spans="1:39">
      <c r="A1400" s="2"/>
      <c r="AM1400" s="2"/>
    </row>
    <row r="1401" spans="1:39">
      <c r="A1401" s="2"/>
      <c r="AM1401" s="2"/>
    </row>
    <row r="1402" spans="1:39">
      <c r="A1402" s="2"/>
      <c r="AM1402" s="2"/>
    </row>
    <row r="1403" spans="1:39">
      <c r="A1403" s="2"/>
      <c r="AM1403" s="2"/>
    </row>
    <row r="1404" spans="1:39">
      <c r="A1404" s="2"/>
      <c r="AM1404" s="2"/>
    </row>
    <row r="1405" spans="1:39">
      <c r="A1405" s="2"/>
      <c r="AM1405" s="2"/>
    </row>
    <row r="1406" spans="1:39">
      <c r="A1406" s="2"/>
      <c r="AM1406" s="2"/>
    </row>
    <row r="1407" spans="1:39">
      <c r="A1407" s="2"/>
      <c r="AM1407" s="2"/>
    </row>
    <row r="1408" spans="1:39">
      <c r="A1408" s="2"/>
      <c r="AM1408" s="2"/>
    </row>
    <row r="1409" spans="1:39">
      <c r="A1409" s="2"/>
      <c r="AM1409" s="2"/>
    </row>
    <row r="1410" spans="1:39">
      <c r="A1410" s="2"/>
      <c r="AM1410" s="2"/>
    </row>
    <row r="1411" spans="1:39">
      <c r="A1411" s="2"/>
      <c r="AM1411" s="2"/>
    </row>
    <row r="1412" spans="1:39">
      <c r="A1412" s="2"/>
      <c r="AM1412" s="2"/>
    </row>
    <row r="1413" spans="1:39">
      <c r="A1413" s="2"/>
      <c r="AM1413" s="2"/>
    </row>
    <row r="1414" spans="1:39">
      <c r="A1414" s="2"/>
      <c r="AM1414" s="2"/>
    </row>
    <row r="1415" spans="1:39">
      <c r="A1415" s="2"/>
      <c r="AM1415" s="2"/>
    </row>
    <row r="1416" spans="1:39">
      <c r="A1416" s="2"/>
      <c r="AM1416" s="2"/>
    </row>
    <row r="1417" spans="1:39">
      <c r="A1417" s="2"/>
      <c r="AM1417" s="2"/>
    </row>
    <row r="1418" spans="1:39">
      <c r="A1418" s="2"/>
      <c r="AM1418" s="2"/>
    </row>
    <row r="1419" spans="1:39">
      <c r="A1419" s="2"/>
      <c r="AM1419" s="2"/>
    </row>
    <row r="1420" spans="1:39">
      <c r="A1420" s="2"/>
      <c r="AM1420" s="2"/>
    </row>
    <row r="1421" spans="1:39">
      <c r="A1421" s="2"/>
      <c r="AM1421" s="2"/>
    </row>
    <row r="1422" spans="1:39">
      <c r="A1422" s="2"/>
      <c r="AM1422" s="2"/>
    </row>
    <row r="1423" spans="1:39">
      <c r="A1423" s="2"/>
      <c r="AM1423" s="2"/>
    </row>
    <row r="1424" spans="1:39">
      <c r="A1424" s="2"/>
      <c r="AM1424" s="2"/>
    </row>
    <row r="1425" spans="1:39">
      <c r="A1425" s="2"/>
      <c r="AM1425" s="2"/>
    </row>
    <row r="1426" spans="1:39">
      <c r="A1426" s="2"/>
      <c r="AM1426" s="2"/>
    </row>
    <row r="1427" spans="1:39">
      <c r="A1427" s="2"/>
      <c r="AM1427" s="2"/>
    </row>
    <row r="1428" spans="1:39">
      <c r="A1428" s="2"/>
      <c r="AM1428" s="2"/>
    </row>
    <row r="1429" spans="1:39">
      <c r="A1429" s="2"/>
      <c r="AM1429" s="2"/>
    </row>
    <row r="1430" spans="1:39">
      <c r="A1430" s="2"/>
      <c r="AM1430" s="2"/>
    </row>
    <row r="1431" spans="1:39">
      <c r="A1431" s="2"/>
      <c r="AM1431" s="2"/>
    </row>
    <row r="1432" spans="1:39">
      <c r="A1432" s="2"/>
      <c r="AM1432" s="2"/>
    </row>
    <row r="1433" spans="1:39">
      <c r="A1433" s="2"/>
      <c r="AM1433" s="2"/>
    </row>
    <row r="1434" spans="1:39">
      <c r="A1434" s="2"/>
      <c r="AM1434" s="2"/>
    </row>
    <row r="1435" spans="1:39">
      <c r="A1435" s="2"/>
      <c r="AM1435" s="2"/>
    </row>
    <row r="1436" spans="1:39">
      <c r="A1436" s="2"/>
      <c r="AM1436" s="2"/>
    </row>
    <row r="1437" spans="1:39">
      <c r="A1437" s="2"/>
      <c r="AM1437" s="2"/>
    </row>
    <row r="1438" spans="1:39">
      <c r="A1438" s="2"/>
      <c r="AM1438" s="2"/>
    </row>
    <row r="1439" spans="1:39">
      <c r="A1439" s="2"/>
      <c r="AM1439" s="2"/>
    </row>
    <row r="1440" spans="1:39">
      <c r="A1440" s="2"/>
      <c r="AM1440" s="2"/>
    </row>
    <row r="1441" spans="1:39">
      <c r="A1441" s="2"/>
      <c r="AM1441" s="2"/>
    </row>
    <row r="1442" spans="1:39">
      <c r="A1442" s="2"/>
      <c r="AM1442" s="2"/>
    </row>
    <row r="1443" spans="1:39">
      <c r="A1443" s="2"/>
      <c r="AM1443" s="2"/>
    </row>
    <row r="1444" spans="1:39">
      <c r="A1444" s="2"/>
      <c r="AM1444" s="2"/>
    </row>
    <row r="1445" spans="1:39">
      <c r="A1445" s="2"/>
      <c r="AM1445" s="2"/>
    </row>
    <row r="1446" spans="1:39">
      <c r="A1446" s="2"/>
      <c r="AM1446" s="2"/>
    </row>
    <row r="1447" spans="1:39">
      <c r="A1447" s="2"/>
      <c r="AM1447" s="2"/>
    </row>
    <row r="1448" spans="1:39">
      <c r="A1448" s="2"/>
      <c r="AM1448" s="2"/>
    </row>
    <row r="1449" spans="1:39">
      <c r="A1449" s="2"/>
      <c r="AM1449" s="2"/>
    </row>
    <row r="1450" spans="1:39">
      <c r="A1450" s="2"/>
      <c r="AM1450" s="2"/>
    </row>
    <row r="1451" spans="1:39">
      <c r="A1451" s="2"/>
      <c r="AM1451" s="2"/>
    </row>
    <row r="1452" spans="1:39">
      <c r="A1452" s="2"/>
      <c r="AM1452" s="2"/>
    </row>
    <row r="1453" spans="1:39">
      <c r="A1453" s="2"/>
      <c r="AM1453" s="2"/>
    </row>
    <row r="1454" spans="1:39">
      <c r="A1454" s="2"/>
      <c r="AM1454" s="2"/>
    </row>
    <row r="1455" spans="1:39">
      <c r="A1455" s="2"/>
      <c r="AM1455" s="2"/>
    </row>
    <row r="1456" spans="1:39">
      <c r="A1456" s="2"/>
      <c r="AM1456" s="2"/>
    </row>
    <row r="1457" spans="1:39">
      <c r="A1457" s="2"/>
      <c r="AM1457" s="2"/>
    </row>
    <row r="1458" spans="1:39">
      <c r="A1458" s="2"/>
      <c r="AM1458" s="2"/>
    </row>
    <row r="1459" spans="1:39">
      <c r="A1459" s="2"/>
      <c r="AM1459" s="2"/>
    </row>
    <row r="1460" spans="1:39">
      <c r="A1460" s="2"/>
      <c r="AM1460" s="2"/>
    </row>
    <row r="1461" spans="1:39">
      <c r="A1461" s="2"/>
      <c r="AM1461" s="2"/>
    </row>
    <row r="1462" spans="1:39">
      <c r="A1462" s="2"/>
      <c r="AM1462" s="2"/>
    </row>
    <row r="1463" spans="1:39">
      <c r="A1463" s="2"/>
      <c r="AM1463" s="2"/>
    </row>
    <row r="1464" spans="1:39">
      <c r="A1464" s="2"/>
      <c r="AM1464" s="2"/>
    </row>
    <row r="1465" spans="1:39">
      <c r="A1465" s="2"/>
      <c r="AM1465" s="2"/>
    </row>
    <row r="1466" spans="1:39">
      <c r="A1466" s="2"/>
      <c r="AM1466" s="2"/>
    </row>
    <row r="1467" spans="1:39">
      <c r="A1467" s="2"/>
      <c r="AM1467" s="2"/>
    </row>
    <row r="1468" spans="1:39">
      <c r="A1468" s="2"/>
      <c r="AM1468" s="2"/>
    </row>
    <row r="1469" spans="1:39">
      <c r="A1469" s="2"/>
      <c r="AM1469" s="2"/>
    </row>
    <row r="1470" spans="1:39">
      <c r="A1470" s="2"/>
      <c r="AM1470" s="2"/>
    </row>
    <row r="1471" spans="1:39">
      <c r="A1471" s="2"/>
      <c r="AM1471" s="2"/>
    </row>
    <row r="1472" spans="1:39">
      <c r="A1472" s="2"/>
      <c r="AM1472" s="2"/>
    </row>
    <row r="1473" spans="1:39">
      <c r="A1473" s="2"/>
      <c r="AM1473" s="2"/>
    </row>
    <row r="1474" spans="1:39">
      <c r="A1474" s="2"/>
      <c r="AM1474" s="2"/>
    </row>
    <row r="1475" spans="1:39">
      <c r="A1475" s="2"/>
      <c r="AM1475" s="2"/>
    </row>
    <row r="1476" spans="1:39">
      <c r="A1476" s="2"/>
      <c r="AM1476" s="2"/>
    </row>
    <row r="1477" spans="1:39">
      <c r="A1477" s="2"/>
      <c r="AM1477" s="2"/>
    </row>
    <row r="1478" spans="1:39">
      <c r="A1478" s="2"/>
      <c r="AM1478" s="2"/>
    </row>
    <row r="1479" spans="1:39">
      <c r="A1479" s="2"/>
      <c r="AM1479" s="2"/>
    </row>
    <row r="1480" spans="1:39">
      <c r="A1480" s="2"/>
      <c r="AM1480" s="2"/>
    </row>
    <row r="1481" spans="1:39">
      <c r="A1481" s="2"/>
      <c r="AM1481" s="2"/>
    </row>
    <row r="1482" spans="1:39">
      <c r="A1482" s="2"/>
      <c r="AM1482" s="2"/>
    </row>
    <row r="1483" spans="1:39">
      <c r="A1483" s="2"/>
      <c r="AM1483" s="2"/>
    </row>
    <row r="1484" spans="1:39">
      <c r="A1484" s="2"/>
      <c r="AM1484" s="2"/>
    </row>
    <row r="1485" spans="1:39">
      <c r="A1485" s="2"/>
      <c r="AM1485" s="2"/>
    </row>
    <row r="1486" spans="1:39">
      <c r="A1486" s="2"/>
      <c r="AM1486" s="2"/>
    </row>
    <row r="1487" spans="1:39">
      <c r="A1487" s="2"/>
      <c r="AM1487" s="2"/>
    </row>
    <row r="1488" spans="1:39">
      <c r="A1488" s="2"/>
      <c r="AM1488" s="2"/>
    </row>
    <row r="1489" spans="1:39">
      <c r="A1489" s="2"/>
      <c r="AM1489" s="2"/>
    </row>
    <row r="1490" spans="1:39">
      <c r="A1490" s="2"/>
      <c r="AM1490" s="2"/>
    </row>
    <row r="1491" spans="1:39">
      <c r="A1491" s="2"/>
      <c r="AM1491" s="2"/>
    </row>
    <row r="1492" spans="1:39">
      <c r="A1492" s="2"/>
      <c r="AM1492" s="2"/>
    </row>
    <row r="1493" spans="1:39">
      <c r="A1493" s="2"/>
      <c r="AM1493" s="2"/>
    </row>
    <row r="1494" spans="1:39">
      <c r="A1494" s="2"/>
      <c r="AM1494" s="2"/>
    </row>
    <row r="1495" spans="1:39">
      <c r="A1495" s="2"/>
      <c r="AM1495" s="2"/>
    </row>
    <row r="1496" spans="1:39">
      <c r="A1496" s="2"/>
      <c r="AM1496" s="2"/>
    </row>
    <row r="1497" spans="1:39">
      <c r="A1497" s="2"/>
      <c r="AM1497" s="2"/>
    </row>
    <row r="1498" spans="1:39">
      <c r="A1498" s="2"/>
      <c r="AM1498" s="2"/>
    </row>
    <row r="1499" spans="1:39">
      <c r="A1499" s="2"/>
      <c r="AM1499" s="2"/>
    </row>
    <row r="1500" spans="1:39">
      <c r="A1500" s="2"/>
      <c r="AM1500" s="2"/>
    </row>
    <row r="1501" spans="1:39">
      <c r="A1501" s="2"/>
      <c r="AM1501" s="2"/>
    </row>
    <row r="1502" spans="1:39">
      <c r="A1502" s="2"/>
      <c r="AM1502" s="2"/>
    </row>
    <row r="1503" spans="1:39">
      <c r="A1503" s="2"/>
      <c r="AM1503" s="2"/>
    </row>
    <row r="1504" spans="1:39">
      <c r="A1504" s="2"/>
      <c r="AM1504" s="2"/>
    </row>
    <row r="1505" spans="1:39">
      <c r="A1505" s="2"/>
      <c r="AM1505" s="2"/>
    </row>
    <row r="1506" spans="1:39">
      <c r="A1506" s="2"/>
      <c r="AM1506" s="2"/>
    </row>
    <row r="1507" spans="1:39">
      <c r="A1507" s="2"/>
      <c r="AM1507" s="2"/>
    </row>
    <row r="1508" spans="1:39">
      <c r="A1508" s="2"/>
      <c r="AM1508" s="2"/>
    </row>
    <row r="1509" spans="1:39">
      <c r="A1509" s="2"/>
      <c r="AM1509" s="2"/>
    </row>
    <row r="1510" spans="1:39">
      <c r="A1510" s="2"/>
      <c r="AM1510" s="2"/>
    </row>
    <row r="1511" spans="1:39">
      <c r="A1511" s="2"/>
      <c r="AM1511" s="2"/>
    </row>
    <row r="1512" spans="1:39">
      <c r="A1512" s="2"/>
      <c r="AM1512" s="2"/>
    </row>
    <row r="1513" spans="1:39">
      <c r="A1513" s="2"/>
      <c r="AM1513" s="2"/>
    </row>
    <row r="1514" spans="1:39">
      <c r="A1514" s="2"/>
      <c r="AM1514" s="2"/>
    </row>
    <row r="1515" spans="1:39">
      <c r="A1515" s="2"/>
      <c r="AM1515" s="2"/>
    </row>
    <row r="1516" spans="1:39">
      <c r="A1516" s="2"/>
      <c r="AM1516" s="2"/>
    </row>
    <row r="1517" spans="1:39">
      <c r="A1517" s="2"/>
      <c r="AM1517" s="2"/>
    </row>
    <row r="1518" spans="1:39">
      <c r="A1518" s="2"/>
      <c r="AM1518" s="2"/>
    </row>
    <row r="1519" spans="1:39">
      <c r="A1519" s="2"/>
      <c r="AM1519" s="2"/>
    </row>
    <row r="1520" spans="1:39">
      <c r="A1520" s="2"/>
      <c r="AM1520" s="2"/>
    </row>
    <row r="1521" spans="1:39">
      <c r="A1521" s="2"/>
      <c r="AM1521" s="2"/>
    </row>
    <row r="1522" spans="1:39">
      <c r="A1522" s="2"/>
      <c r="AM1522" s="2"/>
    </row>
    <row r="1523" spans="1:39">
      <c r="A1523" s="2"/>
      <c r="AM1523" s="2"/>
    </row>
    <row r="1524" spans="1:39">
      <c r="A1524" s="2"/>
      <c r="AM1524" s="2"/>
    </row>
    <row r="1525" spans="1:39">
      <c r="A1525" s="2"/>
      <c r="AM1525" s="2"/>
    </row>
    <row r="1526" spans="1:39">
      <c r="A1526" s="2"/>
      <c r="AM1526" s="2"/>
    </row>
    <row r="1527" spans="1:39">
      <c r="A1527" s="2"/>
      <c r="AM1527" s="2"/>
    </row>
    <row r="1528" spans="1:39">
      <c r="A1528" s="2"/>
      <c r="AM1528" s="2"/>
    </row>
    <row r="1529" spans="1:39">
      <c r="A1529" s="2"/>
      <c r="AM1529" s="2"/>
    </row>
    <row r="1530" spans="1:39">
      <c r="A1530" s="2"/>
      <c r="AM1530" s="2"/>
    </row>
    <row r="1531" spans="1:39">
      <c r="A1531" s="2"/>
      <c r="AM1531" s="2"/>
    </row>
    <row r="1532" spans="1:39">
      <c r="A1532" s="2"/>
      <c r="AM1532" s="2"/>
    </row>
    <row r="1533" spans="1:39">
      <c r="A1533" s="2"/>
      <c r="AM1533" s="2"/>
    </row>
    <row r="1534" spans="1:39">
      <c r="A1534" s="2"/>
      <c r="AM1534" s="2"/>
    </row>
    <row r="1535" spans="1:39">
      <c r="A1535" s="2"/>
      <c r="AM1535" s="2"/>
    </row>
    <row r="1536" spans="1:39">
      <c r="A1536" s="2"/>
      <c r="AM1536" s="2"/>
    </row>
    <row r="1537" spans="1:39">
      <c r="A1537" s="2"/>
      <c r="AM1537" s="2"/>
    </row>
    <row r="1538" spans="1:39">
      <c r="A1538" s="2"/>
      <c r="AM1538" s="2"/>
    </row>
    <row r="1539" spans="1:39">
      <c r="A1539" s="2"/>
      <c r="AM1539" s="2"/>
    </row>
    <row r="1540" spans="1:39">
      <c r="A1540" s="2"/>
      <c r="AM1540" s="2"/>
    </row>
    <row r="1541" spans="1:39">
      <c r="A1541" s="2"/>
      <c r="AM1541" s="2"/>
    </row>
    <row r="1542" spans="1:39">
      <c r="A1542" s="2"/>
      <c r="AM1542" s="2"/>
    </row>
    <row r="1543" spans="1:39">
      <c r="A1543" s="2"/>
      <c r="AM1543" s="2"/>
    </row>
    <row r="1544" spans="1:39">
      <c r="A1544" s="2"/>
      <c r="AM1544" s="2"/>
    </row>
    <row r="1545" spans="1:39">
      <c r="A1545" s="2"/>
      <c r="AM1545" s="2"/>
    </row>
    <row r="1546" spans="1:39">
      <c r="A1546" s="2"/>
      <c r="AM1546" s="2"/>
    </row>
    <row r="1547" spans="1:39">
      <c r="A1547" s="2"/>
      <c r="AM1547" s="2"/>
    </row>
    <row r="1548" spans="1:39">
      <c r="A1548" s="2"/>
      <c r="AM1548" s="2"/>
    </row>
    <row r="1549" spans="1:39">
      <c r="A1549" s="2"/>
      <c r="AM1549" s="2"/>
    </row>
    <row r="1550" spans="1:39">
      <c r="A1550" s="2"/>
      <c r="AM1550" s="2"/>
    </row>
    <row r="1551" spans="1:39">
      <c r="A1551" s="2"/>
      <c r="AM1551" s="2"/>
    </row>
    <row r="1552" spans="1:39">
      <c r="A1552" s="2"/>
      <c r="AM1552" s="2"/>
    </row>
    <row r="1553" spans="1:39">
      <c r="A1553" s="2"/>
      <c r="AM1553" s="2"/>
    </row>
    <row r="1554" spans="1:39">
      <c r="A1554" s="2"/>
      <c r="AM1554" s="2"/>
    </row>
    <row r="1555" spans="1:39">
      <c r="A1555" s="2"/>
      <c r="AM1555" s="2"/>
    </row>
    <row r="1556" spans="1:39">
      <c r="A1556" s="2"/>
      <c r="AM1556" s="2"/>
    </row>
    <row r="1557" spans="1:39">
      <c r="A1557" s="2"/>
      <c r="AM1557" s="2"/>
    </row>
    <row r="1558" spans="1:39">
      <c r="A1558" s="2"/>
      <c r="AM1558" s="2"/>
    </row>
    <row r="1559" spans="1:39">
      <c r="A1559" s="2"/>
      <c r="AM1559" s="2"/>
    </row>
    <row r="1560" spans="1:39">
      <c r="A1560" s="2"/>
      <c r="AM1560" s="2"/>
    </row>
    <row r="1561" spans="1:39">
      <c r="A1561" s="2"/>
      <c r="AM1561" s="2"/>
    </row>
    <row r="1562" spans="1:39">
      <c r="A1562" s="2"/>
      <c r="AM1562" s="2"/>
    </row>
    <row r="1563" spans="1:39">
      <c r="A1563" s="2"/>
      <c r="AM1563" s="2"/>
    </row>
    <row r="1564" spans="1:39">
      <c r="A1564" s="2"/>
      <c r="AM1564" s="2"/>
    </row>
    <row r="1565" spans="1:39">
      <c r="A1565" s="2"/>
      <c r="AM1565" s="2"/>
    </row>
    <row r="1566" spans="1:39">
      <c r="A1566" s="2"/>
      <c r="AM1566" s="2"/>
    </row>
    <row r="1567" spans="1:39">
      <c r="A1567" s="2"/>
      <c r="AM1567" s="2"/>
    </row>
    <row r="1568" spans="1:39">
      <c r="A1568" s="2"/>
      <c r="AM1568" s="2"/>
    </row>
    <row r="1569" spans="1:39">
      <c r="A1569" s="2"/>
      <c r="AM1569" s="2"/>
    </row>
    <row r="1570" spans="1:39">
      <c r="A1570" s="2"/>
      <c r="AM1570" s="2"/>
    </row>
    <row r="1571" spans="1:39">
      <c r="A1571" s="2"/>
      <c r="AM1571" s="2"/>
    </row>
    <row r="1572" spans="1:39">
      <c r="A1572" s="2"/>
      <c r="AM1572" s="2"/>
    </row>
    <row r="1573" spans="1:39">
      <c r="A1573" s="2"/>
      <c r="AM1573" s="2"/>
    </row>
    <row r="1574" spans="1:39">
      <c r="A1574" s="2"/>
      <c r="AM1574" s="2"/>
    </row>
    <row r="1575" spans="1:39">
      <c r="A1575" s="2"/>
      <c r="AM1575" s="2"/>
    </row>
    <row r="1576" spans="1:39">
      <c r="A1576" s="2"/>
      <c r="AM1576" s="2"/>
    </row>
    <row r="1577" spans="1:39">
      <c r="A1577" s="2"/>
      <c r="AM1577" s="2"/>
    </row>
    <row r="1578" spans="1:39">
      <c r="A1578" s="2"/>
      <c r="AM1578" s="2"/>
    </row>
    <row r="1579" spans="1:39">
      <c r="A1579" s="2"/>
      <c r="AM1579" s="2"/>
    </row>
    <row r="1580" spans="1:39">
      <c r="A1580" s="2"/>
      <c r="AM1580" s="2"/>
    </row>
    <row r="1581" spans="1:39">
      <c r="A1581" s="2"/>
      <c r="AM1581" s="2"/>
    </row>
    <row r="1582" spans="1:39">
      <c r="A1582" s="2"/>
      <c r="AM1582" s="2"/>
    </row>
    <row r="1583" spans="1:39">
      <c r="A1583" s="2"/>
      <c r="AM1583" s="2"/>
    </row>
    <row r="1584" spans="1:39">
      <c r="A1584" s="2"/>
      <c r="AM1584" s="2"/>
    </row>
    <row r="1585" spans="1:39">
      <c r="A1585" s="2"/>
      <c r="AM1585" s="2"/>
    </row>
    <row r="1586" spans="1:39">
      <c r="A1586" s="2"/>
      <c r="AM1586" s="2"/>
    </row>
    <row r="1587" spans="1:39">
      <c r="A1587" s="2"/>
      <c r="AM1587" s="2"/>
    </row>
    <row r="1588" spans="1:39">
      <c r="A1588" s="2"/>
      <c r="AM1588" s="2"/>
    </row>
    <row r="1589" spans="1:39">
      <c r="A1589" s="2"/>
      <c r="AM1589" s="2"/>
    </row>
    <row r="1590" spans="1:39">
      <c r="A1590" s="2"/>
      <c r="AM1590" s="2"/>
    </row>
    <row r="1591" spans="1:39">
      <c r="A1591" s="2"/>
      <c r="AM1591" s="2"/>
    </row>
    <row r="1592" spans="1:39">
      <c r="A1592" s="2"/>
      <c r="AM1592" s="2"/>
    </row>
    <row r="1593" spans="1:39">
      <c r="A1593" s="2"/>
      <c r="AM1593" s="2"/>
    </row>
    <row r="1594" spans="1:39">
      <c r="A1594" s="2"/>
      <c r="AM1594" s="2"/>
    </row>
    <row r="1595" spans="1:39">
      <c r="A1595" s="2"/>
      <c r="AM1595" s="2"/>
    </row>
    <row r="1596" spans="1:39">
      <c r="A1596" s="2"/>
      <c r="AM1596" s="2"/>
    </row>
    <row r="1597" spans="1:39">
      <c r="A1597" s="2"/>
      <c r="AM1597" s="2"/>
    </row>
    <row r="1598" spans="1:39">
      <c r="A1598" s="2"/>
      <c r="AM1598" s="2"/>
    </row>
    <row r="1599" spans="1:39">
      <c r="A1599" s="2"/>
      <c r="AM1599" s="2"/>
    </row>
    <row r="1600" spans="1:39">
      <c r="A1600" s="2"/>
      <c r="AM1600" s="2"/>
    </row>
    <row r="1601" spans="1:39">
      <c r="A1601" s="2"/>
      <c r="AM1601" s="2"/>
    </row>
    <row r="1602" spans="1:39">
      <c r="A1602" s="2"/>
      <c r="AM1602" s="2"/>
    </row>
    <row r="1603" spans="1:39">
      <c r="A1603" s="2"/>
      <c r="AM1603" s="2"/>
    </row>
    <row r="1604" spans="1:39">
      <c r="A1604" s="2"/>
      <c r="AM1604" s="2"/>
    </row>
    <row r="1605" spans="1:39">
      <c r="A1605" s="2"/>
      <c r="AM1605" s="2"/>
    </row>
    <row r="1606" spans="1:39">
      <c r="A1606" s="2"/>
      <c r="AM1606" s="2"/>
    </row>
    <row r="1607" spans="1:39">
      <c r="A1607" s="2"/>
      <c r="AM1607" s="2"/>
    </row>
    <row r="1608" spans="1:39">
      <c r="A1608" s="2"/>
      <c r="AM1608" s="2"/>
    </row>
    <row r="1609" spans="1:39">
      <c r="A1609" s="2"/>
      <c r="AM1609" s="2"/>
    </row>
    <row r="1610" spans="1:39">
      <c r="A1610" s="2"/>
      <c r="AM1610" s="2"/>
    </row>
    <row r="1611" spans="1:39">
      <c r="A1611" s="2"/>
      <c r="AM1611" s="2"/>
    </row>
    <row r="1612" spans="1:39">
      <c r="A1612" s="2"/>
      <c r="AM1612" s="2"/>
    </row>
    <row r="1613" spans="1:39">
      <c r="A1613" s="2"/>
      <c r="AM1613" s="2"/>
    </row>
    <row r="1614" spans="1:39">
      <c r="A1614" s="2"/>
      <c r="AM1614" s="2"/>
    </row>
    <row r="1615" spans="1:39">
      <c r="A1615" s="2"/>
      <c r="AM1615" s="2"/>
    </row>
    <row r="1616" spans="1:39">
      <c r="A1616" s="2"/>
      <c r="AM1616" s="2"/>
    </row>
    <row r="1617" spans="1:39">
      <c r="A1617" s="2"/>
      <c r="AM1617" s="2"/>
    </row>
    <row r="1618" spans="1:39">
      <c r="A1618" s="2"/>
      <c r="AM1618" s="2"/>
    </row>
    <row r="1619" spans="1:39">
      <c r="A1619" s="2"/>
      <c r="AM1619" s="2"/>
    </row>
    <row r="1620" spans="1:39">
      <c r="A1620" s="2"/>
      <c r="AM1620" s="2"/>
    </row>
    <row r="1621" spans="1:39">
      <c r="A1621" s="2"/>
      <c r="AM1621" s="2"/>
    </row>
    <row r="1622" spans="1:39">
      <c r="A1622" s="2"/>
      <c r="AM1622" s="2"/>
    </row>
    <row r="1623" spans="1:39">
      <c r="A1623" s="2"/>
      <c r="AM1623" s="2"/>
    </row>
    <row r="1624" spans="1:39">
      <c r="A1624" s="2"/>
      <c r="AM1624" s="2"/>
    </row>
    <row r="1625" spans="1:39">
      <c r="A1625" s="2"/>
      <c r="AM1625" s="2"/>
    </row>
    <row r="1626" spans="1:39">
      <c r="A1626" s="2"/>
      <c r="AM1626" s="2"/>
    </row>
    <row r="1627" spans="1:39">
      <c r="A1627" s="2"/>
      <c r="AM1627" s="2"/>
    </row>
    <row r="1628" spans="1:39">
      <c r="A1628" s="2"/>
      <c r="AM1628" s="2"/>
    </row>
    <row r="1629" spans="1:39">
      <c r="A1629" s="2"/>
      <c r="AM1629" s="2"/>
    </row>
    <row r="1630" spans="1:39">
      <c r="A1630" s="2"/>
      <c r="AM1630" s="2"/>
    </row>
    <row r="1631" spans="1:39">
      <c r="A1631" s="2"/>
      <c r="AM1631" s="2"/>
    </row>
    <row r="1632" spans="1:39">
      <c r="A1632" s="2"/>
      <c r="AM1632" s="2"/>
    </row>
    <row r="1633" spans="1:39">
      <c r="A1633" s="2"/>
      <c r="AM1633" s="2"/>
    </row>
    <row r="1634" spans="1:39">
      <c r="A1634" s="2"/>
      <c r="AM1634" s="2"/>
    </row>
    <row r="1635" spans="1:39">
      <c r="A1635" s="2"/>
      <c r="AM1635" s="2"/>
    </row>
    <row r="1636" spans="1:39">
      <c r="A1636" s="2"/>
      <c r="AM1636" s="2"/>
    </row>
    <row r="1637" spans="1:39">
      <c r="A1637" s="2"/>
      <c r="AM1637" s="2"/>
    </row>
    <row r="1638" spans="1:39">
      <c r="A1638" s="2"/>
      <c r="AM1638" s="2"/>
    </row>
    <row r="1639" spans="1:39">
      <c r="A1639" s="2"/>
      <c r="AM1639" s="2"/>
    </row>
    <row r="1640" spans="1:39">
      <c r="A1640" s="2"/>
      <c r="AM1640" s="2"/>
    </row>
    <row r="1641" spans="1:39">
      <c r="A1641" s="2"/>
      <c r="AM1641" s="2"/>
    </row>
    <row r="1642" spans="1:39">
      <c r="A1642" s="2"/>
      <c r="AM1642" s="2"/>
    </row>
    <row r="1643" spans="1:39">
      <c r="A1643" s="2"/>
      <c r="AM1643" s="2"/>
    </row>
    <row r="1644" spans="1:39">
      <c r="A1644" s="2"/>
      <c r="AM1644" s="2"/>
    </row>
    <row r="1645" spans="1:39">
      <c r="A1645" s="2"/>
      <c r="AM1645" s="2"/>
    </row>
    <row r="1646" spans="1:39">
      <c r="A1646" s="2"/>
      <c r="AM1646" s="2"/>
    </row>
    <row r="1647" spans="1:39">
      <c r="A1647" s="2"/>
      <c r="AM1647" s="2"/>
    </row>
    <row r="1648" spans="1:39">
      <c r="A1648" s="2"/>
      <c r="AM1648" s="2"/>
    </row>
    <row r="1649" spans="1:39">
      <c r="A1649" s="2"/>
      <c r="AM1649" s="2"/>
    </row>
    <row r="1650" spans="1:39">
      <c r="A1650" s="2"/>
      <c r="AM1650" s="2"/>
    </row>
    <row r="1651" spans="1:39">
      <c r="A1651" s="2"/>
      <c r="AM1651" s="2"/>
    </row>
    <row r="1652" spans="1:39">
      <c r="A1652" s="2"/>
      <c r="AM1652" s="2"/>
    </row>
    <row r="1653" spans="1:39">
      <c r="A1653" s="2"/>
      <c r="AM1653" s="2"/>
    </row>
    <row r="1654" spans="1:39">
      <c r="A1654" s="2"/>
      <c r="AM1654" s="2"/>
    </row>
    <row r="1655" spans="1:39">
      <c r="A1655" s="2"/>
      <c r="AM1655" s="2"/>
    </row>
    <row r="1656" spans="1:39">
      <c r="A1656" s="2"/>
      <c r="AM1656" s="2"/>
    </row>
    <row r="1657" spans="1:39">
      <c r="A1657" s="2"/>
      <c r="AM1657" s="2"/>
    </row>
    <row r="1658" spans="1:39">
      <c r="A1658" s="2"/>
      <c r="AM1658" s="2"/>
    </row>
    <row r="1659" spans="1:39">
      <c r="A1659" s="2"/>
      <c r="AM1659" s="2"/>
    </row>
    <row r="1660" spans="1:39">
      <c r="A1660" s="2"/>
      <c r="AM1660" s="2"/>
    </row>
    <row r="1661" spans="1:39">
      <c r="A1661" s="2"/>
      <c r="AM1661" s="2"/>
    </row>
    <row r="1662" spans="1:39">
      <c r="A1662" s="2"/>
      <c r="AM1662" s="2"/>
    </row>
    <row r="1663" spans="1:39">
      <c r="A1663" s="2"/>
      <c r="AM1663" s="2"/>
    </row>
    <row r="1664" spans="1:39">
      <c r="A1664" s="2"/>
      <c r="AM1664" s="2"/>
    </row>
    <row r="1665" spans="1:39">
      <c r="A1665" s="2"/>
      <c r="AM1665" s="2"/>
    </row>
    <row r="1666" spans="1:39">
      <c r="A1666" s="2"/>
      <c r="AM1666" s="2"/>
    </row>
    <row r="1667" spans="1:39">
      <c r="A1667" s="2"/>
      <c r="AM1667" s="2"/>
    </row>
    <row r="1668" spans="1:39">
      <c r="A1668" s="2"/>
      <c r="AM1668" s="2"/>
    </row>
    <row r="1669" spans="1:39">
      <c r="A1669" s="2"/>
      <c r="AM1669" s="2"/>
    </row>
    <row r="1670" spans="1:39">
      <c r="A1670" s="2"/>
      <c r="AM1670" s="2"/>
    </row>
    <row r="1671" spans="1:39">
      <c r="A1671" s="2"/>
      <c r="AM1671" s="2"/>
    </row>
    <row r="1672" spans="1:39">
      <c r="A1672" s="2"/>
      <c r="AM1672" s="2"/>
    </row>
    <row r="1673" spans="1:39">
      <c r="A1673" s="2"/>
      <c r="AM1673" s="2"/>
    </row>
    <row r="1674" spans="1:39">
      <c r="A1674" s="2"/>
      <c r="AM1674" s="2"/>
    </row>
    <row r="1675" spans="1:39">
      <c r="A1675" s="2"/>
      <c r="AM1675" s="2"/>
    </row>
    <row r="1676" spans="1:39">
      <c r="A1676" s="2"/>
      <c r="AM1676" s="2"/>
    </row>
    <row r="1677" spans="1:39">
      <c r="A1677" s="2"/>
      <c r="AM1677" s="2"/>
    </row>
    <row r="1678" spans="1:39">
      <c r="A1678" s="2"/>
      <c r="AM1678" s="2"/>
    </row>
    <row r="1679" spans="1:39">
      <c r="A1679" s="2"/>
      <c r="AM1679" s="2"/>
    </row>
    <row r="1680" spans="1:39">
      <c r="A1680" s="2"/>
      <c r="AM1680" s="2"/>
    </row>
    <row r="1681" spans="1:39">
      <c r="A1681" s="2"/>
      <c r="AM1681" s="2"/>
    </row>
    <row r="1682" spans="1:39">
      <c r="A1682" s="2"/>
      <c r="AM1682" s="2"/>
    </row>
    <row r="1683" spans="1:39">
      <c r="A1683" s="2"/>
      <c r="AM1683" s="2"/>
    </row>
    <row r="1684" spans="1:39">
      <c r="A1684" s="2"/>
      <c r="AM1684" s="2"/>
    </row>
    <row r="1685" spans="1:39">
      <c r="A1685" s="2"/>
      <c r="AM1685" s="2"/>
    </row>
    <row r="1686" spans="1:39">
      <c r="A1686" s="2"/>
      <c r="AM1686" s="2"/>
    </row>
    <row r="1687" spans="1:39">
      <c r="A1687" s="2"/>
      <c r="AM1687" s="2"/>
    </row>
    <row r="1688" spans="1:39">
      <c r="A1688" s="2"/>
      <c r="AM1688" s="2"/>
    </row>
    <row r="1689" spans="1:39">
      <c r="A1689" s="2"/>
      <c r="AM1689" s="2"/>
    </row>
    <row r="1690" spans="1:39">
      <c r="A1690" s="2"/>
      <c r="AM1690" s="2"/>
    </row>
    <row r="1691" spans="1:39">
      <c r="A1691" s="2"/>
      <c r="AM1691" s="2"/>
    </row>
    <row r="1692" spans="1:39">
      <c r="A1692" s="2"/>
      <c r="AM1692" s="2"/>
    </row>
    <row r="1693" spans="1:39">
      <c r="A1693" s="2"/>
      <c r="AM1693" s="2"/>
    </row>
    <row r="1694" spans="1:39">
      <c r="A1694" s="2"/>
      <c r="AM1694" s="2"/>
    </row>
    <row r="1695" spans="1:39">
      <c r="A1695" s="2"/>
      <c r="AM1695" s="2"/>
    </row>
    <row r="1696" spans="1:39">
      <c r="A1696" s="2"/>
      <c r="AM1696" s="2"/>
    </row>
    <row r="1697" spans="1:39">
      <c r="A1697" s="2"/>
      <c r="AM1697" s="2"/>
    </row>
    <row r="1698" spans="1:39">
      <c r="A1698" s="2"/>
      <c r="AM1698" s="2"/>
    </row>
    <row r="1699" spans="1:39">
      <c r="A1699" s="2"/>
      <c r="AM1699" s="2"/>
    </row>
    <row r="1700" spans="1:39">
      <c r="A1700" s="2"/>
      <c r="AM1700" s="2"/>
    </row>
    <row r="1701" spans="1:39">
      <c r="A1701" s="2"/>
      <c r="AM1701" s="2"/>
    </row>
    <row r="1702" spans="1:39">
      <c r="A1702" s="2"/>
      <c r="AM1702" s="2"/>
    </row>
    <row r="1703" spans="1:39">
      <c r="A1703" s="2"/>
      <c r="AM1703" s="2"/>
    </row>
    <row r="1704" spans="1:39">
      <c r="A1704" s="2"/>
      <c r="AM1704" s="2"/>
    </row>
    <row r="1705" spans="1:39">
      <c r="A1705" s="2"/>
      <c r="AM1705" s="2"/>
    </row>
    <row r="1706" spans="1:39">
      <c r="A1706" s="2"/>
      <c r="AM1706" s="2"/>
    </row>
    <row r="1707" spans="1:39">
      <c r="A1707" s="2"/>
      <c r="AM1707" s="2"/>
    </row>
    <row r="1708" spans="1:39">
      <c r="A1708" s="2"/>
      <c r="AM1708" s="2"/>
    </row>
    <row r="1709" spans="1:39">
      <c r="A1709" s="2"/>
      <c r="AM1709" s="2"/>
    </row>
    <row r="1710" spans="1:39">
      <c r="A1710" s="2"/>
      <c r="AM1710" s="2"/>
    </row>
    <row r="1711" spans="1:39">
      <c r="A1711" s="2"/>
      <c r="AM1711" s="2"/>
    </row>
    <row r="1712" spans="1:39">
      <c r="A1712" s="2"/>
      <c r="AM1712" s="2"/>
    </row>
    <row r="1713" spans="1:39">
      <c r="A1713" s="2"/>
      <c r="AM1713" s="2"/>
    </row>
    <row r="1714" spans="1:39">
      <c r="A1714" s="2"/>
      <c r="AM1714" s="2"/>
    </row>
    <row r="1715" spans="1:39">
      <c r="A1715" s="2"/>
      <c r="AM1715" s="2"/>
    </row>
    <row r="1716" spans="1:39">
      <c r="A1716" s="2"/>
      <c r="AM1716" s="2"/>
    </row>
    <row r="1717" spans="1:39">
      <c r="A1717" s="2"/>
      <c r="AM1717" s="2"/>
    </row>
    <row r="1718" spans="1:39">
      <c r="A1718" s="2"/>
      <c r="AM1718" s="2"/>
    </row>
    <row r="1719" spans="1:39">
      <c r="A1719" s="2"/>
      <c r="AM1719" s="2"/>
    </row>
    <row r="1720" spans="1:39">
      <c r="A1720" s="2"/>
      <c r="AM1720" s="2"/>
    </row>
    <row r="1721" spans="1:39">
      <c r="A1721" s="2"/>
      <c r="AM1721" s="2"/>
    </row>
    <row r="1722" spans="1:39">
      <c r="A1722" s="2"/>
      <c r="AM1722" s="2"/>
    </row>
    <row r="1723" spans="1:39">
      <c r="A1723" s="2"/>
      <c r="AM1723" s="2"/>
    </row>
    <row r="1724" spans="1:39">
      <c r="A1724" s="2"/>
      <c r="AM1724" s="2"/>
    </row>
    <row r="1725" spans="1:39">
      <c r="A1725" s="2"/>
      <c r="AM1725" s="2"/>
    </row>
    <row r="1726" spans="1:39">
      <c r="A1726" s="2"/>
      <c r="AM1726" s="2"/>
    </row>
    <row r="1727" spans="1:39">
      <c r="A1727" s="2"/>
      <c r="AM1727" s="2"/>
    </row>
    <row r="1728" spans="1:39">
      <c r="A1728" s="2"/>
      <c r="AM1728" s="2"/>
    </row>
    <row r="1729" spans="1:39">
      <c r="A1729" s="2"/>
      <c r="AM1729" s="2"/>
    </row>
    <row r="1730" spans="1:39">
      <c r="A1730" s="2"/>
      <c r="AM1730" s="2"/>
    </row>
    <row r="1731" spans="1:39">
      <c r="A1731" s="2"/>
      <c r="AM1731" s="2"/>
    </row>
    <row r="1732" spans="1:39">
      <c r="A1732" s="2"/>
      <c r="AM1732" s="2"/>
    </row>
    <row r="1733" spans="1:39">
      <c r="A1733" s="2"/>
      <c r="AM1733" s="2"/>
    </row>
    <row r="1734" spans="1:39">
      <c r="A1734" s="2"/>
      <c r="AM1734" s="2"/>
    </row>
    <row r="1735" spans="1:39">
      <c r="A1735" s="2"/>
      <c r="AM1735" s="2"/>
    </row>
    <row r="1736" spans="1:39">
      <c r="A1736" s="2"/>
      <c r="AM1736" s="2"/>
    </row>
    <row r="1737" spans="1:39">
      <c r="A1737" s="2"/>
      <c r="AM1737" s="2"/>
    </row>
    <row r="1738" spans="1:39">
      <c r="A1738" s="2"/>
      <c r="AM1738" s="2"/>
    </row>
    <row r="1739" spans="1:39">
      <c r="A1739" s="2"/>
      <c r="AM1739" s="2"/>
    </row>
    <row r="1740" spans="1:39">
      <c r="A1740" s="2"/>
      <c r="AM1740" s="2"/>
    </row>
    <row r="1741" spans="1:39">
      <c r="A1741" s="2"/>
      <c r="AM1741" s="2"/>
    </row>
    <row r="1742" spans="1:39">
      <c r="A1742" s="2"/>
      <c r="AM1742" s="2"/>
    </row>
    <row r="1743" spans="1:39">
      <c r="A1743" s="2"/>
      <c r="AM1743" s="2"/>
    </row>
    <row r="1744" spans="1:39">
      <c r="A1744" s="2"/>
      <c r="AM1744" s="2"/>
    </row>
    <row r="1745" spans="1:39">
      <c r="A1745" s="2"/>
      <c r="AM1745" s="2"/>
    </row>
    <row r="1746" spans="1:39">
      <c r="A1746" s="2"/>
      <c r="AM1746" s="2"/>
    </row>
    <row r="1747" spans="1:39">
      <c r="A1747" s="2"/>
      <c r="AM1747" s="2"/>
    </row>
    <row r="1748" spans="1:39">
      <c r="A1748" s="2"/>
      <c r="AM1748" s="2"/>
    </row>
    <row r="1749" spans="1:39">
      <c r="A1749" s="2"/>
      <c r="AM1749" s="2"/>
    </row>
    <row r="1750" spans="1:39">
      <c r="A1750" s="2"/>
      <c r="AM1750" s="2"/>
    </row>
    <row r="1751" spans="1:39">
      <c r="A1751" s="2"/>
      <c r="AM1751" s="2"/>
    </row>
    <row r="1752" spans="1:39">
      <c r="A1752" s="2"/>
      <c r="AM1752" s="2"/>
    </row>
    <row r="1753" spans="1:39">
      <c r="A1753" s="2"/>
      <c r="AM1753" s="2"/>
    </row>
    <row r="1754" spans="1:39">
      <c r="A1754" s="2"/>
      <c r="AM1754" s="2"/>
    </row>
    <row r="1755" spans="1:39">
      <c r="A1755" s="2"/>
      <c r="AM1755" s="2"/>
    </row>
    <row r="1756" spans="1:39">
      <c r="A1756" s="2"/>
      <c r="AM1756" s="2"/>
    </row>
    <row r="1757" spans="1:39">
      <c r="A1757" s="2"/>
      <c r="AM1757" s="2"/>
    </row>
    <row r="1758" spans="1:39">
      <c r="A1758" s="2"/>
      <c r="AM1758" s="2"/>
    </row>
    <row r="1759" spans="1:39">
      <c r="A1759" s="2"/>
      <c r="AM1759" s="2"/>
    </row>
    <row r="1760" spans="1:39">
      <c r="A1760" s="2"/>
      <c r="AM1760" s="2"/>
    </row>
    <row r="1761" spans="1:39">
      <c r="A1761" s="2"/>
      <c r="AM1761" s="2"/>
    </row>
    <row r="1762" spans="1:39">
      <c r="A1762" s="2"/>
      <c r="AM1762" s="2"/>
    </row>
    <row r="1763" spans="1:39">
      <c r="A1763" s="2"/>
      <c r="AM1763" s="2"/>
    </row>
    <row r="1764" spans="1:39">
      <c r="A1764" s="2"/>
      <c r="AM1764" s="2"/>
    </row>
    <row r="1765" spans="1:39">
      <c r="A1765" s="2"/>
      <c r="AM1765" s="2"/>
    </row>
    <row r="1766" spans="1:39">
      <c r="A1766" s="2"/>
      <c r="AM1766" s="2"/>
    </row>
    <row r="1767" spans="1:39">
      <c r="A1767" s="2"/>
      <c r="AM1767" s="2"/>
    </row>
    <row r="1768" spans="1:39">
      <c r="A1768" s="2"/>
      <c r="AM1768" s="2"/>
    </row>
    <row r="1769" spans="1:39">
      <c r="A1769" s="2"/>
      <c r="AM1769" s="2"/>
    </row>
    <row r="1770" spans="1:39">
      <c r="A1770" s="2"/>
      <c r="AM1770" s="2"/>
    </row>
    <row r="1771" spans="1:39">
      <c r="A1771" s="2"/>
      <c r="AM1771" s="2"/>
    </row>
    <row r="1772" spans="1:39">
      <c r="A1772" s="2"/>
      <c r="AM1772" s="2"/>
    </row>
    <row r="1773" spans="1:39">
      <c r="A1773" s="2"/>
      <c r="AM1773" s="2"/>
    </row>
    <row r="1774" spans="1:39">
      <c r="A1774" s="2"/>
      <c r="AM1774" s="2"/>
    </row>
    <row r="1775" spans="1:39">
      <c r="A1775" s="2"/>
      <c r="AM1775" s="2"/>
    </row>
    <row r="1776" spans="1:39">
      <c r="A1776" s="2"/>
      <c r="AM1776" s="2"/>
    </row>
    <row r="1777" spans="1:39">
      <c r="A1777" s="2"/>
      <c r="AM1777" s="2"/>
    </row>
    <row r="1778" spans="1:39">
      <c r="A1778" s="2"/>
      <c r="AM1778" s="2"/>
    </row>
    <row r="1779" spans="1:39">
      <c r="A1779" s="2"/>
      <c r="AM1779" s="2"/>
    </row>
    <row r="1780" spans="1:39">
      <c r="A1780" s="2"/>
      <c r="AM1780" s="2"/>
    </row>
    <row r="1781" spans="1:39">
      <c r="A1781" s="2"/>
      <c r="AM1781" s="2"/>
    </row>
    <row r="1782" spans="1:39">
      <c r="A1782" s="2"/>
      <c r="AM1782" s="2"/>
    </row>
    <row r="1783" spans="1:39">
      <c r="A1783" s="2"/>
      <c r="AM1783" s="2"/>
    </row>
    <row r="1784" spans="1:39">
      <c r="A1784" s="2"/>
      <c r="AM1784" s="2"/>
    </row>
    <row r="1785" spans="1:39">
      <c r="A1785" s="2"/>
      <c r="AM1785" s="2"/>
    </row>
    <row r="1786" spans="1:39">
      <c r="A1786" s="2"/>
      <c r="AM1786" s="2"/>
    </row>
    <row r="1787" spans="1:39">
      <c r="A1787" s="2"/>
      <c r="AM1787" s="2"/>
    </row>
    <row r="1788" spans="1:39">
      <c r="A1788" s="2"/>
      <c r="AM1788" s="2"/>
    </row>
    <row r="1789" spans="1:39">
      <c r="A1789" s="2"/>
      <c r="AM1789" s="2"/>
    </row>
    <row r="1790" spans="1:39">
      <c r="A1790" s="2"/>
      <c r="AM1790" s="2"/>
    </row>
    <row r="1791" spans="1:39">
      <c r="A1791" s="2"/>
      <c r="AM1791" s="2"/>
    </row>
    <row r="1792" spans="1:39">
      <c r="A1792" s="2"/>
      <c r="AM1792" s="2"/>
    </row>
    <row r="1793" spans="1:39">
      <c r="A1793" s="2"/>
      <c r="AM1793" s="2"/>
    </row>
    <row r="1794" spans="1:39">
      <c r="A1794" s="2"/>
      <c r="AM1794" s="2"/>
    </row>
    <row r="1795" spans="1:39">
      <c r="A1795" s="2"/>
      <c r="AM1795" s="2"/>
    </row>
    <row r="1796" spans="1:39">
      <c r="A1796" s="2"/>
      <c r="AM1796" s="2"/>
    </row>
    <row r="1797" spans="1:39">
      <c r="A1797" s="2"/>
      <c r="AM1797" s="2"/>
    </row>
    <row r="1798" spans="1:39">
      <c r="A1798" s="2"/>
      <c r="AM1798" s="2"/>
    </row>
    <row r="1799" spans="1:39">
      <c r="A1799" s="2"/>
      <c r="AM1799" s="2"/>
    </row>
    <row r="1800" spans="1:39">
      <c r="A1800" s="2"/>
      <c r="AM1800" s="2"/>
    </row>
    <row r="1801" spans="1:39">
      <c r="A1801" s="2"/>
      <c r="AM1801" s="2"/>
    </row>
    <row r="1802" spans="1:39">
      <c r="A1802" s="2"/>
      <c r="AM1802" s="2"/>
    </row>
    <row r="1803" spans="1:39">
      <c r="A1803" s="2"/>
      <c r="AM1803" s="2"/>
    </row>
    <row r="1804" spans="1:39">
      <c r="A1804" s="2"/>
      <c r="AM1804" s="2"/>
    </row>
    <row r="1805" spans="1:39">
      <c r="A1805" s="2"/>
      <c r="AM1805" s="2"/>
    </row>
    <row r="1806" spans="1:39">
      <c r="A1806" s="2"/>
      <c r="AM1806" s="2"/>
    </row>
    <row r="1807" spans="1:39">
      <c r="A1807" s="2"/>
      <c r="AM1807" s="2"/>
    </row>
    <row r="1808" spans="1:39">
      <c r="A1808" s="2"/>
      <c r="AM1808" s="2"/>
    </row>
    <row r="1809" spans="1:39">
      <c r="A1809" s="2"/>
      <c r="AM1809" s="2"/>
    </row>
    <row r="1810" spans="1:39">
      <c r="A1810" s="2"/>
      <c r="AM1810" s="2"/>
    </row>
    <row r="1811" spans="1:39">
      <c r="A1811" s="2"/>
      <c r="AM1811" s="2"/>
    </row>
    <row r="1812" spans="1:39">
      <c r="A1812" s="2"/>
      <c r="AM1812" s="2"/>
    </row>
    <row r="1813" spans="1:39">
      <c r="A1813" s="2"/>
      <c r="AM1813" s="2"/>
    </row>
    <row r="1814" spans="1:39">
      <c r="A1814" s="2"/>
      <c r="AM1814" s="2"/>
    </row>
    <row r="1815" spans="1:39">
      <c r="A1815" s="2"/>
      <c r="AM1815" s="2"/>
    </row>
    <row r="1816" spans="1:39">
      <c r="A1816" s="2"/>
      <c r="AM1816" s="2"/>
    </row>
    <row r="1817" spans="1:39">
      <c r="A1817" s="2"/>
      <c r="AM1817" s="2"/>
    </row>
    <row r="1818" spans="1:39">
      <c r="A1818" s="2"/>
      <c r="AM1818" s="2"/>
    </row>
    <row r="1819" spans="1:39">
      <c r="A1819" s="2"/>
      <c r="AM1819" s="2"/>
    </row>
    <row r="1820" spans="1:39">
      <c r="A1820" s="2"/>
      <c r="AM1820" s="2"/>
    </row>
    <row r="1821" spans="1:39">
      <c r="A1821" s="2"/>
      <c r="AM1821" s="2"/>
    </row>
    <row r="1822" spans="1:39">
      <c r="A1822" s="2"/>
      <c r="AM1822" s="2"/>
    </row>
    <row r="1823" spans="1:39">
      <c r="A1823" s="2"/>
      <c r="AM1823" s="2"/>
    </row>
    <row r="1824" spans="1:39">
      <c r="A1824" s="2"/>
      <c r="AM1824" s="2"/>
    </row>
    <row r="1825" spans="1:39">
      <c r="A1825" s="2"/>
      <c r="AM1825" s="2"/>
    </row>
    <row r="1826" spans="1:39">
      <c r="A1826" s="2"/>
      <c r="AM1826" s="2"/>
    </row>
    <row r="1827" spans="1:39">
      <c r="A1827" s="2"/>
      <c r="AM1827" s="2"/>
    </row>
    <row r="1828" spans="1:39">
      <c r="A1828" s="2"/>
      <c r="AM1828" s="2"/>
    </row>
    <row r="1829" spans="1:39">
      <c r="A1829" s="2"/>
      <c r="AM1829" s="2"/>
    </row>
    <row r="1830" spans="1:39">
      <c r="A1830" s="2"/>
      <c r="AM1830" s="2"/>
    </row>
    <row r="1831" spans="1:39">
      <c r="A1831" s="2"/>
      <c r="AM1831" s="2"/>
    </row>
    <row r="1832" spans="1:39">
      <c r="A1832" s="2"/>
      <c r="AM1832" s="2"/>
    </row>
    <row r="1833" spans="1:39">
      <c r="A1833" s="2"/>
      <c r="AM1833" s="2"/>
    </row>
    <row r="1834" spans="1:39">
      <c r="A1834" s="2"/>
      <c r="AM1834" s="2"/>
    </row>
    <row r="1835" spans="1:39">
      <c r="A1835" s="2"/>
      <c r="AM1835" s="2"/>
    </row>
    <row r="1836" spans="1:39">
      <c r="A1836" s="2"/>
      <c r="AM1836" s="2"/>
    </row>
    <row r="1837" spans="1:39">
      <c r="A1837" s="2"/>
      <c r="AM1837" s="2"/>
    </row>
    <row r="1838" spans="1:39">
      <c r="A1838" s="2"/>
      <c r="AM1838" s="2"/>
    </row>
    <row r="1839" spans="1:39">
      <c r="A1839" s="2"/>
      <c r="AM1839" s="2"/>
    </row>
    <row r="1840" spans="1:39">
      <c r="A1840" s="2"/>
      <c r="AM1840" s="2"/>
    </row>
    <row r="1841" spans="1:39">
      <c r="A1841" s="2"/>
      <c r="AM1841" s="2"/>
    </row>
    <row r="1842" spans="1:39">
      <c r="A1842" s="2"/>
      <c r="AM1842" s="2"/>
    </row>
    <row r="1843" spans="1:39">
      <c r="A1843" s="2"/>
      <c r="AM1843" s="2"/>
    </row>
    <row r="1844" spans="1:39">
      <c r="A1844" s="2"/>
      <c r="AM1844" s="2"/>
    </row>
    <row r="1845" spans="1:39">
      <c r="A1845" s="2"/>
      <c r="AM1845" s="2"/>
    </row>
    <row r="1846" spans="1:39">
      <c r="A1846" s="2"/>
      <c r="AM1846" s="2"/>
    </row>
    <row r="1847" spans="1:39">
      <c r="A1847" s="2"/>
      <c r="AM1847" s="2"/>
    </row>
    <row r="1848" spans="1:39">
      <c r="A1848" s="2"/>
      <c r="AM1848" s="2"/>
    </row>
    <row r="1849" spans="1:39">
      <c r="A1849" s="2"/>
      <c r="AM1849" s="2"/>
    </row>
    <row r="1850" spans="1:39">
      <c r="A1850" s="2"/>
      <c r="AM1850" s="2"/>
    </row>
    <row r="1851" spans="1:39">
      <c r="A1851" s="2"/>
      <c r="AM1851" s="2"/>
    </row>
    <row r="1852" spans="1:39">
      <c r="A1852" s="2"/>
      <c r="AM1852" s="2"/>
    </row>
    <row r="1853" spans="1:39">
      <c r="A1853" s="2"/>
      <c r="AM1853" s="2"/>
    </row>
    <row r="1854" spans="1:39">
      <c r="A1854" s="2"/>
      <c r="AM1854" s="2"/>
    </row>
    <row r="1855" spans="1:39">
      <c r="A1855" s="2"/>
      <c r="AM1855" s="2"/>
    </row>
    <row r="1856" spans="1:39">
      <c r="A1856" s="2"/>
      <c r="AM1856" s="2"/>
    </row>
    <row r="1857" spans="1:39">
      <c r="A1857" s="2"/>
      <c r="AM1857" s="2"/>
    </row>
    <row r="1858" spans="1:39">
      <c r="A1858" s="2"/>
      <c r="AM1858" s="2"/>
    </row>
    <row r="1859" spans="1:39">
      <c r="A1859" s="2"/>
      <c r="AM1859" s="2"/>
    </row>
    <row r="1860" spans="1:39">
      <c r="A1860" s="2"/>
      <c r="AM1860" s="2"/>
    </row>
    <row r="1861" spans="1:39">
      <c r="A1861" s="2"/>
      <c r="AM1861" s="2"/>
    </row>
    <row r="1862" spans="1:39">
      <c r="A1862" s="2"/>
      <c r="AM1862" s="2"/>
    </row>
    <row r="1863" spans="1:39">
      <c r="A1863" s="2"/>
      <c r="AM1863" s="2"/>
    </row>
    <row r="1864" spans="1:39">
      <c r="A1864" s="2"/>
      <c r="AM1864" s="2"/>
    </row>
    <row r="1865" spans="1:39">
      <c r="A1865" s="2"/>
      <c r="AM1865" s="2"/>
    </row>
    <row r="1866" spans="1:39">
      <c r="A1866" s="2"/>
      <c r="AM1866" s="2"/>
    </row>
    <row r="1867" spans="1:39">
      <c r="A1867" s="2"/>
      <c r="AM1867" s="2"/>
    </row>
    <row r="1868" spans="1:39">
      <c r="A1868" s="2"/>
      <c r="AM1868" s="2"/>
    </row>
    <row r="1869" spans="1:39">
      <c r="A1869" s="2"/>
      <c r="AM1869" s="2"/>
    </row>
    <row r="1870" spans="1:39">
      <c r="A1870" s="2"/>
      <c r="AM1870" s="2"/>
    </row>
    <row r="1871" spans="1:39">
      <c r="A1871" s="2"/>
      <c r="AM1871" s="2"/>
    </row>
    <row r="1872" spans="1:39">
      <c r="A1872" s="2"/>
      <c r="AM1872" s="2"/>
    </row>
    <row r="1873" spans="1:39">
      <c r="A1873" s="2"/>
      <c r="AM1873" s="2"/>
    </row>
    <row r="1874" spans="1:39">
      <c r="A1874" s="2"/>
      <c r="AM1874" s="2"/>
    </row>
    <row r="1875" spans="1:39">
      <c r="A1875" s="2"/>
      <c r="AM1875" s="2"/>
    </row>
    <row r="1876" spans="1:39">
      <c r="A1876" s="2"/>
      <c r="AM1876" s="2"/>
    </row>
    <row r="1877" spans="1:39">
      <c r="A1877" s="2"/>
      <c r="AM1877" s="2"/>
    </row>
    <row r="1878" spans="1:39">
      <c r="A1878" s="2"/>
      <c r="AM1878" s="2"/>
    </row>
    <row r="1879" spans="1:39">
      <c r="A1879" s="2"/>
      <c r="AM1879" s="2"/>
    </row>
    <row r="1880" spans="1:39">
      <c r="A1880" s="2"/>
      <c r="AM1880" s="2"/>
    </row>
    <row r="1881" spans="1:39">
      <c r="A1881" s="2"/>
      <c r="AM1881" s="2"/>
    </row>
    <row r="1882" spans="1:39">
      <c r="A1882" s="2"/>
      <c r="AM1882" s="2"/>
    </row>
    <row r="1883" spans="1:39">
      <c r="A1883" s="2"/>
      <c r="AM1883" s="2"/>
    </row>
    <row r="1884" spans="1:39">
      <c r="A1884" s="2"/>
      <c r="AM1884" s="2"/>
    </row>
    <row r="1885" spans="1:39">
      <c r="A1885" s="2"/>
      <c r="AM1885" s="2"/>
    </row>
    <row r="1886" spans="1:39">
      <c r="A1886" s="2"/>
      <c r="AM1886" s="2"/>
    </row>
    <row r="1887" spans="1:39">
      <c r="A1887" s="2"/>
      <c r="AM1887" s="2"/>
    </row>
    <row r="1888" spans="1:39">
      <c r="A1888" s="2"/>
      <c r="AM1888" s="2"/>
    </row>
    <row r="1889" spans="1:39">
      <c r="A1889" s="2"/>
      <c r="AM1889" s="2"/>
    </row>
    <row r="1890" spans="1:39">
      <c r="A1890" s="2"/>
      <c r="AM1890" s="2"/>
    </row>
    <row r="1891" spans="1:39">
      <c r="A1891" s="2"/>
      <c r="AM1891" s="2"/>
    </row>
    <row r="1892" spans="1:39">
      <c r="A1892" s="2"/>
      <c r="AM1892" s="2"/>
    </row>
    <row r="1893" spans="1:39">
      <c r="A1893" s="2"/>
      <c r="AM1893" s="2"/>
    </row>
    <row r="1894" spans="1:39">
      <c r="A1894" s="2"/>
      <c r="AM1894" s="2"/>
    </row>
    <row r="1895" spans="1:39">
      <c r="A1895" s="2"/>
      <c r="AM1895" s="2"/>
    </row>
    <row r="1896" spans="1:39">
      <c r="A1896" s="2"/>
      <c r="AM1896" s="2"/>
    </row>
    <row r="1897" spans="1:39">
      <c r="A1897" s="2"/>
      <c r="AM1897" s="2"/>
    </row>
    <row r="1898" spans="1:39">
      <c r="A1898" s="2"/>
      <c r="AM1898" s="2"/>
    </row>
    <row r="1899" spans="1:39">
      <c r="A1899" s="2"/>
      <c r="AM1899" s="2"/>
    </row>
    <row r="1900" spans="1:39">
      <c r="A1900" s="2"/>
      <c r="AM1900" s="2"/>
    </row>
    <row r="1901" spans="1:39">
      <c r="A1901" s="2"/>
      <c r="AM1901" s="2"/>
    </row>
    <row r="1902" spans="1:39">
      <c r="A1902" s="2"/>
      <c r="AM1902" s="2"/>
    </row>
    <row r="1903" spans="1:39">
      <c r="A1903" s="2"/>
      <c r="AM1903" s="2"/>
    </row>
    <row r="1904" spans="1:39">
      <c r="A1904" s="2"/>
      <c r="AM1904" s="2"/>
    </row>
    <row r="1905" spans="1:39">
      <c r="A1905" s="2"/>
      <c r="AM1905" s="2"/>
    </row>
    <row r="1906" spans="1:39">
      <c r="A1906" s="2"/>
      <c r="AM1906" s="2"/>
    </row>
    <row r="1907" spans="1:39">
      <c r="A1907" s="2"/>
      <c r="AM1907" s="2"/>
    </row>
    <row r="1908" spans="1:39">
      <c r="A1908" s="2"/>
      <c r="AM1908" s="2"/>
    </row>
    <row r="1909" spans="1:39">
      <c r="A1909" s="2"/>
      <c r="AM1909" s="2"/>
    </row>
    <row r="1910" spans="1:39">
      <c r="A1910" s="2"/>
      <c r="AM1910" s="2"/>
    </row>
    <row r="1911" spans="1:39">
      <c r="A1911" s="2"/>
      <c r="AM1911" s="2"/>
    </row>
    <row r="1912" spans="1:39">
      <c r="A1912" s="2"/>
      <c r="AM1912" s="2"/>
    </row>
    <row r="1913" spans="1:39">
      <c r="A1913" s="2"/>
      <c r="AM1913" s="2"/>
    </row>
    <row r="1914" spans="1:39">
      <c r="A1914" s="2"/>
      <c r="AM1914" s="2"/>
    </row>
    <row r="1915" spans="1:39">
      <c r="A1915" s="2"/>
      <c r="AM1915" s="2"/>
    </row>
    <row r="1916" spans="1:39">
      <c r="A1916" s="2"/>
      <c r="AM1916" s="2"/>
    </row>
    <row r="1917" spans="1:39">
      <c r="A1917" s="2"/>
      <c r="AM1917" s="2"/>
    </row>
    <row r="1918" spans="1:39">
      <c r="A1918" s="2"/>
      <c r="AM1918" s="2"/>
    </row>
    <row r="1919" spans="1:39">
      <c r="A1919" s="2"/>
      <c r="AM1919" s="2"/>
    </row>
    <row r="1920" spans="1:39">
      <c r="A1920" s="2"/>
      <c r="AM1920" s="2"/>
    </row>
    <row r="1921" spans="1:39">
      <c r="A1921" s="2"/>
      <c r="AM1921" s="2"/>
    </row>
    <row r="1922" spans="1:39">
      <c r="A1922" s="2"/>
      <c r="AM1922" s="2"/>
    </row>
    <row r="1923" spans="1:39">
      <c r="A1923" s="2"/>
      <c r="AM1923" s="2"/>
    </row>
    <row r="1924" spans="1:39">
      <c r="A1924" s="2"/>
      <c r="AM1924" s="2"/>
    </row>
    <row r="1925" spans="1:39">
      <c r="A1925" s="2"/>
      <c r="AM1925" s="2"/>
    </row>
    <row r="1926" spans="1:39">
      <c r="A1926" s="2"/>
      <c r="AM1926" s="2"/>
    </row>
    <row r="1927" spans="1:39">
      <c r="A1927" s="2"/>
      <c r="AM1927" s="2"/>
    </row>
    <row r="1928" spans="1:39">
      <c r="A1928" s="2"/>
      <c r="AM1928" s="2"/>
    </row>
    <row r="1929" spans="1:39">
      <c r="A1929" s="2"/>
      <c r="AM1929" s="2"/>
    </row>
    <row r="1930" spans="1:39">
      <c r="A1930" s="2"/>
      <c r="AM1930" s="2"/>
    </row>
    <row r="1931" spans="1:39">
      <c r="A1931" s="2"/>
      <c r="AM1931" s="2"/>
    </row>
    <row r="1932" spans="1:39">
      <c r="A1932" s="2"/>
      <c r="AM1932" s="2"/>
    </row>
    <row r="1933" spans="1:39">
      <c r="A1933" s="2"/>
      <c r="AM1933" s="2"/>
    </row>
    <row r="1934" spans="1:39">
      <c r="A1934" s="2"/>
      <c r="AM1934" s="2"/>
    </row>
    <row r="1935" spans="1:39">
      <c r="A1935" s="2"/>
      <c r="AM1935" s="2"/>
    </row>
    <row r="1936" spans="1:39">
      <c r="A1936" s="2"/>
      <c r="AM1936" s="2"/>
    </row>
    <row r="1937" spans="1:39">
      <c r="A1937" s="2"/>
      <c r="AM1937" s="2"/>
    </row>
    <row r="1938" spans="1:39">
      <c r="A1938" s="2"/>
      <c r="AM1938" s="2"/>
    </row>
    <row r="1939" spans="1:39">
      <c r="A1939" s="2"/>
      <c r="AM1939" s="2"/>
    </row>
    <row r="1940" spans="1:39">
      <c r="A1940" s="2"/>
      <c r="AM1940" s="2"/>
    </row>
    <row r="1941" spans="1:39">
      <c r="A1941" s="2"/>
      <c r="AM1941" s="2"/>
    </row>
    <row r="1942" spans="1:39">
      <c r="A1942" s="2"/>
      <c r="AM1942" s="2"/>
    </row>
    <row r="1943" spans="1:39">
      <c r="A1943" s="2"/>
      <c r="AM1943" s="2"/>
    </row>
    <row r="1944" spans="1:39">
      <c r="A1944" s="2"/>
      <c r="AM1944" s="2"/>
    </row>
    <row r="1945" spans="1:39">
      <c r="A1945" s="2"/>
      <c r="AM1945" s="2"/>
    </row>
    <row r="1946" spans="1:39">
      <c r="A1946" s="2"/>
      <c r="AM1946" s="2"/>
    </row>
    <row r="1947" spans="1:39">
      <c r="A1947" s="2"/>
      <c r="AM1947" s="2"/>
    </row>
    <row r="1948" spans="1:39">
      <c r="A1948" s="2"/>
      <c r="AM1948" s="2"/>
    </row>
    <row r="1949" spans="1:39">
      <c r="A1949" s="2"/>
      <c r="AM1949" s="2"/>
    </row>
    <row r="1950" spans="1:39">
      <c r="A1950" s="2"/>
      <c r="AM1950" s="2"/>
    </row>
    <row r="1951" spans="1:39">
      <c r="A1951" s="2"/>
      <c r="AM1951" s="2"/>
    </row>
    <row r="1952" spans="1:39">
      <c r="A1952" s="2"/>
      <c r="AM1952" s="2"/>
    </row>
    <row r="1953" spans="1:39">
      <c r="A1953" s="2"/>
      <c r="AM1953" s="2"/>
    </row>
    <row r="1954" spans="1:39">
      <c r="A1954" s="2"/>
      <c r="AM1954" s="2"/>
    </row>
    <row r="1955" spans="1:39">
      <c r="A1955" s="2"/>
      <c r="AM1955" s="2"/>
    </row>
    <row r="1956" spans="1:39">
      <c r="A1956" s="2"/>
      <c r="AM1956" s="2"/>
    </row>
    <row r="1957" spans="1:39">
      <c r="A1957" s="2"/>
      <c r="AM1957" s="2"/>
    </row>
    <row r="1958" spans="1:39">
      <c r="A1958" s="2"/>
      <c r="AM1958" s="2"/>
    </row>
    <row r="1959" spans="1:39">
      <c r="A1959" s="2"/>
      <c r="AM1959" s="2"/>
    </row>
    <row r="1960" spans="1:39">
      <c r="A1960" s="2"/>
      <c r="AM1960" s="2"/>
    </row>
    <row r="1961" spans="1:39">
      <c r="A1961" s="2"/>
      <c r="AM1961" s="2"/>
    </row>
    <row r="1962" spans="1:39">
      <c r="A1962" s="2"/>
      <c r="AM1962" s="2"/>
    </row>
    <row r="1963" spans="1:39">
      <c r="A1963" s="2"/>
      <c r="AM1963" s="2"/>
    </row>
    <row r="1964" spans="1:39">
      <c r="A1964" s="2"/>
      <c r="AM1964" s="2"/>
    </row>
    <row r="1965" spans="1:39">
      <c r="A1965" s="2"/>
      <c r="AM1965" s="2"/>
    </row>
    <row r="1966" spans="1:39">
      <c r="A1966" s="2"/>
      <c r="AM1966" s="2"/>
    </row>
    <row r="1967" spans="1:39">
      <c r="A1967" s="2"/>
      <c r="AM1967" s="2"/>
    </row>
    <row r="1968" spans="1:39">
      <c r="A1968" s="2"/>
      <c r="AM1968" s="2"/>
    </row>
    <row r="1969" spans="1:39">
      <c r="A1969" s="2"/>
      <c r="AM1969" s="2"/>
    </row>
    <row r="1970" spans="1:39">
      <c r="A1970" s="2"/>
      <c r="AM1970" s="2"/>
    </row>
    <row r="1971" spans="1:39">
      <c r="A1971" s="2"/>
      <c r="AM1971" s="2"/>
    </row>
    <row r="1972" spans="1:39">
      <c r="A1972" s="2"/>
      <c r="AM1972" s="2"/>
    </row>
    <row r="1973" spans="1:39">
      <c r="A1973" s="2"/>
      <c r="AM1973" s="2"/>
    </row>
    <row r="1974" spans="1:39">
      <c r="A1974" s="2"/>
      <c r="AM1974" s="2"/>
    </row>
    <row r="1975" spans="1:39">
      <c r="A1975" s="2"/>
      <c r="AM1975" s="2"/>
    </row>
    <row r="1976" spans="1:39">
      <c r="A1976" s="2"/>
      <c r="AM1976" s="2"/>
    </row>
    <row r="1977" spans="1:39">
      <c r="A1977" s="2"/>
      <c r="AM1977" s="2"/>
    </row>
    <row r="1978" spans="1:39">
      <c r="A1978" s="2"/>
      <c r="AM1978" s="2"/>
    </row>
    <row r="1979" spans="1:39">
      <c r="A1979" s="2"/>
      <c r="AM1979" s="2"/>
    </row>
    <row r="1980" spans="1:39">
      <c r="A1980" s="2"/>
      <c r="AM1980" s="2"/>
    </row>
    <row r="1981" spans="1:39">
      <c r="A1981" s="2"/>
      <c r="AM1981" s="2"/>
    </row>
    <row r="1982" spans="1:39">
      <c r="A1982" s="2"/>
      <c r="AM1982" s="2"/>
    </row>
    <row r="1983" spans="1:39">
      <c r="A1983" s="2"/>
      <c r="AM1983" s="2"/>
    </row>
    <row r="1984" spans="1:39">
      <c r="A1984" s="2"/>
      <c r="AM1984" s="2"/>
    </row>
    <row r="1985" spans="1:39">
      <c r="A1985" s="2"/>
      <c r="AM1985" s="2"/>
    </row>
    <row r="1986" spans="1:39">
      <c r="A1986" s="2"/>
      <c r="AM1986" s="2"/>
    </row>
    <row r="1987" spans="1:39">
      <c r="A1987" s="2"/>
      <c r="AM1987" s="2"/>
    </row>
    <row r="1988" spans="1:39">
      <c r="A1988" s="2"/>
      <c r="AM1988" s="2"/>
    </row>
    <row r="1989" spans="1:39">
      <c r="A1989" s="2"/>
      <c r="AM1989" s="2"/>
    </row>
    <row r="1990" spans="1:39">
      <c r="A1990" s="2"/>
      <c r="AM1990" s="2"/>
    </row>
    <row r="1991" spans="1:39">
      <c r="A1991" s="2"/>
      <c r="AM1991" s="2"/>
    </row>
    <row r="1992" spans="1:39">
      <c r="A1992" s="2"/>
      <c r="AM1992" s="2"/>
    </row>
    <row r="1993" spans="1:39">
      <c r="A1993" s="2"/>
      <c r="AM1993" s="2"/>
    </row>
    <row r="1994" spans="1:39">
      <c r="A1994" s="2"/>
      <c r="AM1994" s="2"/>
    </row>
    <row r="1995" spans="1:39">
      <c r="A1995" s="2"/>
      <c r="AM1995" s="2"/>
    </row>
    <row r="1996" spans="1:39">
      <c r="A1996" s="2"/>
      <c r="AM1996" s="2"/>
    </row>
    <row r="1997" spans="1:39">
      <c r="A1997" s="2"/>
      <c r="AM1997" s="2"/>
    </row>
    <row r="1998" spans="1:39">
      <c r="A1998" s="2"/>
      <c r="AM1998" s="2"/>
    </row>
    <row r="1999" spans="1:39">
      <c r="A1999" s="2"/>
      <c r="AM1999" s="2"/>
    </row>
    <row r="2000" spans="1:39">
      <c r="A2000" s="2"/>
      <c r="AM2000" s="2"/>
    </row>
    <row r="2001" spans="1:39">
      <c r="A2001" s="2"/>
      <c r="AM2001" s="2"/>
    </row>
    <row r="2002" spans="1:39">
      <c r="A2002" s="2"/>
      <c r="AM2002" s="2"/>
    </row>
    <row r="2003" spans="1:39">
      <c r="A2003" s="2"/>
      <c r="AM2003" s="2"/>
    </row>
    <row r="2004" spans="1:39">
      <c r="A2004" s="2"/>
      <c r="AM2004" s="2"/>
    </row>
    <row r="2005" spans="1:39">
      <c r="A2005" s="2"/>
      <c r="AM2005" s="2"/>
    </row>
    <row r="2006" spans="1:39">
      <c r="A2006" s="2"/>
      <c r="AM2006" s="2"/>
    </row>
    <row r="2007" spans="1:39">
      <c r="A2007" s="2"/>
      <c r="AM2007" s="2"/>
    </row>
    <row r="2008" spans="1:39">
      <c r="A2008" s="2"/>
      <c r="AM2008" s="2"/>
    </row>
    <row r="2009" spans="1:39">
      <c r="A2009" s="2"/>
      <c r="AM2009" s="2"/>
    </row>
    <row r="2010" spans="1:39">
      <c r="A2010" s="2"/>
      <c r="AM2010" s="2"/>
    </row>
    <row r="2011" spans="1:39">
      <c r="A2011" s="2"/>
      <c r="AM2011" s="2"/>
    </row>
    <row r="2012" spans="1:39">
      <c r="A2012" s="2"/>
      <c r="AM2012" s="2"/>
    </row>
    <row r="2013" spans="1:39">
      <c r="A2013" s="2"/>
      <c r="AM2013" s="2"/>
    </row>
    <row r="2014" spans="1:39">
      <c r="A2014" s="2"/>
      <c r="AM2014" s="2"/>
    </row>
    <row r="2015" spans="1:39">
      <c r="A2015" s="2"/>
      <c r="AM2015" s="2"/>
    </row>
    <row r="2016" spans="1:39">
      <c r="A2016" s="2"/>
      <c r="AM2016" s="2"/>
    </row>
    <row r="2017" spans="1:39">
      <c r="A2017" s="2"/>
      <c r="AM2017" s="2"/>
    </row>
    <row r="2018" spans="1:39">
      <c r="A2018" s="2"/>
      <c r="AM2018" s="2"/>
    </row>
    <row r="2019" spans="1:39">
      <c r="A2019" s="2"/>
      <c r="AM2019" s="2"/>
    </row>
    <row r="2020" spans="1:39">
      <c r="A2020" s="2"/>
      <c r="AM2020" s="2"/>
    </row>
    <row r="2021" spans="1:39">
      <c r="A2021" s="2"/>
      <c r="AM2021" s="2"/>
    </row>
    <row r="2022" spans="1:39">
      <c r="A2022" s="2"/>
      <c r="AM2022" s="2"/>
    </row>
    <row r="2023" spans="1:39">
      <c r="A2023" s="2"/>
      <c r="AM2023" s="2"/>
    </row>
    <row r="2024" spans="1:39">
      <c r="A2024" s="2"/>
      <c r="AM2024" s="2"/>
    </row>
    <row r="2025" spans="1:39">
      <c r="A2025" s="2"/>
      <c r="AM2025" s="2"/>
    </row>
    <row r="2026" spans="1:39">
      <c r="A2026" s="2"/>
      <c r="AM2026" s="2"/>
    </row>
    <row r="2027" spans="1:39">
      <c r="A2027" s="2"/>
      <c r="AM2027" s="2"/>
    </row>
    <row r="2028" spans="1:39">
      <c r="A2028" s="2"/>
      <c r="AM2028" s="2"/>
    </row>
    <row r="2029" spans="1:39">
      <c r="A2029" s="2"/>
      <c r="AM2029" s="2"/>
    </row>
    <row r="2030" spans="1:39">
      <c r="A2030" s="2"/>
      <c r="AM2030" s="2"/>
    </row>
    <row r="2031" spans="1:39">
      <c r="A2031" s="2"/>
      <c r="AM2031" s="2"/>
    </row>
    <row r="2032" spans="1:39">
      <c r="A2032" s="2"/>
      <c r="AM2032" s="2"/>
    </row>
    <row r="2033" spans="1:39">
      <c r="A2033" s="2"/>
      <c r="AM2033" s="2"/>
    </row>
    <row r="2034" spans="1:39">
      <c r="A2034" s="2"/>
      <c r="AM2034" s="2"/>
    </row>
    <row r="2035" spans="1:39">
      <c r="A2035" s="2"/>
      <c r="AM2035" s="2"/>
    </row>
    <row r="2036" spans="1:39">
      <c r="A2036" s="2"/>
      <c r="AM2036" s="2"/>
    </row>
    <row r="2037" spans="1:39">
      <c r="A2037" s="2"/>
      <c r="AM2037" s="2"/>
    </row>
    <row r="2038" spans="1:39">
      <c r="A2038" s="2"/>
      <c r="AM2038" s="2"/>
    </row>
    <row r="2039" spans="1:39">
      <c r="A2039" s="2"/>
      <c r="AM2039" s="2"/>
    </row>
    <row r="2040" spans="1:39">
      <c r="A2040" s="2"/>
      <c r="AM2040" s="2"/>
    </row>
    <row r="2041" spans="1:39">
      <c r="A2041" s="2"/>
      <c r="AM2041" s="2"/>
    </row>
    <row r="2042" spans="1:39">
      <c r="A2042" s="2"/>
      <c r="AM2042" s="2"/>
    </row>
    <row r="2043" spans="1:39">
      <c r="A2043" s="2"/>
      <c r="AM2043" s="2"/>
    </row>
    <row r="2044" spans="1:39">
      <c r="A2044" s="2"/>
      <c r="AM2044" s="2"/>
    </row>
    <row r="2045" spans="1:39">
      <c r="A2045" s="2"/>
      <c r="AM2045" s="2"/>
    </row>
    <row r="2046" spans="1:39">
      <c r="A2046" s="2"/>
      <c r="AM2046" s="2"/>
    </row>
    <row r="2047" spans="1:39">
      <c r="A2047" s="2"/>
      <c r="AM2047" s="2"/>
    </row>
    <row r="2048" spans="1:39">
      <c r="A2048" s="2"/>
      <c r="AM2048" s="2"/>
    </row>
    <row r="2049" spans="1:39">
      <c r="A2049" s="2"/>
      <c r="AM2049" s="2"/>
    </row>
    <row r="2050" spans="1:39">
      <c r="A2050" s="2"/>
      <c r="AM2050" s="2"/>
    </row>
    <row r="2051" spans="1:39">
      <c r="A2051" s="2"/>
      <c r="AM2051" s="2"/>
    </row>
    <row r="2052" spans="1:39">
      <c r="A2052" s="2"/>
      <c r="AM2052" s="2"/>
    </row>
    <row r="2053" spans="1:39">
      <c r="A2053" s="2"/>
      <c r="AM2053" s="2"/>
    </row>
    <row r="2054" spans="1:39">
      <c r="A2054" s="2"/>
      <c r="AM2054" s="2"/>
    </row>
    <row r="2055" spans="1:39">
      <c r="A2055" s="2"/>
      <c r="AM2055" s="2"/>
    </row>
    <row r="2056" spans="1:39">
      <c r="A2056" s="2"/>
      <c r="AM2056" s="2"/>
    </row>
    <row r="2057" spans="1:39">
      <c r="A2057" s="2"/>
      <c r="AM2057" s="2"/>
    </row>
    <row r="2058" spans="1:39">
      <c r="A2058" s="2"/>
      <c r="AM2058" s="2"/>
    </row>
    <row r="2059" spans="1:39">
      <c r="A2059" s="2"/>
      <c r="AM2059" s="2"/>
    </row>
    <row r="2060" spans="1:39">
      <c r="A2060" s="2"/>
      <c r="AM2060" s="2"/>
    </row>
    <row r="2061" spans="1:39">
      <c r="A2061" s="2"/>
      <c r="AM2061" s="2"/>
    </row>
    <row r="2062" spans="1:39">
      <c r="A2062" s="2"/>
      <c r="AM2062" s="2"/>
    </row>
    <row r="2063" spans="1:39">
      <c r="A2063" s="2"/>
      <c r="AM2063" s="2"/>
    </row>
    <row r="2064" spans="1:39">
      <c r="A2064" s="2"/>
      <c r="AM2064" s="2"/>
    </row>
    <row r="2065" spans="1:39">
      <c r="A2065" s="2"/>
      <c r="AM2065" s="2"/>
    </row>
    <row r="2066" spans="1:39">
      <c r="A2066" s="2"/>
      <c r="AM2066" s="2"/>
    </row>
    <row r="2067" spans="1:39">
      <c r="A2067" s="2"/>
      <c r="AM2067" s="2"/>
    </row>
    <row r="2068" spans="1:39">
      <c r="A2068" s="2"/>
      <c r="AM2068" s="2"/>
    </row>
    <row r="2069" spans="1:39">
      <c r="A2069" s="2"/>
      <c r="AM2069" s="2"/>
    </row>
    <row r="2070" spans="1:39">
      <c r="A2070" s="2"/>
      <c r="AM2070" s="2"/>
    </row>
    <row r="2071" spans="1:39">
      <c r="A2071" s="2"/>
      <c r="AM2071" s="2"/>
    </row>
    <row r="2072" spans="1:39">
      <c r="A2072" s="2"/>
      <c r="AM2072" s="2"/>
    </row>
    <row r="2073" spans="1:39">
      <c r="A2073" s="2"/>
      <c r="AM2073" s="2"/>
    </row>
    <row r="2074" spans="1:39">
      <c r="A2074" s="2"/>
      <c r="AM2074" s="2"/>
    </row>
    <row r="2075" spans="1:39">
      <c r="A2075" s="2"/>
      <c r="AM2075" s="2"/>
    </row>
    <row r="2076" spans="1:39">
      <c r="A2076" s="2"/>
      <c r="AM2076" s="2"/>
    </row>
    <row r="2077" spans="1:39">
      <c r="A2077" s="2"/>
      <c r="AM2077" s="2"/>
    </row>
    <row r="2078" spans="1:39">
      <c r="A2078" s="2"/>
      <c r="AM2078" s="2"/>
    </row>
    <row r="2079" spans="1:39">
      <c r="A2079" s="2"/>
      <c r="AM2079" s="2"/>
    </row>
    <row r="2080" spans="1:39">
      <c r="A2080" s="2"/>
      <c r="AM2080" s="2"/>
    </row>
    <row r="2081" spans="1:39">
      <c r="A2081" s="2"/>
      <c r="AM2081" s="2"/>
    </row>
    <row r="2082" spans="1:39">
      <c r="A2082" s="2"/>
      <c r="AM2082" s="2"/>
    </row>
    <row r="2083" spans="1:39">
      <c r="A2083" s="2"/>
      <c r="AM2083" s="2"/>
    </row>
    <row r="2084" spans="1:39">
      <c r="A2084" s="2"/>
      <c r="AM2084" s="2"/>
    </row>
    <row r="2085" spans="1:39">
      <c r="A2085" s="2"/>
      <c r="AM2085" s="2"/>
    </row>
    <row r="2086" spans="1:39">
      <c r="A2086" s="2"/>
      <c r="AM2086" s="2"/>
    </row>
    <row r="2087" spans="1:39">
      <c r="A2087" s="2"/>
      <c r="AM2087" s="2"/>
    </row>
    <row r="2088" spans="1:39">
      <c r="A2088" s="2"/>
      <c r="AM2088" s="2"/>
    </row>
    <row r="2089" spans="1:39">
      <c r="A2089" s="2"/>
      <c r="AM2089" s="2"/>
    </row>
    <row r="2090" spans="1:39">
      <c r="A2090" s="2"/>
      <c r="AM2090" s="2"/>
    </row>
    <row r="2091" spans="1:39">
      <c r="A2091" s="2"/>
      <c r="AM2091" s="2"/>
    </row>
    <row r="2092" spans="1:39">
      <c r="A2092" s="2"/>
      <c r="AM2092" s="2"/>
    </row>
    <row r="2093" spans="1:39">
      <c r="A2093" s="2"/>
      <c r="AM2093" s="2"/>
    </row>
    <row r="2094" spans="1:39">
      <c r="A2094" s="2"/>
      <c r="AM2094" s="2"/>
    </row>
    <row r="2095" spans="1:39">
      <c r="A2095" s="2"/>
      <c r="AM2095" s="2"/>
    </row>
    <row r="2096" spans="1:39">
      <c r="A2096" s="2"/>
      <c r="AM2096" s="2"/>
    </row>
    <row r="2097" spans="1:39">
      <c r="A2097" s="2"/>
      <c r="AM2097" s="2"/>
    </row>
    <row r="2098" spans="1:39">
      <c r="A2098" s="2"/>
      <c r="AM2098" s="2"/>
    </row>
    <row r="2099" spans="1:39">
      <c r="A2099" s="2"/>
      <c r="AM2099" s="2"/>
    </row>
    <row r="2100" spans="1:39">
      <c r="A2100" s="2"/>
      <c r="AM2100" s="2"/>
    </row>
    <row r="2101" spans="1:39">
      <c r="A2101" s="2"/>
      <c r="AM2101" s="2"/>
    </row>
    <row r="2102" spans="1:39">
      <c r="A2102" s="2"/>
      <c r="AM2102" s="2"/>
    </row>
    <row r="2103" spans="1:39">
      <c r="A2103" s="2"/>
      <c r="AM2103" s="2"/>
    </row>
    <row r="2104" spans="1:39">
      <c r="A2104" s="2"/>
      <c r="AM2104" s="2"/>
    </row>
    <row r="2105" spans="1:39">
      <c r="A2105" s="2"/>
      <c r="AM2105" s="2"/>
    </row>
    <row r="2106" spans="1:39">
      <c r="A2106" s="2"/>
      <c r="AM2106" s="2"/>
    </row>
    <row r="2107" spans="1:39">
      <c r="A2107" s="2"/>
      <c r="AM2107" s="2"/>
    </row>
    <row r="2108" spans="1:39">
      <c r="A2108" s="2"/>
      <c r="AM2108" s="2"/>
    </row>
    <row r="2109" spans="1:39">
      <c r="A2109" s="2"/>
      <c r="AM2109" s="2"/>
    </row>
    <row r="2110" spans="1:39">
      <c r="A2110" s="2"/>
      <c r="AM2110" s="2"/>
    </row>
    <row r="2111" spans="1:39">
      <c r="A2111" s="2"/>
      <c r="AM2111" s="2"/>
    </row>
    <row r="2112" spans="1:39">
      <c r="A2112" s="2"/>
      <c r="AM2112" s="2"/>
    </row>
    <row r="2113" spans="1:39">
      <c r="A2113" s="2"/>
      <c r="AM2113" s="2"/>
    </row>
    <row r="2114" spans="1:39">
      <c r="A2114" s="2"/>
      <c r="AM2114" s="2"/>
    </row>
    <row r="2115" spans="1:39">
      <c r="A2115" s="2"/>
      <c r="AM2115" s="2"/>
    </row>
    <row r="2116" spans="1:39">
      <c r="A2116" s="2"/>
      <c r="AM2116" s="2"/>
    </row>
    <row r="2117" spans="1:39">
      <c r="A2117" s="2"/>
      <c r="AM2117" s="2"/>
    </row>
    <row r="2118" spans="1:39">
      <c r="A2118" s="2"/>
      <c r="AM2118" s="2"/>
    </row>
    <row r="2119" spans="1:39">
      <c r="A2119" s="2"/>
      <c r="AM2119" s="2"/>
    </row>
    <row r="2120" spans="1:39">
      <c r="A2120" s="2"/>
      <c r="AM2120" s="2"/>
    </row>
    <row r="2121" spans="1:39">
      <c r="A2121" s="2"/>
      <c r="AM2121" s="2"/>
    </row>
    <row r="2122" spans="1:39">
      <c r="A2122" s="2"/>
      <c r="AM2122" s="2"/>
    </row>
    <row r="2123" spans="1:39">
      <c r="A2123" s="2"/>
      <c r="AM2123" s="2"/>
    </row>
    <row r="2124" spans="1:39">
      <c r="A2124" s="2"/>
      <c r="AM2124" s="2"/>
    </row>
    <row r="2125" spans="1:39">
      <c r="A2125" s="2"/>
      <c r="AM2125" s="2"/>
    </row>
    <row r="2126" spans="1:39">
      <c r="A2126" s="2"/>
      <c r="AM2126" s="2"/>
    </row>
    <row r="2127" spans="1:39">
      <c r="A2127" s="2"/>
      <c r="AM2127" s="2"/>
    </row>
    <row r="2128" spans="1:39">
      <c r="A2128" s="2"/>
      <c r="AM2128" s="2"/>
    </row>
    <row r="2129" spans="1:39">
      <c r="A2129" s="2"/>
      <c r="AM2129" s="2"/>
    </row>
    <row r="2130" spans="1:39">
      <c r="A2130" s="2"/>
      <c r="AM2130" s="2"/>
    </row>
    <row r="2131" spans="1:39">
      <c r="A2131" s="2"/>
      <c r="AM2131" s="2"/>
    </row>
    <row r="2132" spans="1:39">
      <c r="A2132" s="2"/>
      <c r="AM2132" s="2"/>
    </row>
    <row r="2133" spans="1:39">
      <c r="A2133" s="2"/>
      <c r="AM2133" s="2"/>
    </row>
    <row r="2134" spans="1:39">
      <c r="A2134" s="2"/>
      <c r="AM2134" s="2"/>
    </row>
    <row r="2135" spans="1:39">
      <c r="A2135" s="2"/>
      <c r="AM2135" s="2"/>
    </row>
    <row r="2136" spans="1:39">
      <c r="A2136" s="2"/>
      <c r="AM2136" s="2"/>
    </row>
    <row r="2137" spans="1:39">
      <c r="A2137" s="2"/>
      <c r="AM2137" s="2"/>
    </row>
    <row r="2138" spans="1:39">
      <c r="A2138" s="2"/>
      <c r="AM2138" s="2"/>
    </row>
    <row r="2139" spans="1:39">
      <c r="A2139" s="2"/>
      <c r="AM2139" s="2"/>
    </row>
    <row r="2140" spans="1:39">
      <c r="A2140" s="2"/>
      <c r="AM2140" s="2"/>
    </row>
    <row r="2141" spans="1:39">
      <c r="A2141" s="2"/>
      <c r="AM2141" s="2"/>
    </row>
    <row r="2142" spans="1:39">
      <c r="A2142" s="2"/>
      <c r="AM2142" s="2"/>
    </row>
    <row r="2143" spans="1:39">
      <c r="A2143" s="2"/>
      <c r="AM2143" s="2"/>
    </row>
    <row r="2144" spans="1:39">
      <c r="A2144" s="2"/>
      <c r="AM2144" s="2"/>
    </row>
    <row r="2145" spans="1:39">
      <c r="A2145" s="2"/>
      <c r="AM2145" s="2"/>
    </row>
    <row r="2146" spans="1:39">
      <c r="A2146" s="2"/>
      <c r="AM2146" s="2"/>
    </row>
    <row r="2147" spans="1:39">
      <c r="A2147" s="2"/>
      <c r="AM2147" s="2"/>
    </row>
    <row r="2148" spans="1:39">
      <c r="A2148" s="2"/>
      <c r="AM2148" s="2"/>
    </row>
    <row r="2149" spans="1:39">
      <c r="A2149" s="2"/>
      <c r="AM2149" s="2"/>
    </row>
    <row r="2150" spans="1:39">
      <c r="A2150" s="2"/>
      <c r="AM2150" s="2"/>
    </row>
    <row r="2151" spans="1:39">
      <c r="A2151" s="2"/>
      <c r="AM2151" s="2"/>
    </row>
    <row r="2152" spans="1:39">
      <c r="A2152" s="2"/>
      <c r="AM2152" s="2"/>
    </row>
    <row r="2153" spans="1:39">
      <c r="A2153" s="2"/>
      <c r="AM2153" s="2"/>
    </row>
    <row r="2154" spans="1:39">
      <c r="A2154" s="2"/>
      <c r="AM2154" s="2"/>
    </row>
    <row r="2155" spans="1:39">
      <c r="A2155" s="2"/>
      <c r="AM2155" s="2"/>
    </row>
    <row r="2156" spans="1:39">
      <c r="A2156" s="2"/>
      <c r="AM2156" s="2"/>
    </row>
    <row r="2157" spans="1:39">
      <c r="A2157" s="2"/>
      <c r="AM2157" s="2"/>
    </row>
    <row r="2158" spans="1:39">
      <c r="A2158" s="2"/>
      <c r="AM2158" s="2"/>
    </row>
    <row r="2159" spans="1:39">
      <c r="A2159" s="2"/>
      <c r="AM2159" s="2"/>
    </row>
    <row r="2160" spans="1:39">
      <c r="A2160" s="2"/>
      <c r="AM2160" s="2"/>
    </row>
    <row r="2161" spans="1:39">
      <c r="A2161" s="2"/>
      <c r="AM2161" s="2"/>
    </row>
    <row r="2162" spans="1:39">
      <c r="A2162" s="2"/>
      <c r="AM2162" s="2"/>
    </row>
    <row r="2163" spans="1:39">
      <c r="A2163" s="2"/>
      <c r="AM2163" s="2"/>
    </row>
    <row r="2164" spans="1:39">
      <c r="A2164" s="2"/>
      <c r="AM2164" s="2"/>
    </row>
    <row r="2165" spans="1:39">
      <c r="A2165" s="2"/>
      <c r="AM2165" s="2"/>
    </row>
    <row r="2166" spans="1:39">
      <c r="A2166" s="2"/>
      <c r="AM2166" s="2"/>
    </row>
    <row r="2167" spans="1:39">
      <c r="A2167" s="2"/>
      <c r="AM2167" s="2"/>
    </row>
    <row r="2168" spans="1:39">
      <c r="A2168" s="2"/>
      <c r="AM2168" s="2"/>
    </row>
    <row r="2169" spans="1:39">
      <c r="A2169" s="2"/>
      <c r="AM2169" s="2"/>
    </row>
    <row r="2170" spans="1:39">
      <c r="A2170" s="2"/>
      <c r="AM2170" s="2"/>
    </row>
    <row r="2171" spans="1:39">
      <c r="A2171" s="2"/>
      <c r="AM2171" s="2"/>
    </row>
    <row r="2172" spans="1:39">
      <c r="A2172" s="2"/>
      <c r="AM2172" s="2"/>
    </row>
    <row r="2173" spans="1:39">
      <c r="A2173" s="2"/>
      <c r="AM2173" s="2"/>
    </row>
    <row r="2174" spans="1:39">
      <c r="A2174" s="2"/>
      <c r="AM2174" s="2"/>
    </row>
    <row r="2175" spans="1:39">
      <c r="A2175" s="2"/>
      <c r="AM2175" s="2"/>
    </row>
    <row r="2176" spans="1:39">
      <c r="A2176" s="2"/>
      <c r="AM2176" s="2"/>
    </row>
    <row r="2177" spans="1:39">
      <c r="A2177" s="2"/>
      <c r="AM2177" s="2"/>
    </row>
    <row r="2178" spans="1:39">
      <c r="A2178" s="2"/>
      <c r="AM2178" s="2"/>
    </row>
    <row r="2179" spans="1:39">
      <c r="A2179" s="2"/>
      <c r="AM2179" s="2"/>
    </row>
    <row r="2180" spans="1:39">
      <c r="A2180" s="2"/>
      <c r="AM2180" s="2"/>
    </row>
    <row r="2181" spans="1:39">
      <c r="A2181" s="2"/>
      <c r="AM2181" s="2"/>
    </row>
    <row r="2182" spans="1:39">
      <c r="A2182" s="2"/>
      <c r="AM2182" s="2"/>
    </row>
    <row r="2183" spans="1:39">
      <c r="A2183" s="2"/>
      <c r="AM2183" s="2"/>
    </row>
    <row r="2184" spans="1:39">
      <c r="A2184" s="2"/>
      <c r="AM2184" s="2"/>
    </row>
    <row r="2185" spans="1:39">
      <c r="A2185" s="2"/>
      <c r="AM2185" s="2"/>
    </row>
    <row r="2186" spans="1:39">
      <c r="A2186" s="2"/>
      <c r="AM2186" s="2"/>
    </row>
    <row r="2187" spans="1:39">
      <c r="A2187" s="2"/>
      <c r="AM2187" s="2"/>
    </row>
    <row r="2188" spans="1:39">
      <c r="A2188" s="2"/>
      <c r="AM2188" s="2"/>
    </row>
    <row r="2189" spans="1:39">
      <c r="A2189" s="2"/>
      <c r="AM2189" s="2"/>
    </row>
    <row r="2190" spans="1:39">
      <c r="A2190" s="2"/>
      <c r="AM2190" s="2"/>
    </row>
    <row r="2191" spans="1:39">
      <c r="A2191" s="2"/>
      <c r="AM2191" s="2"/>
    </row>
    <row r="2192" spans="1:39">
      <c r="A2192" s="2"/>
      <c r="AM2192" s="2"/>
    </row>
    <row r="2193" spans="1:39">
      <c r="A2193" s="2"/>
      <c r="AM2193" s="2"/>
    </row>
    <row r="2194" spans="1:39">
      <c r="A2194" s="2"/>
      <c r="AM2194" s="2"/>
    </row>
    <row r="2195" spans="1:39">
      <c r="A2195" s="2"/>
      <c r="AM2195" s="2"/>
    </row>
    <row r="2196" spans="1:39">
      <c r="A2196" s="2"/>
      <c r="AM2196" s="2"/>
    </row>
    <row r="2197" spans="1:39">
      <c r="A2197" s="2"/>
      <c r="AM2197" s="2"/>
    </row>
    <row r="2198" spans="1:39">
      <c r="A2198" s="2"/>
      <c r="AM2198" s="2"/>
    </row>
    <row r="2199" spans="1:39">
      <c r="A2199" s="2"/>
      <c r="AM2199" s="2"/>
    </row>
    <row r="2200" spans="1:39">
      <c r="A2200" s="2"/>
      <c r="AM2200" s="2"/>
    </row>
    <row r="2201" spans="1:39">
      <c r="A2201" s="2"/>
      <c r="AM2201" s="2"/>
    </row>
    <row r="2202" spans="1:39">
      <c r="A2202" s="2"/>
      <c r="AM2202" s="2"/>
    </row>
    <row r="2203" spans="1:39">
      <c r="A2203" s="2"/>
      <c r="AM2203" s="2"/>
    </row>
    <row r="2204" spans="1:39">
      <c r="A2204" s="2"/>
      <c r="AM2204" s="2"/>
    </row>
    <row r="2205" spans="1:39">
      <c r="A2205" s="2"/>
      <c r="AM2205" s="2"/>
    </row>
    <row r="2206" spans="1:39">
      <c r="A2206" s="2"/>
      <c r="AM2206" s="2"/>
    </row>
    <row r="2207" spans="1:39">
      <c r="A2207" s="2"/>
      <c r="AM2207" s="2"/>
    </row>
    <row r="2208" spans="1:39">
      <c r="A2208" s="2"/>
      <c r="AM2208" s="2"/>
    </row>
    <row r="2209" spans="1:39">
      <c r="A2209" s="2"/>
      <c r="AM2209" s="2"/>
    </row>
    <row r="2210" spans="1:39">
      <c r="A2210" s="2"/>
      <c r="AM2210" s="2"/>
    </row>
    <row r="2211" spans="1:39">
      <c r="A2211" s="2"/>
      <c r="AM2211" s="2"/>
    </row>
    <row r="2212" spans="1:39">
      <c r="A2212" s="2"/>
      <c r="AM2212" s="2"/>
    </row>
    <row r="2213" spans="1:39">
      <c r="A2213" s="2"/>
      <c r="AM2213" s="2"/>
    </row>
    <row r="2214" spans="1:39">
      <c r="A2214" s="2"/>
      <c r="AM2214" s="2"/>
    </row>
    <row r="2215" spans="1:39">
      <c r="A2215" s="2"/>
      <c r="AM2215" s="2"/>
    </row>
    <row r="2216" spans="1:39">
      <c r="A2216" s="2"/>
      <c r="AM2216" s="2"/>
    </row>
    <row r="2217" spans="1:39">
      <c r="A2217" s="2"/>
      <c r="AM2217" s="2"/>
    </row>
    <row r="2218" spans="1:39">
      <c r="A2218" s="2"/>
      <c r="AM2218" s="2"/>
    </row>
    <row r="2219" spans="1:39">
      <c r="A2219" s="2"/>
      <c r="AM2219" s="2"/>
    </row>
    <row r="2220" spans="1:39">
      <c r="A2220" s="2"/>
      <c r="AM2220" s="2"/>
    </row>
    <row r="2221" spans="1:39">
      <c r="A2221" s="2"/>
      <c r="AM2221" s="2"/>
    </row>
    <row r="2222" spans="1:39">
      <c r="A2222" s="2"/>
      <c r="AM2222" s="2"/>
    </row>
    <row r="2223" spans="1:39">
      <c r="A2223" s="2"/>
      <c r="AM2223" s="2"/>
    </row>
    <row r="2224" spans="1:39">
      <c r="A2224" s="2"/>
      <c r="AM2224" s="2"/>
    </row>
    <row r="2225" spans="1:39">
      <c r="A2225" s="2"/>
      <c r="AM2225" s="2"/>
    </row>
    <row r="2226" spans="1:39">
      <c r="A2226" s="2"/>
      <c r="AM2226" s="2"/>
    </row>
    <row r="2227" spans="1:39">
      <c r="A2227" s="2"/>
      <c r="AM2227" s="2"/>
    </row>
    <row r="2228" spans="1:39">
      <c r="A2228" s="2"/>
      <c r="AM2228" s="2"/>
    </row>
    <row r="2229" spans="1:39">
      <c r="A2229" s="2"/>
      <c r="AM2229" s="2"/>
    </row>
    <row r="2230" spans="1:39">
      <c r="A2230" s="2"/>
      <c r="AM2230" s="2"/>
    </row>
    <row r="2231" spans="1:39">
      <c r="A2231" s="2"/>
      <c r="AM2231" s="2"/>
    </row>
    <row r="2232" spans="1:39">
      <c r="A2232" s="2"/>
      <c r="AM2232" s="2"/>
    </row>
    <row r="2233" spans="1:39">
      <c r="A2233" s="2"/>
      <c r="AM2233" s="2"/>
    </row>
    <row r="2234" spans="1:39">
      <c r="A2234" s="2"/>
      <c r="AM2234" s="2"/>
    </row>
    <row r="2235" spans="1:39">
      <c r="A2235" s="2"/>
      <c r="AM2235" s="2"/>
    </row>
    <row r="2236" spans="1:39">
      <c r="A2236" s="2"/>
      <c r="AM2236" s="2"/>
    </row>
    <row r="2237" spans="1:39">
      <c r="A2237" s="2"/>
      <c r="AM2237" s="2"/>
    </row>
    <row r="2238" spans="1:39">
      <c r="A2238" s="2"/>
      <c r="AM2238" s="2"/>
    </row>
    <row r="2239" spans="1:39">
      <c r="A2239" s="2"/>
      <c r="AM2239" s="2"/>
    </row>
    <row r="2240" spans="1:39">
      <c r="A2240" s="2"/>
      <c r="AM2240" s="2"/>
    </row>
    <row r="2241" spans="1:39">
      <c r="A2241" s="2"/>
      <c r="AM2241" s="2"/>
    </row>
    <row r="2242" spans="1:39">
      <c r="A2242" s="2"/>
      <c r="AM2242" s="2"/>
    </row>
    <row r="2243" spans="1:39">
      <c r="A2243" s="2"/>
      <c r="AM2243" s="2"/>
    </row>
    <row r="2244" spans="1:39">
      <c r="A2244" s="2"/>
      <c r="AM2244" s="2"/>
    </row>
    <row r="2245" spans="1:39">
      <c r="A2245" s="2"/>
      <c r="AM2245" s="2"/>
    </row>
    <row r="2246" spans="1:39">
      <c r="A2246" s="2"/>
      <c r="AM2246" s="2"/>
    </row>
    <row r="2247" spans="1:39">
      <c r="A2247" s="2"/>
      <c r="AM2247" s="2"/>
    </row>
    <row r="2248" spans="1:39">
      <c r="A2248" s="2"/>
      <c r="AM2248" s="2"/>
    </row>
    <row r="2249" spans="1:39">
      <c r="A2249" s="2"/>
      <c r="AM2249" s="2"/>
    </row>
    <row r="2250" spans="1:39">
      <c r="A2250" s="2"/>
      <c r="AM2250" s="2"/>
    </row>
    <row r="2251" spans="1:39">
      <c r="A2251" s="2"/>
      <c r="AM2251" s="2"/>
    </row>
    <row r="2252" spans="1:39">
      <c r="A2252" s="2"/>
      <c r="AM2252" s="2"/>
    </row>
    <row r="2253" spans="1:39">
      <c r="A2253" s="2"/>
      <c r="AM2253" s="2"/>
    </row>
    <row r="2254" spans="1:39">
      <c r="A2254" s="2"/>
      <c r="AM2254" s="2"/>
    </row>
    <row r="2255" spans="1:39">
      <c r="A2255" s="2"/>
      <c r="AM2255" s="2"/>
    </row>
    <row r="2256" spans="1:39">
      <c r="A2256" s="2"/>
      <c r="AM2256" s="2"/>
    </row>
    <row r="2257" spans="1:39">
      <c r="A2257" s="2"/>
      <c r="AM2257" s="2"/>
    </row>
    <row r="2258" spans="1:39">
      <c r="A2258" s="2"/>
      <c r="AM2258" s="2"/>
    </row>
    <row r="2259" spans="1:39">
      <c r="A2259" s="2"/>
      <c r="AM2259" s="2"/>
    </row>
    <row r="2260" spans="1:39">
      <c r="A2260" s="2"/>
      <c r="AM2260" s="2"/>
    </row>
    <row r="2261" spans="1:39">
      <c r="A2261" s="2"/>
      <c r="AM2261" s="2"/>
    </row>
    <row r="2262" spans="1:39">
      <c r="A2262" s="2"/>
      <c r="AM2262" s="2"/>
    </row>
    <row r="2263" spans="1:39">
      <c r="A2263" s="2"/>
      <c r="AM2263" s="2"/>
    </row>
    <row r="2264" spans="1:39">
      <c r="A2264" s="2"/>
      <c r="AM2264" s="2"/>
    </row>
    <row r="2265" spans="1:39">
      <c r="A2265" s="2"/>
      <c r="AM2265" s="2"/>
    </row>
    <row r="2266" spans="1:39">
      <c r="A2266" s="2"/>
      <c r="AM2266" s="2"/>
    </row>
    <row r="2267" spans="1:39">
      <c r="A2267" s="2"/>
      <c r="AM2267" s="2"/>
    </row>
    <row r="2268" spans="1:39">
      <c r="A2268" s="2"/>
      <c r="AM2268" s="2"/>
    </row>
    <row r="2269" spans="1:39">
      <c r="A2269" s="2"/>
      <c r="AM2269" s="2"/>
    </row>
    <row r="2270" spans="1:39">
      <c r="A2270" s="2"/>
      <c r="AM2270" s="2"/>
    </row>
    <row r="2271" spans="1:39">
      <c r="A2271" s="2"/>
      <c r="AM2271" s="2"/>
    </row>
    <row r="2272" spans="1:39">
      <c r="A2272" s="2"/>
      <c r="AM2272" s="2"/>
    </row>
    <row r="2273" spans="1:39">
      <c r="A2273" s="2"/>
      <c r="AM2273" s="2"/>
    </row>
    <row r="2274" spans="1:39">
      <c r="A2274" s="2"/>
      <c r="AM2274" s="2"/>
    </row>
    <row r="2275" spans="1:39">
      <c r="A2275" s="2"/>
      <c r="AM2275" s="2"/>
    </row>
    <row r="2276" spans="1:39">
      <c r="A2276" s="2"/>
      <c r="AM2276" s="2"/>
    </row>
    <row r="2277" spans="1:39">
      <c r="A2277" s="2"/>
      <c r="AM2277" s="2"/>
    </row>
    <row r="2278" spans="1:39">
      <c r="A2278" s="2"/>
      <c r="AM2278" s="2"/>
    </row>
    <row r="2279" spans="1:39">
      <c r="A2279" s="2"/>
      <c r="AM2279" s="2"/>
    </row>
    <row r="2280" spans="1:39">
      <c r="A2280" s="2"/>
      <c r="AM2280" s="2"/>
    </row>
    <row r="2281" spans="1:39">
      <c r="A2281" s="2"/>
      <c r="AM2281" s="2"/>
    </row>
    <row r="2282" spans="1:39">
      <c r="A2282" s="2"/>
      <c r="AM2282" s="2"/>
    </row>
    <row r="2283" spans="1:39">
      <c r="A2283" s="2"/>
      <c r="AM2283" s="2"/>
    </row>
    <row r="2284" spans="1:39">
      <c r="A2284" s="2"/>
      <c r="AM2284" s="2"/>
    </row>
    <row r="2285" spans="1:39">
      <c r="A2285" s="2"/>
      <c r="AM2285" s="2"/>
    </row>
    <row r="2286" spans="1:39">
      <c r="A2286" s="2"/>
      <c r="AM2286" s="2"/>
    </row>
    <row r="2287" spans="1:39">
      <c r="A2287" s="2"/>
      <c r="AM2287" s="2"/>
    </row>
    <row r="2288" spans="1:39">
      <c r="A2288" s="2"/>
      <c r="AM2288" s="2"/>
    </row>
    <row r="2289" spans="1:39">
      <c r="A2289" s="2"/>
      <c r="AM2289" s="2"/>
    </row>
    <row r="2290" spans="1:39">
      <c r="A2290" s="2"/>
      <c r="AM2290" s="2"/>
    </row>
    <row r="2291" spans="1:39">
      <c r="A2291" s="2"/>
      <c r="AM2291" s="2"/>
    </row>
    <row r="2292" spans="1:39">
      <c r="A2292" s="2"/>
      <c r="AM2292" s="2"/>
    </row>
    <row r="2293" spans="1:39">
      <c r="A2293" s="2"/>
      <c r="AM2293" s="2"/>
    </row>
    <row r="2294" spans="1:39">
      <c r="A2294" s="2"/>
      <c r="AM2294" s="2"/>
    </row>
    <row r="2295" spans="1:39">
      <c r="A2295" s="2"/>
      <c r="AM2295" s="2"/>
    </row>
    <row r="2296" spans="1:39">
      <c r="A2296" s="2"/>
      <c r="AM2296" s="2"/>
    </row>
    <row r="2297" spans="1:39">
      <c r="A2297" s="2"/>
      <c r="AM2297" s="2"/>
    </row>
    <row r="2298" spans="1:39">
      <c r="A2298" s="2"/>
      <c r="AM2298" s="2"/>
    </row>
    <row r="2299" spans="1:39">
      <c r="A2299" s="2"/>
      <c r="AM2299" s="2"/>
    </row>
    <row r="2300" spans="1:39">
      <c r="A2300" s="2"/>
      <c r="AM2300" s="2"/>
    </row>
    <row r="2301" spans="1:39">
      <c r="A2301" s="2"/>
      <c r="AM2301" s="2"/>
    </row>
    <row r="2302" spans="1:39">
      <c r="A2302" s="2"/>
      <c r="AM2302" s="2"/>
    </row>
    <row r="2303" spans="1:39">
      <c r="A2303" s="2"/>
      <c r="AM2303" s="2"/>
    </row>
    <row r="2304" spans="1:39">
      <c r="A2304" s="2"/>
      <c r="AM2304" s="2"/>
    </row>
    <row r="2305" spans="1:39">
      <c r="A2305" s="2"/>
      <c r="AM2305" s="2"/>
    </row>
    <row r="2306" spans="1:39">
      <c r="A2306" s="2"/>
      <c r="AM2306" s="2"/>
    </row>
    <row r="2307" spans="1:39">
      <c r="A2307" s="2"/>
      <c r="AM2307" s="2"/>
    </row>
    <row r="2308" spans="1:39">
      <c r="A2308" s="2"/>
      <c r="AM2308" s="2"/>
    </row>
    <row r="2309" spans="1:39">
      <c r="A2309" s="2"/>
      <c r="AM2309" s="2"/>
    </row>
    <row r="2310" spans="1:39">
      <c r="A2310" s="2"/>
      <c r="AM2310" s="2"/>
    </row>
    <row r="2311" spans="1:39">
      <c r="A2311" s="2"/>
      <c r="AM2311" s="2"/>
    </row>
    <row r="2312" spans="1:39">
      <c r="A2312" s="2"/>
      <c r="AM2312" s="2"/>
    </row>
    <row r="2313" spans="1:39">
      <c r="A2313" s="2"/>
      <c r="AM2313" s="2"/>
    </row>
    <row r="2314" spans="1:39">
      <c r="A2314" s="2"/>
      <c r="AM2314" s="2"/>
    </row>
    <row r="2315" spans="1:39">
      <c r="A2315" s="2"/>
      <c r="AM2315" s="2"/>
    </row>
    <row r="2316" spans="1:39">
      <c r="A2316" s="2"/>
      <c r="AM2316" s="2"/>
    </row>
    <row r="2317" spans="1:39">
      <c r="A2317" s="2"/>
      <c r="AM2317" s="2"/>
    </row>
    <row r="2318" spans="1:39">
      <c r="A2318" s="2"/>
      <c r="AM2318" s="2"/>
    </row>
    <row r="2319" spans="1:39">
      <c r="A2319" s="2"/>
      <c r="AM2319" s="2"/>
    </row>
    <row r="2320" spans="1:39">
      <c r="A2320" s="2"/>
      <c r="AM2320" s="2"/>
    </row>
    <row r="2321" spans="1:39">
      <c r="A2321" s="2"/>
      <c r="AM2321" s="2"/>
    </row>
    <row r="2322" spans="1:39">
      <c r="A2322" s="2"/>
      <c r="AM2322" s="2"/>
    </row>
    <row r="2323" spans="1:39">
      <c r="A2323" s="2"/>
      <c r="AM2323" s="2"/>
    </row>
    <row r="2324" spans="1:39">
      <c r="A2324" s="2"/>
      <c r="AM2324" s="2"/>
    </row>
    <row r="2325" spans="1:39">
      <c r="A2325" s="2"/>
      <c r="AM2325" s="2"/>
    </row>
    <row r="2326" spans="1:39">
      <c r="A2326" s="2"/>
      <c r="AM2326" s="2"/>
    </row>
    <row r="2327" spans="1:39">
      <c r="A2327" s="2"/>
      <c r="AM2327" s="2"/>
    </row>
    <row r="2328" spans="1:39">
      <c r="A2328" s="2"/>
      <c r="AM2328" s="2"/>
    </row>
    <row r="2329" spans="1:39">
      <c r="A2329" s="2"/>
      <c r="AM2329" s="2"/>
    </row>
    <row r="2330" spans="1:39">
      <c r="A2330" s="2"/>
      <c r="AM2330" s="2"/>
    </row>
    <row r="2331" spans="1:39">
      <c r="A2331" s="2"/>
      <c r="AM2331" s="2"/>
    </row>
    <row r="2332" spans="1:39">
      <c r="A2332" s="2"/>
      <c r="AM2332" s="2"/>
    </row>
    <row r="2333" spans="1:39">
      <c r="A2333" s="2"/>
      <c r="AM2333" s="2"/>
    </row>
    <row r="2334" spans="1:39">
      <c r="A2334" s="2"/>
      <c r="AM2334" s="2"/>
    </row>
    <row r="2335" spans="1:39">
      <c r="A2335" s="2"/>
      <c r="AM2335" s="2"/>
    </row>
    <row r="2336" spans="1:39">
      <c r="A2336" s="2"/>
      <c r="AM2336" s="2"/>
    </row>
    <row r="2337" spans="1:39">
      <c r="A2337" s="2"/>
      <c r="AM2337" s="2"/>
    </row>
    <row r="2338" spans="1:39">
      <c r="A2338" s="2"/>
      <c r="AM2338" s="2"/>
    </row>
    <row r="2339" spans="1:39">
      <c r="A2339" s="2"/>
      <c r="AM2339" s="2"/>
    </row>
    <row r="2340" spans="1:39">
      <c r="A2340" s="2"/>
      <c r="AM2340" s="2"/>
    </row>
    <row r="2341" spans="1:39">
      <c r="A2341" s="2"/>
      <c r="AM2341" s="2"/>
    </row>
    <row r="2342" spans="1:39">
      <c r="A2342" s="2"/>
      <c r="AM2342" s="2"/>
    </row>
    <row r="2343" spans="1:39">
      <c r="A2343" s="2"/>
      <c r="AM2343" s="2"/>
    </row>
    <row r="2344" spans="1:39">
      <c r="A2344" s="2"/>
      <c r="AM2344" s="2"/>
    </row>
    <row r="2345" spans="1:39">
      <c r="A2345" s="2"/>
      <c r="AM2345" s="2"/>
    </row>
    <row r="2346" spans="1:39">
      <c r="A2346" s="2"/>
      <c r="AM2346" s="2"/>
    </row>
    <row r="2347" spans="1:39">
      <c r="A2347" s="2"/>
      <c r="AM2347" s="2"/>
    </row>
    <row r="2348" spans="1:39">
      <c r="A2348" s="2"/>
      <c r="AM2348" s="2"/>
    </row>
    <row r="2349" spans="1:39">
      <c r="A2349" s="2"/>
      <c r="AM2349" s="2"/>
    </row>
    <row r="2350" spans="1:39">
      <c r="A2350" s="2"/>
      <c r="AM2350" s="2"/>
    </row>
    <row r="2351" spans="1:39">
      <c r="A2351" s="2"/>
      <c r="AM2351" s="2"/>
    </row>
    <row r="2352" spans="1:39">
      <c r="A2352" s="2"/>
      <c r="AM2352" s="2"/>
    </row>
    <row r="2353" spans="1:39">
      <c r="A2353" s="2"/>
      <c r="AM2353" s="2"/>
    </row>
    <row r="2354" spans="1:39">
      <c r="A2354" s="2"/>
      <c r="AM2354" s="2"/>
    </row>
    <row r="2355" spans="1:39">
      <c r="A2355" s="2"/>
      <c r="AM2355" s="2"/>
    </row>
    <row r="2356" spans="1:39">
      <c r="A2356" s="2"/>
      <c r="AM2356" s="2"/>
    </row>
    <row r="2357" spans="1:39">
      <c r="A2357" s="2"/>
      <c r="AM2357" s="2"/>
    </row>
    <row r="2358" spans="1:39">
      <c r="A2358" s="2"/>
      <c r="AM2358" s="2"/>
    </row>
    <row r="2359" spans="1:39">
      <c r="A2359" s="2"/>
      <c r="AM2359" s="2"/>
    </row>
    <row r="2360" spans="1:39">
      <c r="A2360" s="2"/>
      <c r="AM2360" s="2"/>
    </row>
    <row r="2361" spans="1:39">
      <c r="A2361" s="2"/>
      <c r="AM2361" s="2"/>
    </row>
    <row r="2362" spans="1:39">
      <c r="A2362" s="2"/>
      <c r="AM2362" s="2"/>
    </row>
    <row r="2363" spans="1:39">
      <c r="A2363" s="2"/>
      <c r="AM2363" s="2"/>
    </row>
    <row r="2364" spans="1:39">
      <c r="A2364" s="2"/>
      <c r="AM2364" s="2"/>
    </row>
    <row r="2365" spans="1:39">
      <c r="A2365" s="2"/>
      <c r="AM2365" s="2"/>
    </row>
    <row r="2366" spans="1:39">
      <c r="A2366" s="2"/>
      <c r="AM2366" s="2"/>
    </row>
    <row r="2367" spans="1:39">
      <c r="A2367" s="2"/>
      <c r="AM2367" s="2"/>
    </row>
    <row r="2368" spans="1:39">
      <c r="A2368" s="2"/>
      <c r="AM2368" s="2"/>
    </row>
    <row r="2369" spans="1:39">
      <c r="A2369" s="2"/>
      <c r="AM2369" s="2"/>
    </row>
    <row r="2370" spans="1:39">
      <c r="A2370" s="2"/>
      <c r="AM2370" s="2"/>
    </row>
    <row r="2371" spans="1:39">
      <c r="A2371" s="2"/>
      <c r="AM2371" s="2"/>
    </row>
    <row r="2372" spans="1:39">
      <c r="A2372" s="2"/>
      <c r="AM2372" s="2"/>
    </row>
    <row r="2373" spans="1:39">
      <c r="A2373" s="2"/>
      <c r="AM2373" s="2"/>
    </row>
    <row r="2374" spans="1:39">
      <c r="A2374" s="2"/>
      <c r="AM2374" s="2"/>
    </row>
    <row r="2375" spans="1:39">
      <c r="A2375" s="2"/>
      <c r="AM2375" s="2"/>
    </row>
    <row r="2376" spans="1:39">
      <c r="A2376" s="2"/>
      <c r="AM2376" s="2"/>
    </row>
    <row r="2377" spans="1:39">
      <c r="A2377" s="2"/>
      <c r="AM2377" s="2"/>
    </row>
    <row r="2378" spans="1:39">
      <c r="A2378" s="2"/>
      <c r="AM2378" s="2"/>
    </row>
    <row r="2379" spans="1:39">
      <c r="A2379" s="2"/>
      <c r="AM2379" s="2"/>
    </row>
    <row r="2380" spans="1:39">
      <c r="A2380" s="2"/>
      <c r="AM2380" s="2"/>
    </row>
    <row r="2381" spans="1:39">
      <c r="A2381" s="2"/>
      <c r="AM2381" s="2"/>
    </row>
    <row r="2382" spans="1:39">
      <c r="A2382" s="2"/>
      <c r="AM2382" s="2"/>
    </row>
    <row r="2383" spans="1:39">
      <c r="A2383" s="2"/>
      <c r="AM2383" s="2"/>
    </row>
    <row r="2384" spans="1:39">
      <c r="A2384" s="2"/>
      <c r="AM2384" s="2"/>
    </row>
    <row r="2385" spans="1:39">
      <c r="A2385" s="2"/>
      <c r="AM2385" s="2"/>
    </row>
    <row r="2386" spans="1:39">
      <c r="A2386" s="2"/>
      <c r="AM2386" s="2"/>
    </row>
    <row r="2387" spans="1:39">
      <c r="A2387" s="2"/>
      <c r="AM2387" s="2"/>
    </row>
    <row r="2388" spans="1:39">
      <c r="A2388" s="2"/>
      <c r="AM2388" s="2"/>
    </row>
    <row r="2389" spans="1:39">
      <c r="A2389" s="2"/>
      <c r="AM2389" s="2"/>
    </row>
    <row r="2390" spans="1:39">
      <c r="A2390" s="2"/>
      <c r="AM2390" s="2"/>
    </row>
    <row r="2391" spans="1:39">
      <c r="A2391" s="2"/>
      <c r="AM2391" s="2"/>
    </row>
    <row r="2392" spans="1:39">
      <c r="A2392" s="2"/>
      <c r="AM2392" s="2"/>
    </row>
    <row r="2393" spans="1:39">
      <c r="A2393" s="2"/>
      <c r="AM2393" s="2"/>
    </row>
    <row r="2394" spans="1:39">
      <c r="A2394" s="2"/>
      <c r="AM2394" s="2"/>
    </row>
    <row r="2395" spans="1:39">
      <c r="A2395" s="2"/>
      <c r="AM2395" s="2"/>
    </row>
    <row r="2396" spans="1:39">
      <c r="A2396" s="2"/>
      <c r="AM2396" s="2"/>
    </row>
    <row r="2397" spans="1:39">
      <c r="A2397" s="2"/>
      <c r="AM2397" s="2"/>
    </row>
    <row r="2398" spans="1:39">
      <c r="A2398" s="2"/>
      <c r="AM2398" s="2"/>
    </row>
    <row r="2399" spans="1:39">
      <c r="A2399" s="2"/>
      <c r="AM2399" s="2"/>
    </row>
    <row r="2400" spans="1:39">
      <c r="A2400" s="2"/>
      <c r="AM2400" s="2"/>
    </row>
    <row r="2401" spans="1:39">
      <c r="A2401" s="2"/>
      <c r="AM2401" s="2"/>
    </row>
    <row r="2402" spans="1:39">
      <c r="A2402" s="2"/>
      <c r="AM2402" s="2"/>
    </row>
    <row r="2403" spans="1:39">
      <c r="A2403" s="2"/>
      <c r="AM2403" s="2"/>
    </row>
    <row r="2404" spans="1:39">
      <c r="A2404" s="2"/>
      <c r="AM2404" s="2"/>
    </row>
    <row r="2405" spans="1:39">
      <c r="A2405" s="2"/>
      <c r="AM2405" s="2"/>
    </row>
    <row r="2406" spans="1:39">
      <c r="A2406" s="2"/>
      <c r="AM2406" s="2"/>
    </row>
    <row r="2407" spans="1:39">
      <c r="A2407" s="2"/>
      <c r="AM2407" s="2"/>
    </row>
    <row r="2408" spans="1:39">
      <c r="A2408" s="2"/>
      <c r="AM2408" s="2"/>
    </row>
    <row r="2409" spans="1:39">
      <c r="A2409" s="2"/>
      <c r="AM2409" s="2"/>
    </row>
    <row r="2410" spans="1:39">
      <c r="A2410" s="2"/>
      <c r="AM2410" s="2"/>
    </row>
    <row r="2411" spans="1:39">
      <c r="A2411" s="2"/>
      <c r="AM2411" s="2"/>
    </row>
    <row r="2412" spans="1:39">
      <c r="A2412" s="2"/>
      <c r="AM2412" s="2"/>
    </row>
    <row r="2413" spans="1:39">
      <c r="A2413" s="2"/>
      <c r="AM2413" s="2"/>
    </row>
    <row r="2414" spans="1:39">
      <c r="A2414" s="2"/>
      <c r="AM2414" s="2"/>
    </row>
    <row r="2415" spans="1:39">
      <c r="A2415" s="2"/>
      <c r="AM2415" s="2"/>
    </row>
    <row r="2416" spans="1:39">
      <c r="A2416" s="2"/>
      <c r="AM2416" s="2"/>
    </row>
    <row r="2417" spans="1:39">
      <c r="A2417" s="2"/>
      <c r="AM2417" s="2"/>
    </row>
    <row r="2418" spans="1:39">
      <c r="A2418" s="2"/>
      <c r="AM2418" s="2"/>
    </row>
    <row r="2419" spans="1:39">
      <c r="A2419" s="2"/>
      <c r="AM2419" s="2"/>
    </row>
    <row r="2420" spans="1:39">
      <c r="A2420" s="2"/>
      <c r="AM2420" s="2"/>
    </row>
    <row r="2421" spans="1:39">
      <c r="A2421" s="2"/>
      <c r="AM2421" s="2"/>
    </row>
    <row r="2422" spans="1:39">
      <c r="A2422" s="2"/>
      <c r="AM2422" s="2"/>
    </row>
    <row r="2423" spans="1:39">
      <c r="A2423" s="2"/>
      <c r="AM2423" s="2"/>
    </row>
    <row r="2424" spans="1:39">
      <c r="A2424" s="2"/>
      <c r="AM2424" s="2"/>
    </row>
    <row r="2425" spans="1:39">
      <c r="A2425" s="2"/>
      <c r="AM2425" s="2"/>
    </row>
    <row r="2426" spans="1:39">
      <c r="A2426" s="2"/>
      <c r="AM2426" s="2"/>
    </row>
    <row r="2427" spans="1:39">
      <c r="A2427" s="2"/>
      <c r="AM2427" s="2"/>
    </row>
    <row r="2428" spans="1:39">
      <c r="A2428" s="2"/>
      <c r="AM2428" s="2"/>
    </row>
    <row r="2429" spans="1:39">
      <c r="A2429" s="2"/>
      <c r="AM2429" s="2"/>
    </row>
    <row r="2430" spans="1:39">
      <c r="A2430" s="2"/>
      <c r="AM2430" s="2"/>
    </row>
    <row r="2431" spans="1:39">
      <c r="A2431" s="2"/>
      <c r="AM2431" s="2"/>
    </row>
    <row r="2432" spans="1:39">
      <c r="A2432" s="2"/>
      <c r="AM2432" s="2"/>
    </row>
    <row r="2433" spans="1:39">
      <c r="A2433" s="2"/>
      <c r="AM2433" s="2"/>
    </row>
    <row r="2434" spans="1:39">
      <c r="A2434" s="2"/>
      <c r="AM2434" s="2"/>
    </row>
    <row r="2435" spans="1:39">
      <c r="A2435" s="2"/>
      <c r="AM2435" s="2"/>
    </row>
    <row r="2436" spans="1:39">
      <c r="A2436" s="2"/>
      <c r="AM2436" s="2"/>
    </row>
    <row r="2437" spans="1:39">
      <c r="A2437" s="2"/>
      <c r="AM2437" s="2"/>
    </row>
    <row r="2438" spans="1:39">
      <c r="A2438" s="2"/>
      <c r="AM2438" s="2"/>
    </row>
    <row r="2439" spans="1:39">
      <c r="A2439" s="2"/>
      <c r="AM2439" s="2"/>
    </row>
    <row r="2440" spans="1:39">
      <c r="A2440" s="2"/>
      <c r="AM2440" s="2"/>
    </row>
    <row r="2441" spans="1:39">
      <c r="A2441" s="2"/>
      <c r="AM2441" s="2"/>
    </row>
    <row r="2442" spans="1:39">
      <c r="A2442" s="2"/>
      <c r="AM2442" s="2"/>
    </row>
    <row r="2443" spans="1:39">
      <c r="A2443" s="2"/>
      <c r="AM2443" s="2"/>
    </row>
    <row r="2444" spans="1:39">
      <c r="A2444" s="2"/>
      <c r="AM2444" s="2"/>
    </row>
    <row r="2445" spans="1:39">
      <c r="A2445" s="2"/>
      <c r="AM2445" s="2"/>
    </row>
    <row r="2446" spans="1:39">
      <c r="A2446" s="2"/>
      <c r="AM2446" s="2"/>
    </row>
    <row r="2447" spans="1:39">
      <c r="A2447" s="2"/>
      <c r="AM2447" s="2"/>
    </row>
    <row r="2448" spans="1:39">
      <c r="A2448" s="2"/>
      <c r="AM2448" s="2"/>
    </row>
    <row r="2449" spans="1:39">
      <c r="A2449" s="2"/>
      <c r="AM2449" s="2"/>
    </row>
    <row r="2450" spans="1:39">
      <c r="A2450" s="2"/>
      <c r="AM2450" s="2"/>
    </row>
    <row r="2451" spans="1:39">
      <c r="A2451" s="2"/>
      <c r="AM2451" s="2"/>
    </row>
    <row r="2452" spans="1:39">
      <c r="A2452" s="2"/>
      <c r="AM2452" s="2"/>
    </row>
    <row r="2453" spans="1:39">
      <c r="A2453" s="2"/>
      <c r="AM2453" s="2"/>
    </row>
    <row r="2454" spans="1:39">
      <c r="A2454" s="2"/>
      <c r="AM2454" s="2"/>
    </row>
    <row r="2455" spans="1:39">
      <c r="A2455" s="2"/>
      <c r="AM2455" s="2"/>
    </row>
    <row r="2456" spans="1:39">
      <c r="A2456" s="2"/>
      <c r="AM2456" s="2"/>
    </row>
    <row r="2457" spans="1:39">
      <c r="A2457" s="2"/>
      <c r="AM2457" s="2"/>
    </row>
    <row r="2458" spans="1:39">
      <c r="A2458" s="2"/>
      <c r="AM2458" s="2"/>
    </row>
    <row r="2459" spans="1:39">
      <c r="A2459" s="2"/>
      <c r="AM2459" s="2"/>
    </row>
    <row r="2460" spans="1:39">
      <c r="A2460" s="2"/>
      <c r="AM2460" s="2"/>
    </row>
    <row r="2461" spans="1:39">
      <c r="A2461" s="2"/>
      <c r="AM2461" s="2"/>
    </row>
    <row r="2462" spans="1:39">
      <c r="A2462" s="2"/>
      <c r="AM2462" s="2"/>
    </row>
    <row r="2463" spans="1:39">
      <c r="A2463" s="2"/>
      <c r="AM2463" s="2"/>
    </row>
    <row r="2464" spans="1:39">
      <c r="A2464" s="2"/>
      <c r="AM2464" s="2"/>
    </row>
    <row r="2465" spans="1:39">
      <c r="A2465" s="2"/>
      <c r="AM2465" s="2"/>
    </row>
    <row r="2466" spans="1:39">
      <c r="A2466" s="2"/>
      <c r="AM2466" s="2"/>
    </row>
    <row r="2467" spans="1:39">
      <c r="A2467" s="2"/>
      <c r="AM2467" s="2"/>
    </row>
    <row r="2468" spans="1:39">
      <c r="A2468" s="2"/>
      <c r="AM2468" s="2"/>
    </row>
    <row r="2469" spans="1:39">
      <c r="A2469" s="2"/>
      <c r="AM2469" s="2"/>
    </row>
    <row r="2470" spans="1:39">
      <c r="A2470" s="2"/>
      <c r="AM2470" s="2"/>
    </row>
    <row r="2471" spans="1:39">
      <c r="A2471" s="2"/>
      <c r="AM2471" s="2"/>
    </row>
    <row r="2472" spans="1:39">
      <c r="A2472" s="2"/>
      <c r="AM2472" s="2"/>
    </row>
    <row r="2473" spans="1:39">
      <c r="A2473" s="2"/>
      <c r="AM2473" s="2"/>
    </row>
    <row r="2474" spans="1:39">
      <c r="A2474" s="2"/>
      <c r="AM2474" s="2"/>
    </row>
    <row r="2475" spans="1:39">
      <c r="A2475" s="2"/>
      <c r="AM2475" s="2"/>
    </row>
    <row r="2476" spans="1:39">
      <c r="A2476" s="2"/>
      <c r="AM2476" s="2"/>
    </row>
    <row r="2477" spans="1:39">
      <c r="A2477" s="2"/>
      <c r="AM2477" s="2"/>
    </row>
    <row r="2478" spans="1:39">
      <c r="A2478" s="2"/>
      <c r="AM2478" s="2"/>
    </row>
    <row r="2479" spans="1:39">
      <c r="A2479" s="2"/>
      <c r="AM2479" s="2"/>
    </row>
    <row r="2480" spans="1:39">
      <c r="A2480" s="2"/>
      <c r="AM2480" s="2"/>
    </row>
    <row r="2481" spans="1:39">
      <c r="A2481" s="2"/>
      <c r="AM2481" s="2"/>
    </row>
    <row r="2482" spans="1:39">
      <c r="A2482" s="2"/>
      <c r="AM2482" s="2"/>
    </row>
    <row r="2483" spans="1:39">
      <c r="A2483" s="2"/>
      <c r="AM2483" s="2"/>
    </row>
    <row r="2484" spans="1:39">
      <c r="A2484" s="2"/>
      <c r="AM2484" s="2"/>
    </row>
    <row r="2485" spans="1:39">
      <c r="A2485" s="2"/>
      <c r="AM2485" s="2"/>
    </row>
    <row r="2486" spans="1:39">
      <c r="A2486" s="2"/>
      <c r="AM2486" s="2"/>
    </row>
    <row r="2487" spans="1:39">
      <c r="A2487" s="2"/>
      <c r="AM2487" s="2"/>
    </row>
    <row r="2488" spans="1:39">
      <c r="A2488" s="2"/>
      <c r="AM2488" s="2"/>
    </row>
    <row r="2489" spans="1:39">
      <c r="A2489" s="2"/>
      <c r="AM2489" s="2"/>
    </row>
    <row r="2490" spans="1:39">
      <c r="A2490" s="2"/>
      <c r="AM2490" s="2"/>
    </row>
    <row r="2491" spans="1:39">
      <c r="A2491" s="2"/>
      <c r="AM2491" s="2"/>
    </row>
    <row r="2492" spans="1:39">
      <c r="A2492" s="2"/>
      <c r="AM2492" s="2"/>
    </row>
    <row r="2493" spans="1:39">
      <c r="A2493" s="2"/>
      <c r="AM2493" s="2"/>
    </row>
    <row r="2494" spans="1:39">
      <c r="A2494" s="2"/>
      <c r="AM2494" s="2"/>
    </row>
    <row r="2495" spans="1:39">
      <c r="A2495" s="2"/>
      <c r="AM2495" s="2"/>
    </row>
    <row r="2496" spans="1:39">
      <c r="A2496" s="2"/>
      <c r="AM2496" s="2"/>
    </row>
    <row r="2497" spans="1:39">
      <c r="A2497" s="2"/>
      <c r="AM2497" s="2"/>
    </row>
    <row r="2498" spans="1:39">
      <c r="A2498" s="2"/>
      <c r="AM2498" s="2"/>
    </row>
    <row r="2499" spans="1:39">
      <c r="A2499" s="2"/>
      <c r="AM2499" s="2"/>
    </row>
    <row r="2500" spans="1:39">
      <c r="A2500" s="2"/>
      <c r="AM2500" s="2"/>
    </row>
    <row r="2501" spans="1:39">
      <c r="A2501" s="2"/>
      <c r="AM2501" s="2"/>
    </row>
    <row r="2502" spans="1:39">
      <c r="A2502" s="2"/>
      <c r="AM2502" s="2"/>
    </row>
    <row r="2503" spans="1:39">
      <c r="A2503" s="2"/>
      <c r="AM2503" s="2"/>
    </row>
    <row r="2504" spans="1:39">
      <c r="A2504" s="2"/>
      <c r="AM2504" s="2"/>
    </row>
    <row r="2505" spans="1:39">
      <c r="A2505" s="2"/>
      <c r="AM2505" s="2"/>
    </row>
    <row r="2506" spans="1:39">
      <c r="A2506" s="2"/>
      <c r="AM2506" s="2"/>
    </row>
    <row r="2507" spans="1:39">
      <c r="A2507" s="2"/>
      <c r="AM2507" s="2"/>
    </row>
    <row r="2508" spans="1:39">
      <c r="A2508" s="2"/>
      <c r="AM2508" s="2"/>
    </row>
    <row r="2509" spans="1:39">
      <c r="A2509" s="2"/>
      <c r="AM2509" s="2"/>
    </row>
    <row r="2510" spans="1:39">
      <c r="A2510" s="2"/>
      <c r="AM2510" s="2"/>
    </row>
    <row r="2511" spans="1:39">
      <c r="A2511" s="2"/>
      <c r="AM2511" s="2"/>
    </row>
    <row r="2512" spans="1:39">
      <c r="A2512" s="2"/>
      <c r="AM2512" s="2"/>
    </row>
    <row r="2513" spans="1:39">
      <c r="A2513" s="2"/>
      <c r="AM2513" s="2"/>
    </row>
    <row r="2514" spans="1:39">
      <c r="A2514" s="2"/>
      <c r="AM2514" s="2"/>
    </row>
    <row r="2515" spans="1:39">
      <c r="A2515" s="2"/>
      <c r="AM2515" s="2"/>
    </row>
    <row r="2516" spans="1:39">
      <c r="A2516" s="2"/>
      <c r="AM2516" s="2"/>
    </row>
    <row r="2517" spans="1:39">
      <c r="A2517" s="2"/>
      <c r="AM2517" s="2"/>
    </row>
    <row r="2518" spans="1:39">
      <c r="A2518" s="2"/>
      <c r="AM2518" s="2"/>
    </row>
    <row r="2519" spans="1:39">
      <c r="A2519" s="2"/>
      <c r="AM2519" s="2"/>
    </row>
    <row r="2520" spans="1:39">
      <c r="A2520" s="2"/>
      <c r="AM2520" s="2"/>
    </row>
    <row r="2521" spans="1:39">
      <c r="A2521" s="2"/>
      <c r="AM2521" s="2"/>
    </row>
    <row r="2522" spans="1:39">
      <c r="A2522" s="2"/>
      <c r="AM2522" s="2"/>
    </row>
    <row r="2523" spans="1:39">
      <c r="A2523" s="2"/>
      <c r="AM2523" s="2"/>
    </row>
    <row r="2524" spans="1:39">
      <c r="A2524" s="2"/>
      <c r="AM2524" s="2"/>
    </row>
    <row r="2525" spans="1:39">
      <c r="A2525" s="2"/>
      <c r="AM2525" s="2"/>
    </row>
    <row r="2526" spans="1:39">
      <c r="A2526" s="2"/>
      <c r="AM2526" s="2"/>
    </row>
    <row r="2527" spans="1:39">
      <c r="A2527" s="2"/>
      <c r="AM2527" s="2"/>
    </row>
    <row r="2528" spans="1:39">
      <c r="A2528" s="2"/>
      <c r="AM2528" s="2"/>
    </row>
    <row r="2529" spans="1:39">
      <c r="A2529" s="2"/>
      <c r="AM2529" s="2"/>
    </row>
    <row r="2530" spans="1:39">
      <c r="A2530" s="2"/>
      <c r="AM2530" s="2"/>
    </row>
    <row r="2531" spans="1:39">
      <c r="A2531" s="2"/>
      <c r="AM2531" s="2"/>
    </row>
    <row r="2532" spans="1:39">
      <c r="A2532" s="2"/>
      <c r="AM2532" s="2"/>
    </row>
    <row r="2533" spans="1:39">
      <c r="A2533" s="2"/>
      <c r="AM2533" s="2"/>
    </row>
    <row r="2534" spans="1:39">
      <c r="A2534" s="2"/>
      <c r="AM2534" s="2"/>
    </row>
    <row r="2535" spans="1:39">
      <c r="A2535" s="2"/>
      <c r="AM2535" s="2"/>
    </row>
    <row r="2536" spans="1:39">
      <c r="A2536" s="2"/>
      <c r="AM2536" s="2"/>
    </row>
    <row r="2537" spans="1:39">
      <c r="A2537" s="2"/>
      <c r="AM2537" s="2"/>
    </row>
    <row r="2538" spans="1:39">
      <c r="A2538" s="2"/>
      <c r="AM2538" s="2"/>
    </row>
    <row r="2539" spans="1:39">
      <c r="A2539" s="2"/>
      <c r="AM2539" s="2"/>
    </row>
    <row r="2540" spans="1:39">
      <c r="A2540" s="2"/>
      <c r="AM2540" s="2"/>
    </row>
    <row r="2541" spans="1:39">
      <c r="A2541" s="2"/>
      <c r="AM2541" s="2"/>
    </row>
    <row r="2542" spans="1:39">
      <c r="A2542" s="2"/>
      <c r="AM2542" s="2"/>
    </row>
    <row r="2543" spans="1:39">
      <c r="A2543" s="2"/>
      <c r="AM2543" s="2"/>
    </row>
    <row r="2544" spans="1:39">
      <c r="A2544" s="2"/>
      <c r="AM2544" s="2"/>
    </row>
    <row r="2545" spans="1:39">
      <c r="A2545" s="2"/>
      <c r="AM2545" s="2"/>
    </row>
    <row r="2546" spans="1:39">
      <c r="A2546" s="2"/>
      <c r="AM2546" s="2"/>
    </row>
    <row r="2547" spans="1:39">
      <c r="A2547" s="2"/>
      <c r="AM2547" s="2"/>
    </row>
    <row r="2548" spans="1:39">
      <c r="A2548" s="2"/>
      <c r="AM2548" s="2"/>
    </row>
    <row r="2549" spans="1:39">
      <c r="A2549" s="2"/>
      <c r="AM2549" s="2"/>
    </row>
    <row r="2550" spans="1:39">
      <c r="A2550" s="2"/>
      <c r="AM2550" s="2"/>
    </row>
    <row r="2551" spans="1:39">
      <c r="A2551" s="2"/>
      <c r="AM2551" s="2"/>
    </row>
    <row r="2552" spans="1:39">
      <c r="A2552" s="2"/>
      <c r="AM2552" s="2"/>
    </row>
    <row r="2553" spans="1:39">
      <c r="A2553" s="2"/>
      <c r="AM2553" s="2"/>
    </row>
    <row r="2554" spans="1:39">
      <c r="A2554" s="2"/>
      <c r="AM2554" s="2"/>
    </row>
    <row r="2555" spans="1:39">
      <c r="A2555" s="2"/>
      <c r="AM2555" s="2"/>
    </row>
    <row r="2556" spans="1:39">
      <c r="A2556" s="2"/>
      <c r="AM2556" s="2"/>
    </row>
    <row r="2557" spans="1:39">
      <c r="A2557" s="2"/>
      <c r="AM2557" s="2"/>
    </row>
    <row r="2558" spans="1:39">
      <c r="A2558" s="2"/>
      <c r="AM2558" s="2"/>
    </row>
    <row r="2559" spans="1:39">
      <c r="A2559" s="2"/>
      <c r="AM2559" s="2"/>
    </row>
    <row r="2560" spans="1:39">
      <c r="A2560" s="2"/>
      <c r="AM2560" s="2"/>
    </row>
    <row r="2561" spans="1:39">
      <c r="A2561" s="2"/>
      <c r="AM2561" s="2"/>
    </row>
    <row r="2562" spans="1:39">
      <c r="A2562" s="2"/>
      <c r="AM2562" s="2"/>
    </row>
    <row r="2563" spans="1:39">
      <c r="A2563" s="2"/>
      <c r="AM2563" s="2"/>
    </row>
    <row r="2564" spans="1:39">
      <c r="A2564" s="2"/>
      <c r="AM2564" s="2"/>
    </row>
    <row r="2565" spans="1:39">
      <c r="A2565" s="2"/>
      <c r="AM2565" s="2"/>
    </row>
    <row r="2566" spans="1:39">
      <c r="A2566" s="2"/>
      <c r="AM2566" s="2"/>
    </row>
    <row r="2567" spans="1:39">
      <c r="A2567" s="2"/>
      <c r="AM2567" s="2"/>
    </row>
    <row r="2568" spans="1:39">
      <c r="A2568" s="2"/>
      <c r="AM2568" s="2"/>
    </row>
    <row r="2569" spans="1:39">
      <c r="A2569" s="2"/>
      <c r="AM2569" s="2"/>
    </row>
    <row r="2570" spans="1:39">
      <c r="A2570" s="2"/>
      <c r="AM2570" s="2"/>
    </row>
    <row r="2571" spans="1:39">
      <c r="A2571" s="2"/>
      <c r="AM2571" s="2"/>
    </row>
    <row r="2572" spans="1:39">
      <c r="A2572" s="2"/>
      <c r="AM2572" s="2"/>
    </row>
    <row r="2573" spans="1:39">
      <c r="A2573" s="2"/>
      <c r="AM2573" s="2"/>
    </row>
    <row r="2574" spans="1:39">
      <c r="A2574" s="2"/>
      <c r="AM2574" s="2"/>
    </row>
    <row r="2575" spans="1:39">
      <c r="A2575" s="2"/>
      <c r="AM2575" s="2"/>
    </row>
    <row r="2576" spans="1:39">
      <c r="A2576" s="2"/>
      <c r="AM2576" s="2"/>
    </row>
    <row r="2577" spans="1:39">
      <c r="A2577" s="2"/>
      <c r="AM2577" s="2"/>
    </row>
    <row r="2578" spans="1:39">
      <c r="A2578" s="2"/>
      <c r="AM2578" s="2"/>
    </row>
    <row r="2579" spans="1:39">
      <c r="A2579" s="2"/>
      <c r="AM2579" s="2"/>
    </row>
    <row r="2580" spans="1:39">
      <c r="A2580" s="2"/>
      <c r="AM2580" s="2"/>
    </row>
    <row r="2581" spans="1:39">
      <c r="A2581" s="2"/>
      <c r="AM2581" s="2"/>
    </row>
    <row r="2582" spans="1:39">
      <c r="A2582" s="2"/>
      <c r="AM2582" s="2"/>
    </row>
    <row r="2583" spans="1:39">
      <c r="A2583" s="2"/>
      <c r="AM2583" s="2"/>
    </row>
    <row r="2584" spans="1:39">
      <c r="A2584" s="2"/>
      <c r="AM2584" s="2"/>
    </row>
    <row r="2585" spans="1:39">
      <c r="A2585" s="2"/>
      <c r="AM2585" s="2"/>
    </row>
    <row r="2586" spans="1:39">
      <c r="A2586" s="2"/>
      <c r="AM2586" s="2"/>
    </row>
    <row r="2587" spans="1:39">
      <c r="A2587" s="2"/>
      <c r="AM2587" s="2"/>
    </row>
    <row r="2588" spans="1:39">
      <c r="A2588" s="2"/>
      <c r="AM2588" s="2"/>
    </row>
    <row r="2589" spans="1:39">
      <c r="A2589" s="2"/>
      <c r="AM2589" s="2"/>
    </row>
    <row r="2590" spans="1:39">
      <c r="A2590" s="2"/>
      <c r="AM2590" s="2"/>
    </row>
    <row r="2591" spans="1:39">
      <c r="A2591" s="2"/>
      <c r="AM2591" s="2"/>
    </row>
    <row r="2592" spans="1:39">
      <c r="A2592" s="2"/>
      <c r="AM2592" s="2"/>
    </row>
    <row r="2593" spans="1:39">
      <c r="A2593" s="2"/>
      <c r="AM2593" s="2"/>
    </row>
    <row r="2594" spans="1:39">
      <c r="A2594" s="2"/>
      <c r="AM2594" s="2"/>
    </row>
    <row r="2595" spans="1:39">
      <c r="A2595" s="2"/>
      <c r="AM2595" s="2"/>
    </row>
    <row r="2596" spans="1:39">
      <c r="A2596" s="2"/>
      <c r="AM2596" s="2"/>
    </row>
    <row r="2597" spans="1:39">
      <c r="A2597" s="2"/>
      <c r="AM2597" s="2"/>
    </row>
    <row r="2598" spans="1:39">
      <c r="A2598" s="2"/>
      <c r="AM2598" s="2"/>
    </row>
    <row r="2599" spans="1:39">
      <c r="A2599" s="2"/>
      <c r="AM2599" s="2"/>
    </row>
    <row r="2600" spans="1:39">
      <c r="A2600" s="2"/>
      <c r="AM2600" s="2"/>
    </row>
    <row r="2601" spans="1:39">
      <c r="A2601" s="2"/>
      <c r="AM2601" s="2"/>
    </row>
    <row r="2602" spans="1:39">
      <c r="A2602" s="2"/>
      <c r="AM2602" s="2"/>
    </row>
    <row r="2603" spans="1:39">
      <c r="A2603" s="2"/>
      <c r="AM2603" s="2"/>
    </row>
    <row r="2604" spans="1:39">
      <c r="A2604" s="2"/>
      <c r="AM2604" s="2"/>
    </row>
    <row r="2605" spans="1:39">
      <c r="A2605" s="2"/>
      <c r="AM2605" s="2"/>
    </row>
    <row r="2606" spans="1:39">
      <c r="A2606" s="2"/>
      <c r="AM2606" s="2"/>
    </row>
    <row r="2607" spans="1:39">
      <c r="A2607" s="2"/>
      <c r="AM2607" s="2"/>
    </row>
    <row r="2608" spans="1:39">
      <c r="A2608" s="2"/>
      <c r="AM2608" s="2"/>
    </row>
    <row r="2609" spans="1:39">
      <c r="A2609" s="2"/>
      <c r="AM2609" s="2"/>
    </row>
    <row r="2610" spans="1:39">
      <c r="A2610" s="2"/>
      <c r="AM2610" s="2"/>
    </row>
    <row r="2611" spans="1:39">
      <c r="A2611" s="2"/>
      <c r="AM2611" s="2"/>
    </row>
    <row r="2612" spans="1:39">
      <c r="A2612" s="2"/>
      <c r="AM2612" s="2"/>
    </row>
    <row r="2613" spans="1:39">
      <c r="A2613" s="2"/>
      <c r="AM2613" s="2"/>
    </row>
    <row r="2614" spans="1:39">
      <c r="A2614" s="2"/>
      <c r="AM2614" s="2"/>
    </row>
    <row r="2615" spans="1:39">
      <c r="A2615" s="2"/>
      <c r="AM2615" s="2"/>
    </row>
    <row r="2616" spans="1:39">
      <c r="A2616" s="2"/>
      <c r="AM2616" s="2"/>
    </row>
    <row r="2617" spans="1:39">
      <c r="A2617" s="2"/>
      <c r="AM2617" s="2"/>
    </row>
    <row r="2618" spans="1:39">
      <c r="A2618" s="2"/>
      <c r="AM2618" s="2"/>
    </row>
    <row r="2619" spans="1:39">
      <c r="A2619" s="2"/>
      <c r="AM2619" s="2"/>
    </row>
    <row r="2620" spans="1:39">
      <c r="A2620" s="2"/>
      <c r="AM2620" s="2"/>
    </row>
    <row r="2621" spans="1:39">
      <c r="A2621" s="2"/>
      <c r="AM2621" s="2"/>
    </row>
    <row r="2622" spans="1:39">
      <c r="A2622" s="2"/>
      <c r="AM2622" s="2"/>
    </row>
    <row r="2623" spans="1:39">
      <c r="A2623" s="2"/>
      <c r="AM2623" s="2"/>
    </row>
    <row r="2624" spans="1:39">
      <c r="A2624" s="2"/>
      <c r="AM2624" s="2"/>
    </row>
    <row r="2625" spans="1:39">
      <c r="A2625" s="2"/>
      <c r="AM2625" s="2"/>
    </row>
    <row r="2626" spans="1:39">
      <c r="A2626" s="2"/>
      <c r="AM2626" s="2"/>
    </row>
    <row r="2627" spans="1:39">
      <c r="A2627" s="2"/>
      <c r="AM2627" s="2"/>
    </row>
    <row r="2628" spans="1:39">
      <c r="A2628" s="2"/>
      <c r="AM2628" s="2"/>
    </row>
    <row r="2629" spans="1:39">
      <c r="A2629" s="2"/>
      <c r="AM2629" s="2"/>
    </row>
    <row r="2630" spans="1:39">
      <c r="A2630" s="2"/>
      <c r="AM2630" s="2"/>
    </row>
    <row r="2631" spans="1:39">
      <c r="A2631" s="2"/>
      <c r="AM2631" s="2"/>
    </row>
    <row r="2632" spans="1:39">
      <c r="A2632" s="2"/>
      <c r="AM2632" s="2"/>
    </row>
    <row r="2633" spans="1:39">
      <c r="A2633" s="2"/>
      <c r="AM2633" s="2"/>
    </row>
    <row r="2634" spans="1:39">
      <c r="A2634" s="2"/>
      <c r="AM2634" s="2"/>
    </row>
    <row r="2635" spans="1:39">
      <c r="A2635" s="2"/>
      <c r="AM2635" s="2"/>
    </row>
    <row r="2636" spans="1:39">
      <c r="A2636" s="2"/>
      <c r="AM2636" s="2"/>
    </row>
    <row r="2637" spans="1:39">
      <c r="A2637" s="2"/>
      <c r="AM2637" s="2"/>
    </row>
    <row r="2638" spans="1:39">
      <c r="A2638" s="2"/>
      <c r="AM2638" s="2"/>
    </row>
    <row r="2639" spans="1:39">
      <c r="A2639" s="2"/>
      <c r="AM2639" s="2"/>
    </row>
    <row r="2640" spans="1:39">
      <c r="A2640" s="2"/>
      <c r="AM2640" s="2"/>
    </row>
    <row r="2641" spans="1:39">
      <c r="A2641" s="2"/>
      <c r="AM2641" s="2"/>
    </row>
    <row r="2642" spans="1:39">
      <c r="A2642" s="2"/>
      <c r="AM2642" s="2"/>
    </row>
    <row r="2643" spans="1:39">
      <c r="A2643" s="2"/>
      <c r="AM2643" s="2"/>
    </row>
    <row r="2644" spans="1:39">
      <c r="A2644" s="2"/>
      <c r="AM2644" s="2"/>
    </row>
    <row r="2645" spans="1:39">
      <c r="A2645" s="2"/>
      <c r="AM2645" s="2"/>
    </row>
    <row r="2646" spans="1:39">
      <c r="A2646" s="2"/>
      <c r="AM2646" s="2"/>
    </row>
    <row r="2647" spans="1:39">
      <c r="A2647" s="2"/>
      <c r="AM2647" s="2"/>
    </row>
    <row r="2648" spans="1:39">
      <c r="A2648" s="2"/>
      <c r="AM2648" s="2"/>
    </row>
    <row r="2649" spans="1:39">
      <c r="A2649" s="2"/>
      <c r="AM2649" s="2"/>
    </row>
    <row r="2650" spans="1:39">
      <c r="A2650" s="2"/>
      <c r="AM2650" s="2"/>
    </row>
    <row r="2651" spans="1:39">
      <c r="A2651" s="2"/>
      <c r="AM2651" s="2"/>
    </row>
    <row r="2652" spans="1:39">
      <c r="A2652" s="2"/>
      <c r="AM2652" s="2"/>
    </row>
    <row r="2653" spans="1:39">
      <c r="A2653" s="2"/>
      <c r="AM2653" s="2"/>
    </row>
    <row r="2654" spans="1:39">
      <c r="A2654" s="2"/>
      <c r="AM2654" s="2"/>
    </row>
    <row r="2655" spans="1:39">
      <c r="A2655" s="2"/>
      <c r="AM2655" s="2"/>
    </row>
    <row r="2656" spans="1:39">
      <c r="A2656" s="2"/>
      <c r="AM2656" s="2"/>
    </row>
    <row r="2657" spans="1:39">
      <c r="A2657" s="2"/>
      <c r="AM2657" s="2"/>
    </row>
    <row r="2658" spans="1:39">
      <c r="A2658" s="2"/>
      <c r="AM2658" s="2"/>
    </row>
    <row r="2659" spans="1:39">
      <c r="A2659" s="2"/>
      <c r="AM2659" s="2"/>
    </row>
    <row r="2660" spans="1:39">
      <c r="A2660" s="2"/>
      <c r="AM2660" s="2"/>
    </row>
    <row r="2661" spans="1:39">
      <c r="A2661" s="2"/>
      <c r="AM2661" s="2"/>
    </row>
    <row r="2662" spans="1:39">
      <c r="A2662" s="2"/>
      <c r="AM2662" s="2"/>
    </row>
    <row r="2663" spans="1:39">
      <c r="A2663" s="2"/>
      <c r="AM2663" s="2"/>
    </row>
    <row r="2664" spans="1:39">
      <c r="A2664" s="2"/>
      <c r="AM2664" s="2"/>
    </row>
    <row r="2665" spans="1:39">
      <c r="A2665" s="2"/>
      <c r="AM2665" s="2"/>
    </row>
    <row r="2666" spans="1:39">
      <c r="A2666" s="2"/>
      <c r="AM2666" s="2"/>
    </row>
    <row r="2667" spans="1:39">
      <c r="A2667" s="2"/>
      <c r="AM2667" s="2"/>
    </row>
    <row r="2668" spans="1:39">
      <c r="A2668" s="2"/>
      <c r="AM2668" s="2"/>
    </row>
    <row r="2669" spans="1:39">
      <c r="A2669" s="2"/>
      <c r="AM2669" s="2"/>
    </row>
    <row r="2670" spans="1:39">
      <c r="A2670" s="2"/>
      <c r="AM2670" s="2"/>
    </row>
    <row r="2671" spans="1:39">
      <c r="A2671" s="2"/>
      <c r="AM2671" s="2"/>
    </row>
    <row r="2672" spans="1:39">
      <c r="A2672" s="2"/>
      <c r="AM2672" s="2"/>
    </row>
    <row r="2673" spans="1:39">
      <c r="A2673" s="2"/>
      <c r="AM2673" s="2"/>
    </row>
    <row r="2674" spans="1:39">
      <c r="A2674" s="2"/>
      <c r="AM2674" s="2"/>
    </row>
    <row r="2675" spans="1:39">
      <c r="A2675" s="2"/>
      <c r="AM2675" s="2"/>
    </row>
    <row r="2676" spans="1:39">
      <c r="A2676" s="2"/>
      <c r="AM2676" s="2"/>
    </row>
    <row r="2677" spans="1:39">
      <c r="A2677" s="2"/>
      <c r="AM2677" s="2"/>
    </row>
    <row r="2678" spans="1:39">
      <c r="A2678" s="2"/>
      <c r="AM2678" s="2"/>
    </row>
    <row r="2679" spans="1:39">
      <c r="A2679" s="2"/>
      <c r="AM2679" s="2"/>
    </row>
    <row r="2680" spans="1:39">
      <c r="A2680" s="2"/>
      <c r="AM2680" s="2"/>
    </row>
    <row r="2681" spans="1:39">
      <c r="A2681" s="2"/>
      <c r="AM2681" s="2"/>
    </row>
    <row r="2682" spans="1:39">
      <c r="A2682" s="2"/>
      <c r="AM2682" s="2"/>
    </row>
    <row r="2683" spans="1:39">
      <c r="A2683" s="2"/>
      <c r="AM2683" s="2"/>
    </row>
    <row r="2684" spans="1:39">
      <c r="A2684" s="2"/>
      <c r="AM2684" s="2"/>
    </row>
    <row r="2685" spans="1:39">
      <c r="A2685" s="2"/>
      <c r="AM2685" s="2"/>
    </row>
    <row r="2686" spans="1:39">
      <c r="A2686" s="2"/>
      <c r="AM2686" s="2"/>
    </row>
    <row r="2687" spans="1:39">
      <c r="A2687" s="2"/>
      <c r="AM2687" s="2"/>
    </row>
    <row r="2688" spans="1:39">
      <c r="A2688" s="2"/>
      <c r="AM2688" s="2"/>
    </row>
    <row r="2689" spans="1:39">
      <c r="A2689" s="2"/>
      <c r="AM2689" s="2"/>
    </row>
    <row r="2690" spans="1:39">
      <c r="A2690" s="2"/>
      <c r="AM2690" s="2"/>
    </row>
    <row r="2691" spans="1:39">
      <c r="A2691" s="2"/>
      <c r="AM2691" s="2"/>
    </row>
    <row r="2692" spans="1:39">
      <c r="A2692" s="2"/>
      <c r="AM2692" s="2"/>
    </row>
    <row r="2693" spans="1:39">
      <c r="A2693" s="2"/>
      <c r="AM2693" s="2"/>
    </row>
    <row r="2694" spans="1:39">
      <c r="A2694" s="2"/>
      <c r="AM2694" s="2"/>
    </row>
    <row r="2695" spans="1:39">
      <c r="A2695" s="2"/>
      <c r="AM2695" s="2"/>
    </row>
    <row r="2696" spans="1:39">
      <c r="A2696" s="2"/>
      <c r="AM2696" s="2"/>
    </row>
    <row r="2697" spans="1:39">
      <c r="A2697" s="2"/>
      <c r="AM2697" s="2"/>
    </row>
    <row r="2698" spans="1:39">
      <c r="A2698" s="2"/>
      <c r="AM2698" s="2"/>
    </row>
    <row r="2699" spans="1:39">
      <c r="A2699" s="2"/>
      <c r="AM2699" s="2"/>
    </row>
    <row r="2700" spans="1:39">
      <c r="A2700" s="2"/>
      <c r="AM2700" s="2"/>
    </row>
    <row r="2701" spans="1:39">
      <c r="A2701" s="2"/>
      <c r="AM2701" s="2"/>
    </row>
    <row r="2702" spans="1:39">
      <c r="A2702" s="2"/>
      <c r="AM2702" s="2"/>
    </row>
    <row r="2703" spans="1:39">
      <c r="A2703" s="2"/>
      <c r="AM2703" s="2"/>
    </row>
    <row r="2704" spans="1:39">
      <c r="A2704" s="2"/>
      <c r="AM2704" s="2"/>
    </row>
    <row r="2705" spans="1:39">
      <c r="A2705" s="2"/>
      <c r="AM2705" s="2"/>
    </row>
    <row r="2706" spans="1:39">
      <c r="A2706" s="2"/>
      <c r="AM2706" s="2"/>
    </row>
    <row r="2707" spans="1:39">
      <c r="A2707" s="2"/>
      <c r="AM2707" s="2"/>
    </row>
    <row r="2708" spans="1:39">
      <c r="A2708" s="2"/>
      <c r="AM2708" s="2"/>
    </row>
    <row r="2709" spans="1:39">
      <c r="A2709" s="2"/>
      <c r="AM2709" s="2"/>
    </row>
    <row r="2710" spans="1:39">
      <c r="A2710" s="2"/>
      <c r="AM2710" s="2"/>
    </row>
    <row r="2711" spans="1:39">
      <c r="A2711" s="2"/>
      <c r="AM2711" s="2"/>
    </row>
    <row r="2712" spans="1:39">
      <c r="A2712" s="2"/>
      <c r="AM2712" s="2"/>
    </row>
    <row r="2713" spans="1:39">
      <c r="A2713" s="2"/>
      <c r="AM2713" s="2"/>
    </row>
    <row r="2714" spans="1:39">
      <c r="A2714" s="2"/>
      <c r="AM2714" s="2"/>
    </row>
    <row r="2715" spans="1:39">
      <c r="A2715" s="2"/>
      <c r="AM2715" s="2"/>
    </row>
    <row r="2716" spans="1:39">
      <c r="A2716" s="2"/>
      <c r="AM2716" s="2"/>
    </row>
    <row r="2717" spans="1:39">
      <c r="A2717" s="2"/>
      <c r="AM2717" s="2"/>
    </row>
    <row r="2718" spans="1:39">
      <c r="A2718" s="2"/>
      <c r="AM2718" s="2"/>
    </row>
    <row r="2719" spans="1:39">
      <c r="A2719" s="2"/>
      <c r="AM2719" s="2"/>
    </row>
    <row r="2720" spans="1:39">
      <c r="A2720" s="2"/>
      <c r="AM2720" s="2"/>
    </row>
    <row r="2721" spans="1:39">
      <c r="A2721" s="2"/>
      <c r="AM2721" s="2"/>
    </row>
    <row r="2722" spans="1:39">
      <c r="A2722" s="2"/>
      <c r="AM2722" s="2"/>
    </row>
    <row r="2723" spans="1:39">
      <c r="A2723" s="2"/>
      <c r="AM2723" s="2"/>
    </row>
    <row r="2724" spans="1:39">
      <c r="A2724" s="2"/>
      <c r="AM2724" s="2"/>
    </row>
    <row r="2725" spans="1:39">
      <c r="A2725" s="2"/>
      <c r="AM2725" s="2"/>
    </row>
    <row r="2726" spans="1:39">
      <c r="A2726" s="2"/>
      <c r="AM2726" s="2"/>
    </row>
    <row r="2727" spans="1:39">
      <c r="A2727" s="2"/>
      <c r="AM2727" s="2"/>
    </row>
    <row r="2728" spans="1:39">
      <c r="A2728" s="2"/>
      <c r="AM2728" s="2"/>
    </row>
    <row r="2729" spans="1:39">
      <c r="A2729" s="2"/>
      <c r="AM2729" s="2"/>
    </row>
    <row r="2730" spans="1:39">
      <c r="A2730" s="2"/>
      <c r="AM2730" s="2"/>
    </row>
    <row r="2731" spans="1:39">
      <c r="A2731" s="2"/>
      <c r="AM2731" s="2"/>
    </row>
    <row r="2732" spans="1:39">
      <c r="A2732" s="2"/>
      <c r="AM2732" s="2"/>
    </row>
    <row r="2733" spans="1:39">
      <c r="A2733" s="2"/>
      <c r="AM2733" s="2"/>
    </row>
    <row r="2734" spans="1:39">
      <c r="A2734" s="2"/>
      <c r="AM2734" s="2"/>
    </row>
    <row r="2735" spans="1:39">
      <c r="A2735" s="2"/>
      <c r="AM2735" s="2"/>
    </row>
    <row r="2736" spans="1:39">
      <c r="A2736" s="2"/>
      <c r="AM2736" s="2"/>
    </row>
    <row r="2737" spans="1:39">
      <c r="A2737" s="2"/>
      <c r="AM2737" s="2"/>
    </row>
    <row r="2738" spans="1:39">
      <c r="A2738" s="2"/>
      <c r="AM2738" s="2"/>
    </row>
    <row r="2739" spans="1:39">
      <c r="A2739" s="2"/>
      <c r="AM2739" s="2"/>
    </row>
    <row r="2740" spans="1:39">
      <c r="A2740" s="2"/>
      <c r="AM2740" s="2"/>
    </row>
    <row r="2741" spans="1:39">
      <c r="A2741" s="2"/>
      <c r="AM2741" s="2"/>
    </row>
    <row r="2742" spans="1:39">
      <c r="A2742" s="2"/>
      <c r="AM2742" s="2"/>
    </row>
    <row r="2743" spans="1:39">
      <c r="A2743" s="2"/>
      <c r="AM2743" s="2"/>
    </row>
    <row r="2744" spans="1:39">
      <c r="A2744" s="2"/>
      <c r="AM2744" s="2"/>
    </row>
    <row r="2745" spans="1:39">
      <c r="A2745" s="2"/>
      <c r="AM2745" s="2"/>
    </row>
    <row r="2746" spans="1:39">
      <c r="A2746" s="2"/>
      <c r="AM2746" s="2"/>
    </row>
    <row r="2747" spans="1:39">
      <c r="A2747" s="2"/>
      <c r="AM2747" s="2"/>
    </row>
    <row r="2748" spans="1:39">
      <c r="A2748" s="2"/>
      <c r="AM2748" s="2"/>
    </row>
    <row r="2749" spans="1:39">
      <c r="A2749" s="2"/>
      <c r="AM2749" s="2"/>
    </row>
    <row r="2750" spans="1:39">
      <c r="A2750" s="2"/>
      <c r="AM2750" s="2"/>
    </row>
    <row r="2751" spans="1:39">
      <c r="A2751" s="2"/>
      <c r="AM2751" s="2"/>
    </row>
    <row r="2752" spans="1:39">
      <c r="A2752" s="2"/>
      <c r="AM2752" s="2"/>
    </row>
    <row r="2753" spans="1:39">
      <c r="A2753" s="2"/>
      <c r="AM2753" s="2"/>
    </row>
    <row r="2754" spans="1:39">
      <c r="A2754" s="2"/>
      <c r="AM2754" s="2"/>
    </row>
    <row r="2755" spans="1:39">
      <c r="A2755" s="2"/>
      <c r="AM2755" s="2"/>
    </row>
    <row r="2756" spans="1:39">
      <c r="A2756" s="2"/>
      <c r="AM2756" s="2"/>
    </row>
    <row r="2757" spans="1:39">
      <c r="A2757" s="2"/>
      <c r="AM2757" s="2"/>
    </row>
    <row r="2758" spans="1:39">
      <c r="A2758" s="2"/>
      <c r="AM2758" s="2"/>
    </row>
    <row r="2759" spans="1:39">
      <c r="A2759" s="2"/>
      <c r="AM2759" s="2"/>
    </row>
    <row r="2760" spans="1:39">
      <c r="A2760" s="2"/>
      <c r="AM2760" s="2"/>
    </row>
    <row r="2761" spans="1:39">
      <c r="A2761" s="2"/>
      <c r="AM2761" s="2"/>
    </row>
    <row r="2762" spans="1:39">
      <c r="A2762" s="2"/>
      <c r="AM2762" s="2"/>
    </row>
    <row r="2763" spans="1:39">
      <c r="A2763" s="2"/>
      <c r="AM2763" s="2"/>
    </row>
    <row r="2764" spans="1:39">
      <c r="A2764" s="2"/>
      <c r="AM2764" s="2"/>
    </row>
    <row r="2765" spans="1:39">
      <c r="A2765" s="2"/>
      <c r="AM2765" s="2"/>
    </row>
    <row r="2766" spans="1:39">
      <c r="A2766" s="2"/>
      <c r="AM2766" s="2"/>
    </row>
    <row r="2767" spans="1:39">
      <c r="A2767" s="2"/>
      <c r="AM2767" s="2"/>
    </row>
    <row r="2768" spans="1:39">
      <c r="A2768" s="2"/>
      <c r="AM2768" s="2"/>
    </row>
    <row r="2769" spans="1:39">
      <c r="A2769" s="2"/>
      <c r="AM2769" s="2"/>
    </row>
    <row r="2770" spans="1:39">
      <c r="A2770" s="2"/>
      <c r="AM2770" s="2"/>
    </row>
    <row r="2771" spans="1:39">
      <c r="A2771" s="2"/>
      <c r="AM2771" s="2"/>
    </row>
    <row r="2772" spans="1:39">
      <c r="A2772" s="2"/>
      <c r="AM2772" s="2"/>
    </row>
    <row r="2773" spans="1:39">
      <c r="A2773" s="2"/>
      <c r="AM2773" s="2"/>
    </row>
    <row r="2774" spans="1:39">
      <c r="A2774" s="2"/>
      <c r="AM2774" s="2"/>
    </row>
    <row r="2775" spans="1:39">
      <c r="A2775" s="2"/>
      <c r="AM2775" s="2"/>
    </row>
    <row r="2776" spans="1:39">
      <c r="A2776" s="2"/>
      <c r="AM2776" s="2"/>
    </row>
    <row r="2777" spans="1:39">
      <c r="A2777" s="2"/>
      <c r="AM2777" s="2"/>
    </row>
    <row r="2778" spans="1:39">
      <c r="A2778" s="2"/>
      <c r="AM2778" s="2"/>
    </row>
    <row r="2779" spans="1:39">
      <c r="A2779" s="2"/>
      <c r="AM2779" s="2"/>
    </row>
    <row r="2780" spans="1:39">
      <c r="A2780" s="2"/>
      <c r="AM2780" s="2"/>
    </row>
    <row r="2781" spans="1:39">
      <c r="A2781" s="2"/>
      <c r="AM2781" s="2"/>
    </row>
    <row r="2782" spans="1:39">
      <c r="A2782" s="2"/>
      <c r="AM2782" s="2"/>
    </row>
    <row r="2783" spans="1:39">
      <c r="A2783" s="2"/>
      <c r="AM2783" s="2"/>
    </row>
    <row r="2784" spans="1:39">
      <c r="A2784" s="2"/>
      <c r="AM2784" s="2"/>
    </row>
    <row r="2785" spans="1:39">
      <c r="A2785" s="2"/>
      <c r="AM2785" s="2"/>
    </row>
    <row r="2786" spans="1:39">
      <c r="A2786" s="2"/>
      <c r="AM2786" s="2"/>
    </row>
    <row r="2787" spans="1:39">
      <c r="A2787" s="2"/>
      <c r="AM2787" s="2"/>
    </row>
    <row r="2788" spans="1:39">
      <c r="A2788" s="2"/>
      <c r="AM2788" s="2"/>
    </row>
    <row r="2789" spans="1:39">
      <c r="A2789" s="2"/>
      <c r="AM2789" s="2"/>
    </row>
    <row r="2790" spans="1:39">
      <c r="A2790" s="2"/>
      <c r="AM2790" s="2"/>
    </row>
    <row r="2791" spans="1:39">
      <c r="A2791" s="2"/>
      <c r="AM2791" s="2"/>
    </row>
    <row r="2792" spans="1:39">
      <c r="A2792" s="2"/>
      <c r="AM2792" s="2"/>
    </row>
    <row r="2793" spans="1:39">
      <c r="A2793" s="2"/>
      <c r="AM2793" s="2"/>
    </row>
    <row r="2794" spans="1:39">
      <c r="A2794" s="2"/>
      <c r="AM2794" s="2"/>
    </row>
    <row r="2795" spans="1:39">
      <c r="A2795" s="2"/>
      <c r="AM2795" s="2"/>
    </row>
    <row r="2796" spans="1:39">
      <c r="A2796" s="2"/>
      <c r="AM2796" s="2"/>
    </row>
    <row r="2797" spans="1:39">
      <c r="A2797" s="2"/>
      <c r="AM2797" s="2"/>
    </row>
    <row r="2798" spans="1:39">
      <c r="A2798" s="2"/>
      <c r="AM2798" s="2"/>
    </row>
    <row r="2799" spans="1:39">
      <c r="A2799" s="2"/>
      <c r="AM2799" s="2"/>
    </row>
    <row r="2800" spans="1:39">
      <c r="A2800" s="2"/>
      <c r="AM2800" s="2"/>
    </row>
    <row r="2801" spans="1:39">
      <c r="A2801" s="2"/>
      <c r="AM2801" s="2"/>
    </row>
    <row r="2802" spans="1:39">
      <c r="A2802" s="2"/>
      <c r="AM2802" s="2"/>
    </row>
    <row r="2803" spans="1:39">
      <c r="A2803" s="2"/>
      <c r="AM2803" s="2"/>
    </row>
    <row r="2804" spans="1:39">
      <c r="A2804" s="2"/>
      <c r="AM2804" s="2"/>
    </row>
    <row r="2805" spans="1:39">
      <c r="A2805" s="2"/>
      <c r="AM2805" s="2"/>
    </row>
    <row r="2806" spans="1:39">
      <c r="A2806" s="2"/>
      <c r="AM2806" s="2"/>
    </row>
    <row r="2807" spans="1:39">
      <c r="A2807" s="2"/>
      <c r="AM2807" s="2"/>
    </row>
    <row r="2808" spans="1:39">
      <c r="A2808" s="2"/>
      <c r="AM2808" s="2"/>
    </row>
    <row r="2809" spans="1:39">
      <c r="A2809" s="2"/>
      <c r="AM2809" s="2"/>
    </row>
    <row r="2810" spans="1:39">
      <c r="A2810" s="2"/>
      <c r="AM2810" s="2"/>
    </row>
    <row r="2811" spans="1:39">
      <c r="A2811" s="2"/>
      <c r="AM2811" s="2"/>
    </row>
    <row r="2812" spans="1:39">
      <c r="A2812" s="2"/>
      <c r="AM2812" s="2"/>
    </row>
    <row r="2813" spans="1:39">
      <c r="A2813" s="2"/>
      <c r="AM2813" s="2"/>
    </row>
    <row r="2814" spans="1:39">
      <c r="A2814" s="2"/>
      <c r="AM2814" s="2"/>
    </row>
    <row r="2815" spans="1:39">
      <c r="A2815" s="2"/>
      <c r="AM2815" s="2"/>
    </row>
    <row r="2816" spans="1:39">
      <c r="A2816" s="2"/>
      <c r="AM2816" s="2"/>
    </row>
    <row r="2817" spans="1:39">
      <c r="A2817" s="2"/>
      <c r="AM2817" s="2"/>
    </row>
    <row r="2818" spans="1:39">
      <c r="A2818" s="2"/>
      <c r="AM2818" s="2"/>
    </row>
    <row r="2819" spans="1:39">
      <c r="A2819" s="2"/>
      <c r="AM2819" s="2"/>
    </row>
    <row r="2820" spans="1:39">
      <c r="A2820" s="2"/>
      <c r="AM2820" s="2"/>
    </row>
    <row r="2821" spans="1:39">
      <c r="A2821" s="2"/>
      <c r="AM2821" s="2"/>
    </row>
    <row r="2822" spans="1:39">
      <c r="A2822" s="2"/>
      <c r="AM2822" s="2"/>
    </row>
    <row r="2823" spans="1:39">
      <c r="A2823" s="2"/>
      <c r="AM2823" s="2"/>
    </row>
    <row r="2824" spans="1:39">
      <c r="A2824" s="2"/>
      <c r="AM2824" s="2"/>
    </row>
    <row r="2825" spans="1:39">
      <c r="A2825" s="2"/>
      <c r="AM2825" s="2"/>
    </row>
    <row r="2826" spans="1:39">
      <c r="A2826" s="2"/>
      <c r="AM2826" s="2"/>
    </row>
    <row r="2827" spans="1:39">
      <c r="A2827" s="2"/>
      <c r="AM2827" s="2"/>
    </row>
    <row r="2828" spans="1:39">
      <c r="A2828" s="2"/>
      <c r="AM2828" s="2"/>
    </row>
    <row r="2829" spans="1:39">
      <c r="A2829" s="2"/>
      <c r="AM2829" s="2"/>
    </row>
    <row r="2830" spans="1:39">
      <c r="A2830" s="2"/>
      <c r="AM2830" s="2"/>
    </row>
    <row r="2831" spans="1:39">
      <c r="A2831" s="2"/>
      <c r="AM2831" s="2"/>
    </row>
    <row r="2832" spans="1:39">
      <c r="A2832" s="2"/>
      <c r="AM2832" s="2"/>
    </row>
    <row r="2833" spans="1:39">
      <c r="A2833" s="2"/>
      <c r="AM2833" s="2"/>
    </row>
    <row r="2834" spans="1:39">
      <c r="A2834" s="2"/>
      <c r="AM2834" s="2"/>
    </row>
    <row r="2835" spans="1:39">
      <c r="A2835" s="2"/>
      <c r="AM2835" s="2"/>
    </row>
    <row r="2836" spans="1:39">
      <c r="A2836" s="2"/>
      <c r="AM2836" s="2"/>
    </row>
    <row r="2837" spans="1:39">
      <c r="A2837" s="2"/>
      <c r="AM2837" s="2"/>
    </row>
    <row r="2838" spans="1:39">
      <c r="A2838" s="2"/>
      <c r="AM2838" s="2"/>
    </row>
    <row r="2839" spans="1:39">
      <c r="A2839" s="2"/>
      <c r="AM2839" s="2"/>
    </row>
    <row r="2840" spans="1:39">
      <c r="A2840" s="2"/>
      <c r="AM2840" s="2"/>
    </row>
    <row r="2841" spans="1:39">
      <c r="A2841" s="2"/>
      <c r="AM2841" s="2"/>
    </row>
    <row r="2842" spans="1:39">
      <c r="A2842" s="2"/>
      <c r="AM2842" s="2"/>
    </row>
    <row r="2843" spans="1:39">
      <c r="A2843" s="2"/>
      <c r="AM2843" s="2"/>
    </row>
    <row r="2844" spans="1:39">
      <c r="A2844" s="2"/>
      <c r="AM2844" s="2"/>
    </row>
    <row r="2845" spans="1:39">
      <c r="A2845" s="2"/>
      <c r="AM2845" s="2"/>
    </row>
    <row r="2846" spans="1:39">
      <c r="A2846" s="2"/>
      <c r="AM2846" s="2"/>
    </row>
    <row r="2847" spans="1:39">
      <c r="A2847" s="2"/>
      <c r="AM2847" s="2"/>
    </row>
    <row r="2848" spans="1:39">
      <c r="A2848" s="2"/>
      <c r="AM2848" s="2"/>
    </row>
    <row r="2849" spans="1:39">
      <c r="A2849" s="2"/>
      <c r="AM2849" s="2"/>
    </row>
    <row r="2850" spans="1:39">
      <c r="A2850" s="2"/>
      <c r="AM2850" s="2"/>
    </row>
    <row r="2851" spans="1:39">
      <c r="A2851" s="2"/>
      <c r="AM2851" s="2"/>
    </row>
    <row r="2852" spans="1:39">
      <c r="A2852" s="2"/>
      <c r="AM2852" s="2"/>
    </row>
    <row r="2853" spans="1:39">
      <c r="A2853" s="2"/>
      <c r="AM2853" s="2"/>
    </row>
    <row r="2854" spans="1:39">
      <c r="A2854" s="2"/>
      <c r="AM2854" s="2"/>
    </row>
    <row r="2855" spans="1:39">
      <c r="A2855" s="2"/>
      <c r="AM2855" s="2"/>
    </row>
    <row r="2856" spans="1:39">
      <c r="A2856" s="2"/>
      <c r="AM2856" s="2"/>
    </row>
    <row r="2857" spans="1:39">
      <c r="A2857" s="2"/>
      <c r="AM2857" s="2"/>
    </row>
    <row r="2858" spans="1:39">
      <c r="A2858" s="2"/>
      <c r="AM2858" s="2"/>
    </row>
    <row r="2859" spans="1:39">
      <c r="A2859" s="2"/>
      <c r="AM2859" s="2"/>
    </row>
    <row r="2860" spans="1:39">
      <c r="A2860" s="2"/>
      <c r="AM2860" s="2"/>
    </row>
    <row r="2861" spans="1:39">
      <c r="A2861" s="2"/>
      <c r="AM2861" s="2"/>
    </row>
    <row r="2862" spans="1:39">
      <c r="A2862" s="2"/>
      <c r="AM2862" s="2"/>
    </row>
    <row r="2863" spans="1:39">
      <c r="A2863" s="2"/>
      <c r="AM2863" s="2"/>
    </row>
    <row r="2864" spans="1:39">
      <c r="A2864" s="2"/>
      <c r="AM2864" s="2"/>
    </row>
    <row r="2865" spans="1:39">
      <c r="A2865" s="2"/>
      <c r="AM2865" s="2"/>
    </row>
    <row r="2866" spans="1:39">
      <c r="A2866" s="2"/>
      <c r="AM2866" s="2"/>
    </row>
    <row r="2867" spans="1:39">
      <c r="A2867" s="2"/>
      <c r="AM2867" s="2"/>
    </row>
    <row r="2868" spans="1:39">
      <c r="A2868" s="2"/>
      <c r="AM2868" s="2"/>
    </row>
    <row r="2869" spans="1:39">
      <c r="A2869" s="2"/>
      <c r="AM2869" s="2"/>
    </row>
    <row r="2870" spans="1:39">
      <c r="A2870" s="2"/>
      <c r="AM2870" s="2"/>
    </row>
    <row r="2871" spans="1:39">
      <c r="A2871" s="2"/>
      <c r="AM2871" s="2"/>
    </row>
    <row r="2872" spans="1:39">
      <c r="A2872" s="2"/>
      <c r="AM2872" s="2"/>
    </row>
    <row r="2873" spans="1:39">
      <c r="A2873" s="2"/>
      <c r="AM2873" s="2"/>
    </row>
    <row r="2874" spans="1:39">
      <c r="A2874" s="2"/>
      <c r="AM2874" s="2"/>
    </row>
    <row r="2875" spans="1:39">
      <c r="A2875" s="2"/>
      <c r="AM2875" s="2"/>
    </row>
    <row r="2876" spans="1:39">
      <c r="A2876" s="2"/>
      <c r="AM2876" s="2"/>
    </row>
    <row r="2877" spans="1:39">
      <c r="A2877" s="2"/>
      <c r="AM2877" s="2"/>
    </row>
    <row r="2878" spans="1:39">
      <c r="A2878" s="2"/>
      <c r="AM2878" s="2"/>
    </row>
    <row r="2879" spans="1:39">
      <c r="A2879" s="2"/>
      <c r="AM2879" s="2"/>
    </row>
    <row r="2880" spans="1:39">
      <c r="A2880" s="2"/>
      <c r="AM2880" s="2"/>
    </row>
    <row r="2881" spans="1:39">
      <c r="A2881" s="2"/>
      <c r="AM2881" s="2"/>
    </row>
    <row r="2882" spans="1:39">
      <c r="A2882" s="2"/>
      <c r="AM2882" s="2"/>
    </row>
    <row r="2883" spans="1:39">
      <c r="A2883" s="2"/>
      <c r="AM2883" s="2"/>
    </row>
    <row r="2884" spans="1:39">
      <c r="A2884" s="2"/>
      <c r="AM2884" s="2"/>
    </row>
    <row r="2885" spans="1:39">
      <c r="A2885" s="2"/>
      <c r="AM2885" s="2"/>
    </row>
    <row r="2886" spans="1:39">
      <c r="A2886" s="2"/>
      <c r="AM2886" s="2"/>
    </row>
    <row r="2887" spans="1:39">
      <c r="A2887" s="2"/>
      <c r="AM2887" s="2"/>
    </row>
    <row r="2888" spans="1:39">
      <c r="A2888" s="2"/>
      <c r="AM2888" s="2"/>
    </row>
    <row r="2889" spans="1:39">
      <c r="A2889" s="2"/>
      <c r="AM2889" s="2"/>
    </row>
    <row r="2890" spans="1:39">
      <c r="A2890" s="2"/>
      <c r="AM2890" s="2"/>
    </row>
    <row r="2891" spans="1:39">
      <c r="A2891" s="2"/>
      <c r="AM2891" s="2"/>
    </row>
    <row r="2892" spans="1:39">
      <c r="A2892" s="2"/>
      <c r="AM2892" s="2"/>
    </row>
    <row r="2893" spans="1:39">
      <c r="A2893" s="2"/>
      <c r="AM2893" s="2"/>
    </row>
    <row r="2894" spans="1:39">
      <c r="A2894" s="2"/>
      <c r="AM2894" s="2"/>
    </row>
    <row r="2895" spans="1:39">
      <c r="A2895" s="2"/>
      <c r="AM2895" s="2"/>
    </row>
    <row r="2896" spans="1:39">
      <c r="A2896" s="2"/>
      <c r="AM2896" s="2"/>
    </row>
    <row r="2897" spans="1:39">
      <c r="A2897" s="2"/>
      <c r="AM2897" s="2"/>
    </row>
    <row r="2898" spans="1:39">
      <c r="A2898" s="2"/>
      <c r="AM2898" s="2"/>
    </row>
    <row r="2899" spans="1:39">
      <c r="A2899" s="2"/>
      <c r="AM2899" s="2"/>
    </row>
    <row r="2900" spans="1:39">
      <c r="A2900" s="2"/>
      <c r="AM2900" s="2"/>
    </row>
    <row r="2901" spans="1:39">
      <c r="A2901" s="2"/>
      <c r="AM2901" s="2"/>
    </row>
    <row r="2902" spans="1:39">
      <c r="A2902" s="2"/>
      <c r="AM2902" s="2"/>
    </row>
    <row r="2903" spans="1:39">
      <c r="A2903" s="2"/>
      <c r="AM2903" s="2"/>
    </row>
    <row r="2904" spans="1:39">
      <c r="A2904" s="2"/>
      <c r="AM2904" s="2"/>
    </row>
    <row r="2905" spans="1:39">
      <c r="A2905" s="2"/>
      <c r="AM2905" s="2"/>
    </row>
    <row r="2906" spans="1:39">
      <c r="A2906" s="2"/>
      <c r="AM2906" s="2"/>
    </row>
    <row r="2907" spans="1:39">
      <c r="A2907" s="2"/>
      <c r="AM2907" s="2"/>
    </row>
    <row r="2908" spans="1:39">
      <c r="A2908" s="2"/>
      <c r="AM2908" s="2"/>
    </row>
    <row r="2909" spans="1:39">
      <c r="A2909" s="2"/>
      <c r="AM2909" s="2"/>
    </row>
    <row r="2910" spans="1:39">
      <c r="A2910" s="2"/>
      <c r="AM2910" s="2"/>
    </row>
    <row r="2911" spans="1:39">
      <c r="A2911" s="2"/>
      <c r="AM2911" s="2"/>
    </row>
    <row r="2912" spans="1:39">
      <c r="A2912" s="2"/>
      <c r="AM2912" s="2"/>
    </row>
    <row r="2913" spans="1:39">
      <c r="A2913" s="2"/>
      <c r="AM2913" s="2"/>
    </row>
    <row r="2914" spans="1:39">
      <c r="A2914" s="2"/>
      <c r="AM2914" s="2"/>
    </row>
    <row r="2915" spans="1:39">
      <c r="A2915" s="2"/>
      <c r="AM2915" s="2"/>
    </row>
    <row r="2916" spans="1:39">
      <c r="A2916" s="2"/>
      <c r="AM2916" s="2"/>
    </row>
    <row r="2917" spans="1:39">
      <c r="A2917" s="2"/>
      <c r="AM2917" s="2"/>
    </row>
    <row r="2918" spans="1:39">
      <c r="A2918" s="2"/>
      <c r="AM2918" s="2"/>
    </row>
    <row r="2919" spans="1:39">
      <c r="A2919" s="2"/>
      <c r="AM2919" s="2"/>
    </row>
    <row r="2920" spans="1:39">
      <c r="A2920" s="2"/>
      <c r="AM2920" s="2"/>
    </row>
    <row r="2921" spans="1:39">
      <c r="A2921" s="2"/>
      <c r="AM2921" s="2"/>
    </row>
    <row r="2922" spans="1:39">
      <c r="A2922" s="2"/>
      <c r="AM2922" s="2"/>
    </row>
    <row r="2923" spans="1:39">
      <c r="A2923" s="2"/>
      <c r="AM2923" s="2"/>
    </row>
    <row r="2924" spans="1:39">
      <c r="A2924" s="2"/>
      <c r="AM2924" s="2"/>
    </row>
    <row r="2925" spans="1:39">
      <c r="A2925" s="2"/>
      <c r="AM2925" s="2"/>
    </row>
    <row r="2926" spans="1:39">
      <c r="A2926" s="2"/>
      <c r="AM2926" s="2"/>
    </row>
    <row r="2927" spans="1:39">
      <c r="A2927" s="2"/>
      <c r="AM2927" s="2"/>
    </row>
    <row r="2928" spans="1:39">
      <c r="A2928" s="2"/>
      <c r="AM2928" s="2"/>
    </row>
    <row r="2929" spans="1:39">
      <c r="A2929" s="2"/>
      <c r="AM2929" s="2"/>
    </row>
    <row r="2930" spans="1:39">
      <c r="A2930" s="2"/>
      <c r="AM2930" s="2"/>
    </row>
    <row r="2931" spans="1:39">
      <c r="A2931" s="2"/>
      <c r="AM2931" s="2"/>
    </row>
    <row r="2932" spans="1:39">
      <c r="A2932" s="2"/>
      <c r="AM2932" s="2"/>
    </row>
    <row r="2933" spans="1:39">
      <c r="A2933" s="2"/>
      <c r="AM2933" s="2"/>
    </row>
    <row r="2934" spans="1:39">
      <c r="A2934" s="2"/>
      <c r="AM2934" s="2"/>
    </row>
    <row r="2935" spans="1:39">
      <c r="A2935" s="2"/>
      <c r="AM2935" s="2"/>
    </row>
    <row r="2936" spans="1:39">
      <c r="A2936" s="2"/>
      <c r="AM2936" s="2"/>
    </row>
    <row r="2937" spans="1:39">
      <c r="A2937" s="2"/>
      <c r="AM2937" s="2"/>
    </row>
    <row r="2938" spans="1:39">
      <c r="A2938" s="2"/>
      <c r="AM2938" s="2"/>
    </row>
    <row r="2939" spans="1:39">
      <c r="A2939" s="2"/>
      <c r="AM2939" s="2"/>
    </row>
    <row r="2940" spans="1:39">
      <c r="A2940" s="2"/>
      <c r="AM2940" s="2"/>
    </row>
    <row r="2941" spans="1:39">
      <c r="A2941" s="2"/>
      <c r="AM2941" s="2"/>
    </row>
    <row r="2942" spans="1:39">
      <c r="A2942" s="2"/>
      <c r="AM2942" s="2"/>
    </row>
    <row r="2943" spans="1:39">
      <c r="A2943" s="2"/>
      <c r="AM2943" s="2"/>
    </row>
    <row r="2944" spans="1:39">
      <c r="A2944" s="2"/>
      <c r="AM2944" s="2"/>
    </row>
    <row r="2945" spans="1:39">
      <c r="A2945" s="2"/>
      <c r="AM2945" s="2"/>
    </row>
    <row r="2946" spans="1:39">
      <c r="A2946" s="2"/>
      <c r="AM2946" s="2"/>
    </row>
    <row r="2947" spans="1:39">
      <c r="A2947" s="2"/>
      <c r="AM2947" s="2"/>
    </row>
    <row r="2948" spans="1:39">
      <c r="A2948" s="2"/>
      <c r="AM2948" s="2"/>
    </row>
    <row r="2949" spans="1:39">
      <c r="A2949" s="2"/>
      <c r="AM2949" s="2"/>
    </row>
    <row r="2950" spans="1:39">
      <c r="A2950" s="2"/>
      <c r="AM2950" s="2"/>
    </row>
    <row r="2951" spans="1:39">
      <c r="A2951" s="2"/>
      <c r="AM2951" s="2"/>
    </row>
    <row r="2952" spans="1:39">
      <c r="A2952" s="2"/>
      <c r="AM2952" s="2"/>
    </row>
    <row r="2953" spans="1:39">
      <c r="A2953" s="2"/>
      <c r="AM2953" s="2"/>
    </row>
    <row r="2954" spans="1:39">
      <c r="A2954" s="2"/>
      <c r="AM2954" s="2"/>
    </row>
    <row r="2955" spans="1:39">
      <c r="A2955" s="2"/>
      <c r="AM2955" s="2"/>
    </row>
    <row r="2956" spans="1:39">
      <c r="A2956" s="2"/>
      <c r="AM2956" s="2"/>
    </row>
    <row r="2957" spans="1:39">
      <c r="A2957" s="2"/>
      <c r="AM2957" s="2"/>
    </row>
    <row r="2958" spans="1:39">
      <c r="A2958" s="2"/>
      <c r="AM2958" s="2"/>
    </row>
    <row r="2959" spans="1:39">
      <c r="A2959" s="2"/>
      <c r="AM2959" s="2"/>
    </row>
    <row r="2960" spans="1:39">
      <c r="A2960" s="2"/>
      <c r="AM2960" s="2"/>
    </row>
    <row r="2961" spans="1:39">
      <c r="A2961" s="2"/>
      <c r="AM2961" s="2"/>
    </row>
    <row r="2962" spans="1:39">
      <c r="A2962" s="2"/>
      <c r="AM2962" s="2"/>
    </row>
    <row r="2963" spans="1:39">
      <c r="A2963" s="2"/>
      <c r="AM2963" s="2"/>
    </row>
    <row r="2964" spans="1:39">
      <c r="A2964" s="2"/>
      <c r="AM2964" s="2"/>
    </row>
    <row r="2965" spans="1:39">
      <c r="A2965" s="2"/>
      <c r="AM2965" s="2"/>
    </row>
    <row r="2966" spans="1:39">
      <c r="A2966" s="2"/>
      <c r="AM2966" s="2"/>
    </row>
    <row r="2967" spans="1:39">
      <c r="A2967" s="2"/>
      <c r="AM2967" s="2"/>
    </row>
    <row r="2968" spans="1:39">
      <c r="A2968" s="2"/>
      <c r="AM2968" s="2"/>
    </row>
    <row r="2969" spans="1:39">
      <c r="A2969" s="2"/>
      <c r="AM2969" s="2"/>
    </row>
    <row r="2970" spans="1:39">
      <c r="A2970" s="2"/>
      <c r="AM2970" s="2"/>
    </row>
    <row r="2971" spans="1:39">
      <c r="A2971" s="2"/>
      <c r="AM2971" s="2"/>
    </row>
    <row r="2972" spans="1:39">
      <c r="A2972" s="2"/>
      <c r="AM2972" s="2"/>
    </row>
    <row r="2973" spans="1:39">
      <c r="A2973" s="2"/>
      <c r="AM2973" s="2"/>
    </row>
    <row r="2974" spans="1:39">
      <c r="A2974" s="2"/>
      <c r="AM2974" s="2"/>
    </row>
    <row r="2975" spans="1:39">
      <c r="A2975" s="2"/>
      <c r="AM2975" s="2"/>
    </row>
    <row r="2976" spans="1:39">
      <c r="A2976" s="2"/>
      <c r="AM2976" s="2"/>
    </row>
    <row r="2977" spans="1:39">
      <c r="A2977" s="2"/>
      <c r="AM2977" s="2"/>
    </row>
    <row r="2978" spans="1:39">
      <c r="A2978" s="2"/>
      <c r="AM2978" s="2"/>
    </row>
    <row r="2979" spans="1:39">
      <c r="A2979" s="2"/>
      <c r="AM2979" s="2"/>
    </row>
    <row r="2980" spans="1:39">
      <c r="A2980" s="2"/>
      <c r="AM2980" s="2"/>
    </row>
    <row r="2981" spans="1:39">
      <c r="A2981" s="2"/>
      <c r="AM2981" s="2"/>
    </row>
    <row r="2982" spans="1:39">
      <c r="A2982" s="2"/>
      <c r="AM2982" s="2"/>
    </row>
    <row r="2983" spans="1:39">
      <c r="A2983" s="2"/>
      <c r="AM2983" s="2"/>
    </row>
    <row r="2984" spans="1:39">
      <c r="A2984" s="2"/>
      <c r="AM2984" s="2"/>
    </row>
    <row r="2985" spans="1:39">
      <c r="A2985" s="2"/>
      <c r="AM2985" s="2"/>
    </row>
    <row r="2986" spans="1:39">
      <c r="A2986" s="2"/>
      <c r="AM2986" s="2"/>
    </row>
    <row r="2987" spans="1:39">
      <c r="A2987" s="2"/>
      <c r="AM2987" s="2"/>
    </row>
    <row r="2988" spans="1:39">
      <c r="A2988" s="2"/>
      <c r="AM2988" s="2"/>
    </row>
    <row r="2989" spans="1:39">
      <c r="A2989" s="2"/>
      <c r="AM2989" s="2"/>
    </row>
    <row r="2990" spans="1:39">
      <c r="A2990" s="2"/>
      <c r="AM2990" s="2"/>
    </row>
    <row r="2991" spans="1:39">
      <c r="A2991" s="2"/>
      <c r="AM2991" s="2"/>
    </row>
    <row r="2992" spans="1:39">
      <c r="A2992" s="2"/>
      <c r="AM2992" s="2"/>
    </row>
    <row r="2993" spans="1:39">
      <c r="A2993" s="2"/>
      <c r="AM2993" s="2"/>
    </row>
    <row r="2994" spans="1:39">
      <c r="A2994" s="2"/>
      <c r="AM2994" s="2"/>
    </row>
    <row r="2995" spans="1:39">
      <c r="A2995" s="2"/>
      <c r="AM2995" s="2"/>
    </row>
    <row r="2996" spans="1:39">
      <c r="A2996" s="2"/>
      <c r="AM2996" s="2"/>
    </row>
    <row r="2997" spans="1:39">
      <c r="A2997" s="2"/>
      <c r="AM2997" s="2"/>
    </row>
    <row r="2998" spans="1:39">
      <c r="A2998" s="2"/>
      <c r="AM2998" s="2"/>
    </row>
    <row r="2999" spans="1:39">
      <c r="A2999" s="2"/>
      <c r="AM2999" s="2"/>
    </row>
    <row r="3000" spans="1:39">
      <c r="A3000" s="2"/>
      <c r="AM3000" s="2"/>
    </row>
    <row r="3001" spans="1:39">
      <c r="A3001" s="2"/>
      <c r="AM3001" s="2"/>
    </row>
    <row r="3002" spans="1:39">
      <c r="A3002" s="2"/>
      <c r="AM3002" s="2"/>
    </row>
    <row r="3003" spans="1:39">
      <c r="A3003" s="2"/>
      <c r="AM3003" s="2"/>
    </row>
    <row r="3004" spans="1:39">
      <c r="A3004" s="2"/>
      <c r="AM3004" s="2"/>
    </row>
    <row r="3005" spans="1:39">
      <c r="A3005" s="2"/>
      <c r="AM3005" s="2"/>
    </row>
    <row r="3006" spans="1:39">
      <c r="A3006" s="2"/>
      <c r="AM3006" s="2"/>
    </row>
    <row r="3007" spans="1:39">
      <c r="A3007" s="2"/>
      <c r="AM3007" s="2"/>
    </row>
    <row r="3008" spans="1:39">
      <c r="A3008" s="2"/>
      <c r="AM3008" s="2"/>
    </row>
    <row r="3009" spans="1:39">
      <c r="A3009" s="2"/>
      <c r="AM3009" s="2"/>
    </row>
    <row r="3010" spans="1:39">
      <c r="A3010" s="2"/>
      <c r="AM3010" s="2"/>
    </row>
    <row r="3011" spans="1:39">
      <c r="A3011" s="2"/>
      <c r="AM3011" s="2"/>
    </row>
    <row r="3012" spans="1:39">
      <c r="A3012" s="2"/>
      <c r="AM3012" s="2"/>
    </row>
    <row r="3013" spans="1:39">
      <c r="A3013" s="2"/>
      <c r="AM3013" s="2"/>
    </row>
    <row r="3014" spans="1:39">
      <c r="A3014" s="2"/>
      <c r="AM3014" s="2"/>
    </row>
    <row r="3015" spans="1:39">
      <c r="A3015" s="2"/>
      <c r="AM3015" s="2"/>
    </row>
    <row r="3016" spans="1:39">
      <c r="A3016" s="2"/>
      <c r="AM3016" s="2"/>
    </row>
    <row r="3017" spans="1:39">
      <c r="A3017" s="2"/>
      <c r="AM3017" s="2"/>
    </row>
    <row r="3018" spans="1:39">
      <c r="A3018" s="2"/>
      <c r="AM3018" s="2"/>
    </row>
    <row r="3019" spans="1:39">
      <c r="A3019" s="2"/>
      <c r="AM3019" s="2"/>
    </row>
    <row r="3020" spans="1:39">
      <c r="A3020" s="2"/>
      <c r="AM3020" s="2"/>
    </row>
    <row r="3021" spans="1:39">
      <c r="A3021" s="2"/>
      <c r="AM3021" s="2"/>
    </row>
    <row r="3022" spans="1:39">
      <c r="A3022" s="2"/>
      <c r="AM3022" s="2"/>
    </row>
    <row r="3023" spans="1:39">
      <c r="A3023" s="2"/>
      <c r="AM3023" s="2"/>
    </row>
    <row r="3024" spans="1:39">
      <c r="A3024" s="2"/>
      <c r="AM3024" s="2"/>
    </row>
    <row r="3025" spans="1:39">
      <c r="A3025" s="2"/>
      <c r="AM3025" s="2"/>
    </row>
    <row r="3026" spans="1:39">
      <c r="A3026" s="2"/>
      <c r="AM3026" s="2"/>
    </row>
    <row r="3027" spans="1:39">
      <c r="A3027" s="2"/>
      <c r="AM3027" s="2"/>
    </row>
    <row r="3028" spans="1:39">
      <c r="A3028" s="2"/>
      <c r="AM3028" s="2"/>
    </row>
    <row r="3029" spans="1:39">
      <c r="A3029" s="2"/>
      <c r="AM3029" s="2"/>
    </row>
    <row r="3030" spans="1:39">
      <c r="A3030" s="2"/>
      <c r="AM3030" s="2"/>
    </row>
    <row r="3031" spans="1:39">
      <c r="A3031" s="2"/>
      <c r="AM3031" s="2"/>
    </row>
    <row r="3032" spans="1:39">
      <c r="A3032" s="2"/>
      <c r="AM3032" s="2"/>
    </row>
    <row r="3033" spans="1:39">
      <c r="A3033" s="2"/>
      <c r="AM3033" s="2"/>
    </row>
    <row r="3034" spans="1:39">
      <c r="A3034" s="2"/>
      <c r="AM3034" s="2"/>
    </row>
    <row r="3035" spans="1:39">
      <c r="A3035" s="2"/>
      <c r="AM3035" s="2"/>
    </row>
    <row r="3036" spans="1:39">
      <c r="A3036" s="2"/>
      <c r="AM3036" s="2"/>
    </row>
    <row r="3037" spans="1:39">
      <c r="A3037" s="2"/>
      <c r="AM3037" s="2"/>
    </row>
    <row r="3038" spans="1:39">
      <c r="A3038" s="2"/>
      <c r="AM3038" s="2"/>
    </row>
    <row r="3039" spans="1:39">
      <c r="A3039" s="2"/>
      <c r="AM3039" s="2"/>
    </row>
    <row r="3040" spans="1:39">
      <c r="A3040" s="2"/>
      <c r="AM3040" s="2"/>
    </row>
    <row r="3041" spans="1:39">
      <c r="A3041" s="2"/>
      <c r="AM3041" s="2"/>
    </row>
    <row r="3042" spans="1:39">
      <c r="A3042" s="2"/>
      <c r="AM3042" s="2"/>
    </row>
    <row r="3043" spans="1:39">
      <c r="A3043" s="2"/>
      <c r="AM3043" s="2"/>
    </row>
    <row r="3044" spans="1:39">
      <c r="A3044" s="2"/>
      <c r="AM3044" s="2"/>
    </row>
    <row r="3045" spans="1:39">
      <c r="A3045" s="2"/>
      <c r="AM3045" s="2"/>
    </row>
    <row r="3046" spans="1:39">
      <c r="A3046" s="2"/>
      <c r="AM3046" s="2"/>
    </row>
    <row r="3047" spans="1:39">
      <c r="A3047" s="2"/>
      <c r="AM3047" s="2"/>
    </row>
    <row r="3048" spans="1:39">
      <c r="A3048" s="2"/>
      <c r="AM3048" s="2"/>
    </row>
    <row r="3049" spans="1:39">
      <c r="A3049" s="2"/>
      <c r="AM3049" s="2"/>
    </row>
    <row r="3050" spans="1:39">
      <c r="A3050" s="2"/>
      <c r="AM3050" s="2"/>
    </row>
    <row r="3051" spans="1:39">
      <c r="A3051" s="2"/>
      <c r="AM3051" s="2"/>
    </row>
    <row r="3052" spans="1:39">
      <c r="A3052" s="2"/>
      <c r="AM3052" s="2"/>
    </row>
    <row r="3053" spans="1:39">
      <c r="A3053" s="2"/>
      <c r="AM3053" s="2"/>
    </row>
    <row r="3054" spans="1:39">
      <c r="A3054" s="2"/>
      <c r="AM3054" s="2"/>
    </row>
    <row r="3055" spans="1:39">
      <c r="A3055" s="2"/>
      <c r="AM3055" s="2"/>
    </row>
    <row r="3056" spans="1:39">
      <c r="A3056" s="2"/>
      <c r="AM3056" s="2"/>
    </row>
    <row r="3057" spans="1:39">
      <c r="A3057" s="2"/>
      <c r="AM3057" s="2"/>
    </row>
    <row r="3058" spans="1:39">
      <c r="A3058" s="2"/>
      <c r="AM3058" s="2"/>
    </row>
    <row r="3059" spans="1:39">
      <c r="A3059" s="2"/>
      <c r="AM3059" s="2"/>
    </row>
    <row r="3060" spans="1:39">
      <c r="A3060" s="2"/>
      <c r="AM3060" s="2"/>
    </row>
    <row r="3061" spans="1:39">
      <c r="A3061" s="2"/>
      <c r="AM3061" s="2"/>
    </row>
    <row r="3062" spans="1:39">
      <c r="A3062" s="2"/>
      <c r="AM3062" s="2"/>
    </row>
    <row r="3063" spans="1:39">
      <c r="A3063" s="2"/>
      <c r="AM3063" s="2"/>
    </row>
    <row r="3064" spans="1:39">
      <c r="A3064" s="2"/>
      <c r="AM3064" s="2"/>
    </row>
    <row r="3065" spans="1:39">
      <c r="A3065" s="2"/>
      <c r="AM3065" s="2"/>
    </row>
    <row r="3066" spans="1:39">
      <c r="A3066" s="2"/>
      <c r="AM3066" s="2"/>
    </row>
    <row r="3067" spans="1:39">
      <c r="A3067" s="2"/>
      <c r="AM3067" s="2"/>
    </row>
    <row r="3068" spans="1:39">
      <c r="A3068" s="2"/>
      <c r="AM3068" s="2"/>
    </row>
    <row r="3069" spans="1:39">
      <c r="A3069" s="2"/>
      <c r="AM3069" s="2"/>
    </row>
    <row r="3070" spans="1:39">
      <c r="A3070" s="2"/>
      <c r="AM3070" s="2"/>
    </row>
    <row r="3071" spans="1:39">
      <c r="A3071" s="2"/>
      <c r="AM3071" s="2"/>
    </row>
    <row r="3072" spans="1:39">
      <c r="A3072" s="2"/>
      <c r="AM3072" s="2"/>
    </row>
    <row r="3073" spans="1:39">
      <c r="A3073" s="2"/>
      <c r="AM3073" s="2"/>
    </row>
    <row r="3074" spans="1:39">
      <c r="A3074" s="2"/>
      <c r="AM3074" s="2"/>
    </row>
    <row r="3075" spans="1:39">
      <c r="A3075" s="2"/>
      <c r="AM3075" s="2"/>
    </row>
    <row r="3076" spans="1:39">
      <c r="A3076" s="2"/>
      <c r="AM3076" s="2"/>
    </row>
    <row r="3077" spans="1:39">
      <c r="A3077" s="2"/>
      <c r="AM3077" s="2"/>
    </row>
    <row r="3078" spans="1:39">
      <c r="A3078" s="2"/>
      <c r="AM3078" s="2"/>
    </row>
    <row r="3079" spans="1:39">
      <c r="A3079" s="2"/>
      <c r="AM3079" s="2"/>
    </row>
    <row r="3080" spans="1:39">
      <c r="A3080" s="2"/>
      <c r="AM3080" s="2"/>
    </row>
    <row r="3081" spans="1:39">
      <c r="A3081" s="2"/>
      <c r="AM3081" s="2"/>
    </row>
    <row r="3082" spans="1:39">
      <c r="A3082" s="2"/>
      <c r="AM3082" s="2"/>
    </row>
    <row r="3083" spans="1:39">
      <c r="A3083" s="2"/>
      <c r="AM3083" s="2"/>
    </row>
    <row r="3084" spans="1:39">
      <c r="A3084" s="2"/>
      <c r="AM3084" s="2"/>
    </row>
    <row r="3085" spans="1:39">
      <c r="A3085" s="2"/>
      <c r="AM3085" s="2"/>
    </row>
    <row r="3086" spans="1:39">
      <c r="A3086" s="2"/>
      <c r="AM3086" s="2"/>
    </row>
    <row r="3087" spans="1:39">
      <c r="A3087" s="2"/>
      <c r="AM3087" s="2"/>
    </row>
    <row r="3088" spans="1:39">
      <c r="A3088" s="2"/>
      <c r="AM3088" s="2"/>
    </row>
    <row r="3089" spans="1:39">
      <c r="A3089" s="2"/>
      <c r="AM3089" s="2"/>
    </row>
    <row r="3090" spans="1:39">
      <c r="A3090" s="2"/>
      <c r="AM3090" s="2"/>
    </row>
    <row r="3091" spans="1:39">
      <c r="A3091" s="2"/>
      <c r="AM3091" s="2"/>
    </row>
    <row r="3092" spans="1:39">
      <c r="A3092" s="2"/>
      <c r="AM3092" s="2"/>
    </row>
    <row r="3093" spans="1:39">
      <c r="A3093" s="2"/>
      <c r="AM3093" s="2"/>
    </row>
    <row r="3094" spans="1:39">
      <c r="A3094" s="2"/>
      <c r="AM3094" s="2"/>
    </row>
    <row r="3095" spans="1:39">
      <c r="A3095" s="2"/>
      <c r="AM3095" s="2"/>
    </row>
    <row r="3096" spans="1:39">
      <c r="A3096" s="2"/>
      <c r="AM3096" s="2"/>
    </row>
    <row r="3097" spans="1:39">
      <c r="A3097" s="2"/>
      <c r="AM3097" s="2"/>
    </row>
    <row r="3098" spans="1:39">
      <c r="A3098" s="2"/>
      <c r="AM3098" s="2"/>
    </row>
    <row r="3099" spans="1:39">
      <c r="A3099" s="2"/>
      <c r="AM3099" s="2"/>
    </row>
    <row r="3100" spans="1:39">
      <c r="A3100" s="2"/>
      <c r="AM3100" s="2"/>
    </row>
    <row r="3101" spans="1:39">
      <c r="A3101" s="2"/>
      <c r="AM3101" s="2"/>
    </row>
    <row r="3102" spans="1:39">
      <c r="A3102" s="2"/>
      <c r="AM3102" s="2"/>
    </row>
    <row r="3103" spans="1:39">
      <c r="A3103" s="2"/>
      <c r="AM3103" s="2"/>
    </row>
    <row r="3104" spans="1:39">
      <c r="A3104" s="2"/>
      <c r="AM3104" s="2"/>
    </row>
    <row r="3105" spans="1:39">
      <c r="A3105" s="2"/>
      <c r="AM3105" s="2"/>
    </row>
    <row r="3106" spans="1:39">
      <c r="A3106" s="2"/>
      <c r="AM3106" s="2"/>
    </row>
    <row r="3107" spans="1:39">
      <c r="A3107" s="2"/>
      <c r="AM3107" s="2"/>
    </row>
    <row r="3108" spans="1:39">
      <c r="A3108" s="2"/>
      <c r="AM3108" s="2"/>
    </row>
    <row r="3109" spans="1:39">
      <c r="A3109" s="2"/>
      <c r="AM3109" s="2"/>
    </row>
    <row r="3110" spans="1:39">
      <c r="A3110" s="2"/>
      <c r="AM3110" s="2"/>
    </row>
    <row r="3111" spans="1:39">
      <c r="A3111" s="2"/>
      <c r="AM3111" s="2"/>
    </row>
    <row r="3112" spans="1:39">
      <c r="A3112" s="2"/>
      <c r="AM3112" s="2"/>
    </row>
    <row r="3113" spans="1:39">
      <c r="A3113" s="2"/>
      <c r="AM3113" s="2"/>
    </row>
    <row r="3114" spans="1:39">
      <c r="A3114" s="2"/>
      <c r="AM3114" s="2"/>
    </row>
    <row r="3115" spans="1:39">
      <c r="A3115" s="2"/>
      <c r="AM3115" s="2"/>
    </row>
    <row r="3116" spans="1:39">
      <c r="A3116" s="2"/>
      <c r="AM3116" s="2"/>
    </row>
    <row r="3117" spans="1:39">
      <c r="A3117" s="2"/>
      <c r="AM3117" s="2"/>
    </row>
    <row r="3118" spans="1:39">
      <c r="A3118" s="2"/>
      <c r="AM3118" s="2"/>
    </row>
    <row r="3119" spans="1:39">
      <c r="A3119" s="2"/>
      <c r="AM3119" s="2"/>
    </row>
    <row r="3120" spans="1:39">
      <c r="A3120" s="2"/>
      <c r="AM3120" s="2"/>
    </row>
    <row r="3121" spans="1:39">
      <c r="A3121" s="2"/>
      <c r="AM3121" s="2"/>
    </row>
    <row r="3122" spans="1:39">
      <c r="A3122" s="2"/>
      <c r="AM3122" s="2"/>
    </row>
    <row r="3123" spans="1:39">
      <c r="A3123" s="2"/>
      <c r="AM3123" s="2"/>
    </row>
    <row r="3124" spans="1:39">
      <c r="A3124" s="2"/>
      <c r="AM3124" s="2"/>
    </row>
    <row r="3125" spans="1:39">
      <c r="A3125" s="2"/>
      <c r="AM3125" s="2"/>
    </row>
    <row r="3126" spans="1:39">
      <c r="A3126" s="2"/>
      <c r="AM3126" s="2"/>
    </row>
    <row r="3127" spans="1:39">
      <c r="A3127" s="2"/>
      <c r="AM3127" s="2"/>
    </row>
    <row r="3128" spans="1:39">
      <c r="A3128" s="2"/>
      <c r="AM3128" s="2"/>
    </row>
    <row r="3129" spans="1:39">
      <c r="A3129" s="2"/>
      <c r="AM3129" s="2"/>
    </row>
    <row r="3130" spans="1:39">
      <c r="A3130" s="2"/>
      <c r="AM3130" s="2"/>
    </row>
    <row r="3131" spans="1:39">
      <c r="A3131" s="2"/>
      <c r="AM3131" s="2"/>
    </row>
    <row r="3132" spans="1:39">
      <c r="A3132" s="2"/>
      <c r="AM3132" s="2"/>
    </row>
    <row r="3133" spans="1:39">
      <c r="A3133" s="2"/>
      <c r="AM3133" s="2"/>
    </row>
    <row r="3134" spans="1:39">
      <c r="A3134" s="2"/>
      <c r="AM3134" s="2"/>
    </row>
    <row r="3135" spans="1:39">
      <c r="A3135" s="2"/>
      <c r="AM3135" s="2"/>
    </row>
    <row r="3136" spans="1:39">
      <c r="A3136" s="2"/>
      <c r="AM3136" s="2"/>
    </row>
    <row r="3137" spans="1:39">
      <c r="A3137" s="2"/>
      <c r="AM3137" s="2"/>
    </row>
    <row r="3138" spans="1:39">
      <c r="A3138" s="2"/>
      <c r="AM3138" s="2"/>
    </row>
    <row r="3139" spans="1:39">
      <c r="A3139" s="2"/>
      <c r="AM3139" s="2"/>
    </row>
    <row r="3140" spans="1:39">
      <c r="A3140" s="2"/>
      <c r="AM3140" s="2"/>
    </row>
    <row r="3141" spans="1:39">
      <c r="A3141" s="2"/>
      <c r="AM3141" s="2"/>
    </row>
    <row r="3142" spans="1:39">
      <c r="A3142" s="2"/>
      <c r="AM3142" s="2"/>
    </row>
    <row r="3143" spans="1:39">
      <c r="A3143" s="2"/>
      <c r="AM3143" s="2"/>
    </row>
    <row r="3144" spans="1:39">
      <c r="A3144" s="2"/>
      <c r="AM3144" s="2"/>
    </row>
    <row r="3145" spans="1:39">
      <c r="A3145" s="2"/>
      <c r="AM3145" s="2"/>
    </row>
    <row r="3146" spans="1:39">
      <c r="A3146" s="2"/>
      <c r="AM3146" s="2"/>
    </row>
    <row r="3147" spans="1:39">
      <c r="A3147" s="2"/>
      <c r="AM3147" s="2"/>
    </row>
    <row r="3148" spans="1:39">
      <c r="A3148" s="2"/>
      <c r="AM3148" s="2"/>
    </row>
    <row r="3149" spans="1:39">
      <c r="A3149" s="2"/>
      <c r="AM3149" s="2"/>
    </row>
    <row r="3150" spans="1:39">
      <c r="A3150" s="2"/>
      <c r="AM3150" s="2"/>
    </row>
    <row r="3151" spans="1:39">
      <c r="A3151" s="2"/>
      <c r="AM3151" s="2"/>
    </row>
    <row r="3152" spans="1:39">
      <c r="A3152" s="2"/>
      <c r="AM3152" s="2"/>
    </row>
    <row r="3153" spans="1:39">
      <c r="A3153" s="2"/>
      <c r="AM3153" s="2"/>
    </row>
    <row r="3154" spans="1:39">
      <c r="A3154" s="2"/>
      <c r="AM3154" s="2"/>
    </row>
    <row r="3155" spans="1:39">
      <c r="A3155" s="2"/>
      <c r="AM3155" s="2"/>
    </row>
    <row r="3156" spans="1:39">
      <c r="A3156" s="2"/>
      <c r="AM3156" s="2"/>
    </row>
    <row r="3157" spans="1:39">
      <c r="A3157" s="2"/>
      <c r="AM3157" s="2"/>
    </row>
    <row r="3158" spans="1:39">
      <c r="A3158" s="2"/>
      <c r="AM3158" s="2"/>
    </row>
    <row r="3159" spans="1:39">
      <c r="A3159" s="2"/>
      <c r="AM3159" s="2"/>
    </row>
    <row r="3160" spans="1:39">
      <c r="A3160" s="2"/>
      <c r="AM3160" s="2"/>
    </row>
    <row r="3161" spans="1:39">
      <c r="A3161" s="2"/>
      <c r="AM3161" s="2"/>
    </row>
    <row r="3162" spans="1:39">
      <c r="A3162" s="2"/>
      <c r="AM3162" s="2"/>
    </row>
    <row r="3163" spans="1:39">
      <c r="A3163" s="2"/>
      <c r="AM3163" s="2"/>
    </row>
    <row r="3164" spans="1:39">
      <c r="A3164" s="2"/>
      <c r="AM3164" s="2"/>
    </row>
    <row r="3165" spans="1:39">
      <c r="A3165" s="2"/>
      <c r="AM3165" s="2"/>
    </row>
    <row r="3166" spans="1:39">
      <c r="A3166" s="2"/>
      <c r="AM3166" s="2"/>
    </row>
    <row r="3167" spans="1:39">
      <c r="A3167" s="2"/>
      <c r="AM3167" s="2"/>
    </row>
    <row r="3168" spans="1:39">
      <c r="A3168" s="2"/>
      <c r="AM3168" s="2"/>
    </row>
    <row r="3169" spans="1:39">
      <c r="A3169" s="2"/>
      <c r="AM3169" s="2"/>
    </row>
    <row r="3170" spans="1:39">
      <c r="A3170" s="2"/>
      <c r="AM3170" s="2"/>
    </row>
    <row r="3171" spans="1:39">
      <c r="A3171" s="2"/>
      <c r="AM3171" s="2"/>
    </row>
    <row r="3172" spans="1:39">
      <c r="A3172" s="2"/>
      <c r="AM3172" s="2"/>
    </row>
    <row r="3173" spans="1:39">
      <c r="A3173" s="2"/>
      <c r="AM3173" s="2"/>
    </row>
    <row r="3174" spans="1:39">
      <c r="A3174" s="2"/>
      <c r="AM3174" s="2"/>
    </row>
    <row r="3175" spans="1:39">
      <c r="A3175" s="2"/>
      <c r="AM3175" s="2"/>
    </row>
    <row r="3176" spans="1:39">
      <c r="A3176" s="2"/>
      <c r="AM3176" s="2"/>
    </row>
    <row r="3177" spans="1:39">
      <c r="A3177" s="2"/>
      <c r="AM3177" s="2"/>
    </row>
    <row r="3178" spans="1:39">
      <c r="A3178" s="2"/>
      <c r="AM3178" s="2"/>
    </row>
    <row r="3179" spans="1:39">
      <c r="A3179" s="2"/>
      <c r="AM3179" s="2"/>
    </row>
    <row r="3180" spans="1:39">
      <c r="A3180" s="2"/>
      <c r="AM3180" s="2"/>
    </row>
    <row r="3181" spans="1:39">
      <c r="A3181" s="2"/>
      <c r="AM3181" s="2"/>
    </row>
    <row r="3182" spans="1:39">
      <c r="A3182" s="2"/>
      <c r="AM3182" s="2"/>
    </row>
    <row r="3183" spans="1:39">
      <c r="A3183" s="2"/>
      <c r="AM3183" s="2"/>
    </row>
    <row r="3184" spans="1:39">
      <c r="A3184" s="2"/>
      <c r="AM3184" s="2"/>
    </row>
    <row r="3185" spans="1:39">
      <c r="A3185" s="2"/>
      <c r="AM3185" s="2"/>
    </row>
    <row r="3186" spans="1:39">
      <c r="A3186" s="2"/>
      <c r="AM3186" s="2"/>
    </row>
    <row r="3187" spans="1:39">
      <c r="A3187" s="2"/>
      <c r="AM3187" s="2"/>
    </row>
    <row r="3188" spans="1:39">
      <c r="A3188" s="2"/>
      <c r="AM3188" s="2"/>
    </row>
    <row r="3189" spans="1:39">
      <c r="A3189" s="2"/>
      <c r="AM3189" s="2"/>
    </row>
    <row r="3190" spans="1:39">
      <c r="A3190" s="2"/>
      <c r="AM3190" s="2"/>
    </row>
    <row r="3191" spans="1:39">
      <c r="A3191" s="2"/>
      <c r="AM3191" s="2"/>
    </row>
    <row r="3192" spans="1:39">
      <c r="A3192" s="2"/>
      <c r="AM3192" s="2"/>
    </row>
    <row r="3193" spans="1:39">
      <c r="A3193" s="2"/>
      <c r="AM3193" s="2"/>
    </row>
    <row r="3194" spans="1:39">
      <c r="A3194" s="2"/>
      <c r="AM3194" s="2"/>
    </row>
    <row r="3195" spans="1:39">
      <c r="A3195" s="2"/>
      <c r="AM3195" s="2"/>
    </row>
    <row r="3196" spans="1:39">
      <c r="A3196" s="2"/>
      <c r="AM3196" s="2"/>
    </row>
    <row r="3197" spans="1:39">
      <c r="A3197" s="2"/>
      <c r="AM3197" s="2"/>
    </row>
    <row r="3198" spans="1:39">
      <c r="A3198" s="2"/>
      <c r="AM3198" s="2"/>
    </row>
    <row r="3199" spans="1:39">
      <c r="A3199" s="2"/>
      <c r="AM3199" s="2"/>
    </row>
    <row r="3200" spans="1:39">
      <c r="A3200" s="2"/>
      <c r="AM3200" s="2"/>
    </row>
    <row r="3201" spans="1:39">
      <c r="A3201" s="2"/>
      <c r="AM3201" s="2"/>
    </row>
    <row r="3202" spans="1:39">
      <c r="A3202" s="2"/>
      <c r="AM3202" s="2"/>
    </row>
    <row r="3203" spans="1:39">
      <c r="A3203" s="2"/>
      <c r="AM3203" s="2"/>
    </row>
    <row r="3204" spans="1:39">
      <c r="A3204" s="2"/>
      <c r="AM3204" s="2"/>
    </row>
    <row r="3205" spans="1:39">
      <c r="A3205" s="2"/>
      <c r="AM3205" s="2"/>
    </row>
    <row r="3206" spans="1:39">
      <c r="A3206" s="2"/>
      <c r="AM3206" s="2"/>
    </row>
    <row r="3207" spans="1:39">
      <c r="A3207" s="2"/>
      <c r="AM3207" s="2"/>
    </row>
    <row r="3208" spans="1:39">
      <c r="A3208" s="2"/>
      <c r="AM3208" s="2"/>
    </row>
    <row r="3209" spans="1:39">
      <c r="A3209" s="2"/>
      <c r="AM3209" s="2"/>
    </row>
    <row r="3210" spans="1:39">
      <c r="A3210" s="2"/>
      <c r="AM3210" s="2"/>
    </row>
    <row r="3211" spans="1:39">
      <c r="A3211" s="2"/>
      <c r="AM3211" s="2"/>
    </row>
    <row r="3212" spans="1:39">
      <c r="A3212" s="2"/>
      <c r="AM3212" s="2"/>
    </row>
    <row r="3213" spans="1:39">
      <c r="A3213" s="2"/>
      <c r="AM3213" s="2"/>
    </row>
    <row r="3214" spans="1:39">
      <c r="A3214" s="2"/>
      <c r="AM3214" s="2"/>
    </row>
    <row r="3215" spans="1:39">
      <c r="A3215" s="2"/>
      <c r="AM3215" s="2"/>
    </row>
    <row r="3216" spans="1:39">
      <c r="A3216" s="2"/>
      <c r="AM3216" s="2"/>
    </row>
    <row r="3217" spans="1:39">
      <c r="A3217" s="2"/>
      <c r="AM3217" s="2"/>
    </row>
    <row r="3218" spans="1:39">
      <c r="A3218" s="2"/>
      <c r="AM3218" s="2"/>
    </row>
    <row r="3219" spans="1:39">
      <c r="A3219" s="2"/>
      <c r="AM3219" s="2"/>
    </row>
    <row r="3220" spans="1:39">
      <c r="A3220" s="2"/>
      <c r="AM3220" s="2"/>
    </row>
    <row r="3221" spans="1:39">
      <c r="A3221" s="2"/>
      <c r="AM3221" s="2"/>
    </row>
    <row r="3222" spans="1:39">
      <c r="A3222" s="2"/>
      <c r="AM3222" s="2"/>
    </row>
    <row r="3223" spans="1:39">
      <c r="A3223" s="2"/>
      <c r="AM3223" s="2"/>
    </row>
    <row r="3224" spans="1:39">
      <c r="A3224" s="2"/>
      <c r="AM3224" s="2"/>
    </row>
    <row r="3225" spans="1:39">
      <c r="A3225" s="2"/>
      <c r="AM3225" s="2"/>
    </row>
    <row r="3226" spans="1:39">
      <c r="A3226" s="2"/>
      <c r="AM3226" s="2"/>
    </row>
    <row r="3227" spans="1:39">
      <c r="A3227" s="2"/>
      <c r="AM3227" s="2"/>
    </row>
    <row r="3228" spans="1:39">
      <c r="A3228" s="2"/>
      <c r="AM3228" s="2"/>
    </row>
    <row r="3229" spans="1:39">
      <c r="A3229" s="2"/>
      <c r="AM3229" s="2"/>
    </row>
    <row r="3230" spans="1:39">
      <c r="A3230" s="2"/>
      <c r="AM3230" s="2"/>
    </row>
    <row r="3231" spans="1:39">
      <c r="A3231" s="2"/>
      <c r="AM3231" s="2"/>
    </row>
    <row r="3232" spans="1:39">
      <c r="A3232" s="2"/>
      <c r="AM3232" s="2"/>
    </row>
    <row r="3233" spans="1:39">
      <c r="A3233" s="2"/>
      <c r="AM3233" s="2"/>
    </row>
    <row r="3234" spans="1:39">
      <c r="A3234" s="2"/>
      <c r="AM3234" s="2"/>
    </row>
    <row r="3235" spans="1:39">
      <c r="A3235" s="2"/>
      <c r="AM3235" s="2"/>
    </row>
    <row r="3236" spans="1:39">
      <c r="A3236" s="2"/>
      <c r="AM3236" s="2"/>
    </row>
    <row r="3237" spans="1:39">
      <c r="A3237" s="2"/>
      <c r="AM3237" s="2"/>
    </row>
    <row r="3238" spans="1:39">
      <c r="A3238" s="2"/>
      <c r="AM3238" s="2"/>
    </row>
    <row r="3239" spans="1:39">
      <c r="A3239" s="2"/>
      <c r="AM3239" s="2"/>
    </row>
    <row r="3240" spans="1:39">
      <c r="A3240" s="2"/>
      <c r="AM3240" s="2"/>
    </row>
    <row r="3241" spans="1:39">
      <c r="A3241" s="2"/>
      <c r="AM3241" s="2"/>
    </row>
    <row r="3242" spans="1:39">
      <c r="A3242" s="2"/>
      <c r="AM3242" s="2"/>
    </row>
    <row r="3243" spans="1:39">
      <c r="A3243" s="2"/>
      <c r="AM3243" s="2"/>
    </row>
    <row r="3244" spans="1:39">
      <c r="A3244" s="2"/>
      <c r="AM3244" s="2"/>
    </row>
    <row r="3245" spans="1:39">
      <c r="A3245" s="2"/>
      <c r="AM3245" s="2"/>
    </row>
    <row r="3246" spans="1:39">
      <c r="A3246" s="2"/>
      <c r="AM3246" s="2"/>
    </row>
    <row r="3247" spans="1:39">
      <c r="A3247" s="2"/>
      <c r="AM3247" s="2"/>
    </row>
    <row r="3248" spans="1:39">
      <c r="A3248" s="2"/>
      <c r="AM3248" s="2"/>
    </row>
    <row r="3249" spans="1:39">
      <c r="A3249" s="2"/>
      <c r="AM3249" s="2"/>
    </row>
    <row r="3250" spans="1:39">
      <c r="A3250" s="2"/>
      <c r="AM3250" s="2"/>
    </row>
    <row r="3251" spans="1:39">
      <c r="A3251" s="2"/>
      <c r="AM3251" s="2"/>
    </row>
    <row r="3252" spans="1:39">
      <c r="A3252" s="2"/>
      <c r="AM3252" s="2"/>
    </row>
    <row r="3253" spans="1:39">
      <c r="A3253" s="2"/>
      <c r="AM3253" s="2"/>
    </row>
    <row r="3254" spans="1:39">
      <c r="A3254" s="2"/>
      <c r="AM3254" s="2"/>
    </row>
    <row r="3255" spans="1:39">
      <c r="A3255" s="2"/>
      <c r="AM3255" s="2"/>
    </row>
    <row r="3256" spans="1:39">
      <c r="A3256" s="2"/>
      <c r="AM3256" s="2"/>
    </row>
    <row r="3257" spans="1:39">
      <c r="A3257" s="2"/>
      <c r="AM3257" s="2"/>
    </row>
    <row r="3258" spans="1:39">
      <c r="A3258" s="2"/>
      <c r="AM3258" s="2"/>
    </row>
    <row r="3259" spans="1:39">
      <c r="A3259" s="2"/>
      <c r="AM3259" s="2"/>
    </row>
    <row r="3260" spans="1:39">
      <c r="A3260" s="2"/>
      <c r="AM3260" s="2"/>
    </row>
    <row r="3261" spans="1:39">
      <c r="A3261" s="2"/>
      <c r="AM3261" s="2"/>
    </row>
    <row r="3262" spans="1:39">
      <c r="A3262" s="2"/>
      <c r="AM3262" s="2"/>
    </row>
    <row r="3263" spans="1:39">
      <c r="A3263" s="2"/>
      <c r="AM3263" s="2"/>
    </row>
    <row r="3264" spans="1:39">
      <c r="A3264" s="2"/>
      <c r="AM3264" s="2"/>
    </row>
    <row r="3265" spans="1:39">
      <c r="A3265" s="2"/>
      <c r="AM3265" s="2"/>
    </row>
    <row r="3266" spans="1:39">
      <c r="A3266" s="2"/>
      <c r="AM3266" s="2"/>
    </row>
    <row r="3267" spans="1:39">
      <c r="A3267" s="2"/>
      <c r="AM3267" s="2"/>
    </row>
    <row r="3268" spans="1:39">
      <c r="A3268" s="2"/>
      <c r="AM3268" s="2"/>
    </row>
    <row r="3269" spans="1:39">
      <c r="A3269" s="2"/>
      <c r="AM3269" s="2"/>
    </row>
    <row r="3270" spans="1:39">
      <c r="A3270" s="2"/>
      <c r="AM3270" s="2"/>
    </row>
    <row r="3271" spans="1:39">
      <c r="A3271" s="2"/>
      <c r="AM3271" s="2"/>
    </row>
    <row r="3272" spans="1:39">
      <c r="A3272" s="2"/>
      <c r="AM3272" s="2"/>
    </row>
    <row r="3273" spans="1:39">
      <c r="A3273" s="2"/>
      <c r="AM3273" s="2"/>
    </row>
    <row r="3274" spans="1:39">
      <c r="A3274" s="2"/>
      <c r="AM3274" s="2"/>
    </row>
    <row r="3275" spans="1:39">
      <c r="A3275" s="2"/>
      <c r="AM3275" s="2"/>
    </row>
    <row r="3276" spans="1:39">
      <c r="A3276" s="2"/>
      <c r="AM3276" s="2"/>
    </row>
    <row r="3277" spans="1:39">
      <c r="A3277" s="2"/>
      <c r="AM3277" s="2"/>
    </row>
    <row r="3278" spans="1:39">
      <c r="A3278" s="2"/>
      <c r="AM3278" s="2"/>
    </row>
    <row r="3279" spans="1:39">
      <c r="A3279" s="2"/>
      <c r="AM3279" s="2"/>
    </row>
    <row r="3280" spans="1:39">
      <c r="A3280" s="2"/>
      <c r="AM3280" s="2"/>
    </row>
    <row r="3281" spans="1:39">
      <c r="A3281" s="2"/>
      <c r="AM3281" s="2"/>
    </row>
    <row r="3282" spans="1:39">
      <c r="A3282" s="2"/>
      <c r="AM3282" s="2"/>
    </row>
    <row r="3283" spans="1:39">
      <c r="A3283" s="2"/>
      <c r="AM3283" s="2"/>
    </row>
    <row r="3284" spans="1:39">
      <c r="A3284" s="2"/>
      <c r="AM3284" s="2"/>
    </row>
    <row r="3285" spans="1:39">
      <c r="A3285" s="2"/>
      <c r="AM3285" s="2"/>
    </row>
    <row r="3286" spans="1:39">
      <c r="A3286" s="2"/>
      <c r="AM3286" s="2"/>
    </row>
    <row r="3287" spans="1:39">
      <c r="A3287" s="2"/>
      <c r="AM3287" s="2"/>
    </row>
    <row r="3288" spans="1:39">
      <c r="A3288" s="2"/>
      <c r="AM3288" s="2"/>
    </row>
    <row r="3289" spans="1:39">
      <c r="A3289" s="2"/>
      <c r="AM3289" s="2"/>
    </row>
    <row r="3290" spans="1:39">
      <c r="A3290" s="2"/>
      <c r="AM3290" s="2"/>
    </row>
    <row r="3291" spans="1:39">
      <c r="A3291" s="2"/>
      <c r="AM3291" s="2"/>
    </row>
    <row r="3292" spans="1:39">
      <c r="A3292" s="2"/>
      <c r="AM3292" s="2"/>
    </row>
    <row r="3293" spans="1:39">
      <c r="A3293" s="2"/>
      <c r="AM3293" s="2"/>
    </row>
    <row r="3294" spans="1:39">
      <c r="A3294" s="2"/>
      <c r="AM3294" s="2"/>
    </row>
    <row r="3295" spans="1:39">
      <c r="A3295" s="2"/>
      <c r="AM3295" s="2"/>
    </row>
    <row r="3296" spans="1:39">
      <c r="A3296" s="2"/>
      <c r="AM3296" s="2"/>
    </row>
    <row r="3297" spans="1:39">
      <c r="A3297" s="2"/>
      <c r="AM3297" s="2"/>
    </row>
    <row r="3298" spans="1:39">
      <c r="A3298" s="2"/>
      <c r="AM3298" s="2"/>
    </row>
    <row r="3299" spans="1:39">
      <c r="A3299" s="2"/>
      <c r="AM3299" s="2"/>
    </row>
    <row r="3300" spans="1:39">
      <c r="A3300" s="2"/>
      <c r="AM3300" s="2"/>
    </row>
    <row r="3301" spans="1:39">
      <c r="A3301" s="2"/>
      <c r="AM3301" s="2"/>
    </row>
    <row r="3302" spans="1:39">
      <c r="A3302" s="2"/>
      <c r="AM3302" s="2"/>
    </row>
    <row r="3303" spans="1:39">
      <c r="A3303" s="2"/>
      <c r="AM3303" s="2"/>
    </row>
    <row r="3304" spans="1:39">
      <c r="A3304" s="2"/>
      <c r="AM3304" s="2"/>
    </row>
    <row r="3305" spans="1:39">
      <c r="A3305" s="2"/>
      <c r="AM3305" s="2"/>
    </row>
    <row r="3306" spans="1:39">
      <c r="A3306" s="2"/>
      <c r="AM3306" s="2"/>
    </row>
    <row r="3307" spans="1:39">
      <c r="A3307" s="2"/>
      <c r="AM3307" s="2"/>
    </row>
    <row r="3308" spans="1:39">
      <c r="A3308" s="2"/>
      <c r="AM3308" s="2"/>
    </row>
    <row r="3309" spans="1:39">
      <c r="A3309" s="2"/>
      <c r="AM3309" s="2"/>
    </row>
    <row r="3310" spans="1:39">
      <c r="A3310" s="2"/>
      <c r="AM3310" s="2"/>
    </row>
    <row r="3311" spans="1:39">
      <c r="A3311" s="2"/>
      <c r="AM3311" s="2"/>
    </row>
    <row r="3312" spans="1:39">
      <c r="A3312" s="2"/>
      <c r="AM3312" s="2"/>
    </row>
    <row r="3313" spans="1:39">
      <c r="A3313" s="2"/>
      <c r="AM3313" s="2"/>
    </row>
    <row r="3314" spans="1:39">
      <c r="A3314" s="2"/>
      <c r="AM3314" s="2"/>
    </row>
    <row r="3315" spans="1:39">
      <c r="A3315" s="2"/>
      <c r="AM3315" s="2"/>
    </row>
    <row r="3316" spans="1:39">
      <c r="A3316" s="2"/>
      <c r="AM3316" s="2"/>
    </row>
    <row r="3317" spans="1:39">
      <c r="A3317" s="2"/>
      <c r="AM3317" s="2"/>
    </row>
    <row r="3318" spans="1:39">
      <c r="A3318" s="2"/>
      <c r="AM3318" s="2"/>
    </row>
    <row r="3319" spans="1:39">
      <c r="A3319" s="2"/>
      <c r="AM3319" s="2"/>
    </row>
    <row r="3320" spans="1:39">
      <c r="A3320" s="2"/>
      <c r="AM3320" s="2"/>
    </row>
    <row r="3321" spans="1:39">
      <c r="A3321" s="2"/>
      <c r="AM3321" s="2"/>
    </row>
    <row r="3322" spans="1:39">
      <c r="A3322" s="2"/>
      <c r="AM3322" s="2"/>
    </row>
    <row r="3323" spans="1:39">
      <c r="A3323" s="2"/>
      <c r="AM3323" s="2"/>
    </row>
    <row r="3324" spans="1:39">
      <c r="A3324" s="2"/>
      <c r="AM3324" s="2"/>
    </row>
    <row r="3325" spans="1:39">
      <c r="A3325" s="2"/>
      <c r="AM3325" s="2"/>
    </row>
    <row r="3326" spans="1:39">
      <c r="A3326" s="2"/>
      <c r="AM3326" s="2"/>
    </row>
    <row r="3327" spans="1:39">
      <c r="A3327" s="2"/>
      <c r="AM3327" s="2"/>
    </row>
    <row r="3328" spans="1:39">
      <c r="A3328" s="2"/>
      <c r="AM3328" s="2"/>
    </row>
    <row r="3329" spans="1:39">
      <c r="A3329" s="2"/>
      <c r="AM3329" s="2"/>
    </row>
    <row r="3330" spans="1:39">
      <c r="A3330" s="2"/>
      <c r="AM3330" s="2"/>
    </row>
    <row r="3331" spans="1:39">
      <c r="A3331" s="2"/>
      <c r="AM3331" s="2"/>
    </row>
    <row r="3332" spans="1:39">
      <c r="A3332" s="2"/>
      <c r="AM3332" s="2"/>
    </row>
    <row r="3333" spans="1:39">
      <c r="A3333" s="2"/>
      <c r="AM3333" s="2"/>
    </row>
    <row r="3334" spans="1:39">
      <c r="A3334" s="2"/>
      <c r="AM3334" s="2"/>
    </row>
    <row r="3335" spans="1:39">
      <c r="A3335" s="2"/>
      <c r="AM3335" s="2"/>
    </row>
    <row r="3336" spans="1:39">
      <c r="A3336" s="2"/>
      <c r="AM3336" s="2"/>
    </row>
    <row r="3337" spans="1:39">
      <c r="A3337" s="2"/>
      <c r="AM3337" s="2"/>
    </row>
    <row r="3338" spans="1:39">
      <c r="A3338" s="2"/>
      <c r="AM3338" s="2"/>
    </row>
    <row r="3339" spans="1:39">
      <c r="A3339" s="2"/>
      <c r="AM3339" s="2"/>
    </row>
    <row r="3340" spans="1:39">
      <c r="A3340" s="2"/>
      <c r="AM3340" s="2"/>
    </row>
    <row r="3341" spans="1:39">
      <c r="A3341" s="2"/>
      <c r="AM3341" s="2"/>
    </row>
    <row r="3342" spans="1:39">
      <c r="A3342" s="2"/>
      <c r="AM3342" s="2"/>
    </row>
    <row r="3343" spans="1:39">
      <c r="A3343" s="2"/>
      <c r="AM3343" s="2"/>
    </row>
    <row r="3344" spans="1:39">
      <c r="A3344" s="2"/>
      <c r="AM3344" s="2"/>
    </row>
    <row r="3345" spans="1:39">
      <c r="A3345" s="2"/>
      <c r="AM3345" s="2"/>
    </row>
    <row r="3346" spans="1:39">
      <c r="A3346" s="2"/>
      <c r="AM3346" s="2"/>
    </row>
    <row r="3347" spans="1:39">
      <c r="A3347" s="2"/>
      <c r="AM3347" s="2"/>
    </row>
    <row r="3348" spans="1:39">
      <c r="A3348" s="2"/>
      <c r="AM3348" s="2"/>
    </row>
    <row r="3349" spans="1:39">
      <c r="A3349" s="2"/>
      <c r="AM3349" s="2"/>
    </row>
    <row r="3350" spans="1:39">
      <c r="A3350" s="2"/>
      <c r="AM3350" s="2"/>
    </row>
    <row r="3351" spans="1:39">
      <c r="A3351" s="2"/>
      <c r="AM3351" s="2"/>
    </row>
    <row r="3352" spans="1:39">
      <c r="A3352" s="2"/>
      <c r="AM3352" s="2"/>
    </row>
    <row r="3353" spans="1:39">
      <c r="A3353" s="2"/>
      <c r="AM3353" s="2"/>
    </row>
    <row r="3354" spans="1:39">
      <c r="A3354" s="2"/>
      <c r="AM3354" s="2"/>
    </row>
    <row r="3355" spans="1:39">
      <c r="A3355" s="2"/>
      <c r="AM3355" s="2"/>
    </row>
    <row r="3356" spans="1:39">
      <c r="A3356" s="2"/>
      <c r="AM3356" s="2"/>
    </row>
    <row r="3357" spans="1:39">
      <c r="A3357" s="2"/>
      <c r="AM3357" s="2"/>
    </row>
    <row r="3358" spans="1:39">
      <c r="A3358" s="2"/>
      <c r="AM3358" s="2"/>
    </row>
    <row r="3359" spans="1:39">
      <c r="A3359" s="2"/>
      <c r="AM3359" s="2"/>
    </row>
    <row r="3360" spans="1:39">
      <c r="A3360" s="2"/>
      <c r="AM3360" s="2"/>
    </row>
    <row r="3361" spans="1:39">
      <c r="A3361" s="2"/>
      <c r="AM3361" s="2"/>
    </row>
    <row r="3362" spans="1:39">
      <c r="A3362" s="2"/>
      <c r="AM3362" s="2"/>
    </row>
    <row r="3363" spans="1:39">
      <c r="A3363" s="2"/>
      <c r="AM3363" s="2"/>
    </row>
    <row r="3364" spans="1:39">
      <c r="A3364" s="2"/>
      <c r="AM3364" s="2"/>
    </row>
    <row r="3365" spans="1:39">
      <c r="A3365" s="2"/>
      <c r="AM3365" s="2"/>
    </row>
    <row r="3366" spans="1:39">
      <c r="A3366" s="2"/>
      <c r="AM3366" s="2"/>
    </row>
    <row r="3367" spans="1:39">
      <c r="A3367" s="2"/>
      <c r="AM3367" s="2"/>
    </row>
    <row r="3368" spans="1:39">
      <c r="A3368" s="2"/>
      <c r="AM3368" s="2"/>
    </row>
    <row r="3369" spans="1:39">
      <c r="A3369" s="2"/>
      <c r="AM3369" s="2"/>
    </row>
    <row r="3370" spans="1:39">
      <c r="A3370" s="2"/>
      <c r="AM3370" s="2"/>
    </row>
    <row r="3371" spans="1:39">
      <c r="A3371" s="2"/>
      <c r="AM3371" s="2"/>
    </row>
    <row r="3372" spans="1:39">
      <c r="A3372" s="2"/>
      <c r="AM3372" s="2"/>
    </row>
    <row r="3373" spans="1:39">
      <c r="A3373" s="2"/>
      <c r="AM3373" s="2"/>
    </row>
    <row r="3374" spans="1:39">
      <c r="A3374" s="2"/>
      <c r="AM3374" s="2"/>
    </row>
    <row r="3375" spans="1:39">
      <c r="A3375" s="2"/>
      <c r="AM3375" s="2"/>
    </row>
    <row r="3376" spans="1:39">
      <c r="A3376" s="2"/>
      <c r="AM3376" s="2"/>
    </row>
    <row r="3377" spans="1:39">
      <c r="A3377" s="2"/>
      <c r="AM3377" s="2"/>
    </row>
    <row r="3378" spans="1:39">
      <c r="A3378" s="2"/>
      <c r="AM3378" s="2"/>
    </row>
    <row r="3379" spans="1:39">
      <c r="A3379" s="2"/>
      <c r="AM3379" s="2"/>
    </row>
    <row r="3380" spans="1:39">
      <c r="A3380" s="2"/>
      <c r="AM3380" s="2"/>
    </row>
    <row r="3381" spans="1:39">
      <c r="A3381" s="2"/>
      <c r="AM3381" s="2"/>
    </row>
    <row r="3382" spans="1:39">
      <c r="A3382" s="2"/>
      <c r="AM3382" s="2"/>
    </row>
    <row r="3383" spans="1:39">
      <c r="A3383" s="2"/>
      <c r="AM3383" s="2"/>
    </row>
    <row r="3384" spans="1:39">
      <c r="A3384" s="2"/>
      <c r="AM3384" s="2"/>
    </row>
    <row r="3385" spans="1:39">
      <c r="A3385" s="2"/>
      <c r="AM3385" s="2"/>
    </row>
    <row r="3386" spans="1:39">
      <c r="A3386" s="2"/>
      <c r="AM3386" s="2"/>
    </row>
    <row r="3387" spans="1:39">
      <c r="A3387" s="2"/>
      <c r="AM3387" s="2"/>
    </row>
    <row r="3388" spans="1:39">
      <c r="A3388" s="2"/>
      <c r="AM3388" s="2"/>
    </row>
    <row r="3389" spans="1:39">
      <c r="A3389" s="2"/>
      <c r="AM3389" s="2"/>
    </row>
    <row r="3390" spans="1:39">
      <c r="A3390" s="2"/>
      <c r="AM3390" s="2"/>
    </row>
    <row r="3391" spans="1:39">
      <c r="A3391" s="2"/>
      <c r="AM3391" s="2"/>
    </row>
    <row r="3392" spans="1:39">
      <c r="A3392" s="2"/>
      <c r="AM3392" s="2"/>
    </row>
    <row r="3393" spans="1:39">
      <c r="A3393" s="2"/>
      <c r="AM3393" s="2"/>
    </row>
    <row r="3394" spans="1:39">
      <c r="A3394" s="2"/>
      <c r="AM3394" s="2"/>
    </row>
    <row r="3395" spans="1:39">
      <c r="A3395" s="2"/>
      <c r="AM3395" s="2"/>
    </row>
    <row r="3396" spans="1:39">
      <c r="A3396" s="2"/>
      <c r="AM3396" s="2"/>
    </row>
    <row r="3397" spans="1:39">
      <c r="A3397" s="2"/>
      <c r="AM3397" s="2"/>
    </row>
    <row r="3398" spans="1:39">
      <c r="A3398" s="2"/>
      <c r="AM3398" s="2"/>
    </row>
    <row r="3399" spans="1:39">
      <c r="A3399" s="2"/>
      <c r="AM3399" s="2"/>
    </row>
    <row r="3400" spans="1:39">
      <c r="A3400" s="2"/>
      <c r="AM3400" s="2"/>
    </row>
    <row r="3401" spans="1:39">
      <c r="A3401" s="2"/>
      <c r="AM3401" s="2"/>
    </row>
    <row r="3402" spans="1:39">
      <c r="A3402" s="2"/>
      <c r="AM3402" s="2"/>
    </row>
    <row r="3403" spans="1:39">
      <c r="A3403" s="2"/>
      <c r="AM3403" s="2"/>
    </row>
    <row r="3404" spans="1:39">
      <c r="A3404" s="2"/>
      <c r="AM3404" s="2"/>
    </row>
    <row r="3405" spans="1:39">
      <c r="A3405" s="2"/>
      <c r="AM3405" s="2"/>
    </row>
    <row r="3406" spans="1:39">
      <c r="A3406" s="2"/>
      <c r="AM3406" s="2"/>
    </row>
    <row r="3407" spans="1:39">
      <c r="A3407" s="2"/>
      <c r="AM3407" s="2"/>
    </row>
    <row r="3408" spans="1:39">
      <c r="A3408" s="2"/>
      <c r="AM3408" s="2"/>
    </row>
    <row r="3409" spans="1:39">
      <c r="A3409" s="2"/>
      <c r="AM3409" s="2"/>
    </row>
    <row r="3410" spans="1:39">
      <c r="A3410" s="2"/>
      <c r="AM3410" s="2"/>
    </row>
    <row r="3411" spans="1:39">
      <c r="A3411" s="2"/>
      <c r="AM3411" s="2"/>
    </row>
    <row r="3412" spans="1:39">
      <c r="A3412" s="2"/>
      <c r="AM3412" s="2"/>
    </row>
    <row r="3413" spans="1:39">
      <c r="A3413" s="2"/>
      <c r="AM3413" s="2"/>
    </row>
    <row r="3414" spans="1:39">
      <c r="A3414" s="2"/>
      <c r="AM3414" s="2"/>
    </row>
    <row r="3415" spans="1:39">
      <c r="A3415" s="2"/>
      <c r="AM3415" s="2"/>
    </row>
    <row r="3416" spans="1:39">
      <c r="A3416" s="2"/>
      <c r="AM3416" s="2"/>
    </row>
    <row r="3417" spans="1:39">
      <c r="A3417" s="2"/>
      <c r="AM3417" s="2"/>
    </row>
    <row r="3418" spans="1:39">
      <c r="A3418" s="2"/>
      <c r="AM3418" s="2"/>
    </row>
    <row r="3419" spans="1:39">
      <c r="A3419" s="2"/>
      <c r="AM3419" s="2"/>
    </row>
    <row r="3420" spans="1:39">
      <c r="A3420" s="2"/>
      <c r="AM3420" s="2"/>
    </row>
    <row r="3421" spans="1:39">
      <c r="A3421" s="2"/>
      <c r="AM3421" s="2"/>
    </row>
    <row r="3422" spans="1:39">
      <c r="A3422" s="2"/>
      <c r="AM3422" s="2"/>
    </row>
    <row r="3423" spans="1:39">
      <c r="A3423" s="2"/>
      <c r="AM3423" s="2"/>
    </row>
    <row r="3424" spans="1:39">
      <c r="A3424" s="2"/>
      <c r="AM3424" s="2"/>
    </row>
    <row r="3425" spans="1:39">
      <c r="A3425" s="2"/>
      <c r="AM3425" s="2"/>
    </row>
    <row r="3426" spans="1:39">
      <c r="A3426" s="2"/>
      <c r="AM3426" s="2"/>
    </row>
    <row r="3427" spans="1:39">
      <c r="A3427" s="2"/>
      <c r="AM3427" s="2"/>
    </row>
    <row r="3428" spans="1:39">
      <c r="A3428" s="2"/>
      <c r="AM3428" s="2"/>
    </row>
    <row r="3429" spans="1:39">
      <c r="A3429" s="2"/>
      <c r="AM3429" s="2"/>
    </row>
    <row r="3430" spans="1:39">
      <c r="A3430" s="2"/>
      <c r="AM3430" s="2"/>
    </row>
    <row r="3431" spans="1:39">
      <c r="A3431" s="2"/>
      <c r="AM3431" s="2"/>
    </row>
    <row r="3432" spans="1:39">
      <c r="A3432" s="2"/>
      <c r="AM3432" s="2"/>
    </row>
    <row r="3433" spans="1:39">
      <c r="A3433" s="2"/>
      <c r="AM3433" s="2"/>
    </row>
    <row r="3434" spans="1:39">
      <c r="A3434" s="2"/>
      <c r="AM3434" s="2"/>
    </row>
    <row r="3435" spans="1:39">
      <c r="A3435" s="2"/>
      <c r="AM3435" s="2"/>
    </row>
    <row r="3436" spans="1:39">
      <c r="A3436" s="2"/>
      <c r="AM3436" s="2"/>
    </row>
    <row r="3437" spans="1:39">
      <c r="A3437" s="2"/>
      <c r="AM3437" s="2"/>
    </row>
    <row r="3438" spans="1:39">
      <c r="A3438" s="2"/>
      <c r="AM3438" s="2"/>
    </row>
    <row r="3439" spans="1:39">
      <c r="A3439" s="2"/>
      <c r="AM3439" s="2"/>
    </row>
    <row r="3440" spans="1:39">
      <c r="A3440" s="2"/>
      <c r="AM3440" s="2"/>
    </row>
    <row r="3441" spans="1:39">
      <c r="A3441" s="2"/>
      <c r="AM3441" s="2"/>
    </row>
    <row r="3442" spans="1:39">
      <c r="A3442" s="2"/>
      <c r="AM3442" s="2"/>
    </row>
    <row r="3443" spans="1:39">
      <c r="A3443" s="2"/>
      <c r="AM3443" s="2"/>
    </row>
    <row r="3444" spans="1:39">
      <c r="A3444" s="2"/>
      <c r="AM3444" s="2"/>
    </row>
    <row r="3445" spans="1:39">
      <c r="A3445" s="2"/>
      <c r="AM3445" s="2"/>
    </row>
    <row r="3446" spans="1:39">
      <c r="A3446" s="2"/>
      <c r="AM3446" s="2"/>
    </row>
    <row r="3447" spans="1:39">
      <c r="A3447" s="2"/>
      <c r="AM3447" s="2"/>
    </row>
    <row r="3448" spans="1:39">
      <c r="A3448" s="2"/>
      <c r="AM3448" s="2"/>
    </row>
    <row r="3449" spans="1:39">
      <c r="A3449" s="2"/>
      <c r="AM3449" s="2"/>
    </row>
    <row r="3450" spans="1:39">
      <c r="A3450" s="2"/>
      <c r="AM3450" s="2"/>
    </row>
    <row r="3451" spans="1:39">
      <c r="A3451" s="2"/>
      <c r="AM3451" s="2"/>
    </row>
    <row r="3452" spans="1:39">
      <c r="A3452" s="2"/>
      <c r="AM3452" s="2"/>
    </row>
    <row r="3453" spans="1:39">
      <c r="A3453" s="2"/>
      <c r="AM3453" s="2"/>
    </row>
    <row r="3454" spans="1:39">
      <c r="A3454" s="2"/>
      <c r="AM3454" s="2"/>
    </row>
    <row r="3455" spans="1:39">
      <c r="A3455" s="2"/>
      <c r="AM3455" s="2"/>
    </row>
    <row r="3456" spans="1:39">
      <c r="A3456" s="2"/>
      <c r="AM3456" s="2"/>
    </row>
    <row r="3457" spans="1:39">
      <c r="A3457" s="2"/>
      <c r="AM3457" s="2"/>
    </row>
    <row r="3458" spans="1:39">
      <c r="A3458" s="2"/>
      <c r="AM3458" s="2"/>
    </row>
    <row r="3459" spans="1:39">
      <c r="A3459" s="2"/>
      <c r="AM3459" s="2"/>
    </row>
    <row r="3460" spans="1:39">
      <c r="A3460" s="2"/>
      <c r="AM3460" s="2"/>
    </row>
    <row r="3461" spans="1:39">
      <c r="A3461" s="2"/>
      <c r="AM3461" s="2"/>
    </row>
    <row r="3462" spans="1:39">
      <c r="A3462" s="2"/>
      <c r="AM3462" s="2"/>
    </row>
    <row r="3463" spans="1:39">
      <c r="A3463" s="2"/>
      <c r="AM3463" s="2"/>
    </row>
    <row r="3464" spans="1:39">
      <c r="A3464" s="2"/>
      <c r="AM3464" s="2"/>
    </row>
    <row r="3465" spans="1:39">
      <c r="A3465" s="2"/>
      <c r="AM3465" s="2"/>
    </row>
    <row r="3466" spans="1:39">
      <c r="A3466" s="2"/>
      <c r="AM3466" s="2"/>
    </row>
    <row r="3467" spans="1:39">
      <c r="A3467" s="2"/>
      <c r="AM3467" s="2"/>
    </row>
    <row r="3468" spans="1:39">
      <c r="A3468" s="2"/>
      <c r="AM3468" s="2"/>
    </row>
    <row r="3469" spans="1:39">
      <c r="A3469" s="2"/>
      <c r="AM3469" s="2"/>
    </row>
    <row r="3470" spans="1:39">
      <c r="A3470" s="2"/>
      <c r="AM3470" s="2"/>
    </row>
    <row r="3471" spans="1:39">
      <c r="A3471" s="2"/>
      <c r="AM3471" s="2"/>
    </row>
    <row r="3472" spans="1:39">
      <c r="A3472" s="2"/>
      <c r="AM3472" s="2"/>
    </row>
    <row r="3473" spans="1:39">
      <c r="A3473" s="2"/>
      <c r="AM3473" s="2"/>
    </row>
    <row r="3474" spans="1:39">
      <c r="A3474" s="2"/>
      <c r="AM3474" s="2"/>
    </row>
    <row r="3475" spans="1:39">
      <c r="A3475" s="2"/>
      <c r="AM3475" s="2"/>
    </row>
    <row r="3476" spans="1:39">
      <c r="A3476" s="2"/>
      <c r="AM3476" s="2"/>
    </row>
    <row r="3477" spans="1:39">
      <c r="A3477" s="2"/>
      <c r="AM3477" s="2"/>
    </row>
    <row r="3478" spans="1:39">
      <c r="A3478" s="2"/>
      <c r="AM3478" s="2"/>
    </row>
    <row r="3479" spans="1:39">
      <c r="A3479" s="2"/>
      <c r="AM3479" s="2"/>
    </row>
    <row r="3480" spans="1:39">
      <c r="A3480" s="2"/>
      <c r="AM3480" s="2"/>
    </row>
    <row r="3481" spans="1:39">
      <c r="A3481" s="2"/>
      <c r="AM3481" s="2"/>
    </row>
    <row r="3482" spans="1:39">
      <c r="A3482" s="2"/>
      <c r="AM3482" s="2"/>
    </row>
    <row r="3483" spans="1:39">
      <c r="A3483" s="2"/>
      <c r="AM3483" s="2"/>
    </row>
    <row r="3484" spans="1:39">
      <c r="A3484" s="2"/>
      <c r="AM3484" s="2"/>
    </row>
    <row r="3485" spans="1:39">
      <c r="A3485" s="2"/>
      <c r="AM3485" s="2"/>
    </row>
    <row r="3486" spans="1:39">
      <c r="A3486" s="2"/>
      <c r="AM3486" s="2"/>
    </row>
    <row r="3487" spans="1:39">
      <c r="A3487" s="2"/>
      <c r="AM3487" s="2"/>
    </row>
    <row r="3488" spans="1:39">
      <c r="A3488" s="2"/>
      <c r="AM3488" s="2"/>
    </row>
    <row r="3489" spans="1:39">
      <c r="A3489" s="2"/>
      <c r="AM3489" s="2"/>
    </row>
    <row r="3490" spans="1:39">
      <c r="A3490" s="2"/>
      <c r="AM3490" s="2"/>
    </row>
    <row r="3491" spans="1:39">
      <c r="A3491" s="2"/>
      <c r="AM3491" s="2"/>
    </row>
    <row r="3492" spans="1:39">
      <c r="A3492" s="2"/>
      <c r="AM3492" s="2"/>
    </row>
    <row r="3493" spans="1:39">
      <c r="A3493" s="2"/>
      <c r="AM3493" s="2"/>
    </row>
    <row r="3494" spans="1:39">
      <c r="A3494" s="2"/>
      <c r="AM3494" s="2"/>
    </row>
    <row r="3495" spans="1:39">
      <c r="A3495" s="2"/>
      <c r="AM3495" s="2"/>
    </row>
    <row r="3496" spans="1:39">
      <c r="A3496" s="2"/>
      <c r="AM3496" s="2"/>
    </row>
    <row r="3497" spans="1:39">
      <c r="A3497" s="2"/>
      <c r="AM3497" s="2"/>
    </row>
    <row r="3498" spans="1:39">
      <c r="A3498" s="2"/>
      <c r="AM3498" s="2"/>
    </row>
    <row r="3499" spans="1:39">
      <c r="A3499" s="2"/>
      <c r="AM3499" s="2"/>
    </row>
    <row r="3500" spans="1:39">
      <c r="A3500" s="2"/>
      <c r="AM3500" s="2"/>
    </row>
    <row r="3501" spans="1:39">
      <c r="A3501" s="2"/>
      <c r="AM3501" s="2"/>
    </row>
    <row r="3502" spans="1:39">
      <c r="A3502" s="2"/>
      <c r="AM3502" s="2"/>
    </row>
    <row r="3503" spans="1:39">
      <c r="A3503" s="2"/>
      <c r="AM3503" s="2"/>
    </row>
    <row r="3504" spans="1:39">
      <c r="A3504" s="2"/>
      <c r="AM3504" s="2"/>
    </row>
    <row r="3505" spans="1:39">
      <c r="A3505" s="2"/>
      <c r="AM3505" s="2"/>
    </row>
    <row r="3506" spans="1:39">
      <c r="A3506" s="2"/>
      <c r="AM3506" s="2"/>
    </row>
    <row r="3507" spans="1:39">
      <c r="A3507" s="2"/>
      <c r="AM3507" s="2"/>
    </row>
    <row r="3508" spans="1:39">
      <c r="A3508" s="2"/>
      <c r="AM3508" s="2"/>
    </row>
    <row r="3509" spans="1:39">
      <c r="A3509" s="2"/>
      <c r="AM3509" s="2"/>
    </row>
    <row r="3510" spans="1:39">
      <c r="A3510" s="2"/>
      <c r="AM3510" s="2"/>
    </row>
    <row r="3511" spans="1:39">
      <c r="A3511" s="2"/>
      <c r="AM3511" s="2"/>
    </row>
    <row r="3512" spans="1:39">
      <c r="A3512" s="2"/>
      <c r="AM3512" s="2"/>
    </row>
    <row r="3513" spans="1:39">
      <c r="A3513" s="2"/>
      <c r="AM3513" s="2"/>
    </row>
    <row r="3514" spans="1:39">
      <c r="A3514" s="2"/>
      <c r="AM3514" s="2"/>
    </row>
    <row r="3515" spans="1:39">
      <c r="A3515" s="2"/>
      <c r="AM3515" s="2"/>
    </row>
    <row r="3516" spans="1:39">
      <c r="A3516" s="2"/>
      <c r="AM3516" s="2"/>
    </row>
    <row r="3517" spans="1:39">
      <c r="A3517" s="2"/>
      <c r="AM3517" s="2"/>
    </row>
    <row r="3518" spans="1:39">
      <c r="A3518" s="2"/>
      <c r="AM3518" s="2"/>
    </row>
    <row r="3519" spans="1:39">
      <c r="A3519" s="2"/>
      <c r="AM3519" s="2"/>
    </row>
    <row r="3520" spans="1:39">
      <c r="A3520" s="2"/>
      <c r="AM3520" s="2"/>
    </row>
    <row r="3521" spans="1:39">
      <c r="A3521" s="2"/>
      <c r="AM3521" s="2"/>
    </row>
    <row r="3522" spans="1:39">
      <c r="A3522" s="2"/>
      <c r="AM3522" s="2"/>
    </row>
    <row r="3523" spans="1:39">
      <c r="A3523" s="2"/>
      <c r="AM3523" s="2"/>
    </row>
    <row r="3524" spans="1:39">
      <c r="A3524" s="2"/>
      <c r="AM3524" s="2"/>
    </row>
    <row r="3525" spans="1:39">
      <c r="A3525" s="2"/>
      <c r="AM3525" s="2"/>
    </row>
    <row r="3526" spans="1:39">
      <c r="A3526" s="2"/>
      <c r="AM3526" s="2"/>
    </row>
    <row r="3527" spans="1:39">
      <c r="A3527" s="2"/>
      <c r="AM3527" s="2"/>
    </row>
    <row r="3528" spans="1:39">
      <c r="A3528" s="2"/>
      <c r="AM3528" s="2"/>
    </row>
    <row r="3529" spans="1:39">
      <c r="A3529" s="2"/>
      <c r="AM3529" s="2"/>
    </row>
    <row r="3530" spans="1:39">
      <c r="A3530" s="2"/>
      <c r="AM3530" s="2"/>
    </row>
    <row r="3531" spans="1:39">
      <c r="A3531" s="2"/>
      <c r="AM3531" s="2"/>
    </row>
    <row r="3532" spans="1:39">
      <c r="A3532" s="2"/>
      <c r="AM3532" s="2"/>
    </row>
    <row r="3533" spans="1:39">
      <c r="A3533" s="2"/>
      <c r="AM3533" s="2"/>
    </row>
    <row r="3534" spans="1:39">
      <c r="A3534" s="2"/>
      <c r="AM3534" s="2"/>
    </row>
    <row r="3535" spans="1:39">
      <c r="A3535" s="2"/>
      <c r="AM3535" s="2"/>
    </row>
    <row r="3536" spans="1:39">
      <c r="A3536" s="2"/>
      <c r="AM3536" s="2"/>
    </row>
    <row r="3537" spans="1:39">
      <c r="A3537" s="2"/>
      <c r="AM3537" s="2"/>
    </row>
    <row r="3538" spans="1:39">
      <c r="A3538" s="2"/>
      <c r="AM3538" s="2"/>
    </row>
    <row r="3539" spans="1:39">
      <c r="A3539" s="2"/>
      <c r="AM3539" s="2"/>
    </row>
    <row r="3540" spans="1:39">
      <c r="A3540" s="2"/>
      <c r="AM3540" s="2"/>
    </row>
    <row r="3541" spans="1:39">
      <c r="A3541" s="2"/>
      <c r="AM3541" s="2"/>
    </row>
    <row r="3542" spans="1:39">
      <c r="A3542" s="2"/>
      <c r="AM3542" s="2"/>
    </row>
    <row r="3543" spans="1:39">
      <c r="A3543" s="2"/>
      <c r="AM3543" s="2"/>
    </row>
    <row r="3544" spans="1:39">
      <c r="A3544" s="2"/>
      <c r="AM3544" s="2"/>
    </row>
    <row r="3545" spans="1:39">
      <c r="A3545" s="2"/>
      <c r="AM3545" s="2"/>
    </row>
    <row r="3546" spans="1:39">
      <c r="A3546" s="2"/>
      <c r="AM3546" s="2"/>
    </row>
    <row r="3547" spans="1:39">
      <c r="A3547" s="2"/>
      <c r="AM3547" s="2"/>
    </row>
    <row r="3548" spans="1:39">
      <c r="A3548" s="2"/>
      <c r="AM3548" s="2"/>
    </row>
    <row r="3549" spans="1:39">
      <c r="A3549" s="2"/>
      <c r="AM3549" s="2"/>
    </row>
    <row r="3550" spans="1:39">
      <c r="A3550" s="2"/>
      <c r="AM3550" s="2"/>
    </row>
    <row r="3551" spans="1:39">
      <c r="A3551" s="2"/>
      <c r="AM3551" s="2"/>
    </row>
    <row r="3552" spans="1:39">
      <c r="A3552" s="2"/>
      <c r="AM3552" s="2"/>
    </row>
    <row r="3553" spans="1:39">
      <c r="A3553" s="2"/>
      <c r="AM3553" s="2"/>
    </row>
    <row r="3554" spans="1:39">
      <c r="A3554" s="2"/>
      <c r="AM3554" s="2"/>
    </row>
    <row r="3555" spans="1:39">
      <c r="A3555" s="2"/>
      <c r="AM3555" s="2"/>
    </row>
    <row r="3556" spans="1:39">
      <c r="A3556" s="2"/>
      <c r="AM3556" s="2"/>
    </row>
    <row r="3557" spans="1:39">
      <c r="A3557" s="2"/>
      <c r="AM3557" s="2"/>
    </row>
    <row r="3558" spans="1:39">
      <c r="A3558" s="2"/>
      <c r="AM3558" s="2"/>
    </row>
    <row r="3559" spans="1:39">
      <c r="A3559" s="2"/>
      <c r="AM3559" s="2"/>
    </row>
    <row r="3560" spans="1:39">
      <c r="A3560" s="2"/>
      <c r="AM3560" s="2"/>
    </row>
    <row r="3561" spans="1:39">
      <c r="A3561" s="2"/>
      <c r="AM3561" s="2"/>
    </row>
    <row r="3562" spans="1:39">
      <c r="A3562" s="2"/>
      <c r="AM3562" s="2"/>
    </row>
    <row r="3563" spans="1:39">
      <c r="A3563" s="2"/>
      <c r="AM3563" s="2"/>
    </row>
    <row r="3564" spans="1:39">
      <c r="A3564" s="2"/>
      <c r="AM3564" s="2"/>
    </row>
    <row r="3565" spans="1:39">
      <c r="A3565" s="2"/>
      <c r="AM3565" s="2"/>
    </row>
    <row r="3566" spans="1:39">
      <c r="A3566" s="2"/>
      <c r="AM3566" s="2"/>
    </row>
    <row r="3567" spans="1:39">
      <c r="A3567" s="2"/>
      <c r="AM3567" s="2"/>
    </row>
    <row r="3568" spans="1:39">
      <c r="A3568" s="2"/>
      <c r="AM3568" s="2"/>
    </row>
    <row r="3569" spans="1:39">
      <c r="A3569" s="2"/>
      <c r="AM3569" s="2"/>
    </row>
    <row r="3570" spans="1:39">
      <c r="A3570" s="2"/>
      <c r="AM3570" s="2"/>
    </row>
    <row r="3571" spans="1:39">
      <c r="A3571" s="2"/>
      <c r="AM3571" s="2"/>
    </row>
    <row r="3572" spans="1:39">
      <c r="A3572" s="2"/>
      <c r="AM3572" s="2"/>
    </row>
    <row r="3573" spans="1:39">
      <c r="A3573" s="2"/>
      <c r="AM3573" s="2"/>
    </row>
    <row r="3574" spans="1:39">
      <c r="A3574" s="2"/>
      <c r="AM3574" s="2"/>
    </row>
    <row r="3575" spans="1:39">
      <c r="A3575" s="2"/>
      <c r="AM3575" s="2"/>
    </row>
    <row r="3576" spans="1:39">
      <c r="A3576" s="2"/>
      <c r="AM3576" s="2"/>
    </row>
    <row r="3577" spans="1:39">
      <c r="A3577" s="2"/>
      <c r="AM3577" s="2"/>
    </row>
    <row r="3578" spans="1:39">
      <c r="A3578" s="2"/>
      <c r="AM3578" s="2"/>
    </row>
    <row r="3579" spans="1:39">
      <c r="A3579" s="2"/>
      <c r="AM3579" s="2"/>
    </row>
    <row r="3580" spans="1:39">
      <c r="A3580" s="2"/>
      <c r="AM3580" s="2"/>
    </row>
    <row r="3581" spans="1:39">
      <c r="A3581" s="2"/>
      <c r="AM3581" s="2"/>
    </row>
    <row r="3582" spans="1:39">
      <c r="A3582" s="2"/>
      <c r="AM3582" s="2"/>
    </row>
    <row r="3583" spans="1:39">
      <c r="A3583" s="2"/>
      <c r="AM3583" s="2"/>
    </row>
    <row r="3584" spans="1:39">
      <c r="A3584" s="2"/>
      <c r="AM3584" s="2"/>
    </row>
    <row r="3585" spans="1:39">
      <c r="A3585" s="2"/>
      <c r="AM3585" s="2"/>
    </row>
    <row r="3586" spans="1:39">
      <c r="A3586" s="2"/>
      <c r="AM3586" s="2"/>
    </row>
    <row r="3587" spans="1:39">
      <c r="A3587" s="2"/>
      <c r="AM3587" s="2"/>
    </row>
    <row r="3588" spans="1:39">
      <c r="A3588" s="2"/>
      <c r="AM3588" s="2"/>
    </row>
    <row r="3589" spans="1:39">
      <c r="A3589" s="2"/>
      <c r="AM3589" s="2"/>
    </row>
    <row r="3590" spans="1:39">
      <c r="A3590" s="2"/>
      <c r="AM3590" s="2"/>
    </row>
    <row r="3591" spans="1:39">
      <c r="A3591" s="2"/>
      <c r="AM3591" s="2"/>
    </row>
    <row r="3592" spans="1:39">
      <c r="A3592" s="2"/>
      <c r="AM3592" s="2"/>
    </row>
    <row r="3593" spans="1:39">
      <c r="A3593" s="2"/>
      <c r="AM3593" s="2"/>
    </row>
    <row r="3594" spans="1:39">
      <c r="A3594" s="2"/>
      <c r="AM3594" s="2"/>
    </row>
    <row r="3595" spans="1:39">
      <c r="A3595" s="2"/>
      <c r="AM3595" s="2"/>
    </row>
    <row r="3596" spans="1:39">
      <c r="A3596" s="2"/>
      <c r="AM3596" s="2"/>
    </row>
    <row r="3597" spans="1:39">
      <c r="A3597" s="2"/>
      <c r="AM3597" s="2"/>
    </row>
    <row r="3598" spans="1:39">
      <c r="A3598" s="2"/>
      <c r="AM3598" s="2"/>
    </row>
    <row r="3599" spans="1:39">
      <c r="A3599" s="2"/>
      <c r="AM3599" s="2"/>
    </row>
    <row r="3600" spans="1:39">
      <c r="A3600" s="2"/>
      <c r="AM3600" s="2"/>
    </row>
    <row r="3601" spans="1:39">
      <c r="A3601" s="2"/>
      <c r="AM3601" s="2"/>
    </row>
    <row r="3602" spans="1:39">
      <c r="A3602" s="2"/>
      <c r="AM3602" s="2"/>
    </row>
    <row r="3603" spans="1:39">
      <c r="A3603" s="2"/>
      <c r="AM3603" s="2"/>
    </row>
    <row r="3604" spans="1:39">
      <c r="A3604" s="2"/>
      <c r="AM3604" s="2"/>
    </row>
    <row r="3605" spans="1:39">
      <c r="A3605" s="2"/>
      <c r="AM3605" s="2"/>
    </row>
    <row r="3606" spans="1:39">
      <c r="A3606" s="2"/>
      <c r="AM3606" s="2"/>
    </row>
    <row r="3607" spans="1:39">
      <c r="A3607" s="2"/>
      <c r="AM3607" s="2"/>
    </row>
    <row r="3608" spans="1:39">
      <c r="A3608" s="2"/>
      <c r="AM3608" s="2"/>
    </row>
    <row r="3609" spans="1:39">
      <c r="A3609" s="2"/>
      <c r="AM3609" s="2"/>
    </row>
    <row r="3610" spans="1:39">
      <c r="A3610" s="2"/>
      <c r="AM3610" s="2"/>
    </row>
    <row r="3611" spans="1:39">
      <c r="A3611" s="2"/>
      <c r="AM3611" s="2"/>
    </row>
    <row r="3612" spans="1:39">
      <c r="A3612" s="2"/>
      <c r="AM3612" s="2"/>
    </row>
    <row r="3613" spans="1:39">
      <c r="A3613" s="2"/>
      <c r="AM3613" s="2"/>
    </row>
    <row r="3614" spans="1:39">
      <c r="A3614" s="2"/>
      <c r="AM3614" s="2"/>
    </row>
    <row r="3615" spans="1:39">
      <c r="A3615" s="2"/>
      <c r="AM3615" s="2"/>
    </row>
    <row r="3616" spans="1:39">
      <c r="A3616" s="2"/>
      <c r="AM3616" s="2"/>
    </row>
    <row r="3617" spans="1:39">
      <c r="A3617" s="2"/>
      <c r="AM3617" s="2"/>
    </row>
    <row r="3618" spans="1:39">
      <c r="A3618" s="2"/>
      <c r="AM3618" s="2"/>
    </row>
    <row r="3619" spans="1:39">
      <c r="A3619" s="2"/>
      <c r="AM3619" s="2"/>
    </row>
    <row r="3620" spans="1:39">
      <c r="A3620" s="2"/>
      <c r="AM3620" s="2"/>
    </row>
    <row r="3621" spans="1:39">
      <c r="A3621" s="2"/>
      <c r="AM3621" s="2"/>
    </row>
    <row r="3622" spans="1:39">
      <c r="A3622" s="2"/>
      <c r="AM3622" s="2"/>
    </row>
    <row r="3623" spans="1:39">
      <c r="A3623" s="2"/>
      <c r="AM3623" s="2"/>
    </row>
    <row r="3624" spans="1:39">
      <c r="A3624" s="2"/>
      <c r="AM3624" s="2"/>
    </row>
    <row r="3625" spans="1:39">
      <c r="A3625" s="2"/>
      <c r="AM3625" s="2"/>
    </row>
    <row r="3626" spans="1:39">
      <c r="A3626" s="2"/>
      <c r="AM3626" s="2"/>
    </row>
    <row r="3627" spans="1:39">
      <c r="A3627" s="2"/>
      <c r="AM3627" s="2"/>
    </row>
    <row r="3628" spans="1:39">
      <c r="A3628" s="2"/>
      <c r="AM3628" s="2"/>
    </row>
    <row r="3629" spans="1:39">
      <c r="A3629" s="2"/>
      <c r="AM3629" s="2"/>
    </row>
    <row r="3630" spans="1:39">
      <c r="A3630" s="2"/>
      <c r="AM3630" s="2"/>
    </row>
    <row r="3631" spans="1:39">
      <c r="A3631" s="2"/>
      <c r="AM3631" s="2"/>
    </row>
    <row r="3632" spans="1:39">
      <c r="A3632" s="2"/>
      <c r="AM3632" s="2"/>
    </row>
    <row r="3633" spans="1:39">
      <c r="A3633" s="2"/>
      <c r="AM3633" s="2"/>
    </row>
    <row r="3634" spans="1:39">
      <c r="A3634" s="2"/>
      <c r="AM3634" s="2"/>
    </row>
    <row r="3635" spans="1:39">
      <c r="A3635" s="2"/>
      <c r="AM3635" s="2"/>
    </row>
    <row r="3636" spans="1:39">
      <c r="A3636" s="2"/>
      <c r="AM3636" s="2"/>
    </row>
    <row r="3637" spans="1:39">
      <c r="A3637" s="2"/>
      <c r="AM3637" s="2"/>
    </row>
    <row r="3638" spans="1:39">
      <c r="A3638" s="2"/>
      <c r="AM3638" s="2"/>
    </row>
    <row r="3639" spans="1:39">
      <c r="A3639" s="2"/>
      <c r="AM3639" s="2"/>
    </row>
    <row r="3640" spans="1:39">
      <c r="A3640" s="2"/>
      <c r="AM3640" s="2"/>
    </row>
    <row r="3641" spans="1:39">
      <c r="A3641" s="2"/>
      <c r="AM3641" s="2"/>
    </row>
    <row r="3642" spans="1:39">
      <c r="A3642" s="2"/>
      <c r="AM3642" s="2"/>
    </row>
    <row r="3643" spans="1:39">
      <c r="A3643" s="2"/>
      <c r="AM3643" s="2"/>
    </row>
    <row r="3644" spans="1:39">
      <c r="A3644" s="2"/>
      <c r="AM3644" s="2"/>
    </row>
    <row r="3645" spans="1:39">
      <c r="A3645" s="2"/>
      <c r="AM3645" s="2"/>
    </row>
    <row r="3646" spans="1:39">
      <c r="A3646" s="2"/>
      <c r="AM3646" s="2"/>
    </row>
    <row r="3647" spans="1:39">
      <c r="A3647" s="2"/>
      <c r="AM3647" s="2"/>
    </row>
    <row r="3648" spans="1:39">
      <c r="A3648" s="2"/>
      <c r="AM3648" s="2"/>
    </row>
    <row r="3649" spans="1:39">
      <c r="A3649" s="2"/>
      <c r="AM3649" s="2"/>
    </row>
    <row r="3650" spans="1:39">
      <c r="A3650" s="2"/>
      <c r="AM3650" s="2"/>
    </row>
    <row r="3651" spans="1:39">
      <c r="A3651" s="2"/>
      <c r="AM3651" s="2"/>
    </row>
    <row r="3652" spans="1:39">
      <c r="A3652" s="2"/>
      <c r="AM3652" s="2"/>
    </row>
    <row r="3653" spans="1:39">
      <c r="A3653" s="2"/>
      <c r="AM3653" s="2"/>
    </row>
    <row r="3654" spans="1:39">
      <c r="A3654" s="2"/>
      <c r="AM3654" s="2"/>
    </row>
    <row r="3655" spans="1:39">
      <c r="A3655" s="2"/>
      <c r="AM3655" s="2"/>
    </row>
    <row r="3656" spans="1:39">
      <c r="A3656" s="2"/>
      <c r="AM3656" s="2"/>
    </row>
    <row r="3657" spans="1:39">
      <c r="A3657" s="2"/>
      <c r="AM3657" s="2"/>
    </row>
    <row r="3658" spans="1:39">
      <c r="A3658" s="2"/>
      <c r="AM3658" s="2"/>
    </row>
    <row r="3659" spans="1:39">
      <c r="A3659" s="2"/>
      <c r="AM3659" s="2"/>
    </row>
    <row r="3660" spans="1:39">
      <c r="A3660" s="2"/>
      <c r="AM3660" s="2"/>
    </row>
    <row r="3661" spans="1:39">
      <c r="A3661" s="2"/>
      <c r="AM3661" s="2"/>
    </row>
    <row r="3662" spans="1:39">
      <c r="A3662" s="2"/>
      <c r="AM3662" s="2"/>
    </row>
    <row r="3663" spans="1:39">
      <c r="A3663" s="2"/>
      <c r="AM3663" s="2"/>
    </row>
    <row r="3664" spans="1:39">
      <c r="A3664" s="2"/>
      <c r="AM3664" s="2"/>
    </row>
    <row r="3665" spans="1:39">
      <c r="A3665" s="2"/>
      <c r="AM3665" s="2"/>
    </row>
    <row r="3666" spans="1:39">
      <c r="A3666" s="2"/>
      <c r="AM3666" s="2"/>
    </row>
    <row r="3667" spans="1:39">
      <c r="A3667" s="2"/>
      <c r="AM3667" s="2"/>
    </row>
    <row r="3668" spans="1:39">
      <c r="A3668" s="2"/>
      <c r="AM3668" s="2"/>
    </row>
    <row r="3669" spans="1:39">
      <c r="A3669" s="2"/>
      <c r="AM3669" s="2"/>
    </row>
    <row r="3670" spans="1:39">
      <c r="A3670" s="2"/>
      <c r="AM3670" s="2"/>
    </row>
    <row r="3671" spans="1:39">
      <c r="A3671" s="2"/>
      <c r="AM3671" s="2"/>
    </row>
    <row r="3672" spans="1:39">
      <c r="A3672" s="2"/>
      <c r="AM3672" s="2"/>
    </row>
    <row r="3673" spans="1:39">
      <c r="A3673" s="2"/>
      <c r="AM3673" s="2"/>
    </row>
    <row r="3674" spans="1:39">
      <c r="A3674" s="2"/>
      <c r="AM3674" s="2"/>
    </row>
    <row r="3675" spans="1:39">
      <c r="A3675" s="2"/>
      <c r="AM3675" s="2"/>
    </row>
    <row r="3676" spans="1:39">
      <c r="A3676" s="2"/>
      <c r="AM3676" s="2"/>
    </row>
    <row r="3677" spans="1:39">
      <c r="A3677" s="2"/>
      <c r="AM3677" s="2"/>
    </row>
    <row r="3678" spans="1:39">
      <c r="A3678" s="2"/>
      <c r="AM3678" s="2"/>
    </row>
    <row r="3679" spans="1:39">
      <c r="A3679" s="2"/>
      <c r="AM3679" s="2"/>
    </row>
    <row r="3680" spans="1:39">
      <c r="A3680" s="2"/>
      <c r="AM3680" s="2"/>
    </row>
    <row r="3681" spans="1:39">
      <c r="A3681" s="2"/>
      <c r="AM3681" s="2"/>
    </row>
    <row r="3682" spans="1:39">
      <c r="A3682" s="2"/>
      <c r="AM3682" s="2"/>
    </row>
    <row r="3683" spans="1:39">
      <c r="A3683" s="2"/>
      <c r="AM3683" s="2"/>
    </row>
    <row r="3684" spans="1:39">
      <c r="A3684" s="2"/>
      <c r="AM3684" s="2"/>
    </row>
    <row r="3685" spans="1:39">
      <c r="A3685" s="2"/>
      <c r="AM3685" s="2"/>
    </row>
    <row r="3686" spans="1:39">
      <c r="A3686" s="2"/>
      <c r="AM3686" s="2"/>
    </row>
    <row r="3687" spans="1:39">
      <c r="A3687" s="2"/>
      <c r="AM3687" s="2"/>
    </row>
    <row r="3688" spans="1:39">
      <c r="A3688" s="2"/>
      <c r="AM3688" s="2"/>
    </row>
    <row r="3689" spans="1:39">
      <c r="A3689" s="2"/>
      <c r="AM3689" s="2"/>
    </row>
    <row r="3690" spans="1:39">
      <c r="A3690" s="2"/>
      <c r="AM3690" s="2"/>
    </row>
    <row r="3691" spans="1:39">
      <c r="A3691" s="2"/>
      <c r="AM3691" s="2"/>
    </row>
    <row r="3692" spans="1:39">
      <c r="A3692" s="2"/>
      <c r="AM3692" s="2"/>
    </row>
    <row r="3693" spans="1:39">
      <c r="A3693" s="2"/>
      <c r="AM3693" s="2"/>
    </row>
    <row r="3694" spans="1:39">
      <c r="A3694" s="2"/>
      <c r="AM3694" s="2"/>
    </row>
    <row r="3695" spans="1:39">
      <c r="A3695" s="2"/>
      <c r="AM3695" s="2"/>
    </row>
    <row r="3696" spans="1:39">
      <c r="A3696" s="2"/>
      <c r="AM3696" s="2"/>
    </row>
    <row r="3697" spans="1:39">
      <c r="A3697" s="2"/>
      <c r="AM3697" s="2"/>
    </row>
    <row r="3698" spans="1:39">
      <c r="A3698" s="2"/>
      <c r="AM3698" s="2"/>
    </row>
    <row r="3699" spans="1:39">
      <c r="A3699" s="2"/>
      <c r="AM3699" s="2"/>
    </row>
    <row r="3700" spans="1:39">
      <c r="A3700" s="2"/>
      <c r="AM3700" s="2"/>
    </row>
    <row r="3701" spans="1:39">
      <c r="A3701" s="2"/>
      <c r="AM3701" s="2"/>
    </row>
    <row r="3702" spans="1:39">
      <c r="A3702" s="2"/>
      <c r="AM3702" s="2"/>
    </row>
    <row r="3703" spans="1:39">
      <c r="A3703" s="2"/>
      <c r="AM3703" s="2"/>
    </row>
    <row r="3704" spans="1:39">
      <c r="A3704" s="2"/>
      <c r="AM3704" s="2"/>
    </row>
    <row r="3705" spans="1:39">
      <c r="A3705" s="2"/>
      <c r="AM3705" s="2"/>
    </row>
    <row r="3706" spans="1:39">
      <c r="A3706" s="2"/>
      <c r="AM3706" s="2"/>
    </row>
    <row r="3707" spans="1:39">
      <c r="A3707" s="2"/>
      <c r="AM3707" s="2"/>
    </row>
    <row r="3708" spans="1:39">
      <c r="A3708" s="2"/>
      <c r="AM3708" s="2"/>
    </row>
    <row r="3709" spans="1:39">
      <c r="A3709" s="2"/>
      <c r="AM3709" s="2"/>
    </row>
    <row r="3710" spans="1:39">
      <c r="A3710" s="2"/>
      <c r="AM3710" s="2"/>
    </row>
    <row r="3711" spans="1:39">
      <c r="A3711" s="2"/>
      <c r="AM3711" s="2"/>
    </row>
    <row r="3712" spans="1:39">
      <c r="A3712" s="2"/>
      <c r="AM3712" s="2"/>
    </row>
    <row r="3713" spans="1:39">
      <c r="A3713" s="2"/>
      <c r="AM3713" s="2"/>
    </row>
    <row r="3714" spans="1:39">
      <c r="A3714" s="2"/>
      <c r="AM3714" s="2"/>
    </row>
    <row r="3715" spans="1:39">
      <c r="A3715" s="2"/>
      <c r="AM3715" s="2"/>
    </row>
    <row r="3716" spans="1:39">
      <c r="A3716" s="2"/>
      <c r="AM3716" s="2"/>
    </row>
    <row r="3717" spans="1:39">
      <c r="A3717" s="2"/>
      <c r="AM3717" s="2"/>
    </row>
    <row r="3718" spans="1:39">
      <c r="A3718" s="2"/>
      <c r="AM3718" s="2"/>
    </row>
    <row r="3719" spans="1:39">
      <c r="A3719" s="2"/>
      <c r="AM3719" s="2"/>
    </row>
    <row r="3720" spans="1:39">
      <c r="A3720" s="2"/>
      <c r="AM3720" s="2"/>
    </row>
    <row r="3721" spans="1:39">
      <c r="A3721" s="2"/>
      <c r="AM3721" s="2"/>
    </row>
    <row r="3722" spans="1:39">
      <c r="A3722" s="2"/>
      <c r="AM3722" s="2"/>
    </row>
    <row r="3723" spans="1:39">
      <c r="A3723" s="2"/>
      <c r="AM3723" s="2"/>
    </row>
    <row r="3724" spans="1:39">
      <c r="A3724" s="2"/>
      <c r="AM3724" s="2"/>
    </row>
    <row r="3725" spans="1:39">
      <c r="A3725" s="2"/>
      <c r="AM3725" s="2"/>
    </row>
    <row r="3726" spans="1:39">
      <c r="A3726" s="2"/>
      <c r="AM3726" s="2"/>
    </row>
    <row r="3727" spans="1:39">
      <c r="A3727" s="2"/>
      <c r="AM3727" s="2"/>
    </row>
    <row r="3728" spans="1:39">
      <c r="A3728" s="2"/>
      <c r="AM3728" s="2"/>
    </row>
    <row r="3729" spans="1:39">
      <c r="A3729" s="2"/>
      <c r="AM3729" s="2"/>
    </row>
    <row r="3730" spans="1:39">
      <c r="A3730" s="2"/>
      <c r="AM3730" s="2"/>
    </row>
    <row r="3731" spans="1:39">
      <c r="A3731" s="2"/>
      <c r="AM3731" s="2"/>
    </row>
    <row r="3732" spans="1:39">
      <c r="A3732" s="2"/>
      <c r="AM3732" s="2"/>
    </row>
    <row r="3733" spans="1:39">
      <c r="A3733" s="2"/>
      <c r="AM3733" s="2"/>
    </row>
    <row r="3734" spans="1:39">
      <c r="A3734" s="2"/>
      <c r="AM3734" s="2"/>
    </row>
    <row r="3735" spans="1:39">
      <c r="A3735" s="2"/>
      <c r="AM3735" s="2"/>
    </row>
    <row r="3736" spans="1:39">
      <c r="A3736" s="2"/>
      <c r="AM3736" s="2"/>
    </row>
    <row r="3737" spans="1:39">
      <c r="A3737" s="2"/>
      <c r="AM3737" s="2"/>
    </row>
    <row r="3738" spans="1:39">
      <c r="A3738" s="2"/>
      <c r="AM3738" s="2"/>
    </row>
    <row r="3739" spans="1:39">
      <c r="A3739" s="2"/>
      <c r="AM3739" s="2"/>
    </row>
    <row r="3740" spans="1:39">
      <c r="A3740" s="2"/>
      <c r="AM3740" s="2"/>
    </row>
    <row r="3741" spans="1:39">
      <c r="A3741" s="2"/>
      <c r="AM3741" s="2"/>
    </row>
    <row r="3742" spans="1:39">
      <c r="A3742" s="2"/>
      <c r="AM3742" s="2"/>
    </row>
    <row r="3743" spans="1:39">
      <c r="A3743" s="2"/>
      <c r="AM3743" s="2"/>
    </row>
    <row r="3744" spans="1:39">
      <c r="A3744" s="2"/>
      <c r="AM3744" s="2"/>
    </row>
    <row r="3745" spans="1:39">
      <c r="A3745" s="2"/>
      <c r="AM3745" s="2"/>
    </row>
    <row r="3746" spans="1:39">
      <c r="A3746" s="2"/>
      <c r="AM3746" s="2"/>
    </row>
    <row r="3747" spans="1:39">
      <c r="A3747" s="2"/>
      <c r="AM3747" s="2"/>
    </row>
    <row r="3748" spans="1:39">
      <c r="A3748" s="2"/>
      <c r="AM3748" s="2"/>
    </row>
    <row r="3749" spans="1:39">
      <c r="A3749" s="2"/>
      <c r="AM3749" s="2"/>
    </row>
    <row r="3750" spans="1:39">
      <c r="A3750" s="2"/>
      <c r="AM3750" s="2"/>
    </row>
    <row r="3751" spans="1:39">
      <c r="A3751" s="2"/>
      <c r="AM3751" s="2"/>
    </row>
    <row r="3752" spans="1:39">
      <c r="A3752" s="2"/>
      <c r="AM3752" s="2"/>
    </row>
    <row r="3753" spans="1:39">
      <c r="A3753" s="2"/>
      <c r="AM3753" s="2"/>
    </row>
    <row r="3754" spans="1:39">
      <c r="A3754" s="2"/>
      <c r="AM3754" s="2"/>
    </row>
    <row r="3755" spans="1:39">
      <c r="A3755" s="2"/>
      <c r="AM3755" s="2"/>
    </row>
    <row r="3756" spans="1:39">
      <c r="A3756" s="2"/>
      <c r="AM3756" s="2"/>
    </row>
    <row r="3757" spans="1:39">
      <c r="A3757" s="2"/>
      <c r="AM3757" s="2"/>
    </row>
    <row r="3758" spans="1:39">
      <c r="A3758" s="2"/>
      <c r="AM3758" s="2"/>
    </row>
    <row r="3759" spans="1:39">
      <c r="A3759" s="2"/>
      <c r="AM3759" s="2"/>
    </row>
    <row r="3760" spans="1:39">
      <c r="A3760" s="2"/>
      <c r="AM3760" s="2"/>
    </row>
    <row r="3761" spans="1:39">
      <c r="A3761" s="2"/>
      <c r="AM3761" s="2"/>
    </row>
    <row r="3762" spans="1:39">
      <c r="A3762" s="2"/>
      <c r="AM3762" s="2"/>
    </row>
    <row r="3763" spans="1:39">
      <c r="A3763" s="2"/>
      <c r="AM3763" s="2"/>
    </row>
    <row r="3764" spans="1:39">
      <c r="A3764" s="2"/>
      <c r="AM3764" s="2"/>
    </row>
    <row r="3765" spans="1:39">
      <c r="A3765" s="2"/>
      <c r="AM3765" s="2"/>
    </row>
    <row r="3766" spans="1:39">
      <c r="A3766" s="2"/>
      <c r="AM3766" s="2"/>
    </row>
    <row r="3767" spans="1:39">
      <c r="A3767" s="2"/>
      <c r="AM3767" s="2"/>
    </row>
    <row r="3768" spans="1:39">
      <c r="A3768" s="2"/>
      <c r="AM3768" s="2"/>
    </row>
    <row r="3769" spans="1:39">
      <c r="A3769" s="2"/>
      <c r="AM3769" s="2"/>
    </row>
    <row r="3770" spans="1:39">
      <c r="A3770" s="2"/>
      <c r="AM3770" s="2"/>
    </row>
    <row r="3771" spans="1:39">
      <c r="A3771" s="2"/>
      <c r="AM3771" s="2"/>
    </row>
    <row r="3772" spans="1:39">
      <c r="A3772" s="2"/>
      <c r="AM3772" s="2"/>
    </row>
    <row r="3773" spans="1:39">
      <c r="A3773" s="2"/>
      <c r="AM3773" s="2"/>
    </row>
    <row r="3774" spans="1:39">
      <c r="A3774" s="2"/>
      <c r="AM3774" s="2"/>
    </row>
    <row r="3775" spans="1:39">
      <c r="A3775" s="2"/>
      <c r="AM3775" s="2"/>
    </row>
    <row r="3776" spans="1:39">
      <c r="A3776" s="2"/>
      <c r="AM3776" s="2"/>
    </row>
    <row r="3777" spans="1:39">
      <c r="A3777" s="2"/>
      <c r="AM3777" s="2"/>
    </row>
    <row r="3778" spans="1:39">
      <c r="A3778" s="2"/>
      <c r="AM3778" s="2"/>
    </row>
    <row r="3779" spans="1:39">
      <c r="A3779" s="2"/>
      <c r="AM3779" s="2"/>
    </row>
    <row r="3780" spans="1:39">
      <c r="A3780" s="2"/>
      <c r="AM3780" s="2"/>
    </row>
    <row r="3781" spans="1:39">
      <c r="A3781" s="2"/>
      <c r="AM3781" s="2"/>
    </row>
    <row r="3782" spans="1:39">
      <c r="A3782" s="2"/>
      <c r="AM3782" s="2"/>
    </row>
    <row r="3783" spans="1:39">
      <c r="A3783" s="2"/>
      <c r="AM3783" s="2"/>
    </row>
    <row r="3784" spans="1:39">
      <c r="A3784" s="2"/>
      <c r="AM3784" s="2"/>
    </row>
    <row r="3785" spans="1:39">
      <c r="A3785" s="2"/>
      <c r="AM3785" s="2"/>
    </row>
    <row r="3786" spans="1:39">
      <c r="A3786" s="2"/>
      <c r="AM3786" s="2"/>
    </row>
    <row r="3787" spans="1:39">
      <c r="A3787" s="2"/>
      <c r="AM3787" s="2"/>
    </row>
    <row r="3788" spans="1:39">
      <c r="A3788" s="2"/>
      <c r="AM3788" s="2"/>
    </row>
    <row r="3789" spans="1:39">
      <c r="A3789" s="2"/>
      <c r="AM3789" s="2"/>
    </row>
    <row r="3790" spans="1:39">
      <c r="A3790" s="2"/>
      <c r="AM3790" s="2"/>
    </row>
    <row r="3791" spans="1:39">
      <c r="A3791" s="2"/>
      <c r="AM3791" s="2"/>
    </row>
    <row r="3792" spans="1:39">
      <c r="A3792" s="2"/>
      <c r="AM3792" s="2"/>
    </row>
    <row r="3793" spans="1:39">
      <c r="A3793" s="2"/>
      <c r="AM3793" s="2"/>
    </row>
    <row r="3794" spans="1:39">
      <c r="A3794" s="2"/>
      <c r="AM3794" s="2"/>
    </row>
    <row r="3795" spans="1:39">
      <c r="A3795" s="2"/>
      <c r="AM3795" s="2"/>
    </row>
    <row r="3796" spans="1:39">
      <c r="A3796" s="2"/>
      <c r="AM3796" s="2"/>
    </row>
    <row r="3797" spans="1:39">
      <c r="A3797" s="2"/>
      <c r="AM3797" s="2"/>
    </row>
    <row r="3798" spans="1:39">
      <c r="A3798" s="2"/>
      <c r="AM3798" s="2"/>
    </row>
    <row r="3799" spans="1:39">
      <c r="A3799" s="2"/>
      <c r="AM3799" s="2"/>
    </row>
    <row r="3800" spans="1:39">
      <c r="A3800" s="2"/>
      <c r="AM3800" s="2"/>
    </row>
    <row r="3801" spans="1:39">
      <c r="A3801" s="2"/>
      <c r="AM3801" s="2"/>
    </row>
    <row r="3802" spans="1:39">
      <c r="A3802" s="2"/>
      <c r="AM3802" s="2"/>
    </row>
    <row r="3803" spans="1:39">
      <c r="A3803" s="2"/>
      <c r="AM3803" s="2"/>
    </row>
    <row r="3804" spans="1:39">
      <c r="A3804" s="2"/>
      <c r="AM3804" s="2"/>
    </row>
    <row r="3805" spans="1:39">
      <c r="A3805" s="2"/>
      <c r="AM3805" s="2"/>
    </row>
    <row r="3806" spans="1:39">
      <c r="A3806" s="2"/>
      <c r="AM3806" s="2"/>
    </row>
    <row r="3807" spans="1:39">
      <c r="A3807" s="2"/>
      <c r="AM3807" s="2"/>
    </row>
    <row r="3808" spans="1:39">
      <c r="A3808" s="2"/>
      <c r="AM3808" s="2"/>
    </row>
    <row r="3809" spans="1:39">
      <c r="A3809" s="2"/>
      <c r="AM3809" s="2"/>
    </row>
    <row r="3810" spans="1:39">
      <c r="A3810" s="2"/>
      <c r="AM3810" s="2"/>
    </row>
    <row r="3811" spans="1:39">
      <c r="A3811" s="2"/>
      <c r="AM3811" s="2"/>
    </row>
    <row r="3812" spans="1:39">
      <c r="A3812" s="2"/>
      <c r="AM3812" s="2"/>
    </row>
    <row r="3813" spans="1:39">
      <c r="A3813" s="2"/>
      <c r="AM3813" s="2"/>
    </row>
    <row r="3814" spans="1:39">
      <c r="A3814" s="2"/>
      <c r="AM3814" s="2"/>
    </row>
    <row r="3815" spans="1:39">
      <c r="A3815" s="2"/>
      <c r="AM3815" s="2"/>
    </row>
    <row r="3816" spans="1:39">
      <c r="A3816" s="2"/>
      <c r="AM3816" s="2"/>
    </row>
    <row r="3817" spans="1:39">
      <c r="A3817" s="2"/>
      <c r="AM3817" s="2"/>
    </row>
    <row r="3818" spans="1:39">
      <c r="A3818" s="2"/>
      <c r="AM3818" s="2"/>
    </row>
    <row r="3819" spans="1:39">
      <c r="A3819" s="2"/>
      <c r="AM3819" s="2"/>
    </row>
    <row r="3820" spans="1:39">
      <c r="A3820" s="2"/>
      <c r="AM3820" s="2"/>
    </row>
    <row r="3821" spans="1:39">
      <c r="A3821" s="2"/>
      <c r="AM3821" s="2"/>
    </row>
    <row r="3822" spans="1:39">
      <c r="A3822" s="2"/>
      <c r="AM3822" s="2"/>
    </row>
    <row r="3823" spans="1:39">
      <c r="A3823" s="2"/>
      <c r="AM3823" s="2"/>
    </row>
    <row r="3824" spans="1:39">
      <c r="A3824" s="2"/>
      <c r="AM3824" s="2"/>
    </row>
    <row r="3825" spans="1:39">
      <c r="A3825" s="2"/>
      <c r="AM3825" s="2"/>
    </row>
    <row r="3826" spans="1:39">
      <c r="A3826" s="2"/>
      <c r="AM3826" s="2"/>
    </row>
    <row r="3827" spans="1:39">
      <c r="A3827" s="2"/>
      <c r="AM3827" s="2"/>
    </row>
    <row r="3828" spans="1:39">
      <c r="A3828" s="2"/>
      <c r="AM3828" s="2"/>
    </row>
    <row r="3829" spans="1:39">
      <c r="A3829" s="2"/>
      <c r="AM3829" s="2"/>
    </row>
    <row r="3830" spans="1:39">
      <c r="A3830" s="2"/>
      <c r="AM3830" s="2"/>
    </row>
    <row r="3831" spans="1:39">
      <c r="A3831" s="2"/>
      <c r="AM3831" s="2"/>
    </row>
    <row r="3832" spans="1:39">
      <c r="A3832" s="2"/>
      <c r="AM3832" s="2"/>
    </row>
    <row r="3833" spans="1:39">
      <c r="A3833" s="2"/>
      <c r="AM3833" s="2"/>
    </row>
    <row r="3834" spans="1:39">
      <c r="A3834" s="2"/>
      <c r="AM3834" s="2"/>
    </row>
    <row r="3835" spans="1:39">
      <c r="A3835" s="2"/>
      <c r="AM3835" s="2"/>
    </row>
    <row r="3836" spans="1:39">
      <c r="A3836" s="2"/>
      <c r="AM3836" s="2"/>
    </row>
    <row r="3837" spans="1:39">
      <c r="A3837" s="2"/>
      <c r="AM3837" s="2"/>
    </row>
    <row r="3838" spans="1:39">
      <c r="A3838" s="2"/>
      <c r="AM3838" s="2"/>
    </row>
    <row r="3839" spans="1:39">
      <c r="A3839" s="2"/>
      <c r="AM3839" s="2"/>
    </row>
    <row r="3840" spans="1:39">
      <c r="A3840" s="2"/>
      <c r="AM3840" s="2"/>
    </row>
    <row r="3841" spans="1:39">
      <c r="A3841" s="2"/>
      <c r="AM3841" s="2"/>
    </row>
    <row r="3842" spans="1:39">
      <c r="A3842" s="2"/>
      <c r="AM3842" s="2"/>
    </row>
    <row r="3843" spans="1:39">
      <c r="A3843" s="2"/>
      <c r="AM3843" s="2"/>
    </row>
    <row r="3844" spans="1:39">
      <c r="A3844" s="2"/>
      <c r="AM3844" s="2"/>
    </row>
    <row r="3845" spans="1:39">
      <c r="A3845" s="2"/>
      <c r="AM3845" s="2"/>
    </row>
    <row r="3846" spans="1:39">
      <c r="A3846" s="2"/>
      <c r="AM3846" s="2"/>
    </row>
    <row r="3847" spans="1:39">
      <c r="A3847" s="2"/>
      <c r="AM3847" s="2"/>
    </row>
    <row r="3848" spans="1:39">
      <c r="A3848" s="2"/>
      <c r="AM3848" s="2"/>
    </row>
    <row r="3849" spans="1:39">
      <c r="A3849" s="2"/>
      <c r="AM3849" s="2"/>
    </row>
    <row r="3850" spans="1:39">
      <c r="A3850" s="2"/>
      <c r="AM3850" s="2"/>
    </row>
    <row r="3851" spans="1:39">
      <c r="A3851" s="2"/>
      <c r="AM3851" s="2"/>
    </row>
    <row r="3852" spans="1:39">
      <c r="A3852" s="2"/>
      <c r="AM3852" s="2"/>
    </row>
    <row r="3853" spans="1:39">
      <c r="A3853" s="2"/>
      <c r="AM3853" s="2"/>
    </row>
    <row r="3854" spans="1:39">
      <c r="A3854" s="2"/>
      <c r="AM3854" s="2"/>
    </row>
    <row r="3855" spans="1:39">
      <c r="A3855" s="2"/>
      <c r="AM3855" s="2"/>
    </row>
    <row r="3856" spans="1:39">
      <c r="A3856" s="2"/>
      <c r="AM3856" s="2"/>
    </row>
    <row r="3857" spans="1:39">
      <c r="A3857" s="2"/>
      <c r="AM3857" s="2"/>
    </row>
    <row r="3858" spans="1:39">
      <c r="A3858" s="2"/>
      <c r="AM3858" s="2"/>
    </row>
    <row r="3859" spans="1:39">
      <c r="A3859" s="2"/>
      <c r="AM3859" s="2"/>
    </row>
    <row r="3860" spans="1:39">
      <c r="A3860" s="2"/>
      <c r="AM3860" s="2"/>
    </row>
    <row r="3861" spans="1:39">
      <c r="A3861" s="2"/>
      <c r="AM3861" s="2"/>
    </row>
    <row r="3862" spans="1:39">
      <c r="A3862" s="2"/>
      <c r="AM3862" s="2"/>
    </row>
    <row r="3863" spans="1:39">
      <c r="A3863" s="2"/>
      <c r="AM3863" s="2"/>
    </row>
    <row r="3864" spans="1:39">
      <c r="A3864" s="2"/>
      <c r="AM3864" s="2"/>
    </row>
    <row r="3865" spans="1:39">
      <c r="A3865" s="2"/>
      <c r="AM3865" s="2"/>
    </row>
    <row r="3866" spans="1:39">
      <c r="A3866" s="2"/>
      <c r="AM3866" s="2"/>
    </row>
    <row r="3867" spans="1:39">
      <c r="A3867" s="2"/>
      <c r="AM3867" s="2"/>
    </row>
    <row r="3868" spans="1:39">
      <c r="A3868" s="2"/>
      <c r="AM3868" s="2"/>
    </row>
    <row r="3869" spans="1:39">
      <c r="A3869" s="2"/>
      <c r="AM3869" s="2"/>
    </row>
    <row r="3870" spans="1:39">
      <c r="A3870" s="2"/>
      <c r="AM3870" s="2"/>
    </row>
    <row r="3871" spans="1:39">
      <c r="A3871" s="2"/>
      <c r="AM3871" s="2"/>
    </row>
    <row r="3872" spans="1:39">
      <c r="A3872" s="2"/>
      <c r="AM3872" s="2"/>
    </row>
    <row r="3873" spans="1:39">
      <c r="A3873" s="2"/>
      <c r="AM3873" s="2"/>
    </row>
    <row r="3874" spans="1:39">
      <c r="A3874" s="2"/>
      <c r="AM3874" s="2"/>
    </row>
    <row r="3875" spans="1:39">
      <c r="A3875" s="2"/>
      <c r="AM3875" s="2"/>
    </row>
    <row r="3876" spans="1:39">
      <c r="A3876" s="2"/>
      <c r="AM3876" s="2"/>
    </row>
    <row r="3877" spans="1:39">
      <c r="A3877" s="2"/>
      <c r="AM3877" s="2"/>
    </row>
    <row r="3878" spans="1:39">
      <c r="A3878" s="2"/>
      <c r="AM3878" s="2"/>
    </row>
    <row r="3879" spans="1:39">
      <c r="A3879" s="2"/>
      <c r="AM3879" s="2"/>
    </row>
    <row r="3880" spans="1:39">
      <c r="A3880" s="2"/>
      <c r="AM3880" s="2"/>
    </row>
    <row r="3881" spans="1:39">
      <c r="A3881" s="2"/>
      <c r="AM3881" s="2"/>
    </row>
    <row r="3882" spans="1:39">
      <c r="A3882" s="2"/>
      <c r="AM3882" s="2"/>
    </row>
    <row r="3883" spans="1:39">
      <c r="A3883" s="2"/>
      <c r="AM3883" s="2"/>
    </row>
    <row r="3884" spans="1:39">
      <c r="A3884" s="2"/>
      <c r="AM3884" s="2"/>
    </row>
    <row r="3885" spans="1:39">
      <c r="A3885" s="2"/>
      <c r="AM3885" s="2"/>
    </row>
    <row r="3886" spans="1:39">
      <c r="A3886" s="2"/>
      <c r="AM3886" s="2"/>
    </row>
    <row r="3887" spans="1:39">
      <c r="A3887" s="2"/>
      <c r="AM3887" s="2"/>
    </row>
    <row r="3888" spans="1:39">
      <c r="A3888" s="2"/>
      <c r="AM3888" s="2"/>
    </row>
    <row r="3889" spans="1:39">
      <c r="A3889" s="2"/>
      <c r="AM3889" s="2"/>
    </row>
    <row r="3890" spans="1:39">
      <c r="A3890" s="2"/>
      <c r="AM3890" s="2"/>
    </row>
    <row r="3891" spans="1:39">
      <c r="A3891" s="2"/>
      <c r="AM3891" s="2"/>
    </row>
    <row r="3892" spans="1:39">
      <c r="A3892" s="2"/>
      <c r="AM3892" s="2"/>
    </row>
    <row r="3893" spans="1:39">
      <c r="A3893" s="2"/>
      <c r="AM3893" s="2"/>
    </row>
    <row r="3894" spans="1:39">
      <c r="A3894" s="2"/>
      <c r="AM3894" s="2"/>
    </row>
    <row r="3895" spans="1:39">
      <c r="A3895" s="2"/>
      <c r="AM3895" s="2"/>
    </row>
    <row r="3896" spans="1:39">
      <c r="A3896" s="2"/>
      <c r="AM3896" s="2"/>
    </row>
    <row r="3897" spans="1:39">
      <c r="A3897" s="2"/>
      <c r="AM3897" s="2"/>
    </row>
    <row r="3898" spans="1:39">
      <c r="A3898" s="2"/>
      <c r="AM3898" s="2"/>
    </row>
    <row r="3899" spans="1:39">
      <c r="A3899" s="2"/>
      <c r="AM3899" s="2"/>
    </row>
    <row r="3900" spans="1:39">
      <c r="A3900" s="2"/>
      <c r="AM3900" s="2"/>
    </row>
    <row r="3901" spans="1:39">
      <c r="A3901" s="2"/>
      <c r="AM3901" s="2"/>
    </row>
    <row r="3902" spans="1:39">
      <c r="A3902" s="2"/>
      <c r="AM3902" s="2"/>
    </row>
    <row r="3903" spans="1:39">
      <c r="A3903" s="2"/>
      <c r="AM3903" s="2"/>
    </row>
    <row r="3904" spans="1:39">
      <c r="A3904" s="2"/>
      <c r="AM3904" s="2"/>
    </row>
    <row r="3905" spans="1:39">
      <c r="A3905" s="2"/>
      <c r="AM3905" s="2"/>
    </row>
    <row r="3906" spans="1:39">
      <c r="A3906" s="2"/>
      <c r="AM3906" s="2"/>
    </row>
    <row r="3907" spans="1:39">
      <c r="A3907" s="2"/>
      <c r="AM3907" s="2"/>
    </row>
    <row r="3908" spans="1:39">
      <c r="A3908" s="2"/>
      <c r="AM3908" s="2"/>
    </row>
    <row r="3909" spans="1:39">
      <c r="A3909" s="2"/>
      <c r="AM3909" s="2"/>
    </row>
    <row r="3910" spans="1:39">
      <c r="A3910" s="2"/>
      <c r="AM3910" s="2"/>
    </row>
    <row r="3911" spans="1:39">
      <c r="A3911" s="2"/>
      <c r="AM3911" s="2"/>
    </row>
    <row r="3912" spans="1:39">
      <c r="A3912" s="2"/>
      <c r="AM3912" s="2"/>
    </row>
    <row r="3913" spans="1:39">
      <c r="A3913" s="2"/>
      <c r="AM3913" s="2"/>
    </row>
    <row r="3914" spans="1:39">
      <c r="A3914" s="2"/>
      <c r="AM3914" s="2"/>
    </row>
    <row r="3915" spans="1:39">
      <c r="A3915" s="2"/>
      <c r="AM3915" s="2"/>
    </row>
    <row r="3916" spans="1:39">
      <c r="A3916" s="2"/>
      <c r="AM3916" s="2"/>
    </row>
    <row r="3917" spans="1:39">
      <c r="A3917" s="2"/>
      <c r="AM3917" s="2"/>
    </row>
    <row r="3918" spans="1:39">
      <c r="A3918" s="2"/>
      <c r="AM3918" s="2"/>
    </row>
    <row r="3919" spans="1:39">
      <c r="A3919" s="2"/>
      <c r="AM3919" s="2"/>
    </row>
    <row r="3920" spans="1:39">
      <c r="A3920" s="2"/>
      <c r="AM3920" s="2"/>
    </row>
    <row r="3921" spans="1:39">
      <c r="A3921" s="2"/>
      <c r="AM3921" s="2"/>
    </row>
    <row r="3922" spans="1:39">
      <c r="A3922" s="2"/>
      <c r="AM3922" s="2"/>
    </row>
    <row r="3923" spans="1:39">
      <c r="A3923" s="2"/>
      <c r="AM3923" s="2"/>
    </row>
    <row r="3924" spans="1:39">
      <c r="A3924" s="2"/>
      <c r="AM3924" s="2"/>
    </row>
    <row r="3925" spans="1:39">
      <c r="A3925" s="2"/>
      <c r="AM3925" s="2"/>
    </row>
    <row r="3926" spans="1:39">
      <c r="A3926" s="2"/>
      <c r="AM3926" s="2"/>
    </row>
    <row r="3927" spans="1:39">
      <c r="A3927" s="2"/>
      <c r="AM3927" s="2"/>
    </row>
    <row r="3928" spans="1:39">
      <c r="A3928" s="2"/>
      <c r="AM3928" s="2"/>
    </row>
    <row r="3929" spans="1:39">
      <c r="A3929" s="2"/>
      <c r="AM3929" s="2"/>
    </row>
    <row r="3930" spans="1:39">
      <c r="A3930" s="2"/>
      <c r="AM3930" s="2"/>
    </row>
    <row r="3931" spans="1:39">
      <c r="A3931" s="2"/>
      <c r="AM3931" s="2"/>
    </row>
    <row r="3932" spans="1:39">
      <c r="A3932" s="2"/>
      <c r="AM3932" s="2"/>
    </row>
    <row r="3933" spans="1:39">
      <c r="A3933" s="2"/>
      <c r="AM3933" s="2"/>
    </row>
    <row r="3934" spans="1:39">
      <c r="A3934" s="2"/>
      <c r="AM3934" s="2"/>
    </row>
    <row r="3935" spans="1:39">
      <c r="A3935" s="2"/>
      <c r="AM3935" s="2"/>
    </row>
    <row r="3936" spans="1:39">
      <c r="A3936" s="2"/>
      <c r="AM3936" s="2"/>
    </row>
    <row r="3937" spans="1:39">
      <c r="A3937" s="2"/>
      <c r="AM3937" s="2"/>
    </row>
    <row r="3938" spans="1:39">
      <c r="A3938" s="2"/>
      <c r="AM3938" s="2"/>
    </row>
    <row r="3939" spans="1:39">
      <c r="A3939" s="2"/>
      <c r="AM3939" s="2"/>
    </row>
    <row r="3940" spans="1:39">
      <c r="A3940" s="2"/>
      <c r="AM3940" s="2"/>
    </row>
    <row r="3941" spans="1:39">
      <c r="A3941" s="2"/>
      <c r="AM3941" s="2"/>
    </row>
    <row r="3942" spans="1:39">
      <c r="A3942" s="2"/>
      <c r="AM3942" s="2"/>
    </row>
    <row r="3943" spans="1:39">
      <c r="A3943" s="2"/>
      <c r="AM3943" s="2"/>
    </row>
    <row r="3944" spans="1:39">
      <c r="A3944" s="2"/>
      <c r="AM3944" s="2"/>
    </row>
    <row r="3945" spans="1:39">
      <c r="A3945" s="2"/>
      <c r="AM3945" s="2"/>
    </row>
    <row r="3946" spans="1:39">
      <c r="A3946" s="2"/>
      <c r="AM3946" s="2"/>
    </row>
    <row r="3947" spans="1:39">
      <c r="A3947" s="2"/>
      <c r="AM3947" s="2"/>
    </row>
    <row r="3948" spans="1:39">
      <c r="A3948" s="2"/>
      <c r="AM3948" s="2"/>
    </row>
    <row r="3949" spans="1:39">
      <c r="A3949" s="2"/>
      <c r="AM3949" s="2"/>
    </row>
    <row r="3950" spans="1:39">
      <c r="A3950" s="2"/>
      <c r="AM3950" s="2"/>
    </row>
    <row r="3951" spans="1:39">
      <c r="A3951" s="2"/>
      <c r="AM3951" s="2"/>
    </row>
    <row r="3952" spans="1:39">
      <c r="A3952" s="2"/>
      <c r="AM3952" s="2"/>
    </row>
    <row r="3953" spans="1:39">
      <c r="A3953" s="2"/>
      <c r="AM3953" s="2"/>
    </row>
    <row r="3954" spans="1:39">
      <c r="A3954" s="2"/>
      <c r="AM3954" s="2"/>
    </row>
    <row r="3955" spans="1:39">
      <c r="A3955" s="2"/>
      <c r="AM3955" s="2"/>
    </row>
    <row r="3956" spans="1:39">
      <c r="A3956" s="2"/>
      <c r="AM3956" s="2"/>
    </row>
    <row r="3957" spans="1:39">
      <c r="A3957" s="2"/>
      <c r="AM3957" s="2"/>
    </row>
    <row r="3958" spans="1:39">
      <c r="A3958" s="2"/>
      <c r="AM3958" s="2"/>
    </row>
    <row r="3959" spans="1:39">
      <c r="A3959" s="2"/>
      <c r="AM3959" s="2"/>
    </row>
    <row r="3960" spans="1:39">
      <c r="A3960" s="2"/>
      <c r="AM3960" s="2"/>
    </row>
    <row r="3961" spans="1:39">
      <c r="A3961" s="2"/>
      <c r="AM3961" s="2"/>
    </row>
    <row r="3962" spans="1:39">
      <c r="A3962" s="2"/>
      <c r="AM3962" s="2"/>
    </row>
    <row r="3963" spans="1:39">
      <c r="A3963" s="2"/>
      <c r="AM3963" s="2"/>
    </row>
    <row r="3964" spans="1:39">
      <c r="A3964" s="2"/>
      <c r="AM3964" s="2"/>
    </row>
    <row r="3965" spans="1:39">
      <c r="A3965" s="2"/>
      <c r="AM3965" s="2"/>
    </row>
    <row r="3966" spans="1:39">
      <c r="A3966" s="2"/>
      <c r="AM3966" s="2"/>
    </row>
    <row r="3967" spans="1:39">
      <c r="A3967" s="2"/>
      <c r="AM3967" s="2"/>
    </row>
    <row r="3968" spans="1:39">
      <c r="A3968" s="2"/>
      <c r="AM3968" s="2"/>
    </row>
    <row r="3969" spans="1:39">
      <c r="A3969" s="2"/>
      <c r="AM3969" s="2"/>
    </row>
    <row r="3970" spans="1:39">
      <c r="A3970" s="2"/>
      <c r="AM3970" s="2"/>
    </row>
    <row r="3971" spans="1:39">
      <c r="A3971" s="2"/>
      <c r="AM3971" s="2"/>
    </row>
    <row r="3972" spans="1:39">
      <c r="A3972" s="2"/>
      <c r="AM3972" s="2"/>
    </row>
    <row r="3973" spans="1:39">
      <c r="A3973" s="2"/>
      <c r="AM3973" s="2"/>
    </row>
    <row r="3974" spans="1:39">
      <c r="A3974" s="2"/>
      <c r="AM3974" s="2"/>
    </row>
    <row r="3975" spans="1:39">
      <c r="A3975" s="2"/>
      <c r="AM3975" s="2"/>
    </row>
    <row r="3976" spans="1:39">
      <c r="A3976" s="2"/>
      <c r="AM3976" s="2"/>
    </row>
    <row r="3977" spans="1:39">
      <c r="A3977" s="2"/>
      <c r="AM3977" s="2"/>
    </row>
    <row r="3978" spans="1:39">
      <c r="A3978" s="2"/>
      <c r="AM3978" s="2"/>
    </row>
    <row r="3979" spans="1:39">
      <c r="A3979" s="2"/>
      <c r="AM3979" s="2"/>
    </row>
    <row r="3980" spans="1:39">
      <c r="A3980" s="2"/>
      <c r="AM3980" s="2"/>
    </row>
    <row r="3981" spans="1:39">
      <c r="A3981" s="2"/>
      <c r="AM3981" s="2"/>
    </row>
    <row r="3982" spans="1:39">
      <c r="A3982" s="2"/>
      <c r="AM3982" s="2"/>
    </row>
    <row r="3983" spans="1:39">
      <c r="A3983" s="2"/>
      <c r="AM3983" s="2"/>
    </row>
    <row r="3984" spans="1:39">
      <c r="A3984" s="2"/>
      <c r="AM3984" s="2"/>
    </row>
    <row r="3985" spans="1:39">
      <c r="A3985" s="2"/>
      <c r="AM3985" s="2"/>
    </row>
    <row r="3986" spans="1:39">
      <c r="A3986" s="2"/>
      <c r="AM3986" s="2"/>
    </row>
    <row r="3987" spans="1:39">
      <c r="A3987" s="2"/>
      <c r="AM3987" s="2"/>
    </row>
    <row r="3988" spans="1:39">
      <c r="A3988" s="2"/>
      <c r="AM3988" s="2"/>
    </row>
    <row r="3989" spans="1:39">
      <c r="A3989" s="2"/>
      <c r="AM3989" s="2"/>
    </row>
    <row r="3990" spans="1:39">
      <c r="A3990" s="2"/>
      <c r="AM3990" s="2"/>
    </row>
    <row r="3991" spans="1:39">
      <c r="A3991" s="2"/>
      <c r="AM3991" s="2"/>
    </row>
    <row r="3992" spans="1:39">
      <c r="A3992" s="2"/>
      <c r="AM3992" s="2"/>
    </row>
    <row r="3993" spans="1:39">
      <c r="A3993" s="2"/>
      <c r="AM3993" s="2"/>
    </row>
    <row r="3994" spans="1:39">
      <c r="A3994" s="2"/>
      <c r="AM3994" s="2"/>
    </row>
    <row r="3995" spans="1:39">
      <c r="A3995" s="2"/>
      <c r="AM3995" s="2"/>
    </row>
    <row r="3996" spans="1:39">
      <c r="A3996" s="2"/>
      <c r="AM3996" s="2"/>
    </row>
    <row r="3997" spans="1:39">
      <c r="A3997" s="2"/>
      <c r="AM3997" s="2"/>
    </row>
    <row r="3998" spans="1:39">
      <c r="A3998" s="2"/>
      <c r="AM3998" s="2"/>
    </row>
    <row r="3999" spans="1:39">
      <c r="A3999" s="2"/>
      <c r="AM3999" s="2"/>
    </row>
    <row r="4000" spans="1:39">
      <c r="A4000" s="2"/>
      <c r="AM4000" s="2"/>
    </row>
    <row r="4001" spans="1:39">
      <c r="A4001" s="2"/>
      <c r="AM4001" s="2"/>
    </row>
    <row r="4002" spans="1:39">
      <c r="A4002" s="2"/>
      <c r="AM4002" s="2"/>
    </row>
    <row r="4003" spans="1:39">
      <c r="A4003" s="2"/>
      <c r="AM4003" s="2"/>
    </row>
    <row r="4004" spans="1:39">
      <c r="A4004" s="2"/>
      <c r="AM4004" s="2"/>
    </row>
    <row r="4005" spans="1:39">
      <c r="A4005" s="2"/>
      <c r="AM4005" s="2"/>
    </row>
    <row r="4006" spans="1:39">
      <c r="A4006" s="2"/>
      <c r="AM4006" s="2"/>
    </row>
    <row r="4007" spans="1:39">
      <c r="A4007" s="2"/>
      <c r="AM4007" s="2"/>
    </row>
    <row r="4008" spans="1:39">
      <c r="A4008" s="2"/>
      <c r="AM4008" s="2"/>
    </row>
    <row r="4009" spans="1:39">
      <c r="A4009" s="2"/>
      <c r="AM4009" s="2"/>
    </row>
    <row r="4010" spans="1:39">
      <c r="A4010" s="2"/>
      <c r="AM4010" s="2"/>
    </row>
    <row r="4011" spans="1:39">
      <c r="A4011" s="2"/>
      <c r="AM4011" s="2"/>
    </row>
    <row r="4012" spans="1:39">
      <c r="A4012" s="2"/>
      <c r="AM4012" s="2"/>
    </row>
    <row r="4013" spans="1:39">
      <c r="A4013" s="2"/>
      <c r="AM4013" s="2"/>
    </row>
    <row r="4014" spans="1:39">
      <c r="A4014" s="2"/>
      <c r="AM4014" s="2"/>
    </row>
    <row r="4015" spans="1:39">
      <c r="A4015" s="2"/>
      <c r="AM4015" s="2"/>
    </row>
    <row r="4016" spans="1:39">
      <c r="A4016" s="2"/>
      <c r="AM4016" s="2"/>
    </row>
    <row r="4017" spans="1:39">
      <c r="A4017" s="2"/>
      <c r="AM4017" s="2"/>
    </row>
    <row r="4018" spans="1:39">
      <c r="A4018" s="2"/>
      <c r="AM4018" s="2"/>
    </row>
    <row r="4019" spans="1:39">
      <c r="A4019" s="2"/>
      <c r="AM4019" s="2"/>
    </row>
    <row r="4020" spans="1:39">
      <c r="A4020" s="2"/>
      <c r="AM4020" s="2"/>
    </row>
    <row r="4021" spans="1:39">
      <c r="A4021" s="2"/>
      <c r="AM4021" s="2"/>
    </row>
    <row r="4022" spans="1:39">
      <c r="A4022" s="2"/>
      <c r="AM4022" s="2"/>
    </row>
    <row r="4023" spans="1:39">
      <c r="A4023" s="2"/>
      <c r="AM4023" s="2"/>
    </row>
    <row r="4024" spans="1:39">
      <c r="A4024" s="2"/>
      <c r="AM4024" s="2"/>
    </row>
    <row r="4025" spans="1:39">
      <c r="A4025" s="2"/>
      <c r="AM4025" s="2"/>
    </row>
    <row r="4026" spans="1:39">
      <c r="A4026" s="2"/>
      <c r="AM4026" s="2"/>
    </row>
    <row r="4027" spans="1:39">
      <c r="A4027" s="2"/>
      <c r="AM4027" s="2"/>
    </row>
    <row r="4028" spans="1:39">
      <c r="A4028" s="2"/>
      <c r="AM4028" s="2"/>
    </row>
    <row r="4029" spans="1:39">
      <c r="A4029" s="2"/>
      <c r="AM4029" s="2"/>
    </row>
    <row r="4030" spans="1:39">
      <c r="A4030" s="2"/>
      <c r="AM4030" s="2"/>
    </row>
    <row r="4031" spans="1:39">
      <c r="A4031" s="2"/>
      <c r="AM4031" s="2"/>
    </row>
    <row r="4032" spans="1:39">
      <c r="A4032" s="2"/>
      <c r="AM4032" s="2"/>
    </row>
    <row r="4033" spans="1:39">
      <c r="A4033" s="2"/>
      <c r="AM4033" s="2"/>
    </row>
    <row r="4034" spans="1:39">
      <c r="A4034" s="2"/>
      <c r="AM4034" s="2"/>
    </row>
    <row r="4035" spans="1:39">
      <c r="A4035" s="2"/>
      <c r="AM4035" s="2"/>
    </row>
    <row r="4036" spans="1:39">
      <c r="A4036" s="2"/>
      <c r="AM4036" s="2"/>
    </row>
    <row r="4037" spans="1:39">
      <c r="A4037" s="2"/>
      <c r="AM4037" s="2"/>
    </row>
    <row r="4038" spans="1:39">
      <c r="A4038" s="2"/>
      <c r="AM4038" s="2"/>
    </row>
    <row r="4039" spans="1:39">
      <c r="A4039" s="2"/>
      <c r="AM4039" s="2"/>
    </row>
    <row r="4040" spans="1:39">
      <c r="A4040" s="2"/>
      <c r="AM4040" s="2"/>
    </row>
    <row r="4041" spans="1:39">
      <c r="A4041" s="2"/>
      <c r="AM4041" s="2"/>
    </row>
    <row r="4042" spans="1:39">
      <c r="A4042" s="2"/>
      <c r="AM4042" s="2"/>
    </row>
    <row r="4043" spans="1:39">
      <c r="A4043" s="2"/>
      <c r="AM4043" s="2"/>
    </row>
    <row r="4044" spans="1:39">
      <c r="A4044" s="2"/>
      <c r="AM4044" s="2"/>
    </row>
    <row r="4045" spans="1:39">
      <c r="A4045" s="2"/>
      <c r="AM4045" s="2"/>
    </row>
    <row r="4046" spans="1:39">
      <c r="A4046" s="2"/>
      <c r="AM4046" s="2"/>
    </row>
    <row r="4047" spans="1:39">
      <c r="A4047" s="2"/>
      <c r="AM4047" s="2"/>
    </row>
    <row r="4048" spans="1:39">
      <c r="A4048" s="2"/>
      <c r="AM4048" s="2"/>
    </row>
    <row r="4049" spans="1:39">
      <c r="A4049" s="2"/>
      <c r="AM4049" s="2"/>
    </row>
    <row r="4050" spans="1:39">
      <c r="A4050" s="2"/>
      <c r="AM4050" s="2"/>
    </row>
    <row r="4051" spans="1:39">
      <c r="A4051" s="2"/>
      <c r="AM4051" s="2"/>
    </row>
    <row r="4052" spans="1:39">
      <c r="A4052" s="2"/>
      <c r="AM4052" s="2"/>
    </row>
    <row r="4053" spans="1:39">
      <c r="A4053" s="2"/>
      <c r="AM4053" s="2"/>
    </row>
    <row r="4054" spans="1:39">
      <c r="A4054" s="2"/>
      <c r="AM4054" s="2"/>
    </row>
    <row r="4055" spans="1:39">
      <c r="A4055" s="2"/>
      <c r="AM4055" s="2"/>
    </row>
    <row r="4056" spans="1:39">
      <c r="A4056" s="2"/>
      <c r="AM4056" s="2"/>
    </row>
    <row r="4057" spans="1:39">
      <c r="A4057" s="2"/>
      <c r="AM4057" s="2"/>
    </row>
    <row r="4058" spans="1:39">
      <c r="A4058" s="2"/>
      <c r="AM4058" s="2"/>
    </row>
    <row r="4059" spans="1:39">
      <c r="A4059" s="2"/>
      <c r="AM4059" s="2"/>
    </row>
    <row r="4060" spans="1:39">
      <c r="A4060" s="2"/>
      <c r="AM4060" s="2"/>
    </row>
    <row r="4061" spans="1:39">
      <c r="A4061" s="2"/>
      <c r="AM4061" s="2"/>
    </row>
    <row r="4062" spans="1:39">
      <c r="A4062" s="2"/>
      <c r="AM4062" s="2"/>
    </row>
    <row r="4063" spans="1:39">
      <c r="A4063" s="2"/>
      <c r="AM4063" s="2"/>
    </row>
    <row r="4064" spans="1:39">
      <c r="A4064" s="2"/>
      <c r="AM4064" s="2"/>
    </row>
    <row r="4065" spans="1:39">
      <c r="A4065" s="2"/>
      <c r="AM4065" s="2"/>
    </row>
    <row r="4066" spans="1:39">
      <c r="A4066" s="2"/>
      <c r="AM4066" s="2"/>
    </row>
    <row r="4067" spans="1:39">
      <c r="A4067" s="2"/>
      <c r="AM4067" s="2"/>
    </row>
    <row r="4068" spans="1:39">
      <c r="A4068" s="2"/>
      <c r="AM4068" s="2"/>
    </row>
    <row r="4069" spans="1:39">
      <c r="A4069" s="2"/>
      <c r="AM4069" s="2"/>
    </row>
    <row r="4070" spans="1:39">
      <c r="A4070" s="2"/>
      <c r="AM4070" s="2"/>
    </row>
    <row r="4071" spans="1:39">
      <c r="A4071" s="2"/>
      <c r="AM4071" s="2"/>
    </row>
    <row r="4072" spans="1:39">
      <c r="A4072" s="2"/>
      <c r="AM4072" s="2"/>
    </row>
    <row r="4073" spans="1:39">
      <c r="A4073" s="2"/>
      <c r="AM4073" s="2"/>
    </row>
    <row r="4074" spans="1:39">
      <c r="A4074" s="2"/>
      <c r="AM4074" s="2"/>
    </row>
    <row r="4075" spans="1:39">
      <c r="A4075" s="2"/>
      <c r="AM4075" s="2"/>
    </row>
    <row r="4076" spans="1:39">
      <c r="A4076" s="2"/>
      <c r="AM4076" s="2"/>
    </row>
    <row r="4077" spans="1:39">
      <c r="A4077" s="2"/>
      <c r="AM4077" s="2"/>
    </row>
    <row r="4078" spans="1:39">
      <c r="A4078" s="2"/>
      <c r="AM4078" s="2"/>
    </row>
    <row r="4079" spans="1:39">
      <c r="A4079" s="2"/>
      <c r="AM4079" s="2"/>
    </row>
    <row r="4080" spans="1:39">
      <c r="A4080" s="2"/>
      <c r="AM4080" s="2"/>
    </row>
    <row r="4081" spans="1:39">
      <c r="A4081" s="2"/>
      <c r="AM4081" s="2"/>
    </row>
    <row r="4082" spans="1:39">
      <c r="A4082" s="2"/>
      <c r="AM4082" s="2"/>
    </row>
    <row r="4083" spans="1:39">
      <c r="A4083" s="2"/>
      <c r="AM4083" s="2"/>
    </row>
    <row r="4084" spans="1:39">
      <c r="A4084" s="2"/>
      <c r="AM4084" s="2"/>
    </row>
    <row r="4085" spans="1:39">
      <c r="A4085" s="2"/>
      <c r="AM4085" s="2"/>
    </row>
    <row r="4086" spans="1:39">
      <c r="A4086" s="2"/>
      <c r="AM4086" s="2"/>
    </row>
    <row r="4087" spans="1:39">
      <c r="A4087" s="2"/>
      <c r="AM4087" s="2"/>
    </row>
    <row r="4088" spans="1:39">
      <c r="A4088" s="2"/>
      <c r="AM4088" s="2"/>
    </row>
    <row r="4089" spans="1:39">
      <c r="A4089" s="2"/>
      <c r="AM4089" s="2"/>
    </row>
    <row r="4090" spans="1:39">
      <c r="A4090" s="2"/>
      <c r="AM4090" s="2"/>
    </row>
    <row r="4091" spans="1:39">
      <c r="A4091" s="2"/>
      <c r="AM4091" s="2"/>
    </row>
    <row r="4092" spans="1:39">
      <c r="A4092" s="2"/>
      <c r="AM4092" s="2"/>
    </row>
    <row r="4093" spans="1:39">
      <c r="A4093" s="2"/>
      <c r="AM4093" s="2"/>
    </row>
    <row r="4094" spans="1:39">
      <c r="A4094" s="2"/>
      <c r="AM4094" s="2"/>
    </row>
    <row r="4095" spans="1:39">
      <c r="A4095" s="2"/>
      <c r="AM4095" s="2"/>
    </row>
    <row r="4096" spans="1:39">
      <c r="A4096" s="2"/>
      <c r="AM4096" s="2"/>
    </row>
    <row r="4097" spans="1:39">
      <c r="A4097" s="2"/>
      <c r="AM4097" s="2"/>
    </row>
    <row r="4098" spans="1:39">
      <c r="A4098" s="2"/>
      <c r="AM4098" s="2"/>
    </row>
    <row r="4099" spans="1:39">
      <c r="A4099" s="2"/>
      <c r="AM4099" s="2"/>
    </row>
    <row r="4100" spans="1:39">
      <c r="A4100" s="2"/>
      <c r="AM4100" s="2"/>
    </row>
    <row r="4101" spans="1:39">
      <c r="A4101" s="2"/>
      <c r="AM4101" s="2"/>
    </row>
    <row r="4102" spans="1:39">
      <c r="A4102" s="2"/>
      <c r="AM4102" s="2"/>
    </row>
    <row r="4103" spans="1:39">
      <c r="A4103" s="2"/>
      <c r="AM4103" s="2"/>
    </row>
    <row r="4104" spans="1:39">
      <c r="A4104" s="2"/>
      <c r="AM4104" s="2"/>
    </row>
    <row r="4105" spans="1:39">
      <c r="A4105" s="2"/>
      <c r="AM4105" s="2"/>
    </row>
    <row r="4106" spans="1:39">
      <c r="A4106" s="2"/>
      <c r="AM4106" s="2"/>
    </row>
    <row r="4107" spans="1:39">
      <c r="A4107" s="2"/>
      <c r="AM4107" s="2"/>
    </row>
    <row r="4108" spans="1:39">
      <c r="A4108" s="2"/>
      <c r="AM4108" s="2"/>
    </row>
    <row r="4109" spans="1:39">
      <c r="A4109" s="2"/>
      <c r="AM4109" s="2"/>
    </row>
    <row r="4110" spans="1:39">
      <c r="A4110" s="2"/>
      <c r="AM4110" s="2"/>
    </row>
    <row r="4111" spans="1:39">
      <c r="A4111" s="2"/>
      <c r="AM4111" s="2"/>
    </row>
    <row r="4112" spans="1:39">
      <c r="A4112" s="2"/>
      <c r="AM4112" s="2"/>
    </row>
    <row r="4113" spans="1:39">
      <c r="A4113" s="2"/>
      <c r="AM4113" s="2"/>
    </row>
    <row r="4114" spans="1:39">
      <c r="A4114" s="2"/>
      <c r="AM4114" s="2"/>
    </row>
    <row r="4115" spans="1:39">
      <c r="A4115" s="2"/>
      <c r="AM4115" s="2"/>
    </row>
    <row r="4116" spans="1:39">
      <c r="A4116" s="2"/>
      <c r="AM4116" s="2"/>
    </row>
    <row r="4117" spans="1:39">
      <c r="A4117" s="2"/>
      <c r="AM4117" s="2"/>
    </row>
    <row r="4118" spans="1:39">
      <c r="A4118" s="2"/>
      <c r="AM4118" s="2"/>
    </row>
    <row r="4119" spans="1:39">
      <c r="A4119" s="2"/>
      <c r="AM4119" s="2"/>
    </row>
    <row r="4120" spans="1:39">
      <c r="A4120" s="2"/>
      <c r="AM4120" s="2"/>
    </row>
    <row r="4121" spans="1:39">
      <c r="A4121" s="2"/>
      <c r="AM4121" s="2"/>
    </row>
    <row r="4122" spans="1:39">
      <c r="A4122" s="2"/>
      <c r="AM4122" s="2"/>
    </row>
    <row r="4123" spans="1:39">
      <c r="A4123" s="2"/>
      <c r="AM4123" s="2"/>
    </row>
    <row r="4124" spans="1:39">
      <c r="A4124" s="2"/>
      <c r="AM4124" s="2"/>
    </row>
    <row r="4125" spans="1:39">
      <c r="A4125" s="2"/>
      <c r="AM4125" s="2"/>
    </row>
    <row r="4126" spans="1:39">
      <c r="A4126" s="2"/>
      <c r="AM4126" s="2"/>
    </row>
    <row r="4127" spans="1:39">
      <c r="A4127" s="2"/>
      <c r="AM4127" s="2"/>
    </row>
    <row r="4128" spans="1:39">
      <c r="A4128" s="2"/>
      <c r="AM4128" s="2"/>
    </row>
    <row r="4129" spans="1:39">
      <c r="A4129" s="2"/>
      <c r="AM4129" s="2"/>
    </row>
    <row r="4130" spans="1:39">
      <c r="A4130" s="2"/>
      <c r="AM4130" s="2"/>
    </row>
    <row r="4131" spans="1:39">
      <c r="A4131" s="2"/>
      <c r="AM4131" s="2"/>
    </row>
    <row r="4132" spans="1:39">
      <c r="A4132" s="2"/>
      <c r="AM4132" s="2"/>
    </row>
    <row r="4133" spans="1:39">
      <c r="A4133" s="2"/>
      <c r="AM4133" s="2"/>
    </row>
    <row r="4134" spans="1:39">
      <c r="A4134" s="2"/>
      <c r="AM4134" s="2"/>
    </row>
    <row r="4135" spans="1:39">
      <c r="A4135" s="2"/>
      <c r="AM4135" s="2"/>
    </row>
    <row r="4136" spans="1:39">
      <c r="A4136" s="2"/>
      <c r="AM4136" s="2"/>
    </row>
    <row r="4137" spans="1:39">
      <c r="A4137" s="2"/>
      <c r="AM4137" s="2"/>
    </row>
    <row r="4138" spans="1:39">
      <c r="A4138" s="2"/>
      <c r="AM4138" s="2"/>
    </row>
    <row r="4139" spans="1:39">
      <c r="A4139" s="2"/>
      <c r="AM4139" s="2"/>
    </row>
    <row r="4140" spans="1:39">
      <c r="A4140" s="2"/>
      <c r="AM4140" s="2"/>
    </row>
    <row r="4141" spans="1:39">
      <c r="A4141" s="2"/>
      <c r="AM4141" s="2"/>
    </row>
    <row r="4142" spans="1:39">
      <c r="A4142" s="2"/>
      <c r="AM4142" s="2"/>
    </row>
    <row r="4143" spans="1:39">
      <c r="A4143" s="2"/>
      <c r="AM4143" s="2"/>
    </row>
    <row r="4144" spans="1:39">
      <c r="A4144" s="2"/>
      <c r="AM4144" s="2"/>
    </row>
    <row r="4145" spans="1:39">
      <c r="A4145" s="2"/>
      <c r="AM4145" s="2"/>
    </row>
    <row r="4146" spans="1:39">
      <c r="A4146" s="2"/>
      <c r="AM4146" s="2"/>
    </row>
    <row r="4147" spans="1:39">
      <c r="A4147" s="2"/>
      <c r="AM4147" s="2"/>
    </row>
    <row r="4148" spans="1:39">
      <c r="A4148" s="2"/>
      <c r="AM4148" s="2"/>
    </row>
    <row r="4149" spans="1:39">
      <c r="A4149" s="2"/>
      <c r="AM4149" s="2"/>
    </row>
    <row r="4150" spans="1:39">
      <c r="A4150" s="2"/>
      <c r="AM4150" s="2"/>
    </row>
    <row r="4151" spans="1:39">
      <c r="A4151" s="2"/>
      <c r="AM4151" s="2"/>
    </row>
    <row r="4152" spans="1:39">
      <c r="A4152" s="2"/>
      <c r="AM4152" s="2"/>
    </row>
    <row r="4153" spans="1:39">
      <c r="A4153" s="2"/>
      <c r="AM4153" s="2"/>
    </row>
    <row r="4154" spans="1:39">
      <c r="A4154" s="2"/>
      <c r="AM4154" s="2"/>
    </row>
    <row r="4155" spans="1:39">
      <c r="A4155" s="2"/>
      <c r="AM4155" s="2"/>
    </row>
    <row r="4156" spans="1:39">
      <c r="A4156" s="2"/>
      <c r="AM4156" s="2"/>
    </row>
    <row r="4157" spans="1:39">
      <c r="A4157" s="2"/>
      <c r="AM4157" s="2"/>
    </row>
    <row r="4158" spans="1:39">
      <c r="A4158" s="2"/>
      <c r="AM4158" s="2"/>
    </row>
    <row r="4159" spans="1:39">
      <c r="A4159" s="2"/>
      <c r="AM4159" s="2"/>
    </row>
    <row r="4160" spans="1:39">
      <c r="A4160" s="2"/>
      <c r="AM4160" s="2"/>
    </row>
    <row r="4161" spans="1:39">
      <c r="A4161" s="2"/>
      <c r="AM4161" s="2"/>
    </row>
    <row r="4162" spans="1:39">
      <c r="A4162" s="2"/>
      <c r="AM4162" s="2"/>
    </row>
    <row r="4163" spans="1:39">
      <c r="A4163" s="2"/>
      <c r="AM4163" s="2"/>
    </row>
    <row r="4164" spans="1:39">
      <c r="A4164" s="2"/>
      <c r="AM4164" s="2"/>
    </row>
    <row r="4165" spans="1:39">
      <c r="A4165" s="2"/>
      <c r="AM4165" s="2"/>
    </row>
    <row r="4166" spans="1:39">
      <c r="A4166" s="2"/>
      <c r="AM4166" s="2"/>
    </row>
    <row r="4167" spans="1:39">
      <c r="A4167" s="2"/>
      <c r="AM4167" s="2"/>
    </row>
    <row r="4168" spans="1:39">
      <c r="A4168" s="2"/>
      <c r="AM4168" s="2"/>
    </row>
    <row r="4169" spans="1:39">
      <c r="A4169" s="2"/>
      <c r="AM4169" s="2"/>
    </row>
    <row r="4170" spans="1:39">
      <c r="A4170" s="2"/>
      <c r="AM4170" s="2"/>
    </row>
    <row r="4171" spans="1:39">
      <c r="A4171" s="2"/>
      <c r="AM4171" s="2"/>
    </row>
    <row r="4172" spans="1:39">
      <c r="A4172" s="2"/>
      <c r="AM4172" s="2"/>
    </row>
    <row r="4173" spans="1:39">
      <c r="A4173" s="2"/>
      <c r="AM4173" s="2"/>
    </row>
    <row r="4174" spans="1:39">
      <c r="A4174" s="2"/>
      <c r="AM4174" s="2"/>
    </row>
    <row r="4175" spans="1:39">
      <c r="A4175" s="2"/>
      <c r="AM4175" s="2"/>
    </row>
    <row r="4176" spans="1:39">
      <c r="A4176" s="2"/>
      <c r="AM4176" s="2"/>
    </row>
    <row r="4177" spans="1:39">
      <c r="A4177" s="2"/>
      <c r="AM4177" s="2"/>
    </row>
    <row r="4178" spans="1:39">
      <c r="A4178" s="2"/>
      <c r="AM4178" s="2"/>
    </row>
    <row r="4179" spans="1:39">
      <c r="A4179" s="2"/>
      <c r="AM4179" s="2"/>
    </row>
    <row r="4180" spans="1:39">
      <c r="A4180" s="2"/>
      <c r="AM4180" s="2"/>
    </row>
    <row r="4181" spans="1:39">
      <c r="A4181" s="2"/>
      <c r="AM4181" s="2"/>
    </row>
    <row r="4182" spans="1:39">
      <c r="A4182" s="2"/>
      <c r="AM4182" s="2"/>
    </row>
    <row r="4183" spans="1:39">
      <c r="A4183" s="2"/>
      <c r="AM4183" s="2"/>
    </row>
    <row r="4184" spans="1:39">
      <c r="A4184" s="2"/>
      <c r="AM4184" s="2"/>
    </row>
    <row r="4185" spans="1:39">
      <c r="A4185" s="2"/>
      <c r="AM4185" s="2"/>
    </row>
    <row r="4186" spans="1:39">
      <c r="A4186" s="2"/>
      <c r="AM4186" s="2"/>
    </row>
    <row r="4187" spans="1:39">
      <c r="A4187" s="2"/>
      <c r="AM4187" s="2"/>
    </row>
    <row r="4188" spans="1:39">
      <c r="A4188" s="2"/>
      <c r="AM4188" s="2"/>
    </row>
    <row r="4189" spans="1:39">
      <c r="A4189" s="2"/>
      <c r="AM4189" s="2"/>
    </row>
    <row r="4190" spans="1:39">
      <c r="A4190" s="2"/>
      <c r="AM4190" s="2"/>
    </row>
    <row r="4191" spans="1:39">
      <c r="A4191" s="2"/>
      <c r="AM4191" s="2"/>
    </row>
    <row r="4192" spans="1:39">
      <c r="A4192" s="2"/>
      <c r="AM4192" s="2"/>
    </row>
    <row r="4193" spans="1:39">
      <c r="A4193" s="2"/>
      <c r="AM4193" s="2"/>
    </row>
    <row r="4194" spans="1:39">
      <c r="A4194" s="2"/>
      <c r="AM4194" s="2"/>
    </row>
    <row r="4195" spans="1:39">
      <c r="A4195" s="2"/>
      <c r="AM4195" s="2"/>
    </row>
    <row r="4196" spans="1:39">
      <c r="A4196" s="2"/>
      <c r="AM4196" s="2"/>
    </row>
    <row r="4197" spans="1:39">
      <c r="A4197" s="2"/>
      <c r="AM4197" s="2"/>
    </row>
    <row r="4198" spans="1:39">
      <c r="A4198" s="2"/>
      <c r="AM4198" s="2"/>
    </row>
    <row r="4199" spans="1:39">
      <c r="A4199" s="2"/>
      <c r="AM4199" s="2"/>
    </row>
    <row r="4200" spans="1:39">
      <c r="A4200" s="2"/>
      <c r="AM4200" s="2"/>
    </row>
    <row r="4201" spans="1:39">
      <c r="A4201" s="2"/>
      <c r="AM4201" s="2"/>
    </row>
    <row r="4202" spans="1:39">
      <c r="A4202" s="2"/>
      <c r="AM4202" s="2"/>
    </row>
    <row r="4203" spans="1:39">
      <c r="A4203" s="2"/>
      <c r="AM4203" s="2"/>
    </row>
    <row r="4204" spans="1:39">
      <c r="A4204" s="2"/>
      <c r="AM4204" s="2"/>
    </row>
    <row r="4205" spans="1:39">
      <c r="A4205" s="2"/>
      <c r="AM4205" s="2"/>
    </row>
    <row r="4206" spans="1:39">
      <c r="A4206" s="2"/>
      <c r="AM4206" s="2"/>
    </row>
    <row r="4207" spans="1:39">
      <c r="A4207" s="2"/>
      <c r="AM4207" s="2"/>
    </row>
    <row r="4208" spans="1:39">
      <c r="A4208" s="2"/>
      <c r="AM4208" s="2"/>
    </row>
    <row r="4209" spans="1:39">
      <c r="A4209" s="2"/>
      <c r="AM4209" s="2"/>
    </row>
    <row r="4210" spans="1:39">
      <c r="A4210" s="2"/>
      <c r="AM4210" s="2"/>
    </row>
    <row r="4211" spans="1:39">
      <c r="A4211" s="2"/>
      <c r="AM4211" s="2"/>
    </row>
    <row r="4212" spans="1:39">
      <c r="A4212" s="2"/>
      <c r="AM4212" s="2"/>
    </row>
    <row r="4213" spans="1:39">
      <c r="A4213" s="2"/>
      <c r="AM4213" s="2"/>
    </row>
    <row r="4214" spans="1:39">
      <c r="A4214" s="2"/>
      <c r="AM4214" s="2"/>
    </row>
    <row r="4215" spans="1:39">
      <c r="A4215" s="2"/>
      <c r="AM4215" s="2"/>
    </row>
    <row r="4216" spans="1:39">
      <c r="A4216" s="2"/>
      <c r="AM4216" s="2"/>
    </row>
    <row r="4217" spans="1:39">
      <c r="A4217" s="2"/>
      <c r="AM4217" s="2"/>
    </row>
    <row r="4218" spans="1:39">
      <c r="A4218" s="2"/>
      <c r="AM4218" s="2"/>
    </row>
    <row r="4219" spans="1:39">
      <c r="A4219" s="2"/>
      <c r="AM4219" s="2"/>
    </row>
    <row r="4220" spans="1:39">
      <c r="A4220" s="2"/>
      <c r="AM4220" s="2"/>
    </row>
    <row r="4221" spans="1:39">
      <c r="A4221" s="2"/>
      <c r="AM4221" s="2"/>
    </row>
    <row r="4222" spans="1:39">
      <c r="A4222" s="2"/>
      <c r="AM4222" s="2"/>
    </row>
    <row r="4223" spans="1:39">
      <c r="A4223" s="2"/>
      <c r="AM4223" s="2"/>
    </row>
    <row r="4224" spans="1:39">
      <c r="A4224" s="2"/>
      <c r="AM4224" s="2"/>
    </row>
    <row r="4225" spans="1:39">
      <c r="A4225" s="2"/>
      <c r="AM4225" s="2"/>
    </row>
    <row r="4226" spans="1:39">
      <c r="A4226" s="2"/>
      <c r="AM4226" s="2"/>
    </row>
    <row r="4227" spans="1:39">
      <c r="A4227" s="2"/>
      <c r="AM4227" s="2"/>
    </row>
    <row r="4228" spans="1:39">
      <c r="A4228" s="2"/>
      <c r="AM4228" s="2"/>
    </row>
    <row r="4229" spans="1:39">
      <c r="A4229" s="2"/>
      <c r="AM4229" s="2"/>
    </row>
    <row r="4230" spans="1:39">
      <c r="A4230" s="2"/>
      <c r="AM4230" s="2"/>
    </row>
    <row r="4231" spans="1:39">
      <c r="A4231" s="2"/>
      <c r="AM4231" s="2"/>
    </row>
    <row r="4232" spans="1:39">
      <c r="A4232" s="2"/>
      <c r="AM4232" s="2"/>
    </row>
    <row r="4233" spans="1:39">
      <c r="A4233" s="2"/>
      <c r="AM4233" s="2"/>
    </row>
    <row r="4234" spans="1:39">
      <c r="A4234" s="2"/>
      <c r="AM4234" s="2"/>
    </row>
    <row r="4235" spans="1:39">
      <c r="A4235" s="2"/>
      <c r="AM4235" s="2"/>
    </row>
    <row r="4236" spans="1:39">
      <c r="A4236" s="2"/>
      <c r="AM4236" s="2"/>
    </row>
    <row r="4237" spans="1:39">
      <c r="A4237" s="2"/>
      <c r="AM4237" s="2"/>
    </row>
    <row r="4238" spans="1:39">
      <c r="A4238" s="2"/>
      <c r="AM4238" s="2"/>
    </row>
    <row r="4239" spans="1:39">
      <c r="A4239" s="2"/>
      <c r="AM4239" s="2"/>
    </row>
    <row r="4240" spans="1:39">
      <c r="A4240" s="2"/>
      <c r="AM4240" s="2"/>
    </row>
    <row r="4241" spans="1:39">
      <c r="A4241" s="2"/>
      <c r="AM4241" s="2"/>
    </row>
    <row r="4242" spans="1:39">
      <c r="A4242" s="2"/>
      <c r="AM4242" s="2"/>
    </row>
    <row r="4243" spans="1:39">
      <c r="A4243" s="2"/>
      <c r="AM4243" s="2"/>
    </row>
    <row r="4244" spans="1:39">
      <c r="A4244" s="2"/>
      <c r="AM4244" s="2"/>
    </row>
    <row r="4245" spans="1:39">
      <c r="A4245" s="2"/>
      <c r="AM4245" s="2"/>
    </row>
    <row r="4246" spans="1:39">
      <c r="A4246" s="2"/>
      <c r="AM4246" s="2"/>
    </row>
    <row r="4247" spans="1:39">
      <c r="A4247" s="2"/>
      <c r="AM4247" s="2"/>
    </row>
    <row r="4248" spans="1:39">
      <c r="A4248" s="2"/>
      <c r="AM4248" s="2"/>
    </row>
    <row r="4249" spans="1:39">
      <c r="A4249" s="2"/>
      <c r="AM4249" s="2"/>
    </row>
    <row r="4250" spans="1:39">
      <c r="A4250" s="2"/>
      <c r="AM4250" s="2"/>
    </row>
    <row r="4251" spans="1:39">
      <c r="A4251" s="2"/>
      <c r="AM4251" s="2"/>
    </row>
    <row r="4252" spans="1:39">
      <c r="A4252" s="2"/>
      <c r="AM4252" s="2"/>
    </row>
    <row r="4253" spans="1:39">
      <c r="A4253" s="2"/>
      <c r="AM4253" s="2"/>
    </row>
    <row r="4254" spans="1:39">
      <c r="A4254" s="2"/>
      <c r="AM4254" s="2"/>
    </row>
    <row r="4255" spans="1:39">
      <c r="A4255" s="2"/>
      <c r="AM4255" s="2"/>
    </row>
    <row r="4256" spans="1:39">
      <c r="A4256" s="2"/>
      <c r="AM4256" s="2"/>
    </row>
    <row r="4257" spans="1:39">
      <c r="A4257" s="2"/>
      <c r="AM4257" s="2"/>
    </row>
    <row r="4258" spans="1:39">
      <c r="A4258" s="2"/>
      <c r="AM4258" s="2"/>
    </row>
    <row r="4259" spans="1:39">
      <c r="A4259" s="2"/>
      <c r="AM4259" s="2"/>
    </row>
    <row r="4260" spans="1:39">
      <c r="A4260" s="2"/>
      <c r="AM4260" s="2"/>
    </row>
    <row r="4261" spans="1:39">
      <c r="A4261" s="2"/>
      <c r="AM4261" s="2"/>
    </row>
    <row r="4262" spans="1:39">
      <c r="A4262" s="2"/>
      <c r="AM4262" s="2"/>
    </row>
    <row r="4263" spans="1:39">
      <c r="A4263" s="2"/>
      <c r="AM4263" s="2"/>
    </row>
    <row r="4264" spans="1:39">
      <c r="A4264" s="2"/>
      <c r="AM4264" s="2"/>
    </row>
    <row r="4265" spans="1:39">
      <c r="A4265" s="2"/>
      <c r="AM4265" s="2"/>
    </row>
    <row r="4266" spans="1:39">
      <c r="A4266" s="2"/>
      <c r="AM4266" s="2"/>
    </row>
    <row r="4267" spans="1:39">
      <c r="A4267" s="2"/>
      <c r="AM4267" s="2"/>
    </row>
    <row r="4268" spans="1:39">
      <c r="A4268" s="2"/>
      <c r="AM4268" s="2"/>
    </row>
    <row r="4269" spans="1:39">
      <c r="A4269" s="2"/>
      <c r="AM4269" s="2"/>
    </row>
    <row r="4270" spans="1:39">
      <c r="A4270" s="2"/>
      <c r="AM4270" s="2"/>
    </row>
    <row r="4271" spans="1:39">
      <c r="A4271" s="2"/>
      <c r="AM4271" s="2"/>
    </row>
    <row r="4272" spans="1:39">
      <c r="A4272" s="2"/>
      <c r="AM4272" s="2"/>
    </row>
    <row r="4273" spans="1:39">
      <c r="A4273" s="2"/>
      <c r="AM4273" s="2"/>
    </row>
    <row r="4274" spans="1:39">
      <c r="A4274" s="2"/>
      <c r="AM4274" s="2"/>
    </row>
    <row r="4275" spans="1:39">
      <c r="A4275" s="2"/>
      <c r="AM4275" s="2"/>
    </row>
    <row r="4276" spans="1:39">
      <c r="A4276" s="2"/>
      <c r="AM4276" s="2"/>
    </row>
    <row r="4277" spans="1:39">
      <c r="A4277" s="2"/>
      <c r="AM4277" s="2"/>
    </row>
    <row r="4278" spans="1:39">
      <c r="A4278" s="2"/>
      <c r="AM4278" s="2"/>
    </row>
    <row r="4279" spans="1:39">
      <c r="A4279" s="2"/>
      <c r="AM4279" s="2"/>
    </row>
    <row r="4280" spans="1:39">
      <c r="A4280" s="2"/>
      <c r="AM4280" s="2"/>
    </row>
    <row r="4281" spans="1:39">
      <c r="A4281" s="2"/>
      <c r="AM4281" s="2"/>
    </row>
    <row r="4282" spans="1:39">
      <c r="A4282" s="2"/>
      <c r="AM4282" s="2"/>
    </row>
    <row r="4283" spans="1:39">
      <c r="A4283" s="2"/>
      <c r="AM4283" s="2"/>
    </row>
    <row r="4284" spans="1:39">
      <c r="A4284" s="2"/>
      <c r="AM4284" s="2"/>
    </row>
    <row r="4285" spans="1:39">
      <c r="A4285" s="2"/>
      <c r="AM4285" s="2"/>
    </row>
    <row r="4286" spans="1:39">
      <c r="A4286" s="2"/>
      <c r="AM4286" s="2"/>
    </row>
    <row r="4287" spans="1:39">
      <c r="A4287" s="2"/>
      <c r="AM4287" s="2"/>
    </row>
    <row r="4288" spans="1:39">
      <c r="A4288" s="2"/>
      <c r="AM4288" s="2"/>
    </row>
    <row r="4289" spans="1:39">
      <c r="A4289" s="2"/>
      <c r="AM4289" s="2"/>
    </row>
    <row r="4290" spans="1:39">
      <c r="A4290" s="2"/>
      <c r="AM4290" s="2"/>
    </row>
    <row r="4291" spans="1:39">
      <c r="A4291" s="2"/>
      <c r="AM4291" s="2"/>
    </row>
    <row r="4292" spans="1:39">
      <c r="A4292" s="2"/>
      <c r="AM4292" s="2"/>
    </row>
    <row r="4293" spans="1:39">
      <c r="A4293" s="2"/>
      <c r="AM4293" s="2"/>
    </row>
    <row r="4294" spans="1:39">
      <c r="A4294" s="2"/>
      <c r="AM4294" s="2"/>
    </row>
    <row r="4295" spans="1:39">
      <c r="A4295" s="2"/>
      <c r="AM4295" s="2"/>
    </row>
    <row r="4296" spans="1:39">
      <c r="A4296" s="2"/>
      <c r="AM4296" s="2"/>
    </row>
    <row r="4297" spans="1:39">
      <c r="A4297" s="2"/>
      <c r="AM4297" s="2"/>
    </row>
    <row r="4298" spans="1:39">
      <c r="A4298" s="2"/>
      <c r="AM4298" s="2"/>
    </row>
    <row r="4299" spans="1:39">
      <c r="A4299" s="2"/>
      <c r="AM4299" s="2"/>
    </row>
    <row r="4300" spans="1:39">
      <c r="A4300" s="2"/>
      <c r="AM4300" s="2"/>
    </row>
    <row r="4301" spans="1:39">
      <c r="A4301" s="2"/>
      <c r="AM4301" s="2"/>
    </row>
    <row r="4302" spans="1:39">
      <c r="A4302" s="2"/>
      <c r="AM4302" s="2"/>
    </row>
    <row r="4303" spans="1:39">
      <c r="A4303" s="2"/>
      <c r="AM4303" s="2"/>
    </row>
    <row r="4304" spans="1:39">
      <c r="A4304" s="2"/>
      <c r="AM4304" s="2"/>
    </row>
    <row r="4305" spans="1:39">
      <c r="A4305" s="2"/>
      <c r="AM4305" s="2"/>
    </row>
    <row r="4306" spans="1:39">
      <c r="A4306" s="2"/>
      <c r="AM4306" s="2"/>
    </row>
    <row r="4307" spans="1:39">
      <c r="A4307" s="2"/>
      <c r="AM4307" s="2"/>
    </row>
    <row r="4308" spans="1:39">
      <c r="A4308" s="2"/>
      <c r="AM4308" s="2"/>
    </row>
    <row r="4309" spans="1:39">
      <c r="A4309" s="2"/>
      <c r="AM4309" s="2"/>
    </row>
    <row r="4310" spans="1:39">
      <c r="A4310" s="2"/>
      <c r="AM4310" s="2"/>
    </row>
    <row r="4311" spans="1:39">
      <c r="A4311" s="2"/>
      <c r="AM4311" s="2"/>
    </row>
    <row r="4312" spans="1:39">
      <c r="A4312" s="2"/>
      <c r="AM4312" s="2"/>
    </row>
    <row r="4313" spans="1:39">
      <c r="A4313" s="2"/>
      <c r="AM4313" s="2"/>
    </row>
    <row r="4314" spans="1:39">
      <c r="A4314" s="2"/>
      <c r="AM4314" s="2"/>
    </row>
    <row r="4315" spans="1:39">
      <c r="A4315" s="2"/>
      <c r="AM4315" s="2"/>
    </row>
    <row r="4316" spans="1:39">
      <c r="A4316" s="2"/>
      <c r="AM4316" s="2"/>
    </row>
    <row r="4317" spans="1:39">
      <c r="A4317" s="2"/>
      <c r="AM4317" s="2"/>
    </row>
    <row r="4318" spans="1:39">
      <c r="A4318" s="2"/>
      <c r="AM4318" s="2"/>
    </row>
    <row r="4319" spans="1:39">
      <c r="A4319" s="2"/>
      <c r="AM4319" s="2"/>
    </row>
    <row r="4320" spans="1:39">
      <c r="A4320" s="2"/>
      <c r="AM4320" s="2"/>
    </row>
    <row r="4321" spans="1:39">
      <c r="A4321" s="2"/>
      <c r="AM4321" s="2"/>
    </row>
    <row r="4322" spans="1:39">
      <c r="A4322" s="2"/>
      <c r="AM4322" s="2"/>
    </row>
    <row r="4323" spans="1:39">
      <c r="A4323" s="2"/>
      <c r="AM4323" s="2"/>
    </row>
    <row r="4324" spans="1:39">
      <c r="A4324" s="2"/>
      <c r="AM4324" s="2"/>
    </row>
    <row r="4325" spans="1:39">
      <c r="A4325" s="2"/>
      <c r="AM4325" s="2"/>
    </row>
    <row r="4326" spans="1:39">
      <c r="A4326" s="2"/>
      <c r="AM4326" s="2"/>
    </row>
    <row r="4327" spans="1:39">
      <c r="A4327" s="2"/>
      <c r="AM4327" s="2"/>
    </row>
    <row r="4328" spans="1:39">
      <c r="A4328" s="2"/>
      <c r="AM4328" s="2"/>
    </row>
    <row r="4329" spans="1:39">
      <c r="A4329" s="2"/>
      <c r="AM4329" s="2"/>
    </row>
    <row r="4330" spans="1:39">
      <c r="A4330" s="2"/>
      <c r="AM4330" s="2"/>
    </row>
    <row r="4331" spans="1:39">
      <c r="A4331" s="2"/>
      <c r="AM4331" s="2"/>
    </row>
    <row r="4332" spans="1:39">
      <c r="A4332" s="2"/>
      <c r="AM4332" s="2"/>
    </row>
    <row r="4333" spans="1:39">
      <c r="A4333" s="2"/>
      <c r="AM4333" s="2"/>
    </row>
    <row r="4334" spans="1:39">
      <c r="A4334" s="2"/>
      <c r="AM4334" s="2"/>
    </row>
    <row r="4335" spans="1:39">
      <c r="A4335" s="2"/>
      <c r="AM4335" s="2"/>
    </row>
    <row r="4336" spans="1:39">
      <c r="A4336" s="2"/>
      <c r="AM4336" s="2"/>
    </row>
    <row r="4337" spans="1:39">
      <c r="A4337" s="2"/>
      <c r="AM4337" s="2"/>
    </row>
    <row r="4338" spans="1:39">
      <c r="A4338" s="2"/>
      <c r="AM4338" s="2"/>
    </row>
    <row r="4339" spans="1:39">
      <c r="A4339" s="2"/>
      <c r="AM4339" s="2"/>
    </row>
    <row r="4340" spans="1:39">
      <c r="A4340" s="2"/>
      <c r="AM4340" s="2"/>
    </row>
    <row r="4341" spans="1:39">
      <c r="A4341" s="2"/>
      <c r="AM4341" s="2"/>
    </row>
    <row r="4342" spans="1:39">
      <c r="A4342" s="2"/>
      <c r="AM4342" s="2"/>
    </row>
    <row r="4343" spans="1:39">
      <c r="A4343" s="2"/>
      <c r="AM4343" s="2"/>
    </row>
    <row r="4344" spans="1:39">
      <c r="A4344" s="2"/>
      <c r="AM4344" s="2"/>
    </row>
    <row r="4345" spans="1:39">
      <c r="A4345" s="2"/>
      <c r="AM4345" s="2"/>
    </row>
    <row r="4346" spans="1:39">
      <c r="A4346" s="2"/>
      <c r="AM4346" s="2"/>
    </row>
    <row r="4347" spans="1:39">
      <c r="A4347" s="2"/>
      <c r="AM4347" s="2"/>
    </row>
    <row r="4348" spans="1:39">
      <c r="A4348" s="2"/>
      <c r="AM4348" s="2"/>
    </row>
    <row r="4349" spans="1:39">
      <c r="A4349" s="2"/>
      <c r="AM4349" s="2"/>
    </row>
    <row r="4350" spans="1:39">
      <c r="A4350" s="2"/>
      <c r="AM4350" s="2"/>
    </row>
    <row r="4351" spans="1:39">
      <c r="A4351" s="2"/>
      <c r="AM4351" s="2"/>
    </row>
    <row r="4352" spans="1:39">
      <c r="A4352" s="2"/>
      <c r="AM4352" s="2"/>
    </row>
    <row r="4353" spans="1:39">
      <c r="A4353" s="2"/>
      <c r="AM4353" s="2"/>
    </row>
    <row r="4354" spans="1:39">
      <c r="A4354" s="2"/>
      <c r="AM4354" s="2"/>
    </row>
    <row r="4355" spans="1:39">
      <c r="A4355" s="2"/>
      <c r="AM4355" s="2"/>
    </row>
    <row r="4356" spans="1:39">
      <c r="A4356" s="2"/>
      <c r="AM4356" s="2"/>
    </row>
    <row r="4357" spans="1:39">
      <c r="A4357" s="2"/>
      <c r="AM4357" s="2"/>
    </row>
    <row r="4358" spans="1:39">
      <c r="A4358" s="2"/>
      <c r="AM4358" s="2"/>
    </row>
    <row r="4359" spans="1:39">
      <c r="A4359" s="2"/>
      <c r="AM4359" s="2"/>
    </row>
    <row r="4360" spans="1:39">
      <c r="A4360" s="2"/>
      <c r="AM4360" s="2"/>
    </row>
    <row r="4361" spans="1:39">
      <c r="A4361" s="2"/>
      <c r="AM4361" s="2"/>
    </row>
    <row r="4362" spans="1:39">
      <c r="A4362" s="2"/>
      <c r="AM4362" s="2"/>
    </row>
    <row r="4363" spans="1:39">
      <c r="A4363" s="2"/>
      <c r="AM4363" s="2"/>
    </row>
    <row r="4364" spans="1:39">
      <c r="A4364" s="2"/>
      <c r="AM4364" s="2"/>
    </row>
    <row r="4365" spans="1:39">
      <c r="A4365" s="2"/>
      <c r="AM4365" s="2"/>
    </row>
    <row r="4366" spans="1:39">
      <c r="A4366" s="2"/>
      <c r="AM4366" s="2"/>
    </row>
    <row r="4367" spans="1:39">
      <c r="A4367" s="2"/>
      <c r="AM4367" s="2"/>
    </row>
    <row r="4368" spans="1:39">
      <c r="A4368" s="2"/>
      <c r="AM4368" s="2"/>
    </row>
    <row r="4369" spans="1:39">
      <c r="A4369" s="2"/>
      <c r="AM4369" s="2"/>
    </row>
    <row r="4370" spans="1:39">
      <c r="A4370" s="2"/>
      <c r="AM4370" s="2"/>
    </row>
    <row r="4371" spans="1:39">
      <c r="A4371" s="2"/>
      <c r="AM4371" s="2"/>
    </row>
    <row r="4372" spans="1:39">
      <c r="A4372" s="2"/>
      <c r="AM4372" s="2"/>
    </row>
    <row r="4373" spans="1:39">
      <c r="A4373" s="2"/>
      <c r="AM4373" s="2"/>
    </row>
    <row r="4374" spans="1:39">
      <c r="A4374" s="2"/>
      <c r="AM4374" s="2"/>
    </row>
    <row r="4375" spans="1:39">
      <c r="A4375" s="2"/>
      <c r="AM4375" s="2"/>
    </row>
    <row r="4376" spans="1:39">
      <c r="A4376" s="2"/>
      <c r="AM4376" s="2"/>
    </row>
    <row r="4377" spans="1:39">
      <c r="A4377" s="2"/>
      <c r="AM4377" s="2"/>
    </row>
    <row r="4378" spans="1:39">
      <c r="A4378" s="2"/>
      <c r="AM4378" s="2"/>
    </row>
    <row r="4379" spans="1:39">
      <c r="A4379" s="2"/>
      <c r="AM4379" s="2"/>
    </row>
    <row r="4380" spans="1:39">
      <c r="A4380" s="2"/>
      <c r="AM4380" s="2"/>
    </row>
    <row r="4381" spans="1:39">
      <c r="A4381" s="2"/>
      <c r="AM4381" s="2"/>
    </row>
    <row r="4382" spans="1:39">
      <c r="A4382" s="2"/>
      <c r="AM4382" s="2"/>
    </row>
    <row r="4383" spans="1:39">
      <c r="A4383" s="2"/>
      <c r="AM4383" s="2"/>
    </row>
    <row r="4384" spans="1:39">
      <c r="A4384" s="2"/>
      <c r="AM4384" s="2"/>
    </row>
    <row r="4385" spans="1:39">
      <c r="A4385" s="2"/>
      <c r="AM4385" s="2"/>
    </row>
    <row r="4386" spans="1:39">
      <c r="A4386" s="2"/>
      <c r="AM4386" s="2"/>
    </row>
    <row r="4387" spans="1:39">
      <c r="A4387" s="2"/>
      <c r="AM4387" s="2"/>
    </row>
    <row r="4388" spans="1:39">
      <c r="A4388" s="2"/>
      <c r="AM4388" s="2"/>
    </row>
    <row r="4389" spans="1:39">
      <c r="A4389" s="2"/>
      <c r="AM4389" s="2"/>
    </row>
    <row r="4390" spans="1:39">
      <c r="A4390" s="2"/>
      <c r="AM4390" s="2"/>
    </row>
    <row r="4391" spans="1:39">
      <c r="A4391" s="2"/>
      <c r="AM4391" s="2"/>
    </row>
    <row r="4392" spans="1:39">
      <c r="A4392" s="2"/>
      <c r="AM4392" s="2"/>
    </row>
    <row r="4393" spans="1:39">
      <c r="A4393" s="2"/>
      <c r="AM4393" s="2"/>
    </row>
    <row r="4394" spans="1:39">
      <c r="A4394" s="2"/>
      <c r="AM4394" s="2"/>
    </row>
    <row r="4395" spans="1:39">
      <c r="A4395" s="2"/>
      <c r="AM4395" s="2"/>
    </row>
    <row r="4396" spans="1:39">
      <c r="A4396" s="2"/>
      <c r="AM4396" s="2"/>
    </row>
    <row r="4397" spans="1:39">
      <c r="A4397" s="2"/>
      <c r="AM4397" s="2"/>
    </row>
    <row r="4398" spans="1:39">
      <c r="A4398" s="2"/>
      <c r="AM4398" s="2"/>
    </row>
    <row r="4399" spans="1:39">
      <c r="A4399" s="2"/>
      <c r="AM4399" s="2"/>
    </row>
    <row r="4400" spans="1:39">
      <c r="A4400" s="2"/>
      <c r="AM4400" s="2"/>
    </row>
    <row r="4401" spans="1:39">
      <c r="A4401" s="2"/>
      <c r="AM4401" s="2"/>
    </row>
    <row r="4402" spans="1:39">
      <c r="A4402" s="2"/>
      <c r="AM4402" s="2"/>
    </row>
    <row r="4403" spans="1:39">
      <c r="A4403" s="2"/>
      <c r="AM4403" s="2"/>
    </row>
    <row r="4404" spans="1:39">
      <c r="A4404" s="2"/>
      <c r="AM4404" s="2"/>
    </row>
    <row r="4405" spans="1:39">
      <c r="A4405" s="2"/>
      <c r="AM4405" s="2"/>
    </row>
    <row r="4406" spans="1:39">
      <c r="A4406" s="2"/>
      <c r="AM4406" s="2"/>
    </row>
    <row r="4407" spans="1:39">
      <c r="A4407" s="2"/>
      <c r="AM4407" s="2"/>
    </row>
    <row r="4408" spans="1:39">
      <c r="A4408" s="2"/>
      <c r="AM4408" s="2"/>
    </row>
    <row r="4409" spans="1:39">
      <c r="A4409" s="2"/>
      <c r="AM4409" s="2"/>
    </row>
    <row r="4410" spans="1:39">
      <c r="A4410" s="2"/>
      <c r="AM4410" s="2"/>
    </row>
    <row r="4411" spans="1:39">
      <c r="A4411" s="2"/>
      <c r="AM4411" s="2"/>
    </row>
    <row r="4412" spans="1:39">
      <c r="A4412" s="2"/>
      <c r="AM4412" s="2"/>
    </row>
    <row r="4413" spans="1:39">
      <c r="A4413" s="2"/>
      <c r="AM4413" s="2"/>
    </row>
    <row r="4414" spans="1:39">
      <c r="A4414" s="2"/>
      <c r="AM4414" s="2"/>
    </row>
    <row r="4415" spans="1:39">
      <c r="A4415" s="2"/>
      <c r="AM4415" s="2"/>
    </row>
    <row r="4416" spans="1:39">
      <c r="A4416" s="2"/>
      <c r="AM4416" s="2"/>
    </row>
    <row r="4417" spans="1:39">
      <c r="A4417" s="2"/>
      <c r="AM4417" s="2"/>
    </row>
    <row r="4418" spans="1:39">
      <c r="A4418" s="2"/>
      <c r="AM4418" s="2"/>
    </row>
    <row r="4419" spans="1:39">
      <c r="A4419" s="2"/>
      <c r="AM4419" s="2"/>
    </row>
    <row r="4420" spans="1:39">
      <c r="A4420" s="2"/>
      <c r="AM4420" s="2"/>
    </row>
    <row r="4421" spans="1:39">
      <c r="A4421" s="2"/>
      <c r="AM4421" s="2"/>
    </row>
    <row r="4422" spans="1:39">
      <c r="A4422" s="2"/>
      <c r="AM4422" s="2"/>
    </row>
    <row r="4423" spans="1:39">
      <c r="A4423" s="2"/>
      <c r="AM4423" s="2"/>
    </row>
    <row r="4424" spans="1:39">
      <c r="A4424" s="2"/>
      <c r="AM4424" s="2"/>
    </row>
    <row r="4425" spans="1:39">
      <c r="A4425" s="2"/>
      <c r="AM4425" s="2"/>
    </row>
    <row r="4426" spans="1:39">
      <c r="A4426" s="2"/>
      <c r="AM4426" s="2"/>
    </row>
    <row r="4427" spans="1:39">
      <c r="A4427" s="2"/>
      <c r="AM4427" s="2"/>
    </row>
    <row r="4428" spans="1:39">
      <c r="A4428" s="2"/>
      <c r="AM4428" s="2"/>
    </row>
    <row r="4429" spans="1:39">
      <c r="A4429" s="2"/>
      <c r="AM4429" s="2"/>
    </row>
    <row r="4430" spans="1:39">
      <c r="A4430" s="2"/>
      <c r="AM4430" s="2"/>
    </row>
    <row r="4431" spans="1:39">
      <c r="A4431" s="2"/>
      <c r="AM4431" s="2"/>
    </row>
    <row r="4432" spans="1:39">
      <c r="A4432" s="2"/>
      <c r="AM4432" s="2"/>
    </row>
    <row r="4433" spans="1:39">
      <c r="A4433" s="2"/>
      <c r="AM4433" s="2"/>
    </row>
    <row r="4434" spans="1:39">
      <c r="A4434" s="2"/>
      <c r="AM4434" s="2"/>
    </row>
    <row r="4435" spans="1:39">
      <c r="A4435" s="2"/>
      <c r="AM4435" s="2"/>
    </row>
    <row r="4436" spans="1:39">
      <c r="A4436" s="2"/>
      <c r="AM4436" s="2"/>
    </row>
    <row r="4437" spans="1:39">
      <c r="A4437" s="2"/>
      <c r="AM4437" s="2"/>
    </row>
    <row r="4438" spans="1:39">
      <c r="A4438" s="2"/>
      <c r="AM4438" s="2"/>
    </row>
    <row r="4439" spans="1:39">
      <c r="A4439" s="2"/>
      <c r="AM4439" s="2"/>
    </row>
    <row r="4440" spans="1:39">
      <c r="A4440" s="2"/>
      <c r="AM4440" s="2"/>
    </row>
    <row r="4441" spans="1:39">
      <c r="A4441" s="2"/>
      <c r="AM4441" s="2"/>
    </row>
    <row r="4442" spans="1:39">
      <c r="A4442" s="2"/>
      <c r="AM4442" s="2"/>
    </row>
    <row r="4443" spans="1:39">
      <c r="A4443" s="2"/>
      <c r="AM4443" s="2"/>
    </row>
    <row r="4444" spans="1:39">
      <c r="A4444" s="2"/>
      <c r="AM4444" s="2"/>
    </row>
    <row r="4445" spans="1:39">
      <c r="A4445" s="2"/>
      <c r="AM4445" s="2"/>
    </row>
    <row r="4446" spans="1:39">
      <c r="A4446" s="2"/>
      <c r="AM4446" s="2"/>
    </row>
    <row r="4447" spans="1:39">
      <c r="A4447" s="2"/>
      <c r="AM4447" s="2"/>
    </row>
    <row r="4448" spans="1:39">
      <c r="A4448" s="2"/>
      <c r="AM4448" s="2"/>
    </row>
    <row r="4449" spans="1:39">
      <c r="A4449" s="2"/>
      <c r="AM4449" s="2"/>
    </row>
    <row r="4450" spans="1:39">
      <c r="A4450" s="2"/>
      <c r="AM4450" s="2"/>
    </row>
    <row r="4451" spans="1:39">
      <c r="A4451" s="2"/>
      <c r="AM4451" s="2"/>
    </row>
    <row r="4452" spans="1:39">
      <c r="A4452" s="2"/>
      <c r="AM4452" s="2"/>
    </row>
    <row r="4453" spans="1:39">
      <c r="A4453" s="2"/>
      <c r="AM4453" s="2"/>
    </row>
    <row r="4454" spans="1:39">
      <c r="A4454" s="2"/>
      <c r="AM4454" s="2"/>
    </row>
    <row r="4455" spans="1:39">
      <c r="A4455" s="2"/>
      <c r="AM4455" s="2"/>
    </row>
    <row r="4456" spans="1:39">
      <c r="A4456" s="2"/>
      <c r="AM4456" s="2"/>
    </row>
    <row r="4457" spans="1:39">
      <c r="A4457" s="2"/>
      <c r="AM4457" s="2"/>
    </row>
    <row r="4458" spans="1:39">
      <c r="A4458" s="2"/>
      <c r="AM4458" s="2"/>
    </row>
    <row r="4459" spans="1:39">
      <c r="A4459" s="2"/>
      <c r="AM4459" s="2"/>
    </row>
    <row r="4460" spans="1:39">
      <c r="A4460" s="2"/>
      <c r="AM4460" s="2"/>
    </row>
    <row r="4461" spans="1:39">
      <c r="A4461" s="2"/>
      <c r="AM4461" s="2"/>
    </row>
    <row r="4462" spans="1:39">
      <c r="A4462" s="2"/>
      <c r="AM4462" s="2"/>
    </row>
    <row r="4463" spans="1:39">
      <c r="A4463" s="2"/>
      <c r="AM4463" s="2"/>
    </row>
    <row r="4464" spans="1:39">
      <c r="A4464" s="2"/>
      <c r="AM4464" s="2"/>
    </row>
    <row r="4465" spans="1:39">
      <c r="A4465" s="2"/>
      <c r="AM4465" s="2"/>
    </row>
    <row r="4466" spans="1:39">
      <c r="A4466" s="2"/>
      <c r="AM4466" s="2"/>
    </row>
    <row r="4467" spans="1:39">
      <c r="A4467" s="2"/>
      <c r="AM4467" s="2"/>
    </row>
    <row r="4468" spans="1:39">
      <c r="A4468" s="2"/>
      <c r="AM4468" s="2"/>
    </row>
    <row r="4469" spans="1:39">
      <c r="A4469" s="2"/>
      <c r="AM4469" s="2"/>
    </row>
    <row r="4470" spans="1:39">
      <c r="A4470" s="2"/>
      <c r="AM4470" s="2"/>
    </row>
    <row r="4471" spans="1:39">
      <c r="A4471" s="2"/>
      <c r="AM4471" s="2"/>
    </row>
    <row r="4472" spans="1:39">
      <c r="A4472" s="2"/>
      <c r="AM4472" s="2"/>
    </row>
    <row r="4473" spans="1:39">
      <c r="A4473" s="2"/>
      <c r="AM4473" s="2"/>
    </row>
    <row r="4474" spans="1:39">
      <c r="A4474" s="2"/>
      <c r="AM4474" s="2"/>
    </row>
    <row r="4475" spans="1:39">
      <c r="A4475" s="2"/>
      <c r="AM4475" s="2"/>
    </row>
    <row r="4476" spans="1:39">
      <c r="A4476" s="2"/>
      <c r="AM4476" s="2"/>
    </row>
    <row r="4477" spans="1:39">
      <c r="A4477" s="2"/>
      <c r="AM4477" s="2"/>
    </row>
    <row r="4478" spans="1:39">
      <c r="A4478" s="2"/>
      <c r="AM4478" s="2"/>
    </row>
    <row r="4479" spans="1:39">
      <c r="A4479" s="2"/>
      <c r="AM4479" s="2"/>
    </row>
    <row r="4480" spans="1:39">
      <c r="A4480" s="2"/>
      <c r="AM4480" s="2"/>
    </row>
    <row r="4481" spans="1:39">
      <c r="A4481" s="2"/>
      <c r="AM4481" s="2"/>
    </row>
    <row r="4482" spans="1:39">
      <c r="A4482" s="2"/>
      <c r="AM4482" s="2"/>
    </row>
    <row r="4483" spans="1:39">
      <c r="A4483" s="2"/>
      <c r="AM4483" s="2"/>
    </row>
    <row r="4484" spans="1:39">
      <c r="A4484" s="2"/>
      <c r="AM4484" s="2"/>
    </row>
    <row r="4485" spans="1:39">
      <c r="A4485" s="2"/>
      <c r="AM4485" s="2"/>
    </row>
    <row r="4486" spans="1:39">
      <c r="A4486" s="2"/>
      <c r="AM4486" s="2"/>
    </row>
    <row r="4487" spans="1:39">
      <c r="A4487" s="2"/>
      <c r="AM4487" s="2"/>
    </row>
    <row r="4488" spans="1:39">
      <c r="A4488" s="2"/>
      <c r="AM4488" s="2"/>
    </row>
    <row r="4489" spans="1:39">
      <c r="A4489" s="2"/>
      <c r="AM4489" s="2"/>
    </row>
    <row r="4490" spans="1:39">
      <c r="A4490" s="2"/>
      <c r="AM4490" s="2"/>
    </row>
    <row r="4491" spans="1:39">
      <c r="A4491" s="2"/>
      <c r="AM4491" s="2"/>
    </row>
    <row r="4492" spans="1:39">
      <c r="A4492" s="2"/>
      <c r="AM4492" s="2"/>
    </row>
    <row r="4493" spans="1:39">
      <c r="A4493" s="2"/>
      <c r="AM4493" s="2"/>
    </row>
    <row r="4494" spans="1:39">
      <c r="A4494" s="2"/>
      <c r="AM4494" s="2"/>
    </row>
    <row r="4495" spans="1:39">
      <c r="A4495" s="2"/>
      <c r="AM4495" s="2"/>
    </row>
    <row r="4496" spans="1:39">
      <c r="A4496" s="2"/>
      <c r="AM4496" s="2"/>
    </row>
    <row r="4497" spans="1:39">
      <c r="A4497" s="2"/>
      <c r="AM4497" s="2"/>
    </row>
    <row r="4498" spans="1:39">
      <c r="A4498" s="2"/>
      <c r="AM4498" s="2"/>
    </row>
    <row r="4499" spans="1:39">
      <c r="A4499" s="2"/>
      <c r="AM4499" s="2"/>
    </row>
    <row r="4500" spans="1:39">
      <c r="A4500" s="2"/>
      <c r="AM4500" s="2"/>
    </row>
    <row r="4501" spans="1:39">
      <c r="A4501" s="2"/>
      <c r="AM4501" s="2"/>
    </row>
    <row r="4502" spans="1:39">
      <c r="A4502" s="2"/>
      <c r="AM4502" s="2"/>
    </row>
    <row r="4503" spans="1:39">
      <c r="A4503" s="2"/>
      <c r="AM4503" s="2"/>
    </row>
    <row r="4504" spans="1:39">
      <c r="A4504" s="2"/>
      <c r="AM4504" s="2"/>
    </row>
    <row r="4505" spans="1:39">
      <c r="A4505" s="2"/>
      <c r="AM4505" s="2"/>
    </row>
    <row r="4506" spans="1:39">
      <c r="A4506" s="2"/>
      <c r="AM4506" s="2"/>
    </row>
    <row r="4507" spans="1:39">
      <c r="A4507" s="2"/>
      <c r="AM4507" s="2"/>
    </row>
    <row r="4508" spans="1:39">
      <c r="A4508" s="2"/>
      <c r="AM4508" s="2"/>
    </row>
    <row r="4509" spans="1:39">
      <c r="A4509" s="2"/>
      <c r="AM4509" s="2"/>
    </row>
    <row r="4510" spans="1:39">
      <c r="A4510" s="2"/>
      <c r="AM4510" s="2"/>
    </row>
    <row r="4511" spans="1:39">
      <c r="A4511" s="2"/>
      <c r="AM4511" s="2"/>
    </row>
    <row r="4512" spans="1:39">
      <c r="A4512" s="2"/>
      <c r="AM4512" s="2"/>
    </row>
    <row r="4513" spans="1:39">
      <c r="A4513" s="2"/>
      <c r="AM4513" s="2"/>
    </row>
    <row r="4514" spans="1:39">
      <c r="A4514" s="2"/>
      <c r="AM4514" s="2"/>
    </row>
    <row r="4515" spans="1:39">
      <c r="A4515" s="2"/>
      <c r="AM4515" s="2"/>
    </row>
    <row r="4516" spans="1:39">
      <c r="A4516" s="2"/>
      <c r="AM4516" s="2"/>
    </row>
    <row r="4517" spans="1:39">
      <c r="A4517" s="2"/>
      <c r="AM4517" s="2"/>
    </row>
    <row r="4518" spans="1:39">
      <c r="A4518" s="2"/>
      <c r="AM4518" s="2"/>
    </row>
    <row r="4519" spans="1:39">
      <c r="A4519" s="2"/>
      <c r="AM4519" s="2"/>
    </row>
    <row r="4520" spans="1:39">
      <c r="A4520" s="2"/>
      <c r="AM4520" s="2"/>
    </row>
    <row r="4521" spans="1:39">
      <c r="A4521" s="2"/>
      <c r="AM4521" s="2"/>
    </row>
    <row r="4522" spans="1:39">
      <c r="A4522" s="2"/>
      <c r="AM4522" s="2"/>
    </row>
    <row r="4523" spans="1:39">
      <c r="A4523" s="2"/>
      <c r="AM4523" s="2"/>
    </row>
    <row r="4524" spans="1:39">
      <c r="A4524" s="2"/>
      <c r="AM4524" s="2"/>
    </row>
    <row r="4525" spans="1:39">
      <c r="A4525" s="2"/>
      <c r="AM4525" s="2"/>
    </row>
    <row r="4526" spans="1:39">
      <c r="A4526" s="2"/>
      <c r="AM4526" s="2"/>
    </row>
    <row r="4527" spans="1:39">
      <c r="A4527" s="2"/>
      <c r="AM4527" s="2"/>
    </row>
    <row r="4528" spans="1:39">
      <c r="A4528" s="2"/>
      <c r="AM4528" s="2"/>
    </row>
    <row r="4529" spans="1:39">
      <c r="A4529" s="2"/>
      <c r="AM4529" s="2"/>
    </row>
    <row r="4530" spans="1:39">
      <c r="A4530" s="2"/>
      <c r="AM4530" s="2"/>
    </row>
    <row r="4531" spans="1:39">
      <c r="A4531" s="2"/>
      <c r="AM4531" s="2"/>
    </row>
    <row r="4532" spans="1:39">
      <c r="A4532" s="2"/>
      <c r="AM4532" s="2"/>
    </row>
    <row r="4533" spans="1:39">
      <c r="A4533" s="2"/>
      <c r="AM4533" s="2"/>
    </row>
    <row r="4534" spans="1:39">
      <c r="A4534" s="2"/>
      <c r="AM4534" s="2"/>
    </row>
    <row r="4535" spans="1:39">
      <c r="A4535" s="2"/>
      <c r="AM4535" s="2"/>
    </row>
    <row r="4536" spans="1:39">
      <c r="A4536" s="2"/>
      <c r="AM4536" s="2"/>
    </row>
    <row r="4537" spans="1:39">
      <c r="A4537" s="2"/>
      <c r="AM4537" s="2"/>
    </row>
    <row r="4538" spans="1:39">
      <c r="A4538" s="2"/>
      <c r="AM4538" s="2"/>
    </row>
    <row r="4539" spans="1:39">
      <c r="A4539" s="2"/>
      <c r="AM4539" s="2"/>
    </row>
    <row r="4540" spans="1:39">
      <c r="A4540" s="2"/>
      <c r="AM4540" s="2"/>
    </row>
    <row r="4541" spans="1:39">
      <c r="A4541" s="2"/>
      <c r="AM4541" s="2"/>
    </row>
    <row r="4542" spans="1:39">
      <c r="A4542" s="2"/>
      <c r="AM4542" s="2"/>
    </row>
    <row r="4543" spans="1:39">
      <c r="A4543" s="2"/>
      <c r="AM4543" s="2"/>
    </row>
    <row r="4544" spans="1:39">
      <c r="A4544" s="2"/>
      <c r="AM4544" s="2"/>
    </row>
    <row r="4545" spans="1:39">
      <c r="A4545" s="2"/>
      <c r="AM4545" s="2"/>
    </row>
    <row r="4546" spans="1:39">
      <c r="A4546" s="2"/>
      <c r="AM4546" s="2"/>
    </row>
    <row r="4547" spans="1:39">
      <c r="A4547" s="2"/>
      <c r="AM4547" s="2"/>
    </row>
    <row r="4548" spans="1:39">
      <c r="A4548" s="2"/>
      <c r="AM4548" s="2"/>
    </row>
    <row r="4549" spans="1:39">
      <c r="A4549" s="2"/>
      <c r="AM4549" s="2"/>
    </row>
    <row r="4550" spans="1:39">
      <c r="A4550" s="2"/>
      <c r="AM4550" s="2"/>
    </row>
    <row r="4551" spans="1:39">
      <c r="A4551" s="2"/>
      <c r="AM4551" s="2"/>
    </row>
    <row r="4552" spans="1:39">
      <c r="A4552" s="2"/>
      <c r="AM4552" s="2"/>
    </row>
    <row r="4553" spans="1:39">
      <c r="A4553" s="2"/>
      <c r="AM4553" s="2"/>
    </row>
    <row r="4554" spans="1:39">
      <c r="A4554" s="2"/>
      <c r="AM4554" s="2"/>
    </row>
    <row r="4555" spans="1:39">
      <c r="A4555" s="2"/>
      <c r="AM4555" s="2"/>
    </row>
    <row r="4556" spans="1:39">
      <c r="A4556" s="2"/>
      <c r="AM4556" s="2"/>
    </row>
    <row r="4557" spans="1:39">
      <c r="A4557" s="2"/>
      <c r="AM4557" s="2"/>
    </row>
    <row r="4558" spans="1:39">
      <c r="A4558" s="2"/>
      <c r="AM4558" s="2"/>
    </row>
    <row r="4559" spans="1:39">
      <c r="A4559" s="2"/>
      <c r="AM4559" s="2"/>
    </row>
    <row r="4560" spans="1:39">
      <c r="A4560" s="2"/>
      <c r="AM4560" s="2"/>
    </row>
    <row r="4561" spans="1:39">
      <c r="A4561" s="2"/>
      <c r="AM4561" s="2"/>
    </row>
    <row r="4562" spans="1:39">
      <c r="A4562" s="2"/>
      <c r="AM4562" s="2"/>
    </row>
    <row r="4563" spans="1:39">
      <c r="A4563" s="2"/>
      <c r="AM4563" s="2"/>
    </row>
    <row r="4564" spans="1:39">
      <c r="A4564" s="2"/>
      <c r="AM4564" s="2"/>
    </row>
    <row r="4565" spans="1:39">
      <c r="A4565" s="2"/>
      <c r="AM4565" s="2"/>
    </row>
    <row r="4566" spans="1:39">
      <c r="A4566" s="2"/>
      <c r="AM4566" s="2"/>
    </row>
    <row r="4567" spans="1:39">
      <c r="A4567" s="2"/>
      <c r="AM4567" s="2"/>
    </row>
    <row r="4568" spans="1:39">
      <c r="A4568" s="2"/>
      <c r="AM4568" s="2"/>
    </row>
    <row r="4569" spans="1:39">
      <c r="A4569" s="2"/>
      <c r="AM4569" s="2"/>
    </row>
    <row r="4570" spans="1:39">
      <c r="A4570" s="2"/>
      <c r="AM4570" s="2"/>
    </row>
    <row r="4571" spans="1:39">
      <c r="A4571" s="2"/>
      <c r="AM4571" s="2"/>
    </row>
    <row r="4572" spans="1:39">
      <c r="A4572" s="2"/>
      <c r="AM4572" s="2"/>
    </row>
    <row r="4573" spans="1:39">
      <c r="A4573" s="2"/>
      <c r="AM4573" s="2"/>
    </row>
    <row r="4574" spans="1:39">
      <c r="A4574" s="2"/>
      <c r="AM4574" s="2"/>
    </row>
    <row r="4575" spans="1:39">
      <c r="A4575" s="2"/>
      <c r="AM4575" s="2"/>
    </row>
    <row r="4576" spans="1:39">
      <c r="A4576" s="2"/>
      <c r="AM4576" s="2"/>
    </row>
    <row r="4577" spans="1:39">
      <c r="A4577" s="2"/>
      <c r="AM4577" s="2"/>
    </row>
    <row r="4578" spans="1:39">
      <c r="A4578" s="2"/>
      <c r="AM4578" s="2"/>
    </row>
    <row r="4579" spans="1:39">
      <c r="A4579" s="2"/>
      <c r="AM4579" s="2"/>
    </row>
    <row r="4580" spans="1:39">
      <c r="A4580" s="2"/>
      <c r="AM4580" s="2"/>
    </row>
    <row r="4581" spans="1:39">
      <c r="A4581" s="2"/>
      <c r="AM4581" s="2"/>
    </row>
    <row r="4582" spans="1:39">
      <c r="A4582" s="2"/>
      <c r="AM4582" s="2"/>
    </row>
    <row r="4583" spans="1:39">
      <c r="A4583" s="2"/>
      <c r="AM4583" s="2"/>
    </row>
    <row r="4584" spans="1:39">
      <c r="A4584" s="2"/>
      <c r="AM4584" s="2"/>
    </row>
    <row r="4585" spans="1:39">
      <c r="A4585" s="2"/>
      <c r="AM4585" s="2"/>
    </row>
    <row r="4586" spans="1:39">
      <c r="A4586" s="2"/>
      <c r="AM4586" s="2"/>
    </row>
    <row r="4587" spans="1:39">
      <c r="A4587" s="2"/>
      <c r="AM4587" s="2"/>
    </row>
    <row r="4588" spans="1:39">
      <c r="A4588" s="2"/>
      <c r="AM4588" s="2"/>
    </row>
    <row r="4589" spans="1:39">
      <c r="A4589" s="2"/>
      <c r="AM4589" s="2"/>
    </row>
    <row r="4590" spans="1:39">
      <c r="A4590" s="2"/>
      <c r="AM4590" s="2"/>
    </row>
    <row r="4591" spans="1:39">
      <c r="A4591" s="2"/>
      <c r="AM4591" s="2"/>
    </row>
    <row r="4592" spans="1:39">
      <c r="A4592" s="2"/>
      <c r="AM4592" s="2"/>
    </row>
    <row r="4593" spans="1:39">
      <c r="A4593" s="2"/>
      <c r="AM4593" s="2"/>
    </row>
    <row r="4594" spans="1:39">
      <c r="A4594" s="2"/>
      <c r="AM4594" s="2"/>
    </row>
    <row r="4595" spans="1:39">
      <c r="A4595" s="2"/>
      <c r="AM4595" s="2"/>
    </row>
    <row r="4596" spans="1:39">
      <c r="A4596" s="2"/>
      <c r="AM4596" s="2"/>
    </row>
    <row r="4597" spans="1:39">
      <c r="A4597" s="2"/>
      <c r="AM4597" s="2"/>
    </row>
    <row r="4598" spans="1:39">
      <c r="A4598" s="2"/>
      <c r="AM4598" s="2"/>
    </row>
    <row r="4599" spans="1:39">
      <c r="A4599" s="2"/>
      <c r="AM4599" s="2"/>
    </row>
    <row r="4600" spans="1:39">
      <c r="A4600" s="2"/>
      <c r="AM4600" s="2"/>
    </row>
    <row r="4601" spans="1:39">
      <c r="A4601" s="2"/>
      <c r="AM4601" s="2"/>
    </row>
    <row r="4602" spans="1:39">
      <c r="A4602" s="2"/>
      <c r="AM4602" s="2"/>
    </row>
    <row r="4603" spans="1:39">
      <c r="A4603" s="2"/>
      <c r="AM4603" s="2"/>
    </row>
    <row r="4604" spans="1:39">
      <c r="A4604" s="2"/>
      <c r="AM4604" s="2"/>
    </row>
    <row r="4605" spans="1:39">
      <c r="A4605" s="2"/>
      <c r="AM4605" s="2"/>
    </row>
    <row r="4606" spans="1:39">
      <c r="A4606" s="2"/>
      <c r="AM4606" s="2"/>
    </row>
    <row r="4607" spans="1:39">
      <c r="A4607" s="2"/>
      <c r="AM4607" s="2"/>
    </row>
    <row r="4608" spans="1:39">
      <c r="A4608" s="2"/>
      <c r="AM4608" s="2"/>
    </row>
    <row r="4609" spans="1:39">
      <c r="A4609" s="2"/>
      <c r="AM4609" s="2"/>
    </row>
    <row r="4610" spans="1:39">
      <c r="A4610" s="2"/>
      <c r="AM4610" s="2"/>
    </row>
    <row r="4611" spans="1:39">
      <c r="A4611" s="2"/>
      <c r="AM4611" s="2"/>
    </row>
    <row r="4612" spans="1:39">
      <c r="A4612" s="2"/>
      <c r="AM4612" s="2"/>
    </row>
    <row r="4613" spans="1:39">
      <c r="A4613" s="2"/>
      <c r="AM4613" s="2"/>
    </row>
    <row r="4614" spans="1:39">
      <c r="A4614" s="2"/>
      <c r="AM4614" s="2"/>
    </row>
    <row r="4615" spans="1:39">
      <c r="A4615" s="2"/>
      <c r="AM4615" s="2"/>
    </row>
    <row r="4616" spans="1:39">
      <c r="A4616" s="2"/>
      <c r="AM4616" s="2"/>
    </row>
    <row r="4617" spans="1:39">
      <c r="A4617" s="2"/>
      <c r="AM4617" s="2"/>
    </row>
    <row r="4618" spans="1:39">
      <c r="A4618" s="2"/>
      <c r="AM4618" s="2"/>
    </row>
    <row r="4619" spans="1:39">
      <c r="A4619" s="2"/>
      <c r="AM4619" s="2"/>
    </row>
    <row r="4620" spans="1:39">
      <c r="A4620" s="2"/>
      <c r="AM4620" s="2"/>
    </row>
    <row r="4621" spans="1:39">
      <c r="A4621" s="2"/>
      <c r="AM4621" s="2"/>
    </row>
    <row r="4622" spans="1:39">
      <c r="A4622" s="2"/>
      <c r="AM4622" s="2"/>
    </row>
    <row r="4623" spans="1:39">
      <c r="A4623" s="2"/>
      <c r="AM4623" s="2"/>
    </row>
    <row r="4624" spans="1:39">
      <c r="A4624" s="2"/>
      <c r="AM4624" s="2"/>
    </row>
    <row r="4625" spans="1:39">
      <c r="A4625" s="2"/>
      <c r="AM4625" s="2"/>
    </row>
    <row r="4626" spans="1:39">
      <c r="A4626" s="2"/>
      <c r="AM4626" s="2"/>
    </row>
    <row r="4627" spans="1:39">
      <c r="A4627" s="2"/>
      <c r="AM4627" s="2"/>
    </row>
    <row r="4628" spans="1:39">
      <c r="A4628" s="2"/>
      <c r="AM4628" s="2"/>
    </row>
    <row r="4629" spans="1:39">
      <c r="A4629" s="2"/>
      <c r="AM4629" s="2"/>
    </row>
    <row r="4630" spans="1:39">
      <c r="A4630" s="2"/>
      <c r="AM4630" s="2"/>
    </row>
    <row r="4631" spans="1:39">
      <c r="A4631" s="2"/>
      <c r="AM4631" s="2"/>
    </row>
    <row r="4632" spans="1:39">
      <c r="A4632" s="2"/>
      <c r="AM4632" s="2"/>
    </row>
    <row r="4633" spans="1:39">
      <c r="A4633" s="2"/>
      <c r="AM4633" s="2"/>
    </row>
    <row r="4634" spans="1:39">
      <c r="A4634" s="2"/>
      <c r="AM4634" s="2"/>
    </row>
    <row r="4635" spans="1:39">
      <c r="A4635" s="2"/>
      <c r="AM4635" s="2"/>
    </row>
    <row r="4636" spans="1:39">
      <c r="A4636" s="2"/>
      <c r="AM4636" s="2"/>
    </row>
    <row r="4637" spans="1:39">
      <c r="A4637" s="2"/>
      <c r="AM4637" s="2"/>
    </row>
    <row r="4638" spans="1:39">
      <c r="A4638" s="2"/>
      <c r="AM4638" s="2"/>
    </row>
    <row r="4639" spans="1:39">
      <c r="A4639" s="2"/>
      <c r="AM4639" s="2"/>
    </row>
    <row r="4640" spans="1:39">
      <c r="A4640" s="2"/>
      <c r="AM4640" s="2"/>
    </row>
    <row r="4641" spans="1:39">
      <c r="A4641" s="2"/>
      <c r="AM4641" s="2"/>
    </row>
    <row r="4642" spans="1:39">
      <c r="A4642" s="2"/>
      <c r="AM4642" s="2"/>
    </row>
    <row r="4643" spans="1:39">
      <c r="A4643" s="2"/>
      <c r="AM4643" s="2"/>
    </row>
    <row r="4644" spans="1:39">
      <c r="A4644" s="2"/>
      <c r="AM4644" s="2"/>
    </row>
    <row r="4645" spans="1:39">
      <c r="A4645" s="2"/>
      <c r="AM4645" s="2"/>
    </row>
    <row r="4646" spans="1:39">
      <c r="A4646" s="2"/>
      <c r="AM4646" s="2"/>
    </row>
    <row r="4647" spans="1:39">
      <c r="A4647" s="2"/>
      <c r="AM4647" s="2"/>
    </row>
    <row r="4648" spans="1:39">
      <c r="A4648" s="2"/>
      <c r="AM4648" s="2"/>
    </row>
    <row r="4649" spans="1:39">
      <c r="A4649" s="2"/>
      <c r="AM4649" s="2"/>
    </row>
    <row r="4650" spans="1:39">
      <c r="A4650" s="2"/>
      <c r="AM4650" s="2"/>
    </row>
    <row r="4651" spans="1:39">
      <c r="A4651" s="2"/>
      <c r="AM4651" s="2"/>
    </row>
    <row r="4652" spans="1:39">
      <c r="A4652" s="2"/>
      <c r="AM4652" s="2"/>
    </row>
    <row r="4653" spans="1:39">
      <c r="A4653" s="2"/>
      <c r="AM4653" s="2"/>
    </row>
    <row r="4654" spans="1:39">
      <c r="A4654" s="2"/>
      <c r="AM4654" s="2"/>
    </row>
    <row r="4655" spans="1:39">
      <c r="A4655" s="2"/>
      <c r="AM4655" s="2"/>
    </row>
    <row r="4656" spans="1:39">
      <c r="A4656" s="2"/>
      <c r="AM4656" s="2"/>
    </row>
    <row r="4657" spans="1:39">
      <c r="A4657" s="2"/>
      <c r="AM4657" s="2"/>
    </row>
    <row r="4658" spans="1:39">
      <c r="A4658" s="2"/>
      <c r="AM4658" s="2"/>
    </row>
    <row r="4659" spans="1:39">
      <c r="A4659" s="2"/>
      <c r="AM4659" s="2"/>
    </row>
    <row r="4660" spans="1:39">
      <c r="A4660" s="2"/>
      <c r="AM4660" s="2"/>
    </row>
    <row r="4661" spans="1:39">
      <c r="A4661" s="2"/>
      <c r="AM4661" s="2"/>
    </row>
    <row r="4662" spans="1:39">
      <c r="A4662" s="2"/>
      <c r="AM4662" s="2"/>
    </row>
    <row r="4663" spans="1:39">
      <c r="A4663" s="2"/>
      <c r="AM4663" s="2"/>
    </row>
    <row r="4664" spans="1:39">
      <c r="A4664" s="2"/>
      <c r="AM4664" s="2"/>
    </row>
    <row r="4665" spans="1:39">
      <c r="A4665" s="2"/>
      <c r="AM4665" s="2"/>
    </row>
    <row r="4666" spans="1:39">
      <c r="A4666" s="2"/>
      <c r="AM4666" s="2"/>
    </row>
    <row r="4667" spans="1:39">
      <c r="A4667" s="2"/>
      <c r="AM4667" s="2"/>
    </row>
    <row r="4668" spans="1:39">
      <c r="A4668" s="2"/>
      <c r="AM4668" s="2"/>
    </row>
    <row r="4669" spans="1:39">
      <c r="A4669" s="2"/>
      <c r="AM4669" s="2"/>
    </row>
    <row r="4670" spans="1:39">
      <c r="A4670" s="2"/>
      <c r="AM4670" s="2"/>
    </row>
    <row r="4671" spans="1:39">
      <c r="A4671" s="2"/>
      <c r="AM4671" s="2"/>
    </row>
    <row r="4672" spans="1:39">
      <c r="A4672" s="2"/>
      <c r="AM4672" s="2"/>
    </row>
    <row r="4673" spans="1:39">
      <c r="A4673" s="2"/>
      <c r="AM4673" s="2"/>
    </row>
    <row r="4674" spans="1:39">
      <c r="A4674" s="2"/>
      <c r="AM4674" s="2"/>
    </row>
    <row r="4675" spans="1:39">
      <c r="A4675" s="2"/>
      <c r="AM4675" s="2"/>
    </row>
    <row r="4676" spans="1:39">
      <c r="A4676" s="2"/>
      <c r="AM4676" s="2"/>
    </row>
    <row r="4677" spans="1:39">
      <c r="A4677" s="2"/>
      <c r="AM4677" s="2"/>
    </row>
    <row r="4678" spans="1:39">
      <c r="A4678" s="2"/>
      <c r="AM4678" s="2"/>
    </row>
    <row r="4679" spans="1:39">
      <c r="A4679" s="2"/>
      <c r="AM4679" s="2"/>
    </row>
    <row r="4680" spans="1:39">
      <c r="A4680" s="2"/>
      <c r="AM4680" s="2"/>
    </row>
    <row r="4681" spans="1:39">
      <c r="A4681" s="2"/>
      <c r="AM4681" s="2"/>
    </row>
    <row r="4682" spans="1:39">
      <c r="A4682" s="2"/>
      <c r="AM4682" s="2"/>
    </row>
    <row r="4683" spans="1:39">
      <c r="A4683" s="2"/>
      <c r="AM4683" s="2"/>
    </row>
    <row r="4684" spans="1:39">
      <c r="A4684" s="2"/>
      <c r="AM4684" s="2"/>
    </row>
    <row r="4685" spans="1:39">
      <c r="A4685" s="2"/>
      <c r="AM4685" s="2"/>
    </row>
    <row r="4686" spans="1:39">
      <c r="A4686" s="2"/>
      <c r="AM4686" s="2"/>
    </row>
    <row r="4687" spans="1:39">
      <c r="A4687" s="2"/>
      <c r="AM4687" s="2"/>
    </row>
    <row r="4688" spans="1:39">
      <c r="A4688" s="2"/>
      <c r="AM4688" s="2"/>
    </row>
    <row r="4689" spans="1:39">
      <c r="A4689" s="2"/>
      <c r="AM4689" s="2"/>
    </row>
    <row r="4690" spans="1:39">
      <c r="A4690" s="2"/>
      <c r="AM4690" s="2"/>
    </row>
    <row r="4691" spans="1:39">
      <c r="A4691" s="2"/>
      <c r="AM4691" s="2"/>
    </row>
    <row r="4692" spans="1:39">
      <c r="A4692" s="2"/>
      <c r="AM4692" s="2"/>
    </row>
    <row r="4693" spans="1:39">
      <c r="A4693" s="2"/>
      <c r="AM4693" s="2"/>
    </row>
    <row r="4694" spans="1:39">
      <c r="A4694" s="2"/>
      <c r="AM4694" s="2"/>
    </row>
    <row r="4695" spans="1:39">
      <c r="A4695" s="2"/>
      <c r="AM4695" s="2"/>
    </row>
    <row r="4696" spans="1:39">
      <c r="A4696" s="2"/>
      <c r="AM4696" s="2"/>
    </row>
    <row r="4697" spans="1:39">
      <c r="A4697" s="2"/>
      <c r="AM4697" s="2"/>
    </row>
    <row r="4698" spans="1:39">
      <c r="A4698" s="2"/>
      <c r="AM4698" s="2"/>
    </row>
    <row r="4699" spans="1:39">
      <c r="A4699" s="2"/>
      <c r="AM4699" s="2"/>
    </row>
    <row r="4700" spans="1:39">
      <c r="A4700" s="2"/>
      <c r="AM4700" s="2"/>
    </row>
    <row r="4701" spans="1:39">
      <c r="A4701" s="2"/>
      <c r="AM4701" s="2"/>
    </row>
    <row r="4702" spans="1:39">
      <c r="A4702" s="2"/>
      <c r="AM4702" s="2"/>
    </row>
    <row r="4703" spans="1:39">
      <c r="A4703" s="2"/>
      <c r="AM4703" s="2"/>
    </row>
    <row r="4704" spans="1:39">
      <c r="A4704" s="2"/>
      <c r="AM4704" s="2"/>
    </row>
    <row r="4705" spans="1:39">
      <c r="A4705" s="2"/>
      <c r="AM4705" s="2"/>
    </row>
    <row r="4706" spans="1:39">
      <c r="A4706" s="2"/>
      <c r="AM4706" s="2"/>
    </row>
    <row r="4707" spans="1:39">
      <c r="A4707" s="2"/>
      <c r="AM4707" s="2"/>
    </row>
    <row r="4708" spans="1:39">
      <c r="A4708" s="2"/>
      <c r="AM4708" s="2"/>
    </row>
    <row r="4709" spans="1:39">
      <c r="A4709" s="2"/>
      <c r="AM4709" s="2"/>
    </row>
    <row r="4710" spans="1:39">
      <c r="A4710" s="2"/>
      <c r="AM4710" s="2"/>
    </row>
    <row r="4711" spans="1:39">
      <c r="A4711" s="2"/>
      <c r="AM4711" s="2"/>
    </row>
    <row r="4712" spans="1:39">
      <c r="A4712" s="2"/>
      <c r="AM4712" s="2"/>
    </row>
    <row r="4713" spans="1:39">
      <c r="A4713" s="2"/>
      <c r="AM4713" s="2"/>
    </row>
    <row r="4714" spans="1:39">
      <c r="A4714" s="2"/>
      <c r="AM4714" s="2"/>
    </row>
    <row r="4715" spans="1:39">
      <c r="A4715" s="2"/>
      <c r="AM4715" s="2"/>
    </row>
    <row r="4716" spans="1:39">
      <c r="A4716" s="2"/>
      <c r="AM4716" s="2"/>
    </row>
    <row r="4717" spans="1:39">
      <c r="A4717" s="2"/>
      <c r="AM4717" s="2"/>
    </row>
    <row r="4718" spans="1:39">
      <c r="A4718" s="2"/>
      <c r="AM4718" s="2"/>
    </row>
    <row r="4719" spans="1:39">
      <c r="A4719" s="2"/>
      <c r="AM4719" s="2"/>
    </row>
    <row r="4720" spans="1:39">
      <c r="A4720" s="2"/>
      <c r="AM4720" s="2"/>
    </row>
    <row r="4721" spans="1:39">
      <c r="A4721" s="2"/>
      <c r="AM4721" s="2"/>
    </row>
    <row r="4722" spans="1:39">
      <c r="A4722" s="2"/>
      <c r="AM4722" s="2"/>
    </row>
    <row r="4723" spans="1:39">
      <c r="A4723" s="2"/>
      <c r="AM4723" s="2"/>
    </row>
    <row r="4724" spans="1:39">
      <c r="A4724" s="2"/>
      <c r="AM4724" s="2"/>
    </row>
    <row r="4725" spans="1:39">
      <c r="A4725" s="2"/>
      <c r="AM4725" s="2"/>
    </row>
    <row r="4726" spans="1:39">
      <c r="A4726" s="2"/>
      <c r="AM4726" s="2"/>
    </row>
    <row r="4727" spans="1:39">
      <c r="A4727" s="2"/>
      <c r="AM4727" s="2"/>
    </row>
    <row r="4728" spans="1:39">
      <c r="A4728" s="2"/>
      <c r="AM4728" s="2"/>
    </row>
    <row r="4729" spans="1:39">
      <c r="A4729" s="2"/>
      <c r="AM4729" s="2"/>
    </row>
    <row r="4730" spans="1:39">
      <c r="A4730" s="2"/>
      <c r="AM4730" s="2"/>
    </row>
    <row r="4731" spans="1:39">
      <c r="A4731" s="2"/>
      <c r="AM4731" s="2"/>
    </row>
    <row r="4732" spans="1:39">
      <c r="A4732" s="2"/>
      <c r="AM4732" s="2"/>
    </row>
    <row r="4733" spans="1:39">
      <c r="A4733" s="2"/>
      <c r="AM4733" s="2"/>
    </row>
    <row r="4734" spans="1:39">
      <c r="A4734" s="2"/>
      <c r="AM4734" s="2"/>
    </row>
    <row r="4735" spans="1:39">
      <c r="A4735" s="2"/>
      <c r="AM4735" s="2"/>
    </row>
    <row r="4736" spans="1:39">
      <c r="A4736" s="2"/>
      <c r="AM4736" s="2"/>
    </row>
    <row r="4737" spans="1:39">
      <c r="A4737" s="2"/>
      <c r="AM4737" s="2"/>
    </row>
    <row r="4738" spans="1:39">
      <c r="A4738" s="2"/>
      <c r="AM4738" s="2"/>
    </row>
    <row r="4739" spans="1:39">
      <c r="A4739" s="2"/>
      <c r="AM4739" s="2"/>
    </row>
    <row r="4740" spans="1:39">
      <c r="A4740" s="2"/>
      <c r="AM4740" s="2"/>
    </row>
    <row r="4741" spans="1:39">
      <c r="A4741" s="2"/>
      <c r="AM4741" s="2"/>
    </row>
    <row r="4742" spans="1:39">
      <c r="A4742" s="2"/>
      <c r="AM4742" s="2"/>
    </row>
    <row r="4743" spans="1:39">
      <c r="A4743" s="2"/>
      <c r="AM4743" s="2"/>
    </row>
    <row r="4744" spans="1:39">
      <c r="A4744" s="2"/>
      <c r="AM4744" s="2"/>
    </row>
    <row r="4745" spans="1:39">
      <c r="A4745" s="2"/>
      <c r="AM4745" s="2"/>
    </row>
    <row r="4746" spans="1:39">
      <c r="A4746" s="2"/>
      <c r="AM4746" s="2"/>
    </row>
    <row r="4747" spans="1:39">
      <c r="A4747" s="2"/>
      <c r="AM4747" s="2"/>
    </row>
    <row r="4748" spans="1:39">
      <c r="A4748" s="2"/>
      <c r="AM4748" s="2"/>
    </row>
    <row r="4749" spans="1:39">
      <c r="A4749" s="2"/>
      <c r="AM4749" s="2"/>
    </row>
    <row r="4750" spans="1:39">
      <c r="A4750" s="2"/>
      <c r="AM4750" s="2"/>
    </row>
    <row r="4751" spans="1:39">
      <c r="A4751" s="2"/>
      <c r="AM4751" s="2"/>
    </row>
    <row r="4752" spans="1:39">
      <c r="A4752" s="2"/>
      <c r="AM4752" s="2"/>
    </row>
    <row r="4753" spans="1:39">
      <c r="A4753" s="2"/>
      <c r="AM4753" s="2"/>
    </row>
    <row r="4754" spans="1:39">
      <c r="A4754" s="2"/>
      <c r="AM4754" s="2"/>
    </row>
    <row r="4755" spans="1:39">
      <c r="A4755" s="2"/>
      <c r="AM4755" s="2"/>
    </row>
    <row r="4756" spans="1:39">
      <c r="A4756" s="2"/>
      <c r="AM4756" s="2"/>
    </row>
    <row r="4757" spans="1:39">
      <c r="A4757" s="2"/>
      <c r="AM4757" s="2"/>
    </row>
    <row r="4758" spans="1:39">
      <c r="A4758" s="2"/>
      <c r="AM4758" s="2"/>
    </row>
    <row r="4759" spans="1:39">
      <c r="A4759" s="2"/>
      <c r="AM4759" s="2"/>
    </row>
    <row r="4760" spans="1:39">
      <c r="A4760" s="2"/>
      <c r="AM4760" s="2"/>
    </row>
    <row r="4761" spans="1:39">
      <c r="A4761" s="2"/>
      <c r="AM4761" s="2"/>
    </row>
    <row r="4762" spans="1:39">
      <c r="A4762" s="2"/>
      <c r="AM4762" s="2"/>
    </row>
    <row r="4763" spans="1:39">
      <c r="A4763" s="2"/>
      <c r="AM4763" s="2"/>
    </row>
    <row r="4764" spans="1:39">
      <c r="A4764" s="2"/>
      <c r="AM4764" s="2"/>
    </row>
    <row r="4765" spans="1:39">
      <c r="A4765" s="2"/>
      <c r="AM4765" s="2"/>
    </row>
    <row r="4766" spans="1:39">
      <c r="A4766" s="2"/>
      <c r="AM4766" s="2"/>
    </row>
    <row r="4767" spans="1:39">
      <c r="A4767" s="2"/>
      <c r="AM4767" s="2"/>
    </row>
    <row r="4768" spans="1:39">
      <c r="A4768" s="2"/>
      <c r="AM4768" s="2"/>
    </row>
    <row r="4769" spans="1:39">
      <c r="A4769" s="2"/>
      <c r="AM4769" s="2"/>
    </row>
    <row r="4770" spans="1:39">
      <c r="A4770" s="2"/>
      <c r="AM4770" s="2"/>
    </row>
    <row r="4771" spans="1:39">
      <c r="A4771" s="2"/>
      <c r="AM4771" s="2"/>
    </row>
    <row r="4772" spans="1:39">
      <c r="A4772" s="2"/>
      <c r="AM4772" s="2"/>
    </row>
    <row r="4773" spans="1:39">
      <c r="A4773" s="2"/>
      <c r="AM4773" s="2"/>
    </row>
    <row r="4774" spans="1:39">
      <c r="A4774" s="2"/>
      <c r="AM4774" s="2"/>
    </row>
    <row r="4775" spans="1:39">
      <c r="A4775" s="2"/>
      <c r="AM4775" s="2"/>
    </row>
    <row r="4776" spans="1:39">
      <c r="A4776" s="2"/>
      <c r="AM4776" s="2"/>
    </row>
    <row r="4777" spans="1:39">
      <c r="A4777" s="2"/>
      <c r="AM4777" s="2"/>
    </row>
    <row r="4778" spans="1:39">
      <c r="A4778" s="2"/>
      <c r="AM4778" s="2"/>
    </row>
    <row r="4779" spans="1:39">
      <c r="A4779" s="2"/>
      <c r="AM4779" s="2"/>
    </row>
    <row r="4780" spans="1:39">
      <c r="A4780" s="2"/>
      <c r="AM4780" s="2"/>
    </row>
    <row r="4781" spans="1:39">
      <c r="A4781" s="2"/>
      <c r="AM4781" s="2"/>
    </row>
    <row r="4782" spans="1:39">
      <c r="A4782" s="2"/>
      <c r="AM4782" s="2"/>
    </row>
    <row r="4783" spans="1:39">
      <c r="A4783" s="2"/>
      <c r="AM4783" s="2"/>
    </row>
    <row r="4784" spans="1:39">
      <c r="A4784" s="2"/>
      <c r="AM4784" s="2"/>
    </row>
    <row r="4785" spans="1:39">
      <c r="A4785" s="2"/>
      <c r="AM4785" s="2"/>
    </row>
    <row r="4786" spans="1:39">
      <c r="A4786" s="2"/>
      <c r="AM4786" s="2"/>
    </row>
    <row r="4787" spans="1:39">
      <c r="A4787" s="2"/>
      <c r="AM4787" s="2"/>
    </row>
    <row r="4788" spans="1:39">
      <c r="A4788" s="2"/>
      <c r="AM4788" s="2"/>
    </row>
    <row r="4789" spans="1:39">
      <c r="A4789" s="2"/>
      <c r="AM4789" s="2"/>
    </row>
    <row r="4790" spans="1:39">
      <c r="A4790" s="2"/>
      <c r="AM4790" s="2"/>
    </row>
    <row r="4791" spans="1:39">
      <c r="A4791" s="2"/>
      <c r="AM4791" s="2"/>
    </row>
    <row r="4792" spans="1:39">
      <c r="A4792" s="2"/>
      <c r="AM4792" s="2"/>
    </row>
    <row r="4793" spans="1:39">
      <c r="A4793" s="2"/>
      <c r="AM4793" s="2"/>
    </row>
    <row r="4794" spans="1:39">
      <c r="A4794" s="2"/>
      <c r="AM4794" s="2"/>
    </row>
    <row r="4795" spans="1:39">
      <c r="A4795" s="2"/>
      <c r="AM4795" s="2"/>
    </row>
    <row r="4796" spans="1:39">
      <c r="A4796" s="2"/>
      <c r="AM4796" s="2"/>
    </row>
    <row r="4797" spans="1:39">
      <c r="A4797" s="2"/>
      <c r="AM4797" s="2"/>
    </row>
    <row r="4798" spans="1:39">
      <c r="A4798" s="2"/>
      <c r="AM4798" s="2"/>
    </row>
    <row r="4799" spans="1:39">
      <c r="A4799" s="2"/>
      <c r="AM4799" s="2"/>
    </row>
    <row r="4800" spans="1:39">
      <c r="A4800" s="2"/>
      <c r="AM4800" s="2"/>
    </row>
    <row r="4801" spans="1:39">
      <c r="A4801" s="2"/>
      <c r="AM4801" s="2"/>
    </row>
    <row r="4802" spans="1:39">
      <c r="A4802" s="2"/>
      <c r="AM4802" s="2"/>
    </row>
    <row r="4803" spans="1:39">
      <c r="A4803" s="2"/>
      <c r="AM4803" s="2"/>
    </row>
    <row r="4804" spans="1:39">
      <c r="A4804" s="2"/>
      <c r="AM4804" s="2"/>
    </row>
    <row r="4805" spans="1:39">
      <c r="A4805" s="2"/>
      <c r="AM4805" s="2"/>
    </row>
    <row r="4806" spans="1:39">
      <c r="A4806" s="2"/>
      <c r="AM4806" s="2"/>
    </row>
    <row r="4807" spans="1:39">
      <c r="A4807" s="2"/>
      <c r="AM4807" s="2"/>
    </row>
    <row r="4808" spans="1:39">
      <c r="A4808" s="2"/>
      <c r="AM4808" s="2"/>
    </row>
    <row r="4809" spans="1:39">
      <c r="A4809" s="2"/>
      <c r="AM4809" s="2"/>
    </row>
    <row r="4810" spans="1:39">
      <c r="A4810" s="2"/>
      <c r="AM4810" s="2"/>
    </row>
    <row r="4811" spans="1:39">
      <c r="A4811" s="2"/>
      <c r="AM4811" s="2"/>
    </row>
    <row r="4812" spans="1:39">
      <c r="A4812" s="2"/>
      <c r="AM4812" s="2"/>
    </row>
    <row r="4813" spans="1:39">
      <c r="A4813" s="2"/>
      <c r="AM4813" s="2"/>
    </row>
    <row r="4814" spans="1:39">
      <c r="A4814" s="2"/>
      <c r="AM4814" s="2"/>
    </row>
    <row r="4815" spans="1:39">
      <c r="A4815" s="2"/>
      <c r="AM4815" s="2"/>
    </row>
    <row r="4816" spans="1:39">
      <c r="A4816" s="2"/>
      <c r="AM4816" s="2"/>
    </row>
    <row r="4817" spans="1:39">
      <c r="A4817" s="2"/>
      <c r="AM4817" s="2"/>
    </row>
    <row r="4818" spans="1:39">
      <c r="A4818" s="2"/>
      <c r="AM4818" s="2"/>
    </row>
    <row r="4819" spans="1:39">
      <c r="A4819" s="2"/>
      <c r="AM4819" s="2"/>
    </row>
    <row r="4820" spans="1:39">
      <c r="A4820" s="2"/>
      <c r="AM4820" s="2"/>
    </row>
    <row r="4821" spans="1:39">
      <c r="A4821" s="2"/>
      <c r="AM4821" s="2"/>
    </row>
    <row r="4822" spans="1:39">
      <c r="A4822" s="2"/>
      <c r="AM4822" s="2"/>
    </row>
    <row r="4823" spans="1:39">
      <c r="A4823" s="2"/>
      <c r="AM4823" s="2"/>
    </row>
    <row r="4824" spans="1:39">
      <c r="A4824" s="2"/>
      <c r="AM4824" s="2"/>
    </row>
    <row r="4825" spans="1:39">
      <c r="A4825" s="2"/>
      <c r="AM4825" s="2"/>
    </row>
    <row r="4826" spans="1:39">
      <c r="A4826" s="2"/>
      <c r="AM4826" s="2"/>
    </row>
    <row r="4827" spans="1:39">
      <c r="A4827" s="2"/>
      <c r="AM4827" s="2"/>
    </row>
    <row r="4828" spans="1:39">
      <c r="A4828" s="2"/>
      <c r="AM4828" s="2"/>
    </row>
    <row r="4829" spans="1:39">
      <c r="A4829" s="2"/>
      <c r="AM4829" s="2"/>
    </row>
    <row r="4830" spans="1:39">
      <c r="A4830" s="2"/>
      <c r="AM4830" s="2"/>
    </row>
    <row r="4831" spans="1:39">
      <c r="A4831" s="2"/>
      <c r="AM4831" s="2"/>
    </row>
    <row r="4832" spans="1:39">
      <c r="A4832" s="2"/>
      <c r="AM4832" s="2"/>
    </row>
    <row r="4833" spans="1:39">
      <c r="A4833" s="2"/>
      <c r="AM4833" s="2"/>
    </row>
    <row r="4834" spans="1:39">
      <c r="A4834" s="2"/>
      <c r="AM4834" s="2"/>
    </row>
    <row r="4835" spans="1:39">
      <c r="A4835" s="2"/>
      <c r="AM4835" s="2"/>
    </row>
    <row r="4836" spans="1:39">
      <c r="A4836" s="2"/>
      <c r="AM4836" s="2"/>
    </row>
    <row r="4837" spans="1:39">
      <c r="A4837" s="2"/>
      <c r="AM4837" s="2"/>
    </row>
    <row r="4838" spans="1:39">
      <c r="A4838" s="2"/>
      <c r="AM4838" s="2"/>
    </row>
    <row r="4839" spans="1:39">
      <c r="A4839" s="2"/>
      <c r="AM4839" s="2"/>
    </row>
    <row r="4840" spans="1:39">
      <c r="A4840" s="2"/>
      <c r="AM4840" s="2"/>
    </row>
    <row r="4841" spans="1:39">
      <c r="A4841" s="2"/>
      <c r="AM4841" s="2"/>
    </row>
    <row r="4842" spans="1:39">
      <c r="A4842" s="2"/>
      <c r="AM4842" s="2"/>
    </row>
    <row r="4843" spans="1:39">
      <c r="A4843" s="2"/>
      <c r="AM4843" s="2"/>
    </row>
    <row r="4844" spans="1:39">
      <c r="A4844" s="2"/>
      <c r="AM4844" s="2"/>
    </row>
    <row r="4845" spans="1:39">
      <c r="A4845" s="2"/>
      <c r="AM4845" s="2"/>
    </row>
    <row r="4846" spans="1:39">
      <c r="A4846" s="2"/>
      <c r="AM4846" s="2"/>
    </row>
    <row r="4847" spans="1:39">
      <c r="A4847" s="2"/>
      <c r="AM4847" s="2"/>
    </row>
    <row r="4848" spans="1:39">
      <c r="A4848" s="2"/>
      <c r="AM4848" s="2"/>
    </row>
    <row r="4849" spans="1:39">
      <c r="A4849" s="2"/>
      <c r="AM4849" s="2"/>
    </row>
    <row r="4850" spans="1:39">
      <c r="A4850" s="2"/>
      <c r="AM4850" s="2"/>
    </row>
    <row r="4851" spans="1:39">
      <c r="A4851" s="2"/>
      <c r="AM4851" s="2"/>
    </row>
    <row r="4852" spans="1:39">
      <c r="A4852" s="2"/>
      <c r="AM4852" s="2"/>
    </row>
    <row r="4853" spans="1:39">
      <c r="A4853" s="2"/>
      <c r="AM4853" s="2"/>
    </row>
    <row r="4854" spans="1:39">
      <c r="A4854" s="2"/>
      <c r="AM4854" s="2"/>
    </row>
    <row r="4855" spans="1:39">
      <c r="A4855" s="2"/>
      <c r="AM4855" s="2"/>
    </row>
    <row r="4856" spans="1:39">
      <c r="A4856" s="2"/>
      <c r="AM4856" s="2"/>
    </row>
    <row r="4857" spans="1:39">
      <c r="A4857" s="2"/>
      <c r="AM4857" s="2"/>
    </row>
    <row r="4858" spans="1:39">
      <c r="A4858" s="2"/>
      <c r="AM4858" s="2"/>
    </row>
    <row r="4859" spans="1:39">
      <c r="A4859" s="2"/>
      <c r="AM4859" s="2"/>
    </row>
    <row r="4860" spans="1:39">
      <c r="A4860" s="2"/>
      <c r="AM4860" s="2"/>
    </row>
    <row r="4861" spans="1:39">
      <c r="A4861" s="2"/>
      <c r="AM4861" s="2"/>
    </row>
    <row r="4862" spans="1:39">
      <c r="A4862" s="2"/>
      <c r="AM4862" s="2"/>
    </row>
    <row r="4863" spans="1:39">
      <c r="A4863" s="2"/>
      <c r="AM4863" s="2"/>
    </row>
    <row r="4864" spans="1:39">
      <c r="A4864" s="2"/>
      <c r="AM4864" s="2"/>
    </row>
    <row r="4865" spans="1:39">
      <c r="A4865" s="2"/>
      <c r="AM4865" s="2"/>
    </row>
    <row r="4866" spans="1:39">
      <c r="A4866" s="2"/>
      <c r="AM4866" s="2"/>
    </row>
    <row r="4867" spans="1:39">
      <c r="A4867" s="2"/>
      <c r="AM4867" s="2"/>
    </row>
    <row r="4868" spans="1:39">
      <c r="A4868" s="2"/>
      <c r="AM4868" s="2"/>
    </row>
    <row r="4869" spans="1:39">
      <c r="A4869" s="2"/>
      <c r="AM4869" s="2"/>
    </row>
    <row r="4870" spans="1:39">
      <c r="A4870" s="2"/>
      <c r="AM4870" s="2"/>
    </row>
    <row r="4871" spans="1:39">
      <c r="A4871" s="2"/>
      <c r="AM4871" s="2"/>
    </row>
    <row r="4872" spans="1:39">
      <c r="A4872" s="2"/>
      <c r="AM4872" s="2"/>
    </row>
    <row r="4873" spans="1:39">
      <c r="A4873" s="2"/>
      <c r="AM4873" s="2"/>
    </row>
    <row r="4874" spans="1:39">
      <c r="A4874" s="2"/>
      <c r="AM4874" s="2"/>
    </row>
    <row r="4875" spans="1:39">
      <c r="A4875" s="2"/>
      <c r="AM4875" s="2"/>
    </row>
    <row r="4876" spans="1:39">
      <c r="A4876" s="2"/>
      <c r="AM4876" s="2"/>
    </row>
    <row r="4877" spans="1:39">
      <c r="A4877" s="2"/>
      <c r="AM4877" s="2"/>
    </row>
    <row r="4878" spans="1:39">
      <c r="A4878" s="2"/>
      <c r="AM4878" s="2"/>
    </row>
    <row r="4879" spans="1:39">
      <c r="A4879" s="2"/>
      <c r="AM4879" s="2"/>
    </row>
    <row r="4880" spans="1:39">
      <c r="A4880" s="2"/>
      <c r="AM4880" s="2"/>
    </row>
    <row r="4881" spans="1:39">
      <c r="A4881" s="2"/>
      <c r="AM4881" s="2"/>
    </row>
    <row r="4882" spans="1:39">
      <c r="A4882" s="2"/>
      <c r="AM4882" s="2"/>
    </row>
    <row r="4883" spans="1:39">
      <c r="A4883" s="2"/>
      <c r="AM4883" s="2"/>
    </row>
    <row r="4884" spans="1:39">
      <c r="A4884" s="2"/>
      <c r="AM4884" s="2"/>
    </row>
    <row r="4885" spans="1:39">
      <c r="A4885" s="2"/>
      <c r="AM4885" s="2"/>
    </row>
    <row r="4886" spans="1:39">
      <c r="A4886" s="2"/>
      <c r="AM4886" s="2"/>
    </row>
    <row r="4887" spans="1:39">
      <c r="A4887" s="2"/>
      <c r="AM4887" s="2"/>
    </row>
    <row r="4888" spans="1:39">
      <c r="A4888" s="2"/>
      <c r="AM4888" s="2"/>
    </row>
    <row r="4889" spans="1:39">
      <c r="A4889" s="2"/>
      <c r="AM4889" s="2"/>
    </row>
    <row r="4890" spans="1:39">
      <c r="A4890" s="2"/>
      <c r="AM4890" s="2"/>
    </row>
    <row r="4891" spans="1:39">
      <c r="A4891" s="2"/>
      <c r="AM4891" s="2"/>
    </row>
    <row r="4892" spans="1:39">
      <c r="A4892" s="2"/>
      <c r="AM4892" s="2"/>
    </row>
    <row r="4893" spans="1:39">
      <c r="A4893" s="2"/>
      <c r="AM4893" s="2"/>
    </row>
    <row r="4894" spans="1:39">
      <c r="A4894" s="2"/>
      <c r="AM4894" s="2"/>
    </row>
    <row r="4895" spans="1:39">
      <c r="A4895" s="2"/>
      <c r="AM4895" s="2"/>
    </row>
    <row r="4896" spans="1:39">
      <c r="A4896" s="2"/>
      <c r="AM4896" s="2"/>
    </row>
    <row r="4897" spans="1:39">
      <c r="A4897" s="2"/>
      <c r="AM4897" s="2"/>
    </row>
    <row r="4898" spans="1:39">
      <c r="A4898" s="2"/>
      <c r="AM4898" s="2"/>
    </row>
    <row r="4899" spans="1:39">
      <c r="A4899" s="2"/>
      <c r="AM4899" s="2"/>
    </row>
    <row r="4900" spans="1:39">
      <c r="A4900" s="2"/>
      <c r="AM4900" s="2"/>
    </row>
    <row r="4901" spans="1:39">
      <c r="A4901" s="2"/>
      <c r="AM4901" s="2"/>
    </row>
    <row r="4902" spans="1:39">
      <c r="A4902" s="2"/>
      <c r="AM4902" s="2"/>
    </row>
    <row r="4903" spans="1:39">
      <c r="A4903" s="2"/>
      <c r="AM4903" s="2"/>
    </row>
    <row r="4904" spans="1:39">
      <c r="A4904" s="2"/>
      <c r="AM4904" s="2"/>
    </row>
    <row r="4905" spans="1:39">
      <c r="A4905" s="2"/>
      <c r="AM4905" s="2"/>
    </row>
    <row r="4906" spans="1:39">
      <c r="A4906" s="2"/>
      <c r="AM4906" s="2"/>
    </row>
    <row r="4907" spans="1:39">
      <c r="A4907" s="2"/>
      <c r="AM4907" s="2"/>
    </row>
    <row r="4908" spans="1:39">
      <c r="A4908" s="2"/>
      <c r="AM4908" s="2"/>
    </row>
    <row r="4909" spans="1:39">
      <c r="A4909" s="2"/>
      <c r="AM4909" s="2"/>
    </row>
    <row r="4910" spans="1:39">
      <c r="A4910" s="2"/>
      <c r="AM4910" s="2"/>
    </row>
    <row r="4911" spans="1:39">
      <c r="A4911" s="2"/>
      <c r="AM4911" s="2"/>
    </row>
    <row r="4912" spans="1:39">
      <c r="A4912" s="2"/>
      <c r="AM4912" s="2"/>
    </row>
    <row r="4913" spans="1:39">
      <c r="A4913" s="2"/>
      <c r="AM4913" s="2"/>
    </row>
    <row r="4914" spans="1:39">
      <c r="A4914" s="2"/>
      <c r="AM4914" s="2"/>
    </row>
    <row r="4915" spans="1:39">
      <c r="A4915" s="2"/>
      <c r="AM4915" s="2"/>
    </row>
    <row r="4916" spans="1:39">
      <c r="A4916" s="2"/>
      <c r="AM4916" s="2"/>
    </row>
    <row r="4917" spans="1:39">
      <c r="A4917" s="2"/>
      <c r="AM4917" s="2"/>
    </row>
    <row r="4918" spans="1:39">
      <c r="A4918" s="2"/>
      <c r="AM4918" s="2"/>
    </row>
    <row r="4919" spans="1:39">
      <c r="A4919" s="2"/>
      <c r="AM4919" s="2"/>
    </row>
    <row r="4920" spans="1:39">
      <c r="A4920" s="2"/>
      <c r="AM4920" s="2"/>
    </row>
    <row r="4921" spans="1:39">
      <c r="A4921" s="2"/>
      <c r="AM4921" s="2"/>
    </row>
    <row r="4922" spans="1:39">
      <c r="A4922" s="2"/>
      <c r="AM4922" s="2"/>
    </row>
    <row r="4923" spans="1:39">
      <c r="A4923" s="2"/>
      <c r="AM4923" s="2"/>
    </row>
    <row r="4924" spans="1:39">
      <c r="A4924" s="2"/>
      <c r="AM4924" s="2"/>
    </row>
    <row r="4925" spans="1:39">
      <c r="A4925" s="2"/>
      <c r="AM4925" s="2"/>
    </row>
    <row r="4926" spans="1:39">
      <c r="A4926" s="2"/>
      <c r="AM4926" s="2"/>
    </row>
    <row r="4927" spans="1:39">
      <c r="A4927" s="2"/>
      <c r="AM4927" s="2"/>
    </row>
    <row r="4928" spans="1:39">
      <c r="A4928" s="2"/>
      <c r="AM4928" s="2"/>
    </row>
    <row r="4929" spans="1:39">
      <c r="A4929" s="2"/>
      <c r="AM4929" s="2"/>
    </row>
    <row r="4930" spans="1:39">
      <c r="A4930" s="2"/>
      <c r="AM4930" s="2"/>
    </row>
    <row r="4931" spans="1:39">
      <c r="A4931" s="2"/>
      <c r="AM4931" s="2"/>
    </row>
    <row r="4932" spans="1:39">
      <c r="A4932" s="2"/>
      <c r="AM4932" s="2"/>
    </row>
    <row r="4933" spans="1:39">
      <c r="A4933" s="2"/>
      <c r="AM4933" s="2"/>
    </row>
    <row r="4934" spans="1:39">
      <c r="A4934" s="2"/>
      <c r="AM4934" s="2"/>
    </row>
    <row r="4935" spans="1:39">
      <c r="A4935" s="2"/>
      <c r="AM4935" s="2"/>
    </row>
    <row r="4936" spans="1:39">
      <c r="A4936" s="2"/>
      <c r="AM4936" s="2"/>
    </row>
    <row r="4937" spans="1:39">
      <c r="A4937" s="2"/>
      <c r="AM4937" s="2"/>
    </row>
    <row r="4938" spans="1:39">
      <c r="A4938" s="2"/>
      <c r="AM4938" s="2"/>
    </row>
    <row r="4939" spans="1:39">
      <c r="A4939" s="2"/>
      <c r="AM4939" s="2"/>
    </row>
    <row r="4940" spans="1:39">
      <c r="A4940" s="2"/>
      <c r="AM4940" s="2"/>
    </row>
    <row r="4941" spans="1:39">
      <c r="A4941" s="2"/>
      <c r="AM4941" s="2"/>
    </row>
    <row r="4942" spans="1:39">
      <c r="A4942" s="2"/>
      <c r="AM4942" s="2"/>
    </row>
    <row r="4943" spans="1:39">
      <c r="A4943" s="2"/>
      <c r="AM4943" s="2"/>
    </row>
    <row r="4944" spans="1:39">
      <c r="A4944" s="2"/>
      <c r="AM4944" s="2"/>
    </row>
    <row r="4945" spans="1:39">
      <c r="A4945" s="2"/>
      <c r="AM4945" s="2"/>
    </row>
    <row r="4946" spans="1:39">
      <c r="A4946" s="2"/>
      <c r="AM4946" s="2"/>
    </row>
    <row r="4947" spans="1:39">
      <c r="A4947" s="2"/>
      <c r="AM4947" s="2"/>
    </row>
    <row r="4948" spans="1:39">
      <c r="A4948" s="2"/>
      <c r="AM4948" s="2"/>
    </row>
    <row r="4949" spans="1:39">
      <c r="A4949" s="2"/>
      <c r="AM4949" s="2"/>
    </row>
    <row r="4950" spans="1:39">
      <c r="A4950" s="2"/>
      <c r="AM4950" s="2"/>
    </row>
    <row r="4951" spans="1:39">
      <c r="A4951" s="2"/>
      <c r="AM4951" s="2"/>
    </row>
    <row r="4952" spans="1:39">
      <c r="A4952" s="2"/>
      <c r="AM4952" s="2"/>
    </row>
    <row r="4953" spans="1:39">
      <c r="A4953" s="2"/>
      <c r="AM4953" s="2"/>
    </row>
    <row r="4954" spans="1:39">
      <c r="A4954" s="2"/>
      <c r="AM4954" s="2"/>
    </row>
    <row r="4955" spans="1:39">
      <c r="A4955" s="2"/>
      <c r="AM4955" s="2"/>
    </row>
    <row r="4956" spans="1:39">
      <c r="A4956" s="2"/>
      <c r="AM4956" s="2"/>
    </row>
    <row r="4957" spans="1:39">
      <c r="A4957" s="2"/>
      <c r="AM4957" s="2"/>
    </row>
    <row r="4958" spans="1:39">
      <c r="A4958" s="2"/>
      <c r="AM4958" s="2"/>
    </row>
    <row r="4959" spans="1:39">
      <c r="A4959" s="2"/>
      <c r="AM4959" s="2"/>
    </row>
    <row r="4960" spans="1:39">
      <c r="A4960" s="2"/>
      <c r="AM4960" s="2"/>
    </row>
    <row r="4961" spans="1:39">
      <c r="A4961" s="2"/>
      <c r="AM4961" s="2"/>
    </row>
    <row r="4962" spans="1:39">
      <c r="A4962" s="2"/>
      <c r="AM4962" s="2"/>
    </row>
    <row r="4963" spans="1:39">
      <c r="A4963" s="2"/>
      <c r="AM4963" s="2"/>
    </row>
    <row r="4964" spans="1:39">
      <c r="A4964" s="2"/>
      <c r="AM4964" s="2"/>
    </row>
    <row r="4965" spans="1:39">
      <c r="A4965" s="2"/>
      <c r="AM4965" s="2"/>
    </row>
    <row r="4966" spans="1:39">
      <c r="A4966" s="2"/>
      <c r="AM4966" s="2"/>
    </row>
    <row r="4967" spans="1:39">
      <c r="A4967" s="2"/>
      <c r="AM4967" s="2"/>
    </row>
    <row r="4968" spans="1:39">
      <c r="A4968" s="2"/>
      <c r="AM4968" s="2"/>
    </row>
    <row r="4969" spans="1:39">
      <c r="A4969" s="2"/>
      <c r="AM4969" s="2"/>
    </row>
    <row r="4970" spans="1:39">
      <c r="A4970" s="2"/>
      <c r="AM4970" s="2"/>
    </row>
    <row r="4971" spans="1:39">
      <c r="A4971" s="2"/>
      <c r="AM4971" s="2"/>
    </row>
    <row r="4972" spans="1:39">
      <c r="A4972" s="2"/>
      <c r="AM4972" s="2"/>
    </row>
    <row r="4973" spans="1:39">
      <c r="A4973" s="2"/>
      <c r="AM4973" s="2"/>
    </row>
    <row r="4974" spans="1:39">
      <c r="A4974" s="2"/>
      <c r="AM4974" s="2"/>
    </row>
    <row r="4975" spans="1:39">
      <c r="A4975" s="2"/>
      <c r="AM4975" s="2"/>
    </row>
    <row r="4976" spans="1:39">
      <c r="A4976" s="2"/>
      <c r="AM4976" s="2"/>
    </row>
    <row r="4977" spans="1:39">
      <c r="A4977" s="2"/>
      <c r="AM4977" s="2"/>
    </row>
    <row r="4978" spans="1:39">
      <c r="A4978" s="2"/>
      <c r="AM4978" s="2"/>
    </row>
    <row r="4979" spans="1:39">
      <c r="A4979" s="2"/>
      <c r="AM4979" s="2"/>
    </row>
    <row r="4980" spans="1:39">
      <c r="A4980" s="2"/>
      <c r="AM4980" s="2"/>
    </row>
    <row r="4981" spans="1:39">
      <c r="A4981" s="2"/>
      <c r="AM4981" s="2"/>
    </row>
    <row r="4982" spans="1:39">
      <c r="A4982" s="2"/>
      <c r="AM4982" s="2"/>
    </row>
    <row r="4983" spans="1:39">
      <c r="A4983" s="2"/>
      <c r="AM4983" s="2"/>
    </row>
    <row r="4984" spans="1:39">
      <c r="A4984" s="2"/>
      <c r="AM4984" s="2"/>
    </row>
    <row r="4985" spans="1:39">
      <c r="A4985" s="2"/>
      <c r="AM4985" s="2"/>
    </row>
    <row r="4986" spans="1:39">
      <c r="A4986" s="2"/>
      <c r="AM4986" s="2"/>
    </row>
    <row r="4987" spans="1:39">
      <c r="A4987" s="2"/>
      <c r="AM4987" s="2"/>
    </row>
    <row r="4988" spans="1:39">
      <c r="A4988" s="2"/>
      <c r="AM4988" s="2"/>
    </row>
    <row r="4989" spans="1:39">
      <c r="A4989" s="2"/>
      <c r="AM4989" s="2"/>
    </row>
    <row r="4990" spans="1:39">
      <c r="A4990" s="2"/>
      <c r="AM4990" s="2"/>
    </row>
    <row r="4991" spans="1:39">
      <c r="A4991" s="2"/>
      <c r="AM4991" s="2"/>
    </row>
    <row r="4992" spans="1:39">
      <c r="A4992" s="2"/>
      <c r="AM4992" s="2"/>
    </row>
    <row r="4993" spans="1:39">
      <c r="A4993" s="2"/>
      <c r="AM4993" s="2"/>
    </row>
    <row r="4994" spans="1:39">
      <c r="A4994" s="2"/>
      <c r="AM4994" s="2"/>
    </row>
    <row r="4995" spans="1:39">
      <c r="A4995" s="2"/>
      <c r="AM4995" s="2"/>
    </row>
    <row r="4996" spans="1:39">
      <c r="A4996" s="2"/>
      <c r="AM4996" s="2"/>
    </row>
    <row r="4997" spans="1:39">
      <c r="A4997" s="2"/>
      <c r="AM4997" s="2"/>
    </row>
    <row r="4998" spans="1:39">
      <c r="A4998" s="2"/>
      <c r="AM4998" s="2"/>
    </row>
    <row r="4999" spans="1:39">
      <c r="A4999" s="2"/>
      <c r="AM4999" s="2"/>
    </row>
    <row r="5000" spans="1:39">
      <c r="A5000" s="2"/>
      <c r="AM5000" s="2"/>
    </row>
    <row r="5001" spans="1:39">
      <c r="A5001" s="2"/>
      <c r="AM5001" s="2"/>
    </row>
    <row r="5002" spans="1:39">
      <c r="A5002" s="2"/>
      <c r="AM5002" s="2"/>
    </row>
    <row r="5003" spans="1:39">
      <c r="A5003" s="2"/>
      <c r="AM5003" s="2"/>
    </row>
    <row r="5004" spans="1:39">
      <c r="A5004" s="2"/>
      <c r="AM5004" s="2"/>
    </row>
    <row r="5005" spans="1:39">
      <c r="A5005" s="2"/>
      <c r="AM5005" s="2"/>
    </row>
    <row r="5006" spans="1:39">
      <c r="A5006" s="2"/>
      <c r="AM5006" s="2"/>
    </row>
    <row r="5007" spans="1:39">
      <c r="A5007" s="2"/>
      <c r="AM5007" s="2"/>
    </row>
    <row r="5008" spans="1:39">
      <c r="A5008" s="2"/>
      <c r="AM5008" s="2"/>
    </row>
    <row r="5009" spans="1:39">
      <c r="A5009" s="2"/>
      <c r="AM5009" s="2"/>
    </row>
    <row r="5010" spans="1:39">
      <c r="A5010" s="2"/>
      <c r="AM5010" s="2"/>
    </row>
    <row r="5011" spans="1:39">
      <c r="A5011" s="2"/>
      <c r="AM5011" s="2"/>
    </row>
    <row r="5012" spans="1:39">
      <c r="A5012" s="2"/>
      <c r="AM5012" s="2"/>
    </row>
    <row r="5013" spans="1:39">
      <c r="A5013" s="2"/>
      <c r="AM5013" s="2"/>
    </row>
    <row r="5014" spans="1:39">
      <c r="A5014" s="2"/>
      <c r="AM5014" s="2"/>
    </row>
    <row r="5015" spans="1:39">
      <c r="A5015" s="2"/>
      <c r="AM5015" s="2"/>
    </row>
    <row r="5016" spans="1:39">
      <c r="A5016" s="2"/>
      <c r="AM5016" s="2"/>
    </row>
    <row r="5017" spans="1:39">
      <c r="A5017" s="2"/>
      <c r="AM5017" s="2"/>
    </row>
    <row r="5018" spans="1:39">
      <c r="A5018" s="2"/>
      <c r="AM5018" s="2"/>
    </row>
    <row r="5019" spans="1:39">
      <c r="A5019" s="2"/>
      <c r="AM5019" s="2"/>
    </row>
    <row r="5020" spans="1:39">
      <c r="A5020" s="2"/>
      <c r="AM5020" s="2"/>
    </row>
    <row r="5021" spans="1:39">
      <c r="A5021" s="2"/>
      <c r="AM5021" s="2"/>
    </row>
    <row r="5022" spans="1:39">
      <c r="A5022" s="2"/>
      <c r="AM5022" s="2"/>
    </row>
    <row r="5023" spans="1:39">
      <c r="A5023" s="2"/>
      <c r="AM5023" s="2"/>
    </row>
    <row r="5024" spans="1:39">
      <c r="A5024" s="2"/>
      <c r="AM5024" s="2"/>
    </row>
    <row r="5025" spans="1:39">
      <c r="A5025" s="2"/>
      <c r="AM5025" s="2"/>
    </row>
    <row r="5026" spans="1:39">
      <c r="A5026" s="2"/>
      <c r="AM5026" s="2"/>
    </row>
    <row r="5027" spans="1:39">
      <c r="A5027" s="2"/>
      <c r="AM5027" s="2"/>
    </row>
    <row r="5028" spans="1:39">
      <c r="A5028" s="2"/>
      <c r="AM5028" s="2"/>
    </row>
    <row r="5029" spans="1:39">
      <c r="A5029" s="2"/>
      <c r="AM5029" s="2"/>
    </row>
    <row r="5030" spans="1:39">
      <c r="A5030" s="2"/>
      <c r="AM5030" s="2"/>
    </row>
    <row r="5031" spans="1:39">
      <c r="A5031" s="2"/>
      <c r="AM5031" s="2"/>
    </row>
    <row r="5032" spans="1:39">
      <c r="A5032" s="2"/>
      <c r="AM5032" s="2"/>
    </row>
    <row r="5033" spans="1:39">
      <c r="A5033" s="2"/>
      <c r="AM5033" s="2"/>
    </row>
    <row r="5034" spans="1:39">
      <c r="A5034" s="2"/>
      <c r="AM5034" s="2"/>
    </row>
    <row r="5035" spans="1:39">
      <c r="A5035" s="2"/>
      <c r="AM5035" s="2"/>
    </row>
    <row r="5036" spans="1:39">
      <c r="A5036" s="2"/>
      <c r="AM5036" s="2"/>
    </row>
    <row r="5037" spans="1:39">
      <c r="A5037" s="2"/>
      <c r="AM5037" s="2"/>
    </row>
    <row r="5038" spans="1:39">
      <c r="A5038" s="2"/>
      <c r="AM5038" s="2"/>
    </row>
    <row r="5039" spans="1:39">
      <c r="A5039" s="2"/>
      <c r="AM5039" s="2"/>
    </row>
    <row r="5040" spans="1:39">
      <c r="A5040" s="2"/>
      <c r="AM5040" s="2"/>
    </row>
    <row r="5041" spans="1:39">
      <c r="A5041" s="2"/>
      <c r="AM5041" s="2"/>
    </row>
    <row r="5042" spans="1:39">
      <c r="A5042" s="2"/>
      <c r="AM5042" s="2"/>
    </row>
    <row r="5043" spans="1:39">
      <c r="A5043" s="2"/>
      <c r="AM5043" s="2"/>
    </row>
    <row r="5044" spans="1:39">
      <c r="A5044" s="2"/>
      <c r="AM5044" s="2"/>
    </row>
    <row r="5045" spans="1:39">
      <c r="A5045" s="2"/>
      <c r="AM5045" s="2"/>
    </row>
    <row r="5046" spans="1:39">
      <c r="A5046" s="2"/>
      <c r="AM5046" s="2"/>
    </row>
    <row r="5047" spans="1:39">
      <c r="A5047" s="2"/>
      <c r="AM5047" s="2"/>
    </row>
    <row r="5048" spans="1:39">
      <c r="A5048" s="2"/>
      <c r="AM5048" s="2"/>
    </row>
    <row r="5049" spans="1:39">
      <c r="A5049" s="2"/>
      <c r="AM5049" s="2"/>
    </row>
    <row r="5050" spans="1:39">
      <c r="A5050" s="2"/>
      <c r="AM5050" s="2"/>
    </row>
    <row r="5051" spans="1:39">
      <c r="A5051" s="2"/>
      <c r="AM5051" s="2"/>
    </row>
    <row r="5052" spans="1:39">
      <c r="A5052" s="2"/>
      <c r="AM5052" s="2"/>
    </row>
    <row r="5053" spans="1:39">
      <c r="A5053" s="2"/>
      <c r="AM5053" s="2"/>
    </row>
    <row r="5054" spans="1:39">
      <c r="A5054" s="2"/>
      <c r="AM5054" s="2"/>
    </row>
    <row r="5055" spans="1:39">
      <c r="A5055" s="2"/>
      <c r="AM5055" s="2"/>
    </row>
    <row r="5056" spans="1:39">
      <c r="A5056" s="2"/>
      <c r="AM5056" s="2"/>
    </row>
    <row r="5057" spans="1:39">
      <c r="A5057" s="2"/>
      <c r="AM5057" s="2"/>
    </row>
    <row r="5058" spans="1:39">
      <c r="A5058" s="2"/>
      <c r="AM5058" s="2"/>
    </row>
    <row r="5059" spans="1:39">
      <c r="A5059" s="2"/>
      <c r="AM5059" s="2"/>
    </row>
    <row r="5060" spans="1:39">
      <c r="A5060" s="2"/>
      <c r="AM5060" s="2"/>
    </row>
    <row r="5061" spans="1:39">
      <c r="A5061" s="2"/>
      <c r="AM5061" s="2"/>
    </row>
    <row r="5062" spans="1:39">
      <c r="A5062" s="2"/>
      <c r="AM5062" s="2"/>
    </row>
    <row r="5063" spans="1:39">
      <c r="A5063" s="2"/>
      <c r="AM5063" s="2"/>
    </row>
    <row r="5064" spans="1:39">
      <c r="A5064" s="2"/>
      <c r="AM5064" s="2"/>
    </row>
    <row r="5065" spans="1:39">
      <c r="A5065" s="2"/>
      <c r="AM5065" s="2"/>
    </row>
    <row r="5066" spans="1:39">
      <c r="A5066" s="2"/>
      <c r="AM5066" s="2"/>
    </row>
    <row r="5067" spans="1:39">
      <c r="A5067" s="2"/>
      <c r="AM5067" s="2"/>
    </row>
    <row r="5068" spans="1:39">
      <c r="A5068" s="2"/>
      <c r="AM5068" s="2"/>
    </row>
    <row r="5069" spans="1:39">
      <c r="A5069" s="2"/>
      <c r="AM5069" s="2"/>
    </row>
    <row r="5070" spans="1:39">
      <c r="A5070" s="2"/>
      <c r="AM5070" s="2"/>
    </row>
    <row r="5071" spans="1:39">
      <c r="A5071" s="2"/>
      <c r="AM5071" s="2"/>
    </row>
    <row r="5072" spans="1:39">
      <c r="A5072" s="2"/>
      <c r="AM5072" s="2"/>
    </row>
    <row r="5073" spans="1:39">
      <c r="A5073" s="2"/>
      <c r="AM5073" s="2"/>
    </row>
    <row r="5074" spans="1:39">
      <c r="A5074" s="2"/>
      <c r="AM5074" s="2"/>
    </row>
    <row r="5075" spans="1:39">
      <c r="A5075" s="2"/>
      <c r="AM5075" s="2"/>
    </row>
    <row r="5076" spans="1:39">
      <c r="A5076" s="2"/>
      <c r="AM5076" s="2"/>
    </row>
    <row r="5077" spans="1:39">
      <c r="A5077" s="2"/>
      <c r="AM5077" s="2"/>
    </row>
    <row r="5078" spans="1:39">
      <c r="A5078" s="2"/>
      <c r="AM5078" s="2"/>
    </row>
    <row r="5079" spans="1:39">
      <c r="A5079" s="2"/>
      <c r="AM5079" s="2"/>
    </row>
    <row r="5080" spans="1:39">
      <c r="A5080" s="2"/>
      <c r="AM5080" s="2"/>
    </row>
    <row r="5081" spans="1:39">
      <c r="A5081" s="2"/>
      <c r="AM5081" s="2"/>
    </row>
    <row r="5082" spans="1:39">
      <c r="A5082" s="2"/>
      <c r="AM5082" s="2"/>
    </row>
    <row r="5083" spans="1:39">
      <c r="A5083" s="2"/>
      <c r="AM5083" s="2"/>
    </row>
    <row r="5084" spans="1:39">
      <c r="A5084" s="2"/>
      <c r="AM5084" s="2"/>
    </row>
    <row r="5085" spans="1:39">
      <c r="A5085" s="2"/>
      <c r="AM5085" s="2"/>
    </row>
    <row r="5086" spans="1:39">
      <c r="A5086" s="2"/>
      <c r="AM5086" s="2"/>
    </row>
    <row r="5087" spans="1:39">
      <c r="A5087" s="2"/>
      <c r="AM5087" s="2"/>
    </row>
    <row r="5088" spans="1:39">
      <c r="A5088" s="2"/>
      <c r="AM5088" s="2"/>
    </row>
    <row r="5089" spans="1:39">
      <c r="A5089" s="2"/>
      <c r="AM5089" s="2"/>
    </row>
    <row r="5090" spans="1:39">
      <c r="A5090" s="2"/>
      <c r="AM5090" s="2"/>
    </row>
    <row r="5091" spans="1:39">
      <c r="A5091" s="2"/>
      <c r="AM5091" s="2"/>
    </row>
    <row r="5092" spans="1:39">
      <c r="A5092" s="2"/>
      <c r="AM5092" s="2"/>
    </row>
    <row r="5093" spans="1:39">
      <c r="A5093" s="2"/>
      <c r="AM5093" s="2"/>
    </row>
    <row r="5094" spans="1:39">
      <c r="A5094" s="2"/>
      <c r="AM5094" s="2"/>
    </row>
    <row r="5095" spans="1:39">
      <c r="A5095" s="2"/>
      <c r="AM5095" s="2"/>
    </row>
    <row r="5096" spans="1:39">
      <c r="A5096" s="2"/>
      <c r="AM5096" s="2"/>
    </row>
    <row r="5097" spans="1:39">
      <c r="A5097" s="2"/>
      <c r="AM5097" s="2"/>
    </row>
    <row r="5098" spans="1:39">
      <c r="A5098" s="2"/>
      <c r="AM5098" s="2"/>
    </row>
    <row r="5099" spans="1:39">
      <c r="A5099" s="2"/>
      <c r="AM5099" s="2"/>
    </row>
    <row r="5100" spans="1:39">
      <c r="A5100" s="2"/>
      <c r="AM5100" s="2"/>
    </row>
    <row r="5101" spans="1:39">
      <c r="A5101" s="2"/>
      <c r="AM5101" s="2"/>
    </row>
    <row r="5102" spans="1:39">
      <c r="A5102" s="2"/>
      <c r="AM5102" s="2"/>
    </row>
    <row r="5103" spans="1:39">
      <c r="A5103" s="2"/>
      <c r="AM5103" s="2"/>
    </row>
    <row r="5104" spans="1:39">
      <c r="A5104" s="2"/>
      <c r="AM5104" s="2"/>
    </row>
    <row r="5105" spans="1:39">
      <c r="A5105" s="2"/>
      <c r="AM5105" s="2"/>
    </row>
    <row r="5106" spans="1:39">
      <c r="A5106" s="2"/>
      <c r="AM5106" s="2"/>
    </row>
    <row r="5107" spans="1:39">
      <c r="A5107" s="2"/>
      <c r="AM5107" s="2"/>
    </row>
    <row r="5108" spans="1:39">
      <c r="A5108" s="2"/>
      <c r="AM5108" s="2"/>
    </row>
    <row r="5109" spans="1:39">
      <c r="A5109" s="2"/>
      <c r="AM5109" s="2"/>
    </row>
    <row r="5110" spans="1:39">
      <c r="A5110" s="2"/>
      <c r="AM5110" s="2"/>
    </row>
    <row r="5111" spans="1:39">
      <c r="A5111" s="2"/>
      <c r="AM5111" s="2"/>
    </row>
    <row r="5112" spans="1:39">
      <c r="A5112" s="2"/>
      <c r="AM5112" s="2"/>
    </row>
    <row r="5113" spans="1:39">
      <c r="A5113" s="2"/>
      <c r="AM5113" s="2"/>
    </row>
    <row r="5114" spans="1:39">
      <c r="A5114" s="2"/>
      <c r="AM5114" s="2"/>
    </row>
    <row r="5115" spans="1:39">
      <c r="A5115" s="2"/>
      <c r="AM5115" s="2"/>
    </row>
    <row r="5116" spans="1:39">
      <c r="A5116" s="2"/>
      <c r="AM5116" s="2"/>
    </row>
    <row r="5117" spans="1:39">
      <c r="A5117" s="2"/>
      <c r="AM5117" s="2"/>
    </row>
    <row r="5118" spans="1:39">
      <c r="A5118" s="2"/>
      <c r="AM5118" s="2"/>
    </row>
    <row r="5119" spans="1:39">
      <c r="A5119" s="2"/>
      <c r="AM5119" s="2"/>
    </row>
    <row r="5120" spans="1:39">
      <c r="A5120" s="2"/>
      <c r="AM5120" s="2"/>
    </row>
    <row r="5121" spans="1:39">
      <c r="A5121" s="2"/>
      <c r="AM5121" s="2"/>
    </row>
    <row r="5122" spans="1:39">
      <c r="A5122" s="2"/>
      <c r="AM5122" s="2"/>
    </row>
    <row r="5123" spans="1:39">
      <c r="A5123" s="2"/>
      <c r="AM5123" s="2"/>
    </row>
    <row r="5124" spans="1:39">
      <c r="A5124" s="2"/>
      <c r="AM5124" s="2"/>
    </row>
    <row r="5125" spans="1:39">
      <c r="A5125" s="2"/>
      <c r="AM5125" s="2"/>
    </row>
    <row r="5126" spans="1:39">
      <c r="A5126" s="2"/>
      <c r="AM5126" s="2"/>
    </row>
    <row r="5127" spans="1:39">
      <c r="A5127" s="2"/>
      <c r="AM5127" s="2"/>
    </row>
    <row r="5128" spans="1:39">
      <c r="A5128" s="2"/>
      <c r="AM5128" s="2"/>
    </row>
    <row r="5129" spans="1:39">
      <c r="A5129" s="2"/>
      <c r="AM5129" s="2"/>
    </row>
    <row r="5130" spans="1:39">
      <c r="A5130" s="2"/>
      <c r="AM5130" s="2"/>
    </row>
    <row r="5131" spans="1:39">
      <c r="A5131" s="2"/>
      <c r="AM5131" s="2"/>
    </row>
    <row r="5132" spans="1:39">
      <c r="A5132" s="2"/>
      <c r="AM5132" s="2"/>
    </row>
    <row r="5133" spans="1:39">
      <c r="A5133" s="2"/>
      <c r="AM5133" s="2"/>
    </row>
    <row r="5134" spans="1:39">
      <c r="A5134" s="2"/>
      <c r="AM5134" s="2"/>
    </row>
    <row r="5135" spans="1:39">
      <c r="A5135" s="2"/>
      <c r="AM5135" s="2"/>
    </row>
    <row r="5136" spans="1:39">
      <c r="A5136" s="2"/>
      <c r="AM5136" s="2"/>
    </row>
    <row r="5137" spans="1:39">
      <c r="A5137" s="2"/>
      <c r="AM5137" s="2"/>
    </row>
    <row r="5138" spans="1:39">
      <c r="A5138" s="2"/>
      <c r="AM5138" s="2"/>
    </row>
    <row r="5139" spans="1:39">
      <c r="A5139" s="2"/>
      <c r="AM5139" s="2"/>
    </row>
    <row r="5140" spans="1:39">
      <c r="A5140" s="2"/>
      <c r="AM5140" s="2"/>
    </row>
    <row r="5141" spans="1:39">
      <c r="A5141" s="2"/>
      <c r="AM5141" s="2"/>
    </row>
    <row r="5142" spans="1:39">
      <c r="A5142" s="2"/>
      <c r="AM5142" s="2"/>
    </row>
    <row r="5143" spans="1:39">
      <c r="A5143" s="2"/>
      <c r="AM5143" s="2"/>
    </row>
    <row r="5144" spans="1:39">
      <c r="A5144" s="2"/>
      <c r="AM5144" s="2"/>
    </row>
    <row r="5145" spans="1:39">
      <c r="A5145" s="2"/>
      <c r="AM5145" s="2"/>
    </row>
    <row r="5146" spans="1:39">
      <c r="A5146" s="2"/>
      <c r="AM5146" s="2"/>
    </row>
    <row r="5147" spans="1:39">
      <c r="A5147" s="2"/>
      <c r="AM5147" s="2"/>
    </row>
    <row r="5148" spans="1:39">
      <c r="A5148" s="2"/>
      <c r="AM5148" s="2"/>
    </row>
    <row r="5149" spans="1:39">
      <c r="A5149" s="2"/>
      <c r="AM5149" s="2"/>
    </row>
    <row r="5150" spans="1:39">
      <c r="A5150" s="2"/>
      <c r="AM5150" s="2"/>
    </row>
    <row r="5151" spans="1:39">
      <c r="A5151" s="2"/>
      <c r="AM5151" s="2"/>
    </row>
    <row r="5152" spans="1:39">
      <c r="A5152" s="2"/>
      <c r="AM5152" s="2"/>
    </row>
    <row r="5153" spans="1:39">
      <c r="A5153" s="2"/>
      <c r="AM5153" s="2"/>
    </row>
    <row r="5154" spans="1:39">
      <c r="A5154" s="2"/>
      <c r="AM5154" s="2"/>
    </row>
    <row r="5155" spans="1:39">
      <c r="A5155" s="2"/>
      <c r="AM5155" s="2"/>
    </row>
    <row r="5156" spans="1:39">
      <c r="A5156" s="2"/>
      <c r="AM5156" s="2"/>
    </row>
    <row r="5157" spans="1:39">
      <c r="A5157" s="2"/>
      <c r="AM5157" s="2"/>
    </row>
    <row r="5158" spans="1:39">
      <c r="A5158" s="2"/>
      <c r="AM5158" s="2"/>
    </row>
    <row r="5159" spans="1:39">
      <c r="A5159" s="2"/>
      <c r="AM5159" s="2"/>
    </row>
    <row r="5160" spans="1:39">
      <c r="A5160" s="2"/>
      <c r="AM5160" s="2"/>
    </row>
    <row r="5161" spans="1:39">
      <c r="A5161" s="2"/>
      <c r="AM5161" s="2"/>
    </row>
    <row r="5162" spans="1:39">
      <c r="A5162" s="2"/>
      <c r="AM5162" s="2"/>
    </row>
    <row r="5163" spans="1:39">
      <c r="A5163" s="2"/>
      <c r="AM5163" s="2"/>
    </row>
    <row r="5164" spans="1:39">
      <c r="A5164" s="2"/>
      <c r="AM5164" s="2"/>
    </row>
    <row r="5165" spans="1:39">
      <c r="A5165" s="2"/>
      <c r="AM5165" s="2"/>
    </row>
    <row r="5166" spans="1:39">
      <c r="A5166" s="2"/>
      <c r="AM5166" s="2"/>
    </row>
    <row r="5167" spans="1:39">
      <c r="A5167" s="2"/>
      <c r="AM5167" s="2"/>
    </row>
    <row r="5168" spans="1:39">
      <c r="A5168" s="2"/>
      <c r="AM5168" s="2"/>
    </row>
    <row r="5169" spans="1:39">
      <c r="A5169" s="2"/>
      <c r="AM5169" s="2"/>
    </row>
    <row r="5170" spans="1:39">
      <c r="A5170" s="2"/>
      <c r="AM5170" s="2"/>
    </row>
    <row r="5171" spans="1:39">
      <c r="A5171" s="2"/>
      <c r="AM5171" s="2"/>
    </row>
    <row r="5172" spans="1:39">
      <c r="A5172" s="2"/>
      <c r="AM5172" s="2"/>
    </row>
    <row r="5173" spans="1:39">
      <c r="A5173" s="2"/>
      <c r="AM5173" s="2"/>
    </row>
    <row r="5174" spans="1:39">
      <c r="A5174" s="2"/>
      <c r="AM5174" s="2"/>
    </row>
    <row r="5175" spans="1:39">
      <c r="A5175" s="2"/>
      <c r="AM5175" s="2"/>
    </row>
    <row r="5176" spans="1:39">
      <c r="A5176" s="2"/>
      <c r="AM5176" s="2"/>
    </row>
    <row r="5177" spans="1:39">
      <c r="A5177" s="2"/>
      <c r="AM5177" s="2"/>
    </row>
    <row r="5178" spans="1:39">
      <c r="A5178" s="2"/>
      <c r="AM5178" s="2"/>
    </row>
    <row r="5179" spans="1:39">
      <c r="A5179" s="2"/>
      <c r="AM5179" s="2"/>
    </row>
    <row r="5180" spans="1:39">
      <c r="A5180" s="2"/>
      <c r="AM5180" s="2"/>
    </row>
    <row r="5181" spans="1:39">
      <c r="A5181" s="2"/>
      <c r="AM5181" s="2"/>
    </row>
    <row r="5182" spans="1:39">
      <c r="A5182" s="2"/>
      <c r="AM5182" s="2"/>
    </row>
    <row r="5183" spans="1:39">
      <c r="A5183" s="2"/>
      <c r="AM5183" s="2"/>
    </row>
    <row r="5184" spans="1:39">
      <c r="A5184" s="2"/>
      <c r="AM5184" s="2"/>
    </row>
    <row r="5185" spans="1:39">
      <c r="A5185" s="2"/>
      <c r="AM5185" s="2"/>
    </row>
    <row r="5186" spans="1:39">
      <c r="A5186" s="2"/>
      <c r="AM5186" s="2"/>
    </row>
    <row r="5187" spans="1:39">
      <c r="A5187" s="2"/>
      <c r="AM5187" s="2"/>
    </row>
    <row r="5188" spans="1:39">
      <c r="A5188" s="2"/>
      <c r="AM5188" s="2"/>
    </row>
    <row r="5189" spans="1:39">
      <c r="A5189" s="2"/>
      <c r="AM5189" s="2"/>
    </row>
    <row r="5190" spans="1:39">
      <c r="A5190" s="2"/>
      <c r="AM5190" s="2"/>
    </row>
    <row r="5191" spans="1:39">
      <c r="A5191" s="2"/>
      <c r="AM5191" s="2"/>
    </row>
    <row r="5192" spans="1:39">
      <c r="A5192" s="2"/>
      <c r="AM5192" s="2"/>
    </row>
    <row r="5193" spans="1:39">
      <c r="A5193" s="2"/>
      <c r="AM5193" s="2"/>
    </row>
    <row r="5194" spans="1:39">
      <c r="A5194" s="2"/>
      <c r="AM5194" s="2"/>
    </row>
    <row r="5195" spans="1:39">
      <c r="A5195" s="2"/>
      <c r="AM5195" s="2"/>
    </row>
    <row r="5196" spans="1:39">
      <c r="A5196" s="2"/>
      <c r="AM5196" s="2"/>
    </row>
    <row r="5197" spans="1:39">
      <c r="A5197" s="2"/>
      <c r="AM5197" s="2"/>
    </row>
    <row r="5198" spans="1:39">
      <c r="A5198" s="2"/>
      <c r="AM5198" s="2"/>
    </row>
    <row r="5199" spans="1:39">
      <c r="A5199" s="2"/>
      <c r="AM5199" s="2"/>
    </row>
    <row r="5200" spans="1:39">
      <c r="A5200" s="2"/>
      <c r="AM5200" s="2"/>
    </row>
    <row r="5201" spans="1:39">
      <c r="A5201" s="2"/>
      <c r="AM5201" s="2"/>
    </row>
    <row r="5202" spans="1:39">
      <c r="A5202" s="2"/>
      <c r="AM5202" s="2"/>
    </row>
    <row r="5203" spans="1:39">
      <c r="A5203" s="2"/>
      <c r="AM5203" s="2"/>
    </row>
    <row r="5204" spans="1:39">
      <c r="A5204" s="2"/>
      <c r="AM5204" s="2"/>
    </row>
    <row r="5205" spans="1:39">
      <c r="A5205" s="2"/>
      <c r="AM5205" s="2"/>
    </row>
    <row r="5206" spans="1:39">
      <c r="A5206" s="2"/>
      <c r="AM5206" s="2"/>
    </row>
    <row r="5207" spans="1:39">
      <c r="A5207" s="2"/>
      <c r="AM5207" s="2"/>
    </row>
    <row r="5208" spans="1:39">
      <c r="A5208" s="2"/>
      <c r="AM5208" s="2"/>
    </row>
    <row r="5209" spans="1:39">
      <c r="A5209" s="2"/>
      <c r="AM5209" s="2"/>
    </row>
    <row r="5210" spans="1:39">
      <c r="A5210" s="2"/>
      <c r="AM5210" s="2"/>
    </row>
    <row r="5211" spans="1:39">
      <c r="A5211" s="2"/>
      <c r="AM5211" s="2"/>
    </row>
    <row r="5212" spans="1:39">
      <c r="A5212" s="2"/>
      <c r="AM5212" s="2"/>
    </row>
    <row r="5213" spans="1:39">
      <c r="A5213" s="2"/>
      <c r="AM5213" s="2"/>
    </row>
    <row r="5214" spans="1:39">
      <c r="A5214" s="2"/>
      <c r="AM5214" s="2"/>
    </row>
    <row r="5215" spans="1:39">
      <c r="A5215" s="2"/>
      <c r="AM5215" s="2"/>
    </row>
    <row r="5216" spans="1:39">
      <c r="A5216" s="2"/>
      <c r="AM5216" s="2"/>
    </row>
    <row r="5217" spans="1:39">
      <c r="A5217" s="2"/>
      <c r="AM5217" s="2"/>
    </row>
    <row r="5218" spans="1:39">
      <c r="A5218" s="2"/>
      <c r="AM5218" s="2"/>
    </row>
    <row r="5219" spans="1:39">
      <c r="A5219" s="2"/>
      <c r="AM5219" s="2"/>
    </row>
    <row r="5220" spans="1:39">
      <c r="A5220" s="2"/>
      <c r="AM5220" s="2"/>
    </row>
    <row r="5221" spans="1:39">
      <c r="A5221" s="2"/>
      <c r="AM5221" s="2"/>
    </row>
    <row r="5222" spans="1:39">
      <c r="A5222" s="2"/>
      <c r="AM5222" s="2"/>
    </row>
    <row r="5223" spans="1:39">
      <c r="A5223" s="2"/>
      <c r="AM5223" s="2"/>
    </row>
    <row r="5224" spans="1:39">
      <c r="A5224" s="2"/>
      <c r="AM5224" s="2"/>
    </row>
    <row r="5225" spans="1:39">
      <c r="A5225" s="2"/>
      <c r="AM5225" s="2"/>
    </row>
    <row r="5226" spans="1:39">
      <c r="A5226" s="2"/>
      <c r="AM5226" s="2"/>
    </row>
    <row r="5227" spans="1:39">
      <c r="A5227" s="2"/>
      <c r="AM5227" s="2"/>
    </row>
    <row r="5228" spans="1:39">
      <c r="A5228" s="2"/>
      <c r="AM5228" s="2"/>
    </row>
    <row r="5229" spans="1:39">
      <c r="A5229" s="2"/>
      <c r="AM5229" s="2"/>
    </row>
    <row r="5230" spans="1:39">
      <c r="A5230" s="2"/>
      <c r="AM5230" s="2"/>
    </row>
    <row r="5231" spans="1:39">
      <c r="A5231" s="2"/>
      <c r="AM5231" s="2"/>
    </row>
    <row r="5232" spans="1:39">
      <c r="A5232" s="2"/>
      <c r="AM5232" s="2"/>
    </row>
    <row r="5233" spans="1:39">
      <c r="A5233" s="2"/>
      <c r="AM5233" s="2"/>
    </row>
    <row r="5234" spans="1:39">
      <c r="A5234" s="2"/>
      <c r="AM5234" s="2"/>
    </row>
    <row r="5235" spans="1:39">
      <c r="A5235" s="2"/>
      <c r="AM5235" s="2"/>
    </row>
    <row r="5236" spans="1:39">
      <c r="A5236" s="2"/>
      <c r="AM5236" s="2"/>
    </row>
    <row r="5237" spans="1:39">
      <c r="A5237" s="2"/>
      <c r="AM5237" s="2"/>
    </row>
    <row r="5238" spans="1:39">
      <c r="A5238" s="2"/>
      <c r="AM5238" s="2"/>
    </row>
    <row r="5239" spans="1:39">
      <c r="A5239" s="2"/>
      <c r="AM5239" s="2"/>
    </row>
    <row r="5240" spans="1:39">
      <c r="A5240" s="2"/>
      <c r="AM5240" s="2"/>
    </row>
    <row r="5241" spans="1:39">
      <c r="A5241" s="2"/>
      <c r="AM5241" s="2"/>
    </row>
    <row r="5242" spans="1:39">
      <c r="A5242" s="2"/>
      <c r="AM5242" s="2"/>
    </row>
    <row r="5243" spans="1:39">
      <c r="A5243" s="2"/>
      <c r="AM5243" s="2"/>
    </row>
    <row r="5244" spans="1:39">
      <c r="A5244" s="2"/>
      <c r="AM5244" s="2"/>
    </row>
    <row r="5245" spans="1:39">
      <c r="A5245" s="2"/>
      <c r="AM5245" s="2"/>
    </row>
    <row r="5246" spans="1:39">
      <c r="A5246" s="2"/>
      <c r="AM5246" s="2"/>
    </row>
    <row r="5247" spans="1:39">
      <c r="A5247" s="2"/>
      <c r="AM5247" s="2"/>
    </row>
    <row r="5248" spans="1:39">
      <c r="A5248" s="2"/>
      <c r="AM5248" s="2"/>
    </row>
    <row r="5249" spans="1:39">
      <c r="A5249" s="2"/>
      <c r="AM5249" s="2"/>
    </row>
    <row r="5250" spans="1:39">
      <c r="A5250" s="2"/>
      <c r="AM5250" s="2"/>
    </row>
    <row r="5251" spans="1:39">
      <c r="A5251" s="2"/>
      <c r="AM5251" s="2"/>
    </row>
    <row r="5252" spans="1:39">
      <c r="A5252" s="2"/>
      <c r="AM5252" s="2"/>
    </row>
    <row r="5253" spans="1:39">
      <c r="A5253" s="2"/>
      <c r="AM5253" s="2"/>
    </row>
    <row r="5254" spans="1:39">
      <c r="A5254" s="2"/>
      <c r="AM5254" s="2"/>
    </row>
    <row r="5255" spans="1:39">
      <c r="A5255" s="2"/>
      <c r="AM5255" s="2"/>
    </row>
    <row r="5256" spans="1:39">
      <c r="A5256" s="2"/>
      <c r="AM5256" s="2"/>
    </row>
    <row r="5257" spans="1:39">
      <c r="A5257" s="2"/>
      <c r="AM5257" s="2"/>
    </row>
    <row r="5258" spans="1:39">
      <c r="A5258" s="2"/>
      <c r="AM5258" s="2"/>
    </row>
    <row r="5259" spans="1:39">
      <c r="A5259" s="2"/>
      <c r="AM5259" s="2"/>
    </row>
    <row r="5260" spans="1:39">
      <c r="A5260" s="2"/>
      <c r="AM5260" s="2"/>
    </row>
    <row r="5261" spans="1:39">
      <c r="A5261" s="2"/>
      <c r="AM5261" s="2"/>
    </row>
    <row r="5262" spans="1:39">
      <c r="A5262" s="2"/>
      <c r="AM5262" s="2"/>
    </row>
    <row r="5263" spans="1:39">
      <c r="A5263" s="2"/>
      <c r="AM5263" s="2"/>
    </row>
    <row r="5264" spans="1:39">
      <c r="A5264" s="2"/>
      <c r="AM5264" s="2"/>
    </row>
    <row r="5265" spans="1:39">
      <c r="A5265" s="2"/>
      <c r="AM5265" s="2"/>
    </row>
    <row r="5266" spans="1:39">
      <c r="A5266" s="2"/>
      <c r="AM5266" s="2"/>
    </row>
    <row r="5267" spans="1:39">
      <c r="A5267" s="2"/>
      <c r="AM5267" s="2"/>
    </row>
    <row r="5268" spans="1:39">
      <c r="A5268" s="2"/>
      <c r="AM5268" s="2"/>
    </row>
    <row r="5269" spans="1:39">
      <c r="A5269" s="2"/>
      <c r="AM5269" s="2"/>
    </row>
    <row r="5270" spans="1:39">
      <c r="A5270" s="2"/>
      <c r="AM5270" s="2"/>
    </row>
    <row r="5271" spans="1:39">
      <c r="A5271" s="2"/>
      <c r="AM5271" s="2"/>
    </row>
    <row r="5272" spans="1:39">
      <c r="A5272" s="2"/>
      <c r="AM5272" s="2"/>
    </row>
    <row r="5273" spans="1:39">
      <c r="A5273" s="2"/>
      <c r="AM5273" s="2"/>
    </row>
    <row r="5274" spans="1:39">
      <c r="A5274" s="2"/>
      <c r="AM5274" s="2"/>
    </row>
    <row r="5275" spans="1:39">
      <c r="A5275" s="2"/>
      <c r="AM5275" s="2"/>
    </row>
    <row r="5276" spans="1:39">
      <c r="A5276" s="2"/>
      <c r="AM5276" s="2"/>
    </row>
    <row r="5277" spans="1:39">
      <c r="A5277" s="2"/>
      <c r="AM5277" s="2"/>
    </row>
    <row r="5278" spans="1:39">
      <c r="A5278" s="2"/>
      <c r="AM5278" s="2"/>
    </row>
    <row r="5279" spans="1:39">
      <c r="A5279" s="2"/>
      <c r="AM5279" s="2"/>
    </row>
    <row r="5280" spans="1:39">
      <c r="A5280" s="2"/>
      <c r="AM5280" s="2"/>
    </row>
    <row r="5281" spans="1:39">
      <c r="A5281" s="2"/>
      <c r="AM5281" s="2"/>
    </row>
    <row r="5282" spans="1:39">
      <c r="A5282" s="2"/>
      <c r="AM5282" s="2"/>
    </row>
    <row r="5283" spans="1:39">
      <c r="A5283" s="2"/>
      <c r="AM5283" s="2"/>
    </row>
    <row r="5284" spans="1:39">
      <c r="A5284" s="2"/>
      <c r="AM5284" s="2"/>
    </row>
    <row r="5285" spans="1:39">
      <c r="A5285" s="2"/>
      <c r="AM5285" s="2"/>
    </row>
    <row r="5286" spans="1:39">
      <c r="A5286" s="2"/>
      <c r="AM5286" s="2"/>
    </row>
    <row r="5287" spans="1:39">
      <c r="A5287" s="2"/>
      <c r="AM5287" s="2"/>
    </row>
    <row r="5288" spans="1:39">
      <c r="A5288" s="2"/>
      <c r="AM5288" s="2"/>
    </row>
    <row r="5289" spans="1:39">
      <c r="A5289" s="2"/>
      <c r="AM5289" s="2"/>
    </row>
    <row r="5290" spans="1:39">
      <c r="A5290" s="2"/>
      <c r="AM5290" s="2"/>
    </row>
    <row r="5291" spans="1:39">
      <c r="A5291" s="2"/>
      <c r="AM5291" s="2"/>
    </row>
    <row r="5292" spans="1:39">
      <c r="A5292" s="2"/>
      <c r="AM5292" s="2"/>
    </row>
    <row r="5293" spans="1:39">
      <c r="A5293" s="2"/>
      <c r="AM5293" s="2"/>
    </row>
    <row r="5294" spans="1:39">
      <c r="A5294" s="2"/>
      <c r="AM5294" s="2"/>
    </row>
    <row r="5295" spans="1:39">
      <c r="A5295" s="2"/>
      <c r="AM5295" s="2"/>
    </row>
    <row r="5296" spans="1:39">
      <c r="A5296" s="2"/>
      <c r="AM5296" s="2"/>
    </row>
    <row r="5297" spans="1:39">
      <c r="A5297" s="2"/>
      <c r="AM5297" s="2"/>
    </row>
    <row r="5298" spans="1:39">
      <c r="A5298" s="2"/>
      <c r="AM5298" s="2"/>
    </row>
    <row r="5299" spans="1:39">
      <c r="A5299" s="2"/>
      <c r="AM5299" s="2"/>
    </row>
    <row r="5300" spans="1:39">
      <c r="A5300" s="2"/>
      <c r="AM5300" s="2"/>
    </row>
    <row r="5301" spans="1:39">
      <c r="A5301" s="2"/>
      <c r="AM5301" s="2"/>
    </row>
    <row r="5302" spans="1:39">
      <c r="A5302" s="2"/>
      <c r="AM5302" s="2"/>
    </row>
    <row r="5303" spans="1:39">
      <c r="A5303" s="2"/>
      <c r="AM5303" s="2"/>
    </row>
    <row r="5304" spans="1:39">
      <c r="A5304" s="2"/>
      <c r="AM5304" s="2"/>
    </row>
    <row r="5305" spans="1:39">
      <c r="A5305" s="2"/>
      <c r="AM5305" s="2"/>
    </row>
    <row r="5306" spans="1:39">
      <c r="A5306" s="2"/>
      <c r="AM5306" s="2"/>
    </row>
    <row r="5307" spans="1:39">
      <c r="A5307" s="2"/>
      <c r="AM5307" s="2"/>
    </row>
    <row r="5308" spans="1:39">
      <c r="A5308" s="2"/>
      <c r="AM5308" s="2"/>
    </row>
    <row r="5309" spans="1:39">
      <c r="A5309" s="2"/>
      <c r="AM5309" s="2"/>
    </row>
    <row r="5310" spans="1:39">
      <c r="A5310" s="2"/>
      <c r="AM5310" s="2"/>
    </row>
    <row r="5311" spans="1:39">
      <c r="A5311" s="2"/>
      <c r="AM5311" s="2"/>
    </row>
    <row r="5312" spans="1:39">
      <c r="A5312" s="2"/>
      <c r="AM5312" s="2"/>
    </row>
    <row r="5313" spans="1:39">
      <c r="A5313" s="2"/>
      <c r="AM5313" s="2"/>
    </row>
    <row r="5314" spans="1:39">
      <c r="A5314" s="2"/>
      <c r="AM5314" s="2"/>
    </row>
    <row r="5315" spans="1:39">
      <c r="A5315" s="2"/>
      <c r="AM5315" s="2"/>
    </row>
    <row r="5316" spans="1:39">
      <c r="A5316" s="2"/>
      <c r="AM5316" s="2"/>
    </row>
    <row r="5317" spans="1:39">
      <c r="A5317" s="2"/>
      <c r="AM5317" s="2"/>
    </row>
    <row r="5318" spans="1:39">
      <c r="A5318" s="2"/>
      <c r="AM5318" s="2"/>
    </row>
    <row r="5319" spans="1:39">
      <c r="A5319" s="2"/>
      <c r="AM5319" s="2"/>
    </row>
    <row r="5320" spans="1:39">
      <c r="A5320" s="2"/>
      <c r="AM5320" s="2"/>
    </row>
    <row r="5321" spans="1:39">
      <c r="A5321" s="2"/>
      <c r="AM5321" s="2"/>
    </row>
    <row r="5322" spans="1:39">
      <c r="A5322" s="2"/>
      <c r="AM5322" s="2"/>
    </row>
    <row r="5323" spans="1:39">
      <c r="A5323" s="2"/>
      <c r="AM5323" s="2"/>
    </row>
    <row r="5324" spans="1:39">
      <c r="A5324" s="2"/>
      <c r="AM5324" s="2"/>
    </row>
    <row r="5325" spans="1:39">
      <c r="A5325" s="2"/>
      <c r="AM5325" s="2"/>
    </row>
    <row r="5326" spans="1:39">
      <c r="A5326" s="2"/>
      <c r="AM5326" s="2"/>
    </row>
    <row r="5327" spans="1:39">
      <c r="A5327" s="2"/>
      <c r="AM5327" s="2"/>
    </row>
    <row r="5328" spans="1:39">
      <c r="A5328" s="2"/>
      <c r="AM5328" s="2"/>
    </row>
    <row r="5329" spans="1:39">
      <c r="A5329" s="2"/>
      <c r="AM5329" s="2"/>
    </row>
    <row r="5330" spans="1:39">
      <c r="A5330" s="2"/>
      <c r="AM5330" s="2"/>
    </row>
    <row r="5331" spans="1:39">
      <c r="A5331" s="2"/>
      <c r="AM5331" s="2"/>
    </row>
    <row r="5332" spans="1:39">
      <c r="A5332" s="2"/>
      <c r="AM5332" s="2"/>
    </row>
    <row r="5333" spans="1:39">
      <c r="A5333" s="2"/>
      <c r="AM5333" s="2"/>
    </row>
    <row r="5334" spans="1:39">
      <c r="A5334" s="2"/>
      <c r="AM5334" s="2"/>
    </row>
    <row r="5335" spans="1:39">
      <c r="A5335" s="2"/>
      <c r="AM5335" s="2"/>
    </row>
    <row r="5336" spans="1:39">
      <c r="A5336" s="2"/>
      <c r="AM5336" s="2"/>
    </row>
    <row r="5337" spans="1:39">
      <c r="A5337" s="2"/>
      <c r="AM5337" s="2"/>
    </row>
    <row r="5338" spans="1:39">
      <c r="A5338" s="2"/>
      <c r="AM5338" s="2"/>
    </row>
    <row r="5339" spans="1:39">
      <c r="A5339" s="2"/>
      <c r="AM5339" s="2"/>
    </row>
    <row r="5340" spans="1:39">
      <c r="A5340" s="2"/>
      <c r="AM5340" s="2"/>
    </row>
    <row r="5341" spans="1:39">
      <c r="A5341" s="2"/>
      <c r="AM5341" s="2"/>
    </row>
    <row r="5342" spans="1:39">
      <c r="A5342" s="2"/>
      <c r="AM5342" s="2"/>
    </row>
    <row r="5343" spans="1:39">
      <c r="A5343" s="2"/>
      <c r="AM5343" s="2"/>
    </row>
    <row r="5344" spans="1:39">
      <c r="A5344" s="2"/>
      <c r="AM5344" s="2"/>
    </row>
    <row r="5345" spans="1:39">
      <c r="A5345" s="2"/>
      <c r="AM5345" s="2"/>
    </row>
    <row r="5346" spans="1:39">
      <c r="A5346" s="2"/>
      <c r="AM5346" s="2"/>
    </row>
    <row r="5347" spans="1:39">
      <c r="A5347" s="2"/>
      <c r="AM5347" s="2"/>
    </row>
    <row r="5348" spans="1:39">
      <c r="A5348" s="2"/>
      <c r="AM5348" s="2"/>
    </row>
    <row r="5349" spans="1:39">
      <c r="A5349" s="2"/>
      <c r="AM5349" s="2"/>
    </row>
    <row r="5350" spans="1:39">
      <c r="A5350" s="2"/>
      <c r="AM5350" s="2"/>
    </row>
    <row r="5351" spans="1:39">
      <c r="A5351" s="2"/>
      <c r="AM5351" s="2"/>
    </row>
    <row r="5352" spans="1:39">
      <c r="A5352" s="2"/>
      <c r="AM5352" s="2"/>
    </row>
    <row r="5353" spans="1:39">
      <c r="A5353" s="2"/>
      <c r="AM5353" s="2"/>
    </row>
    <row r="5354" spans="1:39">
      <c r="A5354" s="2"/>
      <c r="AM5354" s="2"/>
    </row>
    <row r="5355" spans="1:39">
      <c r="A5355" s="2"/>
      <c r="AM5355" s="2"/>
    </row>
    <row r="5356" spans="1:39">
      <c r="A5356" s="2"/>
      <c r="AM5356" s="2"/>
    </row>
    <row r="5357" spans="1:39">
      <c r="A5357" s="2"/>
      <c r="AM5357" s="2"/>
    </row>
    <row r="5358" spans="1:39">
      <c r="A5358" s="2"/>
      <c r="AM5358" s="2"/>
    </row>
    <row r="5359" spans="1:39">
      <c r="A5359" s="2"/>
      <c r="AM5359" s="2"/>
    </row>
    <row r="5360" spans="1:39">
      <c r="A5360" s="2"/>
      <c r="AM5360" s="2"/>
    </row>
    <row r="5361" spans="1:39">
      <c r="A5361" s="2"/>
      <c r="AM5361" s="2"/>
    </row>
    <row r="5362" spans="1:39">
      <c r="A5362" s="2"/>
      <c r="AM5362" s="2"/>
    </row>
    <row r="5363" spans="1:39">
      <c r="A5363" s="2"/>
      <c r="AM5363" s="2"/>
    </row>
    <row r="5364" spans="1:39">
      <c r="A5364" s="2"/>
      <c r="AM5364" s="2"/>
    </row>
    <row r="5365" spans="1:39">
      <c r="A5365" s="2"/>
      <c r="AM5365" s="2"/>
    </row>
    <row r="5366" spans="1:39">
      <c r="A5366" s="2"/>
      <c r="AM5366" s="2"/>
    </row>
    <row r="5367" spans="1:39">
      <c r="A5367" s="2"/>
      <c r="AM5367" s="2"/>
    </row>
    <row r="5368" spans="1:39">
      <c r="A5368" s="2"/>
      <c r="AM5368" s="2"/>
    </row>
    <row r="5369" spans="1:39">
      <c r="A5369" s="2"/>
      <c r="AM5369" s="2"/>
    </row>
    <row r="5370" spans="1:39">
      <c r="A5370" s="2"/>
      <c r="AM5370" s="2"/>
    </row>
    <row r="5371" spans="1:39">
      <c r="A5371" s="2"/>
      <c r="AM5371" s="2"/>
    </row>
    <row r="5372" spans="1:39">
      <c r="A5372" s="2"/>
      <c r="AM5372" s="2"/>
    </row>
    <row r="5373" spans="1:39">
      <c r="A5373" s="2"/>
      <c r="AM5373" s="2"/>
    </row>
    <row r="5374" spans="1:39">
      <c r="A5374" s="2"/>
      <c r="AM5374" s="2"/>
    </row>
    <row r="5375" spans="1:39">
      <c r="A5375" s="2"/>
      <c r="AM5375" s="2"/>
    </row>
    <row r="5376" spans="1:39">
      <c r="A5376" s="2"/>
      <c r="AM5376" s="2"/>
    </row>
    <row r="5377" spans="1:39">
      <c r="A5377" s="2"/>
      <c r="AM5377" s="2"/>
    </row>
    <row r="5378" spans="1:39">
      <c r="A5378" s="2"/>
      <c r="AM5378" s="2"/>
    </row>
    <row r="5379" spans="1:39">
      <c r="A5379" s="2"/>
      <c r="AM5379" s="2"/>
    </row>
    <row r="5380" spans="1:39">
      <c r="A5380" s="2"/>
      <c r="AM5380" s="2"/>
    </row>
    <row r="5381" spans="1:39">
      <c r="A5381" s="2"/>
      <c r="AM5381" s="2"/>
    </row>
    <row r="5382" spans="1:39">
      <c r="A5382" s="2"/>
      <c r="AM5382" s="2"/>
    </row>
    <row r="5383" spans="1:39">
      <c r="A5383" s="2"/>
      <c r="AM5383" s="2"/>
    </row>
    <row r="5384" spans="1:39">
      <c r="A5384" s="2"/>
      <c r="AM5384" s="2"/>
    </row>
    <row r="5385" spans="1:39">
      <c r="A5385" s="2"/>
      <c r="AM5385" s="2"/>
    </row>
    <row r="5386" spans="1:39">
      <c r="A5386" s="2"/>
      <c r="AM5386" s="2"/>
    </row>
    <row r="5387" spans="1:39">
      <c r="A5387" s="2"/>
      <c r="AM5387" s="2"/>
    </row>
    <row r="5388" spans="1:39">
      <c r="A5388" s="2"/>
      <c r="AM5388" s="2"/>
    </row>
    <row r="5389" spans="1:39">
      <c r="A5389" s="2"/>
      <c r="AM5389" s="2"/>
    </row>
    <row r="5390" spans="1:39">
      <c r="A5390" s="2"/>
      <c r="AM5390" s="2"/>
    </row>
    <row r="5391" spans="1:39">
      <c r="A5391" s="2"/>
      <c r="AM5391" s="2"/>
    </row>
    <row r="5392" spans="1:39">
      <c r="A5392" s="2"/>
      <c r="AM5392" s="2"/>
    </row>
    <row r="5393" spans="1:39">
      <c r="A5393" s="2"/>
      <c r="AM5393" s="2"/>
    </row>
    <row r="5394" spans="1:39">
      <c r="A5394" s="2"/>
      <c r="AM5394" s="2"/>
    </row>
    <row r="5395" spans="1:39">
      <c r="A5395" s="2"/>
      <c r="AM5395" s="2"/>
    </row>
    <row r="5396" spans="1:39">
      <c r="A5396" s="2"/>
      <c r="AM5396" s="2"/>
    </row>
    <row r="5397" spans="1:39">
      <c r="A5397" s="2"/>
      <c r="AM5397" s="2"/>
    </row>
    <row r="5398" spans="1:39">
      <c r="A5398" s="2"/>
      <c r="AM5398" s="2"/>
    </row>
    <row r="5399" spans="1:39">
      <c r="A5399" s="2"/>
      <c r="AM5399" s="2"/>
    </row>
    <row r="5400" spans="1:39">
      <c r="A5400" s="2"/>
      <c r="AM5400" s="2"/>
    </row>
    <row r="5401" spans="1:39">
      <c r="A5401" s="2"/>
      <c r="AM5401" s="2"/>
    </row>
    <row r="5402" spans="1:39">
      <c r="A5402" s="2"/>
      <c r="AM5402" s="2"/>
    </row>
    <row r="5403" spans="1:39">
      <c r="A5403" s="2"/>
      <c r="AM5403" s="2"/>
    </row>
    <row r="5404" spans="1:39">
      <c r="A5404" s="2"/>
      <c r="AM5404" s="2"/>
    </row>
    <row r="5405" spans="1:39">
      <c r="A5405" s="2"/>
      <c r="AM5405" s="2"/>
    </row>
    <row r="5406" spans="1:39">
      <c r="A5406" s="2"/>
      <c r="AM5406" s="2"/>
    </row>
    <row r="5407" spans="1:39">
      <c r="A5407" s="2"/>
      <c r="AM5407" s="2"/>
    </row>
    <row r="5408" spans="1:39">
      <c r="A5408" s="2"/>
      <c r="AM5408" s="2"/>
    </row>
    <row r="5409" spans="1:39">
      <c r="A5409" s="2"/>
      <c r="AM5409" s="2"/>
    </row>
    <row r="5410" spans="1:39">
      <c r="A5410" s="2"/>
      <c r="AM5410" s="2"/>
    </row>
    <row r="5411" spans="1:39">
      <c r="A5411" s="2"/>
      <c r="AM5411" s="2"/>
    </row>
    <row r="5412" spans="1:39">
      <c r="A5412" s="2"/>
      <c r="AM5412" s="2"/>
    </row>
    <row r="5413" spans="1:39">
      <c r="A5413" s="2"/>
      <c r="AM5413" s="2"/>
    </row>
    <row r="5414" spans="1:39">
      <c r="A5414" s="2"/>
      <c r="AM5414" s="2"/>
    </row>
    <row r="5415" spans="1:39">
      <c r="A5415" s="2"/>
      <c r="AM5415" s="2"/>
    </row>
    <row r="5416" spans="1:39">
      <c r="A5416" s="2"/>
      <c r="AM5416" s="2"/>
    </row>
    <row r="5417" spans="1:39">
      <c r="A5417" s="2"/>
      <c r="AM5417" s="2"/>
    </row>
    <row r="5418" spans="1:39">
      <c r="A5418" s="2"/>
      <c r="AM5418" s="2"/>
    </row>
    <row r="5419" spans="1:39">
      <c r="A5419" s="2"/>
      <c r="AM5419" s="2"/>
    </row>
    <row r="5420" spans="1:39">
      <c r="A5420" s="2"/>
      <c r="AM5420" s="2"/>
    </row>
    <row r="5421" spans="1:39">
      <c r="A5421" s="2"/>
      <c r="AM5421" s="2"/>
    </row>
    <row r="5422" spans="1:39">
      <c r="A5422" s="2"/>
      <c r="AM5422" s="2"/>
    </row>
    <row r="5423" spans="1:39">
      <c r="A5423" s="2"/>
      <c r="AM5423" s="2"/>
    </row>
    <row r="5424" spans="1:39">
      <c r="A5424" s="2"/>
      <c r="AM5424" s="2"/>
    </row>
    <row r="5425" spans="1:39">
      <c r="A5425" s="2"/>
      <c r="AM5425" s="2"/>
    </row>
    <row r="5426" spans="1:39">
      <c r="A5426" s="2"/>
      <c r="AM5426" s="2"/>
    </row>
    <row r="5427" spans="1:39">
      <c r="A5427" s="2"/>
      <c r="AM5427" s="2"/>
    </row>
    <row r="5428" spans="1:39">
      <c r="A5428" s="2"/>
      <c r="AM5428" s="2"/>
    </row>
    <row r="5429" spans="1:39">
      <c r="A5429" s="2"/>
      <c r="AM5429" s="2"/>
    </row>
    <row r="5430" spans="1:39">
      <c r="A5430" s="2"/>
      <c r="AM5430" s="2"/>
    </row>
    <row r="5431" spans="1:39">
      <c r="A5431" s="2"/>
      <c r="AM5431" s="2"/>
    </row>
    <row r="5432" spans="1:39">
      <c r="A5432" s="2"/>
      <c r="AM5432" s="2"/>
    </row>
    <row r="5433" spans="1:39">
      <c r="A5433" s="2"/>
      <c r="AM5433" s="2"/>
    </row>
    <row r="5434" spans="1:39">
      <c r="A5434" s="2"/>
      <c r="AM5434" s="2"/>
    </row>
    <row r="5435" spans="1:39">
      <c r="A5435" s="2"/>
      <c r="AM5435" s="2"/>
    </row>
    <row r="5436" spans="1:39">
      <c r="A5436" s="2"/>
      <c r="AM5436" s="2"/>
    </row>
    <row r="5437" spans="1:39">
      <c r="A5437" s="2"/>
      <c r="AM5437" s="2"/>
    </row>
    <row r="5438" spans="1:39">
      <c r="A5438" s="2"/>
      <c r="AM5438" s="2"/>
    </row>
    <row r="5439" spans="1:39">
      <c r="A5439" s="2"/>
      <c r="AM5439" s="2"/>
    </row>
    <row r="5440" spans="1:39">
      <c r="A5440" s="2"/>
      <c r="AM5440" s="2"/>
    </row>
    <row r="5441" spans="1:39">
      <c r="A5441" s="2"/>
      <c r="AM5441" s="2"/>
    </row>
    <row r="5442" spans="1:39">
      <c r="A5442" s="2"/>
      <c r="AM5442" s="2"/>
    </row>
    <row r="5443" spans="1:39">
      <c r="A5443" s="2"/>
      <c r="AM5443" s="2"/>
    </row>
    <row r="5444" spans="1:39">
      <c r="A5444" s="2"/>
      <c r="AM5444" s="2"/>
    </row>
    <row r="5445" spans="1:39">
      <c r="A5445" s="2"/>
      <c r="AM5445" s="2"/>
    </row>
    <row r="5446" spans="1:39">
      <c r="A5446" s="2"/>
      <c r="AM5446" s="2"/>
    </row>
    <row r="5447" spans="1:39">
      <c r="A5447" s="2"/>
      <c r="AM5447" s="2"/>
    </row>
    <row r="5448" spans="1:39">
      <c r="A5448" s="2"/>
      <c r="AM5448" s="2"/>
    </row>
    <row r="5449" spans="1:39">
      <c r="A5449" s="2"/>
      <c r="AM5449" s="2"/>
    </row>
    <row r="5450" spans="1:39">
      <c r="A5450" s="2"/>
      <c r="AM5450" s="2"/>
    </row>
    <row r="5451" spans="1:39">
      <c r="A5451" s="2"/>
      <c r="AM5451" s="2"/>
    </row>
    <row r="5452" spans="1:39">
      <c r="A5452" s="2"/>
      <c r="AM5452" s="2"/>
    </row>
    <row r="5453" spans="1:39">
      <c r="A5453" s="2"/>
      <c r="AM5453" s="2"/>
    </row>
    <row r="5454" spans="1:39">
      <c r="A5454" s="2"/>
      <c r="AM5454" s="2"/>
    </row>
    <row r="5455" spans="1:39">
      <c r="A5455" s="2"/>
      <c r="AM5455" s="2"/>
    </row>
    <row r="5456" spans="1:39">
      <c r="A5456" s="2"/>
      <c r="AM5456" s="2"/>
    </row>
    <row r="5457" spans="1:39">
      <c r="A5457" s="2"/>
      <c r="AM5457" s="2"/>
    </row>
    <row r="5458" spans="1:39">
      <c r="A5458" s="2"/>
      <c r="AM5458" s="2"/>
    </row>
    <row r="5459" spans="1:39">
      <c r="A5459" s="2"/>
      <c r="AM5459" s="2"/>
    </row>
    <row r="5460" spans="1:39">
      <c r="A5460" s="2"/>
      <c r="AM5460" s="2"/>
    </row>
    <row r="5461" spans="1:39">
      <c r="A5461" s="2"/>
      <c r="AM5461" s="2"/>
    </row>
    <row r="5462" spans="1:39">
      <c r="A5462" s="2"/>
      <c r="AM5462" s="2"/>
    </row>
    <row r="5463" spans="1:39">
      <c r="A5463" s="2"/>
      <c r="AM5463" s="2"/>
    </row>
    <row r="5464" spans="1:39">
      <c r="A5464" s="2"/>
      <c r="AM5464" s="2"/>
    </row>
    <row r="5465" spans="1:39">
      <c r="A5465" s="2"/>
      <c r="AM5465" s="2"/>
    </row>
    <row r="5466" spans="1:39">
      <c r="A5466" s="2"/>
      <c r="AM5466" s="2"/>
    </row>
    <row r="5467" spans="1:39">
      <c r="A5467" s="2"/>
      <c r="AM5467" s="2"/>
    </row>
    <row r="5468" spans="1:39">
      <c r="A5468" s="2"/>
      <c r="AM5468" s="2"/>
    </row>
    <row r="5469" spans="1:39">
      <c r="A5469" s="2"/>
      <c r="AM5469" s="2"/>
    </row>
    <row r="5470" spans="1:39">
      <c r="A5470" s="2"/>
      <c r="AM5470" s="2"/>
    </row>
    <row r="5471" spans="1:39">
      <c r="A5471" s="2"/>
      <c r="AM5471" s="2"/>
    </row>
    <row r="5472" spans="1:39">
      <c r="A5472" s="2"/>
      <c r="AM5472" s="2"/>
    </row>
    <row r="5473" spans="1:39">
      <c r="A5473" s="2"/>
      <c r="AM5473" s="2"/>
    </row>
    <row r="5474" spans="1:39">
      <c r="A5474" s="2"/>
      <c r="AM5474" s="2"/>
    </row>
    <row r="5475" spans="1:39">
      <c r="A5475" s="2"/>
      <c r="AM5475" s="2"/>
    </row>
    <row r="5476" spans="1:39">
      <c r="A5476" s="2"/>
      <c r="AM5476" s="2"/>
    </row>
    <row r="5477" spans="1:39">
      <c r="A5477" s="2"/>
      <c r="AM5477" s="2"/>
    </row>
    <row r="5478" spans="1:39">
      <c r="A5478" s="2"/>
      <c r="AM5478" s="2"/>
    </row>
    <row r="5479" spans="1:39">
      <c r="A5479" s="2"/>
      <c r="AM5479" s="2"/>
    </row>
    <row r="5480" spans="1:39">
      <c r="A5480" s="2"/>
      <c r="AM5480" s="2"/>
    </row>
    <row r="5481" spans="1:39">
      <c r="A5481" s="2"/>
      <c r="AM5481" s="2"/>
    </row>
    <row r="5482" spans="1:39">
      <c r="A5482" s="2"/>
      <c r="AM5482" s="2"/>
    </row>
    <row r="5483" spans="1:39">
      <c r="A5483" s="2"/>
      <c r="AM5483" s="2"/>
    </row>
    <row r="5484" spans="1:39">
      <c r="A5484" s="2"/>
      <c r="AM5484" s="2"/>
    </row>
    <row r="5485" spans="1:39">
      <c r="A5485" s="2"/>
      <c r="AM5485" s="2"/>
    </row>
    <row r="5486" spans="1:39">
      <c r="A5486" s="2"/>
      <c r="AM5486" s="2"/>
    </row>
    <row r="5487" spans="1:39">
      <c r="A5487" s="2"/>
      <c r="AM5487" s="2"/>
    </row>
    <row r="5488" spans="1:39">
      <c r="A5488" s="2"/>
      <c r="AM5488" s="2"/>
    </row>
    <row r="5489" spans="1:39">
      <c r="A5489" s="2"/>
      <c r="AM5489" s="2"/>
    </row>
    <row r="5490" spans="1:39">
      <c r="A5490" s="2"/>
      <c r="AM5490" s="2"/>
    </row>
    <row r="5491" spans="1:39">
      <c r="A5491" s="2"/>
      <c r="AM5491" s="2"/>
    </row>
    <row r="5492" spans="1:39">
      <c r="A5492" s="2"/>
      <c r="AM5492" s="2"/>
    </row>
    <row r="5493" spans="1:39">
      <c r="A5493" s="2"/>
      <c r="AM5493" s="2"/>
    </row>
    <row r="5494" spans="1:39">
      <c r="A5494" s="2"/>
      <c r="AM5494" s="2"/>
    </row>
    <row r="5495" spans="1:39">
      <c r="A5495" s="2"/>
      <c r="AM5495" s="2"/>
    </row>
    <row r="5496" spans="1:39">
      <c r="A5496" s="2"/>
      <c r="AM5496" s="2"/>
    </row>
    <row r="5497" spans="1:39">
      <c r="A5497" s="2"/>
      <c r="AM5497" s="2"/>
    </row>
    <row r="5498" spans="1:39">
      <c r="A5498" s="2"/>
      <c r="AM5498" s="2"/>
    </row>
    <row r="5499" spans="1:39">
      <c r="A5499" s="2"/>
      <c r="AM5499" s="2"/>
    </row>
    <row r="5500" spans="1:39">
      <c r="A5500" s="2"/>
      <c r="AM5500" s="2"/>
    </row>
    <row r="5501" spans="1:39">
      <c r="A5501" s="2"/>
      <c r="AM5501" s="2"/>
    </row>
    <row r="5502" spans="1:39">
      <c r="A5502" s="2"/>
      <c r="AM5502" s="2"/>
    </row>
    <row r="5503" spans="1:39">
      <c r="A5503" s="2"/>
      <c r="AM5503" s="2"/>
    </row>
    <row r="5504" spans="1:39">
      <c r="A5504" s="2"/>
      <c r="AM5504" s="2"/>
    </row>
    <row r="5505" spans="1:39">
      <c r="A5505" s="2"/>
      <c r="AM5505" s="2"/>
    </row>
    <row r="5506" spans="1:39">
      <c r="A5506" s="2"/>
      <c r="AM5506" s="2"/>
    </row>
    <row r="5507" spans="1:39">
      <c r="A5507" s="2"/>
      <c r="AM5507" s="2"/>
    </row>
    <row r="5508" spans="1:39">
      <c r="A5508" s="2"/>
      <c r="AM5508" s="2"/>
    </row>
    <row r="5509" spans="1:39">
      <c r="A5509" s="2"/>
      <c r="AM5509" s="2"/>
    </row>
    <row r="5510" spans="1:39">
      <c r="A5510" s="2"/>
      <c r="AM5510" s="2"/>
    </row>
    <row r="5511" spans="1:39">
      <c r="A5511" s="2"/>
      <c r="AM5511" s="2"/>
    </row>
    <row r="5512" spans="1:39">
      <c r="A5512" s="2"/>
      <c r="AM5512" s="2"/>
    </row>
    <row r="5513" spans="1:39">
      <c r="A5513" s="2"/>
      <c r="AM5513" s="2"/>
    </row>
    <row r="5514" spans="1:39">
      <c r="A5514" s="2"/>
      <c r="AM5514" s="2"/>
    </row>
    <row r="5515" spans="1:39">
      <c r="A5515" s="2"/>
      <c r="AM5515" s="2"/>
    </row>
    <row r="5516" spans="1:39">
      <c r="A5516" s="2"/>
      <c r="AM5516" s="2"/>
    </row>
    <row r="5517" spans="1:39">
      <c r="A5517" s="2"/>
      <c r="AM5517" s="2"/>
    </row>
    <row r="5518" spans="1:39">
      <c r="A5518" s="2"/>
      <c r="AM5518" s="2"/>
    </row>
    <row r="5519" spans="1:39">
      <c r="A5519" s="2"/>
      <c r="AM5519" s="2"/>
    </row>
    <row r="5520" spans="1:39">
      <c r="A5520" s="2"/>
      <c r="AM5520" s="2"/>
    </row>
    <row r="5521" spans="1:39">
      <c r="A5521" s="2"/>
      <c r="AM5521" s="2"/>
    </row>
    <row r="5522" spans="1:39">
      <c r="A5522" s="2"/>
      <c r="AM5522" s="2"/>
    </row>
    <row r="5523" spans="1:39">
      <c r="A5523" s="2"/>
      <c r="AM5523" s="2"/>
    </row>
    <row r="5524" spans="1:39">
      <c r="A5524" s="2"/>
      <c r="AM5524" s="2"/>
    </row>
    <row r="5525" spans="1:39">
      <c r="A5525" s="2"/>
      <c r="AM5525" s="2"/>
    </row>
    <row r="5526" spans="1:39">
      <c r="A5526" s="2"/>
      <c r="AM5526" s="2"/>
    </row>
    <row r="5527" spans="1:39">
      <c r="A5527" s="2"/>
      <c r="AM5527" s="2"/>
    </row>
    <row r="5528" spans="1:39">
      <c r="A5528" s="2"/>
      <c r="AM5528" s="2"/>
    </row>
    <row r="5529" spans="1:39">
      <c r="A5529" s="2"/>
      <c r="AM5529" s="2"/>
    </row>
    <row r="5530" spans="1:39">
      <c r="A5530" s="2"/>
      <c r="AM5530" s="2"/>
    </row>
    <row r="5531" spans="1:39">
      <c r="A5531" s="2"/>
      <c r="AM5531" s="2"/>
    </row>
    <row r="5532" spans="1:39">
      <c r="A5532" s="2"/>
      <c r="AM5532" s="2"/>
    </row>
    <row r="5533" spans="1:39">
      <c r="A5533" s="2"/>
      <c r="AM5533" s="2"/>
    </row>
    <row r="5534" spans="1:39">
      <c r="A5534" s="2"/>
      <c r="AM5534" s="2"/>
    </row>
    <row r="5535" spans="1:39">
      <c r="A5535" s="2"/>
      <c r="AM5535" s="2"/>
    </row>
    <row r="5536" spans="1:39">
      <c r="A5536" s="2"/>
      <c r="AM5536" s="2"/>
    </row>
    <row r="5537" spans="1:39">
      <c r="A5537" s="2"/>
      <c r="AM5537" s="2"/>
    </row>
    <row r="5538" spans="1:39">
      <c r="A5538" s="2"/>
      <c r="AM5538" s="2"/>
    </row>
    <row r="5539" spans="1:39">
      <c r="A5539" s="2"/>
      <c r="AM5539" s="2"/>
    </row>
    <row r="5540" spans="1:39">
      <c r="A5540" s="2"/>
      <c r="AM5540" s="2"/>
    </row>
    <row r="5541" spans="1:39">
      <c r="A5541" s="2"/>
      <c r="AM5541" s="2"/>
    </row>
    <row r="5542" spans="1:39">
      <c r="A5542" s="2"/>
      <c r="AM5542" s="2"/>
    </row>
    <row r="5543" spans="1:39">
      <c r="A5543" s="2"/>
      <c r="AM5543" s="2"/>
    </row>
    <row r="5544" spans="1:39">
      <c r="A5544" s="2"/>
      <c r="AM5544" s="2"/>
    </row>
    <row r="5545" spans="1:39">
      <c r="A5545" s="2"/>
      <c r="AM5545" s="2"/>
    </row>
    <row r="5546" spans="1:39">
      <c r="A5546" s="2"/>
      <c r="AM5546" s="2"/>
    </row>
    <row r="5547" spans="1:39">
      <c r="A5547" s="2"/>
      <c r="AM5547" s="2"/>
    </row>
    <row r="5548" spans="1:39">
      <c r="A5548" s="2"/>
      <c r="AM5548" s="2"/>
    </row>
    <row r="5549" spans="1:39">
      <c r="A5549" s="2"/>
      <c r="AM5549" s="2"/>
    </row>
    <row r="5550" spans="1:39">
      <c r="A5550" s="2"/>
      <c r="AM5550" s="2"/>
    </row>
    <row r="5551" spans="1:39">
      <c r="A5551" s="2"/>
      <c r="AM5551" s="2"/>
    </row>
    <row r="5552" spans="1:39">
      <c r="A5552" s="2"/>
      <c r="AM5552" s="2"/>
    </row>
    <row r="5553" spans="1:39">
      <c r="A5553" s="2"/>
      <c r="AM5553" s="2"/>
    </row>
    <row r="5554" spans="1:39">
      <c r="A5554" s="2"/>
      <c r="AM5554" s="2"/>
    </row>
    <row r="5555" spans="1:39">
      <c r="A5555" s="2"/>
      <c r="AM5555" s="2"/>
    </row>
    <row r="5556" spans="1:39">
      <c r="A5556" s="2"/>
      <c r="AM5556" s="2"/>
    </row>
    <row r="5557" spans="1:39">
      <c r="A5557" s="2"/>
      <c r="AM5557" s="2"/>
    </row>
    <row r="5558" spans="1:39">
      <c r="A5558" s="2"/>
      <c r="AM5558" s="2"/>
    </row>
    <row r="5559" spans="1:39">
      <c r="A5559" s="2"/>
      <c r="AM5559" s="2"/>
    </row>
    <row r="5560" spans="1:39">
      <c r="A5560" s="2"/>
      <c r="AM5560" s="2"/>
    </row>
    <row r="5561" spans="1:39">
      <c r="A5561" s="2"/>
      <c r="AM5561" s="2"/>
    </row>
    <row r="5562" spans="1:39">
      <c r="A5562" s="2"/>
      <c r="AM5562" s="2"/>
    </row>
    <row r="5563" spans="1:39">
      <c r="A5563" s="2"/>
      <c r="AM5563" s="2"/>
    </row>
    <row r="5564" spans="1:39">
      <c r="A5564" s="2"/>
      <c r="AM5564" s="2"/>
    </row>
    <row r="5565" spans="1:39">
      <c r="A5565" s="2"/>
      <c r="AM5565" s="2"/>
    </row>
    <row r="5566" spans="1:39">
      <c r="A5566" s="2"/>
      <c r="AM5566" s="2"/>
    </row>
    <row r="5567" spans="1:39">
      <c r="A5567" s="2"/>
      <c r="AM5567" s="2"/>
    </row>
    <row r="5568" spans="1:39">
      <c r="A5568" s="2"/>
      <c r="AM5568" s="2"/>
    </row>
    <row r="5569" spans="1:39">
      <c r="A5569" s="2"/>
      <c r="AM5569" s="2"/>
    </row>
    <row r="5570" spans="1:39">
      <c r="A5570" s="2"/>
      <c r="AM5570" s="2"/>
    </row>
    <row r="5571" spans="1:39">
      <c r="A5571" s="2"/>
      <c r="AM5571" s="2"/>
    </row>
    <row r="5572" spans="1:39">
      <c r="A5572" s="2"/>
      <c r="AM5572" s="2"/>
    </row>
    <row r="5573" spans="1:39">
      <c r="A5573" s="2"/>
      <c r="AM5573" s="2"/>
    </row>
    <row r="5574" spans="1:39">
      <c r="A5574" s="2"/>
      <c r="AM5574" s="2"/>
    </row>
    <row r="5575" spans="1:39">
      <c r="A5575" s="2"/>
      <c r="AM5575" s="2"/>
    </row>
    <row r="5576" spans="1:39">
      <c r="A5576" s="2"/>
      <c r="AM5576" s="2"/>
    </row>
    <row r="5577" spans="1:39">
      <c r="A5577" s="2"/>
      <c r="AM5577" s="2"/>
    </row>
    <row r="5578" spans="1:39">
      <c r="A5578" s="2"/>
      <c r="AM5578" s="2"/>
    </row>
    <row r="5579" spans="1:39">
      <c r="A5579" s="2"/>
      <c r="AM5579" s="2"/>
    </row>
    <row r="5580" spans="1:39">
      <c r="A5580" s="2"/>
      <c r="AM5580" s="2"/>
    </row>
    <row r="5581" spans="1:39">
      <c r="A5581" s="2"/>
      <c r="AM5581" s="2"/>
    </row>
    <row r="5582" spans="1:39">
      <c r="A5582" s="2"/>
      <c r="AM5582" s="2"/>
    </row>
    <row r="5583" spans="1:39">
      <c r="A5583" s="2"/>
      <c r="AM5583" s="2"/>
    </row>
    <row r="5584" spans="1:39">
      <c r="A5584" s="2"/>
      <c r="AM5584" s="2"/>
    </row>
    <row r="5585" spans="1:39">
      <c r="A5585" s="2"/>
      <c r="AM5585" s="2"/>
    </row>
    <row r="5586" spans="1:39">
      <c r="A5586" s="2"/>
      <c r="AM5586" s="2"/>
    </row>
    <row r="5587" spans="1:39">
      <c r="A5587" s="2"/>
      <c r="AM5587" s="2"/>
    </row>
    <row r="5588" spans="1:39">
      <c r="A5588" s="2"/>
      <c r="AM5588" s="2"/>
    </row>
    <row r="5589" spans="1:39">
      <c r="A5589" s="2"/>
      <c r="AM5589" s="2"/>
    </row>
    <row r="5590" spans="1:39">
      <c r="A5590" s="2"/>
      <c r="AM5590" s="2"/>
    </row>
    <row r="5591" spans="1:39">
      <c r="A5591" s="2"/>
      <c r="AM5591" s="2"/>
    </row>
    <row r="5592" spans="1:39">
      <c r="A5592" s="2"/>
      <c r="AM5592" s="2"/>
    </row>
    <row r="5593" spans="1:39">
      <c r="A5593" s="2"/>
      <c r="AM5593" s="2"/>
    </row>
    <row r="5594" spans="1:39">
      <c r="A5594" s="2"/>
      <c r="AM5594" s="2"/>
    </row>
    <row r="5595" spans="1:39">
      <c r="A5595" s="2"/>
      <c r="AM5595" s="2"/>
    </row>
    <row r="5596" spans="1:39">
      <c r="A5596" s="2"/>
      <c r="AM5596" s="2"/>
    </row>
    <row r="5597" spans="1:39">
      <c r="A5597" s="2"/>
      <c r="AM5597" s="2"/>
    </row>
    <row r="5598" spans="1:39">
      <c r="A5598" s="2"/>
      <c r="AM5598" s="2"/>
    </row>
    <row r="5599" spans="1:39">
      <c r="A5599" s="2"/>
      <c r="AM5599" s="2"/>
    </row>
    <row r="5600" spans="1:39">
      <c r="A5600" s="2"/>
      <c r="AM5600" s="2"/>
    </row>
    <row r="5601" spans="1:39">
      <c r="A5601" s="2"/>
      <c r="AM5601" s="2"/>
    </row>
    <row r="5602" spans="1:39">
      <c r="A5602" s="2"/>
      <c r="AM5602" s="2"/>
    </row>
    <row r="5603" spans="1:39">
      <c r="A5603" s="2"/>
      <c r="AM5603" s="2"/>
    </row>
    <row r="5604" spans="1:39">
      <c r="A5604" s="2"/>
      <c r="AM5604" s="2"/>
    </row>
    <row r="5605" spans="1:39">
      <c r="A5605" s="2"/>
      <c r="AM5605" s="2"/>
    </row>
    <row r="5606" spans="1:39">
      <c r="A5606" s="2"/>
      <c r="AM5606" s="2"/>
    </row>
    <row r="5607" spans="1:39">
      <c r="A5607" s="2"/>
      <c r="AM5607" s="2"/>
    </row>
    <row r="5608" spans="1:39">
      <c r="A5608" s="2"/>
      <c r="AM5608" s="2"/>
    </row>
    <row r="5609" spans="1:39">
      <c r="A5609" s="2"/>
      <c r="AM5609" s="2"/>
    </row>
    <row r="5610" spans="1:39">
      <c r="A5610" s="2"/>
      <c r="AM5610" s="2"/>
    </row>
    <row r="5611" spans="1:39">
      <c r="A5611" s="2"/>
      <c r="AM5611" s="2"/>
    </row>
    <row r="5612" spans="1:39">
      <c r="A5612" s="2"/>
      <c r="AM5612" s="2"/>
    </row>
    <row r="5613" spans="1:39">
      <c r="A5613" s="2"/>
      <c r="AM5613" s="2"/>
    </row>
    <row r="5614" spans="1:39">
      <c r="A5614" s="2"/>
      <c r="AM5614" s="2"/>
    </row>
    <row r="5615" spans="1:39">
      <c r="A5615" s="2"/>
      <c r="AM5615" s="2"/>
    </row>
    <row r="5616" spans="1:39">
      <c r="A5616" s="2"/>
      <c r="AM5616" s="2"/>
    </row>
    <row r="5617" spans="1:39">
      <c r="A5617" s="2"/>
      <c r="AM5617" s="2"/>
    </row>
    <row r="5618" spans="1:39">
      <c r="A5618" s="2"/>
      <c r="AM5618" s="2"/>
    </row>
    <row r="5619" spans="1:39">
      <c r="A5619" s="2"/>
      <c r="AM5619" s="2"/>
    </row>
    <row r="5620" spans="1:39">
      <c r="A5620" s="2"/>
      <c r="AM5620" s="2"/>
    </row>
    <row r="5621" spans="1:39">
      <c r="A5621" s="2"/>
      <c r="AM5621" s="2"/>
    </row>
    <row r="5622" spans="1:39">
      <c r="A5622" s="2"/>
      <c r="AM5622" s="2"/>
    </row>
    <row r="5623" spans="1:39">
      <c r="A5623" s="2"/>
      <c r="AM5623" s="2"/>
    </row>
    <row r="5624" spans="1:39">
      <c r="A5624" s="2"/>
      <c r="AM5624" s="2"/>
    </row>
    <row r="5625" spans="1:39">
      <c r="A5625" s="2"/>
      <c r="AM5625" s="2"/>
    </row>
    <row r="5626" spans="1:39">
      <c r="A5626" s="2"/>
      <c r="AM5626" s="2"/>
    </row>
    <row r="5627" spans="1:39">
      <c r="A5627" s="2"/>
      <c r="AM5627" s="2"/>
    </row>
    <row r="5628" spans="1:39">
      <c r="A5628" s="2"/>
      <c r="AM5628" s="2"/>
    </row>
    <row r="5629" spans="1:39">
      <c r="A5629" s="2"/>
      <c r="AM5629" s="2"/>
    </row>
    <row r="5630" spans="1:39">
      <c r="A5630" s="2"/>
      <c r="AM5630" s="2"/>
    </row>
    <row r="5631" spans="1:39">
      <c r="A5631" s="2"/>
      <c r="AM5631" s="2"/>
    </row>
    <row r="5632" spans="1:39">
      <c r="A5632" s="2"/>
      <c r="AM5632" s="2"/>
    </row>
    <row r="5633" spans="1:39">
      <c r="A5633" s="2"/>
      <c r="AM5633" s="2"/>
    </row>
    <row r="5634" spans="1:39">
      <c r="A5634" s="2"/>
      <c r="AM5634" s="2"/>
    </row>
    <row r="5635" spans="1:39">
      <c r="A5635" s="2"/>
      <c r="AM5635" s="2"/>
    </row>
    <row r="5636" spans="1:39">
      <c r="A5636" s="2"/>
      <c r="AM5636" s="2"/>
    </row>
    <row r="5637" spans="1:39">
      <c r="A5637" s="2"/>
      <c r="AM5637" s="2"/>
    </row>
    <row r="5638" spans="1:39">
      <c r="A5638" s="2"/>
      <c r="AM5638" s="2"/>
    </row>
    <row r="5639" spans="1:39">
      <c r="A5639" s="2"/>
      <c r="AM5639" s="2"/>
    </row>
    <row r="5640" spans="1:39">
      <c r="A5640" s="2"/>
      <c r="AM5640" s="2"/>
    </row>
    <row r="5641" spans="1:39">
      <c r="A5641" s="2"/>
      <c r="AM5641" s="2"/>
    </row>
    <row r="5642" spans="1:39">
      <c r="A5642" s="2"/>
      <c r="AM5642" s="2"/>
    </row>
    <row r="5643" spans="1:39">
      <c r="A5643" s="2"/>
      <c r="AM5643" s="2"/>
    </row>
    <row r="5644" spans="1:39">
      <c r="A5644" s="2"/>
      <c r="AM5644" s="2"/>
    </row>
    <row r="5645" spans="1:39">
      <c r="A5645" s="2"/>
      <c r="AM5645" s="2"/>
    </row>
    <row r="5646" spans="1:39">
      <c r="A5646" s="2"/>
      <c r="AM5646" s="2"/>
    </row>
    <row r="5647" spans="1:39">
      <c r="A5647" s="2"/>
      <c r="AM5647" s="2"/>
    </row>
    <row r="5648" spans="1:39">
      <c r="A5648" s="2"/>
      <c r="AM5648" s="2"/>
    </row>
    <row r="5649" spans="1:39">
      <c r="A5649" s="2"/>
      <c r="AM5649" s="2"/>
    </row>
    <row r="5650" spans="1:39">
      <c r="A5650" s="2"/>
      <c r="AM5650" s="2"/>
    </row>
    <row r="5651" spans="1:39">
      <c r="A5651" s="2"/>
      <c r="AM5651" s="2"/>
    </row>
    <row r="5652" spans="1:39">
      <c r="A5652" s="2"/>
      <c r="AM5652" s="2"/>
    </row>
    <row r="5653" spans="1:39">
      <c r="A5653" s="2"/>
      <c r="AM5653" s="2"/>
    </row>
    <row r="5654" spans="1:39">
      <c r="A5654" s="2"/>
      <c r="AM5654" s="2"/>
    </row>
    <row r="5655" spans="1:39">
      <c r="A5655" s="2"/>
      <c r="AM5655" s="2"/>
    </row>
    <row r="5656" spans="1:39">
      <c r="A5656" s="2"/>
      <c r="AM5656" s="2"/>
    </row>
    <row r="5657" spans="1:39">
      <c r="A5657" s="2"/>
      <c r="AM5657" s="2"/>
    </row>
    <row r="5658" spans="1:39">
      <c r="A5658" s="2"/>
      <c r="AM5658" s="2"/>
    </row>
    <row r="5659" spans="1:39">
      <c r="A5659" s="2"/>
      <c r="AM5659" s="2"/>
    </row>
    <row r="5660" spans="1:39">
      <c r="A5660" s="2"/>
      <c r="AM5660" s="2"/>
    </row>
    <row r="5661" spans="1:39">
      <c r="A5661" s="2"/>
      <c r="AM5661" s="2"/>
    </row>
    <row r="5662" spans="1:39">
      <c r="A5662" s="2"/>
      <c r="AM5662" s="2"/>
    </row>
    <row r="5663" spans="1:39">
      <c r="A5663" s="2"/>
      <c r="AM5663" s="2"/>
    </row>
    <row r="5664" spans="1:39">
      <c r="A5664" s="2"/>
      <c r="AM5664" s="2"/>
    </row>
    <row r="5665" spans="1:39">
      <c r="A5665" s="2"/>
      <c r="AM5665" s="2"/>
    </row>
    <row r="5666" spans="1:39">
      <c r="A5666" s="2"/>
      <c r="AM5666" s="2"/>
    </row>
    <row r="5667" spans="1:39">
      <c r="A5667" s="2"/>
      <c r="AM5667" s="2"/>
    </row>
    <row r="5668" spans="1:39">
      <c r="A5668" s="2"/>
      <c r="AM5668" s="2"/>
    </row>
    <row r="5669" spans="1:39">
      <c r="A5669" s="2"/>
      <c r="AM5669" s="2"/>
    </row>
    <row r="5670" spans="1:39">
      <c r="A5670" s="2"/>
      <c r="AM5670" s="2"/>
    </row>
    <row r="5671" spans="1:39">
      <c r="A5671" s="2"/>
      <c r="AM5671" s="2"/>
    </row>
    <row r="5672" spans="1:39">
      <c r="A5672" s="2"/>
      <c r="AM5672" s="2"/>
    </row>
    <row r="5673" spans="1:39">
      <c r="A5673" s="2"/>
      <c r="AM5673" s="2"/>
    </row>
    <row r="5674" spans="1:39">
      <c r="A5674" s="2"/>
      <c r="AM5674" s="2"/>
    </row>
    <row r="5675" spans="1:39">
      <c r="A5675" s="2"/>
      <c r="AM5675" s="2"/>
    </row>
    <row r="5676" spans="1:39">
      <c r="A5676" s="2"/>
      <c r="AM5676" s="2"/>
    </row>
    <row r="5677" spans="1:39">
      <c r="A5677" s="2"/>
      <c r="AM5677" s="2"/>
    </row>
    <row r="5678" spans="1:39">
      <c r="A5678" s="2"/>
      <c r="AM5678" s="2"/>
    </row>
    <row r="5679" spans="1:39">
      <c r="A5679" s="2"/>
      <c r="AM5679" s="2"/>
    </row>
    <row r="5680" spans="1:39">
      <c r="A5680" s="2"/>
      <c r="AM5680" s="2"/>
    </row>
    <row r="5681" spans="1:39">
      <c r="A5681" s="2"/>
      <c r="AM5681" s="2"/>
    </row>
    <row r="5682" spans="1:39">
      <c r="A5682" s="2"/>
      <c r="AM5682" s="2"/>
    </row>
    <row r="5683" spans="1:39">
      <c r="A5683" s="2"/>
      <c r="AM5683" s="2"/>
    </row>
    <row r="5684" spans="1:39">
      <c r="A5684" s="2"/>
      <c r="AM5684" s="2"/>
    </row>
    <row r="5685" spans="1:39">
      <c r="A5685" s="2"/>
      <c r="AM5685" s="2"/>
    </row>
    <row r="5686" spans="1:39">
      <c r="A5686" s="2"/>
      <c r="AM5686" s="2"/>
    </row>
    <row r="5687" spans="1:39">
      <c r="A5687" s="2"/>
      <c r="AM5687" s="2"/>
    </row>
    <row r="5688" spans="1:39">
      <c r="A5688" s="2"/>
      <c r="AM5688" s="2"/>
    </row>
    <row r="5689" spans="1:39">
      <c r="A5689" s="2"/>
      <c r="AM5689" s="2"/>
    </row>
    <row r="5690" spans="1:39">
      <c r="A5690" s="2"/>
      <c r="AM5690" s="2"/>
    </row>
    <row r="5691" spans="1:39">
      <c r="A5691" s="2"/>
      <c r="AM5691" s="2"/>
    </row>
    <row r="5692" spans="1:39">
      <c r="A5692" s="2"/>
      <c r="AM5692" s="2"/>
    </row>
    <row r="5693" spans="1:39">
      <c r="A5693" s="2"/>
      <c r="AM5693" s="2"/>
    </row>
    <row r="5694" spans="1:39">
      <c r="A5694" s="2"/>
      <c r="AM5694" s="2"/>
    </row>
    <row r="5695" spans="1:39">
      <c r="A5695" s="2"/>
      <c r="AM5695" s="2"/>
    </row>
    <row r="5696" spans="1:39">
      <c r="A5696" s="2"/>
      <c r="AM5696" s="2"/>
    </row>
    <row r="5697" spans="1:39">
      <c r="A5697" s="2"/>
      <c r="AM5697" s="2"/>
    </row>
    <row r="5698" spans="1:39">
      <c r="A5698" s="2"/>
      <c r="AM5698" s="2"/>
    </row>
    <row r="5699" spans="1:39">
      <c r="A5699" s="2"/>
      <c r="AM5699" s="2"/>
    </row>
    <row r="5700" spans="1:39">
      <c r="A5700" s="2"/>
      <c r="AM5700" s="2"/>
    </row>
    <row r="5701" spans="1:39">
      <c r="A5701" s="2"/>
      <c r="AM5701" s="2"/>
    </row>
    <row r="5702" spans="1:39">
      <c r="A5702" s="2"/>
      <c r="AM5702" s="2"/>
    </row>
    <row r="5703" spans="1:39">
      <c r="A5703" s="2"/>
      <c r="AM5703" s="2"/>
    </row>
    <row r="5704" spans="1:39">
      <c r="A5704" s="2"/>
      <c r="AM5704" s="2"/>
    </row>
    <row r="5705" spans="1:39">
      <c r="A5705" s="2"/>
      <c r="AM5705" s="2"/>
    </row>
    <row r="5706" spans="1:39">
      <c r="A5706" s="2"/>
      <c r="AM5706" s="2"/>
    </row>
    <row r="5707" spans="1:39">
      <c r="A5707" s="2"/>
      <c r="AM5707" s="2"/>
    </row>
    <row r="5708" spans="1:39">
      <c r="A5708" s="2"/>
      <c r="AM5708" s="2"/>
    </row>
    <row r="5709" spans="1:39">
      <c r="A5709" s="2"/>
      <c r="AM5709" s="2"/>
    </row>
    <row r="5710" spans="1:39">
      <c r="A5710" s="2"/>
      <c r="AM5710" s="2"/>
    </row>
    <row r="5711" spans="1:39">
      <c r="A5711" s="2"/>
      <c r="AM5711" s="2"/>
    </row>
    <row r="5712" spans="1:39">
      <c r="A5712" s="2"/>
      <c r="AM5712" s="2"/>
    </row>
    <row r="5713" spans="1:39">
      <c r="A5713" s="2"/>
      <c r="AM5713" s="2"/>
    </row>
    <row r="5714" spans="1:39">
      <c r="A5714" s="2"/>
      <c r="AM5714" s="2"/>
    </row>
    <row r="5715" spans="1:39">
      <c r="A5715" s="2"/>
      <c r="AM5715" s="2"/>
    </row>
    <row r="5716" spans="1:39">
      <c r="A5716" s="2"/>
      <c r="AM5716" s="2"/>
    </row>
    <row r="5717" spans="1:39">
      <c r="A5717" s="2"/>
      <c r="AM5717" s="2"/>
    </row>
    <row r="5718" spans="1:39">
      <c r="A5718" s="2"/>
      <c r="AM5718" s="2"/>
    </row>
    <row r="5719" spans="1:39">
      <c r="A5719" s="2"/>
      <c r="AM5719" s="2"/>
    </row>
    <row r="5720" spans="1:39">
      <c r="A5720" s="2"/>
      <c r="AM5720" s="2"/>
    </row>
    <row r="5721" spans="1:39">
      <c r="A5721" s="2"/>
      <c r="AM5721" s="2"/>
    </row>
    <row r="5722" spans="1:39">
      <c r="A5722" s="2"/>
      <c r="AM5722" s="2"/>
    </row>
    <row r="5723" spans="1:39">
      <c r="A5723" s="2"/>
      <c r="AM5723" s="2"/>
    </row>
    <row r="5724" spans="1:39">
      <c r="A5724" s="2"/>
      <c r="AM5724" s="2"/>
    </row>
    <row r="5725" spans="1:39">
      <c r="A5725" s="2"/>
      <c r="AM5725" s="2"/>
    </row>
    <row r="5726" spans="1:39">
      <c r="A5726" s="2"/>
      <c r="AM5726" s="2"/>
    </row>
    <row r="5727" spans="1:39">
      <c r="A5727" s="2"/>
      <c r="AM5727" s="2"/>
    </row>
    <row r="5728" spans="1:39">
      <c r="A5728" s="2"/>
      <c r="AM5728" s="2"/>
    </row>
    <row r="5729" spans="1:39">
      <c r="A5729" s="2"/>
      <c r="AM5729" s="2"/>
    </row>
    <row r="5730" spans="1:39">
      <c r="A5730" s="2"/>
      <c r="AM5730" s="2"/>
    </row>
    <row r="5731" spans="1:39">
      <c r="A5731" s="2"/>
      <c r="AM5731" s="2"/>
    </row>
    <row r="5732" spans="1:39">
      <c r="A5732" s="2"/>
      <c r="AM5732" s="2"/>
    </row>
    <row r="5733" spans="1:39">
      <c r="A5733" s="2"/>
      <c r="AM5733" s="2"/>
    </row>
    <row r="5734" spans="1:39">
      <c r="A5734" s="2"/>
      <c r="AM5734" s="2"/>
    </row>
    <row r="5735" spans="1:39">
      <c r="A5735" s="2"/>
      <c r="AM5735" s="2"/>
    </row>
    <row r="5736" spans="1:39">
      <c r="A5736" s="2"/>
      <c r="AM5736" s="2"/>
    </row>
    <row r="5737" spans="1:39">
      <c r="A5737" s="2"/>
      <c r="AM5737" s="2"/>
    </row>
    <row r="5738" spans="1:39">
      <c r="A5738" s="2"/>
      <c r="AM5738" s="2"/>
    </row>
    <row r="5739" spans="1:39">
      <c r="A5739" s="2"/>
      <c r="AM5739" s="2"/>
    </row>
    <row r="5740" spans="1:39">
      <c r="A5740" s="2"/>
      <c r="AM5740" s="2"/>
    </row>
    <row r="5741" spans="1:39">
      <c r="A5741" s="2"/>
      <c r="AM5741" s="2"/>
    </row>
    <row r="5742" spans="1:39">
      <c r="A5742" s="2"/>
      <c r="AM5742" s="2"/>
    </row>
    <row r="5743" spans="1:39">
      <c r="A5743" s="2"/>
      <c r="AM5743" s="2"/>
    </row>
    <row r="5744" spans="1:39">
      <c r="A5744" s="2"/>
      <c r="AM5744" s="2"/>
    </row>
    <row r="5745" spans="1:39">
      <c r="A5745" s="2"/>
      <c r="AM5745" s="2"/>
    </row>
    <row r="5746" spans="1:39">
      <c r="A5746" s="2"/>
      <c r="AM5746" s="2"/>
    </row>
    <row r="5747" spans="1:39">
      <c r="A5747" s="2"/>
      <c r="AM5747" s="2"/>
    </row>
    <row r="5748" spans="1:39">
      <c r="A5748" s="2"/>
      <c r="AM5748" s="2"/>
    </row>
    <row r="5749" spans="1:39">
      <c r="A5749" s="2"/>
      <c r="AM5749" s="2"/>
    </row>
    <row r="5750" spans="1:39">
      <c r="A5750" s="2"/>
      <c r="AM5750" s="2"/>
    </row>
    <row r="5751" spans="1:39">
      <c r="A5751" s="2"/>
      <c r="AM5751" s="2"/>
    </row>
    <row r="5752" spans="1:39">
      <c r="A5752" s="2"/>
      <c r="AM5752" s="2"/>
    </row>
    <row r="5753" spans="1:39">
      <c r="A5753" s="2"/>
      <c r="AM5753" s="2"/>
    </row>
    <row r="5754" spans="1:39">
      <c r="A5754" s="2"/>
      <c r="AM5754" s="2"/>
    </row>
    <row r="5755" spans="1:39">
      <c r="A5755" s="2"/>
      <c r="AM5755" s="2"/>
    </row>
    <row r="5756" spans="1:39">
      <c r="A5756" s="2"/>
      <c r="AM5756" s="2"/>
    </row>
    <row r="5757" spans="1:39">
      <c r="A5757" s="2"/>
      <c r="AM5757" s="2"/>
    </row>
    <row r="5758" spans="1:39">
      <c r="A5758" s="2"/>
      <c r="AM5758" s="2"/>
    </row>
    <row r="5759" spans="1:39">
      <c r="A5759" s="2"/>
      <c r="AM5759" s="2"/>
    </row>
    <row r="5760" spans="1:39">
      <c r="A5760" s="2"/>
      <c r="AM5760" s="2"/>
    </row>
    <row r="5761" spans="1:39">
      <c r="A5761" s="2"/>
      <c r="AM5761" s="2"/>
    </row>
    <row r="5762" spans="1:39">
      <c r="A5762" s="2"/>
      <c r="AM5762" s="2"/>
    </row>
    <row r="5763" spans="1:39">
      <c r="A5763" s="2"/>
      <c r="AM5763" s="2"/>
    </row>
    <row r="5764" spans="1:39">
      <c r="A5764" s="2"/>
      <c r="AM5764" s="2"/>
    </row>
    <row r="5765" spans="1:39">
      <c r="A5765" s="2"/>
      <c r="AM5765" s="2"/>
    </row>
    <row r="5766" spans="1:39">
      <c r="A5766" s="2"/>
      <c r="AM5766" s="2"/>
    </row>
    <row r="5767" spans="1:39">
      <c r="A5767" s="2"/>
      <c r="AM5767" s="2"/>
    </row>
    <row r="5768" spans="1:39">
      <c r="A5768" s="2"/>
      <c r="AM5768" s="2"/>
    </row>
    <row r="5769" spans="1:39">
      <c r="A5769" s="2"/>
      <c r="AM5769" s="2"/>
    </row>
    <row r="5770" spans="1:39">
      <c r="A5770" s="2"/>
      <c r="AM5770" s="2"/>
    </row>
    <row r="5771" spans="1:39">
      <c r="A5771" s="2"/>
      <c r="AM5771" s="2"/>
    </row>
    <row r="5772" spans="1:39">
      <c r="A5772" s="2"/>
      <c r="AM5772" s="2"/>
    </row>
    <row r="5773" spans="1:39">
      <c r="A5773" s="2"/>
      <c r="AM5773" s="2"/>
    </row>
    <row r="5774" spans="1:39">
      <c r="A5774" s="2"/>
      <c r="AM5774" s="2"/>
    </row>
    <row r="5775" spans="1:39">
      <c r="A5775" s="2"/>
      <c r="AM5775" s="2"/>
    </row>
    <row r="5776" spans="1:39">
      <c r="A5776" s="2"/>
      <c r="AM5776" s="2"/>
    </row>
    <row r="5777" spans="1:39">
      <c r="A5777" s="2"/>
      <c r="AM5777" s="2"/>
    </row>
    <row r="5778" spans="1:39">
      <c r="A5778" s="2"/>
      <c r="AM5778" s="2"/>
    </row>
    <row r="5779" spans="1:39">
      <c r="A5779" s="2"/>
      <c r="AM5779" s="2"/>
    </row>
    <row r="5780" spans="1:39">
      <c r="A5780" s="2"/>
      <c r="AM5780" s="2"/>
    </row>
    <row r="5781" spans="1:39">
      <c r="A5781" s="2"/>
      <c r="AM5781" s="2"/>
    </row>
    <row r="5782" spans="1:39">
      <c r="A5782" s="2"/>
      <c r="AM5782" s="2"/>
    </row>
    <row r="5783" spans="1:39">
      <c r="A5783" s="2"/>
      <c r="AM5783" s="2"/>
    </row>
    <row r="5784" spans="1:39">
      <c r="A5784" s="2"/>
      <c r="AM5784" s="2"/>
    </row>
    <row r="5785" spans="1:39">
      <c r="A5785" s="2"/>
      <c r="AM5785" s="2"/>
    </row>
    <row r="5786" spans="1:39">
      <c r="A5786" s="2"/>
      <c r="AM5786" s="2"/>
    </row>
    <row r="5787" spans="1:39">
      <c r="A5787" s="2"/>
      <c r="AM5787" s="2"/>
    </row>
    <row r="5788" spans="1:39">
      <c r="A5788" s="2"/>
      <c r="AM5788" s="2"/>
    </row>
    <row r="5789" spans="1:39">
      <c r="A5789" s="2"/>
      <c r="AM5789" s="2"/>
    </row>
    <row r="5790" spans="1:39">
      <c r="A5790" s="2"/>
      <c r="AM5790" s="2"/>
    </row>
    <row r="5791" spans="1:39">
      <c r="A5791" s="2"/>
      <c r="AM5791" s="2"/>
    </row>
    <row r="5792" spans="1:39">
      <c r="A5792" s="2"/>
      <c r="AM5792" s="2"/>
    </row>
    <row r="5793" spans="1:39">
      <c r="A5793" s="2"/>
      <c r="AM5793" s="2"/>
    </row>
    <row r="5794" spans="1:39">
      <c r="A5794" s="2"/>
      <c r="AM5794" s="2"/>
    </row>
    <row r="5795" spans="1:39">
      <c r="A5795" s="2"/>
      <c r="AM5795" s="2"/>
    </row>
    <row r="5796" spans="1:39">
      <c r="A5796" s="2"/>
      <c r="AM5796" s="2"/>
    </row>
    <row r="5797" spans="1:39">
      <c r="A5797" s="2"/>
      <c r="AM5797" s="2"/>
    </row>
    <row r="5798" spans="1:39">
      <c r="A5798" s="2"/>
      <c r="AM5798" s="2"/>
    </row>
    <row r="5799" spans="1:39">
      <c r="A5799" s="2"/>
      <c r="AM5799" s="2"/>
    </row>
    <row r="5800" spans="1:39">
      <c r="A5800" s="2"/>
      <c r="AM5800" s="2"/>
    </row>
    <row r="5801" spans="1:39">
      <c r="A5801" s="2"/>
      <c r="AM5801" s="2"/>
    </row>
    <row r="5802" spans="1:39">
      <c r="A5802" s="2"/>
      <c r="AM5802" s="2"/>
    </row>
    <row r="5803" spans="1:39">
      <c r="A5803" s="2"/>
      <c r="AM5803" s="2"/>
    </row>
    <row r="5804" spans="1:39">
      <c r="A5804" s="2"/>
      <c r="AM5804" s="2"/>
    </row>
    <row r="5805" spans="1:39">
      <c r="A5805" s="2"/>
      <c r="AM5805" s="2"/>
    </row>
    <row r="5806" spans="1:39">
      <c r="A5806" s="2"/>
      <c r="AM5806" s="2"/>
    </row>
    <row r="5807" spans="1:39">
      <c r="A5807" s="2"/>
      <c r="AM5807" s="2"/>
    </row>
    <row r="5808" spans="1:39">
      <c r="A5808" s="2"/>
      <c r="AM5808" s="2"/>
    </row>
    <row r="5809" spans="1:39">
      <c r="A5809" s="2"/>
      <c r="AM5809" s="2"/>
    </row>
    <row r="5810" spans="1:39">
      <c r="A5810" s="2"/>
      <c r="AM5810" s="2"/>
    </row>
    <row r="5811" spans="1:39">
      <c r="A5811" s="2"/>
      <c r="AM5811" s="2"/>
    </row>
    <row r="5812" spans="1:39">
      <c r="A5812" s="2"/>
      <c r="AM5812" s="2"/>
    </row>
    <row r="5813" spans="1:39">
      <c r="A5813" s="2"/>
      <c r="AM5813" s="2"/>
    </row>
    <row r="5814" spans="1:39">
      <c r="A5814" s="2"/>
      <c r="AM5814" s="2"/>
    </row>
    <row r="5815" spans="1:39">
      <c r="A5815" s="2"/>
      <c r="AM5815" s="2"/>
    </row>
    <row r="5816" spans="1:39">
      <c r="A5816" s="2"/>
      <c r="AM5816" s="2"/>
    </row>
    <row r="5817" spans="1:39">
      <c r="A5817" s="2"/>
      <c r="AM5817" s="2"/>
    </row>
    <row r="5818" spans="1:39">
      <c r="A5818" s="2"/>
      <c r="AM5818" s="2"/>
    </row>
    <row r="5819" spans="1:39">
      <c r="A5819" s="2"/>
      <c r="AM5819" s="2"/>
    </row>
    <row r="5820" spans="1:39">
      <c r="A5820" s="2"/>
      <c r="AM5820" s="2"/>
    </row>
    <row r="5821" spans="1:39">
      <c r="A5821" s="2"/>
      <c r="AM5821" s="2"/>
    </row>
    <row r="5822" spans="1:39">
      <c r="A5822" s="2"/>
      <c r="AM5822" s="2"/>
    </row>
    <row r="5823" spans="1:39">
      <c r="A5823" s="2"/>
      <c r="AM5823" s="2"/>
    </row>
    <row r="5824" spans="1:39">
      <c r="A5824" s="2"/>
      <c r="AM5824" s="2"/>
    </row>
    <row r="5825" spans="1:39">
      <c r="A5825" s="2"/>
      <c r="AM5825" s="2"/>
    </row>
    <row r="5826" spans="1:39">
      <c r="A5826" s="2"/>
      <c r="AM5826" s="2"/>
    </row>
    <row r="5827" spans="1:39">
      <c r="A5827" s="2"/>
      <c r="AM5827" s="2"/>
    </row>
    <row r="5828" spans="1:39">
      <c r="A5828" s="2"/>
      <c r="AM5828" s="2"/>
    </row>
    <row r="5829" spans="1:39">
      <c r="A5829" s="2"/>
      <c r="AM5829" s="2"/>
    </row>
    <row r="5830" spans="1:39">
      <c r="A5830" s="2"/>
      <c r="AM5830" s="2"/>
    </row>
    <row r="5831" spans="1:39">
      <c r="A5831" s="2"/>
      <c r="AM5831" s="2"/>
    </row>
    <row r="5832" spans="1:39">
      <c r="A5832" s="2"/>
      <c r="AM5832" s="2"/>
    </row>
    <row r="5833" spans="1:39">
      <c r="A5833" s="2"/>
      <c r="AM5833" s="2"/>
    </row>
    <row r="5834" spans="1:39">
      <c r="A5834" s="2"/>
      <c r="AM5834" s="2"/>
    </row>
    <row r="5835" spans="1:39">
      <c r="A5835" s="2"/>
      <c r="AM5835" s="2"/>
    </row>
    <row r="5836" spans="1:39">
      <c r="A5836" s="2"/>
      <c r="AM5836" s="2"/>
    </row>
    <row r="5837" spans="1:39">
      <c r="A5837" s="2"/>
      <c r="AM5837" s="2"/>
    </row>
    <row r="5838" spans="1:39">
      <c r="A5838" s="2"/>
      <c r="AM5838" s="2"/>
    </row>
    <row r="5839" spans="1:39">
      <c r="A5839" s="2"/>
      <c r="AM5839" s="2"/>
    </row>
    <row r="5840" spans="1:39">
      <c r="A5840" s="2"/>
      <c r="AM5840" s="2"/>
    </row>
    <row r="5841" spans="1:39">
      <c r="A5841" s="2"/>
      <c r="AM5841" s="2"/>
    </row>
    <row r="5842" spans="1:39">
      <c r="A5842" s="2"/>
      <c r="AM5842" s="2"/>
    </row>
    <row r="5843" spans="1:39">
      <c r="A5843" s="2"/>
      <c r="AM5843" s="2"/>
    </row>
    <row r="5844" spans="1:39">
      <c r="A5844" s="2"/>
      <c r="AM5844" s="2"/>
    </row>
    <row r="5845" spans="1:39">
      <c r="A5845" s="2"/>
      <c r="AM5845" s="2"/>
    </row>
    <row r="5846" spans="1:39">
      <c r="A5846" s="2"/>
      <c r="AM5846" s="2"/>
    </row>
    <row r="5847" spans="1:39">
      <c r="A5847" s="2"/>
      <c r="AM5847" s="2"/>
    </row>
    <row r="5848" spans="1:39">
      <c r="A5848" s="2"/>
      <c r="AM5848" s="2"/>
    </row>
    <row r="5849" spans="1:39">
      <c r="A5849" s="2"/>
      <c r="AM5849" s="2"/>
    </row>
    <row r="5850" spans="1:39">
      <c r="A5850" s="2"/>
      <c r="AM5850" s="2"/>
    </row>
    <row r="5851" spans="1:39">
      <c r="A5851" s="2"/>
      <c r="AM5851" s="2"/>
    </row>
    <row r="5852" spans="1:39">
      <c r="A5852" s="2"/>
      <c r="AM5852" s="2"/>
    </row>
    <row r="5853" spans="1:39">
      <c r="A5853" s="2"/>
      <c r="AM5853" s="2"/>
    </row>
    <row r="5854" spans="1:39">
      <c r="A5854" s="2"/>
      <c r="AM5854" s="2"/>
    </row>
    <row r="5855" spans="1:39">
      <c r="A5855" s="2"/>
      <c r="AM5855" s="2"/>
    </row>
    <row r="5856" spans="1:39">
      <c r="A5856" s="2"/>
      <c r="AM5856" s="2"/>
    </row>
    <row r="5857" spans="1:39">
      <c r="A5857" s="2"/>
      <c r="AM5857" s="2"/>
    </row>
    <row r="5858" spans="1:39">
      <c r="A5858" s="2"/>
      <c r="AM5858" s="2"/>
    </row>
    <row r="5859" spans="1:39">
      <c r="A5859" s="2"/>
      <c r="AM5859" s="2"/>
    </row>
    <row r="5860" spans="1:39">
      <c r="A5860" s="2"/>
      <c r="AM5860" s="2"/>
    </row>
    <row r="5861" spans="1:39">
      <c r="A5861" s="2"/>
      <c r="AM5861" s="2"/>
    </row>
    <row r="5862" spans="1:39">
      <c r="A5862" s="2"/>
      <c r="AM5862" s="2"/>
    </row>
    <row r="5863" spans="1:39">
      <c r="A5863" s="2"/>
      <c r="AM5863" s="2"/>
    </row>
    <row r="5864" spans="1:39">
      <c r="A5864" s="2"/>
      <c r="AM5864" s="2"/>
    </row>
    <row r="5865" spans="1:39">
      <c r="A5865" s="2"/>
      <c r="AM5865" s="2"/>
    </row>
    <row r="5866" spans="1:39">
      <c r="A5866" s="2"/>
      <c r="AM5866" s="2"/>
    </row>
    <row r="5867" spans="1:39">
      <c r="A5867" s="2"/>
      <c r="AM5867" s="2"/>
    </row>
    <row r="5868" spans="1:39">
      <c r="A5868" s="2"/>
      <c r="AM5868" s="2"/>
    </row>
    <row r="5869" spans="1:39">
      <c r="A5869" s="2"/>
      <c r="AM5869" s="2"/>
    </row>
    <row r="5870" spans="1:39">
      <c r="A5870" s="2"/>
      <c r="AM5870" s="2"/>
    </row>
    <row r="5871" spans="1:39">
      <c r="A5871" s="2"/>
      <c r="AM5871" s="2"/>
    </row>
    <row r="5872" spans="1:39">
      <c r="A5872" s="2"/>
      <c r="AM5872" s="2"/>
    </row>
    <row r="5873" spans="1:39">
      <c r="A5873" s="2"/>
      <c r="AM5873" s="2"/>
    </row>
    <row r="5874" spans="1:39">
      <c r="A5874" s="2"/>
      <c r="AM5874" s="2"/>
    </row>
    <row r="5875" spans="1:39">
      <c r="A5875" s="2"/>
      <c r="AM5875" s="2"/>
    </row>
    <row r="5876" spans="1:39">
      <c r="A5876" s="2"/>
      <c r="AM5876" s="2"/>
    </row>
    <row r="5877" spans="1:39">
      <c r="A5877" s="2"/>
      <c r="AM5877" s="2"/>
    </row>
    <row r="5878" spans="1:39">
      <c r="A5878" s="2"/>
      <c r="AM5878" s="2"/>
    </row>
    <row r="5879" spans="1:39">
      <c r="A5879" s="2"/>
      <c r="AM5879" s="2"/>
    </row>
    <row r="5880" spans="1:39">
      <c r="A5880" s="2"/>
      <c r="AM5880" s="2"/>
    </row>
    <row r="5881" spans="1:39">
      <c r="A5881" s="2"/>
      <c r="AM5881" s="2"/>
    </row>
    <row r="5882" spans="1:39">
      <c r="A5882" s="2"/>
      <c r="AM5882" s="2"/>
    </row>
    <row r="5883" spans="1:39">
      <c r="A5883" s="2"/>
      <c r="AM5883" s="2"/>
    </row>
    <row r="5884" spans="1:39">
      <c r="A5884" s="2"/>
      <c r="AM5884" s="2"/>
    </row>
    <row r="5885" spans="1:39">
      <c r="A5885" s="2"/>
      <c r="AM5885" s="2"/>
    </row>
    <row r="5886" spans="1:39">
      <c r="A5886" s="2"/>
      <c r="AM5886" s="2"/>
    </row>
    <row r="5887" spans="1:39">
      <c r="A5887" s="2"/>
      <c r="AM5887" s="2"/>
    </row>
    <row r="5888" spans="1:39">
      <c r="A5888" s="2"/>
      <c r="AM5888" s="2"/>
    </row>
    <row r="5889" spans="1:39">
      <c r="A5889" s="2"/>
      <c r="AM5889" s="2"/>
    </row>
    <row r="5890" spans="1:39">
      <c r="A5890" s="2"/>
      <c r="AM5890" s="2"/>
    </row>
    <row r="5891" spans="1:39">
      <c r="A5891" s="2"/>
      <c r="AM5891" s="2"/>
    </row>
    <row r="5892" spans="1:39">
      <c r="A5892" s="2"/>
      <c r="AM5892" s="2"/>
    </row>
    <row r="5893" spans="1:39">
      <c r="A5893" s="2"/>
      <c r="AM5893" s="2"/>
    </row>
    <row r="5894" spans="1:39">
      <c r="A5894" s="2"/>
      <c r="AM5894" s="2"/>
    </row>
    <row r="5895" spans="1:39">
      <c r="A5895" s="2"/>
      <c r="AM5895" s="2"/>
    </row>
    <row r="5896" spans="1:39">
      <c r="A5896" s="2"/>
      <c r="AM5896" s="2"/>
    </row>
    <row r="5897" spans="1:39">
      <c r="A5897" s="2"/>
      <c r="AM5897" s="2"/>
    </row>
    <row r="5898" spans="1:39">
      <c r="A5898" s="2"/>
      <c r="AM5898" s="2"/>
    </row>
    <row r="5899" spans="1:39">
      <c r="A5899" s="2"/>
      <c r="AM5899" s="2"/>
    </row>
    <row r="5900" spans="1:39">
      <c r="A5900" s="2"/>
      <c r="AM5900" s="2"/>
    </row>
    <row r="5901" spans="1:39">
      <c r="A5901" s="2"/>
      <c r="AM5901" s="2"/>
    </row>
    <row r="5902" spans="1:39">
      <c r="A5902" s="2"/>
      <c r="AM5902" s="2"/>
    </row>
    <row r="5903" spans="1:39">
      <c r="A5903" s="2"/>
      <c r="AM5903" s="2"/>
    </row>
    <row r="5904" spans="1:39">
      <c r="A5904" s="2"/>
      <c r="AM5904" s="2"/>
    </row>
    <row r="5905" spans="1:39">
      <c r="A5905" s="2"/>
      <c r="AM5905" s="2"/>
    </row>
    <row r="5906" spans="1:39">
      <c r="A5906" s="2"/>
      <c r="AM5906" s="2"/>
    </row>
    <row r="5907" spans="1:39">
      <c r="A5907" s="2"/>
      <c r="AM5907" s="2"/>
    </row>
    <row r="5908" spans="1:39">
      <c r="A5908" s="2"/>
      <c r="AM5908" s="2"/>
    </row>
    <row r="5909" spans="1:39">
      <c r="A5909" s="2"/>
      <c r="AM5909" s="2"/>
    </row>
    <row r="5910" spans="1:39">
      <c r="A5910" s="2"/>
      <c r="AM5910" s="2"/>
    </row>
    <row r="5911" spans="1:39">
      <c r="A5911" s="2"/>
      <c r="AM5911" s="2"/>
    </row>
    <row r="5912" spans="1:39">
      <c r="A5912" s="2"/>
      <c r="AM5912" s="2"/>
    </row>
    <row r="5913" spans="1:39">
      <c r="A5913" s="2"/>
      <c r="AM5913" s="2"/>
    </row>
    <row r="5914" spans="1:39">
      <c r="A5914" s="2"/>
      <c r="AM5914" s="2"/>
    </row>
    <row r="5915" spans="1:39">
      <c r="A5915" s="2"/>
      <c r="AM5915" s="2"/>
    </row>
    <row r="5916" spans="1:39">
      <c r="A5916" s="2"/>
      <c r="AM5916" s="2"/>
    </row>
    <row r="5917" spans="1:39">
      <c r="A5917" s="2"/>
      <c r="AM5917" s="2"/>
    </row>
    <row r="5918" spans="1:39">
      <c r="A5918" s="2"/>
      <c r="AM5918" s="2"/>
    </row>
    <row r="5919" spans="1:39">
      <c r="A5919" s="2"/>
      <c r="AM5919" s="2"/>
    </row>
    <row r="5920" spans="1:39">
      <c r="A5920" s="2"/>
      <c r="AM5920" s="2"/>
    </row>
    <row r="5921" spans="1:39">
      <c r="A5921" s="2"/>
      <c r="AM5921" s="2"/>
    </row>
    <row r="5922" spans="1:39">
      <c r="A5922" s="2"/>
      <c r="AM5922" s="2"/>
    </row>
    <row r="5923" spans="1:39">
      <c r="A5923" s="2"/>
      <c r="AM5923" s="2"/>
    </row>
    <row r="5924" spans="1:39">
      <c r="A5924" s="2"/>
      <c r="AM5924" s="2"/>
    </row>
    <row r="5925" spans="1:39">
      <c r="A5925" s="2"/>
      <c r="AM5925" s="2"/>
    </row>
    <row r="5926" spans="1:39">
      <c r="A5926" s="2"/>
      <c r="AM5926" s="2"/>
    </row>
    <row r="5927" spans="1:39">
      <c r="A5927" s="2"/>
      <c r="AM5927" s="2"/>
    </row>
    <row r="5928" spans="1:39">
      <c r="A5928" s="2"/>
      <c r="AM5928" s="2"/>
    </row>
    <row r="5929" spans="1:39">
      <c r="A5929" s="2"/>
      <c r="AM5929" s="2"/>
    </row>
    <row r="5930" spans="1:39">
      <c r="A5930" s="2"/>
      <c r="AM5930" s="2"/>
    </row>
    <row r="5931" spans="1:39">
      <c r="A5931" s="2"/>
      <c r="AM5931" s="2"/>
    </row>
    <row r="5932" spans="1:39">
      <c r="A5932" s="2"/>
      <c r="AM5932" s="2"/>
    </row>
    <row r="5933" spans="1:39">
      <c r="A5933" s="2"/>
      <c r="AM5933" s="2"/>
    </row>
    <row r="5934" spans="1:39">
      <c r="A5934" s="2"/>
      <c r="AM5934" s="2"/>
    </row>
    <row r="5935" spans="1:39">
      <c r="A5935" s="2"/>
      <c r="AM5935" s="2"/>
    </row>
    <row r="5936" spans="1:39">
      <c r="A5936" s="2"/>
      <c r="AM5936" s="2"/>
    </row>
    <row r="5937" spans="1:39">
      <c r="A5937" s="2"/>
      <c r="AM5937" s="2"/>
    </row>
    <row r="5938" spans="1:39">
      <c r="A5938" s="2"/>
      <c r="AM5938" s="2"/>
    </row>
    <row r="5939" spans="1:39">
      <c r="A5939" s="2"/>
      <c r="AM5939" s="2"/>
    </row>
    <row r="5940" spans="1:39">
      <c r="A5940" s="2"/>
      <c r="AM5940" s="2"/>
    </row>
    <row r="5941" spans="1:39">
      <c r="A5941" s="2"/>
      <c r="AM5941" s="2"/>
    </row>
    <row r="5942" spans="1:39">
      <c r="A5942" s="2"/>
      <c r="AM5942" s="2"/>
    </row>
    <row r="5943" spans="1:39">
      <c r="A5943" s="2"/>
      <c r="AM5943" s="2"/>
    </row>
    <row r="5944" spans="1:39">
      <c r="A5944" s="2"/>
      <c r="AM5944" s="2"/>
    </row>
    <row r="5945" spans="1:39">
      <c r="A5945" s="2"/>
      <c r="AM5945" s="2"/>
    </row>
    <row r="5946" spans="1:39">
      <c r="A5946" s="2"/>
      <c r="AM5946" s="2"/>
    </row>
    <row r="5947" spans="1:39">
      <c r="A5947" s="2"/>
      <c r="AM5947" s="2"/>
    </row>
    <row r="5948" spans="1:39">
      <c r="A5948" s="2"/>
      <c r="AM5948" s="2"/>
    </row>
    <row r="5949" spans="1:39">
      <c r="A5949" s="2"/>
      <c r="AM5949" s="2"/>
    </row>
    <row r="5950" spans="1:39">
      <c r="A5950" s="2"/>
      <c r="AM5950" s="2"/>
    </row>
    <row r="5951" spans="1:39">
      <c r="A5951" s="2"/>
      <c r="AM5951" s="2"/>
    </row>
    <row r="5952" spans="1:39">
      <c r="A5952" s="2"/>
      <c r="AM5952" s="2"/>
    </row>
    <row r="5953" spans="1:39">
      <c r="A5953" s="2"/>
      <c r="AM5953" s="2"/>
    </row>
    <row r="5954" spans="1:39">
      <c r="A5954" s="2"/>
      <c r="AM5954" s="2"/>
    </row>
    <row r="5955" spans="1:39">
      <c r="A5955" s="2"/>
      <c r="AM5955" s="2"/>
    </row>
    <row r="5956" spans="1:39">
      <c r="A5956" s="2"/>
      <c r="AM5956" s="2"/>
    </row>
    <row r="5957" spans="1:39">
      <c r="A5957" s="2"/>
      <c r="AM5957" s="2"/>
    </row>
    <row r="5958" spans="1:39">
      <c r="A5958" s="2"/>
      <c r="AM5958" s="2"/>
    </row>
    <row r="5959" spans="1:39">
      <c r="A5959" s="2"/>
      <c r="AM5959" s="2"/>
    </row>
    <row r="5960" spans="1:39">
      <c r="A5960" s="2"/>
      <c r="AM5960" s="2"/>
    </row>
    <row r="5961" spans="1:39">
      <c r="A5961" s="2"/>
      <c r="AM5961" s="2"/>
    </row>
    <row r="5962" spans="1:39">
      <c r="A5962" s="2"/>
      <c r="AM5962" s="2"/>
    </row>
    <row r="5963" spans="1:39">
      <c r="A5963" s="2"/>
      <c r="AM5963" s="2"/>
    </row>
    <row r="5964" spans="1:39">
      <c r="A5964" s="2"/>
      <c r="AM5964" s="2"/>
    </row>
    <row r="5965" spans="1:39">
      <c r="A5965" s="2"/>
      <c r="AM5965" s="2"/>
    </row>
    <row r="5966" spans="1:39">
      <c r="A5966" s="2"/>
      <c r="AM5966" s="2"/>
    </row>
    <row r="5967" spans="1:39">
      <c r="A5967" s="2"/>
      <c r="AM5967" s="2"/>
    </row>
    <row r="5968" spans="1:39">
      <c r="A5968" s="2"/>
      <c r="AM5968" s="2"/>
    </row>
    <row r="5969" spans="1:39">
      <c r="A5969" s="2"/>
      <c r="AM5969" s="2"/>
    </row>
    <row r="5970" spans="1:39">
      <c r="A5970" s="2"/>
      <c r="AM5970" s="2"/>
    </row>
    <row r="5971" spans="1:39">
      <c r="A5971" s="2"/>
      <c r="AM5971" s="2"/>
    </row>
    <row r="5972" spans="1:39">
      <c r="A5972" s="2"/>
      <c r="AM5972" s="2"/>
    </row>
    <row r="5973" spans="1:39">
      <c r="A5973" s="2"/>
      <c r="AM5973" s="2"/>
    </row>
    <row r="5974" spans="1:39">
      <c r="A5974" s="2"/>
      <c r="AM5974" s="2"/>
    </row>
    <row r="5975" spans="1:39">
      <c r="A5975" s="2"/>
      <c r="AM5975" s="2"/>
    </row>
    <row r="5976" spans="1:39">
      <c r="A5976" s="2"/>
      <c r="AM5976" s="2"/>
    </row>
    <row r="5977" spans="1:39">
      <c r="A5977" s="2"/>
      <c r="AM5977" s="2"/>
    </row>
    <row r="5978" spans="1:39">
      <c r="A5978" s="2"/>
      <c r="AM5978" s="2"/>
    </row>
    <row r="5979" spans="1:39">
      <c r="A5979" s="2"/>
      <c r="AM5979" s="2"/>
    </row>
    <row r="5980" spans="1:39">
      <c r="A5980" s="2"/>
      <c r="AM5980" s="2"/>
    </row>
    <row r="5981" spans="1:39">
      <c r="A5981" s="2"/>
      <c r="AM5981" s="2"/>
    </row>
    <row r="5982" spans="1:39">
      <c r="A5982" s="2"/>
      <c r="AM5982" s="2"/>
    </row>
    <row r="5983" spans="1:39">
      <c r="A5983" s="2"/>
      <c r="AM5983" s="2"/>
    </row>
    <row r="5984" spans="1:39">
      <c r="A5984" s="2"/>
      <c r="AM5984" s="2"/>
    </row>
    <row r="5985" spans="1:39">
      <c r="A5985" s="2"/>
      <c r="AM5985" s="2"/>
    </row>
    <row r="5986" spans="1:39">
      <c r="A5986" s="2"/>
      <c r="AM5986" s="2"/>
    </row>
    <row r="5987" spans="1:39">
      <c r="A5987" s="2"/>
      <c r="AM5987" s="2"/>
    </row>
    <row r="5988" spans="1:39">
      <c r="A5988" s="2"/>
      <c r="AM5988" s="2"/>
    </row>
    <row r="5989" spans="1:39">
      <c r="A5989" s="2"/>
      <c r="AM5989" s="2"/>
    </row>
    <row r="5990" spans="1:39">
      <c r="A5990" s="2"/>
      <c r="AM5990" s="2"/>
    </row>
    <row r="5991" spans="1:39">
      <c r="A5991" s="2"/>
      <c r="AM5991" s="2"/>
    </row>
    <row r="5992" spans="1:39">
      <c r="A5992" s="2"/>
      <c r="AM5992" s="2"/>
    </row>
    <row r="5993" spans="1:39">
      <c r="A5993" s="2"/>
      <c r="AM5993" s="2"/>
    </row>
    <row r="5994" spans="1:39">
      <c r="A5994" s="2"/>
      <c r="AM5994" s="2"/>
    </row>
    <row r="5995" spans="1:39">
      <c r="A5995" s="2"/>
      <c r="AM5995" s="2"/>
    </row>
    <row r="5996" spans="1:39">
      <c r="A5996" s="2"/>
      <c r="AM5996" s="2"/>
    </row>
    <row r="5997" spans="1:39">
      <c r="A5997" s="2"/>
      <c r="AM5997" s="2"/>
    </row>
    <row r="5998" spans="1:39">
      <c r="A5998" s="2"/>
      <c r="AM5998" s="2"/>
    </row>
    <row r="5999" spans="1:39">
      <c r="A5999" s="2"/>
      <c r="AM5999" s="2"/>
    </row>
    <row r="6000" spans="1:39">
      <c r="A6000" s="2"/>
      <c r="AM6000" s="2"/>
    </row>
    <row r="6001" spans="1:39">
      <c r="A6001" s="2"/>
      <c r="AM6001" s="2"/>
    </row>
    <row r="6002" spans="1:39">
      <c r="A6002" s="2"/>
      <c r="AM6002" s="2"/>
    </row>
    <row r="6003" spans="1:39">
      <c r="A6003" s="2"/>
      <c r="AM6003" s="2"/>
    </row>
    <row r="6004" spans="1:39">
      <c r="A6004" s="2"/>
      <c r="AM6004" s="2"/>
    </row>
    <row r="6005" spans="1:39">
      <c r="A6005" s="2"/>
      <c r="AM6005" s="2"/>
    </row>
    <row r="6006" spans="1:39">
      <c r="A6006" s="2"/>
      <c r="AM6006" s="2"/>
    </row>
    <row r="6007" spans="1:39">
      <c r="A6007" s="2"/>
      <c r="AM6007" s="2"/>
    </row>
    <row r="6008" spans="1:39">
      <c r="A6008" s="2"/>
      <c r="AM6008" s="2"/>
    </row>
    <row r="6009" spans="1:39">
      <c r="A6009" s="2"/>
      <c r="AM6009" s="2"/>
    </row>
    <row r="6010" spans="1:39">
      <c r="A6010" s="2"/>
      <c r="AM6010" s="2"/>
    </row>
    <row r="6011" spans="1:39">
      <c r="A6011" s="2"/>
      <c r="AM6011" s="2"/>
    </row>
    <row r="6012" spans="1:39">
      <c r="A6012" s="2"/>
      <c r="AM6012" s="2"/>
    </row>
    <row r="6013" spans="1:39">
      <c r="A6013" s="2"/>
      <c r="AM6013" s="2"/>
    </row>
    <row r="6014" spans="1:39">
      <c r="A6014" s="2"/>
      <c r="AM6014" s="2"/>
    </row>
    <row r="6015" spans="1:39">
      <c r="A6015" s="2"/>
      <c r="AM6015" s="2"/>
    </row>
    <row r="6016" spans="1:39">
      <c r="A6016" s="2"/>
      <c r="AM6016" s="2"/>
    </row>
    <row r="6017" spans="1:39">
      <c r="A6017" s="2"/>
      <c r="AM6017" s="2"/>
    </row>
    <row r="6018" spans="1:39">
      <c r="A6018" s="2"/>
      <c r="AM6018" s="2"/>
    </row>
    <row r="6019" spans="1:39">
      <c r="A6019" s="2"/>
      <c r="AM6019" s="2"/>
    </row>
    <row r="6020" spans="1:39">
      <c r="A6020" s="2"/>
      <c r="AM6020" s="2"/>
    </row>
    <row r="6021" spans="1:39">
      <c r="A6021" s="2"/>
      <c r="AM6021" s="2"/>
    </row>
    <row r="6022" spans="1:39">
      <c r="A6022" s="2"/>
      <c r="AM6022" s="2"/>
    </row>
    <row r="6023" spans="1:39">
      <c r="A6023" s="2"/>
      <c r="AM6023" s="2"/>
    </row>
    <row r="6024" spans="1:39">
      <c r="A6024" s="2"/>
      <c r="AM6024" s="2"/>
    </row>
    <row r="6025" spans="1:39">
      <c r="A6025" s="2"/>
      <c r="AM6025" s="2"/>
    </row>
    <row r="6026" spans="1:39">
      <c r="A6026" s="2"/>
      <c r="AM6026" s="2"/>
    </row>
    <row r="6027" spans="1:39">
      <c r="A6027" s="2"/>
      <c r="AM6027" s="2"/>
    </row>
    <row r="6028" spans="1:39">
      <c r="A6028" s="2"/>
      <c r="AM6028" s="2"/>
    </row>
    <row r="6029" spans="1:39">
      <c r="A6029" s="2"/>
      <c r="AM6029" s="2"/>
    </row>
    <row r="6030" spans="1:39">
      <c r="A6030" s="2"/>
      <c r="AM6030" s="2"/>
    </row>
    <row r="6031" spans="1:39">
      <c r="A6031" s="2"/>
      <c r="AM6031" s="2"/>
    </row>
    <row r="6032" spans="1:39">
      <c r="A6032" s="2"/>
      <c r="AM6032" s="2"/>
    </row>
    <row r="6033" spans="1:39">
      <c r="A6033" s="2"/>
      <c r="AM6033" s="2"/>
    </row>
    <row r="6034" spans="1:39">
      <c r="A6034" s="2"/>
      <c r="AM6034" s="2"/>
    </row>
    <row r="6035" spans="1:39">
      <c r="A6035" s="2"/>
      <c r="AM6035" s="2"/>
    </row>
    <row r="6036" spans="1:39">
      <c r="A6036" s="2"/>
      <c r="AM6036" s="2"/>
    </row>
    <row r="6037" spans="1:39">
      <c r="A6037" s="2"/>
      <c r="AM6037" s="2"/>
    </row>
    <row r="6038" spans="1:39">
      <c r="A6038" s="2"/>
      <c r="AM6038" s="2"/>
    </row>
    <row r="6039" spans="1:39">
      <c r="A6039" s="2"/>
      <c r="AM6039" s="2"/>
    </row>
    <row r="6040" spans="1:39">
      <c r="A6040" s="2"/>
      <c r="AM6040" s="2"/>
    </row>
    <row r="6041" spans="1:39">
      <c r="A6041" s="2"/>
      <c r="AM6041" s="2"/>
    </row>
    <row r="6042" spans="1:39">
      <c r="A6042" s="2"/>
      <c r="AM6042" s="2"/>
    </row>
    <row r="6043" spans="1:39">
      <c r="A6043" s="2"/>
      <c r="AM6043" s="2"/>
    </row>
    <row r="6044" spans="1:39">
      <c r="A6044" s="2"/>
      <c r="AM6044" s="2"/>
    </row>
    <row r="6045" spans="1:39">
      <c r="A6045" s="2"/>
      <c r="AM6045" s="2"/>
    </row>
    <row r="6046" spans="1:39">
      <c r="A6046" s="2"/>
      <c r="AM6046" s="2"/>
    </row>
    <row r="6047" spans="1:39">
      <c r="A6047" s="2"/>
      <c r="AM6047" s="2"/>
    </row>
    <row r="6048" spans="1:39">
      <c r="A6048" s="2"/>
      <c r="AM6048" s="2"/>
    </row>
    <row r="6049" spans="1:39">
      <c r="A6049" s="2"/>
      <c r="AM6049" s="2"/>
    </row>
    <row r="6050" spans="1:39">
      <c r="A6050" s="2"/>
      <c r="AM6050" s="2"/>
    </row>
    <row r="6051" spans="1:39">
      <c r="A6051" s="2"/>
      <c r="AM6051" s="2"/>
    </row>
    <row r="6052" spans="1:39">
      <c r="A6052" s="2"/>
      <c r="AM6052" s="2"/>
    </row>
    <row r="6053" spans="1:39">
      <c r="A6053" s="2"/>
      <c r="AM6053" s="2"/>
    </row>
    <row r="6054" spans="1:39">
      <c r="A6054" s="2"/>
      <c r="AM6054" s="2"/>
    </row>
    <row r="6055" spans="1:39">
      <c r="A6055" s="2"/>
      <c r="AM6055" s="2"/>
    </row>
    <row r="6056" spans="1:39">
      <c r="A6056" s="2"/>
      <c r="AM6056" s="2"/>
    </row>
    <row r="6057" spans="1:39">
      <c r="A6057" s="2"/>
      <c r="AM6057" s="2"/>
    </row>
    <row r="6058" spans="1:39">
      <c r="A6058" s="2"/>
      <c r="AM6058" s="2"/>
    </row>
    <row r="6059" spans="1:39">
      <c r="A6059" s="2"/>
      <c r="AM6059" s="2"/>
    </row>
    <row r="6060" spans="1:39">
      <c r="A6060" s="2"/>
      <c r="AM6060" s="2"/>
    </row>
    <row r="6061" spans="1:39">
      <c r="A6061" s="2"/>
      <c r="AM6061" s="2"/>
    </row>
    <row r="6062" spans="1:39">
      <c r="A6062" s="2"/>
      <c r="AM6062" s="2"/>
    </row>
    <row r="6063" spans="1:39">
      <c r="A6063" s="2"/>
      <c r="AM6063" s="2"/>
    </row>
    <row r="6064" spans="1:39">
      <c r="A6064" s="2"/>
      <c r="AM6064" s="2"/>
    </row>
    <row r="6065" spans="1:39">
      <c r="A6065" s="2"/>
      <c r="AM6065" s="2"/>
    </row>
    <row r="6066" spans="1:39">
      <c r="A6066" s="2"/>
      <c r="AM6066" s="2"/>
    </row>
    <row r="6067" spans="1:39">
      <c r="A6067" s="2"/>
      <c r="AM6067" s="2"/>
    </row>
    <row r="6068" spans="1:39">
      <c r="A6068" s="2"/>
      <c r="AM6068" s="2"/>
    </row>
    <row r="6069" spans="1:39">
      <c r="A6069" s="2"/>
      <c r="AM6069" s="2"/>
    </row>
    <row r="6070" spans="1:39">
      <c r="A6070" s="2"/>
      <c r="AM6070" s="2"/>
    </row>
    <row r="6071" spans="1:39">
      <c r="A6071" s="2"/>
      <c r="AM6071" s="2"/>
    </row>
    <row r="6072" spans="1:39">
      <c r="A6072" s="2"/>
      <c r="AM6072" s="2"/>
    </row>
    <row r="6073" spans="1:39">
      <c r="A6073" s="2"/>
      <c r="AM6073" s="2"/>
    </row>
    <row r="6074" spans="1:39">
      <c r="A6074" s="2"/>
      <c r="AM6074" s="2"/>
    </row>
    <row r="6075" spans="1:39">
      <c r="A6075" s="2"/>
      <c r="AM6075" s="2"/>
    </row>
    <row r="6076" spans="1:39">
      <c r="A6076" s="2"/>
      <c r="AM6076" s="2"/>
    </row>
    <row r="6077" spans="1:39">
      <c r="A6077" s="2"/>
      <c r="AM6077" s="2"/>
    </row>
    <row r="6078" spans="1:39">
      <c r="A6078" s="2"/>
      <c r="AM6078" s="2"/>
    </row>
    <row r="6079" spans="1:39">
      <c r="A6079" s="2"/>
      <c r="AM6079" s="2"/>
    </row>
    <row r="6080" spans="1:39">
      <c r="A6080" s="2"/>
      <c r="AM6080" s="2"/>
    </row>
    <row r="6081" spans="1:39">
      <c r="A6081" s="2"/>
      <c r="AM6081" s="2"/>
    </row>
    <row r="6082" spans="1:39">
      <c r="A6082" s="2"/>
      <c r="AM6082" s="2"/>
    </row>
    <row r="6083" spans="1:39">
      <c r="A6083" s="2"/>
      <c r="AM6083" s="2"/>
    </row>
    <row r="6084" spans="1:39">
      <c r="A6084" s="2"/>
      <c r="AM6084" s="2"/>
    </row>
    <row r="6085" spans="1:39">
      <c r="A6085" s="2"/>
      <c r="AM6085" s="2"/>
    </row>
    <row r="6086" spans="1:39">
      <c r="A6086" s="2"/>
      <c r="AM6086" s="2"/>
    </row>
    <row r="6087" spans="1:39">
      <c r="A6087" s="2"/>
      <c r="AM6087" s="2"/>
    </row>
    <row r="6088" spans="1:39">
      <c r="A6088" s="2"/>
      <c r="AM6088" s="2"/>
    </row>
    <row r="6089" spans="1:39">
      <c r="A6089" s="2"/>
      <c r="AM6089" s="2"/>
    </row>
    <row r="6090" spans="1:39">
      <c r="A6090" s="2"/>
      <c r="AM6090" s="2"/>
    </row>
    <row r="6091" spans="1:39">
      <c r="A6091" s="2"/>
      <c r="AM6091" s="2"/>
    </row>
    <row r="6092" spans="1:39">
      <c r="A6092" s="2"/>
      <c r="AM6092" s="2"/>
    </row>
    <row r="6093" spans="1:39">
      <c r="A6093" s="2"/>
      <c r="AM6093" s="2"/>
    </row>
    <row r="6094" spans="1:39">
      <c r="A6094" s="2"/>
      <c r="AM6094" s="2"/>
    </row>
    <row r="6095" spans="1:39">
      <c r="A6095" s="2"/>
      <c r="AM6095" s="2"/>
    </row>
    <row r="6096" spans="1:39">
      <c r="A6096" s="2"/>
      <c r="AM6096" s="2"/>
    </row>
    <row r="6097" spans="1:39">
      <c r="A6097" s="2"/>
      <c r="AM6097" s="2"/>
    </row>
    <row r="6098" spans="1:39">
      <c r="A6098" s="2"/>
      <c r="AM6098" s="2"/>
    </row>
    <row r="6099" spans="1:39">
      <c r="A6099" s="2"/>
      <c r="AM6099" s="2"/>
    </row>
    <row r="6100" spans="1:39">
      <c r="A6100" s="2"/>
      <c r="AM6100" s="2"/>
    </row>
    <row r="6101" spans="1:39">
      <c r="A6101" s="2"/>
      <c r="AM6101" s="2"/>
    </row>
    <row r="6102" spans="1:39">
      <c r="A6102" s="2"/>
      <c r="AM6102" s="2"/>
    </row>
    <row r="6103" spans="1:39">
      <c r="A6103" s="2"/>
      <c r="AM6103" s="2"/>
    </row>
    <row r="6104" spans="1:39">
      <c r="A6104" s="2"/>
      <c r="AM6104" s="2"/>
    </row>
    <row r="6105" spans="1:39">
      <c r="A6105" s="2"/>
      <c r="AM6105" s="2"/>
    </row>
    <row r="6106" spans="1:39">
      <c r="A6106" s="2"/>
      <c r="AM6106" s="2"/>
    </row>
    <row r="6107" spans="1:39">
      <c r="A6107" s="2"/>
      <c r="AM6107" s="2"/>
    </row>
    <row r="6108" spans="1:39">
      <c r="A6108" s="2"/>
      <c r="AM6108" s="2"/>
    </row>
    <row r="6109" spans="1:39">
      <c r="A6109" s="2"/>
      <c r="AM6109" s="2"/>
    </row>
    <row r="6110" spans="1:39">
      <c r="A6110" s="2"/>
      <c r="AM6110" s="2"/>
    </row>
    <row r="6111" spans="1:39">
      <c r="A6111" s="2"/>
      <c r="AM6111" s="2"/>
    </row>
    <row r="6112" spans="1:39">
      <c r="A6112" s="2"/>
      <c r="AM6112" s="2"/>
    </row>
    <row r="6113" spans="1:39">
      <c r="A6113" s="2"/>
      <c r="AM6113" s="2"/>
    </row>
    <row r="6114" spans="1:39">
      <c r="A6114" s="2"/>
      <c r="AM6114" s="2"/>
    </row>
    <row r="6115" spans="1:39">
      <c r="A6115" s="2"/>
      <c r="AM6115" s="2"/>
    </row>
    <row r="6116" spans="1:39">
      <c r="A6116" s="2"/>
      <c r="AM6116" s="2"/>
    </row>
    <row r="6117" spans="1:39">
      <c r="A6117" s="2"/>
      <c r="AM6117" s="2"/>
    </row>
    <row r="6118" spans="1:39">
      <c r="A6118" s="2"/>
      <c r="AM6118" s="2"/>
    </row>
    <row r="6119" spans="1:39">
      <c r="A6119" s="2"/>
      <c r="AM6119" s="2"/>
    </row>
    <row r="6120" spans="1:39">
      <c r="A6120" s="2"/>
      <c r="AM6120" s="2"/>
    </row>
    <row r="6121" spans="1:39">
      <c r="A6121" s="2"/>
      <c r="AM6121" s="2"/>
    </row>
    <row r="6122" spans="1:39">
      <c r="A6122" s="2"/>
      <c r="AM6122" s="2"/>
    </row>
    <row r="6123" spans="1:39">
      <c r="A6123" s="2"/>
      <c r="AM6123" s="2"/>
    </row>
    <row r="6124" spans="1:39">
      <c r="A6124" s="2"/>
      <c r="AM6124" s="2"/>
    </row>
    <row r="6125" spans="1:39">
      <c r="A6125" s="2"/>
      <c r="AM6125" s="2"/>
    </row>
    <row r="6126" spans="1:39">
      <c r="A6126" s="2"/>
      <c r="AM6126" s="2"/>
    </row>
    <row r="6127" spans="1:39">
      <c r="A6127" s="2"/>
      <c r="AM6127" s="2"/>
    </row>
    <row r="6128" spans="1:39">
      <c r="A6128" s="2"/>
      <c r="AM6128" s="2"/>
    </row>
    <row r="6129" spans="1:39">
      <c r="A6129" s="2"/>
      <c r="AM6129" s="2"/>
    </row>
    <row r="6130" spans="1:39">
      <c r="A6130" s="2"/>
      <c r="AM6130" s="2"/>
    </row>
    <row r="6131" spans="1:39">
      <c r="A6131" s="2"/>
      <c r="AM6131" s="2"/>
    </row>
    <row r="6132" spans="1:39">
      <c r="A6132" s="2"/>
      <c r="AM6132" s="2"/>
    </row>
    <row r="6133" spans="1:39">
      <c r="A6133" s="2"/>
      <c r="AM6133" s="2"/>
    </row>
    <row r="6134" spans="1:39">
      <c r="A6134" s="2"/>
      <c r="AM6134" s="2"/>
    </row>
    <row r="6135" spans="1:39">
      <c r="A6135" s="2"/>
      <c r="AM6135" s="2"/>
    </row>
    <row r="6136" spans="1:39">
      <c r="A6136" s="2"/>
      <c r="AM6136" s="2"/>
    </row>
    <row r="6137" spans="1:39">
      <c r="A6137" s="2"/>
      <c r="AM6137" s="2"/>
    </row>
    <row r="6138" spans="1:39">
      <c r="A6138" s="2"/>
      <c r="AM6138" s="2"/>
    </row>
    <row r="6139" spans="1:39">
      <c r="A6139" s="2"/>
      <c r="AM6139" s="2"/>
    </row>
    <row r="6140" spans="1:39">
      <c r="A6140" s="2"/>
      <c r="AM6140" s="2"/>
    </row>
    <row r="6141" spans="1:39">
      <c r="A6141" s="2"/>
      <c r="AM6141" s="2"/>
    </row>
    <row r="6142" spans="1:39">
      <c r="A6142" s="2"/>
      <c r="AM6142" s="2"/>
    </row>
    <row r="6143" spans="1:39">
      <c r="A6143" s="2"/>
      <c r="AM6143" s="2"/>
    </row>
    <row r="6144" spans="1:39">
      <c r="A6144" s="2"/>
      <c r="AM6144" s="2"/>
    </row>
    <row r="6145" spans="1:39">
      <c r="A6145" s="2"/>
      <c r="AM6145" s="2"/>
    </row>
    <row r="6146" spans="1:39">
      <c r="A6146" s="2"/>
      <c r="AM6146" s="2"/>
    </row>
    <row r="6147" spans="1:39">
      <c r="A6147" s="2"/>
      <c r="AM6147" s="2"/>
    </row>
    <row r="6148" spans="1:39">
      <c r="A6148" s="2"/>
      <c r="AM6148" s="2"/>
    </row>
    <row r="6149" spans="1:39">
      <c r="A6149" s="2"/>
      <c r="AM6149" s="2"/>
    </row>
    <row r="6150" spans="1:39">
      <c r="A6150" s="2"/>
      <c r="AM6150" s="2"/>
    </row>
    <row r="6151" spans="1:39">
      <c r="A6151" s="2"/>
      <c r="AM6151" s="2"/>
    </row>
    <row r="6152" spans="1:39">
      <c r="A6152" s="2"/>
      <c r="AM6152" s="2"/>
    </row>
    <row r="6153" spans="1:39">
      <c r="A6153" s="2"/>
      <c r="AM6153" s="2"/>
    </row>
    <row r="6154" spans="1:39">
      <c r="A6154" s="2"/>
      <c r="AM6154" s="2"/>
    </row>
    <row r="6155" spans="1:39">
      <c r="A6155" s="2"/>
      <c r="AM6155" s="2"/>
    </row>
    <row r="6156" spans="1:39">
      <c r="A6156" s="2"/>
      <c r="AM6156" s="2"/>
    </row>
    <row r="6157" spans="1:39">
      <c r="A6157" s="2"/>
      <c r="AM6157" s="2"/>
    </row>
    <row r="6158" spans="1:39">
      <c r="A6158" s="2"/>
      <c r="AM6158" s="2"/>
    </row>
    <row r="6159" spans="1:39">
      <c r="A6159" s="2"/>
      <c r="AM6159" s="2"/>
    </row>
    <row r="6160" spans="1:39">
      <c r="A6160" s="2"/>
      <c r="AM6160" s="2"/>
    </row>
    <row r="6161" spans="1:39">
      <c r="A6161" s="2"/>
      <c r="AM6161" s="2"/>
    </row>
    <row r="6162" spans="1:39">
      <c r="A6162" s="2"/>
      <c r="AM6162" s="2"/>
    </row>
    <row r="6163" spans="1:39">
      <c r="A6163" s="2"/>
      <c r="AM6163" s="2"/>
    </row>
    <row r="6164" spans="1:39">
      <c r="A6164" s="2"/>
      <c r="AM6164" s="2"/>
    </row>
    <row r="6165" spans="1:39">
      <c r="A6165" s="2"/>
      <c r="AM6165" s="2"/>
    </row>
    <row r="6166" spans="1:39">
      <c r="A6166" s="2"/>
      <c r="AM6166" s="2"/>
    </row>
    <row r="6167" spans="1:39">
      <c r="A6167" s="2"/>
      <c r="AM6167" s="2"/>
    </row>
    <row r="6168" spans="1:39">
      <c r="A6168" s="2"/>
      <c r="AM6168" s="2"/>
    </row>
    <row r="6169" spans="1:39">
      <c r="A6169" s="2"/>
      <c r="AM6169" s="2"/>
    </row>
    <row r="6170" spans="1:39">
      <c r="A6170" s="2"/>
      <c r="AM6170" s="2"/>
    </row>
    <row r="6171" spans="1:39">
      <c r="A6171" s="2"/>
      <c r="AM6171" s="2"/>
    </row>
    <row r="6172" spans="1:39">
      <c r="A6172" s="2"/>
      <c r="AM6172" s="2"/>
    </row>
    <row r="6173" spans="1:39">
      <c r="A6173" s="2"/>
      <c r="AM6173" s="2"/>
    </row>
    <row r="6174" spans="1:39">
      <c r="A6174" s="2"/>
      <c r="AM6174" s="2"/>
    </row>
    <row r="6175" spans="1:39">
      <c r="A6175" s="2"/>
      <c r="AM6175" s="2"/>
    </row>
    <row r="6176" spans="1:39">
      <c r="A6176" s="2"/>
      <c r="AM6176" s="2"/>
    </row>
    <row r="6177" spans="1:39">
      <c r="A6177" s="2"/>
      <c r="AM6177" s="2"/>
    </row>
    <row r="6178" spans="1:39">
      <c r="A6178" s="2"/>
      <c r="AM6178" s="2"/>
    </row>
    <row r="6179" spans="1:39">
      <c r="A6179" s="2"/>
      <c r="AM6179" s="2"/>
    </row>
    <row r="6180" spans="1:39">
      <c r="A6180" s="2"/>
      <c r="AM6180" s="2"/>
    </row>
    <row r="6181" spans="1:39">
      <c r="A6181" s="2"/>
      <c r="AM6181" s="2"/>
    </row>
    <row r="6182" spans="1:39">
      <c r="A6182" s="2"/>
      <c r="AM6182" s="2"/>
    </row>
    <row r="6183" spans="1:39">
      <c r="A6183" s="2"/>
      <c r="AM6183" s="2"/>
    </row>
    <row r="6184" spans="1:39">
      <c r="A6184" s="2"/>
      <c r="AM6184" s="2"/>
    </row>
    <row r="6185" spans="1:39">
      <c r="A6185" s="2"/>
      <c r="AM6185" s="2"/>
    </row>
    <row r="6186" spans="1:39">
      <c r="A6186" s="2"/>
      <c r="AM6186" s="2"/>
    </row>
    <row r="6187" spans="1:39">
      <c r="A6187" s="2"/>
      <c r="AM6187" s="2"/>
    </row>
    <row r="6188" spans="1:39">
      <c r="A6188" s="2"/>
      <c r="AM6188" s="2"/>
    </row>
    <row r="6189" spans="1:39">
      <c r="A6189" s="2"/>
      <c r="AM6189" s="2"/>
    </row>
    <row r="6190" spans="1:39">
      <c r="A6190" s="2"/>
      <c r="AM6190" s="2"/>
    </row>
    <row r="6191" spans="1:39">
      <c r="A6191" s="2"/>
      <c r="AM6191" s="2"/>
    </row>
    <row r="6192" spans="1:39">
      <c r="A6192" s="2"/>
      <c r="AM6192" s="2"/>
    </row>
    <row r="6193" spans="1:39">
      <c r="A6193" s="2"/>
      <c r="AM6193" s="2"/>
    </row>
    <row r="6194" spans="1:39">
      <c r="A6194" s="2"/>
      <c r="AM6194" s="2"/>
    </row>
    <row r="6195" spans="1:39">
      <c r="A6195" s="2"/>
      <c r="AM6195" s="2"/>
    </row>
    <row r="6196" spans="1:39">
      <c r="A6196" s="2"/>
      <c r="AM6196" s="2"/>
    </row>
    <row r="6197" spans="1:39">
      <c r="A6197" s="2"/>
      <c r="AM6197" s="2"/>
    </row>
    <row r="6198" spans="1:39">
      <c r="A6198" s="2"/>
      <c r="AM6198" s="2"/>
    </row>
    <row r="6199" spans="1:39">
      <c r="A6199" s="2"/>
      <c r="AM6199" s="2"/>
    </row>
    <row r="6200" spans="1:39">
      <c r="A6200" s="2"/>
      <c r="AM6200" s="2"/>
    </row>
    <row r="6201" spans="1:39">
      <c r="A6201" s="2"/>
      <c r="AM6201" s="2"/>
    </row>
    <row r="6202" spans="1:39">
      <c r="A6202" s="2"/>
      <c r="AM6202" s="2"/>
    </row>
    <row r="6203" spans="1:39">
      <c r="A6203" s="2"/>
      <c r="AM6203" s="2"/>
    </row>
    <row r="6204" spans="1:39">
      <c r="A6204" s="2"/>
      <c r="AM6204" s="2"/>
    </row>
    <row r="6205" spans="1:39">
      <c r="A6205" s="2"/>
      <c r="AM6205" s="2"/>
    </row>
    <row r="6206" spans="1:39">
      <c r="A6206" s="2"/>
      <c r="AM6206" s="2"/>
    </row>
    <row r="6207" spans="1:39">
      <c r="A6207" s="2"/>
      <c r="AM6207" s="2"/>
    </row>
    <row r="6208" spans="1:39">
      <c r="A6208" s="2"/>
      <c r="AM6208" s="2"/>
    </row>
    <row r="6209" spans="1:39">
      <c r="A6209" s="2"/>
      <c r="AM6209" s="2"/>
    </row>
    <row r="6210" spans="1:39">
      <c r="A6210" s="2"/>
      <c r="AM6210" s="2"/>
    </row>
    <row r="6211" spans="1:39">
      <c r="A6211" s="2"/>
      <c r="AM6211" s="2"/>
    </row>
    <row r="6212" spans="1:39">
      <c r="A6212" s="2"/>
      <c r="AM6212" s="2"/>
    </row>
    <row r="6213" spans="1:39">
      <c r="A6213" s="2"/>
      <c r="AM6213" s="2"/>
    </row>
    <row r="6214" spans="1:39">
      <c r="A6214" s="2"/>
      <c r="AM6214" s="2"/>
    </row>
    <row r="6215" spans="1:39">
      <c r="A6215" s="2"/>
      <c r="AM6215" s="2"/>
    </row>
    <row r="6216" spans="1:39">
      <c r="A6216" s="2"/>
      <c r="AM6216" s="2"/>
    </row>
    <row r="6217" spans="1:39">
      <c r="A6217" s="2"/>
      <c r="AM6217" s="2"/>
    </row>
    <row r="6218" spans="1:39">
      <c r="A6218" s="2"/>
      <c r="AM6218" s="2"/>
    </row>
    <row r="6219" spans="1:39">
      <c r="A6219" s="2"/>
      <c r="AM6219" s="2"/>
    </row>
    <row r="6220" spans="1:39">
      <c r="A6220" s="2"/>
      <c r="AM6220" s="2"/>
    </row>
    <row r="6221" spans="1:39">
      <c r="A6221" s="2"/>
      <c r="AM6221" s="2"/>
    </row>
    <row r="6222" spans="1:39">
      <c r="A6222" s="2"/>
      <c r="AM6222" s="2"/>
    </row>
    <row r="6223" spans="1:39">
      <c r="A6223" s="2"/>
      <c r="AM6223" s="2"/>
    </row>
    <row r="6224" spans="1:39">
      <c r="A6224" s="2"/>
      <c r="AM6224" s="2"/>
    </row>
    <row r="6225" spans="1:39">
      <c r="A6225" s="2"/>
      <c r="AM6225" s="2"/>
    </row>
    <row r="6226" spans="1:39">
      <c r="A6226" s="2"/>
      <c r="AM6226" s="2"/>
    </row>
    <row r="6227" spans="1:39">
      <c r="A6227" s="2"/>
      <c r="AM6227" s="2"/>
    </row>
    <row r="6228" spans="1:39">
      <c r="A6228" s="2"/>
      <c r="AM6228" s="2"/>
    </row>
    <row r="6229" spans="1:39">
      <c r="A6229" s="2"/>
      <c r="AM6229" s="2"/>
    </row>
    <row r="6230" spans="1:39">
      <c r="A6230" s="2"/>
      <c r="AM6230" s="2"/>
    </row>
    <row r="6231" spans="1:39">
      <c r="A6231" s="2"/>
      <c r="AM6231" s="2"/>
    </row>
    <row r="6232" spans="1:39">
      <c r="A6232" s="2"/>
      <c r="AM6232" s="2"/>
    </row>
    <row r="6233" spans="1:39">
      <c r="A6233" s="2"/>
      <c r="AM6233" s="2"/>
    </row>
    <row r="6234" spans="1:39">
      <c r="A6234" s="2"/>
      <c r="AM6234" s="2"/>
    </row>
    <row r="6235" spans="1:39">
      <c r="A6235" s="2"/>
      <c r="AM6235" s="2"/>
    </row>
    <row r="6236" spans="1:39">
      <c r="A6236" s="2"/>
      <c r="AM6236" s="2"/>
    </row>
    <row r="6237" spans="1:39">
      <c r="A6237" s="2"/>
      <c r="AM6237" s="2"/>
    </row>
    <row r="6238" spans="1:39">
      <c r="A6238" s="2"/>
      <c r="AM6238" s="2"/>
    </row>
    <row r="6239" spans="1:39">
      <c r="A6239" s="2"/>
      <c r="AM6239" s="2"/>
    </row>
    <row r="6240" spans="1:39">
      <c r="A6240" s="2"/>
      <c r="AM6240" s="2"/>
    </row>
    <row r="6241" spans="1:39">
      <c r="A6241" s="2"/>
      <c r="AM6241" s="2"/>
    </row>
    <row r="6242" spans="1:39">
      <c r="A6242" s="2"/>
      <c r="AM6242" s="2"/>
    </row>
    <row r="6243" spans="1:39">
      <c r="A6243" s="2"/>
      <c r="AM6243" s="2"/>
    </row>
    <row r="6244" spans="1:39">
      <c r="A6244" s="2"/>
      <c r="AM6244" s="2"/>
    </row>
    <row r="6245" spans="1:39">
      <c r="A6245" s="2"/>
      <c r="AM6245" s="2"/>
    </row>
    <row r="6246" spans="1:39">
      <c r="A6246" s="2"/>
      <c r="AM6246" s="2"/>
    </row>
    <row r="6247" spans="1:39">
      <c r="A6247" s="2"/>
      <c r="AM6247" s="2"/>
    </row>
    <row r="6248" spans="1:39">
      <c r="A6248" s="2"/>
      <c r="AM6248" s="2"/>
    </row>
    <row r="6249" spans="1:39">
      <c r="A6249" s="2"/>
      <c r="AM6249" s="2"/>
    </row>
    <row r="6250" spans="1:39">
      <c r="A6250" s="2"/>
      <c r="AM6250" s="2"/>
    </row>
    <row r="6251" spans="1:39">
      <c r="A6251" s="2"/>
      <c r="AM6251" s="2"/>
    </row>
    <row r="6252" spans="1:39">
      <c r="A6252" s="2"/>
      <c r="AM6252" s="2"/>
    </row>
    <row r="6253" spans="1:39">
      <c r="A6253" s="2"/>
      <c r="AM6253" s="2"/>
    </row>
    <row r="6254" spans="1:39">
      <c r="A6254" s="2"/>
      <c r="AM6254" s="2"/>
    </row>
    <row r="6255" spans="1:39">
      <c r="A6255" s="2"/>
      <c r="AM6255" s="2"/>
    </row>
    <row r="6256" spans="1:39">
      <c r="A6256" s="2"/>
      <c r="AM6256" s="2"/>
    </row>
    <row r="6257" spans="1:39">
      <c r="A6257" s="2"/>
      <c r="AM6257" s="2"/>
    </row>
    <row r="6258" spans="1:39">
      <c r="A6258" s="2"/>
      <c r="AM6258" s="2"/>
    </row>
    <row r="6259" spans="1:39">
      <c r="A6259" s="2"/>
      <c r="AM6259" s="2"/>
    </row>
    <row r="6260" spans="1:39">
      <c r="A6260" s="2"/>
      <c r="AM6260" s="2"/>
    </row>
    <row r="6261" spans="1:39">
      <c r="A6261" s="2"/>
      <c r="AM6261" s="2"/>
    </row>
    <row r="6262" spans="1:39">
      <c r="A6262" s="2"/>
      <c r="AM6262" s="2"/>
    </row>
    <row r="6263" spans="1:39">
      <c r="A6263" s="2"/>
      <c r="AM6263" s="2"/>
    </row>
    <row r="6264" spans="1:39">
      <c r="A6264" s="2"/>
      <c r="AM6264" s="2"/>
    </row>
    <row r="6265" spans="1:39">
      <c r="A6265" s="2"/>
      <c r="AM6265" s="2"/>
    </row>
    <row r="6266" spans="1:39">
      <c r="A6266" s="2"/>
      <c r="AM6266" s="2"/>
    </row>
    <row r="6267" spans="1:39">
      <c r="A6267" s="2"/>
      <c r="AM6267" s="2"/>
    </row>
    <row r="6268" spans="1:39">
      <c r="A6268" s="2"/>
      <c r="AM6268" s="2"/>
    </row>
    <row r="6269" spans="1:39">
      <c r="A6269" s="2"/>
      <c r="AM6269" s="2"/>
    </row>
    <row r="6270" spans="1:39">
      <c r="A6270" s="2"/>
      <c r="AM6270" s="2"/>
    </row>
    <row r="6271" spans="1:39">
      <c r="A6271" s="2"/>
      <c r="AM6271" s="2"/>
    </row>
    <row r="6272" spans="1:39">
      <c r="A6272" s="2"/>
      <c r="AM6272" s="2"/>
    </row>
    <row r="6273" spans="1:39">
      <c r="A6273" s="2"/>
      <c r="AM6273" s="2"/>
    </row>
    <row r="6274" spans="1:39">
      <c r="A6274" s="2"/>
      <c r="AM6274" s="2"/>
    </row>
    <row r="6275" spans="1:39">
      <c r="A6275" s="2"/>
      <c r="AM6275" s="2"/>
    </row>
    <row r="6276" spans="1:39">
      <c r="A6276" s="2"/>
      <c r="AM6276" s="2"/>
    </row>
    <row r="6277" spans="1:39">
      <c r="A6277" s="2"/>
      <c r="AM6277" s="2"/>
    </row>
    <row r="6278" spans="1:39">
      <c r="A6278" s="2"/>
      <c r="AM6278" s="2"/>
    </row>
    <row r="6279" spans="1:39">
      <c r="A6279" s="2"/>
      <c r="AM6279" s="2"/>
    </row>
    <row r="6280" spans="1:39">
      <c r="A6280" s="2"/>
      <c r="AM6280" s="2"/>
    </row>
    <row r="6281" spans="1:39">
      <c r="A6281" s="2"/>
      <c r="AM6281" s="2"/>
    </row>
    <row r="6282" spans="1:39">
      <c r="A6282" s="2"/>
      <c r="AM6282" s="2"/>
    </row>
    <row r="6283" spans="1:39">
      <c r="A6283" s="2"/>
      <c r="AM6283" s="2"/>
    </row>
    <row r="6284" spans="1:39">
      <c r="A6284" s="2"/>
      <c r="AM6284" s="2"/>
    </row>
    <row r="6285" spans="1:39">
      <c r="A6285" s="2"/>
      <c r="AM6285" s="2"/>
    </row>
    <row r="6286" spans="1:39">
      <c r="A6286" s="2"/>
      <c r="AM6286" s="2"/>
    </row>
    <row r="6287" spans="1:39">
      <c r="A6287" s="2"/>
      <c r="AM6287" s="2"/>
    </row>
    <row r="6288" spans="1:39">
      <c r="A6288" s="2"/>
      <c r="AM6288" s="2"/>
    </row>
    <row r="6289" spans="1:39">
      <c r="A6289" s="2"/>
      <c r="AM6289" s="2"/>
    </row>
    <row r="6290" spans="1:39">
      <c r="A6290" s="2"/>
      <c r="AM6290" s="2"/>
    </row>
    <row r="6291" spans="1:39">
      <c r="A6291" s="2"/>
      <c r="AM6291" s="2"/>
    </row>
    <row r="6292" spans="1:39">
      <c r="A6292" s="2"/>
      <c r="AM6292" s="2"/>
    </row>
    <row r="6293" spans="1:39">
      <c r="A6293" s="2"/>
      <c r="AM6293" s="2"/>
    </row>
    <row r="6294" spans="1:39">
      <c r="A6294" s="2"/>
      <c r="AM6294" s="2"/>
    </row>
    <row r="6295" spans="1:39">
      <c r="A6295" s="2"/>
      <c r="AM6295" s="2"/>
    </row>
    <row r="6296" spans="1:39">
      <c r="A6296" s="2"/>
      <c r="AM6296" s="2"/>
    </row>
    <row r="6297" spans="1:39">
      <c r="A6297" s="2"/>
      <c r="AM6297" s="2"/>
    </row>
    <row r="6298" spans="1:39">
      <c r="A6298" s="2"/>
      <c r="AM6298" s="2"/>
    </row>
    <row r="6299" spans="1:39">
      <c r="A6299" s="2"/>
      <c r="AM6299" s="2"/>
    </row>
    <row r="6300" spans="1:39">
      <c r="A6300" s="2"/>
      <c r="AM6300" s="2"/>
    </row>
    <row r="6301" spans="1:39">
      <c r="A6301" s="2"/>
      <c r="AM6301" s="2"/>
    </row>
    <row r="6302" spans="1:39">
      <c r="A6302" s="2"/>
      <c r="AM6302" s="2"/>
    </row>
    <row r="6303" spans="1:39">
      <c r="A6303" s="2"/>
      <c r="AM6303" s="2"/>
    </row>
    <row r="6304" spans="1:39">
      <c r="A6304" s="2"/>
      <c r="AM6304" s="2"/>
    </row>
    <row r="6305" spans="1:39">
      <c r="A6305" s="2"/>
      <c r="AM6305" s="2"/>
    </row>
    <row r="6306" spans="1:39">
      <c r="A6306" s="2"/>
      <c r="AM6306" s="2"/>
    </row>
    <row r="6307" spans="1:39">
      <c r="A6307" s="2"/>
      <c r="AM6307" s="2"/>
    </row>
    <row r="6308" spans="1:39">
      <c r="A6308" s="2"/>
      <c r="AM6308" s="2"/>
    </row>
    <row r="6309" spans="1:39">
      <c r="A6309" s="2"/>
      <c r="AM6309" s="2"/>
    </row>
    <row r="6310" spans="1:39">
      <c r="A6310" s="2"/>
      <c r="AM6310" s="2"/>
    </row>
    <row r="6311" spans="1:39">
      <c r="A6311" s="2"/>
      <c r="AM6311" s="2"/>
    </row>
    <row r="6312" spans="1:39">
      <c r="A6312" s="2"/>
      <c r="AM6312" s="2"/>
    </row>
    <row r="6313" spans="1:39">
      <c r="A6313" s="2"/>
      <c r="AM6313" s="2"/>
    </row>
    <row r="6314" spans="1:39">
      <c r="A6314" s="2"/>
      <c r="AM6314" s="2"/>
    </row>
    <row r="6315" spans="1:39">
      <c r="A6315" s="2"/>
      <c r="AM6315" s="2"/>
    </row>
    <row r="6316" spans="1:39">
      <c r="A6316" s="2"/>
      <c r="AM6316" s="2"/>
    </row>
    <row r="6317" spans="1:39">
      <c r="A6317" s="2"/>
      <c r="AM6317" s="2"/>
    </row>
    <row r="6318" spans="1:39">
      <c r="A6318" s="2"/>
      <c r="AM6318" s="2"/>
    </row>
    <row r="6319" spans="1:39">
      <c r="A6319" s="2"/>
      <c r="AM6319" s="2"/>
    </row>
    <row r="6320" spans="1:39">
      <c r="A6320" s="2"/>
      <c r="AM6320" s="2"/>
    </row>
    <row r="6321" spans="1:39">
      <c r="A6321" s="2"/>
      <c r="AM6321" s="2"/>
    </row>
    <row r="6322" spans="1:39">
      <c r="A6322" s="2"/>
      <c r="AM6322" s="2"/>
    </row>
    <row r="6323" spans="1:39">
      <c r="A6323" s="2"/>
      <c r="AM6323" s="2"/>
    </row>
    <row r="6324" spans="1:39">
      <c r="A6324" s="2"/>
      <c r="AM6324" s="2"/>
    </row>
    <row r="6325" spans="1:39">
      <c r="A6325" s="2"/>
      <c r="AM6325" s="2"/>
    </row>
    <row r="6326" spans="1:39">
      <c r="A6326" s="2"/>
      <c r="AM6326" s="2"/>
    </row>
    <row r="6327" spans="1:39">
      <c r="A6327" s="2"/>
      <c r="AM6327" s="2"/>
    </row>
    <row r="6328" spans="1:39">
      <c r="A6328" s="2"/>
      <c r="AM6328" s="2"/>
    </row>
    <row r="6329" spans="1:39">
      <c r="A6329" s="2"/>
      <c r="AM6329" s="2"/>
    </row>
    <row r="6330" spans="1:39">
      <c r="A6330" s="2"/>
      <c r="AM6330" s="2"/>
    </row>
    <row r="6331" spans="1:39">
      <c r="A6331" s="2"/>
      <c r="AM6331" s="2"/>
    </row>
    <row r="6332" spans="1:39">
      <c r="A6332" s="2"/>
      <c r="AM6332" s="2"/>
    </row>
    <row r="6333" spans="1:39">
      <c r="A6333" s="2"/>
      <c r="AM6333" s="2"/>
    </row>
    <row r="6334" spans="1:39">
      <c r="A6334" s="2"/>
      <c r="AM6334" s="2"/>
    </row>
    <row r="6335" spans="1:39">
      <c r="A6335" s="2"/>
      <c r="AM6335" s="2"/>
    </row>
    <row r="6336" spans="1:39">
      <c r="A6336" s="2"/>
      <c r="AM6336" s="2"/>
    </row>
    <row r="6337" spans="1:39">
      <c r="A6337" s="2"/>
      <c r="AM6337" s="2"/>
    </row>
    <row r="6338" spans="1:39">
      <c r="A6338" s="2"/>
      <c r="AM6338" s="2"/>
    </row>
    <row r="6339" spans="1:39">
      <c r="A6339" s="2"/>
      <c r="AM6339" s="2"/>
    </row>
    <row r="6340" spans="1:39">
      <c r="A6340" s="2"/>
      <c r="AM6340" s="2"/>
    </row>
    <row r="6341" spans="1:39">
      <c r="A6341" s="2"/>
      <c r="AM6341" s="2"/>
    </row>
    <row r="6342" spans="1:39">
      <c r="A6342" s="2"/>
      <c r="AM6342" s="2"/>
    </row>
    <row r="6343" spans="1:39">
      <c r="A6343" s="2"/>
      <c r="AM6343" s="2"/>
    </row>
    <row r="6344" spans="1:39">
      <c r="A6344" s="2"/>
      <c r="AM6344" s="2"/>
    </row>
    <row r="6345" spans="1:39">
      <c r="A6345" s="2"/>
      <c r="AM6345" s="2"/>
    </row>
    <row r="6346" spans="1:39">
      <c r="A6346" s="2"/>
      <c r="AM6346" s="2"/>
    </row>
    <row r="6347" spans="1:39">
      <c r="A6347" s="2"/>
      <c r="AM6347" s="2"/>
    </row>
    <row r="6348" spans="1:39">
      <c r="A6348" s="2"/>
      <c r="AM6348" s="2"/>
    </row>
    <row r="6349" spans="1:39">
      <c r="A6349" s="2"/>
      <c r="AM6349" s="2"/>
    </row>
    <row r="6350" spans="1:39">
      <c r="A6350" s="2"/>
      <c r="AM6350" s="2"/>
    </row>
    <row r="6351" spans="1:39">
      <c r="A6351" s="2"/>
      <c r="AM6351" s="2"/>
    </row>
    <row r="6352" spans="1:39">
      <c r="A6352" s="2"/>
      <c r="AM6352" s="2"/>
    </row>
    <row r="6353" spans="1:39">
      <c r="A6353" s="2"/>
      <c r="AM6353" s="2"/>
    </row>
    <row r="6354" spans="1:39">
      <c r="A6354" s="2"/>
      <c r="AM6354" s="2"/>
    </row>
    <row r="6355" spans="1:39">
      <c r="A6355" s="2"/>
      <c r="AM6355" s="2"/>
    </row>
    <row r="6356" spans="1:39">
      <c r="A6356" s="2"/>
      <c r="AM6356" s="2"/>
    </row>
    <row r="6357" spans="1:39">
      <c r="A6357" s="2"/>
      <c r="AM6357" s="2"/>
    </row>
    <row r="6358" spans="1:39">
      <c r="A6358" s="2"/>
      <c r="AM6358" s="2"/>
    </row>
    <row r="6359" spans="1:39">
      <c r="A6359" s="2"/>
      <c r="AM6359" s="2"/>
    </row>
    <row r="6360" spans="1:39">
      <c r="A6360" s="2"/>
      <c r="AM6360" s="2"/>
    </row>
    <row r="6361" spans="1:39">
      <c r="A6361" s="2"/>
      <c r="AM6361" s="2"/>
    </row>
    <row r="6362" spans="1:39">
      <c r="A6362" s="2"/>
      <c r="AM6362" s="2"/>
    </row>
    <row r="6363" spans="1:39">
      <c r="A6363" s="2"/>
      <c r="AM6363" s="2"/>
    </row>
    <row r="6364" spans="1:39">
      <c r="A6364" s="2"/>
      <c r="AM6364" s="2"/>
    </row>
    <row r="6365" spans="1:39">
      <c r="A6365" s="2"/>
      <c r="AM6365" s="2"/>
    </row>
    <row r="6366" spans="1:39">
      <c r="A6366" s="2"/>
      <c r="AM6366" s="2"/>
    </row>
    <row r="6367" spans="1:39">
      <c r="A6367" s="2"/>
      <c r="AM6367" s="2"/>
    </row>
    <row r="6368" spans="1:39">
      <c r="A6368" s="2"/>
      <c r="AM6368" s="2"/>
    </row>
    <row r="6369" spans="1:39">
      <c r="A6369" s="2"/>
      <c r="AM6369" s="2"/>
    </row>
    <row r="6370" spans="1:39">
      <c r="A6370" s="2"/>
      <c r="AM6370" s="2"/>
    </row>
    <row r="6371" spans="1:39">
      <c r="A6371" s="2"/>
      <c r="AM6371" s="2"/>
    </row>
    <row r="6372" spans="1:39">
      <c r="A6372" s="2"/>
      <c r="AM6372" s="2"/>
    </row>
    <row r="6373" spans="1:39">
      <c r="A6373" s="2"/>
      <c r="AM6373" s="2"/>
    </row>
    <row r="6374" spans="1:39">
      <c r="A6374" s="2"/>
      <c r="AM6374" s="2"/>
    </row>
    <row r="6375" spans="1:39">
      <c r="A6375" s="2"/>
      <c r="AM6375" s="2"/>
    </row>
    <row r="6376" spans="1:39">
      <c r="A6376" s="2"/>
      <c r="AM6376" s="2"/>
    </row>
    <row r="6377" spans="1:39">
      <c r="A6377" s="2"/>
      <c r="AM6377" s="2"/>
    </row>
    <row r="6378" spans="1:39">
      <c r="A6378" s="2"/>
      <c r="AM6378" s="2"/>
    </row>
    <row r="6379" spans="1:39">
      <c r="A6379" s="2"/>
      <c r="AM6379" s="2"/>
    </row>
    <row r="6380" spans="1:39">
      <c r="A6380" s="2"/>
      <c r="AM6380" s="2"/>
    </row>
    <row r="6381" spans="1:39">
      <c r="A6381" s="2"/>
      <c r="AM6381" s="2"/>
    </row>
    <row r="6382" spans="1:39">
      <c r="A6382" s="2"/>
      <c r="AM6382" s="2"/>
    </row>
    <row r="6383" spans="1:39">
      <c r="A6383" s="2"/>
      <c r="AM6383" s="2"/>
    </row>
    <row r="6384" spans="1:39">
      <c r="A6384" s="2"/>
      <c r="AM6384" s="2"/>
    </row>
    <row r="6385" spans="1:39">
      <c r="A6385" s="2"/>
      <c r="AM6385" s="2"/>
    </row>
    <row r="6386" spans="1:39">
      <c r="A6386" s="2"/>
      <c r="AM6386" s="2"/>
    </row>
    <row r="6387" spans="1:39">
      <c r="A6387" s="2"/>
      <c r="AM6387" s="2"/>
    </row>
    <row r="6388" spans="1:39">
      <c r="A6388" s="2"/>
      <c r="AM6388" s="2"/>
    </row>
    <row r="6389" spans="1:39">
      <c r="A6389" s="2"/>
      <c r="AM6389" s="2"/>
    </row>
    <row r="6390" spans="1:39">
      <c r="A6390" s="2"/>
      <c r="AM6390" s="2"/>
    </row>
    <row r="6391" spans="1:39">
      <c r="A6391" s="2"/>
      <c r="AM6391" s="2"/>
    </row>
    <row r="6392" spans="1:39">
      <c r="A6392" s="2"/>
      <c r="AM6392" s="2"/>
    </row>
    <row r="6393" spans="1:39">
      <c r="A6393" s="2"/>
      <c r="AM6393" s="2"/>
    </row>
    <row r="6394" spans="1:39">
      <c r="A6394" s="2"/>
      <c r="AM6394" s="2"/>
    </row>
    <row r="6395" spans="1:39">
      <c r="A6395" s="2"/>
      <c r="AM6395" s="2"/>
    </row>
    <row r="6396" spans="1:39">
      <c r="A6396" s="2"/>
      <c r="AM6396" s="2"/>
    </row>
    <row r="6397" spans="1:39">
      <c r="A6397" s="2"/>
      <c r="AM6397" s="2"/>
    </row>
    <row r="6398" spans="1:39">
      <c r="A6398" s="2"/>
      <c r="AM6398" s="2"/>
    </row>
    <row r="6399" spans="1:39">
      <c r="A6399" s="2"/>
      <c r="AM6399" s="2"/>
    </row>
    <row r="6400" spans="1:39">
      <c r="A6400" s="2"/>
      <c r="AM6400" s="2"/>
    </row>
    <row r="6401" spans="1:39">
      <c r="A6401" s="2"/>
      <c r="AM6401" s="2"/>
    </row>
    <row r="6402" spans="1:39">
      <c r="A6402" s="2"/>
      <c r="AM6402" s="2"/>
    </row>
    <row r="6403" spans="1:39">
      <c r="A6403" s="2"/>
      <c r="AM6403" s="2"/>
    </row>
    <row r="6404" spans="1:39">
      <c r="A6404" s="2"/>
      <c r="AM6404" s="2"/>
    </row>
    <row r="6405" spans="1:39">
      <c r="A6405" s="2"/>
      <c r="AM6405" s="2"/>
    </row>
    <row r="6406" spans="1:39">
      <c r="A6406" s="2"/>
      <c r="AM6406" s="2"/>
    </row>
    <row r="6407" spans="1:39">
      <c r="A6407" s="2"/>
      <c r="AM6407" s="2"/>
    </row>
    <row r="6408" spans="1:39">
      <c r="A6408" s="2"/>
      <c r="AM6408" s="2"/>
    </row>
    <row r="6409" spans="1:39">
      <c r="A6409" s="2"/>
      <c r="AM6409" s="2"/>
    </row>
    <row r="6410" spans="1:39">
      <c r="A6410" s="2"/>
      <c r="AM6410" s="2"/>
    </row>
    <row r="6411" spans="1:39">
      <c r="A6411" s="2"/>
      <c r="AM6411" s="2"/>
    </row>
    <row r="6412" spans="1:39">
      <c r="A6412" s="2"/>
      <c r="AM6412" s="2"/>
    </row>
    <row r="6413" spans="1:39">
      <c r="A6413" s="2"/>
      <c r="AM6413" s="2"/>
    </row>
    <row r="6414" spans="1:39">
      <c r="A6414" s="2"/>
      <c r="AM6414" s="2"/>
    </row>
    <row r="6415" spans="1:39">
      <c r="A6415" s="2"/>
      <c r="AM6415" s="2"/>
    </row>
    <row r="6416" spans="1:39">
      <c r="A6416" s="2"/>
      <c r="AM6416" s="2"/>
    </row>
    <row r="6417" spans="1:39">
      <c r="A6417" s="2"/>
      <c r="AM6417" s="2"/>
    </row>
    <row r="6418" spans="1:39">
      <c r="A6418" s="2"/>
      <c r="AM6418" s="2"/>
    </row>
    <row r="6419" spans="1:39">
      <c r="A6419" s="2"/>
      <c r="AM6419" s="2"/>
    </row>
    <row r="6420" spans="1:39">
      <c r="A6420" s="2"/>
      <c r="AM6420" s="2"/>
    </row>
    <row r="6421" spans="1:39">
      <c r="A6421" s="2"/>
      <c r="AM6421" s="2"/>
    </row>
    <row r="6422" spans="1:39">
      <c r="A6422" s="2"/>
      <c r="AM6422" s="2"/>
    </row>
    <row r="6423" spans="1:39">
      <c r="A6423" s="2"/>
      <c r="AM6423" s="2"/>
    </row>
    <row r="6424" spans="1:39">
      <c r="A6424" s="2"/>
      <c r="AM6424" s="2"/>
    </row>
    <row r="6425" spans="1:39">
      <c r="A6425" s="2"/>
      <c r="AM6425" s="2"/>
    </row>
    <row r="6426" spans="1:39">
      <c r="A6426" s="2"/>
      <c r="AM6426" s="2"/>
    </row>
    <row r="6427" spans="1:39">
      <c r="A6427" s="2"/>
      <c r="AM6427" s="2"/>
    </row>
    <row r="6428" spans="1:39">
      <c r="A6428" s="2"/>
      <c r="AM6428" s="2"/>
    </row>
    <row r="6429" spans="1:39">
      <c r="A6429" s="2"/>
      <c r="AM6429" s="2"/>
    </row>
    <row r="6430" spans="1:39">
      <c r="A6430" s="2"/>
      <c r="AM6430" s="2"/>
    </row>
    <row r="6431" spans="1:39">
      <c r="A6431" s="2"/>
      <c r="AM6431" s="2"/>
    </row>
    <row r="6432" spans="1:39">
      <c r="A6432" s="2"/>
      <c r="AM6432" s="2"/>
    </row>
    <row r="6433" spans="1:39">
      <c r="A6433" s="2"/>
      <c r="AM6433" s="2"/>
    </row>
    <row r="6434" spans="1:39">
      <c r="A6434" s="2"/>
      <c r="AM6434" s="2"/>
    </row>
    <row r="6435" spans="1:39">
      <c r="A6435" s="2"/>
      <c r="AM6435" s="2"/>
    </row>
    <row r="6436" spans="1:39">
      <c r="A6436" s="2"/>
      <c r="AM6436" s="2"/>
    </row>
    <row r="6437" spans="1:39">
      <c r="A6437" s="2"/>
      <c r="AM6437" s="2"/>
    </row>
    <row r="6438" spans="1:39">
      <c r="A6438" s="2"/>
      <c r="AM6438" s="2"/>
    </row>
    <row r="6439" spans="1:39">
      <c r="A6439" s="2"/>
      <c r="AM6439" s="2"/>
    </row>
    <row r="6440" spans="1:39">
      <c r="A6440" s="2"/>
      <c r="AM6440" s="2"/>
    </row>
    <row r="6441" spans="1:39">
      <c r="A6441" s="2"/>
      <c r="AM6441" s="2"/>
    </row>
    <row r="6442" spans="1:39">
      <c r="A6442" s="2"/>
      <c r="AM6442" s="2"/>
    </row>
    <row r="6443" spans="1:39">
      <c r="A6443" s="2"/>
      <c r="AM6443" s="2"/>
    </row>
    <row r="6444" spans="1:39">
      <c r="A6444" s="2"/>
      <c r="AM6444" s="2"/>
    </row>
    <row r="6445" spans="1:39">
      <c r="A6445" s="2"/>
      <c r="AM6445" s="2"/>
    </row>
    <row r="6446" spans="1:39">
      <c r="A6446" s="2"/>
      <c r="AM6446" s="2"/>
    </row>
    <row r="6447" spans="1:39">
      <c r="A6447" s="2"/>
      <c r="AM6447" s="2"/>
    </row>
    <row r="6448" spans="1:39">
      <c r="A6448" s="2"/>
      <c r="AM6448" s="2"/>
    </row>
    <row r="6449" spans="1:39">
      <c r="A6449" s="2"/>
      <c r="AM6449" s="2"/>
    </row>
    <row r="6450" spans="1:39">
      <c r="A6450" s="2"/>
      <c r="AM6450" s="2"/>
    </row>
    <row r="6451" spans="1:39">
      <c r="A6451" s="2"/>
      <c r="AM6451" s="2"/>
    </row>
    <row r="6452" spans="1:39">
      <c r="A6452" s="2"/>
      <c r="AM6452" s="2"/>
    </row>
    <row r="6453" spans="1:39">
      <c r="A6453" s="2"/>
      <c r="AM6453" s="2"/>
    </row>
    <row r="6454" spans="1:39">
      <c r="A6454" s="2"/>
      <c r="AM6454" s="2"/>
    </row>
    <row r="6455" spans="1:39">
      <c r="A6455" s="2"/>
      <c r="AM6455" s="2"/>
    </row>
    <row r="6456" spans="1:39">
      <c r="A6456" s="2"/>
      <c r="AM6456" s="2"/>
    </row>
    <row r="6457" spans="1:39">
      <c r="A6457" s="2"/>
      <c r="AM6457" s="2"/>
    </row>
    <row r="6458" spans="1:39">
      <c r="A6458" s="2"/>
      <c r="AM6458" s="2"/>
    </row>
    <row r="6459" spans="1:39">
      <c r="A6459" s="2"/>
      <c r="AM6459" s="2"/>
    </row>
    <row r="6460" spans="1:39">
      <c r="A6460" s="2"/>
      <c r="AM6460" s="2"/>
    </row>
    <row r="6461" spans="1:39">
      <c r="A6461" s="2"/>
      <c r="AM6461" s="2"/>
    </row>
    <row r="6462" spans="1:39">
      <c r="A6462" s="2"/>
      <c r="AM6462" s="2"/>
    </row>
    <row r="6463" spans="1:39">
      <c r="A6463" s="2"/>
      <c r="AM6463" s="2"/>
    </row>
    <row r="6464" spans="1:39">
      <c r="A6464" s="2"/>
      <c r="AM6464" s="2"/>
    </row>
    <row r="6465" spans="1:39">
      <c r="A6465" s="2"/>
      <c r="AM6465" s="2"/>
    </row>
    <row r="6466" spans="1:39">
      <c r="A6466" s="2"/>
      <c r="AM6466" s="2"/>
    </row>
    <row r="6467" spans="1:39">
      <c r="A6467" s="2"/>
      <c r="AM6467" s="2"/>
    </row>
    <row r="6468" spans="1:39">
      <c r="A6468" s="2"/>
      <c r="AM6468" s="2"/>
    </row>
    <row r="6469" spans="1:39">
      <c r="A6469" s="2"/>
      <c r="AM6469" s="2"/>
    </row>
    <row r="6470" spans="1:39">
      <c r="A6470" s="2"/>
      <c r="AM6470" s="2"/>
    </row>
    <row r="6471" spans="1:39">
      <c r="A6471" s="2"/>
      <c r="AM6471" s="2"/>
    </row>
    <row r="6472" spans="1:39">
      <c r="A6472" s="2"/>
      <c r="AM6472" s="2"/>
    </row>
    <row r="6473" spans="1:39">
      <c r="A6473" s="2"/>
      <c r="AM6473" s="2"/>
    </row>
    <row r="6474" spans="1:39">
      <c r="A6474" s="2"/>
      <c r="AM6474" s="2"/>
    </row>
    <row r="6475" spans="1:39">
      <c r="A6475" s="2"/>
      <c r="AM6475" s="2"/>
    </row>
    <row r="6476" spans="1:39">
      <c r="A6476" s="2"/>
      <c r="AM6476" s="2"/>
    </row>
    <row r="6477" spans="1:39">
      <c r="A6477" s="2"/>
      <c r="AM6477" s="2"/>
    </row>
    <row r="6478" spans="1:39">
      <c r="A6478" s="2"/>
      <c r="AM6478" s="2"/>
    </row>
    <row r="6479" spans="1:39">
      <c r="A6479" s="2"/>
      <c r="AM6479" s="2"/>
    </row>
    <row r="6480" spans="1:39">
      <c r="A6480" s="2"/>
      <c r="AM6480" s="2"/>
    </row>
    <row r="6481" spans="1:39">
      <c r="A6481" s="2"/>
      <c r="AM6481" s="2"/>
    </row>
    <row r="6482" spans="1:39">
      <c r="A6482" s="2"/>
      <c r="AM6482" s="2"/>
    </row>
    <row r="6483" spans="1:39">
      <c r="A6483" s="2"/>
      <c r="AM6483" s="2"/>
    </row>
    <row r="6484" spans="1:39">
      <c r="A6484" s="2"/>
      <c r="AM6484" s="2"/>
    </row>
    <row r="6485" spans="1:39">
      <c r="A6485" s="2"/>
      <c r="AM6485" s="2"/>
    </row>
    <row r="6486" spans="1:39">
      <c r="A6486" s="2"/>
      <c r="AM6486" s="2"/>
    </row>
    <row r="6487" spans="1:39">
      <c r="A6487" s="2"/>
      <c r="AM6487" s="2"/>
    </row>
    <row r="6488" spans="1:39">
      <c r="A6488" s="2"/>
      <c r="AM6488" s="2"/>
    </row>
    <row r="6489" spans="1:39">
      <c r="A6489" s="2"/>
      <c r="AM6489" s="2"/>
    </row>
    <row r="6490" spans="1:39">
      <c r="A6490" s="2"/>
      <c r="AM6490" s="2"/>
    </row>
    <row r="6491" spans="1:39">
      <c r="A6491" s="2"/>
      <c r="AM6491" s="2"/>
    </row>
    <row r="6492" spans="1:39">
      <c r="A6492" s="2"/>
      <c r="AM6492" s="2"/>
    </row>
    <row r="6493" spans="1:39">
      <c r="A6493" s="2"/>
      <c r="AM6493" s="2"/>
    </row>
    <row r="6494" spans="1:39">
      <c r="A6494" s="2"/>
      <c r="AM6494" s="2"/>
    </row>
    <row r="6495" spans="1:39">
      <c r="A6495" s="2"/>
      <c r="AM6495" s="2"/>
    </row>
    <row r="6496" spans="1:39">
      <c r="A6496" s="2"/>
      <c r="AM6496" s="2"/>
    </row>
    <row r="6497" spans="1:39">
      <c r="A6497" s="2"/>
      <c r="AM6497" s="2"/>
    </row>
    <row r="6498" spans="1:39">
      <c r="A6498" s="2"/>
      <c r="AM6498" s="2"/>
    </row>
    <row r="6499" spans="1:39">
      <c r="A6499" s="2"/>
      <c r="AM6499" s="2"/>
    </row>
    <row r="6500" spans="1:39">
      <c r="A6500" s="2"/>
      <c r="AM6500" s="2"/>
    </row>
    <row r="6501" spans="1:39">
      <c r="A6501" s="2"/>
      <c r="AM6501" s="2"/>
    </row>
    <row r="6502" spans="1:39">
      <c r="A6502" s="2"/>
      <c r="AM6502" s="2"/>
    </row>
    <row r="6503" spans="1:39">
      <c r="A6503" s="2"/>
      <c r="AM6503" s="2"/>
    </row>
    <row r="6504" spans="1:39">
      <c r="A6504" s="2"/>
      <c r="AM6504" s="2"/>
    </row>
    <row r="6505" spans="1:39">
      <c r="A6505" s="2"/>
      <c r="AM6505" s="2"/>
    </row>
    <row r="6506" spans="1:39">
      <c r="A6506" s="2"/>
      <c r="AM6506" s="2"/>
    </row>
    <row r="6507" spans="1:39">
      <c r="A6507" s="2"/>
      <c r="AM6507" s="2"/>
    </row>
    <row r="6508" spans="1:39">
      <c r="A6508" s="2"/>
      <c r="AM6508" s="2"/>
    </row>
    <row r="6509" spans="1:39">
      <c r="A6509" s="2"/>
      <c r="AM6509" s="2"/>
    </row>
    <row r="6510" spans="1:39">
      <c r="A6510" s="2"/>
      <c r="AM6510" s="2"/>
    </row>
    <row r="6511" spans="1:39">
      <c r="A6511" s="2"/>
      <c r="AM6511" s="2"/>
    </row>
    <row r="6512" spans="1:39">
      <c r="A6512" s="2"/>
      <c r="AM6512" s="2"/>
    </row>
    <row r="6513" spans="1:39">
      <c r="A6513" s="2"/>
      <c r="AM6513" s="2"/>
    </row>
    <row r="6514" spans="1:39">
      <c r="A6514" s="2"/>
      <c r="AM6514" s="2"/>
    </row>
    <row r="6515" spans="1:39">
      <c r="A6515" s="2"/>
      <c r="AM6515" s="2"/>
    </row>
    <row r="6516" spans="1:39">
      <c r="A6516" s="2"/>
      <c r="AM6516" s="2"/>
    </row>
    <row r="6517" spans="1:39">
      <c r="A6517" s="2"/>
      <c r="AM6517" s="2"/>
    </row>
    <row r="6518" spans="1:39">
      <c r="A6518" s="2"/>
      <c r="AM6518" s="2"/>
    </row>
    <row r="6519" spans="1:39">
      <c r="A6519" s="2"/>
      <c r="AM6519" s="2"/>
    </row>
    <row r="6520" spans="1:39">
      <c r="A6520" s="2"/>
      <c r="AM6520" s="2"/>
    </row>
    <row r="6521" spans="1:39">
      <c r="A6521" s="2"/>
      <c r="AM6521" s="2"/>
    </row>
    <row r="6522" spans="1:39">
      <c r="A6522" s="2"/>
      <c r="AM6522" s="2"/>
    </row>
    <row r="6523" spans="1:39">
      <c r="A6523" s="2"/>
      <c r="AM6523" s="2"/>
    </row>
    <row r="6524" spans="1:39">
      <c r="A6524" s="2"/>
      <c r="AM6524" s="2"/>
    </row>
    <row r="6525" spans="1:39">
      <c r="A6525" s="2"/>
      <c r="AM6525" s="2"/>
    </row>
    <row r="6526" spans="1:39">
      <c r="A6526" s="2"/>
      <c r="AM6526" s="2"/>
    </row>
    <row r="6527" spans="1:39">
      <c r="A6527" s="2"/>
      <c r="AM6527" s="2"/>
    </row>
    <row r="6528" spans="1:39">
      <c r="A6528" s="2"/>
      <c r="AM6528" s="2"/>
    </row>
    <row r="6529" spans="1:39">
      <c r="A6529" s="2"/>
      <c r="AM6529" s="2"/>
    </row>
    <row r="6530" spans="1:39">
      <c r="A6530" s="2"/>
      <c r="AM6530" s="2"/>
    </row>
    <row r="6531" spans="1:39">
      <c r="A6531" s="2"/>
      <c r="AM6531" s="2"/>
    </row>
    <row r="6532" spans="1:39">
      <c r="A6532" s="2"/>
      <c r="AM6532" s="2"/>
    </row>
    <row r="6533" spans="1:39">
      <c r="A6533" s="2"/>
      <c r="AM6533" s="2"/>
    </row>
    <row r="6534" spans="1:39">
      <c r="A6534" s="2"/>
      <c r="AM6534" s="2"/>
    </row>
    <row r="6535" spans="1:39">
      <c r="A6535" s="2"/>
      <c r="AM6535" s="2"/>
    </row>
    <row r="6536" spans="1:39">
      <c r="A6536" s="2"/>
      <c r="AM6536" s="2"/>
    </row>
    <row r="6537" spans="1:39">
      <c r="A6537" s="2"/>
      <c r="AM6537" s="2"/>
    </row>
    <row r="6538" spans="1:39">
      <c r="A6538" s="2"/>
      <c r="AM6538" s="2"/>
    </row>
    <row r="6539" spans="1:39">
      <c r="A6539" s="2"/>
      <c r="AM6539" s="2"/>
    </row>
    <row r="6540" spans="1:39">
      <c r="A6540" s="2"/>
      <c r="AM6540" s="2"/>
    </row>
    <row r="6541" spans="1:39">
      <c r="A6541" s="2"/>
      <c r="AM6541" s="2"/>
    </row>
    <row r="6542" spans="1:39">
      <c r="A6542" s="2"/>
      <c r="AM6542" s="2"/>
    </row>
    <row r="6543" spans="1:39">
      <c r="A6543" s="2"/>
      <c r="AM6543" s="2"/>
    </row>
    <row r="6544" spans="1:39">
      <c r="A6544" s="2"/>
      <c r="AM6544" s="2"/>
    </row>
    <row r="6545" spans="1:39">
      <c r="A6545" s="2"/>
      <c r="AM6545" s="2"/>
    </row>
    <row r="6546" spans="1:39">
      <c r="A6546" s="2"/>
      <c r="AM6546" s="2"/>
    </row>
    <row r="6547" spans="1:39">
      <c r="A6547" s="2"/>
      <c r="AM6547" s="2"/>
    </row>
    <row r="6548" spans="1:39">
      <c r="A6548" s="2"/>
      <c r="AM6548" s="2"/>
    </row>
    <row r="6549" spans="1:39">
      <c r="A6549" s="2"/>
      <c r="AM6549" s="2"/>
    </row>
    <row r="6550" spans="1:39">
      <c r="A6550" s="2"/>
      <c r="AM6550" s="2"/>
    </row>
    <row r="6551" spans="1:39">
      <c r="A6551" s="2"/>
      <c r="AM6551" s="2"/>
    </row>
    <row r="6552" spans="1:39">
      <c r="A6552" s="2"/>
      <c r="AM6552" s="2"/>
    </row>
    <row r="6553" spans="1:39">
      <c r="A6553" s="2"/>
      <c r="AM6553" s="2"/>
    </row>
    <row r="6554" spans="1:39">
      <c r="A6554" s="2"/>
      <c r="AM6554" s="2"/>
    </row>
    <row r="6555" spans="1:39">
      <c r="A6555" s="2"/>
      <c r="AM6555" s="2"/>
    </row>
    <row r="6556" spans="1:39">
      <c r="A6556" s="2"/>
      <c r="AM6556" s="2"/>
    </row>
    <row r="6557" spans="1:39">
      <c r="A6557" s="2"/>
      <c r="AM6557" s="2"/>
    </row>
    <row r="6558" spans="1:39">
      <c r="A6558" s="2"/>
      <c r="AM6558" s="2"/>
    </row>
    <row r="6559" spans="1:39">
      <c r="A6559" s="2"/>
      <c r="AM6559" s="2"/>
    </row>
    <row r="6560" spans="1:39">
      <c r="A6560" s="2"/>
      <c r="AM6560" s="2"/>
    </row>
    <row r="6561" spans="1:39">
      <c r="A6561" s="2"/>
      <c r="AM6561" s="2"/>
    </row>
    <row r="6562" spans="1:39">
      <c r="A6562" s="2"/>
      <c r="AM6562" s="2"/>
    </row>
    <row r="6563" spans="1:39">
      <c r="A6563" s="2"/>
      <c r="AM6563" s="2"/>
    </row>
    <row r="6564" spans="1:39">
      <c r="A6564" s="2"/>
      <c r="AM6564" s="2"/>
    </row>
    <row r="6565" spans="1:39">
      <c r="A6565" s="2"/>
      <c r="AM6565" s="2"/>
    </row>
    <row r="6566" spans="1:39">
      <c r="A6566" s="2"/>
      <c r="AM6566" s="2"/>
    </row>
    <row r="6567" spans="1:39">
      <c r="A6567" s="2"/>
      <c r="AM6567" s="2"/>
    </row>
    <row r="6568" spans="1:39">
      <c r="A6568" s="2"/>
      <c r="AM6568" s="2"/>
    </row>
    <row r="6569" spans="1:39">
      <c r="A6569" s="2"/>
      <c r="AM6569" s="2"/>
    </row>
    <row r="6570" spans="1:39">
      <c r="A6570" s="2"/>
      <c r="AM6570" s="2"/>
    </row>
    <row r="6571" spans="1:39">
      <c r="A6571" s="2"/>
      <c r="AM6571" s="2"/>
    </row>
    <row r="6572" spans="1:39">
      <c r="A6572" s="2"/>
      <c r="AM6572" s="2"/>
    </row>
    <row r="6573" spans="1:39">
      <c r="A6573" s="2"/>
      <c r="AM6573" s="2"/>
    </row>
    <row r="6574" spans="1:39">
      <c r="A6574" s="2"/>
      <c r="AM6574" s="2"/>
    </row>
    <row r="6575" spans="1:39">
      <c r="A6575" s="2"/>
      <c r="AM6575" s="2"/>
    </row>
    <row r="6576" spans="1:39">
      <c r="A6576" s="2"/>
      <c r="AM6576" s="2"/>
    </row>
    <row r="6577" spans="1:39">
      <c r="A6577" s="2"/>
      <c r="AM6577" s="2"/>
    </row>
    <row r="6578" spans="1:39">
      <c r="A6578" s="2"/>
      <c r="AM6578" s="2"/>
    </row>
    <row r="6579" spans="1:39">
      <c r="A6579" s="2"/>
      <c r="AM6579" s="2"/>
    </row>
    <row r="6580" spans="1:39">
      <c r="A6580" s="2"/>
      <c r="AM6580" s="2"/>
    </row>
    <row r="6581" spans="1:39">
      <c r="A6581" s="2"/>
      <c r="AM6581" s="2"/>
    </row>
    <row r="6582" spans="1:39">
      <c r="A6582" s="2"/>
      <c r="AM6582" s="2"/>
    </row>
    <row r="6583" spans="1:39">
      <c r="A6583" s="2"/>
      <c r="AM6583" s="2"/>
    </row>
    <row r="6584" spans="1:39">
      <c r="A6584" s="2"/>
      <c r="AM6584" s="2"/>
    </row>
    <row r="6585" spans="1:39">
      <c r="A6585" s="2"/>
      <c r="AM6585" s="2"/>
    </row>
    <row r="6586" spans="1:39">
      <c r="A6586" s="2"/>
      <c r="AM6586" s="2"/>
    </row>
    <row r="6587" spans="1:39">
      <c r="A6587" s="2"/>
      <c r="AM6587" s="2"/>
    </row>
    <row r="6588" spans="1:39">
      <c r="A6588" s="2"/>
      <c r="AM6588" s="2"/>
    </row>
    <row r="6589" spans="1:39">
      <c r="A6589" s="2"/>
      <c r="AM6589" s="2"/>
    </row>
    <row r="6590" spans="1:39">
      <c r="A6590" s="2"/>
      <c r="AM6590" s="2"/>
    </row>
    <row r="6591" spans="1:39">
      <c r="A6591" s="2"/>
      <c r="AM6591" s="2"/>
    </row>
    <row r="6592" spans="1:39">
      <c r="A6592" s="2"/>
      <c r="AM6592" s="2"/>
    </row>
    <row r="6593" spans="1:39">
      <c r="A6593" s="2"/>
      <c r="AM6593" s="2"/>
    </row>
    <row r="6594" spans="1:39">
      <c r="A6594" s="2"/>
      <c r="AM6594" s="2"/>
    </row>
    <row r="6595" spans="1:39">
      <c r="A6595" s="2"/>
      <c r="AM6595" s="2"/>
    </row>
    <row r="6596" spans="1:39">
      <c r="A6596" s="2"/>
      <c r="AM6596" s="2"/>
    </row>
    <row r="6597" spans="1:39">
      <c r="A6597" s="2"/>
      <c r="AM6597" s="2"/>
    </row>
    <row r="6598" spans="1:39">
      <c r="A6598" s="2"/>
      <c r="AM6598" s="2"/>
    </row>
    <row r="6599" spans="1:39">
      <c r="A6599" s="2"/>
      <c r="AM6599" s="2"/>
    </row>
    <row r="6600" spans="1:39">
      <c r="A6600" s="2"/>
      <c r="AM6600" s="2"/>
    </row>
    <row r="6601" spans="1:39">
      <c r="A6601" s="2"/>
      <c r="AM6601" s="2"/>
    </row>
    <row r="6602" spans="1:39">
      <c r="A6602" s="2"/>
      <c r="AM6602" s="2"/>
    </row>
    <row r="6603" spans="1:39">
      <c r="A6603" s="2"/>
      <c r="AM6603" s="2"/>
    </row>
    <row r="6604" spans="1:39">
      <c r="A6604" s="2"/>
      <c r="AM6604" s="2"/>
    </row>
    <row r="6605" spans="1:39">
      <c r="A6605" s="2"/>
      <c r="AM6605" s="2"/>
    </row>
    <row r="6606" spans="1:39">
      <c r="A6606" s="2"/>
      <c r="AM6606" s="2"/>
    </row>
    <row r="6607" spans="1:39">
      <c r="A6607" s="2"/>
      <c r="AM6607" s="2"/>
    </row>
    <row r="6608" spans="1:39">
      <c r="A6608" s="2"/>
      <c r="AM6608" s="2"/>
    </row>
    <row r="6609" spans="1:39">
      <c r="A6609" s="2"/>
      <c r="AM6609" s="2"/>
    </row>
    <row r="6610" spans="1:39">
      <c r="A6610" s="2"/>
      <c r="AM6610" s="2"/>
    </row>
    <row r="6611" spans="1:39">
      <c r="A6611" s="2"/>
      <c r="AM6611" s="2"/>
    </row>
    <row r="6612" spans="1:39">
      <c r="A6612" s="2"/>
      <c r="AM6612" s="2"/>
    </row>
    <row r="6613" spans="1:39">
      <c r="A6613" s="2"/>
      <c r="AM6613" s="2"/>
    </row>
    <row r="6614" spans="1:39">
      <c r="A6614" s="2"/>
      <c r="AM6614" s="2"/>
    </row>
    <row r="6615" spans="1:39">
      <c r="A6615" s="2"/>
      <c r="AM6615" s="2"/>
    </row>
    <row r="6616" spans="1:39">
      <c r="A6616" s="2"/>
      <c r="AM6616" s="2"/>
    </row>
    <row r="6617" spans="1:39">
      <c r="A6617" s="2"/>
      <c r="AM6617" s="2"/>
    </row>
    <row r="6618" spans="1:39">
      <c r="A6618" s="2"/>
      <c r="AM6618" s="2"/>
    </row>
    <row r="6619" spans="1:39">
      <c r="A6619" s="2"/>
      <c r="AM6619" s="2"/>
    </row>
    <row r="6620" spans="1:39">
      <c r="A6620" s="2"/>
      <c r="AM6620" s="2"/>
    </row>
    <row r="6621" spans="1:39">
      <c r="A6621" s="2"/>
      <c r="AM6621" s="2"/>
    </row>
    <row r="6622" spans="1:39">
      <c r="A6622" s="2"/>
      <c r="AM6622" s="2"/>
    </row>
    <row r="6623" spans="1:39">
      <c r="A6623" s="2"/>
      <c r="AM6623" s="2"/>
    </row>
    <row r="6624" spans="1:39">
      <c r="A6624" s="2"/>
      <c r="AM6624" s="2"/>
    </row>
    <row r="6625" spans="1:39">
      <c r="A6625" s="2"/>
      <c r="AM6625" s="2"/>
    </row>
    <row r="6626" spans="1:39">
      <c r="A6626" s="2"/>
      <c r="AM6626" s="2"/>
    </row>
    <row r="6627" spans="1:39">
      <c r="A6627" s="2"/>
      <c r="AM6627" s="2"/>
    </row>
    <row r="6628" spans="1:39">
      <c r="A6628" s="2"/>
      <c r="AM6628" s="2"/>
    </row>
    <row r="6629" spans="1:39">
      <c r="A6629" s="2"/>
      <c r="AM6629" s="2"/>
    </row>
    <row r="6630" spans="1:39">
      <c r="A6630" s="2"/>
      <c r="AM6630" s="2"/>
    </row>
    <row r="6631" spans="1:39">
      <c r="A6631" s="2"/>
      <c r="AM6631" s="2"/>
    </row>
    <row r="6632" spans="1:39">
      <c r="A6632" s="2"/>
      <c r="AM6632" s="2"/>
    </row>
    <row r="6633" spans="1:39">
      <c r="A6633" s="2"/>
      <c r="AM6633" s="2"/>
    </row>
    <row r="6634" spans="1:39">
      <c r="A6634" s="2"/>
      <c r="AM6634" s="2"/>
    </row>
    <row r="6635" spans="1:39">
      <c r="A6635" s="2"/>
      <c r="AM6635" s="2"/>
    </row>
    <row r="6636" spans="1:39">
      <c r="A6636" s="2"/>
      <c r="AM6636" s="2"/>
    </row>
    <row r="6637" spans="1:39">
      <c r="A6637" s="2"/>
      <c r="AM6637" s="2"/>
    </row>
    <row r="6638" spans="1:39">
      <c r="A6638" s="2"/>
      <c r="AM6638" s="2"/>
    </row>
    <row r="6639" spans="1:39">
      <c r="A6639" s="2"/>
      <c r="AM6639" s="2"/>
    </row>
    <row r="6640" spans="1:39">
      <c r="A6640" s="2"/>
      <c r="AM6640" s="2"/>
    </row>
    <row r="6641" spans="1:39">
      <c r="A6641" s="2"/>
      <c r="AM6641" s="2"/>
    </row>
    <row r="6642" spans="1:39">
      <c r="A6642" s="2"/>
      <c r="AM6642" s="2"/>
    </row>
    <row r="6643" spans="1:39">
      <c r="A6643" s="2"/>
      <c r="AM6643" s="2"/>
    </row>
    <row r="6644" spans="1:39">
      <c r="A6644" s="2"/>
      <c r="AM6644" s="2"/>
    </row>
    <row r="6645" spans="1:39">
      <c r="A6645" s="2"/>
      <c r="AM6645" s="2"/>
    </row>
    <row r="6646" spans="1:39">
      <c r="A6646" s="2"/>
      <c r="AM6646" s="2"/>
    </row>
    <row r="6647" spans="1:39">
      <c r="A6647" s="2"/>
      <c r="AM6647" s="2"/>
    </row>
    <row r="6648" spans="1:39">
      <c r="A6648" s="2"/>
      <c r="AM6648" s="2"/>
    </row>
    <row r="6649" spans="1:39">
      <c r="A6649" s="2"/>
      <c r="AM6649" s="2"/>
    </row>
    <row r="6650" spans="1:39">
      <c r="A6650" s="2"/>
      <c r="AM6650" s="2"/>
    </row>
    <row r="6651" spans="1:39">
      <c r="A6651" s="2"/>
      <c r="AM6651" s="2"/>
    </row>
    <row r="6652" spans="1:39">
      <c r="A6652" s="2"/>
      <c r="AM6652" s="2"/>
    </row>
    <row r="6653" spans="1:39">
      <c r="A6653" s="2"/>
      <c r="AM6653" s="2"/>
    </row>
    <row r="6654" spans="1:39">
      <c r="A6654" s="2"/>
      <c r="AM6654" s="2"/>
    </row>
    <row r="6655" spans="1:39">
      <c r="A6655" s="2"/>
      <c r="AM6655" s="2"/>
    </row>
    <row r="6656" spans="1:39">
      <c r="A6656" s="2"/>
      <c r="AM6656" s="2"/>
    </row>
    <row r="6657" spans="1:39">
      <c r="A6657" s="2"/>
      <c r="AM6657" s="2"/>
    </row>
    <row r="6658" spans="1:39">
      <c r="A6658" s="2"/>
      <c r="AM6658" s="2"/>
    </row>
    <row r="6659" spans="1:39">
      <c r="A6659" s="2"/>
      <c r="AM6659" s="2"/>
    </row>
    <row r="6660" spans="1:39">
      <c r="A6660" s="2"/>
      <c r="AM6660" s="2"/>
    </row>
    <row r="6661" spans="1:39">
      <c r="A6661" s="2"/>
      <c r="AM6661" s="2"/>
    </row>
    <row r="6662" spans="1:39">
      <c r="A6662" s="2"/>
      <c r="AM6662" s="2"/>
    </row>
    <row r="6663" spans="1:39">
      <c r="A6663" s="2"/>
      <c r="AM6663" s="2"/>
    </row>
    <row r="6664" spans="1:39">
      <c r="A6664" s="2"/>
      <c r="AM6664" s="2"/>
    </row>
    <row r="6665" spans="1:39">
      <c r="A6665" s="2"/>
      <c r="AM6665" s="2"/>
    </row>
    <row r="6666" spans="1:39">
      <c r="A6666" s="2"/>
      <c r="AM6666" s="2"/>
    </row>
    <row r="6667" spans="1:39">
      <c r="A6667" s="2"/>
      <c r="AM6667" s="2"/>
    </row>
    <row r="6668" spans="1:39">
      <c r="A6668" s="2"/>
      <c r="AM6668" s="2"/>
    </row>
    <row r="6669" spans="1:39">
      <c r="A6669" s="2"/>
      <c r="AM6669" s="2"/>
    </row>
    <row r="6670" spans="1:39">
      <c r="A6670" s="2"/>
      <c r="AM6670" s="2"/>
    </row>
    <row r="6671" spans="1:39">
      <c r="A6671" s="2"/>
      <c r="AM6671" s="2"/>
    </row>
    <row r="6672" spans="1:39">
      <c r="A6672" s="2"/>
      <c r="AM6672" s="2"/>
    </row>
    <row r="6673" spans="1:39">
      <c r="A6673" s="2"/>
      <c r="AM6673" s="2"/>
    </row>
    <row r="6674" spans="1:39">
      <c r="A6674" s="2"/>
      <c r="AM6674" s="2"/>
    </row>
    <row r="6675" spans="1:39">
      <c r="A6675" s="2"/>
      <c r="AM6675" s="2"/>
    </row>
    <row r="6676" spans="1:39">
      <c r="A6676" s="2"/>
      <c r="AM6676" s="2"/>
    </row>
    <row r="6677" spans="1:39">
      <c r="A6677" s="2"/>
      <c r="AM6677" s="2"/>
    </row>
    <row r="6678" spans="1:39">
      <c r="A6678" s="2"/>
      <c r="AM6678" s="2"/>
    </row>
    <row r="6679" spans="1:39">
      <c r="A6679" s="2"/>
      <c r="AM6679" s="2"/>
    </row>
    <row r="6680" spans="1:39">
      <c r="A6680" s="2"/>
      <c r="AM6680" s="2"/>
    </row>
    <row r="6681" spans="1:39">
      <c r="A6681" s="2"/>
      <c r="AM6681" s="2"/>
    </row>
    <row r="6682" spans="1:39">
      <c r="A6682" s="2"/>
      <c r="AM6682" s="2"/>
    </row>
    <row r="6683" spans="1:39">
      <c r="A6683" s="2"/>
      <c r="AM6683" s="2"/>
    </row>
    <row r="6684" spans="1:39">
      <c r="A6684" s="2"/>
      <c r="AM6684" s="2"/>
    </row>
    <row r="6685" spans="1:39">
      <c r="A6685" s="2"/>
      <c r="AM6685" s="2"/>
    </row>
    <row r="6686" spans="1:39">
      <c r="A6686" s="2"/>
      <c r="AM6686" s="2"/>
    </row>
    <row r="6687" spans="1:39">
      <c r="A6687" s="2"/>
      <c r="AM6687" s="2"/>
    </row>
    <row r="6688" spans="1:39">
      <c r="A6688" s="2"/>
      <c r="AM6688" s="2"/>
    </row>
    <row r="6689" spans="1:39">
      <c r="A6689" s="2"/>
      <c r="AM6689" s="2"/>
    </row>
    <row r="6690" spans="1:39">
      <c r="A6690" s="2"/>
      <c r="AM6690" s="2"/>
    </row>
    <row r="6691" spans="1:39">
      <c r="A6691" s="2"/>
      <c r="AM6691" s="2"/>
    </row>
    <row r="6692" spans="1:39">
      <c r="A6692" s="2"/>
      <c r="AM6692" s="2"/>
    </row>
    <row r="6693" spans="1:39">
      <c r="A6693" s="2"/>
      <c r="AM6693" s="2"/>
    </row>
    <row r="6694" spans="1:39">
      <c r="A6694" s="2"/>
      <c r="AM6694" s="2"/>
    </row>
    <row r="6695" spans="1:39">
      <c r="A6695" s="2"/>
      <c r="AM6695" s="2"/>
    </row>
    <row r="6696" spans="1:39">
      <c r="A6696" s="2"/>
      <c r="AM6696" s="2"/>
    </row>
    <row r="6697" spans="1:39">
      <c r="A6697" s="2"/>
      <c r="AM6697" s="2"/>
    </row>
    <row r="6698" spans="1:39">
      <c r="A6698" s="2"/>
      <c r="AM6698" s="2"/>
    </row>
    <row r="6699" spans="1:39">
      <c r="A6699" s="2"/>
      <c r="AM6699" s="2"/>
    </row>
    <row r="6700" spans="1:39">
      <c r="A6700" s="2"/>
      <c r="AM6700" s="2"/>
    </row>
    <row r="6701" spans="1:39">
      <c r="A6701" s="2"/>
      <c r="AM6701" s="2"/>
    </row>
    <row r="6702" spans="1:39">
      <c r="A6702" s="2"/>
      <c r="AM6702" s="2"/>
    </row>
    <row r="6703" spans="1:39">
      <c r="A6703" s="2"/>
      <c r="AM6703" s="2"/>
    </row>
    <row r="6704" spans="1:39">
      <c r="A6704" s="2"/>
      <c r="AM6704" s="2"/>
    </row>
    <row r="6705" spans="1:39">
      <c r="A6705" s="2"/>
      <c r="AM6705" s="2"/>
    </row>
    <row r="6706" spans="1:39">
      <c r="A6706" s="2"/>
      <c r="AM6706" s="2"/>
    </row>
    <row r="6707" spans="1:39">
      <c r="A6707" s="2"/>
      <c r="AM6707" s="2"/>
    </row>
    <row r="6708" spans="1:39">
      <c r="A6708" s="2"/>
      <c r="AM6708" s="2"/>
    </row>
    <row r="6709" spans="1:39">
      <c r="A6709" s="2"/>
      <c r="AM6709" s="2"/>
    </row>
    <row r="6710" spans="1:39">
      <c r="A6710" s="2"/>
      <c r="AM6710" s="2"/>
    </row>
    <row r="6711" spans="1:39">
      <c r="A6711" s="2"/>
      <c r="AM6711" s="2"/>
    </row>
    <row r="6712" spans="1:39">
      <c r="A6712" s="2"/>
      <c r="AM6712" s="2"/>
    </row>
    <row r="6713" spans="1:39">
      <c r="A6713" s="2"/>
      <c r="AM6713" s="2"/>
    </row>
    <row r="6714" spans="1:39">
      <c r="A6714" s="2"/>
      <c r="AM6714" s="2"/>
    </row>
    <row r="6715" spans="1:39">
      <c r="A6715" s="2"/>
      <c r="AM6715" s="2"/>
    </row>
    <row r="6716" spans="1:39">
      <c r="A6716" s="2"/>
      <c r="AM6716" s="2"/>
    </row>
    <row r="6717" spans="1:39">
      <c r="A6717" s="2"/>
      <c r="AM6717" s="2"/>
    </row>
    <row r="6718" spans="1:39">
      <c r="A6718" s="2"/>
      <c r="AM6718" s="2"/>
    </row>
    <row r="6719" spans="1:39">
      <c r="A6719" s="2"/>
      <c r="AM6719" s="2"/>
    </row>
    <row r="6720" spans="1:39">
      <c r="A6720" s="2"/>
      <c r="AM6720" s="2"/>
    </row>
    <row r="6721" spans="1:39">
      <c r="A6721" s="2"/>
      <c r="AM6721" s="2"/>
    </row>
    <row r="6722" spans="1:39">
      <c r="A6722" s="2"/>
      <c r="AM6722" s="2"/>
    </row>
    <row r="6723" spans="1:39">
      <c r="A6723" s="2"/>
      <c r="AM6723" s="2"/>
    </row>
    <row r="6724" spans="1:39">
      <c r="A6724" s="2"/>
      <c r="AM6724" s="2"/>
    </row>
    <row r="6725" spans="1:39">
      <c r="A6725" s="2"/>
      <c r="AM6725" s="2"/>
    </row>
    <row r="6726" spans="1:39">
      <c r="A6726" s="2"/>
      <c r="AM6726" s="2"/>
    </row>
    <row r="6727" spans="1:39">
      <c r="A6727" s="2"/>
      <c r="AM6727" s="2"/>
    </row>
    <row r="6728" spans="1:39">
      <c r="A6728" s="2"/>
      <c r="AM6728" s="2"/>
    </row>
    <row r="6729" spans="1:39">
      <c r="A6729" s="2"/>
      <c r="AM6729" s="2"/>
    </row>
    <row r="6730" spans="1:39">
      <c r="A6730" s="2"/>
      <c r="AM6730" s="2"/>
    </row>
    <row r="6731" spans="1:39">
      <c r="A6731" s="2"/>
      <c r="AM6731" s="2"/>
    </row>
    <row r="6732" spans="1:39">
      <c r="A6732" s="2"/>
      <c r="AM6732" s="2"/>
    </row>
    <row r="6733" spans="1:39">
      <c r="A6733" s="2"/>
      <c r="AM6733" s="2"/>
    </row>
    <row r="6734" spans="1:39">
      <c r="A6734" s="2"/>
      <c r="AM6734" s="2"/>
    </row>
    <row r="6735" spans="1:39">
      <c r="A6735" s="2"/>
      <c r="AM6735" s="2"/>
    </row>
    <row r="6736" spans="1:39">
      <c r="A6736" s="2"/>
      <c r="AM6736" s="2"/>
    </row>
    <row r="6737" spans="1:39">
      <c r="A6737" s="2"/>
      <c r="AM6737" s="2"/>
    </row>
    <row r="6738" spans="1:39">
      <c r="A6738" s="2"/>
      <c r="AM6738" s="2"/>
    </row>
    <row r="6739" spans="1:39">
      <c r="A6739" s="2"/>
      <c r="AM6739" s="2"/>
    </row>
    <row r="6740" spans="1:39">
      <c r="A6740" s="2"/>
      <c r="AM6740" s="2"/>
    </row>
    <row r="6741" spans="1:39">
      <c r="A6741" s="2"/>
      <c r="AM6741" s="2"/>
    </row>
    <row r="6742" spans="1:39">
      <c r="A6742" s="2"/>
      <c r="AM6742" s="2"/>
    </row>
    <row r="6743" spans="1:39">
      <c r="A6743" s="2"/>
      <c r="AM6743" s="2"/>
    </row>
    <row r="6744" spans="1:39">
      <c r="A6744" s="2"/>
      <c r="AM6744" s="2"/>
    </row>
    <row r="6745" spans="1:39">
      <c r="A6745" s="2"/>
      <c r="AM6745" s="2"/>
    </row>
    <row r="6746" spans="1:39">
      <c r="A6746" s="2"/>
      <c r="AM6746" s="2"/>
    </row>
    <row r="6747" spans="1:39">
      <c r="A6747" s="2"/>
      <c r="AM6747" s="2"/>
    </row>
    <row r="6748" spans="1:39">
      <c r="A6748" s="2"/>
      <c r="AM6748" s="2"/>
    </row>
    <row r="6749" spans="1:39">
      <c r="A6749" s="2"/>
      <c r="AM6749" s="2"/>
    </row>
    <row r="6750" spans="1:39">
      <c r="A6750" s="2"/>
      <c r="AM6750" s="2"/>
    </row>
    <row r="6751" spans="1:39">
      <c r="A6751" s="2"/>
      <c r="AM6751" s="2"/>
    </row>
    <row r="6752" spans="1:39">
      <c r="A6752" s="2"/>
      <c r="AM6752" s="2"/>
    </row>
    <row r="6753" spans="1:39">
      <c r="A6753" s="2"/>
      <c r="AM6753" s="2"/>
    </row>
    <row r="6754" spans="1:39">
      <c r="A6754" s="2"/>
      <c r="AM6754" s="2"/>
    </row>
    <row r="6755" spans="1:39">
      <c r="A6755" s="2"/>
      <c r="AM6755" s="2"/>
    </row>
    <row r="6756" spans="1:39">
      <c r="A6756" s="2"/>
      <c r="AM6756" s="2"/>
    </row>
    <row r="6757" spans="1:39">
      <c r="A6757" s="2"/>
      <c r="AM6757" s="2"/>
    </row>
    <row r="6758" spans="1:39">
      <c r="A6758" s="2"/>
      <c r="AM6758" s="2"/>
    </row>
    <row r="6759" spans="1:39">
      <c r="A6759" s="2"/>
      <c r="AM6759" s="2"/>
    </row>
    <row r="6760" spans="1:39">
      <c r="A6760" s="2"/>
      <c r="AM6760" s="2"/>
    </row>
    <row r="6761" spans="1:39">
      <c r="A6761" s="2"/>
      <c r="AM6761" s="2"/>
    </row>
    <row r="6762" spans="1:39">
      <c r="A6762" s="2"/>
      <c r="AM6762" s="2"/>
    </row>
    <row r="6763" spans="1:39">
      <c r="A6763" s="2"/>
      <c r="AM6763" s="2"/>
    </row>
    <row r="6764" spans="1:39">
      <c r="A6764" s="2"/>
      <c r="AM6764" s="2"/>
    </row>
    <row r="6765" spans="1:39">
      <c r="A6765" s="2"/>
      <c r="AM6765" s="2"/>
    </row>
    <row r="6766" spans="1:39">
      <c r="A6766" s="2"/>
      <c r="AM6766" s="2"/>
    </row>
    <row r="6767" spans="1:39">
      <c r="A6767" s="2"/>
      <c r="AM6767" s="2"/>
    </row>
    <row r="6768" spans="1:39">
      <c r="A6768" s="2"/>
      <c r="AM6768" s="2"/>
    </row>
    <row r="6769" spans="1:39">
      <c r="A6769" s="2"/>
      <c r="AM6769" s="2"/>
    </row>
    <row r="6770" spans="1:39">
      <c r="A6770" s="2"/>
      <c r="AM6770" s="2"/>
    </row>
    <row r="6771" spans="1:39">
      <c r="A6771" s="2"/>
      <c r="AM6771" s="2"/>
    </row>
    <row r="6772" spans="1:39">
      <c r="A6772" s="2"/>
      <c r="AM6772" s="2"/>
    </row>
    <row r="6773" spans="1:39">
      <c r="A6773" s="2"/>
      <c r="AM6773" s="2"/>
    </row>
    <row r="6774" spans="1:39">
      <c r="A6774" s="2"/>
      <c r="AM6774" s="2"/>
    </row>
    <row r="6775" spans="1:39">
      <c r="A6775" s="2"/>
      <c r="AM6775" s="2"/>
    </row>
    <row r="6776" spans="1:39">
      <c r="A6776" s="2"/>
      <c r="AM6776" s="2"/>
    </row>
    <row r="6777" spans="1:39">
      <c r="A6777" s="2"/>
      <c r="AM6777" s="2"/>
    </row>
    <row r="6778" spans="1:39">
      <c r="A6778" s="2"/>
      <c r="AM6778" s="2"/>
    </row>
    <row r="6779" spans="1:39">
      <c r="A6779" s="2"/>
      <c r="AM6779" s="2"/>
    </row>
    <row r="6780" spans="1:39">
      <c r="A6780" s="2"/>
      <c r="AM6780" s="2"/>
    </row>
    <row r="6781" spans="1:39">
      <c r="A6781" s="2"/>
      <c r="AM6781" s="2"/>
    </row>
    <row r="6782" spans="1:39">
      <c r="A6782" s="2"/>
      <c r="AM6782" s="2"/>
    </row>
    <row r="6783" spans="1:39">
      <c r="A6783" s="2"/>
      <c r="AM6783" s="2"/>
    </row>
    <row r="6784" spans="1:39">
      <c r="A6784" s="2"/>
      <c r="AM6784" s="2"/>
    </row>
    <row r="6785" spans="1:39">
      <c r="A6785" s="2"/>
      <c r="AM6785" s="2"/>
    </row>
    <row r="6786" spans="1:39">
      <c r="A6786" s="2"/>
      <c r="AM6786" s="2"/>
    </row>
    <row r="6787" spans="1:39">
      <c r="A6787" s="2"/>
      <c r="AM6787" s="2"/>
    </row>
    <row r="6788" spans="1:39">
      <c r="A6788" s="2"/>
      <c r="AM6788" s="2"/>
    </row>
    <row r="6789" spans="1:39">
      <c r="A6789" s="2"/>
      <c r="AM6789" s="2"/>
    </row>
    <row r="6790" spans="1:39">
      <c r="A6790" s="2"/>
      <c r="AM6790" s="2"/>
    </row>
    <row r="6791" spans="1:39">
      <c r="A6791" s="2"/>
      <c r="AM6791" s="2"/>
    </row>
    <row r="6792" spans="1:39">
      <c r="A6792" s="2"/>
      <c r="AM6792" s="2"/>
    </row>
    <row r="6793" spans="1:39">
      <c r="A6793" s="2"/>
      <c r="AM6793" s="2"/>
    </row>
    <row r="6794" spans="1:39">
      <c r="A6794" s="2"/>
      <c r="AM6794" s="2"/>
    </row>
    <row r="6795" spans="1:39">
      <c r="A6795" s="2"/>
      <c r="AM6795" s="2"/>
    </row>
    <row r="6796" spans="1:39">
      <c r="A6796" s="2"/>
      <c r="AM6796" s="2"/>
    </row>
    <row r="6797" spans="1:39">
      <c r="A6797" s="2"/>
      <c r="AM6797" s="2"/>
    </row>
    <row r="6798" spans="1:39">
      <c r="A6798" s="2"/>
      <c r="AM6798" s="2"/>
    </row>
    <row r="6799" spans="1:39">
      <c r="A6799" s="2"/>
      <c r="AM6799" s="2"/>
    </row>
    <row r="6800" spans="1:39">
      <c r="A6800" s="2"/>
      <c r="AM6800" s="2"/>
    </row>
    <row r="6801" spans="1:39">
      <c r="A6801" s="2"/>
      <c r="AM6801" s="2"/>
    </row>
    <row r="6802" spans="1:39">
      <c r="A6802" s="2"/>
      <c r="AM6802" s="2"/>
    </row>
    <row r="6803" spans="1:39">
      <c r="A6803" s="2"/>
      <c r="AM6803" s="2"/>
    </row>
    <row r="6804" spans="1:39">
      <c r="A6804" s="2"/>
      <c r="AM6804" s="2"/>
    </row>
    <row r="6805" spans="1:39">
      <c r="A6805" s="2"/>
      <c r="AM6805" s="2"/>
    </row>
    <row r="6806" spans="1:39">
      <c r="A6806" s="2"/>
      <c r="AM6806" s="2"/>
    </row>
    <row r="6807" spans="1:39">
      <c r="A6807" s="2"/>
      <c r="AM6807" s="2"/>
    </row>
    <row r="6808" spans="1:39">
      <c r="A6808" s="2"/>
      <c r="AM6808" s="2"/>
    </row>
    <row r="6809" spans="1:39">
      <c r="A6809" s="2"/>
      <c r="AM6809" s="2"/>
    </row>
    <row r="6810" spans="1:39">
      <c r="A6810" s="2"/>
      <c r="AM6810" s="2"/>
    </row>
    <row r="6811" spans="1:39">
      <c r="A6811" s="2"/>
      <c r="AM6811" s="2"/>
    </row>
    <row r="6812" spans="1:39">
      <c r="A6812" s="2"/>
      <c r="AM6812" s="2"/>
    </row>
    <row r="6813" spans="1:39">
      <c r="A6813" s="2"/>
      <c r="AM6813" s="2"/>
    </row>
    <row r="6814" spans="1:39">
      <c r="A6814" s="2"/>
      <c r="AM6814" s="2"/>
    </row>
    <row r="6815" spans="1:39">
      <c r="A6815" s="2"/>
      <c r="AM6815" s="2"/>
    </row>
    <row r="6816" spans="1:39">
      <c r="A6816" s="2"/>
      <c r="AM6816" s="2"/>
    </row>
    <row r="6817" spans="1:39">
      <c r="A6817" s="2"/>
      <c r="AM6817" s="2"/>
    </row>
    <row r="6818" spans="1:39">
      <c r="A6818" s="2"/>
      <c r="AM6818" s="2"/>
    </row>
    <row r="6819" spans="1:39">
      <c r="A6819" s="2"/>
      <c r="AM6819" s="2"/>
    </row>
    <row r="6820" spans="1:39">
      <c r="A6820" s="2"/>
      <c r="AM6820" s="2"/>
    </row>
    <row r="6821" spans="1:39">
      <c r="A6821" s="2"/>
      <c r="AM6821" s="2"/>
    </row>
    <row r="6822" spans="1:39">
      <c r="A6822" s="2"/>
      <c r="AM6822" s="2"/>
    </row>
    <row r="6823" spans="1:39">
      <c r="A6823" s="2"/>
      <c r="AM6823" s="2"/>
    </row>
    <row r="6824" spans="1:39">
      <c r="A6824" s="2"/>
      <c r="AM6824" s="2"/>
    </row>
    <row r="6825" spans="1:39">
      <c r="A6825" s="2"/>
      <c r="AM6825" s="2"/>
    </row>
    <row r="6826" spans="1:39">
      <c r="A6826" s="2"/>
      <c r="AM6826" s="2"/>
    </row>
    <row r="6827" spans="1:39">
      <c r="A6827" s="2"/>
      <c r="AM6827" s="2"/>
    </row>
    <row r="6828" spans="1:39">
      <c r="A6828" s="2"/>
      <c r="AM6828" s="2"/>
    </row>
    <row r="6829" spans="1:39">
      <c r="A6829" s="2"/>
      <c r="AM6829" s="2"/>
    </row>
    <row r="6830" spans="1:39">
      <c r="A6830" s="2"/>
      <c r="AM6830" s="2"/>
    </row>
    <row r="6831" spans="1:39">
      <c r="A6831" s="2"/>
      <c r="AM6831" s="2"/>
    </row>
    <row r="6832" spans="1:39">
      <c r="A6832" s="2"/>
      <c r="AM6832" s="2"/>
    </row>
    <row r="6833" spans="1:39">
      <c r="A6833" s="2"/>
      <c r="AM6833" s="2"/>
    </row>
    <row r="6834" spans="1:39">
      <c r="A6834" s="2"/>
      <c r="AM6834" s="2"/>
    </row>
    <row r="6835" spans="1:39">
      <c r="A6835" s="2"/>
      <c r="AM6835" s="2"/>
    </row>
    <row r="6836" spans="1:39">
      <c r="A6836" s="2"/>
      <c r="AM6836" s="2"/>
    </row>
    <row r="6837" spans="1:39">
      <c r="A6837" s="2"/>
      <c r="AM6837" s="2"/>
    </row>
    <row r="6838" spans="1:39">
      <c r="A6838" s="2"/>
      <c r="AM6838" s="2"/>
    </row>
    <row r="6839" spans="1:39">
      <c r="A6839" s="2"/>
      <c r="AM6839" s="2"/>
    </row>
    <row r="6840" spans="1:39">
      <c r="A6840" s="2"/>
      <c r="AM6840" s="2"/>
    </row>
    <row r="6841" spans="1:39">
      <c r="A6841" s="2"/>
      <c r="AM6841" s="2"/>
    </row>
    <row r="6842" spans="1:39">
      <c r="A6842" s="2"/>
      <c r="AM6842" s="2"/>
    </row>
    <row r="6843" spans="1:39">
      <c r="A6843" s="2"/>
      <c r="AM6843" s="2"/>
    </row>
    <row r="6844" spans="1:39">
      <c r="A6844" s="2"/>
      <c r="AM6844" s="2"/>
    </row>
    <row r="6845" spans="1:39">
      <c r="A6845" s="2"/>
      <c r="AM6845" s="2"/>
    </row>
    <row r="6846" spans="1:39">
      <c r="A6846" s="2"/>
      <c r="AM6846" s="2"/>
    </row>
    <row r="6847" spans="1:39">
      <c r="A6847" s="2"/>
      <c r="AM6847" s="2"/>
    </row>
    <row r="6848" spans="1:39">
      <c r="A6848" s="2"/>
      <c r="AM6848" s="2"/>
    </row>
    <row r="6849" spans="1:39">
      <c r="A6849" s="2"/>
      <c r="AM6849" s="2"/>
    </row>
    <row r="6850" spans="1:39">
      <c r="A6850" s="2"/>
      <c r="AM6850" s="2"/>
    </row>
    <row r="6851" spans="1:39">
      <c r="A6851" s="2"/>
      <c r="AM6851" s="2"/>
    </row>
    <row r="6852" spans="1:39">
      <c r="A6852" s="2"/>
      <c r="AM6852" s="2"/>
    </row>
    <row r="6853" spans="1:39">
      <c r="A6853" s="2"/>
      <c r="AM6853" s="2"/>
    </row>
    <row r="6854" spans="1:39">
      <c r="A6854" s="2"/>
      <c r="AM6854" s="2"/>
    </row>
    <row r="6855" spans="1:39">
      <c r="A6855" s="2"/>
      <c r="AM6855" s="2"/>
    </row>
    <row r="6856" spans="1:39">
      <c r="A6856" s="2"/>
      <c r="AM6856" s="2"/>
    </row>
    <row r="6857" spans="1:39">
      <c r="A6857" s="2"/>
      <c r="AM6857" s="2"/>
    </row>
    <row r="6858" spans="1:39">
      <c r="A6858" s="2"/>
      <c r="AM6858" s="2"/>
    </row>
    <row r="6859" spans="1:39">
      <c r="A6859" s="2"/>
      <c r="AM6859" s="2"/>
    </row>
    <row r="6860" spans="1:39">
      <c r="A6860" s="2"/>
      <c r="AM6860" s="2"/>
    </row>
    <row r="6861" spans="1:39">
      <c r="A6861" s="2"/>
      <c r="AM6861" s="2"/>
    </row>
    <row r="6862" spans="1:39">
      <c r="A6862" s="2"/>
      <c r="AM6862" s="2"/>
    </row>
    <row r="6863" spans="1:39">
      <c r="A6863" s="2"/>
      <c r="AM6863" s="2"/>
    </row>
    <row r="6864" spans="1:39">
      <c r="A6864" s="2"/>
      <c r="AM6864" s="2"/>
    </row>
    <row r="6865" spans="1:39">
      <c r="A6865" s="2"/>
      <c r="AM6865" s="2"/>
    </row>
    <row r="6866" spans="1:39">
      <c r="A6866" s="2"/>
      <c r="AM6866" s="2"/>
    </row>
    <row r="6867" spans="1:39">
      <c r="A6867" s="2"/>
      <c r="AM6867" s="2"/>
    </row>
    <row r="6868" spans="1:39">
      <c r="A6868" s="2"/>
      <c r="AM6868" s="2"/>
    </row>
    <row r="6869" spans="1:39">
      <c r="A6869" s="2"/>
      <c r="AM6869" s="2"/>
    </row>
    <row r="6870" spans="1:39">
      <c r="A6870" s="2"/>
      <c r="AM6870" s="2"/>
    </row>
    <row r="6871" spans="1:39">
      <c r="A6871" s="2"/>
      <c r="AM6871" s="2"/>
    </row>
    <row r="6872" spans="1:39">
      <c r="A6872" s="2"/>
      <c r="AM6872" s="2"/>
    </row>
    <row r="6873" spans="1:39">
      <c r="A6873" s="2"/>
      <c r="AM6873" s="2"/>
    </row>
    <row r="6874" spans="1:39">
      <c r="A6874" s="2"/>
      <c r="AM6874" s="2"/>
    </row>
    <row r="6875" spans="1:39">
      <c r="A6875" s="2"/>
      <c r="AM6875" s="2"/>
    </row>
    <row r="6876" spans="1:39">
      <c r="A6876" s="2"/>
      <c r="AM6876" s="2"/>
    </row>
    <row r="6877" spans="1:39">
      <c r="A6877" s="2"/>
      <c r="AM6877" s="2"/>
    </row>
    <row r="6878" spans="1:39">
      <c r="A6878" s="2"/>
      <c r="AM6878" s="2"/>
    </row>
    <row r="6879" spans="1:39">
      <c r="A6879" s="2"/>
      <c r="AM6879" s="2"/>
    </row>
    <row r="6880" spans="1:39">
      <c r="A6880" s="2"/>
      <c r="AM6880" s="2"/>
    </row>
    <row r="6881" spans="1:39">
      <c r="A6881" s="2"/>
      <c r="AM6881" s="2"/>
    </row>
    <row r="6882" spans="1:39">
      <c r="A6882" s="2"/>
      <c r="AM6882" s="2"/>
    </row>
    <row r="6883" spans="1:39">
      <c r="A6883" s="2"/>
      <c r="AM6883" s="2"/>
    </row>
    <row r="6884" spans="1:39">
      <c r="A6884" s="2"/>
      <c r="AM6884" s="2"/>
    </row>
    <row r="6885" spans="1:39">
      <c r="A6885" s="2"/>
      <c r="AM6885" s="2"/>
    </row>
    <row r="6886" spans="1:39">
      <c r="A6886" s="2"/>
      <c r="AM6886" s="2"/>
    </row>
    <row r="6887" spans="1:39">
      <c r="A6887" s="2"/>
      <c r="AM6887" s="2"/>
    </row>
    <row r="6888" spans="1:39">
      <c r="A6888" s="2"/>
      <c r="AM6888" s="2"/>
    </row>
    <row r="6889" spans="1:39">
      <c r="A6889" s="2"/>
      <c r="AM6889" s="2"/>
    </row>
    <row r="6890" spans="1:39">
      <c r="A6890" s="2"/>
      <c r="AM6890" s="2"/>
    </row>
    <row r="6891" spans="1:39">
      <c r="A6891" s="2"/>
      <c r="AM6891" s="2"/>
    </row>
    <row r="6892" spans="1:39">
      <c r="A6892" s="2"/>
      <c r="AM6892" s="2"/>
    </row>
    <row r="6893" spans="1:39">
      <c r="A6893" s="2"/>
      <c r="AM6893" s="2"/>
    </row>
    <row r="6894" spans="1:39">
      <c r="A6894" s="2"/>
      <c r="AM6894" s="2"/>
    </row>
    <row r="6895" spans="1:39">
      <c r="A6895" s="2"/>
      <c r="AM6895" s="2"/>
    </row>
    <row r="6896" spans="1:39">
      <c r="A6896" s="2"/>
      <c r="AM6896" s="2"/>
    </row>
    <row r="6897" spans="1:39">
      <c r="A6897" s="2"/>
      <c r="AM6897" s="2"/>
    </row>
    <row r="6898" spans="1:39">
      <c r="A6898" s="2"/>
      <c r="AM6898" s="2"/>
    </row>
    <row r="6899" spans="1:39">
      <c r="A6899" s="2"/>
      <c r="AM6899" s="2"/>
    </row>
    <row r="6900" spans="1:39">
      <c r="A6900" s="2"/>
      <c r="AM6900" s="2"/>
    </row>
    <row r="6901" spans="1:39">
      <c r="A6901" s="2"/>
      <c r="AM6901" s="2"/>
    </row>
    <row r="6902" spans="1:39">
      <c r="A6902" s="2"/>
      <c r="AM6902" s="2"/>
    </row>
    <row r="6903" spans="1:39">
      <c r="A6903" s="2"/>
      <c r="AM6903" s="2"/>
    </row>
    <row r="6904" spans="1:39">
      <c r="A6904" s="2"/>
      <c r="AM6904" s="2"/>
    </row>
    <row r="6905" spans="1:39">
      <c r="A6905" s="2"/>
      <c r="AM6905" s="2"/>
    </row>
    <row r="6906" spans="1:39">
      <c r="A6906" s="2"/>
      <c r="AM6906" s="2"/>
    </row>
    <row r="6907" spans="1:39">
      <c r="A6907" s="2"/>
      <c r="AM6907" s="2"/>
    </row>
    <row r="6908" spans="1:39">
      <c r="A6908" s="2"/>
      <c r="AM6908" s="2"/>
    </row>
    <row r="6909" spans="1:39">
      <c r="A6909" s="2"/>
      <c r="AM6909" s="2"/>
    </row>
    <row r="6910" spans="1:39">
      <c r="A6910" s="2"/>
      <c r="AM6910" s="2"/>
    </row>
    <row r="6911" spans="1:39">
      <c r="A6911" s="2"/>
      <c r="AM6911" s="2"/>
    </row>
    <row r="6912" spans="1:39">
      <c r="A6912" s="2"/>
      <c r="AM6912" s="2"/>
    </row>
    <row r="6913" spans="1:39">
      <c r="A6913" s="2"/>
      <c r="AM6913" s="2"/>
    </row>
    <row r="6914" spans="1:39">
      <c r="A6914" s="2"/>
      <c r="AM6914" s="2"/>
    </row>
    <row r="6915" spans="1:39">
      <c r="A6915" s="2"/>
      <c r="AM6915" s="2"/>
    </row>
    <row r="6916" spans="1:39">
      <c r="A6916" s="2"/>
      <c r="AM6916" s="2"/>
    </row>
    <row r="6917" spans="1:39">
      <c r="A6917" s="2"/>
      <c r="AM6917" s="2"/>
    </row>
    <row r="6918" spans="1:39">
      <c r="A6918" s="2"/>
      <c r="AM6918" s="2"/>
    </row>
    <row r="6919" spans="1:39">
      <c r="A6919" s="2"/>
      <c r="AM6919" s="2"/>
    </row>
    <row r="6920" spans="1:39">
      <c r="A6920" s="2"/>
      <c r="AM6920" s="2"/>
    </row>
    <row r="6921" spans="1:39">
      <c r="A6921" s="2"/>
      <c r="AM6921" s="2"/>
    </row>
    <row r="6922" spans="1:39">
      <c r="A6922" s="2"/>
      <c r="AM6922" s="2"/>
    </row>
    <row r="6923" spans="1:39">
      <c r="A6923" s="2"/>
      <c r="AM6923" s="2"/>
    </row>
    <row r="6924" spans="1:39">
      <c r="A6924" s="2"/>
      <c r="AM6924" s="2"/>
    </row>
    <row r="6925" spans="1:39">
      <c r="A6925" s="2"/>
      <c r="AM6925" s="2"/>
    </row>
    <row r="6926" spans="1:39">
      <c r="A6926" s="2"/>
      <c r="AM6926" s="2"/>
    </row>
    <row r="6927" spans="1:39">
      <c r="A6927" s="2"/>
      <c r="AM6927" s="2"/>
    </row>
    <row r="6928" spans="1:39">
      <c r="A6928" s="2"/>
      <c r="AM6928" s="2"/>
    </row>
    <row r="6929" spans="1:39">
      <c r="A6929" s="2"/>
      <c r="AM6929" s="2"/>
    </row>
    <row r="6930" spans="1:39">
      <c r="A6930" s="2"/>
      <c r="AM6930" s="2"/>
    </row>
    <row r="6931" spans="1:39">
      <c r="A6931" s="2"/>
      <c r="AM6931" s="2"/>
    </row>
    <row r="6932" spans="1:39">
      <c r="A6932" s="2"/>
      <c r="AM6932" s="2"/>
    </row>
    <row r="6933" spans="1:39">
      <c r="A6933" s="2"/>
      <c r="AM6933" s="2"/>
    </row>
    <row r="6934" spans="1:39">
      <c r="A6934" s="2"/>
      <c r="AM6934" s="2"/>
    </row>
    <row r="6935" spans="1:39">
      <c r="A6935" s="2"/>
      <c r="AM6935" s="2"/>
    </row>
    <row r="6936" spans="1:39">
      <c r="A6936" s="2"/>
      <c r="AM6936" s="2"/>
    </row>
    <row r="6937" spans="1:39">
      <c r="A6937" s="2"/>
      <c r="AM6937" s="2"/>
    </row>
    <row r="6938" spans="1:39">
      <c r="A6938" s="2"/>
      <c r="AM6938" s="2"/>
    </row>
    <row r="6939" spans="1:39">
      <c r="A6939" s="2"/>
      <c r="AM6939" s="2"/>
    </row>
    <row r="6940" spans="1:39">
      <c r="A6940" s="2"/>
      <c r="AM6940" s="2"/>
    </row>
    <row r="6941" spans="1:39">
      <c r="A6941" s="2"/>
      <c r="AM6941" s="2"/>
    </row>
    <row r="6942" spans="1:39">
      <c r="A6942" s="2"/>
      <c r="AM6942" s="2"/>
    </row>
    <row r="6943" spans="1:39">
      <c r="A6943" s="2"/>
      <c r="AM6943" s="2"/>
    </row>
    <row r="6944" spans="1:39">
      <c r="A6944" s="2"/>
      <c r="AM6944" s="2"/>
    </row>
    <row r="6945" spans="1:39">
      <c r="A6945" s="2"/>
      <c r="AM6945" s="2"/>
    </row>
    <row r="6946" spans="1:39">
      <c r="A6946" s="2"/>
      <c r="AM6946" s="2"/>
    </row>
    <row r="6947" spans="1:39">
      <c r="A6947" s="2"/>
      <c r="AM6947" s="2"/>
    </row>
    <row r="6948" spans="1:39">
      <c r="A6948" s="2"/>
      <c r="AM6948" s="2"/>
    </row>
    <row r="6949" spans="1:39">
      <c r="A6949" s="2"/>
      <c r="AM6949" s="2"/>
    </row>
    <row r="6950" spans="1:39">
      <c r="A6950" s="2"/>
      <c r="AM6950" s="2"/>
    </row>
    <row r="6951" spans="1:39">
      <c r="A6951" s="2"/>
      <c r="AM6951" s="2"/>
    </row>
    <row r="6952" spans="1:39">
      <c r="A6952" s="2"/>
      <c r="AM6952" s="2"/>
    </row>
    <row r="6953" spans="1:39">
      <c r="A6953" s="2"/>
      <c r="AM6953" s="2"/>
    </row>
    <row r="6954" spans="1:39">
      <c r="A6954" s="2"/>
      <c r="AM6954" s="2"/>
    </row>
    <row r="6955" spans="1:39">
      <c r="A6955" s="2"/>
      <c r="AM6955" s="2"/>
    </row>
    <row r="6956" spans="1:39">
      <c r="A6956" s="2"/>
      <c r="AM6956" s="2"/>
    </row>
    <row r="6957" spans="1:39">
      <c r="A6957" s="2"/>
      <c r="AM6957" s="2"/>
    </row>
    <row r="6958" spans="1:39">
      <c r="A6958" s="2"/>
      <c r="AM6958" s="2"/>
    </row>
    <row r="6959" spans="1:39">
      <c r="A6959" s="2"/>
      <c r="AM6959" s="2"/>
    </row>
    <row r="6960" spans="1:39">
      <c r="A6960" s="2"/>
      <c r="AM6960" s="2"/>
    </row>
    <row r="6961" spans="1:39">
      <c r="A6961" s="2"/>
      <c r="AM6961" s="2"/>
    </row>
    <row r="6962" spans="1:39">
      <c r="A6962" s="2"/>
      <c r="AM6962" s="2"/>
    </row>
    <row r="6963" spans="1:39">
      <c r="A6963" s="2"/>
      <c r="AM6963" s="2"/>
    </row>
    <row r="6964" spans="1:39">
      <c r="A6964" s="2"/>
      <c r="AM6964" s="2"/>
    </row>
    <row r="6965" spans="1:39">
      <c r="A6965" s="2"/>
      <c r="AM6965" s="2"/>
    </row>
    <row r="6966" spans="1:39">
      <c r="A6966" s="2"/>
      <c r="AM6966" s="2"/>
    </row>
    <row r="6967" spans="1:39">
      <c r="A6967" s="2"/>
      <c r="AM6967" s="2"/>
    </row>
    <row r="6968" spans="1:39">
      <c r="A6968" s="2"/>
      <c r="AM6968" s="2"/>
    </row>
    <row r="6969" spans="1:39">
      <c r="A6969" s="2"/>
      <c r="AM6969" s="2"/>
    </row>
    <row r="6970" spans="1:39">
      <c r="A6970" s="2"/>
      <c r="AM6970" s="2"/>
    </row>
    <row r="6971" spans="1:39">
      <c r="A6971" s="2"/>
      <c r="AM6971" s="2"/>
    </row>
    <row r="6972" spans="1:39">
      <c r="A6972" s="2"/>
      <c r="AM6972" s="2"/>
    </row>
    <row r="6973" spans="1:39">
      <c r="A6973" s="2"/>
      <c r="AM6973" s="2"/>
    </row>
    <row r="6974" spans="1:39">
      <c r="A6974" s="2"/>
      <c r="AM6974" s="2"/>
    </row>
    <row r="6975" spans="1:39">
      <c r="A6975" s="2"/>
      <c r="AM6975" s="2"/>
    </row>
    <row r="6976" spans="1:39">
      <c r="A6976" s="2"/>
      <c r="AM6976" s="2"/>
    </row>
    <row r="6977" spans="1:39">
      <c r="A6977" s="2"/>
      <c r="AM6977" s="2"/>
    </row>
    <row r="6978" spans="1:39">
      <c r="A6978" s="2"/>
      <c r="AM6978" s="2"/>
    </row>
    <row r="6979" spans="1:39">
      <c r="A6979" s="2"/>
      <c r="AM6979" s="2"/>
    </row>
    <row r="6980" spans="1:39">
      <c r="A6980" s="2"/>
      <c r="AM6980" s="2"/>
    </row>
    <row r="6981" spans="1:39">
      <c r="A6981" s="2"/>
      <c r="AM6981" s="2"/>
    </row>
    <row r="6982" spans="1:39">
      <c r="A6982" s="2"/>
      <c r="AM6982" s="2"/>
    </row>
    <row r="6983" spans="1:39">
      <c r="A6983" s="2"/>
      <c r="AM6983" s="2"/>
    </row>
    <row r="6984" spans="1:39">
      <c r="A6984" s="2"/>
      <c r="AM6984" s="2"/>
    </row>
    <row r="6985" spans="1:39">
      <c r="A6985" s="2"/>
      <c r="AM6985" s="2"/>
    </row>
    <row r="6986" spans="1:39">
      <c r="A6986" s="2"/>
      <c r="AM6986" s="2"/>
    </row>
    <row r="6987" spans="1:39">
      <c r="A6987" s="2"/>
      <c r="AM6987" s="2"/>
    </row>
    <row r="6988" spans="1:39">
      <c r="A6988" s="2"/>
      <c r="AM6988" s="2"/>
    </row>
    <row r="6989" spans="1:39">
      <c r="A6989" s="2"/>
      <c r="AM6989" s="2"/>
    </row>
    <row r="6990" spans="1:39">
      <c r="A6990" s="2"/>
      <c r="AM6990" s="2"/>
    </row>
    <row r="6991" spans="1:39">
      <c r="A6991" s="2"/>
      <c r="AM6991" s="2"/>
    </row>
    <row r="6992" spans="1:39">
      <c r="A6992" s="2"/>
      <c r="AM6992" s="2"/>
    </row>
    <row r="6993" spans="1:39">
      <c r="A6993" s="2"/>
      <c r="AM6993" s="2"/>
    </row>
    <row r="6994" spans="1:39">
      <c r="A6994" s="2"/>
      <c r="AM6994" s="2"/>
    </row>
    <row r="6995" spans="1:39">
      <c r="A6995" s="2"/>
      <c r="AM6995" s="2"/>
    </row>
    <row r="6996" spans="1:39">
      <c r="A6996" s="2"/>
      <c r="AM6996" s="2"/>
    </row>
    <row r="6997" spans="1:39">
      <c r="A6997" s="2"/>
      <c r="AM6997" s="2"/>
    </row>
    <row r="6998" spans="1:39">
      <c r="A6998" s="2"/>
      <c r="AM6998" s="2"/>
    </row>
    <row r="6999" spans="1:39">
      <c r="A6999" s="2"/>
      <c r="AM6999" s="2"/>
    </row>
    <row r="7000" spans="1:39">
      <c r="A7000" s="2"/>
      <c r="AM7000" s="2"/>
    </row>
    <row r="7001" spans="1:39">
      <c r="A7001" s="2"/>
      <c r="AM7001" s="2"/>
    </row>
    <row r="7002" spans="1:39">
      <c r="A7002" s="2"/>
      <c r="AM7002" s="2"/>
    </row>
    <row r="7003" spans="1:39">
      <c r="A7003" s="2"/>
      <c r="AM7003" s="2"/>
    </row>
    <row r="7004" spans="1:39">
      <c r="A7004" s="2"/>
      <c r="AM7004" s="2"/>
    </row>
    <row r="7005" spans="1:39">
      <c r="A7005" s="2"/>
      <c r="AM7005" s="2"/>
    </row>
    <row r="7006" spans="1:39">
      <c r="A7006" s="2"/>
      <c r="AM7006" s="2"/>
    </row>
    <row r="7007" spans="1:39">
      <c r="A7007" s="2"/>
      <c r="AM7007" s="2"/>
    </row>
    <row r="7008" spans="1:39">
      <c r="A7008" s="2"/>
      <c r="AM7008" s="2"/>
    </row>
    <row r="7009" spans="1:39">
      <c r="A7009" s="2"/>
      <c r="AM7009" s="2"/>
    </row>
    <row r="7010" spans="1:39">
      <c r="A7010" s="2"/>
      <c r="AM7010" s="2"/>
    </row>
    <row r="7011" spans="1:39">
      <c r="A7011" s="2"/>
      <c r="AM7011" s="2"/>
    </row>
    <row r="7012" spans="1:39">
      <c r="A7012" s="2"/>
      <c r="AM7012" s="2"/>
    </row>
    <row r="7013" spans="1:39">
      <c r="A7013" s="2"/>
      <c r="AM7013" s="2"/>
    </row>
    <row r="7014" spans="1:39">
      <c r="A7014" s="2"/>
      <c r="AM7014" s="2"/>
    </row>
    <row r="7015" spans="1:39">
      <c r="A7015" s="2"/>
      <c r="AM7015" s="2"/>
    </row>
    <row r="7016" spans="1:39">
      <c r="A7016" s="2"/>
      <c r="AM7016" s="2"/>
    </row>
    <row r="7017" spans="1:39">
      <c r="A7017" s="2"/>
      <c r="AM7017" s="2"/>
    </row>
    <row r="7018" spans="1:39">
      <c r="A7018" s="2"/>
      <c r="AM7018" s="2"/>
    </row>
    <row r="7019" spans="1:39">
      <c r="A7019" s="2"/>
      <c r="AM7019" s="2"/>
    </row>
    <row r="7020" spans="1:39">
      <c r="A7020" s="2"/>
      <c r="AM7020" s="2"/>
    </row>
    <row r="7021" spans="1:39">
      <c r="A7021" s="2"/>
      <c r="AM7021" s="2"/>
    </row>
    <row r="7022" spans="1:39">
      <c r="A7022" s="2"/>
      <c r="AM7022" s="2"/>
    </row>
    <row r="7023" spans="1:39">
      <c r="A7023" s="2"/>
      <c r="AM7023" s="2"/>
    </row>
    <row r="7024" spans="1:39">
      <c r="A7024" s="2"/>
      <c r="AM7024" s="2"/>
    </row>
    <row r="7025" spans="1:39">
      <c r="A7025" s="2"/>
      <c r="AM7025" s="2"/>
    </row>
    <row r="7026" spans="1:39">
      <c r="A7026" s="2"/>
      <c r="AM7026" s="2"/>
    </row>
    <row r="7027" spans="1:39">
      <c r="A7027" s="2"/>
      <c r="AM7027" s="2"/>
    </row>
    <row r="7028" spans="1:39">
      <c r="A7028" s="2"/>
      <c r="AM7028" s="2"/>
    </row>
    <row r="7029" spans="1:39">
      <c r="A7029" s="2"/>
      <c r="AM7029" s="2"/>
    </row>
    <row r="7030" spans="1:39">
      <c r="A7030" s="2"/>
      <c r="AM7030" s="2"/>
    </row>
    <row r="7031" spans="1:39">
      <c r="A7031" s="2"/>
      <c r="AM7031" s="2"/>
    </row>
    <row r="7032" spans="1:39">
      <c r="A7032" s="2"/>
      <c r="AM7032" s="2"/>
    </row>
    <row r="7033" spans="1:39">
      <c r="A7033" s="2"/>
      <c r="AM7033" s="2"/>
    </row>
    <row r="7034" spans="1:39">
      <c r="A7034" s="2"/>
      <c r="AM7034" s="2"/>
    </row>
    <row r="7035" spans="1:39">
      <c r="A7035" s="2"/>
      <c r="AM7035" s="2"/>
    </row>
    <row r="7036" spans="1:39">
      <c r="A7036" s="2"/>
      <c r="AM7036" s="2"/>
    </row>
    <row r="7037" spans="1:39">
      <c r="A7037" s="2"/>
      <c r="AM7037" s="2"/>
    </row>
    <row r="7038" spans="1:39">
      <c r="A7038" s="2"/>
      <c r="AM7038" s="2"/>
    </row>
    <row r="7039" spans="1:39">
      <c r="A7039" s="2"/>
      <c r="AM7039" s="2"/>
    </row>
    <row r="7040" spans="1:39">
      <c r="A7040" s="2"/>
      <c r="AM7040" s="2"/>
    </row>
    <row r="7041" spans="1:39">
      <c r="A7041" s="2"/>
      <c r="AM7041" s="2"/>
    </row>
    <row r="7042" spans="1:39">
      <c r="A7042" s="2"/>
      <c r="AM7042" s="2"/>
    </row>
    <row r="7043" spans="1:39">
      <c r="A7043" s="2"/>
      <c r="AM7043" s="2"/>
    </row>
    <row r="7044" spans="1:39">
      <c r="A7044" s="2"/>
      <c r="AM7044" s="2"/>
    </row>
    <row r="7045" spans="1:39">
      <c r="A7045" s="2"/>
      <c r="AM7045" s="2"/>
    </row>
    <row r="7046" spans="1:39">
      <c r="A7046" s="2"/>
      <c r="AM7046" s="2"/>
    </row>
    <row r="7047" spans="1:39">
      <c r="A7047" s="2"/>
      <c r="AM7047" s="2"/>
    </row>
    <row r="7048" spans="1:39">
      <c r="A7048" s="2"/>
      <c r="AM7048" s="2"/>
    </row>
    <row r="7049" spans="1:39">
      <c r="A7049" s="2"/>
      <c r="AM7049" s="2"/>
    </row>
    <row r="7050" spans="1:39">
      <c r="A7050" s="2"/>
      <c r="AM7050" s="2"/>
    </row>
    <row r="7051" spans="1:39">
      <c r="A7051" s="2"/>
      <c r="AM7051" s="2"/>
    </row>
    <row r="7052" spans="1:39">
      <c r="A7052" s="2"/>
      <c r="AM7052" s="2"/>
    </row>
    <row r="7053" spans="1:39">
      <c r="A7053" s="2"/>
      <c r="AM7053" s="2"/>
    </row>
    <row r="7054" spans="1:39">
      <c r="A7054" s="2"/>
      <c r="AM7054" s="2"/>
    </row>
    <row r="7055" spans="1:39">
      <c r="A7055" s="2"/>
      <c r="AM7055" s="2"/>
    </row>
    <row r="7056" spans="1:39">
      <c r="A7056" s="2"/>
      <c r="AM7056" s="2"/>
    </row>
    <row r="7057" spans="1:39">
      <c r="A7057" s="2"/>
      <c r="AM7057" s="2"/>
    </row>
    <row r="7058" spans="1:39">
      <c r="A7058" s="2"/>
      <c r="AM7058" s="2"/>
    </row>
    <row r="7059" spans="1:39">
      <c r="A7059" s="2"/>
      <c r="AM7059" s="2"/>
    </row>
    <row r="7060" spans="1:39">
      <c r="A7060" s="2"/>
      <c r="AM7060" s="2"/>
    </row>
    <row r="7061" spans="1:39">
      <c r="A7061" s="2"/>
      <c r="AM7061" s="2"/>
    </row>
    <row r="7062" spans="1:39">
      <c r="A7062" s="2"/>
      <c r="AM7062" s="2"/>
    </row>
    <row r="7063" spans="1:39">
      <c r="A7063" s="2"/>
      <c r="AM7063" s="2"/>
    </row>
    <row r="7064" spans="1:39">
      <c r="A7064" s="2"/>
      <c r="AM7064" s="2"/>
    </row>
    <row r="7065" spans="1:39">
      <c r="A7065" s="2"/>
      <c r="AM7065" s="2"/>
    </row>
    <row r="7066" spans="1:39">
      <c r="A7066" s="2"/>
      <c r="AM7066" s="2"/>
    </row>
    <row r="7067" spans="1:39">
      <c r="A7067" s="2"/>
      <c r="AM7067" s="2"/>
    </row>
    <row r="7068" spans="1:39">
      <c r="A7068" s="2"/>
      <c r="AM7068" s="2"/>
    </row>
    <row r="7069" spans="1:39">
      <c r="A7069" s="2"/>
      <c r="AM7069" s="2"/>
    </row>
    <row r="7070" spans="1:39">
      <c r="A7070" s="2"/>
      <c r="AM7070" s="2"/>
    </row>
    <row r="7071" spans="1:39">
      <c r="A7071" s="2"/>
      <c r="AM7071" s="2"/>
    </row>
    <row r="7072" spans="1:39">
      <c r="A7072" s="2"/>
      <c r="AM7072" s="2"/>
    </row>
    <row r="7073" spans="1:39">
      <c r="A7073" s="2"/>
      <c r="AM7073" s="2"/>
    </row>
    <row r="7074" spans="1:39">
      <c r="A7074" s="2"/>
      <c r="AM7074" s="2"/>
    </row>
    <row r="7075" spans="1:39">
      <c r="A7075" s="2"/>
      <c r="AM7075" s="2"/>
    </row>
    <row r="7076" spans="1:39">
      <c r="A7076" s="2"/>
      <c r="AM7076" s="2"/>
    </row>
    <row r="7077" spans="1:39">
      <c r="A7077" s="2"/>
      <c r="AM7077" s="2"/>
    </row>
    <row r="7078" spans="1:39">
      <c r="A7078" s="2"/>
      <c r="AM7078" s="2"/>
    </row>
    <row r="7079" spans="1:39">
      <c r="A7079" s="2"/>
      <c r="AM7079" s="2"/>
    </row>
    <row r="7080" spans="1:39">
      <c r="A7080" s="2"/>
      <c r="AM7080" s="2"/>
    </row>
    <row r="7081" spans="1:39">
      <c r="A7081" s="2"/>
      <c r="AM7081" s="2"/>
    </row>
    <row r="7082" spans="1:39">
      <c r="A7082" s="2"/>
      <c r="AM7082" s="2"/>
    </row>
    <row r="7083" spans="1:39">
      <c r="A7083" s="2"/>
      <c r="AM7083" s="2"/>
    </row>
    <row r="7084" spans="1:39">
      <c r="A7084" s="2"/>
      <c r="AM7084" s="2"/>
    </row>
    <row r="7085" spans="1:39">
      <c r="A7085" s="2"/>
      <c r="AM7085" s="2"/>
    </row>
    <row r="7086" spans="1:39">
      <c r="A7086" s="2"/>
      <c r="AM7086" s="2"/>
    </row>
    <row r="7087" spans="1:39">
      <c r="A7087" s="2"/>
      <c r="AM7087" s="2"/>
    </row>
    <row r="7088" spans="1:39">
      <c r="A7088" s="2"/>
      <c r="AM7088" s="2"/>
    </row>
    <row r="7089" spans="1:39">
      <c r="A7089" s="2"/>
      <c r="AM7089" s="2"/>
    </row>
    <row r="7090" spans="1:39">
      <c r="A7090" s="2"/>
      <c r="AM7090" s="2"/>
    </row>
    <row r="7091" spans="1:39">
      <c r="A7091" s="2"/>
      <c r="AM7091" s="2"/>
    </row>
    <row r="7092" spans="1:39">
      <c r="A7092" s="2"/>
      <c r="AM7092" s="2"/>
    </row>
    <row r="7093" spans="1:39">
      <c r="A7093" s="2"/>
      <c r="AM7093" s="2"/>
    </row>
    <row r="7094" spans="1:39">
      <c r="A7094" s="2"/>
      <c r="AM7094" s="2"/>
    </row>
    <row r="7095" spans="1:39">
      <c r="A7095" s="2"/>
      <c r="AM7095" s="2"/>
    </row>
    <row r="7096" spans="1:39">
      <c r="A7096" s="2"/>
      <c r="AM7096" s="2"/>
    </row>
    <row r="7097" spans="1:39">
      <c r="A7097" s="2"/>
      <c r="AM7097" s="2"/>
    </row>
    <row r="7098" spans="1:39">
      <c r="A7098" s="2"/>
      <c r="AM7098" s="2"/>
    </row>
    <row r="7099" spans="1:39">
      <c r="A7099" s="2"/>
      <c r="AM7099" s="2"/>
    </row>
    <row r="7100" spans="1:39">
      <c r="A7100" s="2"/>
      <c r="AM7100" s="2"/>
    </row>
    <row r="7101" spans="1:39">
      <c r="A7101" s="2"/>
      <c r="AM7101" s="2"/>
    </row>
    <row r="7102" spans="1:39">
      <c r="A7102" s="2"/>
      <c r="AM7102" s="2"/>
    </row>
    <row r="7103" spans="1:39">
      <c r="A7103" s="2"/>
      <c r="AM7103" s="2"/>
    </row>
    <row r="7104" spans="1:39">
      <c r="A7104" s="2"/>
      <c r="AM7104" s="2"/>
    </row>
    <row r="7105" spans="1:39">
      <c r="A7105" s="2"/>
      <c r="AM7105" s="2"/>
    </row>
    <row r="7106" spans="1:39">
      <c r="A7106" s="2"/>
      <c r="AM7106" s="2"/>
    </row>
    <row r="7107" spans="1:39">
      <c r="A7107" s="2"/>
      <c r="AM7107" s="2"/>
    </row>
    <row r="7108" spans="1:39">
      <c r="A7108" s="2"/>
      <c r="AM7108" s="2"/>
    </row>
    <row r="7109" spans="1:39">
      <c r="A7109" s="2"/>
      <c r="AM7109" s="2"/>
    </row>
    <row r="7110" spans="1:39">
      <c r="A7110" s="2"/>
      <c r="AM7110" s="2"/>
    </row>
    <row r="7111" spans="1:39">
      <c r="A7111" s="2"/>
      <c r="AM7111" s="2"/>
    </row>
    <row r="7112" spans="1:39">
      <c r="A7112" s="2"/>
      <c r="AM7112" s="2"/>
    </row>
    <row r="7113" spans="1:39">
      <c r="A7113" s="2"/>
      <c r="AM7113" s="2"/>
    </row>
    <row r="7114" spans="1:39">
      <c r="A7114" s="2"/>
      <c r="AM7114" s="2"/>
    </row>
    <row r="7115" spans="1:39">
      <c r="A7115" s="2"/>
      <c r="AM7115" s="2"/>
    </row>
    <row r="7116" spans="1:39">
      <c r="A7116" s="2"/>
      <c r="AM7116" s="2"/>
    </row>
    <row r="7117" spans="1:39">
      <c r="A7117" s="2"/>
      <c r="AM7117" s="2"/>
    </row>
    <row r="7118" spans="1:39">
      <c r="A7118" s="2"/>
      <c r="AM7118" s="2"/>
    </row>
    <row r="7119" spans="1:39">
      <c r="A7119" s="2"/>
      <c r="AM7119" s="2"/>
    </row>
    <row r="7120" spans="1:39">
      <c r="A7120" s="2"/>
      <c r="AM7120" s="2"/>
    </row>
    <row r="7121" spans="1:39">
      <c r="A7121" s="2"/>
      <c r="AM7121" s="2"/>
    </row>
    <row r="7122" spans="1:39">
      <c r="A7122" s="2"/>
      <c r="AM7122" s="2"/>
    </row>
    <row r="7123" spans="1:39">
      <c r="A7123" s="2"/>
      <c r="AM7123" s="2"/>
    </row>
    <row r="7124" spans="1:39">
      <c r="A7124" s="2"/>
      <c r="AM7124" s="2"/>
    </row>
    <row r="7125" spans="1:39">
      <c r="A7125" s="2"/>
      <c r="AM7125" s="2"/>
    </row>
    <row r="7126" spans="1:39">
      <c r="A7126" s="2"/>
      <c r="AM7126" s="2"/>
    </row>
    <row r="7127" spans="1:39">
      <c r="A7127" s="2"/>
      <c r="AM7127" s="2"/>
    </row>
    <row r="7128" spans="1:39">
      <c r="A7128" s="2"/>
      <c r="AM7128" s="2"/>
    </row>
    <row r="7129" spans="1:39">
      <c r="A7129" s="2"/>
      <c r="AM7129" s="2"/>
    </row>
    <row r="7130" spans="1:39">
      <c r="A7130" s="2"/>
      <c r="AM7130" s="2"/>
    </row>
    <row r="7131" spans="1:39">
      <c r="A7131" s="2"/>
      <c r="AM7131" s="2"/>
    </row>
    <row r="7132" spans="1:39">
      <c r="A7132" s="2"/>
      <c r="AM7132" s="2"/>
    </row>
    <row r="7133" spans="1:39">
      <c r="A7133" s="2"/>
      <c r="AM7133" s="2"/>
    </row>
    <row r="7134" spans="1:39">
      <c r="A7134" s="2"/>
      <c r="AM7134" s="2"/>
    </row>
    <row r="7135" spans="1:39">
      <c r="A7135" s="2"/>
      <c r="AM7135" s="2"/>
    </row>
    <row r="7136" spans="1:39">
      <c r="A7136" s="2"/>
      <c r="AM7136" s="2"/>
    </row>
    <row r="7137" spans="1:39">
      <c r="A7137" s="2"/>
      <c r="AM7137" s="2"/>
    </row>
    <row r="7138" spans="1:39">
      <c r="A7138" s="2"/>
      <c r="AM7138" s="2"/>
    </row>
    <row r="7139" spans="1:39">
      <c r="A7139" s="2"/>
      <c r="AM7139" s="2"/>
    </row>
    <row r="7140" spans="1:39">
      <c r="A7140" s="2"/>
      <c r="AM7140" s="2"/>
    </row>
    <row r="7141" spans="1:39">
      <c r="A7141" s="2"/>
      <c r="AM7141" s="2"/>
    </row>
    <row r="7142" spans="1:39">
      <c r="A7142" s="2"/>
      <c r="AM7142" s="2"/>
    </row>
    <row r="7143" spans="1:39">
      <c r="A7143" s="2"/>
      <c r="AM7143" s="2"/>
    </row>
    <row r="7144" spans="1:39">
      <c r="A7144" s="2"/>
      <c r="AM7144" s="2"/>
    </row>
    <row r="7145" spans="1:39">
      <c r="A7145" s="2"/>
      <c r="AM7145" s="2"/>
    </row>
    <row r="7146" spans="1:39">
      <c r="A7146" s="2"/>
      <c r="AM7146" s="2"/>
    </row>
    <row r="7147" spans="1:39">
      <c r="A7147" s="2"/>
      <c r="AM7147" s="2"/>
    </row>
    <row r="7148" spans="1:39">
      <c r="A7148" s="2"/>
      <c r="AM7148" s="2"/>
    </row>
    <row r="7149" spans="1:39">
      <c r="A7149" s="2"/>
      <c r="AM7149" s="2"/>
    </row>
    <row r="7150" spans="1:39">
      <c r="A7150" s="2"/>
      <c r="AM7150" s="2"/>
    </row>
    <row r="7151" spans="1:39">
      <c r="A7151" s="2"/>
      <c r="AM7151" s="2"/>
    </row>
    <row r="7152" spans="1:39">
      <c r="A7152" s="2"/>
      <c r="AM7152" s="2"/>
    </row>
    <row r="7153" spans="1:39">
      <c r="A7153" s="2"/>
      <c r="AM7153" s="2"/>
    </row>
    <row r="7154" spans="1:39">
      <c r="A7154" s="2"/>
      <c r="AM7154" s="2"/>
    </row>
    <row r="7155" spans="1:39">
      <c r="A7155" s="2"/>
      <c r="AM7155" s="2"/>
    </row>
    <row r="7156" spans="1:39">
      <c r="A7156" s="2"/>
      <c r="AM7156" s="2"/>
    </row>
    <row r="7157" spans="1:39">
      <c r="A7157" s="2"/>
      <c r="AM7157" s="2"/>
    </row>
    <row r="7158" spans="1:39">
      <c r="A7158" s="2"/>
      <c r="AM7158" s="2"/>
    </row>
    <row r="7159" spans="1:39">
      <c r="A7159" s="2"/>
      <c r="AM7159" s="2"/>
    </row>
    <row r="7160" spans="1:39">
      <c r="A7160" s="2"/>
      <c r="AM7160" s="2"/>
    </row>
    <row r="7161" spans="1:39">
      <c r="A7161" s="2"/>
      <c r="AM7161" s="2"/>
    </row>
    <row r="7162" spans="1:39">
      <c r="A7162" s="2"/>
      <c r="AM7162" s="2"/>
    </row>
    <row r="7163" spans="1:39">
      <c r="A7163" s="2"/>
      <c r="AM7163" s="2"/>
    </row>
    <row r="7164" spans="1:39">
      <c r="A7164" s="2"/>
      <c r="AM7164" s="2"/>
    </row>
    <row r="7165" spans="1:39">
      <c r="A7165" s="2"/>
      <c r="AM7165" s="2"/>
    </row>
    <row r="7166" spans="1:39">
      <c r="A7166" s="2"/>
      <c r="AM7166" s="2"/>
    </row>
    <row r="7167" spans="1:39">
      <c r="A7167" s="2"/>
      <c r="AM7167" s="2"/>
    </row>
    <row r="7168" spans="1:39">
      <c r="A7168" s="2"/>
      <c r="AM7168" s="2"/>
    </row>
    <row r="7169" spans="1:39">
      <c r="A7169" s="2"/>
      <c r="AM7169" s="2"/>
    </row>
    <row r="7170" spans="1:39">
      <c r="A7170" s="2"/>
      <c r="AM7170" s="2"/>
    </row>
    <row r="7171" spans="1:39">
      <c r="A7171" s="2"/>
      <c r="AM7171" s="2"/>
    </row>
    <row r="7172" spans="1:39">
      <c r="A7172" s="2"/>
      <c r="AM7172" s="2"/>
    </row>
    <row r="7173" spans="1:39">
      <c r="A7173" s="2"/>
      <c r="AM7173" s="2"/>
    </row>
    <row r="7174" spans="1:39">
      <c r="A7174" s="2"/>
      <c r="AM7174" s="2"/>
    </row>
    <row r="7175" spans="1:39">
      <c r="A7175" s="2"/>
      <c r="AM7175" s="2"/>
    </row>
    <row r="7176" spans="1:39">
      <c r="A7176" s="2"/>
      <c r="AM7176" s="2"/>
    </row>
    <row r="7177" spans="1:39">
      <c r="A7177" s="2"/>
      <c r="AM7177" s="2"/>
    </row>
    <row r="7178" spans="1:39">
      <c r="A7178" s="2"/>
      <c r="AM7178" s="2"/>
    </row>
    <row r="7179" spans="1:39">
      <c r="A7179" s="2"/>
      <c r="AM7179" s="2"/>
    </row>
    <row r="7180" spans="1:39">
      <c r="A7180" s="2"/>
      <c r="AM7180" s="2"/>
    </row>
    <row r="7181" spans="1:39">
      <c r="A7181" s="2"/>
      <c r="AM7181" s="2"/>
    </row>
    <row r="7182" spans="1:39">
      <c r="A7182" s="2"/>
      <c r="AM7182" s="2"/>
    </row>
    <row r="7183" spans="1:39">
      <c r="A7183" s="2"/>
      <c r="AM7183" s="2"/>
    </row>
    <row r="7184" spans="1:39">
      <c r="A7184" s="2"/>
      <c r="AM7184" s="2"/>
    </row>
    <row r="7185" spans="1:39">
      <c r="A7185" s="2"/>
      <c r="AM7185" s="2"/>
    </row>
    <row r="7186" spans="1:39">
      <c r="A7186" s="2"/>
      <c r="AM7186" s="2"/>
    </row>
    <row r="7187" spans="1:39">
      <c r="A7187" s="2"/>
      <c r="AM7187" s="2"/>
    </row>
    <row r="7188" spans="1:39">
      <c r="A7188" s="2"/>
      <c r="AM7188" s="2"/>
    </row>
    <row r="7189" spans="1:39">
      <c r="A7189" s="2"/>
      <c r="AM7189" s="2"/>
    </row>
    <row r="7190" spans="1:39">
      <c r="A7190" s="2"/>
      <c r="AM7190" s="2"/>
    </row>
    <row r="7191" spans="1:39">
      <c r="A7191" s="2"/>
      <c r="AM7191" s="2"/>
    </row>
    <row r="7192" spans="1:39">
      <c r="A7192" s="2"/>
      <c r="AM7192" s="2"/>
    </row>
    <row r="7193" spans="1:39">
      <c r="A7193" s="2"/>
      <c r="AM7193" s="2"/>
    </row>
    <row r="7194" spans="1:39">
      <c r="A7194" s="2"/>
      <c r="AM7194" s="2"/>
    </row>
    <row r="7195" spans="1:39">
      <c r="A7195" s="2"/>
      <c r="AM7195" s="2"/>
    </row>
    <row r="7196" spans="1:39">
      <c r="A7196" s="2"/>
      <c r="AM7196" s="2"/>
    </row>
    <row r="7197" spans="1:39">
      <c r="A7197" s="2"/>
      <c r="AM7197" s="2"/>
    </row>
    <row r="7198" spans="1:39">
      <c r="A7198" s="2"/>
      <c r="AM7198" s="2"/>
    </row>
    <row r="7199" spans="1:39">
      <c r="A7199" s="2"/>
      <c r="AM7199" s="2"/>
    </row>
    <row r="7200" spans="1:39">
      <c r="A7200" s="2"/>
      <c r="AM7200" s="2"/>
    </row>
    <row r="7201" spans="1:39">
      <c r="A7201" s="2"/>
      <c r="AM7201" s="2"/>
    </row>
    <row r="7202" spans="1:39">
      <c r="A7202" s="2"/>
      <c r="AM7202" s="2"/>
    </row>
    <row r="7203" spans="1:39">
      <c r="A7203" s="2"/>
      <c r="AM7203" s="2"/>
    </row>
    <row r="7204" spans="1:39">
      <c r="A7204" s="2"/>
      <c r="AM7204" s="2"/>
    </row>
    <row r="7205" spans="1:39">
      <c r="A7205" s="2"/>
      <c r="AM7205" s="2"/>
    </row>
    <row r="7206" spans="1:39">
      <c r="A7206" s="2"/>
      <c r="AM7206" s="2"/>
    </row>
    <row r="7207" spans="1:39">
      <c r="A7207" s="2"/>
      <c r="AM7207" s="2"/>
    </row>
    <row r="7208" spans="1:39">
      <c r="A7208" s="2"/>
      <c r="AM7208" s="2"/>
    </row>
    <row r="7209" spans="1:39">
      <c r="A7209" s="2"/>
      <c r="AM7209" s="2"/>
    </row>
    <row r="7210" spans="1:39">
      <c r="A7210" s="2"/>
      <c r="AM7210" s="2"/>
    </row>
    <row r="7211" spans="1:39">
      <c r="A7211" s="2"/>
      <c r="AM7211" s="2"/>
    </row>
    <row r="7212" spans="1:39">
      <c r="A7212" s="2"/>
      <c r="AM7212" s="2"/>
    </row>
    <row r="7213" spans="1:39">
      <c r="A7213" s="2"/>
      <c r="AM7213" s="2"/>
    </row>
    <row r="7214" spans="1:39">
      <c r="A7214" s="2"/>
      <c r="AM7214" s="2"/>
    </row>
    <row r="7215" spans="1:39">
      <c r="A7215" s="2"/>
      <c r="AM7215" s="2"/>
    </row>
    <row r="7216" spans="1:39">
      <c r="A7216" s="2"/>
      <c r="AM7216" s="2"/>
    </row>
    <row r="7217" spans="1:39">
      <c r="A7217" s="2"/>
      <c r="AM7217" s="2"/>
    </row>
    <row r="7218" spans="1:39">
      <c r="A7218" s="2"/>
      <c r="AM7218" s="2"/>
    </row>
    <row r="7219" spans="1:39">
      <c r="A7219" s="2"/>
      <c r="AM7219" s="2"/>
    </row>
    <row r="7220" spans="1:39">
      <c r="A7220" s="2"/>
      <c r="AM7220" s="2"/>
    </row>
    <row r="7221" spans="1:39">
      <c r="A7221" s="2"/>
      <c r="AM7221" s="2"/>
    </row>
    <row r="7222" spans="1:39">
      <c r="A7222" s="2"/>
      <c r="AM7222" s="2"/>
    </row>
    <row r="7223" spans="1:39">
      <c r="A7223" s="2"/>
      <c r="AM7223" s="2"/>
    </row>
    <row r="7224" spans="1:39">
      <c r="A7224" s="2"/>
      <c r="AM7224" s="2"/>
    </row>
    <row r="7225" spans="1:39">
      <c r="A7225" s="2"/>
      <c r="AM7225" s="2"/>
    </row>
    <row r="7226" spans="1:39">
      <c r="A7226" s="2"/>
      <c r="AM7226" s="2"/>
    </row>
    <row r="7227" spans="1:39">
      <c r="A7227" s="2"/>
      <c r="AM7227" s="2"/>
    </row>
    <row r="7228" spans="1:39">
      <c r="A7228" s="2"/>
      <c r="AM7228" s="2"/>
    </row>
    <row r="7229" spans="1:39">
      <c r="A7229" s="2"/>
      <c r="AM7229" s="2"/>
    </row>
    <row r="7230" spans="1:39">
      <c r="A7230" s="2"/>
      <c r="AM7230" s="2"/>
    </row>
    <row r="7231" spans="1:39">
      <c r="A7231" s="2"/>
      <c r="AM7231" s="2"/>
    </row>
    <row r="7232" spans="1:39">
      <c r="A7232" s="2"/>
      <c r="AM7232" s="2"/>
    </row>
    <row r="7233" spans="1:39">
      <c r="A7233" s="2"/>
      <c r="AM7233" s="2"/>
    </row>
    <row r="7234" spans="1:39">
      <c r="A7234" s="2"/>
      <c r="AM7234" s="2"/>
    </row>
    <row r="7235" spans="1:39">
      <c r="A7235" s="2"/>
      <c r="AM7235" s="2"/>
    </row>
    <row r="7236" spans="1:39">
      <c r="A7236" s="2"/>
      <c r="AM7236" s="2"/>
    </row>
    <row r="7237" spans="1:39">
      <c r="A7237" s="2"/>
      <c r="AM7237" s="2"/>
    </row>
    <row r="7238" spans="1:39">
      <c r="A7238" s="2"/>
      <c r="AM7238" s="2"/>
    </row>
    <row r="7239" spans="1:39">
      <c r="A7239" s="2"/>
      <c r="AM7239" s="2"/>
    </row>
    <row r="7240" spans="1:39">
      <c r="A7240" s="2"/>
      <c r="AM7240" s="2"/>
    </row>
    <row r="7241" spans="1:39">
      <c r="A7241" s="2"/>
      <c r="AM7241" s="2"/>
    </row>
    <row r="7242" spans="1:39">
      <c r="A7242" s="2"/>
      <c r="AM7242" s="2"/>
    </row>
    <row r="7243" spans="1:39">
      <c r="A7243" s="2"/>
      <c r="AM7243" s="2"/>
    </row>
    <row r="7244" spans="1:39">
      <c r="A7244" s="2"/>
      <c r="AM7244" s="2"/>
    </row>
    <row r="7245" spans="1:39">
      <c r="A7245" s="2"/>
      <c r="AM7245" s="2"/>
    </row>
    <row r="7246" spans="1:39">
      <c r="A7246" s="2"/>
      <c r="AM7246" s="2"/>
    </row>
    <row r="7247" spans="1:39">
      <c r="A7247" s="2"/>
      <c r="AM7247" s="2"/>
    </row>
    <row r="7248" spans="1:39">
      <c r="A7248" s="2"/>
      <c r="AM7248" s="2"/>
    </row>
    <row r="7249" spans="1:39">
      <c r="A7249" s="2"/>
      <c r="AM7249" s="2"/>
    </row>
    <row r="7250" spans="1:39">
      <c r="A7250" s="2"/>
      <c r="AM7250" s="2"/>
    </row>
    <row r="7251" spans="1:39">
      <c r="A7251" s="2"/>
      <c r="AM7251" s="2"/>
    </row>
    <row r="7252" spans="1:39">
      <c r="A7252" s="2"/>
      <c r="AM7252" s="2"/>
    </row>
    <row r="7253" spans="1:39">
      <c r="A7253" s="2"/>
      <c r="AM7253" s="2"/>
    </row>
    <row r="7254" spans="1:39">
      <c r="A7254" s="2"/>
      <c r="AM7254" s="2"/>
    </row>
    <row r="7255" spans="1:39">
      <c r="A7255" s="2"/>
      <c r="AM7255" s="2"/>
    </row>
    <row r="7256" spans="1:39">
      <c r="A7256" s="2"/>
      <c r="AM7256" s="2"/>
    </row>
    <row r="7257" spans="1:39">
      <c r="A7257" s="2"/>
      <c r="AM7257" s="2"/>
    </row>
    <row r="7258" spans="1:39">
      <c r="A7258" s="2"/>
      <c r="AM7258" s="2"/>
    </row>
    <row r="7259" spans="1:39">
      <c r="A7259" s="2"/>
      <c r="AM7259" s="2"/>
    </row>
    <row r="7260" spans="1:39">
      <c r="A7260" s="2"/>
      <c r="AM7260" s="2"/>
    </row>
    <row r="7261" spans="1:39">
      <c r="A7261" s="2"/>
      <c r="AM7261" s="2"/>
    </row>
    <row r="7262" spans="1:39">
      <c r="A7262" s="2"/>
      <c r="AM7262" s="2"/>
    </row>
    <row r="7263" spans="1:39">
      <c r="A7263" s="2"/>
      <c r="AM7263" s="2"/>
    </row>
    <row r="7264" spans="1:39">
      <c r="A7264" s="2"/>
      <c r="AM7264" s="2"/>
    </row>
    <row r="7265" spans="1:39">
      <c r="A7265" s="2"/>
      <c r="AM7265" s="2"/>
    </row>
    <row r="7266" spans="1:39">
      <c r="A7266" s="2"/>
      <c r="AM7266" s="2"/>
    </row>
    <row r="7267" spans="1:39">
      <c r="A7267" s="2"/>
      <c r="AM7267" s="2"/>
    </row>
    <row r="7268" spans="1:39">
      <c r="A7268" s="2"/>
      <c r="AM7268" s="2"/>
    </row>
    <row r="7269" spans="1:39">
      <c r="A7269" s="2"/>
      <c r="AM7269" s="2"/>
    </row>
    <row r="7270" spans="1:39">
      <c r="A7270" s="2"/>
      <c r="AM7270" s="2"/>
    </row>
    <row r="7271" spans="1:39">
      <c r="A7271" s="2"/>
      <c r="AM7271" s="2"/>
    </row>
    <row r="7272" spans="1:39">
      <c r="A7272" s="2"/>
      <c r="AM7272" s="2"/>
    </row>
    <row r="7273" spans="1:39">
      <c r="A7273" s="2"/>
      <c r="AM7273" s="2"/>
    </row>
    <row r="7274" spans="1:39">
      <c r="A7274" s="2"/>
      <c r="AM7274" s="2"/>
    </row>
    <row r="7275" spans="1:39">
      <c r="A7275" s="2"/>
      <c r="AM7275" s="2"/>
    </row>
    <row r="7276" spans="1:39">
      <c r="A7276" s="2"/>
      <c r="AM7276" s="2"/>
    </row>
    <row r="7277" spans="1:39">
      <c r="A7277" s="2"/>
      <c r="AM7277" s="2"/>
    </row>
    <row r="7278" spans="1:39">
      <c r="A7278" s="2"/>
      <c r="AM7278" s="2"/>
    </row>
    <row r="7279" spans="1:39">
      <c r="A7279" s="2"/>
      <c r="AM7279" s="2"/>
    </row>
    <row r="7280" spans="1:39">
      <c r="A7280" s="2"/>
      <c r="AM7280" s="2"/>
    </row>
    <row r="7281" spans="1:39">
      <c r="A7281" s="2"/>
      <c r="AM7281" s="2"/>
    </row>
    <row r="7282" spans="1:39">
      <c r="A7282" s="2"/>
      <c r="AM7282" s="2"/>
    </row>
    <row r="7283" spans="1:39">
      <c r="A7283" s="2"/>
      <c r="AM7283" s="2"/>
    </row>
    <row r="7284" spans="1:39">
      <c r="A7284" s="2"/>
      <c r="AM7284" s="2"/>
    </row>
    <row r="7285" spans="1:39">
      <c r="A7285" s="2"/>
      <c r="AM7285" s="2"/>
    </row>
    <row r="7286" spans="1:39">
      <c r="A7286" s="2"/>
      <c r="AM7286" s="2"/>
    </row>
    <row r="7287" spans="1:39">
      <c r="A7287" s="2"/>
      <c r="AM7287" s="2"/>
    </row>
    <row r="7288" spans="1:39">
      <c r="A7288" s="2"/>
      <c r="AM7288" s="2"/>
    </row>
    <row r="7289" spans="1:39">
      <c r="A7289" s="2"/>
      <c r="AM7289" s="2"/>
    </row>
    <row r="7290" spans="1:39">
      <c r="A7290" s="2"/>
      <c r="AM7290" s="2"/>
    </row>
    <row r="7291" spans="1:39">
      <c r="A7291" s="2"/>
      <c r="AM7291" s="2"/>
    </row>
    <row r="7292" spans="1:39">
      <c r="A7292" s="2"/>
      <c r="AM7292" s="2"/>
    </row>
    <row r="7293" spans="1:39">
      <c r="A7293" s="2"/>
      <c r="AM7293" s="2"/>
    </row>
    <row r="7294" spans="1:39">
      <c r="A7294" s="2"/>
      <c r="AM7294" s="2"/>
    </row>
    <row r="7295" spans="1:39">
      <c r="A7295" s="2"/>
      <c r="AM7295" s="2"/>
    </row>
    <row r="7296" spans="1:39">
      <c r="A7296" s="2"/>
      <c r="AM7296" s="2"/>
    </row>
    <row r="7297" spans="1:39">
      <c r="A7297" s="2"/>
      <c r="AM7297" s="2"/>
    </row>
    <row r="7298" spans="1:39">
      <c r="A7298" s="2"/>
      <c r="AM7298" s="2"/>
    </row>
    <row r="7299" spans="1:39">
      <c r="A7299" s="2"/>
      <c r="AM7299" s="2"/>
    </row>
    <row r="7300" spans="1:39">
      <c r="A7300" s="2"/>
      <c r="AM7300" s="2"/>
    </row>
    <row r="7301" spans="1:39">
      <c r="A7301" s="2"/>
      <c r="AM7301" s="2"/>
    </row>
    <row r="7302" spans="1:39">
      <c r="A7302" s="2"/>
      <c r="AM7302" s="2"/>
    </row>
    <row r="7303" spans="1:39">
      <c r="A7303" s="2"/>
      <c r="AM7303" s="2"/>
    </row>
    <row r="7304" spans="1:39">
      <c r="A7304" s="2"/>
      <c r="AM7304" s="2"/>
    </row>
    <row r="7305" spans="1:39">
      <c r="A7305" s="2"/>
      <c r="AM7305" s="2"/>
    </row>
    <row r="7306" spans="1:39">
      <c r="A7306" s="2"/>
      <c r="AM7306" s="2"/>
    </row>
    <row r="7307" spans="1:39">
      <c r="A7307" s="2"/>
      <c r="AM7307" s="2"/>
    </row>
    <row r="7308" spans="1:39">
      <c r="A7308" s="2"/>
      <c r="AM7308" s="2"/>
    </row>
    <row r="7309" spans="1:39">
      <c r="A7309" s="2"/>
      <c r="AM7309" s="2"/>
    </row>
    <row r="7310" spans="1:39">
      <c r="A7310" s="2"/>
      <c r="AM7310" s="2"/>
    </row>
    <row r="7311" spans="1:39">
      <c r="A7311" s="2"/>
      <c r="AM7311" s="2"/>
    </row>
    <row r="7312" spans="1:39">
      <c r="A7312" s="2"/>
      <c r="AM7312" s="2"/>
    </row>
    <row r="7313" spans="1:39">
      <c r="A7313" s="2"/>
      <c r="AM7313" s="2"/>
    </row>
    <row r="7314" spans="1:39">
      <c r="A7314" s="2"/>
      <c r="AM7314" s="2"/>
    </row>
    <row r="7315" spans="1:39">
      <c r="A7315" s="2"/>
      <c r="AM7315" s="2"/>
    </row>
    <row r="7316" spans="1:39">
      <c r="A7316" s="2"/>
      <c r="AM7316" s="2"/>
    </row>
    <row r="7317" spans="1:39">
      <c r="A7317" s="2"/>
      <c r="AM7317" s="2"/>
    </row>
    <row r="7318" spans="1:39">
      <c r="A7318" s="2"/>
      <c r="AM7318" s="2"/>
    </row>
    <row r="7319" spans="1:39">
      <c r="A7319" s="2"/>
      <c r="AM7319" s="2"/>
    </row>
    <row r="7320" spans="1:39">
      <c r="A7320" s="2"/>
      <c r="AM7320" s="2"/>
    </row>
    <row r="7321" spans="1:39">
      <c r="A7321" s="2"/>
      <c r="AM7321" s="2"/>
    </row>
    <row r="7322" spans="1:39">
      <c r="A7322" s="2"/>
      <c r="AM7322" s="2"/>
    </row>
    <row r="7323" spans="1:39">
      <c r="A7323" s="2"/>
      <c r="AM7323" s="2"/>
    </row>
    <row r="7324" spans="1:39">
      <c r="A7324" s="2"/>
      <c r="AM7324" s="2"/>
    </row>
    <row r="7325" spans="1:39">
      <c r="A7325" s="2"/>
      <c r="AM7325" s="2"/>
    </row>
    <row r="7326" spans="1:39">
      <c r="A7326" s="2"/>
      <c r="AM7326" s="2"/>
    </row>
    <row r="7327" spans="1:39">
      <c r="A7327" s="2"/>
      <c r="AM7327" s="2"/>
    </row>
    <row r="7328" spans="1:39">
      <c r="A7328" s="2"/>
      <c r="AM7328" s="2"/>
    </row>
    <row r="7329" spans="1:39">
      <c r="A7329" s="2"/>
      <c r="AM7329" s="2"/>
    </row>
    <row r="7330" spans="1:39">
      <c r="A7330" s="2"/>
      <c r="AM7330" s="2"/>
    </row>
    <row r="7331" spans="1:39">
      <c r="A7331" s="2"/>
      <c r="AM7331" s="2"/>
    </row>
    <row r="7332" spans="1:39">
      <c r="A7332" s="2"/>
      <c r="AM7332" s="2"/>
    </row>
    <row r="7333" spans="1:39">
      <c r="A7333" s="2"/>
      <c r="AM7333" s="2"/>
    </row>
    <row r="7334" spans="1:39">
      <c r="A7334" s="2"/>
      <c r="AM7334" s="2"/>
    </row>
    <row r="7335" spans="1:39">
      <c r="A7335" s="2"/>
      <c r="AM7335" s="2"/>
    </row>
    <row r="7336" spans="1:39">
      <c r="A7336" s="2"/>
      <c r="AM7336" s="2"/>
    </row>
    <row r="7337" spans="1:39">
      <c r="A7337" s="2"/>
      <c r="AM7337" s="2"/>
    </row>
    <row r="7338" spans="1:39">
      <c r="A7338" s="2"/>
      <c r="AM7338" s="2"/>
    </row>
    <row r="7339" spans="1:39">
      <c r="A7339" s="2"/>
      <c r="AM7339" s="2"/>
    </row>
    <row r="7340" spans="1:39">
      <c r="A7340" s="2"/>
      <c r="AM7340" s="2"/>
    </row>
    <row r="7341" spans="1:39">
      <c r="A7341" s="2"/>
      <c r="AM7341" s="2"/>
    </row>
    <row r="7342" spans="1:39">
      <c r="A7342" s="2"/>
      <c r="AM7342" s="2"/>
    </row>
    <row r="7343" spans="1:39">
      <c r="A7343" s="2"/>
      <c r="AM7343" s="2"/>
    </row>
    <row r="7344" spans="1:39">
      <c r="A7344" s="2"/>
      <c r="AM7344" s="2"/>
    </row>
    <row r="7345" spans="1:39">
      <c r="A7345" s="2"/>
      <c r="AM7345" s="2"/>
    </row>
    <row r="7346" spans="1:39">
      <c r="A7346" s="2"/>
      <c r="AM7346" s="2"/>
    </row>
    <row r="7347" spans="1:39">
      <c r="A7347" s="2"/>
      <c r="AM7347" s="2"/>
    </row>
    <row r="7348" spans="1:39">
      <c r="A7348" s="2"/>
      <c r="AM7348" s="2"/>
    </row>
    <row r="7349" spans="1:39">
      <c r="A7349" s="2"/>
      <c r="AM7349" s="2"/>
    </row>
    <row r="7350" spans="1:39">
      <c r="A7350" s="2"/>
      <c r="AM7350" s="2"/>
    </row>
    <row r="7351" spans="1:39">
      <c r="A7351" s="2"/>
      <c r="AM7351" s="2"/>
    </row>
    <row r="7352" spans="1:39">
      <c r="A7352" s="2"/>
      <c r="AM7352" s="2"/>
    </row>
    <row r="7353" spans="1:39">
      <c r="A7353" s="2"/>
      <c r="AM7353" s="2"/>
    </row>
    <row r="7354" spans="1:39">
      <c r="A7354" s="2"/>
      <c r="AM7354" s="2"/>
    </row>
    <row r="7355" spans="1:39">
      <c r="A7355" s="2"/>
      <c r="AM7355" s="2"/>
    </row>
    <row r="7356" spans="1:39">
      <c r="A7356" s="2"/>
      <c r="AM7356" s="2"/>
    </row>
    <row r="7357" spans="1:39">
      <c r="A7357" s="2"/>
      <c r="AM7357" s="2"/>
    </row>
    <row r="7358" spans="1:39">
      <c r="A7358" s="2"/>
      <c r="AM7358" s="2"/>
    </row>
    <row r="7359" spans="1:39">
      <c r="A7359" s="2"/>
      <c r="AM7359" s="2"/>
    </row>
    <row r="7360" spans="1:39">
      <c r="A7360" s="2"/>
      <c r="AM7360" s="2"/>
    </row>
    <row r="7361" spans="1:39">
      <c r="A7361" s="2"/>
      <c r="AM7361" s="2"/>
    </row>
    <row r="7362" spans="1:39">
      <c r="A7362" s="2"/>
      <c r="AM7362" s="2"/>
    </row>
    <row r="7363" spans="1:39">
      <c r="A7363" s="2"/>
      <c r="AM7363" s="2"/>
    </row>
    <row r="7364" spans="1:39">
      <c r="A7364" s="2"/>
      <c r="AM7364" s="2"/>
    </row>
    <row r="7365" spans="1:39">
      <c r="A7365" s="2"/>
      <c r="AM7365" s="2"/>
    </row>
    <row r="7366" spans="1:39">
      <c r="A7366" s="2"/>
      <c r="AM7366" s="2"/>
    </row>
    <row r="7367" spans="1:39">
      <c r="A7367" s="2"/>
      <c r="AM7367" s="2"/>
    </row>
    <row r="7368" spans="1:39">
      <c r="A7368" s="2"/>
      <c r="AM7368" s="2"/>
    </row>
    <row r="7369" spans="1:39">
      <c r="A7369" s="2"/>
      <c r="AM7369" s="2"/>
    </row>
    <row r="7370" spans="1:39">
      <c r="A7370" s="2"/>
      <c r="AM7370" s="2"/>
    </row>
    <row r="7371" spans="1:39">
      <c r="A7371" s="2"/>
      <c r="AM7371" s="2"/>
    </row>
    <row r="7372" spans="1:39">
      <c r="A7372" s="2"/>
      <c r="AM7372" s="2"/>
    </row>
    <row r="7373" spans="1:39">
      <c r="A7373" s="2"/>
      <c r="AM7373" s="2"/>
    </row>
    <row r="7374" spans="1:39">
      <c r="A7374" s="2"/>
      <c r="AM7374" s="2"/>
    </row>
    <row r="7375" spans="1:39">
      <c r="A7375" s="2"/>
      <c r="AM7375" s="2"/>
    </row>
    <row r="7376" spans="1:39">
      <c r="A7376" s="2"/>
      <c r="AM7376" s="2"/>
    </row>
    <row r="7377" spans="1:39">
      <c r="A7377" s="2"/>
      <c r="AM7377" s="2"/>
    </row>
    <row r="7378" spans="1:39">
      <c r="A7378" s="2"/>
      <c r="AM7378" s="2"/>
    </row>
    <row r="7379" spans="1:39">
      <c r="A7379" s="2"/>
      <c r="AM7379" s="2"/>
    </row>
    <row r="7380" spans="1:39">
      <c r="A7380" s="2"/>
      <c r="AM7380" s="2"/>
    </row>
    <row r="7381" spans="1:39">
      <c r="A7381" s="2"/>
      <c r="AM7381" s="2"/>
    </row>
    <row r="7382" spans="1:39">
      <c r="A7382" s="2"/>
      <c r="AM7382" s="2"/>
    </row>
    <row r="7383" spans="1:39">
      <c r="A7383" s="2"/>
      <c r="AM7383" s="2"/>
    </row>
    <row r="7384" spans="1:39">
      <c r="A7384" s="2"/>
      <c r="AM7384" s="2"/>
    </row>
    <row r="7385" spans="1:39">
      <c r="A7385" s="2"/>
      <c r="AM7385" s="2"/>
    </row>
    <row r="7386" spans="1:39">
      <c r="A7386" s="2"/>
      <c r="AM7386" s="2"/>
    </row>
    <row r="7387" spans="1:39">
      <c r="A7387" s="2"/>
      <c r="AM7387" s="2"/>
    </row>
    <row r="7388" spans="1:39">
      <c r="A7388" s="2"/>
      <c r="AM7388" s="2"/>
    </row>
    <row r="7389" spans="1:39">
      <c r="A7389" s="2"/>
      <c r="AM7389" s="2"/>
    </row>
    <row r="7390" spans="1:39">
      <c r="A7390" s="2"/>
      <c r="AM7390" s="2"/>
    </row>
    <row r="7391" spans="1:39">
      <c r="A7391" s="2"/>
      <c r="AM7391" s="2"/>
    </row>
    <row r="7392" spans="1:39">
      <c r="A7392" s="2"/>
      <c r="AM7392" s="2"/>
    </row>
    <row r="7393" spans="1:39">
      <c r="A7393" s="2"/>
      <c r="AM7393" s="2"/>
    </row>
    <row r="7394" spans="1:39">
      <c r="A7394" s="2"/>
      <c r="AM7394" s="2"/>
    </row>
    <row r="7395" spans="1:39">
      <c r="A7395" s="2"/>
      <c r="AM7395" s="2"/>
    </row>
    <row r="7396" spans="1:39">
      <c r="A7396" s="2"/>
      <c r="AM7396" s="2"/>
    </row>
    <row r="7397" spans="1:39">
      <c r="A7397" s="2"/>
      <c r="AM7397" s="2"/>
    </row>
    <row r="7398" spans="1:39">
      <c r="A7398" s="2"/>
      <c r="AM7398" s="2"/>
    </row>
    <row r="7399" spans="1:39">
      <c r="A7399" s="2"/>
      <c r="AM7399" s="2"/>
    </row>
    <row r="7400" spans="1:39">
      <c r="A7400" s="2"/>
      <c r="AM7400" s="2"/>
    </row>
    <row r="7401" spans="1:39">
      <c r="A7401" s="2"/>
      <c r="AM7401" s="2"/>
    </row>
    <row r="7402" spans="1:39">
      <c r="A7402" s="2"/>
      <c r="AM7402" s="2"/>
    </row>
    <row r="7403" spans="1:39">
      <c r="A7403" s="2"/>
      <c r="AM7403" s="2"/>
    </row>
    <row r="7404" spans="1:39">
      <c r="A7404" s="2"/>
      <c r="AM7404" s="2"/>
    </row>
    <row r="7405" spans="1:39">
      <c r="A7405" s="2"/>
      <c r="AM7405" s="2"/>
    </row>
    <row r="7406" spans="1:39">
      <c r="A7406" s="2"/>
      <c r="AM7406" s="2"/>
    </row>
    <row r="7407" spans="1:39">
      <c r="A7407" s="2"/>
      <c r="AM7407" s="2"/>
    </row>
    <row r="7408" spans="1:39">
      <c r="A7408" s="2"/>
      <c r="AM7408" s="2"/>
    </row>
    <row r="7409" spans="1:39">
      <c r="A7409" s="2"/>
      <c r="AM7409" s="2"/>
    </row>
    <row r="7410" spans="1:39">
      <c r="A7410" s="2"/>
      <c r="AM7410" s="2"/>
    </row>
    <row r="7411" spans="1:39">
      <c r="A7411" s="2"/>
      <c r="AM7411" s="2"/>
    </row>
    <row r="7412" spans="1:39">
      <c r="A7412" s="2"/>
      <c r="AM7412" s="2"/>
    </row>
    <row r="7413" spans="1:39">
      <c r="A7413" s="2"/>
      <c r="AM7413" s="2"/>
    </row>
    <row r="7414" spans="1:39">
      <c r="A7414" s="2"/>
      <c r="AM7414" s="2"/>
    </row>
    <row r="7415" spans="1:39">
      <c r="A7415" s="2"/>
      <c r="AM7415" s="2"/>
    </row>
    <row r="7416" spans="1:39">
      <c r="A7416" s="2"/>
      <c r="AM7416" s="2"/>
    </row>
    <row r="7417" spans="1:39">
      <c r="A7417" s="2"/>
      <c r="AM7417" s="2"/>
    </row>
    <row r="7418" spans="1:39">
      <c r="A7418" s="2"/>
      <c r="AM7418" s="2"/>
    </row>
    <row r="7419" spans="1:39">
      <c r="A7419" s="2"/>
      <c r="AM7419" s="2"/>
    </row>
    <row r="7420" spans="1:39">
      <c r="A7420" s="2"/>
      <c r="AM7420" s="2"/>
    </row>
    <row r="7421" spans="1:39">
      <c r="A7421" s="2"/>
      <c r="AM7421" s="2"/>
    </row>
    <row r="7422" spans="1:39">
      <c r="A7422" s="2"/>
      <c r="AM7422" s="2"/>
    </row>
    <row r="7423" spans="1:39">
      <c r="A7423" s="2"/>
      <c r="AM7423" s="2"/>
    </row>
    <row r="7424" spans="1:39">
      <c r="A7424" s="2"/>
      <c r="AM7424" s="2"/>
    </row>
    <row r="7425" spans="1:39">
      <c r="A7425" s="2"/>
      <c r="AM7425" s="2"/>
    </row>
    <row r="7426" spans="1:39">
      <c r="A7426" s="2"/>
      <c r="AM7426" s="2"/>
    </row>
    <row r="7427" spans="1:39">
      <c r="A7427" s="2"/>
      <c r="AM7427" s="2"/>
    </row>
    <row r="7428" spans="1:39">
      <c r="A7428" s="2"/>
      <c r="AM7428" s="2"/>
    </row>
    <row r="7429" spans="1:39">
      <c r="A7429" s="2"/>
      <c r="AM7429" s="2"/>
    </row>
    <row r="7430" spans="1:39">
      <c r="A7430" s="2"/>
      <c r="AM7430" s="2"/>
    </row>
    <row r="7431" spans="1:39">
      <c r="A7431" s="2"/>
      <c r="AM7431" s="2"/>
    </row>
    <row r="7432" spans="1:39">
      <c r="A7432" s="2"/>
      <c r="AM7432" s="2"/>
    </row>
    <row r="7433" spans="1:39">
      <c r="A7433" s="2"/>
      <c r="AM7433" s="2"/>
    </row>
    <row r="7434" spans="1:39">
      <c r="A7434" s="2"/>
      <c r="AM7434" s="2"/>
    </row>
    <row r="7435" spans="1:39">
      <c r="A7435" s="2"/>
      <c r="AM7435" s="2"/>
    </row>
    <row r="7436" spans="1:39">
      <c r="A7436" s="2"/>
      <c r="AM7436" s="2"/>
    </row>
    <row r="7437" spans="1:39">
      <c r="A7437" s="2"/>
      <c r="AM7437" s="2"/>
    </row>
    <row r="7438" spans="1:39">
      <c r="A7438" s="2"/>
      <c r="AM7438" s="2"/>
    </row>
    <row r="7439" spans="1:39">
      <c r="A7439" s="2"/>
      <c r="AM7439" s="2"/>
    </row>
    <row r="7440" spans="1:39">
      <c r="A7440" s="2"/>
      <c r="AM7440" s="2"/>
    </row>
    <row r="7441" spans="1:39">
      <c r="A7441" s="2"/>
      <c r="AM7441" s="2"/>
    </row>
    <row r="7442" spans="1:39">
      <c r="A7442" s="2"/>
      <c r="AM7442" s="2"/>
    </row>
    <row r="7443" spans="1:39">
      <c r="A7443" s="2"/>
      <c r="AM7443" s="2"/>
    </row>
    <row r="7444" spans="1:39">
      <c r="A7444" s="2"/>
      <c r="AM7444" s="2"/>
    </row>
    <row r="7445" spans="1:39">
      <c r="A7445" s="2"/>
      <c r="AM7445" s="2"/>
    </row>
    <row r="7446" spans="1:39">
      <c r="A7446" s="2"/>
      <c r="AM7446" s="2"/>
    </row>
    <row r="7447" spans="1:39">
      <c r="A7447" s="2"/>
      <c r="AM7447" s="2"/>
    </row>
    <row r="7448" spans="1:39">
      <c r="A7448" s="2"/>
      <c r="AM7448" s="2"/>
    </row>
    <row r="7449" spans="1:39">
      <c r="A7449" s="2"/>
      <c r="AM7449" s="2"/>
    </row>
    <row r="7450" spans="1:39">
      <c r="A7450" s="2"/>
      <c r="AM7450" s="2"/>
    </row>
    <row r="7451" spans="1:39">
      <c r="A7451" s="2"/>
      <c r="AM7451" s="2"/>
    </row>
    <row r="7452" spans="1:39">
      <c r="A7452" s="2"/>
      <c r="AM7452" s="2"/>
    </row>
    <row r="7453" spans="1:39">
      <c r="A7453" s="2"/>
      <c r="AM7453" s="2"/>
    </row>
    <row r="7454" spans="1:39">
      <c r="A7454" s="2"/>
      <c r="AM7454" s="2"/>
    </row>
    <row r="7455" spans="1:39">
      <c r="A7455" s="2"/>
      <c r="AM7455" s="2"/>
    </row>
    <row r="7456" spans="1:39">
      <c r="A7456" s="2"/>
      <c r="AM7456" s="2"/>
    </row>
    <row r="7457" spans="1:39">
      <c r="A7457" s="2"/>
      <c r="AM7457" s="2"/>
    </row>
    <row r="7458" spans="1:39">
      <c r="A7458" s="2"/>
      <c r="AM7458" s="2"/>
    </row>
    <row r="7459" spans="1:39">
      <c r="A7459" s="2"/>
      <c r="AM7459" s="2"/>
    </row>
    <row r="7460" spans="1:39">
      <c r="A7460" s="2"/>
      <c r="AM7460" s="2"/>
    </row>
    <row r="7461" spans="1:39">
      <c r="A7461" s="2"/>
      <c r="AM7461" s="2"/>
    </row>
    <row r="7462" spans="1:39">
      <c r="A7462" s="2"/>
      <c r="AM7462" s="2"/>
    </row>
    <row r="7463" spans="1:39">
      <c r="A7463" s="2"/>
      <c r="AM7463" s="2"/>
    </row>
    <row r="7464" spans="1:39">
      <c r="A7464" s="2"/>
      <c r="AM7464" s="2"/>
    </row>
    <row r="7465" spans="1:39">
      <c r="A7465" s="2"/>
      <c r="AM7465" s="2"/>
    </row>
    <row r="7466" spans="1:39">
      <c r="A7466" s="2"/>
      <c r="AM7466" s="2"/>
    </row>
    <row r="7467" spans="1:39">
      <c r="A7467" s="2"/>
      <c r="AM7467" s="2"/>
    </row>
    <row r="7468" spans="1:39">
      <c r="A7468" s="2"/>
      <c r="AM7468" s="2"/>
    </row>
    <row r="7469" spans="1:39">
      <c r="A7469" s="2"/>
      <c r="AM7469" s="2"/>
    </row>
    <row r="7470" spans="1:39">
      <c r="A7470" s="2"/>
      <c r="AM7470" s="2"/>
    </row>
    <row r="7471" spans="1:39">
      <c r="A7471" s="2"/>
      <c r="AM7471" s="2"/>
    </row>
    <row r="7472" spans="1:39">
      <c r="A7472" s="2"/>
      <c r="AM7472" s="2"/>
    </row>
    <row r="7473" spans="1:39">
      <c r="A7473" s="2"/>
      <c r="AM7473" s="2"/>
    </row>
    <row r="7474" spans="1:39">
      <c r="A7474" s="2"/>
      <c r="AM7474" s="2"/>
    </row>
    <row r="7475" spans="1:39">
      <c r="A7475" s="2"/>
      <c r="AM7475" s="2"/>
    </row>
    <row r="7476" spans="1:39">
      <c r="A7476" s="2"/>
      <c r="AM7476" s="2"/>
    </row>
    <row r="7477" spans="1:39">
      <c r="A7477" s="2"/>
      <c r="AM7477" s="2"/>
    </row>
    <row r="7478" spans="1:39">
      <c r="A7478" s="2"/>
      <c r="AM7478" s="2"/>
    </row>
    <row r="7479" spans="1:39">
      <c r="A7479" s="2"/>
      <c r="AM7479" s="2"/>
    </row>
    <row r="7480" spans="1:39">
      <c r="A7480" s="2"/>
      <c r="AM7480" s="2"/>
    </row>
    <row r="7481" spans="1:39">
      <c r="A7481" s="2"/>
      <c r="AM7481" s="2"/>
    </row>
    <row r="7482" spans="1:39">
      <c r="A7482" s="2"/>
      <c r="AM7482" s="2"/>
    </row>
    <row r="7483" spans="1:39">
      <c r="A7483" s="2"/>
      <c r="AM7483" s="2"/>
    </row>
    <row r="7484" spans="1:39">
      <c r="A7484" s="2"/>
      <c r="AM7484" s="2"/>
    </row>
    <row r="7485" spans="1:39">
      <c r="A7485" s="2"/>
      <c r="AM7485" s="2"/>
    </row>
    <row r="7486" spans="1:39">
      <c r="A7486" s="2"/>
      <c r="AM7486" s="2"/>
    </row>
    <row r="7487" spans="1:39">
      <c r="A7487" s="2"/>
      <c r="AM7487" s="2"/>
    </row>
    <row r="7488" spans="1:39">
      <c r="A7488" s="2"/>
      <c r="AM7488" s="2"/>
    </row>
    <row r="7489" spans="1:39">
      <c r="A7489" s="2"/>
      <c r="AM7489" s="2"/>
    </row>
    <row r="7490" spans="1:39">
      <c r="A7490" s="2"/>
      <c r="AM7490" s="2"/>
    </row>
    <row r="7491" spans="1:39">
      <c r="A7491" s="2"/>
      <c r="AM7491" s="2"/>
    </row>
    <row r="7492" spans="1:39">
      <c r="A7492" s="2"/>
      <c r="AM7492" s="2"/>
    </row>
    <row r="7493" spans="1:39">
      <c r="A7493" s="2"/>
      <c r="AM7493" s="2"/>
    </row>
    <row r="7494" spans="1:39">
      <c r="A7494" s="2"/>
      <c r="AM7494" s="2"/>
    </row>
    <row r="7495" spans="1:39">
      <c r="A7495" s="2"/>
      <c r="AM7495" s="2"/>
    </row>
    <row r="7496" spans="1:39">
      <c r="A7496" s="2"/>
      <c r="AM7496" s="2"/>
    </row>
    <row r="7497" spans="1:39">
      <c r="A7497" s="2"/>
      <c r="AM7497" s="2"/>
    </row>
    <row r="7498" spans="1:39">
      <c r="A7498" s="2"/>
      <c r="AM7498" s="2"/>
    </row>
    <row r="7499" spans="1:39">
      <c r="A7499" s="2"/>
      <c r="AM7499" s="2"/>
    </row>
    <row r="7500" spans="1:39">
      <c r="A7500" s="2"/>
      <c r="AM7500" s="2"/>
    </row>
    <row r="7501" spans="1:39">
      <c r="A7501" s="2"/>
      <c r="AM7501" s="2"/>
    </row>
    <row r="7502" spans="1:39">
      <c r="A7502" s="2"/>
      <c r="AM7502" s="2"/>
    </row>
    <row r="7503" spans="1:39">
      <c r="A7503" s="2"/>
      <c r="AM7503" s="2"/>
    </row>
    <row r="7504" spans="1:39">
      <c r="A7504" s="2"/>
      <c r="AM7504" s="2"/>
    </row>
    <row r="7505" spans="1:39">
      <c r="A7505" s="2"/>
      <c r="AM7505" s="2"/>
    </row>
    <row r="7506" spans="1:39">
      <c r="A7506" s="2"/>
      <c r="AM7506" s="2"/>
    </row>
    <row r="7507" spans="1:39">
      <c r="A7507" s="2"/>
      <c r="AM7507" s="2"/>
    </row>
    <row r="7508" spans="1:39">
      <c r="A7508" s="2"/>
      <c r="AM7508" s="2"/>
    </row>
    <row r="7509" spans="1:39">
      <c r="A7509" s="2"/>
      <c r="AM7509" s="2"/>
    </row>
    <row r="7510" spans="1:39">
      <c r="A7510" s="2"/>
      <c r="AM7510" s="2"/>
    </row>
    <row r="7511" spans="1:39">
      <c r="A7511" s="2"/>
      <c r="AM7511" s="2"/>
    </row>
    <row r="7512" spans="1:39">
      <c r="A7512" s="2"/>
      <c r="AM7512" s="2"/>
    </row>
    <row r="7513" spans="1:39">
      <c r="A7513" s="2"/>
      <c r="AM7513" s="2"/>
    </row>
    <row r="7514" spans="1:39">
      <c r="A7514" s="2"/>
      <c r="AM7514" s="2"/>
    </row>
    <row r="7515" spans="1:39">
      <c r="A7515" s="2"/>
      <c r="AM7515" s="2"/>
    </row>
    <row r="7516" spans="1:39">
      <c r="A7516" s="2"/>
      <c r="AM7516" s="2"/>
    </row>
    <row r="7517" spans="1:39">
      <c r="A7517" s="2"/>
      <c r="AM7517" s="2"/>
    </row>
    <row r="7518" spans="1:39">
      <c r="A7518" s="2"/>
      <c r="AM7518" s="2"/>
    </row>
    <row r="7519" spans="1:39">
      <c r="A7519" s="2"/>
      <c r="AM7519" s="2"/>
    </row>
    <row r="7520" spans="1:39">
      <c r="A7520" s="2"/>
      <c r="AM7520" s="2"/>
    </row>
    <row r="7521" spans="1:39">
      <c r="A7521" s="2"/>
      <c r="AM7521" s="2"/>
    </row>
    <row r="7522" spans="1:39">
      <c r="A7522" s="2"/>
      <c r="AM7522" s="2"/>
    </row>
    <row r="7523" spans="1:39">
      <c r="A7523" s="2"/>
      <c r="AM7523" s="2"/>
    </row>
    <row r="7524" spans="1:39">
      <c r="A7524" s="2"/>
      <c r="AM7524" s="2"/>
    </row>
    <row r="7525" spans="1:39">
      <c r="A7525" s="2"/>
      <c r="AM7525" s="2"/>
    </row>
    <row r="7526" spans="1:39">
      <c r="A7526" s="2"/>
      <c r="AM7526" s="2"/>
    </row>
    <row r="7527" spans="1:39">
      <c r="A7527" s="2"/>
      <c r="AM7527" s="2"/>
    </row>
    <row r="7528" spans="1:39">
      <c r="A7528" s="2"/>
      <c r="AM7528" s="2"/>
    </row>
    <row r="7529" spans="1:39">
      <c r="A7529" s="2"/>
      <c r="AM7529" s="2"/>
    </row>
    <row r="7530" spans="1:39">
      <c r="A7530" s="2"/>
      <c r="AM7530" s="2"/>
    </row>
    <row r="7531" spans="1:39">
      <c r="A7531" s="2"/>
      <c r="AM7531" s="2"/>
    </row>
    <row r="7532" spans="1:39">
      <c r="A7532" s="2"/>
      <c r="AM7532" s="2"/>
    </row>
    <row r="7533" spans="1:39">
      <c r="A7533" s="2"/>
      <c r="AM7533" s="2"/>
    </row>
    <row r="7534" spans="1:39">
      <c r="A7534" s="2"/>
      <c r="AM7534" s="2"/>
    </row>
    <row r="7535" spans="1:39">
      <c r="A7535" s="2"/>
      <c r="AM7535" s="2"/>
    </row>
    <row r="7536" spans="1:39">
      <c r="A7536" s="2"/>
      <c r="AM7536" s="2"/>
    </row>
    <row r="7537" spans="1:39">
      <c r="A7537" s="2"/>
      <c r="AM7537" s="2"/>
    </row>
    <row r="7538" spans="1:39">
      <c r="A7538" s="2"/>
      <c r="AM7538" s="2"/>
    </row>
    <row r="7539" spans="1:39">
      <c r="A7539" s="2"/>
      <c r="AM7539" s="2"/>
    </row>
    <row r="7540" spans="1:39">
      <c r="A7540" s="2"/>
      <c r="AM7540" s="2"/>
    </row>
    <row r="7541" spans="1:39">
      <c r="A7541" s="2"/>
      <c r="AM7541" s="2"/>
    </row>
    <row r="7542" spans="1:39">
      <c r="A7542" s="2"/>
      <c r="AM7542" s="2"/>
    </row>
    <row r="7543" spans="1:39">
      <c r="A7543" s="2"/>
      <c r="AM7543" s="2"/>
    </row>
    <row r="7544" spans="1:39">
      <c r="A7544" s="2"/>
      <c r="AM7544" s="2"/>
    </row>
    <row r="7545" spans="1:39">
      <c r="A7545" s="2"/>
      <c r="AM7545" s="2"/>
    </row>
    <row r="7546" spans="1:39">
      <c r="A7546" s="2"/>
      <c r="AM7546" s="2"/>
    </row>
    <row r="7547" spans="1:39">
      <c r="A7547" s="2"/>
      <c r="AM7547" s="2"/>
    </row>
    <row r="7548" spans="1:39">
      <c r="A7548" s="2"/>
      <c r="AM7548" s="2"/>
    </row>
    <row r="7549" spans="1:39">
      <c r="A7549" s="2"/>
      <c r="AM7549" s="2"/>
    </row>
    <row r="7550" spans="1:39">
      <c r="A7550" s="2"/>
      <c r="AM7550" s="2"/>
    </row>
    <row r="7551" spans="1:39">
      <c r="A7551" s="2"/>
      <c r="AM7551" s="2"/>
    </row>
    <row r="7552" spans="1:39">
      <c r="A7552" s="2"/>
      <c r="AM7552" s="2"/>
    </row>
    <row r="7553" spans="1:39">
      <c r="A7553" s="2"/>
      <c r="AM7553" s="2"/>
    </row>
    <row r="7554" spans="1:39">
      <c r="A7554" s="2"/>
      <c r="AM7554" s="2"/>
    </row>
    <row r="7555" spans="1:39">
      <c r="A7555" s="2"/>
      <c r="AM7555" s="2"/>
    </row>
    <row r="7556" spans="1:39">
      <c r="A7556" s="2"/>
      <c r="AM7556" s="2"/>
    </row>
    <row r="7557" spans="1:39">
      <c r="A7557" s="2"/>
      <c r="AM7557" s="2"/>
    </row>
    <row r="7558" spans="1:39">
      <c r="A7558" s="2"/>
      <c r="AM7558" s="2"/>
    </row>
    <row r="7559" spans="1:39">
      <c r="A7559" s="2"/>
      <c r="AM7559" s="2"/>
    </row>
    <row r="7560" spans="1:39">
      <c r="A7560" s="2"/>
      <c r="AM7560" s="2"/>
    </row>
    <row r="7561" spans="1:39">
      <c r="A7561" s="2"/>
      <c r="AM7561" s="2"/>
    </row>
    <row r="7562" spans="1:39">
      <c r="A7562" s="2"/>
      <c r="AM7562" s="2"/>
    </row>
    <row r="7563" spans="1:39">
      <c r="A7563" s="2"/>
      <c r="AM7563" s="2"/>
    </row>
    <row r="7564" spans="1:39">
      <c r="A7564" s="2"/>
      <c r="AM7564" s="2"/>
    </row>
    <row r="7565" spans="1:39">
      <c r="A7565" s="2"/>
      <c r="AM7565" s="2"/>
    </row>
    <row r="7566" spans="1:39">
      <c r="A7566" s="2"/>
      <c r="AM7566" s="2"/>
    </row>
    <row r="7567" spans="1:39">
      <c r="A7567" s="2"/>
      <c r="AM7567" s="2"/>
    </row>
    <row r="7568" spans="1:39">
      <c r="A7568" s="2"/>
      <c r="AM7568" s="2"/>
    </row>
    <row r="7569" spans="1:39">
      <c r="A7569" s="2"/>
      <c r="AM7569" s="2"/>
    </row>
    <row r="7570" spans="1:39">
      <c r="A7570" s="2"/>
      <c r="AM7570" s="2"/>
    </row>
    <row r="7571" spans="1:39">
      <c r="A7571" s="2"/>
      <c r="AM7571" s="2"/>
    </row>
    <row r="7572" spans="1:39">
      <c r="A7572" s="2"/>
      <c r="AM7572" s="2"/>
    </row>
    <row r="7573" spans="1:39">
      <c r="A7573" s="2"/>
      <c r="AM7573" s="2"/>
    </row>
    <row r="7574" spans="1:39">
      <c r="A7574" s="2"/>
      <c r="AM7574" s="2"/>
    </row>
    <row r="7575" spans="1:39">
      <c r="A7575" s="2"/>
      <c r="AM7575" s="2"/>
    </row>
    <row r="7576" spans="1:39">
      <c r="A7576" s="2"/>
      <c r="AM7576" s="2"/>
    </row>
    <row r="7577" spans="1:39">
      <c r="A7577" s="2"/>
      <c r="AM7577" s="2"/>
    </row>
    <row r="7578" spans="1:39">
      <c r="A7578" s="2"/>
      <c r="AM7578" s="2"/>
    </row>
    <row r="7579" spans="1:39">
      <c r="A7579" s="2"/>
      <c r="AM7579" s="2"/>
    </row>
    <row r="7580" spans="1:39">
      <c r="A7580" s="2"/>
      <c r="AM7580" s="2"/>
    </row>
    <row r="7581" spans="1:39">
      <c r="A7581" s="2"/>
      <c r="AM7581" s="2"/>
    </row>
    <row r="7582" spans="1:39">
      <c r="A7582" s="2"/>
      <c r="AM7582" s="2"/>
    </row>
    <row r="7583" spans="1:39">
      <c r="A7583" s="2"/>
      <c r="AM7583" s="2"/>
    </row>
    <row r="7584" spans="1:39">
      <c r="A7584" s="2"/>
      <c r="AM7584" s="2"/>
    </row>
    <row r="7585" spans="1:39">
      <c r="A7585" s="2"/>
      <c r="AM7585" s="2"/>
    </row>
    <row r="7586" spans="1:39">
      <c r="A7586" s="2"/>
      <c r="AM7586" s="2"/>
    </row>
    <row r="7587" spans="1:39">
      <c r="A7587" s="2"/>
      <c r="AM7587" s="2"/>
    </row>
    <row r="7588" spans="1:39">
      <c r="A7588" s="2"/>
      <c r="AM7588" s="2"/>
    </row>
    <row r="7589" spans="1:39">
      <c r="A7589" s="2"/>
      <c r="AM7589" s="2"/>
    </row>
    <row r="7590" spans="1:39">
      <c r="A7590" s="2"/>
      <c r="AM7590" s="2"/>
    </row>
    <row r="7591" spans="1:39">
      <c r="A7591" s="2"/>
      <c r="AM7591" s="2"/>
    </row>
    <row r="7592" spans="1:39">
      <c r="A7592" s="2"/>
      <c r="AM7592" s="2"/>
    </row>
    <row r="7593" spans="1:39">
      <c r="A7593" s="2"/>
      <c r="AM7593" s="2"/>
    </row>
    <row r="7594" spans="1:39">
      <c r="A7594" s="2"/>
      <c r="AM7594" s="2"/>
    </row>
    <row r="7595" spans="1:39">
      <c r="A7595" s="2"/>
      <c r="AM7595" s="2"/>
    </row>
    <row r="7596" spans="1:39">
      <c r="A7596" s="2"/>
      <c r="AM7596" s="2"/>
    </row>
    <row r="7597" spans="1:39">
      <c r="A7597" s="2"/>
      <c r="AM7597" s="2"/>
    </row>
    <row r="7598" spans="1:39">
      <c r="A7598" s="2"/>
      <c r="AM7598" s="2"/>
    </row>
    <row r="7599" spans="1:39">
      <c r="A7599" s="2"/>
      <c r="AM7599" s="2"/>
    </row>
    <row r="7600" spans="1:39">
      <c r="A7600" s="2"/>
      <c r="AM7600" s="2"/>
    </row>
    <row r="7601" spans="1:39">
      <c r="A7601" s="2"/>
      <c r="AM7601" s="2"/>
    </row>
    <row r="7602" spans="1:39">
      <c r="A7602" s="2"/>
      <c r="AM7602" s="2"/>
    </row>
    <row r="7603" spans="1:39">
      <c r="A7603" s="2"/>
      <c r="AM7603" s="2"/>
    </row>
    <row r="7604" spans="1:39">
      <c r="A7604" s="2"/>
      <c r="AM7604" s="2"/>
    </row>
    <row r="7605" spans="1:39">
      <c r="A7605" s="2"/>
      <c r="AM7605" s="2"/>
    </row>
    <row r="7606" spans="1:39">
      <c r="A7606" s="2"/>
      <c r="AM7606" s="2"/>
    </row>
    <row r="7607" spans="1:39">
      <c r="A7607" s="2"/>
      <c r="AM7607" s="2"/>
    </row>
    <row r="7608" spans="1:39">
      <c r="A7608" s="2"/>
      <c r="AM7608" s="2"/>
    </row>
    <row r="7609" spans="1:39">
      <c r="A7609" s="2"/>
      <c r="AM7609" s="2"/>
    </row>
    <row r="7610" spans="1:39">
      <c r="A7610" s="2"/>
      <c r="AM7610" s="2"/>
    </row>
    <row r="7611" spans="1:39">
      <c r="A7611" s="2"/>
      <c r="AM7611" s="2"/>
    </row>
    <row r="7612" spans="1:39">
      <c r="A7612" s="2"/>
      <c r="AM7612" s="2"/>
    </row>
    <row r="7613" spans="1:39">
      <c r="A7613" s="2"/>
      <c r="AM7613" s="2"/>
    </row>
    <row r="7614" spans="1:39">
      <c r="A7614" s="2"/>
      <c r="AM7614" s="2"/>
    </row>
    <row r="7615" spans="1:39">
      <c r="A7615" s="2"/>
      <c r="AM7615" s="2"/>
    </row>
    <row r="7616" spans="1:39">
      <c r="A7616" s="2"/>
      <c r="AM7616" s="2"/>
    </row>
    <row r="7617" spans="1:39">
      <c r="A7617" s="2"/>
      <c r="AM7617" s="2"/>
    </row>
    <row r="7618" spans="1:39">
      <c r="A7618" s="2"/>
      <c r="AM7618" s="2"/>
    </row>
    <row r="7619" spans="1:39">
      <c r="A7619" s="2"/>
      <c r="AM7619" s="2"/>
    </row>
    <row r="7620" spans="1:39">
      <c r="A7620" s="2"/>
      <c r="AM7620" s="2"/>
    </row>
    <row r="7621" spans="1:39">
      <c r="A7621" s="2"/>
      <c r="AM7621" s="2"/>
    </row>
    <row r="7622" spans="1:39">
      <c r="A7622" s="2"/>
      <c r="AM7622" s="2"/>
    </row>
    <row r="7623" spans="1:39">
      <c r="A7623" s="2"/>
      <c r="AM7623" s="2"/>
    </row>
    <row r="7624" spans="1:39">
      <c r="A7624" s="2"/>
      <c r="AM7624" s="2"/>
    </row>
    <row r="7625" spans="1:39">
      <c r="A7625" s="2"/>
      <c r="AM7625" s="2"/>
    </row>
    <row r="7626" spans="1:39">
      <c r="A7626" s="2"/>
      <c r="AM7626" s="2"/>
    </row>
    <row r="7627" spans="1:39">
      <c r="A7627" s="2"/>
      <c r="AM7627" s="2"/>
    </row>
    <row r="7628" spans="1:39">
      <c r="A7628" s="2"/>
      <c r="AM7628" s="2"/>
    </row>
    <row r="7629" spans="1:39">
      <c r="A7629" s="2"/>
      <c r="AM7629" s="2"/>
    </row>
    <row r="7630" spans="1:39">
      <c r="A7630" s="2"/>
      <c r="AM7630" s="2"/>
    </row>
    <row r="7631" spans="1:39">
      <c r="A7631" s="2"/>
      <c r="AM7631" s="2"/>
    </row>
    <row r="7632" spans="1:39">
      <c r="A7632" s="2"/>
      <c r="AM7632" s="2"/>
    </row>
    <row r="7633" spans="1:39">
      <c r="A7633" s="2"/>
      <c r="AM7633" s="2"/>
    </row>
    <row r="7634" spans="1:39">
      <c r="A7634" s="2"/>
      <c r="AM7634" s="2"/>
    </row>
    <row r="7635" spans="1:39">
      <c r="A7635" s="2"/>
      <c r="AM7635" s="2"/>
    </row>
    <row r="7636" spans="1:39">
      <c r="A7636" s="2"/>
      <c r="AM7636" s="2"/>
    </row>
    <row r="7637" spans="1:39">
      <c r="A7637" s="2"/>
      <c r="AM7637" s="2"/>
    </row>
    <row r="7638" spans="1:39">
      <c r="A7638" s="2"/>
      <c r="AM7638" s="2"/>
    </row>
    <row r="7639" spans="1:39">
      <c r="A7639" s="2"/>
      <c r="AM7639" s="2"/>
    </row>
    <row r="7640" spans="1:39">
      <c r="A7640" s="2"/>
      <c r="AM7640" s="2"/>
    </row>
    <row r="7641" spans="1:39">
      <c r="A7641" s="2"/>
      <c r="AM7641" s="2"/>
    </row>
    <row r="7642" spans="1:39">
      <c r="A7642" s="2"/>
      <c r="AM7642" s="2"/>
    </row>
    <row r="7643" spans="1:39">
      <c r="A7643" s="2"/>
      <c r="AM7643" s="2"/>
    </row>
    <row r="7644" spans="1:39">
      <c r="A7644" s="2"/>
      <c r="AM7644" s="2"/>
    </row>
    <row r="7645" spans="1:39">
      <c r="A7645" s="2"/>
      <c r="AM7645" s="2"/>
    </row>
    <row r="7646" spans="1:39">
      <c r="A7646" s="2"/>
      <c r="AM7646" s="2"/>
    </row>
    <row r="7647" spans="1:39">
      <c r="A7647" s="2"/>
      <c r="AM7647" s="2"/>
    </row>
    <row r="7648" spans="1:39">
      <c r="A7648" s="2"/>
      <c r="AM7648" s="2"/>
    </row>
    <row r="7649" spans="1:39">
      <c r="A7649" s="2"/>
      <c r="AM7649" s="2"/>
    </row>
    <row r="7650" spans="1:39">
      <c r="A7650" s="2"/>
      <c r="AM7650" s="2"/>
    </row>
    <row r="7651" spans="1:39">
      <c r="A7651" s="2"/>
      <c r="AM7651" s="2"/>
    </row>
    <row r="7652" spans="1:39">
      <c r="A7652" s="2"/>
      <c r="AM7652" s="2"/>
    </row>
    <row r="7653" spans="1:39">
      <c r="A7653" s="2"/>
      <c r="AM7653" s="2"/>
    </row>
    <row r="7654" spans="1:39">
      <c r="A7654" s="2"/>
      <c r="AM7654" s="2"/>
    </row>
    <row r="7655" spans="1:39">
      <c r="A7655" s="2"/>
      <c r="AM7655" s="2"/>
    </row>
    <row r="7656" spans="1:39">
      <c r="A7656" s="2"/>
      <c r="AM7656" s="2"/>
    </row>
    <row r="7657" spans="1:39">
      <c r="A7657" s="2"/>
      <c r="AM7657" s="2"/>
    </row>
    <row r="7658" spans="1:39">
      <c r="A7658" s="2"/>
      <c r="AM7658" s="2"/>
    </row>
    <row r="7659" spans="1:39">
      <c r="A7659" s="2"/>
      <c r="AM7659" s="2"/>
    </row>
    <row r="7660" spans="1:39">
      <c r="A7660" s="2"/>
      <c r="AM7660" s="2"/>
    </row>
    <row r="7661" spans="1:39">
      <c r="A7661" s="2"/>
      <c r="AM7661" s="2"/>
    </row>
    <row r="7662" spans="1:39">
      <c r="A7662" s="2"/>
      <c r="AM7662" s="2"/>
    </row>
    <row r="7663" spans="1:39">
      <c r="A7663" s="2"/>
      <c r="AM7663" s="2"/>
    </row>
    <row r="7664" spans="1:39">
      <c r="A7664" s="2"/>
      <c r="AM7664" s="2"/>
    </row>
    <row r="7665" spans="1:39">
      <c r="A7665" s="2"/>
      <c r="AM7665" s="2"/>
    </row>
    <row r="7666" spans="1:39">
      <c r="A7666" s="2"/>
      <c r="AM7666" s="2"/>
    </row>
    <row r="7667" spans="1:39">
      <c r="A7667" s="2"/>
      <c r="AM7667" s="2"/>
    </row>
    <row r="7668" spans="1:39">
      <c r="A7668" s="2"/>
      <c r="AM7668" s="2"/>
    </row>
    <row r="7669" spans="1:39">
      <c r="A7669" s="2"/>
      <c r="AM7669" s="2"/>
    </row>
    <row r="7670" spans="1:39">
      <c r="A7670" s="2"/>
      <c r="AM7670" s="2"/>
    </row>
    <row r="7671" spans="1:39">
      <c r="A7671" s="2"/>
      <c r="AM7671" s="2"/>
    </row>
    <row r="7672" spans="1:39">
      <c r="A7672" s="2"/>
      <c r="AM7672" s="2"/>
    </row>
    <row r="7673" spans="1:39">
      <c r="A7673" s="2"/>
      <c r="AM7673" s="2"/>
    </row>
    <row r="7674" spans="1:39">
      <c r="A7674" s="2"/>
      <c r="AM7674" s="2"/>
    </row>
    <row r="7675" spans="1:39">
      <c r="A7675" s="2"/>
      <c r="AM7675" s="2"/>
    </row>
    <row r="7676" spans="1:39">
      <c r="A7676" s="2"/>
      <c r="AM7676" s="2"/>
    </row>
    <row r="7677" spans="1:39">
      <c r="A7677" s="2"/>
      <c r="AM7677" s="2"/>
    </row>
    <row r="7678" spans="1:39">
      <c r="A7678" s="2"/>
      <c r="AM7678" s="2"/>
    </row>
    <row r="7679" spans="1:39">
      <c r="A7679" s="2"/>
      <c r="AM7679" s="2"/>
    </row>
    <row r="7680" spans="1:39">
      <c r="A7680" s="2"/>
      <c r="AM7680" s="2"/>
    </row>
    <row r="7681" spans="1:39">
      <c r="A7681" s="2"/>
      <c r="AM7681" s="2"/>
    </row>
    <row r="7682" spans="1:39">
      <c r="A7682" s="2"/>
      <c r="AM7682" s="2"/>
    </row>
    <row r="7683" spans="1:39">
      <c r="A7683" s="2"/>
      <c r="AM7683" s="2"/>
    </row>
    <row r="7684" spans="1:39">
      <c r="A7684" s="2"/>
      <c r="AM7684" s="2"/>
    </row>
    <row r="7685" spans="1:39">
      <c r="A7685" s="2"/>
      <c r="AM7685" s="2"/>
    </row>
    <row r="7686" spans="1:39">
      <c r="A7686" s="2"/>
      <c r="AM7686" s="2"/>
    </row>
    <row r="7687" spans="1:39">
      <c r="A7687" s="2"/>
      <c r="AM7687" s="2"/>
    </row>
    <row r="7688" spans="1:39">
      <c r="A7688" s="2"/>
      <c r="AM7688" s="2"/>
    </row>
    <row r="7689" spans="1:39">
      <c r="A7689" s="2"/>
      <c r="AM7689" s="2"/>
    </row>
    <row r="7690" spans="1:39">
      <c r="A7690" s="2"/>
      <c r="AM7690" s="2"/>
    </row>
    <row r="7691" spans="1:39">
      <c r="A7691" s="2"/>
      <c r="AM7691" s="2"/>
    </row>
    <row r="7692" spans="1:39">
      <c r="A7692" s="2"/>
      <c r="AM7692" s="2"/>
    </row>
    <row r="7693" spans="1:39">
      <c r="A7693" s="2"/>
      <c r="AM7693" s="2"/>
    </row>
    <row r="7694" spans="1:39">
      <c r="A7694" s="2"/>
      <c r="AM7694" s="2"/>
    </row>
    <row r="7695" spans="1:39">
      <c r="A7695" s="2"/>
      <c r="AM7695" s="2"/>
    </row>
    <row r="7696" spans="1:39">
      <c r="A7696" s="2"/>
      <c r="AM7696" s="2"/>
    </row>
    <row r="7697" spans="1:39">
      <c r="A7697" s="2"/>
      <c r="AM7697" s="2"/>
    </row>
    <row r="7698" spans="1:39">
      <c r="A7698" s="2"/>
      <c r="AM7698" s="2"/>
    </row>
    <row r="7699" spans="1:39">
      <c r="A7699" s="2"/>
      <c r="AM7699" s="2"/>
    </row>
    <row r="7700" spans="1:39">
      <c r="A7700" s="2"/>
      <c r="AM7700" s="2"/>
    </row>
    <row r="7701" spans="1:39">
      <c r="A7701" s="2"/>
      <c r="AM7701" s="2"/>
    </row>
    <row r="7702" spans="1:39">
      <c r="A7702" s="2"/>
      <c r="AM7702" s="2"/>
    </row>
    <row r="7703" spans="1:39">
      <c r="A7703" s="2"/>
      <c r="AM7703" s="2"/>
    </row>
    <row r="7704" spans="1:39">
      <c r="A7704" s="2"/>
      <c r="AM7704" s="2"/>
    </row>
    <row r="7705" spans="1:39">
      <c r="A7705" s="2"/>
      <c r="AM7705" s="2"/>
    </row>
    <row r="7706" spans="1:39">
      <c r="A7706" s="2"/>
      <c r="AM7706" s="2"/>
    </row>
    <row r="7707" spans="1:39">
      <c r="A7707" s="2"/>
      <c r="AM7707" s="2"/>
    </row>
    <row r="7708" spans="1:39">
      <c r="A7708" s="2"/>
      <c r="AM7708" s="2"/>
    </row>
    <row r="7709" spans="1:39">
      <c r="A7709" s="2"/>
      <c r="AM7709" s="2"/>
    </row>
    <row r="7710" spans="1:39">
      <c r="A7710" s="2"/>
      <c r="AM7710" s="2"/>
    </row>
    <row r="7711" spans="1:39">
      <c r="A7711" s="2"/>
      <c r="AM7711" s="2"/>
    </row>
    <row r="7712" spans="1:39">
      <c r="A7712" s="2"/>
      <c r="AM7712" s="2"/>
    </row>
    <row r="7713" spans="1:39">
      <c r="A7713" s="2"/>
      <c r="AM7713" s="2"/>
    </row>
    <row r="7714" spans="1:39">
      <c r="A7714" s="2"/>
      <c r="AM7714" s="2"/>
    </row>
    <row r="7715" spans="1:39">
      <c r="A7715" s="2"/>
      <c r="AM7715" s="2"/>
    </row>
    <row r="7716" spans="1:39">
      <c r="A7716" s="2"/>
      <c r="AM7716" s="2"/>
    </row>
    <row r="7717" spans="1:39">
      <c r="A7717" s="2"/>
      <c r="AM7717" s="2"/>
    </row>
    <row r="7718" spans="1:39">
      <c r="A7718" s="2"/>
      <c r="AM7718" s="2"/>
    </row>
    <row r="7719" spans="1:39">
      <c r="A7719" s="2"/>
      <c r="AM7719" s="2"/>
    </row>
    <row r="7720" spans="1:39">
      <c r="A7720" s="2"/>
      <c r="AM7720" s="2"/>
    </row>
    <row r="7721" spans="1:39">
      <c r="A7721" s="2"/>
      <c r="AM7721" s="2"/>
    </row>
    <row r="7722" spans="1:39">
      <c r="A7722" s="2"/>
      <c r="AM7722" s="2"/>
    </row>
    <row r="7723" spans="1:39">
      <c r="A7723" s="2"/>
      <c r="AM7723" s="2"/>
    </row>
    <row r="7724" spans="1:39">
      <c r="A7724" s="2"/>
      <c r="AM7724" s="2"/>
    </row>
    <row r="7725" spans="1:39">
      <c r="A7725" s="2"/>
      <c r="AM7725" s="2"/>
    </row>
    <row r="7726" spans="1:39">
      <c r="A7726" s="2"/>
      <c r="AM7726" s="2"/>
    </row>
    <row r="7727" spans="1:39">
      <c r="A7727" s="2"/>
      <c r="AM7727" s="2"/>
    </row>
    <row r="7728" spans="1:39">
      <c r="A7728" s="2"/>
      <c r="AM7728" s="2"/>
    </row>
    <row r="7729" spans="1:39">
      <c r="A7729" s="2"/>
      <c r="AM7729" s="2"/>
    </row>
    <row r="7730" spans="1:39">
      <c r="A7730" s="2"/>
      <c r="AM7730" s="2"/>
    </row>
    <row r="7731" spans="1:39">
      <c r="A7731" s="2"/>
      <c r="AM7731" s="2"/>
    </row>
    <row r="7732" spans="1:39">
      <c r="A7732" s="2"/>
      <c r="AM7732" s="2"/>
    </row>
    <row r="7733" spans="1:39">
      <c r="A7733" s="2"/>
      <c r="AM7733" s="2"/>
    </row>
    <row r="7734" spans="1:39">
      <c r="A7734" s="2"/>
      <c r="AM7734" s="2"/>
    </row>
    <row r="7735" spans="1:39">
      <c r="A7735" s="2"/>
      <c r="AM7735" s="2"/>
    </row>
    <row r="7736" spans="1:39">
      <c r="A7736" s="2"/>
      <c r="AM7736" s="2"/>
    </row>
    <row r="7737" spans="1:39">
      <c r="A7737" s="2"/>
      <c r="AM7737" s="2"/>
    </row>
    <row r="7738" spans="1:39">
      <c r="A7738" s="2"/>
      <c r="AM7738" s="2"/>
    </row>
    <row r="7739" spans="1:39">
      <c r="A7739" s="2"/>
      <c r="AM7739" s="2"/>
    </row>
    <row r="7740" spans="1:39">
      <c r="A7740" s="2"/>
      <c r="AM7740" s="2"/>
    </row>
    <row r="7741" spans="1:39">
      <c r="A7741" s="2"/>
      <c r="AM7741" s="2"/>
    </row>
    <row r="7742" spans="1:39">
      <c r="A7742" s="2"/>
      <c r="AM7742" s="2"/>
    </row>
    <row r="7743" spans="1:39">
      <c r="A7743" s="2"/>
      <c r="AM7743" s="2"/>
    </row>
    <row r="7744" spans="1:39">
      <c r="A7744" s="2"/>
      <c r="AM7744" s="2"/>
    </row>
    <row r="7745" spans="1:39">
      <c r="A7745" s="2"/>
      <c r="AM7745" s="2"/>
    </row>
    <row r="7746" spans="1:39">
      <c r="A7746" s="2"/>
      <c r="AM7746" s="2"/>
    </row>
    <row r="7747" spans="1:39">
      <c r="A7747" s="2"/>
      <c r="AM7747" s="2"/>
    </row>
    <row r="7748" spans="1:39">
      <c r="A7748" s="2"/>
      <c r="AM7748" s="2"/>
    </row>
    <row r="7749" spans="1:39">
      <c r="A7749" s="2"/>
      <c r="AM7749" s="2"/>
    </row>
    <row r="7750" spans="1:39">
      <c r="A7750" s="2"/>
      <c r="AM7750" s="2"/>
    </row>
    <row r="7751" spans="1:39">
      <c r="A7751" s="2"/>
      <c r="AM7751" s="2"/>
    </row>
    <row r="7752" spans="1:39">
      <c r="A7752" s="2"/>
      <c r="AM7752" s="2"/>
    </row>
    <row r="7753" spans="1:39">
      <c r="A7753" s="2"/>
      <c r="AM7753" s="2"/>
    </row>
    <row r="7754" spans="1:39">
      <c r="A7754" s="2"/>
      <c r="AM7754" s="2"/>
    </row>
    <row r="7755" spans="1:39">
      <c r="A7755" s="2"/>
      <c r="AM7755" s="2"/>
    </row>
    <row r="7756" spans="1:39">
      <c r="A7756" s="2"/>
      <c r="AM7756" s="2"/>
    </row>
    <row r="7757" spans="1:39">
      <c r="A7757" s="2"/>
      <c r="AM7757" s="2"/>
    </row>
    <row r="7758" spans="1:39">
      <c r="A7758" s="2"/>
      <c r="AM7758" s="2"/>
    </row>
    <row r="7759" spans="1:39">
      <c r="A7759" s="2"/>
      <c r="AM7759" s="2"/>
    </row>
    <row r="7760" spans="1:39">
      <c r="A7760" s="2"/>
      <c r="AM7760" s="2"/>
    </row>
    <row r="7761" spans="1:39">
      <c r="A7761" s="2"/>
      <c r="AM7761" s="2"/>
    </row>
    <row r="7762" spans="1:39">
      <c r="A7762" s="2"/>
      <c r="AM7762" s="2"/>
    </row>
    <row r="7763" spans="1:39">
      <c r="A7763" s="2"/>
      <c r="AM7763" s="2"/>
    </row>
    <row r="7764" spans="1:39">
      <c r="A7764" s="2"/>
      <c r="AM7764" s="2"/>
    </row>
    <row r="7765" spans="1:39">
      <c r="A7765" s="2"/>
      <c r="AM7765" s="2"/>
    </row>
    <row r="7766" spans="1:39">
      <c r="A7766" s="2"/>
      <c r="AM7766" s="2"/>
    </row>
    <row r="7767" spans="1:39">
      <c r="A7767" s="2"/>
      <c r="AM7767" s="2"/>
    </row>
    <row r="7768" spans="1:39">
      <c r="A7768" s="2"/>
      <c r="AM7768" s="2"/>
    </row>
    <row r="7769" spans="1:39">
      <c r="A7769" s="2"/>
      <c r="AM7769" s="2"/>
    </row>
    <row r="7770" spans="1:39">
      <c r="A7770" s="2"/>
      <c r="AM7770" s="2"/>
    </row>
    <row r="7771" spans="1:39">
      <c r="A7771" s="2"/>
      <c r="AM7771" s="2"/>
    </row>
    <row r="7772" spans="1:39">
      <c r="A7772" s="2"/>
      <c r="AM7772" s="2"/>
    </row>
    <row r="7773" spans="1:39">
      <c r="A7773" s="2"/>
      <c r="AM7773" s="2"/>
    </row>
    <row r="7774" spans="1:39">
      <c r="A7774" s="2"/>
      <c r="AM7774" s="2"/>
    </row>
    <row r="7775" spans="1:39">
      <c r="A7775" s="2"/>
      <c r="AM7775" s="2"/>
    </row>
    <row r="7776" spans="1:39">
      <c r="A7776" s="2"/>
      <c r="AM7776" s="2"/>
    </row>
    <row r="7777" spans="1:39">
      <c r="A7777" s="2"/>
      <c r="AM7777" s="2"/>
    </row>
    <row r="7778" spans="1:39">
      <c r="A7778" s="2"/>
      <c r="AM7778" s="2"/>
    </row>
    <row r="7779" spans="1:39">
      <c r="A7779" s="2"/>
      <c r="AM7779" s="2"/>
    </row>
    <row r="7780" spans="1:39">
      <c r="A7780" s="2"/>
      <c r="AM7780" s="2"/>
    </row>
    <row r="7781" spans="1:39">
      <c r="A7781" s="2"/>
      <c r="AM7781" s="2"/>
    </row>
    <row r="7782" spans="1:39">
      <c r="A7782" s="2"/>
      <c r="AM7782" s="2"/>
    </row>
    <row r="7783" spans="1:39">
      <c r="A7783" s="2"/>
      <c r="AM7783" s="2"/>
    </row>
    <row r="7784" spans="1:39">
      <c r="A7784" s="2"/>
      <c r="AM7784" s="2"/>
    </row>
    <row r="7785" spans="1:39">
      <c r="A7785" s="2"/>
      <c r="AM7785" s="2"/>
    </row>
    <row r="7786" spans="1:39">
      <c r="A7786" s="2"/>
      <c r="AM7786" s="2"/>
    </row>
    <row r="7787" spans="1:39">
      <c r="A7787" s="2"/>
      <c r="AM7787" s="2"/>
    </row>
    <row r="7788" spans="1:39">
      <c r="A7788" s="2"/>
      <c r="AM7788" s="2"/>
    </row>
    <row r="7789" spans="1:39">
      <c r="A7789" s="2"/>
      <c r="AM7789" s="2"/>
    </row>
    <row r="7790" spans="1:39">
      <c r="A7790" s="2"/>
      <c r="AM7790" s="2"/>
    </row>
    <row r="7791" spans="1:39">
      <c r="A7791" s="2"/>
      <c r="AM7791" s="2"/>
    </row>
    <row r="7792" spans="1:39">
      <c r="A7792" s="2"/>
      <c r="AM7792" s="2"/>
    </row>
    <row r="7793" spans="1:39">
      <c r="A7793" s="2"/>
      <c r="AM7793" s="2"/>
    </row>
    <row r="7794" spans="1:39">
      <c r="A7794" s="2"/>
      <c r="AM7794" s="2"/>
    </row>
    <row r="7795" spans="1:39">
      <c r="A7795" s="2"/>
      <c r="AM7795" s="2"/>
    </row>
    <row r="7796" spans="1:39">
      <c r="A7796" s="2"/>
      <c r="AM7796" s="2"/>
    </row>
    <row r="7797" spans="1:39">
      <c r="A7797" s="2"/>
      <c r="AM7797" s="2"/>
    </row>
    <row r="7798" spans="1:39">
      <c r="A7798" s="2"/>
      <c r="AM7798" s="2"/>
    </row>
    <row r="7799" spans="1:39">
      <c r="A7799" s="2"/>
      <c r="AM7799" s="2"/>
    </row>
    <row r="7800" spans="1:39">
      <c r="A7800" s="2"/>
      <c r="AM7800" s="2"/>
    </row>
    <row r="7801" spans="1:39">
      <c r="A7801" s="2"/>
      <c r="AM7801" s="2"/>
    </row>
    <row r="7802" spans="1:39">
      <c r="A7802" s="2"/>
      <c r="AM7802" s="2"/>
    </row>
    <row r="7803" spans="1:39">
      <c r="A7803" s="2"/>
      <c r="AM7803" s="2"/>
    </row>
    <row r="7804" spans="1:39">
      <c r="A7804" s="2"/>
      <c r="AM7804" s="2"/>
    </row>
    <row r="7805" spans="1:39">
      <c r="A7805" s="2"/>
      <c r="AM7805" s="2"/>
    </row>
    <row r="7806" spans="1:39">
      <c r="A7806" s="2"/>
      <c r="AM7806" s="2"/>
    </row>
    <row r="7807" spans="1:39">
      <c r="A7807" s="2"/>
      <c r="AM7807" s="2"/>
    </row>
    <row r="7808" spans="1:39">
      <c r="A7808" s="2"/>
      <c r="AM7808" s="2"/>
    </row>
    <row r="7809" spans="1:39">
      <c r="A7809" s="2"/>
      <c r="AM7809" s="2"/>
    </row>
    <row r="7810" spans="1:39">
      <c r="A7810" s="2"/>
      <c r="AM7810" s="2"/>
    </row>
    <row r="7811" spans="1:39">
      <c r="A7811" s="2"/>
      <c r="AM7811" s="2"/>
    </row>
    <row r="7812" spans="1:39">
      <c r="A7812" s="2"/>
      <c r="AM7812" s="2"/>
    </row>
    <row r="7813" spans="1:39">
      <c r="A7813" s="2"/>
      <c r="AM7813" s="2"/>
    </row>
    <row r="7814" spans="1:39">
      <c r="A7814" s="2"/>
      <c r="AM7814" s="2"/>
    </row>
    <row r="7815" spans="1:39">
      <c r="A7815" s="2"/>
      <c r="AM7815" s="2"/>
    </row>
    <row r="7816" spans="1:39">
      <c r="A7816" s="2"/>
      <c r="AM7816" s="2"/>
    </row>
    <row r="7817" spans="1:39">
      <c r="A7817" s="2"/>
      <c r="AM7817" s="2"/>
    </row>
    <row r="7818" spans="1:39">
      <c r="A7818" s="2"/>
      <c r="AM7818" s="2"/>
    </row>
    <row r="7819" spans="1:39">
      <c r="A7819" s="2"/>
      <c r="AM7819" s="2"/>
    </row>
    <row r="7820" spans="1:39">
      <c r="A7820" s="2"/>
      <c r="AM7820" s="2"/>
    </row>
    <row r="7821" spans="1:39">
      <c r="A7821" s="2"/>
      <c r="AM7821" s="2"/>
    </row>
    <row r="7822" spans="1:39">
      <c r="A7822" s="2"/>
      <c r="AM7822" s="2"/>
    </row>
    <row r="7823" spans="1:39">
      <c r="A7823" s="2"/>
      <c r="AM7823" s="2"/>
    </row>
    <row r="7824" spans="1:39">
      <c r="A7824" s="2"/>
      <c r="AM7824" s="2"/>
    </row>
    <row r="7825" spans="1:39">
      <c r="A7825" s="2"/>
      <c r="AM7825" s="2"/>
    </row>
    <row r="7826" spans="1:39">
      <c r="A7826" s="2"/>
      <c r="AM7826" s="2"/>
    </row>
    <row r="7827" spans="1:39">
      <c r="A7827" s="2"/>
      <c r="AM7827" s="2"/>
    </row>
    <row r="7828" spans="1:39">
      <c r="A7828" s="2"/>
      <c r="AM7828" s="2"/>
    </row>
    <row r="7829" spans="1:39">
      <c r="A7829" s="2"/>
      <c r="AM7829" s="2"/>
    </row>
    <row r="7830" spans="1:39">
      <c r="A7830" s="2"/>
      <c r="AM7830" s="2"/>
    </row>
    <row r="7831" spans="1:39">
      <c r="A7831" s="2"/>
      <c r="AM7831" s="2"/>
    </row>
    <row r="7832" spans="1:39">
      <c r="A7832" s="2"/>
      <c r="AM7832" s="2"/>
    </row>
    <row r="7833" spans="1:39">
      <c r="A7833" s="2"/>
      <c r="AM7833" s="2"/>
    </row>
    <row r="7834" spans="1:39">
      <c r="A7834" s="2"/>
      <c r="AM7834" s="2"/>
    </row>
    <row r="7835" spans="1:39">
      <c r="A7835" s="2"/>
      <c r="AM7835" s="2"/>
    </row>
    <row r="7836" spans="1:39">
      <c r="A7836" s="2"/>
      <c r="AM7836" s="2"/>
    </row>
    <row r="7837" spans="1:39">
      <c r="A7837" s="2"/>
      <c r="AM7837" s="2"/>
    </row>
    <row r="7838" spans="1:39">
      <c r="A7838" s="2"/>
      <c r="AM7838" s="2"/>
    </row>
    <row r="7839" spans="1:39">
      <c r="A7839" s="2"/>
      <c r="AM7839" s="2"/>
    </row>
    <row r="7840" spans="1:39">
      <c r="A7840" s="2"/>
      <c r="AM7840" s="2"/>
    </row>
    <row r="7841" spans="1:39">
      <c r="A7841" s="2"/>
      <c r="AM7841" s="2"/>
    </row>
    <row r="7842" spans="1:39">
      <c r="A7842" s="2"/>
      <c r="AM7842" s="2"/>
    </row>
    <row r="7843" spans="1:39">
      <c r="A7843" s="2"/>
      <c r="AM7843" s="2"/>
    </row>
    <row r="7844" spans="1:39">
      <c r="A7844" s="2"/>
      <c r="AM7844" s="2"/>
    </row>
    <row r="7845" spans="1:39">
      <c r="A7845" s="2"/>
      <c r="AM7845" s="2"/>
    </row>
    <row r="7846" spans="1:39">
      <c r="A7846" s="2"/>
      <c r="AM7846" s="2"/>
    </row>
    <row r="7847" spans="1:39">
      <c r="A7847" s="2"/>
      <c r="AM7847" s="2"/>
    </row>
    <row r="7848" spans="1:39">
      <c r="A7848" s="2"/>
      <c r="AM7848" s="2"/>
    </row>
    <row r="7849" spans="1:39">
      <c r="A7849" s="2"/>
      <c r="AM7849" s="2"/>
    </row>
    <row r="7850" spans="1:39">
      <c r="A7850" s="2"/>
      <c r="AM7850" s="2"/>
    </row>
    <row r="7851" spans="1:39">
      <c r="A7851" s="2"/>
      <c r="AM7851" s="2"/>
    </row>
    <row r="7852" spans="1:39">
      <c r="A7852" s="2"/>
      <c r="AM7852" s="2"/>
    </row>
    <row r="7853" spans="1:39">
      <c r="A7853" s="2"/>
      <c r="AM7853" s="2"/>
    </row>
    <row r="7854" spans="1:39">
      <c r="A7854" s="2"/>
      <c r="AM7854" s="2"/>
    </row>
    <row r="7855" spans="1:39">
      <c r="A7855" s="2"/>
      <c r="AM7855" s="2"/>
    </row>
    <row r="7856" spans="1:39">
      <c r="A7856" s="2"/>
      <c r="AM7856" s="2"/>
    </row>
    <row r="7857" spans="1:39">
      <c r="A7857" s="2"/>
      <c r="AM7857" s="2"/>
    </row>
    <row r="7858" spans="1:39">
      <c r="A7858" s="2"/>
      <c r="AM7858" s="2"/>
    </row>
    <row r="7859" spans="1:39">
      <c r="A7859" s="2"/>
      <c r="AM7859" s="2"/>
    </row>
    <row r="7860" spans="1:39">
      <c r="A7860" s="2"/>
      <c r="AM7860" s="2"/>
    </row>
    <row r="7861" spans="1:39">
      <c r="A7861" s="2"/>
      <c r="AM7861" s="2"/>
    </row>
    <row r="7862" spans="1:39">
      <c r="A7862" s="2"/>
      <c r="AM7862" s="2"/>
    </row>
    <row r="7863" spans="1:39">
      <c r="A7863" s="2"/>
      <c r="AM7863" s="2"/>
    </row>
    <row r="7864" spans="1:39">
      <c r="A7864" s="2"/>
      <c r="AM7864" s="2"/>
    </row>
    <row r="7865" spans="1:39">
      <c r="A7865" s="2"/>
      <c r="AM7865" s="2"/>
    </row>
    <row r="7866" spans="1:39">
      <c r="A7866" s="2"/>
      <c r="AM7866" s="2"/>
    </row>
    <row r="7867" spans="1:39">
      <c r="A7867" s="2"/>
      <c r="AM7867" s="2"/>
    </row>
    <row r="7868" spans="1:39">
      <c r="A7868" s="2"/>
      <c r="AM7868" s="2"/>
    </row>
    <row r="7869" spans="1:39">
      <c r="A7869" s="2"/>
      <c r="AM7869" s="2"/>
    </row>
    <row r="7870" spans="1:39">
      <c r="A7870" s="2"/>
      <c r="AM7870" s="2"/>
    </row>
    <row r="7871" spans="1:39">
      <c r="A7871" s="2"/>
      <c r="AM7871" s="2"/>
    </row>
    <row r="7872" spans="1:39">
      <c r="A7872" s="2"/>
      <c r="AM7872" s="2"/>
    </row>
    <row r="7873" spans="1:39">
      <c r="A7873" s="2"/>
      <c r="AM7873" s="2"/>
    </row>
    <row r="7874" spans="1:39">
      <c r="A7874" s="2"/>
      <c r="AM7874" s="2"/>
    </row>
    <row r="7875" spans="1:39">
      <c r="A7875" s="2"/>
      <c r="AM7875" s="2"/>
    </row>
    <row r="7876" spans="1:39">
      <c r="A7876" s="2"/>
      <c r="AM7876" s="2"/>
    </row>
    <row r="7877" spans="1:39">
      <c r="A7877" s="2"/>
      <c r="AM7877" s="2"/>
    </row>
    <row r="7878" spans="1:39">
      <c r="A7878" s="2"/>
      <c r="AM7878" s="2"/>
    </row>
    <row r="7879" spans="1:39">
      <c r="A7879" s="2"/>
      <c r="AM7879" s="2"/>
    </row>
    <row r="7880" spans="1:39">
      <c r="A7880" s="2"/>
      <c r="AM7880" s="2"/>
    </row>
    <row r="7881" spans="1:39">
      <c r="A7881" s="2"/>
      <c r="AM7881" s="2"/>
    </row>
    <row r="7882" spans="1:39">
      <c r="A7882" s="2"/>
      <c r="AM7882" s="2"/>
    </row>
    <row r="7883" spans="1:39">
      <c r="A7883" s="2"/>
      <c r="AM7883" s="2"/>
    </row>
    <row r="7884" spans="1:39">
      <c r="A7884" s="2"/>
      <c r="AM7884" s="2"/>
    </row>
    <row r="7885" spans="1:39">
      <c r="A7885" s="2"/>
      <c r="AM7885" s="2"/>
    </row>
    <row r="7886" spans="1:39">
      <c r="A7886" s="2"/>
      <c r="AM7886" s="2"/>
    </row>
    <row r="7887" spans="1:39">
      <c r="A7887" s="2"/>
      <c r="AM7887" s="2"/>
    </row>
    <row r="7888" spans="1:39">
      <c r="A7888" s="2"/>
      <c r="AM7888" s="2"/>
    </row>
    <row r="7889" spans="1:39">
      <c r="A7889" s="2"/>
      <c r="AM7889" s="2"/>
    </row>
    <row r="7890" spans="1:39">
      <c r="A7890" s="2"/>
      <c r="AM7890" s="2"/>
    </row>
    <row r="7891" spans="1:39">
      <c r="A7891" s="2"/>
      <c r="AM7891" s="2"/>
    </row>
    <row r="7892" spans="1:39">
      <c r="A7892" s="2"/>
      <c r="AM7892" s="2"/>
    </row>
    <row r="7893" spans="1:39">
      <c r="A7893" s="2"/>
      <c r="AM7893" s="2"/>
    </row>
    <row r="7894" spans="1:39">
      <c r="A7894" s="2"/>
      <c r="AM7894" s="2"/>
    </row>
    <row r="7895" spans="1:39">
      <c r="A7895" s="2"/>
      <c r="AM7895" s="2"/>
    </row>
    <row r="7896" spans="1:39">
      <c r="A7896" s="2"/>
      <c r="AM7896" s="2"/>
    </row>
    <row r="7897" spans="1:39">
      <c r="A7897" s="2"/>
      <c r="AM7897" s="2"/>
    </row>
    <row r="7898" spans="1:39">
      <c r="A7898" s="2"/>
      <c r="AM7898" s="2"/>
    </row>
    <row r="7899" spans="1:39">
      <c r="A7899" s="2"/>
      <c r="AM7899" s="2"/>
    </row>
    <row r="7900" spans="1:39">
      <c r="A7900" s="2"/>
      <c r="AM7900" s="2"/>
    </row>
    <row r="7901" spans="1:39">
      <c r="A7901" s="2"/>
      <c r="AM7901" s="2"/>
    </row>
    <row r="7902" spans="1:39">
      <c r="A7902" s="2"/>
      <c r="AM7902" s="2"/>
    </row>
    <row r="7903" spans="1:39">
      <c r="A7903" s="2"/>
      <c r="AM7903" s="2"/>
    </row>
    <row r="7904" spans="1:39">
      <c r="A7904" s="2"/>
      <c r="AM7904" s="2"/>
    </row>
    <row r="7905" spans="1:39">
      <c r="A7905" s="2"/>
      <c r="AM7905" s="2"/>
    </row>
    <row r="7906" spans="1:39">
      <c r="A7906" s="2"/>
      <c r="AM7906" s="2"/>
    </row>
    <row r="7907" spans="1:39">
      <c r="A7907" s="2"/>
      <c r="AM7907" s="2"/>
    </row>
    <row r="7908" spans="1:39">
      <c r="A7908" s="2"/>
      <c r="AM7908" s="2"/>
    </row>
    <row r="7909" spans="1:39">
      <c r="A7909" s="2"/>
      <c r="AM7909" s="2"/>
    </row>
    <row r="7910" spans="1:39">
      <c r="A7910" s="2"/>
      <c r="AM7910" s="2"/>
    </row>
    <row r="7911" spans="1:39">
      <c r="A7911" s="2"/>
      <c r="AM7911" s="2"/>
    </row>
    <row r="7912" spans="1:39">
      <c r="A7912" s="2"/>
      <c r="AM7912" s="2"/>
    </row>
    <row r="7913" spans="1:39">
      <c r="A7913" s="2"/>
      <c r="AM7913" s="2"/>
    </row>
    <row r="7914" spans="1:39">
      <c r="A7914" s="2"/>
      <c r="AM7914" s="2"/>
    </row>
    <row r="7915" spans="1:39">
      <c r="A7915" s="2"/>
      <c r="AM7915" s="2"/>
    </row>
    <row r="7916" spans="1:39">
      <c r="A7916" s="2"/>
      <c r="AM7916" s="2"/>
    </row>
    <row r="7917" spans="1:39">
      <c r="A7917" s="2"/>
      <c r="AM7917" s="2"/>
    </row>
    <row r="7918" spans="1:39">
      <c r="A7918" s="2"/>
      <c r="AM7918" s="2"/>
    </row>
    <row r="7919" spans="1:39">
      <c r="A7919" s="2"/>
      <c r="AM7919" s="2"/>
    </row>
    <row r="7920" spans="1:39">
      <c r="A7920" s="2"/>
      <c r="AM7920" s="2"/>
    </row>
    <row r="7921" spans="1:39">
      <c r="A7921" s="2"/>
      <c r="AM7921" s="2"/>
    </row>
    <row r="7922" spans="1:39">
      <c r="A7922" s="2"/>
      <c r="AM7922" s="2"/>
    </row>
    <row r="7923" spans="1:39">
      <c r="A7923" s="2"/>
      <c r="AM7923" s="2"/>
    </row>
    <row r="7924" spans="1:39">
      <c r="A7924" s="2"/>
      <c r="AM7924" s="2"/>
    </row>
    <row r="7925" spans="1:39">
      <c r="A7925" s="2"/>
      <c r="AM7925" s="2"/>
    </row>
    <row r="7926" spans="1:39">
      <c r="A7926" s="2"/>
      <c r="AM7926" s="2"/>
    </row>
    <row r="7927" spans="1:39">
      <c r="A7927" s="2"/>
      <c r="AM7927" s="2"/>
    </row>
    <row r="7928" spans="1:39">
      <c r="A7928" s="2"/>
      <c r="AM7928" s="2"/>
    </row>
    <row r="7929" spans="1:39">
      <c r="A7929" s="2"/>
      <c r="AM7929" s="2"/>
    </row>
    <row r="7930" spans="1:39">
      <c r="A7930" s="2"/>
      <c r="AM7930" s="2"/>
    </row>
    <row r="7931" spans="1:39">
      <c r="A7931" s="2"/>
      <c r="AM7931" s="2"/>
    </row>
    <row r="7932" spans="1:39">
      <c r="A7932" s="2"/>
      <c r="AM7932" s="2"/>
    </row>
    <row r="7933" spans="1:39">
      <c r="A7933" s="2"/>
      <c r="AM7933" s="2"/>
    </row>
    <row r="7934" spans="1:39">
      <c r="A7934" s="2"/>
      <c r="AM7934" s="2"/>
    </row>
    <row r="7935" spans="1:39">
      <c r="A7935" s="2"/>
      <c r="AM7935" s="2"/>
    </row>
    <row r="7936" spans="1:39">
      <c r="A7936" s="2"/>
      <c r="AM7936" s="2"/>
    </row>
    <row r="7937" spans="1:39">
      <c r="A7937" s="2"/>
      <c r="AM7937" s="2"/>
    </row>
    <row r="7938" spans="1:39">
      <c r="A7938" s="2"/>
      <c r="AM7938" s="2"/>
    </row>
    <row r="7939" spans="1:39">
      <c r="A7939" s="2"/>
      <c r="AM7939" s="2"/>
    </row>
    <row r="7940" spans="1:39">
      <c r="A7940" s="2"/>
      <c r="AM7940" s="2"/>
    </row>
    <row r="7941" spans="1:39">
      <c r="A7941" s="2"/>
      <c r="AM7941" s="2"/>
    </row>
    <row r="7942" spans="1:39">
      <c r="A7942" s="2"/>
      <c r="AM7942" s="2"/>
    </row>
    <row r="7943" spans="1:39">
      <c r="A7943" s="2"/>
      <c r="AM7943" s="2"/>
    </row>
    <row r="7944" spans="1:39">
      <c r="A7944" s="2"/>
      <c r="AM7944" s="2"/>
    </row>
    <row r="7945" spans="1:39">
      <c r="A7945" s="2"/>
      <c r="AM7945" s="2"/>
    </row>
    <row r="7946" spans="1:39">
      <c r="A7946" s="2"/>
      <c r="AM7946" s="2"/>
    </row>
    <row r="7947" spans="1:39">
      <c r="A7947" s="2"/>
      <c r="AM7947" s="2"/>
    </row>
    <row r="7948" spans="1:39">
      <c r="A7948" s="2"/>
      <c r="AM7948" s="2"/>
    </row>
    <row r="7949" spans="1:39">
      <c r="A7949" s="2"/>
      <c r="AM7949" s="2"/>
    </row>
    <row r="7950" spans="1:39">
      <c r="A7950" s="2"/>
      <c r="AM7950" s="2"/>
    </row>
    <row r="7951" spans="1:39">
      <c r="A7951" s="2"/>
      <c r="AM7951" s="2"/>
    </row>
    <row r="7952" spans="1:39">
      <c r="A7952" s="2"/>
      <c r="AM7952" s="2"/>
    </row>
    <row r="7953" spans="1:39">
      <c r="A7953" s="2"/>
      <c r="AM7953" s="2"/>
    </row>
    <row r="7954" spans="1:39">
      <c r="A7954" s="2"/>
      <c r="AM7954" s="2"/>
    </row>
    <row r="7955" spans="1:39">
      <c r="A7955" s="2"/>
      <c r="AM7955" s="2"/>
    </row>
    <row r="7956" spans="1:39">
      <c r="A7956" s="2"/>
      <c r="AM7956" s="2"/>
    </row>
    <row r="7957" spans="1:39">
      <c r="A7957" s="2"/>
      <c r="AM7957" s="2"/>
    </row>
    <row r="7958" spans="1:39">
      <c r="A7958" s="2"/>
      <c r="AM7958" s="2"/>
    </row>
    <row r="7959" spans="1:39">
      <c r="A7959" s="2"/>
      <c r="AM7959" s="2"/>
    </row>
    <row r="7960" spans="1:39">
      <c r="A7960" s="2"/>
      <c r="AM7960" s="2"/>
    </row>
    <row r="7961" spans="1:39">
      <c r="A7961" s="2"/>
      <c r="AM7961" s="2"/>
    </row>
    <row r="7962" spans="1:39">
      <c r="A7962" s="2"/>
      <c r="AM7962" s="2"/>
    </row>
    <row r="7963" spans="1:39">
      <c r="A7963" s="2"/>
      <c r="AM7963" s="2"/>
    </row>
    <row r="7964" spans="1:39">
      <c r="A7964" s="2"/>
      <c r="AM7964" s="2"/>
    </row>
    <row r="7965" spans="1:39">
      <c r="A7965" s="2"/>
      <c r="AM7965" s="2"/>
    </row>
    <row r="7966" spans="1:39">
      <c r="A7966" s="2"/>
      <c r="AM7966" s="2"/>
    </row>
    <row r="7967" spans="1:39">
      <c r="A7967" s="2"/>
      <c r="AM7967" s="2"/>
    </row>
    <row r="7968" spans="1:39">
      <c r="A7968" s="2"/>
      <c r="AM7968" s="2"/>
    </row>
    <row r="7969" spans="1:39">
      <c r="A7969" s="2"/>
      <c r="AM7969" s="2"/>
    </row>
    <row r="7970" spans="1:39">
      <c r="A7970" s="2"/>
      <c r="AM7970" s="2"/>
    </row>
    <row r="7971" spans="1:39">
      <c r="A7971" s="2"/>
      <c r="AM7971" s="2"/>
    </row>
    <row r="7972" spans="1:39">
      <c r="A7972" s="2"/>
      <c r="AM7972" s="2"/>
    </row>
    <row r="7973" spans="1:39">
      <c r="A7973" s="2"/>
      <c r="AM7973" s="2"/>
    </row>
    <row r="7974" spans="1:39">
      <c r="A7974" s="2"/>
      <c r="AM7974" s="2"/>
    </row>
    <row r="7975" spans="1:39">
      <c r="A7975" s="2"/>
      <c r="AM7975" s="2"/>
    </row>
    <row r="7976" spans="1:39">
      <c r="A7976" s="2"/>
      <c r="AM7976" s="2"/>
    </row>
    <row r="7977" spans="1:39">
      <c r="A7977" s="2"/>
      <c r="AM7977" s="2"/>
    </row>
    <row r="7978" spans="1:39">
      <c r="A7978" s="2"/>
      <c r="AM7978" s="2"/>
    </row>
    <row r="7979" spans="1:39">
      <c r="A7979" s="2"/>
      <c r="AM7979" s="2"/>
    </row>
    <row r="7980" spans="1:39">
      <c r="A7980" s="2"/>
      <c r="AM7980" s="2"/>
    </row>
    <row r="7981" spans="1:39">
      <c r="A7981" s="2"/>
      <c r="AM7981" s="2"/>
    </row>
    <row r="7982" spans="1:39">
      <c r="A7982" s="2"/>
      <c r="AM7982" s="2"/>
    </row>
    <row r="7983" spans="1:39">
      <c r="A7983" s="2"/>
      <c r="AM7983" s="2"/>
    </row>
    <row r="7984" spans="1:39">
      <c r="A7984" s="2"/>
      <c r="AM7984" s="2"/>
    </row>
    <row r="7985" spans="1:39">
      <c r="A7985" s="2"/>
      <c r="AM7985" s="2"/>
    </row>
    <row r="7986" spans="1:39">
      <c r="A7986" s="2"/>
      <c r="AM7986" s="2"/>
    </row>
    <row r="7987" spans="1:39">
      <c r="A7987" s="2"/>
      <c r="AM7987" s="2"/>
    </row>
    <row r="7988" spans="1:39">
      <c r="A7988" s="2"/>
      <c r="AM7988" s="2"/>
    </row>
    <row r="7989" spans="1:39">
      <c r="A7989" s="2"/>
      <c r="AM7989" s="2"/>
    </row>
    <row r="7990" spans="1:39">
      <c r="A7990" s="2"/>
      <c r="AM7990" s="2"/>
    </row>
    <row r="7991" spans="1:39">
      <c r="A7991" s="2"/>
      <c r="AM7991" s="2"/>
    </row>
    <row r="7992" spans="1:39">
      <c r="A7992" s="2"/>
      <c r="AM7992" s="2"/>
    </row>
    <row r="7993" spans="1:39">
      <c r="A7993" s="2"/>
      <c r="AM7993" s="2"/>
    </row>
    <row r="7994" spans="1:39">
      <c r="A7994" s="2"/>
      <c r="AM7994" s="2"/>
    </row>
    <row r="7995" spans="1:39">
      <c r="A7995" s="2"/>
      <c r="AM7995" s="2"/>
    </row>
    <row r="7996" spans="1:39">
      <c r="A7996" s="2"/>
      <c r="AM7996" s="2"/>
    </row>
    <row r="7997" spans="1:39">
      <c r="A7997" s="2"/>
      <c r="AM7997" s="2"/>
    </row>
    <row r="7998" spans="1:39">
      <c r="A7998" s="2"/>
      <c r="AM7998" s="2"/>
    </row>
    <row r="7999" spans="1:39">
      <c r="A7999" s="2"/>
      <c r="AM7999" s="2"/>
    </row>
    <row r="8000" spans="1:39">
      <c r="A8000" s="2"/>
      <c r="AM8000" s="2"/>
    </row>
    <row r="8001" spans="1:39">
      <c r="A8001" s="2"/>
      <c r="AM8001" s="2"/>
    </row>
    <row r="8002" spans="1:39">
      <c r="A8002" s="2"/>
      <c r="AM8002" s="2"/>
    </row>
    <row r="8003" spans="1:39">
      <c r="A8003" s="2"/>
      <c r="AM8003" s="2"/>
    </row>
    <row r="8004" spans="1:39">
      <c r="A8004" s="2"/>
      <c r="AM8004" s="2"/>
    </row>
    <row r="8005" spans="1:39">
      <c r="A8005" s="2"/>
      <c r="AM8005" s="2"/>
    </row>
    <row r="8006" spans="1:39">
      <c r="A8006" s="2"/>
      <c r="AM8006" s="2"/>
    </row>
    <row r="8007" spans="1:39">
      <c r="A8007" s="2"/>
      <c r="AM8007" s="2"/>
    </row>
    <row r="8008" spans="1:39">
      <c r="A8008" s="2"/>
      <c r="AM8008" s="2"/>
    </row>
    <row r="8009" spans="1:39">
      <c r="A8009" s="2"/>
      <c r="AM8009" s="2"/>
    </row>
    <row r="8010" spans="1:39">
      <c r="A8010" s="2"/>
      <c r="AM8010" s="2"/>
    </row>
    <row r="8011" spans="1:39">
      <c r="A8011" s="2"/>
      <c r="AM8011" s="2"/>
    </row>
    <row r="8012" spans="1:39">
      <c r="A8012" s="2"/>
      <c r="AM8012" s="2"/>
    </row>
    <row r="8013" spans="1:39">
      <c r="A8013" s="2"/>
      <c r="AM8013" s="2"/>
    </row>
    <row r="8014" spans="1:39">
      <c r="A8014" s="2"/>
      <c r="AM8014" s="2"/>
    </row>
    <row r="8015" spans="1:39">
      <c r="A8015" s="2"/>
      <c r="AM8015" s="2"/>
    </row>
    <row r="8016" spans="1:39">
      <c r="A8016" s="2"/>
      <c r="AM8016" s="2"/>
    </row>
    <row r="8017" spans="1:39">
      <c r="A8017" s="2"/>
      <c r="AM8017" s="2"/>
    </row>
    <row r="8018" spans="1:39">
      <c r="A8018" s="2"/>
      <c r="AM8018" s="2"/>
    </row>
    <row r="8019" spans="1:39">
      <c r="A8019" s="2"/>
      <c r="AM8019" s="2"/>
    </row>
    <row r="8020" spans="1:39">
      <c r="A8020" s="2"/>
      <c r="AM8020" s="2"/>
    </row>
    <row r="8021" spans="1:39">
      <c r="A8021" s="2"/>
      <c r="AM8021" s="2"/>
    </row>
    <row r="8022" spans="1:39">
      <c r="A8022" s="2"/>
      <c r="AM8022" s="2"/>
    </row>
    <row r="8023" spans="1:39">
      <c r="A8023" s="2"/>
      <c r="AM8023" s="2"/>
    </row>
    <row r="8024" spans="1:39">
      <c r="A8024" s="2"/>
      <c r="AM8024" s="2"/>
    </row>
    <row r="8025" spans="1:39">
      <c r="A8025" s="2"/>
      <c r="AM8025" s="2"/>
    </row>
    <row r="8026" spans="1:39">
      <c r="A8026" s="2"/>
      <c r="AM8026" s="2"/>
    </row>
    <row r="8027" spans="1:39">
      <c r="A8027" s="2"/>
      <c r="AM8027" s="2"/>
    </row>
    <row r="8028" spans="1:39">
      <c r="A8028" s="2"/>
      <c r="AM8028" s="2"/>
    </row>
    <row r="8029" spans="1:39">
      <c r="A8029" s="2"/>
      <c r="AM8029" s="2"/>
    </row>
    <row r="8030" spans="1:39">
      <c r="A8030" s="2"/>
      <c r="AM8030" s="2"/>
    </row>
    <row r="8031" spans="1:39">
      <c r="A8031" s="2"/>
      <c r="AM8031" s="2"/>
    </row>
    <row r="8032" spans="1:39">
      <c r="A8032" s="2"/>
      <c r="AM8032" s="2"/>
    </row>
    <row r="8033" spans="1:39">
      <c r="A8033" s="2"/>
      <c r="AM8033" s="2"/>
    </row>
    <row r="8034" spans="1:39">
      <c r="A8034" s="2"/>
      <c r="AM8034" s="2"/>
    </row>
    <row r="8035" spans="1:39">
      <c r="A8035" s="2"/>
      <c r="AM8035" s="2"/>
    </row>
    <row r="8036" spans="1:39">
      <c r="A8036" s="2"/>
      <c r="AM8036" s="2"/>
    </row>
    <row r="8037" spans="1:39">
      <c r="A8037" s="2"/>
      <c r="AM8037" s="2"/>
    </row>
    <row r="8038" spans="1:39">
      <c r="A8038" s="2"/>
      <c r="AM8038" s="2"/>
    </row>
    <row r="8039" spans="1:39">
      <c r="A8039" s="2"/>
      <c r="AM8039" s="2"/>
    </row>
    <row r="8040" spans="1:39">
      <c r="A8040" s="2"/>
      <c r="AM8040" s="2"/>
    </row>
    <row r="8041" spans="1:39">
      <c r="A8041" s="2"/>
      <c r="AM8041" s="2"/>
    </row>
    <row r="8042" spans="1:39">
      <c r="A8042" s="2"/>
      <c r="AM8042" s="2"/>
    </row>
    <row r="8043" spans="1:39">
      <c r="A8043" s="2"/>
      <c r="AM8043" s="2"/>
    </row>
    <row r="8044" spans="1:39">
      <c r="A8044" s="2"/>
      <c r="AM8044" s="2"/>
    </row>
    <row r="8045" spans="1:39">
      <c r="A8045" s="2"/>
      <c r="AM8045" s="2"/>
    </row>
    <row r="8046" spans="1:39">
      <c r="A8046" s="2"/>
      <c r="AM8046" s="2"/>
    </row>
    <row r="8047" spans="1:39">
      <c r="A8047" s="2"/>
      <c r="AM8047" s="2"/>
    </row>
    <row r="8048" spans="1:39">
      <c r="A8048" s="2"/>
      <c r="AM8048" s="2"/>
    </row>
    <row r="8049" spans="1:39">
      <c r="A8049" s="2"/>
      <c r="AM8049" s="2"/>
    </row>
    <row r="8050" spans="1:39">
      <c r="A8050" s="2"/>
      <c r="AM8050" s="2"/>
    </row>
    <row r="8051" spans="1:39">
      <c r="A8051" s="2"/>
      <c r="AM8051" s="2"/>
    </row>
    <row r="8052" spans="1:39">
      <c r="A8052" s="2"/>
      <c r="AM8052" s="2"/>
    </row>
    <row r="8053" spans="1:39">
      <c r="A8053" s="2"/>
      <c r="AM8053" s="2"/>
    </row>
    <row r="8054" spans="1:39">
      <c r="A8054" s="2"/>
      <c r="AM8054" s="2"/>
    </row>
    <row r="8055" spans="1:39">
      <c r="A8055" s="2"/>
      <c r="AM8055" s="2"/>
    </row>
    <row r="8056" spans="1:39">
      <c r="A8056" s="2"/>
      <c r="AM8056" s="2"/>
    </row>
    <row r="8057" spans="1:39">
      <c r="A8057" s="2"/>
      <c r="AM8057" s="2"/>
    </row>
    <row r="8058" spans="1:39">
      <c r="A8058" s="2"/>
      <c r="AM8058" s="2"/>
    </row>
    <row r="8059" spans="1:39">
      <c r="A8059" s="2"/>
      <c r="AM8059" s="2"/>
    </row>
    <row r="8060" spans="1:39">
      <c r="A8060" s="2"/>
      <c r="AM8060" s="2"/>
    </row>
    <row r="8061" spans="1:39">
      <c r="A8061" s="2"/>
      <c r="AM8061" s="2"/>
    </row>
    <row r="8062" spans="1:39">
      <c r="A8062" s="2"/>
      <c r="AM8062" s="2"/>
    </row>
    <row r="8063" spans="1:39">
      <c r="A8063" s="2"/>
      <c r="AM8063" s="2"/>
    </row>
    <row r="8064" spans="1:39">
      <c r="A8064" s="2"/>
      <c r="AM8064" s="2"/>
    </row>
    <row r="8065" spans="1:39">
      <c r="A8065" s="2"/>
      <c r="AM8065" s="2"/>
    </row>
    <row r="8066" spans="1:39">
      <c r="A8066" s="2"/>
      <c r="AM8066" s="2"/>
    </row>
    <row r="8067" spans="1:39">
      <c r="A8067" s="2"/>
      <c r="AM8067" s="2"/>
    </row>
    <row r="8068" spans="1:39">
      <c r="A8068" s="2"/>
      <c r="AM8068" s="2"/>
    </row>
    <row r="8069" spans="1:39">
      <c r="A8069" s="2"/>
      <c r="AM8069" s="2"/>
    </row>
    <row r="8070" spans="1:39">
      <c r="A8070" s="2"/>
      <c r="AM8070" s="2"/>
    </row>
    <row r="8071" spans="1:39">
      <c r="A8071" s="2"/>
      <c r="AM8071" s="2"/>
    </row>
    <row r="8072" spans="1:39">
      <c r="A8072" s="2"/>
      <c r="AM8072" s="2"/>
    </row>
    <row r="8073" spans="1:39">
      <c r="A8073" s="2"/>
      <c r="AM8073" s="2"/>
    </row>
    <row r="8074" spans="1:39">
      <c r="A8074" s="2"/>
      <c r="AM8074" s="2"/>
    </row>
    <row r="8075" spans="1:39">
      <c r="A8075" s="2"/>
      <c r="AM8075" s="2"/>
    </row>
    <row r="8076" spans="1:39">
      <c r="A8076" s="2"/>
      <c r="AM8076" s="2"/>
    </row>
    <row r="8077" spans="1:39">
      <c r="A8077" s="2"/>
      <c r="AM8077" s="2"/>
    </row>
    <row r="8078" spans="1:39">
      <c r="A8078" s="2"/>
      <c r="AM8078" s="2"/>
    </row>
    <row r="8079" spans="1:39">
      <c r="A8079" s="2"/>
      <c r="AM8079" s="2"/>
    </row>
    <row r="8080" spans="1:39">
      <c r="A8080" s="2"/>
      <c r="AM8080" s="2"/>
    </row>
    <row r="8081" spans="1:39">
      <c r="A8081" s="2"/>
      <c r="AM8081" s="2"/>
    </row>
    <row r="8082" spans="1:39">
      <c r="A8082" s="2"/>
      <c r="AM8082" s="2"/>
    </row>
    <row r="8083" spans="1:39">
      <c r="A8083" s="2"/>
      <c r="AM8083" s="2"/>
    </row>
    <row r="8084" spans="1:39">
      <c r="A8084" s="2"/>
      <c r="AM8084" s="2"/>
    </row>
    <row r="8085" spans="1:39">
      <c r="A8085" s="2"/>
      <c r="AM8085" s="2"/>
    </row>
    <row r="8086" spans="1:39">
      <c r="A8086" s="2"/>
      <c r="AM8086" s="2"/>
    </row>
    <row r="8087" spans="1:39">
      <c r="A8087" s="2"/>
      <c r="AM8087" s="2"/>
    </row>
    <row r="8088" spans="1:39">
      <c r="A8088" s="2"/>
      <c r="AM8088" s="2"/>
    </row>
    <row r="8089" spans="1:39">
      <c r="A8089" s="2"/>
      <c r="AM8089" s="2"/>
    </row>
    <row r="8090" spans="1:39">
      <c r="A8090" s="2"/>
      <c r="AM8090" s="2"/>
    </row>
    <row r="8091" spans="1:39">
      <c r="A8091" s="2"/>
      <c r="AM8091" s="2"/>
    </row>
    <row r="8092" spans="1:39">
      <c r="A8092" s="2"/>
      <c r="AM8092" s="2"/>
    </row>
    <row r="8093" spans="1:39">
      <c r="A8093" s="2"/>
      <c r="AM8093" s="2"/>
    </row>
    <row r="8094" spans="1:39">
      <c r="A8094" s="2"/>
      <c r="AM8094" s="2"/>
    </row>
    <row r="8095" spans="1:39">
      <c r="A8095" s="2"/>
      <c r="AM8095" s="2"/>
    </row>
    <row r="8096" spans="1:39">
      <c r="A8096" s="2"/>
      <c r="AM8096" s="2"/>
    </row>
    <row r="8097" spans="1:39">
      <c r="A8097" s="2"/>
      <c r="AM8097" s="2"/>
    </row>
    <row r="8098" spans="1:39">
      <c r="A8098" s="2"/>
      <c r="AM8098" s="2"/>
    </row>
    <row r="8099" spans="1:39">
      <c r="A8099" s="2"/>
      <c r="AM8099" s="2"/>
    </row>
    <row r="8100" spans="1:39">
      <c r="A8100" s="2"/>
      <c r="AM8100" s="2"/>
    </row>
    <row r="8101" spans="1:39">
      <c r="A8101" s="2"/>
      <c r="AM8101" s="2"/>
    </row>
    <row r="8102" spans="1:39">
      <c r="A8102" s="2"/>
      <c r="AM8102" s="2"/>
    </row>
    <row r="8103" spans="1:39">
      <c r="A8103" s="2"/>
      <c r="AM8103" s="2"/>
    </row>
    <row r="8104" spans="1:39">
      <c r="A8104" s="2"/>
      <c r="AM8104" s="2"/>
    </row>
    <row r="8105" spans="1:39">
      <c r="A8105" s="2"/>
      <c r="AM8105" s="2"/>
    </row>
    <row r="8106" spans="1:39">
      <c r="A8106" s="2"/>
      <c r="AM8106" s="2"/>
    </row>
    <row r="8107" spans="1:39">
      <c r="A8107" s="2"/>
      <c r="AM8107" s="2"/>
    </row>
    <row r="8108" spans="1:39">
      <c r="A8108" s="2"/>
      <c r="AM8108" s="2"/>
    </row>
    <row r="8109" spans="1:39">
      <c r="A8109" s="2"/>
      <c r="AM8109" s="2"/>
    </row>
    <row r="8110" spans="1:39">
      <c r="A8110" s="2"/>
      <c r="AM8110" s="2"/>
    </row>
    <row r="8111" spans="1:39">
      <c r="A8111" s="2"/>
      <c r="AM8111" s="2"/>
    </row>
    <row r="8112" spans="1:39">
      <c r="A8112" s="2"/>
      <c r="AM8112" s="2"/>
    </row>
    <row r="8113" spans="1:39">
      <c r="A8113" s="2"/>
      <c r="AM8113" s="2"/>
    </row>
    <row r="8114" spans="1:39">
      <c r="A8114" s="2"/>
      <c r="AM8114" s="2"/>
    </row>
    <row r="8115" spans="1:39">
      <c r="A8115" s="2"/>
      <c r="AM8115" s="2"/>
    </row>
    <row r="8116" spans="1:39">
      <c r="A8116" s="2"/>
      <c r="AM8116" s="2"/>
    </row>
    <row r="8117" spans="1:39">
      <c r="A8117" s="2"/>
      <c r="AM8117" s="2"/>
    </row>
    <row r="8118" spans="1:39">
      <c r="A8118" s="2"/>
      <c r="AM8118" s="2"/>
    </row>
    <row r="8119" spans="1:39">
      <c r="A8119" s="2"/>
      <c r="AM8119" s="2"/>
    </row>
    <row r="8120" spans="1:39">
      <c r="A8120" s="2"/>
      <c r="AM8120" s="2"/>
    </row>
    <row r="8121" spans="1:39">
      <c r="A8121" s="2"/>
      <c r="AM8121" s="2"/>
    </row>
    <row r="8122" spans="1:39">
      <c r="A8122" s="2"/>
      <c r="AM8122" s="2"/>
    </row>
    <row r="8123" spans="1:39">
      <c r="A8123" s="2"/>
      <c r="AM8123" s="2"/>
    </row>
    <row r="8124" spans="1:39">
      <c r="A8124" s="2"/>
      <c r="AM8124" s="2"/>
    </row>
    <row r="8125" spans="1:39">
      <c r="A8125" s="2"/>
      <c r="AM8125" s="2"/>
    </row>
    <row r="8126" spans="1:39">
      <c r="A8126" s="2"/>
      <c r="AM8126" s="2"/>
    </row>
    <row r="8127" spans="1:39">
      <c r="A8127" s="2"/>
      <c r="AM8127" s="2"/>
    </row>
    <row r="8128" spans="1:39">
      <c r="A8128" s="2"/>
      <c r="AM8128" s="2"/>
    </row>
    <row r="8129" spans="1:39">
      <c r="A8129" s="2"/>
      <c r="AM8129" s="2"/>
    </row>
    <row r="8130" spans="1:39">
      <c r="A8130" s="2"/>
      <c r="AM8130" s="2"/>
    </row>
    <row r="8131" spans="1:39">
      <c r="A8131" s="2"/>
      <c r="AM8131" s="2"/>
    </row>
    <row r="8132" spans="1:39">
      <c r="A8132" s="2"/>
      <c r="AM8132" s="2"/>
    </row>
    <row r="8133" spans="1:39">
      <c r="A8133" s="2"/>
      <c r="AM8133" s="2"/>
    </row>
    <row r="8134" spans="1:39">
      <c r="A8134" s="2"/>
      <c r="AM8134" s="2"/>
    </row>
    <row r="8135" spans="1:39">
      <c r="A8135" s="2"/>
      <c r="AM8135" s="2"/>
    </row>
    <row r="8136" spans="1:39">
      <c r="A8136" s="2"/>
      <c r="AM8136" s="2"/>
    </row>
    <row r="8137" spans="1:39">
      <c r="A8137" s="2"/>
      <c r="AM8137" s="2"/>
    </row>
    <row r="8138" spans="1:39">
      <c r="A8138" s="2"/>
      <c r="AM8138" s="2"/>
    </row>
    <row r="8139" spans="1:39">
      <c r="A8139" s="2"/>
      <c r="AM8139" s="2"/>
    </row>
    <row r="8140" spans="1:39">
      <c r="A8140" s="2"/>
      <c r="AM8140" s="2"/>
    </row>
    <row r="8141" spans="1:39">
      <c r="A8141" s="2"/>
      <c r="AM8141" s="2"/>
    </row>
    <row r="8142" spans="1:39">
      <c r="A8142" s="2"/>
      <c r="AM8142" s="2"/>
    </row>
    <row r="8143" spans="1:39">
      <c r="A8143" s="2"/>
      <c r="AM8143" s="2"/>
    </row>
    <row r="8144" spans="1:39">
      <c r="A8144" s="2"/>
      <c r="AM8144" s="2"/>
    </row>
    <row r="8145" spans="1:39">
      <c r="A8145" s="2"/>
      <c r="AM8145" s="2"/>
    </row>
    <row r="8146" spans="1:39">
      <c r="A8146" s="2"/>
      <c r="AM8146" s="2"/>
    </row>
    <row r="8147" spans="1:39">
      <c r="A8147" s="2"/>
      <c r="AM8147" s="2"/>
    </row>
    <row r="8148" spans="1:39">
      <c r="A8148" s="2"/>
      <c r="AM8148" s="2"/>
    </row>
    <row r="8149" spans="1:39">
      <c r="A8149" s="2"/>
      <c r="AM8149" s="2"/>
    </row>
    <row r="8150" spans="1:39">
      <c r="A8150" s="2"/>
      <c r="AM8150" s="2"/>
    </row>
    <row r="8151" spans="1:39">
      <c r="A8151" s="2"/>
      <c r="AM8151" s="2"/>
    </row>
    <row r="8152" spans="1:39">
      <c r="A8152" s="2"/>
      <c r="AM8152" s="2"/>
    </row>
    <row r="8153" spans="1:39">
      <c r="A8153" s="2"/>
      <c r="AM8153" s="2"/>
    </row>
    <row r="8154" spans="1:39">
      <c r="A8154" s="2"/>
      <c r="AM8154" s="2"/>
    </row>
    <row r="8155" spans="1:39">
      <c r="A8155" s="2"/>
      <c r="AM8155" s="2"/>
    </row>
    <row r="8156" spans="1:39">
      <c r="A8156" s="2"/>
      <c r="AM8156" s="2"/>
    </row>
    <row r="8157" spans="1:39">
      <c r="A8157" s="2"/>
      <c r="AM8157" s="2"/>
    </row>
    <row r="8158" spans="1:39">
      <c r="A8158" s="2"/>
      <c r="AM8158" s="2"/>
    </row>
    <row r="8159" spans="1:39">
      <c r="A8159" s="2"/>
      <c r="AM8159" s="2"/>
    </row>
    <row r="8160" spans="1:39">
      <c r="A8160" s="2"/>
      <c r="AM8160" s="2"/>
    </row>
    <row r="8161" spans="1:39">
      <c r="A8161" s="2"/>
      <c r="AM8161" s="2"/>
    </row>
    <row r="8162" spans="1:39">
      <c r="A8162" s="2"/>
      <c r="AM8162" s="2"/>
    </row>
    <row r="8163" spans="1:39">
      <c r="A8163" s="2"/>
      <c r="AM8163" s="2"/>
    </row>
    <row r="8164" spans="1:39">
      <c r="A8164" s="2"/>
      <c r="AM8164" s="2"/>
    </row>
    <row r="8165" spans="1:39">
      <c r="A8165" s="2"/>
      <c r="AM8165" s="2"/>
    </row>
    <row r="8166" spans="1:39">
      <c r="A8166" s="2"/>
      <c r="AM8166" s="2"/>
    </row>
    <row r="8167" spans="1:39">
      <c r="A8167" s="2"/>
      <c r="AM8167" s="2"/>
    </row>
    <row r="8168" spans="1:39">
      <c r="A8168" s="2"/>
      <c r="AM8168" s="2"/>
    </row>
    <row r="8169" spans="1:39">
      <c r="A8169" s="2"/>
      <c r="AM8169" s="2"/>
    </row>
    <row r="8170" spans="1:39">
      <c r="A8170" s="2"/>
      <c r="AM8170" s="2"/>
    </row>
    <row r="8171" spans="1:39">
      <c r="A8171" s="2"/>
      <c r="AM8171" s="2"/>
    </row>
    <row r="8172" spans="1:39">
      <c r="A8172" s="2"/>
      <c r="AM8172" s="2"/>
    </row>
    <row r="8173" spans="1:39">
      <c r="A8173" s="2"/>
      <c r="AM8173" s="2"/>
    </row>
    <row r="8174" spans="1:39">
      <c r="A8174" s="2"/>
      <c r="AM8174" s="2"/>
    </row>
    <row r="8175" spans="1:39">
      <c r="A8175" s="2"/>
      <c r="AM8175" s="2"/>
    </row>
    <row r="8176" spans="1:39">
      <c r="A8176" s="2"/>
      <c r="AM8176" s="2"/>
    </row>
    <row r="8177" spans="1:39">
      <c r="A8177" s="2"/>
      <c r="AM8177" s="2"/>
    </row>
    <row r="8178" spans="1:39">
      <c r="A8178" s="2"/>
      <c r="AM8178" s="2"/>
    </row>
    <row r="8179" spans="1:39">
      <c r="A8179" s="2"/>
      <c r="AM8179" s="2"/>
    </row>
    <row r="8180" spans="1:39">
      <c r="A8180" s="2"/>
      <c r="AM8180" s="2"/>
    </row>
    <row r="8181" spans="1:39">
      <c r="A8181" s="2"/>
      <c r="AM8181" s="2"/>
    </row>
    <row r="8182" spans="1:39">
      <c r="A8182" s="2"/>
      <c r="AM8182" s="2"/>
    </row>
    <row r="8183" spans="1:39">
      <c r="A8183" s="2"/>
      <c r="AM8183" s="2"/>
    </row>
    <row r="8184" spans="1:39">
      <c r="A8184" s="2"/>
      <c r="AM8184" s="2"/>
    </row>
    <row r="8185" spans="1:39">
      <c r="A8185" s="2"/>
      <c r="AM8185" s="2"/>
    </row>
    <row r="8186" spans="1:39">
      <c r="A8186" s="2"/>
      <c r="AM8186" s="2"/>
    </row>
    <row r="8187" spans="1:39">
      <c r="A8187" s="2"/>
      <c r="AM8187" s="2"/>
    </row>
    <row r="8188" spans="1:39">
      <c r="A8188" s="2"/>
      <c r="AM8188" s="2"/>
    </row>
    <row r="8189" spans="1:39">
      <c r="A8189" s="2"/>
      <c r="AM8189" s="2"/>
    </row>
    <row r="8190" spans="1:39">
      <c r="A8190" s="2"/>
      <c r="AM8190" s="2"/>
    </row>
    <row r="8191" spans="1:39">
      <c r="A8191" s="2"/>
      <c r="AM8191" s="2"/>
    </row>
    <row r="8192" spans="1:39">
      <c r="A8192" s="2"/>
      <c r="AM8192" s="2"/>
    </row>
    <row r="8193" spans="1:39">
      <c r="A8193" s="2"/>
      <c r="AM8193" s="2"/>
    </row>
    <row r="8194" spans="1:39">
      <c r="A8194" s="2"/>
      <c r="AM8194" s="2"/>
    </row>
    <row r="8195" spans="1:39">
      <c r="A8195" s="2"/>
      <c r="AM8195" s="2"/>
    </row>
    <row r="8196" spans="1:39">
      <c r="A8196" s="2"/>
      <c r="AM8196" s="2"/>
    </row>
    <row r="8197" spans="1:39">
      <c r="A8197" s="2"/>
      <c r="AM8197" s="2"/>
    </row>
    <row r="8198" spans="1:39">
      <c r="A8198" s="2"/>
      <c r="AM8198" s="2"/>
    </row>
    <row r="8199" spans="1:39">
      <c r="A8199" s="2"/>
      <c r="AM8199" s="2"/>
    </row>
    <row r="8200" spans="1:39">
      <c r="A8200" s="2"/>
      <c r="AM8200" s="2"/>
    </row>
    <row r="8201" spans="1:39">
      <c r="A8201" s="2"/>
      <c r="AM8201" s="2"/>
    </row>
    <row r="8202" spans="1:39">
      <c r="A8202" s="2"/>
      <c r="AM8202" s="2"/>
    </row>
    <row r="8203" spans="1:39">
      <c r="A8203" s="2"/>
      <c r="AM8203" s="2"/>
    </row>
    <row r="8204" spans="1:39">
      <c r="A8204" s="2"/>
      <c r="AM8204" s="2"/>
    </row>
    <row r="8205" spans="1:39">
      <c r="A8205" s="2"/>
      <c r="AM8205" s="2"/>
    </row>
    <row r="8206" spans="1:39">
      <c r="A8206" s="2"/>
      <c r="AM8206" s="2"/>
    </row>
    <row r="8207" spans="1:39">
      <c r="A8207" s="2"/>
      <c r="AM8207" s="2"/>
    </row>
    <row r="8208" spans="1:39">
      <c r="A8208" s="2"/>
      <c r="AM8208" s="2"/>
    </row>
    <row r="8209" spans="1:39">
      <c r="A8209" s="2"/>
      <c r="AM8209" s="2"/>
    </row>
    <row r="8210" spans="1:39">
      <c r="A8210" s="2"/>
      <c r="AM8210" s="2"/>
    </row>
    <row r="8211" spans="1:39">
      <c r="A8211" s="2"/>
      <c r="AM8211" s="2"/>
    </row>
    <row r="8212" spans="1:39">
      <c r="A8212" s="2"/>
      <c r="AM8212" s="2"/>
    </row>
    <row r="8213" spans="1:39">
      <c r="A8213" s="2"/>
      <c r="AM8213" s="2"/>
    </row>
    <row r="8214" spans="1:39">
      <c r="A8214" s="2"/>
      <c r="AM8214" s="2"/>
    </row>
    <row r="8215" spans="1:39">
      <c r="A8215" s="2"/>
      <c r="AM8215" s="2"/>
    </row>
    <row r="8216" spans="1:39">
      <c r="A8216" s="2"/>
      <c r="AM8216" s="2"/>
    </row>
    <row r="8217" spans="1:39">
      <c r="A8217" s="2"/>
      <c r="AM8217" s="2"/>
    </row>
    <row r="8218" spans="1:39">
      <c r="A8218" s="2"/>
      <c r="AM8218" s="2"/>
    </row>
    <row r="8219" spans="1:39">
      <c r="A8219" s="2"/>
      <c r="AM8219" s="2"/>
    </row>
    <row r="8220" spans="1:39">
      <c r="A8220" s="2"/>
      <c r="AM8220" s="2"/>
    </row>
    <row r="8221" spans="1:39">
      <c r="A8221" s="2"/>
      <c r="AM8221" s="2"/>
    </row>
    <row r="8222" spans="1:39">
      <c r="A8222" s="2"/>
      <c r="AM8222" s="2"/>
    </row>
    <row r="8223" spans="1:39">
      <c r="A8223" s="2"/>
      <c r="AM8223" s="2"/>
    </row>
    <row r="8224" spans="1:39">
      <c r="A8224" s="2"/>
      <c r="AM8224" s="2"/>
    </row>
    <row r="8225" spans="1:39">
      <c r="A8225" s="2"/>
      <c r="AM8225" s="2"/>
    </row>
    <row r="8226" spans="1:39">
      <c r="A8226" s="2"/>
      <c r="AM8226" s="2"/>
    </row>
    <row r="8227" spans="1:39">
      <c r="A8227" s="2"/>
      <c r="AM8227" s="2"/>
    </row>
    <row r="8228" spans="1:39">
      <c r="A8228" s="2"/>
      <c r="AM8228" s="2"/>
    </row>
    <row r="8229" spans="1:39">
      <c r="A8229" s="2"/>
      <c r="AM8229" s="2"/>
    </row>
    <row r="8230" spans="1:39">
      <c r="A8230" s="2"/>
      <c r="AM8230" s="2"/>
    </row>
    <row r="8231" spans="1:39">
      <c r="A8231" s="2"/>
      <c r="AM8231" s="2"/>
    </row>
    <row r="8232" spans="1:39">
      <c r="A8232" s="2"/>
      <c r="AM8232" s="2"/>
    </row>
    <row r="8233" spans="1:39">
      <c r="A8233" s="2"/>
      <c r="AM8233" s="2"/>
    </row>
    <row r="8234" spans="1:39">
      <c r="A8234" s="2"/>
      <c r="AM8234" s="2"/>
    </row>
    <row r="8235" spans="1:39">
      <c r="A8235" s="2"/>
      <c r="AM8235" s="2"/>
    </row>
    <row r="8236" spans="1:39">
      <c r="A8236" s="2"/>
      <c r="AM8236" s="2"/>
    </row>
    <row r="8237" spans="1:39">
      <c r="A8237" s="2"/>
      <c r="AM8237" s="2"/>
    </row>
    <row r="8238" spans="1:39">
      <c r="A8238" s="2"/>
      <c r="AM8238" s="2"/>
    </row>
    <row r="8239" spans="1:39">
      <c r="A8239" s="2"/>
      <c r="AM8239" s="2"/>
    </row>
    <row r="8240" spans="1:39">
      <c r="A8240" s="2"/>
      <c r="AM8240" s="2"/>
    </row>
    <row r="8241" spans="1:39">
      <c r="A8241" s="2"/>
      <c r="AM8241" s="2"/>
    </row>
    <row r="8242" spans="1:39">
      <c r="A8242" s="2"/>
      <c r="AM8242" s="2"/>
    </row>
    <row r="8243" spans="1:39">
      <c r="A8243" s="2"/>
      <c r="AM8243" s="2"/>
    </row>
    <row r="8244" spans="1:39">
      <c r="A8244" s="2"/>
      <c r="AM8244" s="2"/>
    </row>
    <row r="8245" spans="1:39">
      <c r="A8245" s="2"/>
      <c r="AM8245" s="2"/>
    </row>
    <row r="8246" spans="1:39">
      <c r="A8246" s="2"/>
      <c r="AM8246" s="2"/>
    </row>
    <row r="8247" spans="1:39">
      <c r="A8247" s="2"/>
      <c r="AM8247" s="2"/>
    </row>
    <row r="8248" spans="1:39">
      <c r="A8248" s="2"/>
      <c r="AM8248" s="2"/>
    </row>
    <row r="8249" spans="1:39">
      <c r="A8249" s="2"/>
      <c r="AM8249" s="2"/>
    </row>
    <row r="8250" spans="1:39">
      <c r="A8250" s="2"/>
      <c r="AM8250" s="2"/>
    </row>
    <row r="8251" spans="1:39">
      <c r="A8251" s="2"/>
      <c r="AM8251" s="2"/>
    </row>
    <row r="8252" spans="1:39">
      <c r="A8252" s="2"/>
      <c r="AM8252" s="2"/>
    </row>
    <row r="8253" spans="1:39">
      <c r="A8253" s="2"/>
      <c r="AM8253" s="2"/>
    </row>
    <row r="8254" spans="1:39">
      <c r="A8254" s="2"/>
      <c r="AM8254" s="2"/>
    </row>
    <row r="8255" spans="1:39">
      <c r="A8255" s="2"/>
      <c r="AM8255" s="2"/>
    </row>
    <row r="8256" spans="1:39">
      <c r="A8256" s="2"/>
      <c r="AM8256" s="2"/>
    </row>
    <row r="8257" spans="1:39">
      <c r="A8257" s="2"/>
      <c r="AM8257" s="2"/>
    </row>
    <row r="8258" spans="1:39">
      <c r="A8258" s="2"/>
      <c r="AM8258" s="2"/>
    </row>
    <row r="8259" spans="1:39">
      <c r="A8259" s="2"/>
      <c r="AM8259" s="2"/>
    </row>
    <row r="8260" spans="1:39">
      <c r="A8260" s="2"/>
      <c r="AM8260" s="2"/>
    </row>
    <row r="8261" spans="1:39">
      <c r="A8261" s="2"/>
      <c r="AM8261" s="2"/>
    </row>
    <row r="8262" spans="1:39">
      <c r="A8262" s="2"/>
      <c r="AM8262" s="2"/>
    </row>
    <row r="8263" spans="1:39">
      <c r="A8263" s="2"/>
      <c r="AM8263" s="2"/>
    </row>
    <row r="8264" spans="1:39">
      <c r="A8264" s="2"/>
      <c r="AM8264" s="2"/>
    </row>
    <row r="8265" spans="1:39">
      <c r="A8265" s="2"/>
      <c r="AM8265" s="2"/>
    </row>
    <row r="8266" spans="1:39">
      <c r="A8266" s="2"/>
      <c r="AM8266" s="2"/>
    </row>
    <row r="8267" spans="1:39">
      <c r="A8267" s="2"/>
      <c r="AM8267" s="2"/>
    </row>
    <row r="8268" spans="1:39">
      <c r="A8268" s="2"/>
      <c r="AM8268" s="2"/>
    </row>
    <row r="8269" spans="1:39">
      <c r="A8269" s="2"/>
      <c r="AM8269" s="2"/>
    </row>
    <row r="8270" spans="1:39">
      <c r="A8270" s="2"/>
      <c r="AM8270" s="2"/>
    </row>
    <row r="8271" spans="1:39">
      <c r="A8271" s="2"/>
      <c r="AM8271" s="2"/>
    </row>
    <row r="8272" spans="1:39">
      <c r="A8272" s="2"/>
      <c r="AM8272" s="2"/>
    </row>
    <row r="8273" spans="1:39">
      <c r="A8273" s="2"/>
      <c r="AM8273" s="2"/>
    </row>
    <row r="8274" spans="1:39">
      <c r="A8274" s="2"/>
      <c r="AM8274" s="2"/>
    </row>
    <row r="8275" spans="1:39">
      <c r="A8275" s="2"/>
      <c r="AM8275" s="2"/>
    </row>
    <row r="8276" spans="1:39">
      <c r="A8276" s="2"/>
      <c r="AM8276" s="2"/>
    </row>
    <row r="8277" spans="1:39">
      <c r="A8277" s="2"/>
      <c r="AM8277" s="2"/>
    </row>
    <row r="8278" spans="1:39">
      <c r="A8278" s="2"/>
      <c r="AM8278" s="2"/>
    </row>
    <row r="8279" spans="1:39">
      <c r="A8279" s="2"/>
      <c r="AM8279" s="2"/>
    </row>
    <row r="8280" spans="1:39">
      <c r="A8280" s="2"/>
      <c r="AM8280" s="2"/>
    </row>
    <row r="8281" spans="1:39">
      <c r="A8281" s="2"/>
      <c r="AM8281" s="2"/>
    </row>
    <row r="8282" spans="1:39">
      <c r="A8282" s="2"/>
      <c r="AM8282" s="2"/>
    </row>
    <row r="8283" spans="1:39">
      <c r="A8283" s="2"/>
      <c r="AM8283" s="2"/>
    </row>
    <row r="8284" spans="1:39">
      <c r="A8284" s="2"/>
      <c r="AM8284" s="2"/>
    </row>
    <row r="8285" spans="1:39">
      <c r="A8285" s="2"/>
      <c r="AM8285" s="2"/>
    </row>
    <row r="8286" spans="1:39">
      <c r="A8286" s="2"/>
      <c r="AM8286" s="2"/>
    </row>
    <row r="8287" spans="1:39">
      <c r="A8287" s="2"/>
      <c r="AM8287" s="2"/>
    </row>
    <row r="8288" spans="1:39">
      <c r="A8288" s="2"/>
      <c r="AM8288" s="2"/>
    </row>
    <row r="8289" spans="1:39">
      <c r="A8289" s="2"/>
      <c r="AM8289" s="2"/>
    </row>
    <row r="8290" spans="1:39">
      <c r="A8290" s="2"/>
      <c r="AM8290" s="2"/>
    </row>
    <row r="8291" spans="1:39">
      <c r="A8291" s="2"/>
      <c r="AM8291" s="2"/>
    </row>
    <row r="8292" spans="1:39">
      <c r="A8292" s="2"/>
      <c r="AM8292" s="2"/>
    </row>
    <row r="8293" spans="1:39">
      <c r="A8293" s="2"/>
      <c r="AM8293" s="2"/>
    </row>
    <row r="8294" spans="1:39">
      <c r="A8294" s="2"/>
      <c r="AM8294" s="2"/>
    </row>
    <row r="8295" spans="1:39">
      <c r="A8295" s="2"/>
      <c r="AM8295" s="2"/>
    </row>
    <row r="8296" spans="1:39">
      <c r="A8296" s="2"/>
      <c r="AM8296" s="2"/>
    </row>
    <row r="8297" spans="1:39">
      <c r="A8297" s="2"/>
      <c r="AM8297" s="2"/>
    </row>
    <row r="8298" spans="1:39">
      <c r="A8298" s="2"/>
      <c r="AM8298" s="2"/>
    </row>
    <row r="8299" spans="1:39">
      <c r="A8299" s="2"/>
      <c r="AM8299" s="2"/>
    </row>
    <row r="8300" spans="1:39">
      <c r="A8300" s="2"/>
      <c r="AM8300" s="2"/>
    </row>
    <row r="8301" spans="1:39">
      <c r="A8301" s="2"/>
      <c r="AM8301" s="2"/>
    </row>
    <row r="8302" spans="1:39">
      <c r="A8302" s="2"/>
      <c r="AM8302" s="2"/>
    </row>
    <row r="8303" spans="1:39">
      <c r="A8303" s="2"/>
      <c r="AM8303" s="2"/>
    </row>
    <row r="8304" spans="1:39">
      <c r="A8304" s="2"/>
      <c r="AM8304" s="2"/>
    </row>
    <row r="8305" spans="1:39">
      <c r="A8305" s="2"/>
      <c r="AM8305" s="2"/>
    </row>
    <row r="8306" spans="1:39">
      <c r="A8306" s="2"/>
      <c r="AM8306" s="2"/>
    </row>
    <row r="8307" spans="1:39">
      <c r="A8307" s="2"/>
      <c r="AM8307" s="2"/>
    </row>
    <row r="8308" spans="1:39">
      <c r="A8308" s="2"/>
      <c r="AM8308" s="2"/>
    </row>
    <row r="8309" spans="1:39">
      <c r="A8309" s="2"/>
      <c r="AM8309" s="2"/>
    </row>
    <row r="8310" spans="1:39">
      <c r="A8310" s="2"/>
      <c r="AM8310" s="2"/>
    </row>
    <row r="8311" spans="1:39">
      <c r="A8311" s="2"/>
      <c r="AM8311" s="2"/>
    </row>
    <row r="8312" spans="1:39">
      <c r="A8312" s="2"/>
      <c r="AM8312" s="2"/>
    </row>
    <row r="8313" spans="1:39">
      <c r="A8313" s="2"/>
      <c r="AM8313" s="2"/>
    </row>
    <row r="8314" spans="1:39">
      <c r="A8314" s="2"/>
      <c r="AM8314" s="2"/>
    </row>
    <row r="8315" spans="1:39">
      <c r="A8315" s="2"/>
      <c r="AM8315" s="2"/>
    </row>
    <row r="8316" spans="1:39">
      <c r="A8316" s="2"/>
      <c r="AM8316" s="2"/>
    </row>
    <row r="8317" spans="1:39">
      <c r="A8317" s="2"/>
      <c r="AM8317" s="2"/>
    </row>
    <row r="8318" spans="1:39">
      <c r="A8318" s="2"/>
      <c r="AM8318" s="2"/>
    </row>
    <row r="8319" spans="1:39">
      <c r="A8319" s="2"/>
      <c r="AM8319" s="2"/>
    </row>
    <row r="8320" spans="1:39">
      <c r="A8320" s="2"/>
      <c r="AM8320" s="2"/>
    </row>
    <row r="8321" spans="1:39">
      <c r="A8321" s="2"/>
      <c r="AM8321" s="2"/>
    </row>
    <row r="8322" spans="1:39">
      <c r="A8322" s="2"/>
      <c r="AM8322" s="2"/>
    </row>
    <row r="8323" spans="1:39">
      <c r="A8323" s="2"/>
      <c r="AM8323" s="2"/>
    </row>
    <row r="8324" spans="1:39">
      <c r="A8324" s="2"/>
      <c r="AM8324" s="2"/>
    </row>
    <row r="8325" spans="1:39">
      <c r="A8325" s="2"/>
      <c r="AM8325" s="2"/>
    </row>
    <row r="8326" spans="1:39">
      <c r="A8326" s="2"/>
      <c r="AM8326" s="2"/>
    </row>
    <row r="8327" spans="1:39">
      <c r="A8327" s="2"/>
      <c r="AM8327" s="2"/>
    </row>
    <row r="8328" spans="1:39">
      <c r="A8328" s="2"/>
      <c r="AM8328" s="2"/>
    </row>
    <row r="8329" spans="1:39">
      <c r="A8329" s="2"/>
      <c r="AM8329" s="2"/>
    </row>
    <row r="8330" spans="1:39">
      <c r="A8330" s="2"/>
      <c r="AM8330" s="2"/>
    </row>
    <row r="8331" spans="1:39">
      <c r="A8331" s="2"/>
      <c r="AM8331" s="2"/>
    </row>
    <row r="8332" spans="1:39">
      <c r="A8332" s="2"/>
      <c r="AM8332" s="2"/>
    </row>
    <row r="8333" spans="1:39">
      <c r="A8333" s="2"/>
      <c r="AM8333" s="2"/>
    </row>
    <row r="8334" spans="1:39">
      <c r="A8334" s="2"/>
      <c r="AM8334" s="2"/>
    </row>
    <row r="8335" spans="1:39">
      <c r="A8335" s="2"/>
      <c r="AM8335" s="2"/>
    </row>
    <row r="8336" spans="1:39">
      <c r="A8336" s="2"/>
      <c r="AM8336" s="2"/>
    </row>
    <row r="8337" spans="1:39">
      <c r="A8337" s="2"/>
      <c r="AM8337" s="2"/>
    </row>
    <row r="8338" spans="1:39">
      <c r="A8338" s="2"/>
      <c r="AM8338" s="2"/>
    </row>
    <row r="8339" spans="1:39">
      <c r="A8339" s="2"/>
      <c r="AM8339" s="2"/>
    </row>
    <row r="8340" spans="1:39">
      <c r="A8340" s="2"/>
      <c r="AM8340" s="2"/>
    </row>
    <row r="8341" spans="1:39">
      <c r="A8341" s="2"/>
      <c r="AM8341" s="2"/>
    </row>
    <row r="8342" spans="1:39">
      <c r="A8342" s="2"/>
      <c r="AM8342" s="2"/>
    </row>
    <row r="8343" spans="1:39">
      <c r="A8343" s="2"/>
      <c r="AM8343" s="2"/>
    </row>
    <row r="8344" spans="1:39">
      <c r="A8344" s="2"/>
      <c r="AM8344" s="2"/>
    </row>
    <row r="8345" spans="1:39">
      <c r="A8345" s="2"/>
      <c r="AM8345" s="2"/>
    </row>
    <row r="8346" spans="1:39">
      <c r="A8346" s="2"/>
      <c r="AM8346" s="2"/>
    </row>
    <row r="8347" spans="1:39">
      <c r="A8347" s="2"/>
      <c r="AM8347" s="2"/>
    </row>
    <row r="8348" spans="1:39">
      <c r="A8348" s="2"/>
      <c r="AM8348" s="2"/>
    </row>
    <row r="8349" spans="1:39">
      <c r="A8349" s="2"/>
      <c r="AM8349" s="2"/>
    </row>
    <row r="8350" spans="1:39">
      <c r="A8350" s="2"/>
      <c r="AM8350" s="2"/>
    </row>
    <row r="8351" spans="1:39">
      <c r="A8351" s="2"/>
      <c r="AM8351" s="2"/>
    </row>
    <row r="8352" spans="1:39">
      <c r="A8352" s="2"/>
      <c r="AM8352" s="2"/>
    </row>
    <row r="8353" spans="1:39">
      <c r="A8353" s="2"/>
      <c r="AM8353" s="2"/>
    </row>
    <row r="8354" spans="1:39">
      <c r="A8354" s="2"/>
      <c r="AM8354" s="2"/>
    </row>
    <row r="8355" spans="1:39">
      <c r="A8355" s="2"/>
      <c r="AM8355" s="2"/>
    </row>
    <row r="8356" spans="1:39">
      <c r="A8356" s="2"/>
      <c r="AM8356" s="2"/>
    </row>
    <row r="8357" spans="1:39">
      <c r="A8357" s="2"/>
      <c r="AM8357" s="2"/>
    </row>
    <row r="8358" spans="1:39">
      <c r="A8358" s="2"/>
      <c r="AM8358" s="2"/>
    </row>
    <row r="8359" spans="1:39">
      <c r="A8359" s="2"/>
      <c r="AM8359" s="2"/>
    </row>
    <row r="8360" spans="1:39">
      <c r="A8360" s="2"/>
      <c r="AM8360" s="2"/>
    </row>
    <row r="8361" spans="1:39">
      <c r="A8361" s="2"/>
      <c r="AM8361" s="2"/>
    </row>
    <row r="8362" spans="1:39">
      <c r="A8362" s="2"/>
      <c r="AM8362" s="2"/>
    </row>
    <row r="8363" spans="1:39">
      <c r="A8363" s="2"/>
      <c r="AM8363" s="2"/>
    </row>
    <row r="8364" spans="1:39">
      <c r="A8364" s="2"/>
      <c r="AM8364" s="2"/>
    </row>
    <row r="8365" spans="1:39">
      <c r="A8365" s="2"/>
      <c r="AM8365" s="2"/>
    </row>
    <row r="8366" spans="1:39">
      <c r="A8366" s="2"/>
      <c r="AM8366" s="2"/>
    </row>
    <row r="8367" spans="1:39">
      <c r="A8367" s="2"/>
      <c r="AM8367" s="2"/>
    </row>
    <row r="8368" spans="1:39">
      <c r="A8368" s="2"/>
      <c r="AM8368" s="2"/>
    </row>
    <row r="8369" spans="1:39">
      <c r="A8369" s="2"/>
      <c r="AM8369" s="2"/>
    </row>
    <row r="8370" spans="1:39">
      <c r="A8370" s="2"/>
      <c r="AM8370" s="2"/>
    </row>
    <row r="8371" spans="1:39">
      <c r="A8371" s="2"/>
      <c r="AM8371" s="2"/>
    </row>
    <row r="8372" spans="1:39">
      <c r="A8372" s="2"/>
      <c r="AM8372" s="2"/>
    </row>
    <row r="8373" spans="1:39">
      <c r="A8373" s="2"/>
      <c r="AM8373" s="2"/>
    </row>
    <row r="8374" spans="1:39">
      <c r="A8374" s="2"/>
      <c r="AM8374" s="2"/>
    </row>
    <row r="8375" spans="1:39">
      <c r="A8375" s="2"/>
      <c r="AM8375" s="2"/>
    </row>
    <row r="8376" spans="1:39">
      <c r="A8376" s="2"/>
      <c r="AM8376" s="2"/>
    </row>
    <row r="8377" spans="1:39">
      <c r="A8377" s="2"/>
      <c r="AM8377" s="2"/>
    </row>
    <row r="8378" spans="1:39">
      <c r="A8378" s="2"/>
      <c r="AM8378" s="2"/>
    </row>
    <row r="8379" spans="1:39">
      <c r="A8379" s="2"/>
      <c r="AM8379" s="2"/>
    </row>
    <row r="8380" spans="1:39">
      <c r="A8380" s="2"/>
      <c r="AM8380" s="2"/>
    </row>
    <row r="8381" spans="1:39">
      <c r="A8381" s="2"/>
      <c r="AM8381" s="2"/>
    </row>
    <row r="8382" spans="1:39">
      <c r="A8382" s="2"/>
      <c r="AM8382" s="2"/>
    </row>
    <row r="8383" spans="1:39">
      <c r="A8383" s="2"/>
      <c r="AM8383" s="2"/>
    </row>
    <row r="8384" spans="1:39">
      <c r="A8384" s="2"/>
      <c r="AM8384" s="2"/>
    </row>
    <row r="8385" spans="1:39">
      <c r="A8385" s="2"/>
      <c r="AM8385" s="2"/>
    </row>
    <row r="8386" spans="1:39">
      <c r="A8386" s="2"/>
      <c r="AM8386" s="2"/>
    </row>
    <row r="8387" spans="1:39">
      <c r="A8387" s="2"/>
      <c r="AM8387" s="2"/>
    </row>
    <row r="8388" spans="1:39">
      <c r="A8388" s="2"/>
      <c r="AM8388" s="2"/>
    </row>
    <row r="8389" spans="1:39">
      <c r="A8389" s="2"/>
      <c r="AM8389" s="2"/>
    </row>
    <row r="8390" spans="1:39">
      <c r="A8390" s="2"/>
      <c r="AM8390" s="2"/>
    </row>
    <row r="8391" spans="1:39">
      <c r="A8391" s="2"/>
      <c r="AM8391" s="2"/>
    </row>
    <row r="8392" spans="1:39">
      <c r="A8392" s="2"/>
      <c r="AM8392" s="2"/>
    </row>
    <row r="8393" spans="1:39">
      <c r="A8393" s="2"/>
      <c r="AM8393" s="2"/>
    </row>
    <row r="8394" spans="1:39">
      <c r="A8394" s="2"/>
      <c r="AM8394" s="2"/>
    </row>
    <row r="8395" spans="1:39">
      <c r="A8395" s="2"/>
      <c r="AM8395" s="2"/>
    </row>
    <row r="8396" spans="1:39">
      <c r="A8396" s="2"/>
      <c r="AM8396" s="2"/>
    </row>
    <row r="8397" spans="1:39">
      <c r="A8397" s="2"/>
      <c r="AM8397" s="2"/>
    </row>
    <row r="8398" spans="1:39">
      <c r="A8398" s="2"/>
      <c r="AM8398" s="2"/>
    </row>
    <row r="8399" spans="1:39">
      <c r="A8399" s="2"/>
      <c r="AM8399" s="2"/>
    </row>
    <row r="8400" spans="1:39">
      <c r="A8400" s="2"/>
      <c r="AM8400" s="2"/>
    </row>
    <row r="8401" spans="1:39">
      <c r="A8401" s="2"/>
      <c r="AM8401" s="2"/>
    </row>
    <row r="8402" spans="1:39">
      <c r="A8402" s="2"/>
      <c r="AM8402" s="2"/>
    </row>
    <row r="8403" spans="1:39">
      <c r="A8403" s="2"/>
      <c r="AM8403" s="2"/>
    </row>
    <row r="8404" spans="1:39">
      <c r="A8404" s="2"/>
      <c r="AM8404" s="2"/>
    </row>
    <row r="8405" spans="1:39">
      <c r="A8405" s="2"/>
      <c r="AM8405" s="2"/>
    </row>
    <row r="8406" spans="1:39">
      <c r="A8406" s="2"/>
      <c r="AM8406" s="2"/>
    </row>
    <row r="8407" spans="1:39">
      <c r="A8407" s="2"/>
      <c r="AM8407" s="2"/>
    </row>
    <row r="8408" spans="1:39">
      <c r="A8408" s="2"/>
      <c r="AM8408" s="2"/>
    </row>
    <row r="8409" spans="1:39">
      <c r="A8409" s="2"/>
      <c r="AM8409" s="2"/>
    </row>
    <row r="8410" spans="1:39">
      <c r="A8410" s="2"/>
      <c r="AM8410" s="2"/>
    </row>
    <row r="8411" spans="1:39">
      <c r="A8411" s="2"/>
      <c r="AM8411" s="2"/>
    </row>
    <row r="8412" spans="1:39">
      <c r="A8412" s="2"/>
      <c r="AM8412" s="2"/>
    </row>
    <row r="8413" spans="1:39">
      <c r="A8413" s="2"/>
      <c r="AM8413" s="2"/>
    </row>
    <row r="8414" spans="1:39">
      <c r="A8414" s="2"/>
      <c r="AM8414" s="2"/>
    </row>
    <row r="8415" spans="1:39">
      <c r="A8415" s="2"/>
      <c r="AM8415" s="2"/>
    </row>
    <row r="8416" spans="1:39">
      <c r="A8416" s="2"/>
      <c r="AM8416" s="2"/>
    </row>
    <row r="8417" spans="1:39">
      <c r="A8417" s="2"/>
      <c r="AM8417" s="2"/>
    </row>
    <row r="8418" spans="1:39">
      <c r="A8418" s="2"/>
      <c r="AM8418" s="2"/>
    </row>
    <row r="8419" spans="1:39">
      <c r="A8419" s="2"/>
      <c r="AM8419" s="2"/>
    </row>
    <row r="8420" spans="1:39">
      <c r="A8420" s="2"/>
      <c r="AM8420" s="2"/>
    </row>
    <row r="8421" spans="1:39">
      <c r="A8421" s="2"/>
      <c r="AM8421" s="2"/>
    </row>
    <row r="8422" spans="1:39">
      <c r="A8422" s="2"/>
      <c r="AM8422" s="2"/>
    </row>
    <row r="8423" spans="1:39">
      <c r="A8423" s="2"/>
      <c r="AM8423" s="2"/>
    </row>
    <row r="8424" spans="1:39">
      <c r="A8424" s="2"/>
      <c r="AM8424" s="2"/>
    </row>
    <row r="8425" spans="1:39">
      <c r="A8425" s="2"/>
      <c r="AM8425" s="2"/>
    </row>
    <row r="8426" spans="1:39">
      <c r="A8426" s="2"/>
      <c r="AM8426" s="2"/>
    </row>
    <row r="8427" spans="1:39">
      <c r="A8427" s="2"/>
      <c r="AM8427" s="2"/>
    </row>
    <row r="8428" spans="1:39">
      <c r="A8428" s="2"/>
      <c r="AM8428" s="2"/>
    </row>
    <row r="8429" spans="1:39">
      <c r="A8429" s="2"/>
      <c r="AM8429" s="2"/>
    </row>
    <row r="8430" spans="1:39">
      <c r="A8430" s="2"/>
      <c r="AM8430" s="2"/>
    </row>
    <row r="8431" spans="1:39">
      <c r="A8431" s="2"/>
      <c r="AM8431" s="2"/>
    </row>
    <row r="8432" spans="1:39">
      <c r="A8432" s="2"/>
      <c r="AM8432" s="2"/>
    </row>
    <row r="8433" spans="1:39">
      <c r="A8433" s="2"/>
      <c r="AM8433" s="2"/>
    </row>
    <row r="8434" spans="1:39">
      <c r="A8434" s="2"/>
      <c r="AM8434" s="2"/>
    </row>
    <row r="8435" spans="1:39">
      <c r="A8435" s="2"/>
      <c r="AM8435" s="2"/>
    </row>
    <row r="8436" spans="1:39">
      <c r="A8436" s="2"/>
      <c r="AM8436" s="2"/>
    </row>
    <row r="8437" spans="1:39">
      <c r="A8437" s="2"/>
      <c r="AM8437" s="2"/>
    </row>
    <row r="8438" spans="1:39">
      <c r="A8438" s="2"/>
      <c r="AM8438" s="2"/>
    </row>
    <row r="8439" spans="1:39">
      <c r="A8439" s="2"/>
      <c r="AM8439" s="2"/>
    </row>
    <row r="8440" spans="1:39">
      <c r="A8440" s="2"/>
      <c r="AM8440" s="2"/>
    </row>
    <row r="8441" spans="1:39">
      <c r="A8441" s="2"/>
      <c r="AM8441" s="2"/>
    </row>
    <row r="8442" spans="1:39">
      <c r="A8442" s="2"/>
      <c r="AM8442" s="2"/>
    </row>
    <row r="8443" spans="1:39">
      <c r="A8443" s="2"/>
      <c r="AM8443" s="2"/>
    </row>
    <row r="8444" spans="1:39">
      <c r="A8444" s="2"/>
      <c r="AM8444" s="2"/>
    </row>
    <row r="8445" spans="1:39">
      <c r="A8445" s="2"/>
      <c r="AM8445" s="2"/>
    </row>
    <row r="8446" spans="1:39">
      <c r="A8446" s="2"/>
      <c r="AM8446" s="2"/>
    </row>
    <row r="8447" spans="1:39">
      <c r="A8447" s="2"/>
      <c r="AM8447" s="2"/>
    </row>
    <row r="8448" spans="1:39">
      <c r="A8448" s="2"/>
      <c r="AM8448" s="2"/>
    </row>
    <row r="8449" spans="1:39">
      <c r="A8449" s="2"/>
      <c r="AM8449" s="2"/>
    </row>
    <row r="8450" spans="1:39">
      <c r="A8450" s="2"/>
      <c r="AM8450" s="2"/>
    </row>
    <row r="8451" spans="1:39">
      <c r="A8451" s="2"/>
      <c r="AM8451" s="2"/>
    </row>
    <row r="8452" spans="1:39">
      <c r="A8452" s="2"/>
      <c r="AM8452" s="2"/>
    </row>
    <row r="8453" spans="1:39">
      <c r="A8453" s="2"/>
      <c r="AM8453" s="2"/>
    </row>
    <row r="8454" spans="1:39">
      <c r="A8454" s="2"/>
      <c r="AM8454" s="2"/>
    </row>
    <row r="8455" spans="1:39">
      <c r="A8455" s="2"/>
      <c r="AM8455" s="2"/>
    </row>
    <row r="8456" spans="1:39">
      <c r="A8456" s="2"/>
      <c r="AM8456" s="2"/>
    </row>
    <row r="8457" spans="1:39">
      <c r="A8457" s="2"/>
      <c r="AM8457" s="2"/>
    </row>
    <row r="8458" spans="1:39">
      <c r="A8458" s="2"/>
      <c r="AM8458" s="2"/>
    </row>
    <row r="8459" spans="1:39">
      <c r="A8459" s="2"/>
      <c r="AM8459" s="2"/>
    </row>
    <row r="8460" spans="1:39">
      <c r="A8460" s="2"/>
      <c r="AM8460" s="2"/>
    </row>
    <row r="8461" spans="1:39">
      <c r="A8461" s="2"/>
      <c r="AM8461" s="2"/>
    </row>
    <row r="8462" spans="1:39">
      <c r="A8462" s="2"/>
      <c r="AM8462" s="2"/>
    </row>
    <row r="8463" spans="1:39">
      <c r="A8463" s="2"/>
      <c r="AM8463" s="2"/>
    </row>
    <row r="8464" spans="1:39">
      <c r="A8464" s="2"/>
      <c r="AM8464" s="2"/>
    </row>
    <row r="8465" spans="1:39">
      <c r="A8465" s="2"/>
      <c r="AM8465" s="2"/>
    </row>
    <row r="8466" spans="1:39">
      <c r="A8466" s="2"/>
      <c r="AM8466" s="2"/>
    </row>
    <row r="8467" spans="1:39">
      <c r="A8467" s="2"/>
      <c r="AM8467" s="2"/>
    </row>
    <row r="8468" spans="1:39">
      <c r="A8468" s="2"/>
      <c r="AM8468" s="2"/>
    </row>
    <row r="8469" spans="1:39">
      <c r="A8469" s="2"/>
      <c r="AM8469" s="2"/>
    </row>
    <row r="8470" spans="1:39">
      <c r="A8470" s="2"/>
      <c r="AM8470" s="2"/>
    </row>
    <row r="8471" spans="1:39">
      <c r="A8471" s="2"/>
      <c r="AM8471" s="2"/>
    </row>
    <row r="8472" spans="1:39">
      <c r="A8472" s="2"/>
      <c r="AM8472" s="2"/>
    </row>
    <row r="8473" spans="1:39">
      <c r="A8473" s="2"/>
      <c r="AM8473" s="2"/>
    </row>
    <row r="8474" spans="1:39">
      <c r="A8474" s="2"/>
      <c r="AM8474" s="2"/>
    </row>
    <row r="8475" spans="1:39">
      <c r="A8475" s="2"/>
      <c r="AM8475" s="2"/>
    </row>
    <row r="8476" spans="1:39">
      <c r="A8476" s="2"/>
      <c r="AM8476" s="2"/>
    </row>
    <row r="8477" spans="1:39">
      <c r="A8477" s="2"/>
      <c r="AM8477" s="2"/>
    </row>
    <row r="8478" spans="1:39">
      <c r="A8478" s="2"/>
      <c r="AM8478" s="2"/>
    </row>
    <row r="8479" spans="1:39">
      <c r="A8479" s="2"/>
      <c r="AM8479" s="2"/>
    </row>
    <row r="8480" spans="1:39">
      <c r="A8480" s="2"/>
      <c r="AM8480" s="2"/>
    </row>
    <row r="8481" spans="1:39">
      <c r="A8481" s="2"/>
      <c r="AM8481" s="2"/>
    </row>
    <row r="8482" spans="1:39">
      <c r="A8482" s="2"/>
      <c r="AM8482" s="2"/>
    </row>
    <row r="8483" spans="1:39">
      <c r="A8483" s="2"/>
      <c r="AM8483" s="2"/>
    </row>
    <row r="8484" spans="1:39">
      <c r="A8484" s="2"/>
      <c r="AM8484" s="2"/>
    </row>
    <row r="8485" spans="1:39">
      <c r="A8485" s="2"/>
      <c r="AM8485" s="2"/>
    </row>
    <row r="8486" spans="1:39">
      <c r="A8486" s="2"/>
      <c r="AM8486" s="2"/>
    </row>
    <row r="8487" spans="1:39">
      <c r="A8487" s="2"/>
      <c r="AM8487" s="2"/>
    </row>
    <row r="8488" spans="1:39">
      <c r="A8488" s="2"/>
      <c r="AM8488" s="2"/>
    </row>
    <row r="8489" spans="1:39">
      <c r="A8489" s="2"/>
      <c r="AM8489" s="2"/>
    </row>
    <row r="8490" spans="1:39">
      <c r="A8490" s="2"/>
      <c r="AM8490" s="2"/>
    </row>
    <row r="8491" spans="1:39">
      <c r="A8491" s="2"/>
      <c r="AM8491" s="2"/>
    </row>
    <row r="8492" spans="1:39">
      <c r="A8492" s="2"/>
      <c r="AM8492" s="2"/>
    </row>
    <row r="8493" spans="1:39">
      <c r="A8493" s="2"/>
      <c r="AM8493" s="2"/>
    </row>
    <row r="8494" spans="1:39">
      <c r="A8494" s="2"/>
      <c r="AM8494" s="2"/>
    </row>
    <row r="8495" spans="1:39">
      <c r="A8495" s="2"/>
      <c r="AM8495" s="2"/>
    </row>
    <row r="8496" spans="1:39">
      <c r="A8496" s="2"/>
      <c r="AM8496" s="2"/>
    </row>
    <row r="8497" spans="1:39">
      <c r="A8497" s="2"/>
      <c r="AM8497" s="2"/>
    </row>
    <row r="8498" spans="1:39">
      <c r="A8498" s="2"/>
      <c r="AM8498" s="2"/>
    </row>
    <row r="8499" spans="1:39">
      <c r="A8499" s="2"/>
      <c r="AM8499" s="2"/>
    </row>
    <row r="8500" spans="1:39">
      <c r="A8500" s="2"/>
      <c r="AM8500" s="2"/>
    </row>
    <row r="8501" spans="1:39">
      <c r="A8501" s="2"/>
      <c r="AM8501" s="2"/>
    </row>
    <row r="8502" spans="1:39">
      <c r="A8502" s="2"/>
      <c r="AM8502" s="2"/>
    </row>
    <row r="8503" spans="1:39">
      <c r="A8503" s="2"/>
      <c r="AM8503" s="2"/>
    </row>
    <row r="8504" spans="1:39">
      <c r="A8504" s="2"/>
      <c r="AM8504" s="2"/>
    </row>
    <row r="8505" spans="1:39">
      <c r="A8505" s="2"/>
      <c r="AM8505" s="2"/>
    </row>
    <row r="8506" spans="1:39">
      <c r="A8506" s="2"/>
      <c r="AM8506" s="2"/>
    </row>
    <row r="8507" spans="1:39">
      <c r="A8507" s="2"/>
      <c r="AM8507" s="2"/>
    </row>
    <row r="8508" spans="1:39">
      <c r="A8508" s="2"/>
      <c r="AM8508" s="2"/>
    </row>
    <row r="8509" spans="1:39">
      <c r="A8509" s="2"/>
      <c r="AM8509" s="2"/>
    </row>
    <row r="8510" spans="1:39">
      <c r="A8510" s="2"/>
      <c r="AM8510" s="2"/>
    </row>
    <row r="8511" spans="1:39">
      <c r="A8511" s="2"/>
      <c r="AM8511" s="2"/>
    </row>
    <row r="8512" spans="1:39">
      <c r="A8512" s="2"/>
      <c r="AM8512" s="2"/>
    </row>
    <row r="8513" spans="1:39">
      <c r="A8513" s="2"/>
      <c r="AM8513" s="2"/>
    </row>
    <row r="8514" spans="1:39">
      <c r="A8514" s="2"/>
      <c r="AM8514" s="2"/>
    </row>
    <row r="8515" spans="1:39">
      <c r="A8515" s="2"/>
      <c r="AM8515" s="2"/>
    </row>
    <row r="8516" spans="1:39">
      <c r="A8516" s="2"/>
      <c r="AM8516" s="2"/>
    </row>
    <row r="8517" spans="1:39">
      <c r="A8517" s="2"/>
      <c r="AM8517" s="2"/>
    </row>
    <row r="8518" spans="1:39">
      <c r="A8518" s="2"/>
      <c r="AM8518" s="2"/>
    </row>
    <row r="8519" spans="1:39">
      <c r="A8519" s="2"/>
      <c r="AM8519" s="2"/>
    </row>
    <row r="8520" spans="1:39">
      <c r="A8520" s="2"/>
      <c r="AM8520" s="2"/>
    </row>
    <row r="8521" spans="1:39">
      <c r="A8521" s="2"/>
      <c r="AM8521" s="2"/>
    </row>
    <row r="8522" spans="1:39">
      <c r="A8522" s="2"/>
      <c r="AM8522" s="2"/>
    </row>
    <row r="8523" spans="1:39">
      <c r="A8523" s="2"/>
      <c r="AM8523" s="2"/>
    </row>
    <row r="8524" spans="1:39">
      <c r="A8524" s="2"/>
      <c r="AM8524" s="2"/>
    </row>
    <row r="8525" spans="1:39">
      <c r="A8525" s="2"/>
      <c r="AM8525" s="2"/>
    </row>
    <row r="8526" spans="1:39">
      <c r="A8526" s="2"/>
      <c r="AM8526" s="2"/>
    </row>
    <row r="8527" spans="1:39">
      <c r="A8527" s="2"/>
      <c r="AM8527" s="2"/>
    </row>
    <row r="8528" spans="1:39">
      <c r="A8528" s="2"/>
      <c r="AM8528" s="2"/>
    </row>
    <row r="8529" spans="1:39">
      <c r="A8529" s="2"/>
      <c r="AM8529" s="2"/>
    </row>
    <row r="8530" spans="1:39">
      <c r="A8530" s="2"/>
      <c r="AM8530" s="2"/>
    </row>
    <row r="8531" spans="1:39">
      <c r="A8531" s="2"/>
      <c r="AM8531" s="2"/>
    </row>
    <row r="8532" spans="1:39">
      <c r="A8532" s="2"/>
      <c r="AM8532" s="2"/>
    </row>
    <row r="8533" spans="1:39">
      <c r="A8533" s="2"/>
      <c r="AM8533" s="2"/>
    </row>
    <row r="8534" spans="1:39">
      <c r="A8534" s="2"/>
      <c r="AM8534" s="2"/>
    </row>
    <row r="8535" spans="1:39">
      <c r="A8535" s="2"/>
      <c r="AM8535" s="2"/>
    </row>
    <row r="8536" spans="1:39">
      <c r="A8536" s="2"/>
      <c r="AM8536" s="2"/>
    </row>
    <row r="8537" spans="1:39">
      <c r="A8537" s="2"/>
      <c r="AM8537" s="2"/>
    </row>
    <row r="8538" spans="1:39">
      <c r="A8538" s="2"/>
      <c r="AM8538" s="2"/>
    </row>
    <row r="8539" spans="1:39">
      <c r="A8539" s="2"/>
      <c r="AM8539" s="2"/>
    </row>
    <row r="8540" spans="1:39">
      <c r="A8540" s="2"/>
      <c r="AM8540" s="2"/>
    </row>
    <row r="8541" spans="1:39">
      <c r="A8541" s="2"/>
      <c r="AM8541" s="2"/>
    </row>
    <row r="8542" spans="1:39">
      <c r="A8542" s="2"/>
      <c r="AM8542" s="2"/>
    </row>
    <row r="8543" spans="1:39">
      <c r="A8543" s="2"/>
      <c r="AM8543" s="2"/>
    </row>
    <row r="8544" spans="1:39">
      <c r="A8544" s="2"/>
      <c r="AM8544" s="2"/>
    </row>
    <row r="8545" spans="1:39">
      <c r="A8545" s="2"/>
      <c r="AM8545" s="2"/>
    </row>
    <row r="8546" spans="1:39">
      <c r="A8546" s="2"/>
      <c r="AM8546" s="2"/>
    </row>
    <row r="8547" spans="1:39">
      <c r="A8547" s="2"/>
      <c r="AM8547" s="2"/>
    </row>
    <row r="8548" spans="1:39">
      <c r="A8548" s="2"/>
      <c r="AM8548" s="2"/>
    </row>
    <row r="8549" spans="1:39">
      <c r="A8549" s="2"/>
      <c r="AM8549" s="2"/>
    </row>
    <row r="8550" spans="1:39">
      <c r="A8550" s="2"/>
      <c r="AM8550" s="2"/>
    </row>
    <row r="8551" spans="1:39">
      <c r="A8551" s="2"/>
      <c r="AM8551" s="2"/>
    </row>
    <row r="8552" spans="1:39">
      <c r="A8552" s="2"/>
      <c r="AM8552" s="2"/>
    </row>
    <row r="8553" spans="1:39">
      <c r="A8553" s="2"/>
      <c r="AM8553" s="2"/>
    </row>
    <row r="8554" spans="1:39">
      <c r="A8554" s="2"/>
      <c r="AM8554" s="2"/>
    </row>
    <row r="8555" spans="1:39">
      <c r="A8555" s="2"/>
      <c r="AM8555" s="2"/>
    </row>
    <row r="8556" spans="1:39">
      <c r="A8556" s="2"/>
      <c r="AM8556" s="2"/>
    </row>
    <row r="8557" spans="1:39">
      <c r="A8557" s="2"/>
      <c r="AM8557" s="2"/>
    </row>
    <row r="8558" spans="1:39">
      <c r="A8558" s="2"/>
      <c r="AM8558" s="2"/>
    </row>
    <row r="8559" spans="1:39">
      <c r="A8559" s="2"/>
      <c r="AM8559" s="2"/>
    </row>
    <row r="8560" spans="1:39">
      <c r="A8560" s="2"/>
      <c r="AM8560" s="2"/>
    </row>
    <row r="8561" spans="1:39">
      <c r="A8561" s="2"/>
      <c r="AM8561" s="2"/>
    </row>
    <row r="8562" spans="1:39">
      <c r="A8562" s="2"/>
      <c r="AM8562" s="2"/>
    </row>
    <row r="8563" spans="1:39">
      <c r="A8563" s="2"/>
      <c r="AM8563" s="2"/>
    </row>
    <row r="8564" spans="1:39">
      <c r="A8564" s="2"/>
      <c r="AM8564" s="2"/>
    </row>
    <row r="8565" spans="1:39">
      <c r="A8565" s="2"/>
      <c r="AM8565" s="2"/>
    </row>
    <row r="8566" spans="1:39">
      <c r="A8566" s="2"/>
      <c r="AM8566" s="2"/>
    </row>
    <row r="8567" spans="1:39">
      <c r="A8567" s="2"/>
      <c r="AM8567" s="2"/>
    </row>
    <row r="8568" spans="1:39">
      <c r="A8568" s="2"/>
      <c r="AM8568" s="2"/>
    </row>
    <row r="8569" spans="1:39">
      <c r="A8569" s="2"/>
      <c r="AM8569" s="2"/>
    </row>
    <row r="8570" spans="1:39">
      <c r="A8570" s="2"/>
      <c r="AM8570" s="2"/>
    </row>
    <row r="8571" spans="1:39">
      <c r="A8571" s="2"/>
      <c r="AM8571" s="2"/>
    </row>
    <row r="8572" spans="1:39">
      <c r="A8572" s="2"/>
      <c r="AM8572" s="2"/>
    </row>
    <row r="8573" spans="1:39">
      <c r="A8573" s="2"/>
      <c r="AM8573" s="2"/>
    </row>
    <row r="8574" spans="1:39">
      <c r="A8574" s="2"/>
      <c r="AM8574" s="2"/>
    </row>
    <row r="8575" spans="1:39">
      <c r="A8575" s="2"/>
      <c r="AM8575" s="2"/>
    </row>
    <row r="8576" spans="1:39">
      <c r="A8576" s="2"/>
      <c r="AM8576" s="2"/>
    </row>
    <row r="8577" spans="1:39">
      <c r="A8577" s="2"/>
      <c r="AM8577" s="2"/>
    </row>
    <row r="8578" spans="1:39">
      <c r="A8578" s="2"/>
      <c r="AM8578" s="2"/>
    </row>
    <row r="8579" spans="1:39">
      <c r="A8579" s="2"/>
      <c r="AM8579" s="2"/>
    </row>
    <row r="8580" spans="1:39">
      <c r="A8580" s="2"/>
      <c r="AM8580" s="2"/>
    </row>
    <row r="8581" spans="1:39">
      <c r="A8581" s="2"/>
      <c r="AM8581" s="2"/>
    </row>
    <row r="8582" spans="1:39">
      <c r="A8582" s="2"/>
      <c r="AM8582" s="2"/>
    </row>
    <row r="8583" spans="1:39">
      <c r="A8583" s="2"/>
      <c r="AM8583" s="2"/>
    </row>
    <row r="8584" spans="1:39">
      <c r="A8584" s="2"/>
      <c r="AM8584" s="2"/>
    </row>
    <row r="8585" spans="1:39">
      <c r="A8585" s="2"/>
      <c r="AM8585" s="2"/>
    </row>
    <row r="8586" spans="1:39">
      <c r="A8586" s="2"/>
      <c r="AM8586" s="2"/>
    </row>
    <row r="8587" spans="1:39">
      <c r="A8587" s="2"/>
      <c r="AM8587" s="2"/>
    </row>
    <row r="8588" spans="1:39">
      <c r="A8588" s="2"/>
      <c r="AM8588" s="2"/>
    </row>
    <row r="8589" spans="1:39">
      <c r="A8589" s="2"/>
      <c r="AM8589" s="2"/>
    </row>
    <row r="8590" spans="1:39">
      <c r="A8590" s="2"/>
      <c r="AM8590" s="2"/>
    </row>
    <row r="8591" spans="1:39">
      <c r="A8591" s="2"/>
      <c r="AM8591" s="2"/>
    </row>
    <row r="8592" spans="1:39">
      <c r="A8592" s="2"/>
      <c r="AM8592" s="2"/>
    </row>
    <row r="8593" spans="1:39">
      <c r="A8593" s="2"/>
      <c r="AM8593" s="2"/>
    </row>
    <row r="8594" spans="1:39">
      <c r="A8594" s="2"/>
      <c r="AM8594" s="2"/>
    </row>
    <row r="8595" spans="1:39">
      <c r="A8595" s="2"/>
      <c r="AM8595" s="2"/>
    </row>
    <row r="8596" spans="1:39">
      <c r="A8596" s="2"/>
      <c r="AM8596" s="2"/>
    </row>
    <row r="8597" spans="1:39">
      <c r="A8597" s="2"/>
      <c r="AM8597" s="2"/>
    </row>
    <row r="8598" spans="1:39">
      <c r="A8598" s="2"/>
      <c r="AM8598" s="2"/>
    </row>
    <row r="8599" spans="1:39">
      <c r="A8599" s="2"/>
      <c r="AM8599" s="2"/>
    </row>
    <row r="8600" spans="1:39">
      <c r="A8600" s="2"/>
      <c r="AM8600" s="2"/>
    </row>
    <row r="8601" spans="1:39">
      <c r="A8601" s="2"/>
      <c r="AM8601" s="2"/>
    </row>
    <row r="8602" spans="1:39">
      <c r="A8602" s="2"/>
      <c r="AM8602" s="2"/>
    </row>
    <row r="8603" spans="1:39">
      <c r="A8603" s="2"/>
      <c r="AM8603" s="2"/>
    </row>
    <row r="8604" spans="1:39">
      <c r="A8604" s="2"/>
      <c r="AM8604" s="2"/>
    </row>
    <row r="8605" spans="1:39">
      <c r="A8605" s="2"/>
      <c r="AM8605" s="2"/>
    </row>
    <row r="8606" spans="1:39">
      <c r="A8606" s="2"/>
      <c r="AM8606" s="2"/>
    </row>
    <row r="8607" spans="1:39">
      <c r="A8607" s="2"/>
      <c r="AM8607" s="2"/>
    </row>
    <row r="8608" spans="1:39">
      <c r="A8608" s="2"/>
      <c r="AM8608" s="2"/>
    </row>
    <row r="8609" spans="1:39">
      <c r="A8609" s="2"/>
      <c r="AM8609" s="2"/>
    </row>
    <row r="8610" spans="1:39">
      <c r="A8610" s="2"/>
      <c r="AM8610" s="2"/>
    </row>
    <row r="8611" spans="1:39">
      <c r="A8611" s="2"/>
      <c r="AM8611" s="2"/>
    </row>
    <row r="8612" spans="1:39">
      <c r="A8612" s="2"/>
      <c r="AM8612" s="2"/>
    </row>
    <row r="8613" spans="1:39">
      <c r="A8613" s="2"/>
      <c r="AM8613" s="2"/>
    </row>
    <row r="8614" spans="1:39">
      <c r="A8614" s="2"/>
      <c r="AM8614" s="2"/>
    </row>
    <row r="8615" spans="1:39">
      <c r="A8615" s="2"/>
      <c r="AM8615" s="2"/>
    </row>
    <row r="8616" spans="1:39">
      <c r="A8616" s="2"/>
      <c r="AM8616" s="2"/>
    </row>
    <row r="8617" spans="1:39">
      <c r="A8617" s="2"/>
      <c r="AM8617" s="2"/>
    </row>
    <row r="8618" spans="1:39">
      <c r="A8618" s="2"/>
      <c r="AM8618" s="2"/>
    </row>
    <row r="8619" spans="1:39">
      <c r="A8619" s="2"/>
      <c r="AM8619" s="2"/>
    </row>
    <row r="8620" spans="1:39">
      <c r="A8620" s="2"/>
      <c r="AM8620" s="2"/>
    </row>
    <row r="8621" spans="1:39">
      <c r="A8621" s="2"/>
      <c r="AM8621" s="2"/>
    </row>
    <row r="8622" spans="1:39">
      <c r="A8622" s="2"/>
      <c r="AM8622" s="2"/>
    </row>
    <row r="8623" spans="1:39">
      <c r="A8623" s="2"/>
      <c r="AM8623" s="2"/>
    </row>
    <row r="8624" spans="1:39">
      <c r="A8624" s="2"/>
      <c r="AM8624" s="2"/>
    </row>
    <row r="8625" spans="1:39">
      <c r="A8625" s="2"/>
      <c r="AM8625" s="2"/>
    </row>
    <row r="8626" spans="1:39">
      <c r="A8626" s="2"/>
      <c r="AM8626" s="2"/>
    </row>
    <row r="8627" spans="1:39">
      <c r="A8627" s="2"/>
      <c r="AM8627" s="2"/>
    </row>
    <row r="8628" spans="1:39">
      <c r="A8628" s="2"/>
      <c r="AM8628" s="2"/>
    </row>
    <row r="8629" spans="1:39">
      <c r="A8629" s="2"/>
      <c r="AM8629" s="2"/>
    </row>
    <row r="8630" spans="1:39">
      <c r="A8630" s="2"/>
      <c r="AM8630" s="2"/>
    </row>
    <row r="8631" spans="1:39">
      <c r="A8631" s="2"/>
      <c r="AM8631" s="2"/>
    </row>
    <row r="8632" spans="1:39">
      <c r="A8632" s="2"/>
      <c r="AM8632" s="2"/>
    </row>
    <row r="8633" spans="1:39">
      <c r="A8633" s="2"/>
      <c r="AM8633" s="2"/>
    </row>
    <row r="8634" spans="1:39">
      <c r="A8634" s="2"/>
      <c r="AM8634" s="2"/>
    </row>
    <row r="8635" spans="1:39">
      <c r="A8635" s="2"/>
      <c r="AM8635" s="2"/>
    </row>
    <row r="8636" spans="1:39">
      <c r="A8636" s="2"/>
      <c r="AM8636" s="2"/>
    </row>
    <row r="8637" spans="1:39">
      <c r="A8637" s="2"/>
      <c r="AM8637" s="2"/>
    </row>
    <row r="8638" spans="1:39">
      <c r="A8638" s="2"/>
      <c r="AM8638" s="2"/>
    </row>
    <row r="8639" spans="1:39">
      <c r="A8639" s="2"/>
      <c r="AM8639" s="2"/>
    </row>
    <row r="8640" spans="1:39">
      <c r="A8640" s="2"/>
      <c r="AM8640" s="2"/>
    </row>
    <row r="8641" spans="1:39">
      <c r="A8641" s="2"/>
      <c r="AM8641" s="2"/>
    </row>
    <row r="8642" spans="1:39">
      <c r="A8642" s="2"/>
      <c r="AM8642" s="2"/>
    </row>
    <row r="8643" spans="1:39">
      <c r="A8643" s="2"/>
      <c r="AM8643" s="2"/>
    </row>
    <row r="8644" spans="1:39">
      <c r="A8644" s="2"/>
      <c r="AM8644" s="2"/>
    </row>
    <row r="8645" spans="1:39">
      <c r="A8645" s="2"/>
      <c r="AM8645" s="2"/>
    </row>
    <row r="8646" spans="1:39">
      <c r="A8646" s="2"/>
      <c r="AM8646" s="2"/>
    </row>
    <row r="8647" spans="1:39">
      <c r="A8647" s="2"/>
      <c r="AM8647" s="2"/>
    </row>
    <row r="8648" spans="1:39">
      <c r="A8648" s="2"/>
      <c r="AM8648" s="2"/>
    </row>
    <row r="8649" spans="1:39">
      <c r="A8649" s="2"/>
      <c r="AM8649" s="2"/>
    </row>
    <row r="8650" spans="1:39">
      <c r="A8650" s="2"/>
      <c r="AM8650" s="2"/>
    </row>
    <row r="8651" spans="1:39">
      <c r="A8651" s="2"/>
      <c r="AM8651" s="2"/>
    </row>
    <row r="8652" spans="1:39">
      <c r="A8652" s="2"/>
      <c r="AM8652" s="2"/>
    </row>
    <row r="8653" spans="1:39">
      <c r="A8653" s="2"/>
      <c r="AM8653" s="2"/>
    </row>
    <row r="8654" spans="1:39">
      <c r="A8654" s="2"/>
      <c r="AM8654" s="2"/>
    </row>
    <row r="8655" spans="1:39">
      <c r="A8655" s="2"/>
      <c r="AM8655" s="2"/>
    </row>
    <row r="8656" spans="1:39">
      <c r="A8656" s="2"/>
      <c r="AM8656" s="2"/>
    </row>
    <row r="8657" spans="1:39">
      <c r="A8657" s="2"/>
      <c r="AM8657" s="2"/>
    </row>
    <row r="8658" spans="1:39">
      <c r="A8658" s="2"/>
      <c r="AM8658" s="2"/>
    </row>
    <row r="8659" spans="1:39">
      <c r="A8659" s="2"/>
      <c r="AM8659" s="2"/>
    </row>
    <row r="8660" spans="1:39">
      <c r="A8660" s="2"/>
      <c r="AM8660" s="2"/>
    </row>
    <row r="8661" spans="1:39">
      <c r="A8661" s="2"/>
      <c r="AM8661" s="2"/>
    </row>
    <row r="8662" spans="1:39">
      <c r="A8662" s="2"/>
      <c r="AM8662" s="2"/>
    </row>
    <row r="8663" spans="1:39">
      <c r="A8663" s="2"/>
      <c r="AM8663" s="2"/>
    </row>
    <row r="8664" spans="1:39">
      <c r="A8664" s="2"/>
      <c r="AM8664" s="2"/>
    </row>
    <row r="8665" spans="1:39">
      <c r="A8665" s="2"/>
      <c r="AM8665" s="2"/>
    </row>
    <row r="8666" spans="1:39">
      <c r="A8666" s="2"/>
      <c r="AM8666" s="2"/>
    </row>
    <row r="8667" spans="1:39">
      <c r="A8667" s="2"/>
      <c r="AM8667" s="2"/>
    </row>
    <row r="8668" spans="1:39">
      <c r="A8668" s="2"/>
      <c r="AM8668" s="2"/>
    </row>
    <row r="8669" spans="1:39">
      <c r="A8669" s="2"/>
      <c r="AM8669" s="2"/>
    </row>
    <row r="8670" spans="1:39">
      <c r="A8670" s="2"/>
      <c r="AM8670" s="2"/>
    </row>
    <row r="8671" spans="1:39">
      <c r="A8671" s="2"/>
      <c r="AM8671" s="2"/>
    </row>
    <row r="8672" spans="1:39">
      <c r="A8672" s="2"/>
      <c r="AM8672" s="2"/>
    </row>
    <row r="8673" spans="1:39">
      <c r="A8673" s="2"/>
      <c r="AM8673" s="2"/>
    </row>
    <row r="8674" spans="1:39">
      <c r="A8674" s="2"/>
      <c r="AM8674" s="2"/>
    </row>
    <row r="8675" spans="1:39">
      <c r="A8675" s="2"/>
      <c r="AM8675" s="2"/>
    </row>
    <row r="8676" spans="1:39">
      <c r="A8676" s="2"/>
      <c r="AM8676" s="2"/>
    </row>
    <row r="8677" spans="1:39">
      <c r="A8677" s="2"/>
      <c r="AM8677" s="2"/>
    </row>
    <row r="8678" spans="1:39">
      <c r="A8678" s="2"/>
      <c r="AM8678" s="2"/>
    </row>
    <row r="8679" spans="1:39">
      <c r="A8679" s="2"/>
      <c r="AM8679" s="2"/>
    </row>
    <row r="8680" spans="1:39">
      <c r="A8680" s="2"/>
      <c r="AM8680" s="2"/>
    </row>
    <row r="8681" spans="1:39">
      <c r="A8681" s="2"/>
      <c r="AM8681" s="2"/>
    </row>
    <row r="8682" spans="1:39">
      <c r="A8682" s="2"/>
      <c r="AM8682" s="2"/>
    </row>
    <row r="8683" spans="1:39">
      <c r="A8683" s="2"/>
      <c r="AM8683" s="2"/>
    </row>
    <row r="8684" spans="1:39">
      <c r="A8684" s="2"/>
      <c r="AM8684" s="2"/>
    </row>
    <row r="8685" spans="1:39">
      <c r="A8685" s="2"/>
      <c r="AM8685" s="2"/>
    </row>
    <row r="8686" spans="1:39">
      <c r="A8686" s="2"/>
      <c r="AM8686" s="2"/>
    </row>
    <row r="8687" spans="1:39">
      <c r="A8687" s="2"/>
      <c r="AM8687" s="2"/>
    </row>
    <row r="8688" spans="1:39">
      <c r="A8688" s="2"/>
      <c r="AM8688" s="2"/>
    </row>
    <row r="8689" spans="1:39">
      <c r="A8689" s="2"/>
      <c r="AM8689" s="2"/>
    </row>
    <row r="8690" spans="1:39">
      <c r="A8690" s="2"/>
      <c r="AM8690" s="2"/>
    </row>
    <row r="8691" spans="1:39">
      <c r="A8691" s="2"/>
      <c r="AM8691" s="2"/>
    </row>
    <row r="8692" spans="1:39">
      <c r="A8692" s="2"/>
      <c r="AM8692" s="2"/>
    </row>
    <row r="8693" spans="1:39">
      <c r="A8693" s="2"/>
      <c r="AM8693" s="2"/>
    </row>
    <row r="8694" spans="1:39">
      <c r="A8694" s="2"/>
      <c r="AM8694" s="2"/>
    </row>
    <row r="8695" spans="1:39">
      <c r="A8695" s="2"/>
      <c r="AM8695" s="2"/>
    </row>
    <row r="8696" spans="1:39">
      <c r="A8696" s="2"/>
      <c r="AM8696" s="2"/>
    </row>
    <row r="8697" spans="1:39">
      <c r="A8697" s="2"/>
      <c r="AM8697" s="2"/>
    </row>
    <row r="8698" spans="1:39">
      <c r="A8698" s="2"/>
      <c r="AM8698" s="2"/>
    </row>
    <row r="8699" spans="1:39">
      <c r="A8699" s="2"/>
      <c r="AM8699" s="2"/>
    </row>
    <row r="8700" spans="1:39">
      <c r="A8700" s="2"/>
      <c r="AM8700" s="2"/>
    </row>
    <row r="8701" spans="1:39">
      <c r="A8701" s="2"/>
      <c r="AM8701" s="2"/>
    </row>
    <row r="8702" spans="1:39">
      <c r="A8702" s="2"/>
      <c r="AM8702" s="2"/>
    </row>
    <row r="8703" spans="1:39">
      <c r="A8703" s="2"/>
      <c r="AM8703" s="2"/>
    </row>
    <row r="8704" spans="1:39">
      <c r="A8704" s="2"/>
      <c r="AM8704" s="2"/>
    </row>
    <row r="8705" spans="1:39">
      <c r="A8705" s="2"/>
      <c r="AM8705" s="2"/>
    </row>
    <row r="8706" spans="1:39">
      <c r="A8706" s="2"/>
      <c r="AM8706" s="2"/>
    </row>
    <row r="8707" spans="1:39">
      <c r="A8707" s="2"/>
      <c r="AM8707" s="2"/>
    </row>
    <row r="8708" spans="1:39">
      <c r="A8708" s="2"/>
      <c r="AM8708" s="2"/>
    </row>
    <row r="8709" spans="1:39">
      <c r="A8709" s="2"/>
      <c r="AM8709" s="2"/>
    </row>
    <row r="8710" spans="1:39">
      <c r="A8710" s="2"/>
      <c r="AM8710" s="2"/>
    </row>
    <row r="8711" spans="1:39">
      <c r="A8711" s="2"/>
      <c r="AM8711" s="2"/>
    </row>
    <row r="8712" spans="1:39">
      <c r="A8712" s="2"/>
      <c r="AM8712" s="2"/>
    </row>
    <row r="8713" spans="1:39">
      <c r="A8713" s="2"/>
      <c r="AM8713" s="2"/>
    </row>
    <row r="8714" spans="1:39">
      <c r="A8714" s="2"/>
      <c r="AM8714" s="2"/>
    </row>
    <row r="8715" spans="1:39">
      <c r="A8715" s="2"/>
      <c r="AM8715" s="2"/>
    </row>
    <row r="8716" spans="1:39">
      <c r="A8716" s="2"/>
      <c r="AM8716" s="2"/>
    </row>
    <row r="8717" spans="1:39">
      <c r="A8717" s="2"/>
      <c r="AM8717" s="2"/>
    </row>
    <row r="8718" spans="1:39">
      <c r="A8718" s="2"/>
      <c r="AM8718" s="2"/>
    </row>
    <row r="8719" spans="1:39">
      <c r="A8719" s="2"/>
      <c r="AM8719" s="2"/>
    </row>
    <row r="8720" spans="1:39">
      <c r="A8720" s="2"/>
      <c r="AM8720" s="2"/>
    </row>
    <row r="8721" spans="1:39">
      <c r="A8721" s="2"/>
      <c r="AM8721" s="2"/>
    </row>
    <row r="8722" spans="1:39">
      <c r="A8722" s="2"/>
      <c r="AM8722" s="2"/>
    </row>
    <row r="8723" spans="1:39">
      <c r="A8723" s="2"/>
      <c r="AM8723" s="2"/>
    </row>
    <row r="8724" spans="1:39">
      <c r="A8724" s="2"/>
      <c r="AM8724" s="2"/>
    </row>
    <row r="8725" spans="1:39">
      <c r="A8725" s="2"/>
      <c r="AM8725" s="2"/>
    </row>
    <row r="8726" spans="1:39">
      <c r="A8726" s="2"/>
      <c r="AM8726" s="2"/>
    </row>
    <row r="8727" spans="1:39">
      <c r="A8727" s="2"/>
      <c r="AM8727" s="2"/>
    </row>
    <row r="8728" spans="1:39">
      <c r="A8728" s="2"/>
      <c r="AM8728" s="2"/>
    </row>
    <row r="8729" spans="1:39">
      <c r="A8729" s="2"/>
      <c r="AM8729" s="2"/>
    </row>
    <row r="8730" spans="1:39">
      <c r="A8730" s="2"/>
      <c r="AM8730" s="2"/>
    </row>
    <row r="8731" spans="1:39">
      <c r="A8731" s="2"/>
      <c r="AM8731" s="2"/>
    </row>
    <row r="8732" spans="1:39">
      <c r="A8732" s="2"/>
      <c r="AM8732" s="2"/>
    </row>
    <row r="8733" spans="1:39">
      <c r="A8733" s="2"/>
      <c r="AM8733" s="2"/>
    </row>
    <row r="8734" spans="1:39">
      <c r="A8734" s="2"/>
      <c r="AM8734" s="2"/>
    </row>
    <row r="8735" spans="1:39">
      <c r="A8735" s="2"/>
      <c r="AM8735" s="2"/>
    </row>
    <row r="8736" spans="1:39">
      <c r="A8736" s="2"/>
      <c r="AM8736" s="2"/>
    </row>
    <row r="8737" spans="1:39">
      <c r="A8737" s="2"/>
      <c r="AM8737" s="2"/>
    </row>
    <row r="8738" spans="1:39">
      <c r="A8738" s="2"/>
      <c r="AM8738" s="2"/>
    </row>
    <row r="8739" spans="1:39">
      <c r="A8739" s="2"/>
      <c r="AM8739" s="2"/>
    </row>
    <row r="8740" spans="1:39">
      <c r="A8740" s="2"/>
      <c r="AM8740" s="2"/>
    </row>
    <row r="8741" spans="1:39">
      <c r="A8741" s="2"/>
      <c r="AM8741" s="2"/>
    </row>
    <row r="8742" spans="1:39">
      <c r="A8742" s="2"/>
      <c r="AM8742" s="2"/>
    </row>
    <row r="8743" spans="1:39">
      <c r="A8743" s="2"/>
      <c r="AM8743" s="2"/>
    </row>
    <row r="8744" spans="1:39">
      <c r="A8744" s="2"/>
      <c r="AM8744" s="2"/>
    </row>
    <row r="8745" spans="1:39">
      <c r="A8745" s="2"/>
      <c r="AM8745" s="2"/>
    </row>
    <row r="8746" spans="1:39">
      <c r="A8746" s="2"/>
      <c r="AM8746" s="2"/>
    </row>
    <row r="8747" spans="1:39">
      <c r="A8747" s="2"/>
      <c r="AM8747" s="2"/>
    </row>
    <row r="8748" spans="1:39">
      <c r="A8748" s="2"/>
      <c r="AM8748" s="2"/>
    </row>
    <row r="8749" spans="1:39">
      <c r="A8749" s="2"/>
      <c r="AM8749" s="2"/>
    </row>
    <row r="8750" spans="1:39">
      <c r="A8750" s="2"/>
      <c r="AM8750" s="2"/>
    </row>
    <row r="8751" spans="1:39">
      <c r="A8751" s="2"/>
      <c r="AM8751" s="2"/>
    </row>
    <row r="8752" spans="1:39">
      <c r="A8752" s="2"/>
      <c r="AM8752" s="2"/>
    </row>
    <row r="8753" spans="1:39">
      <c r="A8753" s="2"/>
      <c r="AM8753" s="2"/>
    </row>
    <row r="8754" spans="1:39">
      <c r="A8754" s="2"/>
      <c r="AM8754" s="2"/>
    </row>
    <row r="8755" spans="1:39">
      <c r="A8755" s="2"/>
      <c r="AM8755" s="2"/>
    </row>
    <row r="8756" spans="1:39">
      <c r="A8756" s="2"/>
      <c r="AM8756" s="2"/>
    </row>
    <row r="8757" spans="1:39">
      <c r="A8757" s="2"/>
      <c r="AM8757" s="2"/>
    </row>
    <row r="8758" spans="1:39">
      <c r="A8758" s="2"/>
      <c r="AM8758" s="2"/>
    </row>
    <row r="8759" spans="1:39">
      <c r="A8759" s="2"/>
      <c r="AM8759" s="2"/>
    </row>
    <row r="8760" spans="1:39">
      <c r="A8760" s="2"/>
      <c r="AM8760" s="2"/>
    </row>
    <row r="8761" spans="1:39">
      <c r="A8761" s="2"/>
      <c r="AM8761" s="2"/>
    </row>
    <row r="8762" spans="1:39">
      <c r="A8762" s="2"/>
      <c r="AM8762" s="2"/>
    </row>
    <row r="8763" spans="1:39">
      <c r="A8763" s="2"/>
      <c r="AM8763" s="2"/>
    </row>
    <row r="8764" spans="1:39">
      <c r="A8764" s="2"/>
      <c r="AM8764" s="2"/>
    </row>
    <row r="8765" spans="1:39">
      <c r="A8765" s="2"/>
      <c r="AM8765" s="2"/>
    </row>
    <row r="8766" spans="1:39">
      <c r="A8766" s="2"/>
      <c r="AM8766" s="2"/>
    </row>
    <row r="8767" spans="1:39">
      <c r="A8767" s="2"/>
      <c r="AM8767" s="2"/>
    </row>
    <row r="8768" spans="1:39">
      <c r="A8768" s="2"/>
      <c r="AM8768" s="2"/>
    </row>
    <row r="8769" spans="1:39">
      <c r="A8769" s="2"/>
      <c r="AM8769" s="2"/>
    </row>
    <row r="8770" spans="1:39">
      <c r="A8770" s="2"/>
      <c r="AM8770" s="2"/>
    </row>
    <row r="8771" spans="1:39">
      <c r="A8771" s="2"/>
      <c r="AM8771" s="2"/>
    </row>
    <row r="8772" spans="1:39">
      <c r="A8772" s="2"/>
      <c r="AM8772" s="2"/>
    </row>
    <row r="8773" spans="1:39">
      <c r="A8773" s="2"/>
      <c r="AM8773" s="2"/>
    </row>
    <row r="8774" spans="1:39">
      <c r="A8774" s="2"/>
      <c r="AM8774" s="2"/>
    </row>
    <row r="8775" spans="1:39">
      <c r="A8775" s="2"/>
      <c r="AM8775" s="2"/>
    </row>
    <row r="8776" spans="1:39">
      <c r="A8776" s="2"/>
      <c r="AM8776" s="2"/>
    </row>
    <row r="8777" spans="1:39">
      <c r="A8777" s="2"/>
      <c r="AM8777" s="2"/>
    </row>
    <row r="8778" spans="1:39">
      <c r="A8778" s="2"/>
      <c r="AM8778" s="2"/>
    </row>
    <row r="8779" spans="1:39">
      <c r="A8779" s="2"/>
      <c r="AM8779" s="2"/>
    </row>
    <row r="8780" spans="1:39">
      <c r="A8780" s="2"/>
      <c r="AM8780" s="2"/>
    </row>
    <row r="8781" spans="1:39">
      <c r="A8781" s="2"/>
      <c r="AM8781" s="2"/>
    </row>
    <row r="8782" spans="1:39">
      <c r="A8782" s="2"/>
      <c r="AM8782" s="2"/>
    </row>
    <row r="8783" spans="1:39">
      <c r="A8783" s="2"/>
      <c r="AM8783" s="2"/>
    </row>
    <row r="8784" spans="1:39">
      <c r="A8784" s="2"/>
      <c r="AM8784" s="2"/>
    </row>
    <row r="8785" spans="1:39">
      <c r="A8785" s="2"/>
      <c r="AM8785" s="2"/>
    </row>
    <row r="8786" spans="1:39">
      <c r="A8786" s="2"/>
      <c r="AM8786" s="2"/>
    </row>
    <row r="8787" spans="1:39">
      <c r="A8787" s="2"/>
      <c r="AM8787" s="2"/>
    </row>
    <row r="8788" spans="1:39">
      <c r="A8788" s="2"/>
      <c r="AM8788" s="2"/>
    </row>
    <row r="8789" spans="1:39">
      <c r="A8789" s="2"/>
      <c r="AM8789" s="2"/>
    </row>
    <row r="8790" spans="1:39">
      <c r="A8790" s="2"/>
      <c r="AM8790" s="2"/>
    </row>
    <row r="8791" spans="1:39">
      <c r="A8791" s="2"/>
      <c r="AM8791" s="2"/>
    </row>
    <row r="8792" spans="1:39">
      <c r="A8792" s="2"/>
      <c r="AM8792" s="2"/>
    </row>
    <row r="8793" spans="1:39">
      <c r="A8793" s="2"/>
      <c r="AM8793" s="2"/>
    </row>
    <row r="8794" spans="1:39">
      <c r="A8794" s="2"/>
      <c r="AM8794" s="2"/>
    </row>
    <row r="8795" spans="1:39">
      <c r="A8795" s="2"/>
      <c r="AM8795" s="2"/>
    </row>
    <row r="8796" spans="1:39">
      <c r="A8796" s="2"/>
      <c r="AM8796" s="2"/>
    </row>
    <row r="8797" spans="1:39">
      <c r="A8797" s="2"/>
      <c r="AM8797" s="2"/>
    </row>
    <row r="8798" spans="1:39">
      <c r="A8798" s="2"/>
      <c r="AM8798" s="2"/>
    </row>
    <row r="8799" spans="1:39">
      <c r="A8799" s="2"/>
      <c r="AM8799" s="2"/>
    </row>
    <row r="8800" spans="1:39">
      <c r="A8800" s="2"/>
      <c r="AM8800" s="2"/>
    </row>
    <row r="8801" spans="1:39">
      <c r="A8801" s="2"/>
      <c r="AM8801" s="2"/>
    </row>
    <row r="8802" spans="1:39">
      <c r="A8802" s="2"/>
      <c r="AM8802" s="2"/>
    </row>
    <row r="8803" spans="1:39">
      <c r="A8803" s="2"/>
      <c r="AM8803" s="2"/>
    </row>
    <row r="8804" spans="1:39">
      <c r="A8804" s="2"/>
      <c r="AM8804" s="2"/>
    </row>
    <row r="8805" spans="1:39">
      <c r="A8805" s="2"/>
      <c r="AM8805" s="2"/>
    </row>
    <row r="8806" spans="1:39">
      <c r="A8806" s="2"/>
      <c r="AM8806" s="2"/>
    </row>
    <row r="8807" spans="1:39">
      <c r="A8807" s="2"/>
      <c r="AM8807" s="2"/>
    </row>
    <row r="8808" spans="1:39">
      <c r="A8808" s="2"/>
      <c r="AM8808" s="2"/>
    </row>
    <row r="8809" spans="1:39">
      <c r="A8809" s="2"/>
      <c r="AM8809" s="2"/>
    </row>
    <row r="8810" spans="1:39">
      <c r="A8810" s="2"/>
      <c r="AM8810" s="2"/>
    </row>
    <row r="8811" spans="1:39">
      <c r="A8811" s="2"/>
      <c r="AM8811" s="2"/>
    </row>
    <row r="8812" spans="1:39">
      <c r="A8812" s="2"/>
      <c r="AM8812" s="2"/>
    </row>
    <row r="8813" spans="1:39">
      <c r="A8813" s="2"/>
      <c r="AM8813" s="2"/>
    </row>
    <row r="8814" spans="1:39">
      <c r="A8814" s="2"/>
      <c r="AM8814" s="2"/>
    </row>
    <row r="8815" spans="1:39">
      <c r="A8815" s="2"/>
      <c r="AM8815" s="2"/>
    </row>
    <row r="8816" spans="1:39">
      <c r="A8816" s="2"/>
      <c r="AM8816" s="2"/>
    </row>
    <row r="8817" spans="1:39">
      <c r="A8817" s="2"/>
      <c r="AM8817" s="2"/>
    </row>
    <row r="8818" spans="1:39">
      <c r="A8818" s="2"/>
      <c r="AM8818" s="2"/>
    </row>
    <row r="8819" spans="1:39">
      <c r="A8819" s="2"/>
      <c r="AM8819" s="2"/>
    </row>
    <row r="8820" spans="1:39">
      <c r="A8820" s="2"/>
      <c r="AM8820" s="2"/>
    </row>
    <row r="8821" spans="1:39">
      <c r="A8821" s="2"/>
      <c r="AM8821" s="2"/>
    </row>
    <row r="8822" spans="1:39">
      <c r="A8822" s="2"/>
      <c r="AM8822" s="2"/>
    </row>
    <row r="8823" spans="1:39">
      <c r="A8823" s="2"/>
      <c r="AM8823" s="2"/>
    </row>
    <row r="8824" spans="1:39">
      <c r="A8824" s="2"/>
      <c r="AM8824" s="2"/>
    </row>
    <row r="8825" spans="1:39">
      <c r="A8825" s="2"/>
      <c r="AM8825" s="2"/>
    </row>
    <row r="8826" spans="1:39">
      <c r="A8826" s="2"/>
      <c r="AM8826" s="2"/>
    </row>
    <row r="8827" spans="1:39">
      <c r="A8827" s="2"/>
      <c r="AM8827" s="2"/>
    </row>
    <row r="8828" spans="1:39">
      <c r="A8828" s="2"/>
      <c r="AM8828" s="2"/>
    </row>
    <row r="8829" spans="1:39">
      <c r="A8829" s="2"/>
      <c r="AM8829" s="2"/>
    </row>
    <row r="8830" spans="1:39">
      <c r="A8830" s="2"/>
      <c r="AM8830" s="2"/>
    </row>
    <row r="8831" spans="1:39">
      <c r="A8831" s="2"/>
      <c r="AM8831" s="2"/>
    </row>
    <row r="8832" spans="1:39">
      <c r="A8832" s="2"/>
      <c r="AM8832" s="2"/>
    </row>
    <row r="8833" spans="1:39">
      <c r="A8833" s="2"/>
      <c r="AM8833" s="2"/>
    </row>
    <row r="8834" spans="1:39">
      <c r="A8834" s="2"/>
      <c r="AM8834" s="2"/>
    </row>
    <row r="8835" spans="1:39">
      <c r="A8835" s="2"/>
      <c r="AM8835" s="2"/>
    </row>
    <row r="8836" spans="1:39">
      <c r="A8836" s="2"/>
      <c r="AM8836" s="2"/>
    </row>
    <row r="8837" spans="1:39">
      <c r="A8837" s="2"/>
      <c r="AM8837" s="2"/>
    </row>
    <row r="8838" spans="1:39">
      <c r="A8838" s="2"/>
      <c r="AM8838" s="2"/>
    </row>
    <row r="8839" spans="1:39">
      <c r="A8839" s="2"/>
      <c r="AM8839" s="2"/>
    </row>
    <row r="8840" spans="1:39">
      <c r="A8840" s="2"/>
      <c r="AM8840" s="2"/>
    </row>
    <row r="8841" spans="1:39">
      <c r="A8841" s="2"/>
      <c r="AM8841" s="2"/>
    </row>
    <row r="8842" spans="1:39">
      <c r="A8842" s="2"/>
      <c r="AM8842" s="2"/>
    </row>
    <row r="8843" spans="1:39">
      <c r="A8843" s="2"/>
      <c r="AM8843" s="2"/>
    </row>
    <row r="8844" spans="1:39">
      <c r="A8844" s="2"/>
      <c r="AM8844" s="2"/>
    </row>
    <row r="8845" spans="1:39">
      <c r="A8845" s="2"/>
      <c r="AM8845" s="2"/>
    </row>
    <row r="8846" spans="1:39">
      <c r="A8846" s="2"/>
      <c r="AM8846" s="2"/>
    </row>
    <row r="8847" spans="1:39">
      <c r="A8847" s="2"/>
      <c r="AM8847" s="2"/>
    </row>
    <row r="8848" spans="1:39">
      <c r="A8848" s="2"/>
      <c r="AM8848" s="2"/>
    </row>
    <row r="8849" spans="1:39">
      <c r="A8849" s="2"/>
      <c r="AM8849" s="2"/>
    </row>
    <row r="8850" spans="1:39">
      <c r="A8850" s="2"/>
      <c r="AM8850" s="2"/>
    </row>
    <row r="8851" spans="1:39">
      <c r="A8851" s="2"/>
      <c r="AM8851" s="2"/>
    </row>
    <row r="8852" spans="1:39">
      <c r="A8852" s="2"/>
      <c r="AM8852" s="2"/>
    </row>
    <row r="8853" spans="1:39">
      <c r="A8853" s="2"/>
      <c r="AM8853" s="2"/>
    </row>
    <row r="8854" spans="1:39">
      <c r="A8854" s="2"/>
      <c r="AM8854" s="2"/>
    </row>
    <row r="8855" spans="1:39">
      <c r="A8855" s="2"/>
      <c r="AM8855" s="2"/>
    </row>
    <row r="8856" spans="1:39">
      <c r="A8856" s="2"/>
      <c r="AM8856" s="2"/>
    </row>
    <row r="8857" spans="1:39">
      <c r="A8857" s="2"/>
      <c r="AM8857" s="2"/>
    </row>
    <row r="8858" spans="1:39">
      <c r="A8858" s="2"/>
      <c r="AM8858" s="2"/>
    </row>
    <row r="8859" spans="1:39">
      <c r="A8859" s="2"/>
      <c r="AM8859" s="2"/>
    </row>
    <row r="8860" spans="1:39">
      <c r="A8860" s="2"/>
      <c r="AM8860" s="2"/>
    </row>
    <row r="8861" spans="1:39">
      <c r="A8861" s="2"/>
      <c r="AM8861" s="2"/>
    </row>
    <row r="8862" spans="1:39">
      <c r="A8862" s="2"/>
      <c r="AM8862" s="2"/>
    </row>
    <row r="8863" spans="1:39">
      <c r="A8863" s="2"/>
      <c r="AM8863" s="2"/>
    </row>
    <row r="8864" spans="1:39">
      <c r="A8864" s="2"/>
      <c r="AM8864" s="2"/>
    </row>
    <row r="8865" spans="1:39">
      <c r="A8865" s="2"/>
      <c r="AM8865" s="2"/>
    </row>
    <row r="8866" spans="1:39">
      <c r="A8866" s="2"/>
      <c r="AM8866" s="2"/>
    </row>
    <row r="8867" spans="1:39">
      <c r="A8867" s="2"/>
      <c r="AM8867" s="2"/>
    </row>
    <row r="8868" spans="1:39">
      <c r="A8868" s="2"/>
      <c r="AM8868" s="2"/>
    </row>
    <row r="8869" spans="1:39">
      <c r="A8869" s="2"/>
      <c r="AM8869" s="2"/>
    </row>
    <row r="8870" spans="1:39">
      <c r="A8870" s="2"/>
      <c r="AM8870" s="2"/>
    </row>
    <row r="8871" spans="1:39">
      <c r="A8871" s="2"/>
      <c r="AM8871" s="2"/>
    </row>
    <row r="8872" spans="1:39">
      <c r="A8872" s="2"/>
      <c r="AM8872" s="2"/>
    </row>
    <row r="8873" spans="1:39">
      <c r="A8873" s="2"/>
      <c r="AM8873" s="2"/>
    </row>
    <row r="8874" spans="1:39">
      <c r="A8874" s="2"/>
      <c r="AM8874" s="2"/>
    </row>
    <row r="8875" spans="1:39">
      <c r="A8875" s="2"/>
      <c r="AM8875" s="2"/>
    </row>
    <row r="8876" spans="1:39">
      <c r="A8876" s="2"/>
      <c r="AM8876" s="2"/>
    </row>
    <row r="8877" spans="1:39">
      <c r="A8877" s="2"/>
      <c r="AM8877" s="2"/>
    </row>
    <row r="8878" spans="1:39">
      <c r="A8878" s="2"/>
      <c r="AM8878" s="2"/>
    </row>
    <row r="8879" spans="1:39">
      <c r="A8879" s="2"/>
      <c r="AM8879" s="2"/>
    </row>
    <row r="8880" spans="1:39">
      <c r="A8880" s="2"/>
      <c r="AM8880" s="2"/>
    </row>
    <row r="8881" spans="1:39">
      <c r="A8881" s="2"/>
      <c r="AM8881" s="2"/>
    </row>
    <row r="8882" spans="1:39">
      <c r="A8882" s="2"/>
      <c r="AM8882" s="2"/>
    </row>
    <row r="8883" spans="1:39">
      <c r="A8883" s="2"/>
      <c r="AM8883" s="2"/>
    </row>
    <row r="8884" spans="1:39">
      <c r="A8884" s="2"/>
      <c r="AM8884" s="2"/>
    </row>
    <row r="8885" spans="1:39">
      <c r="A8885" s="2"/>
      <c r="AM8885" s="2"/>
    </row>
    <row r="8886" spans="1:39">
      <c r="A8886" s="2"/>
      <c r="AM8886" s="2"/>
    </row>
    <row r="8887" spans="1:39">
      <c r="A8887" s="2"/>
      <c r="AM8887" s="2"/>
    </row>
    <row r="8888" spans="1:39">
      <c r="A8888" s="2"/>
      <c r="AM8888" s="2"/>
    </row>
    <row r="8889" spans="1:39">
      <c r="A8889" s="2"/>
      <c r="AM8889" s="2"/>
    </row>
    <row r="8890" spans="1:39">
      <c r="A8890" s="2"/>
      <c r="AM8890" s="2"/>
    </row>
    <row r="8891" spans="1:39">
      <c r="A8891" s="2"/>
      <c r="AM8891" s="2"/>
    </row>
    <row r="8892" spans="1:39">
      <c r="A8892" s="2"/>
      <c r="AM8892" s="2"/>
    </row>
    <row r="8893" spans="1:39">
      <c r="A8893" s="2"/>
      <c r="AM8893" s="2"/>
    </row>
    <row r="8894" spans="1:39">
      <c r="A8894" s="2"/>
      <c r="AM8894" s="2"/>
    </row>
    <row r="8895" spans="1:39">
      <c r="A8895" s="2"/>
      <c r="AM8895" s="2"/>
    </row>
    <row r="8896" spans="1:39">
      <c r="A8896" s="2"/>
      <c r="AM8896" s="2"/>
    </row>
    <row r="8897" spans="1:39">
      <c r="A8897" s="2"/>
      <c r="AM8897" s="2"/>
    </row>
    <row r="8898" spans="1:39">
      <c r="A8898" s="2"/>
      <c r="AM8898" s="2"/>
    </row>
    <row r="8899" spans="1:39">
      <c r="A8899" s="2"/>
      <c r="AM8899" s="2"/>
    </row>
    <row r="8900" spans="1:39">
      <c r="A8900" s="2"/>
      <c r="AM8900" s="2"/>
    </row>
    <row r="8901" spans="1:39">
      <c r="A8901" s="2"/>
      <c r="AM8901" s="2"/>
    </row>
    <row r="8902" spans="1:39">
      <c r="A8902" s="2"/>
      <c r="AM8902" s="2"/>
    </row>
    <row r="8903" spans="1:39">
      <c r="A8903" s="2"/>
      <c r="AM8903" s="2"/>
    </row>
    <row r="8904" spans="1:39">
      <c r="A8904" s="2"/>
      <c r="AM8904" s="2"/>
    </row>
    <row r="8905" spans="1:39">
      <c r="A8905" s="2"/>
      <c r="AM8905" s="2"/>
    </row>
    <row r="8906" spans="1:39">
      <c r="A8906" s="2"/>
      <c r="AM8906" s="2"/>
    </row>
    <row r="8907" spans="1:39">
      <c r="A8907" s="2"/>
      <c r="AM8907" s="2"/>
    </row>
    <row r="8908" spans="1:39">
      <c r="A8908" s="2"/>
      <c r="AM8908" s="2"/>
    </row>
    <row r="8909" spans="1:39">
      <c r="A8909" s="2"/>
      <c r="AM8909" s="2"/>
    </row>
    <row r="8910" spans="1:39">
      <c r="A8910" s="2"/>
      <c r="AM8910" s="2"/>
    </row>
    <row r="8911" spans="1:39">
      <c r="A8911" s="2"/>
      <c r="AM8911" s="2"/>
    </row>
    <row r="8912" spans="1:39">
      <c r="A8912" s="2"/>
      <c r="AM8912" s="2"/>
    </row>
    <row r="8913" spans="1:39">
      <c r="A8913" s="2"/>
      <c r="AM8913" s="2"/>
    </row>
    <row r="8914" spans="1:39">
      <c r="A8914" s="2"/>
      <c r="AM8914" s="2"/>
    </row>
    <row r="8915" spans="1:39">
      <c r="A8915" s="2"/>
      <c r="AM8915" s="2"/>
    </row>
    <row r="8916" spans="1:39">
      <c r="A8916" s="2"/>
      <c r="AM8916" s="2"/>
    </row>
    <row r="8917" spans="1:39">
      <c r="A8917" s="2"/>
      <c r="AM8917" s="2"/>
    </row>
    <row r="8918" spans="1:39">
      <c r="A8918" s="2"/>
      <c r="AM8918" s="2"/>
    </row>
    <row r="8919" spans="1:39">
      <c r="A8919" s="2"/>
      <c r="AM8919" s="2"/>
    </row>
    <row r="8920" spans="1:39">
      <c r="A8920" s="2"/>
      <c r="AM8920" s="2"/>
    </row>
    <row r="8921" spans="1:39">
      <c r="A8921" s="2"/>
      <c r="AM8921" s="2"/>
    </row>
    <row r="8922" spans="1:39">
      <c r="A8922" s="2"/>
      <c r="AM8922" s="2"/>
    </row>
    <row r="8923" spans="1:39">
      <c r="A8923" s="2"/>
      <c r="AM8923" s="2"/>
    </row>
    <row r="8924" spans="1:39">
      <c r="A8924" s="2"/>
      <c r="AM8924" s="2"/>
    </row>
    <row r="8925" spans="1:39">
      <c r="A8925" s="2"/>
      <c r="AM8925" s="2"/>
    </row>
    <row r="8926" spans="1:39">
      <c r="A8926" s="2"/>
      <c r="AM8926" s="2"/>
    </row>
    <row r="8927" spans="1:39">
      <c r="A8927" s="2"/>
      <c r="AM8927" s="2"/>
    </row>
    <row r="8928" spans="1:39">
      <c r="A8928" s="2"/>
      <c r="AM8928" s="2"/>
    </row>
    <row r="8929" spans="1:39">
      <c r="A8929" s="2"/>
      <c r="AM8929" s="2"/>
    </row>
    <row r="8930" spans="1:39">
      <c r="A8930" s="2"/>
      <c r="AM8930" s="2"/>
    </row>
    <row r="8931" spans="1:39">
      <c r="A8931" s="2"/>
      <c r="AM8931" s="2"/>
    </row>
    <row r="8932" spans="1:39">
      <c r="A8932" s="2"/>
      <c r="AM8932" s="2"/>
    </row>
    <row r="8933" spans="1:39">
      <c r="A8933" s="2"/>
      <c r="AM8933" s="2"/>
    </row>
    <row r="8934" spans="1:39">
      <c r="A8934" s="2"/>
      <c r="AM8934" s="2"/>
    </row>
    <row r="8935" spans="1:39">
      <c r="A8935" s="2"/>
      <c r="AM8935" s="2"/>
    </row>
    <row r="8936" spans="1:39">
      <c r="A8936" s="2"/>
      <c r="AM8936" s="2"/>
    </row>
    <row r="8937" spans="1:39">
      <c r="A8937" s="2"/>
      <c r="AM8937" s="2"/>
    </row>
    <row r="8938" spans="1:39">
      <c r="A8938" s="2"/>
      <c r="AM8938" s="2"/>
    </row>
    <row r="8939" spans="1:39">
      <c r="A8939" s="2"/>
      <c r="AM8939" s="2"/>
    </row>
    <row r="8940" spans="1:39">
      <c r="A8940" s="2"/>
      <c r="AM8940" s="2"/>
    </row>
    <row r="8941" spans="1:39">
      <c r="A8941" s="2"/>
      <c r="AM8941" s="2"/>
    </row>
    <row r="8942" spans="1:39">
      <c r="A8942" s="2"/>
      <c r="AM8942" s="2"/>
    </row>
    <row r="8943" spans="1:39">
      <c r="A8943" s="2"/>
      <c r="AM8943" s="2"/>
    </row>
    <row r="8944" spans="1:39">
      <c r="A8944" s="2"/>
      <c r="AM8944" s="2"/>
    </row>
    <row r="8945" spans="1:39">
      <c r="A8945" s="2"/>
      <c r="AM8945" s="2"/>
    </row>
    <row r="8946" spans="1:39">
      <c r="A8946" s="2"/>
      <c r="AM8946" s="2"/>
    </row>
    <row r="8947" spans="1:39">
      <c r="A8947" s="2"/>
      <c r="AM8947" s="2"/>
    </row>
    <row r="8948" spans="1:39">
      <c r="A8948" s="2"/>
      <c r="AM8948" s="2"/>
    </row>
    <row r="8949" spans="1:39">
      <c r="A8949" s="2"/>
      <c r="AM8949" s="2"/>
    </row>
    <row r="8950" spans="1:39">
      <c r="A8950" s="2"/>
      <c r="AM8950" s="2"/>
    </row>
    <row r="8951" spans="1:39">
      <c r="A8951" s="2"/>
      <c r="AM8951" s="2"/>
    </row>
    <row r="8952" spans="1:39">
      <c r="A8952" s="2"/>
      <c r="AM8952" s="2"/>
    </row>
    <row r="8953" spans="1:39">
      <c r="A8953" s="2"/>
      <c r="AM8953" s="2"/>
    </row>
    <row r="8954" spans="1:39">
      <c r="A8954" s="2"/>
      <c r="AM8954" s="2"/>
    </row>
    <row r="8955" spans="1:39">
      <c r="A8955" s="2"/>
      <c r="AM8955" s="2"/>
    </row>
    <row r="8956" spans="1:39">
      <c r="A8956" s="2"/>
      <c r="AM8956" s="2"/>
    </row>
    <row r="8957" spans="1:39">
      <c r="A8957" s="2"/>
      <c r="AM8957" s="2"/>
    </row>
    <row r="8958" spans="1:39">
      <c r="A8958" s="2"/>
      <c r="AM8958" s="2"/>
    </row>
    <row r="8959" spans="1:39">
      <c r="A8959" s="2"/>
      <c r="AM8959" s="2"/>
    </row>
    <row r="8960" spans="1:39">
      <c r="A8960" s="2"/>
      <c r="AM8960" s="2"/>
    </row>
    <row r="8961" spans="1:39">
      <c r="A8961" s="2"/>
      <c r="AM8961" s="2"/>
    </row>
    <row r="8962" spans="1:39">
      <c r="A8962" s="2"/>
      <c r="AM8962" s="2"/>
    </row>
    <row r="8963" spans="1:39">
      <c r="A8963" s="2"/>
      <c r="AM8963" s="2"/>
    </row>
    <row r="8964" spans="1:39">
      <c r="A8964" s="2"/>
      <c r="AM8964" s="2"/>
    </row>
    <row r="8965" spans="1:39">
      <c r="A8965" s="2"/>
      <c r="AM8965" s="2"/>
    </row>
    <row r="8966" spans="1:39">
      <c r="A8966" s="2"/>
      <c r="AM8966" s="2"/>
    </row>
    <row r="8967" spans="1:39">
      <c r="A8967" s="2"/>
      <c r="AM8967" s="2"/>
    </row>
    <row r="8968" spans="1:39">
      <c r="A8968" s="2"/>
      <c r="AM8968" s="2"/>
    </row>
    <row r="8969" spans="1:39">
      <c r="A8969" s="2"/>
      <c r="AM8969" s="2"/>
    </row>
    <row r="8970" spans="1:39">
      <c r="A8970" s="2"/>
      <c r="AM8970" s="2"/>
    </row>
    <row r="8971" spans="1:39">
      <c r="A8971" s="2"/>
      <c r="AM8971" s="2"/>
    </row>
    <row r="8972" spans="1:39">
      <c r="A8972" s="2"/>
      <c r="AM8972" s="2"/>
    </row>
    <row r="8973" spans="1:39">
      <c r="A8973" s="2"/>
      <c r="AM8973" s="2"/>
    </row>
    <row r="8974" spans="1:39">
      <c r="A8974" s="2"/>
      <c r="AM8974" s="2"/>
    </row>
    <row r="8975" spans="1:39">
      <c r="A8975" s="2"/>
      <c r="AM8975" s="2"/>
    </row>
    <row r="8976" spans="1:39">
      <c r="A8976" s="2"/>
      <c r="AM8976" s="2"/>
    </row>
    <row r="8977" spans="1:39">
      <c r="A8977" s="2"/>
      <c r="AM8977" s="2"/>
    </row>
    <row r="8978" spans="1:39">
      <c r="A8978" s="2"/>
      <c r="AM8978" s="2"/>
    </row>
    <row r="8979" spans="1:39">
      <c r="A8979" s="2"/>
      <c r="AM8979" s="2"/>
    </row>
    <row r="8980" spans="1:39">
      <c r="A8980" s="2"/>
      <c r="AM8980" s="2"/>
    </row>
    <row r="8981" spans="1:39">
      <c r="A8981" s="2"/>
      <c r="AM8981" s="2"/>
    </row>
    <row r="8982" spans="1:39">
      <c r="A8982" s="2"/>
      <c r="AM8982" s="2"/>
    </row>
    <row r="8983" spans="1:39">
      <c r="A8983" s="2"/>
      <c r="AM8983" s="2"/>
    </row>
    <row r="8984" spans="1:39">
      <c r="A8984" s="2"/>
      <c r="AM8984" s="2"/>
    </row>
    <row r="8985" spans="1:39">
      <c r="A8985" s="2"/>
      <c r="AM8985" s="2"/>
    </row>
    <row r="8986" spans="1:39">
      <c r="A8986" s="2"/>
      <c r="AM8986" s="2"/>
    </row>
    <row r="8987" spans="1:39">
      <c r="A8987" s="2"/>
      <c r="AM8987" s="2"/>
    </row>
    <row r="8988" spans="1:39">
      <c r="A8988" s="2"/>
      <c r="AM8988" s="2"/>
    </row>
    <row r="8989" spans="1:39">
      <c r="A8989" s="2"/>
      <c r="AM8989" s="2"/>
    </row>
    <row r="8990" spans="1:39">
      <c r="A8990" s="2"/>
      <c r="AM8990" s="2"/>
    </row>
    <row r="8991" spans="1:39">
      <c r="A8991" s="2"/>
      <c r="AM8991" s="2"/>
    </row>
    <row r="8992" spans="1:39">
      <c r="A8992" s="2"/>
      <c r="AM8992" s="2"/>
    </row>
    <row r="8993" spans="1:39">
      <c r="A8993" s="2"/>
      <c r="AM8993" s="2"/>
    </row>
    <row r="8994" spans="1:39">
      <c r="A8994" s="2"/>
      <c r="AM8994" s="2"/>
    </row>
    <row r="8995" spans="1:39">
      <c r="A8995" s="2"/>
      <c r="AM8995" s="2"/>
    </row>
    <row r="8996" spans="1:39">
      <c r="A8996" s="2"/>
      <c r="AM8996" s="2"/>
    </row>
    <row r="8997" spans="1:39">
      <c r="A8997" s="2"/>
      <c r="AM8997" s="2"/>
    </row>
    <row r="8998" spans="1:39">
      <c r="A8998" s="2"/>
      <c r="AM8998" s="2"/>
    </row>
    <row r="8999" spans="1:39">
      <c r="A8999" s="2"/>
      <c r="AM8999" s="2"/>
    </row>
    <row r="9000" spans="1:39">
      <c r="A9000" s="2"/>
      <c r="AM9000" s="2"/>
    </row>
    <row r="9001" spans="1:39">
      <c r="A9001" s="2"/>
      <c r="AM9001" s="2"/>
    </row>
    <row r="9002" spans="1:39">
      <c r="A9002" s="2"/>
      <c r="AM9002" s="2"/>
    </row>
    <row r="9003" spans="1:39">
      <c r="A9003" s="2"/>
      <c r="AM9003" s="2"/>
    </row>
    <row r="9004" spans="1:39">
      <c r="A9004" s="2"/>
      <c r="AM9004" s="2"/>
    </row>
    <row r="9005" spans="1:39">
      <c r="A9005" s="2"/>
      <c r="AM9005" s="2"/>
    </row>
    <row r="9006" spans="1:39">
      <c r="A9006" s="2"/>
      <c r="AM9006" s="2"/>
    </row>
    <row r="9007" spans="1:39">
      <c r="A9007" s="2"/>
      <c r="AM9007" s="2"/>
    </row>
    <row r="9008" spans="1:39">
      <c r="A9008" s="2"/>
      <c r="AM9008" s="2"/>
    </row>
    <row r="9009" spans="1:39">
      <c r="A9009" s="2"/>
      <c r="AM9009" s="2"/>
    </row>
    <row r="9010" spans="1:39">
      <c r="A9010" s="2"/>
      <c r="AM9010" s="2"/>
    </row>
    <row r="9011" spans="1:39">
      <c r="A9011" s="2"/>
      <c r="AM9011" s="2"/>
    </row>
    <row r="9012" spans="1:39">
      <c r="A9012" s="2"/>
      <c r="AM9012" s="2"/>
    </row>
    <row r="9013" spans="1:39">
      <c r="A9013" s="2"/>
      <c r="AM9013" s="2"/>
    </row>
    <row r="9014" spans="1:39">
      <c r="A9014" s="2"/>
      <c r="AM9014" s="2"/>
    </row>
    <row r="9015" spans="1:39">
      <c r="A9015" s="2"/>
      <c r="AM9015" s="2"/>
    </row>
    <row r="9016" spans="1:39">
      <c r="A9016" s="2"/>
      <c r="AM9016" s="2"/>
    </row>
    <row r="9017" spans="1:39">
      <c r="A9017" s="2"/>
      <c r="AM9017" s="2"/>
    </row>
    <row r="9018" spans="1:39">
      <c r="A9018" s="2"/>
      <c r="AM9018" s="2"/>
    </row>
    <row r="9019" spans="1:39">
      <c r="A9019" s="2"/>
      <c r="AM9019" s="2"/>
    </row>
    <row r="9020" spans="1:39">
      <c r="A9020" s="2"/>
      <c r="AM9020" s="2"/>
    </row>
    <row r="9021" spans="1:39">
      <c r="A9021" s="2"/>
      <c r="AM9021" s="2"/>
    </row>
    <row r="9022" spans="1:39">
      <c r="A9022" s="2"/>
      <c r="AM9022" s="2"/>
    </row>
    <row r="9023" spans="1:39">
      <c r="A9023" s="2"/>
      <c r="AM9023" s="2"/>
    </row>
    <row r="9024" spans="1:39">
      <c r="A9024" s="2"/>
      <c r="AM9024" s="2"/>
    </row>
    <row r="9025" spans="1:39">
      <c r="A9025" s="2"/>
      <c r="AM9025" s="2"/>
    </row>
    <row r="9026" spans="1:39">
      <c r="A9026" s="2"/>
      <c r="AM9026" s="2"/>
    </row>
    <row r="9027" spans="1:39">
      <c r="A9027" s="2"/>
      <c r="AM9027" s="2"/>
    </row>
    <row r="9028" spans="1:39">
      <c r="A9028" s="2"/>
      <c r="AM9028" s="2"/>
    </row>
    <row r="9029" spans="1:39">
      <c r="A9029" s="2"/>
      <c r="AM9029" s="2"/>
    </row>
    <row r="9030" spans="1:39">
      <c r="A9030" s="2"/>
      <c r="AM9030" s="2"/>
    </row>
    <row r="9031" spans="1:39">
      <c r="A9031" s="2"/>
      <c r="AM9031" s="2"/>
    </row>
    <row r="9032" spans="1:39">
      <c r="A9032" s="2"/>
      <c r="AM9032" s="2"/>
    </row>
    <row r="9033" spans="1:39">
      <c r="A9033" s="2"/>
      <c r="AM9033" s="2"/>
    </row>
    <row r="9034" spans="1:39">
      <c r="A9034" s="2"/>
      <c r="AM9034" s="2"/>
    </row>
    <row r="9035" spans="1:39">
      <c r="A9035" s="2"/>
      <c r="AM9035" s="2"/>
    </row>
    <row r="9036" spans="1:39">
      <c r="A9036" s="2"/>
      <c r="AM9036" s="2"/>
    </row>
    <row r="9037" spans="1:39">
      <c r="A9037" s="2"/>
      <c r="AM9037" s="2"/>
    </row>
    <row r="9038" spans="1:39">
      <c r="A9038" s="2"/>
      <c r="AM9038" s="2"/>
    </row>
    <row r="9039" spans="1:39">
      <c r="A9039" s="2"/>
      <c r="AM9039" s="2"/>
    </row>
    <row r="9040" spans="1:39">
      <c r="A9040" s="2"/>
      <c r="AM9040" s="2"/>
    </row>
    <row r="9041" spans="1:39">
      <c r="A9041" s="2"/>
      <c r="AM9041" s="2"/>
    </row>
    <row r="9042" spans="1:39">
      <c r="A9042" s="2"/>
      <c r="AM9042" s="2"/>
    </row>
    <row r="9043" spans="1:39">
      <c r="A9043" s="2"/>
      <c r="AM9043" s="2"/>
    </row>
    <row r="9044" spans="1:39">
      <c r="A9044" s="2"/>
      <c r="AM9044" s="2"/>
    </row>
    <row r="9045" spans="1:39">
      <c r="A9045" s="2"/>
      <c r="AM9045" s="2"/>
    </row>
    <row r="9046" spans="1:39">
      <c r="A9046" s="2"/>
      <c r="AM9046" s="2"/>
    </row>
    <row r="9047" spans="1:39">
      <c r="A9047" s="2"/>
      <c r="AM9047" s="2"/>
    </row>
    <row r="9048" spans="1:39">
      <c r="A9048" s="2"/>
      <c r="AM9048" s="2"/>
    </row>
    <row r="9049" spans="1:39">
      <c r="A9049" s="2"/>
      <c r="AM9049" s="2"/>
    </row>
    <row r="9050" spans="1:39">
      <c r="A9050" s="2"/>
      <c r="AM9050" s="2"/>
    </row>
    <row r="9051" spans="1:39">
      <c r="A9051" s="2"/>
      <c r="AM9051" s="2"/>
    </row>
    <row r="9052" spans="1:39">
      <c r="A9052" s="2"/>
      <c r="AM9052" s="2"/>
    </row>
    <row r="9053" spans="1:39">
      <c r="A9053" s="2"/>
      <c r="AM9053" s="2"/>
    </row>
    <row r="9054" spans="1:39">
      <c r="A9054" s="2"/>
      <c r="AM9054" s="2"/>
    </row>
    <row r="9055" spans="1:39">
      <c r="A9055" s="2"/>
      <c r="AM9055" s="2"/>
    </row>
    <row r="9056" spans="1:39">
      <c r="A9056" s="2"/>
      <c r="AM9056" s="2"/>
    </row>
    <row r="9057" spans="1:39">
      <c r="A9057" s="2"/>
      <c r="AM9057" s="2"/>
    </row>
    <row r="9058" spans="1:39">
      <c r="A9058" s="2"/>
      <c r="AM9058" s="2"/>
    </row>
    <row r="9059" spans="1:39">
      <c r="A9059" s="2"/>
      <c r="AM9059" s="2"/>
    </row>
    <row r="9060" spans="1:39">
      <c r="A9060" s="2"/>
      <c r="AM9060" s="2"/>
    </row>
    <row r="9061" spans="1:39">
      <c r="A9061" s="2"/>
      <c r="AM9061" s="2"/>
    </row>
    <row r="9062" spans="1:39">
      <c r="A9062" s="2"/>
      <c r="AM9062" s="2"/>
    </row>
    <row r="9063" spans="1:39">
      <c r="A9063" s="2"/>
      <c r="AM9063" s="2"/>
    </row>
    <row r="9064" spans="1:39">
      <c r="A9064" s="2"/>
      <c r="AM9064" s="2"/>
    </row>
    <row r="9065" spans="1:39">
      <c r="A9065" s="2"/>
      <c r="AM9065" s="2"/>
    </row>
    <row r="9066" spans="1:39">
      <c r="A9066" s="2"/>
      <c r="AM9066" s="2"/>
    </row>
    <row r="9067" spans="1:39">
      <c r="A9067" s="2"/>
      <c r="AM9067" s="2"/>
    </row>
    <row r="9068" spans="1:39">
      <c r="A9068" s="2"/>
      <c r="AM9068" s="2"/>
    </row>
    <row r="9069" spans="1:39">
      <c r="A9069" s="2"/>
      <c r="AM9069" s="2"/>
    </row>
    <row r="9070" spans="1:39">
      <c r="A9070" s="2"/>
      <c r="AM9070" s="2"/>
    </row>
    <row r="9071" spans="1:39">
      <c r="A9071" s="2"/>
      <c r="AM9071" s="2"/>
    </row>
    <row r="9072" spans="1:39">
      <c r="A9072" s="2"/>
      <c r="AM9072" s="2"/>
    </row>
    <row r="9073" spans="1:39">
      <c r="A9073" s="2"/>
      <c r="AM9073" s="2"/>
    </row>
    <row r="9074" spans="1:39">
      <c r="A9074" s="2"/>
      <c r="AM9074" s="2"/>
    </row>
    <row r="9075" spans="1:39">
      <c r="A9075" s="2"/>
      <c r="AM9075" s="2"/>
    </row>
    <row r="9076" spans="1:39">
      <c r="A9076" s="2"/>
      <c r="AM9076" s="2"/>
    </row>
    <row r="9077" spans="1:39">
      <c r="A9077" s="2"/>
      <c r="AM9077" s="2"/>
    </row>
    <row r="9078" spans="1:39">
      <c r="A9078" s="2"/>
      <c r="AM9078" s="2"/>
    </row>
    <row r="9079" spans="1:39">
      <c r="A9079" s="2"/>
      <c r="AM9079" s="2"/>
    </row>
    <row r="9080" spans="1:39">
      <c r="A9080" s="2"/>
      <c r="AM9080" s="2"/>
    </row>
    <row r="9081" spans="1:39">
      <c r="A9081" s="2"/>
      <c r="AM9081" s="2"/>
    </row>
    <row r="9082" spans="1:39">
      <c r="A9082" s="2"/>
      <c r="AM9082" s="2"/>
    </row>
    <row r="9083" spans="1:39">
      <c r="A9083" s="2"/>
      <c r="AM9083" s="2"/>
    </row>
    <row r="9084" spans="1:39">
      <c r="A9084" s="2"/>
      <c r="AM9084" s="2"/>
    </row>
    <row r="9085" spans="1:39">
      <c r="A9085" s="2"/>
      <c r="AM9085" s="2"/>
    </row>
    <row r="9086" spans="1:39">
      <c r="A9086" s="2"/>
      <c r="AM9086" s="2"/>
    </row>
    <row r="9087" spans="1:39">
      <c r="A9087" s="2"/>
      <c r="AM9087" s="2"/>
    </row>
    <row r="9088" spans="1:39">
      <c r="A9088" s="2"/>
      <c r="AM9088" s="2"/>
    </row>
    <row r="9089" spans="1:39">
      <c r="A9089" s="2"/>
      <c r="AM9089" s="2"/>
    </row>
    <row r="9090" spans="1:39">
      <c r="A9090" s="2"/>
      <c r="AM9090" s="2"/>
    </row>
    <row r="9091" spans="1:39">
      <c r="A9091" s="2"/>
      <c r="AM9091" s="2"/>
    </row>
    <row r="9092" spans="1:39">
      <c r="A9092" s="2"/>
      <c r="AM9092" s="2"/>
    </row>
    <row r="9093" spans="1:39">
      <c r="A9093" s="2"/>
      <c r="AM9093" s="2"/>
    </row>
    <row r="9094" spans="1:39">
      <c r="A9094" s="2"/>
      <c r="AM9094" s="2"/>
    </row>
    <row r="9095" spans="1:39">
      <c r="A9095" s="2"/>
      <c r="AM9095" s="2"/>
    </row>
    <row r="9096" spans="1:39">
      <c r="A9096" s="2"/>
      <c r="AM9096" s="2"/>
    </row>
    <row r="9097" spans="1:39">
      <c r="A9097" s="2"/>
      <c r="AM9097" s="2"/>
    </row>
    <row r="9098" spans="1:39">
      <c r="A9098" s="2"/>
      <c r="AM9098" s="2"/>
    </row>
    <row r="9099" spans="1:39">
      <c r="A9099" s="2"/>
      <c r="AM9099" s="2"/>
    </row>
    <row r="9100" spans="1:39">
      <c r="A9100" s="2"/>
      <c r="AM9100" s="2"/>
    </row>
    <row r="9101" spans="1:39">
      <c r="A9101" s="2"/>
      <c r="AM9101" s="2"/>
    </row>
    <row r="9102" spans="1:39">
      <c r="A9102" s="2"/>
      <c r="AM9102" s="2"/>
    </row>
    <row r="9103" spans="1:39">
      <c r="A9103" s="2"/>
      <c r="AM9103" s="2"/>
    </row>
    <row r="9104" spans="1:39">
      <c r="A9104" s="2"/>
      <c r="AM9104" s="2"/>
    </row>
    <row r="9105" spans="1:39">
      <c r="A9105" s="2"/>
      <c r="AM9105" s="2"/>
    </row>
    <row r="9106" spans="1:39">
      <c r="A9106" s="2"/>
      <c r="AM9106" s="2"/>
    </row>
    <row r="9107" spans="1:39">
      <c r="A9107" s="2"/>
      <c r="AM9107" s="2"/>
    </row>
    <row r="9108" spans="1:39">
      <c r="A9108" s="2"/>
      <c r="AM9108" s="2"/>
    </row>
    <row r="9109" spans="1:39">
      <c r="A9109" s="2"/>
      <c r="AM9109" s="2"/>
    </row>
    <row r="9110" spans="1:39">
      <c r="A9110" s="2"/>
      <c r="AM9110" s="2"/>
    </row>
    <row r="9111" spans="1:39">
      <c r="A9111" s="2"/>
      <c r="AM9111" s="2"/>
    </row>
    <row r="9112" spans="1:39">
      <c r="A9112" s="2"/>
      <c r="AM9112" s="2"/>
    </row>
    <row r="9113" spans="1:39">
      <c r="A9113" s="2"/>
      <c r="AM9113" s="2"/>
    </row>
    <row r="9114" spans="1:39">
      <c r="A9114" s="2"/>
      <c r="AM9114" s="2"/>
    </row>
    <row r="9115" spans="1:39">
      <c r="A9115" s="2"/>
      <c r="AM9115" s="2"/>
    </row>
    <row r="9116" spans="1:39">
      <c r="A9116" s="2"/>
      <c r="AM9116" s="2"/>
    </row>
    <row r="9117" spans="1:39">
      <c r="A9117" s="2"/>
      <c r="AM9117" s="2"/>
    </row>
    <row r="9118" spans="1:39">
      <c r="A9118" s="2"/>
      <c r="AM9118" s="2"/>
    </row>
    <row r="9119" spans="1:39">
      <c r="A9119" s="2"/>
      <c r="AM9119" s="2"/>
    </row>
    <row r="9120" spans="1:39">
      <c r="A9120" s="2"/>
      <c r="AM9120" s="2"/>
    </row>
    <row r="9121" spans="1:39">
      <c r="A9121" s="2"/>
      <c r="AM9121" s="2"/>
    </row>
    <row r="9122" spans="1:39">
      <c r="A9122" s="2"/>
      <c r="AM9122" s="2"/>
    </row>
    <row r="9123" spans="1:39">
      <c r="A9123" s="2"/>
      <c r="AM9123" s="2"/>
    </row>
    <row r="9124" spans="1:39">
      <c r="A9124" s="2"/>
      <c r="AM9124" s="2"/>
    </row>
    <row r="9125" spans="1:39">
      <c r="A9125" s="2"/>
      <c r="AM9125" s="2"/>
    </row>
    <row r="9126" spans="1:39">
      <c r="A9126" s="2"/>
      <c r="AM9126" s="2"/>
    </row>
    <row r="9127" spans="1:39">
      <c r="A9127" s="2"/>
      <c r="AM9127" s="2"/>
    </row>
    <row r="9128" spans="1:39">
      <c r="A9128" s="2"/>
      <c r="AM9128" s="2"/>
    </row>
    <row r="9129" spans="1:39">
      <c r="A9129" s="2"/>
      <c r="AM9129" s="2"/>
    </row>
    <row r="9130" spans="1:39">
      <c r="A9130" s="2"/>
      <c r="AM9130" s="2"/>
    </row>
    <row r="9131" spans="1:39">
      <c r="A9131" s="2"/>
      <c r="AM9131" s="2"/>
    </row>
    <row r="9132" spans="1:39">
      <c r="A9132" s="2"/>
      <c r="AM9132" s="2"/>
    </row>
    <row r="9133" spans="1:39">
      <c r="A9133" s="2"/>
      <c r="AM9133" s="2"/>
    </row>
    <row r="9134" spans="1:39">
      <c r="A9134" s="2"/>
      <c r="AM9134" s="2"/>
    </row>
    <row r="9135" spans="1:39">
      <c r="A9135" s="2"/>
      <c r="AM9135" s="2"/>
    </row>
    <row r="9136" spans="1:39">
      <c r="A9136" s="2"/>
      <c r="AM9136" s="2"/>
    </row>
    <row r="9137" spans="1:39">
      <c r="A9137" s="2"/>
      <c r="AM9137" s="2"/>
    </row>
    <row r="9138" spans="1:39">
      <c r="A9138" s="2"/>
      <c r="AM9138" s="2"/>
    </row>
    <row r="9139" spans="1:39">
      <c r="A9139" s="2"/>
      <c r="AM9139" s="2"/>
    </row>
    <row r="9140" spans="1:39">
      <c r="A9140" s="2"/>
      <c r="AM9140" s="2"/>
    </row>
    <row r="9141" spans="1:39">
      <c r="A9141" s="2"/>
      <c r="AM9141" s="2"/>
    </row>
    <row r="9142" spans="1:39">
      <c r="A9142" s="2"/>
      <c r="AM9142" s="2"/>
    </row>
    <row r="9143" spans="1:39">
      <c r="A9143" s="2"/>
      <c r="AM9143" s="2"/>
    </row>
    <row r="9144" spans="1:39">
      <c r="A9144" s="2"/>
      <c r="AM9144" s="2"/>
    </row>
    <row r="9145" spans="1:39">
      <c r="A9145" s="2"/>
      <c r="AM9145" s="2"/>
    </row>
    <row r="9146" spans="1:39">
      <c r="A9146" s="2"/>
      <c r="AM9146" s="2"/>
    </row>
    <row r="9147" spans="1:39">
      <c r="A9147" s="2"/>
      <c r="AM9147" s="2"/>
    </row>
    <row r="9148" spans="1:39">
      <c r="A9148" s="2"/>
      <c r="AM9148" s="2"/>
    </row>
    <row r="9149" spans="1:39">
      <c r="A9149" s="2"/>
      <c r="AM9149" s="2"/>
    </row>
    <row r="9150" spans="1:39">
      <c r="A9150" s="2"/>
      <c r="AM9150" s="2"/>
    </row>
    <row r="9151" spans="1:39">
      <c r="A9151" s="2"/>
      <c r="AM9151" s="2"/>
    </row>
    <row r="9152" spans="1:39">
      <c r="A9152" s="2"/>
      <c r="AM9152" s="2"/>
    </row>
    <row r="9153" spans="1:39">
      <c r="A9153" s="2"/>
      <c r="AM9153" s="2"/>
    </row>
    <row r="9154" spans="1:39">
      <c r="A9154" s="2"/>
      <c r="AM9154" s="2"/>
    </row>
    <row r="9155" spans="1:39">
      <c r="A9155" s="2"/>
      <c r="AM9155" s="2"/>
    </row>
    <row r="9156" spans="1:39">
      <c r="A9156" s="2"/>
      <c r="AM9156" s="2"/>
    </row>
    <row r="9157" spans="1:39">
      <c r="A9157" s="2"/>
      <c r="AM9157" s="2"/>
    </row>
    <row r="9158" spans="1:39">
      <c r="A9158" s="2"/>
      <c r="AM9158" s="2"/>
    </row>
    <row r="9159" spans="1:39">
      <c r="A9159" s="2"/>
      <c r="AM9159" s="2"/>
    </row>
    <row r="9160" spans="1:39">
      <c r="A9160" s="2"/>
      <c r="AM9160" s="2"/>
    </row>
    <row r="9161" spans="1:39">
      <c r="A9161" s="2"/>
      <c r="AM9161" s="2"/>
    </row>
    <row r="9162" spans="1:39">
      <c r="A9162" s="2"/>
      <c r="AM9162" s="2"/>
    </row>
    <row r="9163" spans="1:39">
      <c r="A9163" s="2"/>
      <c r="AM9163" s="2"/>
    </row>
    <row r="9164" spans="1:39">
      <c r="A9164" s="2"/>
      <c r="AM9164" s="2"/>
    </row>
    <row r="9165" spans="1:39">
      <c r="A9165" s="2"/>
      <c r="AM9165" s="2"/>
    </row>
    <row r="9166" spans="1:39">
      <c r="A9166" s="2"/>
      <c r="AM9166" s="2"/>
    </row>
    <row r="9167" spans="1:39">
      <c r="A9167" s="2"/>
      <c r="AM9167" s="2"/>
    </row>
    <row r="9168" spans="1:39">
      <c r="A9168" s="2"/>
      <c r="AM9168" s="2"/>
    </row>
    <row r="9169" spans="1:39">
      <c r="A9169" s="2"/>
      <c r="AM9169" s="2"/>
    </row>
    <row r="9170" spans="1:39">
      <c r="A9170" s="2"/>
      <c r="AM9170" s="2"/>
    </row>
    <row r="9171" spans="1:39">
      <c r="A9171" s="2"/>
      <c r="AM9171" s="2"/>
    </row>
    <row r="9172" spans="1:39">
      <c r="A9172" s="2"/>
      <c r="AM9172" s="2"/>
    </row>
    <row r="9173" spans="1:39">
      <c r="A9173" s="2"/>
      <c r="AM9173" s="2"/>
    </row>
    <row r="9174" spans="1:39">
      <c r="A9174" s="2"/>
      <c r="AM9174" s="2"/>
    </row>
    <row r="9175" spans="1:39">
      <c r="A9175" s="2"/>
      <c r="AM9175" s="2"/>
    </row>
    <row r="9176" spans="1:39">
      <c r="A9176" s="2"/>
      <c r="AM9176" s="2"/>
    </row>
    <row r="9177" spans="1:39">
      <c r="A9177" s="2"/>
      <c r="AM9177" s="2"/>
    </row>
    <row r="9178" spans="1:39">
      <c r="A9178" s="2"/>
      <c r="AM9178" s="2"/>
    </row>
    <row r="9179" spans="1:39">
      <c r="A9179" s="2"/>
      <c r="AM9179" s="2"/>
    </row>
    <row r="9180" spans="1:39">
      <c r="A9180" s="2"/>
      <c r="AM9180" s="2"/>
    </row>
    <row r="9181" spans="1:39">
      <c r="A9181" s="2"/>
      <c r="AM9181" s="2"/>
    </row>
    <row r="9182" spans="1:39">
      <c r="A9182" s="2"/>
      <c r="AM9182" s="2"/>
    </row>
    <row r="9183" spans="1:39">
      <c r="A9183" s="2"/>
      <c r="AM9183" s="2"/>
    </row>
    <row r="9184" spans="1:39">
      <c r="A9184" s="2"/>
      <c r="AM9184" s="2"/>
    </row>
    <row r="9185" spans="1:39">
      <c r="A9185" s="2"/>
      <c r="AM9185" s="2"/>
    </row>
    <row r="9186" spans="1:39">
      <c r="A9186" s="2"/>
      <c r="AM9186" s="2"/>
    </row>
    <row r="9187" spans="1:39">
      <c r="A9187" s="2"/>
      <c r="AM9187" s="2"/>
    </row>
    <row r="9188" spans="1:39">
      <c r="A9188" s="2"/>
      <c r="AM9188" s="2"/>
    </row>
    <row r="9189" spans="1:39">
      <c r="A9189" s="2"/>
      <c r="AM9189" s="2"/>
    </row>
    <row r="9190" spans="1:39">
      <c r="A9190" s="2"/>
      <c r="AM9190" s="2"/>
    </row>
    <row r="9191" spans="1:39">
      <c r="A9191" s="2"/>
      <c r="AM9191" s="2"/>
    </row>
    <row r="9192" spans="1:39">
      <c r="A9192" s="2"/>
      <c r="AM9192" s="2"/>
    </row>
    <row r="9193" spans="1:39">
      <c r="A9193" s="2"/>
      <c r="AM9193" s="2"/>
    </row>
    <row r="9194" spans="1:39">
      <c r="A9194" s="2"/>
      <c r="AM9194" s="2"/>
    </row>
    <row r="9195" spans="1:39">
      <c r="A9195" s="2"/>
      <c r="AM9195" s="2"/>
    </row>
    <row r="9196" spans="1:39">
      <c r="A9196" s="2"/>
      <c r="AM9196" s="2"/>
    </row>
    <row r="9197" spans="1:39">
      <c r="A9197" s="2"/>
      <c r="AM9197" s="2"/>
    </row>
    <row r="9198" spans="1:39">
      <c r="A9198" s="2"/>
      <c r="AM9198" s="2"/>
    </row>
    <row r="9199" spans="1:39">
      <c r="A9199" s="2"/>
      <c r="AM9199" s="2"/>
    </row>
    <row r="9200" spans="1:39">
      <c r="A9200" s="2"/>
      <c r="AM9200" s="2"/>
    </row>
    <row r="9201" spans="1:39">
      <c r="A9201" s="2"/>
      <c r="AM9201" s="2"/>
    </row>
    <row r="9202" spans="1:39">
      <c r="A9202" s="2"/>
      <c r="AM9202" s="2"/>
    </row>
    <row r="9203" spans="1:39">
      <c r="A9203" s="2"/>
      <c r="AM9203" s="2"/>
    </row>
    <row r="9204" spans="1:39">
      <c r="A9204" s="2"/>
      <c r="AM9204" s="2"/>
    </row>
    <row r="9205" spans="1:39">
      <c r="A9205" s="2"/>
      <c r="AM9205" s="2"/>
    </row>
    <row r="9206" spans="1:39">
      <c r="A9206" s="2"/>
      <c r="AM9206" s="2"/>
    </row>
    <row r="9207" spans="1:39">
      <c r="A9207" s="2"/>
      <c r="AM9207" s="2"/>
    </row>
    <row r="9208" spans="1:39">
      <c r="A9208" s="2"/>
      <c r="AM9208" s="2"/>
    </row>
    <row r="9209" spans="1:39">
      <c r="A9209" s="2"/>
      <c r="AM9209" s="2"/>
    </row>
    <row r="9210" spans="1:39">
      <c r="A9210" s="2"/>
      <c r="AM9210" s="2"/>
    </row>
    <row r="9211" spans="1:39">
      <c r="A9211" s="2"/>
      <c r="AM9211" s="2"/>
    </row>
    <row r="9212" spans="1:39">
      <c r="A9212" s="2"/>
      <c r="AM9212" s="2"/>
    </row>
    <row r="9213" spans="1:39">
      <c r="A9213" s="2"/>
      <c r="AM9213" s="2"/>
    </row>
    <row r="9214" spans="1:39">
      <c r="A9214" s="2"/>
      <c r="AM9214" s="2"/>
    </row>
    <row r="9215" spans="1:39">
      <c r="A9215" s="2"/>
      <c r="AM9215" s="2"/>
    </row>
    <row r="9216" spans="1:39">
      <c r="A9216" s="2"/>
      <c r="AM9216" s="2"/>
    </row>
    <row r="9217" spans="1:39">
      <c r="A9217" s="2"/>
      <c r="AM9217" s="2"/>
    </row>
    <row r="9218" spans="1:39">
      <c r="A9218" s="2"/>
      <c r="AM9218" s="2"/>
    </row>
    <row r="9219" spans="1:39">
      <c r="A9219" s="2"/>
      <c r="AM9219" s="2"/>
    </row>
    <row r="9220" spans="1:39">
      <c r="A9220" s="2"/>
      <c r="AM9220" s="2"/>
    </row>
    <row r="9221" spans="1:39">
      <c r="A9221" s="2"/>
      <c r="AM9221" s="2"/>
    </row>
    <row r="9222" spans="1:39">
      <c r="A9222" s="2"/>
      <c r="AM9222" s="2"/>
    </row>
    <row r="9223" spans="1:39">
      <c r="A9223" s="2"/>
      <c r="AM9223" s="2"/>
    </row>
    <row r="9224" spans="1:39">
      <c r="A9224" s="2"/>
      <c r="AM9224" s="2"/>
    </row>
    <row r="9225" spans="1:39">
      <c r="A9225" s="2"/>
      <c r="AM9225" s="2"/>
    </row>
    <row r="9226" spans="1:39">
      <c r="A9226" s="2"/>
      <c r="AM9226" s="2"/>
    </row>
    <row r="9227" spans="1:39">
      <c r="A9227" s="2"/>
      <c r="AM9227" s="2"/>
    </row>
    <row r="9228" spans="1:39">
      <c r="A9228" s="2"/>
      <c r="AM9228" s="2"/>
    </row>
    <row r="9229" spans="1:39">
      <c r="A9229" s="2"/>
      <c r="AM9229" s="2"/>
    </row>
    <row r="9230" spans="1:39">
      <c r="A9230" s="2"/>
      <c r="AM9230" s="2"/>
    </row>
    <row r="9231" spans="1:39">
      <c r="A9231" s="2"/>
      <c r="AM9231" s="2"/>
    </row>
    <row r="9232" spans="1:39">
      <c r="A9232" s="2"/>
      <c r="AM9232" s="2"/>
    </row>
    <row r="9233" spans="1:39">
      <c r="A9233" s="2"/>
      <c r="AM9233" s="2"/>
    </row>
    <row r="9234" spans="1:39">
      <c r="A9234" s="2"/>
      <c r="AM9234" s="2"/>
    </row>
    <row r="9235" spans="1:39">
      <c r="A9235" s="2"/>
      <c r="AM9235" s="2"/>
    </row>
    <row r="9236" spans="1:39">
      <c r="A9236" s="2"/>
      <c r="AM9236" s="2"/>
    </row>
    <row r="9237" spans="1:39">
      <c r="A9237" s="2"/>
      <c r="AM9237" s="2"/>
    </row>
    <row r="9238" spans="1:39">
      <c r="A9238" s="2"/>
      <c r="AM9238" s="2"/>
    </row>
    <row r="9239" spans="1:39">
      <c r="A9239" s="2"/>
      <c r="AM9239" s="2"/>
    </row>
    <row r="9240" spans="1:39">
      <c r="A9240" s="2"/>
      <c r="AM9240" s="2"/>
    </row>
    <row r="9241" spans="1:39">
      <c r="A9241" s="2"/>
      <c r="AM9241" s="2"/>
    </row>
    <row r="9242" spans="1:39">
      <c r="A9242" s="2"/>
      <c r="AM9242" s="2"/>
    </row>
    <row r="9243" spans="1:39">
      <c r="A9243" s="2"/>
      <c r="AM9243" s="2"/>
    </row>
    <row r="9244" spans="1:39">
      <c r="A9244" s="2"/>
      <c r="AM9244" s="2"/>
    </row>
    <row r="9245" spans="1:39">
      <c r="A9245" s="2"/>
      <c r="AM9245" s="2"/>
    </row>
    <row r="9246" spans="1:39">
      <c r="A9246" s="2"/>
      <c r="AM9246" s="2"/>
    </row>
    <row r="9247" spans="1:39">
      <c r="A9247" s="2"/>
      <c r="AM9247" s="2"/>
    </row>
    <row r="9248" spans="1:39">
      <c r="A9248" s="2"/>
      <c r="AM9248" s="2"/>
    </row>
    <row r="9249" spans="1:39">
      <c r="A9249" s="2"/>
      <c r="AM9249" s="2"/>
    </row>
    <row r="9250" spans="1:39">
      <c r="A9250" s="2"/>
      <c r="AM9250" s="2"/>
    </row>
    <row r="9251" spans="1:39">
      <c r="A9251" s="2"/>
      <c r="AM9251" s="2"/>
    </row>
    <row r="9252" spans="1:39">
      <c r="A9252" s="2"/>
      <c r="AM9252" s="2"/>
    </row>
    <row r="9253" spans="1:39">
      <c r="A9253" s="2"/>
      <c r="AM9253" s="2"/>
    </row>
    <row r="9254" spans="1:39">
      <c r="A9254" s="2"/>
      <c r="AM9254" s="2"/>
    </row>
    <row r="9255" spans="1:39">
      <c r="A9255" s="2"/>
      <c r="AM9255" s="2"/>
    </row>
    <row r="9256" spans="1:39">
      <c r="A9256" s="2"/>
      <c r="AM9256" s="2"/>
    </row>
    <row r="9257" spans="1:39">
      <c r="A9257" s="2"/>
      <c r="AM9257" s="2"/>
    </row>
    <row r="9258" spans="1:39">
      <c r="A9258" s="2"/>
      <c r="AM9258" s="2"/>
    </row>
    <row r="9259" spans="1:39">
      <c r="A9259" s="2"/>
      <c r="AM9259" s="2"/>
    </row>
    <row r="9260" spans="1:39">
      <c r="A9260" s="2"/>
      <c r="AM9260" s="2"/>
    </row>
    <row r="9261" spans="1:39">
      <c r="A9261" s="2"/>
      <c r="AM9261" s="2"/>
    </row>
    <row r="9262" spans="1:39">
      <c r="A9262" s="2"/>
      <c r="AM9262" s="2"/>
    </row>
    <row r="9263" spans="1:39">
      <c r="A9263" s="2"/>
      <c r="AM9263" s="2"/>
    </row>
    <row r="9264" spans="1:39">
      <c r="A9264" s="2"/>
      <c r="AM9264" s="2"/>
    </row>
    <row r="9265" spans="1:39">
      <c r="A9265" s="2"/>
      <c r="AM9265" s="2"/>
    </row>
    <row r="9266" spans="1:39">
      <c r="A9266" s="2"/>
      <c r="AM9266" s="2"/>
    </row>
    <row r="9267" spans="1:39">
      <c r="A9267" s="2"/>
      <c r="AM9267" s="2"/>
    </row>
    <row r="9268" spans="1:39">
      <c r="A9268" s="2"/>
      <c r="AM9268" s="2"/>
    </row>
    <row r="9269" spans="1:39">
      <c r="A9269" s="2"/>
      <c r="AM9269" s="2"/>
    </row>
    <row r="9270" spans="1:39">
      <c r="A9270" s="2"/>
      <c r="AM9270" s="2"/>
    </row>
    <row r="9271" spans="1:39">
      <c r="A9271" s="2"/>
      <c r="AM9271" s="2"/>
    </row>
    <row r="9272" spans="1:39">
      <c r="A9272" s="2"/>
      <c r="AM9272" s="2"/>
    </row>
    <row r="9273" spans="1:39">
      <c r="A9273" s="2"/>
      <c r="AM9273" s="2"/>
    </row>
    <row r="9274" spans="1:39">
      <c r="A9274" s="2"/>
      <c r="AM9274" s="2"/>
    </row>
    <row r="9275" spans="1:39">
      <c r="A9275" s="2"/>
      <c r="AM9275" s="2"/>
    </row>
    <row r="9276" spans="1:39">
      <c r="A9276" s="2"/>
      <c r="AM9276" s="2"/>
    </row>
    <row r="9277" spans="1:39">
      <c r="A9277" s="2"/>
      <c r="AM9277" s="2"/>
    </row>
    <row r="9278" spans="1:39">
      <c r="A9278" s="2"/>
      <c r="AM9278" s="2"/>
    </row>
    <row r="9279" spans="1:39">
      <c r="A9279" s="2"/>
      <c r="AM9279" s="2"/>
    </row>
    <row r="9280" spans="1:39">
      <c r="A9280" s="2"/>
      <c r="AM9280" s="2"/>
    </row>
    <row r="9281" spans="1:39">
      <c r="A9281" s="2"/>
      <c r="AM9281" s="2"/>
    </row>
    <row r="9282" spans="1:39">
      <c r="A9282" s="2"/>
      <c r="AM9282" s="2"/>
    </row>
    <row r="9283" spans="1:39">
      <c r="A9283" s="2"/>
      <c r="AM9283" s="2"/>
    </row>
    <row r="9284" spans="1:39">
      <c r="A9284" s="2"/>
      <c r="AM9284" s="2"/>
    </row>
    <row r="9285" spans="1:39">
      <c r="A9285" s="2"/>
      <c r="AM9285" s="2"/>
    </row>
    <row r="9286" spans="1:39">
      <c r="A9286" s="2"/>
      <c r="AM9286" s="2"/>
    </row>
    <row r="9287" spans="1:39">
      <c r="A9287" s="2"/>
      <c r="AM9287" s="2"/>
    </row>
    <row r="9288" spans="1:39">
      <c r="A9288" s="2"/>
      <c r="AM9288" s="2"/>
    </row>
    <row r="9289" spans="1:39">
      <c r="A9289" s="2"/>
      <c r="AM9289" s="2"/>
    </row>
    <row r="9290" spans="1:39">
      <c r="A9290" s="2"/>
      <c r="AM9290" s="2"/>
    </row>
    <row r="9291" spans="1:39">
      <c r="A9291" s="2"/>
      <c r="AM9291" s="2"/>
    </row>
    <row r="9292" spans="1:39">
      <c r="A9292" s="2"/>
      <c r="AM9292" s="2"/>
    </row>
    <row r="9293" spans="1:39">
      <c r="A9293" s="2"/>
      <c r="AM9293" s="2"/>
    </row>
    <row r="9294" spans="1:39">
      <c r="A9294" s="2"/>
      <c r="AM9294" s="2"/>
    </row>
    <row r="9295" spans="1:39">
      <c r="A9295" s="2"/>
      <c r="AM9295" s="2"/>
    </row>
    <row r="9296" spans="1:39">
      <c r="A9296" s="2"/>
      <c r="AM9296" s="2"/>
    </row>
    <row r="9297" spans="1:39">
      <c r="A9297" s="2"/>
      <c r="AM9297" s="2"/>
    </row>
    <row r="9298" spans="1:39">
      <c r="A9298" s="2"/>
      <c r="AM9298" s="2"/>
    </row>
    <row r="9299" spans="1:39">
      <c r="A9299" s="2"/>
      <c r="AM9299" s="2"/>
    </row>
    <row r="9300" spans="1:39">
      <c r="A9300" s="2"/>
      <c r="AM9300" s="2"/>
    </row>
    <row r="9301" spans="1:39">
      <c r="A9301" s="2"/>
      <c r="AM9301" s="2"/>
    </row>
    <row r="9302" spans="1:39">
      <c r="A9302" s="2"/>
      <c r="AM9302" s="2"/>
    </row>
    <row r="9303" spans="1:39">
      <c r="A9303" s="2"/>
      <c r="AM9303" s="2"/>
    </row>
    <row r="9304" spans="1:39">
      <c r="A9304" s="2"/>
      <c r="AM9304" s="2"/>
    </row>
    <row r="9305" spans="1:39">
      <c r="A9305" s="2"/>
      <c r="AM9305" s="2"/>
    </row>
    <row r="9306" spans="1:39">
      <c r="A9306" s="2"/>
      <c r="AM9306" s="2"/>
    </row>
    <row r="9307" spans="1:39">
      <c r="A9307" s="2"/>
      <c r="AM9307" s="2"/>
    </row>
    <row r="9308" spans="1:39">
      <c r="A9308" s="2"/>
      <c r="AM9308" s="2"/>
    </row>
    <row r="9309" spans="1:39">
      <c r="A9309" s="2"/>
      <c r="AM9309" s="2"/>
    </row>
    <row r="9310" spans="1:39">
      <c r="A9310" s="2"/>
      <c r="AM9310" s="2"/>
    </row>
    <row r="9311" spans="1:39">
      <c r="A9311" s="2"/>
      <c r="AM9311" s="2"/>
    </row>
    <row r="9312" spans="1:39">
      <c r="A9312" s="2"/>
      <c r="AM9312" s="2"/>
    </row>
    <row r="9313" spans="1:39">
      <c r="A9313" s="2"/>
      <c r="AM9313" s="2"/>
    </row>
    <row r="9314" spans="1:39">
      <c r="A9314" s="2"/>
      <c r="AM9314" s="2"/>
    </row>
    <row r="9315" spans="1:39">
      <c r="A9315" s="2"/>
      <c r="AM9315" s="2"/>
    </row>
    <row r="9316" spans="1:39">
      <c r="A9316" s="2"/>
      <c r="AM9316" s="2"/>
    </row>
    <row r="9317" spans="1:39">
      <c r="A9317" s="2"/>
      <c r="AM9317" s="2"/>
    </row>
    <row r="9318" spans="1:39">
      <c r="A9318" s="2"/>
      <c r="AM9318" s="2"/>
    </row>
    <row r="9319" spans="1:39">
      <c r="A9319" s="2"/>
      <c r="AM9319" s="2"/>
    </row>
    <row r="9320" spans="1:39">
      <c r="A9320" s="2"/>
      <c r="AM9320" s="2"/>
    </row>
    <row r="9321" spans="1:39">
      <c r="A9321" s="2"/>
      <c r="AM9321" s="2"/>
    </row>
    <row r="9322" spans="1:39">
      <c r="A9322" s="2"/>
      <c r="AM9322" s="2"/>
    </row>
    <row r="9323" spans="1:39">
      <c r="A9323" s="2"/>
      <c r="AM9323" s="2"/>
    </row>
    <row r="9324" spans="1:39">
      <c r="A9324" s="2"/>
      <c r="AM9324" s="2"/>
    </row>
    <row r="9325" spans="1:39">
      <c r="A9325" s="2"/>
      <c r="AM9325" s="2"/>
    </row>
    <row r="9326" spans="1:39">
      <c r="A9326" s="2"/>
      <c r="AM9326" s="2"/>
    </row>
    <row r="9327" spans="1:39">
      <c r="A9327" s="2"/>
      <c r="AM9327" s="2"/>
    </row>
    <row r="9328" spans="1:39">
      <c r="A9328" s="2"/>
      <c r="AM9328" s="2"/>
    </row>
    <row r="9329" spans="1:39">
      <c r="A9329" s="2"/>
      <c r="AM9329" s="2"/>
    </row>
    <row r="9330" spans="1:39">
      <c r="A9330" s="2"/>
      <c r="AM9330" s="2"/>
    </row>
    <row r="9331" spans="1:39">
      <c r="A9331" s="2"/>
      <c r="AM9331" s="2"/>
    </row>
    <row r="9332" spans="1:39">
      <c r="A9332" s="2"/>
      <c r="AM9332" s="2"/>
    </row>
    <row r="9333" spans="1:39">
      <c r="A9333" s="2"/>
      <c r="AM9333" s="2"/>
    </row>
    <row r="9334" spans="1:39">
      <c r="A9334" s="2"/>
      <c r="AM9334" s="2"/>
    </row>
    <row r="9335" spans="1:39">
      <c r="A9335" s="2"/>
      <c r="AM9335" s="2"/>
    </row>
    <row r="9336" spans="1:39">
      <c r="A9336" s="2"/>
      <c r="AM9336" s="2"/>
    </row>
    <row r="9337" spans="1:39">
      <c r="A9337" s="2"/>
      <c r="AM9337" s="2"/>
    </row>
    <row r="9338" spans="1:39">
      <c r="A9338" s="2"/>
      <c r="AM9338" s="2"/>
    </row>
    <row r="9339" spans="1:39">
      <c r="A9339" s="2"/>
      <c r="AM9339" s="2"/>
    </row>
    <row r="9340" spans="1:39">
      <c r="A9340" s="2"/>
      <c r="AM9340" s="2"/>
    </row>
    <row r="9341" spans="1:39">
      <c r="A9341" s="2"/>
      <c r="AM9341" s="2"/>
    </row>
    <row r="9342" spans="1:39">
      <c r="A9342" s="2"/>
      <c r="AM9342" s="2"/>
    </row>
    <row r="9343" spans="1:39">
      <c r="A9343" s="2"/>
      <c r="AM9343" s="2"/>
    </row>
    <row r="9344" spans="1:39">
      <c r="A9344" s="2"/>
      <c r="AM9344" s="2"/>
    </row>
    <row r="9345" spans="1:39">
      <c r="A9345" s="2"/>
      <c r="AM9345" s="2"/>
    </row>
    <row r="9346" spans="1:39">
      <c r="A9346" s="2"/>
      <c r="AM9346" s="2"/>
    </row>
    <row r="9347" spans="1:39">
      <c r="A9347" s="2"/>
      <c r="AM9347" s="2"/>
    </row>
    <row r="9348" spans="1:39">
      <c r="A9348" s="2"/>
      <c r="AM9348" s="2"/>
    </row>
    <row r="9349" spans="1:39">
      <c r="A9349" s="2"/>
      <c r="AM9349" s="2"/>
    </row>
    <row r="9350" spans="1:39">
      <c r="A9350" s="2"/>
      <c r="AM9350" s="2"/>
    </row>
    <row r="9351" spans="1:39">
      <c r="A9351" s="2"/>
      <c r="AM9351" s="2"/>
    </row>
    <row r="9352" spans="1:39">
      <c r="A9352" s="2"/>
      <c r="AM9352" s="2"/>
    </row>
    <row r="9353" spans="1:39">
      <c r="A9353" s="2"/>
      <c r="AM9353" s="2"/>
    </row>
    <row r="9354" spans="1:39">
      <c r="A9354" s="2"/>
      <c r="AM9354" s="2"/>
    </row>
    <row r="9355" spans="1:39">
      <c r="A9355" s="2"/>
      <c r="AM9355" s="2"/>
    </row>
    <row r="9356" spans="1:39">
      <c r="A9356" s="2"/>
      <c r="AM9356" s="2"/>
    </row>
    <row r="9357" spans="1:39">
      <c r="A9357" s="2"/>
      <c r="AM9357" s="2"/>
    </row>
    <row r="9358" spans="1:39">
      <c r="A9358" s="2"/>
      <c r="AM9358" s="2"/>
    </row>
    <row r="9359" spans="1:39">
      <c r="A9359" s="2"/>
      <c r="AM9359" s="2"/>
    </row>
    <row r="9360" spans="1:39">
      <c r="A9360" s="2"/>
      <c r="AM9360" s="2"/>
    </row>
    <row r="9361" spans="1:39">
      <c r="A9361" s="2"/>
      <c r="AM9361" s="2"/>
    </row>
    <row r="9362" spans="1:39">
      <c r="A9362" s="2"/>
      <c r="AM9362" s="2"/>
    </row>
    <row r="9363" spans="1:39">
      <c r="A9363" s="2"/>
      <c r="AM9363" s="2"/>
    </row>
    <row r="9364" spans="1:39">
      <c r="A9364" s="2"/>
      <c r="AM9364" s="2"/>
    </row>
    <row r="9365" spans="1:39">
      <c r="A9365" s="2"/>
      <c r="AM9365" s="2"/>
    </row>
    <row r="9366" spans="1:39">
      <c r="A9366" s="2"/>
      <c r="AM9366" s="2"/>
    </row>
    <row r="9367" spans="1:39">
      <c r="A9367" s="2"/>
      <c r="AM9367" s="2"/>
    </row>
    <row r="9368" spans="1:39">
      <c r="A9368" s="2"/>
      <c r="AM9368" s="2"/>
    </row>
    <row r="9369" spans="1:39">
      <c r="A9369" s="2"/>
      <c r="AM9369" s="2"/>
    </row>
    <row r="9370" spans="1:39">
      <c r="A9370" s="2"/>
      <c r="AM9370" s="2"/>
    </row>
    <row r="9371" spans="1:39">
      <c r="A9371" s="2"/>
      <c r="AM9371" s="2"/>
    </row>
    <row r="9372" spans="1:39">
      <c r="A9372" s="2"/>
      <c r="AM9372" s="2"/>
    </row>
    <row r="9373" spans="1:39">
      <c r="A9373" s="2"/>
      <c r="AM9373" s="2"/>
    </row>
    <row r="9374" spans="1:39">
      <c r="A9374" s="2"/>
      <c r="AM9374" s="2"/>
    </row>
    <row r="9375" spans="1:39">
      <c r="A9375" s="2"/>
      <c r="AM9375" s="2"/>
    </row>
    <row r="9376" spans="1:39">
      <c r="A9376" s="2"/>
      <c r="AM9376" s="2"/>
    </row>
    <row r="9377" spans="1:39">
      <c r="A9377" s="2"/>
      <c r="AM9377" s="2"/>
    </row>
    <row r="9378" spans="1:39">
      <c r="A9378" s="2"/>
      <c r="AM9378" s="2"/>
    </row>
    <row r="9379" spans="1:39">
      <c r="A9379" s="2"/>
      <c r="AM9379" s="2"/>
    </row>
    <row r="9380" spans="1:39">
      <c r="A9380" s="2"/>
      <c r="AM9380" s="2"/>
    </row>
    <row r="9381" spans="1:39">
      <c r="A9381" s="2"/>
      <c r="AM9381" s="2"/>
    </row>
    <row r="9382" spans="1:39">
      <c r="A9382" s="2"/>
      <c r="AM9382" s="2"/>
    </row>
    <row r="9383" spans="1:39">
      <c r="A9383" s="2"/>
      <c r="AM9383" s="2"/>
    </row>
    <row r="9384" spans="1:39">
      <c r="A9384" s="2"/>
      <c r="AM9384" s="2"/>
    </row>
    <row r="9385" spans="1:39">
      <c r="A9385" s="2"/>
      <c r="AM9385" s="2"/>
    </row>
    <row r="9386" spans="1:39">
      <c r="A9386" s="2"/>
      <c r="AM9386" s="2"/>
    </row>
    <row r="9387" spans="1:39">
      <c r="A9387" s="2"/>
      <c r="AM9387" s="2"/>
    </row>
    <row r="9388" spans="1:39">
      <c r="A9388" s="2"/>
      <c r="AM9388" s="2"/>
    </row>
    <row r="9389" spans="1:39">
      <c r="A9389" s="2"/>
      <c r="AM9389" s="2"/>
    </row>
    <row r="9390" spans="1:39">
      <c r="A9390" s="2"/>
      <c r="AM9390" s="2"/>
    </row>
    <row r="9391" spans="1:39">
      <c r="A9391" s="2"/>
      <c r="AM9391" s="2"/>
    </row>
    <row r="9392" spans="1:39">
      <c r="A9392" s="2"/>
      <c r="AM9392" s="2"/>
    </row>
    <row r="9393" spans="1:39">
      <c r="A9393" s="2"/>
      <c r="AM9393" s="2"/>
    </row>
    <row r="9394" spans="1:39">
      <c r="A9394" s="2"/>
      <c r="AM9394" s="2"/>
    </row>
    <row r="9395" spans="1:39">
      <c r="A9395" s="2"/>
      <c r="AM9395" s="2"/>
    </row>
    <row r="9396" spans="1:39">
      <c r="A9396" s="2"/>
      <c r="AM9396" s="2"/>
    </row>
    <row r="9397" spans="1:39">
      <c r="A9397" s="2"/>
      <c r="AM9397" s="2"/>
    </row>
    <row r="9398" spans="1:39">
      <c r="A9398" s="2"/>
      <c r="AM9398" s="2"/>
    </row>
    <row r="9399" spans="1:39">
      <c r="A9399" s="2"/>
      <c r="AM9399" s="2"/>
    </row>
    <row r="9400" spans="1:39">
      <c r="A9400" s="2"/>
      <c r="AM9400" s="2"/>
    </row>
    <row r="9401" spans="1:39">
      <c r="A9401" s="2"/>
      <c r="AM9401" s="2"/>
    </row>
    <row r="9402" spans="1:39">
      <c r="A9402" s="2"/>
      <c r="AM9402" s="2"/>
    </row>
    <row r="9403" spans="1:39">
      <c r="A9403" s="2"/>
      <c r="AM9403" s="2"/>
    </row>
    <row r="9404" spans="1:39">
      <c r="A9404" s="2"/>
      <c r="AM9404" s="2"/>
    </row>
    <row r="9405" spans="1:39">
      <c r="A9405" s="2"/>
      <c r="AM9405" s="2"/>
    </row>
    <row r="9406" spans="1:39">
      <c r="A9406" s="2"/>
      <c r="AM9406" s="2"/>
    </row>
    <row r="9407" spans="1:39">
      <c r="A9407" s="2"/>
      <c r="AM9407" s="2"/>
    </row>
    <row r="9408" spans="1:39">
      <c r="A9408" s="2"/>
      <c r="AM9408" s="2"/>
    </row>
    <row r="9409" spans="1:39">
      <c r="A9409" s="2"/>
      <c r="AM9409" s="2"/>
    </row>
    <row r="9410" spans="1:39">
      <c r="A9410" s="2"/>
      <c r="AM9410" s="2"/>
    </row>
    <row r="9411" spans="1:39">
      <c r="A9411" s="2"/>
      <c r="AM9411" s="2"/>
    </row>
    <row r="9412" spans="1:39">
      <c r="A9412" s="2"/>
      <c r="AM9412" s="2"/>
    </row>
    <row r="9413" spans="1:39">
      <c r="A9413" s="2"/>
      <c r="AM9413" s="2"/>
    </row>
    <row r="9414" spans="1:39">
      <c r="A9414" s="2"/>
      <c r="AM9414" s="2"/>
    </row>
    <row r="9415" spans="1:39">
      <c r="A9415" s="2"/>
      <c r="AM9415" s="2"/>
    </row>
    <row r="9416" spans="1:39">
      <c r="A9416" s="2"/>
      <c r="AM9416" s="2"/>
    </row>
    <row r="9417" spans="1:39">
      <c r="A9417" s="2"/>
      <c r="AM9417" s="2"/>
    </row>
    <row r="9418" spans="1:39">
      <c r="A9418" s="2"/>
      <c r="AM9418" s="2"/>
    </row>
    <row r="9419" spans="1:39">
      <c r="A9419" s="2"/>
      <c r="AM9419" s="2"/>
    </row>
    <row r="9420" spans="1:39">
      <c r="A9420" s="2"/>
      <c r="AM9420" s="2"/>
    </row>
    <row r="9421" spans="1:39">
      <c r="A9421" s="2"/>
      <c r="AM9421" s="2"/>
    </row>
    <row r="9422" spans="1:39">
      <c r="A9422" s="2"/>
      <c r="AM9422" s="2"/>
    </row>
    <row r="9423" spans="1:39">
      <c r="A9423" s="2"/>
      <c r="AM9423" s="2"/>
    </row>
    <row r="9424" spans="1:39">
      <c r="A9424" s="2"/>
      <c r="AM9424" s="2"/>
    </row>
    <row r="9425" spans="1:39">
      <c r="A9425" s="2"/>
      <c r="AM9425" s="2"/>
    </row>
    <row r="9426" spans="1:39">
      <c r="A9426" s="2"/>
      <c r="AM9426" s="2"/>
    </row>
    <row r="9427" spans="1:39">
      <c r="A9427" s="2"/>
      <c r="AM9427" s="2"/>
    </row>
    <row r="9428" spans="1:39">
      <c r="A9428" s="2"/>
      <c r="AM9428" s="2"/>
    </row>
    <row r="9429" spans="1:39">
      <c r="A9429" s="2"/>
      <c r="AM9429" s="2"/>
    </row>
    <row r="9430" spans="1:39">
      <c r="A9430" s="2"/>
      <c r="AM9430" s="2"/>
    </row>
    <row r="9431" spans="1:39">
      <c r="A9431" s="2"/>
      <c r="AM9431" s="2"/>
    </row>
    <row r="9432" spans="1:39">
      <c r="A9432" s="2"/>
      <c r="AM9432" s="2"/>
    </row>
    <row r="9433" spans="1:39">
      <c r="A9433" s="2"/>
      <c r="AM9433" s="2"/>
    </row>
    <row r="9434" spans="1:39">
      <c r="A9434" s="2"/>
      <c r="AM9434" s="2"/>
    </row>
    <row r="9435" spans="1:39">
      <c r="A9435" s="2"/>
      <c r="AM9435" s="2"/>
    </row>
    <row r="9436" spans="1:39">
      <c r="A9436" s="2"/>
      <c r="AM9436" s="2"/>
    </row>
    <row r="9437" spans="1:39">
      <c r="A9437" s="2"/>
      <c r="AM9437" s="2"/>
    </row>
    <row r="9438" spans="1:39">
      <c r="A9438" s="2"/>
      <c r="AM9438" s="2"/>
    </row>
    <row r="9439" spans="1:39">
      <c r="A9439" s="2"/>
      <c r="AM9439" s="2"/>
    </row>
    <row r="9440" spans="1:39">
      <c r="A9440" s="2"/>
      <c r="AM9440" s="2"/>
    </row>
    <row r="9441" spans="1:39">
      <c r="A9441" s="2"/>
      <c r="AM9441" s="2"/>
    </row>
    <row r="9442" spans="1:39">
      <c r="A9442" s="2"/>
      <c r="AM9442" s="2"/>
    </row>
    <row r="9443" spans="1:39">
      <c r="A9443" s="2"/>
      <c r="AM9443" s="2"/>
    </row>
    <row r="9444" spans="1:39">
      <c r="A9444" s="2"/>
      <c r="AM9444" s="2"/>
    </row>
    <row r="9445" spans="1:39">
      <c r="A9445" s="2"/>
      <c r="AM9445" s="2"/>
    </row>
    <row r="9446" spans="1:39">
      <c r="A9446" s="2"/>
      <c r="AM9446" s="2"/>
    </row>
    <row r="9447" spans="1:39">
      <c r="A9447" s="2"/>
      <c r="AM9447" s="2"/>
    </row>
    <row r="9448" spans="1:39">
      <c r="A9448" s="2"/>
      <c r="AM9448" s="2"/>
    </row>
    <row r="9449" spans="1:39">
      <c r="A9449" s="2"/>
      <c r="AM9449" s="2"/>
    </row>
    <row r="9450" spans="1:39">
      <c r="A9450" s="2"/>
      <c r="AM9450" s="2"/>
    </row>
    <row r="9451" spans="1:39">
      <c r="A9451" s="2"/>
      <c r="AM9451" s="2"/>
    </row>
    <row r="9452" spans="1:39">
      <c r="A9452" s="2"/>
      <c r="AM9452" s="2"/>
    </row>
    <row r="9453" spans="1:39">
      <c r="A9453" s="2"/>
      <c r="AM9453" s="2"/>
    </row>
    <row r="9454" spans="1:39">
      <c r="A9454" s="2"/>
      <c r="AM9454" s="2"/>
    </row>
    <row r="9455" spans="1:39">
      <c r="A9455" s="2"/>
      <c r="AM9455" s="2"/>
    </row>
    <row r="9456" spans="1:39">
      <c r="A9456" s="2"/>
      <c r="AM9456" s="2"/>
    </row>
    <row r="9457" spans="1:39">
      <c r="A9457" s="2"/>
      <c r="AM9457" s="2"/>
    </row>
    <row r="9458" spans="1:39">
      <c r="A9458" s="2"/>
      <c r="AM9458" s="2"/>
    </row>
    <row r="9459" spans="1:39">
      <c r="A9459" s="2"/>
      <c r="AM9459" s="2"/>
    </row>
    <row r="9460" spans="1:39">
      <c r="A9460" s="2"/>
      <c r="AM9460" s="2"/>
    </row>
    <row r="9461" spans="1:39">
      <c r="A9461" s="2"/>
      <c r="AM9461" s="2"/>
    </row>
    <row r="9462" spans="1:39">
      <c r="A9462" s="2"/>
      <c r="AM9462" s="2"/>
    </row>
    <row r="9463" spans="1:39">
      <c r="A9463" s="2"/>
      <c r="AM9463" s="2"/>
    </row>
    <row r="9464" spans="1:39">
      <c r="A9464" s="2"/>
      <c r="AM9464" s="2"/>
    </row>
    <row r="9465" spans="1:39">
      <c r="A9465" s="2"/>
      <c r="AM9465" s="2"/>
    </row>
    <row r="9466" spans="1:39">
      <c r="A9466" s="2"/>
      <c r="AM9466" s="2"/>
    </row>
    <row r="9467" spans="1:39">
      <c r="A9467" s="2"/>
      <c r="AM9467" s="2"/>
    </row>
    <row r="9468" spans="1:39">
      <c r="A9468" s="2"/>
      <c r="AM9468" s="2"/>
    </row>
    <row r="9469" spans="1:39">
      <c r="A9469" s="2"/>
      <c r="AM9469" s="2"/>
    </row>
    <row r="9470" spans="1:39">
      <c r="A9470" s="2"/>
      <c r="AM9470" s="2"/>
    </row>
    <row r="9471" spans="1:39">
      <c r="A9471" s="2"/>
      <c r="AM9471" s="2"/>
    </row>
    <row r="9472" spans="1:39">
      <c r="A9472" s="2"/>
      <c r="AM9472" s="2"/>
    </row>
    <row r="9473" spans="1:39">
      <c r="A9473" s="2"/>
      <c r="AM9473" s="2"/>
    </row>
    <row r="9474" spans="1:39">
      <c r="A9474" s="2"/>
      <c r="AM9474" s="2"/>
    </row>
    <row r="9475" spans="1:39">
      <c r="A9475" s="2"/>
      <c r="AM9475" s="2"/>
    </row>
    <row r="9476" spans="1:39">
      <c r="A9476" s="2"/>
      <c r="AM9476" s="2"/>
    </row>
    <row r="9477" spans="1:39">
      <c r="A9477" s="2"/>
      <c r="AM9477" s="2"/>
    </row>
    <row r="9478" spans="1:39">
      <c r="A9478" s="2"/>
      <c r="AM9478" s="2"/>
    </row>
    <row r="9479" spans="1:39">
      <c r="A9479" s="2"/>
      <c r="AM9479" s="2"/>
    </row>
    <row r="9480" spans="1:39">
      <c r="A9480" s="2"/>
      <c r="AM9480" s="2"/>
    </row>
    <row r="9481" spans="1:39">
      <c r="A9481" s="2"/>
      <c r="AM9481" s="2"/>
    </row>
    <row r="9482" spans="1:39">
      <c r="A9482" s="2"/>
      <c r="AM9482" s="2"/>
    </row>
    <row r="9483" spans="1:39">
      <c r="A9483" s="2"/>
      <c r="AM9483" s="2"/>
    </row>
    <row r="9484" spans="1:39">
      <c r="A9484" s="2"/>
      <c r="AM9484" s="2"/>
    </row>
    <row r="9485" spans="1:39">
      <c r="A9485" s="2"/>
      <c r="AM9485" s="2"/>
    </row>
    <row r="9486" spans="1:39">
      <c r="A9486" s="2"/>
      <c r="AM9486" s="2"/>
    </row>
    <row r="9487" spans="1:39">
      <c r="A9487" s="2"/>
      <c r="AM9487" s="2"/>
    </row>
    <row r="9488" spans="1:39">
      <c r="A9488" s="2"/>
      <c r="AM9488" s="2"/>
    </row>
    <row r="9489" spans="1:39">
      <c r="A9489" s="2"/>
      <c r="AM9489" s="2"/>
    </row>
    <row r="9490" spans="1:39">
      <c r="A9490" s="2"/>
      <c r="AM9490" s="2"/>
    </row>
    <row r="9491" spans="1:39">
      <c r="A9491" s="2"/>
      <c r="AM9491" s="2"/>
    </row>
    <row r="9492" spans="1:39">
      <c r="A9492" s="2"/>
      <c r="AM9492" s="2"/>
    </row>
    <row r="9493" spans="1:39">
      <c r="A9493" s="2"/>
      <c r="AM9493" s="2"/>
    </row>
    <row r="9494" spans="1:39">
      <c r="A9494" s="2"/>
      <c r="AM9494" s="2"/>
    </row>
    <row r="9495" spans="1:39">
      <c r="A9495" s="2"/>
      <c r="AM9495" s="2"/>
    </row>
    <row r="9496" spans="1:39">
      <c r="A9496" s="2"/>
      <c r="AM9496" s="2"/>
    </row>
    <row r="9497" spans="1:39">
      <c r="A9497" s="2"/>
      <c r="AM9497" s="2"/>
    </row>
    <row r="9498" spans="1:39">
      <c r="A9498" s="2"/>
      <c r="AM9498" s="2"/>
    </row>
    <row r="9499" spans="1:39">
      <c r="A9499" s="2"/>
      <c r="AM9499" s="2"/>
    </row>
    <row r="9500" spans="1:39">
      <c r="A9500" s="2"/>
      <c r="AM9500" s="2"/>
    </row>
    <row r="9501" spans="1:39">
      <c r="A9501" s="2"/>
      <c r="AM9501" s="2"/>
    </row>
    <row r="9502" spans="1:39">
      <c r="A9502" s="2"/>
      <c r="AM9502" s="2"/>
    </row>
    <row r="9503" spans="1:39">
      <c r="A9503" s="2"/>
      <c r="AM9503" s="2"/>
    </row>
    <row r="9504" spans="1:39">
      <c r="A9504" s="2"/>
      <c r="AM9504" s="2"/>
    </row>
    <row r="9505" spans="1:39">
      <c r="A9505" s="2"/>
      <c r="AM9505" s="2"/>
    </row>
    <row r="9506" spans="1:39">
      <c r="A9506" s="2"/>
      <c r="AM9506" s="2"/>
    </row>
    <row r="9507" spans="1:39">
      <c r="A9507" s="2"/>
      <c r="AM9507" s="2"/>
    </row>
    <row r="9508" spans="1:39">
      <c r="A9508" s="2"/>
      <c r="AM9508" s="2"/>
    </row>
    <row r="9509" spans="1:39">
      <c r="A9509" s="2"/>
      <c r="AM9509" s="2"/>
    </row>
    <row r="9510" spans="1:39">
      <c r="A9510" s="2"/>
      <c r="AM9510" s="2"/>
    </row>
    <row r="9511" spans="1:39">
      <c r="A9511" s="2"/>
      <c r="AM9511" s="2"/>
    </row>
    <row r="9512" spans="1:39">
      <c r="A9512" s="2"/>
      <c r="AM9512" s="2"/>
    </row>
    <row r="9513" spans="1:39">
      <c r="A9513" s="2"/>
      <c r="AM9513" s="2"/>
    </row>
    <row r="9514" spans="1:39">
      <c r="A9514" s="2"/>
      <c r="AM9514" s="2"/>
    </row>
    <row r="9515" spans="1:39">
      <c r="A9515" s="2"/>
      <c r="AM9515" s="2"/>
    </row>
    <row r="9516" spans="1:39">
      <c r="A9516" s="2"/>
      <c r="AM9516" s="2"/>
    </row>
    <row r="9517" spans="1:39">
      <c r="A9517" s="2"/>
      <c r="AM9517" s="2"/>
    </row>
    <row r="9518" spans="1:39">
      <c r="A9518" s="2"/>
      <c r="AM9518" s="2"/>
    </row>
    <row r="9519" spans="1:39">
      <c r="A9519" s="2"/>
      <c r="AM9519" s="2"/>
    </row>
    <row r="9520" spans="1:39">
      <c r="A9520" s="2"/>
      <c r="AM9520" s="2"/>
    </row>
    <row r="9521" spans="1:39">
      <c r="A9521" s="2"/>
      <c r="AM9521" s="2"/>
    </row>
    <row r="9522" spans="1:39">
      <c r="A9522" s="2"/>
      <c r="AM9522" s="2"/>
    </row>
    <row r="9523" spans="1:39">
      <c r="A9523" s="2"/>
      <c r="AM9523" s="2"/>
    </row>
    <row r="9524" spans="1:39">
      <c r="A9524" s="2"/>
      <c r="AM9524" s="2"/>
    </row>
    <row r="9525" spans="1:39">
      <c r="A9525" s="2"/>
      <c r="AM9525" s="2"/>
    </row>
    <row r="9526" spans="1:39">
      <c r="A9526" s="2"/>
      <c r="AM9526" s="2"/>
    </row>
    <row r="9527" spans="1:39">
      <c r="A9527" s="2"/>
      <c r="AM9527" s="2"/>
    </row>
    <row r="9528" spans="1:39">
      <c r="A9528" s="2"/>
      <c r="AM9528" s="2"/>
    </row>
    <row r="9529" spans="1:39">
      <c r="A9529" s="2"/>
      <c r="AM9529" s="2"/>
    </row>
    <row r="9530" spans="1:39">
      <c r="A9530" s="2"/>
      <c r="AM9530" s="2"/>
    </row>
    <row r="9531" spans="1:39">
      <c r="A9531" s="2"/>
      <c r="AM9531" s="2"/>
    </row>
    <row r="9532" spans="1:39">
      <c r="A9532" s="2"/>
      <c r="AM9532" s="2"/>
    </row>
    <row r="9533" spans="1:39">
      <c r="A9533" s="2"/>
      <c r="AM9533" s="2"/>
    </row>
    <row r="9534" spans="1:39">
      <c r="A9534" s="2"/>
      <c r="AM9534" s="2"/>
    </row>
    <row r="9535" spans="1:39">
      <c r="A9535" s="2"/>
      <c r="AM9535" s="2"/>
    </row>
    <row r="9536" spans="1:39">
      <c r="A9536" s="2"/>
      <c r="AM9536" s="2"/>
    </row>
    <row r="9537" spans="1:39">
      <c r="A9537" s="2"/>
      <c r="AM9537" s="2"/>
    </row>
    <row r="9538" spans="1:39">
      <c r="A9538" s="2"/>
      <c r="AM9538" s="2"/>
    </row>
    <row r="9539" spans="1:39">
      <c r="A9539" s="2"/>
      <c r="AM9539" s="2"/>
    </row>
    <row r="9540" spans="1:39">
      <c r="A9540" s="2"/>
      <c r="AM9540" s="2"/>
    </row>
    <row r="9541" spans="1:39">
      <c r="A9541" s="2"/>
      <c r="AM9541" s="2"/>
    </row>
    <row r="9542" spans="1:39">
      <c r="A9542" s="2"/>
      <c r="AM9542" s="2"/>
    </row>
    <row r="9543" spans="1:39">
      <c r="A9543" s="2"/>
      <c r="AM9543" s="2"/>
    </row>
    <row r="9544" spans="1:39">
      <c r="A9544" s="2"/>
      <c r="AM9544" s="2"/>
    </row>
    <row r="9545" spans="1:39">
      <c r="A9545" s="2"/>
      <c r="AM9545" s="2"/>
    </row>
    <row r="9546" spans="1:39">
      <c r="A9546" s="2"/>
      <c r="AM9546" s="2"/>
    </row>
    <row r="9547" spans="1:39">
      <c r="A9547" s="2"/>
      <c r="AM9547" s="2"/>
    </row>
    <row r="9548" spans="1:39">
      <c r="A9548" s="2"/>
      <c r="AM9548" s="2"/>
    </row>
    <row r="9549" spans="1:39">
      <c r="A9549" s="2"/>
      <c r="AM9549" s="2"/>
    </row>
    <row r="9550" spans="1:39">
      <c r="A9550" s="2"/>
      <c r="AM9550" s="2"/>
    </row>
    <row r="9551" spans="1:39">
      <c r="A9551" s="2"/>
      <c r="AM9551" s="2"/>
    </row>
    <row r="9552" spans="1:39">
      <c r="A9552" s="2"/>
      <c r="AM9552" s="2"/>
    </row>
    <row r="9553" spans="1:39">
      <c r="A9553" s="2"/>
      <c r="AM9553" s="2"/>
    </row>
    <row r="9554" spans="1:39">
      <c r="A9554" s="2"/>
      <c r="AM9554" s="2"/>
    </row>
    <row r="9555" spans="1:39">
      <c r="A9555" s="2"/>
      <c r="AM9555" s="2"/>
    </row>
    <row r="9556" spans="1:39">
      <c r="A9556" s="2"/>
      <c r="AM9556" s="2"/>
    </row>
    <row r="9557" spans="1:39">
      <c r="A9557" s="2"/>
      <c r="AM9557" s="2"/>
    </row>
    <row r="9558" spans="1:39">
      <c r="A9558" s="2"/>
      <c r="AM9558" s="2"/>
    </row>
    <row r="9559" spans="1:39">
      <c r="A9559" s="2"/>
      <c r="AM9559" s="2"/>
    </row>
    <row r="9560" spans="1:39">
      <c r="A9560" s="2"/>
      <c r="AM9560" s="2"/>
    </row>
    <row r="9561" spans="1:39">
      <c r="A9561" s="2"/>
      <c r="AM9561" s="2"/>
    </row>
    <row r="9562" spans="1:39">
      <c r="A9562" s="2"/>
      <c r="AM9562" s="2"/>
    </row>
    <row r="9563" spans="1:39">
      <c r="A9563" s="2"/>
      <c r="AM9563" s="2"/>
    </row>
    <row r="9564" spans="1:39">
      <c r="A9564" s="2"/>
      <c r="AM9564" s="2"/>
    </row>
    <row r="9565" spans="1:39">
      <c r="A9565" s="2"/>
      <c r="AM9565" s="2"/>
    </row>
    <row r="9566" spans="1:39">
      <c r="A9566" s="2"/>
      <c r="AM9566" s="2"/>
    </row>
    <row r="9567" spans="1:39">
      <c r="A9567" s="2"/>
      <c r="AM9567" s="2"/>
    </row>
    <row r="9568" spans="1:39">
      <c r="A9568" s="2"/>
      <c r="AM9568" s="2"/>
    </row>
    <row r="9569" spans="1:39">
      <c r="A9569" s="2"/>
      <c r="AM9569" s="2"/>
    </row>
    <row r="9570" spans="1:39">
      <c r="A9570" s="2"/>
      <c r="AM9570" s="2"/>
    </row>
    <row r="9571" spans="1:39">
      <c r="A9571" s="2"/>
      <c r="AM9571" s="2"/>
    </row>
    <row r="9572" spans="1:39">
      <c r="A9572" s="2"/>
      <c r="AM9572" s="2"/>
    </row>
    <row r="9573" spans="1:39">
      <c r="A9573" s="2"/>
      <c r="AM9573" s="2"/>
    </row>
    <row r="9574" spans="1:39">
      <c r="A9574" s="2"/>
      <c r="AM9574" s="2"/>
    </row>
    <row r="9575" spans="1:39">
      <c r="A9575" s="2"/>
      <c r="AM9575" s="2"/>
    </row>
    <row r="9576" spans="1:39">
      <c r="A9576" s="2"/>
      <c r="AM9576" s="2"/>
    </row>
    <row r="9577" spans="1:39">
      <c r="A9577" s="2"/>
      <c r="AM9577" s="2"/>
    </row>
    <row r="9578" spans="1:39">
      <c r="A9578" s="2"/>
      <c r="AM9578" s="2"/>
    </row>
    <row r="9579" spans="1:39">
      <c r="A9579" s="2"/>
      <c r="AM9579" s="2"/>
    </row>
    <row r="9580" spans="1:39">
      <c r="A9580" s="2"/>
      <c r="AM9580" s="2"/>
    </row>
    <row r="9581" spans="1:39">
      <c r="A9581" s="2"/>
      <c r="AM9581" s="2"/>
    </row>
    <row r="9582" spans="1:39">
      <c r="A9582" s="2"/>
      <c r="AM9582" s="2"/>
    </row>
    <row r="9583" spans="1:39">
      <c r="A9583" s="2"/>
      <c r="AM9583" s="2"/>
    </row>
    <row r="9584" spans="1:39">
      <c r="A9584" s="2"/>
      <c r="AM9584" s="2"/>
    </row>
    <row r="9585" spans="1:39">
      <c r="A9585" s="2"/>
      <c r="AM9585" s="2"/>
    </row>
    <row r="9586" spans="1:39">
      <c r="A9586" s="2"/>
      <c r="AM9586" s="2"/>
    </row>
    <row r="9587" spans="1:39">
      <c r="A9587" s="2"/>
      <c r="AM9587" s="2"/>
    </row>
    <row r="9588" spans="1:39">
      <c r="A9588" s="2"/>
      <c r="AM9588" s="2"/>
    </row>
    <row r="9589" spans="1:39">
      <c r="A9589" s="2"/>
      <c r="AM9589" s="2"/>
    </row>
    <row r="9590" spans="1:39">
      <c r="A9590" s="2"/>
      <c r="AM9590" s="2"/>
    </row>
    <row r="9591" spans="1:39">
      <c r="A9591" s="2"/>
      <c r="AM9591" s="2"/>
    </row>
    <row r="9592" spans="1:39">
      <c r="A9592" s="2"/>
      <c r="AM9592" s="2"/>
    </row>
    <row r="9593" spans="1:39">
      <c r="A9593" s="2"/>
      <c r="AM9593" s="2"/>
    </row>
    <row r="9594" spans="1:39">
      <c r="A9594" s="2"/>
      <c r="AM9594" s="2"/>
    </row>
    <row r="9595" spans="1:39">
      <c r="A9595" s="2"/>
      <c r="AM9595" s="2"/>
    </row>
    <row r="9596" spans="1:39">
      <c r="A9596" s="2"/>
      <c r="AM9596" s="2"/>
    </row>
    <row r="9597" spans="1:39">
      <c r="A9597" s="2"/>
      <c r="AM9597" s="2"/>
    </row>
    <row r="9598" spans="1:39">
      <c r="A9598" s="2"/>
      <c r="AM9598" s="2"/>
    </row>
    <row r="9599" spans="1:39">
      <c r="A9599" s="2"/>
      <c r="AM9599" s="2"/>
    </row>
    <row r="9600" spans="1:39">
      <c r="A9600" s="2"/>
      <c r="AM9600" s="2"/>
    </row>
    <row r="9601" spans="1:39">
      <c r="A9601" s="2"/>
      <c r="AM9601" s="2"/>
    </row>
    <row r="9602" spans="1:39">
      <c r="A9602" s="2"/>
      <c r="AM9602" s="2"/>
    </row>
    <row r="9603" spans="1:39">
      <c r="A9603" s="2"/>
      <c r="AM9603" s="2"/>
    </row>
    <row r="9604" spans="1:39">
      <c r="A9604" s="2"/>
      <c r="AM9604" s="2"/>
    </row>
    <row r="9605" spans="1:39">
      <c r="A9605" s="2"/>
      <c r="AM9605" s="2"/>
    </row>
    <row r="9606" spans="1:39">
      <c r="A9606" s="2"/>
      <c r="AM9606" s="2"/>
    </row>
    <row r="9607" spans="1:39">
      <c r="A9607" s="2"/>
      <c r="AM9607" s="2"/>
    </row>
    <row r="9608" spans="1:39">
      <c r="A9608" s="2"/>
      <c r="AM9608" s="2"/>
    </row>
    <row r="9609" spans="1:39">
      <c r="A9609" s="2"/>
      <c r="AM9609" s="2"/>
    </row>
    <row r="9610" spans="1:39">
      <c r="A9610" s="2"/>
      <c r="AM9610" s="2"/>
    </row>
    <row r="9611" spans="1:39">
      <c r="A9611" s="2"/>
      <c r="AM9611" s="2"/>
    </row>
    <row r="9612" spans="1:39">
      <c r="A9612" s="2"/>
      <c r="AM9612" s="2"/>
    </row>
    <row r="9613" spans="1:39">
      <c r="A9613" s="2"/>
      <c r="AM9613" s="2"/>
    </row>
    <row r="9614" spans="1:39">
      <c r="A9614" s="2"/>
      <c r="AM9614" s="2"/>
    </row>
    <row r="9615" spans="1:39">
      <c r="A9615" s="2"/>
      <c r="AM9615" s="2"/>
    </row>
    <row r="9616" spans="1:39">
      <c r="A9616" s="2"/>
      <c r="AM9616" s="2"/>
    </row>
    <row r="9617" spans="1:39">
      <c r="A9617" s="2"/>
      <c r="AM9617" s="2"/>
    </row>
    <row r="9618" spans="1:39">
      <c r="A9618" s="2"/>
      <c r="AM9618" s="2"/>
    </row>
    <row r="9619" spans="1:39">
      <c r="A9619" s="2"/>
      <c r="AM9619" s="2"/>
    </row>
    <row r="9620" spans="1:39">
      <c r="A9620" s="2"/>
      <c r="AM9620" s="2"/>
    </row>
    <row r="9621" spans="1:39">
      <c r="A9621" s="2"/>
      <c r="AM9621" s="2"/>
    </row>
    <row r="9622" spans="1:39">
      <c r="A9622" s="2"/>
      <c r="AM9622" s="2"/>
    </row>
    <row r="9623" spans="1:39">
      <c r="A9623" s="2"/>
      <c r="AM9623" s="2"/>
    </row>
    <row r="9624" spans="1:39">
      <c r="A9624" s="2"/>
      <c r="AM9624" s="2"/>
    </row>
    <row r="9625" spans="1:39">
      <c r="A9625" s="2"/>
      <c r="AM9625" s="2"/>
    </row>
    <row r="9626" spans="1:39">
      <c r="A9626" s="2"/>
      <c r="AM9626" s="2"/>
    </row>
    <row r="9627" spans="1:39">
      <c r="A9627" s="2"/>
      <c r="AM9627" s="2"/>
    </row>
    <row r="9628" spans="1:39">
      <c r="A9628" s="2"/>
      <c r="AM9628" s="2"/>
    </row>
    <row r="9629" spans="1:39">
      <c r="A9629" s="2"/>
      <c r="AM9629" s="2"/>
    </row>
    <row r="9630" spans="1:39">
      <c r="A9630" s="2"/>
      <c r="AM9630" s="2"/>
    </row>
    <row r="9631" spans="1:39">
      <c r="A9631" s="2"/>
      <c r="AM9631" s="2"/>
    </row>
    <row r="9632" spans="1:39">
      <c r="A9632" s="2"/>
      <c r="AM9632" s="2"/>
    </row>
    <row r="9633" spans="1:39">
      <c r="A9633" s="2"/>
      <c r="AM9633" s="2"/>
    </row>
    <row r="9634" spans="1:39">
      <c r="A9634" s="2"/>
      <c r="AM9634" s="2"/>
    </row>
    <row r="9635" spans="1:39">
      <c r="A9635" s="2"/>
      <c r="AM9635" s="2"/>
    </row>
    <row r="9636" spans="1:39">
      <c r="A9636" s="2"/>
      <c r="AM9636" s="2"/>
    </row>
    <row r="9637" spans="1:39">
      <c r="A9637" s="2"/>
      <c r="AM9637" s="2"/>
    </row>
    <row r="9638" spans="1:39">
      <c r="A9638" s="2"/>
      <c r="AM9638" s="2"/>
    </row>
    <row r="9639" spans="1:39">
      <c r="A9639" s="2"/>
      <c r="AM9639" s="2"/>
    </row>
    <row r="9640" spans="1:39">
      <c r="A9640" s="2"/>
      <c r="AM9640" s="2"/>
    </row>
    <row r="9641" spans="1:39">
      <c r="A9641" s="2"/>
      <c r="AM9641" s="2"/>
    </row>
    <row r="9642" spans="1:39">
      <c r="A9642" s="2"/>
      <c r="AM9642" s="2"/>
    </row>
    <row r="9643" spans="1:39">
      <c r="A9643" s="2"/>
      <c r="AM9643" s="2"/>
    </row>
    <row r="9644" spans="1:39">
      <c r="A9644" s="2"/>
      <c r="AM9644" s="2"/>
    </row>
    <row r="9645" spans="1:39">
      <c r="A9645" s="2"/>
      <c r="AM9645" s="2"/>
    </row>
    <row r="9646" spans="1:39">
      <c r="A9646" s="2"/>
      <c r="AM9646" s="2"/>
    </row>
    <row r="9647" spans="1:39">
      <c r="A9647" s="2"/>
      <c r="AM9647" s="2"/>
    </row>
    <row r="9648" spans="1:39">
      <c r="A9648" s="2"/>
      <c r="AM9648" s="2"/>
    </row>
    <row r="9649" spans="1:39">
      <c r="A9649" s="2"/>
      <c r="AM9649" s="2"/>
    </row>
    <row r="9650" spans="1:39">
      <c r="A9650" s="2"/>
      <c r="AM9650" s="2"/>
    </row>
    <row r="9651" spans="1:39">
      <c r="A9651" s="2"/>
      <c r="AM9651" s="2"/>
    </row>
    <row r="9652" spans="1:39">
      <c r="A9652" s="2"/>
      <c r="AM9652" s="2"/>
    </row>
    <row r="9653" spans="1:39">
      <c r="A9653" s="2"/>
      <c r="AM9653" s="2"/>
    </row>
    <row r="9654" spans="1:39">
      <c r="A9654" s="2"/>
      <c r="AM9654" s="2"/>
    </row>
    <row r="9655" spans="1:39">
      <c r="A9655" s="2"/>
      <c r="AM9655" s="2"/>
    </row>
    <row r="9656" spans="1:39">
      <c r="A9656" s="2"/>
      <c r="AM9656" s="2"/>
    </row>
    <row r="9657" spans="1:39">
      <c r="A9657" s="2"/>
      <c r="AM9657" s="2"/>
    </row>
    <row r="9658" spans="1:39">
      <c r="A9658" s="2"/>
      <c r="AM9658" s="2"/>
    </row>
    <row r="9659" spans="1:39">
      <c r="A9659" s="2"/>
      <c r="AM9659" s="2"/>
    </row>
    <row r="9660" spans="1:39">
      <c r="A9660" s="2"/>
      <c r="AM9660" s="2"/>
    </row>
    <row r="9661" spans="1:39">
      <c r="A9661" s="2"/>
      <c r="AM9661" s="2"/>
    </row>
    <row r="9662" spans="1:39">
      <c r="A9662" s="2"/>
      <c r="AM9662" s="2"/>
    </row>
    <row r="9663" spans="1:39">
      <c r="A9663" s="2"/>
      <c r="AM9663" s="2"/>
    </row>
    <row r="9664" spans="1:39">
      <c r="A9664" s="2"/>
      <c r="AM9664" s="2"/>
    </row>
    <row r="9665" spans="1:39">
      <c r="A9665" s="2"/>
      <c r="AM9665" s="2"/>
    </row>
    <row r="9666" spans="1:39">
      <c r="A9666" s="2"/>
      <c r="AM9666" s="2"/>
    </row>
    <row r="9667" spans="1:39">
      <c r="A9667" s="2"/>
      <c r="AM9667" s="2"/>
    </row>
    <row r="9668" spans="1:39">
      <c r="A9668" s="2"/>
      <c r="AM9668" s="2"/>
    </row>
    <row r="9669" spans="1:39">
      <c r="A9669" s="2"/>
      <c r="AM9669" s="2"/>
    </row>
    <row r="9670" spans="1:39">
      <c r="A9670" s="2"/>
      <c r="AM9670" s="2"/>
    </row>
    <row r="9671" spans="1:39">
      <c r="A9671" s="2"/>
      <c r="AM9671" s="2"/>
    </row>
    <row r="9672" spans="1:39">
      <c r="A9672" s="2"/>
      <c r="AM9672" s="2"/>
    </row>
    <row r="9673" spans="1:39">
      <c r="A9673" s="2"/>
      <c r="AM9673" s="2"/>
    </row>
    <row r="9674" spans="1:39">
      <c r="A9674" s="2"/>
      <c r="AM9674" s="2"/>
    </row>
    <row r="9675" spans="1:39">
      <c r="A9675" s="2"/>
      <c r="AM9675" s="2"/>
    </row>
    <row r="9676" spans="1:39">
      <c r="A9676" s="2"/>
      <c r="AM9676" s="2"/>
    </row>
    <row r="9677" spans="1:39">
      <c r="A9677" s="2"/>
      <c r="AM9677" s="2"/>
    </row>
    <row r="9678" spans="1:39">
      <c r="A9678" s="2"/>
      <c r="AM9678" s="2"/>
    </row>
    <row r="9679" spans="1:39">
      <c r="A9679" s="2"/>
      <c r="AM9679" s="2"/>
    </row>
    <row r="9680" spans="1:39">
      <c r="A9680" s="2"/>
      <c r="AM9680" s="2"/>
    </row>
    <row r="9681" spans="1:39">
      <c r="A9681" s="2"/>
      <c r="AM9681" s="2"/>
    </row>
    <row r="9682" spans="1:39">
      <c r="A9682" s="2"/>
      <c r="AM9682" s="2"/>
    </row>
    <row r="9683" spans="1:39">
      <c r="A9683" s="2"/>
      <c r="AM9683" s="2"/>
    </row>
    <row r="9684" spans="1:39">
      <c r="A9684" s="2"/>
      <c r="AM9684" s="2"/>
    </row>
    <row r="9685" spans="1:39">
      <c r="A9685" s="2"/>
      <c r="AM9685" s="2"/>
    </row>
    <row r="9686" spans="1:39">
      <c r="A9686" s="2"/>
      <c r="AM9686" s="2"/>
    </row>
    <row r="9687" spans="1:39">
      <c r="A9687" s="2"/>
      <c r="AM9687" s="2"/>
    </row>
    <row r="9688" spans="1:39">
      <c r="A9688" s="2"/>
      <c r="AM9688" s="2"/>
    </row>
    <row r="9689" spans="1:39">
      <c r="A9689" s="2"/>
      <c r="AM9689" s="2"/>
    </row>
    <row r="9690" spans="1:39">
      <c r="A9690" s="2"/>
      <c r="AM9690" s="2"/>
    </row>
    <row r="9691" spans="1:39">
      <c r="A9691" s="2"/>
      <c r="AM9691" s="2"/>
    </row>
    <row r="9692" spans="1:39">
      <c r="A9692" s="2"/>
      <c r="AM9692" s="2"/>
    </row>
    <row r="9693" spans="1:39">
      <c r="A9693" s="2"/>
      <c r="AM9693" s="2"/>
    </row>
    <row r="9694" spans="1:39">
      <c r="A9694" s="2"/>
      <c r="AM9694" s="2"/>
    </row>
    <row r="9695" spans="1:39">
      <c r="A9695" s="2"/>
      <c r="AM9695" s="2"/>
    </row>
    <row r="9696" spans="1:39">
      <c r="A9696" s="2"/>
      <c r="AM9696" s="2"/>
    </row>
    <row r="9697" spans="1:39">
      <c r="A9697" s="2"/>
      <c r="AM9697" s="2"/>
    </row>
    <row r="9698" spans="1:39">
      <c r="A9698" s="2"/>
      <c r="AM9698" s="2"/>
    </row>
    <row r="9699" spans="1:39">
      <c r="A9699" s="2"/>
      <c r="AM9699" s="2"/>
    </row>
    <row r="9700" spans="1:39">
      <c r="A9700" s="2"/>
      <c r="AM9700" s="2"/>
    </row>
    <row r="9701" spans="1:39">
      <c r="A9701" s="2"/>
      <c r="AM9701" s="2"/>
    </row>
    <row r="9702" spans="1:39">
      <c r="A9702" s="2"/>
      <c r="AM9702" s="2"/>
    </row>
    <row r="9703" spans="1:39">
      <c r="A9703" s="2"/>
      <c r="AM9703" s="2"/>
    </row>
    <row r="9704" spans="1:39">
      <c r="A9704" s="2"/>
      <c r="AM9704" s="2"/>
    </row>
    <row r="9705" spans="1:39">
      <c r="A9705" s="2"/>
      <c r="AM9705" s="2"/>
    </row>
    <row r="9706" spans="1:39">
      <c r="A9706" s="2"/>
      <c r="AM9706" s="2"/>
    </row>
    <row r="9707" spans="1:39">
      <c r="A9707" s="2"/>
      <c r="AM9707" s="2"/>
    </row>
    <row r="9708" spans="1:39">
      <c r="A9708" s="2"/>
      <c r="AM9708" s="2"/>
    </row>
    <row r="9709" spans="1:39">
      <c r="A9709" s="2"/>
      <c r="AM9709" s="2"/>
    </row>
    <row r="9710" spans="1:39">
      <c r="A9710" s="2"/>
      <c r="AM9710" s="2"/>
    </row>
    <row r="9711" spans="1:39">
      <c r="A9711" s="2"/>
      <c r="AM9711" s="2"/>
    </row>
    <row r="9712" spans="1:39">
      <c r="A9712" s="2"/>
      <c r="AM9712" s="2"/>
    </row>
    <row r="9713" spans="1:39">
      <c r="A9713" s="2"/>
      <c r="AM9713" s="2"/>
    </row>
    <row r="9714" spans="1:39">
      <c r="A9714" s="2"/>
      <c r="AM9714" s="2"/>
    </row>
    <row r="9715" spans="1:39">
      <c r="A9715" s="2"/>
      <c r="AM9715" s="2"/>
    </row>
    <row r="9716" spans="1:39">
      <c r="A9716" s="2"/>
      <c r="AM9716" s="2"/>
    </row>
    <row r="9717" spans="1:39">
      <c r="A9717" s="2"/>
      <c r="AM9717" s="2"/>
    </row>
    <row r="9718" spans="1:39">
      <c r="A9718" s="2"/>
      <c r="AM9718" s="2"/>
    </row>
    <row r="9719" spans="1:39">
      <c r="A9719" s="2"/>
      <c r="AM9719" s="2"/>
    </row>
    <row r="9720" spans="1:39">
      <c r="A9720" s="2"/>
      <c r="AM9720" s="2"/>
    </row>
    <row r="9721" spans="1:39">
      <c r="A9721" s="2"/>
      <c r="AM9721" s="2"/>
    </row>
    <row r="9722" spans="1:39">
      <c r="A9722" s="2"/>
      <c r="AM9722" s="2"/>
    </row>
    <row r="9723" spans="1:39">
      <c r="A9723" s="2"/>
      <c r="AM9723" s="2"/>
    </row>
    <row r="9724" spans="1:39">
      <c r="A9724" s="2"/>
      <c r="AM9724" s="2"/>
    </row>
    <row r="9725" spans="1:39">
      <c r="A9725" s="2"/>
      <c r="AM9725" s="2"/>
    </row>
    <row r="9726" spans="1:39">
      <c r="A9726" s="2"/>
      <c r="AM9726" s="2"/>
    </row>
    <row r="9727" spans="1:39">
      <c r="A9727" s="2"/>
      <c r="AM9727" s="2"/>
    </row>
    <row r="9728" spans="1:39">
      <c r="A9728" s="2"/>
      <c r="AM9728" s="2"/>
    </row>
    <row r="9729" spans="1:39">
      <c r="A9729" s="2"/>
      <c r="AM9729" s="2"/>
    </row>
    <row r="9730" spans="1:39">
      <c r="A9730" s="2"/>
      <c r="AM9730" s="2"/>
    </row>
    <row r="9731" spans="1:39">
      <c r="A9731" s="2"/>
      <c r="AM9731" s="2"/>
    </row>
    <row r="9732" spans="1:39">
      <c r="A9732" s="2"/>
      <c r="AM9732" s="2"/>
    </row>
    <row r="9733" spans="1:39">
      <c r="A9733" s="2"/>
      <c r="AM9733" s="2"/>
    </row>
    <row r="9734" spans="1:39">
      <c r="A9734" s="2"/>
      <c r="AM9734" s="2"/>
    </row>
    <row r="9735" spans="1:39">
      <c r="A9735" s="2"/>
      <c r="AM9735" s="2"/>
    </row>
    <row r="9736" spans="1:39">
      <c r="A9736" s="2"/>
      <c r="AM9736" s="2"/>
    </row>
    <row r="9737" spans="1:39">
      <c r="A9737" s="2"/>
      <c r="AM9737" s="2"/>
    </row>
    <row r="9738" spans="1:39">
      <c r="A9738" s="2"/>
      <c r="AM9738" s="2"/>
    </row>
    <row r="9739" spans="1:39">
      <c r="A9739" s="2"/>
      <c r="AM9739" s="2"/>
    </row>
    <row r="9740" spans="1:39">
      <c r="A9740" s="2"/>
      <c r="AM9740" s="2"/>
    </row>
    <row r="9741" spans="1:39">
      <c r="A9741" s="2"/>
      <c r="AM9741" s="2"/>
    </row>
    <row r="9742" spans="1:39">
      <c r="A9742" s="2"/>
      <c r="AM9742" s="2"/>
    </row>
    <row r="9743" spans="1:39">
      <c r="A9743" s="2"/>
      <c r="AM9743" s="2"/>
    </row>
    <row r="9744" spans="1:39">
      <c r="A9744" s="2"/>
      <c r="AM9744" s="2"/>
    </row>
    <row r="9745" spans="1:39">
      <c r="A9745" s="2"/>
      <c r="AM9745" s="2"/>
    </row>
    <row r="9746" spans="1:39">
      <c r="A9746" s="2"/>
      <c r="AM9746" s="2"/>
    </row>
    <row r="9747" spans="1:39">
      <c r="A9747" s="2"/>
      <c r="AM9747" s="2"/>
    </row>
    <row r="9748" spans="1:39">
      <c r="A9748" s="2"/>
      <c r="AM9748" s="2"/>
    </row>
    <row r="9749" spans="1:39">
      <c r="A9749" s="2"/>
      <c r="AM9749" s="2"/>
    </row>
    <row r="9750" spans="1:39">
      <c r="A9750" s="2"/>
      <c r="AM9750" s="2"/>
    </row>
    <row r="9751" spans="1:39">
      <c r="A9751" s="2"/>
      <c r="AM9751" s="2"/>
    </row>
    <row r="9752" spans="1:39">
      <c r="A9752" s="2"/>
      <c r="AM9752" s="2"/>
    </row>
    <row r="9753" spans="1:39">
      <c r="A9753" s="2"/>
      <c r="AM9753" s="2"/>
    </row>
    <row r="9754" spans="1:39">
      <c r="A9754" s="2"/>
      <c r="AM9754" s="2"/>
    </row>
    <row r="9755" spans="1:39">
      <c r="A9755" s="2"/>
      <c r="AM9755" s="2"/>
    </row>
    <row r="9756" spans="1:39">
      <c r="A9756" s="2"/>
      <c r="AM9756" s="2"/>
    </row>
    <row r="9757" spans="1:39">
      <c r="A9757" s="2"/>
      <c r="AM9757" s="2"/>
    </row>
    <row r="9758" spans="1:39">
      <c r="A9758" s="2"/>
      <c r="AM9758" s="2"/>
    </row>
    <row r="9759" spans="1:39">
      <c r="A9759" s="2"/>
      <c r="AM9759" s="2"/>
    </row>
    <row r="9760" spans="1:39">
      <c r="A9760" s="2"/>
      <c r="AM9760" s="2"/>
    </row>
    <row r="9761" spans="1:39">
      <c r="A9761" s="2"/>
      <c r="AM9761" s="2"/>
    </row>
    <row r="9762" spans="1:39">
      <c r="A9762" s="2"/>
      <c r="AM9762" s="2"/>
    </row>
    <row r="9763" spans="1:39">
      <c r="A9763" s="2"/>
      <c r="AM9763" s="2"/>
    </row>
    <row r="9764" spans="1:39">
      <c r="A9764" s="2"/>
      <c r="AM9764" s="2"/>
    </row>
    <row r="9765" spans="1:39">
      <c r="A9765" s="2"/>
      <c r="AM9765" s="2"/>
    </row>
    <row r="9766" spans="1:39">
      <c r="A9766" s="2"/>
      <c r="AM9766" s="2"/>
    </row>
    <row r="9767" spans="1:39">
      <c r="A9767" s="2"/>
      <c r="AM9767" s="2"/>
    </row>
    <row r="9768" spans="1:39">
      <c r="A9768" s="2"/>
      <c r="AM9768" s="2"/>
    </row>
    <row r="9769" spans="1:39">
      <c r="A9769" s="2"/>
      <c r="AM9769" s="2"/>
    </row>
    <row r="9770" spans="1:39">
      <c r="A9770" s="2"/>
      <c r="AM9770" s="2"/>
    </row>
    <row r="9771" spans="1:39">
      <c r="A9771" s="2"/>
      <c r="AM9771" s="2"/>
    </row>
    <row r="9772" spans="1:39">
      <c r="A9772" s="2"/>
      <c r="AM9772" s="2"/>
    </row>
    <row r="9773" spans="1:39">
      <c r="A9773" s="2"/>
      <c r="AM9773" s="2"/>
    </row>
    <row r="9774" spans="1:39">
      <c r="A9774" s="2"/>
      <c r="AM9774" s="2"/>
    </row>
    <row r="9775" spans="1:39">
      <c r="A9775" s="2"/>
      <c r="AM9775" s="2"/>
    </row>
    <row r="9776" spans="1:39">
      <c r="A9776" s="2"/>
      <c r="AM9776" s="2"/>
    </row>
    <row r="9777" spans="1:39">
      <c r="A9777" s="2"/>
      <c r="AM9777" s="2"/>
    </row>
    <row r="9778" spans="1:39">
      <c r="A9778" s="2"/>
      <c r="AM9778" s="2"/>
    </row>
    <row r="9779" spans="1:39">
      <c r="A9779" s="2"/>
      <c r="AM9779" s="2"/>
    </row>
    <row r="9780" spans="1:39">
      <c r="A9780" s="2"/>
      <c r="AM9780" s="2"/>
    </row>
    <row r="9781" spans="1:39">
      <c r="A9781" s="2"/>
      <c r="AM9781" s="2"/>
    </row>
    <row r="9782" spans="1:39">
      <c r="A9782" s="2"/>
      <c r="AM9782" s="2"/>
    </row>
    <row r="9783" spans="1:39">
      <c r="A9783" s="2"/>
      <c r="AM9783" s="2"/>
    </row>
    <row r="9784" spans="1:39">
      <c r="A9784" s="2"/>
      <c r="AM9784" s="2"/>
    </row>
    <row r="9785" spans="1:39">
      <c r="A9785" s="2"/>
      <c r="AM9785" s="2"/>
    </row>
    <row r="9786" spans="1:39">
      <c r="A9786" s="2"/>
      <c r="AM9786" s="2"/>
    </row>
    <row r="9787" spans="1:39">
      <c r="A9787" s="2"/>
      <c r="AM9787" s="2"/>
    </row>
    <row r="9788" spans="1:39">
      <c r="A9788" s="2"/>
      <c r="AM9788" s="2"/>
    </row>
    <row r="9789" spans="1:39">
      <c r="A9789" s="2"/>
      <c r="AM9789" s="2"/>
    </row>
    <row r="9790" spans="1:39">
      <c r="A9790" s="2"/>
      <c r="AM9790" s="2"/>
    </row>
    <row r="9791" spans="1:39">
      <c r="A9791" s="2"/>
      <c r="AM9791" s="2"/>
    </row>
    <row r="9792" spans="1:39">
      <c r="A9792" s="2"/>
      <c r="AM9792" s="2"/>
    </row>
    <row r="9793" spans="1:39">
      <c r="A9793" s="2"/>
      <c r="AM9793" s="2"/>
    </row>
    <row r="9794" spans="1:39">
      <c r="A9794" s="2"/>
      <c r="AM9794" s="2"/>
    </row>
    <row r="9795" spans="1:39">
      <c r="A9795" s="2"/>
      <c r="AM9795" s="2"/>
    </row>
    <row r="9796" spans="1:39">
      <c r="A9796" s="2"/>
      <c r="AM9796" s="2"/>
    </row>
    <row r="9797" spans="1:39">
      <c r="A9797" s="2"/>
      <c r="AM9797" s="2"/>
    </row>
    <row r="9798" spans="1:39">
      <c r="A9798" s="2"/>
      <c r="AM9798" s="2"/>
    </row>
    <row r="9799" spans="1:39">
      <c r="A9799" s="2"/>
      <c r="AM9799" s="2"/>
    </row>
    <row r="9800" spans="1:39">
      <c r="A9800" s="2"/>
      <c r="AM9800" s="2"/>
    </row>
    <row r="9801" spans="1:39">
      <c r="A9801" s="2"/>
      <c r="AM9801" s="2"/>
    </row>
    <row r="9802" spans="1:39">
      <c r="A9802" s="2"/>
      <c r="AM9802" s="2"/>
    </row>
    <row r="9803" spans="1:39">
      <c r="A9803" s="2"/>
      <c r="AM9803" s="2"/>
    </row>
    <row r="9804" spans="1:39">
      <c r="A9804" s="2"/>
      <c r="AM9804" s="2"/>
    </row>
    <row r="9805" spans="1:39">
      <c r="A9805" s="2"/>
      <c r="AM9805" s="2"/>
    </row>
    <row r="9806" spans="1:39">
      <c r="A9806" s="2"/>
      <c r="AM9806" s="2"/>
    </row>
    <row r="9807" spans="1:39">
      <c r="A9807" s="2"/>
      <c r="AM9807" s="2"/>
    </row>
    <row r="9808" spans="1:39">
      <c r="A9808" s="2"/>
      <c r="AM9808" s="2"/>
    </row>
    <row r="9809" spans="1:39">
      <c r="A9809" s="2"/>
      <c r="AM9809" s="2"/>
    </row>
    <row r="9810" spans="1:39">
      <c r="A9810" s="2"/>
      <c r="AM9810" s="2"/>
    </row>
    <row r="9811" spans="1:39">
      <c r="A9811" s="2"/>
      <c r="AM9811" s="2"/>
    </row>
    <row r="9812" spans="1:39">
      <c r="A9812" s="2"/>
      <c r="AM9812" s="2"/>
    </row>
    <row r="9813" spans="1:39">
      <c r="A9813" s="2"/>
      <c r="AM9813" s="2"/>
    </row>
    <row r="9814" spans="1:39">
      <c r="A9814" s="2"/>
      <c r="AM9814" s="2"/>
    </row>
    <row r="9815" spans="1:39">
      <c r="A9815" s="2"/>
      <c r="AM9815" s="2"/>
    </row>
    <row r="9816" spans="1:39">
      <c r="A9816" s="2"/>
      <c r="AM9816" s="2"/>
    </row>
    <row r="9817" spans="1:39">
      <c r="A9817" s="2"/>
      <c r="AM9817" s="2"/>
    </row>
    <row r="9818" spans="1:39">
      <c r="A9818" s="2"/>
      <c r="AM9818" s="2"/>
    </row>
    <row r="9819" spans="1:39">
      <c r="A9819" s="2"/>
      <c r="AM9819" s="2"/>
    </row>
    <row r="9820" spans="1:39">
      <c r="A9820" s="2"/>
      <c r="AM9820" s="2"/>
    </row>
    <row r="9821" spans="1:39">
      <c r="A9821" s="2"/>
      <c r="AM9821" s="2"/>
    </row>
    <row r="9822" spans="1:39">
      <c r="A9822" s="2"/>
      <c r="AM9822" s="2"/>
    </row>
    <row r="9823" spans="1:39">
      <c r="A9823" s="2"/>
      <c r="AM9823" s="2"/>
    </row>
    <row r="9824" spans="1:39">
      <c r="A9824" s="2"/>
      <c r="AM9824" s="2"/>
    </row>
    <row r="9825" spans="1:39">
      <c r="A9825" s="2"/>
      <c r="AM9825" s="2"/>
    </row>
    <row r="9826" spans="1:39">
      <c r="A9826" s="2"/>
      <c r="AM9826" s="2"/>
    </row>
    <row r="9827" spans="1:39">
      <c r="A9827" s="2"/>
      <c r="AM9827" s="2"/>
    </row>
    <row r="9828" spans="1:39">
      <c r="A9828" s="2"/>
      <c r="AM9828" s="2"/>
    </row>
    <row r="9829" spans="1:39">
      <c r="A9829" s="2"/>
      <c r="AM9829" s="2"/>
    </row>
    <row r="9830" spans="1:39">
      <c r="A9830" s="2"/>
      <c r="AM9830" s="2"/>
    </row>
    <row r="9831" spans="1:39">
      <c r="A9831" s="2"/>
      <c r="AM9831" s="2"/>
    </row>
    <row r="9832" spans="1:39">
      <c r="A9832" s="2"/>
      <c r="AM9832" s="2"/>
    </row>
    <row r="9833" spans="1:39">
      <c r="A9833" s="2"/>
      <c r="AM9833" s="2"/>
    </row>
    <row r="9834" spans="1:39">
      <c r="A9834" s="2"/>
      <c r="AM9834" s="2"/>
    </row>
    <row r="9835" spans="1:39">
      <c r="A9835" s="2"/>
      <c r="AM9835" s="2"/>
    </row>
    <row r="9836" spans="1:39">
      <c r="A9836" s="2"/>
      <c r="AM9836" s="2"/>
    </row>
    <row r="9837" spans="1:39">
      <c r="A9837" s="2"/>
      <c r="AM9837" s="2"/>
    </row>
    <row r="9838" spans="1:39">
      <c r="A9838" s="2"/>
      <c r="AM9838" s="2"/>
    </row>
    <row r="9839" spans="1:39">
      <c r="A9839" s="2"/>
      <c r="AM9839" s="2"/>
    </row>
    <row r="9840" spans="1:39">
      <c r="A9840" s="2"/>
      <c r="AM9840" s="2"/>
    </row>
    <row r="9841" spans="1:39">
      <c r="A9841" s="2"/>
      <c r="AM9841" s="2"/>
    </row>
    <row r="9842" spans="1:39">
      <c r="A9842" s="2"/>
      <c r="AM9842" s="2"/>
    </row>
    <row r="9843" spans="1:39">
      <c r="A9843" s="2"/>
      <c r="AM9843" s="2"/>
    </row>
    <row r="9844" spans="1:39">
      <c r="A9844" s="2"/>
      <c r="AM9844" s="2"/>
    </row>
    <row r="9845" spans="1:39">
      <c r="A9845" s="2"/>
      <c r="AM9845" s="2"/>
    </row>
    <row r="9846" spans="1:39">
      <c r="A9846" s="2"/>
      <c r="AM9846" s="2"/>
    </row>
    <row r="9847" spans="1:39">
      <c r="A9847" s="2"/>
      <c r="AM9847" s="2"/>
    </row>
    <row r="9848" spans="1:39">
      <c r="A9848" s="2"/>
      <c r="AM9848" s="2"/>
    </row>
    <row r="9849" spans="1:39">
      <c r="A9849" s="2"/>
      <c r="AM9849" s="2"/>
    </row>
    <row r="9850" spans="1:39">
      <c r="A9850" s="2"/>
      <c r="AM9850" s="2"/>
    </row>
    <row r="9851" spans="1:39">
      <c r="A9851" s="2"/>
      <c r="AM9851" s="2"/>
    </row>
    <row r="9852" spans="1:39">
      <c r="A9852" s="2"/>
      <c r="AM9852" s="2"/>
    </row>
    <row r="9853" spans="1:39">
      <c r="A9853" s="2"/>
      <c r="AM9853" s="2"/>
    </row>
    <row r="9854" spans="1:39">
      <c r="A9854" s="2"/>
      <c r="AM9854" s="2"/>
    </row>
    <row r="9855" spans="1:39">
      <c r="A9855" s="2"/>
      <c r="AM9855" s="2"/>
    </row>
    <row r="9856" spans="1:39">
      <c r="A9856" s="2"/>
      <c r="AM9856" s="2"/>
    </row>
    <row r="9857" spans="1:39">
      <c r="A9857" s="2"/>
      <c r="AM9857" s="2"/>
    </row>
    <row r="9858" spans="1:39">
      <c r="A9858" s="2"/>
      <c r="AM9858" s="2"/>
    </row>
    <row r="9859" spans="1:39">
      <c r="A9859" s="2"/>
      <c r="AM9859" s="2"/>
    </row>
    <row r="9860" spans="1:39">
      <c r="A9860" s="2"/>
      <c r="AM9860" s="2"/>
    </row>
    <row r="9861" spans="1:39">
      <c r="A9861" s="2"/>
      <c r="AM9861" s="2"/>
    </row>
    <row r="9862" spans="1:39">
      <c r="A9862" s="2"/>
      <c r="AM9862" s="2"/>
    </row>
    <row r="9863" spans="1:39">
      <c r="A9863" s="2"/>
      <c r="AM9863" s="2"/>
    </row>
    <row r="9864" spans="1:39">
      <c r="A9864" s="2"/>
      <c r="AM9864" s="2"/>
    </row>
    <row r="9865" spans="1:39">
      <c r="A9865" s="2"/>
      <c r="AM9865" s="2"/>
    </row>
    <row r="9866" spans="1:39">
      <c r="A9866" s="2"/>
      <c r="AM9866" s="2"/>
    </row>
    <row r="9867" spans="1:39">
      <c r="A9867" s="2"/>
      <c r="AM9867" s="2"/>
    </row>
    <row r="9868" spans="1:39">
      <c r="A9868" s="2"/>
      <c r="AM9868" s="2"/>
    </row>
    <row r="9869" spans="1:39">
      <c r="A9869" s="2"/>
      <c r="AM9869" s="2"/>
    </row>
    <row r="9870" spans="1:39">
      <c r="A9870" s="2"/>
      <c r="AM9870" s="2"/>
    </row>
    <row r="9871" spans="1:39">
      <c r="A9871" s="2"/>
      <c r="AM9871" s="2"/>
    </row>
    <row r="9872" spans="1:39">
      <c r="A9872" s="2"/>
      <c r="AM9872" s="2"/>
    </row>
    <row r="9873" spans="1:39">
      <c r="A9873" s="2"/>
      <c r="AM9873" s="2"/>
    </row>
    <row r="9874" spans="1:39">
      <c r="A9874" s="2"/>
      <c r="AM9874" s="2"/>
    </row>
    <row r="9875" spans="1:39">
      <c r="A9875" s="2"/>
      <c r="AM9875" s="2"/>
    </row>
    <row r="9876" spans="1:39">
      <c r="A9876" s="2"/>
      <c r="AM9876" s="2"/>
    </row>
    <row r="9877" spans="1:39">
      <c r="A9877" s="2"/>
      <c r="AM9877" s="2"/>
    </row>
    <row r="9878" spans="1:39">
      <c r="A9878" s="2"/>
      <c r="AM9878" s="2"/>
    </row>
    <row r="9879" spans="1:39">
      <c r="A9879" s="2"/>
      <c r="AM9879" s="2"/>
    </row>
    <row r="9880" spans="1:39">
      <c r="A9880" s="2"/>
      <c r="AM9880" s="2"/>
    </row>
    <row r="9881" spans="1:39">
      <c r="A9881" s="2"/>
      <c r="AM9881" s="2"/>
    </row>
    <row r="9882" spans="1:39">
      <c r="A9882" s="2"/>
      <c r="AM9882" s="2"/>
    </row>
    <row r="9883" spans="1:39">
      <c r="A9883" s="2"/>
      <c r="AM9883" s="2"/>
    </row>
    <row r="9884" spans="1:39">
      <c r="A9884" s="2"/>
      <c r="AM9884" s="2"/>
    </row>
    <row r="9885" spans="1:39">
      <c r="A9885" s="2"/>
      <c r="AM9885" s="2"/>
    </row>
    <row r="9886" spans="1:39">
      <c r="A9886" s="2"/>
      <c r="AM9886" s="2"/>
    </row>
    <row r="9887" spans="1:39">
      <c r="A9887" s="2"/>
      <c r="AM9887" s="2"/>
    </row>
    <row r="9888" spans="1:39">
      <c r="A9888" s="2"/>
      <c r="AM9888" s="2"/>
    </row>
    <row r="9889" spans="1:39">
      <c r="A9889" s="2"/>
      <c r="AM9889" s="2"/>
    </row>
    <row r="9890" spans="1:39">
      <c r="A9890" s="2"/>
      <c r="AM9890" s="2"/>
    </row>
    <row r="9891" spans="1:39">
      <c r="A9891" s="2"/>
      <c r="AM9891" s="2"/>
    </row>
    <row r="9892" spans="1:39">
      <c r="A9892" s="2"/>
      <c r="AM9892" s="2"/>
    </row>
    <row r="9893" spans="1:39">
      <c r="A9893" s="2"/>
      <c r="AM9893" s="2"/>
    </row>
    <row r="9894" spans="1:39">
      <c r="A9894" s="2"/>
      <c r="AM9894" s="2"/>
    </row>
    <row r="9895" spans="1:39">
      <c r="A9895" s="2"/>
      <c r="AM9895" s="2"/>
    </row>
    <row r="9896" spans="1:39">
      <c r="A9896" s="2"/>
      <c r="AM9896" s="2"/>
    </row>
    <row r="9897" spans="1:39">
      <c r="A9897" s="2"/>
      <c r="AM9897" s="2"/>
    </row>
    <row r="9898" spans="1:39">
      <c r="A9898" s="2"/>
      <c r="AM9898" s="2"/>
    </row>
    <row r="9899" spans="1:39">
      <c r="A9899" s="2"/>
      <c r="AM9899" s="2"/>
    </row>
    <row r="9900" spans="1:39">
      <c r="A9900" s="2"/>
      <c r="AM9900" s="2"/>
    </row>
    <row r="9901" spans="1:39">
      <c r="A9901" s="2"/>
      <c r="AM9901" s="2"/>
    </row>
    <row r="9902" spans="1:39">
      <c r="A9902" s="2"/>
      <c r="AM9902" s="2"/>
    </row>
    <row r="9903" spans="1:39">
      <c r="A9903" s="2"/>
      <c r="AM9903" s="2"/>
    </row>
    <row r="9904" spans="1:39">
      <c r="A9904" s="2"/>
      <c r="AM9904" s="2"/>
    </row>
    <row r="9905" spans="1:39">
      <c r="A9905" s="2"/>
      <c r="AM9905" s="2"/>
    </row>
    <row r="9906" spans="1:39">
      <c r="A9906" s="2"/>
      <c r="AM9906" s="2"/>
    </row>
    <row r="9907" spans="1:39">
      <c r="A9907" s="2"/>
      <c r="AM9907" s="2"/>
    </row>
    <row r="9908" spans="1:39">
      <c r="A9908" s="2"/>
      <c r="AM9908" s="2"/>
    </row>
    <row r="9909" spans="1:39">
      <c r="A9909" s="2"/>
      <c r="AM9909" s="2"/>
    </row>
    <row r="9910" spans="1:39">
      <c r="A9910" s="2"/>
      <c r="AM9910" s="2"/>
    </row>
    <row r="9911" spans="1:39">
      <c r="A9911" s="2"/>
      <c r="AM9911" s="2"/>
    </row>
    <row r="9912" spans="1:39">
      <c r="A9912" s="2"/>
      <c r="AM9912" s="2"/>
    </row>
    <row r="9913" spans="1:39">
      <c r="A9913" s="2"/>
      <c r="AM9913" s="2"/>
    </row>
    <row r="9914" spans="1:39">
      <c r="A9914" s="2"/>
      <c r="AM9914" s="2"/>
    </row>
    <row r="9915" spans="1:39">
      <c r="A9915" s="2"/>
      <c r="AM9915" s="2"/>
    </row>
    <row r="9916" spans="1:39">
      <c r="A9916" s="2"/>
      <c r="AM9916" s="2"/>
    </row>
    <row r="9917" spans="1:39">
      <c r="A9917" s="2"/>
      <c r="AM9917" s="2"/>
    </row>
    <row r="9918" spans="1:39">
      <c r="A9918" s="2"/>
      <c r="AM9918" s="2"/>
    </row>
    <row r="9919" spans="1:39">
      <c r="A9919" s="2"/>
      <c r="AM9919" s="2"/>
    </row>
    <row r="9920" spans="1:39">
      <c r="A9920" s="2"/>
      <c r="AM9920" s="2"/>
    </row>
    <row r="9921" spans="1:39">
      <c r="A9921" s="2"/>
      <c r="AM9921" s="2"/>
    </row>
    <row r="9922" spans="1:39">
      <c r="A9922" s="2"/>
      <c r="AM9922" s="2"/>
    </row>
    <row r="9923" spans="1:39">
      <c r="A9923" s="2"/>
      <c r="AM9923" s="2"/>
    </row>
    <row r="9924" spans="1:39">
      <c r="A9924" s="2"/>
      <c r="AM9924" s="2"/>
    </row>
    <row r="9925" spans="1:39">
      <c r="A9925" s="2"/>
      <c r="AM9925" s="2"/>
    </row>
    <row r="9926" spans="1:39">
      <c r="A9926" s="2"/>
      <c r="AM9926" s="2"/>
    </row>
    <row r="9927" spans="1:39">
      <c r="A9927" s="2"/>
      <c r="AM9927" s="2"/>
    </row>
    <row r="9928" spans="1:39">
      <c r="A9928" s="2"/>
      <c r="AM9928" s="2"/>
    </row>
    <row r="9929" spans="1:39">
      <c r="A9929" s="2"/>
      <c r="AM9929" s="2"/>
    </row>
    <row r="9930" spans="1:39">
      <c r="A9930" s="2"/>
      <c r="AM9930" s="2"/>
    </row>
    <row r="9931" spans="1:39">
      <c r="A9931" s="2"/>
      <c r="AM9931" s="2"/>
    </row>
    <row r="9932" spans="1:39">
      <c r="A9932" s="2"/>
      <c r="AM9932" s="2"/>
    </row>
    <row r="9933" spans="1:39">
      <c r="A9933" s="2"/>
      <c r="AM9933" s="2"/>
    </row>
    <row r="9934" spans="1:39">
      <c r="A9934" s="2"/>
      <c r="AM9934" s="2"/>
    </row>
    <row r="9935" spans="1:39">
      <c r="A9935" s="2"/>
      <c r="AM9935" s="2"/>
    </row>
    <row r="9936" spans="1:39">
      <c r="A9936" s="2"/>
      <c r="AM9936" s="2"/>
    </row>
    <row r="9937" spans="1:39">
      <c r="A9937" s="2"/>
      <c r="AM9937" s="2"/>
    </row>
    <row r="9938" spans="1:39">
      <c r="A9938" s="2"/>
      <c r="AM9938" s="2"/>
    </row>
    <row r="9939" spans="1:39">
      <c r="A9939" s="2"/>
      <c r="AM9939" s="2"/>
    </row>
    <row r="9940" spans="1:39">
      <c r="A9940" s="2"/>
      <c r="AM9940" s="2"/>
    </row>
    <row r="9941" spans="1:39">
      <c r="A9941" s="2"/>
      <c r="AM9941" s="2"/>
    </row>
    <row r="9942" spans="1:39">
      <c r="A9942" s="2"/>
      <c r="AM9942" s="2"/>
    </row>
    <row r="9943" spans="1:39">
      <c r="A9943" s="2"/>
      <c r="AM9943" s="2"/>
    </row>
    <row r="9944" spans="1:39">
      <c r="A9944" s="2"/>
      <c r="AM9944" s="2"/>
    </row>
    <row r="9945" spans="1:39">
      <c r="A9945" s="2"/>
      <c r="AM9945" s="2"/>
    </row>
    <row r="9946" spans="1:39">
      <c r="A9946" s="2"/>
      <c r="AM9946" s="2"/>
    </row>
    <row r="9947" spans="1:39">
      <c r="A9947" s="2"/>
      <c r="AM9947" s="2"/>
    </row>
    <row r="9948" spans="1:39">
      <c r="A9948" s="2"/>
      <c r="AM9948" s="2"/>
    </row>
    <row r="9949" spans="1:39">
      <c r="A9949" s="2"/>
      <c r="AM9949" s="2"/>
    </row>
    <row r="9950" spans="1:39">
      <c r="A9950" s="2"/>
      <c r="AM9950" s="2"/>
    </row>
    <row r="9951" spans="1:39">
      <c r="A9951" s="2"/>
      <c r="AM9951" s="2"/>
    </row>
    <row r="9952" spans="1:39">
      <c r="A9952" s="2"/>
      <c r="AM9952" s="2"/>
    </row>
    <row r="9953" spans="1:39">
      <c r="A9953" s="2"/>
      <c r="AM9953" s="2"/>
    </row>
    <row r="9954" spans="1:39">
      <c r="A9954" s="2"/>
      <c r="AM9954" s="2"/>
    </row>
    <row r="9955" spans="1:39">
      <c r="A9955" s="2"/>
      <c r="AM9955" s="2"/>
    </row>
    <row r="9956" spans="1:39">
      <c r="A9956" s="2"/>
      <c r="AM9956" s="2"/>
    </row>
    <row r="9957" spans="1:39">
      <c r="A9957" s="2"/>
      <c r="AM9957" s="2"/>
    </row>
    <row r="9958" spans="1:39">
      <c r="A9958" s="2"/>
      <c r="AM9958" s="2"/>
    </row>
    <row r="9959" spans="1:39">
      <c r="A9959" s="2"/>
      <c r="AM9959" s="2"/>
    </row>
    <row r="9960" spans="1:39">
      <c r="A9960" s="2"/>
      <c r="AM9960" s="2"/>
    </row>
    <row r="9961" spans="1:39">
      <c r="A9961" s="2"/>
      <c r="AM9961" s="2"/>
    </row>
    <row r="9962" spans="1:39">
      <c r="A9962" s="2"/>
      <c r="AM9962" s="2"/>
    </row>
    <row r="9963" spans="1:39">
      <c r="A9963" s="2"/>
      <c r="AM9963" s="2"/>
    </row>
    <row r="9964" spans="1:39">
      <c r="A9964" s="2"/>
      <c r="AM9964" s="2"/>
    </row>
    <row r="9965" spans="1:39">
      <c r="A9965" s="2"/>
      <c r="AM9965" s="2"/>
    </row>
    <row r="9966" spans="1:39">
      <c r="A9966" s="2"/>
      <c r="AM9966" s="2"/>
    </row>
    <row r="9967" spans="1:39">
      <c r="A9967" s="2"/>
      <c r="AM9967" s="2"/>
    </row>
    <row r="9968" spans="1:39">
      <c r="A9968" s="2"/>
      <c r="AM9968" s="2"/>
    </row>
    <row r="9969" spans="1:39">
      <c r="A9969" s="2"/>
      <c r="AM9969" s="2"/>
    </row>
    <row r="9970" spans="1:39">
      <c r="A9970" s="2"/>
      <c r="AM9970" s="2"/>
    </row>
    <row r="9971" spans="1:39">
      <c r="A9971" s="2"/>
      <c r="AM9971" s="2"/>
    </row>
    <row r="9972" spans="1:39">
      <c r="A9972" s="2"/>
      <c r="AM9972" s="2"/>
    </row>
    <row r="9973" spans="1:39">
      <c r="A9973" s="2"/>
      <c r="AM9973" s="2"/>
    </row>
    <row r="9974" spans="1:39">
      <c r="A9974" s="2"/>
      <c r="AM9974" s="2"/>
    </row>
    <row r="9975" spans="1:39">
      <c r="A9975" s="2"/>
      <c r="AM9975" s="2"/>
    </row>
    <row r="9976" spans="1:39">
      <c r="A9976" s="2"/>
      <c r="AM9976" s="2"/>
    </row>
    <row r="9977" spans="1:39">
      <c r="A9977" s="2"/>
      <c r="AM9977" s="2"/>
    </row>
    <row r="9978" spans="1:39">
      <c r="A9978" s="2"/>
      <c r="AM9978" s="2"/>
    </row>
    <row r="9979" spans="1:39">
      <c r="A9979" s="2"/>
      <c r="AM9979" s="2"/>
    </row>
    <row r="9980" spans="1:39">
      <c r="A9980" s="2"/>
      <c r="AM9980" s="2"/>
    </row>
    <row r="9981" spans="1:39">
      <c r="A9981" s="2"/>
      <c r="AM9981" s="2"/>
    </row>
    <row r="9982" spans="1:39">
      <c r="A9982" s="2"/>
      <c r="AM9982" s="2"/>
    </row>
    <row r="9983" spans="1:39">
      <c r="A9983" s="2"/>
      <c r="AM9983" s="2"/>
    </row>
    <row r="9984" spans="1:39">
      <c r="A9984" s="2"/>
      <c r="AM9984" s="2"/>
    </row>
    <row r="9985" spans="1:39">
      <c r="A9985" s="2"/>
      <c r="AM9985" s="2"/>
    </row>
    <row r="9986" spans="1:39">
      <c r="A9986" s="2"/>
      <c r="AM9986" s="2"/>
    </row>
    <row r="9987" spans="1:39">
      <c r="A9987" s="2"/>
      <c r="AM9987" s="2"/>
    </row>
    <row r="9988" spans="1:39">
      <c r="A9988" s="2"/>
      <c r="AM9988" s="2"/>
    </row>
    <row r="9989" spans="1:39">
      <c r="A9989" s="2"/>
      <c r="AM9989" s="2"/>
    </row>
    <row r="9990" spans="1:39">
      <c r="A9990" s="2"/>
      <c r="AM9990" s="2"/>
    </row>
    <row r="9991" spans="1:39">
      <c r="A9991" s="2"/>
      <c r="AM9991" s="2"/>
    </row>
    <row r="9992" spans="1:39">
      <c r="A9992" s="2"/>
      <c r="AM9992" s="2"/>
    </row>
    <row r="9993" spans="1:39">
      <c r="A9993" s="2"/>
      <c r="AM9993" s="2"/>
    </row>
    <row r="9994" spans="1:39">
      <c r="A9994" s="2"/>
      <c r="AM9994" s="2"/>
    </row>
    <row r="9995" spans="1:39">
      <c r="A9995" s="2"/>
      <c r="AM9995" s="2"/>
    </row>
    <row r="9996" spans="1:39">
      <c r="A9996" s="2"/>
      <c r="AM9996" s="2"/>
    </row>
    <row r="9997" spans="1:39">
      <c r="A9997" s="2"/>
      <c r="AM9997" s="2"/>
    </row>
    <row r="9998" spans="1:39">
      <c r="A9998" s="2"/>
      <c r="AM9998" s="2"/>
    </row>
    <row r="9999" spans="1:39">
      <c r="A9999" s="2"/>
      <c r="AM9999" s="2"/>
    </row>
    <row r="10000" spans="1:39">
      <c r="A10000" s="2"/>
      <c r="AM10000" s="2"/>
    </row>
    <row r="10001" spans="1:39">
      <c r="A10001" s="2"/>
      <c r="AM10001" s="2"/>
    </row>
    <row r="10002" spans="1:39">
      <c r="A10002" s="2"/>
      <c r="AM10002" s="2"/>
    </row>
    <row r="10003" spans="1:39">
      <c r="A10003" s="2"/>
      <c r="AM1000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시가평가_계산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infomax</cp:lastModifiedBy>
  <dcterms:created xsi:type="dcterms:W3CDTF">2024-01-09T04:19:10Z</dcterms:created>
  <dcterms:modified xsi:type="dcterms:W3CDTF">2025-05-15T04:41:59Z</dcterms:modified>
</cp:coreProperties>
</file>