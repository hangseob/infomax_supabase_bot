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0승환\"/>
    </mc:Choice>
  </mc:AlternateContent>
  <xr:revisionPtr revIDLastSave="0" documentId="13_ncr:1_{95266B3F-D6E6-4066-AEB2-316C995FC0D4}" xr6:coauthVersionLast="47" xr6:coauthVersionMax="47" xr10:uidLastSave="{00000000-0000-0000-0000-000000000000}"/>
  <bookViews>
    <workbookView xWindow="-60" yWindow="1545" windowWidth="27615" windowHeight="12720" xr2:uid="{D67309D9-5602-4248-9EB5-82B80DB0A969}"/>
  </bookViews>
  <sheets>
    <sheet name="Sheet1" sheetId="1" r:id="rId1"/>
    <sheet name="dat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2" l="1"/>
  <c r="W34" i="2"/>
  <c r="W33" i="2"/>
  <c r="W32" i="2"/>
  <c r="W31" i="2"/>
  <c r="W30" i="2"/>
  <c r="W29" i="2"/>
  <c r="W28" i="2"/>
  <c r="W27" i="2"/>
  <c r="W26" i="2"/>
  <c r="W25" i="2"/>
  <c r="W24" i="2"/>
  <c r="W23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Q24" i="2"/>
  <c r="S25" i="2" s="1" a="1"/>
  <c r="S25" i="2" s="1"/>
  <c r="Q25" i="2"/>
  <c r="R25" i="2" s="1"/>
  <c r="R24" i="2" l="1" a="1"/>
  <c r="R24" i="2" s="1"/>
  <c r="S24" i="2" a="1"/>
  <c r="S24" i="2" s="1"/>
  <c r="Q22" i="2"/>
  <c r="H24" i="2"/>
  <c r="E51" i="2" a="1"/>
  <c r="E51" i="2" s="1"/>
  <c r="E50" i="2" a="1"/>
  <c r="E50" i="2" s="1"/>
  <c r="F57" i="2" a="1"/>
  <c r="F57" i="2" s="1"/>
  <c r="E57" i="2" a="1"/>
  <c r="E57" i="2" s="1"/>
  <c r="D57" i="2" a="1"/>
  <c r="D57" i="2" s="1"/>
  <c r="C57" i="2" a="1"/>
  <c r="C57" i="2" s="1"/>
  <c r="F56" i="2" a="1"/>
  <c r="F56" i="2" s="1"/>
  <c r="E56" i="2" a="1"/>
  <c r="E56" i="2" s="1"/>
  <c r="D56" i="2" a="1"/>
  <c r="D56" i="2" s="1"/>
  <c r="C56" i="2" a="1"/>
  <c r="C56" i="2" s="1"/>
  <c r="F55" i="2" a="1"/>
  <c r="F55" i="2" s="1"/>
  <c r="E55" i="2" a="1"/>
  <c r="E55" i="2" s="1"/>
  <c r="D55" i="2" a="1"/>
  <c r="D55" i="2" s="1"/>
  <c r="C55" i="2" a="1"/>
  <c r="C55" i="2" s="1"/>
  <c r="F54" i="2" a="1"/>
  <c r="F54" i="2" s="1"/>
  <c r="E54" i="2" a="1"/>
  <c r="E54" i="2" s="1"/>
  <c r="D54" i="2" a="1"/>
  <c r="D54" i="2" s="1"/>
  <c r="C54" i="2" a="1"/>
  <c r="C54" i="2" s="1"/>
  <c r="F53" i="2" a="1"/>
  <c r="F53" i="2" s="1"/>
  <c r="E53" i="2" a="1"/>
  <c r="E53" i="2" s="1"/>
  <c r="D53" i="2" a="1"/>
  <c r="D53" i="2" s="1"/>
  <c r="C53" i="2" a="1"/>
  <c r="C53" i="2" s="1"/>
  <c r="F52" i="2" a="1"/>
  <c r="F52" i="2" s="1"/>
  <c r="E52" i="2" a="1"/>
  <c r="E52" i="2" s="1"/>
  <c r="D52" i="2" a="1"/>
  <c r="D52" i="2" s="1"/>
  <c r="C52" i="2" a="1"/>
  <c r="C52" i="2" s="1"/>
  <c r="F51" i="2" a="1"/>
  <c r="F51" i="2" s="1"/>
  <c r="D51" i="2" a="1"/>
  <c r="D51" i="2" s="1"/>
  <c r="C51" i="2" a="1"/>
  <c r="C51" i="2" s="1"/>
  <c r="F50" i="2" a="1"/>
  <c r="F50" i="2" s="1"/>
  <c r="D50" i="2" a="1"/>
  <c r="D50" i="2" s="1"/>
  <c r="C50" i="2" a="1"/>
  <c r="C50" i="2" s="1"/>
  <c r="F49" i="2" a="1"/>
  <c r="F49" i="2" s="1"/>
  <c r="E49" i="2" a="1"/>
  <c r="E49" i="2" s="1"/>
  <c r="D49" i="2" a="1"/>
  <c r="D49" i="2" s="1"/>
  <c r="C49" i="2" a="1"/>
  <c r="C49" i="2" s="1"/>
  <c r="E48" i="2" a="1"/>
  <c r="E48" i="2" s="1"/>
  <c r="I16" i="2" a="1"/>
  <c r="I16" i="2" s="1"/>
  <c r="F48" i="2" a="1"/>
  <c r="F48" i="2" s="1"/>
  <c r="D48" i="2" a="1"/>
  <c r="D48" i="2" s="1"/>
  <c r="C48" i="2" a="1"/>
  <c r="C48" i="2" s="1"/>
  <c r="D37" i="1" a="1"/>
  <c r="D37" i="1" s="1"/>
  <c r="B37" i="1" a="1"/>
  <c r="B37" i="1" s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L36" i="2" s="1"/>
  <c r="M19" i="2"/>
  <c r="X19" i="2" s="1"/>
  <c r="I6" i="1"/>
  <c r="B4" i="1"/>
  <c r="I37" i="1" s="1"/>
  <c r="AB13" i="2"/>
  <c r="AB12" i="2"/>
  <c r="AB9" i="2"/>
  <c r="AB8" i="2"/>
  <c r="AB7" i="2"/>
  <c r="AB6" i="2"/>
  <c r="AB5" i="2"/>
  <c r="AB4" i="2"/>
  <c r="AC15" i="2"/>
  <c r="AC14" i="2"/>
  <c r="AC11" i="2"/>
  <c r="AC10" i="2"/>
  <c r="P15" i="2"/>
  <c r="P14" i="2"/>
  <c r="P11" i="2"/>
  <c r="P10" i="2"/>
  <c r="AC13" i="2"/>
  <c r="AC12" i="2"/>
  <c r="AC9" i="2"/>
  <c r="AC8" i="2"/>
  <c r="AC7" i="2"/>
  <c r="AC6" i="2"/>
  <c r="AC5" i="2"/>
  <c r="AC4" i="2"/>
  <c r="I40" i="1" a="1"/>
  <c r="L40" i="1" a="1"/>
  <c r="R23" i="2" a="1"/>
  <c r="I44" i="1" a="1"/>
  <c r="I40" i="1" l="1"/>
  <c r="L40" i="1"/>
  <c r="R23" i="2"/>
  <c r="R22" i="2" s="1"/>
  <c r="I38" i="1" s="1"/>
  <c r="D18" i="1"/>
  <c r="I18" i="1"/>
  <c r="L37" i="2"/>
  <c r="L38" i="2"/>
  <c r="K46" i="1" s="1" a="1"/>
  <c r="K46" i="1" s="1"/>
  <c r="B36" i="1"/>
  <c r="T47" i="2" s="1"/>
  <c r="B26" i="1"/>
  <c r="I44" i="1"/>
  <c r="I43" i="1"/>
  <c r="M43" i="1" s="1"/>
  <c r="L41" i="2"/>
  <c r="D14" i="1"/>
  <c r="D17" i="1"/>
  <c r="D13" i="1"/>
  <c r="D20" i="1"/>
  <c r="D19" i="1"/>
  <c r="D22" i="1"/>
  <c r="AB18" i="2"/>
  <c r="AB17" i="2"/>
  <c r="AB16" i="2"/>
  <c r="AB15" i="2" a="1"/>
  <c r="AB15" i="2" s="1"/>
  <c r="AB14" i="2" a="1"/>
  <c r="AB14" i="2" s="1"/>
  <c r="AB11" i="2" a="1"/>
  <c r="AB11" i="2" s="1"/>
  <c r="AB10" i="2" a="1"/>
  <c r="AB10" i="2" s="1"/>
  <c r="M13" i="2"/>
  <c r="M12" i="2"/>
  <c r="M9" i="2"/>
  <c r="M8" i="2"/>
  <c r="M7" i="2"/>
  <c r="M6" i="2"/>
  <c r="M5" i="2"/>
  <c r="M4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9" i="1" a="1"/>
  <c r="L38" i="1" a="1"/>
  <c r="K40" i="1" a="1"/>
  <c r="K39" i="1" a="1"/>
  <c r="S23" i="1" a="1"/>
  <c r="S28" i="1" a="1"/>
  <c r="S24" i="1" a="1"/>
  <c r="S25" i="1" a="1"/>
  <c r="S26" i="1" a="1"/>
  <c r="S27" i="1" a="1"/>
  <c r="S19" i="1" a="1"/>
  <c r="S20" i="1" a="1"/>
  <c r="T26" i="1" a="1"/>
  <c r="T20" i="1" a="1"/>
  <c r="T21" i="1" a="1"/>
  <c r="T22" i="1" a="1"/>
  <c r="T23" i="1" a="1"/>
  <c r="T24" i="1" a="1"/>
  <c r="T25" i="1" a="1"/>
  <c r="T27" i="1" a="1"/>
  <c r="T28" i="1" a="1"/>
  <c r="T19" i="1" a="1"/>
  <c r="R28" i="1" a="1"/>
  <c r="R19" i="1" a="1"/>
  <c r="R20" i="1" a="1"/>
  <c r="R22" i="1" a="1"/>
  <c r="R23" i="1" a="1"/>
  <c r="R24" i="1" a="1"/>
  <c r="R25" i="1" a="1"/>
  <c r="R26" i="1" a="1"/>
  <c r="R27" i="1" a="1"/>
  <c r="R21" i="1" a="1"/>
  <c r="O22" i="1" a="1"/>
  <c r="O23" i="1" a="1"/>
  <c r="O24" i="1" a="1"/>
  <c r="O25" i="1" a="1"/>
  <c r="O26" i="1" a="1"/>
  <c r="O27" i="1" a="1"/>
  <c r="O28" i="1" a="1"/>
  <c r="O21" i="1" a="1"/>
  <c r="O20" i="1" a="1"/>
  <c r="O19" i="1" a="1"/>
  <c r="N19" i="1" a="1"/>
  <c r="N27" i="1" a="1"/>
  <c r="N20" i="1" a="1"/>
  <c r="N21" i="1" a="1"/>
  <c r="N22" i="1" a="1"/>
  <c r="N23" i="1" a="1"/>
  <c r="N24" i="1" a="1"/>
  <c r="N25" i="1" a="1"/>
  <c r="N26" i="1" a="1"/>
  <c r="N28" i="1" a="1"/>
  <c r="M20" i="1" a="1"/>
  <c r="M21" i="1" a="1"/>
  <c r="M22" i="1" a="1"/>
  <c r="M23" i="1" a="1"/>
  <c r="M24" i="1" a="1"/>
  <c r="M25" i="1" a="1"/>
  <c r="M26" i="1" a="1"/>
  <c r="M27" i="1" a="1"/>
  <c r="M28" i="1" a="1"/>
  <c r="M19" i="1" a="1"/>
  <c r="L21" i="1" a="1"/>
  <c r="L22" i="1" a="1"/>
  <c r="L23" i="1" a="1"/>
  <c r="L24" i="1" a="1"/>
  <c r="L26" i="1" a="1"/>
  <c r="L27" i="1" a="1"/>
  <c r="L20" i="1" a="1"/>
  <c r="L25" i="1" a="1"/>
  <c r="L28" i="1" a="1"/>
  <c r="L19" i="1" a="1"/>
  <c r="K21" i="1" a="1"/>
  <c r="K27" i="1" a="1"/>
  <c r="K20" i="1" a="1"/>
  <c r="K22" i="1" a="1"/>
  <c r="K23" i="1" a="1"/>
  <c r="K24" i="1" a="1"/>
  <c r="K25" i="1" a="1"/>
  <c r="K26" i="1" a="1"/>
  <c r="K28" i="1" a="1"/>
  <c r="K19" i="1" a="1"/>
  <c r="T48" i="2" a="1"/>
  <c r="M44" i="1" a="1"/>
  <c r="K44" i="1" a="1"/>
  <c r="V9" i="2" a="1"/>
  <c r="V4" i="2" a="1"/>
  <c r="V7" i="2" a="1"/>
  <c r="V8" i="2" a="1"/>
  <c r="V6" i="2" a="1"/>
  <c r="V5" i="2" a="1"/>
  <c r="V12" i="2" a="1"/>
  <c r="U12" i="2" a="1"/>
  <c r="AP4" i="2" a="1"/>
  <c r="U6" i="2" a="1"/>
  <c r="AO6" i="2" a="1"/>
  <c r="AO4" i="2" a="1"/>
  <c r="AM6" i="2" a="1"/>
  <c r="AO7" i="2" a="1"/>
  <c r="U9" i="2" a="1"/>
  <c r="AN6" i="2" a="1"/>
  <c r="AP9" i="2" a="1"/>
  <c r="AN5" i="2" a="1"/>
  <c r="AO8" i="2" a="1"/>
  <c r="AQ8" i="2" a="1"/>
  <c r="AQ4" i="2" a="1"/>
  <c r="AR8" i="2" a="1"/>
  <c r="AM8" i="2" a="1"/>
  <c r="AN7" i="2" a="1"/>
  <c r="AP7" i="2" a="1"/>
  <c r="U8" i="2" a="1"/>
  <c r="AQ6" i="2" a="1"/>
  <c r="AR7" i="2" a="1"/>
  <c r="U4" i="2" a="1"/>
  <c r="AM7" i="2" a="1"/>
  <c r="AQ7" i="2" a="1"/>
  <c r="AO9" i="2" a="1"/>
  <c r="U7" i="2" a="1"/>
  <c r="AN9" i="2" a="1"/>
  <c r="AQ9" i="2" a="1"/>
  <c r="AR4" i="2" a="1"/>
  <c r="AO5" i="2" a="1"/>
  <c r="AP8" i="2" a="1"/>
  <c r="AM9" i="2" a="1"/>
  <c r="AP6" i="2" a="1"/>
  <c r="AN10" i="2" a="1"/>
  <c r="AN4" i="2" a="1"/>
  <c r="AR10" i="2" a="1"/>
  <c r="AN8" i="2" a="1"/>
  <c r="AO10" i="2" a="1"/>
  <c r="AM4" i="2" a="1"/>
  <c r="AQ10" i="2" a="1"/>
  <c r="AR5" i="2" a="1"/>
  <c r="AP10" i="2" a="1"/>
  <c r="U5" i="2" a="1"/>
  <c r="AR6" i="2" a="1"/>
  <c r="AP5" i="2" a="1"/>
  <c r="AQ5" i="2" a="1"/>
  <c r="AR9" i="2" a="1"/>
  <c r="AM5" i="2" a="1"/>
  <c r="AM10" i="2" a="1"/>
  <c r="U13" i="2" a="1"/>
  <c r="V13" i="2" a="1"/>
  <c r="P54" i="2" a="1"/>
  <c r="Q56" i="2" a="1"/>
  <c r="O54" i="2" a="1"/>
  <c r="N56" i="2" a="1"/>
  <c r="P55" i="2" a="1"/>
  <c r="O51" i="2" a="1"/>
  <c r="M56" i="2" a="1"/>
  <c r="Q51" i="2" a="1"/>
  <c r="Q55" i="2" a="1"/>
  <c r="O52" i="2" a="1"/>
  <c r="N50" i="2" a="1"/>
  <c r="N53" i="2" a="1"/>
  <c r="P52" i="2" a="1"/>
  <c r="N51" i="2" a="1"/>
  <c r="P50" i="2" a="1"/>
  <c r="M51" i="2" a="1"/>
  <c r="M52" i="2" a="1"/>
  <c r="Q50" i="2" a="1"/>
  <c r="M41" i="2" a="1"/>
  <c r="Q53" i="2" a="1"/>
  <c r="O53" i="2" a="1"/>
  <c r="N52" i="2" a="1"/>
  <c r="N54" i="2" a="1"/>
  <c r="M50" i="2" a="1"/>
  <c r="Q52" i="2" a="1"/>
  <c r="C21" i="1" a="1"/>
  <c r="P53" i="2" a="1"/>
  <c r="O55" i="2" a="1"/>
  <c r="N55" i="2" a="1"/>
  <c r="O56" i="2" a="1"/>
  <c r="M53" i="2" a="1"/>
  <c r="P51" i="2" a="1"/>
  <c r="M54" i="2" a="1"/>
  <c r="P56" i="2" a="1"/>
  <c r="M55" i="2" a="1"/>
  <c r="O50" i="2" a="1"/>
  <c r="K38" i="1" a="1"/>
  <c r="Q54" i="2" a="1"/>
  <c r="L39" i="1" l="1"/>
  <c r="L38" i="1"/>
  <c r="K40" i="1"/>
  <c r="K39" i="1"/>
  <c r="S27" i="1"/>
  <c r="S26" i="1"/>
  <c r="S25" i="1"/>
  <c r="S24" i="1"/>
  <c r="S28" i="1"/>
  <c r="S23" i="1"/>
  <c r="S20" i="1"/>
  <c r="S19" i="1"/>
  <c r="T28" i="1"/>
  <c r="T27" i="1"/>
  <c r="T25" i="1"/>
  <c r="T24" i="1"/>
  <c r="T23" i="1"/>
  <c r="T22" i="1"/>
  <c r="T21" i="1"/>
  <c r="T20" i="1"/>
  <c r="T26" i="1"/>
  <c r="T19" i="1"/>
  <c r="R27" i="1"/>
  <c r="R26" i="1"/>
  <c r="R25" i="1"/>
  <c r="R24" i="1"/>
  <c r="R23" i="1"/>
  <c r="R22" i="1"/>
  <c r="R20" i="1"/>
  <c r="R19" i="1"/>
  <c r="R28" i="1"/>
  <c r="R21" i="1"/>
  <c r="M45" i="1" a="1"/>
  <c r="M45" i="1" s="1"/>
  <c r="K45" i="1" a="1"/>
  <c r="K45" i="1" s="1"/>
  <c r="O22" i="1"/>
  <c r="O23" i="1"/>
  <c r="O24" i="1"/>
  <c r="O25" i="1"/>
  <c r="O26" i="1"/>
  <c r="O27" i="1"/>
  <c r="O28" i="1"/>
  <c r="O21" i="1"/>
  <c r="O20" i="1"/>
  <c r="O19" i="1"/>
  <c r="N19" i="1"/>
  <c r="N28" i="1"/>
  <c r="N26" i="1"/>
  <c r="N25" i="1"/>
  <c r="Q25" i="1" s="1" a="1"/>
  <c r="Q25" i="1" s="1"/>
  <c r="N24" i="1"/>
  <c r="N23" i="1"/>
  <c r="N22" i="1"/>
  <c r="N21" i="1"/>
  <c r="N20" i="1"/>
  <c r="N27" i="1"/>
  <c r="I23" i="2" a="1"/>
  <c r="I23" i="2" s="1"/>
  <c r="M28" i="1"/>
  <c r="M27" i="1"/>
  <c r="M26" i="1"/>
  <c r="M25" i="1"/>
  <c r="M24" i="1"/>
  <c r="M23" i="1"/>
  <c r="M22" i="1"/>
  <c r="M21" i="1"/>
  <c r="M20" i="1"/>
  <c r="M19" i="1"/>
  <c r="L28" i="1"/>
  <c r="L25" i="1"/>
  <c r="L20" i="1"/>
  <c r="L27" i="1"/>
  <c r="L26" i="1"/>
  <c r="L24" i="1"/>
  <c r="L23" i="1"/>
  <c r="L22" i="1"/>
  <c r="L21" i="1"/>
  <c r="L19" i="1"/>
  <c r="K28" i="1"/>
  <c r="K26" i="1"/>
  <c r="K25" i="1"/>
  <c r="K24" i="1"/>
  <c r="K23" i="1"/>
  <c r="K22" i="1"/>
  <c r="K20" i="1"/>
  <c r="K27" i="1"/>
  <c r="K21" i="1"/>
  <c r="K19" i="1"/>
  <c r="L45" i="1" a="1"/>
  <c r="L45" i="1" s="1"/>
  <c r="I45" i="1" a="1"/>
  <c r="I45" i="1" s="1"/>
  <c r="M46" i="1" a="1"/>
  <c r="M46" i="1" s="1"/>
  <c r="I46" i="1" a="1"/>
  <c r="I46" i="1" s="1"/>
  <c r="L46" i="1" a="1"/>
  <c r="L46" i="1" s="1"/>
  <c r="T48" i="2"/>
  <c r="M44" i="1"/>
  <c r="K44" i="1"/>
  <c r="L43" i="1"/>
  <c r="P56" i="2"/>
  <c r="G33" i="1" s="1"/>
  <c r="P51" i="2"/>
  <c r="G28" i="1" s="1"/>
  <c r="O56" i="2"/>
  <c r="F33" i="1" s="1"/>
  <c r="O51" i="2"/>
  <c r="F28" i="1" s="1"/>
  <c r="P55" i="2"/>
  <c r="G32" i="1" s="1"/>
  <c r="P50" i="2"/>
  <c r="G27" i="1" s="1"/>
  <c r="O55" i="2"/>
  <c r="F32" i="1" s="1"/>
  <c r="O54" i="2"/>
  <c r="F31" i="1" s="1"/>
  <c r="P53" i="2"/>
  <c r="G30" i="1" s="1"/>
  <c r="O53" i="2"/>
  <c r="F30" i="1" s="1"/>
  <c r="P52" i="2"/>
  <c r="G29" i="1" s="1"/>
  <c r="O52" i="2"/>
  <c r="F29" i="1" s="1"/>
  <c r="P54" i="2"/>
  <c r="G31" i="1" s="1"/>
  <c r="O50" i="2"/>
  <c r="F27" i="1" s="1"/>
  <c r="Q56" i="2"/>
  <c r="E33" i="1" s="1"/>
  <c r="Q55" i="2"/>
  <c r="E32" i="1" s="1"/>
  <c r="Q54" i="2"/>
  <c r="E31" i="1" s="1"/>
  <c r="Q53" i="2"/>
  <c r="E30" i="1" s="1"/>
  <c r="Q52" i="2"/>
  <c r="E29" i="1" s="1"/>
  <c r="Q51" i="2"/>
  <c r="E28" i="1" s="1"/>
  <c r="Q50" i="2"/>
  <c r="E27" i="1" s="1"/>
  <c r="N56" i="2"/>
  <c r="D33" i="1" s="1"/>
  <c r="N55" i="2"/>
  <c r="D32" i="1" s="1"/>
  <c r="N54" i="2"/>
  <c r="D31" i="1" s="1"/>
  <c r="N53" i="2"/>
  <c r="D30" i="1" s="1"/>
  <c r="N52" i="2"/>
  <c r="D29" i="1" s="1"/>
  <c r="N51" i="2"/>
  <c r="D28" i="1" s="1"/>
  <c r="N50" i="2"/>
  <c r="D27" i="1" s="1"/>
  <c r="M56" i="2"/>
  <c r="C33" i="1" s="1"/>
  <c r="M55" i="2"/>
  <c r="C32" i="1" s="1"/>
  <c r="M54" i="2"/>
  <c r="C31" i="1" s="1"/>
  <c r="M53" i="2"/>
  <c r="C30" i="1" s="1"/>
  <c r="M52" i="2"/>
  <c r="C29" i="1" s="1"/>
  <c r="M51" i="2"/>
  <c r="C28" i="1" s="1"/>
  <c r="M50" i="2"/>
  <c r="C27" i="1" s="1"/>
  <c r="M41" i="2"/>
  <c r="L43" i="2" s="1"/>
  <c r="K38" i="1"/>
  <c r="AE3" i="2" a="1"/>
  <c r="AE3" i="2" s="1"/>
  <c r="C21" i="1"/>
  <c r="B6" i="1"/>
  <c r="U7" i="2"/>
  <c r="U12" i="2"/>
  <c r="V7" i="2"/>
  <c r="V12" i="2"/>
  <c r="U8" i="2"/>
  <c r="U13" i="2"/>
  <c r="U6" i="2"/>
  <c r="V6" i="2"/>
  <c r="V8" i="2"/>
  <c r="V13" i="2"/>
  <c r="U9" i="2"/>
  <c r="V4" i="2"/>
  <c r="V9" i="2"/>
  <c r="U5" i="2"/>
  <c r="V5" i="2"/>
  <c r="U4" i="2"/>
  <c r="AM10" i="2"/>
  <c r="J13" i="1" s="1"/>
  <c r="AN10" i="2"/>
  <c r="K13" i="1" s="1"/>
  <c r="AO10" i="2"/>
  <c r="L13" i="1" s="1"/>
  <c r="AP10" i="2"/>
  <c r="M13" i="1" s="1"/>
  <c r="AQ10" i="2"/>
  <c r="N13" i="1" s="1"/>
  <c r="AR10" i="2"/>
  <c r="O13" i="1" s="1"/>
  <c r="AO4" i="2"/>
  <c r="L7" i="1" s="1"/>
  <c r="AM6" i="2"/>
  <c r="J9" i="1" s="1"/>
  <c r="AQ7" i="2"/>
  <c r="N10" i="1" s="1"/>
  <c r="AO9" i="2"/>
  <c r="L12" i="1" s="1"/>
  <c r="AP4" i="2"/>
  <c r="M7" i="1" s="1"/>
  <c r="AN6" i="2"/>
  <c r="K9" i="1" s="1"/>
  <c r="AR7" i="2"/>
  <c r="O10" i="1" s="1"/>
  <c r="AP9" i="2"/>
  <c r="M12" i="1" s="1"/>
  <c r="AQ4" i="2"/>
  <c r="N7" i="1" s="1"/>
  <c r="AO6" i="2"/>
  <c r="L9" i="1" s="1"/>
  <c r="AM8" i="2"/>
  <c r="J11" i="1" s="1"/>
  <c r="AQ9" i="2"/>
  <c r="N12" i="1" s="1"/>
  <c r="AR4" i="2"/>
  <c r="O7" i="1" s="1"/>
  <c r="AP6" i="2"/>
  <c r="M9" i="1" s="1"/>
  <c r="AN8" i="2"/>
  <c r="K11" i="1" s="1"/>
  <c r="AR9" i="2"/>
  <c r="O12" i="1" s="1"/>
  <c r="AM5" i="2"/>
  <c r="J8" i="1" s="1"/>
  <c r="AQ6" i="2"/>
  <c r="N9" i="1" s="1"/>
  <c r="AO8" i="2"/>
  <c r="L11" i="1" s="1"/>
  <c r="AN5" i="2"/>
  <c r="K8" i="1" s="1"/>
  <c r="AR6" i="2"/>
  <c r="O9" i="1" s="1"/>
  <c r="AP8" i="2"/>
  <c r="M11" i="1" s="1"/>
  <c r="AO5" i="2"/>
  <c r="L8" i="1" s="1"/>
  <c r="AM7" i="2"/>
  <c r="J10" i="1" s="1"/>
  <c r="AQ8" i="2"/>
  <c r="N11" i="1" s="1"/>
  <c r="AP5" i="2"/>
  <c r="M8" i="1" s="1"/>
  <c r="AN7" i="2"/>
  <c r="K10" i="1" s="1"/>
  <c r="AR8" i="2"/>
  <c r="O11" i="1" s="1"/>
  <c r="AQ5" i="2"/>
  <c r="N8" i="1" s="1"/>
  <c r="AO7" i="2"/>
  <c r="L10" i="1" s="1"/>
  <c r="AM9" i="2"/>
  <c r="J12" i="1" s="1"/>
  <c r="AN4" i="2"/>
  <c r="K7" i="1" s="1"/>
  <c r="AR5" i="2"/>
  <c r="O8" i="1" s="1"/>
  <c r="AP7" i="2"/>
  <c r="M10" i="1" s="1"/>
  <c r="AN9" i="2"/>
  <c r="K12" i="1" s="1"/>
  <c r="AM4" i="2"/>
  <c r="J7" i="1" s="1"/>
  <c r="S21" i="1" a="1"/>
  <c r="Q21" i="1" a="1"/>
  <c r="Q28" i="1" a="1"/>
  <c r="Q26" i="1" a="1"/>
  <c r="Q24" i="1" a="1"/>
  <c r="Q23" i="1" a="1"/>
  <c r="Q22" i="1" a="1"/>
  <c r="Q20" i="1" a="1"/>
  <c r="Q27" i="1" a="1"/>
  <c r="Q19" i="1" a="1"/>
  <c r="L44" i="1" a="1"/>
  <c r="N45" i="2" a="1"/>
  <c r="L24" i="2" a="1"/>
  <c r="N44" i="2" a="1"/>
  <c r="L28" i="2" a="1"/>
  <c r="O44" i="2" a="1"/>
  <c r="M45" i="2" a="1"/>
  <c r="L32" i="2" a="1"/>
  <c r="C19" i="1" a="1"/>
  <c r="O45" i="2" a="1"/>
  <c r="L31" i="2" a="1"/>
  <c r="L27" i="2" a="1"/>
  <c r="L29" i="2" a="1"/>
  <c r="M46" i="2" a="1"/>
  <c r="AG13" i="2" a="1"/>
  <c r="O46" i="2" a="1"/>
  <c r="AG8" i="2" a="1"/>
  <c r="L34" i="2" a="1"/>
  <c r="M44" i="2" a="1"/>
  <c r="AE4" i="2" a="1"/>
  <c r="C18" i="1" a="1"/>
  <c r="L33" i="2" a="1"/>
  <c r="L23" i="2" a="1"/>
  <c r="AG7" i="2" a="1"/>
  <c r="AG9" i="2" a="1"/>
  <c r="AG5" i="2" a="1"/>
  <c r="N46" i="2" a="1"/>
  <c r="AG10" i="2" a="1"/>
  <c r="C17" i="1" a="1"/>
  <c r="C14" i="1" a="1"/>
  <c r="AG4" i="2" a="1"/>
  <c r="L30" i="2" a="1"/>
  <c r="L25" i="2" a="1"/>
  <c r="C20" i="1" a="1"/>
  <c r="AG6" i="2" a="1"/>
  <c r="AG12" i="2" a="1"/>
  <c r="L22" i="2" a="1"/>
  <c r="L26" i="2" a="1"/>
  <c r="C13" i="1" a="1"/>
  <c r="M38" i="1" l="1"/>
  <c r="M39" i="1"/>
  <c r="M40" i="1"/>
  <c r="S21" i="1"/>
  <c r="Q27" i="1"/>
  <c r="Q20" i="1"/>
  <c r="Q22" i="1"/>
  <c r="Q23" i="1"/>
  <c r="Q24" i="1"/>
  <c r="Q26" i="1"/>
  <c r="Q28" i="1"/>
  <c r="Q21" i="1"/>
  <c r="Q19" i="1"/>
  <c r="L44" i="1"/>
  <c r="N46" i="2"/>
  <c r="N45" i="2"/>
  <c r="N44" i="2"/>
  <c r="O46" i="2"/>
  <c r="M34" i="1" s="1"/>
  <c r="M46" i="2"/>
  <c r="K34" i="1" s="1"/>
  <c r="O45" i="2"/>
  <c r="M33" i="1" s="1"/>
  <c r="M45" i="2"/>
  <c r="K33" i="1" s="1"/>
  <c r="O44" i="2"/>
  <c r="M32" i="1" s="1"/>
  <c r="M44" i="2"/>
  <c r="K32" i="1" s="1"/>
  <c r="I31" i="1"/>
  <c r="C18" i="1"/>
  <c r="C17" i="1"/>
  <c r="C14" i="1"/>
  <c r="C13" i="1"/>
  <c r="C20" i="1"/>
  <c r="C19" i="1"/>
  <c r="AG13" i="2"/>
  <c r="AG12" i="2"/>
  <c r="AG10" i="2"/>
  <c r="AG9" i="2"/>
  <c r="AG8" i="2"/>
  <c r="AG5" i="2"/>
  <c r="AG7" i="2"/>
  <c r="AG6" i="2"/>
  <c r="AG4" i="2"/>
  <c r="AE4" i="2"/>
  <c r="AD3" i="2" s="1"/>
  <c r="L34" i="2"/>
  <c r="L24" i="2"/>
  <c r="L30" i="2"/>
  <c r="L27" i="2"/>
  <c r="L25" i="2"/>
  <c r="L33" i="2"/>
  <c r="L23" i="2"/>
  <c r="L32" i="2"/>
  <c r="L31" i="2"/>
  <c r="L29" i="2"/>
  <c r="L28" i="2"/>
  <c r="L26" i="2"/>
  <c r="L22" i="2"/>
  <c r="W4" i="2"/>
  <c r="Y4" i="2" s="1"/>
  <c r="W6" i="2"/>
  <c r="W9" i="2"/>
  <c r="W12" i="2"/>
  <c r="Y12" i="2" s="1"/>
  <c r="W5" i="2"/>
  <c r="W13" i="2"/>
  <c r="Y13" i="2" s="1"/>
  <c r="W8" i="2"/>
  <c r="Y8" i="2" s="1"/>
  <c r="W7" i="2"/>
  <c r="S22" i="1" a="1"/>
  <c r="C22" i="1" a="1"/>
  <c r="AD18" i="2" a="1"/>
  <c r="AD19" i="2" a="1"/>
  <c r="AD14" i="2" a="1"/>
  <c r="AD9" i="2" a="1"/>
  <c r="AD17" i="2" a="1"/>
  <c r="AD10" i="2" a="1"/>
  <c r="AD11" i="2" a="1"/>
  <c r="AD5" i="2" a="1"/>
  <c r="AD12" i="2" a="1"/>
  <c r="AD6" i="2" a="1"/>
  <c r="AD8" i="2" a="1"/>
  <c r="AD7" i="2" a="1"/>
  <c r="AD15" i="2" a="1"/>
  <c r="AD13" i="2" a="1"/>
  <c r="AD16" i="2" a="1"/>
  <c r="AD4" i="2" a="1"/>
  <c r="S22" i="1" l="1"/>
  <c r="C22" i="1"/>
  <c r="L33" i="1"/>
  <c r="L34" i="1"/>
  <c r="L32" i="1"/>
  <c r="AD12" i="2"/>
  <c r="F15" i="1" s="1"/>
  <c r="AD13" i="2"/>
  <c r="F16" i="1" s="1"/>
  <c r="AD9" i="2"/>
  <c r="F12" i="1" s="1"/>
  <c r="AD8" i="2"/>
  <c r="F11" i="1" s="1"/>
  <c r="AD7" i="2"/>
  <c r="F10" i="1" s="1"/>
  <c r="AD6" i="2"/>
  <c r="F9" i="1" s="1"/>
  <c r="AD5" i="2"/>
  <c r="F8" i="1" s="1"/>
  <c r="AD4" i="2"/>
  <c r="F7" i="1" s="1"/>
  <c r="F5" i="1"/>
  <c r="AD19" i="2"/>
  <c r="F22" i="1" s="1"/>
  <c r="AD14" i="2"/>
  <c r="F17" i="1" s="1"/>
  <c r="AD15" i="2"/>
  <c r="F18" i="1" s="1"/>
  <c r="AD16" i="2"/>
  <c r="F19" i="1" s="1"/>
  <c r="AD17" i="2"/>
  <c r="F20" i="1" s="1"/>
  <c r="AD10" i="2"/>
  <c r="F13" i="1" s="1"/>
  <c r="AD11" i="2"/>
  <c r="F14" i="1" s="1"/>
  <c r="AD18" i="2"/>
  <c r="F21" i="1" s="1"/>
  <c r="E21" i="1" s="1"/>
  <c r="X13" i="2"/>
  <c r="X4" i="2"/>
  <c r="X12" i="2"/>
  <c r="D15" i="1" s="1"/>
  <c r="X7" i="2"/>
  <c r="Y7" i="2"/>
  <c r="X9" i="2"/>
  <c r="Y9" i="2"/>
  <c r="X6" i="2"/>
  <c r="Y6" i="2"/>
  <c r="X5" i="2"/>
  <c r="Y5" i="2"/>
  <c r="X8" i="2"/>
  <c r="C7" i="1" a="1"/>
  <c r="C16" i="1" a="1"/>
  <c r="C10" i="1" a="1"/>
  <c r="C8" i="1" a="1"/>
  <c r="C15" i="1" a="1"/>
  <c r="C9" i="1" a="1"/>
  <c r="C11" i="1" a="1"/>
  <c r="C12" i="1" a="1"/>
  <c r="E14" i="1" l="1"/>
  <c r="E18" i="1"/>
  <c r="E13" i="1"/>
  <c r="E17" i="1"/>
  <c r="E20" i="1"/>
  <c r="E22" i="1"/>
  <c r="E19" i="1"/>
  <c r="C11" i="1"/>
  <c r="E11" i="1" s="1"/>
  <c r="C8" i="1"/>
  <c r="C10" i="1"/>
  <c r="C7" i="1"/>
  <c r="D11" i="1"/>
  <c r="D8" i="1"/>
  <c r="D10" i="1"/>
  <c r="D7" i="1"/>
  <c r="C12" i="1"/>
  <c r="D12" i="1"/>
  <c r="C9" i="1"/>
  <c r="C15" i="1"/>
  <c r="E15" i="1" s="1"/>
  <c r="C16" i="1"/>
  <c r="E16" i="1" s="1"/>
  <c r="D9" i="1"/>
  <c r="D16" i="1"/>
  <c r="E12" i="1" l="1"/>
  <c r="E10" i="1"/>
  <c r="E9" i="1"/>
  <c r="E8" i="1"/>
  <c r="E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<sst xmlns="http://schemas.openxmlformats.org/spreadsheetml/2006/main" count="503" uniqueCount="367">
  <si>
    <t>국가</t>
  </si>
  <si>
    <t>지수</t>
  </si>
  <si>
    <t>금리</t>
  </si>
  <si>
    <t>환율</t>
  </si>
  <si>
    <t>그리스</t>
  </si>
  <si>
    <t>GRI:ASE</t>
  </si>
  <si>
    <t>EURUSD</t>
  </si>
  <si>
    <t>네덜란드</t>
  </si>
  <si>
    <t>NLI:AEX</t>
  </si>
  <si>
    <t>노르웨이</t>
  </si>
  <si>
    <t>NOI:OSEAX</t>
  </si>
  <si>
    <t>USDNOK</t>
  </si>
  <si>
    <t>뉴질랜드</t>
  </si>
  <si>
    <t>DJI:DJI</t>
  </si>
  <si>
    <t>NZDUSD</t>
  </si>
  <si>
    <t>대만</t>
  </si>
  <si>
    <t>TWS:TI01</t>
  </si>
  <si>
    <t>USDTWD</t>
  </si>
  <si>
    <t>덴마크</t>
  </si>
  <si>
    <t>DKI:KFX</t>
  </si>
  <si>
    <t>USDDKK</t>
  </si>
  <si>
    <t>독일</t>
  </si>
  <si>
    <t>XTR:DAX30</t>
  </si>
  <si>
    <t>러시아</t>
  </si>
  <si>
    <t>RUI:RTSI</t>
  </si>
  <si>
    <t>USDRUB</t>
  </si>
  <si>
    <t>미국(DJI)</t>
  </si>
  <si>
    <t>DOLLAR</t>
  </si>
  <si>
    <t>미국(NASDAQ)</t>
  </si>
  <si>
    <t>NAS:IXIC</t>
  </si>
  <si>
    <t>미국(S&amp;P)</t>
  </si>
  <si>
    <t>SPI:SPX</t>
  </si>
  <si>
    <t>베트남</t>
  </si>
  <si>
    <t>VNI:VIDX</t>
  </si>
  <si>
    <t>USDVND</t>
  </si>
  <si>
    <t>벨기에</t>
  </si>
  <si>
    <t>BEI:MFX</t>
  </si>
  <si>
    <t>브라질</t>
  </si>
  <si>
    <t>BRI:BVSP</t>
  </si>
  <si>
    <t>USDBRL</t>
  </si>
  <si>
    <t>스웨덴</t>
  </si>
  <si>
    <t>SEI:SXASI</t>
  </si>
  <si>
    <t>USDSEK</t>
  </si>
  <si>
    <t>스위스</t>
  </si>
  <si>
    <t>CHI:SSMI</t>
  </si>
  <si>
    <t>USDCHF</t>
  </si>
  <si>
    <t>스페인</t>
  </si>
  <si>
    <t>ESI:IBEX</t>
  </si>
  <si>
    <t>아르헨티나</t>
  </si>
  <si>
    <t>ARI:MERV</t>
  </si>
  <si>
    <t>USDARS</t>
  </si>
  <si>
    <t>영국</t>
  </si>
  <si>
    <t>LNS:FTSE100</t>
  </si>
  <si>
    <t>GBPUSD</t>
  </si>
  <si>
    <t>오스트리아</t>
  </si>
  <si>
    <t>ATI:ATX</t>
  </si>
  <si>
    <t>이탈리아</t>
  </si>
  <si>
    <t>ITI:FTSEMIB</t>
  </si>
  <si>
    <t>인도</t>
  </si>
  <si>
    <t>INI:BSE30</t>
  </si>
  <si>
    <t>USDINR</t>
  </si>
  <si>
    <t>인도네시아</t>
  </si>
  <si>
    <t>IDI:JKSE</t>
  </si>
  <si>
    <t>USDIDR</t>
  </si>
  <si>
    <t>일본</t>
  </si>
  <si>
    <t>USDJPY</t>
  </si>
  <si>
    <t>중국(상해종합)</t>
  </si>
  <si>
    <t>SHS:000001</t>
  </si>
  <si>
    <t>USDCNY</t>
  </si>
  <si>
    <t>중국(심천종합)</t>
  </si>
  <si>
    <t>SZS:399106</t>
  </si>
  <si>
    <t xml:space="preserve">캐나다 </t>
  </si>
  <si>
    <t>CAI:SPTSX</t>
  </si>
  <si>
    <t>USDCAD</t>
  </si>
  <si>
    <t>PHI:COMP</t>
  </si>
  <si>
    <t>태국</t>
  </si>
  <si>
    <t>THI:SET</t>
  </si>
  <si>
    <t>USDTHB</t>
  </si>
  <si>
    <t>터키</t>
  </si>
  <si>
    <t>TRI:ISE100</t>
  </si>
  <si>
    <t>USDTRY</t>
  </si>
  <si>
    <t>포르투갈</t>
  </si>
  <si>
    <t>PTI:PSI20</t>
  </si>
  <si>
    <t>폴란드</t>
  </si>
  <si>
    <t>PLI:WIGI</t>
  </si>
  <si>
    <t>USDPLN</t>
  </si>
  <si>
    <t>프랑스</t>
  </si>
  <si>
    <t>PAS:CAC40</t>
  </si>
  <si>
    <t>필리핀</t>
  </si>
  <si>
    <t>USDPHP</t>
  </si>
  <si>
    <t>한국(KOSPI)</t>
  </si>
  <si>
    <t>001</t>
  </si>
  <si>
    <t>BONDKSDCAL13</t>
  </si>
  <si>
    <t>USDSP_AMBC</t>
  </si>
  <si>
    <t>한국(KOSDAQ)</t>
  </si>
  <si>
    <t>801</t>
  </si>
  <si>
    <t>호주</t>
  </si>
  <si>
    <t>AUDUSD</t>
  </si>
  <si>
    <t>홍콩(항셍)</t>
  </si>
  <si>
    <t>HSI:HSI</t>
  </si>
  <si>
    <t>USDHKD</t>
  </si>
  <si>
    <t>홍콩(항셍H)</t>
  </si>
  <si>
    <t>HSI:HSCE</t>
  </si>
  <si>
    <t>미국(PHLX)</t>
  </si>
  <si>
    <t>유로스톡스</t>
  </si>
  <si>
    <t>IDX</t>
  </si>
  <si>
    <t>FRN</t>
  </si>
  <si>
    <t>USI:SOXX</t>
  </si>
  <si>
    <t>US</t>
  </si>
  <si>
    <t/>
  </si>
  <si>
    <t>AU</t>
  </si>
  <si>
    <t>JP</t>
  </si>
  <si>
    <t>RM</t>
  </si>
  <si>
    <t>TW</t>
  </si>
  <si>
    <t>DE</t>
  </si>
  <si>
    <t>FR</t>
  </si>
  <si>
    <t>GB</t>
  </si>
  <si>
    <t>GR</t>
  </si>
  <si>
    <t>NL</t>
  </si>
  <si>
    <t>NO</t>
  </si>
  <si>
    <t>NZ</t>
  </si>
  <si>
    <t>DK</t>
  </si>
  <si>
    <t>BE</t>
  </si>
  <si>
    <t>BR</t>
  </si>
  <si>
    <t>ES</t>
  </si>
  <si>
    <t>IT</t>
  </si>
  <si>
    <t>IN</t>
  </si>
  <si>
    <t>ID</t>
  </si>
  <si>
    <t>CA</t>
  </si>
  <si>
    <t>TH</t>
  </si>
  <si>
    <t>TR</t>
  </si>
  <si>
    <t>PT</t>
  </si>
  <si>
    <t>PL</t>
  </si>
  <si>
    <t>PH</t>
  </si>
  <si>
    <t>STX:SX5E</t>
  </si>
  <si>
    <t>EU</t>
  </si>
  <si>
    <t>M</t>
  </si>
  <si>
    <t>구분</t>
  </si>
  <si>
    <t>물가 10Y</t>
  </si>
  <si>
    <t>KR1035M00200</t>
  </si>
  <si>
    <t>통안 3Y</t>
  </si>
  <si>
    <t>KR3101000101</t>
  </si>
  <si>
    <t>통안 2Y</t>
  </si>
  <si>
    <t>KR3101000100</t>
  </si>
  <si>
    <t>국고 30Y</t>
  </si>
  <si>
    <t>KR1035G00030</t>
  </si>
  <si>
    <t>국고 20Y</t>
  </si>
  <si>
    <t>KR1035G00020</t>
  </si>
  <si>
    <t>국고 10Y</t>
  </si>
  <si>
    <t>KR1035G00010</t>
  </si>
  <si>
    <t>국고 5Y</t>
  </si>
  <si>
    <t>KR1035G00005</t>
  </si>
  <si>
    <t>국고 3Y</t>
  </si>
  <si>
    <t>KR1035G00003</t>
  </si>
  <si>
    <t>국고 2Y</t>
  </si>
  <si>
    <t>KR1035G00002</t>
  </si>
  <si>
    <t>BONDKSDCAL19</t>
  </si>
  <si>
    <t>BONDKSDCAL11</t>
  </si>
  <si>
    <t>BONDKSDCAL12</t>
  </si>
  <si>
    <t>BONDKSDCAL15</t>
  </si>
  <si>
    <t>BONDKSDCAL17</t>
  </si>
  <si>
    <t>BONDKSDCAL16</t>
  </si>
  <si>
    <t>BONDKSDCAL02</t>
  </si>
  <si>
    <t>BONDKSDCAL03</t>
  </si>
  <si>
    <t>BONDKSDCAL05</t>
  </si>
  <si>
    <t>BONDKSDCAL07</t>
  </si>
  <si>
    <t>BONDKSDCAL08</t>
  </si>
  <si>
    <t>BONDKSDCAL09</t>
  </si>
  <si>
    <t>BONDHANYLD230</t>
  </si>
  <si>
    <t>BONDHANYLD330</t>
  </si>
  <si>
    <t>BONDHANYLD530</t>
  </si>
  <si>
    <t>BONDHANYLD540</t>
  </si>
  <si>
    <t>BONDHANYLD550</t>
  </si>
  <si>
    <t>BONDHANYLD560</t>
  </si>
  <si>
    <t>BONDHANYLD510</t>
  </si>
  <si>
    <t>BONDHANYLD410</t>
  </si>
  <si>
    <t>BONDHANYLD520</t>
  </si>
  <si>
    <t>BONDHANYLD630</t>
  </si>
  <si>
    <t>BONDHANYLD421</t>
  </si>
  <si>
    <t>BONDHANYLD615</t>
  </si>
  <si>
    <t>BONDHANYLD810</t>
  </si>
  <si>
    <t>BONDHANYLD920</t>
  </si>
  <si>
    <t>BONDHANYLD720</t>
  </si>
  <si>
    <t>BONDAVG01</t>
  </si>
  <si>
    <t>BONDAVG14</t>
  </si>
  <si>
    <t>IBRKRWFIX06M</t>
  </si>
  <si>
    <t>CALLALLX01</t>
  </si>
  <si>
    <t>최종호가</t>
  </si>
  <si>
    <t>민평 Matrix</t>
  </si>
  <si>
    <t>회사채 AA-</t>
  </si>
  <si>
    <t>코리보 6M</t>
  </si>
  <si>
    <t>콜 익일</t>
  </si>
  <si>
    <t>통안 91D</t>
  </si>
  <si>
    <t>통안 1Y</t>
  </si>
  <si>
    <t>산금 1Y</t>
  </si>
  <si>
    <t>CD 91D</t>
  </si>
  <si>
    <t>CP 91D</t>
  </si>
  <si>
    <t>현재가</t>
  </si>
  <si>
    <t>이론가</t>
  </si>
  <si>
    <t>저평가</t>
  </si>
  <si>
    <t>KTB03</t>
  </si>
  <si>
    <t>KTB10</t>
  </si>
  <si>
    <t>은행</t>
  </si>
  <si>
    <t>증권</t>
  </si>
  <si>
    <t>투신</t>
  </si>
  <si>
    <t>순매수</t>
  </si>
  <si>
    <t>거래소</t>
  </si>
  <si>
    <t>코스닥</t>
  </si>
  <si>
    <t>K200ⓕ</t>
  </si>
  <si>
    <t>외인</t>
  </si>
  <si>
    <t>기금</t>
  </si>
  <si>
    <t>보험</t>
  </si>
  <si>
    <t>개인</t>
  </si>
  <si>
    <t>대비(bp)</t>
  </si>
  <si>
    <t>등락률</t>
  </si>
  <si>
    <t>전일대비</t>
  </si>
  <si>
    <t>한화</t>
  </si>
  <si>
    <t>표준코드</t>
  </si>
  <si>
    <t>KR103503GE96</t>
  </si>
  <si>
    <t>KR103501GE98</t>
  </si>
  <si>
    <t>KR103504GE95</t>
  </si>
  <si>
    <t>KR103503GE62</t>
  </si>
  <si>
    <t>KR103502GE97</t>
  </si>
  <si>
    <t>KR103502GEC4</t>
  </si>
  <si>
    <t>KR103501GEC6</t>
  </si>
  <si>
    <t>KR310102GE92</t>
  </si>
  <si>
    <t>KR310101GF19</t>
  </si>
  <si>
    <t>거래</t>
  </si>
  <si>
    <t>장내국채-매도수량1</t>
  </si>
  <si>
    <t>장내국채-매도수익률1</t>
  </si>
  <si>
    <t>장내국채-매도가격1</t>
  </si>
  <si>
    <t>장내국채-매수가격1</t>
  </si>
  <si>
    <t>장내국채-매수수익률1</t>
  </si>
  <si>
    <t>장내국채-매수수량1</t>
  </si>
  <si>
    <t>수익률</t>
  </si>
  <si>
    <t>대표수익률</t>
  </si>
  <si>
    <t>BONDAVG16</t>
  </si>
  <si>
    <t>BONDAVG58</t>
  </si>
  <si>
    <t>2년이하(당일)</t>
  </si>
  <si>
    <t>3년이하(당일)</t>
  </si>
  <si>
    <t>5년이하(당일)</t>
  </si>
  <si>
    <t>10년이하(당일)</t>
  </si>
  <si>
    <t>20년이하(당일)</t>
  </si>
  <si>
    <t>30년이하(당일)</t>
  </si>
  <si>
    <t>3월이하(당일)</t>
  </si>
  <si>
    <t>1년이하(당일)</t>
  </si>
  <si>
    <t>전일</t>
  </si>
  <si>
    <t>1주 전</t>
  </si>
  <si>
    <t>1개월 전</t>
  </si>
  <si>
    <t>3개월 전</t>
  </si>
  <si>
    <t>6개월 전</t>
  </si>
  <si>
    <t>1년 전</t>
  </si>
  <si>
    <t>장내국채-시간</t>
  </si>
  <si>
    <t>장외-시간</t>
  </si>
  <si>
    <t>코리보</t>
  </si>
  <si>
    <t>CALLALLX02</t>
  </si>
  <si>
    <t>CALLALLX03</t>
  </si>
  <si>
    <t>CALLALLX04</t>
  </si>
  <si>
    <t>CALLALLX05</t>
  </si>
  <si>
    <t>CALLALLX06</t>
  </si>
  <si>
    <t>CALLALLX07</t>
  </si>
  <si>
    <t>CALLALLX08</t>
  </si>
  <si>
    <t>CALLALLX09</t>
  </si>
  <si>
    <t>CALLALLX10</t>
  </si>
  <si>
    <t>CALLALLX11</t>
  </si>
  <si>
    <t>CALLALLX12</t>
  </si>
  <si>
    <t>CALLALLX13</t>
  </si>
  <si>
    <t>종목 (국고)</t>
  </si>
  <si>
    <t>종목(국고)</t>
  </si>
  <si>
    <t>(한은)</t>
  </si>
  <si>
    <t>(최종)</t>
  </si>
  <si>
    <t>BNDINV0100</t>
  </si>
  <si>
    <t>BNDINV0101</t>
  </si>
  <si>
    <t>BNDINV0104</t>
  </si>
  <si>
    <t>외국인 순매도종목포함잔고 전체</t>
  </si>
  <si>
    <t>외국인 순매수거래량 전체</t>
  </si>
  <si>
    <t>잔고 비중</t>
  </si>
  <si>
    <t>잔존액(매출일)</t>
  </si>
  <si>
    <t>전일 외국인 채권동향  (억, %)</t>
  </si>
  <si>
    <t>외국인합순매수금액</t>
  </si>
  <si>
    <t>개인순매수금액</t>
  </si>
  <si>
    <t>증권/선물순매수금액</t>
  </si>
  <si>
    <t>투신순매수금액</t>
  </si>
  <si>
    <t>은행순매수금액</t>
  </si>
  <si>
    <t>보험순매수금액</t>
  </si>
  <si>
    <t>연기금순매수금액</t>
  </si>
  <si>
    <t>C65</t>
  </si>
  <si>
    <t>C01</t>
  </si>
  <si>
    <t>C67</t>
  </si>
  <si>
    <t>외국인합순매수수량</t>
  </si>
  <si>
    <t>연기금순매수수량</t>
  </si>
  <si>
    <t>투신순매수수량</t>
  </si>
  <si>
    <t>은행순매수수량</t>
  </si>
  <si>
    <t>보험순매수수량</t>
  </si>
  <si>
    <t>개인순매수수량</t>
  </si>
  <si>
    <t>증권/선물순매수수량</t>
  </si>
  <si>
    <t>발표일시</t>
  </si>
  <si>
    <t>내용</t>
  </si>
  <si>
    <t>2025.03.05 01:00</t>
  </si>
  <si>
    <t>01월 러시아 실업률</t>
  </si>
  <si>
    <t>2025.03.05 09:30</t>
  </si>
  <si>
    <t>4분기 호주 실질GDP</t>
  </si>
  <si>
    <t>2025.03.05 16:30</t>
  </si>
  <si>
    <t>02월 스위스 소비자물가</t>
  </si>
  <si>
    <t>2025.03.05 16:45</t>
  </si>
  <si>
    <t>01월 프랑스 산업생산</t>
  </si>
  <si>
    <t>2025.03.05 18:00</t>
  </si>
  <si>
    <t>02월 유로존 합성PMI</t>
  </si>
  <si>
    <t>02월 유로존 서비스업PMI</t>
  </si>
  <si>
    <t>2025.03.05 19:00</t>
  </si>
  <si>
    <t>01월 유로존 생산자물가</t>
  </si>
  <si>
    <t>2025.03.06 00:00</t>
  </si>
  <si>
    <t>01월 미국 내구재수주</t>
  </si>
  <si>
    <t>01월 미국 제조업수주</t>
  </si>
  <si>
    <t>02월 미국 ISM비제조업지수</t>
  </si>
  <si>
    <t>2025.03.06 00:30</t>
  </si>
  <si>
    <t>미국 EIA 주간 원유재고량</t>
  </si>
  <si>
    <t>미국 EIA 주간 정제유재고량</t>
  </si>
  <si>
    <t>2025.03.06 08:00</t>
  </si>
  <si>
    <t>02월 한국 소비자물가</t>
  </si>
  <si>
    <t>2025.03.06 09:30</t>
  </si>
  <si>
    <t>01월 호주 수입</t>
  </si>
  <si>
    <t>01월 호주 수출</t>
  </si>
  <si>
    <t>01월 호주 무역수지</t>
  </si>
  <si>
    <t>2025.03.06 15:45</t>
  </si>
  <si>
    <t>02월 스위스 실업률</t>
  </si>
  <si>
    <t>2025.03.06 16:00</t>
  </si>
  <si>
    <t>03월 말레이시아 기준금리</t>
  </si>
  <si>
    <t>2025.03.06 19:00</t>
  </si>
  <si>
    <t>01월 유로존 소매판매</t>
  </si>
  <si>
    <t>2025.03.06 19:30</t>
  </si>
  <si>
    <t>03월 OECD 경기선행지수(G20)</t>
  </si>
  <si>
    <t>2025.03.06 22:15</t>
  </si>
  <si>
    <t>03월 유로존 ECB 기준금리</t>
  </si>
  <si>
    <t>2025.03.06 22:30</t>
  </si>
  <si>
    <t>01월 미국 수출</t>
  </si>
  <si>
    <t>01월 미국 수입</t>
  </si>
  <si>
    <t>미국 신규실업보험청구자수(SA)</t>
  </si>
  <si>
    <t>01월 미국 무역수지</t>
  </si>
  <si>
    <t>10Y</t>
  </si>
  <si>
    <t>2Y</t>
  </si>
  <si>
    <t>3Y</t>
  </si>
  <si>
    <t>5Y</t>
  </si>
  <si>
    <t>30Y</t>
  </si>
  <si>
    <t>02Y</t>
  </si>
  <si>
    <t>03Y</t>
  </si>
  <si>
    <t>05Y</t>
  </si>
  <si>
    <t>date</t>
  </si>
  <si>
    <t>잔고</t>
  </si>
  <si>
    <t>콜 익일물</t>
  </si>
  <si>
    <t>경제지표 발표</t>
  </si>
  <si>
    <t>국가별 금융 종합</t>
  </si>
  <si>
    <t>매도 최우선</t>
  </si>
  <si>
    <t>매수 최우선</t>
  </si>
  <si>
    <r>
      <t>환율</t>
    </r>
    <r>
      <rPr>
        <b/>
        <sz val="8"/>
        <color theme="1"/>
        <rFont val="맑은 고딕"/>
        <family val="3"/>
        <charset val="129"/>
      </rPr>
      <t xml:space="preserve"> (MID)</t>
    </r>
  </si>
  <si>
    <t xml:space="preserve">전체 </t>
  </si>
  <si>
    <t xml:space="preserve">국고 </t>
  </si>
  <si>
    <t xml:space="preserve">통안 </t>
  </si>
  <si>
    <t>스트립
포함</t>
  </si>
  <si>
    <r>
      <t>투자자별 매매동행</t>
    </r>
    <r>
      <rPr>
        <b/>
        <sz val="8"/>
        <color theme="0"/>
        <rFont val="맑은 고딕"/>
        <family val="3"/>
        <charset val="129"/>
      </rPr>
      <t xml:space="preserve"> (약정 / 억)</t>
    </r>
  </si>
  <si>
    <r>
      <t>체결 계</t>
    </r>
    <r>
      <rPr>
        <b/>
        <sz val="8"/>
        <color theme="1"/>
        <rFont val="맑은 고딕"/>
        <family val="3"/>
        <charset val="129"/>
      </rPr>
      <t xml:space="preserve"> (억)</t>
    </r>
  </si>
  <si>
    <t>KRX 선물</t>
  </si>
  <si>
    <t>K200</t>
  </si>
  <si>
    <t>W</t>
  </si>
  <si>
    <t>A</t>
  </si>
  <si>
    <t>C000</t>
  </si>
  <si>
    <t xml:space="preserve"> 채권 종합 (4101)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</si>
</sst>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0_ ;\-#,##0.000\ "/>
    <numFmt numFmtId="165" formatCode="#,##0.0_ ;\-#,##0.0\ "/>
    <numFmt numFmtId="166" formatCode="#,##0_ ;\-#,##0\ "/>
    <numFmt numFmtId="167" formatCode="#,##0.00_ ;\-#,##0.00\ "/>
    <numFmt numFmtId="172" formatCode="0.000_ ;\-0.000\ "/>
    <numFmt numFmtId="174" formatCode="General\ "/>
    <numFmt numFmtId="176" formatCode="_-* #,##0_-;\-* #,##0_-;_-* &quot;-&quot;_-;_-@_-"/>
  </numFmts>
  <fonts count="15" x14ac:knownFonts="1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</font>
    <font>
      <sz val="8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sz val="11"/>
      <color theme="1"/>
      <name val="Aptos Narrow"/>
      <family val="2"/>
      <charset val="129"/>
      <scheme val="minor"/>
    </font>
    <font>
      <b/>
      <sz val="12"/>
      <color theme="1"/>
      <name val="맑은 고딕"/>
      <family val="3"/>
      <charset val="129"/>
    </font>
    <font>
      <b/>
      <sz val="18"/>
      <color theme="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14996795556505021"/>
      </right>
      <top/>
      <bottom style="dashed">
        <color theme="0" tint="-0.24994659260841701"/>
      </bottom>
      <diagonal/>
    </border>
    <border>
      <left style="thin">
        <color theme="0" tint="-0.14996795556505021"/>
      </left>
      <right/>
      <top/>
      <bottom style="dashed">
        <color theme="0" tint="-0.24994659260841701"/>
      </bottom>
      <diagonal/>
    </border>
    <border>
      <left/>
      <right style="thin">
        <color theme="0" tint="-0.1499679555650502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theme="0" tint="-0.14996795556505021"/>
      </right>
      <top style="dashed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/>
      <top style="dashed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/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dashed">
        <color theme="0" tint="-0.24994659260841701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1499679555650502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theme="0" tint="-0.14996795556505021"/>
      </right>
      <top style="dashed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ashed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dashed">
        <color theme="0" tint="-0.24994659260841701"/>
      </bottom>
      <diagonal/>
    </border>
    <border>
      <left/>
      <right style="thin">
        <color theme="0" tint="-0.24994659260841701"/>
      </right>
      <top style="dashed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dashed">
        <color theme="0" tint="-0.24994659260841701"/>
      </bottom>
      <diagonal/>
    </border>
    <border>
      <left/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dashed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thin">
        <color theme="0" tint="-0.14996795556505021"/>
      </right>
      <top/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>
      <alignment vertical="center"/>
    </xf>
    <xf numFmtId="176" fontId="12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3" borderId="0" xfId="0" applyFont="1" applyFill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" borderId="0" xfId="0" applyFill="1"/>
    <xf numFmtId="0" fontId="0" fillId="0" borderId="21" xfId="0" applyBorder="1"/>
    <xf numFmtId="0" fontId="3" fillId="0" borderId="0" xfId="0" applyFont="1" applyAlignment="1">
      <alignment horizontal="left"/>
    </xf>
    <xf numFmtId="0" fontId="0" fillId="0" borderId="0" xfId="0" quotePrefix="1"/>
    <xf numFmtId="0" fontId="0" fillId="0" borderId="0" xfId="0" applyBorder="1"/>
    <xf numFmtId="10" fontId="0" fillId="0" borderId="0" xfId="0" applyNumberForma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0" fontId="0" fillId="0" borderId="25" xfId="0" applyBorder="1"/>
    <xf numFmtId="0" fontId="0" fillId="0" borderId="26" xfId="0" applyBorder="1"/>
    <xf numFmtId="164" fontId="0" fillId="0" borderId="35" xfId="0" applyNumberFormat="1" applyBorder="1"/>
    <xf numFmtId="0" fontId="0" fillId="0" borderId="36" xfId="0" applyBorder="1" applyAlignment="1">
      <alignment horizontal="center" vertical="center"/>
    </xf>
    <xf numFmtId="164" fontId="0" fillId="0" borderId="37" xfId="0" applyNumberFormat="1" applyBorder="1"/>
    <xf numFmtId="0" fontId="0" fillId="0" borderId="38" xfId="0" applyBorder="1" applyAlignment="1">
      <alignment horizontal="center" vertical="center"/>
    </xf>
    <xf numFmtId="164" fontId="0" fillId="0" borderId="39" xfId="0" applyNumberFormat="1" applyBorder="1"/>
    <xf numFmtId="0" fontId="0" fillId="0" borderId="40" xfId="0" applyBorder="1" applyAlignment="1">
      <alignment horizontal="center" vertical="center"/>
    </xf>
    <xf numFmtId="164" fontId="0" fillId="0" borderId="41" xfId="0" applyNumberFormat="1" applyBorder="1"/>
    <xf numFmtId="0" fontId="0" fillId="0" borderId="42" xfId="0" applyBorder="1" applyAlignment="1">
      <alignment horizontal="center" vertical="center"/>
    </xf>
    <xf numFmtId="164" fontId="0" fillId="0" borderId="43" xfId="0" applyNumberFormat="1" applyBorder="1"/>
    <xf numFmtId="164" fontId="0" fillId="0" borderId="44" xfId="0" applyNumberFormat="1" applyBorder="1"/>
    <xf numFmtId="164" fontId="0" fillId="0" borderId="45" xfId="0" applyNumberFormat="1" applyBorder="1"/>
    <xf numFmtId="0" fontId="0" fillId="0" borderId="46" xfId="0" applyBorder="1" applyAlignment="1">
      <alignment horizontal="center"/>
    </xf>
    <xf numFmtId="165" fontId="0" fillId="0" borderId="48" xfId="0" applyNumberFormat="1" applyBorder="1"/>
    <xf numFmtId="164" fontId="0" fillId="0" borderId="49" xfId="0" applyNumberFormat="1" applyBorder="1"/>
    <xf numFmtId="165" fontId="0" fillId="0" borderId="50" xfId="0" applyNumberFormat="1" applyBorder="1"/>
    <xf numFmtId="164" fontId="0" fillId="0" borderId="51" xfId="0" applyNumberFormat="1" applyBorder="1"/>
    <xf numFmtId="165" fontId="0" fillId="0" borderId="52" xfId="0" applyNumberFormat="1" applyBorder="1"/>
    <xf numFmtId="164" fontId="0" fillId="0" borderId="53" xfId="0" applyNumberFormat="1" applyBorder="1"/>
    <xf numFmtId="165" fontId="0" fillId="0" borderId="54" xfId="0" applyNumberFormat="1" applyBorder="1"/>
    <xf numFmtId="164" fontId="0" fillId="0" borderId="55" xfId="0" applyNumberFormat="1" applyBorder="1"/>
    <xf numFmtId="0" fontId="1" fillId="5" borderId="27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1" fillId="5" borderId="57" xfId="0" applyFont="1" applyFill="1" applyBorder="1" applyAlignment="1">
      <alignment horizontal="center"/>
    </xf>
    <xf numFmtId="0" fontId="1" fillId="5" borderId="60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59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right" vertical="center"/>
    </xf>
    <xf numFmtId="0" fontId="1" fillId="5" borderId="30" xfId="0" applyFont="1" applyFill="1" applyBorder="1" applyAlignment="1">
      <alignment horizontal="right" vertical="center"/>
    </xf>
    <xf numFmtId="0" fontId="1" fillId="5" borderId="58" xfId="0" applyFont="1" applyFill="1" applyBorder="1" applyAlignment="1">
      <alignment horizontal="right" vertical="center"/>
    </xf>
    <xf numFmtId="0" fontId="1" fillId="5" borderId="60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59" xfId="0" applyFont="1" applyFill="1" applyBorder="1" applyAlignment="1">
      <alignment horizontal="center"/>
    </xf>
    <xf numFmtId="0" fontId="1" fillId="5" borderId="58" xfId="0" applyFont="1" applyFill="1" applyBorder="1" applyAlignment="1">
      <alignment horizontal="center"/>
    </xf>
    <xf numFmtId="166" fontId="0" fillId="0" borderId="61" xfId="0" applyNumberFormat="1" applyBorder="1"/>
    <xf numFmtId="166" fontId="0" fillId="0" borderId="62" xfId="0" applyNumberFormat="1" applyBorder="1"/>
    <xf numFmtId="166" fontId="0" fillId="0" borderId="65" xfId="0" applyNumberFormat="1" applyBorder="1"/>
    <xf numFmtId="164" fontId="0" fillId="0" borderId="66" xfId="0" applyNumberFormat="1" applyBorder="1"/>
    <xf numFmtId="165" fontId="0" fillId="0" borderId="67" xfId="0" applyNumberFormat="1" applyBorder="1"/>
    <xf numFmtId="166" fontId="0" fillId="0" borderId="68" xfId="0" applyNumberFormat="1" applyBorder="1"/>
    <xf numFmtId="164" fontId="0" fillId="0" borderId="69" xfId="0" applyNumberFormat="1" applyBorder="1"/>
    <xf numFmtId="165" fontId="0" fillId="0" borderId="70" xfId="0" applyNumberFormat="1" applyBorder="1"/>
    <xf numFmtId="165" fontId="0" fillId="0" borderId="65" xfId="0" applyNumberFormat="1" applyBorder="1"/>
    <xf numFmtId="166" fontId="0" fillId="0" borderId="67" xfId="0" applyNumberFormat="1" applyBorder="1"/>
    <xf numFmtId="165" fontId="0" fillId="0" borderId="68" xfId="0" applyNumberFormat="1" applyBorder="1"/>
    <xf numFmtId="166" fontId="0" fillId="0" borderId="70" xfId="0" applyNumberFormat="1" applyBorder="1"/>
    <xf numFmtId="167" fontId="0" fillId="0" borderId="73" xfId="0" applyNumberFormat="1" applyBorder="1"/>
    <xf numFmtId="0" fontId="5" fillId="0" borderId="74" xfId="0" applyFont="1" applyBorder="1" applyAlignment="1">
      <alignment horizontal="left" vertical="center"/>
    </xf>
    <xf numFmtId="167" fontId="0" fillId="0" borderId="66" xfId="0" applyNumberFormat="1" applyBorder="1"/>
    <xf numFmtId="0" fontId="5" fillId="0" borderId="67" xfId="0" applyFont="1" applyBorder="1" applyAlignment="1">
      <alignment horizontal="left" vertical="center"/>
    </xf>
    <xf numFmtId="167" fontId="0" fillId="0" borderId="69" xfId="0" applyNumberFormat="1" applyBorder="1"/>
    <xf numFmtId="0" fontId="5" fillId="0" borderId="70" xfId="0" applyFont="1" applyBorder="1" applyAlignment="1">
      <alignment horizontal="left" vertical="center"/>
    </xf>
    <xf numFmtId="166" fontId="0" fillId="0" borderId="65" xfId="0" applyNumberFormat="1" applyBorder="1" applyAlignment="1"/>
    <xf numFmtId="166" fontId="0" fillId="0" borderId="68" xfId="0" applyNumberFormat="1" applyBorder="1" applyAlignment="1"/>
    <xf numFmtId="167" fontId="0" fillId="0" borderId="79" xfId="0" applyNumberFormat="1" applyBorder="1"/>
    <xf numFmtId="164" fontId="0" fillId="0" borderId="81" xfId="0" applyNumberFormat="1" applyBorder="1"/>
    <xf numFmtId="164" fontId="0" fillId="0" borderId="67" xfId="0" applyNumberFormat="1" applyBorder="1"/>
    <xf numFmtId="164" fontId="0" fillId="0" borderId="79" xfId="0" applyNumberFormat="1" applyBorder="1"/>
    <xf numFmtId="164" fontId="0" fillId="0" borderId="70" xfId="0" applyNumberFormat="1" applyBorder="1"/>
    <xf numFmtId="166" fontId="0" fillId="0" borderId="66" xfId="0" applyNumberFormat="1" applyBorder="1"/>
    <xf numFmtId="166" fontId="0" fillId="0" borderId="83" xfId="0" applyNumberFormat="1" applyBorder="1"/>
    <xf numFmtId="166" fontId="0" fillId="0" borderId="69" xfId="0" applyNumberFormat="1" applyBorder="1"/>
    <xf numFmtId="166" fontId="0" fillId="0" borderId="84" xfId="0" applyNumberFormat="1" applyBorder="1"/>
    <xf numFmtId="166" fontId="0" fillId="0" borderId="81" xfId="0" applyNumberFormat="1" applyBorder="1"/>
    <xf numFmtId="166" fontId="0" fillId="0" borderId="79" xfId="0" applyNumberFormat="1" applyBorder="1"/>
    <xf numFmtId="167" fontId="5" fillId="0" borderId="73" xfId="0" applyNumberFormat="1" applyFont="1" applyBorder="1"/>
    <xf numFmtId="167" fontId="5" fillId="0" borderId="66" xfId="0" applyNumberFormat="1" applyFont="1" applyBorder="1"/>
    <xf numFmtId="167" fontId="5" fillId="0" borderId="69" xfId="0" applyNumberFormat="1" applyFont="1" applyBorder="1"/>
    <xf numFmtId="172" fontId="5" fillId="0" borderId="73" xfId="0" applyNumberFormat="1" applyFont="1" applyBorder="1"/>
    <xf numFmtId="172" fontId="5" fillId="0" borderId="66" xfId="0" applyNumberFormat="1" applyFont="1" applyBorder="1"/>
    <xf numFmtId="172" fontId="5" fillId="0" borderId="69" xfId="0" applyNumberFormat="1" applyFont="1" applyBorder="1"/>
    <xf numFmtId="167" fontId="0" fillId="0" borderId="63" xfId="0" applyNumberFormat="1" applyBorder="1"/>
    <xf numFmtId="174" fontId="5" fillId="0" borderId="72" xfId="0" applyNumberFormat="1" applyFont="1" applyBorder="1"/>
    <xf numFmtId="174" fontId="5" fillId="0" borderId="65" xfId="0" applyNumberFormat="1" applyFont="1" applyBorder="1"/>
    <xf numFmtId="174" fontId="5" fillId="0" borderId="68" xfId="0" applyNumberFormat="1" applyFont="1" applyBorder="1"/>
    <xf numFmtId="174" fontId="5" fillId="0" borderId="72" xfId="0" applyNumberFormat="1" applyFont="1" applyBorder="1" applyAlignment="1">
      <alignment horizontal="right"/>
    </xf>
    <xf numFmtId="174" fontId="5" fillId="0" borderId="73" xfId="0" applyNumberFormat="1" applyFont="1" applyBorder="1"/>
    <xf numFmtId="174" fontId="5" fillId="0" borderId="65" xfId="0" applyNumberFormat="1" applyFont="1" applyBorder="1" applyAlignment="1">
      <alignment horizontal="right"/>
    </xf>
    <xf numFmtId="174" fontId="5" fillId="0" borderId="66" xfId="0" applyNumberFormat="1" applyFont="1" applyBorder="1"/>
    <xf numFmtId="174" fontId="5" fillId="0" borderId="68" xfId="0" applyNumberFormat="1" applyFont="1" applyBorder="1" applyAlignment="1">
      <alignment horizontal="right"/>
    </xf>
    <xf numFmtId="174" fontId="5" fillId="0" borderId="69" xfId="0" applyNumberFormat="1" applyFont="1" applyBorder="1"/>
    <xf numFmtId="0" fontId="1" fillId="0" borderId="64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4" fillId="7" borderId="75" xfId="0" applyFont="1" applyFill="1" applyBorder="1" applyAlignment="1">
      <alignment horizontal="center" vertical="center" wrapText="1"/>
    </xf>
    <xf numFmtId="0" fontId="4" fillId="7" borderId="76" xfId="0" applyFont="1" applyFill="1" applyBorder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4" fillId="7" borderId="75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/>
    </xf>
    <xf numFmtId="0" fontId="4" fillId="7" borderId="77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166" fontId="0" fillId="0" borderId="72" xfId="0" applyNumberFormat="1" applyBorder="1" applyAlignment="1"/>
    <xf numFmtId="166" fontId="0" fillId="0" borderId="74" xfId="0" applyNumberFormat="1" applyBorder="1"/>
    <xf numFmtId="166" fontId="0" fillId="0" borderId="86" xfId="0" applyNumberFormat="1" applyBorder="1"/>
    <xf numFmtId="164" fontId="0" fillId="0" borderId="78" xfId="0" applyNumberFormat="1" applyBorder="1"/>
    <xf numFmtId="164" fontId="0" fillId="0" borderId="74" xfId="0" applyNumberFormat="1" applyBorder="1"/>
    <xf numFmtId="166" fontId="0" fillId="0" borderId="72" xfId="0" applyNumberFormat="1" applyBorder="1"/>
    <xf numFmtId="166" fontId="0" fillId="0" borderId="73" xfId="0" applyNumberFormat="1" applyBorder="1"/>
    <xf numFmtId="166" fontId="0" fillId="0" borderId="87" xfId="0" applyNumberFormat="1" applyBorder="1"/>
    <xf numFmtId="166" fontId="0" fillId="0" borderId="78" xfId="0" applyNumberFormat="1" applyBorder="1"/>
    <xf numFmtId="165" fontId="0" fillId="0" borderId="88" xfId="0" applyNumberFormat="1" applyBorder="1"/>
    <xf numFmtId="164" fontId="0" fillId="0" borderId="89" xfId="0" applyNumberFormat="1" applyBorder="1"/>
    <xf numFmtId="164" fontId="0" fillId="0" borderId="73" xfId="0" applyNumberFormat="1" applyBorder="1"/>
    <xf numFmtId="165" fontId="0" fillId="0" borderId="74" xfId="0" applyNumberFormat="1" applyBorder="1"/>
    <xf numFmtId="165" fontId="0" fillId="0" borderId="72" xfId="0" applyNumberFormat="1" applyBorder="1"/>
    <xf numFmtId="0" fontId="4" fillId="7" borderId="75" xfId="0" applyFont="1" applyFill="1" applyBorder="1" applyAlignment="1">
      <alignment horizontal="center" vertical="center"/>
    </xf>
    <xf numFmtId="0" fontId="4" fillId="7" borderId="75" xfId="0" applyFont="1" applyFill="1" applyBorder="1" applyAlignment="1">
      <alignment horizontal="left" vertical="center"/>
    </xf>
    <xf numFmtId="0" fontId="4" fillId="7" borderId="76" xfId="0" applyFont="1" applyFill="1" applyBorder="1" applyAlignment="1">
      <alignment horizontal="center" vertical="center"/>
    </xf>
    <xf numFmtId="0" fontId="4" fillId="7" borderId="76" xfId="0" applyFont="1" applyFill="1" applyBorder="1" applyAlignment="1">
      <alignment vertical="center"/>
    </xf>
    <xf numFmtId="0" fontId="4" fillId="7" borderId="47" xfId="0" applyFont="1" applyFill="1" applyBorder="1" applyAlignment="1">
      <alignment horizontal="center" vertical="center"/>
    </xf>
    <xf numFmtId="0" fontId="7" fillId="7" borderId="77" xfId="0" applyFont="1" applyFill="1" applyBorder="1" applyAlignment="1">
      <alignment horizontal="center" vertical="center"/>
    </xf>
    <xf numFmtId="0" fontId="4" fillId="7" borderId="82" xfId="0" applyFont="1" applyFill="1" applyBorder="1" applyAlignment="1">
      <alignment horizontal="center" vertical="center"/>
    </xf>
    <xf numFmtId="0" fontId="4" fillId="7" borderId="85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0" fillId="0" borderId="2" xfId="0" applyBorder="1"/>
    <xf numFmtId="14" fontId="9" fillId="0" borderId="23" xfId="0" applyNumberFormat="1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167" fontId="0" fillId="0" borderId="80" xfId="0" applyNumberFormat="1" applyBorder="1"/>
    <xf numFmtId="0" fontId="1" fillId="0" borderId="67" xfId="0" applyFont="1" applyBorder="1" applyAlignment="1">
      <alignment horizontal="center" vertical="center"/>
    </xf>
    <xf numFmtId="167" fontId="0" fillId="0" borderId="81" xfId="0" applyNumberFormat="1" applyBorder="1"/>
    <xf numFmtId="167" fontId="0" fillId="0" borderId="64" xfId="0" applyNumberFormat="1" applyBorder="1"/>
    <xf numFmtId="167" fontId="0" fillId="0" borderId="67" xfId="0" applyNumberFormat="1" applyBorder="1"/>
    <xf numFmtId="167" fontId="0" fillId="0" borderId="70" xfId="0" applyNumberFormat="1" applyBorder="1"/>
    <xf numFmtId="0" fontId="1" fillId="0" borderId="90" xfId="0" applyFont="1" applyBorder="1"/>
    <xf numFmtId="0" fontId="1" fillId="0" borderId="91" xfId="0" applyFont="1" applyBorder="1"/>
    <xf numFmtId="0" fontId="1" fillId="0" borderId="92" xfId="0" applyFont="1" applyBorder="1"/>
    <xf numFmtId="0" fontId="1" fillId="0" borderId="22" xfId="0" applyFont="1" applyBorder="1"/>
    <xf numFmtId="0" fontId="7" fillId="5" borderId="71" xfId="0" applyFont="1" applyFill="1" applyBorder="1" applyAlignment="1">
      <alignment horizontal="center" vertical="center"/>
    </xf>
    <xf numFmtId="0" fontId="7" fillId="5" borderId="72" xfId="0" applyFont="1" applyFill="1" applyBorder="1" applyAlignment="1">
      <alignment horizontal="center" vertical="center"/>
    </xf>
    <xf numFmtId="0" fontId="7" fillId="5" borderId="68" xfId="0" applyFont="1" applyFill="1" applyBorder="1" applyAlignment="1">
      <alignment horizontal="center" vertical="center"/>
    </xf>
    <xf numFmtId="14" fontId="13" fillId="4" borderId="11" xfId="0" applyNumberFormat="1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 vertical="center"/>
    </xf>
  </cellXfs>
  <cellStyles count="3">
    <cellStyle name="쉼표 [0] 2" xfId="2" xr:uid="{17F86A5A-BB1F-49E8-9FD0-C44E1A59D385}"/>
    <cellStyle name="표준" xfId="0" builtinId="0"/>
    <cellStyle name="표준 2" xfId="1" xr:uid="{A33A1761-6CEE-4728-A881-34ECE05D3469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C448760A-AEDB-4DC5-B8BF-09E46D1803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-1.29</v>
        <stp/>
        <stp>P</stp>
        <stp>0</stp>
        <stp>FRN</stp>
        <stp>TWS:TI01</stp>
        <stp>등락률</stp>
        <stp>45719</stp>
        <stp>fill=true</stp>
        <tr r="L26" s="1"/>
      </tp>
      <tp>
        <v>2.7530000000000001</v>
        <stp/>
        <stp>P</stp>
        <stp>0</stp>
        <stp>IR</stp>
        <stp>BONDAVG01</stp>
        <stp>10년이하(당일)</stp>
        <stp>45714</stp>
        <stp/>
        <tr r="AD7" s="2"/>
      </tp>
      <tp>
        <v>2.6949999999999998</v>
        <stp/>
        <stp>P</stp>
        <stp>0</stp>
        <stp>IR</stp>
        <stp>BONDAVG01</stp>
        <stp>20년이하(당일)</stp>
        <stp>45714</stp>
        <stp/>
        <tr r="AD8" s="2"/>
      </tp>
      <tp>
        <v>2.5950000000000002</v>
        <stp/>
        <stp>P</stp>
        <stp>0</stp>
        <stp>IR</stp>
        <stp>BONDAVG01</stp>
        <stp>30년이하(당일)</stp>
        <stp>45714</stp>
        <stp/>
        <tr r="AD9" s="2"/>
      </tp>
      <tp>
        <v>118.977</v>
        <stp/>
        <stp>P</stp>
        <stp>0</stp>
        <stp>FUT</stp>
        <stp>167W3000</stp>
        <stp>이론가</stp>
        <stp/>
        <stp/>
        <tr r="L39" s="1"/>
      </tp>
      <tp>
        <v>106.74299999999999</v>
        <stp/>
        <stp>P</stp>
        <stp>0</stp>
        <stp>FUT</stp>
        <stp>165W3000</stp>
        <stp>이론가</stp>
        <stp/>
        <stp/>
        <tr r="L38" s="1"/>
      </tp>
      <tp>
        <v>20250303</v>
        <stp/>
        <stp>P</stp>
        <stp>0</stp>
        <stp>FRN</stp>
        <stp>STX:SX5E</stp>
        <stp>현재가</stp>
        <stp>45719</stp>
        <stp>fill=true,disp=date</stp>
        <tr r="M27" s="1"/>
      </tp>
      <tp>
        <v>20250303</v>
        <stp/>
        <stp>P</stp>
        <stp>0</stp>
        <stp>FRN</stp>
        <stp>NAS:IXIC</stp>
        <stp>현재가</stp>
        <stp>45719</stp>
        <stp>fill=true,disp=date</stp>
        <tr r="M20" s="1"/>
      </tp>
      <tp>
        <v>0</v>
        <stp/>
        <stp>H</stp>
        <stp>x6.LS6f</stp>
        <stp>21</stp>
        <stp>139840</stp>
        <tr r="L29" s="2"/>
      </tp>
      <tp>
        <v>0</v>
        <stp/>
        <stp>H</stp>
        <stp>x5.LS6f</stp>
        <stp>20</stp>
        <stp>139840</stp>
        <tr r="L27" s="2"/>
      </tp>
      <tp>
        <v>0</v>
        <stp/>
        <stp>H</stp>
        <stp>x7.LS6f</stp>
        <stp>22</stp>
        <stp>139840</stp>
        <tr r="AG13" s="2"/>
      </tp>
      <tp>
        <v>0</v>
        <stp/>
        <stp>H</stp>
        <stp>x8.LS6f</stp>
        <stp>23</stp>
        <stp>139840</stp>
        <tr r="AG8" s="2"/>
      </tp>
      <tp>
        <v>0</v>
        <stp/>
        <stp>H</stp>
        <stp>x9.LS6f</stp>
        <stp>24</stp>
        <stp>139840</stp>
        <tr r="L34" s="2"/>
      </tp>
      <tp>
        <v>0</v>
        <stp/>
        <stp>H</stp>
        <stp>x1.LS6f</stp>
        <stp>16</stp>
        <stp>139840</stp>
        <tr r="L24" s="2"/>
      </tp>
      <tp>
        <v>0</v>
        <stp/>
        <stp>H</stp>
        <stp>x2.LS6f</stp>
        <stp>17</stp>
        <stp>139840</stp>
        <tr r="L28" s="2"/>
      </tp>
      <tp>
        <v>0</v>
        <stp/>
        <stp>H</stp>
        <stp>x3.LS6f</stp>
        <stp>18</stp>
        <stp>139840</stp>
        <tr r="L32" s="2"/>
      </tp>
      <tp>
        <v>0</v>
        <stp/>
        <stp>H</stp>
        <stp>x4.LS6f</stp>
        <stp>19</stp>
        <stp>139840</stp>
        <tr r="L31" s="2"/>
      </tp>
      <tp>
        <v>20250303</v>
        <stp/>
        <stp>P</stp>
        <stp>0</stp>
        <stp>FRN</stp>
        <stp>DJI:DJI</stp>
        <stp>현재가</stp>
        <stp>45719</stp>
        <stp>fill=true,disp=date</stp>
        <tr r="M19" s="1"/>
      </tp>
      <tp>
        <v>20250303</v>
        <stp/>
        <stp>P</stp>
        <stp>0</stp>
        <stp>FRN</stp>
        <stp>HSI:HSI</stp>
        <stp>현재가</stp>
        <stp>45719</stp>
        <stp>fill=true,disp=date</stp>
        <tr r="M25" s="1"/>
      </tp>
      <tp>
        <v>-0.94899999999999995</v>
        <stp/>
        <stp>P</stp>
        <stp>0</stp>
        <stp>FX</stp>
        <stp>DOLLAR</stp>
        <stp>NY_MID_Chg</stp>
        <stp>45719</stp>
        <stp/>
        <tr r="S20" s="1"/>
        <tr r="S19" s="1"/>
      </tp>
      <tp>
        <v>-2.64</v>
        <stp/>
        <stp>P</stp>
        <stp>0</stp>
        <stp>FRN</stp>
        <stp>NAS:IXIC</stp>
        <stp>등락률</stp>
        <stp>45719</stp>
        <stp>fill=true</stp>
        <tr r="L20" s="1"/>
      </tp>
      <tp>
        <v>20250303</v>
        <stp/>
        <stp>P</stp>
        <stp>0</stp>
        <stp>IR</stp>
        <stp>RM10Y</stp>
        <stp>MID_Close</stp>
        <stp>45719</stp>
        <stp>fill=true,disp=date</stp>
        <tr r="Q24" s="1"/>
      </tp>
      <tp>
        <v>20250303</v>
        <stp/>
        <stp>P</stp>
        <stp>0</stp>
        <stp>IR</stp>
        <stp>TW10Y</stp>
        <stp>MID_Close</stp>
        <stp>45719</stp>
        <stp>fill=true,disp=date</stp>
        <tr r="Q26" s="1"/>
      </tp>
      <tp>
        <v>20250303</v>
        <stp/>
        <stp>P</stp>
        <stp>0</stp>
        <stp>IR</stp>
        <stp>US10Y</stp>
        <stp>MID_Close</stp>
        <stp>45719</stp>
        <stp>fill=true,disp=date</stp>
        <tr r="Q19" s="1"/>
        <tr r="Q20" s="1"/>
      </tp>
      <tp>
        <v>20250303</v>
        <stp/>
        <stp>P</stp>
        <stp>0</stp>
        <stp>IR</stp>
        <stp>DE10Y</stp>
        <stp>MID_Close</stp>
        <stp>45719</stp>
        <stp>fill=true,disp=date</stp>
        <tr r="Q28" s="1"/>
      </tp>
      <tp>
        <v>20250303</v>
        <stp/>
        <stp>P</stp>
        <stp>0</stp>
        <stp>IR</stp>
        <stp>EU10Y</stp>
        <stp>MID_Close</stp>
        <stp>45719</stp>
        <stp>fill=true,disp=date</stp>
        <tr r="Q27" s="1"/>
      </tp>
      <tp>
        <v>20250303</v>
        <stp/>
        <stp>P</stp>
        <stp>0</stp>
        <stp>IR</stp>
        <stp>JP10Y</stp>
        <stp>MID_Close</stp>
        <stp>45719</stp>
        <stp>fill=true,disp=date</stp>
        <tr r="Q23" s="1"/>
      </tp>
      <tp>
        <v>1.0800000000000001E-2</v>
        <stp/>
        <stp>P</stp>
        <stp>0</stp>
        <stp>FX</stp>
        <stp>EURUSD</stp>
        <stp>NY_MID_Chg</stp>
        <stp>45719</stp>
        <stp/>
        <tr r="S27" s="1"/>
        <tr r="S28" s="1"/>
      </tp>
      <tp>
        <v>106.60599999999999</v>
        <stp/>
        <stp>P</stp>
        <stp>0</stp>
        <stp>FX</stp>
        <stp>DOLLAR</stp>
        <stp>NY_MID_Close</stp>
        <stp>45719</stp>
        <stp>fill=true</stp>
        <tr r="R20" s="1"/>
        <tr r="R19" s="1"/>
      </tp>
      <tp>
        <v>149.405</v>
        <stp/>
        <stp>P</stp>
        <stp>0</stp>
        <stp>FX</stp>
        <stp>USDJPY</stp>
        <stp>NY_MID_Close</stp>
        <stp>45719</stp>
        <stp>fill=true</stp>
        <tr r="R23" s="1"/>
      </tp>
      <tp>
        <v>32.904800000000002</v>
        <stp/>
        <stp>P</stp>
        <stp>0</stp>
        <stp>FX</stp>
        <stp>USDTWD</stp>
        <stp>NY_MID_Close</stp>
        <stp>45719</stp>
        <stp>fill=true</stp>
        <tr r="R26" s="1"/>
      </tp>
      <tp>
        <v>4.4999999999999999E-4</v>
        <stp/>
        <stp>P</stp>
        <stp>0</stp>
        <stp>FX</stp>
        <stp>USDHKD</stp>
        <stp>NY_MID_Chg</stp>
        <stp>45719</stp>
        <stp/>
        <tr r="S25" s="1"/>
      </tp>
      <tp>
        <v>-1.9699999999999999E-2</v>
        <stp/>
        <stp>P</stp>
        <stp>0</stp>
        <stp>FX</stp>
        <stp>USDTWD</stp>
        <stp>NY_MID_Chg</stp>
        <stp>45719</stp>
        <stp/>
        <tr r="S26" s="1"/>
      </tp>
      <tp>
        <v>-1.105</v>
        <stp/>
        <stp>P</stp>
        <stp>0</stp>
        <stp>FX</stp>
        <stp>USDJPY</stp>
        <stp>NY_MID_Chg</stp>
        <stp>45719</stp>
        <stp/>
        <tr r="S23" s="1"/>
      </tp>
      <tp>
        <v>1.65E-3</v>
        <stp/>
        <stp>P</stp>
        <stp>0</stp>
        <stp>FX</stp>
        <stp>USDCNY</stp>
        <stp>NY_MID_Chg</stp>
        <stp>45719</stp>
        <stp/>
        <tr r="S24" s="1"/>
      </tp>
      <tp>
        <v>7.77745</v>
        <stp/>
        <stp>P</stp>
        <stp>0</stp>
        <stp>FX</stp>
        <stp>USDHKD</stp>
        <stp>NY_MID_Close</stp>
        <stp>45719</stp>
        <stp>fill=true</stp>
        <tr r="R25" s="1"/>
      </tp>
      <tp>
        <v>2.6779999999999999</v>
        <stp/>
        <stp>P</stp>
        <stp>0</stp>
        <stp>BND</stp>
        <stp>KR103501GE98</stp>
        <stp>장내국채-매수수익률1</stp>
        <stp/>
        <stp/>
        <tr r="AQ6" s="2"/>
      </tp>
      <tp>
        <v>1.41</v>
        <stp/>
        <stp>P</stp>
        <stp>0</stp>
        <stp>FRN</stp>
        <stp>STX:SX5E</stp>
        <stp>등락률</stp>
        <stp>45719</stp>
        <stp>fill=true</stp>
        <tr r="L27" s="1"/>
      </tp>
      <tp>
        <v>7.2854000000000001</v>
        <stp/>
        <stp>P</stp>
        <stp>0</stp>
        <stp>FX</stp>
        <stp>USDCNY</stp>
        <stp>NY_MID_Close</stp>
        <stp>45719</stp>
        <stp>fill=true</stp>
        <tr r="R24" s="1"/>
      </tp>
      <tp>
        <v>20250303</v>
        <stp/>
        <stp>P</stp>
        <stp>0</stp>
        <stp>FRN</stp>
        <stp>SPI:SPX</stp>
        <stp>현재가</stp>
        <stp>45719</stp>
        <stp>fill=true,disp=date</stp>
        <tr r="M23" s="1"/>
      </tp>
      <tp>
        <v>1.0482</v>
        <stp/>
        <stp>P</stp>
        <stp>0</stp>
        <stp>FX</stp>
        <stp>EURUSD</stp>
        <stp>NY_MID_Close</stp>
        <stp>45719</stp>
        <stp>fill=true</stp>
        <tr r="R27" s="1"/>
        <tr r="R28" s="1"/>
      </tp>
      <tp>
        <v>2.758</v>
        <stp/>
        <stp>P</stp>
        <stp>0</stp>
        <stp>IR</stp>
        <stp>BONDAVG14</stp>
        <stp>3월이하(당일)</stp>
        <stp>45714</stp>
        <stp/>
        <tr r="AD10" s="2"/>
      </tp>
      <tp>
        <v>20250228</v>
        <stp/>
        <stp>P</stp>
        <stp>0</stp>
        <stp>IR</stp>
        <stp>BONDAVG01</stp>
        <stp>10년이하(당일)</stp>
        <stp>45719</stp>
        <stp>fill=true,disp=date</stp>
        <tr r="Q22" s="1"/>
        <tr r="Q21" s="1"/>
      </tp>
      <tp>
        <v>2.7080000000000002</v>
        <stp/>
        <stp>P</stp>
        <stp>0</stp>
        <stp>BND</stp>
        <stp>KR103504GE95</stp>
        <stp>장내국채-매수수익률1</stp>
        <stp/>
        <stp/>
        <tr r="AQ8" s="2"/>
      </tp>
      <tp>
        <v>0.42</v>
        <stp/>
        <stp>P</stp>
        <stp>0</stp>
        <stp>BND</stp>
        <stp>KR103503GE62</stp>
        <stp>장내국채-매수수익률1</stp>
        <stp/>
        <stp/>
        <tr r="AQ10" s="2"/>
      </tp>
      <tp>
        <v>20250303</v>
        <stp/>
        <stp>P</stp>
        <stp>0</stp>
        <stp>FRN</stp>
        <stp>XTR:DAX30</stp>
        <stp>현재가</stp>
        <stp>45719</stp>
        <stp>fill=true,disp=date</stp>
        <tr r="M28" s="1"/>
      </tp>
      <tp>
        <v>20250303</v>
        <stp/>
        <stp>P</stp>
        <stp>0</stp>
        <stp>FRN</stp>
        <stp>SHS:000001</stp>
        <stp>현재가</stp>
        <stp>45719</stp>
        <stp>fill=true,disp=date</stp>
        <tr r="M24" s="1"/>
      </tp>
      <tp>
        <v>0</v>
        <stp/>
        <stp>T</stp>
        <stp>x1.B7Af</stp>
        <stp>94</stp>
        <stp>139840</stp>
        <tr r="T48" s="2"/>
      </tp>
      <tp>
        <v>0.64581018518518518</v>
        <stp/>
        <stp>P</stp>
        <stp>0</stp>
        <stp>BND</stp>
        <stp>KR103501GEC6</stp>
        <stp>장내국채-시간</stp>
        <stp/>
        <stp>TmFmt=1</stp>
        <tr r="U5" s="2"/>
      </tp>
      <tp>
        <v>0.6457060185185185</v>
        <stp/>
        <stp>P</stp>
        <stp>0</stp>
        <stp>BND</stp>
        <stp>KR103502GEC4</stp>
        <stp>장내국채-시간</stp>
        <stp/>
        <stp>TmFmt=1</stp>
        <tr r="U7" s="2"/>
      </tp>
      <tp>
        <v>2.6059999999999999</v>
        <stp/>
        <stp>P</stp>
        <stp>0</stp>
        <stp>BND</stp>
        <stp>KR103502GE97</stp>
        <stp>장내국채-매수수익률1</stp>
        <stp/>
        <stp/>
        <tr r="AQ9" s="2"/>
      </tp>
      <tp>
        <v>2.6779999999999999</v>
        <stp/>
        <stp>P</stp>
        <stp>0</stp>
        <stp>BND</stp>
        <stp>KR103503GE96</stp>
        <stp>장내국채-매수수익률1</stp>
        <stp/>
        <stp/>
        <tr r="AQ4" s="2"/>
      </tp>
      <tp>
        <v>2.774</v>
        <stp/>
        <stp>P</stp>
        <stp>0</stp>
        <stp>BND</stp>
        <stp>KR103502GEC4</stp>
        <stp>장내국채-매수수익률1</stp>
        <stp/>
        <stp/>
        <tr r="AQ7" s="2"/>
      </tp>
      <tp>
        <v>2.78</v>
        <stp/>
        <stp>P</stp>
        <stp>0</stp>
        <stp>IR</stp>
        <stp>CALLALLX01</stp>
        <stp>평균이율</stp>
        <stp>45721</stp>
        <stp/>
        <tr r="L44" s="1"/>
      </tp>
      <tp>
        <v>2.5649999999999999</v>
        <stp/>
        <stp>P</stp>
        <stp>0</stp>
        <stp>BND</stp>
        <stp>KR103501GEC6</stp>
        <stp>장내국채-매수수익률1</stp>
        <stp/>
        <stp/>
        <tr r="AQ5" s="2"/>
      </tp>
      <tp>
        <v>100</v>
        <stp/>
        <stp>P</stp>
        <stp>0</stp>
        <stp>BND</stp>
        <stp>KR103501GE98</stp>
        <stp>장내국채-매수수량1</stp>
        <stp/>
        <stp/>
        <tr r="AR6" s="2"/>
      </tp>
      <tp>
        <v>333881360</v>
        <stp/>
        <stp>P</stp>
        <stp>0</stp>
        <stp>IR</stp>
        <stp>BNDINV0101</stp>
        <stp>외국인 순매수거래량 전체</stp>
        <stp>45720</stp>
        <stp/>
        <tr r="O45" s="2"/>
      </tp>
      <tp>
        <v>20</v>
        <stp/>
        <stp>P</stp>
        <stp>0</stp>
        <stp>BND</stp>
        <stp>KR103504GE95</stp>
        <stp>장내국채-매수수량1</stp>
        <stp/>
        <stp/>
        <tr r="AR8" s="2"/>
      </tp>
      <tp>
        <v>-1566076940</v>
        <stp/>
        <stp>P</stp>
        <stp>0</stp>
        <stp>IR</stp>
        <stp>BNDINV0100</stp>
        <stp>외국인 순매수거래량 전체</stp>
        <stp>45720</stp>
        <stp/>
        <tr r="O44" s="2"/>
      </tp>
      <tp>
        <v>30</v>
        <stp/>
        <stp>P</stp>
        <stp>0</stp>
        <stp>BND</stp>
        <stp>KR103502GE97</stp>
        <stp>장내국채-매수수량1</stp>
        <stp/>
        <stp/>
        <tr r="AR9" s="2"/>
      </tp>
      <tp>
        <v>50</v>
        <stp/>
        <stp>P</stp>
        <stp>0</stp>
        <stp>BND</stp>
        <stp>KR103503GE96</stp>
        <stp>장내국채-매수수량1</stp>
        <stp/>
        <stp/>
        <tr r="AR4" s="2"/>
      </tp>
      <tp>
        <v>250000000</v>
        <stp/>
        <stp>P</stp>
        <stp>0</stp>
        <stp>IR</stp>
        <stp>BNDINV0104</stp>
        <stp>외국인 순매수거래량 전체</stp>
        <stp>45720</stp>
        <stp/>
        <tr r="O46" s="2"/>
      </tp>
      <tp>
        <v>10428</v>
        <stp/>
        <stp>P</stp>
        <stp>0</stp>
        <stp>BND</stp>
        <stp>KR103502GE97</stp>
        <stp>장내국채-매수가격1</stp>
        <stp/>
        <stp/>
        <tr r="AP9" s="2"/>
      </tp>
      <tp>
        <v>10169.5</v>
        <stp/>
        <stp>P</stp>
        <stp>0</stp>
        <stp>BND</stp>
        <stp>KR103503GE96</stp>
        <stp>장내국채-매수가격1</stp>
        <stp/>
        <stp/>
        <tr r="AP4" s="2"/>
      </tp>
      <tp>
        <v>10391</v>
        <stp/>
        <stp>P</stp>
        <stp>0</stp>
        <stp>BND</stp>
        <stp>KR103504GE95</stp>
        <stp>장내국채-매수가격1</stp>
        <stp/>
        <stp/>
        <tr r="AP8" s="2"/>
      </tp>
      <tp>
        <v>10282.5</v>
        <stp/>
        <stp>P</stp>
        <stp>0</stp>
        <stp>BND</stp>
        <stp>KR103501GE98</stp>
        <stp>장내국채-매수가격1</stp>
        <stp/>
        <stp/>
        <tr r="AP6" s="2"/>
      </tp>
      <tp>
        <v>20250228</v>
        <stp/>
        <stp>P</stp>
        <stp>0</stp>
        <stp>IDX</stp>
        <stp>801</stp>
        <stp>현재가</stp>
        <stp>45719</stp>
        <stp>fill=true,disp=date</stp>
        <tr r="M22" s="1"/>
      </tp>
      <tp>
        <v>20250228</v>
        <stp/>
        <stp>P</stp>
        <stp>0</stp>
        <stp>IDX</stp>
        <stp>001</stp>
        <stp>현재가</stp>
        <stp>45719</stp>
        <stp>fill=true,disp=date</stp>
        <tr r="M21" s="1"/>
      </tp>
      <tp>
        <v>1091</v>
        <stp/>
        <stp>P</stp>
        <stp>0</stp>
        <stp>FUT</stp>
        <stp>C67</stp>
        <stp>연기금순매수수량</stp>
        <stp>45721</stp>
        <stp/>
        <tr r="N51" s="2"/>
      </tp>
      <tp>
        <v>-491</v>
        <stp/>
        <stp>P</stp>
        <stp>0</stp>
        <stp>FUT</stp>
        <stp>C65</stp>
        <stp>연기금순매수수량</stp>
        <stp>45721</stp>
        <stp/>
        <tr r="M51" s="2"/>
      </tp>
      <tp>
        <v>-98</v>
        <stp/>
        <stp>P</stp>
        <stp>0</stp>
        <stp>FUT</stp>
        <stp>C01</stp>
        <stp>연기금순매수수량</stp>
        <stp>45721</stp>
        <stp/>
        <tr r="Q51" s="2"/>
      </tp>
      <tp>
        <v>2.88</v>
        <stp/>
        <stp>P</stp>
        <stp>0</stp>
        <stp>IR</stp>
        <stp>IBRKRWFIX06M</stp>
        <stp>금리</stp>
        <stp>45714</stp>
        <stp/>
        <tr r="AD18" s="2"/>
      </tp>
      <tp>
        <v>2.88</v>
        <stp/>
        <stp>P</stp>
        <stp>0</stp>
        <stp>IR</stp>
        <stp>IBRKRWFIX06M</stp>
        <stp>금리</stp>
        <stp>45721</stp>
        <stp/>
        <tr r="C21" s="1"/>
      </tp>
      <tp t="s">
        <v/>
        <stp/>
        <stp>P</stp>
        <stp>0</stp>
        <stp>IR</stp>
        <stp>10Y</stp>
        <stp>MID_Close</stp>
        <stp>45719</stp>
        <stp>fill=true</stp>
        <tr r="N25" s="1"/>
      </tp>
      <tp>
        <v>10150</v>
        <stp/>
        <stp>P</stp>
        <stp>0</stp>
        <stp>BND</stp>
        <stp>KR103501GEC6</stp>
        <stp>장내국채-매도가격1</stp>
        <stp/>
        <stp/>
        <tr r="AO5" s="2"/>
      </tp>
      <tp>
        <v>10264</v>
        <stp/>
        <stp>P</stp>
        <stp>0</stp>
        <stp>BND</stp>
        <stp>KR103502GEC4</stp>
        <stp>장내국채-매도가격1</stp>
        <stp/>
        <stp/>
        <tr r="AO7" s="2"/>
      </tp>
      <tp>
        <v>50</v>
        <stp/>
        <stp>P</stp>
        <stp>0</stp>
        <stp>BND</stp>
        <stp>KR103501GEC6</stp>
        <stp>장내국채-매도수량1</stp>
        <stp/>
        <stp/>
        <tr r="AM5" s="2"/>
      </tp>
      <tp>
        <v>30</v>
        <stp/>
        <stp>P</stp>
        <stp>0</stp>
        <stp>BND</stp>
        <stp>KR103502GEC4</stp>
        <stp>장내국채-매도수량1</stp>
        <stp/>
        <stp/>
        <tr r="AM7" s="2"/>
      </tp>
      <tp>
        <v>10</v>
        <stp/>
        <stp>P</stp>
        <stp>0</stp>
        <stp>BND</stp>
        <stp>KR103503GE62</stp>
        <stp>장내국채-매수수량1</stp>
        <stp/>
        <stp/>
        <tr r="AR10" s="2"/>
      </tp>
      <tp>
        <v>10317</v>
        <stp/>
        <stp>P</stp>
        <stp>0</stp>
        <stp>BND</stp>
        <stp>KR103503GE62</stp>
        <stp>장내국채-매수가격1</stp>
        <stp/>
        <stp/>
        <tr r="AP10" s="2"/>
      </tp>
      <tp>
        <v>-0.12</v>
        <stp/>
        <stp>P</stp>
        <stp>0</stp>
        <stp>FRN</stp>
        <stp>SHS:000001</stp>
        <stp>등락률</stp>
        <stp>45719</stp>
        <stp>fill=true</stp>
        <tr r="L24" s="1"/>
      </tp>
      <tp>
        <v>2.64</v>
        <stp/>
        <stp>P</stp>
        <stp>0</stp>
        <stp>FRN</stp>
        <stp>XTR:DAX30</stp>
        <stp>등락률</stp>
        <stp>45719</stp>
        <stp>fill=true</stp>
        <tr r="L28" s="1"/>
      </tp>
      <tp t="s">
        <v/>
        <stp/>
        <stp>P</stp>
        <stp>0</stp>
        <stp>IR</stp>
        <stp>10Y</stp>
        <stp>MID_Chg</stp>
        <stp>45719</stp>
        <stp>fill=true</stp>
        <tr r="O25" s="1"/>
      </tp>
      <tp>
        <v>1.4046000000000001</v>
        <stp/>
        <stp>P</stp>
        <stp>0</stp>
        <stp>IR</stp>
        <stp>JP10Y</stp>
        <stp>MID_Close</stp>
        <stp>45719</stp>
        <stp>fill=true</stp>
        <tr r="N23" s="1"/>
      </tp>
      <tp>
        <v>-3.39</v>
        <stp/>
        <stp>P</stp>
        <stp>0</stp>
        <stp>IDX</stp>
        <stp>001</stp>
        <stp>등락률</stp>
        <stp>45719</stp>
        <stp>fill=true</stp>
        <tr r="L21" s="1"/>
      </tp>
      <tp>
        <v>10834000000</v>
        <stp/>
        <stp>P</stp>
        <stp>0</stp>
        <stp>IR</stp>
        <stp>BNDSTA4200000</stp>
        <stp>잔존액(매출일)</stp>
        <stp>45720</stp>
        <stp/>
        <tr r="N46" s="2"/>
      </tp>
      <tp>
        <v>2.4895</v>
        <stp/>
        <stp>P</stp>
        <stp>0</stp>
        <stp>IR</stp>
        <stp>DE10Y</stp>
        <stp>MID_Close</stp>
        <stp>45719</stp>
        <stp>fill=true</stp>
        <tr r="N28" s="1"/>
      </tp>
      <tp>
        <v>2.4895</v>
        <stp/>
        <stp>P</stp>
        <stp>0</stp>
        <stp>IR</stp>
        <stp>EU10Y</stp>
        <stp>MID_Close</stp>
        <stp>45719</stp>
        <stp>fill=true</stp>
        <tr r="N27" s="1"/>
      </tp>
      <tp>
        <v>-3.49</v>
        <stp/>
        <stp>P</stp>
        <stp>0</stp>
        <stp>IDX</stp>
        <stp>801</stp>
        <stp>등락률</stp>
        <stp>45719</stp>
        <stp>fill=true</stp>
        <tr r="L22" s="1"/>
      </tp>
      <tp>
        <v>117495002174</v>
        <stp/>
        <stp>P</stp>
        <stp>0</stp>
        <stp>IR</stp>
        <stp>BNDSTA1100000</stp>
        <stp>잔존액(매출일)</stp>
        <stp>45720</stp>
        <stp/>
        <tr r="N45" s="2"/>
      </tp>
      <tp>
        <v>290735564854</v>
        <stp/>
        <stp>P</stp>
        <stp>0</stp>
        <stp>IR</stp>
        <stp>BNDSTA0100000</stp>
        <stp>잔존액(매출일)</stp>
        <stp>45720</stp>
        <stp/>
        <tr r="N44" s="2"/>
      </tp>
      <tp>
        <v>10283.5</v>
        <stp/>
        <stp>P</stp>
        <stp>0</stp>
        <stp>BND</stp>
        <stp>KR103501GE98</stp>
        <stp>장내국채-매도가격1</stp>
        <stp/>
        <stp/>
        <tr r="AO6" s="2"/>
      </tp>
      <tp>
        <v>10399</v>
        <stp/>
        <stp>P</stp>
        <stp>0</stp>
        <stp>BND</stp>
        <stp>KR103504GE95</stp>
        <stp>장내국채-매도가격1</stp>
        <stp/>
        <stp/>
        <tr r="AO8" s="2"/>
      </tp>
      <tp>
        <v>10430</v>
        <stp/>
        <stp>P</stp>
        <stp>0</stp>
        <stp>BND</stp>
        <stp>KR103502GE97</stp>
        <stp>장내국채-매도가격1</stp>
        <stp/>
        <stp/>
        <tr r="AO9" s="2"/>
      </tp>
      <tp>
        <v>10170</v>
        <stp/>
        <stp>P</stp>
        <stp>0</stp>
        <stp>BND</stp>
        <stp>KR103503GE96</stp>
        <stp>장내국채-매도가격1</stp>
        <stp/>
        <stp/>
        <tr r="AO4" s="2"/>
      </tp>
      <tp>
        <v>10</v>
        <stp/>
        <stp>P</stp>
        <stp>0</stp>
        <stp>BND</stp>
        <stp>KR103502GE97</stp>
        <stp>장내국채-매도수량1</stp>
        <stp/>
        <stp/>
        <tr r="AM9" s="2"/>
      </tp>
      <tp>
        <v>60</v>
        <stp/>
        <stp>P</stp>
        <stp>0</stp>
        <stp>BND</stp>
        <stp>KR103503GE96</stp>
        <stp>장내국채-매도수량1</stp>
        <stp/>
        <stp/>
        <tr r="AM4" s="2"/>
      </tp>
      <tp>
        <v>10</v>
        <stp/>
        <stp>P</stp>
        <stp>0</stp>
        <stp>BND</stp>
        <stp>KR103504GE95</stp>
        <stp>장내국채-매도수량1</stp>
        <stp/>
        <stp/>
        <tr r="AM8" s="2"/>
      </tp>
      <tp>
        <v>10</v>
        <stp/>
        <stp>P</stp>
        <stp>0</stp>
        <stp>BND</stp>
        <stp>KR103501GE98</stp>
        <stp>장내국채-매도수량1</stp>
        <stp/>
        <stp/>
        <tr r="AM6" s="2"/>
      </tp>
      <tp>
        <v>4238</v>
        <stp/>
        <stp>P</stp>
        <stp>0</stp>
        <stp>IDX</stp>
        <stp>801</stp>
        <stp>연기금순매수금액</stp>
        <stp>45721</stp>
        <stp/>
        <tr r="P51" s="2"/>
      </tp>
      <tp>
        <v>1.625</v>
        <stp/>
        <stp>P</stp>
        <stp>0</stp>
        <stp>IR</stp>
        <stp>TW10Y</stp>
        <stp>MID_Close</stp>
        <stp>45719</stp>
        <stp>fill=true</stp>
        <tr r="N26" s="1"/>
      </tp>
      <tp>
        <v>80</v>
        <stp/>
        <stp>P</stp>
        <stp>0</stp>
        <stp>BND</stp>
        <stp>KR103501GEC6</stp>
        <stp>장내국채-매수수량1</stp>
        <stp/>
        <stp/>
        <tr r="AR5" s="2"/>
      </tp>
      <tp>
        <v>100</v>
        <stp/>
        <stp>P</stp>
        <stp>0</stp>
        <stp>BND</stp>
        <stp>KR103502GEC4</stp>
        <stp>장내국채-매수수량1</stp>
        <stp/>
        <stp/>
        <tr r="AR7" s="2"/>
      </tp>
      <tp>
        <v>10149.5</v>
        <stp/>
        <stp>P</stp>
        <stp>0</stp>
        <stp>BND</stp>
        <stp>KR103501GEC6</stp>
        <stp>장내국채-매수가격1</stp>
        <stp/>
        <stp/>
        <tr r="AP5" s="2"/>
      </tp>
      <tp>
        <v>10262</v>
        <stp/>
        <stp>P</stp>
        <stp>0</stp>
        <stp>BND</stp>
        <stp>KR103502GEC4</stp>
        <stp>장내국채-매수가격1</stp>
        <stp/>
        <stp/>
        <tr r="AP7" s="2"/>
      </tp>
      <tp>
        <v>4.1565000000000003</v>
        <stp/>
        <stp>P</stp>
        <stp>0</stp>
        <stp>IR</stp>
        <stp>US10Y</stp>
        <stp>MID_Close</stp>
        <stp>45719</stp>
        <stp>fill=true</stp>
        <tr r="N20" s="1"/>
        <tr r="N19" s="1"/>
      </tp>
      <tp>
        <v>1.7533000000000001</v>
        <stp/>
        <stp>P</stp>
        <stp>0</stp>
        <stp>IR</stp>
        <stp>RM10Y</stp>
        <stp>MID_Close</stp>
        <stp>45719</stp>
        <stp>fill=true</stp>
        <tr r="N24" s="1"/>
      </tp>
      <tp>
        <v>70916</v>
        <stp/>
        <stp>P</stp>
        <stp>0</stp>
        <stp>IDX</stp>
        <stp>001</stp>
        <stp>연기금순매수금액</stp>
        <stp>45721</stp>
        <stp/>
        <tr r="O51" s="2"/>
      </tp>
      <tp>
        <v>10321</v>
        <stp/>
        <stp>P</stp>
        <stp>0</stp>
        <stp>BND</stp>
        <stp>KR103503GE62</stp>
        <stp>장내국채-매도가격1</stp>
        <stp/>
        <stp/>
        <tr r="AO10" s="2"/>
      </tp>
      <tp>
        <v>20</v>
        <stp/>
        <stp>P</stp>
        <stp>0</stp>
        <stp>BND</stp>
        <stp>KR103503GE62</stp>
        <stp>장내국채-매도수량1</stp>
        <stp/>
        <stp/>
        <tr r="AM10" s="2"/>
      </tp>
      <tp>
        <v>2.71</v>
        <stp/>
        <stp>P</stp>
        <stp>0</stp>
        <stp>IR</stp>
        <stp>CALLALLX01</stp>
        <stp>체결이율</stp>
        <stp>45721</stp>
        <stp/>
        <tr r="M44" s="1"/>
      </tp>
      <tp t="s">
        <v/>
        <stp/>
        <stp>P</stp>
        <stp>0</stp>
        <stp>BND</stp>
        <stp>KR310102GE92</stp>
        <stp>장내국채-시간</stp>
        <stp/>
        <stp>TmFmt=1</stp>
        <tr r="U13" s="2"/>
      </tp>
      <tp>
        <v>0</v>
        <stp/>
        <stp>H</stp>
        <stp>x21.LS6f</stp>
        <stp>36</stp>
        <stp>139840</stp>
        <tr r="L22" s="2"/>
      </tp>
      <tp>
        <v>0</v>
        <stp/>
        <stp>H</stp>
        <stp>x20.LS6f</stp>
        <stp>35</stp>
        <stp>139840</stp>
        <tr r="AG12" s="2"/>
      </tp>
      <tp>
        <v>0</v>
        <stp/>
        <stp>H</stp>
        <stp>x22.LS6f</stp>
        <stp>37</stp>
        <stp>139840</stp>
        <tr r="L26" s="2"/>
      </tp>
      <tp>
        <v>0</v>
        <stp/>
        <stp>H</stp>
        <stp>x14.LS6f</stp>
        <stp>29</stp>
        <stp>139840</stp>
        <tr r="AG5" s="2"/>
      </tp>
      <tp>
        <v>0</v>
        <stp/>
        <stp>H</stp>
        <stp>x13.LS6f</stp>
        <stp>28</stp>
        <stp>139840</stp>
        <tr r="AG9" s="2"/>
      </tp>
      <tp>
        <v>0</v>
        <stp/>
        <stp>H</stp>
        <stp>x11.LS6f</stp>
        <stp>26</stp>
        <stp>139840</stp>
        <tr r="L23" s="2"/>
      </tp>
      <tp>
        <v>0</v>
        <stp/>
        <stp>H</stp>
        <stp>x10.LS6f</stp>
        <stp>25</stp>
        <stp>139840</stp>
        <tr r="L33" s="2"/>
      </tp>
      <tp>
        <v>0</v>
        <stp/>
        <stp>H</stp>
        <stp>x12.LS6f</stp>
        <stp>27</stp>
        <stp>139840</stp>
        <tr r="AG7" s="2"/>
      </tp>
      <tp>
        <v>0</v>
        <stp/>
        <stp>H</stp>
        <stp>x19.LS6f</stp>
        <stp>34</stp>
        <stp>139840</stp>
        <tr r="AG6" s="2"/>
      </tp>
      <tp>
        <v>0</v>
        <stp/>
        <stp>H</stp>
        <stp>x18.LS6f</stp>
        <stp>33</stp>
        <stp>139840</stp>
        <tr r="L25" s="2"/>
      </tp>
      <tp>
        <v>0</v>
        <stp/>
        <stp>H</stp>
        <stp>x16.LS6f</stp>
        <stp>31</stp>
        <stp>139840</stp>
        <tr r="AG4" s="2"/>
      </tp>
      <tp>
        <v>0</v>
        <stp/>
        <stp>H</stp>
        <stp>x15.LS6f</stp>
        <stp>30</stp>
        <stp>139840</stp>
        <tr r="AG10" s="2"/>
      </tp>
      <tp>
        <v>0</v>
        <stp/>
        <stp>H</stp>
        <stp>x17.LS6f</stp>
        <stp>32</stp>
        <stp>139840</stp>
        <tr r="L30" s="2"/>
      </tp>
      <tp>
        <v>0.64582175925925922</v>
        <stp/>
        <stp>P</stp>
        <stp>0</stp>
        <stp>BND</stp>
        <stp>KR103502GE97</stp>
        <stp>장내국채-시간</stp>
        <stp/>
        <stp>TmFmt=1</stp>
        <tr r="U9" s="2"/>
      </tp>
      <tp>
        <v>0.64466435185185189</v>
        <stp/>
        <stp>P</stp>
        <stp>0</stp>
        <stp>BND</stp>
        <stp>KR103503GE96</stp>
        <stp>장내국채-시간</stp>
        <stp/>
        <stp>TmFmt=1</stp>
        <tr r="U4" s="2"/>
      </tp>
      <tp>
        <v>0.6457060185185185</v>
        <stp/>
        <stp>P</stp>
        <stp>0</stp>
        <stp>BND</stp>
        <stp>KR103504GE95</stp>
        <stp>장내국채-시간</stp>
        <stp/>
        <stp>TmFmt=1</stp>
        <tr r="U8" s="2"/>
      </tp>
      <tp>
        <v>0.64578703703703699</v>
        <stp/>
        <stp>P</stp>
        <stp>0</stp>
        <stp>BND</stp>
        <stp>KR103501GE98</stp>
        <stp>장내국채-시간</stp>
        <stp/>
        <stp>TmFmt=1</stp>
        <tr r="U6" s="2"/>
      </tp>
      <tp>
        <v>1.4999999999999999E-2</v>
        <stp/>
        <stp>P</stp>
        <stp>0</stp>
        <stp>IR</stp>
        <stp>TW10Y</stp>
        <stp>MID_Chg</stp>
        <stp>45719</stp>
        <stp>fill=true</stp>
        <tr r="O26" s="1"/>
      </tp>
      <tp>
        <v>-5.2999999999999999E-2</v>
        <stp/>
        <stp>P</stp>
        <stp>0</stp>
        <stp>IR</stp>
        <stp>US10Y</stp>
        <stp>MID_Chg</stp>
        <stp>45719</stp>
        <stp>fill=true</stp>
        <tr r="O19" s="1"/>
        <tr r="O20" s="1"/>
      </tp>
      <tp>
        <v>-1.4999999999999999E-2</v>
        <stp/>
        <stp>P</stp>
        <stp>0</stp>
        <stp>IR</stp>
        <stp>RM10Y</stp>
        <stp>MID_Chg</stp>
        <stp>45719</stp>
        <stp>fill=true</stp>
        <tr r="O24" s="1"/>
      </tp>
      <tp>
        <v>3.3799999999999997E-2</v>
        <stp/>
        <stp>P</stp>
        <stp>0</stp>
        <stp>IR</stp>
        <stp>JP10Y</stp>
        <stp>MID_Chg</stp>
        <stp>45719</stp>
        <stp>fill=true</stp>
        <tr r="O23" s="1"/>
      </tp>
      <tp>
        <v>8.4750000000000006E-2</v>
        <stp/>
        <stp>P</stp>
        <stp>0</stp>
        <stp>IR</stp>
        <stp>DE10Y</stp>
        <stp>MID_Chg</stp>
        <stp>45719</stp>
        <stp>fill=true</stp>
        <tr r="O28" s="1"/>
      </tp>
      <tp>
        <v>8.4750000000000006E-2</v>
        <stp/>
        <stp>P</stp>
        <stp>0</stp>
        <stp>IR</stp>
        <stp>EU10Y</stp>
        <stp>MID_Chg</stp>
        <stp>45719</stp>
        <stp>fill=true</stp>
        <tr r="O27" s="1"/>
      </tp>
      <tp>
        <v>20250228</v>
        <stp/>
        <stp>P</stp>
        <stp>0</stp>
        <stp>FX</stp>
        <stp>USDSP_AMBC</stp>
        <stp>중간값</stp>
        <stp>45719</stp>
        <stp>fill=true,disp=date</stp>
        <tr r="T22" s="1"/>
        <tr r="T21" s="1"/>
      </tp>
      <tp>
        <v>2.68</v>
        <stp/>
        <stp>P</stp>
        <stp>0</stp>
        <stp>IR</stp>
        <stp>BONDAVG01</stp>
        <stp>5년이하(당일)</stp>
        <stp>45714</stp>
        <stp/>
        <tr r="AD6" s="2"/>
      </tp>
      <tp>
        <v>2.6259999999999999</v>
        <stp/>
        <stp>P</stp>
        <stp>0</stp>
        <stp>IR</stp>
        <stp>BONDAVG14</stp>
        <stp>1년이하(당일)</stp>
        <stp>45714</stp>
        <stp/>
        <tr r="AD11" s="2"/>
      </tp>
      <tp>
        <v>2.802</v>
        <stp/>
        <stp>P</stp>
        <stp>0</stp>
        <stp>IR</stp>
        <stp>BONDAVG16</stp>
        <stp>1년이하(당일)</stp>
        <stp>45714</stp>
        <stp/>
        <tr r="AD14" s="2"/>
      </tp>
      <tp t="s">
        <v/>
        <stp/>
        <stp>P</stp>
        <stp>0</stp>
        <stp>BND</stp>
        <stp>KR310101GF19</stp>
        <stp>장내국채-시간</stp>
        <stp/>
        <stp>TmFmt=1</stp>
        <tr r="U12" s="2"/>
      </tp>
      <tp>
        <v>2.6640000000000001</v>
        <stp/>
        <stp>P</stp>
        <stp>0</stp>
        <stp>IR</stp>
        <stp>BONDAVG14</stp>
        <stp>3년이하(당일)</stp>
        <stp>45714</stp>
        <stp/>
        <tr r="AD13" s="2"/>
      </tp>
      <tp>
        <v>2.5950000000000002</v>
        <stp/>
        <stp>P</stp>
        <stp>0</stp>
        <stp>IR</stp>
        <stp>BONDAVG01</stp>
        <stp>3년이하(당일)</stp>
        <stp>45714</stp>
        <stp/>
        <tr r="AD5" s="2"/>
      </tp>
      <tp>
        <v>3.1749999999999998</v>
        <stp/>
        <stp>P</stp>
        <stp>0</stp>
        <stp>IR</stp>
        <stp>BONDAVG58</stp>
        <stp>3년이하(당일)</stp>
        <stp>45714</stp>
        <stp/>
        <tr r="AD15" s="2"/>
      </tp>
      <tp>
        <v>20250303</v>
        <stp/>
        <stp>P</stp>
        <stp>0</stp>
        <stp>FX</stp>
        <stp>EURUSD</stp>
        <stp>NY_MID_Close</stp>
        <stp>45719</stp>
        <stp>fill=true,disp=date</stp>
        <tr r="T28" s="1"/>
        <tr r="T27" s="1"/>
      </tp>
      <tp>
        <v>2.64</v>
        <stp/>
        <stp>P</stp>
        <stp>0</stp>
        <stp>IR</stp>
        <stp>BONDAVG14</stp>
        <stp>2년이하(당일)</stp>
        <stp>45714</stp>
        <stp/>
        <tr r="AD12" s="2"/>
      </tp>
      <tp>
        <v>2.6549999999999998</v>
        <stp/>
        <stp>P</stp>
        <stp>0</stp>
        <stp>IR</stp>
        <stp>BONDAVG01</stp>
        <stp>2년이하(당일)</stp>
        <stp>45714</stp>
        <stp/>
        <tr r="AD4" s="2"/>
      </tp>
      <tp>
        <v>20250303</v>
        <stp/>
        <stp>P</stp>
        <stp>0</stp>
        <stp>FX</stp>
        <stp>DOLLAR</stp>
        <stp>NY_MID_Close</stp>
        <stp>45719</stp>
        <stp>fill=true,disp=date</stp>
        <tr r="T19" s="1"/>
        <tr r="T20" s="1"/>
      </tp>
      <tp>
        <v>20250303</v>
        <stp/>
        <stp>P</stp>
        <stp>0</stp>
        <stp>FRN</stp>
        <stp>TWS:TI01</stp>
        <stp>현재가</stp>
        <stp>45719</stp>
        <stp>fill=true,disp=date</stp>
        <tr r="M26" s="1"/>
      </tp>
      <tp>
        <v>2.8239999999999998</v>
        <stp/>
        <stp>P</stp>
        <stp>0</stp>
        <stp>IR</stp>
        <stp>BONDHANYLD421</stp>
        <stp>수익률</stp>
        <stp/>
        <stp/>
        <tr r="C17" s="1"/>
      </tp>
      <tp>
        <v>20250303</v>
        <stp/>
        <stp>P</stp>
        <stp>0</stp>
        <stp>FX</stp>
        <stp>USDTWD</stp>
        <stp>NY_MID_Close</stp>
        <stp>45719</stp>
        <stp>fill=true,disp=date</stp>
        <tr r="T26" s="1"/>
      </tp>
      <tp>
        <v>20250303</v>
        <stp/>
        <stp>P</stp>
        <stp>0</stp>
        <stp>FX</stp>
        <stp>USDJPY</stp>
        <stp>NY_MID_Close</stp>
        <stp>45719</stp>
        <stp>fill=true,disp=date</stp>
        <tr r="T23" s="1"/>
      </tp>
      <tp>
        <v>20250303</v>
        <stp/>
        <stp>P</stp>
        <stp>0</stp>
        <stp>FX</stp>
        <stp>USDHKD</stp>
        <stp>NY_MID_Close</stp>
        <stp>45719</stp>
        <stp>fill=true,disp=date</stp>
        <tr r="T25" s="1"/>
      </tp>
      <tp>
        <v>2.6120000000000001</v>
        <stp/>
        <stp>P</stp>
        <stp>0</stp>
        <stp>BND</stp>
        <stp>KR103502GE97</stp>
        <stp>장외-현재수익률</stp>
        <stp/>
        <stp/>
        <tr r="C12" s="1"/>
      </tp>
      <tp>
        <v>2.6739999999999999</v>
        <stp/>
        <stp>P</stp>
        <stp>0</stp>
        <stp>BND</stp>
        <stp>KR103503GE96</stp>
        <stp>장외-현재수익률</stp>
        <stp/>
        <stp/>
        <tr r="C7" s="1"/>
      </tp>
      <tp>
        <v>2.7029999999999998</v>
        <stp/>
        <stp>P</stp>
        <stp>0</stp>
        <stp>BND</stp>
        <stp>KR103504GE95</stp>
        <stp>장외-현재수익률</stp>
        <stp/>
        <stp/>
        <tr r="C11" s="1"/>
      </tp>
      <tp>
        <v>2.6920000000000002</v>
        <stp/>
        <stp>P</stp>
        <stp>0</stp>
        <stp>BND</stp>
        <stp>KR103501GE98</stp>
        <stp>장외-현재수익률</stp>
        <stp/>
        <stp/>
        <tr r="C9" s="1"/>
      </tp>
      <tp>
        <v>2.5750000000000002</v>
        <stp/>
        <stp>P</stp>
        <stp>0</stp>
        <stp>BND</stp>
        <stp>KR103501GEC6</stp>
        <stp>장외-현재수익률</stp>
        <stp/>
        <stp/>
        <tr r="C8" s="1"/>
      </tp>
      <tp>
        <v>2.69</v>
        <stp/>
        <stp>P</stp>
        <stp>0</stp>
        <stp>BND</stp>
        <stp>KR103502GEC4</stp>
        <stp>장외-현재수익률</stp>
        <stp/>
        <stp/>
        <tr r="C10" s="1"/>
      </tp>
      <tp>
        <v>20250303</v>
        <stp/>
        <stp>P</stp>
        <stp>0</stp>
        <stp>FX</stp>
        <stp>USDCNY</stp>
        <stp>NY_MID_Close</stp>
        <stp>45719</stp>
        <stp>fill=true,disp=date</stp>
        <tr r="T24" s="1"/>
      </tp>
      <tp>
        <v>2.6429999999999998</v>
        <stp/>
        <stp>P</stp>
        <stp>0</stp>
        <stp>IR</stp>
        <stp>BONDHANYLD410</stp>
        <stp>수익률</stp>
        <stp/>
        <stp/>
        <tr r="C14" s="1"/>
      </tp>
      <tp>
        <v>2.754</v>
        <stp/>
        <stp>P</stp>
        <stp>0</stp>
        <stp>IR</stp>
        <stp>BONDHANYLD510</stp>
        <stp>수익률</stp>
        <stp/>
        <stp/>
        <tr r="C13" s="1"/>
      </tp>
      <tp>
        <v>3.01</v>
        <stp/>
        <stp>P</stp>
        <stp>0</stp>
        <stp>IR</stp>
        <stp>BONDHANYLD720</stp>
        <stp>수익률</stp>
        <stp/>
        <stp/>
        <tr r="C20" s="1"/>
      </tp>
      <tp>
        <v>2.85</v>
        <stp/>
        <stp>P</stp>
        <stp>0</stp>
        <stp>IR</stp>
        <stp>BONDHANYLD920</stp>
        <stp>수익률</stp>
        <stp/>
        <stp/>
        <tr r="C19" s="1"/>
      </tp>
      <tp>
        <v>2.66</v>
        <stp/>
        <stp>P</stp>
        <stp>0</stp>
        <stp>BND</stp>
        <stp>KR310102GE92</stp>
        <stp>장외-현재수익률</stp>
        <stp/>
        <stp/>
        <tr r="C16" s="1"/>
      </tp>
      <tp>
        <v>2.653</v>
        <stp/>
        <stp>P</stp>
        <stp>0</stp>
        <stp>BND</stp>
        <stp>KR310101GF19</stp>
        <stp>장외-현재수익률</stp>
        <stp/>
        <stp/>
        <tr r="C15" s="1"/>
      </tp>
      <tp>
        <v>-1.76</v>
        <stp/>
        <stp>P</stp>
        <stp>0</stp>
        <stp>FRN</stp>
        <stp>SPI:SPX</stp>
        <stp>등락률</stp>
        <stp>45719</stp>
        <stp>fill=true</stp>
        <tr r="L23" s="1"/>
      </tp>
      <tp>
        <v>-1.48</v>
        <stp/>
        <stp>P</stp>
        <stp>0</stp>
        <stp>FRN</stp>
        <stp>DJI:DJI</stp>
        <stp>등락률</stp>
        <stp>45719</stp>
        <stp>fill=true</stp>
        <tr r="L19" s="1"/>
      </tp>
      <tp>
        <v>0.28000000000000003</v>
        <stp/>
        <stp>P</stp>
        <stp>0</stp>
        <stp>FRN</stp>
        <stp>HSI:HSI</stp>
        <stp>등락률</stp>
        <stp>45719</stp>
        <stp>fill=true</stp>
        <tr r="L25" s="1"/>
      </tp>
      <tp>
        <v>3.1440000000000001</v>
        <stp/>
        <stp>P</stp>
        <stp>0</stp>
        <stp>IR</stp>
        <stp>BONDHANYLD615</stp>
        <stp>수익률</stp>
        <stp/>
        <stp/>
        <tr r="C18" s="1"/>
      </tp>
      <tp t="s">
        <v>101W3000</v>
        <stp/>
        <stp>P</stp>
        <stp>0</stp>
        <stp>FUT</stp>
        <stp>C01</stp>
        <stp>단축코드</stp>
        <stp>45721</stp>
        <stp/>
        <tr r="I40" s="1"/>
      </tp>
      <tp>
        <v>18350.189999999999</v>
        <stp/>
        <stp>P</stp>
        <stp>0</stp>
        <stp>FRN</stp>
        <stp>NAS:IXIC</stp>
        <stp>현재가</stp>
        <stp>45719</stp>
        <stp>fill=true</stp>
        <tr r="K20" s="1"/>
      </tp>
      <tp>
        <v>0.70311342592592596</v>
        <stp/>
        <stp>P</stp>
        <stp>0</stp>
        <stp>BND</stp>
        <stp>KR310101GF19</stp>
        <stp>장외-시간</stp>
        <stp/>
        <stp>TmFmt=1</stp>
        <tr r="V12" s="2"/>
      </tp>
      <tp>
        <v>0.62520833333333337</v>
        <stp/>
        <stp>P</stp>
        <stp>0</stp>
        <stp>BND</stp>
        <stp>KR310102GE92</stp>
        <stp>장외-시간</stp>
        <stp/>
        <stp>TmFmt=1</stp>
        <tr r="V13" s="2"/>
      </tp>
      <tp>
        <v>22756.25</v>
        <stp/>
        <stp>P</stp>
        <stp>0</stp>
        <stp>FRN</stp>
        <stp>TWS:TI01</stp>
        <stp>현재가</stp>
        <stp>45719</stp>
        <stp>fill=true</stp>
        <tr r="K26" s="1"/>
      </tp>
      <tp>
        <v>-0.05</v>
        <stp/>
        <stp>P</stp>
        <stp>0</stp>
        <stp>IR</stp>
        <stp>BONDAVG01</stp>
        <stp>10년이하(전일대비)</stp>
        <stp>45719</stp>
        <stp>fill=true</stp>
        <tr r="O21" s="1"/>
        <tr r="O22" s="1"/>
      </tp>
      <tp>
        <v>0.70436342592592593</v>
        <stp/>
        <stp>P</stp>
        <stp>0</stp>
        <stp>BND</stp>
        <stp>KR103502GE97</stp>
        <stp>장외-시간</stp>
        <stp/>
        <stp>TmFmt=1</stp>
        <tr r="V9" s="2"/>
      </tp>
      <tp>
        <v>0.66637731481481477</v>
        <stp/>
        <stp>P</stp>
        <stp>0</stp>
        <stp>BND</stp>
        <stp>KR103503GE96</stp>
        <stp>장외-시간</stp>
        <stp/>
        <stp>TmFmt=1</stp>
        <tr r="V4" s="2"/>
      </tp>
      <tp>
        <v>0.70004629629629633</v>
        <stp/>
        <stp>P</stp>
        <stp>0</stp>
        <stp>BND</stp>
        <stp>KR103504GE95</stp>
        <stp>장외-시간</stp>
        <stp/>
        <stp>TmFmt=1</stp>
        <tr r="V8" s="2"/>
      </tp>
      <tp>
        <v>0.70436342592592593</v>
        <stp/>
        <stp>P</stp>
        <stp>0</stp>
        <stp>BND</stp>
        <stp>KR103501GE98</stp>
        <stp>장외-시간</stp>
        <stp/>
        <stp>TmFmt=1</stp>
        <tr r="V6" s="2"/>
      </tp>
      <tp>
        <v>0.69887731481481485</v>
        <stp/>
        <stp>P</stp>
        <stp>0</stp>
        <stp>BND</stp>
        <stp>KR103501GEC6</stp>
        <stp>장외-시간</stp>
        <stp/>
        <stp>TmFmt=1</stp>
        <tr r="V5" s="2"/>
      </tp>
      <tp>
        <v>0.70417824074074076</v>
        <stp/>
        <stp>P</stp>
        <stp>0</stp>
        <stp>BND</stp>
        <stp>KR103502GEC4</stp>
        <stp>장외-시간</stp>
        <stp/>
        <stp>TmFmt=1</stp>
        <tr r="V7" s="2"/>
      </tp>
      <tp>
        <v>45734</v>
        <stp/>
        <stp>P</stp>
        <stp>0</stp>
        <stp>FUT</stp>
        <stp>165W3000</stp>
        <stp>최종거래일</stp>
        <stp/>
        <stp>DtFmt=1</stp>
        <tr r="R23" s="2"/>
      </tp>
      <tp>
        <v>336.35</v>
        <stp/>
        <stp>P</stp>
        <stp>0</stp>
        <stp>FUT</stp>
        <stp>C01</stp>
        <stp>현재가</stp>
        <stp>45721</stp>
        <stp/>
        <tr r="K40" s="1"/>
      </tp>
      <tp>
        <v>106.78</v>
        <stp/>
        <stp>P</stp>
        <stp>0</stp>
        <stp>FUT</stp>
        <stp>C65</stp>
        <stp>현재가</stp>
        <stp>45721</stp>
        <stp/>
        <tr r="K38" s="1"/>
      </tp>
      <tp>
        <v>118.95</v>
        <stp/>
        <stp>P</stp>
        <stp>0</stp>
        <stp>FUT</stp>
        <stp>C67</stp>
        <stp>현재가</stp>
        <stp>45721</stp>
        <stp/>
        <tr r="K39" s="1"/>
      </tp>
      <tp>
        <v>20250304</v>
        <stp/>
        <stp>P</stp>
        <stp>0</stp>
        <stp>IR</stp>
        <stp>BNDINV0100</stp>
        <stp>외국인 순매도종목포함잔고 전체</stp>
        <stp>45720</stp>
        <stp>fiil=true,disp=date,DtFmt=1</stp>
        <tr r="M41" s="2"/>
      </tp>
      <tp>
        <v>5540.69</v>
        <stp/>
        <stp>P</stp>
        <stp>0</stp>
        <stp>FRN</stp>
        <stp>STX:SX5E</stp>
        <stp>현재가</stp>
        <stp>45719</stp>
        <stp>fill=true</stp>
        <tr r="K27" s="1"/>
      </tp>
      <tp>
        <v>1442.85</v>
        <stp/>
        <stp>P</stp>
        <stp>0</stp>
        <stp>FX</stp>
        <stp>USDSP_AMBC</stp>
        <stp>중간값</stp>
        <stp>20250227</stp>
        <stp>fill=true</stp>
        <tr r="S22" s="1"/>
        <tr r="S21" s="1"/>
      </tp>
      <tp>
        <v>337.31</v>
        <stp/>
        <stp>P</stp>
        <stp>0</stp>
        <stp>FUT</stp>
        <stp>C01</stp>
        <stp>이론가</stp>
        <stp>45721</stp>
        <stp/>
        <tr r="L40" s="1"/>
      </tp>
      <tp>
        <v>-5229</v>
        <stp/>
        <stp>P</stp>
        <stp>0</stp>
        <stp>IDX</stp>
        <stp>801</stp>
        <stp>투신순매수금액</stp>
        <stp>45721</stp>
        <stp/>
        <tr r="P52" s="2"/>
      </tp>
      <tp>
        <v>97649</v>
        <stp/>
        <stp>P</stp>
        <stp>0</stp>
        <stp>IDX</stp>
        <stp>001</stp>
        <stp>투신순매수금액</stp>
        <stp>45721</stp>
        <stp/>
        <tr r="O52" s="2"/>
      </tp>
      <tp>
        <v>700</v>
        <stp/>
        <stp>P</stp>
        <stp>0</stp>
        <stp>FUT</stp>
        <stp>C65</stp>
        <stp>투신순매수수량</stp>
        <stp>45721</stp>
        <stp/>
        <tr r="M52" s="2"/>
      </tp>
      <tp>
        <v>865</v>
        <stp/>
        <stp>P</stp>
        <stp>0</stp>
        <stp>FUT</stp>
        <stp>C67</stp>
        <stp>투신순매수수량</stp>
        <stp>45721</stp>
        <stp/>
        <tr r="N52" s="2"/>
      </tp>
      <tp>
        <v>3766</v>
        <stp/>
        <stp>P</stp>
        <stp>0</stp>
        <stp>FUT</stp>
        <stp>C01</stp>
        <stp>투신순매수수량</stp>
        <stp>45721</stp>
        <stp/>
        <tr r="Q52" s="2"/>
      </tp>
      <tp>
        <v>2.71</v>
        <stp/>
        <stp>P</stp>
        <stp>0</stp>
        <stp>IR</stp>
        <stp>CALLALLX01</stp>
        <stp>체결이율</stp>
        <stp/>
        <stp/>
        <tr r="C22" s="1"/>
      </tp>
      <tp>
        <v>-1922</v>
        <stp/>
        <stp>P</stp>
        <stp>0</stp>
        <stp>FUT</stp>
        <stp>C65</stp>
        <stp>은행순매수수량</stp>
        <stp>45721</stp>
        <stp/>
        <tr r="M53" s="2"/>
      </tp>
      <tp>
        <v>2565</v>
        <stp/>
        <stp>P</stp>
        <stp>0</stp>
        <stp>FUT</stp>
        <stp>C67</stp>
        <stp>은행순매수수량</stp>
        <stp>45721</stp>
        <stp/>
        <tr r="N53" s="2"/>
      </tp>
      <tp>
        <v>110</v>
        <stp/>
        <stp>P</stp>
        <stp>0</stp>
        <stp>FUT</stp>
        <stp>C01</stp>
        <stp>은행순매수수량</stp>
        <stp>45721</stp>
        <stp/>
        <tr r="Q53" s="2"/>
      </tp>
      <tp>
        <v>3412</v>
        <stp/>
        <stp>P</stp>
        <stp>0</stp>
        <stp>IDX</stp>
        <stp>001</stp>
        <stp>은행순매수금액</stp>
        <stp>45721</stp>
        <stp/>
        <tr r="O53" s="2"/>
      </tp>
      <tp>
        <v>1271</v>
        <stp/>
        <stp>P</stp>
        <stp>0</stp>
        <stp>IDX</stp>
        <stp>801</stp>
        <stp>은행순매수금액</stp>
        <stp>45721</stp>
        <stp/>
        <tr r="P53" s="2"/>
      </tp>
      <tp>
        <v>3316.93</v>
        <stp/>
        <stp>P</stp>
        <stp>0</stp>
        <stp>FRN</stp>
        <stp>SHS:000001</stp>
        <stp>현재가</stp>
        <stp>45719</stp>
        <stp>fill=true</stp>
        <tr r="K24" s="1"/>
      </tp>
      <tp>
        <v>9047</v>
        <stp/>
        <stp>P</stp>
        <stp>0</stp>
        <stp>IR</stp>
        <stp>CALLALLX01</stp>
        <stp>합계금액</stp>
        <stp>45721</stp>
        <stp/>
        <tr r="K44" s="1"/>
      </tp>
      <tp>
        <v>21097</v>
        <stp/>
        <stp>P</stp>
        <stp>0</stp>
        <stp>FUT</stp>
        <stp>C65</stp>
        <stp>외국인합순매수수량</stp>
        <stp>45721</stp>
        <stp/>
        <tr r="M50" s="2"/>
      </tp>
      <tp>
        <v>2.605</v>
        <stp/>
        <stp>P</stp>
        <stp>0</stp>
        <stp>BND</stp>
        <stp>KR103502GE97</stp>
        <stp>장내국채-매도수익률1</stp>
        <stp/>
        <stp/>
        <tr r="AN9" s="2"/>
      </tp>
      <tp>
        <v>2.6739999999999999</v>
        <stp/>
        <stp>P</stp>
        <stp>0</stp>
        <stp>BND</stp>
        <stp>KR103503GE96</stp>
        <stp>장내국채-매도수익률1</stp>
        <stp/>
        <stp/>
        <tr r="AN4" s="2"/>
      </tp>
      <tp>
        <v>-237</v>
        <stp/>
        <stp>P</stp>
        <stp>0</stp>
        <stp>FUT</stp>
        <stp>C67</stp>
        <stp>외국인합순매수수량</stp>
        <stp>45721</stp>
        <stp/>
        <tr r="N50" s="2"/>
      </tp>
      <tp>
        <v>2532.7800000000002</v>
        <stp/>
        <stp>P</stp>
        <stp>0</stp>
        <stp>IDX</stp>
        <stp>001</stp>
        <stp>현재가</stp>
        <stp>45719</stp>
        <stp>fill=true</stp>
        <tr r="K21" s="1"/>
      </tp>
      <tp>
        <v>2.7719999999999998</v>
        <stp/>
        <stp>P</stp>
        <stp>0</stp>
        <stp>BND</stp>
        <stp>KR103502GEC4</stp>
        <stp>장내국채-매도수익률1</stp>
        <stp/>
        <stp/>
        <tr r="AN7" s="2"/>
      </tp>
      <tp>
        <v>2.5630000000000002</v>
        <stp/>
        <stp>P</stp>
        <stp>0</stp>
        <stp>BND</stp>
        <stp>KR103501GEC6</stp>
        <stp>장내국채-매도수익률1</stp>
        <stp/>
        <stp/>
        <tr r="AN5" s="2"/>
      </tp>
      <tp>
        <v>2.7029999999999998</v>
        <stp/>
        <stp>P</stp>
        <stp>0</stp>
        <stp>BND</stp>
        <stp>KR103504GE95</stp>
        <stp>장내국채-매도수익률1</stp>
        <stp/>
        <stp/>
        <tr r="AN8" s="2"/>
      </tp>
      <tp>
        <v>0.41499999999999998</v>
        <stp/>
        <stp>P</stp>
        <stp>0</stp>
        <stp>BND</stp>
        <stp>KR103503GE62</stp>
        <stp>장내국채-매도수익률1</stp>
        <stp/>
        <stp/>
        <tr r="AN10" s="2"/>
      </tp>
      <tp>
        <v>-210222</v>
        <stp/>
        <stp>P</stp>
        <stp>0</stp>
        <stp>IDX</stp>
        <stp>001</stp>
        <stp>증권/선물순매수금액</stp>
        <stp>45721</stp>
        <stp/>
        <tr r="O56" s="2"/>
      </tp>
      <tp>
        <v>1835</v>
        <stp/>
        <stp>P</stp>
        <stp>0</stp>
        <stp>IDX</stp>
        <stp>801</stp>
        <stp>증권/선물순매수금액</stp>
        <stp>45721</stp>
        <stp/>
        <tr r="P56" s="2"/>
      </tp>
      <tp>
        <v>-1842</v>
        <stp/>
        <stp>P</stp>
        <stp>0</stp>
        <stp>FUT</stp>
        <stp>C01</stp>
        <stp>외국인합순매수수량</stp>
        <stp>45721</stp>
        <stp/>
        <tr r="Q50" s="2"/>
      </tp>
      <tp>
        <v>23147.02</v>
        <stp/>
        <stp>P</stp>
        <stp>0</stp>
        <stp>FRN</stp>
        <stp>XTR:DAX30</stp>
        <stp>현재가</stp>
        <stp>45719</stp>
        <stp>fill=true</stp>
        <tr r="K28" s="1"/>
      </tp>
      <tp>
        <v>25406</v>
        <stp/>
        <stp>P</stp>
        <stp>0</stp>
        <stp>IDX</stp>
        <stp>001</stp>
        <stp>보험순매수금액</stp>
        <stp>45721</stp>
        <stp/>
        <tr r="O54" s="2"/>
      </tp>
      <tp>
        <v>-1995</v>
        <stp/>
        <stp>P</stp>
        <stp>0</stp>
        <stp>IDX</stp>
        <stp>801</stp>
        <stp>보험순매수금액</stp>
        <stp>45721</stp>
        <stp/>
        <tr r="P54" s="2"/>
      </tp>
      <tp>
        <v>-1617</v>
        <stp/>
        <stp>P</stp>
        <stp>0</stp>
        <stp>FUT</stp>
        <stp>C65</stp>
        <stp>보험순매수수량</stp>
        <stp>45721</stp>
        <stp/>
        <tr r="M54" s="2"/>
      </tp>
      <tp>
        <v>124</v>
        <stp/>
        <stp>P</stp>
        <stp>0</stp>
        <stp>FUT</stp>
        <stp>C67</stp>
        <stp>보험순매수수량</stp>
        <stp>45721</stp>
        <stp/>
        <tr r="N54" s="2"/>
      </tp>
      <tp>
        <v>-455</v>
        <stp/>
        <stp>P</stp>
        <stp>0</stp>
        <stp>FUT</stp>
        <stp>C01</stp>
        <stp>보험순매수수량</stp>
        <stp>45721</stp>
        <stp/>
        <tr r="Q54" s="2"/>
      </tp>
      <tp>
        <v>743.96</v>
        <stp/>
        <stp>P</stp>
        <stp>0</stp>
        <stp>IDX</stp>
        <stp>801</stp>
        <stp>현재가</stp>
        <stp>45719</stp>
        <stp>fill=true</stp>
        <tr r="K22" s="1"/>
      </tp>
      <tp>
        <v>-784</v>
        <stp/>
        <stp>P</stp>
        <stp>0</stp>
        <stp>FUT</stp>
        <stp>C01</stp>
        <stp>증권/선물순매수수량</stp>
        <stp>45721</stp>
        <stp/>
        <tr r="Q56" s="2"/>
      </tp>
      <tp>
        <v>2.6749999999999998</v>
        <stp/>
        <stp>P</stp>
        <stp>0</stp>
        <stp>BND</stp>
        <stp>KR103501GE98</stp>
        <stp>장내국채-매도수익률1</stp>
        <stp/>
        <stp/>
        <tr r="AN6" s="2"/>
      </tp>
      <tp>
        <v>2.7919999999999998</v>
        <stp/>
        <stp>P</stp>
        <stp>0</stp>
        <stp>ECO</stp>
        <stp>700504</stp>
        <stp>현재가</stp>
        <stp>45714</stp>
        <stp/>
        <tr r="AD19" s="2"/>
      </tp>
      <tp>
        <v>-17809</v>
        <stp/>
        <stp>P</stp>
        <stp>0</stp>
        <stp>FUT</stp>
        <stp>C65</stp>
        <stp>증권/선물순매수수량</stp>
        <stp>45721</stp>
        <stp/>
        <tr r="M56" s="2"/>
      </tp>
      <tp>
        <v>-4659</v>
        <stp/>
        <stp>P</stp>
        <stp>0</stp>
        <stp>FUT</stp>
        <stp>C67</stp>
        <stp>증권/선물순매수수량</stp>
        <stp>45721</stp>
        <stp/>
        <tr r="N56" s="2"/>
      </tp>
      <tp t="s">
        <v>콜1일</v>
        <stp/>
        <stp>P</stp>
        <stp>0</stp>
        <stp>IR</stp>
        <stp>CALLALLX01</stp>
        <stp>체결기물명</stp>
        <stp/>
        <stp/>
        <tr r="I44" s="1"/>
      </tp>
      <tp>
        <v>-224241</v>
        <stp/>
        <stp>P</stp>
        <stp>0</stp>
        <stp>IDX</stp>
        <stp>001</stp>
        <stp>외국인합순매수금액</stp>
        <stp>45721</stp>
        <stp/>
        <tr r="O50" s="2"/>
      </tp>
      <tp>
        <v>64567</v>
        <stp/>
        <stp>P</stp>
        <stp>0</stp>
        <stp>IDX</stp>
        <stp>801</stp>
        <stp>외국인합순매수금액</stp>
        <stp>45721</stp>
        <stp/>
        <tr r="P50" s="2"/>
      </tp>
      <tp>
        <v>-2</v>
        <stp/>
        <stp>P</stp>
        <stp>0</stp>
        <stp>FUT</stp>
        <stp>C65</stp>
        <stp>개인순매수수량</stp>
        <stp>45721</stp>
        <stp/>
        <tr r="M55" s="2"/>
      </tp>
      <tp>
        <v>261</v>
        <stp/>
        <stp>P</stp>
        <stp>0</stp>
        <stp>FUT</stp>
        <stp>C67</stp>
        <stp>개인순매수수량</stp>
        <stp>45721</stp>
        <stp/>
        <tr r="N55" s="2"/>
      </tp>
      <tp>
        <v>-861</v>
        <stp/>
        <stp>P</stp>
        <stp>0</stp>
        <stp>FUT</stp>
        <stp>C01</stp>
        <stp>개인순매수수량</stp>
        <stp>45721</stp>
        <stp/>
        <tr r="Q55" s="2"/>
      </tp>
      <tp>
        <v>-61771</v>
        <stp/>
        <stp>P</stp>
        <stp>0</stp>
        <stp>IDX</stp>
        <stp>801</stp>
        <stp>개인순매수금액</stp>
        <stp>45721</stp>
        <stp/>
        <tr r="P55" s="2"/>
      </tp>
      <tp>
        <v>92115</v>
        <stp/>
        <stp>P</stp>
        <stp>0</stp>
        <stp>IDX</stp>
        <stp>001</stp>
        <stp>개인순매수금액</stp>
        <stp>45721</stp>
        <stp/>
        <tr r="O55" s="2"/>
      </tp>
      <tp>
        <v>3.07</v>
        <stp/>
        <stp>P</stp>
        <stp>0</stp>
        <stp>IR</stp>
        <stp>BONDKSDCAL09</stp>
        <stp>대표수익률</stp>
        <stp>45714</stp>
        <stp/>
        <tr r="AD17" s="2"/>
      </tp>
      <tp>
        <v>2.84</v>
        <stp/>
        <stp>P</stp>
        <stp>0</stp>
        <stp>IR</stp>
        <stp>BONDKSDCAL08</stp>
        <stp>대표수익률</stp>
        <stp>45714</stp>
        <stp/>
        <tr r="AD16" s="2"/>
      </tp>
      <tp>
        <v>1463.2</v>
        <stp/>
        <stp>P</stp>
        <stp>0</stp>
        <stp>FX</stp>
        <stp>USDSP_AMBC</stp>
        <stp>중간값</stp>
        <stp>45719</stp>
        <stp>fill=true</stp>
        <tr r="R21" s="1"/>
        <tr r="R22" s="1"/>
      </tp>
      <tp>
        <v>20250226</v>
        <stp/>
        <stp>P</stp>
        <stp>0</stp>
        <stp>IR</stp>
        <stp>BONDKSDCAL11</stp>
        <stp>대표수익률</stp>
        <stp>45714</stp>
        <stp>fill=true,disp=date,DtFmt=1</stp>
        <tr r="AE4" s="2"/>
      </tp>
      <tp>
        <v>2.7</v>
        <stp/>
        <stp>P</stp>
        <stp>0</stp>
        <stp>IR</stp>
        <stp>BONDAVG01</stp>
        <stp>10년이하(당일)</stp>
        <stp>45719</stp>
        <stp>fill=true</stp>
        <tr r="N22" s="1"/>
        <tr r="N21" s="1"/>
      </tp>
      <tp>
        <v>1477813000</v>
        <stp/>
        <stp>P</stp>
        <stp>0</stp>
        <stp>IR</stp>
        <stp>BNDINV0104</stp>
        <stp>외국인 순매도종목포함잔고 전체</stp>
        <stp>45720</stp>
        <stp/>
        <tr r="M46" s="2"/>
      </tp>
      <tp>
        <v>23606263340</v>
        <stp/>
        <stp>P</stp>
        <stp>0</stp>
        <stp>IR</stp>
        <stp>BNDINV0101</stp>
        <stp>외국인 순매도종목포함잔고 전체</stp>
        <stp>45720</stp>
        <stp/>
        <tr r="M45" s="2"/>
      </tp>
      <tp>
        <v>26174084970</v>
        <stp/>
        <stp>P</stp>
        <stp>0</stp>
        <stp>IR</stp>
        <stp>BNDINV0100</stp>
        <stp>외국인 순매도종목포함잔고 전체</stp>
        <stp>45720</stp>
        <stp/>
        <tr r="M44" s="2"/>
      </tp>
      <tp>
        <v>5849.72</v>
        <stp/>
        <stp>P</stp>
        <stp>0</stp>
        <stp>FRN</stp>
        <stp>SPI:SPX</stp>
        <stp>현재가</stp>
        <stp>45719</stp>
        <stp>fill=true</stp>
        <tr r="K23" s="1"/>
      </tp>
      <tp>
        <v>43191.24</v>
        <stp/>
        <stp>P</stp>
        <stp>0</stp>
        <stp>FRN</stp>
        <stp>DJI:DJI</stp>
        <stp>현재가</stp>
        <stp>45719</stp>
        <stp>fill=true</stp>
        <tr r="K19" s="1"/>
      </tp>
      <tp>
        <v>23006.27</v>
        <stp/>
        <stp>P</stp>
        <stp>0</stp>
        <stp>FRN</stp>
        <stp>HSI:HSI</stp>
        <stp>현재가</stp>
        <stp>45719</stp>
        <stp>fill=true</stp>
        <tr r="K2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data!$H$3" fmlaRange="data!$H$4:$H$6" noThreeD="1" sel="2" val="0"/>
</file>

<file path=xl/ctrlProps/ctrlProp2.xml><?xml version="1.0" encoding="utf-8"?>
<formControlPr xmlns="http://schemas.microsoft.com/office/spreadsheetml/2009/9/main" objectType="Drop" dropStyle="combo" dx="22" fmlaLink="data!$H$8" fmlaRange="data!$H$9:$H$14" noThreeD="1" sel="2" val="0"/>
</file>

<file path=xl/ctrlProps/ctrlProp3.xml><?xml version="1.0" encoding="utf-8"?>
<formControlPr xmlns="http://schemas.microsoft.com/office/spreadsheetml/2009/9/main" objectType="Scroll" dx="22" fmlaLink="data!$S$49" max="100" page="5" val="0"/>
</file>

<file path=xl/ctrlProps/ctrlProp4.xml><?xml version="1.0" encoding="utf-8"?>
<formControlPr xmlns="http://schemas.microsoft.com/office/spreadsheetml/2009/9/main" objectType="Drop" dropStyle="combo" dx="22" fmlaLink="data!$B$48" fmlaRange="data!$B$4:$B$43" noThreeD="1" sel="1" val="0"/>
</file>

<file path=xl/ctrlProps/ctrlProp5.xml><?xml version="1.0" encoding="utf-8"?>
<formControlPr xmlns="http://schemas.microsoft.com/office/spreadsheetml/2009/9/main" objectType="Drop" dropStyle="combo" dx="22" fmlaLink="data!$H$16" fmlaRange="data!$H$17:$H$21" noThreeD="1" sel="4" val="0"/>
</file>

<file path=xl/ctrlProps/ctrlProp6.xml><?xml version="1.0" encoding="utf-8"?>
<formControlPr xmlns="http://schemas.microsoft.com/office/spreadsheetml/2009/9/main" objectType="Drop" dropStyle="combo" dx="22" fmlaLink="data!$B$49" fmlaRange="data!$B$4:$B$43" noThreeD="1" sel="2" val="0"/>
</file>

<file path=xl/ctrlProps/ctrlProp7.xml><?xml version="1.0" encoding="utf-8"?>
<formControlPr xmlns="http://schemas.microsoft.com/office/spreadsheetml/2009/9/main" objectType="Drop" dropStyle="combo" dx="22" fmlaLink="data!$B$50" fmlaRange="data!$B$4:$B$43" noThreeD="1" sel="6" val="0"/>
</file>

<file path=xl/ctrlProps/ctrlProp8.xml><?xml version="1.0" encoding="utf-8"?>
<formControlPr xmlns="http://schemas.microsoft.com/office/spreadsheetml/2009/9/main" objectType="Drop" dropStyle="combo" dx="22" fmlaLink="data!$B$51" fmlaRange="data!$B$4:$B$43" noThreeD="1" sel="7" val="0"/>
</file>

<file path=xl/ctrlProps/ctrlProp9.xml><?xml version="1.0" encoding="utf-8"?>
<formControlPr xmlns="http://schemas.microsoft.com/office/spreadsheetml/2009/9/main" objectType="Drop" dropStyle="combo" dx="22" fmlaLink="data!$B$52" fmlaRange="data!$B$4:$B$43" noThreeD="1" sel="8" val="0"/>
</file>

<file path=xl/ctrlProps/ctrlProp10.xml><?xml version="1.0" encoding="utf-8"?>
<formControlPr xmlns="http://schemas.microsoft.com/office/spreadsheetml/2009/9/main" objectType="Drop" dropStyle="combo" dx="22" fmlaLink="data!$B$53" fmlaRange="data!$B$4:$B$43" noThreeD="1" sel="9" val="8"/>
</file>

<file path=xl/ctrlProps/ctrlProp11.xml><?xml version="1.0" encoding="utf-8"?>
<formControlPr xmlns="http://schemas.microsoft.com/office/spreadsheetml/2009/9/main" objectType="Drop" dropStyle="combo" dx="22" fmlaLink="data!$B$54" fmlaRange="data!$B$4:$B$43" noThreeD="1" sel="11" val="9"/>
</file>

<file path=xl/ctrlProps/ctrlProp12.xml><?xml version="1.0" encoding="utf-8"?>
<formControlPr xmlns="http://schemas.microsoft.com/office/spreadsheetml/2009/9/main" objectType="Drop" dropStyle="combo" dx="22" fmlaLink="data!$B$55" fmlaRange="data!$B$4:$B$43" noThreeD="1" sel="13" val="10"/>
</file>

<file path=xl/ctrlProps/ctrlProp13.xml><?xml version="1.0" encoding="utf-8"?>
<formControlPr xmlns="http://schemas.microsoft.com/office/spreadsheetml/2009/9/main" objectType="Drop" dropStyle="combo" dx="22" fmlaLink="data!$B$56" fmlaRange="data!$B$4:$B$43" noThreeD="1" sel="14" val="10"/>
</file>

<file path=xl/ctrlProps/ctrlProp14.xml><?xml version="1.0" encoding="utf-8"?>
<formControlPr xmlns="http://schemas.microsoft.com/office/spreadsheetml/2009/9/main" objectType="Drop" dropStyle="combo" dx="22" fmlaLink="data!$B$57" fmlaRange="data!$B$4:$B$43" noThreeD="1" sel="15" val="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5</xdr:row>
          <xdr:rowOff>28576</xdr:rowOff>
        </xdr:from>
        <xdr:to>
          <xdr:col>5</xdr:col>
          <xdr:colOff>830100</xdr:colOff>
          <xdr:row>5</xdr:row>
          <xdr:rowOff>188660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</xdr:row>
          <xdr:rowOff>19050</xdr:rowOff>
        </xdr:from>
        <xdr:to>
          <xdr:col>4</xdr:col>
          <xdr:colOff>762000</xdr:colOff>
          <xdr:row>4</xdr:row>
          <xdr:rowOff>200025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466724</xdr:colOff>
          <xdr:row>36</xdr:row>
          <xdr:rowOff>47625</xdr:rowOff>
        </xdr:from>
        <xdr:to>
          <xdr:col>6</xdr:col>
          <xdr:colOff>646724</xdr:colOff>
          <xdr:row>45</xdr:row>
          <xdr:rowOff>166050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28576</xdr:rowOff>
        </xdr:from>
        <xdr:to>
          <xdr:col>9</xdr:col>
          <xdr:colOff>375150</xdr:colOff>
          <xdr:row>18</xdr:row>
          <xdr:rowOff>208576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323851</xdr:colOff>
          <xdr:row>16</xdr:row>
          <xdr:rowOff>219074</xdr:rowOff>
        </xdr:from>
        <xdr:to>
          <xdr:col>14</xdr:col>
          <xdr:colOff>18226</xdr:colOff>
          <xdr:row>17</xdr:row>
          <xdr:rowOff>179999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12F165F-427E-155E-14E6-73CC2FF87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19</xdr:row>
          <xdr:rowOff>28575</xdr:rowOff>
        </xdr:from>
        <xdr:to>
          <xdr:col>9</xdr:col>
          <xdr:colOff>375150</xdr:colOff>
          <xdr:row>19</xdr:row>
          <xdr:rowOff>208575</xdr:rowOff>
        </xdr:to>
        <xdr:sp macro="" textlink="">
          <xdr:nvSpPr>
            <xdr:cNvPr id="2121" name="Drop Down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62E7F67F-6C43-4E19-CEC6-70D889D1F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</xdr:row>
          <xdr:rowOff>28575</xdr:rowOff>
        </xdr:from>
        <xdr:to>
          <xdr:col>9</xdr:col>
          <xdr:colOff>375150</xdr:colOff>
          <xdr:row>20</xdr:row>
          <xdr:rowOff>208575</xdr:rowOff>
        </xdr:to>
        <xdr:sp macro="" textlink="">
          <xdr:nvSpPr>
            <xdr:cNvPr id="2122" name="Drop Down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E25303D1-96B6-B399-227E-F8D612BF7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28575</xdr:rowOff>
        </xdr:from>
        <xdr:to>
          <xdr:col>9</xdr:col>
          <xdr:colOff>375150</xdr:colOff>
          <xdr:row>21</xdr:row>
          <xdr:rowOff>208575</xdr:rowOff>
        </xdr:to>
        <xdr:sp macro="" textlink="">
          <xdr:nvSpPr>
            <xdr:cNvPr id="2123" name="Drop Down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968691DD-EE88-C72C-9679-5C2996AF4C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22</xdr:row>
          <xdr:rowOff>28575</xdr:rowOff>
        </xdr:from>
        <xdr:to>
          <xdr:col>9</xdr:col>
          <xdr:colOff>375150</xdr:colOff>
          <xdr:row>22</xdr:row>
          <xdr:rowOff>208575</xdr:rowOff>
        </xdr:to>
        <xdr:sp macro="" textlink="">
          <xdr:nvSpPr>
            <xdr:cNvPr id="2124" name="Drop Down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415AABB9-D5B5-3BF5-4F6E-15F02A96EA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23</xdr:row>
          <xdr:rowOff>28575</xdr:rowOff>
        </xdr:from>
        <xdr:to>
          <xdr:col>9</xdr:col>
          <xdr:colOff>375150</xdr:colOff>
          <xdr:row>23</xdr:row>
          <xdr:rowOff>208575</xdr:rowOff>
        </xdr:to>
        <xdr:sp macro="" textlink="">
          <xdr:nvSpPr>
            <xdr:cNvPr id="2125" name="Drop Down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C13A1C51-CF8D-0E07-4D12-311B775E9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24</xdr:row>
          <xdr:rowOff>28575</xdr:rowOff>
        </xdr:from>
        <xdr:to>
          <xdr:col>9</xdr:col>
          <xdr:colOff>375150</xdr:colOff>
          <xdr:row>24</xdr:row>
          <xdr:rowOff>208575</xdr:rowOff>
        </xdr:to>
        <xdr:sp macro="" textlink="">
          <xdr:nvSpPr>
            <xdr:cNvPr id="2126" name="Drop Down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44CFD3E9-F605-DFB9-6656-015BE65DC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25</xdr:row>
          <xdr:rowOff>28575</xdr:rowOff>
        </xdr:from>
        <xdr:to>
          <xdr:col>9</xdr:col>
          <xdr:colOff>375150</xdr:colOff>
          <xdr:row>25</xdr:row>
          <xdr:rowOff>208575</xdr:rowOff>
        </xdr:to>
        <xdr:sp macro="" textlink="">
          <xdr:nvSpPr>
            <xdr:cNvPr id="2127" name="Drop Down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C977B25F-2039-325C-0380-83DE8373D6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26</xdr:row>
          <xdr:rowOff>28575</xdr:rowOff>
        </xdr:from>
        <xdr:to>
          <xdr:col>9</xdr:col>
          <xdr:colOff>375150</xdr:colOff>
          <xdr:row>26</xdr:row>
          <xdr:rowOff>208575</xdr:rowOff>
        </xdr:to>
        <xdr:sp macro="" textlink="">
          <xdr:nvSpPr>
            <xdr:cNvPr id="2128" name="Drop Down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C9DA27A-BFAC-78B8-3262-425EB26B3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27</xdr:row>
          <xdr:rowOff>28575</xdr:rowOff>
        </xdr:from>
        <xdr:to>
          <xdr:col>9</xdr:col>
          <xdr:colOff>375150</xdr:colOff>
          <xdr:row>27</xdr:row>
          <xdr:rowOff>208575</xdr:rowOff>
        </xdr:to>
        <xdr:sp macro="" textlink="">
          <xdr:nvSpPr>
            <xdr:cNvPr id="2129" name="Drop Down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BCEC9932-0D85-1F4A-F32E-A54B9ABC81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59FF-C7C2-42D1-A25C-FBA8F812A1B8}">
  <dimension ref="A1:U50"/>
  <sheetViews>
    <sheetView showGridLines="0" showRowColHeaders="0" tabSelected="1" workbookViewId="0">
      <selection activeCell="U50" sqref="U50"/>
    </sheetView>
  </sheetViews>
  <sheetFormatPr defaultColWidth="0" defaultRowHeight="16.5" zeroHeight="1" x14ac:dyDescent="0.3"/>
  <cols>
    <col min="1" max="1" width="1.5" customWidth="1"/>
    <col min="2" max="2" width="12.25" customWidth="1"/>
    <col min="3" max="3" width="10.5" customWidth="1"/>
    <col min="4" max="4" width="9" customWidth="1"/>
    <col min="5" max="5" width="10.375" bestFit="1" customWidth="1"/>
    <col min="6" max="6" width="11.625" bestFit="1" customWidth="1"/>
    <col min="7" max="7" width="9" customWidth="1"/>
    <col min="8" max="8" width="2.125" customWidth="1"/>
    <col min="9" max="9" width="10.375" bestFit="1" customWidth="1"/>
    <col min="10" max="10" width="5.875" customWidth="1"/>
    <col min="11" max="11" width="10.625" customWidth="1"/>
    <col min="12" max="13" width="8.75" customWidth="1"/>
    <col min="14" max="14" width="10.625" customWidth="1"/>
    <col min="15" max="15" width="5.875" customWidth="1"/>
    <col min="16" max="16" width="2.375" customWidth="1"/>
    <col min="17" max="17" width="7.875" bestFit="1" customWidth="1"/>
    <col min="18" max="19" width="9" customWidth="1"/>
    <col min="20" max="20" width="7.875" bestFit="1" customWidth="1"/>
    <col min="21" max="21" width="1.75" customWidth="1"/>
    <col min="22" max="16384" width="9" hidden="1"/>
  </cols>
  <sheetData>
    <row r="1" spans="2:20" ht="6.75" customHeight="1" x14ac:dyDescent="0.3"/>
    <row r="2" spans="2:20" ht="33" customHeight="1" x14ac:dyDescent="0.3">
      <c r="B2" s="184" t="s">
        <v>366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</row>
    <row r="3" spans="2:20" ht="6.75" customHeight="1" thickBot="1" x14ac:dyDescent="0.35"/>
    <row r="4" spans="2:20" ht="18" thickBot="1" x14ac:dyDescent="0.35">
      <c r="B4" s="183">
        <f ca="1">TODAY()</f>
        <v>45721</v>
      </c>
    </row>
    <row r="5" spans="2:20" ht="17.25" thickBot="1" x14ac:dyDescent="0.35">
      <c r="F5" s="164">
        <f ca="1">data!$AD$3</f>
        <v>45714</v>
      </c>
    </row>
    <row r="6" spans="2:20" ht="17.25" thickBot="1" x14ac:dyDescent="0.35">
      <c r="B6" s="165">
        <f ca="1">$B$4</f>
        <v>45721</v>
      </c>
      <c r="C6" s="158" t="s">
        <v>2</v>
      </c>
      <c r="D6" s="139" t="s">
        <v>137</v>
      </c>
      <c r="E6" s="158" t="s">
        <v>213</v>
      </c>
      <c r="F6" s="139"/>
      <c r="I6" s="165">
        <f ca="1">TODAY()</f>
        <v>45721</v>
      </c>
      <c r="J6" s="136" t="s">
        <v>352</v>
      </c>
      <c r="K6" s="137"/>
      <c r="L6" s="138"/>
      <c r="M6" s="136" t="s">
        <v>353</v>
      </c>
      <c r="N6" s="137"/>
      <c r="O6" s="138"/>
    </row>
    <row r="7" spans="2:20" x14ac:dyDescent="0.3">
      <c r="B7" s="54" t="s">
        <v>154</v>
      </c>
      <c r="C7" s="34" cm="1">
        <f t="array" aca="1" ref="C7" ca="1">IF( $B$6=TODAY(), IF( data!X4=TRUE, _xll.IMDP("IR", data!$Q4, "수익률"), _xll.IMDP("BND", data!$M4, data!$X4)), _xll.IMDP("IR", data!$O4, data!$S4, $B$6) )</f>
        <v>2.6739999999999999</v>
      </c>
      <c r="D7" s="35" t="str">
        <f ca="1">IF( $B$4=TODAY(), IF( data!X4=TRUE, "한화", data!Y4), "민평" )</f>
        <v>장외</v>
      </c>
      <c r="E7" s="149">
        <f ca="1">IFERROR( (C7-F7)*100, "")</f>
        <v>1.9000000000000128</v>
      </c>
      <c r="F7" s="150">
        <f ca="1">data!AD4</f>
        <v>2.6549999999999998</v>
      </c>
      <c r="I7" s="61" t="s">
        <v>154</v>
      </c>
      <c r="J7" s="145">
        <f>IF( data!AM4=0, "", data!AM4)</f>
        <v>60</v>
      </c>
      <c r="K7" s="151">
        <f>IF( data!AN4=0, "", data!AN4)</f>
        <v>2.6739999999999999</v>
      </c>
      <c r="L7" s="152">
        <f>IF( data!AO4=0, "", data!AO4)</f>
        <v>10170</v>
      </c>
      <c r="M7" s="153">
        <f>IF( data!AP4=0, "", data!AP4)</f>
        <v>10169.5</v>
      </c>
      <c r="N7" s="151">
        <f>IF( data!AQ4=0, "", data!AQ4)</f>
        <v>2.6779999999999999</v>
      </c>
      <c r="O7" s="141">
        <f>IF( data!AR4=0, "", data!AR4)</f>
        <v>50</v>
      </c>
    </row>
    <row r="8" spans="2:20" x14ac:dyDescent="0.3">
      <c r="B8" s="55" t="s">
        <v>152</v>
      </c>
      <c r="C8" s="36" cm="1">
        <f t="array" aca="1" ref="C8" ca="1">IF( $B$6=TODAY(), IF( data!X5=TRUE, _xll.IMDP("IR", data!$Q5, "수익률"), _xll.IMDP("BND", data!$M5, data!$X5)), _xll.IMDP("IR", data!$O5, data!$S5, $B$6) )</f>
        <v>2.5750000000000002</v>
      </c>
      <c r="D8" s="37" t="str">
        <f ca="1">IF( $B$4=TODAY(), IF( data!X5=TRUE, "한화", data!Y5), "민평" )</f>
        <v>장외</v>
      </c>
      <c r="E8" s="46">
        <f t="shared" ref="E8:E22" ca="1" si="0">IFERROR( (C8-F8)*100, "")</f>
        <v>-2.0000000000000018</v>
      </c>
      <c r="F8" s="47">
        <f ca="1">data!AD5</f>
        <v>2.5950000000000002</v>
      </c>
      <c r="I8" s="62" t="s">
        <v>152</v>
      </c>
      <c r="J8" s="78">
        <f>IF( data!AM5=0, "", data!AM5)</f>
        <v>50</v>
      </c>
      <c r="K8" s="79">
        <f>IF( data!AN5=0, "", data!AN5)</f>
        <v>2.5630000000000002</v>
      </c>
      <c r="L8" s="80">
        <f>IF( data!AO5=0, "", data!AO5)</f>
        <v>10150</v>
      </c>
      <c r="M8" s="84">
        <f>IF( data!AP5=0, "", data!AP5)</f>
        <v>10149.5</v>
      </c>
      <c r="N8" s="79">
        <f>IF( data!AQ5=0, "", data!AQ5)</f>
        <v>2.5649999999999999</v>
      </c>
      <c r="O8" s="85">
        <f>IF( data!AR5=0, "", data!AR5)</f>
        <v>80</v>
      </c>
    </row>
    <row r="9" spans="2:20" x14ac:dyDescent="0.3">
      <c r="B9" s="55" t="s">
        <v>150</v>
      </c>
      <c r="C9" s="36" cm="1">
        <f t="array" aca="1" ref="C9" ca="1">IF( $B$6=TODAY(), IF( data!X6=TRUE, _xll.IMDP("IR", data!$Q6, "수익률"), _xll.IMDP("BND", data!$M6, data!$X6)), _xll.IMDP("IR", data!$O6, data!$S6, $B$6) )</f>
        <v>2.6920000000000002</v>
      </c>
      <c r="D9" s="37" t="str">
        <f ca="1">IF( $B$4=TODAY(), IF( data!X6=TRUE, "한화", data!Y6), "민평" )</f>
        <v>장외</v>
      </c>
      <c r="E9" s="46">
        <f t="shared" ca="1" si="0"/>
        <v>1.2000000000000011</v>
      </c>
      <c r="F9" s="47">
        <f ca="1">data!AD6</f>
        <v>2.68</v>
      </c>
      <c r="I9" s="62" t="s">
        <v>150</v>
      </c>
      <c r="J9" s="78">
        <f>IF( data!AM6=0, "", data!AM6)</f>
        <v>10</v>
      </c>
      <c r="K9" s="79">
        <f>IF( data!AN6=0, "", data!AN6)</f>
        <v>2.6749999999999998</v>
      </c>
      <c r="L9" s="80">
        <f>IF( data!AO6=0, "", data!AO6)</f>
        <v>10283.5</v>
      </c>
      <c r="M9" s="84">
        <f>IF( data!AP6=0, "", data!AP6)</f>
        <v>10282.5</v>
      </c>
      <c r="N9" s="79">
        <f>IF( data!AQ6=0, "", data!AQ6)</f>
        <v>2.6779999999999999</v>
      </c>
      <c r="O9" s="85">
        <f>IF( data!AR6=0, "", data!AR6)</f>
        <v>100</v>
      </c>
    </row>
    <row r="10" spans="2:20" x14ac:dyDescent="0.3">
      <c r="B10" s="55" t="s">
        <v>148</v>
      </c>
      <c r="C10" s="36" cm="1">
        <f t="array" aca="1" ref="C10" ca="1">IF( $B$6=TODAY(), IF( data!X7=TRUE, _xll.IMDP("IR", data!$Q7, "수익률"), _xll.IMDP("BND", data!$M7, data!$X7)), _xll.IMDP("IR", data!$O7, data!$S7, $B$6) )</f>
        <v>2.69</v>
      </c>
      <c r="D10" s="37" t="str">
        <f ca="1">IF( $B$4=TODAY(), IF( data!X7=TRUE, "한화", data!Y7), "민평" )</f>
        <v>장외</v>
      </c>
      <c r="E10" s="46">
        <f t="shared" ca="1" si="0"/>
        <v>-6.3000000000000167</v>
      </c>
      <c r="F10" s="47">
        <f ca="1">data!AD7</f>
        <v>2.7530000000000001</v>
      </c>
      <c r="I10" s="62" t="s">
        <v>148</v>
      </c>
      <c r="J10" s="78">
        <f>IF( data!AM7=0, "", data!AM7)</f>
        <v>30</v>
      </c>
      <c r="K10" s="79">
        <f>IF( data!AN7=0, "", data!AN7)</f>
        <v>2.7719999999999998</v>
      </c>
      <c r="L10" s="80">
        <f>IF( data!AO7=0, "", data!AO7)</f>
        <v>10264</v>
      </c>
      <c r="M10" s="84">
        <f>IF( data!AP7=0, "", data!AP7)</f>
        <v>10262</v>
      </c>
      <c r="N10" s="79">
        <f>IF( data!AQ7=0, "", data!AQ7)</f>
        <v>2.774</v>
      </c>
      <c r="O10" s="85">
        <f>IF( data!AR7=0, "", data!AR7)</f>
        <v>100</v>
      </c>
    </row>
    <row r="11" spans="2:20" x14ac:dyDescent="0.3">
      <c r="B11" s="55" t="s">
        <v>146</v>
      </c>
      <c r="C11" s="36" cm="1">
        <f t="array" aca="1" ref="C11" ca="1">IF( $B$6=TODAY(), IF( data!X8=TRUE, _xll.IMDP("IR", data!$Q8, "수익률"), _xll.IMDP("BND", data!$M8, data!$X8)), _xll.IMDP("IR", data!$O8, data!$S8, $B$6) )</f>
        <v>2.7029999999999998</v>
      </c>
      <c r="D11" s="37" t="str">
        <f ca="1">IF( $B$4=TODAY(), IF( data!X8=TRUE, "한화", data!Y8), "민평" )</f>
        <v>장외</v>
      </c>
      <c r="E11" s="46">
        <f t="shared" ca="1" si="0"/>
        <v>0.80000000000000071</v>
      </c>
      <c r="F11" s="47">
        <f ca="1">data!AD8</f>
        <v>2.6949999999999998</v>
      </c>
      <c r="I11" s="62" t="s">
        <v>146</v>
      </c>
      <c r="J11" s="78">
        <f>IF( data!AM8=0, "", data!AM8)</f>
        <v>10</v>
      </c>
      <c r="K11" s="79">
        <f>IF( data!AN8=0, "", data!AN8)</f>
        <v>2.7029999999999998</v>
      </c>
      <c r="L11" s="80">
        <f>IF( data!AO8=0, "", data!AO8)</f>
        <v>10399</v>
      </c>
      <c r="M11" s="84">
        <f>IF( data!AP8=0, "", data!AP8)</f>
        <v>10391</v>
      </c>
      <c r="N11" s="79">
        <f>IF( data!AQ8=0, "", data!AQ8)</f>
        <v>2.7080000000000002</v>
      </c>
      <c r="O11" s="85">
        <f>IF( data!AR8=0, "", data!AR8)</f>
        <v>20</v>
      </c>
    </row>
    <row r="12" spans="2:20" x14ac:dyDescent="0.3">
      <c r="B12" s="55" t="s">
        <v>144</v>
      </c>
      <c r="C12" s="36" cm="1">
        <f t="array" aca="1" ref="C12" ca="1">IF( $B$6=TODAY(), IF( data!X9=TRUE, _xll.IMDP("IR", data!$Q9, "수익률"), _xll.IMDP("BND", data!$M9, data!$X9)), _xll.IMDP("IR", data!$O9, data!$S9, $B$6) )</f>
        <v>2.6120000000000001</v>
      </c>
      <c r="D12" s="37" t="str">
        <f ca="1">IF( $B$4=TODAY(), IF( data!X9=TRUE, "한화", data!Y9), "민평" )</f>
        <v>장외</v>
      </c>
      <c r="E12" s="46">
        <f t="shared" ca="1" si="0"/>
        <v>1.6999999999999904</v>
      </c>
      <c r="F12" s="47">
        <f ca="1">data!AD9</f>
        <v>2.5950000000000002</v>
      </c>
      <c r="I12" s="62" t="s">
        <v>144</v>
      </c>
      <c r="J12" s="78">
        <f>IF( data!AM9=0, "", data!AM9)</f>
        <v>10</v>
      </c>
      <c r="K12" s="79">
        <f>IF( data!AN9=0, "", data!AN9)</f>
        <v>2.605</v>
      </c>
      <c r="L12" s="80">
        <f>IF( data!AO9=0, "", data!AO9)</f>
        <v>10430</v>
      </c>
      <c r="M12" s="84">
        <f>IF( data!AP9=0, "", data!AP9)</f>
        <v>10428</v>
      </c>
      <c r="N12" s="79">
        <f>IF( data!AQ9=0, "", data!AQ9)</f>
        <v>2.6059999999999999</v>
      </c>
      <c r="O12" s="85">
        <f>IF( data!AR9=0, "", data!AR9)</f>
        <v>30</v>
      </c>
    </row>
    <row r="13" spans="2:20" ht="17.25" thickBot="1" x14ac:dyDescent="0.35">
      <c r="B13" s="55" t="s">
        <v>192</v>
      </c>
      <c r="C13" s="36" cm="1">
        <f t="array" aca="1" ref="C13" ca="1">IF( $B$6=TODAY(), _xll.IMDP("IR", data!$Q10, "수익률"), _xll.IMDP("IR", data!$O10, data!$S10, $B$6) )</f>
        <v>2.754</v>
      </c>
      <c r="D13" s="37" t="str">
        <f ca="1">IF( $B$4=TODAY(), "한화", "민평" )</f>
        <v>한화</v>
      </c>
      <c r="E13" s="46">
        <f t="shared" ca="1" si="0"/>
        <v>-0.40000000000000036</v>
      </c>
      <c r="F13" s="47">
        <f ca="1">data!AD10</f>
        <v>2.758</v>
      </c>
      <c r="I13" s="63" t="s">
        <v>138</v>
      </c>
      <c r="J13" s="81">
        <f>IF( data!AM10=0, "", data!AM10)</f>
        <v>20</v>
      </c>
      <c r="K13" s="82">
        <f>IF( data!AN10=0, "", data!AN10)</f>
        <v>0.41499999999999998</v>
      </c>
      <c r="L13" s="83">
        <f>IF( data!AO10=0, "", data!AO10)</f>
        <v>10321</v>
      </c>
      <c r="M13" s="86">
        <f>IF( data!AP10=0, "", data!AP10)</f>
        <v>10317</v>
      </c>
      <c r="N13" s="82">
        <f>IF( data!AQ10=0, "", data!AQ10)</f>
        <v>0.42</v>
      </c>
      <c r="O13" s="87">
        <f>IF( data!AR10=0, "", data!AR10)</f>
        <v>10</v>
      </c>
    </row>
    <row r="14" spans="2:20" x14ac:dyDescent="0.3">
      <c r="B14" s="55" t="s">
        <v>193</v>
      </c>
      <c r="C14" s="36" cm="1">
        <f t="array" aca="1" ref="C14" ca="1">IF( $B$6=TODAY(), _xll.IMDP("IR", data!$Q11, "수익률"),_xll.IMDP("IR", data!$O11, data!$S11, $B$6) )</f>
        <v>2.6429999999999998</v>
      </c>
      <c r="D14" s="37" t="str">
        <f ca="1">IF( $B$4=TODAY(), "한화", "민평" )</f>
        <v>한화</v>
      </c>
      <c r="E14" s="46">
        <f t="shared" ca="1" si="0"/>
        <v>1.6999999999999904</v>
      </c>
      <c r="F14" s="47">
        <f ca="1">data!AD11</f>
        <v>2.6259999999999999</v>
      </c>
    </row>
    <row r="15" spans="2:20" x14ac:dyDescent="0.3">
      <c r="B15" s="55" t="s">
        <v>142</v>
      </c>
      <c r="C15" s="36" cm="1">
        <f t="array" aca="1" ref="C15" ca="1">IF( $B$6=TODAY(), IF( data!X12=TRUE, _xll.IMDP("IR", data!$Q12, "수익률"), _xll.IMDP("BND", data!$M12, data!$X12)), _xll.IMDP("IR", data!$O12, data!$S12, $B$6) )</f>
        <v>2.653</v>
      </c>
      <c r="D15" s="37" t="str">
        <f ca="1">IF( $B$4=TODAY(), IF( data!X12=TRUE, "한화", data!Y12), "민평" )</f>
        <v>장외</v>
      </c>
      <c r="E15" s="46">
        <f t="shared" ca="1" si="0"/>
        <v>1.2999999999999901</v>
      </c>
      <c r="F15" s="47">
        <f ca="1">data!AD12</f>
        <v>2.64</v>
      </c>
    </row>
    <row r="16" spans="2:20" ht="17.25" thickBot="1" x14ac:dyDescent="0.35">
      <c r="B16" s="55" t="s">
        <v>140</v>
      </c>
      <c r="C16" s="36" cm="1">
        <f t="array" aca="1" ref="C16" ca="1">IF( $B$6=TODAY(), IF( data!X13=TRUE, _xll.IMDP("IR", data!$Q13, "수익률"), _xll.IMDP("BND", data!$M13, data!$X13)), _xll.IMDP("IR", data!$O13, data!$S13, $B$6) )</f>
        <v>2.66</v>
      </c>
      <c r="D16" s="37" t="str">
        <f ca="1">IF( $B$4=TODAY(), IF( data!X13=TRUE, "한화", data!Y13), "민평" )</f>
        <v>장외</v>
      </c>
      <c r="E16" s="46">
        <f t="shared" ca="1" si="0"/>
        <v>-0.40000000000000036</v>
      </c>
      <c r="F16" s="47">
        <f ca="1">data!AD13</f>
        <v>2.6640000000000001</v>
      </c>
    </row>
    <row r="17" spans="2:20" ht="17.25" thickBot="1" x14ac:dyDescent="0.35">
      <c r="B17" s="55" t="s">
        <v>194</v>
      </c>
      <c r="C17" s="36" cm="1">
        <f t="array" aca="1" ref="C17" ca="1">IF( $B$6=TODAY(), _xll.IMDP("IR", data!$Q14, "수익률"), _xll.IMDP("IR", data!$O14, data!$S14, $B$6) )</f>
        <v>2.8239999999999998</v>
      </c>
      <c r="D17" s="37" t="str">
        <f ca="1">IF( $B$4=TODAY(), "한화", "민평" )</f>
        <v>한화</v>
      </c>
      <c r="E17" s="46">
        <f t="shared" ca="1" si="0"/>
        <v>2.1999999999999797</v>
      </c>
      <c r="F17" s="47">
        <f ca="1">data!AD14</f>
        <v>2.802</v>
      </c>
      <c r="I17" s="125" t="s">
        <v>351</v>
      </c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7"/>
    </row>
    <row r="18" spans="2:20" ht="17.25" thickBot="1" x14ac:dyDescent="0.35">
      <c r="B18" s="56" t="s">
        <v>189</v>
      </c>
      <c r="C18" s="38" cm="1">
        <f t="array" aca="1" ref="C18" ca="1">IF( $B$6=TODAY(), _xll.IMDP("IR", data!$Q15, "수익률"), _xll.IMDP("IR", data!$O15, data!$S15, $B$6) )</f>
        <v>3.1440000000000001</v>
      </c>
      <c r="D18" s="39" t="str">
        <f ca="1">IF( $B$4=TODAY(), "한화","민평" )</f>
        <v>한화</v>
      </c>
      <c r="E18" s="48">
        <f t="shared" ca="1" si="0"/>
        <v>-3.0999999999999694</v>
      </c>
      <c r="F18" s="49">
        <f ca="1">data!AD15</f>
        <v>3.1749999999999998</v>
      </c>
      <c r="I18" s="166">
        <f ca="1">$B$4-2</f>
        <v>45719</v>
      </c>
      <c r="J18" s="167"/>
      <c r="K18" s="154" t="s">
        <v>1</v>
      </c>
      <c r="L18" s="131" t="s">
        <v>214</v>
      </c>
      <c r="M18" s="159" t="s">
        <v>347</v>
      </c>
      <c r="N18" s="155" t="s">
        <v>2</v>
      </c>
      <c r="O18" s="156" t="s">
        <v>213</v>
      </c>
      <c r="P18" s="156"/>
      <c r="Q18" s="159" t="s">
        <v>347</v>
      </c>
      <c r="R18" s="154" t="s">
        <v>354</v>
      </c>
      <c r="S18" s="157" t="s">
        <v>215</v>
      </c>
      <c r="T18" s="159" t="s">
        <v>347</v>
      </c>
    </row>
    <row r="19" spans="2:20" x14ac:dyDescent="0.3">
      <c r="B19" s="57" t="s">
        <v>195</v>
      </c>
      <c r="C19" s="40" cm="1">
        <f t="array" aca="1" ref="C19" ca="1">IF( $B$6=TODAY(), _xll.IMDP("IR", data!$Q16, "수익률"), _xll.IMDP("IR", data!$N16, data!$N$2, $B$6) )</f>
        <v>2.85</v>
      </c>
      <c r="D19" s="41" t="str">
        <f ca="1">IF( $B$4=TODAY(), "한화", "최종" )</f>
        <v>한화</v>
      </c>
      <c r="E19" s="50">
        <f t="shared" ca="1" si="0"/>
        <v>1.0000000000000231</v>
      </c>
      <c r="F19" s="51">
        <f ca="1">data!AD16</f>
        <v>2.84</v>
      </c>
      <c r="G19" s="17" t="s">
        <v>270</v>
      </c>
      <c r="I19" s="22"/>
      <c r="J19" s="24"/>
      <c r="K19" s="114" cm="1">
        <f t="array" aca="1" ref="K19" ca="1">_xll.IMDP(data!$C48, data!$D48, "현재가", Sheet1!$I$18, "fill=true")</f>
        <v>43191.24</v>
      </c>
      <c r="L19" s="107" cm="1">
        <f t="array" aca="1" ref="L19" ca="1">_xll.IMDP(data!$C48, data!$D48, "등락률", Sheet1!$I$18, "fill=true")</f>
        <v>-1.48</v>
      </c>
      <c r="M19" s="89" cm="1">
        <f t="array" aca="1" ref="M19" ca="1">_xll.IMDP(data!$C48, data!$D48, "현재가", Sheet1!$I$18, "fill=true, disp=date")</f>
        <v>20250303</v>
      </c>
      <c r="N19" s="114" cm="1">
        <f t="array" aca="1" ref="N19" ca="1">IF(data!$C48&lt;&gt;"FRN", _xll.IMDP("IR", "BONDAVG01", data!$I$23, Sheet1!$I$18, "fill=true"), _xll.IMDP("IR", data!$E48, "MID_Close", Sheet1!$I$18, "fill=true"))</f>
        <v>4.1565000000000003</v>
      </c>
      <c r="O19" s="110" cm="1">
        <f t="array" aca="1" ref="O19" ca="1">IFERROR( IF(data!$C48&lt;&gt;"FRN", _xll.IMDP("IR", "BONDAVG01", data!$H$24, Sheet1!$I$18, "fill=true"), _xll.IMDP("IR", data!$E48, "MID_Chg", Sheet1!$I$18, "fill=true") )*100, "")</f>
        <v>-5.3</v>
      </c>
      <c r="P19" s="110"/>
      <c r="Q19" s="89" cm="1">
        <f t="array" aca="1" ref="Q19" ca="1">IF($N19="", "", IF(data!$C48&lt;&gt;"FRN", _xll.IMDP("IR", "BONDAVG01", data!$I$23, Sheet1!$I$18, "fill=true, disp=date"), _xll.IMDP("IR", data!$E48, "MID_Close", Sheet1!$I$18, "fill=true, disp=date")))</f>
        <v>20250303</v>
      </c>
      <c r="R19" s="117" cm="1">
        <f t="array" aca="1" ref="R19" ca="1">IF(data!$C48&lt;&gt;"FRN", _xll.IMDP("FX", data!$F48, "중간값", Sheet1!$I$18, "fill=true"), _xll.IMDP("FX", data!$F48, "NY_MID_Close", Sheet1!$I$18, "fill=true"))</f>
        <v>106.60599999999999</v>
      </c>
      <c r="S19" s="118" cm="1">
        <f t="array" aca="1" ref="S19" ca="1">IF(data!$C48&lt;&gt;"FRN", $R19-_xll.IMDP("FX", data!$F48, "중간값", $T19-1, "fill=true"), _xll.IMDP("FX", data!$F48, "NY_MID_Chg", Sheet1!$I$18))</f>
        <v>-0.94899999999999995</v>
      </c>
      <c r="T19" s="89" cm="1">
        <f t="array" aca="1" ref="T19" ca="1">IF(data!$C48&lt;&gt;"FRN", _xll.IMDP("FX", data!$F48, "중간값", Sheet1!$I$18, "fill=true, disp=date"), _xll.IMDP("FX", data!$F48, "NY_MID_Close", Sheet1!$I$18, "fill=true, disp=date"))</f>
        <v>20250303</v>
      </c>
    </row>
    <row r="20" spans="2:20" x14ac:dyDescent="0.3">
      <c r="B20" s="55" t="s">
        <v>196</v>
      </c>
      <c r="C20" s="42" cm="1">
        <f t="array" aca="1" ref="C20" ca="1">IF( $B$6=TODAY(), _xll.IMDP("IR", data!$Q17, "수익률"), _xll.IMDP("IR", data!$N17, data!$N$2, $B$6) )</f>
        <v>3.01</v>
      </c>
      <c r="D20" s="37" t="str">
        <f ca="1">IF( $B$4=TODAY(), "한화", "최종" )</f>
        <v>한화</v>
      </c>
      <c r="E20" s="46">
        <f t="shared" ca="1" si="0"/>
        <v>-6.0000000000000053</v>
      </c>
      <c r="F20" s="47">
        <f ca="1">data!AD17</f>
        <v>3.07</v>
      </c>
      <c r="G20" s="17" t="s">
        <v>270</v>
      </c>
      <c r="I20" s="22"/>
      <c r="J20" s="24"/>
      <c r="K20" s="115" cm="1">
        <f t="array" aca="1" ref="K20" ca="1">_xll.IMDP(data!$C49, data!$D49, "현재가", Sheet1!$I$18, "fill=true")</f>
        <v>18350.189999999999</v>
      </c>
      <c r="L20" s="108" cm="1">
        <f t="array" aca="1" ref="L20" ca="1">_xll.IMDP(data!$C49, data!$D49, "등락률", Sheet1!$I$18, "fill=true")</f>
        <v>-2.64</v>
      </c>
      <c r="M20" s="91" cm="1">
        <f t="array" aca="1" ref="M20" ca="1">_xll.IMDP(data!$C49, data!$D49, "현재가", Sheet1!$I$18, "fill=true, disp=date")</f>
        <v>20250303</v>
      </c>
      <c r="N20" s="115" cm="1">
        <f t="array" aca="1" ref="N20" ca="1">IF(data!$C49&lt;&gt;"FRN", _xll.IMDP("IR", "BONDAVG01", data!$I$23, Sheet1!$I$18, "fill=true"), _xll.IMDP("IR", data!$E49, "MID_Close", Sheet1!$I$18, "fill=true"))</f>
        <v>4.1565000000000003</v>
      </c>
      <c r="O20" s="111" cm="1">
        <f t="array" aca="1" ref="O20" ca="1">IFERROR( IF(data!$C49&lt;&gt;"FRN", _xll.IMDP("IR", "BONDAVG01", data!$H$24, Sheet1!$I$18, "fill=true"), _xll.IMDP("IR", data!$E49, "MID_Chg", Sheet1!$I$18, "fill=true") )*100, "")</f>
        <v>-5.3</v>
      </c>
      <c r="P20" s="111"/>
      <c r="Q20" s="91" cm="1">
        <f t="array" aca="1" ref="Q20" ca="1">IF($N20="", "", IF(data!$C49&lt;&gt;"FRN", _xll.IMDP("IR", "BONDAVG01", data!$I$23, Sheet1!$I$18, "fill=true, disp=date"), _xll.IMDP("IR", data!$E49, "MID_Close", Sheet1!$I$18, "fill=true, disp=date")))</f>
        <v>20250303</v>
      </c>
      <c r="R20" s="119" cm="1">
        <f t="array" aca="1" ref="R20" ca="1">IF(data!$C49&lt;&gt;"FRN", _xll.IMDP("FX", data!$F49, "중간값", Sheet1!$I$18, "fill=true"), _xll.IMDP("FX", data!$F49, "NY_MID_Close", Sheet1!$I$18, "fill=true"))</f>
        <v>106.60599999999999</v>
      </c>
      <c r="S20" s="120" cm="1">
        <f t="array" aca="1" ref="S20" ca="1">IF(data!$C49&lt;&gt;"FRN", $R20-_xll.IMDP("FX", data!$F49, "중간값", $T20-1, "fill=true"), _xll.IMDP("FX", data!$F49, "NY_MID_Chg", Sheet1!$I$18))</f>
        <v>-0.94899999999999995</v>
      </c>
      <c r="T20" s="91" cm="1">
        <f t="array" aca="1" ref="T20" ca="1">IF(data!$C49&lt;&gt;"FRN", _xll.IMDP("FX", data!$F49, "중간값", Sheet1!$I$18, "fill=true, disp=date"), _xll.IMDP("FX", data!$F49, "NY_MID_Close", Sheet1!$I$18, "fill=true, disp=date"))</f>
        <v>20250303</v>
      </c>
    </row>
    <row r="21" spans="2:20" x14ac:dyDescent="0.3">
      <c r="B21" s="56" t="s">
        <v>190</v>
      </c>
      <c r="C21" s="43" cm="1">
        <f t="array" aca="1" ref="C21" ca="1">_xll.IMDP("IR", "IBRKRWFIX06M", "금리", $B$4)</f>
        <v>2.88</v>
      </c>
      <c r="D21" s="39" t="s">
        <v>254</v>
      </c>
      <c r="E21" s="48">
        <f t="shared" ca="1" si="0"/>
        <v>0</v>
      </c>
      <c r="F21" s="49">
        <f ca="1">data!AD18</f>
        <v>2.88</v>
      </c>
      <c r="G21" s="17"/>
      <c r="I21" s="22"/>
      <c r="J21" s="24"/>
      <c r="K21" s="115" cm="1">
        <f t="array" aca="1" ref="K21" ca="1">_xll.IMDP(data!$C50, data!$D50, "현재가", Sheet1!$I$18, "fill=true")</f>
        <v>2532.7800000000002</v>
      </c>
      <c r="L21" s="108" cm="1">
        <f t="array" aca="1" ref="L21" ca="1">_xll.IMDP(data!$C50, data!$D50, "등락률", Sheet1!$I$18, "fill=true")</f>
        <v>-3.39</v>
      </c>
      <c r="M21" s="91" cm="1">
        <f t="array" aca="1" ref="M21" ca="1">_xll.IMDP(data!$C50, data!$D50, "현재가", Sheet1!$I$18, "fill=true, disp=date")</f>
        <v>20250228</v>
      </c>
      <c r="N21" s="115" cm="1">
        <f t="array" aca="1" ref="N21" ca="1">IF(data!$C50&lt;&gt;"FRN", _xll.IMDP("IR", "BONDAVG01", data!$I$23, Sheet1!$I$18, "fill=true"), _xll.IMDP("IR", data!$E50, "MID_Close", Sheet1!$I$18, "fill=true"))</f>
        <v>2.7</v>
      </c>
      <c r="O21" s="111" cm="1">
        <f t="array" aca="1" ref="O21" ca="1">IFERROR( IF(data!$C50&lt;&gt;"FRN", _xll.IMDP("IR", "BONDAVG01", data!$H$24, Sheet1!$I$18, "fill=true"), _xll.IMDP("IR", data!$E50, "MID_Chg", Sheet1!$I$18, "fill=true") )*100, "")</f>
        <v>-5</v>
      </c>
      <c r="P21" s="111"/>
      <c r="Q21" s="91" cm="1">
        <f t="array" aca="1" ref="Q21" ca="1">IF($N21="", "", IF(data!$C50&lt;&gt;"FRN", _xll.IMDP("IR", "BONDAVG01", data!$I$23, Sheet1!$I$18, "fill=true, disp=date"), _xll.IMDP("IR", data!$E50, "MID_Close", Sheet1!$I$18, "fill=true, disp=date")))</f>
        <v>20250228</v>
      </c>
      <c r="R21" s="119" cm="1">
        <f t="array" aca="1" ref="R21" ca="1">IF(data!$C50&lt;&gt;"FRN", _xll.IMDP("FX", data!$F50, "중간값", Sheet1!$I$18, "fill=true"), _xll.IMDP("FX", data!$F50, "NY_MID_Close", Sheet1!$I$18, "fill=true"))</f>
        <v>1463.2</v>
      </c>
      <c r="S21" s="120" cm="1">
        <f t="array" aca="1" ref="S21" ca="1">IF(data!$C50&lt;&gt;"FRN", $R21-_xll.IMDP("FX", data!$F50, "중간값", $T21-1, "fill=true"), _xll.IMDP("FX", data!$F50, "NY_MID_Chg", Sheet1!$I$18))</f>
        <v>20.350000000000136</v>
      </c>
      <c r="T21" s="91" cm="1">
        <f t="array" aca="1" ref="T21" ca="1">IF(data!$C50&lt;&gt;"FRN", _xll.IMDP("FX", data!$F50, "중간값", Sheet1!$I$18, "fill=true, disp=date"), _xll.IMDP("FX", data!$F50, "NY_MID_Close", Sheet1!$I$18, "fill=true, disp=date"))</f>
        <v>20250228</v>
      </c>
    </row>
    <row r="22" spans="2:20" ht="17.25" thickBot="1" x14ac:dyDescent="0.35">
      <c r="B22" s="58" t="s">
        <v>191</v>
      </c>
      <c r="C22" s="44" cm="1">
        <f t="array" aca="1" ref="C22" ca="1">IF($B$6=TODAY(), IF( data!X19=TRUE, _xll.IMDP("IR", data!$Q$19, "수익률"), _xll.IMDP("IR", data!$M$19, "체결이율")), _xll.IMDP("ECO", "700504", "현재가",$B$6))</f>
        <v>2.71</v>
      </c>
      <c r="D22" s="45" t="str">
        <f ca="1">IF( $B$4=TODAY(), IF( data!X19=TRUE, "한화", "중개사"), "한은" )</f>
        <v>중개사</v>
      </c>
      <c r="E22" s="52">
        <f t="shared" ca="1" si="0"/>
        <v>-8.1999999999999851</v>
      </c>
      <c r="F22" s="53">
        <f ca="1">data!AD19</f>
        <v>2.7919999999999998</v>
      </c>
      <c r="G22" s="17" t="s">
        <v>269</v>
      </c>
      <c r="I22" s="22"/>
      <c r="J22" s="24"/>
      <c r="K22" s="115" cm="1">
        <f t="array" aca="1" ref="K22" ca="1">_xll.IMDP(data!$C51, data!$D51, "현재가", Sheet1!$I$18, "fill=true")</f>
        <v>743.96</v>
      </c>
      <c r="L22" s="108" cm="1">
        <f t="array" aca="1" ref="L22" ca="1">_xll.IMDP(data!$C51, data!$D51, "등락률", Sheet1!$I$18, "fill=true")</f>
        <v>-3.49</v>
      </c>
      <c r="M22" s="91" cm="1">
        <f t="array" aca="1" ref="M22" ca="1">_xll.IMDP(data!$C51, data!$D51, "현재가", Sheet1!$I$18, "fill=true, disp=date")</f>
        <v>20250228</v>
      </c>
      <c r="N22" s="115" cm="1">
        <f t="array" aca="1" ref="N22" ca="1">IF(data!$C51&lt;&gt;"FRN", _xll.IMDP("IR", "BONDAVG01", data!$I$23, Sheet1!$I$18, "fill=true"), _xll.IMDP("IR", data!$E51, "MID_Close", Sheet1!$I$18, "fill=true"))</f>
        <v>2.7</v>
      </c>
      <c r="O22" s="111" cm="1">
        <f t="array" aca="1" ref="O22" ca="1">IFERROR( IF(data!$C51&lt;&gt;"FRN", _xll.IMDP("IR", "BONDAVG01", data!$H$24, Sheet1!$I$18, "fill=true"), _xll.IMDP("IR", data!$E51, "MID_Chg", Sheet1!$I$18, "fill=true") )*100, "")</f>
        <v>-5</v>
      </c>
      <c r="P22" s="111"/>
      <c r="Q22" s="91" cm="1">
        <f t="array" aca="1" ref="Q22" ca="1">IF($N22="", "", IF(data!$C51&lt;&gt;"FRN", _xll.IMDP("IR", "BONDAVG01", data!$I$23, Sheet1!$I$18, "fill=true, disp=date"), _xll.IMDP("IR", data!$E51, "MID_Close", Sheet1!$I$18, "fill=true, disp=date")))</f>
        <v>20250228</v>
      </c>
      <c r="R22" s="119" cm="1">
        <f t="array" aca="1" ref="R22" ca="1">IF(data!$C51&lt;&gt;"FRN", _xll.IMDP("FX", data!$F51, "중간값", Sheet1!$I$18, "fill=true"), _xll.IMDP("FX", data!$F51, "NY_MID_Close", Sheet1!$I$18, "fill=true"))</f>
        <v>1463.2</v>
      </c>
      <c r="S22" s="120" cm="1">
        <f t="array" aca="1" ref="S22" ca="1">IF(data!$C51&lt;&gt;"FRN", $R22-_xll.IMDP("FX", data!$F51, "중간값", $T22-1, "fill=true"), _xll.IMDP("FX", data!$F51, "NY_MID_Chg", Sheet1!$I$18))</f>
        <v>20.350000000000136</v>
      </c>
      <c r="T22" s="91" cm="1">
        <f t="array" aca="1" ref="T22" ca="1">IF(data!$C51&lt;&gt;"FRN", _xll.IMDP("FX", data!$F51, "중간값", Sheet1!$I$18, "fill=true, disp=date"), _xll.IMDP("FX", data!$F51, "NY_MID_Close", Sheet1!$I$18, "fill=true, disp=date"))</f>
        <v>20250228</v>
      </c>
    </row>
    <row r="23" spans="2:20" x14ac:dyDescent="0.3">
      <c r="I23" s="22"/>
      <c r="J23" s="24"/>
      <c r="K23" s="115" cm="1">
        <f t="array" aca="1" ref="K23" ca="1">_xll.IMDP(data!$C52, data!$D52, "현재가", Sheet1!$I$18, "fill=true")</f>
        <v>5849.72</v>
      </c>
      <c r="L23" s="108" cm="1">
        <f t="array" aca="1" ref="L23" ca="1">_xll.IMDP(data!$C52, data!$D52, "등락률", Sheet1!$I$18, "fill=true")</f>
        <v>-1.76</v>
      </c>
      <c r="M23" s="91" cm="1">
        <f t="array" aca="1" ref="M23" ca="1">_xll.IMDP(data!$C52, data!$D52, "현재가", Sheet1!$I$18, "fill=true, disp=date")</f>
        <v>20250303</v>
      </c>
      <c r="N23" s="115" cm="1">
        <f t="array" aca="1" ref="N23" ca="1">IF(data!$C52&lt;&gt;"FRN", _xll.IMDP("IR", "BONDAVG01", data!$I$23, Sheet1!$I$18, "fill=true"), _xll.IMDP("IR", data!$E52, "MID_Close", Sheet1!$I$18, "fill=true"))</f>
        <v>1.4046000000000001</v>
      </c>
      <c r="O23" s="111" cm="1">
        <f t="array" aca="1" ref="O23" ca="1">IFERROR( IF(data!$C52&lt;&gt;"FRN", _xll.IMDP("IR", "BONDAVG01", data!$H$24, Sheet1!$I$18, "fill=true"), _xll.IMDP("IR", data!$E52, "MID_Chg", Sheet1!$I$18, "fill=true") )*100, "")</f>
        <v>3.38</v>
      </c>
      <c r="P23" s="111"/>
      <c r="Q23" s="91" cm="1">
        <f t="array" aca="1" ref="Q23" ca="1">IF($N23="", "", IF(data!$C52&lt;&gt;"FRN", _xll.IMDP("IR", "BONDAVG01", data!$I$23, Sheet1!$I$18, "fill=true, disp=date"), _xll.IMDP("IR", data!$E52, "MID_Close", Sheet1!$I$18, "fill=true, disp=date")))</f>
        <v>20250303</v>
      </c>
      <c r="R23" s="119" cm="1">
        <f t="array" aca="1" ref="R23" ca="1">IF(data!$C52&lt;&gt;"FRN", _xll.IMDP("FX", data!$F52, "중간값", Sheet1!$I$18, "fill=true"), _xll.IMDP("FX", data!$F52, "NY_MID_Close", Sheet1!$I$18, "fill=true"))</f>
        <v>149.405</v>
      </c>
      <c r="S23" s="120" cm="1">
        <f t="array" aca="1" ref="S23" ca="1">IF(data!$C52&lt;&gt;"FRN", $R23-_xll.IMDP("FX", data!$F52, "중간값", $T23-1, "fill=true"), _xll.IMDP("FX", data!$F52, "NY_MID_Chg", Sheet1!$I$18))</f>
        <v>-1.105</v>
      </c>
      <c r="T23" s="91" cm="1">
        <f t="array" aca="1" ref="T23" ca="1">IF(data!$C52&lt;&gt;"FRN", _xll.IMDP("FX", data!$F52, "중간값", Sheet1!$I$18, "fill=true, disp=date"), _xll.IMDP("FX", data!$F52, "NY_MID_Close", Sheet1!$I$18, "fill=true, disp=date"))</f>
        <v>20250303</v>
      </c>
    </row>
    <row r="24" spans="2:20" ht="17.25" thickBot="1" x14ac:dyDescent="0.35">
      <c r="I24" s="22"/>
      <c r="J24" s="24"/>
      <c r="K24" s="115" cm="1">
        <f t="array" aca="1" ref="K24" ca="1">_xll.IMDP(data!$C53, data!$D53, "현재가", Sheet1!$I$18, "fill=true")</f>
        <v>3316.93</v>
      </c>
      <c r="L24" s="108" cm="1">
        <f t="array" aca="1" ref="L24" ca="1">_xll.IMDP(data!$C53, data!$D53, "등락률", Sheet1!$I$18, "fill=true")</f>
        <v>-0.12</v>
      </c>
      <c r="M24" s="91" cm="1">
        <f t="array" aca="1" ref="M24" ca="1">_xll.IMDP(data!$C53, data!$D53, "현재가", Sheet1!$I$18, "fill=true, disp=date")</f>
        <v>20250303</v>
      </c>
      <c r="N24" s="115" cm="1">
        <f t="array" aca="1" ref="N24" ca="1">IF(data!$C53&lt;&gt;"FRN", _xll.IMDP("IR", "BONDAVG01", data!$I$23, Sheet1!$I$18, "fill=true"), _xll.IMDP("IR", data!$E53, "MID_Close", Sheet1!$I$18, "fill=true"))</f>
        <v>1.7533000000000001</v>
      </c>
      <c r="O24" s="111" cm="1">
        <f t="array" aca="1" ref="O24" ca="1">IFERROR( IF(data!$C53&lt;&gt;"FRN", _xll.IMDP("IR", "BONDAVG01", data!$H$24, Sheet1!$I$18, "fill=true"), _xll.IMDP("IR", data!$E53, "MID_Chg", Sheet1!$I$18, "fill=true") )*100, "")</f>
        <v>-1.5</v>
      </c>
      <c r="P24" s="111"/>
      <c r="Q24" s="91" cm="1">
        <f t="array" aca="1" ref="Q24" ca="1">IF($N24="", "", IF(data!$C53&lt;&gt;"FRN", _xll.IMDP("IR", "BONDAVG01", data!$I$23, Sheet1!$I$18, "fill=true, disp=date"), _xll.IMDP("IR", data!$E53, "MID_Close", Sheet1!$I$18, "fill=true, disp=date")))</f>
        <v>20250303</v>
      </c>
      <c r="R24" s="119" cm="1">
        <f t="array" aca="1" ref="R24" ca="1">IF(data!$C53&lt;&gt;"FRN", _xll.IMDP("FX", data!$F53, "중간값", Sheet1!$I$18, "fill=true"), _xll.IMDP("FX", data!$F53, "NY_MID_Close", Sheet1!$I$18, "fill=true"))</f>
        <v>7.2854000000000001</v>
      </c>
      <c r="S24" s="120" cm="1">
        <f t="array" aca="1" ref="S24" ca="1">IF(data!$C53&lt;&gt;"FRN", $R24-_xll.IMDP("FX", data!$F53, "중간값", $T24-1, "fill=true"), _xll.IMDP("FX", data!$F53, "NY_MID_Chg", Sheet1!$I$18))</f>
        <v>1.65E-3</v>
      </c>
      <c r="T24" s="91" cm="1">
        <f t="array" aca="1" ref="T24" ca="1">IF(data!$C53&lt;&gt;"FRN", _xll.IMDP("FX", data!$F53, "중간값", Sheet1!$I$18, "fill=true, disp=date"), _xll.IMDP("FX", data!$F53, "NY_MID_Close", Sheet1!$I$18, "fill=true, disp=date"))</f>
        <v>20250303</v>
      </c>
    </row>
    <row r="25" spans="2:20" ht="17.25" thickBot="1" x14ac:dyDescent="0.35">
      <c r="B25" s="125" t="s">
        <v>359</v>
      </c>
      <c r="C25" s="126"/>
      <c r="D25" s="126"/>
      <c r="E25" s="126"/>
      <c r="F25" s="126"/>
      <c r="G25" s="127"/>
      <c r="I25" s="22"/>
      <c r="J25" s="24"/>
      <c r="K25" s="115" cm="1">
        <f t="array" aca="1" ref="K25" ca="1">_xll.IMDP(data!$C54, data!$D54, "현재가", Sheet1!$I$18, "fill=true")</f>
        <v>23006.27</v>
      </c>
      <c r="L25" s="108" cm="1">
        <f t="array" aca="1" ref="L25" ca="1">_xll.IMDP(data!$C54, data!$D54, "등락률", Sheet1!$I$18, "fill=true")</f>
        <v>0.28000000000000003</v>
      </c>
      <c r="M25" s="91" cm="1">
        <f t="array" aca="1" ref="M25" ca="1">_xll.IMDP(data!$C54, data!$D54, "현재가", Sheet1!$I$18, "fill=true, disp=date")</f>
        <v>20250303</v>
      </c>
      <c r="N25" s="115" t="str" cm="1">
        <f t="array" aca="1" ref="N25" ca="1">IF(data!$C54&lt;&gt;"FRN", _xll.IMDP("IR", "BONDAVG01", data!$I$23, Sheet1!$I$18, "fill=true"), _xll.IMDP("IR", data!$E54, "MID_Close", Sheet1!$I$18, "fill=true"))</f>
        <v/>
      </c>
      <c r="O25" s="111" t="str" cm="1">
        <f t="array" aca="1" ref="O25" ca="1">IFERROR( IF(data!$C54&lt;&gt;"FRN", _xll.IMDP("IR", "BONDAVG01", data!$H$24, Sheet1!$I$18, "fill=true"), _xll.IMDP("IR", data!$E54, "MID_Chg", Sheet1!$I$18, "fill=true") )*100, "")</f>
        <v/>
      </c>
      <c r="P25" s="111"/>
      <c r="Q25" s="91" t="str" cm="1">
        <f t="array" aca="1" ref="Q25" ca="1">IF($N25="", "", IF(data!$C54&lt;&gt;"FRN", _xll.IMDP("IR", "BONDAVG01", data!$I$23, Sheet1!$I$18, "fill=true, disp=date"), _xll.IMDP("IR", data!$E54, "MID_Close", Sheet1!$I$18, "fill=true, disp=date")))</f>
        <v/>
      </c>
      <c r="R25" s="119" cm="1">
        <f t="array" aca="1" ref="R25" ca="1">IF(data!$C54&lt;&gt;"FRN", _xll.IMDP("FX", data!$F54, "중간값", Sheet1!$I$18, "fill=true"), _xll.IMDP("FX", data!$F54, "NY_MID_Close", Sheet1!$I$18, "fill=true"))</f>
        <v>7.77745</v>
      </c>
      <c r="S25" s="120" cm="1">
        <f t="array" aca="1" ref="S25" ca="1">IF(data!$C54&lt;&gt;"FRN", $R25-_xll.IMDP("FX", data!$F54, "중간값", $T25-1, "fill=true"), _xll.IMDP("FX", data!$F54, "NY_MID_Chg", Sheet1!$I$18))</f>
        <v>4.4999999999999999E-4</v>
      </c>
      <c r="T25" s="91" cm="1">
        <f t="array" aca="1" ref="T25" ca="1">IF(data!$C54&lt;&gt;"FRN", _xll.IMDP("FX", data!$F54, "중간값", Sheet1!$I$18, "fill=true, disp=date"), _xll.IMDP("FX", data!$F54, "NY_MID_Close", Sheet1!$I$18, "fill=true, disp=date"))</f>
        <v>20250303</v>
      </c>
    </row>
    <row r="26" spans="2:20" ht="16.5" customHeight="1" thickBot="1" x14ac:dyDescent="0.35">
      <c r="B26" s="165">
        <f ca="1">$B$4</f>
        <v>45721</v>
      </c>
      <c r="C26" s="154" t="s">
        <v>200</v>
      </c>
      <c r="D26" s="131" t="s">
        <v>201</v>
      </c>
      <c r="E26" s="160" t="s">
        <v>208</v>
      </c>
      <c r="F26" s="161" t="s">
        <v>206</v>
      </c>
      <c r="G26" s="132" t="s">
        <v>207</v>
      </c>
      <c r="I26" s="22"/>
      <c r="J26" s="24"/>
      <c r="K26" s="115" cm="1">
        <f t="array" aca="1" ref="K26" ca="1">_xll.IMDP(data!$C55, data!$D55, "현재가", Sheet1!$I$18, "fill=true")</f>
        <v>22756.25</v>
      </c>
      <c r="L26" s="108" cm="1">
        <f t="array" aca="1" ref="L26" ca="1">_xll.IMDP(data!$C55, data!$D55, "등락률", Sheet1!$I$18, "fill=true")</f>
        <v>-1.29</v>
      </c>
      <c r="M26" s="91" cm="1">
        <f t="array" aca="1" ref="M26" ca="1">_xll.IMDP(data!$C55, data!$D55, "현재가", Sheet1!$I$18, "fill=true, disp=date")</f>
        <v>20250303</v>
      </c>
      <c r="N26" s="115" cm="1">
        <f t="array" aca="1" ref="N26" ca="1">IF(data!$C55&lt;&gt;"FRN", _xll.IMDP("IR", "BONDAVG01", data!$I$23, Sheet1!$I$18, "fill=true"), _xll.IMDP("IR", data!$E55, "MID_Close", Sheet1!$I$18, "fill=true"))</f>
        <v>1.625</v>
      </c>
      <c r="O26" s="111" cm="1">
        <f t="array" aca="1" ref="O26" ca="1">IFERROR( IF(data!$C55&lt;&gt;"FRN", _xll.IMDP("IR", "BONDAVG01", data!$H$24, Sheet1!$I$18, "fill=true"), _xll.IMDP("IR", data!$E55, "MID_Chg", Sheet1!$I$18, "fill=true") )*100, "")</f>
        <v>1.5</v>
      </c>
      <c r="P26" s="111"/>
      <c r="Q26" s="91" cm="1">
        <f t="array" aca="1" ref="Q26" ca="1">IF($N26="", "", IF(data!$C55&lt;&gt;"FRN", _xll.IMDP("IR", "BONDAVG01", data!$I$23, Sheet1!$I$18, "fill=true, disp=date"), _xll.IMDP("IR", data!$E55, "MID_Close", Sheet1!$I$18, "fill=true, disp=date")))</f>
        <v>20250303</v>
      </c>
      <c r="R26" s="119" cm="1">
        <f t="array" aca="1" ref="R26" ca="1">IF(data!$C55&lt;&gt;"FRN", _xll.IMDP("FX", data!$F55, "중간값", Sheet1!$I$18, "fill=true"), _xll.IMDP("FX", data!$F55, "NY_MID_Close", Sheet1!$I$18, "fill=true"))</f>
        <v>32.904800000000002</v>
      </c>
      <c r="S26" s="120" cm="1">
        <f t="array" aca="1" ref="S26" ca="1">IF(data!$C55&lt;&gt;"FRN", $R26-_xll.IMDP("FX", data!$F55, "중간값", $T26-1, "fill=true"), _xll.IMDP("FX", data!$F55, "NY_MID_Chg", Sheet1!$I$18))</f>
        <v>-1.9699999999999999E-2</v>
      </c>
      <c r="T26" s="91" cm="1">
        <f t="array" aca="1" ref="T26" ca="1">IF(data!$C55&lt;&gt;"FRN", _xll.IMDP("FX", data!$F55, "중간값", Sheet1!$I$18, "fill=true, disp=date"), _xll.IMDP("FX", data!$F55, "NY_MID_Close", Sheet1!$I$18, "fill=true, disp=date"))</f>
        <v>20250303</v>
      </c>
    </row>
    <row r="27" spans="2:20" x14ac:dyDescent="0.3">
      <c r="B27" s="59" t="s">
        <v>209</v>
      </c>
      <c r="C27" s="145">
        <f ca="1">data!M50</f>
        <v>21097</v>
      </c>
      <c r="D27" s="146">
        <f ca="1">data!N50</f>
        <v>-237</v>
      </c>
      <c r="E27" s="147">
        <f ca="1">data!Q50</f>
        <v>-1842</v>
      </c>
      <c r="F27" s="148">
        <f ca="1">data!O50/100</f>
        <v>-2242.41</v>
      </c>
      <c r="G27" s="141">
        <f ca="1">data!P50/100</f>
        <v>645.66999999999996</v>
      </c>
      <c r="I27" s="22"/>
      <c r="J27" s="24"/>
      <c r="K27" s="115" cm="1">
        <f t="array" aca="1" ref="K27" ca="1">_xll.IMDP(data!$C56, data!$D56, "현재가", Sheet1!$I$18, "fill=true")</f>
        <v>5540.69</v>
      </c>
      <c r="L27" s="108" cm="1">
        <f t="array" aca="1" ref="L27" ca="1">_xll.IMDP(data!$C56, data!$D56, "등락률", Sheet1!$I$18, "fill=true")</f>
        <v>1.41</v>
      </c>
      <c r="M27" s="91" cm="1">
        <f t="array" aca="1" ref="M27" ca="1">_xll.IMDP(data!$C56, data!$D56, "현재가", Sheet1!$I$18, "fill=true, disp=date")</f>
        <v>20250303</v>
      </c>
      <c r="N27" s="115" cm="1">
        <f t="array" aca="1" ref="N27" ca="1">IF(data!$C56&lt;&gt;"FRN", _xll.IMDP("IR", "BONDAVG01", data!$I$23, Sheet1!$I$18, "fill=true"), _xll.IMDP("IR", data!$E56, "MID_Close", Sheet1!$I$18, "fill=true"))</f>
        <v>2.4895</v>
      </c>
      <c r="O27" s="111" cm="1">
        <f t="array" aca="1" ref="O27" ca="1">IFERROR( IF(data!$C56&lt;&gt;"FRN", _xll.IMDP("IR", "BONDAVG01", data!$H$24, Sheet1!$I$18, "fill=true"), _xll.IMDP("IR", data!$E56, "MID_Chg", Sheet1!$I$18, "fill=true") )*100, "")</f>
        <v>8.4750000000000014</v>
      </c>
      <c r="P27" s="111"/>
      <c r="Q27" s="91" cm="1">
        <f t="array" aca="1" ref="Q27" ca="1">IF($N27="", "", IF(data!$C56&lt;&gt;"FRN", _xll.IMDP("IR", "BONDAVG01", data!$I$23, Sheet1!$I$18, "fill=true, disp=date"), _xll.IMDP("IR", data!$E56, "MID_Close", Sheet1!$I$18, "fill=true, disp=date")))</f>
        <v>20250303</v>
      </c>
      <c r="R27" s="119" cm="1">
        <f t="array" aca="1" ref="R27" ca="1">IF(data!$C56&lt;&gt;"FRN", _xll.IMDP("FX", data!$F56, "중간값", Sheet1!$I$18, "fill=true"), _xll.IMDP("FX", data!$F56, "NY_MID_Close", Sheet1!$I$18, "fill=true"))</f>
        <v>1.0482</v>
      </c>
      <c r="S27" s="120" cm="1">
        <f t="array" aca="1" ref="S27" ca="1">IF(data!$C56&lt;&gt;"FRN", $R27-_xll.IMDP("FX", data!$F56, "중간값", $T27-1, "fill=true"), _xll.IMDP("FX", data!$F56, "NY_MID_Chg", Sheet1!$I$18))</f>
        <v>1.0800000000000001E-2</v>
      </c>
      <c r="T27" s="91" cm="1">
        <f t="array" aca="1" ref="T27" ca="1">IF(data!$C56&lt;&gt;"FRN", _xll.IMDP("FX", data!$F56, "중간값", Sheet1!$I$18, "fill=true, disp=date"), _xll.IMDP("FX", data!$F56, "NY_MID_Close", Sheet1!$I$18, "fill=true, disp=date"))</f>
        <v>20250303</v>
      </c>
    </row>
    <row r="28" spans="2:20" ht="17.25" thickBot="1" x14ac:dyDescent="0.35">
      <c r="B28" s="55" t="s">
        <v>210</v>
      </c>
      <c r="C28" s="78">
        <f ca="1">data!M51</f>
        <v>-491</v>
      </c>
      <c r="D28" s="101">
        <f ca="1">data!N51</f>
        <v>1091</v>
      </c>
      <c r="E28" s="102">
        <f ca="1">data!Q51</f>
        <v>-98</v>
      </c>
      <c r="F28" s="105">
        <f ca="1">data!O51/100</f>
        <v>709.16</v>
      </c>
      <c r="G28" s="85">
        <f ca="1">data!P51/100</f>
        <v>42.38</v>
      </c>
      <c r="I28" s="23"/>
      <c r="J28" s="25"/>
      <c r="K28" s="116" cm="1">
        <f t="array" aca="1" ref="K28" ca="1">_xll.IMDP(data!$C57, data!$D57, "현재가", Sheet1!$I$18, "fill=true")</f>
        <v>23147.02</v>
      </c>
      <c r="L28" s="109" cm="1">
        <f t="array" aca="1" ref="L28" ca="1">_xll.IMDP(data!$C57, data!$D57, "등락률", Sheet1!$I$18, "fill=true")</f>
        <v>2.64</v>
      </c>
      <c r="M28" s="93" cm="1">
        <f t="array" aca="1" ref="M28" ca="1">_xll.IMDP(data!$C57, data!$D57, "현재가", Sheet1!$I$18, "fill=true, disp=date")</f>
        <v>20250303</v>
      </c>
      <c r="N28" s="116" cm="1">
        <f t="array" aca="1" ref="N28" ca="1">IF(data!$C57&lt;&gt;"FRN", _xll.IMDP("IR", "BONDAVG01", data!$I$23, Sheet1!$I$18, "fill=true"), _xll.IMDP("IR", data!$E57, "MID_Close", Sheet1!$I$18, "fill=true"))</f>
        <v>2.4895</v>
      </c>
      <c r="O28" s="112" cm="1">
        <f t="array" aca="1" ref="O28" ca="1">IFERROR( IF(data!$C57&lt;&gt;"FRN", _xll.IMDP("IR", "BONDAVG01", data!$H$24, Sheet1!$I$18, "fill=true"), _xll.IMDP("IR", data!$E57, "MID_Chg", Sheet1!$I$18, "fill=true") )*100, "")</f>
        <v>8.4750000000000014</v>
      </c>
      <c r="P28" s="112"/>
      <c r="Q28" s="93" cm="1">
        <f t="array" aca="1" ref="Q28" ca="1">IF($N28="", "", IF(data!$C57&lt;&gt;"FRN", _xll.IMDP("IR", "BONDAVG01", data!$I$23, Sheet1!$I$18, "fill=true, disp=date"), _xll.IMDP("IR", data!$E57, "MID_Close", Sheet1!$I$18, "fill=true, disp=date")))</f>
        <v>20250303</v>
      </c>
      <c r="R28" s="121" cm="1">
        <f t="array" aca="1" ref="R28" ca="1">IF(data!$C57&lt;&gt;"FRN", _xll.IMDP("FX", data!$F57, "중간값", Sheet1!$I$18, "fill=true"), _xll.IMDP("FX", data!$F57, "NY_MID_Close", Sheet1!$I$18, "fill=true"))</f>
        <v>1.0482</v>
      </c>
      <c r="S28" s="122" cm="1">
        <f t="array" aca="1" ref="S28" ca="1">IF(data!$C57&lt;&gt;"FRN", $R28-_xll.IMDP("FX", data!$F57, "중간값", $T28-1, "fill=true"), _xll.IMDP("FX", data!$F57, "NY_MID_Chg", Sheet1!$I$18))</f>
        <v>1.0800000000000001E-2</v>
      </c>
      <c r="T28" s="93" cm="1">
        <f t="array" aca="1" ref="T28" ca="1">IF(data!$C57&lt;&gt;"FRN", _xll.IMDP("FX", data!$F57, "중간값", Sheet1!$I$18, "fill=true, disp=date"), _xll.IMDP("FX", data!$F57, "NY_MID_Close", Sheet1!$I$18, "fill=true, disp=date"))</f>
        <v>20250303</v>
      </c>
    </row>
    <row r="29" spans="2:20" ht="17.25" thickBot="1" x14ac:dyDescent="0.35">
      <c r="B29" s="55" t="s">
        <v>204</v>
      </c>
      <c r="C29" s="78">
        <f ca="1">data!M52</f>
        <v>700</v>
      </c>
      <c r="D29" s="101">
        <f ca="1">data!N52</f>
        <v>865</v>
      </c>
      <c r="E29" s="102">
        <f ca="1">data!Q52</f>
        <v>3766</v>
      </c>
      <c r="F29" s="105">
        <f ca="1">data!O52/100</f>
        <v>976.49</v>
      </c>
      <c r="G29" s="85">
        <f ca="1">data!P52/100</f>
        <v>-52.29</v>
      </c>
    </row>
    <row r="30" spans="2:20" ht="17.25" thickBot="1" x14ac:dyDescent="0.35">
      <c r="B30" s="55" t="s">
        <v>202</v>
      </c>
      <c r="C30" s="78">
        <f ca="1">data!M53</f>
        <v>-1922</v>
      </c>
      <c r="D30" s="101">
        <f ca="1">data!N53</f>
        <v>2565</v>
      </c>
      <c r="E30" s="102">
        <f ca="1">data!Q53</f>
        <v>110</v>
      </c>
      <c r="F30" s="105">
        <f ca="1">data!O53/100</f>
        <v>34.119999999999997</v>
      </c>
      <c r="G30" s="85">
        <f ca="1">data!P53/100</f>
        <v>12.71</v>
      </c>
      <c r="I30" s="125" t="s">
        <v>278</v>
      </c>
      <c r="J30" s="126"/>
      <c r="K30" s="128"/>
      <c r="L30" s="128"/>
      <c r="M30" s="129"/>
    </row>
    <row r="31" spans="2:20" ht="17.25" thickBot="1" x14ac:dyDescent="0.35">
      <c r="B31" s="55" t="s">
        <v>211</v>
      </c>
      <c r="C31" s="78">
        <f ca="1">data!M54</f>
        <v>-1617</v>
      </c>
      <c r="D31" s="101">
        <f ca="1">data!N54</f>
        <v>124</v>
      </c>
      <c r="E31" s="102">
        <f ca="1">data!Q54</f>
        <v>-455</v>
      </c>
      <c r="F31" s="105">
        <f ca="1">data!O54/100</f>
        <v>254.06</v>
      </c>
      <c r="G31" s="85">
        <f ca="1">data!P54/100</f>
        <v>-19.95</v>
      </c>
      <c r="I31" s="166">
        <f ca="1">data!$L$43</f>
        <v>45720</v>
      </c>
      <c r="J31" s="167"/>
      <c r="K31" s="130" t="s">
        <v>348</v>
      </c>
      <c r="L31" s="131" t="s">
        <v>276</v>
      </c>
      <c r="M31" s="132" t="s">
        <v>205</v>
      </c>
    </row>
    <row r="32" spans="2:20" x14ac:dyDescent="0.3">
      <c r="B32" s="55" t="s">
        <v>212</v>
      </c>
      <c r="C32" s="78">
        <f ca="1">data!M55</f>
        <v>-2</v>
      </c>
      <c r="D32" s="101">
        <f ca="1">data!N55</f>
        <v>261</v>
      </c>
      <c r="E32" s="102">
        <f ca="1">data!Q55</f>
        <v>-861</v>
      </c>
      <c r="F32" s="105">
        <f ca="1">data!O55/100</f>
        <v>921.15</v>
      </c>
      <c r="G32" s="85">
        <f ca="1">data!P55/100</f>
        <v>-617.71</v>
      </c>
      <c r="I32" s="64" t="s">
        <v>358</v>
      </c>
      <c r="J32" s="67" t="s">
        <v>355</v>
      </c>
      <c r="K32" s="140">
        <f ca="1">data!M44/10000</f>
        <v>2617408.497</v>
      </c>
      <c r="L32" s="88">
        <f ca="1">data!M44/data!N44*100</f>
        <v>9.0027117883372672</v>
      </c>
      <c r="M32" s="141">
        <f ca="1">data!O44/100000</f>
        <v>-15660.769399999999</v>
      </c>
    </row>
    <row r="33" spans="2:13" ht="17.25" thickBot="1" x14ac:dyDescent="0.35">
      <c r="B33" s="60" t="s">
        <v>203</v>
      </c>
      <c r="C33" s="81">
        <f ca="1">data!M56</f>
        <v>-17809</v>
      </c>
      <c r="D33" s="103">
        <f ca="1">data!N56</f>
        <v>-4659</v>
      </c>
      <c r="E33" s="104">
        <f ca="1">data!Q56</f>
        <v>-784</v>
      </c>
      <c r="F33" s="106">
        <f ca="1">data!O56/100</f>
        <v>-2102.2199999999998</v>
      </c>
      <c r="G33" s="87">
        <f ca="1">data!P56/100</f>
        <v>18.350000000000001</v>
      </c>
      <c r="I33" s="65"/>
      <c r="J33" s="68" t="s">
        <v>356</v>
      </c>
      <c r="K33" s="94">
        <f ca="1">data!M45/10000</f>
        <v>2360626.3339999998</v>
      </c>
      <c r="L33" s="90">
        <f ca="1">data!M45/data!N45*100</f>
        <v>20.091291461947591</v>
      </c>
      <c r="M33" s="85">
        <f ca="1">data!O45/100000</f>
        <v>3338.8136</v>
      </c>
    </row>
    <row r="34" spans="2:13" ht="17.25" thickBot="1" x14ac:dyDescent="0.35">
      <c r="I34" s="66"/>
      <c r="J34" s="69" t="s">
        <v>357</v>
      </c>
      <c r="K34" s="95">
        <f ca="1">data!M46/10000</f>
        <v>147781.29999999999</v>
      </c>
      <c r="L34" s="92">
        <f ca="1">data!M46/data!N46*100</f>
        <v>13.640511353147499</v>
      </c>
      <c r="M34" s="87">
        <f ca="1">data!O46/100000</f>
        <v>2500</v>
      </c>
    </row>
    <row r="35" spans="2:13" ht="17.25" thickBot="1" x14ac:dyDescent="0.35"/>
    <row r="36" spans="2:13" ht="17.25" thickBot="1" x14ac:dyDescent="0.35">
      <c r="B36" s="166">
        <f ca="1">$B$4</f>
        <v>45721</v>
      </c>
      <c r="C36" s="167"/>
      <c r="D36" s="136" t="s">
        <v>350</v>
      </c>
      <c r="E36" s="137"/>
      <c r="F36" s="137"/>
      <c r="G36" s="138"/>
      <c r="I36" s="125" t="s">
        <v>361</v>
      </c>
      <c r="J36" s="126"/>
      <c r="K36" s="126"/>
      <c r="L36" s="126"/>
      <c r="M36" s="127"/>
    </row>
    <row r="37" spans="2:13" ht="17.25" thickBot="1" x14ac:dyDescent="0.35">
      <c r="B37" s="28" t="str" cm="1">
        <f t="array" aca="1" ref="B37:B46" ca="1">OFFSET(data!$T$50, data!$S$49, 0, 10)</f>
        <v>2025.03.05 01:00</v>
      </c>
      <c r="C37" s="32"/>
      <c r="D37" s="163" t="str" cm="1">
        <f t="array" aca="1" ref="D37:D46" ca="1">OFFSET(data!$U$50, data!$S$49, 0, 10)</f>
        <v>01월 러시아 실업률</v>
      </c>
      <c r="E37" s="163"/>
      <c r="F37" s="163"/>
      <c r="G37" s="21"/>
      <c r="I37" s="168">
        <f ca="1">$B$4</f>
        <v>45721</v>
      </c>
      <c r="J37" s="169"/>
      <c r="K37" s="133" t="s">
        <v>197</v>
      </c>
      <c r="L37" s="134" t="s">
        <v>198</v>
      </c>
      <c r="M37" s="135" t="s">
        <v>199</v>
      </c>
    </row>
    <row r="38" spans="2:13" x14ac:dyDescent="0.3">
      <c r="B38" s="26" t="str">
        <f ca="1"/>
        <v>2025.03.05 09:30</v>
      </c>
      <c r="C38" s="16"/>
      <c r="D38" s="19" t="str">
        <f ca="1"/>
        <v>4분기 호주 실질GDP</v>
      </c>
      <c r="E38" s="19"/>
      <c r="F38" s="19"/>
      <c r="G38" s="29"/>
      <c r="I38" s="180" t="str">
        <f ca="1">data!$R$22</f>
        <v>W3000</v>
      </c>
      <c r="J38" s="123" t="s">
        <v>345</v>
      </c>
      <c r="K38" s="170" cm="1">
        <f t="array" aca="1" ref="K38" ca="1">_xll.IMDP("FUT", "C65", "현재가", $I$37)</f>
        <v>106.78</v>
      </c>
      <c r="L38" s="113" cm="1">
        <f t="array" aca="1" ref="L38" ca="1">IF($I$37&lt;&gt;TODAY(), _xll.IMDP("FUT", "C65", "이론가", $I$37), _xll.IMDP("FUT", 165&amp;data!$R$22, "이론가") )</f>
        <v>106.74299999999999</v>
      </c>
      <c r="M38" s="173">
        <f ca="1">K38-L38</f>
        <v>3.7000000000006139E-2</v>
      </c>
    </row>
    <row r="39" spans="2:13" x14ac:dyDescent="0.3">
      <c r="B39" s="26" t="str">
        <f ca="1"/>
        <v>2025.03.05 16:30</v>
      </c>
      <c r="C39" s="16"/>
      <c r="D39" s="20" t="str">
        <f ca="1"/>
        <v>02월 스위스 소비자물가</v>
      </c>
      <c r="E39" s="19"/>
      <c r="F39" s="19"/>
      <c r="G39" s="29"/>
      <c r="I39" s="181"/>
      <c r="J39" s="171" t="s">
        <v>339</v>
      </c>
      <c r="K39" s="172" cm="1">
        <f t="array" aca="1" ref="K39" ca="1">_xll.IMDP("FUT", "C67", "현재가", $I$37)</f>
        <v>118.95</v>
      </c>
      <c r="L39" s="90" cm="1">
        <f t="array" aca="1" ref="L39" ca="1">IF($I$37&lt;&gt;TODAY(), _xll.IMDP("FUT", "C67", "이론가", $I$37), _xll.IMDP("FUT", 167&amp;data!$R$22, "이론가") )</f>
        <v>118.977</v>
      </c>
      <c r="M39" s="174">
        <f t="shared" ref="M39:M40" ca="1" si="1">K39-L39</f>
        <v>-2.7000000000001023E-2</v>
      </c>
    </row>
    <row r="40" spans="2:13" ht="17.25" thickBot="1" x14ac:dyDescent="0.35">
      <c r="B40" s="26" t="str">
        <f ca="1"/>
        <v>2025.03.05 16:45</v>
      </c>
      <c r="C40" s="16"/>
      <c r="D40" s="19" t="str">
        <f ca="1"/>
        <v>01월 프랑스 산업생산</v>
      </c>
      <c r="E40" s="19"/>
      <c r="F40" s="19"/>
      <c r="G40" s="29"/>
      <c r="I40" s="182" t="str" cm="1">
        <f t="array" aca="1" ref="I40" ca="1">IF($I$37=TODAY(), _xll.IMDP("FUT", "C01", "단축코드", $I$37), "C01")</f>
        <v>101W3000</v>
      </c>
      <c r="J40" s="124" t="s">
        <v>362</v>
      </c>
      <c r="K40" s="96" cm="1">
        <f t="array" aca="1" ref="K40" ca="1">_xll.IMDP("FUT", "C01", "현재가", $I$37)</f>
        <v>336.35</v>
      </c>
      <c r="L40" s="92" cm="1">
        <f t="array" aca="1" ref="L40" ca="1">_xll.IMDP("FUT", "C01", "이론가", $I$37)</f>
        <v>337.31</v>
      </c>
      <c r="M40" s="175">
        <f t="shared" ca="1" si="1"/>
        <v>-0.95999999999997954</v>
      </c>
    </row>
    <row r="41" spans="2:13" ht="17.25" thickBot="1" x14ac:dyDescent="0.35">
      <c r="B41" s="26" t="str">
        <f ca="1"/>
        <v>2025.03.05 18:00</v>
      </c>
      <c r="C41" s="16"/>
      <c r="D41" s="19" t="str">
        <f ca="1"/>
        <v>02월 유로존 서비스업PMI</v>
      </c>
      <c r="E41" s="19"/>
      <c r="F41" s="19"/>
      <c r="G41" s="29"/>
    </row>
    <row r="42" spans="2:13" ht="17.25" thickBot="1" x14ac:dyDescent="0.35">
      <c r="B42" s="26" t="str">
        <f ca="1"/>
        <v>2025.03.05 18:00</v>
      </c>
      <c r="C42" s="16"/>
      <c r="D42" s="19" t="str">
        <f ca="1"/>
        <v>02월 유로존 합성PMI</v>
      </c>
      <c r="E42" s="19"/>
      <c r="F42" s="19"/>
      <c r="G42" s="29"/>
      <c r="H42" s="4"/>
      <c r="I42" s="125" t="s">
        <v>349</v>
      </c>
      <c r="J42" s="126"/>
      <c r="K42" s="126"/>
      <c r="L42" s="126"/>
      <c r="M42" s="127"/>
    </row>
    <row r="43" spans="2:13" ht="17.25" thickBot="1" x14ac:dyDescent="0.35">
      <c r="B43" s="26" t="str">
        <f ca="1"/>
        <v>2025.03.05 19:00</v>
      </c>
      <c r="C43" s="16"/>
      <c r="D43" s="19" t="str">
        <f ca="1"/>
        <v>01월 유로존 생산자물가</v>
      </c>
      <c r="E43" s="19"/>
      <c r="F43" s="19"/>
      <c r="G43" s="29"/>
      <c r="H43" s="4"/>
      <c r="I43" s="166">
        <f ca="1">$B$4</f>
        <v>45721</v>
      </c>
      <c r="J43" s="167"/>
      <c r="K43" s="162" t="s">
        <v>360</v>
      </c>
      <c r="L43" s="161" t="str">
        <f ca="1">IF($I$43=TODAY(), "평균이율", "합계평균")</f>
        <v>평균이율</v>
      </c>
      <c r="M43" s="132" t="str">
        <f ca="1">IF($I$43=TODAY(), "체결이율", "최종이율")</f>
        <v>체결이율</v>
      </c>
    </row>
    <row r="44" spans="2:13" x14ac:dyDescent="0.3">
      <c r="B44" s="26" t="str">
        <f ca="1"/>
        <v>2025.03.06 00:00</v>
      </c>
      <c r="C44" s="16"/>
      <c r="D44" s="19" t="str">
        <f ca="1"/>
        <v>01월 미국 내구재수주</v>
      </c>
      <c r="E44" s="19"/>
      <c r="F44" s="19"/>
      <c r="G44" s="29"/>
      <c r="I44" s="70" t="str" cm="1">
        <f t="array" ref="I44">IF(ISNA(data!$L36), "", _xll.IMDP("IR", data!$L36, "체결기물명") )</f>
        <v>콜1일</v>
      </c>
      <c r="J44" s="71"/>
      <c r="K44" s="142" cm="1">
        <f t="array" aca="1" ref="K44" ca="1">IF(ISNA(data!$L36), "", _xll.IMDP("IR", data!$L36, "합계금액", $I$43) )</f>
        <v>9047</v>
      </c>
      <c r="L44" s="143" cm="1">
        <f t="array" aca="1" ref="L44" ca="1">IF(ISNA(data!$L36), "", _xll.IMDP("IR", data!$L36, L$43, $I$43) )</f>
        <v>2.78</v>
      </c>
      <c r="M44" s="144" cm="1">
        <f t="array" aca="1" ref="M44" ca="1">IF(ISNA(data!$L36), "", _xll.IMDP("IR", data!$L36, M$43, $I$43) )</f>
        <v>2.71</v>
      </c>
    </row>
    <row r="45" spans="2:13" x14ac:dyDescent="0.3">
      <c r="B45" s="26" t="str">
        <f ca="1"/>
        <v>2025.03.06 00:00</v>
      </c>
      <c r="C45" s="16"/>
      <c r="D45" s="19" t="str">
        <f ca="1"/>
        <v>01월 미국 제조업수주</v>
      </c>
      <c r="E45" s="19"/>
      <c r="F45" s="19"/>
      <c r="G45" s="29"/>
      <c r="I45" s="72" t="str" cm="1">
        <f t="array" ref="I45">IF(ISNA(data!$L37), "", _xll.IMDP("IR", data!$L37, "체결기물명") )</f>
        <v/>
      </c>
      <c r="J45" s="73"/>
      <c r="K45" s="76" t="str" cm="1">
        <f t="array" ref="K45">IF(ISNA(data!$L37), "", _xll.IMDP("IR", data!$L37, "합계금액", $I$43) )</f>
        <v/>
      </c>
      <c r="L45" s="97" t="str" cm="1">
        <f t="array" ref="L45">IF(ISNA(data!$L37), "", _xll.IMDP("IR", data!$L37, L$43, $I$43) )</f>
        <v/>
      </c>
      <c r="M45" s="98" t="str" cm="1">
        <f t="array" ref="M45">IF(ISNA(data!$L37), "", _xll.IMDP("IR", data!$L37, M$43, $I$43) )</f>
        <v/>
      </c>
    </row>
    <row r="46" spans="2:13" ht="17.25" thickBot="1" x14ac:dyDescent="0.35">
      <c r="B46" s="27" t="str">
        <f ca="1"/>
        <v>2025.03.06 00:00</v>
      </c>
      <c r="C46" s="33"/>
      <c r="D46" s="31" t="str">
        <f ca="1"/>
        <v>02월 미국 ISM비제조업지수</v>
      </c>
      <c r="E46" s="31"/>
      <c r="F46" s="31"/>
      <c r="G46" s="30"/>
      <c r="I46" s="74" t="str" cm="1">
        <f t="array" ref="I46">IF(ISNA(data!$L38), "", _xll.IMDP("IR", data!$L38, "체결기물명") )</f>
        <v/>
      </c>
      <c r="J46" s="75"/>
      <c r="K46" s="77" t="str" cm="1">
        <f t="array" ref="K46">IF(ISNA(data!$L38), "", _xll.IMDP("IR", data!$L38, "합계금액", $I$43) )</f>
        <v/>
      </c>
      <c r="L46" s="99" t="str" cm="1">
        <f t="array" ref="L46">IF(ISNA(data!$L38), "", _xll.IMDP("IR", data!$L38, L$43, $I$43) )</f>
        <v/>
      </c>
      <c r="M46" s="100" t="str" cm="1">
        <f t="array" ref="M46">IF(ISNA(data!$L38), "", _xll.IMDP("IR", data!$L38, M$43, $I$43) )</f>
        <v/>
      </c>
    </row>
    <row r="47" spans="2:13" x14ac:dyDescent="0.3"/>
    <row r="48" spans="2:13" x14ac:dyDescent="0.3"/>
    <row r="49" x14ac:dyDescent="0.3"/>
    <row r="50" x14ac:dyDescent="0.3"/>
  </sheetData>
  <mergeCells count="40">
    <mergeCell ref="B2:T2"/>
    <mergeCell ref="B25:G25"/>
    <mergeCell ref="I44:J44"/>
    <mergeCell ref="I17:T17"/>
    <mergeCell ref="I32:I34"/>
    <mergeCell ref="D36:G36"/>
    <mergeCell ref="I38:I39"/>
    <mergeCell ref="I46:J46"/>
    <mergeCell ref="I45:J45"/>
    <mergeCell ref="I36:M36"/>
    <mergeCell ref="I42:M42"/>
    <mergeCell ref="I30:M30"/>
    <mergeCell ref="I31:J31"/>
    <mergeCell ref="I37:J37"/>
    <mergeCell ref="I43:J43"/>
    <mergeCell ref="O25:P25"/>
    <mergeCell ref="O26:P26"/>
    <mergeCell ref="O27:P27"/>
    <mergeCell ref="O28:P28"/>
    <mergeCell ref="O20:P20"/>
    <mergeCell ref="O21:P21"/>
    <mergeCell ref="O22:P22"/>
    <mergeCell ref="O23:P23"/>
    <mergeCell ref="O24:P24"/>
    <mergeCell ref="I26:J26"/>
    <mergeCell ref="I27:J27"/>
    <mergeCell ref="I28:J28"/>
    <mergeCell ref="B36:C36"/>
    <mergeCell ref="J6:L6"/>
    <mergeCell ref="M6:O6"/>
    <mergeCell ref="O19:P19"/>
    <mergeCell ref="O18:P18"/>
    <mergeCell ref="I18:J18"/>
    <mergeCell ref="I19:J19"/>
    <mergeCell ref="I20:J20"/>
    <mergeCell ref="I21:J21"/>
    <mergeCell ref="I22:J22"/>
    <mergeCell ref="I23:J23"/>
    <mergeCell ref="I24:J24"/>
    <mergeCell ref="I25:J25"/>
  </mergeCells>
  <conditionalFormatting sqref="C7:D22">
    <cfRule type="expression" dxfId="1" priority="1">
      <formula>OR($D7="장외", $D7="장내")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5</xdr:col>
                    <xdr:colOff>38100</xdr:colOff>
                    <xdr:row>5</xdr:row>
                    <xdr:rowOff>28575</xdr:rowOff>
                  </from>
                  <to>
                    <xdr:col>5</xdr:col>
                    <xdr:colOff>828675</xdr:colOff>
                    <xdr:row>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4</xdr:col>
                    <xdr:colOff>38100</xdr:colOff>
                    <xdr:row>4</xdr:row>
                    <xdr:rowOff>19050</xdr:rowOff>
                  </from>
                  <to>
                    <xdr:col>4</xdr:col>
                    <xdr:colOff>762000</xdr:colOff>
                    <xdr:row>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Scroll Bar 3">
              <controlPr defaultSize="0" autoPict="0">
                <anchor moveWithCells="1">
                  <from>
                    <xdr:col>6</xdr:col>
                    <xdr:colOff>466725</xdr:colOff>
                    <xdr:row>36</xdr:row>
                    <xdr:rowOff>47625</xdr:rowOff>
                  </from>
                  <to>
                    <xdr:col>6</xdr:col>
                    <xdr:colOff>647700</xdr:colOff>
                    <xdr:row>45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Drop Down 4">
              <controlPr defaultSize="0" autoLine="0" autoPict="0">
                <anchor moveWithCells="1">
                  <from>
                    <xdr:col>8</xdr:col>
                    <xdr:colOff>85725</xdr:colOff>
                    <xdr:row>18</xdr:row>
                    <xdr:rowOff>28575</xdr:rowOff>
                  </from>
                  <to>
                    <xdr:col>9</xdr:col>
                    <xdr:colOff>371475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Drop Down 6">
              <controlPr defaultSize="0" autoLine="0" autoPict="0">
                <anchor moveWithCells="1">
                  <from>
                    <xdr:col>13</xdr:col>
                    <xdr:colOff>323850</xdr:colOff>
                    <xdr:row>16</xdr:row>
                    <xdr:rowOff>219075</xdr:rowOff>
                  </from>
                  <to>
                    <xdr:col>14</xdr:col>
                    <xdr:colOff>19050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8" name="Drop Down 73">
              <controlPr defaultSize="0" autoLine="0" autoPict="0">
                <anchor moveWithCells="1">
                  <from>
                    <xdr:col>8</xdr:col>
                    <xdr:colOff>85725</xdr:colOff>
                    <xdr:row>19</xdr:row>
                    <xdr:rowOff>28575</xdr:rowOff>
                  </from>
                  <to>
                    <xdr:col>9</xdr:col>
                    <xdr:colOff>371475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9" name="Drop Down 74">
              <controlPr defaultSize="0" autoLine="0" autoPict="0">
                <anchor moveWithCells="1">
                  <from>
                    <xdr:col>8</xdr:col>
                    <xdr:colOff>85725</xdr:colOff>
                    <xdr:row>20</xdr:row>
                    <xdr:rowOff>28575</xdr:rowOff>
                  </from>
                  <to>
                    <xdr:col>9</xdr:col>
                    <xdr:colOff>371475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0" name="Drop Down 75">
              <controlPr defaultSize="0" autoLine="0" autoPict="0">
                <anchor moveWithCells="1">
                  <from>
                    <xdr:col>8</xdr:col>
                    <xdr:colOff>85725</xdr:colOff>
                    <xdr:row>21</xdr:row>
                    <xdr:rowOff>28575</xdr:rowOff>
                  </from>
                  <to>
                    <xdr:col>9</xdr:col>
                    <xdr:colOff>371475</xdr:colOff>
                    <xdr:row>21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1" name="Drop Down 76">
              <controlPr defaultSize="0" autoLine="0" autoPict="0">
                <anchor moveWithCells="1">
                  <from>
                    <xdr:col>8</xdr:col>
                    <xdr:colOff>85725</xdr:colOff>
                    <xdr:row>22</xdr:row>
                    <xdr:rowOff>28575</xdr:rowOff>
                  </from>
                  <to>
                    <xdr:col>9</xdr:col>
                    <xdr:colOff>371475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2" name="Drop Down 77">
              <controlPr defaultSize="0" autoLine="0" autoPict="0">
                <anchor moveWithCells="1">
                  <from>
                    <xdr:col>8</xdr:col>
                    <xdr:colOff>85725</xdr:colOff>
                    <xdr:row>23</xdr:row>
                    <xdr:rowOff>28575</xdr:rowOff>
                  </from>
                  <to>
                    <xdr:col>9</xdr:col>
                    <xdr:colOff>371475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13" name="Drop Down 78">
              <controlPr defaultSize="0" autoLine="0" autoPict="0">
                <anchor moveWithCells="1">
                  <from>
                    <xdr:col>8</xdr:col>
                    <xdr:colOff>85725</xdr:colOff>
                    <xdr:row>24</xdr:row>
                    <xdr:rowOff>28575</xdr:rowOff>
                  </from>
                  <to>
                    <xdr:col>9</xdr:col>
                    <xdr:colOff>371475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14" name="Drop Down 79">
              <controlPr defaultSize="0" autoLine="0" autoPict="0">
                <anchor moveWithCells="1">
                  <from>
                    <xdr:col>8</xdr:col>
                    <xdr:colOff>85725</xdr:colOff>
                    <xdr:row>25</xdr:row>
                    <xdr:rowOff>28575</xdr:rowOff>
                  </from>
                  <to>
                    <xdr:col>9</xdr:col>
                    <xdr:colOff>371475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15" name="Drop Down 80">
              <controlPr defaultSize="0" autoLine="0" autoPict="0">
                <anchor moveWithCells="1">
                  <from>
                    <xdr:col>8</xdr:col>
                    <xdr:colOff>85725</xdr:colOff>
                    <xdr:row>26</xdr:row>
                    <xdr:rowOff>28575</xdr:rowOff>
                  </from>
                  <to>
                    <xdr:col>9</xdr:col>
                    <xdr:colOff>371475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16" name="Drop Down 81">
              <controlPr defaultSize="0" autoLine="0" autoPict="0">
                <anchor moveWithCells="1">
                  <from>
                    <xdr:col>8</xdr:col>
                    <xdr:colOff>85725</xdr:colOff>
                    <xdr:row>27</xdr:row>
                    <xdr:rowOff>28575</xdr:rowOff>
                  </from>
                  <to>
                    <xdr:col>9</xdr:col>
                    <xdr:colOff>371475</xdr:colOff>
                    <xdr:row>27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B406-4169-4DA8-A188-A9965C955586}">
  <dimension ref="B2:AR74"/>
  <sheetViews>
    <sheetView topLeftCell="E19" workbookViewId="0">
      <selection activeCell="R22" sqref="R22"/>
    </sheetView>
  </sheetViews>
  <sheetFormatPr defaultRowHeight="16.5" x14ac:dyDescent="0.3"/>
  <cols>
    <col min="2" max="2" width="13.75" bestFit="1" customWidth="1"/>
    <col min="3" max="3" width="4.25" bestFit="1" customWidth="1"/>
    <col min="4" max="4" width="11.375" bestFit="1" customWidth="1"/>
    <col min="5" max="5" width="15.25" bestFit="1" customWidth="1"/>
    <col min="6" max="6" width="13" bestFit="1" customWidth="1"/>
    <col min="12" max="12" width="10.375" bestFit="1" customWidth="1"/>
    <col min="18" max="18" width="10.375" bestFit="1" customWidth="1"/>
    <col min="20" max="20" width="15.5" bestFit="1" customWidth="1"/>
    <col min="30" max="30" width="10.375" bestFit="1" customWidth="1"/>
    <col min="31" max="31" width="8.5" customWidth="1"/>
    <col min="36" max="36" width="10.375" bestFit="1" customWidth="1"/>
  </cols>
  <sheetData>
    <row r="2" spans="2:44" x14ac:dyDescent="0.3">
      <c r="N2" t="s">
        <v>235</v>
      </c>
      <c r="Q2" t="s">
        <v>234</v>
      </c>
    </row>
    <row r="3" spans="2:44" x14ac:dyDescent="0.3">
      <c r="B3" s="1" t="s">
        <v>0</v>
      </c>
      <c r="C3" s="1" t="s">
        <v>136</v>
      </c>
      <c r="D3" s="1" t="s">
        <v>1</v>
      </c>
      <c r="E3" s="1" t="s">
        <v>2</v>
      </c>
      <c r="F3" s="1" t="s">
        <v>3</v>
      </c>
      <c r="H3">
        <v>2</v>
      </c>
      <c r="M3" t="s">
        <v>227</v>
      </c>
      <c r="N3" t="s">
        <v>187</v>
      </c>
      <c r="O3" t="s">
        <v>188</v>
      </c>
      <c r="P3" t="s">
        <v>267</v>
      </c>
      <c r="Q3" t="s">
        <v>216</v>
      </c>
      <c r="U3" t="s">
        <v>252</v>
      </c>
      <c r="V3" t="s">
        <v>253</v>
      </c>
      <c r="AD3" s="3">
        <f ca="1">DATE(LEFT($AE$4,4), MID($AE$4, 5,2), RIGHT($AE$4, 2))</f>
        <v>45714</v>
      </c>
      <c r="AE3" s="3" cm="1">
        <f t="array" aca="1" ref="AE3" ca="1">Sheet1!$B$4-INDEX(data!$I$9:$I$14, data!$H$8)</f>
        <v>45714</v>
      </c>
      <c r="AJ3" t="s">
        <v>217</v>
      </c>
      <c r="AM3" t="s">
        <v>228</v>
      </c>
      <c r="AN3" t="s">
        <v>229</v>
      </c>
      <c r="AO3" t="s">
        <v>230</v>
      </c>
      <c r="AP3" t="s">
        <v>231</v>
      </c>
      <c r="AQ3" t="s">
        <v>232</v>
      </c>
      <c r="AR3" t="s">
        <v>233</v>
      </c>
    </row>
    <row r="4" spans="2:44" x14ac:dyDescent="0.3">
      <c r="B4" t="s">
        <v>26</v>
      </c>
      <c r="C4" t="s">
        <v>106</v>
      </c>
      <c r="D4" t="s">
        <v>13</v>
      </c>
      <c r="E4" t="s">
        <v>108</v>
      </c>
      <c r="F4" t="s">
        <v>27</v>
      </c>
      <c r="H4" t="s">
        <v>187</v>
      </c>
      <c r="L4" t="str">
        <f>Sheet1!B7</f>
        <v>국고 2Y</v>
      </c>
      <c r="M4" t="str">
        <f t="shared" ref="M4:M9" si="0">AJ4</f>
        <v>KR103503GE96</v>
      </c>
      <c r="N4" t="s">
        <v>156</v>
      </c>
      <c r="O4" t="s">
        <v>183</v>
      </c>
      <c r="P4" t="s">
        <v>155</v>
      </c>
      <c r="Q4" s="6" t="s">
        <v>168</v>
      </c>
      <c r="S4" t="s">
        <v>238</v>
      </c>
      <c r="U4" s="8" cm="1">
        <f t="array" ref="U4">_xll.IMDP("BND", $M4, U$3,,"TmFmt=1")</f>
        <v>0.64466435185185189</v>
      </c>
      <c r="V4" s="9" cm="1">
        <f t="array" ref="V4">_xll.IMDP("BND", $M4, V$3,,"TmFmt=1")</f>
        <v>0.66637731481481477</v>
      </c>
      <c r="W4" s="9">
        <f>MATCH(MAX($U4:$V4), $U4:$V4, 0)</f>
        <v>2</v>
      </c>
      <c r="X4" s="9" t="str">
        <f>IF(AND(U4="", V4=""),TRUE,CHOOSE(W4, "장내국채-현재수익률", "장외-현재수익률") )</f>
        <v>장외-현재수익률</v>
      </c>
      <c r="Y4" s="10" t="str">
        <f>CHOOSE($W4, "장내", "장외")</f>
        <v>장외</v>
      </c>
      <c r="AB4" t="str">
        <f>CHOOSE($H$3, $N4, $O4, $AI4)</f>
        <v>BONDAVG01</v>
      </c>
      <c r="AC4" t="str">
        <f>CHOOSE($H$3, "대표수익률", data!$S4, "민평3사 수익률(산출일) 당일")</f>
        <v>2년이하(당일)</v>
      </c>
      <c r="AD4" cm="1">
        <f t="array" aca="1" ref="AD4" ca="1">IF($H$3=3, _xll.IMDP("BND", $M4, $AC4, $AD$3), _xll.IMDP("IR", $AB4, $AC4, $AD$3) )</f>
        <v>2.6549999999999998</v>
      </c>
      <c r="AE4" cm="1">
        <f t="array" aca="1" ref="AE4" ca="1">_xll.IMDP("IR", $N$5, $N$2, data!$AE$3, "fill=true, disp=date, DtFmt=1")</f>
        <v>20250226</v>
      </c>
      <c r="AG4" t="str" cm="1">
        <f t="array" aca="1" ref="AG4" ca="1">_xll.IMDH("BND", $AI4, "표준코드", Sheet1!$B$6, Sheet1!$B$6, 1, "Per=일, Sort=D, real=true, Bizday=12, Pos=30, Orient=H")</f>
        <v>조회[KR1035G00002]</v>
      </c>
      <c r="AH4" t="s">
        <v>154</v>
      </c>
      <c r="AI4" s="2" t="s">
        <v>155</v>
      </c>
      <c r="AJ4" t="s">
        <v>218</v>
      </c>
      <c r="AM4" cm="1">
        <f t="array" ref="AM4">_xll.IMDP("BND", $AJ4, AM$3)</f>
        <v>60</v>
      </c>
      <c r="AN4" cm="1">
        <f t="array" ref="AN4">_xll.IMDP("BND", $AJ4, AN$3)</f>
        <v>2.6739999999999999</v>
      </c>
      <c r="AO4" cm="1">
        <f t="array" ref="AO4">_xll.IMDP("BND", $AJ4, AO$3)</f>
        <v>10170</v>
      </c>
      <c r="AP4" cm="1">
        <f t="array" ref="AP4">_xll.IMDP("BND", $AJ4, AP$3)</f>
        <v>10169.5</v>
      </c>
      <c r="AQ4" cm="1">
        <f t="array" ref="AQ4">_xll.IMDP("BND", $AJ4, AQ$3)</f>
        <v>2.6779999999999999</v>
      </c>
      <c r="AR4" cm="1">
        <f t="array" ref="AR4">_xll.IMDP("BND", $AJ4, AR$3)</f>
        <v>50</v>
      </c>
    </row>
    <row r="5" spans="2:44" x14ac:dyDescent="0.3">
      <c r="B5" t="s">
        <v>28</v>
      </c>
      <c r="C5" t="s">
        <v>106</v>
      </c>
      <c r="D5" t="s">
        <v>29</v>
      </c>
      <c r="E5" t="s">
        <v>108</v>
      </c>
      <c r="F5" t="s">
        <v>27</v>
      </c>
      <c r="H5" t="s">
        <v>188</v>
      </c>
      <c r="L5" t="str">
        <f>Sheet1!B8</f>
        <v>국고 3Y</v>
      </c>
      <c r="M5" t="str">
        <f t="shared" si="0"/>
        <v>KR103501GEC6</v>
      </c>
      <c r="N5" t="s">
        <v>157</v>
      </c>
      <c r="O5" t="s">
        <v>183</v>
      </c>
      <c r="P5" t="s">
        <v>153</v>
      </c>
      <c r="Q5" s="6" t="s">
        <v>169</v>
      </c>
      <c r="S5" t="s">
        <v>239</v>
      </c>
      <c r="U5" s="14" cm="1">
        <f t="array" ref="U5">_xll.IMDP("BND", $M5, U$3,,"TmFmt=1")</f>
        <v>0.64581018518518518</v>
      </c>
      <c r="V5" cm="1">
        <f t="array" ref="V5">_xll.IMDP("BND", $M5, V$3,,"TmFmt=1")</f>
        <v>0.69887731481481485</v>
      </c>
      <c r="W5">
        <f t="shared" ref="W5:W9" si="1">MATCH(MAX($U5:$V5), $U5:$V5, 0)</f>
        <v>2</v>
      </c>
      <c r="X5" t="str">
        <f t="shared" ref="X5:X9" si="2">IF(AND(U5="", V5=""),TRUE,CHOOSE(W5, "장내국채-현재수익률", "장외-현재수익률") )</f>
        <v>장외-현재수익률</v>
      </c>
      <c r="Y5" s="16" t="str">
        <f t="shared" ref="Y5:Y9" si="3">CHOOSE($W5, "장내", "장외")</f>
        <v>장외</v>
      </c>
      <c r="AB5" t="str">
        <f t="shared" ref="AB5:AB9" si="4">CHOOSE($H$3, $N5, $O5, $AI5)</f>
        <v>BONDAVG01</v>
      </c>
      <c r="AC5" t="str">
        <f>CHOOSE($H$3, "대표수익률", data!$S5, "민평3사 수익률(산출일) 당일")</f>
        <v>3년이하(당일)</v>
      </c>
      <c r="AD5" cm="1">
        <f t="array" aca="1" ref="AD5" ca="1">IF($H$3=3, _xll.IMDP("BND", $M5, $AC5, $AD$3), _xll.IMDP("IR", $AB5, $AC5, $AD$3) )</f>
        <v>2.5950000000000002</v>
      </c>
      <c r="AG5" t="str" cm="1">
        <f t="array" aca="1" ref="AG5" ca="1">_xll.IMDH("BND", $AI5, "표준코드", Sheet1!$B$6, Sheet1!$B$6, 1, "Per=일, Sort=D, real=true, Bizday=12, Pos=30, Orient=H")</f>
        <v>조회[KR1035G00003]</v>
      </c>
      <c r="AH5" t="s">
        <v>152</v>
      </c>
      <c r="AI5" s="2" t="s">
        <v>153</v>
      </c>
      <c r="AJ5" t="s">
        <v>224</v>
      </c>
      <c r="AM5" cm="1">
        <f t="array" ref="AM5">_xll.IMDP("BND", $AJ5, AM$3)</f>
        <v>50</v>
      </c>
      <c r="AN5" cm="1">
        <f t="array" ref="AN5">_xll.IMDP("BND", $AJ5, AN$3)</f>
        <v>2.5630000000000002</v>
      </c>
      <c r="AO5" cm="1">
        <f t="array" ref="AO5">_xll.IMDP("BND", $AJ5, AO$3)</f>
        <v>10150</v>
      </c>
      <c r="AP5" cm="1">
        <f t="array" ref="AP5">_xll.IMDP("BND", $AJ5, AP$3)</f>
        <v>10149.5</v>
      </c>
      <c r="AQ5" cm="1">
        <f t="array" ref="AQ5">_xll.IMDP("BND", $AJ5, AQ$3)</f>
        <v>2.5649999999999999</v>
      </c>
      <c r="AR5" cm="1">
        <f t="array" ref="AR5">_xll.IMDP("BND", $AJ5, AR$3)</f>
        <v>80</v>
      </c>
    </row>
    <row r="6" spans="2:44" x14ac:dyDescent="0.3">
      <c r="B6" t="s">
        <v>30</v>
      </c>
      <c r="C6" t="s">
        <v>106</v>
      </c>
      <c r="D6" t="s">
        <v>31</v>
      </c>
      <c r="E6" t="s">
        <v>108</v>
      </c>
      <c r="F6" t="s">
        <v>27</v>
      </c>
      <c r="H6" t="s">
        <v>268</v>
      </c>
      <c r="L6" t="str">
        <f>Sheet1!B9</f>
        <v>국고 5Y</v>
      </c>
      <c r="M6" t="str">
        <f t="shared" si="0"/>
        <v>KR103501GE98</v>
      </c>
      <c r="N6" t="s">
        <v>158</v>
      </c>
      <c r="O6" t="s">
        <v>183</v>
      </c>
      <c r="P6" t="s">
        <v>151</v>
      </c>
      <c r="Q6" s="6" t="s">
        <v>170</v>
      </c>
      <c r="S6" t="s">
        <v>240</v>
      </c>
      <c r="U6" s="14" cm="1">
        <f t="array" ref="U6">_xll.IMDP("BND", $M6, U$3,,"TmFmt=1")</f>
        <v>0.64578703703703699</v>
      </c>
      <c r="V6" cm="1">
        <f t="array" ref="V6">_xll.IMDP("BND", $M6, V$3,,"TmFmt=1")</f>
        <v>0.70436342592592593</v>
      </c>
      <c r="W6">
        <f t="shared" si="1"/>
        <v>2</v>
      </c>
      <c r="X6" t="str">
        <f t="shared" si="2"/>
        <v>장외-현재수익률</v>
      </c>
      <c r="Y6" s="16" t="str">
        <f t="shared" si="3"/>
        <v>장외</v>
      </c>
      <c r="AB6" t="str">
        <f t="shared" si="4"/>
        <v>BONDAVG01</v>
      </c>
      <c r="AC6" t="str">
        <f>CHOOSE($H$3, "대표수익률", data!$S6, "민평3사 수익률(산출일) 당일")</f>
        <v>5년이하(당일)</v>
      </c>
      <c r="AD6" cm="1">
        <f t="array" aca="1" ref="AD6" ca="1">IF($H$3=3, _xll.IMDP("BND", $M6, $AC6, $AD$3), _xll.IMDP("IR", $AB6, $AC6, $AD$3) )</f>
        <v>2.68</v>
      </c>
      <c r="AG6" t="str" cm="1">
        <f t="array" aca="1" ref="AG6" ca="1">_xll.IMDH("BND", $AI6, "표준코드", Sheet1!$B$6, Sheet1!$B$6, 1, "Per=일, Sort=D, real=true, Bizday=12, Pos=30, Orient=H")</f>
        <v>조회[KR1035G00005]</v>
      </c>
      <c r="AH6" t="s">
        <v>150</v>
      </c>
      <c r="AI6" s="2" t="s">
        <v>151</v>
      </c>
      <c r="AJ6" t="s">
        <v>219</v>
      </c>
      <c r="AM6" cm="1">
        <f t="array" ref="AM6">_xll.IMDP("BND", $AJ6, AM$3)</f>
        <v>10</v>
      </c>
      <c r="AN6" cm="1">
        <f t="array" ref="AN6">_xll.IMDP("BND", $AJ6, AN$3)</f>
        <v>2.6749999999999998</v>
      </c>
      <c r="AO6" cm="1">
        <f t="array" ref="AO6">_xll.IMDP("BND", $AJ6, AO$3)</f>
        <v>10283.5</v>
      </c>
      <c r="AP6" cm="1">
        <f t="array" ref="AP6">_xll.IMDP("BND", $AJ6, AP$3)</f>
        <v>10282.5</v>
      </c>
      <c r="AQ6" cm="1">
        <f t="array" ref="AQ6">_xll.IMDP("BND", $AJ6, AQ$3)</f>
        <v>2.6779999999999999</v>
      </c>
      <c r="AR6" cm="1">
        <f t="array" ref="AR6">_xll.IMDP("BND", $AJ6, AR$3)</f>
        <v>100</v>
      </c>
    </row>
    <row r="7" spans="2:44" x14ac:dyDescent="0.3">
      <c r="B7" t="s">
        <v>103</v>
      </c>
      <c r="C7" t="s">
        <v>106</v>
      </c>
      <c r="D7" t="s">
        <v>107</v>
      </c>
      <c r="E7" t="s">
        <v>108</v>
      </c>
      <c r="F7" t="s">
        <v>27</v>
      </c>
      <c r="L7" t="str">
        <f>Sheet1!B10</f>
        <v>국고 10Y</v>
      </c>
      <c r="M7" t="str">
        <f t="shared" si="0"/>
        <v>KR103502GEC4</v>
      </c>
      <c r="N7" t="s">
        <v>92</v>
      </c>
      <c r="O7" t="s">
        <v>183</v>
      </c>
      <c r="P7" t="s">
        <v>149</v>
      </c>
      <c r="Q7" s="6" t="s">
        <v>171</v>
      </c>
      <c r="S7" t="s">
        <v>241</v>
      </c>
      <c r="U7" s="14" cm="1">
        <f t="array" ref="U7">_xll.IMDP("BND", $M7, U$3,,"TmFmt=1")</f>
        <v>0.6457060185185185</v>
      </c>
      <c r="V7" cm="1">
        <f t="array" ref="V7">_xll.IMDP("BND", $M7, V$3,,"TmFmt=1")</f>
        <v>0.70417824074074076</v>
      </c>
      <c r="W7">
        <f t="shared" si="1"/>
        <v>2</v>
      </c>
      <c r="X7" t="str">
        <f t="shared" si="2"/>
        <v>장외-현재수익률</v>
      </c>
      <c r="Y7" s="16" t="str">
        <f t="shared" si="3"/>
        <v>장외</v>
      </c>
      <c r="AB7" t="str">
        <f t="shared" si="4"/>
        <v>BONDAVG01</v>
      </c>
      <c r="AC7" t="str">
        <f>CHOOSE($H$3, "대표수익률", data!$S7, "민평3사 수익률(산출일) 당일")</f>
        <v>10년이하(당일)</v>
      </c>
      <c r="AD7" cm="1">
        <f t="array" aca="1" ref="AD7" ca="1">IF($H$3=3, _xll.IMDP("BND", $M7, $AC7, $AD$3), _xll.IMDP("IR", $AB7, $AC7, $AD$3) )</f>
        <v>2.7530000000000001</v>
      </c>
      <c r="AG7" t="str" cm="1">
        <f t="array" aca="1" ref="AG7" ca="1">_xll.IMDH("BND", $AI7, "표준코드", Sheet1!$B$6, Sheet1!$B$6, 1, "Per=일, Sort=D, real=true, Bizday=12, Pos=30, Orient=H")</f>
        <v>조회[KR1035G00010]</v>
      </c>
      <c r="AH7" t="s">
        <v>148</v>
      </c>
      <c r="AI7" s="2" t="s">
        <v>149</v>
      </c>
      <c r="AJ7" t="s">
        <v>223</v>
      </c>
      <c r="AM7" cm="1">
        <f t="array" ref="AM7">_xll.IMDP("BND", $AJ7, AM$3)</f>
        <v>30</v>
      </c>
      <c r="AN7" cm="1">
        <f t="array" ref="AN7">_xll.IMDP("BND", $AJ7, AN$3)</f>
        <v>2.7719999999999998</v>
      </c>
      <c r="AO7" cm="1">
        <f t="array" ref="AO7">_xll.IMDP("BND", $AJ7, AO$3)</f>
        <v>10264</v>
      </c>
      <c r="AP7" cm="1">
        <f t="array" ref="AP7">_xll.IMDP("BND", $AJ7, AP$3)</f>
        <v>10262</v>
      </c>
      <c r="AQ7" cm="1">
        <f t="array" ref="AQ7">_xll.IMDP("BND", $AJ7, AQ$3)</f>
        <v>2.774</v>
      </c>
      <c r="AR7" cm="1">
        <f t="array" ref="AR7">_xll.IMDP("BND", $AJ7, AR$3)</f>
        <v>100</v>
      </c>
    </row>
    <row r="8" spans="2:44" x14ac:dyDescent="0.3">
      <c r="B8" t="s">
        <v>96</v>
      </c>
      <c r="C8" t="s">
        <v>106</v>
      </c>
      <c r="D8" t="s">
        <v>29</v>
      </c>
      <c r="E8" t="s">
        <v>110</v>
      </c>
      <c r="F8" t="s">
        <v>97</v>
      </c>
      <c r="H8">
        <v>2</v>
      </c>
      <c r="L8" t="str">
        <f>Sheet1!B11</f>
        <v>국고 20Y</v>
      </c>
      <c r="M8" t="str">
        <f t="shared" si="0"/>
        <v>KR103504GE95</v>
      </c>
      <c r="N8" t="s">
        <v>159</v>
      </c>
      <c r="O8" t="s">
        <v>183</v>
      </c>
      <c r="P8" t="s">
        <v>147</v>
      </c>
      <c r="Q8" s="6" t="s">
        <v>172</v>
      </c>
      <c r="S8" t="s">
        <v>242</v>
      </c>
      <c r="U8" s="14" cm="1">
        <f t="array" ref="U8">_xll.IMDP("BND", $M8, U$3,,"TmFmt=1")</f>
        <v>0.6457060185185185</v>
      </c>
      <c r="V8" cm="1">
        <f t="array" ref="V8">_xll.IMDP("BND", $M8, V$3,,"TmFmt=1")</f>
        <v>0.70004629629629633</v>
      </c>
      <c r="W8">
        <f t="shared" si="1"/>
        <v>2</v>
      </c>
      <c r="X8" t="str">
        <f t="shared" si="2"/>
        <v>장외-현재수익률</v>
      </c>
      <c r="Y8" s="16" t="str">
        <f t="shared" si="3"/>
        <v>장외</v>
      </c>
      <c r="AB8" t="str">
        <f t="shared" si="4"/>
        <v>BONDAVG01</v>
      </c>
      <c r="AC8" t="str">
        <f>CHOOSE($H$3, "대표수익률", data!$S8, "민평3사 수익률(산출일) 당일")</f>
        <v>20년이하(당일)</v>
      </c>
      <c r="AD8" cm="1">
        <f t="array" aca="1" ref="AD8" ca="1">IF($H$3=3, _xll.IMDP("BND", $M8, $AC8, $AD$3), _xll.IMDP("IR", $AB8, $AC8, $AD$3) )</f>
        <v>2.6949999999999998</v>
      </c>
      <c r="AG8" t="str" cm="1">
        <f t="array" aca="1" ref="AG8" ca="1">_xll.IMDH("BND", $AI8, "표준코드", Sheet1!$B$6, Sheet1!$B$6, 1, "Per=일, Sort=D, real=true, Bizday=12, Pos=30, Orient=H")</f>
        <v>조회[KR1035G00020]</v>
      </c>
      <c r="AH8" t="s">
        <v>146</v>
      </c>
      <c r="AI8" s="2" t="s">
        <v>147</v>
      </c>
      <c r="AJ8" t="s">
        <v>220</v>
      </c>
      <c r="AM8" cm="1">
        <f t="array" ref="AM8">_xll.IMDP("BND", $AJ8, AM$3)</f>
        <v>10</v>
      </c>
      <c r="AN8" cm="1">
        <f t="array" ref="AN8">_xll.IMDP("BND", $AJ8, AN$3)</f>
        <v>2.7029999999999998</v>
      </c>
      <c r="AO8" cm="1">
        <f t="array" ref="AO8">_xll.IMDP("BND", $AJ8, AO$3)</f>
        <v>10399</v>
      </c>
      <c r="AP8" cm="1">
        <f t="array" ref="AP8">_xll.IMDP("BND", $AJ8, AP$3)</f>
        <v>10391</v>
      </c>
      <c r="AQ8" cm="1">
        <f t="array" ref="AQ8">_xll.IMDP("BND", $AJ8, AQ$3)</f>
        <v>2.7080000000000002</v>
      </c>
      <c r="AR8" cm="1">
        <f t="array" ref="AR8">_xll.IMDP("BND", $AJ8, AR$3)</f>
        <v>20</v>
      </c>
    </row>
    <row r="9" spans="2:44" x14ac:dyDescent="0.3">
      <c r="B9" t="s">
        <v>90</v>
      </c>
      <c r="C9" t="s">
        <v>105</v>
      </c>
      <c r="D9" t="s">
        <v>91</v>
      </c>
      <c r="F9" t="s">
        <v>93</v>
      </c>
      <c r="H9" t="s">
        <v>246</v>
      </c>
      <c r="I9">
        <v>1</v>
      </c>
      <c r="L9" t="str">
        <f>Sheet1!B12</f>
        <v>국고 30Y</v>
      </c>
      <c r="M9" t="str">
        <f t="shared" si="0"/>
        <v>KR103502GE97</v>
      </c>
      <c r="N9" t="s">
        <v>160</v>
      </c>
      <c r="O9" t="s">
        <v>183</v>
      </c>
      <c r="P9" t="s">
        <v>145</v>
      </c>
      <c r="Q9" s="6" t="s">
        <v>173</v>
      </c>
      <c r="S9" t="s">
        <v>243</v>
      </c>
      <c r="U9" s="11" cm="1">
        <f t="array" ref="U9">_xll.IMDP("BND", $M9, U$3,,"TmFmt=1")</f>
        <v>0.64582175925925922</v>
      </c>
      <c r="V9" s="12" cm="1">
        <f t="array" ref="V9">_xll.IMDP("BND", $M9, V$3,,"TmFmt=1")</f>
        <v>0.70436342592592593</v>
      </c>
      <c r="W9" s="12">
        <f t="shared" si="1"/>
        <v>2</v>
      </c>
      <c r="X9" s="12" t="str">
        <f t="shared" si="2"/>
        <v>장외-현재수익률</v>
      </c>
      <c r="Y9" s="13" t="str">
        <f t="shared" si="3"/>
        <v>장외</v>
      </c>
      <c r="AB9" t="str">
        <f t="shared" si="4"/>
        <v>BONDAVG01</v>
      </c>
      <c r="AC9" t="str">
        <f>CHOOSE($H$3, "대표수익률", data!$S9, "민평3사 수익률(산출일) 당일")</f>
        <v>30년이하(당일)</v>
      </c>
      <c r="AD9" cm="1">
        <f t="array" aca="1" ref="AD9" ca="1">IF($H$3=3, _xll.IMDP("BND", $M9, $AC9, $AD$3), _xll.IMDP("IR", $AB9, $AC9, $AD$3) )</f>
        <v>2.5950000000000002</v>
      </c>
      <c r="AG9" t="str" cm="1">
        <f t="array" aca="1" ref="AG9" ca="1">_xll.IMDH("BND", $AI9, "표준코드", Sheet1!$B$6, Sheet1!$B$6, 1, "Per=일, Sort=D, real=true, Bizday=12, Pos=30, Orient=H")</f>
        <v>조회[KR1035G00030]</v>
      </c>
      <c r="AH9" t="s">
        <v>144</v>
      </c>
      <c r="AI9" s="2" t="s">
        <v>145</v>
      </c>
      <c r="AJ9" t="s">
        <v>222</v>
      </c>
      <c r="AM9" cm="1">
        <f t="array" ref="AM9">_xll.IMDP("BND", $AJ9, AM$3)</f>
        <v>10</v>
      </c>
      <c r="AN9" cm="1">
        <f t="array" ref="AN9">_xll.IMDP("BND", $AJ9, AN$3)</f>
        <v>2.605</v>
      </c>
      <c r="AO9" cm="1">
        <f t="array" ref="AO9">_xll.IMDP("BND", $AJ9, AO$3)</f>
        <v>10430</v>
      </c>
      <c r="AP9" cm="1">
        <f t="array" ref="AP9">_xll.IMDP("BND", $AJ9, AP$3)</f>
        <v>10428</v>
      </c>
      <c r="AQ9" cm="1">
        <f t="array" ref="AQ9">_xll.IMDP("BND", $AJ9, AQ$3)</f>
        <v>2.6059999999999999</v>
      </c>
      <c r="AR9" cm="1">
        <f t="array" ref="AR9">_xll.IMDP("BND", $AJ9, AR$3)</f>
        <v>30</v>
      </c>
    </row>
    <row r="10" spans="2:44" x14ac:dyDescent="0.3">
      <c r="B10" t="s">
        <v>94</v>
      </c>
      <c r="C10" t="s">
        <v>105</v>
      </c>
      <c r="D10" t="s">
        <v>95</v>
      </c>
      <c r="F10" t="s">
        <v>93</v>
      </c>
      <c r="H10" t="s">
        <v>247</v>
      </c>
      <c r="I10">
        <v>7</v>
      </c>
      <c r="L10" t="str">
        <f>Sheet1!B13</f>
        <v>통안 91D</v>
      </c>
      <c r="N10" t="s">
        <v>161</v>
      </c>
      <c r="O10" t="s">
        <v>184</v>
      </c>
      <c r="P10" s="7" t="str">
        <f>O10</f>
        <v>BONDAVG14</v>
      </c>
      <c r="Q10" t="s">
        <v>174</v>
      </c>
      <c r="S10" t="s">
        <v>244</v>
      </c>
      <c r="AB10" t="str" cm="1">
        <f t="array" ref="AB10">INDEX($N10:$P10, 1, $H$3)</f>
        <v>BONDAVG14</v>
      </c>
      <c r="AC10" t="str">
        <f>CHOOSE($H$3, "대표수익률", data!$S10, data!$S10)</f>
        <v>3월이하(당일)</v>
      </c>
      <c r="AD10" cm="1">
        <f t="array" aca="1" ref="AD10" ca="1">_xll.IMDP("IR", $AB10, $AC10, $AD$3)</f>
        <v>2.758</v>
      </c>
      <c r="AG10" t="str" cm="1">
        <f t="array" aca="1" ref="AG10" ca="1">_xll.IMDH("BND", $AI10, "표준코드", Sheet1!$B$6, Sheet1!$B$6, 1, "Per=일, Sort=D, real=true, Bizday=12, Pos=30, Orient=H")</f>
        <v>조회[KR1035M00200]</v>
      </c>
      <c r="AH10" s="2" t="s">
        <v>138</v>
      </c>
      <c r="AI10" s="2" t="s">
        <v>139</v>
      </c>
      <c r="AJ10" t="s">
        <v>221</v>
      </c>
      <c r="AM10" cm="1">
        <f t="array" ref="AM10">_xll.IMDP("BND", $AJ10, AM$3)</f>
        <v>20</v>
      </c>
      <c r="AN10" cm="1">
        <f t="array" ref="AN10">_xll.IMDP("BND", $AJ10, AN$3)</f>
        <v>0.41499999999999998</v>
      </c>
      <c r="AO10" cm="1">
        <f t="array" ref="AO10">_xll.IMDP("BND", $AJ10, AO$3)</f>
        <v>10321</v>
      </c>
      <c r="AP10" cm="1">
        <f t="array" ref="AP10">_xll.IMDP("BND", $AJ10, AP$3)</f>
        <v>10317</v>
      </c>
      <c r="AQ10" cm="1">
        <f t="array" ref="AQ10">_xll.IMDP("BND", $AJ10, AQ$3)</f>
        <v>0.42</v>
      </c>
      <c r="AR10" cm="1">
        <f t="array" ref="AR10">_xll.IMDP("BND", $AJ10, AR$3)</f>
        <v>10</v>
      </c>
    </row>
    <row r="11" spans="2:44" x14ac:dyDescent="0.3">
      <c r="B11" t="s">
        <v>64</v>
      </c>
      <c r="C11" t="s">
        <v>106</v>
      </c>
      <c r="D11" t="s">
        <v>31</v>
      </c>
      <c r="E11" t="s">
        <v>111</v>
      </c>
      <c r="F11" t="s">
        <v>65</v>
      </c>
      <c r="H11" t="s">
        <v>248</v>
      </c>
      <c r="I11">
        <v>30</v>
      </c>
      <c r="L11" t="str">
        <f>Sheet1!B14</f>
        <v>통안 1Y</v>
      </c>
      <c r="N11" t="s">
        <v>162</v>
      </c>
      <c r="O11" t="s">
        <v>184</v>
      </c>
      <c r="P11" s="7" t="str">
        <f>O11</f>
        <v>BONDAVG14</v>
      </c>
      <c r="Q11" t="s">
        <v>175</v>
      </c>
      <c r="S11" t="s">
        <v>245</v>
      </c>
      <c r="AB11" t="str" cm="1">
        <f t="array" ref="AB11">INDEX($N11:$P11, 1, $H$3)</f>
        <v>BONDAVG14</v>
      </c>
      <c r="AC11" t="str">
        <f>CHOOSE($H$3, "대표수익률", data!$S11, data!$S11)</f>
        <v>1년이하(당일)</v>
      </c>
      <c r="AD11" cm="1">
        <f t="array" aca="1" ref="AD11" ca="1">_xll.IMDP("IR", $AB11, $AC11, $AD$3)</f>
        <v>2.6259999999999999</v>
      </c>
    </row>
    <row r="12" spans="2:44" x14ac:dyDescent="0.3">
      <c r="B12" t="s">
        <v>66</v>
      </c>
      <c r="C12" t="s">
        <v>106</v>
      </c>
      <c r="D12" t="s">
        <v>67</v>
      </c>
      <c r="E12" t="s">
        <v>112</v>
      </c>
      <c r="F12" t="s">
        <v>68</v>
      </c>
      <c r="H12" t="s">
        <v>249</v>
      </c>
      <c r="I12">
        <v>90</v>
      </c>
      <c r="L12" t="str">
        <f>Sheet1!B15</f>
        <v>통안 2Y</v>
      </c>
      <c r="M12" t="str">
        <f>AJ12</f>
        <v>KR310101GF19</v>
      </c>
      <c r="N12" t="s">
        <v>163</v>
      </c>
      <c r="O12" t="s">
        <v>184</v>
      </c>
      <c r="P12" t="s">
        <v>143</v>
      </c>
      <c r="Q12" t="s">
        <v>176</v>
      </c>
      <c r="S12" t="s">
        <v>238</v>
      </c>
      <c r="U12" s="8" t="str" cm="1">
        <f t="array" ref="U12">_xll.IMDP("BND", $M12, U$3,,"TmFmt=1")</f>
        <v/>
      </c>
      <c r="V12" s="9" cm="1">
        <f t="array" ref="V12">_xll.IMDP("BND", $M12, V$3,,"TmFmt=1")</f>
        <v>0.70311342592592596</v>
      </c>
      <c r="W12" s="9">
        <f t="shared" ref="W12:W13" si="5">MATCH(MAX($U12:$V12), $U12:$V12, 0)</f>
        <v>2</v>
      </c>
      <c r="X12" s="9" t="str">
        <f t="shared" ref="X12:X13" si="6">IF(AND(U12="", V12=""),TRUE,CHOOSE(W12, "장내국채-현재수익률", "장외-현재수익률") )</f>
        <v>장외-현재수익률</v>
      </c>
      <c r="Y12" s="10" t="str">
        <f t="shared" ref="Y12:Y13" si="7">CHOOSE($W12, "장내", "장외")</f>
        <v>장외</v>
      </c>
      <c r="AB12" t="str">
        <f t="shared" ref="AB12:AB13" si="8">CHOOSE($H$3, $N12, $O12, $AI12)</f>
        <v>BONDAVG14</v>
      </c>
      <c r="AC12" t="str">
        <f>CHOOSE($H$3, "대표수익률", data!$S12, "민평3사 수익률(산출일) 당일")</f>
        <v>2년이하(당일)</v>
      </c>
      <c r="AD12" cm="1">
        <f t="array" aca="1" ref="AD12" ca="1">IF($H$3=3, _xll.IMDP("BND", $M12, $AC12, $AD$3), _xll.IMDP("IR", $AB12, $AC12, $AD$3) )</f>
        <v>2.64</v>
      </c>
      <c r="AG12" t="str" cm="1">
        <f t="array" aca="1" ref="AG12" ca="1">_xll.IMDH("BND", $AI12, "표준코드", Sheet1!$B$6, Sheet1!$B$6, 1, "Per=일, Sort=D, real=true, Bizday=12, Pos=30, Orient=H")</f>
        <v>조회[KR3101000100]</v>
      </c>
      <c r="AH12" t="s">
        <v>142</v>
      </c>
      <c r="AI12" s="2" t="s">
        <v>143</v>
      </c>
      <c r="AJ12" t="s">
        <v>226</v>
      </c>
    </row>
    <row r="13" spans="2:44" x14ac:dyDescent="0.3">
      <c r="B13" t="s">
        <v>69</v>
      </c>
      <c r="C13" t="s">
        <v>106</v>
      </c>
      <c r="D13" t="s">
        <v>70</v>
      </c>
      <c r="E13" t="s">
        <v>112</v>
      </c>
      <c r="F13" t="s">
        <v>68</v>
      </c>
      <c r="H13" t="s">
        <v>250</v>
      </c>
      <c r="I13">
        <v>180</v>
      </c>
      <c r="L13" t="str">
        <f>Sheet1!B16</f>
        <v>통안 3Y</v>
      </c>
      <c r="M13" t="str">
        <f>AJ13</f>
        <v>KR310102GE92</v>
      </c>
      <c r="N13" t="s">
        <v>163</v>
      </c>
      <c r="O13" t="s">
        <v>184</v>
      </c>
      <c r="P13" t="s">
        <v>141</v>
      </c>
      <c r="Q13" t="s">
        <v>177</v>
      </c>
      <c r="S13" t="s">
        <v>239</v>
      </c>
      <c r="U13" s="11" t="str" cm="1">
        <f t="array" ref="U13">_xll.IMDP("BND", $M13, U$3,,"TmFmt=1")</f>
        <v/>
      </c>
      <c r="V13" s="12" cm="1">
        <f t="array" ref="V13">_xll.IMDP("BND", $M13, V$3,,"TmFmt=1")</f>
        <v>0.62520833333333337</v>
      </c>
      <c r="W13" s="12">
        <f t="shared" si="5"/>
        <v>2</v>
      </c>
      <c r="X13" s="12" t="str">
        <f t="shared" si="6"/>
        <v>장외-현재수익률</v>
      </c>
      <c r="Y13" s="13" t="str">
        <f t="shared" si="7"/>
        <v>장외</v>
      </c>
      <c r="AB13" t="str">
        <f t="shared" si="8"/>
        <v>BONDAVG14</v>
      </c>
      <c r="AC13" t="str">
        <f>CHOOSE($H$3, "대표수익률", data!$S13, "민평3사 수익률(산출일) 당일")</f>
        <v>3년이하(당일)</v>
      </c>
      <c r="AD13" cm="1">
        <f t="array" aca="1" ref="AD13" ca="1">IF($H$3=3, _xll.IMDP("BND", $M13, $AC13, $AD$3), _xll.IMDP("IR", $AB13, $AC13, $AD$3) )</f>
        <v>2.6640000000000001</v>
      </c>
      <c r="AG13" t="str" cm="1">
        <f t="array" aca="1" ref="AG13" ca="1">_xll.IMDH("BND", $AI13, "표준코드", Sheet1!$B$6, Sheet1!$B$6, 1, "Per=일, Sort=D, real=true, Bizday=12, Pos=30, Orient=H")</f>
        <v>조회[KR3101000101]</v>
      </c>
      <c r="AH13" t="s">
        <v>140</v>
      </c>
      <c r="AI13" s="2" t="s">
        <v>141</v>
      </c>
      <c r="AJ13" t="s">
        <v>225</v>
      </c>
    </row>
    <row r="14" spans="2:44" x14ac:dyDescent="0.3">
      <c r="B14" t="s">
        <v>98</v>
      </c>
      <c r="C14" t="s">
        <v>106</v>
      </c>
      <c r="D14" t="s">
        <v>99</v>
      </c>
      <c r="F14" t="s">
        <v>100</v>
      </c>
      <c r="H14" t="s">
        <v>251</v>
      </c>
      <c r="I14">
        <v>365</v>
      </c>
      <c r="L14" t="str">
        <f>Sheet1!B17</f>
        <v>산금 1Y</v>
      </c>
      <c r="N14" t="s">
        <v>164</v>
      </c>
      <c r="O14" t="s">
        <v>236</v>
      </c>
      <c r="P14" s="7" t="str">
        <f>O14</f>
        <v>BONDAVG16</v>
      </c>
      <c r="Q14" t="s">
        <v>178</v>
      </c>
      <c r="S14" t="s">
        <v>245</v>
      </c>
      <c r="AB14" t="str" cm="1">
        <f t="array" ref="AB14">INDEX($N14:$P14, 1, $H$3)</f>
        <v>BONDAVG16</v>
      </c>
      <c r="AC14" t="str">
        <f>CHOOSE($H$3, "대표수익률", data!$S14, data!$S14)</f>
        <v>1년이하(당일)</v>
      </c>
      <c r="AD14" cm="1">
        <f t="array" aca="1" ref="AD14" ca="1">_xll.IMDP("IR", $AB14, $AC14, $AD$3)</f>
        <v>2.802</v>
      </c>
    </row>
    <row r="15" spans="2:44" x14ac:dyDescent="0.3">
      <c r="B15" t="s">
        <v>101</v>
      </c>
      <c r="C15" t="s">
        <v>106</v>
      </c>
      <c r="D15" t="s">
        <v>102</v>
      </c>
      <c r="F15" t="s">
        <v>100</v>
      </c>
      <c r="L15" t="str">
        <f>Sheet1!B18</f>
        <v>회사채 AA-</v>
      </c>
      <c r="N15" t="s">
        <v>165</v>
      </c>
      <c r="O15" t="s">
        <v>237</v>
      </c>
      <c r="P15" s="7" t="str">
        <f>O15</f>
        <v>BONDAVG58</v>
      </c>
      <c r="Q15" t="s">
        <v>179</v>
      </c>
      <c r="S15" t="s">
        <v>239</v>
      </c>
      <c r="AB15" t="str" cm="1">
        <f t="array" ref="AB15">INDEX($N15:$P15, 1, $H$3)</f>
        <v>BONDAVG58</v>
      </c>
      <c r="AC15" t="str">
        <f>CHOOSE($H$3, "대표수익률", data!$S15, data!$S15)</f>
        <v>3년이하(당일)</v>
      </c>
      <c r="AD15" cm="1">
        <f t="array" aca="1" ref="AD15" ca="1">_xll.IMDP("IR", $AB15, $AC15, $AD$3)</f>
        <v>3.1749999999999998</v>
      </c>
      <c r="AJ15" s="3"/>
    </row>
    <row r="16" spans="2:44" x14ac:dyDescent="0.3">
      <c r="B16" t="s">
        <v>15</v>
      </c>
      <c r="C16" t="s">
        <v>106</v>
      </c>
      <c r="D16" t="s">
        <v>16</v>
      </c>
      <c r="E16" t="s">
        <v>113</v>
      </c>
      <c r="F16" t="s">
        <v>17</v>
      </c>
      <c r="H16">
        <v>4</v>
      </c>
      <c r="I16" t="str" cm="1">
        <f t="array" ref="I16">INDEX($I$17:$I$21, $H$16)</f>
        <v>10Y</v>
      </c>
      <c r="L16" t="str">
        <f>Sheet1!B19</f>
        <v>CD 91D</v>
      </c>
      <c r="N16" t="s">
        <v>166</v>
      </c>
      <c r="Q16" t="s">
        <v>181</v>
      </c>
      <c r="AB16" t="str">
        <f>N16</f>
        <v>BONDKSDCAL08</v>
      </c>
      <c r="AC16" t="s">
        <v>235</v>
      </c>
      <c r="AD16" cm="1">
        <f t="array" aca="1" ref="AD16" ca="1">_xll.IMDP("IR", $AB16, $AC16, $AD$3)</f>
        <v>2.84</v>
      </c>
      <c r="AI16" s="2"/>
    </row>
    <row r="17" spans="2:35" x14ac:dyDescent="0.3">
      <c r="B17" t="s">
        <v>104</v>
      </c>
      <c r="C17" t="s">
        <v>106</v>
      </c>
      <c r="D17" t="s">
        <v>134</v>
      </c>
      <c r="E17" t="s">
        <v>135</v>
      </c>
      <c r="F17" t="s">
        <v>6</v>
      </c>
      <c r="H17" t="s">
        <v>340</v>
      </c>
      <c r="I17" t="s">
        <v>344</v>
      </c>
      <c r="L17" t="str">
        <f>Sheet1!B20</f>
        <v>CP 91D</v>
      </c>
      <c r="N17" t="s">
        <v>167</v>
      </c>
      <c r="Q17" t="s">
        <v>182</v>
      </c>
      <c r="AB17" t="str">
        <f>N17</f>
        <v>BONDKSDCAL09</v>
      </c>
      <c r="AC17" t="s">
        <v>235</v>
      </c>
      <c r="AD17" cm="1">
        <f t="array" aca="1" ref="AD17" ca="1">_xll.IMDP("IR", $AB17, $AC17, $AD$3)</f>
        <v>3.07</v>
      </c>
      <c r="AI17" s="2"/>
    </row>
    <row r="18" spans="2:35" x14ac:dyDescent="0.3">
      <c r="B18" t="s">
        <v>21</v>
      </c>
      <c r="C18" t="s">
        <v>106</v>
      </c>
      <c r="D18" t="s">
        <v>22</v>
      </c>
      <c r="E18" t="s">
        <v>114</v>
      </c>
      <c r="F18" t="s">
        <v>6</v>
      </c>
      <c r="H18" t="s">
        <v>341</v>
      </c>
      <c r="I18" t="s">
        <v>345</v>
      </c>
      <c r="L18" t="str">
        <f>Sheet1!B21</f>
        <v>코리보 6M</v>
      </c>
      <c r="P18" t="s">
        <v>185</v>
      </c>
      <c r="Q18" s="6"/>
      <c r="AB18" t="str">
        <f>P18</f>
        <v>IBRKRWFIX06M</v>
      </c>
      <c r="AC18" t="s">
        <v>2</v>
      </c>
      <c r="AD18" cm="1">
        <f t="array" aca="1" ref="AD18" ca="1">_xll.IMDP("IR", $AB18, $AC18, $AD$3)</f>
        <v>2.88</v>
      </c>
      <c r="AI18" s="2"/>
    </row>
    <row r="19" spans="2:35" x14ac:dyDescent="0.3">
      <c r="B19" t="s">
        <v>86</v>
      </c>
      <c r="C19" t="s">
        <v>106</v>
      </c>
      <c r="D19" t="s">
        <v>87</v>
      </c>
      <c r="E19" t="s">
        <v>115</v>
      </c>
      <c r="F19" t="s">
        <v>6</v>
      </c>
      <c r="H19" t="s">
        <v>342</v>
      </c>
      <c r="I19" t="s">
        <v>346</v>
      </c>
      <c r="L19" t="str">
        <f>Sheet1!B22</f>
        <v>콜 익일</v>
      </c>
      <c r="M19" t="str">
        <f>INDEX($M$22:$M$34, MATCH(MAX($N$22:$N$34), $N$22:$N$34, 0))</f>
        <v>CALLALLX01</v>
      </c>
      <c r="Q19" t="s">
        <v>180</v>
      </c>
      <c r="X19" s="15" t="b">
        <f>ISNA(M19)</f>
        <v>0</v>
      </c>
      <c r="AD19" cm="1">
        <f t="array" aca="1" ref="AD19" ca="1">_xll.IMDP("ECO", "700504", "현재가", $AD$3)</f>
        <v>2.7919999999999998</v>
      </c>
      <c r="AI19" s="2"/>
    </row>
    <row r="20" spans="2:35" x14ac:dyDescent="0.3">
      <c r="B20" t="s">
        <v>51</v>
      </c>
      <c r="C20" t="s">
        <v>106</v>
      </c>
      <c r="D20" t="s">
        <v>52</v>
      </c>
      <c r="E20" t="s">
        <v>116</v>
      </c>
      <c r="F20" t="s">
        <v>53</v>
      </c>
      <c r="H20" t="s">
        <v>339</v>
      </c>
      <c r="I20" t="s">
        <v>339</v>
      </c>
      <c r="AI20" s="2"/>
    </row>
    <row r="21" spans="2:35" x14ac:dyDescent="0.3">
      <c r="B21" t="s">
        <v>43</v>
      </c>
      <c r="C21" t="s">
        <v>106</v>
      </c>
      <c r="D21" t="s">
        <v>44</v>
      </c>
      <c r="E21" t="s">
        <v>109</v>
      </c>
      <c r="F21" t="s">
        <v>45</v>
      </c>
      <c r="H21" t="s">
        <v>343</v>
      </c>
      <c r="I21" t="s">
        <v>343</v>
      </c>
      <c r="AI21" s="2"/>
    </row>
    <row r="22" spans="2:35" x14ac:dyDescent="0.3">
      <c r="B22" t="s">
        <v>4</v>
      </c>
      <c r="C22" t="s">
        <v>106</v>
      </c>
      <c r="D22" t="s">
        <v>5</v>
      </c>
      <c r="E22" t="s">
        <v>117</v>
      </c>
      <c r="F22" t="s">
        <v>6</v>
      </c>
      <c r="K22">
        <f>RANK($N22, $N$22:$N$34)</f>
        <v>1</v>
      </c>
      <c r="L22" t="str" cm="1">
        <f t="array" aca="1" ref="L22" ca="1">_xll.IMDH("IR", $M22, "합계금액", Sheet1!$B$6, Sheet1!$B$6, 1, "Per=일, Sort=D, real=true, Bizday=12, Pos=20, Orient=H")</f>
        <v>조회[CALLALLX01]</v>
      </c>
      <c r="M22" t="s">
        <v>186</v>
      </c>
      <c r="N22">
        <v>9047</v>
      </c>
      <c r="Q22" t="str">
        <f ca="1">165 &amp; $R$25 &amp; $S$25</f>
        <v>165W3000</v>
      </c>
      <c r="R22" t="str">
        <f ca="1">IF($R$23, RIGHT($Q$22,5), $R$24&amp;$S$24 )</f>
        <v>W3000</v>
      </c>
      <c r="AH22" s="2"/>
      <c r="AI22" s="2"/>
    </row>
    <row r="23" spans="2:35" x14ac:dyDescent="0.3">
      <c r="B23" t="s">
        <v>7</v>
      </c>
      <c r="C23" t="s">
        <v>106</v>
      </c>
      <c r="D23" t="s">
        <v>8</v>
      </c>
      <c r="E23" t="s">
        <v>118</v>
      </c>
      <c r="F23" t="s">
        <v>6</v>
      </c>
      <c r="H23" t="s">
        <v>183</v>
      </c>
      <c r="I23" t="str" cm="1">
        <f t="array" ref="I23">INDEX($I$24:$I$28, $H$16)</f>
        <v>10년이하(당일)</v>
      </c>
      <c r="K23" t="e">
        <f t="shared" ref="K23:K34" si="9">RANK($N23, $N$22:$N$34)</f>
        <v>#N/A</v>
      </c>
      <c r="L23" t="str" cm="1">
        <f t="array" aca="1" ref="L23" ca="1">_xll.IMDH("IR", $M23, "합계금액", Sheet1!$B$6, Sheet1!$B$6, 1, "Per=일, Sort=D, real=true, Bizday=12, Pos=20, Orient=H")</f>
        <v>조회[CALLALLX02]</v>
      </c>
      <c r="M23" t="s">
        <v>255</v>
      </c>
      <c r="R23" s="3" t="b" cm="1">
        <f t="array" aca="1" ref="R23" ca="1">_xll.IMDP("FUT", $Q$22, "최종거래일",,"DtFmt=1")&gt;TODAY()</f>
        <v>1</v>
      </c>
      <c r="U23">
        <v>1</v>
      </c>
      <c r="V23">
        <f>MOD(U23-1, 12)+1</f>
        <v>1</v>
      </c>
      <c r="W23">
        <f>QUOTIENT(U23-1, 12)</f>
        <v>0</v>
      </c>
    </row>
    <row r="24" spans="2:35" x14ac:dyDescent="0.3">
      <c r="B24" t="s">
        <v>9</v>
      </c>
      <c r="C24" t="s">
        <v>106</v>
      </c>
      <c r="D24" t="s">
        <v>10</v>
      </c>
      <c r="E24" t="s">
        <v>119</v>
      </c>
      <c r="F24" t="s">
        <v>11</v>
      </c>
      <c r="H24" s="5" t="str">
        <f>SUBSTITUTE($I$23, "당일", "전일대비")</f>
        <v>10년이하(전일대비)</v>
      </c>
      <c r="I24" t="s">
        <v>238</v>
      </c>
      <c r="K24" t="e">
        <f t="shared" si="9"/>
        <v>#N/A</v>
      </c>
      <c r="L24" t="str" cm="1">
        <f t="array" aca="1" ref="L24" ca="1">_xll.IMDH("IR", $M24, "합계금액", Sheet1!$B$6, Sheet1!$B$6, 1, "Per=일, Sort=D, real=true, Bizday=12, Pos=20, Orient=H")</f>
        <v>조회[CALLALLX03]</v>
      </c>
      <c r="M24" t="s">
        <v>256</v>
      </c>
      <c r="Q24" s="179">
        <f ca="1">MONTH(TODAY())</f>
        <v>3</v>
      </c>
      <c r="R24" t="str" cm="1">
        <f t="array" aca="1" ref="R24" ca="1">INDEX($R$26:$R$37, MATCH($Q$25,$Q$26:$Q$37,0)+QUOTIENT($Q$24-1, 12))</f>
        <v>W</v>
      </c>
      <c r="S24" cm="1">
        <f t="array" aca="1" ref="S24" ca="1">INDEX($S$26:$S$37, MOD($Q$24-1, 12)+1)</f>
        <v>3000</v>
      </c>
      <c r="U24">
        <v>2</v>
      </c>
      <c r="V24">
        <f t="shared" ref="V24:V35" si="10">MOD(U24-1, 12)+1</f>
        <v>2</v>
      </c>
      <c r="W24">
        <f t="shared" ref="W24:W35" si="11">QUOTIENT(U24-1, 12)</f>
        <v>0</v>
      </c>
      <c r="AI24" s="2"/>
    </row>
    <row r="25" spans="2:35" x14ac:dyDescent="0.3">
      <c r="B25" t="s">
        <v>12</v>
      </c>
      <c r="C25" t="s">
        <v>106</v>
      </c>
      <c r="D25" t="s">
        <v>13</v>
      </c>
      <c r="E25" t="s">
        <v>120</v>
      </c>
      <c r="F25" t="s">
        <v>14</v>
      </c>
      <c r="H25" s="5"/>
      <c r="I25" t="s">
        <v>239</v>
      </c>
      <c r="K25" t="e">
        <f t="shared" si="9"/>
        <v>#N/A</v>
      </c>
      <c r="L25" t="str" cm="1">
        <f t="array" aca="1" ref="L25" ca="1">_xll.IMDH("IR", $M25, "합계금액", Sheet1!$B$6, Sheet1!$B$6, 1, "Per=일, Sort=D, real=true, Bizday=12, Pos=20, Orient=H")</f>
        <v>조회[CALLALLX04]</v>
      </c>
      <c r="M25" t="s">
        <v>257</v>
      </c>
      <c r="Q25" s="176">
        <f ca="1">YEAR(TODAY())</f>
        <v>2025</v>
      </c>
      <c r="R25" s="177" t="str">
        <f ca="1">INDEX($R$26:$R$37, MATCH($Q$25,$Q$26:$Q$37,0))</f>
        <v>W</v>
      </c>
      <c r="S25" s="178" cm="1">
        <f t="array" aca="1" ref="S25" ca="1">INDEX($S$26:$S$37, $Q$24)</f>
        <v>3000</v>
      </c>
      <c r="U25">
        <v>3</v>
      </c>
      <c r="V25">
        <f t="shared" si="10"/>
        <v>3</v>
      </c>
      <c r="W25">
        <f t="shared" si="11"/>
        <v>0</v>
      </c>
      <c r="AI25" s="2"/>
    </row>
    <row r="26" spans="2:35" x14ac:dyDescent="0.3">
      <c r="B26" t="s">
        <v>18</v>
      </c>
      <c r="C26" t="s">
        <v>106</v>
      </c>
      <c r="D26" t="s">
        <v>19</v>
      </c>
      <c r="E26" t="s">
        <v>121</v>
      </c>
      <c r="F26" t="s">
        <v>20</v>
      </c>
      <c r="H26" s="5"/>
      <c r="I26" t="s">
        <v>240</v>
      </c>
      <c r="K26" t="e">
        <f t="shared" si="9"/>
        <v>#N/A</v>
      </c>
      <c r="L26" t="str" cm="1">
        <f t="array" aca="1" ref="L26" ca="1">_xll.IMDH("IR", $M26, "합계금액", Sheet1!$B$6, Sheet1!$B$6, 1, "Per=일, Sort=D, real=true, Bizday=12, Pos=20, Orient=H")</f>
        <v>조회[CALLALLX05]</v>
      </c>
      <c r="M26" t="s">
        <v>258</v>
      </c>
      <c r="Q26">
        <v>2025</v>
      </c>
      <c r="R26" t="s">
        <v>363</v>
      </c>
      <c r="S26">
        <v>3000</v>
      </c>
      <c r="U26">
        <v>4</v>
      </c>
      <c r="V26">
        <f t="shared" si="10"/>
        <v>4</v>
      </c>
      <c r="W26">
        <f t="shared" si="11"/>
        <v>0</v>
      </c>
    </row>
    <row r="27" spans="2:35" x14ac:dyDescent="0.3">
      <c r="B27" t="s">
        <v>23</v>
      </c>
      <c r="C27" t="s">
        <v>106</v>
      </c>
      <c r="D27" t="s">
        <v>24</v>
      </c>
      <c r="E27" t="s">
        <v>109</v>
      </c>
      <c r="F27" t="s">
        <v>25</v>
      </c>
      <c r="H27" s="5"/>
      <c r="I27" t="s">
        <v>241</v>
      </c>
      <c r="K27" t="e">
        <f t="shared" si="9"/>
        <v>#N/A</v>
      </c>
      <c r="L27" t="str" cm="1">
        <f t="array" aca="1" ref="L27" ca="1">_xll.IMDH("IR", $M27, "합계금액", Sheet1!$B$6, Sheet1!$B$6, 1, "Per=일, Sort=D, real=true, Bizday=12, Pos=20, Orient=H")</f>
        <v>조회[CALLALLX06]</v>
      </c>
      <c r="M27" t="s">
        <v>259</v>
      </c>
      <c r="Q27">
        <v>2026</v>
      </c>
      <c r="R27">
        <v>6</v>
      </c>
      <c r="S27">
        <v>3000</v>
      </c>
      <c r="U27">
        <v>5</v>
      </c>
      <c r="V27">
        <f t="shared" si="10"/>
        <v>5</v>
      </c>
      <c r="W27">
        <f t="shared" si="11"/>
        <v>0</v>
      </c>
    </row>
    <row r="28" spans="2:35" x14ac:dyDescent="0.3">
      <c r="B28" t="s">
        <v>32</v>
      </c>
      <c r="C28" t="s">
        <v>106</v>
      </c>
      <c r="D28" t="s">
        <v>33</v>
      </c>
      <c r="E28" t="s">
        <v>109</v>
      </c>
      <c r="F28" t="s">
        <v>34</v>
      </c>
      <c r="H28" s="5"/>
      <c r="I28" t="s">
        <v>243</v>
      </c>
      <c r="K28" t="e">
        <f t="shared" si="9"/>
        <v>#N/A</v>
      </c>
      <c r="L28" t="str" cm="1">
        <f t="array" aca="1" ref="L28" ca="1">_xll.IMDH("IR", $M28, "합계금액", Sheet1!$B$6, Sheet1!$B$6, 1, "Per=일, Sort=D, real=true, Bizday=12, Pos=20, Orient=H")</f>
        <v>조회[CALLALLX07]</v>
      </c>
      <c r="M28" t="s">
        <v>260</v>
      </c>
      <c r="Q28">
        <v>2027</v>
      </c>
      <c r="R28">
        <v>7</v>
      </c>
      <c r="S28">
        <v>3000</v>
      </c>
      <c r="U28">
        <v>6</v>
      </c>
      <c r="V28">
        <f t="shared" si="10"/>
        <v>6</v>
      </c>
      <c r="W28">
        <f t="shared" si="11"/>
        <v>0</v>
      </c>
    </row>
    <row r="29" spans="2:35" x14ac:dyDescent="0.3">
      <c r="B29" t="s">
        <v>35</v>
      </c>
      <c r="C29" t="s">
        <v>106</v>
      </c>
      <c r="D29" t="s">
        <v>36</v>
      </c>
      <c r="E29" t="s">
        <v>122</v>
      </c>
      <c r="F29" t="s">
        <v>6</v>
      </c>
      <c r="K29" t="e">
        <f t="shared" si="9"/>
        <v>#N/A</v>
      </c>
      <c r="L29" t="str" cm="1">
        <f t="array" aca="1" ref="L29" ca="1">_xll.IMDH("IR", $M29, "합계금액", Sheet1!$B$6, Sheet1!$B$6, 1, "Per=일, Sort=D, real=true, Bizday=12, Pos=20, Orient=H")</f>
        <v>조회[CALLALLX08]</v>
      </c>
      <c r="M29" t="s">
        <v>261</v>
      </c>
      <c r="Q29">
        <v>2028</v>
      </c>
      <c r="R29">
        <v>8</v>
      </c>
      <c r="S29">
        <v>6000</v>
      </c>
      <c r="U29">
        <v>7</v>
      </c>
      <c r="V29">
        <f t="shared" si="10"/>
        <v>7</v>
      </c>
      <c r="W29">
        <f t="shared" si="11"/>
        <v>0</v>
      </c>
    </row>
    <row r="30" spans="2:35" x14ac:dyDescent="0.3">
      <c r="B30" t="s">
        <v>37</v>
      </c>
      <c r="C30" t="s">
        <v>106</v>
      </c>
      <c r="D30" t="s">
        <v>38</v>
      </c>
      <c r="E30" t="s">
        <v>123</v>
      </c>
      <c r="F30" t="s">
        <v>39</v>
      </c>
      <c r="K30" t="e">
        <f t="shared" si="9"/>
        <v>#N/A</v>
      </c>
      <c r="L30" t="str" cm="1">
        <f t="array" aca="1" ref="L30" ca="1">_xll.IMDH("IR", $M30, "합계금액", Sheet1!$B$6, Sheet1!$B$6, 1, "Per=일, Sort=D, real=true, Bizday=12, Pos=20, Orient=H")</f>
        <v>조회[CALLALLX09]</v>
      </c>
      <c r="M30" t="s">
        <v>262</v>
      </c>
      <c r="Q30">
        <v>2029</v>
      </c>
      <c r="R30">
        <v>9</v>
      </c>
      <c r="S30">
        <v>6000</v>
      </c>
      <c r="U30">
        <v>8</v>
      </c>
      <c r="V30">
        <f t="shared" si="10"/>
        <v>8</v>
      </c>
      <c r="W30">
        <f t="shared" si="11"/>
        <v>0</v>
      </c>
    </row>
    <row r="31" spans="2:35" x14ac:dyDescent="0.3">
      <c r="B31" t="s">
        <v>40</v>
      </c>
      <c r="C31" t="s">
        <v>106</v>
      </c>
      <c r="D31" t="s">
        <v>41</v>
      </c>
      <c r="E31" t="s">
        <v>109</v>
      </c>
      <c r="F31" t="s">
        <v>42</v>
      </c>
      <c r="K31" t="e">
        <f t="shared" si="9"/>
        <v>#N/A</v>
      </c>
      <c r="L31" t="str" cm="1">
        <f t="array" aca="1" ref="L31" ca="1">_xll.IMDH("IR", $M31, "합계금액", Sheet1!$B$6, Sheet1!$B$6, 1, "Per=일, Sort=D, real=true, Bizday=12, Pos=20, Orient=H")</f>
        <v>조회[CALLALLX10]</v>
      </c>
      <c r="M31" t="s">
        <v>263</v>
      </c>
      <c r="Q31">
        <v>2030</v>
      </c>
      <c r="R31">
        <v>0</v>
      </c>
      <c r="S31">
        <v>6000</v>
      </c>
      <c r="U31">
        <v>9</v>
      </c>
      <c r="V31">
        <f t="shared" si="10"/>
        <v>9</v>
      </c>
      <c r="W31">
        <f t="shared" si="11"/>
        <v>0</v>
      </c>
    </row>
    <row r="32" spans="2:35" x14ac:dyDescent="0.3">
      <c r="B32" t="s">
        <v>46</v>
      </c>
      <c r="C32" t="s">
        <v>106</v>
      </c>
      <c r="D32" t="s">
        <v>47</v>
      </c>
      <c r="E32" t="s">
        <v>124</v>
      </c>
      <c r="F32" t="s">
        <v>6</v>
      </c>
      <c r="K32" t="e">
        <f t="shared" si="9"/>
        <v>#N/A</v>
      </c>
      <c r="L32" t="str" cm="1">
        <f t="array" aca="1" ref="L32" ca="1">_xll.IMDH("IR", $M32, "합계금액", Sheet1!$B$6, Sheet1!$B$6, 1, "Per=일, Sort=D, real=true, Bizday=12, Pos=20, Orient=H")</f>
        <v>조회[CALLALLX11]</v>
      </c>
      <c r="M32" t="s">
        <v>264</v>
      </c>
      <c r="Q32">
        <v>2031</v>
      </c>
      <c r="R32">
        <v>1</v>
      </c>
      <c r="S32">
        <v>9000</v>
      </c>
      <c r="U32">
        <v>10</v>
      </c>
      <c r="V32">
        <f t="shared" si="10"/>
        <v>10</v>
      </c>
      <c r="W32">
        <f t="shared" si="11"/>
        <v>0</v>
      </c>
    </row>
    <row r="33" spans="2:23" x14ac:dyDescent="0.3">
      <c r="B33" t="s">
        <v>48</v>
      </c>
      <c r="C33" t="s">
        <v>106</v>
      </c>
      <c r="D33" t="s">
        <v>49</v>
      </c>
      <c r="E33" t="s">
        <v>109</v>
      </c>
      <c r="F33" t="s">
        <v>50</v>
      </c>
      <c r="K33" t="e">
        <f t="shared" si="9"/>
        <v>#N/A</v>
      </c>
      <c r="L33" t="str" cm="1">
        <f t="array" aca="1" ref="L33" ca="1">_xll.IMDH("IR", $M33, "합계금액", Sheet1!$B$6, Sheet1!$B$6, 1, "Per=일, Sort=D, real=true, Bizday=12, Pos=20, Orient=H")</f>
        <v>조회[CALLALLX12]</v>
      </c>
      <c r="M33" t="s">
        <v>265</v>
      </c>
      <c r="Q33">
        <v>2032</v>
      </c>
      <c r="R33">
        <v>2</v>
      </c>
      <c r="S33">
        <v>9000</v>
      </c>
      <c r="U33">
        <v>11</v>
      </c>
      <c r="V33">
        <f t="shared" si="10"/>
        <v>11</v>
      </c>
      <c r="W33">
        <f t="shared" si="11"/>
        <v>0</v>
      </c>
    </row>
    <row r="34" spans="2:23" x14ac:dyDescent="0.3">
      <c r="B34" t="s">
        <v>54</v>
      </c>
      <c r="C34" t="s">
        <v>106</v>
      </c>
      <c r="D34" t="s">
        <v>55</v>
      </c>
      <c r="E34" t="s">
        <v>109</v>
      </c>
      <c r="F34" t="s">
        <v>6</v>
      </c>
      <c r="K34" t="e">
        <f t="shared" si="9"/>
        <v>#N/A</v>
      </c>
      <c r="L34" t="str" cm="1">
        <f t="array" aca="1" ref="L34" ca="1">_xll.IMDH("IR", $M34, "합계금액", Sheet1!$B$6, Sheet1!$B$6, 1, "Per=일, Sort=D, real=true, Bizday=12, Pos=20, Orient=H")</f>
        <v>조회[CALLALLX13]</v>
      </c>
      <c r="M34" t="s">
        <v>266</v>
      </c>
      <c r="Q34">
        <v>2033</v>
      </c>
      <c r="R34">
        <v>3</v>
      </c>
      <c r="S34">
        <v>9000</v>
      </c>
      <c r="U34">
        <v>12</v>
      </c>
      <c r="V34">
        <f t="shared" si="10"/>
        <v>12</v>
      </c>
      <c r="W34">
        <f t="shared" si="11"/>
        <v>0</v>
      </c>
    </row>
    <row r="35" spans="2:23" x14ac:dyDescent="0.3">
      <c r="B35" t="s">
        <v>56</v>
      </c>
      <c r="C35" t="s">
        <v>106</v>
      </c>
      <c r="D35" t="s">
        <v>57</v>
      </c>
      <c r="E35" t="s">
        <v>125</v>
      </c>
      <c r="F35" t="s">
        <v>6</v>
      </c>
      <c r="Q35">
        <v>2034</v>
      </c>
      <c r="R35">
        <v>4</v>
      </c>
      <c r="S35" t="s">
        <v>365</v>
      </c>
      <c r="U35">
        <v>13</v>
      </c>
      <c r="V35">
        <f t="shared" si="10"/>
        <v>1</v>
      </c>
      <c r="W35">
        <f t="shared" si="11"/>
        <v>1</v>
      </c>
    </row>
    <row r="36" spans="2:23" x14ac:dyDescent="0.3">
      <c r="B36" t="s">
        <v>58</v>
      </c>
      <c r="C36" t="s">
        <v>106</v>
      </c>
      <c r="D36" t="s">
        <v>59</v>
      </c>
      <c r="E36" t="s">
        <v>126</v>
      </c>
      <c r="F36" t="s">
        <v>60</v>
      </c>
      <c r="K36">
        <v>1</v>
      </c>
      <c r="L36" t="str">
        <f>INDEX($M$22:$M$34, MATCH(K36,$K$22:$K$34,0))</f>
        <v>CALLALLX01</v>
      </c>
      <c r="Q36">
        <v>2035</v>
      </c>
      <c r="R36">
        <v>5</v>
      </c>
      <c r="S36" t="s">
        <v>365</v>
      </c>
    </row>
    <row r="37" spans="2:23" x14ac:dyDescent="0.3">
      <c r="B37" t="s">
        <v>61</v>
      </c>
      <c r="C37" t="s">
        <v>106</v>
      </c>
      <c r="D37" t="s">
        <v>62</v>
      </c>
      <c r="E37" t="s">
        <v>127</v>
      </c>
      <c r="F37" t="s">
        <v>63</v>
      </c>
      <c r="K37">
        <v>2</v>
      </c>
      <c r="L37" t="e">
        <f t="shared" ref="L37:L38" si="12">INDEX($M$22:$M$34, MATCH(K37,$K$22:$K$34,0))</f>
        <v>#N/A</v>
      </c>
      <c r="Q37">
        <v>2036</v>
      </c>
      <c r="R37" t="s">
        <v>364</v>
      </c>
      <c r="S37" t="s">
        <v>365</v>
      </c>
    </row>
    <row r="38" spans="2:23" x14ac:dyDescent="0.3">
      <c r="B38" t="s">
        <v>71</v>
      </c>
      <c r="C38" t="s">
        <v>106</v>
      </c>
      <c r="D38" t="s">
        <v>72</v>
      </c>
      <c r="E38" t="s">
        <v>128</v>
      </c>
      <c r="F38" t="s">
        <v>73</v>
      </c>
      <c r="K38">
        <v>3</v>
      </c>
      <c r="L38" t="e">
        <f t="shared" si="12"/>
        <v>#N/A</v>
      </c>
    </row>
    <row r="39" spans="2:23" x14ac:dyDescent="0.3">
      <c r="B39" t="s">
        <v>75</v>
      </c>
      <c r="C39" t="s">
        <v>106</v>
      </c>
      <c r="D39" t="s">
        <v>76</v>
      </c>
      <c r="E39" t="s">
        <v>129</v>
      </c>
      <c r="F39" t="s">
        <v>77</v>
      </c>
    </row>
    <row r="40" spans="2:23" x14ac:dyDescent="0.3">
      <c r="B40" t="s">
        <v>78</v>
      </c>
      <c r="C40" t="s">
        <v>106</v>
      </c>
      <c r="D40" t="s">
        <v>79</v>
      </c>
      <c r="E40" t="s">
        <v>130</v>
      </c>
      <c r="F40" t="s">
        <v>80</v>
      </c>
    </row>
    <row r="41" spans="2:23" x14ac:dyDescent="0.3">
      <c r="B41" t="s">
        <v>81</v>
      </c>
      <c r="C41" t="s">
        <v>106</v>
      </c>
      <c r="D41" t="s">
        <v>82</v>
      </c>
      <c r="E41" t="s">
        <v>131</v>
      </c>
      <c r="F41" t="s">
        <v>6</v>
      </c>
      <c r="L41" s="3">
        <f ca="1">Sheet1!$B$4-1</f>
        <v>45720</v>
      </c>
      <c r="M41" cm="1">
        <f t="array" aca="1" ref="M41" ca="1">_xll.IMDP("IR", $L$44, $M$43, $L$41, "fiil=true, disp=date, DtFmt=1")</f>
        <v>20250304</v>
      </c>
    </row>
    <row r="42" spans="2:23" x14ac:dyDescent="0.3">
      <c r="B42" t="s">
        <v>83</v>
      </c>
      <c r="C42" t="s">
        <v>106</v>
      </c>
      <c r="D42" t="s">
        <v>84</v>
      </c>
      <c r="E42" t="s">
        <v>132</v>
      </c>
      <c r="F42" t="s">
        <v>85</v>
      </c>
    </row>
    <row r="43" spans="2:23" x14ac:dyDescent="0.3">
      <c r="B43" t="s">
        <v>88</v>
      </c>
      <c r="C43" t="s">
        <v>106</v>
      </c>
      <c r="D43" t="s">
        <v>74</v>
      </c>
      <c r="E43" t="s">
        <v>133</v>
      </c>
      <c r="F43" t="s">
        <v>89</v>
      </c>
      <c r="L43" s="3">
        <f ca="1">DATE(LEFT($M$41,4), MID($M$41, 5, 2), RIGHT($M$41, 2))</f>
        <v>45720</v>
      </c>
      <c r="M43" t="s">
        <v>274</v>
      </c>
      <c r="N43" t="s">
        <v>277</v>
      </c>
      <c r="O43" t="s">
        <v>275</v>
      </c>
    </row>
    <row r="44" spans="2:23" x14ac:dyDescent="0.3">
      <c r="L44" s="2" t="s">
        <v>271</v>
      </c>
      <c r="M44" cm="1">
        <f t="array" aca="1" ref="M44" ca="1">_xll.IMDP("IR", $L44, M$43, $L$43)</f>
        <v>26174084970</v>
      </c>
      <c r="N44" cm="1">
        <f t="array" aca="1" ref="N44" ca="1">_xll.IMDP("IR", "BNDSTA0100000", $N$43, $L$43)</f>
        <v>290735564854</v>
      </c>
      <c r="O44" cm="1">
        <f t="array" aca="1" ref="O44" ca="1">_xll.IMDP("IR", $L44, O$43, $L$43)</f>
        <v>-1566076940</v>
      </c>
    </row>
    <row r="45" spans="2:23" x14ac:dyDescent="0.3">
      <c r="L45" s="2" t="s">
        <v>272</v>
      </c>
      <c r="M45" cm="1">
        <f t="array" aca="1" ref="M45" ca="1">_xll.IMDP("IR", $L45, M$43, $L$43)</f>
        <v>23606263340</v>
      </c>
      <c r="N45" cm="1">
        <f t="array" aca="1" ref="N45" ca="1">_xll.IMDP("IR", "BNDSTA1100000", $N$43, $L$43)</f>
        <v>117495002174</v>
      </c>
      <c r="O45" cm="1">
        <f t="array" aca="1" ref="O45" ca="1">_xll.IMDP("IR", $L45, O$43, $L$43)</f>
        <v>333881360</v>
      </c>
    </row>
    <row r="46" spans="2:23" x14ac:dyDescent="0.3">
      <c r="L46" s="2" t="s">
        <v>273</v>
      </c>
      <c r="M46" cm="1">
        <f t="array" aca="1" ref="M46" ca="1">_xll.IMDP("IR", $L46, M$43, $L$43)</f>
        <v>1477813000</v>
      </c>
      <c r="N46" cm="1">
        <f t="array" aca="1" ref="N46" ca="1">_xll.IMDP("IR", "BNDSTA4200000", $N$43, $L$43)</f>
        <v>10834000000</v>
      </c>
      <c r="O46" cm="1">
        <f t="array" aca="1" ref="O46" ca="1">_xll.IMDP("IR", $L46, O$43, $L$43)</f>
        <v>250000000</v>
      </c>
    </row>
    <row r="47" spans="2:23" x14ac:dyDescent="0.3">
      <c r="T47" s="3" t="str">
        <f ca="1">TEXT( Sheet1!$B$36, "YYYY-MM-DD") &amp; "~" &amp; TEXT( Sheet1!$B$36+1, "YYYY-MM-DD")</f>
        <v>2025-03-05~2025-03-06</v>
      </c>
    </row>
    <row r="48" spans="2:23" x14ac:dyDescent="0.3">
      <c r="B48">
        <v>1</v>
      </c>
      <c r="C48" t="str" cm="1">
        <f t="array" ref="C48">INDEX($C$4:$F$43, $B48, 1)</f>
        <v>FRN</v>
      </c>
      <c r="D48" t="str" cm="1">
        <f t="array" ref="D48">INDEX($C$4:$F$43, $B48, 2)</f>
        <v>DJI:DJI</v>
      </c>
      <c r="E48" t="str" cm="1">
        <f t="array" ref="E48">INDEX($C$4:$F$43, $B48, 3)&amp;$I$16</f>
        <v>US10Y</v>
      </c>
      <c r="F48" t="str" cm="1">
        <f t="array" ref="F48">INDEX($C$4:$F$43, $B48, 4)</f>
        <v>DOLLAR</v>
      </c>
      <c r="T48" t="str" cm="1">
        <f t="array" aca="1" ref="T48" ca="1">_xll.IMDT("경제지표", "CALENDAR", $T$49:$U$49, 100, $T$47, "전체", "발표일시", "sort=A,DtFmt=1,TmFmt=1,Pos=20,Orient=V")</f>
        <v>조회[CALENDAR]</v>
      </c>
    </row>
    <row r="49" spans="2:21" x14ac:dyDescent="0.3">
      <c r="B49">
        <v>2</v>
      </c>
      <c r="C49" t="str" cm="1">
        <f t="array" ref="C49">INDEX($C$4:$F$43, $B49, 1)</f>
        <v>FRN</v>
      </c>
      <c r="D49" t="str" cm="1">
        <f t="array" ref="D49">INDEX($C$4:$F$43, $B49, 2)</f>
        <v>NAS:IXIC</v>
      </c>
      <c r="E49" t="str" cm="1">
        <f t="array" ref="E49">INDEX($C$4:$F$43, $B49, 3)&amp;$I$16</f>
        <v>US10Y</v>
      </c>
      <c r="F49" t="str" cm="1">
        <f t="array" ref="F49">INDEX($C$4:$F$43, $B49, 4)</f>
        <v>DOLLAR</v>
      </c>
      <c r="M49" t="s">
        <v>286</v>
      </c>
      <c r="N49" t="s">
        <v>288</v>
      </c>
      <c r="O49" s="18" t="s">
        <v>91</v>
      </c>
      <c r="P49" s="18" t="s">
        <v>95</v>
      </c>
      <c r="Q49" t="s">
        <v>287</v>
      </c>
      <c r="S49">
        <v>0</v>
      </c>
      <c r="T49" t="s">
        <v>296</v>
      </c>
      <c r="U49" t="s">
        <v>297</v>
      </c>
    </row>
    <row r="50" spans="2:21" x14ac:dyDescent="0.3">
      <c r="B50">
        <v>6</v>
      </c>
      <c r="C50" t="str" cm="1">
        <f t="array" ref="C50">INDEX($C$4:$F$43, $B50, 1)</f>
        <v>IDX</v>
      </c>
      <c r="D50" t="str" cm="1">
        <f t="array" ref="D50">INDEX($C$4:$F$43, $B50, 2)</f>
        <v>001</v>
      </c>
      <c r="E50" t="str" cm="1">
        <f t="array" ref="E50">INDEX($C$4:$F$43, $B50, 3)&amp;$I$16</f>
        <v>10Y</v>
      </c>
      <c r="F50" t="str" cm="1">
        <f t="array" ref="F50">INDEX($C$4:$F$43, $B50, 4)</f>
        <v>USDSP_AMBC</v>
      </c>
      <c r="K50" t="s">
        <v>289</v>
      </c>
      <c r="L50" t="s">
        <v>279</v>
      </c>
      <c r="M50" cm="1">
        <f t="array" aca="1" ref="M50" ca="1">_xll.IMDP("FUT", M$49, $K50, Sheet1!$B$26)</f>
        <v>21097</v>
      </c>
      <c r="N50" cm="1">
        <f t="array" aca="1" ref="N50" ca="1">_xll.IMDP("FUT", N$49, $K50, Sheet1!$B$26)</f>
        <v>-237</v>
      </c>
      <c r="O50" cm="1">
        <f t="array" aca="1" ref="O50" ca="1">_xll.IMDP("IDX", O$49, $L50, Sheet1!$B$26)</f>
        <v>-224241</v>
      </c>
      <c r="P50" cm="1">
        <f t="array" aca="1" ref="P50" ca="1">_xll.IMDP("IDX", P$49, $L50, Sheet1!$B$26)</f>
        <v>64567</v>
      </c>
      <c r="Q50" cm="1">
        <f t="array" aca="1" ref="Q50" ca="1">_xll.IMDP("FUT", Q$49, $K50, Sheet1!$B$26)</f>
        <v>-1842</v>
      </c>
      <c r="T50" t="s">
        <v>298</v>
      </c>
      <c r="U50" t="s">
        <v>299</v>
      </c>
    </row>
    <row r="51" spans="2:21" x14ac:dyDescent="0.3">
      <c r="B51">
        <v>7</v>
      </c>
      <c r="C51" t="str" cm="1">
        <f t="array" ref="C51">INDEX($C$4:$F$43, $B51, 1)</f>
        <v>IDX</v>
      </c>
      <c r="D51" t="str" cm="1">
        <f t="array" ref="D51">INDEX($C$4:$F$43, $B51, 2)</f>
        <v>801</v>
      </c>
      <c r="E51" t="str" cm="1">
        <f t="array" ref="E51">INDEX($C$4:$F$43, $B51, 3)&amp;$I$16</f>
        <v>10Y</v>
      </c>
      <c r="F51" t="str" cm="1">
        <f t="array" ref="F51">INDEX($C$4:$F$43, $B51, 4)</f>
        <v>USDSP_AMBC</v>
      </c>
      <c r="K51" t="s">
        <v>290</v>
      </c>
      <c r="L51" t="s">
        <v>285</v>
      </c>
      <c r="M51" cm="1">
        <f t="array" aca="1" ref="M51" ca="1">_xll.IMDP("FUT", M$49, $K51, Sheet1!$B$26)</f>
        <v>-491</v>
      </c>
      <c r="N51" cm="1">
        <f t="array" aca="1" ref="N51" ca="1">_xll.IMDP("FUT", N$49, $K51, Sheet1!$B$26)</f>
        <v>1091</v>
      </c>
      <c r="O51" cm="1">
        <f t="array" aca="1" ref="O51" ca="1">_xll.IMDP("IDX", O$49, $L51, Sheet1!$B$26)</f>
        <v>70916</v>
      </c>
      <c r="P51" cm="1">
        <f t="array" aca="1" ref="P51" ca="1">_xll.IMDP("IDX", P$49, $L51, Sheet1!$B$26)</f>
        <v>4238</v>
      </c>
      <c r="Q51" cm="1">
        <f t="array" aca="1" ref="Q51" ca="1">_xll.IMDP("FUT", Q$49, $K51, Sheet1!$B$26)</f>
        <v>-98</v>
      </c>
      <c r="T51" t="s">
        <v>300</v>
      </c>
      <c r="U51" t="s">
        <v>301</v>
      </c>
    </row>
    <row r="52" spans="2:21" x14ac:dyDescent="0.3">
      <c r="B52">
        <v>8</v>
      </c>
      <c r="C52" t="str" cm="1">
        <f t="array" ref="C52">INDEX($C$4:$F$43, $B52, 1)</f>
        <v>FRN</v>
      </c>
      <c r="D52" t="str" cm="1">
        <f t="array" ref="D52">INDEX($C$4:$F$43, $B52, 2)</f>
        <v>SPI:SPX</v>
      </c>
      <c r="E52" t="str" cm="1">
        <f t="array" ref="E52">INDEX($C$4:$F$43, $B52, 3)&amp;$I$16</f>
        <v>JP10Y</v>
      </c>
      <c r="F52" t="str" cm="1">
        <f t="array" ref="F52">INDEX($C$4:$F$43, $B52, 4)</f>
        <v>USDJPY</v>
      </c>
      <c r="K52" t="s">
        <v>291</v>
      </c>
      <c r="L52" t="s">
        <v>282</v>
      </c>
      <c r="M52" cm="1">
        <f t="array" aca="1" ref="M52" ca="1">_xll.IMDP("FUT", M$49, $K52, Sheet1!$B$26)</f>
        <v>700</v>
      </c>
      <c r="N52" cm="1">
        <f t="array" aca="1" ref="N52" ca="1">_xll.IMDP("FUT", N$49, $K52, Sheet1!$B$26)</f>
        <v>865</v>
      </c>
      <c r="O52" cm="1">
        <f t="array" aca="1" ref="O52" ca="1">_xll.IMDP("IDX", O$49, $L52, Sheet1!$B$26)</f>
        <v>97649</v>
      </c>
      <c r="P52" cm="1">
        <f t="array" aca="1" ref="P52" ca="1">_xll.IMDP("IDX", P$49, $L52, Sheet1!$B$26)</f>
        <v>-5229</v>
      </c>
      <c r="Q52" cm="1">
        <f t="array" aca="1" ref="Q52" ca="1">_xll.IMDP("FUT", Q$49, $K52, Sheet1!$B$26)</f>
        <v>3766</v>
      </c>
      <c r="T52" t="s">
        <v>302</v>
      </c>
      <c r="U52" t="s">
        <v>303</v>
      </c>
    </row>
    <row r="53" spans="2:21" x14ac:dyDescent="0.3">
      <c r="B53">
        <v>9</v>
      </c>
      <c r="C53" t="str" cm="1">
        <f t="array" ref="C53">INDEX($C$4:$F$43, $B53, 1)</f>
        <v>FRN</v>
      </c>
      <c r="D53" t="str" cm="1">
        <f t="array" ref="D53">INDEX($C$4:$F$43, $B53, 2)</f>
        <v>SHS:000001</v>
      </c>
      <c r="E53" t="str" cm="1">
        <f t="array" ref="E53">INDEX($C$4:$F$43, $B53, 3)&amp;$I$16</f>
        <v>RM10Y</v>
      </c>
      <c r="F53" t="str" cm="1">
        <f t="array" ref="F53">INDEX($C$4:$F$43, $B53, 4)</f>
        <v>USDCNY</v>
      </c>
      <c r="K53" t="s">
        <v>292</v>
      </c>
      <c r="L53" t="s">
        <v>283</v>
      </c>
      <c r="M53" cm="1">
        <f t="array" aca="1" ref="M53" ca="1">_xll.IMDP("FUT", M$49, $K53, Sheet1!$B$26)</f>
        <v>-1922</v>
      </c>
      <c r="N53" cm="1">
        <f t="array" aca="1" ref="N53" ca="1">_xll.IMDP("FUT", N$49, $K53, Sheet1!$B$26)</f>
        <v>2565</v>
      </c>
      <c r="O53" cm="1">
        <f t="array" aca="1" ref="O53" ca="1">_xll.IMDP("IDX", O$49, $L53, Sheet1!$B$26)</f>
        <v>3412</v>
      </c>
      <c r="P53" cm="1">
        <f t="array" aca="1" ref="P53" ca="1">_xll.IMDP("IDX", P$49, $L53, Sheet1!$B$26)</f>
        <v>1271</v>
      </c>
      <c r="Q53" cm="1">
        <f t="array" aca="1" ref="Q53" ca="1">_xll.IMDP("FUT", Q$49, $K53, Sheet1!$B$26)</f>
        <v>110</v>
      </c>
      <c r="T53" t="s">
        <v>304</v>
      </c>
      <c r="U53" t="s">
        <v>305</v>
      </c>
    </row>
    <row r="54" spans="2:21" x14ac:dyDescent="0.3">
      <c r="B54">
        <v>11</v>
      </c>
      <c r="C54" t="str" cm="1">
        <f t="array" ref="C54">INDEX($C$4:$F$43, $B54, 1)</f>
        <v>FRN</v>
      </c>
      <c r="D54" t="str" cm="1">
        <f t="array" ref="D54">INDEX($C$4:$F$43, $B54, 2)</f>
        <v>HSI:HSI</v>
      </c>
      <c r="E54" t="str" cm="1">
        <f t="array" ref="E54">INDEX($C$4:$F$43, $B54, 3)&amp;$I$16</f>
        <v>10Y</v>
      </c>
      <c r="F54" t="str" cm="1">
        <f t="array" ref="F54">INDEX($C$4:$F$43, $B54, 4)</f>
        <v>USDHKD</v>
      </c>
      <c r="K54" t="s">
        <v>293</v>
      </c>
      <c r="L54" t="s">
        <v>284</v>
      </c>
      <c r="M54" cm="1">
        <f t="array" aca="1" ref="M54" ca="1">_xll.IMDP("FUT", M$49, $K54, Sheet1!$B$26)</f>
        <v>-1617</v>
      </c>
      <c r="N54" cm="1">
        <f t="array" aca="1" ref="N54" ca="1">_xll.IMDP("FUT", N$49, $K54, Sheet1!$B$26)</f>
        <v>124</v>
      </c>
      <c r="O54" cm="1">
        <f t="array" aca="1" ref="O54" ca="1">_xll.IMDP("IDX", O$49, $L54, Sheet1!$B$26)</f>
        <v>25406</v>
      </c>
      <c r="P54" cm="1">
        <f t="array" aca="1" ref="P54" ca="1">_xll.IMDP("IDX", P$49, $L54, Sheet1!$B$26)</f>
        <v>-1995</v>
      </c>
      <c r="Q54" cm="1">
        <f t="array" aca="1" ref="Q54" ca="1">_xll.IMDP("FUT", Q$49, $K54, Sheet1!$B$26)</f>
        <v>-455</v>
      </c>
      <c r="T54" t="s">
        <v>306</v>
      </c>
      <c r="U54" t="s">
        <v>308</v>
      </c>
    </row>
    <row r="55" spans="2:21" x14ac:dyDescent="0.3">
      <c r="B55">
        <v>13</v>
      </c>
      <c r="C55" t="str" cm="1">
        <f t="array" ref="C55">INDEX($C$4:$F$43, $B55, 1)</f>
        <v>FRN</v>
      </c>
      <c r="D55" t="str" cm="1">
        <f t="array" ref="D55">INDEX($C$4:$F$43, $B55, 2)</f>
        <v>TWS:TI01</v>
      </c>
      <c r="E55" t="str" cm="1">
        <f t="array" ref="E55">INDEX($C$4:$F$43, $B55, 3)&amp;$I$16</f>
        <v>TW10Y</v>
      </c>
      <c r="F55" t="str" cm="1">
        <f t="array" ref="F55">INDEX($C$4:$F$43, $B55, 4)</f>
        <v>USDTWD</v>
      </c>
      <c r="K55" t="s">
        <v>294</v>
      </c>
      <c r="L55" t="s">
        <v>280</v>
      </c>
      <c r="M55" cm="1">
        <f t="array" aca="1" ref="M55" ca="1">_xll.IMDP("FUT", M$49, $K55, Sheet1!$B$26)</f>
        <v>-2</v>
      </c>
      <c r="N55" cm="1">
        <f t="array" aca="1" ref="N55" ca="1">_xll.IMDP("FUT", N$49, $K55, Sheet1!$B$26)</f>
        <v>261</v>
      </c>
      <c r="O55" cm="1">
        <f t="array" aca="1" ref="O55" ca="1">_xll.IMDP("IDX", O$49, $L55, Sheet1!$B$26)</f>
        <v>92115</v>
      </c>
      <c r="P55" cm="1">
        <f t="array" aca="1" ref="P55" ca="1">_xll.IMDP("IDX", P$49, $L55, Sheet1!$B$26)</f>
        <v>-61771</v>
      </c>
      <c r="Q55" cm="1">
        <f t="array" aca="1" ref="Q55" ca="1">_xll.IMDP("FUT", Q$49, $K55, Sheet1!$B$26)</f>
        <v>-861</v>
      </c>
      <c r="T55" t="s">
        <v>306</v>
      </c>
      <c r="U55" t="s">
        <v>307</v>
      </c>
    </row>
    <row r="56" spans="2:21" x14ac:dyDescent="0.3">
      <c r="B56">
        <v>14</v>
      </c>
      <c r="C56" t="str" cm="1">
        <f t="array" ref="C56">INDEX($C$4:$F$43, $B56, 1)</f>
        <v>FRN</v>
      </c>
      <c r="D56" t="str" cm="1">
        <f t="array" ref="D56">INDEX($C$4:$F$43, $B56, 2)</f>
        <v>STX:SX5E</v>
      </c>
      <c r="E56" t="str" cm="1">
        <f t="array" ref="E56">INDEX($C$4:$F$43, $B56, 3)&amp;$I$16</f>
        <v>EU10Y</v>
      </c>
      <c r="F56" t="str" cm="1">
        <f t="array" ref="F56">INDEX($C$4:$F$43, $B56, 4)</f>
        <v>EURUSD</v>
      </c>
      <c r="K56" t="s">
        <v>295</v>
      </c>
      <c r="L56" t="s">
        <v>281</v>
      </c>
      <c r="M56" cm="1">
        <f t="array" aca="1" ref="M56" ca="1">_xll.IMDP("FUT", M$49, $K56, Sheet1!$B$26)</f>
        <v>-17809</v>
      </c>
      <c r="N56" cm="1">
        <f t="array" aca="1" ref="N56" ca="1">_xll.IMDP("FUT", N$49, $K56, Sheet1!$B$26)</f>
        <v>-4659</v>
      </c>
      <c r="O56" cm="1">
        <f t="array" aca="1" ref="O56" ca="1">_xll.IMDP("IDX", O$49, $L56, Sheet1!$B$26)</f>
        <v>-210222</v>
      </c>
      <c r="P56" cm="1">
        <f t="array" aca="1" ref="P56" ca="1">_xll.IMDP("IDX", P$49, $L56, Sheet1!$B$26)</f>
        <v>1835</v>
      </c>
      <c r="Q56" cm="1">
        <f t="array" aca="1" ref="Q56" ca="1">_xll.IMDP("FUT", Q$49, $K56, Sheet1!$B$26)</f>
        <v>-784</v>
      </c>
      <c r="T56" t="s">
        <v>309</v>
      </c>
      <c r="U56" t="s">
        <v>310</v>
      </c>
    </row>
    <row r="57" spans="2:21" x14ac:dyDescent="0.3">
      <c r="B57">
        <v>15</v>
      </c>
      <c r="C57" t="str" cm="1">
        <f t="array" ref="C57">INDEX($C$4:$F$43, $B57, 1)</f>
        <v>FRN</v>
      </c>
      <c r="D57" t="str" cm="1">
        <f t="array" ref="D57">INDEX($C$4:$F$43, $B57, 2)</f>
        <v>XTR:DAX30</v>
      </c>
      <c r="E57" t="str" cm="1">
        <f t="array" ref="E57">INDEX($C$4:$F$43, $B57, 3)&amp;$I$16</f>
        <v>DE10Y</v>
      </c>
      <c r="F57" t="str" cm="1">
        <f t="array" ref="F57">INDEX($C$4:$F$43, $B57, 4)</f>
        <v>EURUSD</v>
      </c>
      <c r="T57" t="s">
        <v>311</v>
      </c>
      <c r="U57" t="s">
        <v>312</v>
      </c>
    </row>
    <row r="58" spans="2:21" x14ac:dyDescent="0.3">
      <c r="T58" t="s">
        <v>311</v>
      </c>
      <c r="U58" t="s">
        <v>313</v>
      </c>
    </row>
    <row r="59" spans="2:21" x14ac:dyDescent="0.3">
      <c r="T59" t="s">
        <v>311</v>
      </c>
      <c r="U59" t="s">
        <v>314</v>
      </c>
    </row>
    <row r="60" spans="2:21" x14ac:dyDescent="0.3">
      <c r="T60" t="s">
        <v>315</v>
      </c>
      <c r="U60" t="s">
        <v>316</v>
      </c>
    </row>
    <row r="61" spans="2:21" x14ac:dyDescent="0.3">
      <c r="R61" s="2"/>
      <c r="T61" t="s">
        <v>315</v>
      </c>
      <c r="U61" t="s">
        <v>317</v>
      </c>
    </row>
    <row r="62" spans="2:21" x14ac:dyDescent="0.3">
      <c r="T62" t="s">
        <v>318</v>
      </c>
      <c r="U62" t="s">
        <v>319</v>
      </c>
    </row>
    <row r="63" spans="2:21" x14ac:dyDescent="0.3">
      <c r="T63" t="s">
        <v>320</v>
      </c>
      <c r="U63" t="s">
        <v>321</v>
      </c>
    </row>
    <row r="64" spans="2:21" x14ac:dyDescent="0.3">
      <c r="T64" t="s">
        <v>320</v>
      </c>
      <c r="U64" t="s">
        <v>322</v>
      </c>
    </row>
    <row r="65" spans="20:21" x14ac:dyDescent="0.3">
      <c r="T65" t="s">
        <v>320</v>
      </c>
      <c r="U65" t="s">
        <v>323</v>
      </c>
    </row>
    <row r="66" spans="20:21" x14ac:dyDescent="0.3">
      <c r="T66" t="s">
        <v>324</v>
      </c>
      <c r="U66" t="s">
        <v>325</v>
      </c>
    </row>
    <row r="67" spans="20:21" x14ac:dyDescent="0.3">
      <c r="T67" t="s">
        <v>326</v>
      </c>
      <c r="U67" t="s">
        <v>327</v>
      </c>
    </row>
    <row r="68" spans="20:21" x14ac:dyDescent="0.3">
      <c r="T68" t="s">
        <v>328</v>
      </c>
      <c r="U68" t="s">
        <v>329</v>
      </c>
    </row>
    <row r="69" spans="20:21" x14ac:dyDescent="0.3">
      <c r="T69" t="s">
        <v>330</v>
      </c>
      <c r="U69" t="s">
        <v>331</v>
      </c>
    </row>
    <row r="70" spans="20:21" x14ac:dyDescent="0.3">
      <c r="T70" t="s">
        <v>332</v>
      </c>
      <c r="U70" t="s">
        <v>333</v>
      </c>
    </row>
    <row r="71" spans="20:21" x14ac:dyDescent="0.3">
      <c r="T71" t="s">
        <v>334</v>
      </c>
      <c r="U71" t="s">
        <v>335</v>
      </c>
    </row>
    <row r="72" spans="20:21" x14ac:dyDescent="0.3">
      <c r="T72" t="s">
        <v>334</v>
      </c>
      <c r="U72" t="s">
        <v>336</v>
      </c>
    </row>
    <row r="73" spans="20:21" x14ac:dyDescent="0.3">
      <c r="T73" t="s">
        <v>334</v>
      </c>
      <c r="U73" t="s">
        <v>337</v>
      </c>
    </row>
    <row r="74" spans="20:21" x14ac:dyDescent="0.3">
      <c r="T74" t="s">
        <v>334</v>
      </c>
      <c r="U74" t="s">
        <v>338</v>
      </c>
    </row>
  </sheetData>
  <sortState xmlns:xlrd2="http://schemas.microsoft.com/office/spreadsheetml/2017/richdata2" ref="B4:F21">
    <sortCondition ref="B4:B21"/>
  </sortState>
  <conditionalFormatting sqref="H24:H28">
    <cfRule type="expression" dxfId="0" priority="1">
      <formula>OR($E17="장외", $E17="장내")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2025-02-27T01:46:43Z</dcterms:created>
  <dcterms:modified xsi:type="dcterms:W3CDTF">2025-03-05T07:54:21Z</dcterms:modified>
</cp:coreProperties>
</file>