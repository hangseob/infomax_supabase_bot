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metadata.xml" ContentType="application/vnd.openxmlformats-officedocument.spreadsheetml.sheetMetadata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현재_통합_문서" hidePivotFieldList="1" defaultThemeVersion="124226"/>
  <bookViews>
    <workbookView xWindow="45" yWindow="3360" windowWidth="21045" windowHeight="11295"/>
  </bookViews>
  <sheets>
    <sheet name="close" sheetId="1" r:id="rId1"/>
    <sheet name="code_list" sheetId="14" state="hidden" r:id="rId2"/>
    <sheet name="data" sheetId="13" state="hidden" r:id="rId3"/>
  </sheets>
  <definedNames>
    <definedName name="_xlnm.Print_Area" localSheetId="0">close!$A$1:$AJ$85</definedName>
    <definedName name="국고">close!$G$8</definedName>
    <definedName name="국고_all">close!$G$8:$G$214</definedName>
    <definedName name="국고_code">code_list!$H$1:$H$200</definedName>
    <definedName name="국민">close!$AD$8</definedName>
    <definedName name="국민_all">close!$AD$8:$AD$214</definedName>
    <definedName name="국민_code">code_list!$AI$1:$AI$200</definedName>
    <definedName name="물가">close!$W$8</definedName>
    <definedName name="물가_all">close!$W$8:$W$57</definedName>
    <definedName name="물가_code">code_list!$Z$1:$Z$50</definedName>
    <definedName name="통안">close!$O$8</definedName>
    <definedName name="통안_all">close!$O$8:$O$214</definedName>
    <definedName name="통안_code">code_list!$Q$1:$Q$200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07" i="1"/>
  <c r="AI207" s="1"/>
  <c r="AH207" l="1"/>
  <c r="AG207"/>
  <c r="AF207"/>
  <c r="AE206"/>
  <c r="AI206" s="1"/>
  <c r="AG206" l="1"/>
  <c r="AH206"/>
  <c r="AF206"/>
  <c r="AE205"/>
  <c r="AI205" s="1"/>
  <c r="AG205" l="1"/>
  <c r="AH205"/>
  <c r="AF205"/>
  <c r="AE204"/>
  <c r="AI204" s="1"/>
  <c r="AG204" l="1"/>
  <c r="AH204"/>
  <c r="AF204"/>
  <c r="AE203"/>
  <c r="AI203" s="1"/>
  <c r="AG203" l="1"/>
  <c r="AH203"/>
  <c r="AF203"/>
  <c r="AE202"/>
  <c r="AI202" s="1"/>
  <c r="AG202" l="1"/>
  <c r="AH202"/>
  <c r="AF202"/>
  <c r="AE201"/>
  <c r="AI201" s="1"/>
  <c r="AG201" l="1"/>
  <c r="AH201"/>
  <c r="AF201"/>
  <c r="AE200"/>
  <c r="AI200" s="1"/>
  <c r="AG200" l="1"/>
  <c r="AH200"/>
  <c r="AF200"/>
  <c r="AE199"/>
  <c r="AI199" s="1"/>
  <c r="AG199" l="1"/>
  <c r="AH199"/>
  <c r="AF199"/>
  <c r="AE198"/>
  <c r="AI198" s="1"/>
  <c r="AG198" l="1"/>
  <c r="AH198"/>
  <c r="AF198"/>
  <c r="AE197"/>
  <c r="AI197" s="1"/>
  <c r="AG197" l="1"/>
  <c r="AH197"/>
  <c r="AF197"/>
  <c r="AE196"/>
  <c r="AI196" s="1"/>
  <c r="AG196" l="1"/>
  <c r="AH196"/>
  <c r="AF196"/>
  <c r="AE195"/>
  <c r="AI195" s="1"/>
  <c r="AG195" l="1"/>
  <c r="AH195"/>
  <c r="AF195"/>
  <c r="AE194"/>
  <c r="AI194" s="1"/>
  <c r="AG194" l="1"/>
  <c r="AH194"/>
  <c r="AF194"/>
  <c r="AE193"/>
  <c r="AI193" s="1"/>
  <c r="AG193" l="1"/>
  <c r="AH193"/>
  <c r="AF193"/>
  <c r="AE192"/>
  <c r="AI192" s="1"/>
  <c r="AG192" l="1"/>
  <c r="AH192"/>
  <c r="AF192"/>
  <c r="AE191"/>
  <c r="AI191" s="1"/>
  <c r="AG191" l="1"/>
  <c r="AH191"/>
  <c r="AF191"/>
  <c r="AE190"/>
  <c r="AI190" s="1"/>
  <c r="AG190" l="1"/>
  <c r="AH190"/>
  <c r="AF190"/>
  <c r="AE189"/>
  <c r="AI189" s="1"/>
  <c r="AG189" l="1"/>
  <c r="AH189"/>
  <c r="AF189"/>
  <c r="AE188"/>
  <c r="AI188" s="1"/>
  <c r="AG188" l="1"/>
  <c r="AH188"/>
  <c r="AF188"/>
  <c r="AE187"/>
  <c r="AI187" s="1"/>
  <c r="AG187" l="1"/>
  <c r="AH187"/>
  <c r="AF187"/>
  <c r="AE186"/>
  <c r="AI186" s="1"/>
  <c r="AG186" l="1"/>
  <c r="AH186"/>
  <c r="AF186"/>
  <c r="AE185"/>
  <c r="AI185" s="1"/>
  <c r="AG185" l="1"/>
  <c r="AH185"/>
  <c r="AF185"/>
  <c r="AE184"/>
  <c r="AI184" s="1"/>
  <c r="AG184" l="1"/>
  <c r="AH184"/>
  <c r="AF184"/>
  <c r="AE183"/>
  <c r="AI183" s="1"/>
  <c r="AG183" l="1"/>
  <c r="AH183"/>
  <c r="AF183"/>
  <c r="AE182"/>
  <c r="AI182" s="1"/>
  <c r="AG182" l="1"/>
  <c r="AH182"/>
  <c r="AF182"/>
  <c r="AE181"/>
  <c r="AI181" s="1"/>
  <c r="AG181" l="1"/>
  <c r="AH181"/>
  <c r="AF181"/>
  <c r="AE180"/>
  <c r="AI180" s="1"/>
  <c r="AG180" l="1"/>
  <c r="AH180"/>
  <c r="AF180"/>
  <c r="AE179"/>
  <c r="AI179" s="1"/>
  <c r="AG179" l="1"/>
  <c r="AH179"/>
  <c r="AF179"/>
  <c r="AE178"/>
  <c r="AI178" s="1"/>
  <c r="AG178" l="1"/>
  <c r="AH178"/>
  <c r="AF178"/>
  <c r="AE177"/>
  <c r="AI177" s="1"/>
  <c r="AG177" l="1"/>
  <c r="AH177"/>
  <c r="AF177"/>
  <c r="AE176"/>
  <c r="AI176" s="1"/>
  <c r="AG176" l="1"/>
  <c r="AH176"/>
  <c r="AF176"/>
  <c r="AE175"/>
  <c r="AI175" s="1"/>
  <c r="AG175" l="1"/>
  <c r="AH175"/>
  <c r="AF175"/>
  <c r="AE174"/>
  <c r="AI174" s="1"/>
  <c r="AG174" l="1"/>
  <c r="AH174"/>
  <c r="AF174"/>
  <c r="AE173"/>
  <c r="AI173" s="1"/>
  <c r="AG173" l="1"/>
  <c r="AH173"/>
  <c r="AF173"/>
  <c r="AE172"/>
  <c r="AI172" s="1"/>
  <c r="AG172" l="1"/>
  <c r="AH172"/>
  <c r="AF172"/>
  <c r="AE171"/>
  <c r="AI171" s="1"/>
  <c r="AG171" l="1"/>
  <c r="AH171"/>
  <c r="AF171"/>
  <c r="AE170"/>
  <c r="AI170" s="1"/>
  <c r="AG170" l="1"/>
  <c r="AH170"/>
  <c r="AF170"/>
  <c r="AE169"/>
  <c r="AI169" s="1"/>
  <c r="AG169" l="1"/>
  <c r="AH169"/>
  <c r="AF169"/>
  <c r="AE168"/>
  <c r="AI168" s="1"/>
  <c r="AG168" l="1"/>
  <c r="AH168"/>
  <c r="AF168"/>
  <c r="AE167"/>
  <c r="AI167" s="1"/>
  <c r="AG167" l="1"/>
  <c r="AH167"/>
  <c r="AF167"/>
  <c r="AE166"/>
  <c r="AI166" s="1"/>
  <c r="AG166" l="1"/>
  <c r="AH166"/>
  <c r="AF166"/>
  <c r="AE165"/>
  <c r="AI165" s="1"/>
  <c r="AG165" l="1"/>
  <c r="AH165"/>
  <c r="AF165"/>
  <c r="AE164"/>
  <c r="AI164" s="1"/>
  <c r="AG164" l="1"/>
  <c r="AH164"/>
  <c r="AF164"/>
  <c r="AE163"/>
  <c r="AI163" s="1"/>
  <c r="AG163" l="1"/>
  <c r="AH163"/>
  <c r="AF163"/>
  <c r="AE162"/>
  <c r="AI162" s="1"/>
  <c r="AG162" l="1"/>
  <c r="AH162"/>
  <c r="AF162"/>
  <c r="AE161"/>
  <c r="AI161" s="1"/>
  <c r="AG161" l="1"/>
  <c r="AH161"/>
  <c r="AF161"/>
  <c r="AE160"/>
  <c r="AI160" s="1"/>
  <c r="AG160" l="1"/>
  <c r="AH160"/>
  <c r="AF160"/>
  <c r="AE159"/>
  <c r="AI159" s="1"/>
  <c r="AG159" l="1"/>
  <c r="AH159"/>
  <c r="AF159"/>
  <c r="AE158"/>
  <c r="AI158" s="1"/>
  <c r="AG158" l="1"/>
  <c r="AH158"/>
  <c r="AF158"/>
  <c r="AE157"/>
  <c r="AI157" s="1"/>
  <c r="AG157" l="1"/>
  <c r="AH157"/>
  <c r="AF157"/>
  <c r="AE156"/>
  <c r="AI156" s="1"/>
  <c r="AG156" l="1"/>
  <c r="AH156"/>
  <c r="AF156"/>
  <c r="AE155"/>
  <c r="AI155" s="1"/>
  <c r="AG155" l="1"/>
  <c r="AH155"/>
  <c r="AF155"/>
  <c r="AE154"/>
  <c r="AI154" s="1"/>
  <c r="AG154" l="1"/>
  <c r="AH154"/>
  <c r="AF154"/>
  <c r="AE153"/>
  <c r="AI153" s="1"/>
  <c r="AG153" l="1"/>
  <c r="AH153"/>
  <c r="AF153"/>
  <c r="AE152"/>
  <c r="AI152" s="1"/>
  <c r="AG152" l="1"/>
  <c r="AH152"/>
  <c r="AF152"/>
  <c r="AE151"/>
  <c r="AI151" s="1"/>
  <c r="AG151" l="1"/>
  <c r="AH151"/>
  <c r="AF151"/>
  <c r="AE150"/>
  <c r="AI150" s="1"/>
  <c r="AG150" l="1"/>
  <c r="AH150"/>
  <c r="AF150"/>
  <c r="AE149"/>
  <c r="AI149" s="1"/>
  <c r="AG149" l="1"/>
  <c r="AH149"/>
  <c r="AF149"/>
  <c r="AE148"/>
  <c r="AI148" s="1"/>
  <c r="AG148" l="1"/>
  <c r="AH148"/>
  <c r="AF148"/>
  <c r="AE147"/>
  <c r="AI147" s="1"/>
  <c r="AG147" l="1"/>
  <c r="AH147"/>
  <c r="AF147"/>
  <c r="AE146"/>
  <c r="AI146" s="1"/>
  <c r="AG146" l="1"/>
  <c r="AH146"/>
  <c r="AF146"/>
  <c r="AE145"/>
  <c r="AI145" s="1"/>
  <c r="AG145" l="1"/>
  <c r="AH145"/>
  <c r="AF145"/>
  <c r="AE144"/>
  <c r="AI144" s="1"/>
  <c r="AG144" l="1"/>
  <c r="AH144"/>
  <c r="AF144"/>
  <c r="AE143"/>
  <c r="AH143" s="1"/>
  <c r="AI143" l="1"/>
  <c r="AG143"/>
  <c r="AF143"/>
  <c r="AE142"/>
  <c r="AI142" s="1"/>
  <c r="AG142" l="1"/>
  <c r="AH142"/>
  <c r="AF142"/>
  <c r="AE141"/>
  <c r="AI141" s="1"/>
  <c r="AG141" l="1"/>
  <c r="AH141"/>
  <c r="AF141"/>
  <c r="AE140"/>
  <c r="AI140" s="1"/>
  <c r="AG140" l="1"/>
  <c r="AH140"/>
  <c r="AF140"/>
  <c r="AE139"/>
  <c r="AI139" s="1"/>
  <c r="AG139" l="1"/>
  <c r="AH139"/>
  <c r="AF139"/>
  <c r="AE138"/>
  <c r="AI138" s="1"/>
  <c r="AG138" l="1"/>
  <c r="AH138"/>
  <c r="AF138"/>
  <c r="AE137"/>
  <c r="AI137" s="1"/>
  <c r="AG137" l="1"/>
  <c r="AH137"/>
  <c r="AF137"/>
  <c r="AE136"/>
  <c r="AI136" s="1"/>
  <c r="AG136" l="1"/>
  <c r="AH136"/>
  <c r="AF136"/>
  <c r="AE135"/>
  <c r="AI135" s="1"/>
  <c r="AG135" l="1"/>
  <c r="AH135"/>
  <c r="AF135"/>
  <c r="AE134"/>
  <c r="AI134" s="1"/>
  <c r="AG134" l="1"/>
  <c r="AH134"/>
  <c r="AF134"/>
  <c r="AE133"/>
  <c r="AI133" s="1"/>
  <c r="AG133" l="1"/>
  <c r="AH133"/>
  <c r="AF133"/>
  <c r="AE132"/>
  <c r="AI132" s="1"/>
  <c r="AG132" l="1"/>
  <c r="AH132"/>
  <c r="AF132"/>
  <c r="AE131"/>
  <c r="AI131" s="1"/>
  <c r="AG131" l="1"/>
  <c r="AH131"/>
  <c r="AF131"/>
  <c r="AE130"/>
  <c r="AI130" s="1"/>
  <c r="AG130" l="1"/>
  <c r="AH130"/>
  <c r="AF130"/>
  <c r="AE129"/>
  <c r="AI129" s="1"/>
  <c r="AG129" l="1"/>
  <c r="AH129"/>
  <c r="AF129"/>
  <c r="AE128"/>
  <c r="AI128" s="1"/>
  <c r="AG128" l="1"/>
  <c r="AH128"/>
  <c r="AF128"/>
  <c r="AE127"/>
  <c r="AI127" s="1"/>
  <c r="AG127" l="1"/>
  <c r="AH127"/>
  <c r="AF127"/>
  <c r="AE126"/>
  <c r="AI126" s="1"/>
  <c r="AG126" l="1"/>
  <c r="AH126"/>
  <c r="AF126"/>
  <c r="AE125"/>
  <c r="AI125" s="1"/>
  <c r="AG125" l="1"/>
  <c r="AH125"/>
  <c r="AF125"/>
  <c r="AE124"/>
  <c r="AI124" s="1"/>
  <c r="AG124" l="1"/>
  <c r="AH124"/>
  <c r="AF124"/>
  <c r="AE123"/>
  <c r="AI123" s="1"/>
  <c r="AG123" l="1"/>
  <c r="AH123"/>
  <c r="AF123"/>
  <c r="AE122"/>
  <c r="AI122" s="1"/>
  <c r="AG122" l="1"/>
  <c r="AH122"/>
  <c r="AF122"/>
  <c r="AE121"/>
  <c r="AI121" s="1"/>
  <c r="AG121" l="1"/>
  <c r="AH121"/>
  <c r="AF121"/>
  <c r="AE120"/>
  <c r="AI120" s="1"/>
  <c r="AG120" l="1"/>
  <c r="AH120"/>
  <c r="AF120"/>
  <c r="AE119"/>
  <c r="AI119" s="1"/>
  <c r="AG119" l="1"/>
  <c r="AH119"/>
  <c r="AF119"/>
  <c r="AE118"/>
  <c r="AI118" s="1"/>
  <c r="AG118" l="1"/>
  <c r="AH118"/>
  <c r="AF118"/>
  <c r="AE117"/>
  <c r="AI117" s="1"/>
  <c r="AG117" l="1"/>
  <c r="AH117"/>
  <c r="AF117"/>
  <c r="AE116"/>
  <c r="AI116" s="1"/>
  <c r="AG116" l="1"/>
  <c r="AH116"/>
  <c r="AF116"/>
  <c r="AE115"/>
  <c r="AI115" s="1"/>
  <c r="AG115" l="1"/>
  <c r="AH115"/>
  <c r="AF115"/>
  <c r="AE114"/>
  <c r="AI114" s="1"/>
  <c r="AG114" l="1"/>
  <c r="AH114"/>
  <c r="AF114"/>
  <c r="AE113"/>
  <c r="AI113" s="1"/>
  <c r="AG113" l="1"/>
  <c r="AH113"/>
  <c r="AF113"/>
  <c r="AE112"/>
  <c r="AI112" s="1"/>
  <c r="AG112" l="1"/>
  <c r="AH112"/>
  <c r="AF112"/>
  <c r="AE111"/>
  <c r="AI111" s="1"/>
  <c r="AG111" l="1"/>
  <c r="AH111"/>
  <c r="AF111"/>
  <c r="AE110"/>
  <c r="AI110" s="1"/>
  <c r="AG110" l="1"/>
  <c r="AH110"/>
  <c r="AF110"/>
  <c r="AE109"/>
  <c r="AI109" s="1"/>
  <c r="AG109" l="1"/>
  <c r="AH109"/>
  <c r="AF109"/>
  <c r="AE108"/>
  <c r="AI108" s="1"/>
  <c r="AG108" l="1"/>
  <c r="AH108"/>
  <c r="AF108"/>
  <c r="AE107"/>
  <c r="AI107" s="1"/>
  <c r="AG107" l="1"/>
  <c r="AH107"/>
  <c r="AF107"/>
  <c r="AE106"/>
  <c r="AI106" s="1"/>
  <c r="AG106" l="1"/>
  <c r="AH106"/>
  <c r="AF106"/>
  <c r="AE105"/>
  <c r="AI105" s="1"/>
  <c r="AG105" l="1"/>
  <c r="AH105"/>
  <c r="AF105"/>
  <c r="AE104"/>
  <c r="AI104" s="1"/>
  <c r="AG104" l="1"/>
  <c r="AH104"/>
  <c r="AF104"/>
  <c r="AE103"/>
  <c r="AI103" s="1"/>
  <c r="AG103" l="1"/>
  <c r="AH103"/>
  <c r="AF103"/>
  <c r="AE102"/>
  <c r="AI102" s="1"/>
  <c r="AG102" l="1"/>
  <c r="AH102"/>
  <c r="AF102"/>
  <c r="AE101"/>
  <c r="AI101" s="1"/>
  <c r="AG101" l="1"/>
  <c r="AH101"/>
  <c r="AF101"/>
  <c r="AE100"/>
  <c r="AI100" s="1"/>
  <c r="AG100" l="1"/>
  <c r="AH100"/>
  <c r="AF100"/>
  <c r="AE99"/>
  <c r="AI99" s="1"/>
  <c r="AG99" l="1"/>
  <c r="AH99"/>
  <c r="AF99"/>
  <c r="AE98"/>
  <c r="AI98" s="1"/>
  <c r="AG98" l="1"/>
  <c r="AH98"/>
  <c r="AF98"/>
  <c r="AE97"/>
  <c r="AI97" s="1"/>
  <c r="AG97" l="1"/>
  <c r="AH97"/>
  <c r="AF97"/>
  <c r="AE96"/>
  <c r="AI96" s="1"/>
  <c r="AG96" l="1"/>
  <c r="AH96"/>
  <c r="AF96"/>
  <c r="AE95"/>
  <c r="AI95" s="1"/>
  <c r="AG95" l="1"/>
  <c r="AH95"/>
  <c r="AF95"/>
  <c r="AE94"/>
  <c r="AI94" s="1"/>
  <c r="AG94" l="1"/>
  <c r="AH94"/>
  <c r="AF94"/>
  <c r="AE93"/>
  <c r="AI93" s="1"/>
  <c r="AG93" l="1"/>
  <c r="AH93"/>
  <c r="AF93"/>
  <c r="AE92"/>
  <c r="AI92" s="1"/>
  <c r="AG92" l="1"/>
  <c r="AH92"/>
  <c r="AF92"/>
  <c r="AE91"/>
  <c r="AI91" s="1"/>
  <c r="AG91" l="1"/>
  <c r="AH91"/>
  <c r="AF91"/>
  <c r="AE90"/>
  <c r="AI90" s="1"/>
  <c r="AG90" l="1"/>
  <c r="AH90"/>
  <c r="AF90"/>
  <c r="AE89"/>
  <c r="AI89" s="1"/>
  <c r="AG89" l="1"/>
  <c r="AH89"/>
  <c r="AF89"/>
  <c r="AE88"/>
  <c r="AI88" s="1"/>
  <c r="AG88" l="1"/>
  <c r="AH88"/>
  <c r="AF88"/>
  <c r="AE87"/>
  <c r="AI87" s="1"/>
  <c r="AG87" l="1"/>
  <c r="AH87"/>
  <c r="AF87"/>
  <c r="AE86"/>
  <c r="AI86" s="1"/>
  <c r="AG86" l="1"/>
  <c r="AH86"/>
  <c r="AF86"/>
  <c r="AE85"/>
  <c r="AI85" s="1"/>
  <c r="AG85" l="1"/>
  <c r="AH85"/>
  <c r="AF85"/>
  <c r="AE84"/>
  <c r="AI84" s="1"/>
  <c r="AG84" l="1"/>
  <c r="AH84"/>
  <c r="AF84"/>
  <c r="AE83"/>
  <c r="AI83" s="1"/>
  <c r="AH83" l="1"/>
  <c r="AG83"/>
  <c r="AF83"/>
  <c r="AE82"/>
  <c r="AI82" s="1"/>
  <c r="AG82" l="1"/>
  <c r="AH82"/>
  <c r="AF82"/>
  <c r="AE81"/>
  <c r="AI81" s="1"/>
  <c r="AG81" l="1"/>
  <c r="AH81"/>
  <c r="AF81"/>
  <c r="AE80"/>
  <c r="AI80" s="1"/>
  <c r="AG80" l="1"/>
  <c r="AH80"/>
  <c r="AF80"/>
  <c r="AE79"/>
  <c r="AI79" s="1"/>
  <c r="AG79" l="1"/>
  <c r="AH79"/>
  <c r="AF79"/>
  <c r="AE78"/>
  <c r="AI78" s="1"/>
  <c r="AG78" l="1"/>
  <c r="AH78"/>
  <c r="AF78"/>
  <c r="AE77"/>
  <c r="AI77" s="1"/>
  <c r="AG77" l="1"/>
  <c r="AH77"/>
  <c r="AF77"/>
  <c r="AE76"/>
  <c r="AI76" s="1"/>
  <c r="AG76" l="1"/>
  <c r="AH76"/>
  <c r="AF76"/>
  <c r="AE75"/>
  <c r="AI75" s="1"/>
  <c r="AG75" l="1"/>
  <c r="AH75"/>
  <c r="AF75"/>
  <c r="AE74"/>
  <c r="AI74" s="1"/>
  <c r="AG74" l="1"/>
  <c r="AH74"/>
  <c r="AF74"/>
  <c r="AE73"/>
  <c r="AI73" s="1"/>
  <c r="AG73" l="1"/>
  <c r="AH73"/>
  <c r="AF73"/>
  <c r="AE72"/>
  <c r="AI72" s="1"/>
  <c r="AG72" l="1"/>
  <c r="AH72"/>
  <c r="AF72"/>
  <c r="AE71"/>
  <c r="AI71" s="1"/>
  <c r="AG71" l="1"/>
  <c r="AH71"/>
  <c r="AF71"/>
  <c r="AE70"/>
  <c r="AI70" s="1"/>
  <c r="AG70" l="1"/>
  <c r="AH70"/>
  <c r="AF70"/>
  <c r="X29"/>
  <c r="AB29" s="1"/>
  <c r="X30"/>
  <c r="AB30" s="1"/>
  <c r="X31"/>
  <c r="Z31" s="1"/>
  <c r="X32"/>
  <c r="AB32" s="1"/>
  <c r="X33"/>
  <c r="Y33" s="1"/>
  <c r="X34"/>
  <c r="AB34" s="1"/>
  <c r="X35"/>
  <c r="AA35" s="1"/>
  <c r="X36"/>
  <c r="AB36" s="1"/>
  <c r="X37"/>
  <c r="AB37" s="1"/>
  <c r="X38"/>
  <c r="AB38" s="1"/>
  <c r="X39"/>
  <c r="AB39" s="1"/>
  <c r="X40"/>
  <c r="Z40" s="1"/>
  <c r="X41"/>
  <c r="Z41" s="1"/>
  <c r="X42"/>
  <c r="AB42" s="1"/>
  <c r="X43"/>
  <c r="AB43" s="1"/>
  <c r="X44"/>
  <c r="AB44" s="1"/>
  <c r="X45"/>
  <c r="Y45" s="1"/>
  <c r="X46"/>
  <c r="Y46" s="1"/>
  <c r="X47"/>
  <c r="AA47" s="1"/>
  <c r="X48"/>
  <c r="AA48" s="1"/>
  <c r="X49"/>
  <c r="AA49" s="1"/>
  <c r="X50"/>
  <c r="AB50" s="1"/>
  <c r="X51"/>
  <c r="AB51" s="1"/>
  <c r="X52"/>
  <c r="Z52" s="1"/>
  <c r="X53"/>
  <c r="Y53" s="1"/>
  <c r="X54"/>
  <c r="AB54" s="1"/>
  <c r="X55"/>
  <c r="Z55" s="1"/>
  <c r="X56"/>
  <c r="AB56" s="1"/>
  <c r="X57"/>
  <c r="Y57" s="1"/>
  <c r="X28"/>
  <c r="AB28" s="1"/>
  <c r="Y40" l="1"/>
  <c r="AA40"/>
  <c r="Y50"/>
  <c r="Z50"/>
  <c r="AB40"/>
  <c r="AA50"/>
  <c r="Z47"/>
  <c r="AB35"/>
  <c r="Z57"/>
  <c r="Y52"/>
  <c r="Y38"/>
  <c r="Y31"/>
  <c r="Z49"/>
  <c r="Z38"/>
  <c r="AA52"/>
  <c r="AA42"/>
  <c r="AB49"/>
  <c r="AA57"/>
  <c r="AB57"/>
  <c r="AA38"/>
  <c r="AA54"/>
  <c r="Z45"/>
  <c r="Z33"/>
  <c r="AB52"/>
  <c r="Y49"/>
  <c r="AA45"/>
  <c r="AA33"/>
  <c r="AB47"/>
  <c r="AB45"/>
  <c r="AB33"/>
  <c r="AA43"/>
  <c r="Y41"/>
  <c r="Z36"/>
  <c r="AA31"/>
  <c r="Y29"/>
  <c r="Y48"/>
  <c r="Z43"/>
  <c r="Y36"/>
  <c r="Z28"/>
  <c r="AA36"/>
  <c r="Y34"/>
  <c r="AB31"/>
  <c r="Z29"/>
  <c r="Y43"/>
  <c r="Y51"/>
  <c r="AB48"/>
  <c r="AA41"/>
  <c r="Y39"/>
  <c r="Z34"/>
  <c r="AA29"/>
  <c r="AA28"/>
  <c r="AA53"/>
  <c r="Z46"/>
  <c r="Y56"/>
  <c r="AB53"/>
  <c r="Z51"/>
  <c r="AA46"/>
  <c r="Y44"/>
  <c r="AB41"/>
  <c r="Z39"/>
  <c r="AA34"/>
  <c r="Y32"/>
  <c r="Z53"/>
  <c r="AA51"/>
  <c r="AB46"/>
  <c r="Z44"/>
  <c r="AA39"/>
  <c r="Y37"/>
  <c r="Z32"/>
  <c r="AA44"/>
  <c r="Y42"/>
  <c r="Z37"/>
  <c r="AA32"/>
  <c r="Y30"/>
  <c r="AA55"/>
  <c r="Z48"/>
  <c r="AB55"/>
  <c r="Z56"/>
  <c r="AA56"/>
  <c r="Y54"/>
  <c r="Z54"/>
  <c r="Y47"/>
  <c r="Z42"/>
  <c r="AA37"/>
  <c r="Y35"/>
  <c r="Z30"/>
  <c r="Z35"/>
  <c r="AA30"/>
  <c r="Y55"/>
  <c r="Y28"/>
  <c r="X27"/>
  <c r="Z27" s="1"/>
  <c r="AB27" l="1"/>
  <c r="AA27"/>
  <c r="Y27"/>
  <c r="X26"/>
  <c r="AB26" s="1"/>
  <c r="Z26" l="1"/>
  <c r="AA26"/>
  <c r="Y26"/>
  <c r="X25"/>
  <c r="AB25" s="1"/>
  <c r="Z25" l="1"/>
  <c r="AA25"/>
  <c r="Y25"/>
  <c r="X24"/>
  <c r="AB24" s="1"/>
  <c r="Z24" l="1"/>
  <c r="AA24"/>
  <c r="Y24"/>
  <c r="X23"/>
  <c r="AB23" s="1"/>
  <c r="Z23" l="1"/>
  <c r="AA23"/>
  <c r="Y23"/>
  <c r="X22"/>
  <c r="AB22" s="1"/>
  <c r="Z22" l="1"/>
  <c r="AA22"/>
  <c r="Y22"/>
  <c r="X21"/>
  <c r="AB21" s="1"/>
  <c r="Z21" l="1"/>
  <c r="AA21"/>
  <c r="Y21"/>
  <c r="X20"/>
  <c r="AB20" s="1"/>
  <c r="Z20" l="1"/>
  <c r="AA20"/>
  <c r="Y20"/>
  <c r="X19"/>
  <c r="AB19" s="1"/>
  <c r="Z19" l="1"/>
  <c r="AA19"/>
  <c r="Y19"/>
  <c r="X18"/>
  <c r="AB18" s="1"/>
  <c r="Z18" l="1"/>
  <c r="AA18"/>
  <c r="Y18"/>
  <c r="X17"/>
  <c r="AB17" s="1"/>
  <c r="Z17" l="1"/>
  <c r="AA17"/>
  <c r="Y17"/>
  <c r="X16"/>
  <c r="AB16" s="1"/>
  <c r="Z16" l="1"/>
  <c r="AA16"/>
  <c r="Y16"/>
  <c r="X15"/>
  <c r="AB15" s="1"/>
  <c r="Z15" l="1"/>
  <c r="AA15"/>
  <c r="Y15"/>
  <c r="X14"/>
  <c r="AB14" s="1"/>
  <c r="Z14" l="1"/>
  <c r="AA14"/>
  <c r="Y14"/>
  <c r="P207"/>
  <c r="U207" s="1"/>
  <c r="S207" l="1"/>
  <c r="T207"/>
  <c r="Q207"/>
  <c r="R207"/>
  <c r="P206"/>
  <c r="U206" s="1"/>
  <c r="S206" l="1"/>
  <c r="T206"/>
  <c r="Q206"/>
  <c r="R206"/>
  <c r="P205"/>
  <c r="U205" s="1"/>
  <c r="S205" l="1"/>
  <c r="T205"/>
  <c r="Q205"/>
  <c r="R205"/>
  <c r="P204"/>
  <c r="U204" s="1"/>
  <c r="S204" l="1"/>
  <c r="T204"/>
  <c r="Q204"/>
  <c r="R204"/>
  <c r="P203"/>
  <c r="U203" s="1"/>
  <c r="S203" l="1"/>
  <c r="T203"/>
  <c r="Q203"/>
  <c r="R203"/>
  <c r="P202"/>
  <c r="U202" s="1"/>
  <c r="S202" l="1"/>
  <c r="T202"/>
  <c r="Q202"/>
  <c r="R202"/>
  <c r="P201"/>
  <c r="U201" s="1"/>
  <c r="S201" l="1"/>
  <c r="T201"/>
  <c r="Q201"/>
  <c r="R201"/>
  <c r="P200"/>
  <c r="U200" s="1"/>
  <c r="S200" l="1"/>
  <c r="T200"/>
  <c r="Q200"/>
  <c r="R200"/>
  <c r="P199"/>
  <c r="U199" s="1"/>
  <c r="S199" l="1"/>
  <c r="T199"/>
  <c r="Q199"/>
  <c r="R199"/>
  <c r="P198"/>
  <c r="U198" s="1"/>
  <c r="S198" l="1"/>
  <c r="T198"/>
  <c r="Q198"/>
  <c r="R198"/>
  <c r="P197"/>
  <c r="U197" s="1"/>
  <c r="S197" l="1"/>
  <c r="T197"/>
  <c r="Q197"/>
  <c r="R197"/>
  <c r="P196"/>
  <c r="U196" s="1"/>
  <c r="S196" l="1"/>
  <c r="T196"/>
  <c r="Q196"/>
  <c r="R196"/>
  <c r="P195"/>
  <c r="U195" s="1"/>
  <c r="S195" l="1"/>
  <c r="T195"/>
  <c r="Q195"/>
  <c r="R195"/>
  <c r="P194"/>
  <c r="U194" s="1"/>
  <c r="T194" l="1"/>
  <c r="S194"/>
  <c r="Q194"/>
  <c r="R194"/>
  <c r="P193"/>
  <c r="U193" s="1"/>
  <c r="S193" l="1"/>
  <c r="T193"/>
  <c r="Q193"/>
  <c r="R193"/>
  <c r="P192"/>
  <c r="U192" s="1"/>
  <c r="S192" l="1"/>
  <c r="T192"/>
  <c r="Q192"/>
  <c r="R192"/>
  <c r="P191"/>
  <c r="U191" s="1"/>
  <c r="S191" l="1"/>
  <c r="T191"/>
  <c r="Q191"/>
  <c r="R191"/>
  <c r="P190"/>
  <c r="U190" s="1"/>
  <c r="S190" l="1"/>
  <c r="T190"/>
  <c r="Q190"/>
  <c r="R190"/>
  <c r="P189"/>
  <c r="U189" s="1"/>
  <c r="S189" l="1"/>
  <c r="T189"/>
  <c r="Q189"/>
  <c r="R189"/>
  <c r="P188"/>
  <c r="U188" s="1"/>
  <c r="S188" l="1"/>
  <c r="T188"/>
  <c r="Q188"/>
  <c r="R188"/>
  <c r="P187"/>
  <c r="U187" s="1"/>
  <c r="S187" l="1"/>
  <c r="T187"/>
  <c r="Q187"/>
  <c r="R187"/>
  <c r="P186"/>
  <c r="U186" s="1"/>
  <c r="S186" l="1"/>
  <c r="T186"/>
  <c r="Q186"/>
  <c r="R186"/>
  <c r="P185"/>
  <c r="U185" s="1"/>
  <c r="S185" l="1"/>
  <c r="T185"/>
  <c r="Q185"/>
  <c r="R185"/>
  <c r="P184"/>
  <c r="U184" s="1"/>
  <c r="T184" l="1"/>
  <c r="S184"/>
  <c r="Q184"/>
  <c r="R184"/>
  <c r="P183"/>
  <c r="U183" s="1"/>
  <c r="S183" l="1"/>
  <c r="T183"/>
  <c r="Q183"/>
  <c r="R183"/>
  <c r="P182"/>
  <c r="U182" s="1"/>
  <c r="S182" l="1"/>
  <c r="T182"/>
  <c r="Q182"/>
  <c r="R182"/>
  <c r="P181"/>
  <c r="U181" s="1"/>
  <c r="S181" l="1"/>
  <c r="T181"/>
  <c r="Q181"/>
  <c r="R181"/>
  <c r="P180"/>
  <c r="U180" s="1"/>
  <c r="S180" l="1"/>
  <c r="T180"/>
  <c r="Q180"/>
  <c r="R180"/>
  <c r="P179"/>
  <c r="U179" s="1"/>
  <c r="S179" l="1"/>
  <c r="T179"/>
  <c r="R179"/>
  <c r="Q179"/>
  <c r="P178"/>
  <c r="U178" s="1"/>
  <c r="S178" l="1"/>
  <c r="T178"/>
  <c r="Q178"/>
  <c r="R178"/>
  <c r="P177"/>
  <c r="U177" s="1"/>
  <c r="S177" l="1"/>
  <c r="T177"/>
  <c r="Q177"/>
  <c r="R177"/>
  <c r="P176"/>
  <c r="U176" s="1"/>
  <c r="S176" l="1"/>
  <c r="T176"/>
  <c r="Q176"/>
  <c r="R176"/>
  <c r="P175"/>
  <c r="U175" s="1"/>
  <c r="T175" l="1"/>
  <c r="S175"/>
  <c r="Q175"/>
  <c r="R175"/>
  <c r="P174"/>
  <c r="U174" s="1"/>
  <c r="S174" l="1"/>
  <c r="T174"/>
  <c r="Q174"/>
  <c r="R174"/>
  <c r="P173"/>
  <c r="U173" s="1"/>
  <c r="S173" l="1"/>
  <c r="T173"/>
  <c r="Q173"/>
  <c r="R173"/>
  <c r="P172"/>
  <c r="U172" s="1"/>
  <c r="S172" l="1"/>
  <c r="T172"/>
  <c r="Q172"/>
  <c r="R172"/>
  <c r="P171"/>
  <c r="U171" s="1"/>
  <c r="S171" l="1"/>
  <c r="T171"/>
  <c r="Q171"/>
  <c r="R171"/>
  <c r="P170"/>
  <c r="U170" s="1"/>
  <c r="S170" l="1"/>
  <c r="T170"/>
  <c r="Q170"/>
  <c r="R170"/>
  <c r="P169"/>
  <c r="U169" s="1"/>
  <c r="S169" l="1"/>
  <c r="T169"/>
  <c r="Q169"/>
  <c r="R169"/>
  <c r="P168"/>
  <c r="U168" s="1"/>
  <c r="S168" l="1"/>
  <c r="T168"/>
  <c r="Q168"/>
  <c r="R168"/>
  <c r="P167"/>
  <c r="U167" s="1"/>
  <c r="S167" l="1"/>
  <c r="T167"/>
  <c r="Q167"/>
  <c r="R167"/>
  <c r="P166"/>
  <c r="U166" s="1"/>
  <c r="S166" l="1"/>
  <c r="T166"/>
  <c r="Q166"/>
  <c r="R166"/>
  <c r="P165"/>
  <c r="U165" s="1"/>
  <c r="S165" l="1"/>
  <c r="T165"/>
  <c r="Q165"/>
  <c r="R165"/>
  <c r="P164"/>
  <c r="U164" s="1"/>
  <c r="S164" l="1"/>
  <c r="T164"/>
  <c r="Q164"/>
  <c r="R164"/>
  <c r="P163"/>
  <c r="U163" s="1"/>
  <c r="S163" l="1"/>
  <c r="T163"/>
  <c r="Q163"/>
  <c r="R163"/>
  <c r="P162"/>
  <c r="U162" s="1"/>
  <c r="S162" l="1"/>
  <c r="T162"/>
  <c r="Q162"/>
  <c r="R162"/>
  <c r="P161"/>
  <c r="U161" s="1"/>
  <c r="S161" l="1"/>
  <c r="T161"/>
  <c r="Q161"/>
  <c r="R161"/>
  <c r="P160"/>
  <c r="U160" s="1"/>
  <c r="S160" l="1"/>
  <c r="T160"/>
  <c r="Q160"/>
  <c r="R160"/>
  <c r="P159"/>
  <c r="U159" s="1"/>
  <c r="S159" l="1"/>
  <c r="T159"/>
  <c r="Q159"/>
  <c r="R159"/>
  <c r="P158"/>
  <c r="U158" s="1"/>
  <c r="S158" l="1"/>
  <c r="T158"/>
  <c r="Q158"/>
  <c r="R158"/>
  <c r="P157"/>
  <c r="U157" s="1"/>
  <c r="S157" l="1"/>
  <c r="T157"/>
  <c r="Q157"/>
  <c r="R157"/>
  <c r="P156"/>
  <c r="U156" s="1"/>
  <c r="S156" l="1"/>
  <c r="T156"/>
  <c r="Q156"/>
  <c r="R156"/>
  <c r="P155"/>
  <c r="U155" s="1"/>
  <c r="S155" l="1"/>
  <c r="T155"/>
  <c r="Q155"/>
  <c r="R155"/>
  <c r="P154"/>
  <c r="U154" s="1"/>
  <c r="S154" l="1"/>
  <c r="T154"/>
  <c r="Q154"/>
  <c r="R154"/>
  <c r="P153"/>
  <c r="U153" s="1"/>
  <c r="S153" l="1"/>
  <c r="T153"/>
  <c r="Q153"/>
  <c r="R153"/>
  <c r="P152"/>
  <c r="U152" s="1"/>
  <c r="S152" l="1"/>
  <c r="T152"/>
  <c r="Q152"/>
  <c r="R152"/>
  <c r="P151"/>
  <c r="U151" s="1"/>
  <c r="S151" l="1"/>
  <c r="T151"/>
  <c r="Q151"/>
  <c r="R151"/>
  <c r="P150"/>
  <c r="U150" s="1"/>
  <c r="S150" l="1"/>
  <c r="T150"/>
  <c r="Q150"/>
  <c r="R150"/>
  <c r="P149"/>
  <c r="U149" s="1"/>
  <c r="S149" l="1"/>
  <c r="T149"/>
  <c r="Q149"/>
  <c r="R149"/>
  <c r="P148"/>
  <c r="U148" s="1"/>
  <c r="S148" l="1"/>
  <c r="T148"/>
  <c r="Q148"/>
  <c r="R148"/>
  <c r="P147"/>
  <c r="U147" s="1"/>
  <c r="S147" l="1"/>
  <c r="T147"/>
  <c r="Q147"/>
  <c r="R147"/>
  <c r="P146"/>
  <c r="U146" s="1"/>
  <c r="S146" l="1"/>
  <c r="T146"/>
  <c r="Q146"/>
  <c r="R146"/>
  <c r="P145"/>
  <c r="U145" s="1"/>
  <c r="S145" l="1"/>
  <c r="T145"/>
  <c r="Q145"/>
  <c r="R145"/>
  <c r="P144"/>
  <c r="U144" s="1"/>
  <c r="S144" l="1"/>
  <c r="T144"/>
  <c r="Q144"/>
  <c r="R144"/>
  <c r="P143"/>
  <c r="U143" s="1"/>
  <c r="S143" l="1"/>
  <c r="T143"/>
  <c r="Q143"/>
  <c r="R143"/>
  <c r="P142"/>
  <c r="U142" s="1"/>
  <c r="S142" l="1"/>
  <c r="T142"/>
  <c r="Q142"/>
  <c r="R142"/>
  <c r="P141"/>
  <c r="U141" s="1"/>
  <c r="S141" l="1"/>
  <c r="T141"/>
  <c r="Q141"/>
  <c r="R141"/>
  <c r="P140"/>
  <c r="U140" s="1"/>
  <c r="S140" l="1"/>
  <c r="T140"/>
  <c r="Q140"/>
  <c r="R140"/>
  <c r="P139"/>
  <c r="U139" s="1"/>
  <c r="S139" l="1"/>
  <c r="T139"/>
  <c r="Q139"/>
  <c r="R139"/>
  <c r="P138"/>
  <c r="U138" s="1"/>
  <c r="S138" l="1"/>
  <c r="T138"/>
  <c r="Q138"/>
  <c r="R138"/>
  <c r="P137"/>
  <c r="U137" s="1"/>
  <c r="S137" l="1"/>
  <c r="T137"/>
  <c r="Q137"/>
  <c r="R137"/>
  <c r="P136"/>
  <c r="U136" s="1"/>
  <c r="S136" l="1"/>
  <c r="T136"/>
  <c r="Q136"/>
  <c r="R136"/>
  <c r="P135"/>
  <c r="U135" s="1"/>
  <c r="S135" l="1"/>
  <c r="T135"/>
  <c r="Q135"/>
  <c r="R135"/>
  <c r="P134"/>
  <c r="U134" s="1"/>
  <c r="S134" l="1"/>
  <c r="T134"/>
  <c r="Q134"/>
  <c r="R134"/>
  <c r="P133"/>
  <c r="T133" s="1"/>
  <c r="U133" l="1"/>
  <c r="S133"/>
  <c r="Q133"/>
  <c r="R133"/>
  <c r="P132"/>
  <c r="U132" s="1"/>
  <c r="S132" l="1"/>
  <c r="T132"/>
  <c r="Q132"/>
  <c r="R132"/>
  <c r="P131"/>
  <c r="U131" s="1"/>
  <c r="S131" l="1"/>
  <c r="T131"/>
  <c r="Q131"/>
  <c r="R131"/>
  <c r="P130"/>
  <c r="U130" s="1"/>
  <c r="S130" l="1"/>
  <c r="T130"/>
  <c r="Q130"/>
  <c r="R130"/>
  <c r="P129"/>
  <c r="U129" s="1"/>
  <c r="S129" l="1"/>
  <c r="T129"/>
  <c r="Q129"/>
  <c r="R129"/>
  <c r="P128"/>
  <c r="U128" s="1"/>
  <c r="S128" l="1"/>
  <c r="T128"/>
  <c r="Q128"/>
  <c r="R128"/>
  <c r="P127"/>
  <c r="U127" s="1"/>
  <c r="S127" l="1"/>
  <c r="T127"/>
  <c r="Q127"/>
  <c r="R127"/>
  <c r="P126"/>
  <c r="U126" s="1"/>
  <c r="T126" l="1"/>
  <c r="S126"/>
  <c r="Q126"/>
  <c r="R126"/>
  <c r="P125"/>
  <c r="U125" s="1"/>
  <c r="T125" l="1"/>
  <c r="S125"/>
  <c r="Q125"/>
  <c r="R125"/>
  <c r="P124"/>
  <c r="U124" s="1"/>
  <c r="S124" l="1"/>
  <c r="T124"/>
  <c r="Q124"/>
  <c r="R124"/>
  <c r="P123"/>
  <c r="U123" s="1"/>
  <c r="S123" l="1"/>
  <c r="T123"/>
  <c r="Q123"/>
  <c r="R123"/>
  <c r="P122"/>
  <c r="U122" s="1"/>
  <c r="S122" l="1"/>
  <c r="T122"/>
  <c r="Q122"/>
  <c r="R122"/>
  <c r="P121"/>
  <c r="U121" s="1"/>
  <c r="S121" l="1"/>
  <c r="T121"/>
  <c r="Q121"/>
  <c r="R121"/>
  <c r="P120"/>
  <c r="U120" s="1"/>
  <c r="S120" l="1"/>
  <c r="T120"/>
  <c r="Q120"/>
  <c r="R120"/>
  <c r="P119"/>
  <c r="U119" s="1"/>
  <c r="S119" l="1"/>
  <c r="T119"/>
  <c r="Q119"/>
  <c r="R119"/>
  <c r="P118"/>
  <c r="U118" s="1"/>
  <c r="S118" l="1"/>
  <c r="T118"/>
  <c r="Q118"/>
  <c r="R118"/>
  <c r="P117"/>
  <c r="U117" s="1"/>
  <c r="S117" l="1"/>
  <c r="T117"/>
  <c r="Q117"/>
  <c r="R117"/>
  <c r="P116"/>
  <c r="U116" s="1"/>
  <c r="S116" l="1"/>
  <c r="T116"/>
  <c r="Q116"/>
  <c r="R116"/>
  <c r="P115"/>
  <c r="U115" s="1"/>
  <c r="S115" l="1"/>
  <c r="T115"/>
  <c r="Q115"/>
  <c r="R115"/>
  <c r="P114"/>
  <c r="U114" s="1"/>
  <c r="S114" l="1"/>
  <c r="T114"/>
  <c r="Q114"/>
  <c r="R114"/>
  <c r="P113"/>
  <c r="U113" s="1"/>
  <c r="S113" l="1"/>
  <c r="T113"/>
  <c r="Q113"/>
  <c r="R113"/>
  <c r="P112"/>
  <c r="U112" s="1"/>
  <c r="S112" l="1"/>
  <c r="T112"/>
  <c r="Q112"/>
  <c r="R112"/>
  <c r="P111"/>
  <c r="U111" s="1"/>
  <c r="S111" l="1"/>
  <c r="T111"/>
  <c r="Q111"/>
  <c r="R111"/>
  <c r="P110"/>
  <c r="U110" s="1"/>
  <c r="S110" l="1"/>
  <c r="T110"/>
  <c r="Q110"/>
  <c r="R110"/>
  <c r="P109"/>
  <c r="U109" s="1"/>
  <c r="T109" l="1"/>
  <c r="S109"/>
  <c r="Q109"/>
  <c r="R109"/>
  <c r="P108"/>
  <c r="U108" s="1"/>
  <c r="S108" l="1"/>
  <c r="T108"/>
  <c r="Q108"/>
  <c r="R108"/>
  <c r="P107"/>
  <c r="U107" s="1"/>
  <c r="S107" l="1"/>
  <c r="T107"/>
  <c r="Q107"/>
  <c r="R107"/>
  <c r="P106"/>
  <c r="U106" s="1"/>
  <c r="S106" l="1"/>
  <c r="T106"/>
  <c r="Q106"/>
  <c r="R106"/>
  <c r="P105"/>
  <c r="U105" s="1"/>
  <c r="S105" l="1"/>
  <c r="T105"/>
  <c r="Q105"/>
  <c r="R105"/>
  <c r="P104"/>
  <c r="U104" s="1"/>
  <c r="S104" l="1"/>
  <c r="T104"/>
  <c r="Q104"/>
  <c r="R104"/>
  <c r="P103"/>
  <c r="U103" s="1"/>
  <c r="S103" l="1"/>
  <c r="T103"/>
  <c r="Q103"/>
  <c r="R103"/>
  <c r="P102"/>
  <c r="U102" s="1"/>
  <c r="S102" l="1"/>
  <c r="T102"/>
  <c r="Q102"/>
  <c r="R102"/>
  <c r="P101"/>
  <c r="U101" s="1"/>
  <c r="S101" l="1"/>
  <c r="T101"/>
  <c r="Q101"/>
  <c r="R101"/>
  <c r="P100"/>
  <c r="U100" s="1"/>
  <c r="S100" l="1"/>
  <c r="T100"/>
  <c r="Q100"/>
  <c r="R100"/>
  <c r="P99"/>
  <c r="U99" s="1"/>
  <c r="S99" l="1"/>
  <c r="T99"/>
  <c r="Q99"/>
  <c r="R99"/>
  <c r="P98"/>
  <c r="U98" s="1"/>
  <c r="S98" l="1"/>
  <c r="T98"/>
  <c r="Q98"/>
  <c r="R98"/>
  <c r="P97"/>
  <c r="U97" s="1"/>
  <c r="S97" l="1"/>
  <c r="T97"/>
  <c r="Q97"/>
  <c r="R97"/>
  <c r="P96"/>
  <c r="U96" s="1"/>
  <c r="S96" l="1"/>
  <c r="T96"/>
  <c r="Q96"/>
  <c r="R96"/>
  <c r="P95"/>
  <c r="U95" s="1"/>
  <c r="S95" l="1"/>
  <c r="T95"/>
  <c r="Q95"/>
  <c r="R95"/>
  <c r="P94"/>
  <c r="U94" s="1"/>
  <c r="S94" l="1"/>
  <c r="T94"/>
  <c r="Q94"/>
  <c r="R94"/>
  <c r="P93"/>
  <c r="U93" s="1"/>
  <c r="S93" l="1"/>
  <c r="T93"/>
  <c r="Q93"/>
  <c r="R93"/>
  <c r="P92"/>
  <c r="U92" s="1"/>
  <c r="S92" l="1"/>
  <c r="T92"/>
  <c r="Q92"/>
  <c r="R92"/>
  <c r="P91"/>
  <c r="U91" s="1"/>
  <c r="S91" l="1"/>
  <c r="T91"/>
  <c r="Q91"/>
  <c r="R91"/>
  <c r="P90"/>
  <c r="U90" s="1"/>
  <c r="S90" l="1"/>
  <c r="T90"/>
  <c r="Q90"/>
  <c r="R90"/>
  <c r="P89"/>
  <c r="U89" s="1"/>
  <c r="S89" l="1"/>
  <c r="T89"/>
  <c r="Q89"/>
  <c r="R89"/>
  <c r="P88"/>
  <c r="U88" s="1"/>
  <c r="S88" l="1"/>
  <c r="T88"/>
  <c r="Q88"/>
  <c r="R88"/>
  <c r="P87"/>
  <c r="U87" s="1"/>
  <c r="T87" l="1"/>
  <c r="S87"/>
  <c r="Q87"/>
  <c r="R87"/>
  <c r="P86"/>
  <c r="U86" s="1"/>
  <c r="T86" l="1"/>
  <c r="S86"/>
  <c r="Q86"/>
  <c r="R86"/>
  <c r="P85"/>
  <c r="U85" s="1"/>
  <c r="S85" l="1"/>
  <c r="T85"/>
  <c r="Q85"/>
  <c r="R85"/>
  <c r="P84"/>
  <c r="U84" s="1"/>
  <c r="S84" l="1"/>
  <c r="T84"/>
  <c r="Q84"/>
  <c r="R84"/>
  <c r="P83"/>
  <c r="U83" s="1"/>
  <c r="S83" l="1"/>
  <c r="T83"/>
  <c r="Q83"/>
  <c r="R83"/>
  <c r="P82"/>
  <c r="U82" s="1"/>
  <c r="T82" l="1"/>
  <c r="S82"/>
  <c r="Q82"/>
  <c r="R82"/>
  <c r="P81"/>
  <c r="U81" s="1"/>
  <c r="T81" l="1"/>
  <c r="S81"/>
  <c r="Q81"/>
  <c r="R81"/>
  <c r="P80"/>
  <c r="U80" s="1"/>
  <c r="S80" l="1"/>
  <c r="T80"/>
  <c r="Q80"/>
  <c r="R80"/>
  <c r="P79"/>
  <c r="T79" s="1"/>
  <c r="S79" l="1"/>
  <c r="U79"/>
  <c r="Q79"/>
  <c r="R79"/>
  <c r="P78"/>
  <c r="U78" s="1"/>
  <c r="S78" l="1"/>
  <c r="T78"/>
  <c r="Q78"/>
  <c r="R78"/>
  <c r="P77"/>
  <c r="U77" s="1"/>
  <c r="S77" l="1"/>
  <c r="T77"/>
  <c r="Q77"/>
  <c r="R77"/>
  <c r="P76"/>
  <c r="U76" s="1"/>
  <c r="S76" l="1"/>
  <c r="T76"/>
  <c r="Q76"/>
  <c r="R76"/>
  <c r="P75"/>
  <c r="U75" s="1"/>
  <c r="S75" l="1"/>
  <c r="T75"/>
  <c r="Q75"/>
  <c r="R75"/>
  <c r="P74"/>
  <c r="U74" s="1"/>
  <c r="S74" l="1"/>
  <c r="T74"/>
  <c r="Q74"/>
  <c r="R74"/>
  <c r="P73"/>
  <c r="U73" s="1"/>
  <c r="S73" l="1"/>
  <c r="T73"/>
  <c r="Q73"/>
  <c r="R73"/>
  <c r="P72"/>
  <c r="U72" s="1"/>
  <c r="S72" l="1"/>
  <c r="T72"/>
  <c r="Q72"/>
  <c r="R72"/>
  <c r="P71"/>
  <c r="U71" s="1"/>
  <c r="S71" l="1"/>
  <c r="T71"/>
  <c r="Q71"/>
  <c r="R71"/>
  <c r="P70"/>
  <c r="U70" s="1"/>
  <c r="T70" l="1"/>
  <c r="S70"/>
  <c r="Q70"/>
  <c r="R70"/>
  <c r="P69"/>
  <c r="U69" s="1"/>
  <c r="S69" l="1"/>
  <c r="T69"/>
  <c r="Q69"/>
  <c r="R69"/>
  <c r="P68"/>
  <c r="U68" s="1"/>
  <c r="S68" l="1"/>
  <c r="T68"/>
  <c r="Q68"/>
  <c r="R68"/>
  <c r="P67"/>
  <c r="U67" s="1"/>
  <c r="S67" l="1"/>
  <c r="T67"/>
  <c r="Q67"/>
  <c r="R67"/>
  <c r="P66"/>
  <c r="U66" s="1"/>
  <c r="S66" l="1"/>
  <c r="T66"/>
  <c r="Q66"/>
  <c r="R66"/>
  <c r="P65"/>
  <c r="U65" s="1"/>
  <c r="S65" l="1"/>
  <c r="T65"/>
  <c r="Q65"/>
  <c r="R65"/>
  <c r="P64"/>
  <c r="U64" s="1"/>
  <c r="S64" l="1"/>
  <c r="T64"/>
  <c r="Q64"/>
  <c r="R64"/>
  <c r="P63"/>
  <c r="U63" s="1"/>
  <c r="S63" l="1"/>
  <c r="T63"/>
  <c r="Q63"/>
  <c r="R63"/>
  <c r="P62"/>
  <c r="U62" s="1"/>
  <c r="S62" l="1"/>
  <c r="T62"/>
  <c r="Q62"/>
  <c r="R62"/>
  <c r="P61"/>
  <c r="U61" s="1"/>
  <c r="S61" l="1"/>
  <c r="T61"/>
  <c r="Q61"/>
  <c r="R61"/>
  <c r="P60"/>
  <c r="U60" s="1"/>
  <c r="S60" l="1"/>
  <c r="T60"/>
  <c r="Q60"/>
  <c r="R60"/>
  <c r="P59"/>
  <c r="U59" s="1"/>
  <c r="S59" l="1"/>
  <c r="T59"/>
  <c r="Q59"/>
  <c r="R59"/>
  <c r="P58"/>
  <c r="U58" s="1"/>
  <c r="S58" l="1"/>
  <c r="T58"/>
  <c r="Q58"/>
  <c r="R58"/>
  <c r="P57"/>
  <c r="U57" s="1"/>
  <c r="T57" l="1"/>
  <c r="S57"/>
  <c r="Q57"/>
  <c r="R57"/>
  <c r="P56"/>
  <c r="U56" s="1"/>
  <c r="S56" l="1"/>
  <c r="T56"/>
  <c r="Q56"/>
  <c r="R56"/>
  <c r="P55"/>
  <c r="U55" s="1"/>
  <c r="S55" l="1"/>
  <c r="T55"/>
  <c r="Q55"/>
  <c r="R55"/>
  <c r="P54"/>
  <c r="U54" s="1"/>
  <c r="S54" l="1"/>
  <c r="T54"/>
  <c r="Q54"/>
  <c r="R54"/>
  <c r="P53"/>
  <c r="U53" s="1"/>
  <c r="S53" l="1"/>
  <c r="T53"/>
  <c r="Q53"/>
  <c r="R53"/>
  <c r="P52"/>
  <c r="U52" s="1"/>
  <c r="S52" l="1"/>
  <c r="T52"/>
  <c r="Q52"/>
  <c r="R52"/>
  <c r="P51"/>
  <c r="U51" s="1"/>
  <c r="S51" l="1"/>
  <c r="T51"/>
  <c r="Q51"/>
  <c r="R51"/>
  <c r="P50"/>
  <c r="U50" s="1"/>
  <c r="S50" l="1"/>
  <c r="T50"/>
  <c r="Q50"/>
  <c r="R50"/>
  <c r="P49"/>
  <c r="U49" s="1"/>
  <c r="S49" l="1"/>
  <c r="T49"/>
  <c r="Q49"/>
  <c r="R49"/>
  <c r="P48"/>
  <c r="U48" s="1"/>
  <c r="T48" l="1"/>
  <c r="S48"/>
  <c r="Q48"/>
  <c r="R48"/>
  <c r="P47"/>
  <c r="U47" s="1"/>
  <c r="T47" l="1"/>
  <c r="S47"/>
  <c r="Q47"/>
  <c r="R47"/>
  <c r="H91"/>
  <c r="M91" s="1"/>
  <c r="H92"/>
  <c r="K92" s="1"/>
  <c r="H93"/>
  <c r="M93" s="1"/>
  <c r="H94"/>
  <c r="K94" s="1"/>
  <c r="H95"/>
  <c r="M95" s="1"/>
  <c r="H96"/>
  <c r="K96" s="1"/>
  <c r="H97"/>
  <c r="M97" s="1"/>
  <c r="H98"/>
  <c r="K98" s="1"/>
  <c r="H99"/>
  <c r="M99" s="1"/>
  <c r="H100"/>
  <c r="K100" s="1"/>
  <c r="H101"/>
  <c r="M101" s="1"/>
  <c r="H102"/>
  <c r="K102" s="1"/>
  <c r="H103"/>
  <c r="M103" s="1"/>
  <c r="H104"/>
  <c r="K104" s="1"/>
  <c r="H105"/>
  <c r="M105" s="1"/>
  <c r="H106"/>
  <c r="K106" s="1"/>
  <c r="L106" l="1"/>
  <c r="L104"/>
  <c r="L102"/>
  <c r="L100"/>
  <c r="L98"/>
  <c r="L96"/>
  <c r="L94"/>
  <c r="L92"/>
  <c r="M106"/>
  <c r="M104"/>
  <c r="M102"/>
  <c r="M100"/>
  <c r="M98"/>
  <c r="M96"/>
  <c r="M94"/>
  <c r="M92"/>
  <c r="I97"/>
  <c r="I95"/>
  <c r="I93"/>
  <c r="I91"/>
  <c r="J105"/>
  <c r="J97"/>
  <c r="J95"/>
  <c r="J93"/>
  <c r="J91"/>
  <c r="I105"/>
  <c r="I99"/>
  <c r="J101"/>
  <c r="K101"/>
  <c r="K99"/>
  <c r="K97"/>
  <c r="K95"/>
  <c r="K93"/>
  <c r="K91"/>
  <c r="I101"/>
  <c r="J103"/>
  <c r="L103"/>
  <c r="L99"/>
  <c r="L97"/>
  <c r="L95"/>
  <c r="L93"/>
  <c r="L91"/>
  <c r="I103"/>
  <c r="J99"/>
  <c r="K105"/>
  <c r="K103"/>
  <c r="L105"/>
  <c r="L101"/>
  <c r="I106"/>
  <c r="I104"/>
  <c r="I102"/>
  <c r="I100"/>
  <c r="I98"/>
  <c r="I96"/>
  <c r="I94"/>
  <c r="I92"/>
  <c r="J106"/>
  <c r="J104"/>
  <c r="J102"/>
  <c r="J100"/>
  <c r="J98"/>
  <c r="J96"/>
  <c r="J94"/>
  <c r="J92"/>
  <c r="AG1" i="14"/>
  <c r="X1"/>
  <c r="O1"/>
  <c r="F1"/>
  <c r="AD3" i="13"/>
  <c r="B13" i="14"/>
  <c r="B12"/>
  <c r="AG6" i="1" s="1"/>
  <c r="AC7" i="13"/>
  <c r="K6" i="1" l="1"/>
  <c r="S6"/>
  <c r="Z6"/>
  <c r="N1" i="14" l="1"/>
  <c r="Z3" i="13" l="1"/>
  <c r="B3"/>
  <c r="F3"/>
  <c r="J3"/>
  <c r="N3"/>
  <c r="R3"/>
  <c r="V3"/>
  <c r="AH3"/>
  <c r="AL3"/>
  <c r="AP3"/>
  <c r="AT3"/>
  <c r="AX3"/>
  <c r="BB3"/>
  <c r="BF3"/>
  <c r="E7"/>
  <c r="M7"/>
  <c r="AS7"/>
  <c r="AW7"/>
  <c r="A7"/>
  <c r="AG7"/>
  <c r="Y7"/>
  <c r="AK7"/>
  <c r="AO7"/>
  <c r="Q7"/>
  <c r="I7"/>
  <c r="BA7"/>
  <c r="U7"/>
  <c r="BE7"/>
  <c r="J2" i="14" l="1"/>
  <c r="AB2"/>
  <c r="AH1" s="1"/>
  <c r="J5"/>
  <c r="K5" s="1"/>
  <c r="A8"/>
  <c r="B8" s="1"/>
  <c r="A4"/>
  <c r="B4" s="1"/>
  <c r="S2"/>
  <c r="Y1" s="1"/>
  <c r="J4"/>
  <c r="K4" s="1"/>
  <c r="A7"/>
  <c r="B7" s="1"/>
  <c r="A3"/>
  <c r="B3" s="1"/>
  <c r="J7"/>
  <c r="K7" s="1"/>
  <c r="J3"/>
  <c r="A6"/>
  <c r="B6" s="1"/>
  <c r="J6"/>
  <c r="K6" s="1"/>
  <c r="A5"/>
  <c r="B5" s="1"/>
  <c r="A2"/>
  <c r="G1" s="1"/>
  <c r="H1" s="1"/>
  <c r="K2" l="1"/>
  <c r="M2" s="1"/>
  <c r="P1"/>
  <c r="AC2"/>
  <c r="AE2" s="1"/>
  <c r="K3"/>
  <c r="T2"/>
  <c r="B2"/>
  <c r="M5" l="1"/>
  <c r="AF1"/>
  <c r="AF198"/>
  <c r="AG198" s="1"/>
  <c r="AH198" s="1"/>
  <c r="AI198" s="1"/>
  <c r="AF195"/>
  <c r="AG195" s="1"/>
  <c r="AH195" s="1"/>
  <c r="AI195" s="1"/>
  <c r="AF192"/>
  <c r="AG192" s="1"/>
  <c r="AH192" s="1"/>
  <c r="AI192" s="1"/>
  <c r="AF189"/>
  <c r="AG189" s="1"/>
  <c r="AH189" s="1"/>
  <c r="AI189" s="1"/>
  <c r="AF186"/>
  <c r="AG186" s="1"/>
  <c r="AH186" s="1"/>
  <c r="AI186" s="1"/>
  <c r="AF183"/>
  <c r="AG183" s="1"/>
  <c r="AH183" s="1"/>
  <c r="AI183" s="1"/>
  <c r="AF180"/>
  <c r="AG180" s="1"/>
  <c r="AH180" s="1"/>
  <c r="AI180" s="1"/>
  <c r="AF177"/>
  <c r="AG177" s="1"/>
  <c r="AH177" s="1"/>
  <c r="AI177" s="1"/>
  <c r="AF174"/>
  <c r="AG174" s="1"/>
  <c r="AH174" s="1"/>
  <c r="AI174" s="1"/>
  <c r="AF171"/>
  <c r="AG171" s="1"/>
  <c r="AH171" s="1"/>
  <c r="AI171" s="1"/>
  <c r="AF168"/>
  <c r="AG168" s="1"/>
  <c r="AH168" s="1"/>
  <c r="AI168" s="1"/>
  <c r="AF165"/>
  <c r="AG165" s="1"/>
  <c r="AH165" s="1"/>
  <c r="AI165" s="1"/>
  <c r="AF162"/>
  <c r="AG162" s="1"/>
  <c r="AH162" s="1"/>
  <c r="AI162" s="1"/>
  <c r="AF159"/>
  <c r="AG159" s="1"/>
  <c r="AH159" s="1"/>
  <c r="AI159" s="1"/>
  <c r="AF156"/>
  <c r="AG156" s="1"/>
  <c r="AH156" s="1"/>
  <c r="AI156" s="1"/>
  <c r="AF153"/>
  <c r="AG153" s="1"/>
  <c r="AH153" s="1"/>
  <c r="AI153" s="1"/>
  <c r="AF150"/>
  <c r="AG150" s="1"/>
  <c r="AH150" s="1"/>
  <c r="AI150" s="1"/>
  <c r="AF147"/>
  <c r="AG147" s="1"/>
  <c r="AH147" s="1"/>
  <c r="AI147" s="1"/>
  <c r="AF144"/>
  <c r="AG144" s="1"/>
  <c r="AH144" s="1"/>
  <c r="AI144" s="1"/>
  <c r="AF141"/>
  <c r="AG141" s="1"/>
  <c r="AH141" s="1"/>
  <c r="AI141" s="1"/>
  <c r="AF138"/>
  <c r="AG138" s="1"/>
  <c r="AH138" s="1"/>
  <c r="AI138" s="1"/>
  <c r="AF135"/>
  <c r="AG135" s="1"/>
  <c r="AH135" s="1"/>
  <c r="AI135" s="1"/>
  <c r="AF132"/>
  <c r="AG132" s="1"/>
  <c r="AH132" s="1"/>
  <c r="AI132" s="1"/>
  <c r="AF129"/>
  <c r="AG129" s="1"/>
  <c r="AH129" s="1"/>
  <c r="AI129" s="1"/>
  <c r="AF126"/>
  <c r="AG126" s="1"/>
  <c r="AH126" s="1"/>
  <c r="AI126" s="1"/>
  <c r="AF123"/>
  <c r="AG123" s="1"/>
  <c r="AH123" s="1"/>
  <c r="AI123" s="1"/>
  <c r="AF120"/>
  <c r="AG120" s="1"/>
  <c r="AH120" s="1"/>
  <c r="AI120" s="1"/>
  <c r="AF117"/>
  <c r="AG117" s="1"/>
  <c r="AH117" s="1"/>
  <c r="AI117" s="1"/>
  <c r="AF114"/>
  <c r="AG114" s="1"/>
  <c r="AH114" s="1"/>
  <c r="AI114" s="1"/>
  <c r="AF111"/>
  <c r="AG111" s="1"/>
  <c r="AH111" s="1"/>
  <c r="AI111" s="1"/>
  <c r="AF108"/>
  <c r="AG108" s="1"/>
  <c r="AH108" s="1"/>
  <c r="AI108" s="1"/>
  <c r="AF105"/>
  <c r="AG105" s="1"/>
  <c r="AH105" s="1"/>
  <c r="AI105" s="1"/>
  <c r="AF102"/>
  <c r="AG102" s="1"/>
  <c r="AH102" s="1"/>
  <c r="AI102" s="1"/>
  <c r="AF99"/>
  <c r="AG99" s="1"/>
  <c r="AH99" s="1"/>
  <c r="AI99" s="1"/>
  <c r="AF96"/>
  <c r="AG96" s="1"/>
  <c r="AH96" s="1"/>
  <c r="AI96" s="1"/>
  <c r="AF93"/>
  <c r="AG93" s="1"/>
  <c r="AH93" s="1"/>
  <c r="AI93" s="1"/>
  <c r="AF90"/>
  <c r="AG90" s="1"/>
  <c r="AH90" s="1"/>
  <c r="AI90" s="1"/>
  <c r="AF87"/>
  <c r="AG87" s="1"/>
  <c r="AH87" s="1"/>
  <c r="AI87" s="1"/>
  <c r="AF84"/>
  <c r="AG84" s="1"/>
  <c r="AH84" s="1"/>
  <c r="AI84" s="1"/>
  <c r="AF81"/>
  <c r="AG81" s="1"/>
  <c r="AH81" s="1"/>
  <c r="AI81" s="1"/>
  <c r="AF78"/>
  <c r="AG78" s="1"/>
  <c r="AH78" s="1"/>
  <c r="AI78" s="1"/>
  <c r="AF75"/>
  <c r="AG75" s="1"/>
  <c r="AH75" s="1"/>
  <c r="AI75" s="1"/>
  <c r="AF72"/>
  <c r="AG72" s="1"/>
  <c r="AH72" s="1"/>
  <c r="AI72" s="1"/>
  <c r="AF69"/>
  <c r="AG69" s="1"/>
  <c r="AH69" s="1"/>
  <c r="AI69" s="1"/>
  <c r="AF60"/>
  <c r="AG60" s="1"/>
  <c r="AH60" s="1"/>
  <c r="AI60" s="1"/>
  <c r="AF54"/>
  <c r="AG54" s="1"/>
  <c r="AH54" s="1"/>
  <c r="AI54" s="1"/>
  <c r="AF51"/>
  <c r="AG51" s="1"/>
  <c r="AH51" s="1"/>
  <c r="AI51" s="1"/>
  <c r="AF45"/>
  <c r="AG45" s="1"/>
  <c r="AH45" s="1"/>
  <c r="AI45" s="1"/>
  <c r="AF36"/>
  <c r="AG36" s="1"/>
  <c r="AH36" s="1"/>
  <c r="AI36" s="1"/>
  <c r="AF27"/>
  <c r="AG27" s="1"/>
  <c r="AH27" s="1"/>
  <c r="AI27" s="1"/>
  <c r="AF15"/>
  <c r="AG15" s="1"/>
  <c r="AH15" s="1"/>
  <c r="AI15" s="1"/>
  <c r="AF3"/>
  <c r="AG3" s="1"/>
  <c r="AH3" s="1"/>
  <c r="AI3" s="1"/>
  <c r="AF4"/>
  <c r="AG4" s="1"/>
  <c r="AH4" s="1"/>
  <c r="AI4" s="1"/>
  <c r="AF2"/>
  <c r="AG2" s="1"/>
  <c r="AH2" s="1"/>
  <c r="AI2" s="1"/>
  <c r="AF109"/>
  <c r="AG109" s="1"/>
  <c r="AH109" s="1"/>
  <c r="AI109" s="1"/>
  <c r="AF79"/>
  <c r="AG79" s="1"/>
  <c r="AH79" s="1"/>
  <c r="AI79" s="1"/>
  <c r="AF67"/>
  <c r="AG67" s="1"/>
  <c r="AH67" s="1"/>
  <c r="AI67" s="1"/>
  <c r="AF58"/>
  <c r="AG58" s="1"/>
  <c r="AH58" s="1"/>
  <c r="AI58" s="1"/>
  <c r="AF52"/>
  <c r="AG52" s="1"/>
  <c r="AH52" s="1"/>
  <c r="AI52" s="1"/>
  <c r="AF46"/>
  <c r="AG46" s="1"/>
  <c r="AH46" s="1"/>
  <c r="AI46" s="1"/>
  <c r="AF37"/>
  <c r="AG37" s="1"/>
  <c r="AH37" s="1"/>
  <c r="AI37" s="1"/>
  <c r="AF31"/>
  <c r="AG31" s="1"/>
  <c r="AH31" s="1"/>
  <c r="AI31" s="1"/>
  <c r="AF19"/>
  <c r="AG19" s="1"/>
  <c r="AH19" s="1"/>
  <c r="AI19" s="1"/>
  <c r="AF112"/>
  <c r="AG112" s="1"/>
  <c r="AH112" s="1"/>
  <c r="AI112" s="1"/>
  <c r="AF25"/>
  <c r="AG25" s="1"/>
  <c r="AH25" s="1"/>
  <c r="AI25" s="1"/>
  <c r="AF106"/>
  <c r="AG106" s="1"/>
  <c r="AH106" s="1"/>
  <c r="AI106" s="1"/>
  <c r="AF82"/>
  <c r="AG82" s="1"/>
  <c r="AH82" s="1"/>
  <c r="AI82" s="1"/>
  <c r="AF73"/>
  <c r="AG73" s="1"/>
  <c r="AH73" s="1"/>
  <c r="AI73" s="1"/>
  <c r="AF64"/>
  <c r="AG64" s="1"/>
  <c r="AH64" s="1"/>
  <c r="AI64" s="1"/>
  <c r="AF55"/>
  <c r="AG55" s="1"/>
  <c r="AH55" s="1"/>
  <c r="AI55" s="1"/>
  <c r="AF43"/>
  <c r="AG43" s="1"/>
  <c r="AH43" s="1"/>
  <c r="AI43" s="1"/>
  <c r="AF34"/>
  <c r="AG34" s="1"/>
  <c r="AH34" s="1"/>
  <c r="AI34" s="1"/>
  <c r="AF22"/>
  <c r="AG22" s="1"/>
  <c r="AH22" s="1"/>
  <c r="AI22" s="1"/>
  <c r="AF199"/>
  <c r="AG199" s="1"/>
  <c r="AH199" s="1"/>
  <c r="AI199" s="1"/>
  <c r="AF196"/>
  <c r="AG196" s="1"/>
  <c r="AH196" s="1"/>
  <c r="AI196" s="1"/>
  <c r="AF193"/>
  <c r="AG193" s="1"/>
  <c r="AH193" s="1"/>
  <c r="AI193" s="1"/>
  <c r="AF190"/>
  <c r="AG190" s="1"/>
  <c r="AH190" s="1"/>
  <c r="AI190" s="1"/>
  <c r="AF187"/>
  <c r="AG187" s="1"/>
  <c r="AH187" s="1"/>
  <c r="AI187" s="1"/>
  <c r="AF184"/>
  <c r="AG184" s="1"/>
  <c r="AH184" s="1"/>
  <c r="AI184" s="1"/>
  <c r="AF181"/>
  <c r="AG181" s="1"/>
  <c r="AH181" s="1"/>
  <c r="AI181" s="1"/>
  <c r="AF178"/>
  <c r="AG178" s="1"/>
  <c r="AH178" s="1"/>
  <c r="AI178" s="1"/>
  <c r="AF175"/>
  <c r="AG175" s="1"/>
  <c r="AH175" s="1"/>
  <c r="AI175" s="1"/>
  <c r="AF172"/>
  <c r="AG172" s="1"/>
  <c r="AH172" s="1"/>
  <c r="AI172" s="1"/>
  <c r="AF169"/>
  <c r="AG169" s="1"/>
  <c r="AH169" s="1"/>
  <c r="AI169" s="1"/>
  <c r="AF166"/>
  <c r="AG166" s="1"/>
  <c r="AH166" s="1"/>
  <c r="AI166" s="1"/>
  <c r="AF163"/>
  <c r="AG163" s="1"/>
  <c r="AH163" s="1"/>
  <c r="AI163" s="1"/>
  <c r="AF160"/>
  <c r="AG160" s="1"/>
  <c r="AH160" s="1"/>
  <c r="AI160" s="1"/>
  <c r="AF157"/>
  <c r="AG157" s="1"/>
  <c r="AH157" s="1"/>
  <c r="AI157" s="1"/>
  <c r="AF154"/>
  <c r="AG154" s="1"/>
  <c r="AH154" s="1"/>
  <c r="AI154" s="1"/>
  <c r="AF151"/>
  <c r="AG151" s="1"/>
  <c r="AH151" s="1"/>
  <c r="AI151" s="1"/>
  <c r="AF148"/>
  <c r="AG148" s="1"/>
  <c r="AH148" s="1"/>
  <c r="AI148" s="1"/>
  <c r="AF145"/>
  <c r="AG145" s="1"/>
  <c r="AH145" s="1"/>
  <c r="AI145" s="1"/>
  <c r="AF142"/>
  <c r="AG142" s="1"/>
  <c r="AH142" s="1"/>
  <c r="AI142" s="1"/>
  <c r="AF139"/>
  <c r="AG139" s="1"/>
  <c r="AH139" s="1"/>
  <c r="AI139" s="1"/>
  <c r="AF136"/>
  <c r="AG136" s="1"/>
  <c r="AH136" s="1"/>
  <c r="AI136" s="1"/>
  <c r="AF133"/>
  <c r="AG133" s="1"/>
  <c r="AH133" s="1"/>
  <c r="AI133" s="1"/>
  <c r="AF130"/>
  <c r="AG130" s="1"/>
  <c r="AH130" s="1"/>
  <c r="AI130" s="1"/>
  <c r="AF127"/>
  <c r="AG127" s="1"/>
  <c r="AH127" s="1"/>
  <c r="AI127" s="1"/>
  <c r="AF124"/>
  <c r="AG124" s="1"/>
  <c r="AH124" s="1"/>
  <c r="AI124" s="1"/>
  <c r="AF121"/>
  <c r="AG121" s="1"/>
  <c r="AH121" s="1"/>
  <c r="AI121" s="1"/>
  <c r="AF118"/>
  <c r="AG118" s="1"/>
  <c r="AH118" s="1"/>
  <c r="AI118" s="1"/>
  <c r="AF115"/>
  <c r="AG115" s="1"/>
  <c r="AH115" s="1"/>
  <c r="AI115" s="1"/>
  <c r="AF103"/>
  <c r="AG103" s="1"/>
  <c r="AH103" s="1"/>
  <c r="AI103" s="1"/>
  <c r="AF100"/>
  <c r="AG100" s="1"/>
  <c r="AH100" s="1"/>
  <c r="AI100" s="1"/>
  <c r="AF97"/>
  <c r="AG97" s="1"/>
  <c r="AH97" s="1"/>
  <c r="AI97" s="1"/>
  <c r="AF94"/>
  <c r="AG94" s="1"/>
  <c r="AH94" s="1"/>
  <c r="AI94" s="1"/>
  <c r="AF91"/>
  <c r="AG91" s="1"/>
  <c r="AH91" s="1"/>
  <c r="AI91" s="1"/>
  <c r="AF88"/>
  <c r="AG88" s="1"/>
  <c r="AH88" s="1"/>
  <c r="AI88" s="1"/>
  <c r="AF85"/>
  <c r="AG85" s="1"/>
  <c r="AH85" s="1"/>
  <c r="AI85" s="1"/>
  <c r="AF76"/>
  <c r="AG76" s="1"/>
  <c r="AH76" s="1"/>
  <c r="AI76" s="1"/>
  <c r="AF70"/>
  <c r="AG70" s="1"/>
  <c r="AH70" s="1"/>
  <c r="AI70" s="1"/>
  <c r="AF61"/>
  <c r="AG61" s="1"/>
  <c r="AH61" s="1"/>
  <c r="AI61" s="1"/>
  <c r="AF49"/>
  <c r="AG49" s="1"/>
  <c r="AH49" s="1"/>
  <c r="AI49" s="1"/>
  <c r="AF40"/>
  <c r="AG40" s="1"/>
  <c r="AH40" s="1"/>
  <c r="AI40" s="1"/>
  <c r="AF28"/>
  <c r="AG28" s="1"/>
  <c r="AH28" s="1"/>
  <c r="AI28" s="1"/>
  <c r="AF10"/>
  <c r="AG10" s="1"/>
  <c r="AH10" s="1"/>
  <c r="AI10" s="1"/>
  <c r="AF122"/>
  <c r="AG122" s="1"/>
  <c r="AH122" s="1"/>
  <c r="AI122" s="1"/>
  <c r="AF92"/>
  <c r="AG92" s="1"/>
  <c r="AH92" s="1"/>
  <c r="AI92" s="1"/>
  <c r="AF77"/>
  <c r="AG77" s="1"/>
  <c r="AH77" s="1"/>
  <c r="AI77" s="1"/>
  <c r="AF68"/>
  <c r="AG68" s="1"/>
  <c r="AH68" s="1"/>
  <c r="AI68" s="1"/>
  <c r="AF59"/>
  <c r="AG59" s="1"/>
  <c r="AH59" s="1"/>
  <c r="AI59" s="1"/>
  <c r="AF50"/>
  <c r="AG50" s="1"/>
  <c r="AH50" s="1"/>
  <c r="AI50" s="1"/>
  <c r="AF41"/>
  <c r="AG41" s="1"/>
  <c r="AH41" s="1"/>
  <c r="AI41" s="1"/>
  <c r="AF29"/>
  <c r="AG29" s="1"/>
  <c r="AH29" s="1"/>
  <c r="AI29" s="1"/>
  <c r="AF20"/>
  <c r="AG20" s="1"/>
  <c r="AH20" s="1"/>
  <c r="AI20" s="1"/>
  <c r="AF8"/>
  <c r="AG8" s="1"/>
  <c r="AH8" s="1"/>
  <c r="AI8" s="1"/>
  <c r="AF119"/>
  <c r="AG119" s="1"/>
  <c r="AH119" s="1"/>
  <c r="AI119" s="1"/>
  <c r="AF95"/>
  <c r="AG95" s="1"/>
  <c r="AH95" s="1"/>
  <c r="AI95" s="1"/>
  <c r="AF86"/>
  <c r="AG86" s="1"/>
  <c r="AH86" s="1"/>
  <c r="AI86" s="1"/>
  <c r="AF74"/>
  <c r="AG74" s="1"/>
  <c r="AH74" s="1"/>
  <c r="AI74" s="1"/>
  <c r="AF65"/>
  <c r="AG65" s="1"/>
  <c r="AH65" s="1"/>
  <c r="AI65" s="1"/>
  <c r="AF56"/>
  <c r="AG56" s="1"/>
  <c r="AH56" s="1"/>
  <c r="AI56" s="1"/>
  <c r="AF47"/>
  <c r="AG47" s="1"/>
  <c r="AH47" s="1"/>
  <c r="AI47" s="1"/>
  <c r="AF38"/>
  <c r="AG38" s="1"/>
  <c r="AH38" s="1"/>
  <c r="AI38" s="1"/>
  <c r="AF26"/>
  <c r="AG26" s="1"/>
  <c r="AH26" s="1"/>
  <c r="AI26" s="1"/>
  <c r="AF17"/>
  <c r="AG17" s="1"/>
  <c r="AH17" s="1"/>
  <c r="AI17" s="1"/>
  <c r="AF80"/>
  <c r="AG80" s="1"/>
  <c r="AH80" s="1"/>
  <c r="AI80" s="1"/>
  <c r="AF35"/>
  <c r="AG35" s="1"/>
  <c r="AH35" s="1"/>
  <c r="AI35" s="1"/>
  <c r="AF14"/>
  <c r="AG14" s="1"/>
  <c r="AH14" s="1"/>
  <c r="AI14" s="1"/>
  <c r="AF200"/>
  <c r="AG200" s="1"/>
  <c r="AH200" s="1"/>
  <c r="AI200" s="1"/>
  <c r="AF197"/>
  <c r="AG197" s="1"/>
  <c r="AH197" s="1"/>
  <c r="AI197" s="1"/>
  <c r="AF194"/>
  <c r="AG194" s="1"/>
  <c r="AH194" s="1"/>
  <c r="AI194" s="1"/>
  <c r="AF191"/>
  <c r="AG191" s="1"/>
  <c r="AH191" s="1"/>
  <c r="AI191" s="1"/>
  <c r="AF188"/>
  <c r="AG188" s="1"/>
  <c r="AH188" s="1"/>
  <c r="AI188" s="1"/>
  <c r="AF185"/>
  <c r="AG185" s="1"/>
  <c r="AH185" s="1"/>
  <c r="AI185" s="1"/>
  <c r="AF182"/>
  <c r="AG182" s="1"/>
  <c r="AH182" s="1"/>
  <c r="AI182" s="1"/>
  <c r="AF179"/>
  <c r="AG179" s="1"/>
  <c r="AH179" s="1"/>
  <c r="AI179" s="1"/>
  <c r="AF176"/>
  <c r="AG176" s="1"/>
  <c r="AH176" s="1"/>
  <c r="AI176" s="1"/>
  <c r="AF173"/>
  <c r="AG173" s="1"/>
  <c r="AH173" s="1"/>
  <c r="AI173" s="1"/>
  <c r="AF170"/>
  <c r="AG170" s="1"/>
  <c r="AH170" s="1"/>
  <c r="AI170" s="1"/>
  <c r="AF167"/>
  <c r="AG167" s="1"/>
  <c r="AH167" s="1"/>
  <c r="AI167" s="1"/>
  <c r="AF164"/>
  <c r="AG164" s="1"/>
  <c r="AH164" s="1"/>
  <c r="AI164" s="1"/>
  <c r="AF161"/>
  <c r="AG161" s="1"/>
  <c r="AH161" s="1"/>
  <c r="AI161" s="1"/>
  <c r="AF158"/>
  <c r="AG158" s="1"/>
  <c r="AH158" s="1"/>
  <c r="AI158" s="1"/>
  <c r="AF155"/>
  <c r="AG155" s="1"/>
  <c r="AH155" s="1"/>
  <c r="AI155" s="1"/>
  <c r="AF152"/>
  <c r="AG152" s="1"/>
  <c r="AH152" s="1"/>
  <c r="AI152" s="1"/>
  <c r="AF149"/>
  <c r="AG149" s="1"/>
  <c r="AH149" s="1"/>
  <c r="AI149" s="1"/>
  <c r="AF146"/>
  <c r="AG146" s="1"/>
  <c r="AH146" s="1"/>
  <c r="AI146" s="1"/>
  <c r="AF143"/>
  <c r="AG143" s="1"/>
  <c r="AH143" s="1"/>
  <c r="AI143" s="1"/>
  <c r="AF140"/>
  <c r="AG140" s="1"/>
  <c r="AH140" s="1"/>
  <c r="AI140" s="1"/>
  <c r="AF137"/>
  <c r="AG137" s="1"/>
  <c r="AH137" s="1"/>
  <c r="AI137" s="1"/>
  <c r="AF134"/>
  <c r="AG134" s="1"/>
  <c r="AH134" s="1"/>
  <c r="AI134" s="1"/>
  <c r="AF131"/>
  <c r="AG131" s="1"/>
  <c r="AH131" s="1"/>
  <c r="AI131" s="1"/>
  <c r="AF128"/>
  <c r="AG128" s="1"/>
  <c r="AH128" s="1"/>
  <c r="AI128" s="1"/>
  <c r="AF125"/>
  <c r="AG125" s="1"/>
  <c r="AH125" s="1"/>
  <c r="AI125" s="1"/>
  <c r="AF116"/>
  <c r="AG116" s="1"/>
  <c r="AH116" s="1"/>
  <c r="AI116" s="1"/>
  <c r="AF113"/>
  <c r="AG113" s="1"/>
  <c r="AH113" s="1"/>
  <c r="AI113" s="1"/>
  <c r="AF110"/>
  <c r="AG110" s="1"/>
  <c r="AH110" s="1"/>
  <c r="AI110" s="1"/>
  <c r="AF107"/>
  <c r="AG107" s="1"/>
  <c r="AH107" s="1"/>
  <c r="AI107" s="1"/>
  <c r="AF104"/>
  <c r="AG104" s="1"/>
  <c r="AH104" s="1"/>
  <c r="AI104" s="1"/>
  <c r="AF101"/>
  <c r="AG101" s="1"/>
  <c r="AH101" s="1"/>
  <c r="AI101" s="1"/>
  <c r="AF98"/>
  <c r="AG98" s="1"/>
  <c r="AH98" s="1"/>
  <c r="AI98" s="1"/>
  <c r="AF89"/>
  <c r="AG89" s="1"/>
  <c r="AH89" s="1"/>
  <c r="AI89" s="1"/>
  <c r="AF83"/>
  <c r="AG83" s="1"/>
  <c r="AH83" s="1"/>
  <c r="AI83" s="1"/>
  <c r="AF71"/>
  <c r="AG71" s="1"/>
  <c r="AH71" s="1"/>
  <c r="AI71" s="1"/>
  <c r="AF62"/>
  <c r="AG62" s="1"/>
  <c r="AH62" s="1"/>
  <c r="AI62" s="1"/>
  <c r="AF53"/>
  <c r="AG53" s="1"/>
  <c r="AH53" s="1"/>
  <c r="AI53" s="1"/>
  <c r="AF44"/>
  <c r="AG44" s="1"/>
  <c r="AH44" s="1"/>
  <c r="AI44" s="1"/>
  <c r="AF32"/>
  <c r="AG32" s="1"/>
  <c r="AH32" s="1"/>
  <c r="AI32" s="1"/>
  <c r="AF23"/>
  <c r="AG23" s="1"/>
  <c r="AH23" s="1"/>
  <c r="AI23" s="1"/>
  <c r="AF11"/>
  <c r="AG11" s="1"/>
  <c r="AH11" s="1"/>
  <c r="AI11" s="1"/>
  <c r="AF57"/>
  <c r="AG57" s="1"/>
  <c r="AH57" s="1"/>
  <c r="AI57" s="1"/>
  <c r="AF39"/>
  <c r="AG39" s="1"/>
  <c r="AH39" s="1"/>
  <c r="AI39" s="1"/>
  <c r="AF24"/>
  <c r="AG24" s="1"/>
  <c r="AH24" s="1"/>
  <c r="AI24" s="1"/>
  <c r="AF12"/>
  <c r="AG12" s="1"/>
  <c r="AH12" s="1"/>
  <c r="AI12" s="1"/>
  <c r="AF6"/>
  <c r="AG6" s="1"/>
  <c r="AH6" s="1"/>
  <c r="AI6" s="1"/>
  <c r="AF7"/>
  <c r="AG7" s="1"/>
  <c r="AH7" s="1"/>
  <c r="AI7" s="1"/>
  <c r="AF63"/>
  <c r="AG63" s="1"/>
  <c r="AH63" s="1"/>
  <c r="AI63" s="1"/>
  <c r="AF42"/>
  <c r="AG42" s="1"/>
  <c r="AH42" s="1"/>
  <c r="AI42" s="1"/>
  <c r="AF33"/>
  <c r="AG33" s="1"/>
  <c r="AH33" s="1"/>
  <c r="AI33" s="1"/>
  <c r="AF21"/>
  <c r="AG21" s="1"/>
  <c r="AH21" s="1"/>
  <c r="AI21" s="1"/>
  <c r="AF9"/>
  <c r="AG9" s="1"/>
  <c r="AH9" s="1"/>
  <c r="AI9" s="1"/>
  <c r="AF13"/>
  <c r="AG13" s="1"/>
  <c r="AH13" s="1"/>
  <c r="AI13" s="1"/>
  <c r="AF66"/>
  <c r="AG66" s="1"/>
  <c r="AH66" s="1"/>
  <c r="AI66" s="1"/>
  <c r="AF48"/>
  <c r="AG48" s="1"/>
  <c r="AH48" s="1"/>
  <c r="AI48" s="1"/>
  <c r="AF30"/>
  <c r="AG30" s="1"/>
  <c r="AH30" s="1"/>
  <c r="AI30" s="1"/>
  <c r="AF18"/>
  <c r="AG18" s="1"/>
  <c r="AH18" s="1"/>
  <c r="AI18" s="1"/>
  <c r="AF16"/>
  <c r="AG16" s="1"/>
  <c r="AH16" s="1"/>
  <c r="AI16" s="1"/>
  <c r="AF5"/>
  <c r="AG5" s="1"/>
  <c r="AH5" s="1"/>
  <c r="AI5" s="1"/>
  <c r="N8"/>
  <c r="O8" s="1"/>
  <c r="P8" s="1"/>
  <c r="Q8" s="1"/>
  <c r="M4"/>
  <c r="M7"/>
  <c r="M6"/>
  <c r="M3"/>
  <c r="Q1"/>
  <c r="V2"/>
  <c r="AI1"/>
  <c r="D2"/>
  <c r="D8"/>
  <c r="D4"/>
  <c r="D7"/>
  <c r="D3"/>
  <c r="D6"/>
  <c r="D5"/>
  <c r="W1" l="1"/>
  <c r="Z1" s="1"/>
  <c r="W48"/>
  <c r="X48" s="1"/>
  <c r="Y48" s="1"/>
  <c r="Z48" s="1"/>
  <c r="W45"/>
  <c r="X45" s="1"/>
  <c r="Y45" s="1"/>
  <c r="Z45" s="1"/>
  <c r="W42"/>
  <c r="X42" s="1"/>
  <c r="Y42" s="1"/>
  <c r="Z42" s="1"/>
  <c r="W39"/>
  <c r="X39" s="1"/>
  <c r="Y39" s="1"/>
  <c r="Z39" s="1"/>
  <c r="W36"/>
  <c r="X36" s="1"/>
  <c r="Y36" s="1"/>
  <c r="Z36" s="1"/>
  <c r="W33"/>
  <c r="X33" s="1"/>
  <c r="Y33" s="1"/>
  <c r="Z33" s="1"/>
  <c r="W30"/>
  <c r="X30" s="1"/>
  <c r="Y30" s="1"/>
  <c r="Z30" s="1"/>
  <c r="W27"/>
  <c r="X27" s="1"/>
  <c r="Y27" s="1"/>
  <c r="Z27" s="1"/>
  <c r="W24"/>
  <c r="X24" s="1"/>
  <c r="Y24" s="1"/>
  <c r="Z24" s="1"/>
  <c r="W21"/>
  <c r="X21" s="1"/>
  <c r="Y21" s="1"/>
  <c r="Z21" s="1"/>
  <c r="W18"/>
  <c r="X18" s="1"/>
  <c r="Y18" s="1"/>
  <c r="Z18" s="1"/>
  <c r="W15"/>
  <c r="X15" s="1"/>
  <c r="Y15" s="1"/>
  <c r="Z15" s="1"/>
  <c r="W12"/>
  <c r="X12" s="1"/>
  <c r="Y12" s="1"/>
  <c r="Z12" s="1"/>
  <c r="W9"/>
  <c r="X9" s="1"/>
  <c r="Y9" s="1"/>
  <c r="Z9" s="1"/>
  <c r="W6"/>
  <c r="X6" s="1"/>
  <c r="Y6" s="1"/>
  <c r="Z6" s="1"/>
  <c r="W3"/>
  <c r="X3" s="1"/>
  <c r="Y3" s="1"/>
  <c r="Z3" s="1"/>
  <c r="W37"/>
  <c r="X37" s="1"/>
  <c r="Y37" s="1"/>
  <c r="Z37" s="1"/>
  <c r="W19"/>
  <c r="X19" s="1"/>
  <c r="Y19" s="1"/>
  <c r="Z19" s="1"/>
  <c r="W4"/>
  <c r="X4" s="1"/>
  <c r="Y4" s="1"/>
  <c r="Z4" s="1"/>
  <c r="W5"/>
  <c r="X5" s="1"/>
  <c r="Y5" s="1"/>
  <c r="Z5" s="1"/>
  <c r="W40"/>
  <c r="X40" s="1"/>
  <c r="Y40" s="1"/>
  <c r="Z40" s="1"/>
  <c r="W10"/>
  <c r="X10" s="1"/>
  <c r="Y10" s="1"/>
  <c r="Z10" s="1"/>
  <c r="W8"/>
  <c r="X8" s="1"/>
  <c r="Y8" s="1"/>
  <c r="Z8" s="1"/>
  <c r="W43"/>
  <c r="X43" s="1"/>
  <c r="Y43" s="1"/>
  <c r="Z43" s="1"/>
  <c r="W13"/>
  <c r="X13" s="1"/>
  <c r="Y13" s="1"/>
  <c r="Z13" s="1"/>
  <c r="W14"/>
  <c r="X14" s="1"/>
  <c r="Y14" s="1"/>
  <c r="Z14" s="1"/>
  <c r="W49"/>
  <c r="X49" s="1"/>
  <c r="Y49" s="1"/>
  <c r="Z49" s="1"/>
  <c r="W46"/>
  <c r="X46" s="1"/>
  <c r="Y46" s="1"/>
  <c r="Z46" s="1"/>
  <c r="W34"/>
  <c r="X34" s="1"/>
  <c r="Y34" s="1"/>
  <c r="Z34" s="1"/>
  <c r="W31"/>
  <c r="X31" s="1"/>
  <c r="Y31" s="1"/>
  <c r="Z31" s="1"/>
  <c r="W28"/>
  <c r="X28" s="1"/>
  <c r="Y28" s="1"/>
  <c r="Z28" s="1"/>
  <c r="W25"/>
  <c r="X25" s="1"/>
  <c r="Y25" s="1"/>
  <c r="Z25" s="1"/>
  <c r="W22"/>
  <c r="X22" s="1"/>
  <c r="Y22" s="1"/>
  <c r="Z22" s="1"/>
  <c r="W16"/>
  <c r="X16" s="1"/>
  <c r="Y16" s="1"/>
  <c r="Z16" s="1"/>
  <c r="W7"/>
  <c r="X7" s="1"/>
  <c r="Y7" s="1"/>
  <c r="Z7" s="1"/>
  <c r="W2"/>
  <c r="X2" s="1"/>
  <c r="Y2" s="1"/>
  <c r="Z2" s="1"/>
  <c r="W38"/>
  <c r="X38" s="1"/>
  <c r="Y38" s="1"/>
  <c r="Z38" s="1"/>
  <c r="W44"/>
  <c r="X44" s="1"/>
  <c r="Y44" s="1"/>
  <c r="Z44" s="1"/>
  <c r="W29"/>
  <c r="X29" s="1"/>
  <c r="Y29" s="1"/>
  <c r="Z29" s="1"/>
  <c r="W23"/>
  <c r="X23" s="1"/>
  <c r="Y23" s="1"/>
  <c r="Z23" s="1"/>
  <c r="W17"/>
  <c r="X17" s="1"/>
  <c r="Y17" s="1"/>
  <c r="Z17" s="1"/>
  <c r="W50"/>
  <c r="X50" s="1"/>
  <c r="Y50" s="1"/>
  <c r="Z50" s="1"/>
  <c r="W47"/>
  <c r="X47" s="1"/>
  <c r="Y47" s="1"/>
  <c r="Z47" s="1"/>
  <c r="W41"/>
  <c r="X41" s="1"/>
  <c r="Y41" s="1"/>
  <c r="Z41" s="1"/>
  <c r="W35"/>
  <c r="X35" s="1"/>
  <c r="Y35" s="1"/>
  <c r="Z35" s="1"/>
  <c r="W32"/>
  <c r="X32" s="1"/>
  <c r="Y32" s="1"/>
  <c r="Z32" s="1"/>
  <c r="W26"/>
  <c r="X26" s="1"/>
  <c r="Y26" s="1"/>
  <c r="Z26" s="1"/>
  <c r="W20"/>
  <c r="X20" s="1"/>
  <c r="Y20" s="1"/>
  <c r="Z20" s="1"/>
  <c r="W11"/>
  <c r="X11" s="1"/>
  <c r="Y11" s="1"/>
  <c r="Z11" s="1"/>
  <c r="N40"/>
  <c r="O40" s="1"/>
  <c r="P40" s="1"/>
  <c r="Q40" s="1"/>
  <c r="N71"/>
  <c r="O71" s="1"/>
  <c r="P71" s="1"/>
  <c r="Q71" s="1"/>
  <c r="N195"/>
  <c r="O195" s="1"/>
  <c r="P195" s="1"/>
  <c r="Q195" s="1"/>
  <c r="N90"/>
  <c r="O90" s="1"/>
  <c r="P90" s="1"/>
  <c r="Q90" s="1"/>
  <c r="N185"/>
  <c r="O185" s="1"/>
  <c r="P185" s="1"/>
  <c r="Q185" s="1"/>
  <c r="N164"/>
  <c r="O164" s="1"/>
  <c r="P164" s="1"/>
  <c r="Q164" s="1"/>
  <c r="N142"/>
  <c r="O142" s="1"/>
  <c r="P142" s="1"/>
  <c r="Q142" s="1"/>
  <c r="N190"/>
  <c r="O190" s="1"/>
  <c r="P190" s="1"/>
  <c r="Q190" s="1"/>
  <c r="N121"/>
  <c r="O121" s="1"/>
  <c r="P121" s="1"/>
  <c r="Q121" s="1"/>
  <c r="N112"/>
  <c r="O112" s="1"/>
  <c r="P112" s="1"/>
  <c r="Q112" s="1"/>
  <c r="N130"/>
  <c r="O130" s="1"/>
  <c r="P130" s="1"/>
  <c r="Q130" s="1"/>
  <c r="N126"/>
  <c r="O126" s="1"/>
  <c r="P126" s="1"/>
  <c r="Q126" s="1"/>
  <c r="N162"/>
  <c r="O162" s="1"/>
  <c r="P162" s="1"/>
  <c r="Q162" s="1"/>
  <c r="N198"/>
  <c r="O198" s="1"/>
  <c r="P198" s="1"/>
  <c r="Q198" s="1"/>
  <c r="N93"/>
  <c r="O93" s="1"/>
  <c r="P93" s="1"/>
  <c r="Q93" s="1"/>
  <c r="N182"/>
  <c r="O182" s="1"/>
  <c r="P182" s="1"/>
  <c r="Q182" s="1"/>
  <c r="N167"/>
  <c r="O167" s="1"/>
  <c r="P167" s="1"/>
  <c r="Q167" s="1"/>
  <c r="N136"/>
  <c r="O136" s="1"/>
  <c r="P136" s="1"/>
  <c r="Q136" s="1"/>
  <c r="N187"/>
  <c r="O187" s="1"/>
  <c r="P187" s="1"/>
  <c r="Q187" s="1"/>
  <c r="N109"/>
  <c r="O109" s="1"/>
  <c r="P109" s="1"/>
  <c r="Q109" s="1"/>
  <c r="N100"/>
  <c r="O100" s="1"/>
  <c r="P100" s="1"/>
  <c r="Q100" s="1"/>
  <c r="N118"/>
  <c r="O118" s="1"/>
  <c r="P118" s="1"/>
  <c r="Q118" s="1"/>
  <c r="N123"/>
  <c r="O123" s="1"/>
  <c r="P123" s="1"/>
  <c r="Q123" s="1"/>
  <c r="N159"/>
  <c r="O159" s="1"/>
  <c r="P159" s="1"/>
  <c r="Q159" s="1"/>
  <c r="N43"/>
  <c r="O43" s="1"/>
  <c r="P43" s="1"/>
  <c r="Q43" s="1"/>
  <c r="N56"/>
  <c r="O56" s="1"/>
  <c r="P56" s="1"/>
  <c r="Q56" s="1"/>
  <c r="N179"/>
  <c r="O179" s="1"/>
  <c r="P179" s="1"/>
  <c r="Q179" s="1"/>
  <c r="N116"/>
  <c r="O116" s="1"/>
  <c r="P116" s="1"/>
  <c r="Q116" s="1"/>
  <c r="N124"/>
  <c r="O124" s="1"/>
  <c r="P124" s="1"/>
  <c r="Q124" s="1"/>
  <c r="N184"/>
  <c r="O184" s="1"/>
  <c r="P184" s="1"/>
  <c r="Q184" s="1"/>
  <c r="N97"/>
  <c r="O97" s="1"/>
  <c r="P97" s="1"/>
  <c r="Q97" s="1"/>
  <c r="N88"/>
  <c r="O88" s="1"/>
  <c r="P88" s="1"/>
  <c r="Q88" s="1"/>
  <c r="N103"/>
  <c r="O103" s="1"/>
  <c r="P103" s="1"/>
  <c r="Q103" s="1"/>
  <c r="N120"/>
  <c r="O120" s="1"/>
  <c r="P120" s="1"/>
  <c r="Q120" s="1"/>
  <c r="N156"/>
  <c r="O156" s="1"/>
  <c r="P156" s="1"/>
  <c r="Q156" s="1"/>
  <c r="N192"/>
  <c r="O192" s="1"/>
  <c r="P192" s="1"/>
  <c r="Q192" s="1"/>
  <c r="N176"/>
  <c r="O176" s="1"/>
  <c r="P176" s="1"/>
  <c r="Q176" s="1"/>
  <c r="N86"/>
  <c r="O86" s="1"/>
  <c r="P86" s="1"/>
  <c r="Q86" s="1"/>
  <c r="N115"/>
  <c r="O115" s="1"/>
  <c r="P115" s="1"/>
  <c r="Q115" s="1"/>
  <c r="N181"/>
  <c r="O181" s="1"/>
  <c r="P181" s="1"/>
  <c r="Q181" s="1"/>
  <c r="N85"/>
  <c r="O85" s="1"/>
  <c r="P85" s="1"/>
  <c r="Q85" s="1"/>
  <c r="N161"/>
  <c r="O161" s="1"/>
  <c r="P161" s="1"/>
  <c r="Q161" s="1"/>
  <c r="N91"/>
  <c r="O91" s="1"/>
  <c r="P91" s="1"/>
  <c r="Q91" s="1"/>
  <c r="N117"/>
  <c r="O117" s="1"/>
  <c r="P117" s="1"/>
  <c r="Q117" s="1"/>
  <c r="N153"/>
  <c r="O153" s="1"/>
  <c r="P153" s="1"/>
  <c r="Q153" s="1"/>
  <c r="N189"/>
  <c r="O189" s="1"/>
  <c r="P189" s="1"/>
  <c r="Q189" s="1"/>
  <c r="N39"/>
  <c r="O39" s="1"/>
  <c r="P39" s="1"/>
  <c r="Q39" s="1"/>
  <c r="N173"/>
  <c r="O173" s="1"/>
  <c r="P173" s="1"/>
  <c r="Q173" s="1"/>
  <c r="N152"/>
  <c r="O152" s="1"/>
  <c r="P152" s="1"/>
  <c r="Q152" s="1"/>
  <c r="N106"/>
  <c r="O106" s="1"/>
  <c r="P106" s="1"/>
  <c r="Q106" s="1"/>
  <c r="N178"/>
  <c r="O178" s="1"/>
  <c r="P178" s="1"/>
  <c r="Q178" s="1"/>
  <c r="N155"/>
  <c r="O155" s="1"/>
  <c r="P155" s="1"/>
  <c r="Q155" s="1"/>
  <c r="N140"/>
  <c r="O140" s="1"/>
  <c r="P140" s="1"/>
  <c r="Q140" s="1"/>
  <c r="N79"/>
  <c r="O79" s="1"/>
  <c r="P79" s="1"/>
  <c r="Q79" s="1"/>
  <c r="N114"/>
  <c r="O114" s="1"/>
  <c r="P114" s="1"/>
  <c r="Q114" s="1"/>
  <c r="N150"/>
  <c r="O150" s="1"/>
  <c r="P150" s="1"/>
  <c r="Q150" s="1"/>
  <c r="N186"/>
  <c r="O186" s="1"/>
  <c r="P186" s="1"/>
  <c r="Q186" s="1"/>
  <c r="N170"/>
  <c r="O170" s="1"/>
  <c r="P170" s="1"/>
  <c r="Q170" s="1"/>
  <c r="N107"/>
  <c r="O107" s="1"/>
  <c r="P107" s="1"/>
  <c r="Q107" s="1"/>
  <c r="N94"/>
  <c r="O94" s="1"/>
  <c r="P94" s="1"/>
  <c r="Q94" s="1"/>
  <c r="N175"/>
  <c r="O175" s="1"/>
  <c r="P175" s="1"/>
  <c r="Q175" s="1"/>
  <c r="N134"/>
  <c r="O134" s="1"/>
  <c r="P134" s="1"/>
  <c r="Q134" s="1"/>
  <c r="N125"/>
  <c r="O125" s="1"/>
  <c r="P125" s="1"/>
  <c r="Q125" s="1"/>
  <c r="N146"/>
  <c r="O146" s="1"/>
  <c r="P146" s="1"/>
  <c r="Q146" s="1"/>
  <c r="N111"/>
  <c r="O111" s="1"/>
  <c r="P111" s="1"/>
  <c r="Q111" s="1"/>
  <c r="N147"/>
  <c r="O147" s="1"/>
  <c r="P147" s="1"/>
  <c r="Q147" s="1"/>
  <c r="N183"/>
  <c r="O183" s="1"/>
  <c r="P183" s="1"/>
  <c r="Q183" s="1"/>
  <c r="N158"/>
  <c r="O158" s="1"/>
  <c r="P158" s="1"/>
  <c r="Q158" s="1"/>
  <c r="N81"/>
  <c r="O81" s="1"/>
  <c r="P81" s="1"/>
  <c r="Q81" s="1"/>
  <c r="N82"/>
  <c r="O82" s="1"/>
  <c r="P82" s="1"/>
  <c r="Q82" s="1"/>
  <c r="N163"/>
  <c r="O163" s="1"/>
  <c r="P163" s="1"/>
  <c r="Q163" s="1"/>
  <c r="N119"/>
  <c r="O119" s="1"/>
  <c r="P119" s="1"/>
  <c r="Q119" s="1"/>
  <c r="N104"/>
  <c r="O104" s="1"/>
  <c r="P104" s="1"/>
  <c r="Q104" s="1"/>
  <c r="N131"/>
  <c r="O131" s="1"/>
  <c r="P131" s="1"/>
  <c r="Q131" s="1"/>
  <c r="N108"/>
  <c r="O108" s="1"/>
  <c r="P108" s="1"/>
  <c r="Q108" s="1"/>
  <c r="N144"/>
  <c r="O144" s="1"/>
  <c r="P144" s="1"/>
  <c r="Q144" s="1"/>
  <c r="N180"/>
  <c r="O180" s="1"/>
  <c r="P180" s="1"/>
  <c r="Q180" s="1"/>
  <c r="N143"/>
  <c r="O143" s="1"/>
  <c r="P143" s="1"/>
  <c r="Q143" s="1"/>
  <c r="N200"/>
  <c r="O200" s="1"/>
  <c r="P200" s="1"/>
  <c r="Q200" s="1"/>
  <c r="N149"/>
  <c r="O149" s="1"/>
  <c r="P149" s="1"/>
  <c r="Q149" s="1"/>
  <c r="N160"/>
  <c r="O160" s="1"/>
  <c r="P160" s="1"/>
  <c r="Q160" s="1"/>
  <c r="N98"/>
  <c r="O98" s="1"/>
  <c r="P98" s="1"/>
  <c r="Q98" s="1"/>
  <c r="N89"/>
  <c r="O89" s="1"/>
  <c r="P89" s="1"/>
  <c r="Q89" s="1"/>
  <c r="N113"/>
  <c r="O113" s="1"/>
  <c r="P113" s="1"/>
  <c r="Q113" s="1"/>
  <c r="N105"/>
  <c r="O105" s="1"/>
  <c r="P105" s="1"/>
  <c r="Q105" s="1"/>
  <c r="N141"/>
  <c r="O141" s="1"/>
  <c r="P141" s="1"/>
  <c r="Q141" s="1"/>
  <c r="N177"/>
  <c r="O177" s="1"/>
  <c r="P177" s="1"/>
  <c r="Q177" s="1"/>
  <c r="N128"/>
  <c r="O128" s="1"/>
  <c r="P128" s="1"/>
  <c r="Q128" s="1"/>
  <c r="N197"/>
  <c r="O197" s="1"/>
  <c r="P197" s="1"/>
  <c r="Q197" s="1"/>
  <c r="N137"/>
  <c r="O137" s="1"/>
  <c r="P137" s="1"/>
  <c r="Q137" s="1"/>
  <c r="N157"/>
  <c r="O157" s="1"/>
  <c r="P157" s="1"/>
  <c r="Q157" s="1"/>
  <c r="N80"/>
  <c r="O80" s="1"/>
  <c r="P80" s="1"/>
  <c r="Q80" s="1"/>
  <c r="N172"/>
  <c r="O172" s="1"/>
  <c r="P172" s="1"/>
  <c r="Q172" s="1"/>
  <c r="N95"/>
  <c r="O95" s="1"/>
  <c r="P95" s="1"/>
  <c r="Q95" s="1"/>
  <c r="N102"/>
  <c r="O102" s="1"/>
  <c r="P102" s="1"/>
  <c r="Q102" s="1"/>
  <c r="N138"/>
  <c r="O138" s="1"/>
  <c r="P138" s="1"/>
  <c r="Q138" s="1"/>
  <c r="N174"/>
  <c r="O174" s="1"/>
  <c r="P174" s="1"/>
  <c r="Q174" s="1"/>
  <c r="N110"/>
  <c r="O110" s="1"/>
  <c r="P110" s="1"/>
  <c r="Q110" s="1"/>
  <c r="N194"/>
  <c r="O194" s="1"/>
  <c r="P194" s="1"/>
  <c r="Q194" s="1"/>
  <c r="N122"/>
  <c r="O122" s="1"/>
  <c r="P122" s="1"/>
  <c r="Q122" s="1"/>
  <c r="N154"/>
  <c r="O154" s="1"/>
  <c r="P154" s="1"/>
  <c r="Q154" s="1"/>
  <c r="N199"/>
  <c r="O199" s="1"/>
  <c r="P199" s="1"/>
  <c r="Q199" s="1"/>
  <c r="N148"/>
  <c r="O148" s="1"/>
  <c r="P148" s="1"/>
  <c r="Q148" s="1"/>
  <c r="N84"/>
  <c r="O84" s="1"/>
  <c r="P84" s="1"/>
  <c r="Q84" s="1"/>
  <c r="N99"/>
  <c r="O99" s="1"/>
  <c r="P99" s="1"/>
  <c r="Q99" s="1"/>
  <c r="N135"/>
  <c r="O135" s="1"/>
  <c r="P135" s="1"/>
  <c r="Q135" s="1"/>
  <c r="N171"/>
  <c r="O171" s="1"/>
  <c r="P171" s="1"/>
  <c r="Q171" s="1"/>
  <c r="N92"/>
  <c r="O92" s="1"/>
  <c r="P92" s="1"/>
  <c r="Q92" s="1"/>
  <c r="N191"/>
  <c r="O191" s="1"/>
  <c r="P191" s="1"/>
  <c r="Q191" s="1"/>
  <c r="N101"/>
  <c r="O101" s="1"/>
  <c r="P101" s="1"/>
  <c r="Q101" s="1"/>
  <c r="N151"/>
  <c r="O151" s="1"/>
  <c r="P151" s="1"/>
  <c r="Q151" s="1"/>
  <c r="N196"/>
  <c r="O196" s="1"/>
  <c r="P196" s="1"/>
  <c r="Q196" s="1"/>
  <c r="N139"/>
  <c r="O139" s="1"/>
  <c r="P139" s="1"/>
  <c r="Q139" s="1"/>
  <c r="N169"/>
  <c r="O169" s="1"/>
  <c r="P169" s="1"/>
  <c r="Q169" s="1"/>
  <c r="N87"/>
  <c r="O87" s="1"/>
  <c r="P87" s="1"/>
  <c r="Q87" s="1"/>
  <c r="N132"/>
  <c r="O132" s="1"/>
  <c r="P132" s="1"/>
  <c r="Q132" s="1"/>
  <c r="N168"/>
  <c r="O168" s="1"/>
  <c r="P168" s="1"/>
  <c r="Q168" s="1"/>
  <c r="N96"/>
  <c r="O96" s="1"/>
  <c r="P96" s="1"/>
  <c r="Q96" s="1"/>
  <c r="N188"/>
  <c r="O188" s="1"/>
  <c r="P188" s="1"/>
  <c r="Q188" s="1"/>
  <c r="N83"/>
  <c r="O83" s="1"/>
  <c r="P83" s="1"/>
  <c r="Q83" s="1"/>
  <c r="N145"/>
  <c r="O145" s="1"/>
  <c r="P145" s="1"/>
  <c r="Q145" s="1"/>
  <c r="N193"/>
  <c r="O193" s="1"/>
  <c r="P193" s="1"/>
  <c r="Q193" s="1"/>
  <c r="N127"/>
  <c r="O127" s="1"/>
  <c r="P127" s="1"/>
  <c r="Q127" s="1"/>
  <c r="N133"/>
  <c r="O133" s="1"/>
  <c r="P133" s="1"/>
  <c r="Q133" s="1"/>
  <c r="N166"/>
  <c r="O166" s="1"/>
  <c r="P166" s="1"/>
  <c r="Q166" s="1"/>
  <c r="N129"/>
  <c r="O129" s="1"/>
  <c r="P129" s="1"/>
  <c r="Q129" s="1"/>
  <c r="N165"/>
  <c r="O165" s="1"/>
  <c r="P165" s="1"/>
  <c r="Q165" s="1"/>
  <c r="N30"/>
  <c r="O30" s="1"/>
  <c r="P30" s="1"/>
  <c r="Q30" s="1"/>
  <c r="N37"/>
  <c r="O37" s="1"/>
  <c r="P37" s="1"/>
  <c r="Q37" s="1"/>
  <c r="N21"/>
  <c r="O21" s="1"/>
  <c r="P21" s="1"/>
  <c r="Q21" s="1"/>
  <c r="N15"/>
  <c r="O15" s="1"/>
  <c r="P15" s="1"/>
  <c r="Q15" s="1"/>
  <c r="N17"/>
  <c r="O17" s="1"/>
  <c r="P17" s="1"/>
  <c r="Q17" s="1"/>
  <c r="N68"/>
  <c r="O68" s="1"/>
  <c r="P68" s="1"/>
  <c r="Q68" s="1"/>
  <c r="N20"/>
  <c r="O20" s="1"/>
  <c r="P20" s="1"/>
  <c r="Q20" s="1"/>
  <c r="N34"/>
  <c r="O34" s="1"/>
  <c r="P34" s="1"/>
  <c r="Q34" s="1"/>
  <c r="N70"/>
  <c r="O70" s="1"/>
  <c r="P70" s="1"/>
  <c r="Q70" s="1"/>
  <c r="N73"/>
  <c r="O73" s="1"/>
  <c r="P73" s="1"/>
  <c r="Q73" s="1"/>
  <c r="N3"/>
  <c r="O3" s="1"/>
  <c r="P3" s="1"/>
  <c r="Q3" s="1"/>
  <c r="N78"/>
  <c r="O78" s="1"/>
  <c r="P78" s="1"/>
  <c r="Q78" s="1"/>
  <c r="N5"/>
  <c r="O5" s="1"/>
  <c r="P5" s="1"/>
  <c r="Q5" s="1"/>
  <c r="N65"/>
  <c r="O65" s="1"/>
  <c r="P65" s="1"/>
  <c r="Q65" s="1"/>
  <c r="N31"/>
  <c r="O31" s="1"/>
  <c r="P31" s="1"/>
  <c r="Q31" s="1"/>
  <c r="N67"/>
  <c r="O67" s="1"/>
  <c r="P67" s="1"/>
  <c r="Q67" s="1"/>
  <c r="N36"/>
  <c r="O36" s="1"/>
  <c r="P36" s="1"/>
  <c r="Q36" s="1"/>
  <c r="N74"/>
  <c r="O74" s="1"/>
  <c r="P74" s="1"/>
  <c r="Q74" s="1"/>
  <c r="N76"/>
  <c r="O76" s="1"/>
  <c r="P76" s="1"/>
  <c r="Q76" s="1"/>
  <c r="N4"/>
  <c r="O4" s="1"/>
  <c r="P4" s="1"/>
  <c r="Q4" s="1"/>
  <c r="N75"/>
  <c r="O75" s="1"/>
  <c r="P75" s="1"/>
  <c r="Q75" s="1"/>
  <c r="N6"/>
  <c r="O6" s="1"/>
  <c r="P6" s="1"/>
  <c r="Q6" s="1"/>
  <c r="N62"/>
  <c r="O62" s="1"/>
  <c r="P62" s="1"/>
  <c r="Q62" s="1"/>
  <c r="N18"/>
  <c r="O18" s="1"/>
  <c r="P18" s="1"/>
  <c r="Q18" s="1"/>
  <c r="N28"/>
  <c r="O28" s="1"/>
  <c r="P28" s="1"/>
  <c r="Q28" s="1"/>
  <c r="N64"/>
  <c r="O64" s="1"/>
  <c r="P64" s="1"/>
  <c r="Q64" s="1"/>
  <c r="N32"/>
  <c r="O32" s="1"/>
  <c r="P32" s="1"/>
  <c r="Q32" s="1"/>
  <c r="N72"/>
  <c r="O72" s="1"/>
  <c r="P72" s="1"/>
  <c r="Q72" s="1"/>
  <c r="N60"/>
  <c r="O60" s="1"/>
  <c r="P60" s="1"/>
  <c r="Q60" s="1"/>
  <c r="N53"/>
  <c r="O53" s="1"/>
  <c r="P53" s="1"/>
  <c r="Q53" s="1"/>
  <c r="N59"/>
  <c r="O59" s="1"/>
  <c r="P59" s="1"/>
  <c r="Q59" s="1"/>
  <c r="N25"/>
  <c r="O25" s="1"/>
  <c r="P25" s="1"/>
  <c r="Q25" s="1"/>
  <c r="N61"/>
  <c r="O61" s="1"/>
  <c r="P61" s="1"/>
  <c r="Q61" s="1"/>
  <c r="N69"/>
  <c r="O69" s="1"/>
  <c r="P69" s="1"/>
  <c r="Q69" s="1"/>
  <c r="N24"/>
  <c r="O24" s="1"/>
  <c r="P24" s="1"/>
  <c r="Q24" s="1"/>
  <c r="N50"/>
  <c r="O50" s="1"/>
  <c r="P50" s="1"/>
  <c r="Q50" s="1"/>
  <c r="N26"/>
  <c r="O26" s="1"/>
  <c r="P26" s="1"/>
  <c r="Q26" s="1"/>
  <c r="N22"/>
  <c r="O22" s="1"/>
  <c r="P22" s="1"/>
  <c r="Q22" s="1"/>
  <c r="N58"/>
  <c r="O58" s="1"/>
  <c r="P58" s="1"/>
  <c r="Q58" s="1"/>
  <c r="N66"/>
  <c r="O66" s="1"/>
  <c r="P66" s="1"/>
  <c r="Q66" s="1"/>
  <c r="N63"/>
  <c r="O63" s="1"/>
  <c r="P63" s="1"/>
  <c r="Q63" s="1"/>
  <c r="N47"/>
  <c r="O47" s="1"/>
  <c r="P47" s="1"/>
  <c r="Q47" s="1"/>
  <c r="N14"/>
  <c r="O14" s="1"/>
  <c r="P14" s="1"/>
  <c r="Q14" s="1"/>
  <c r="N19"/>
  <c r="O19" s="1"/>
  <c r="P19" s="1"/>
  <c r="Q19" s="1"/>
  <c r="N55"/>
  <c r="O55" s="1"/>
  <c r="P55" s="1"/>
  <c r="Q55" s="1"/>
  <c r="N29"/>
  <c r="O29" s="1"/>
  <c r="P29" s="1"/>
  <c r="Q29" s="1"/>
  <c r="N54"/>
  <c r="O54" s="1"/>
  <c r="P54" s="1"/>
  <c r="Q54" s="1"/>
  <c r="N33"/>
  <c r="O33" s="1"/>
  <c r="P33" s="1"/>
  <c r="Q33" s="1"/>
  <c r="N44"/>
  <c r="O44" s="1"/>
  <c r="P44" s="1"/>
  <c r="Q44" s="1"/>
  <c r="N2"/>
  <c r="O2" s="1"/>
  <c r="P2" s="1"/>
  <c r="Q2" s="1"/>
  <c r="N16"/>
  <c r="O16" s="1"/>
  <c r="P16" s="1"/>
  <c r="Q16" s="1"/>
  <c r="N52"/>
  <c r="O52" s="1"/>
  <c r="P52" s="1"/>
  <c r="Q52" s="1"/>
  <c r="N23"/>
  <c r="O23" s="1"/>
  <c r="P23" s="1"/>
  <c r="Q23" s="1"/>
  <c r="N51"/>
  <c r="O51" s="1"/>
  <c r="P51" s="1"/>
  <c r="Q51" s="1"/>
  <c r="N9"/>
  <c r="O9" s="1"/>
  <c r="P9" s="1"/>
  <c r="Q9" s="1"/>
  <c r="N41"/>
  <c r="O41" s="1"/>
  <c r="P41" s="1"/>
  <c r="Q41" s="1"/>
  <c r="N12"/>
  <c r="O12" s="1"/>
  <c r="P12" s="1"/>
  <c r="Q12" s="1"/>
  <c r="N13"/>
  <c r="O13" s="1"/>
  <c r="P13" s="1"/>
  <c r="Q13" s="1"/>
  <c r="N49"/>
  <c r="O49" s="1"/>
  <c r="P49" s="1"/>
  <c r="Q49" s="1"/>
  <c r="N27"/>
  <c r="O27" s="1"/>
  <c r="P27" s="1"/>
  <c r="Q27" s="1"/>
  <c r="N48"/>
  <c r="O48" s="1"/>
  <c r="P48" s="1"/>
  <c r="Q48" s="1"/>
  <c r="N57"/>
  <c r="O57" s="1"/>
  <c r="P57" s="1"/>
  <c r="Q57" s="1"/>
  <c r="N38"/>
  <c r="O38" s="1"/>
  <c r="P38" s="1"/>
  <c r="Q38" s="1"/>
  <c r="N11"/>
  <c r="O11" s="1"/>
  <c r="P11" s="1"/>
  <c r="Q11" s="1"/>
  <c r="N10"/>
  <c r="O10" s="1"/>
  <c r="P10" s="1"/>
  <c r="Q10" s="1"/>
  <c r="N46"/>
  <c r="O46" s="1"/>
  <c r="P46" s="1"/>
  <c r="Q46" s="1"/>
  <c r="N42"/>
  <c r="O42" s="1"/>
  <c r="P42" s="1"/>
  <c r="Q42" s="1"/>
  <c r="N45"/>
  <c r="O45" s="1"/>
  <c r="P45" s="1"/>
  <c r="Q45" s="1"/>
  <c r="N35"/>
  <c r="O35" s="1"/>
  <c r="P35" s="1"/>
  <c r="Q35" s="1"/>
  <c r="N77"/>
  <c r="O77" s="1"/>
  <c r="P77" s="1"/>
  <c r="Q77" s="1"/>
  <c r="N7"/>
  <c r="O7" s="1"/>
  <c r="P7" s="1"/>
  <c r="Q7" s="1"/>
  <c r="E135"/>
  <c r="F135" s="1"/>
  <c r="G135" s="1"/>
  <c r="H135" s="1"/>
  <c r="E84"/>
  <c r="F84" s="1"/>
  <c r="G84" s="1"/>
  <c r="H84" s="1"/>
  <c r="E66"/>
  <c r="F66" s="1"/>
  <c r="G66" s="1"/>
  <c r="H66" s="1"/>
  <c r="E36"/>
  <c r="F36" s="1"/>
  <c r="G36" s="1"/>
  <c r="H36" s="1"/>
  <c r="E12"/>
  <c r="F12" s="1"/>
  <c r="G12" s="1"/>
  <c r="H12" s="1"/>
  <c r="E127"/>
  <c r="F127" s="1"/>
  <c r="G127" s="1"/>
  <c r="H127" s="1"/>
  <c r="E91"/>
  <c r="F91" s="1"/>
  <c r="G91" s="1"/>
  <c r="H91" s="1"/>
  <c r="E76"/>
  <c r="F76" s="1"/>
  <c r="G76" s="1"/>
  <c r="H76" s="1"/>
  <c r="E64"/>
  <c r="F64" s="1"/>
  <c r="G64" s="1"/>
  <c r="H64" s="1"/>
  <c r="E52"/>
  <c r="F52" s="1"/>
  <c r="G52" s="1"/>
  <c r="H52" s="1"/>
  <c r="E40"/>
  <c r="F40" s="1"/>
  <c r="G40" s="1"/>
  <c r="H40" s="1"/>
  <c r="E25"/>
  <c r="F25" s="1"/>
  <c r="G25" s="1"/>
  <c r="H25" s="1"/>
  <c r="E13"/>
  <c r="F13" s="1"/>
  <c r="G13" s="1"/>
  <c r="H13" s="1"/>
  <c r="E129"/>
  <c r="F129" s="1"/>
  <c r="G129" s="1"/>
  <c r="H129" s="1"/>
  <c r="E48"/>
  <c r="F48" s="1"/>
  <c r="G48" s="1"/>
  <c r="H48" s="1"/>
  <c r="E133"/>
  <c r="F133" s="1"/>
  <c r="G133" s="1"/>
  <c r="H133" s="1"/>
  <c r="E100"/>
  <c r="F100" s="1"/>
  <c r="G100" s="1"/>
  <c r="H100" s="1"/>
  <c r="E82"/>
  <c r="F82" s="1"/>
  <c r="G82" s="1"/>
  <c r="H82" s="1"/>
  <c r="E70"/>
  <c r="F70" s="1"/>
  <c r="G70" s="1"/>
  <c r="H70" s="1"/>
  <c r="E58"/>
  <c r="F58" s="1"/>
  <c r="G58" s="1"/>
  <c r="H58" s="1"/>
  <c r="E49"/>
  <c r="F49" s="1"/>
  <c r="G49" s="1"/>
  <c r="H49" s="1"/>
  <c r="E37"/>
  <c r="F37" s="1"/>
  <c r="G37" s="1"/>
  <c r="H37" s="1"/>
  <c r="E28"/>
  <c r="F28" s="1"/>
  <c r="G28" s="1"/>
  <c r="H28" s="1"/>
  <c r="E16"/>
  <c r="F16" s="1"/>
  <c r="G16" s="1"/>
  <c r="H16" s="1"/>
  <c r="E4"/>
  <c r="F4" s="1"/>
  <c r="G4" s="1"/>
  <c r="H4" s="1"/>
  <c r="E99"/>
  <c r="F99" s="1"/>
  <c r="G99" s="1"/>
  <c r="H99" s="1"/>
  <c r="E42"/>
  <c r="F42" s="1"/>
  <c r="G42" s="1"/>
  <c r="H42" s="1"/>
  <c r="E136"/>
  <c r="F136" s="1"/>
  <c r="G136" s="1"/>
  <c r="H136" s="1"/>
  <c r="E106"/>
  <c r="F106" s="1"/>
  <c r="G106" s="1"/>
  <c r="H106" s="1"/>
  <c r="E97"/>
  <c r="F97" s="1"/>
  <c r="G97" s="1"/>
  <c r="H97" s="1"/>
  <c r="E88"/>
  <c r="F88" s="1"/>
  <c r="G88" s="1"/>
  <c r="H88" s="1"/>
  <c r="E79"/>
  <c r="F79" s="1"/>
  <c r="G79" s="1"/>
  <c r="H79" s="1"/>
  <c r="E67"/>
  <c r="F67" s="1"/>
  <c r="G67" s="1"/>
  <c r="H67" s="1"/>
  <c r="E55"/>
  <c r="F55" s="1"/>
  <c r="G55" s="1"/>
  <c r="H55" s="1"/>
  <c r="E43"/>
  <c r="F43" s="1"/>
  <c r="G43" s="1"/>
  <c r="H43" s="1"/>
  <c r="E31"/>
  <c r="F31" s="1"/>
  <c r="G31" s="1"/>
  <c r="H31" s="1"/>
  <c r="E22"/>
  <c r="F22" s="1"/>
  <c r="G22" s="1"/>
  <c r="H22" s="1"/>
  <c r="E10"/>
  <c r="F10" s="1"/>
  <c r="G10" s="1"/>
  <c r="H10" s="1"/>
  <c r="E5"/>
  <c r="F5" s="1"/>
  <c r="G5" s="1"/>
  <c r="H5" s="1"/>
  <c r="E108"/>
  <c r="F108" s="1"/>
  <c r="G108" s="1"/>
  <c r="H108" s="1"/>
  <c r="E45"/>
  <c r="F45" s="1"/>
  <c r="G45" s="1"/>
  <c r="H45" s="1"/>
  <c r="E3"/>
  <c r="F3" s="1"/>
  <c r="G3" s="1"/>
  <c r="H3" s="1"/>
  <c r="E199"/>
  <c r="F199" s="1"/>
  <c r="G199" s="1"/>
  <c r="H199" s="1"/>
  <c r="E196"/>
  <c r="F196" s="1"/>
  <c r="G196" s="1"/>
  <c r="H196" s="1"/>
  <c r="E193"/>
  <c r="F193" s="1"/>
  <c r="G193" s="1"/>
  <c r="H193" s="1"/>
  <c r="E190"/>
  <c r="F190" s="1"/>
  <c r="G190" s="1"/>
  <c r="H190" s="1"/>
  <c r="E187"/>
  <c r="F187" s="1"/>
  <c r="G187" s="1"/>
  <c r="H187" s="1"/>
  <c r="E184"/>
  <c r="F184" s="1"/>
  <c r="G184" s="1"/>
  <c r="H184" s="1"/>
  <c r="E181"/>
  <c r="F181" s="1"/>
  <c r="G181" s="1"/>
  <c r="H181" s="1"/>
  <c r="E178"/>
  <c r="F178" s="1"/>
  <c r="G178" s="1"/>
  <c r="H178" s="1"/>
  <c r="E175"/>
  <c r="F175" s="1"/>
  <c r="G175" s="1"/>
  <c r="H175" s="1"/>
  <c r="E172"/>
  <c r="F172" s="1"/>
  <c r="G172" s="1"/>
  <c r="H172" s="1"/>
  <c r="E169"/>
  <c r="F169" s="1"/>
  <c r="G169" s="1"/>
  <c r="H169" s="1"/>
  <c r="E166"/>
  <c r="F166" s="1"/>
  <c r="G166" s="1"/>
  <c r="H166" s="1"/>
  <c r="E163"/>
  <c r="F163" s="1"/>
  <c r="G163" s="1"/>
  <c r="H163" s="1"/>
  <c r="E160"/>
  <c r="F160" s="1"/>
  <c r="G160" s="1"/>
  <c r="H160" s="1"/>
  <c r="E157"/>
  <c r="F157" s="1"/>
  <c r="G157" s="1"/>
  <c r="H157" s="1"/>
  <c r="E154"/>
  <c r="F154" s="1"/>
  <c r="G154" s="1"/>
  <c r="H154" s="1"/>
  <c r="E151"/>
  <c r="F151" s="1"/>
  <c r="G151" s="1"/>
  <c r="H151" s="1"/>
  <c r="E148"/>
  <c r="F148" s="1"/>
  <c r="G148" s="1"/>
  <c r="H148" s="1"/>
  <c r="E145"/>
  <c r="F145" s="1"/>
  <c r="G145" s="1"/>
  <c r="H145" s="1"/>
  <c r="E142"/>
  <c r="F142" s="1"/>
  <c r="G142" s="1"/>
  <c r="H142" s="1"/>
  <c r="E139"/>
  <c r="F139" s="1"/>
  <c r="G139" s="1"/>
  <c r="H139" s="1"/>
  <c r="E130"/>
  <c r="F130" s="1"/>
  <c r="G130" s="1"/>
  <c r="H130" s="1"/>
  <c r="E124"/>
  <c r="F124" s="1"/>
  <c r="G124" s="1"/>
  <c r="H124" s="1"/>
  <c r="E121"/>
  <c r="F121" s="1"/>
  <c r="G121" s="1"/>
  <c r="H121" s="1"/>
  <c r="E118"/>
  <c r="F118" s="1"/>
  <c r="G118" s="1"/>
  <c r="H118" s="1"/>
  <c r="E115"/>
  <c r="F115" s="1"/>
  <c r="G115" s="1"/>
  <c r="H115" s="1"/>
  <c r="E112"/>
  <c r="F112" s="1"/>
  <c r="G112" s="1"/>
  <c r="H112" s="1"/>
  <c r="E109"/>
  <c r="F109" s="1"/>
  <c r="G109" s="1"/>
  <c r="H109" s="1"/>
  <c r="E103"/>
  <c r="F103" s="1"/>
  <c r="G103" s="1"/>
  <c r="H103" s="1"/>
  <c r="E94"/>
  <c r="F94" s="1"/>
  <c r="G94" s="1"/>
  <c r="H94" s="1"/>
  <c r="E85"/>
  <c r="F85" s="1"/>
  <c r="G85" s="1"/>
  <c r="H85" s="1"/>
  <c r="E73"/>
  <c r="F73" s="1"/>
  <c r="G73" s="1"/>
  <c r="H73" s="1"/>
  <c r="E61"/>
  <c r="F61" s="1"/>
  <c r="G61" s="1"/>
  <c r="H61" s="1"/>
  <c r="E46"/>
  <c r="F46" s="1"/>
  <c r="G46" s="1"/>
  <c r="H46" s="1"/>
  <c r="E34"/>
  <c r="F34" s="1"/>
  <c r="G34" s="1"/>
  <c r="H34" s="1"/>
  <c r="E19"/>
  <c r="F19" s="1"/>
  <c r="G19" s="1"/>
  <c r="H19" s="1"/>
  <c r="E7"/>
  <c r="F7" s="1"/>
  <c r="G7" s="1"/>
  <c r="H7" s="1"/>
  <c r="E123"/>
  <c r="F123" s="1"/>
  <c r="G123" s="1"/>
  <c r="H123" s="1"/>
  <c r="E69"/>
  <c r="F69" s="1"/>
  <c r="G69" s="1"/>
  <c r="H69" s="1"/>
  <c r="E21"/>
  <c r="F21" s="1"/>
  <c r="G21" s="1"/>
  <c r="H21" s="1"/>
  <c r="E131"/>
  <c r="F131" s="1"/>
  <c r="G131" s="1"/>
  <c r="H131" s="1"/>
  <c r="E104"/>
  <c r="F104" s="1"/>
  <c r="G104" s="1"/>
  <c r="H104" s="1"/>
  <c r="E89"/>
  <c r="F89" s="1"/>
  <c r="G89" s="1"/>
  <c r="H89" s="1"/>
  <c r="E80"/>
  <c r="F80" s="1"/>
  <c r="G80" s="1"/>
  <c r="H80" s="1"/>
  <c r="E71"/>
  <c r="F71" s="1"/>
  <c r="G71" s="1"/>
  <c r="H71" s="1"/>
  <c r="E59"/>
  <c r="F59" s="1"/>
  <c r="G59" s="1"/>
  <c r="H59" s="1"/>
  <c r="E50"/>
  <c r="F50" s="1"/>
  <c r="G50" s="1"/>
  <c r="H50" s="1"/>
  <c r="E38"/>
  <c r="F38" s="1"/>
  <c r="G38" s="1"/>
  <c r="H38" s="1"/>
  <c r="E26"/>
  <c r="F26" s="1"/>
  <c r="G26" s="1"/>
  <c r="H26" s="1"/>
  <c r="E14"/>
  <c r="F14" s="1"/>
  <c r="G14" s="1"/>
  <c r="H14" s="1"/>
  <c r="E111"/>
  <c r="F111" s="1"/>
  <c r="G111" s="1"/>
  <c r="H111" s="1"/>
  <c r="E51"/>
  <c r="F51" s="1"/>
  <c r="G51" s="1"/>
  <c r="H51" s="1"/>
  <c r="E134"/>
  <c r="F134" s="1"/>
  <c r="G134" s="1"/>
  <c r="H134" s="1"/>
  <c r="E107"/>
  <c r="F107" s="1"/>
  <c r="G107" s="1"/>
  <c r="H107" s="1"/>
  <c r="E92"/>
  <c r="F92" s="1"/>
  <c r="G92" s="1"/>
  <c r="H92" s="1"/>
  <c r="E83"/>
  <c r="F83" s="1"/>
  <c r="G83" s="1"/>
  <c r="H83" s="1"/>
  <c r="E74"/>
  <c r="F74" s="1"/>
  <c r="G74" s="1"/>
  <c r="H74" s="1"/>
  <c r="E65"/>
  <c r="F65" s="1"/>
  <c r="G65" s="1"/>
  <c r="H65" s="1"/>
  <c r="E53"/>
  <c r="F53" s="1"/>
  <c r="G53" s="1"/>
  <c r="H53" s="1"/>
  <c r="E41"/>
  <c r="F41" s="1"/>
  <c r="G41" s="1"/>
  <c r="H41" s="1"/>
  <c r="E32"/>
  <c r="F32" s="1"/>
  <c r="G32" s="1"/>
  <c r="H32" s="1"/>
  <c r="E20"/>
  <c r="F20" s="1"/>
  <c r="G20" s="1"/>
  <c r="H20" s="1"/>
  <c r="E8"/>
  <c r="F8" s="1"/>
  <c r="G8" s="1"/>
  <c r="H8" s="1"/>
  <c r="E102"/>
  <c r="F102" s="1"/>
  <c r="G102" s="1"/>
  <c r="H102" s="1"/>
  <c r="E30"/>
  <c r="F30" s="1"/>
  <c r="G30" s="1"/>
  <c r="H30" s="1"/>
  <c r="E98"/>
  <c r="F98" s="1"/>
  <c r="G98" s="1"/>
  <c r="H98" s="1"/>
  <c r="E62"/>
  <c r="F62" s="1"/>
  <c r="G62" s="1"/>
  <c r="H62" s="1"/>
  <c r="E47"/>
  <c r="F47" s="1"/>
  <c r="G47" s="1"/>
  <c r="H47" s="1"/>
  <c r="E35"/>
  <c r="F35" s="1"/>
  <c r="G35" s="1"/>
  <c r="H35" s="1"/>
  <c r="E23"/>
  <c r="F23" s="1"/>
  <c r="G23" s="1"/>
  <c r="H23" s="1"/>
  <c r="E11"/>
  <c r="F11" s="1"/>
  <c r="G11" s="1"/>
  <c r="H11" s="1"/>
  <c r="E117"/>
  <c r="F117" s="1"/>
  <c r="G117" s="1"/>
  <c r="H117" s="1"/>
  <c r="E78"/>
  <c r="F78" s="1"/>
  <c r="G78" s="1"/>
  <c r="H78" s="1"/>
  <c r="E33"/>
  <c r="F33" s="1"/>
  <c r="G33" s="1"/>
  <c r="H33" s="1"/>
  <c r="E9"/>
  <c r="F9" s="1"/>
  <c r="G9" s="1"/>
  <c r="H9" s="1"/>
  <c r="E200"/>
  <c r="F200" s="1"/>
  <c r="G200" s="1"/>
  <c r="H200" s="1"/>
  <c r="E197"/>
  <c r="F197" s="1"/>
  <c r="G197" s="1"/>
  <c r="H197" s="1"/>
  <c r="E194"/>
  <c r="F194" s="1"/>
  <c r="G194" s="1"/>
  <c r="H194" s="1"/>
  <c r="E191"/>
  <c r="F191" s="1"/>
  <c r="G191" s="1"/>
  <c r="H191" s="1"/>
  <c r="E188"/>
  <c r="F188" s="1"/>
  <c r="G188" s="1"/>
  <c r="H188" s="1"/>
  <c r="E185"/>
  <c r="F185" s="1"/>
  <c r="G185" s="1"/>
  <c r="H185" s="1"/>
  <c r="E182"/>
  <c r="F182" s="1"/>
  <c r="G182" s="1"/>
  <c r="H182" s="1"/>
  <c r="E179"/>
  <c r="F179" s="1"/>
  <c r="G179" s="1"/>
  <c r="H179" s="1"/>
  <c r="E176"/>
  <c r="F176" s="1"/>
  <c r="G176" s="1"/>
  <c r="H176" s="1"/>
  <c r="E173"/>
  <c r="F173" s="1"/>
  <c r="G173" s="1"/>
  <c r="H173" s="1"/>
  <c r="E170"/>
  <c r="F170" s="1"/>
  <c r="G170" s="1"/>
  <c r="H170" s="1"/>
  <c r="E167"/>
  <c r="F167" s="1"/>
  <c r="G167" s="1"/>
  <c r="H167" s="1"/>
  <c r="E164"/>
  <c r="F164" s="1"/>
  <c r="G164" s="1"/>
  <c r="H164" s="1"/>
  <c r="E161"/>
  <c r="F161" s="1"/>
  <c r="G161" s="1"/>
  <c r="H161" s="1"/>
  <c r="E158"/>
  <c r="F158" s="1"/>
  <c r="G158" s="1"/>
  <c r="H158" s="1"/>
  <c r="E155"/>
  <c r="F155" s="1"/>
  <c r="G155" s="1"/>
  <c r="H155" s="1"/>
  <c r="E152"/>
  <c r="F152" s="1"/>
  <c r="G152" s="1"/>
  <c r="H152" s="1"/>
  <c r="E149"/>
  <c r="F149" s="1"/>
  <c r="G149" s="1"/>
  <c r="H149" s="1"/>
  <c r="E146"/>
  <c r="F146" s="1"/>
  <c r="G146" s="1"/>
  <c r="H146" s="1"/>
  <c r="E143"/>
  <c r="F143" s="1"/>
  <c r="G143" s="1"/>
  <c r="H143" s="1"/>
  <c r="E140"/>
  <c r="F140" s="1"/>
  <c r="G140" s="1"/>
  <c r="H140" s="1"/>
  <c r="E137"/>
  <c r="F137" s="1"/>
  <c r="G137" s="1"/>
  <c r="H137" s="1"/>
  <c r="E128"/>
  <c r="F128" s="1"/>
  <c r="G128" s="1"/>
  <c r="H128" s="1"/>
  <c r="E125"/>
  <c r="F125" s="1"/>
  <c r="G125" s="1"/>
  <c r="H125" s="1"/>
  <c r="E122"/>
  <c r="F122" s="1"/>
  <c r="G122" s="1"/>
  <c r="H122" s="1"/>
  <c r="E119"/>
  <c r="F119" s="1"/>
  <c r="G119" s="1"/>
  <c r="H119" s="1"/>
  <c r="E116"/>
  <c r="F116" s="1"/>
  <c r="G116" s="1"/>
  <c r="H116" s="1"/>
  <c r="E113"/>
  <c r="F113" s="1"/>
  <c r="G113" s="1"/>
  <c r="H113" s="1"/>
  <c r="E110"/>
  <c r="F110" s="1"/>
  <c r="G110" s="1"/>
  <c r="H110" s="1"/>
  <c r="E101"/>
  <c r="F101" s="1"/>
  <c r="G101" s="1"/>
  <c r="H101" s="1"/>
  <c r="E95"/>
  <c r="F95" s="1"/>
  <c r="G95" s="1"/>
  <c r="H95" s="1"/>
  <c r="E86"/>
  <c r="F86" s="1"/>
  <c r="G86" s="1"/>
  <c r="H86" s="1"/>
  <c r="E77"/>
  <c r="F77" s="1"/>
  <c r="G77" s="1"/>
  <c r="H77" s="1"/>
  <c r="E68"/>
  <c r="F68" s="1"/>
  <c r="G68" s="1"/>
  <c r="H68" s="1"/>
  <c r="E56"/>
  <c r="F56" s="1"/>
  <c r="G56" s="1"/>
  <c r="H56" s="1"/>
  <c r="E44"/>
  <c r="F44" s="1"/>
  <c r="G44" s="1"/>
  <c r="H44" s="1"/>
  <c r="E29"/>
  <c r="F29" s="1"/>
  <c r="G29" s="1"/>
  <c r="H29" s="1"/>
  <c r="E17"/>
  <c r="F17" s="1"/>
  <c r="G17" s="1"/>
  <c r="H17" s="1"/>
  <c r="E2"/>
  <c r="F2" s="1"/>
  <c r="G2" s="1"/>
  <c r="H2" s="1"/>
  <c r="E96"/>
  <c r="F96" s="1"/>
  <c r="G96" s="1"/>
  <c r="H96" s="1"/>
  <c r="E57"/>
  <c r="F57" s="1"/>
  <c r="G57" s="1"/>
  <c r="H57" s="1"/>
  <c r="E18"/>
  <c r="F18" s="1"/>
  <c r="G18" s="1"/>
  <c r="H18" s="1"/>
  <c r="E192"/>
  <c r="F192" s="1"/>
  <c r="G192" s="1"/>
  <c r="H192" s="1"/>
  <c r="E144"/>
  <c r="F144" s="1"/>
  <c r="G144" s="1"/>
  <c r="H144" s="1"/>
  <c r="E120"/>
  <c r="F120" s="1"/>
  <c r="G120" s="1"/>
  <c r="H120" s="1"/>
  <c r="E90"/>
  <c r="F90" s="1"/>
  <c r="G90" s="1"/>
  <c r="H90" s="1"/>
  <c r="E81"/>
  <c r="F81" s="1"/>
  <c r="G81" s="1"/>
  <c r="H81" s="1"/>
  <c r="E63"/>
  <c r="F63" s="1"/>
  <c r="G63" s="1"/>
  <c r="H63" s="1"/>
  <c r="E39"/>
  <c r="F39" s="1"/>
  <c r="G39" s="1"/>
  <c r="H39" s="1"/>
  <c r="E15"/>
  <c r="F15" s="1"/>
  <c r="G15" s="1"/>
  <c r="H15" s="1"/>
  <c r="E198"/>
  <c r="F198" s="1"/>
  <c r="G198" s="1"/>
  <c r="H198" s="1"/>
  <c r="E186"/>
  <c r="F186" s="1"/>
  <c r="G186" s="1"/>
  <c r="H186" s="1"/>
  <c r="E180"/>
  <c r="F180" s="1"/>
  <c r="G180" s="1"/>
  <c r="H180" s="1"/>
  <c r="E174"/>
  <c r="F174" s="1"/>
  <c r="G174" s="1"/>
  <c r="H174" s="1"/>
  <c r="E168"/>
  <c r="F168" s="1"/>
  <c r="G168" s="1"/>
  <c r="H168" s="1"/>
  <c r="E162"/>
  <c r="F162" s="1"/>
  <c r="G162" s="1"/>
  <c r="H162" s="1"/>
  <c r="E156"/>
  <c r="F156" s="1"/>
  <c r="G156" s="1"/>
  <c r="H156" s="1"/>
  <c r="E150"/>
  <c r="F150" s="1"/>
  <c r="G150" s="1"/>
  <c r="H150" s="1"/>
  <c r="E141"/>
  <c r="F141" s="1"/>
  <c r="G141" s="1"/>
  <c r="H141" s="1"/>
  <c r="E132"/>
  <c r="F132" s="1"/>
  <c r="G132" s="1"/>
  <c r="H132" s="1"/>
  <c r="E114"/>
  <c r="F114" s="1"/>
  <c r="G114" s="1"/>
  <c r="H114" s="1"/>
  <c r="E93"/>
  <c r="F93" s="1"/>
  <c r="G93" s="1"/>
  <c r="H93" s="1"/>
  <c r="E75"/>
  <c r="F75" s="1"/>
  <c r="G75" s="1"/>
  <c r="H75" s="1"/>
  <c r="E60"/>
  <c r="F60" s="1"/>
  <c r="G60" s="1"/>
  <c r="H60" s="1"/>
  <c r="E27"/>
  <c r="F27" s="1"/>
  <c r="G27" s="1"/>
  <c r="H27" s="1"/>
  <c r="E6"/>
  <c r="F6" s="1"/>
  <c r="G6" s="1"/>
  <c r="H6" s="1"/>
  <c r="E195"/>
  <c r="F195" s="1"/>
  <c r="G195" s="1"/>
  <c r="H195" s="1"/>
  <c r="E189"/>
  <c r="F189" s="1"/>
  <c r="G189" s="1"/>
  <c r="H189" s="1"/>
  <c r="E183"/>
  <c r="F183" s="1"/>
  <c r="G183" s="1"/>
  <c r="H183" s="1"/>
  <c r="E177"/>
  <c r="F177" s="1"/>
  <c r="G177" s="1"/>
  <c r="H177" s="1"/>
  <c r="E171"/>
  <c r="F171" s="1"/>
  <c r="G171" s="1"/>
  <c r="H171" s="1"/>
  <c r="E165"/>
  <c r="F165" s="1"/>
  <c r="G165" s="1"/>
  <c r="H165" s="1"/>
  <c r="E159"/>
  <c r="F159" s="1"/>
  <c r="G159" s="1"/>
  <c r="H159" s="1"/>
  <c r="E153"/>
  <c r="F153" s="1"/>
  <c r="G153" s="1"/>
  <c r="H153" s="1"/>
  <c r="E147"/>
  <c r="F147" s="1"/>
  <c r="G147" s="1"/>
  <c r="H147" s="1"/>
  <c r="E138"/>
  <c r="F138" s="1"/>
  <c r="G138" s="1"/>
  <c r="H138" s="1"/>
  <c r="E126"/>
  <c r="F126" s="1"/>
  <c r="G126" s="1"/>
  <c r="H126" s="1"/>
  <c r="E105"/>
  <c r="F105" s="1"/>
  <c r="G105" s="1"/>
  <c r="H105" s="1"/>
  <c r="E87"/>
  <c r="F87" s="1"/>
  <c r="G87" s="1"/>
  <c r="H87" s="1"/>
  <c r="E72"/>
  <c r="F72" s="1"/>
  <c r="G72" s="1"/>
  <c r="H72" s="1"/>
  <c r="E54"/>
  <c r="F54" s="1"/>
  <c r="G54" s="1"/>
  <c r="H54" s="1"/>
  <c r="E24"/>
  <c r="F24" s="1"/>
  <c r="G24" s="1"/>
  <c r="H24" s="1"/>
  <c r="E1"/>
  <c r="C7" i="1"/>
  <c r="AE15"/>
  <c r="AE27"/>
  <c r="AE39"/>
  <c r="AE51"/>
  <c r="AE63"/>
  <c r="AE14"/>
  <c r="AE26"/>
  <c r="AE38"/>
  <c r="AE50"/>
  <c r="AE62"/>
  <c r="AE57"/>
  <c r="AE53"/>
  <c r="AE13"/>
  <c r="AE25"/>
  <c r="AE37"/>
  <c r="AE49"/>
  <c r="AE61"/>
  <c r="AE44"/>
  <c r="AE43"/>
  <c r="AE29"/>
  <c r="AE65"/>
  <c r="AE40"/>
  <c r="AE12"/>
  <c r="AE24"/>
  <c r="AE36"/>
  <c r="AE48"/>
  <c r="AE60"/>
  <c r="AE69"/>
  <c r="AE68"/>
  <c r="AE19"/>
  <c r="AE41"/>
  <c r="AE11"/>
  <c r="AE23"/>
  <c r="AE35"/>
  <c r="AE47"/>
  <c r="AE59"/>
  <c r="AE32"/>
  <c r="AE31"/>
  <c r="AE17"/>
  <c r="AE52"/>
  <c r="AE10"/>
  <c r="AE22"/>
  <c r="AE34"/>
  <c r="AE46"/>
  <c r="AE58"/>
  <c r="AE8"/>
  <c r="AE20"/>
  <c r="AE9"/>
  <c r="AE21"/>
  <c r="AE33"/>
  <c r="AE45"/>
  <c r="AE56"/>
  <c r="AE55"/>
  <c r="AE28"/>
  <c r="AE67"/>
  <c r="AE16"/>
  <c r="AE64"/>
  <c r="AE18"/>
  <c r="AE30"/>
  <c r="AE42"/>
  <c r="AE54"/>
  <c r="AE66"/>
  <c r="X9"/>
  <c r="X13"/>
  <c r="X10"/>
  <c r="X12"/>
  <c r="X11"/>
  <c r="X8"/>
  <c r="P10"/>
  <c r="P22"/>
  <c r="P34"/>
  <c r="P46"/>
  <c r="P42"/>
  <c r="P21"/>
  <c r="P33"/>
  <c r="P45"/>
  <c r="P18"/>
  <c r="P17"/>
  <c r="P20"/>
  <c r="P32"/>
  <c r="P44"/>
  <c r="P30"/>
  <c r="P41"/>
  <c r="P19"/>
  <c r="P31"/>
  <c r="P43"/>
  <c r="P29"/>
  <c r="P16"/>
  <c r="P28"/>
  <c r="P40"/>
  <c r="P14"/>
  <c r="P38"/>
  <c r="P15"/>
  <c r="P27"/>
  <c r="P39"/>
  <c r="P26"/>
  <c r="P9"/>
  <c r="P13"/>
  <c r="P25"/>
  <c r="P37"/>
  <c r="P8"/>
  <c r="P12"/>
  <c r="P24"/>
  <c r="P36"/>
  <c r="P11"/>
  <c r="P23"/>
  <c r="P35"/>
  <c r="H13"/>
  <c r="H73"/>
  <c r="H20"/>
  <c r="H44"/>
  <c r="H38"/>
  <c r="H72"/>
  <c r="H9"/>
  <c r="H30"/>
  <c r="H50"/>
  <c r="H22"/>
  <c r="H54"/>
  <c r="H36"/>
  <c r="H41"/>
  <c r="H56"/>
  <c r="H45"/>
  <c r="H23"/>
  <c r="H79"/>
  <c r="H46"/>
  <c r="H14"/>
  <c r="H69"/>
  <c r="H71"/>
  <c r="H25"/>
  <c r="H26"/>
  <c r="H37"/>
  <c r="H62"/>
  <c r="H16"/>
  <c r="H52"/>
  <c r="H70"/>
  <c r="H74"/>
  <c r="H67"/>
  <c r="H65"/>
  <c r="H77"/>
  <c r="H61"/>
  <c r="H39"/>
  <c r="H68"/>
  <c r="H82"/>
  <c r="H64"/>
  <c r="H51"/>
  <c r="H80"/>
  <c r="H76"/>
  <c r="H17"/>
  <c r="H12"/>
  <c r="H27"/>
  <c r="H10"/>
  <c r="H8"/>
  <c r="H58"/>
  <c r="H35"/>
  <c r="H75"/>
  <c r="H19"/>
  <c r="H18"/>
  <c r="H86"/>
  <c r="H87"/>
  <c r="H84"/>
  <c r="H57"/>
  <c r="H59"/>
  <c r="H55"/>
  <c r="H48"/>
  <c r="H49"/>
  <c r="H88"/>
  <c r="H24"/>
  <c r="H34"/>
  <c r="H28"/>
  <c r="H15"/>
  <c r="H47"/>
  <c r="H63"/>
  <c r="H78"/>
  <c r="H29"/>
  <c r="H81"/>
  <c r="H89"/>
  <c r="H40"/>
  <c r="H43"/>
  <c r="H60"/>
  <c r="H11"/>
  <c r="H83"/>
  <c r="H90"/>
  <c r="H21"/>
  <c r="H53"/>
  <c r="H32"/>
  <c r="H42"/>
  <c r="H33"/>
  <c r="H85"/>
  <c r="H31"/>
  <c r="H66"/>
  <c r="C19"/>
  <c r="C26"/>
  <c r="C24"/>
  <c r="C22"/>
  <c r="C17"/>
  <c r="C14"/>
  <c r="C21"/>
  <c r="C27"/>
  <c r="C15"/>
  <c r="C12"/>
  <c r="C13"/>
  <c r="C16"/>
  <c r="C25"/>
  <c r="C18"/>
  <c r="C28"/>
  <c r="C23"/>
  <c r="AF69" l="1"/>
  <c r="AF68"/>
  <c r="AF67"/>
  <c r="AF66"/>
  <c r="AF65"/>
  <c r="AF64"/>
  <c r="AF63"/>
  <c r="AF62"/>
  <c r="AF61"/>
  <c r="AF60"/>
  <c r="AF59"/>
  <c r="AF58"/>
  <c r="AF57"/>
  <c r="AF56"/>
  <c r="AF55"/>
  <c r="AF54"/>
  <c r="AF53"/>
  <c r="AF52"/>
  <c r="AF51"/>
  <c r="AF50"/>
  <c r="AF49"/>
  <c r="AF48"/>
  <c r="AF47"/>
  <c r="AF46"/>
  <c r="AF45"/>
  <c r="AF44"/>
  <c r="AF43"/>
  <c r="AF42"/>
  <c r="AF41"/>
  <c r="AF40"/>
  <c r="AF39"/>
  <c r="AF38"/>
  <c r="AF37"/>
  <c r="AF36"/>
  <c r="AF35"/>
  <c r="AF34"/>
  <c r="AF33"/>
  <c r="AF32"/>
  <c r="AF31"/>
  <c r="AF30"/>
  <c r="AF29"/>
  <c r="AF28"/>
  <c r="AF27"/>
  <c r="AF26"/>
  <c r="AF25"/>
  <c r="AF24"/>
  <c r="AF23"/>
  <c r="AF22"/>
  <c r="AF21"/>
  <c r="AF20"/>
  <c r="AF19"/>
  <c r="AF18"/>
  <c r="AF17"/>
  <c r="AF16"/>
  <c r="AF15"/>
  <c r="AF14"/>
  <c r="AF13"/>
  <c r="AF12"/>
  <c r="AF11"/>
  <c r="AF10"/>
  <c r="AF9"/>
  <c r="Y13"/>
  <c r="Y12"/>
  <c r="Y11"/>
  <c r="Y10"/>
  <c r="Y9"/>
  <c r="Q46"/>
  <c r="R46"/>
  <c r="Q45"/>
  <c r="R45"/>
  <c r="Q44"/>
  <c r="R44"/>
  <c r="Q43"/>
  <c r="R43"/>
  <c r="Q42"/>
  <c r="R42"/>
  <c r="Q41"/>
  <c r="R41"/>
  <c r="Q40"/>
  <c r="R40"/>
  <c r="Q39"/>
  <c r="R39"/>
  <c r="Q38"/>
  <c r="R38"/>
  <c r="Q37"/>
  <c r="R37"/>
  <c r="Q36"/>
  <c r="R36"/>
  <c r="Q35"/>
  <c r="R35"/>
  <c r="Q34"/>
  <c r="R34"/>
  <c r="Q33"/>
  <c r="R33"/>
  <c r="Q32"/>
  <c r="R32"/>
  <c r="Q31"/>
  <c r="R31"/>
  <c r="Q30"/>
  <c r="R30"/>
  <c r="Q29"/>
  <c r="R29"/>
  <c r="Q28"/>
  <c r="R28"/>
  <c r="Q27"/>
  <c r="R27"/>
  <c r="Q26"/>
  <c r="R26"/>
  <c r="Q25"/>
  <c r="R25"/>
  <c r="Q24"/>
  <c r="R24"/>
  <c r="Q23"/>
  <c r="R23"/>
  <c r="Q22"/>
  <c r="R22"/>
  <c r="Q21"/>
  <c r="R21"/>
  <c r="Q20"/>
  <c r="R20"/>
  <c r="Q19"/>
  <c r="R19"/>
  <c r="Q18"/>
  <c r="R18"/>
  <c r="Q17"/>
  <c r="R17"/>
  <c r="Q16"/>
  <c r="R16"/>
  <c r="Q15"/>
  <c r="R15"/>
  <c r="Q14"/>
  <c r="R14"/>
  <c r="Q13"/>
  <c r="R13"/>
  <c r="Q12"/>
  <c r="R12"/>
  <c r="Q11"/>
  <c r="R11"/>
  <c r="Q10"/>
  <c r="R10"/>
  <c r="J86"/>
  <c r="I86"/>
  <c r="J87"/>
  <c r="I87"/>
  <c r="J88"/>
  <c r="I88"/>
  <c r="J89"/>
  <c r="I89"/>
  <c r="J90"/>
  <c r="I90"/>
  <c r="C5"/>
  <c r="I85"/>
  <c r="J85"/>
  <c r="Q8"/>
  <c r="R9"/>
  <c r="R8"/>
  <c r="J62"/>
  <c r="J66"/>
  <c r="J70"/>
  <c r="J74"/>
  <c r="J78"/>
  <c r="J82"/>
  <c r="J65"/>
  <c r="J69"/>
  <c r="J73"/>
  <c r="J77"/>
  <c r="J81"/>
  <c r="J64"/>
  <c r="J68"/>
  <c r="J72"/>
  <c r="J76"/>
  <c r="J80"/>
  <c r="J84"/>
  <c r="J63"/>
  <c r="J67"/>
  <c r="J71"/>
  <c r="J75"/>
  <c r="J79"/>
  <c r="J83"/>
  <c r="J8"/>
  <c r="AF8"/>
  <c r="Y8"/>
  <c r="AG64"/>
  <c r="AG45"/>
  <c r="AG46"/>
  <c r="AG31"/>
  <c r="AI11"/>
  <c r="AI48"/>
  <c r="AI29"/>
  <c r="AI25"/>
  <c r="AG38"/>
  <c r="AI27"/>
  <c r="AI64"/>
  <c r="AI45"/>
  <c r="AI46"/>
  <c r="AI31"/>
  <c r="AG11"/>
  <c r="AG48"/>
  <c r="AG29"/>
  <c r="AG25"/>
  <c r="AI38"/>
  <c r="AG27"/>
  <c r="AH63"/>
  <c r="AH51"/>
  <c r="AH39"/>
  <c r="AH27"/>
  <c r="AH15"/>
  <c r="AH64"/>
  <c r="AH52"/>
  <c r="AH40"/>
  <c r="AH28"/>
  <c r="AH16"/>
  <c r="AH34"/>
  <c r="AH48"/>
  <c r="AH24"/>
  <c r="AG66"/>
  <c r="AG43"/>
  <c r="AG15"/>
  <c r="AH61"/>
  <c r="AH25"/>
  <c r="AH26"/>
  <c r="AI18"/>
  <c r="AG56"/>
  <c r="AI58"/>
  <c r="AI17"/>
  <c r="AI23"/>
  <c r="AI60"/>
  <c r="AI65"/>
  <c r="AI37"/>
  <c r="AI50"/>
  <c r="AG39"/>
  <c r="AG18"/>
  <c r="AI56"/>
  <c r="AG58"/>
  <c r="AG17"/>
  <c r="AG23"/>
  <c r="AG60"/>
  <c r="AG65"/>
  <c r="AG37"/>
  <c r="AG50"/>
  <c r="AI39"/>
  <c r="AH65"/>
  <c r="AH53"/>
  <c r="AH41"/>
  <c r="AH29"/>
  <c r="AH17"/>
  <c r="AH66"/>
  <c r="AH54"/>
  <c r="AH42"/>
  <c r="AH30"/>
  <c r="AH18"/>
  <c r="AG8"/>
  <c r="AH44"/>
  <c r="AH20"/>
  <c r="AH46"/>
  <c r="AH22"/>
  <c r="AH12"/>
  <c r="AI34"/>
  <c r="AG41"/>
  <c r="AG26"/>
  <c r="AH62"/>
  <c r="AH50"/>
  <c r="AH38"/>
  <c r="AI30"/>
  <c r="AG55"/>
  <c r="AI20"/>
  <c r="AG52"/>
  <c r="AI35"/>
  <c r="AG69"/>
  <c r="AG40"/>
  <c r="AI49"/>
  <c r="AI62"/>
  <c r="AI51"/>
  <c r="AG30"/>
  <c r="AI55"/>
  <c r="AG20"/>
  <c r="AI52"/>
  <c r="AG35"/>
  <c r="AI69"/>
  <c r="AI40"/>
  <c r="AG49"/>
  <c r="AG62"/>
  <c r="AG51"/>
  <c r="AH67"/>
  <c r="AH55"/>
  <c r="AH43"/>
  <c r="AH31"/>
  <c r="AH19"/>
  <c r="AI8"/>
  <c r="AH68"/>
  <c r="AH56"/>
  <c r="AH32"/>
  <c r="AH8"/>
  <c r="AH58"/>
  <c r="AH10"/>
  <c r="AH60"/>
  <c r="AH36"/>
  <c r="AI16"/>
  <c r="AG36"/>
  <c r="AI42"/>
  <c r="AI28"/>
  <c r="AG9"/>
  <c r="AG10"/>
  <c r="AI47"/>
  <c r="AG68"/>
  <c r="AI12"/>
  <c r="AG61"/>
  <c r="AI57"/>
  <c r="AG63"/>
  <c r="AG42"/>
  <c r="AG28"/>
  <c r="AI9"/>
  <c r="AI10"/>
  <c r="AG47"/>
  <c r="AI68"/>
  <c r="AG12"/>
  <c r="AI61"/>
  <c r="AG57"/>
  <c r="AI63"/>
  <c r="AH69"/>
  <c r="AH57"/>
  <c r="AH45"/>
  <c r="AH33"/>
  <c r="AH21"/>
  <c r="AH9"/>
  <c r="AG33"/>
  <c r="AI32"/>
  <c r="AI13"/>
  <c r="AH49"/>
  <c r="AI54"/>
  <c r="AI67"/>
  <c r="AG21"/>
  <c r="AG22"/>
  <c r="AI59"/>
  <c r="AI19"/>
  <c r="AI24"/>
  <c r="AI44"/>
  <c r="AI53"/>
  <c r="AI14"/>
  <c r="AG54"/>
  <c r="AG67"/>
  <c r="AI21"/>
  <c r="AI22"/>
  <c r="AG59"/>
  <c r="AG19"/>
  <c r="AG24"/>
  <c r="AG44"/>
  <c r="AG53"/>
  <c r="AG14"/>
  <c r="AH59"/>
  <c r="AH47"/>
  <c r="AH35"/>
  <c r="AH23"/>
  <c r="AH11"/>
  <c r="AH37"/>
  <c r="AH13"/>
  <c r="AH14"/>
  <c r="AI66"/>
  <c r="AG16"/>
  <c r="AI33"/>
  <c r="AG34"/>
  <c r="AG32"/>
  <c r="AI41"/>
  <c r="AI36"/>
  <c r="AI43"/>
  <c r="AG13"/>
  <c r="AI26"/>
  <c r="AI15"/>
  <c r="Z8"/>
  <c r="AB9"/>
  <c r="Z9"/>
  <c r="AA8"/>
  <c r="AA10"/>
  <c r="AB8"/>
  <c r="Z13"/>
  <c r="AB13"/>
  <c r="AA9"/>
  <c r="AB10"/>
  <c r="Z10"/>
  <c r="AA11"/>
  <c r="Z12"/>
  <c r="AA12"/>
  <c r="AB11"/>
  <c r="AB12"/>
  <c r="AA13"/>
  <c r="Z11"/>
  <c r="S12"/>
  <c r="S27"/>
  <c r="S16"/>
  <c r="S30"/>
  <c r="S45"/>
  <c r="S22"/>
  <c r="T26"/>
  <c r="U12"/>
  <c r="U27"/>
  <c r="U16"/>
  <c r="U30"/>
  <c r="U45"/>
  <c r="U22"/>
  <c r="T40"/>
  <c r="T27"/>
  <c r="T12"/>
  <c r="T8" a="1"/>
  <c r="S24"/>
  <c r="S39"/>
  <c r="S28"/>
  <c r="U41"/>
  <c r="S18"/>
  <c r="S34"/>
  <c r="T41"/>
  <c r="T28"/>
  <c r="T13"/>
  <c r="S9"/>
  <c r="T39"/>
  <c r="U24"/>
  <c r="U39"/>
  <c r="U28"/>
  <c r="S41"/>
  <c r="U18"/>
  <c r="U34"/>
  <c r="T15"/>
  <c r="T42"/>
  <c r="T29"/>
  <c r="T14"/>
  <c r="U8"/>
  <c r="T24"/>
  <c r="T43"/>
  <c r="T30"/>
  <c r="T16"/>
  <c r="U9"/>
  <c r="S36"/>
  <c r="S26"/>
  <c r="S40"/>
  <c r="S19"/>
  <c r="S17"/>
  <c r="S46"/>
  <c r="U36"/>
  <c r="U26"/>
  <c r="U40"/>
  <c r="U19"/>
  <c r="U17"/>
  <c r="U46"/>
  <c r="T25"/>
  <c r="T44"/>
  <c r="T31"/>
  <c r="T17"/>
  <c r="S8"/>
  <c r="T32"/>
  <c r="T45"/>
  <c r="T33"/>
  <c r="T18"/>
  <c r="T22"/>
  <c r="T10"/>
  <c r="S11"/>
  <c r="S13"/>
  <c r="S14"/>
  <c r="S31"/>
  <c r="S20"/>
  <c r="S42"/>
  <c r="U11"/>
  <c r="U13"/>
  <c r="U14"/>
  <c r="U31"/>
  <c r="U20"/>
  <c r="U42"/>
  <c r="T46"/>
  <c r="T34"/>
  <c r="T19"/>
  <c r="T35"/>
  <c r="T20"/>
  <c r="T37"/>
  <c r="T9"/>
  <c r="U23"/>
  <c r="S25"/>
  <c r="S38"/>
  <c r="S43"/>
  <c r="S32"/>
  <c r="S21"/>
  <c r="S23"/>
  <c r="U25"/>
  <c r="U38"/>
  <c r="U43"/>
  <c r="U32"/>
  <c r="U21"/>
  <c r="T36"/>
  <c r="T21"/>
  <c r="S35"/>
  <c r="S37"/>
  <c r="S15"/>
  <c r="U29"/>
  <c r="S44"/>
  <c r="S33"/>
  <c r="S10"/>
  <c r="T11"/>
  <c r="U35"/>
  <c r="U37"/>
  <c r="U15"/>
  <c r="S29"/>
  <c r="U44"/>
  <c r="U33"/>
  <c r="U10"/>
  <c r="T38"/>
  <c r="T23"/>
  <c r="M86"/>
  <c r="L46"/>
  <c r="K17"/>
  <c r="L13"/>
  <c r="L69"/>
  <c r="M19"/>
  <c r="K86"/>
  <c r="M68"/>
  <c r="K50"/>
  <c r="L27"/>
  <c r="L47"/>
  <c r="M46"/>
  <c r="M82"/>
  <c r="L35"/>
  <c r="K55"/>
  <c r="M64"/>
  <c r="M60"/>
  <c r="K12"/>
  <c r="K81"/>
  <c r="L78"/>
  <c r="M57"/>
  <c r="L80"/>
  <c r="L61"/>
  <c r="M38"/>
  <c r="M67"/>
  <c r="L60"/>
  <c r="K40"/>
  <c r="L81"/>
  <c r="K62"/>
  <c r="M83"/>
  <c r="L66"/>
  <c r="K30"/>
  <c r="M44"/>
  <c r="L54"/>
  <c r="K42"/>
  <c r="M28"/>
  <c r="K10"/>
  <c r="L74"/>
  <c r="K9"/>
  <c r="L45"/>
  <c r="K60"/>
  <c r="K87"/>
  <c r="L29"/>
  <c r="K80"/>
  <c r="M87"/>
  <c r="K25"/>
  <c r="K34"/>
  <c r="K79"/>
  <c r="K59"/>
  <c r="M17"/>
  <c r="M69"/>
  <c r="L71"/>
  <c r="K13"/>
  <c r="M70"/>
  <c r="K71"/>
  <c r="K66"/>
  <c r="K20"/>
  <c r="L32"/>
  <c r="M73"/>
  <c r="M12"/>
  <c r="L43"/>
  <c r="L49"/>
  <c r="K64"/>
  <c r="K58"/>
  <c r="L59"/>
  <c r="K11"/>
  <c r="K19"/>
  <c r="M25"/>
  <c r="K61"/>
  <c r="K8"/>
  <c r="K27"/>
  <c r="L26"/>
  <c r="M32"/>
  <c r="K72"/>
  <c r="L23"/>
  <c r="M76"/>
  <c r="M9"/>
  <c r="M56"/>
  <c r="M30"/>
  <c r="L38"/>
  <c r="M88"/>
  <c r="M59"/>
  <c r="M72"/>
  <c r="M27"/>
  <c r="K23"/>
  <c r="K88"/>
  <c r="M13"/>
  <c r="M53"/>
  <c r="M29"/>
  <c r="M79"/>
  <c r="K84"/>
  <c r="M47"/>
  <c r="M75"/>
  <c r="M43"/>
  <c r="K51"/>
  <c r="M16"/>
  <c r="L56"/>
  <c r="K56"/>
  <c r="K68"/>
  <c r="K41"/>
  <c r="L84"/>
  <c r="K70"/>
  <c r="K22"/>
  <c r="K45"/>
  <c r="L63"/>
  <c r="L90"/>
  <c r="K38"/>
  <c r="L30"/>
  <c r="K44"/>
  <c r="L15"/>
  <c r="K77"/>
  <c r="M62"/>
  <c r="L53"/>
  <c r="K26"/>
  <c r="M63"/>
  <c r="K16"/>
  <c r="K74"/>
  <c r="L20"/>
  <c r="L10"/>
  <c r="M89"/>
  <c r="K78"/>
  <c r="M21"/>
  <c r="M52"/>
  <c r="K29"/>
  <c r="L67"/>
  <c r="K46"/>
  <c r="M71"/>
  <c r="K89"/>
  <c r="L89"/>
  <c r="M37"/>
  <c r="L83"/>
  <c r="L34"/>
  <c r="M55"/>
  <c r="K33"/>
  <c r="L16"/>
  <c r="L21"/>
  <c r="L28"/>
  <c r="K67"/>
  <c r="M14"/>
  <c r="M61"/>
  <c r="M80"/>
  <c r="M42"/>
  <c r="K57"/>
  <c r="L31"/>
  <c r="K83"/>
  <c r="M77"/>
  <c r="M36"/>
  <c r="M22"/>
  <c r="M49"/>
  <c r="L88"/>
  <c r="K69"/>
  <c r="L8" a="1"/>
  <c r="K15"/>
  <c r="L18"/>
  <c r="K35"/>
  <c r="L55"/>
  <c r="K32"/>
  <c r="L25"/>
  <c r="K47"/>
  <c r="L19"/>
  <c r="L70"/>
  <c r="K39"/>
  <c r="M90"/>
  <c r="L24"/>
  <c r="L57"/>
  <c r="L17"/>
  <c r="K52"/>
  <c r="L82"/>
  <c r="L76"/>
  <c r="M81"/>
  <c r="K90"/>
  <c r="L87"/>
  <c r="M84"/>
  <c r="L42"/>
  <c r="K36"/>
  <c r="L51"/>
  <c r="L12"/>
  <c r="M26"/>
  <c r="K18"/>
  <c r="M34"/>
  <c r="K73"/>
  <c r="L58"/>
  <c r="M39"/>
  <c r="K54"/>
  <c r="L65"/>
  <c r="L72"/>
  <c r="L75"/>
  <c r="M24"/>
  <c r="L33"/>
  <c r="K28"/>
  <c r="K31"/>
  <c r="L86"/>
  <c r="K63"/>
  <c r="K24"/>
  <c r="K21"/>
  <c r="K82"/>
  <c r="M11"/>
  <c r="M33"/>
  <c r="M65"/>
  <c r="M78"/>
  <c r="L44"/>
  <c r="L62"/>
  <c r="M18"/>
  <c r="L11"/>
  <c r="M15"/>
  <c r="M51"/>
  <c r="K85"/>
  <c r="K48"/>
  <c r="L9"/>
  <c r="M10"/>
  <c r="K43"/>
  <c r="K53"/>
  <c r="L36"/>
  <c r="M85"/>
  <c r="L85"/>
  <c r="K65"/>
  <c r="L22"/>
  <c r="L73"/>
  <c r="L14"/>
  <c r="L52"/>
  <c r="M48"/>
  <c r="M66"/>
  <c r="L48"/>
  <c r="L68"/>
  <c r="M54"/>
  <c r="K37"/>
  <c r="M31"/>
  <c r="L39"/>
  <c r="K76"/>
  <c r="K75"/>
  <c r="L77"/>
  <c r="M20"/>
  <c r="M74"/>
  <c r="M35"/>
  <c r="L37"/>
  <c r="M45"/>
  <c r="K49"/>
  <c r="M58"/>
  <c r="M50"/>
  <c r="L79"/>
  <c r="M40"/>
  <c r="M23"/>
  <c r="M8"/>
  <c r="M41"/>
  <c r="L41"/>
  <c r="L50"/>
  <c r="L40"/>
  <c r="K14"/>
  <c r="L64"/>
  <c r="D17"/>
  <c r="D15"/>
  <c r="D14"/>
  <c r="D16"/>
  <c r="D13"/>
  <c r="D12"/>
  <c r="D18"/>
  <c r="D19"/>
  <c r="T8" l="1"/>
  <c r="L8"/>
  <c r="J20"/>
  <c r="J52"/>
  <c r="J14"/>
  <c r="J10"/>
  <c r="J12"/>
  <c r="J60"/>
  <c r="J40"/>
  <c r="J30"/>
  <c r="J46"/>
  <c r="J15"/>
  <c r="J31"/>
  <c r="J47"/>
  <c r="J29"/>
  <c r="J45"/>
  <c r="J61"/>
  <c r="J17"/>
  <c r="J28"/>
  <c r="J16"/>
  <c r="J48"/>
  <c r="J18"/>
  <c r="J34"/>
  <c r="J50"/>
  <c r="J19"/>
  <c r="J35"/>
  <c r="J51"/>
  <c r="J33"/>
  <c r="J49"/>
  <c r="J21"/>
  <c r="J44"/>
  <c r="J24"/>
  <c r="J56"/>
  <c r="J22"/>
  <c r="J38"/>
  <c r="J54"/>
  <c r="J23"/>
  <c r="J39"/>
  <c r="J55"/>
  <c r="J37"/>
  <c r="J53"/>
  <c r="J9"/>
  <c r="J36"/>
  <c r="J32"/>
  <c r="J13"/>
  <c r="J26"/>
  <c r="J42"/>
  <c r="J58"/>
  <c r="J11"/>
  <c r="J27"/>
  <c r="J43"/>
  <c r="J59"/>
  <c r="J25"/>
  <c r="J41"/>
  <c r="J57"/>
  <c r="E18"/>
  <c r="E12"/>
  <c r="E14"/>
  <c r="E15"/>
  <c r="E17"/>
  <c r="E19"/>
  <c r="E16"/>
  <c r="E13"/>
  <c r="I10" l="1"/>
  <c r="I8"/>
  <c r="Q9"/>
  <c r="I9"/>
  <c r="I17"/>
  <c r="I82"/>
  <c r="I78"/>
  <c r="I75"/>
  <c r="I79"/>
  <c r="I81"/>
  <c r="I77"/>
  <c r="I83"/>
  <c r="I84"/>
  <c r="I80"/>
  <c r="I76"/>
  <c r="I11"/>
  <c r="I35"/>
  <c r="I21"/>
  <c r="I12"/>
  <c r="I66"/>
  <c r="I19"/>
  <c r="I54"/>
  <c r="I73"/>
  <c r="I67"/>
  <c r="I27"/>
  <c r="I15"/>
  <c r="I61"/>
  <c r="I38"/>
  <c r="I68"/>
  <c r="I70"/>
  <c r="I60"/>
  <c r="I47"/>
  <c r="I71"/>
  <c r="I36"/>
  <c r="I48"/>
  <c r="I25"/>
  <c r="I34"/>
  <c r="I65"/>
  <c r="I43"/>
  <c r="I26"/>
  <c r="I72"/>
  <c r="I42"/>
  <c r="I16"/>
  <c r="I37"/>
  <c r="I18"/>
  <c r="I13"/>
  <c r="I41"/>
  <c r="I14"/>
  <c r="I40"/>
  <c r="I39"/>
  <c r="I56"/>
  <c r="I20"/>
  <c r="I69"/>
  <c r="I30"/>
  <c r="I58"/>
  <c r="I44"/>
  <c r="I50"/>
  <c r="I46"/>
  <c r="I57"/>
  <c r="I24"/>
  <c r="I63"/>
  <c r="I51"/>
  <c r="I22"/>
  <c r="I59"/>
  <c r="I49"/>
  <c r="I23"/>
  <c r="I53"/>
  <c r="I64"/>
  <c r="I31"/>
  <c r="I32"/>
  <c r="I55"/>
  <c r="I62"/>
  <c r="I29"/>
  <c r="I28"/>
  <c r="I33"/>
  <c r="I74"/>
  <c r="I52"/>
  <c r="I45"/>
  <c r="B6" l="1" a="1"/>
  <c r="B6" s="1"/>
  <c r="C11"/>
  <c r="D11"/>
  <c r="E1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<sst xmlns="http://schemas.openxmlformats.org/spreadsheetml/2006/main" count="665" uniqueCount="437">
  <si>
    <t>한글종목명</t>
  </si>
  <si>
    <t>발행일</t>
  </si>
  <si>
    <t>만기일</t>
  </si>
  <si>
    <t>코드</t>
  </si>
  <si>
    <t>KR103503G899</t>
  </si>
  <si>
    <t>KR103503G691</t>
  </si>
  <si>
    <t>KR103502GA34</t>
  </si>
  <si>
    <t>KR103502G933</t>
  </si>
  <si>
    <t>KR103502G834</t>
  </si>
  <si>
    <t>KR103502G735</t>
  </si>
  <si>
    <t>KR103502G636</t>
  </si>
  <si>
    <t>KR103502G4C9</t>
  </si>
  <si>
    <t>KR10350172C8</t>
  </si>
  <si>
    <t>KR103502G990</t>
  </si>
  <si>
    <t>KR103502G891</t>
  </si>
  <si>
    <t>KR103502G792</t>
  </si>
  <si>
    <t>KR103502G693</t>
  </si>
  <si>
    <t>KR103502G594</t>
  </si>
  <si>
    <t>KR103502G3C1</t>
  </si>
  <si>
    <t>KR10350271C8</t>
  </si>
  <si>
    <t>KR10350270C0</t>
  </si>
  <si>
    <t>KR1035027WC3</t>
  </si>
  <si>
    <t>KR1035027V32</t>
  </si>
  <si>
    <t>KR1035037T34</t>
  </si>
  <si>
    <t>KR1035017S39</t>
  </si>
  <si>
    <t>KR103502G9C8</t>
  </si>
  <si>
    <t>KR103502G966</t>
  </si>
  <si>
    <t>KR103502G8C0</t>
  </si>
  <si>
    <t>KR103502G867</t>
  </si>
  <si>
    <t>KR103502G7C2</t>
  </si>
  <si>
    <t>KR103502G768</t>
  </si>
  <si>
    <t>KR103502G6C4</t>
  </si>
  <si>
    <t>KR103502G669</t>
  </si>
  <si>
    <t>KR103502G5C6</t>
  </si>
  <si>
    <t>KR103501G562</t>
  </si>
  <si>
    <t>KR103502G495</t>
  </si>
  <si>
    <t>KR103501GA35</t>
  </si>
  <si>
    <t>KR103501G992</t>
  </si>
  <si>
    <t>분류</t>
    <phoneticPr fontId="1" type="noConversion"/>
  </si>
  <si>
    <t>국고채</t>
    <phoneticPr fontId="1" type="noConversion"/>
  </si>
  <si>
    <t>통안</t>
    <phoneticPr fontId="1" type="noConversion"/>
  </si>
  <si>
    <t>KR103503G865</t>
  </si>
  <si>
    <t>KR103503G667</t>
  </si>
  <si>
    <t>KR103503G568</t>
  </si>
  <si>
    <t>종목</t>
    <phoneticPr fontId="1" type="noConversion"/>
  </si>
  <si>
    <t>물가</t>
    <phoneticPr fontId="1" type="noConversion"/>
  </si>
  <si>
    <t>KR101501D983</t>
  </si>
  <si>
    <t>KR101502D981</t>
  </si>
  <si>
    <t>KR101501D991</t>
  </si>
  <si>
    <t>KR101501D9A0</t>
  </si>
  <si>
    <t>KR101501D9B8</t>
  </si>
  <si>
    <t>KR101501D9C6</t>
  </si>
  <si>
    <t>KR101501DA16</t>
  </si>
  <si>
    <t>KR101501DA24</t>
  </si>
  <si>
    <t>KR101501DA32</t>
  </si>
  <si>
    <t>국민주택1종</t>
    <phoneticPr fontId="1" type="noConversion"/>
  </si>
  <si>
    <t>금일</t>
    <phoneticPr fontId="1" type="noConversion"/>
  </si>
  <si>
    <t>전일</t>
    <phoneticPr fontId="1" type="noConversion"/>
  </si>
  <si>
    <t>코드</t>
    <phoneticPr fontId="1" type="noConversion"/>
  </si>
  <si>
    <t>수익률</t>
    <phoneticPr fontId="1" type="noConversion"/>
  </si>
  <si>
    <t>만기</t>
    <phoneticPr fontId="1" type="noConversion"/>
  </si>
  <si>
    <t>코드</t>
    <phoneticPr fontId="1" type="noConversion"/>
  </si>
  <si>
    <t>수익률</t>
    <phoneticPr fontId="1" type="noConversion"/>
  </si>
  <si>
    <t>만기</t>
    <phoneticPr fontId="1" type="noConversion"/>
  </si>
  <si>
    <t>대비</t>
    <phoneticPr fontId="1" type="noConversion"/>
  </si>
  <si>
    <t>통안 2Y</t>
    <phoneticPr fontId="1" type="noConversion"/>
  </si>
  <si>
    <t>국고5Y</t>
    <phoneticPr fontId="1" type="noConversion"/>
  </si>
  <si>
    <t>국고 30Y</t>
    <phoneticPr fontId="1" type="noConversion"/>
  </si>
  <si>
    <t>국고 10Y</t>
    <phoneticPr fontId="1" type="noConversion"/>
  </si>
  <si>
    <t>국고 20Y</t>
    <phoneticPr fontId="1" type="noConversion"/>
  </si>
  <si>
    <t>국고 3Y</t>
    <phoneticPr fontId="1" type="noConversion"/>
  </si>
  <si>
    <t>전일대비
(bp)</t>
    <phoneticPr fontId="1" type="noConversion"/>
  </si>
  <si>
    <t>스프레드</t>
    <phoneticPr fontId="1" type="noConversion"/>
  </si>
  <si>
    <t>( bp )</t>
    <phoneticPr fontId="1" type="noConversion"/>
  </si>
  <si>
    <t>2Y - 1Y</t>
    <phoneticPr fontId="1" type="noConversion"/>
  </si>
  <si>
    <t>3Y - 2Y</t>
    <phoneticPr fontId="1" type="noConversion"/>
  </si>
  <si>
    <t>5Y - 3Y</t>
    <phoneticPr fontId="1" type="noConversion"/>
  </si>
  <si>
    <t>10Y - 5Y</t>
    <phoneticPr fontId="1" type="noConversion"/>
  </si>
  <si>
    <t>10Y - 3Y</t>
    <phoneticPr fontId="1" type="noConversion"/>
  </si>
  <si>
    <t>20Y - 10Y</t>
    <phoneticPr fontId="1" type="noConversion"/>
  </si>
  <si>
    <t>30Y - 10Y</t>
    <phoneticPr fontId="1" type="noConversion"/>
  </si>
  <si>
    <t>30Y - 20Y</t>
    <phoneticPr fontId="1" type="noConversion"/>
  </si>
  <si>
    <t>50Y - 30Y</t>
    <phoneticPr fontId="1" type="noConversion"/>
  </si>
  <si>
    <t>KR103502GA67</t>
  </si>
  <si>
    <t>KR101501DA40</t>
  </si>
  <si>
    <t xml:space="preserve"> 국채 일일 종가표 (시가평가)</t>
    <phoneticPr fontId="1" type="noConversion"/>
  </si>
  <si>
    <t>KR103501GA92</t>
  </si>
  <si>
    <t>KR103502GAC2</t>
  </si>
  <si>
    <t>KR103502GA91</t>
  </si>
  <si>
    <t>KR103503GA90</t>
  </si>
  <si>
    <t>KR101501DA57</t>
  </si>
  <si>
    <t>KR101501DA65</t>
  </si>
  <si>
    <t>KR101501DA73</t>
  </si>
  <si>
    <t>KR101501DA81</t>
  </si>
  <si>
    <t>KR101501DA99</t>
  </si>
  <si>
    <t>KR101501DAA7</t>
  </si>
  <si>
    <t>KR101501DAB5</t>
  </si>
  <si>
    <t>KR103503GA66</t>
  </si>
  <si>
    <t>국고 50Y</t>
    <phoneticPr fontId="1" type="noConversion"/>
  </si>
  <si>
    <t>KR103501GB34</t>
  </si>
  <si>
    <t>KR103502GB33</t>
  </si>
  <si>
    <t>KR101501DAC3</t>
  </si>
  <si>
    <t>KR101501DB15</t>
  </si>
  <si>
    <t>KR101501DB23</t>
  </si>
  <si>
    <t>KR101501DB31</t>
  </si>
  <si>
    <t>국민주택1종19-08-2</t>
  </si>
  <si>
    <t>국민주택1종19-08</t>
  </si>
  <si>
    <t>국민주택1종19-09</t>
  </si>
  <si>
    <t>국민주택1종19-10</t>
  </si>
  <si>
    <t>국민주택1종19-11</t>
  </si>
  <si>
    <t>국민주택1종19-12</t>
  </si>
  <si>
    <t>국민주택1종20-01</t>
  </si>
  <si>
    <t>국민주택1종20-02</t>
  </si>
  <si>
    <t>국민주택1종20-03</t>
  </si>
  <si>
    <t>국고03000-2409(14-5)</t>
  </si>
  <si>
    <t>국고05750-2603(06-1)</t>
  </si>
  <si>
    <t>국민주택1종20-04</t>
  </si>
  <si>
    <t>국고02250-2506(15-2)</t>
  </si>
  <si>
    <t>국고05250-2703(07-3)</t>
  </si>
  <si>
    <t>국민주택1종20-05</t>
  </si>
  <si>
    <t>국고02250-2512(15-8)</t>
  </si>
  <si>
    <t>국고05500-2803(08-2)</t>
  </si>
  <si>
    <t>국민주택1종20-06</t>
  </si>
  <si>
    <t>국고01875-2606(16-3)</t>
  </si>
  <si>
    <t>국고05500-2912(09-5)</t>
  </si>
  <si>
    <t>국민주택1종20-07</t>
  </si>
  <si>
    <t>국고01500-2612(16-8)</t>
  </si>
  <si>
    <t>국고04750-3012(10-7)</t>
  </si>
  <si>
    <t>국민주택1종20-08</t>
  </si>
  <si>
    <t>국고02125-2706(17-3)</t>
  </si>
  <si>
    <t>국고04000-3112(11-7)</t>
  </si>
  <si>
    <t>국고03000-4212(12-5)</t>
  </si>
  <si>
    <t>국민주택1종20-09</t>
  </si>
  <si>
    <t>국고02375-2712(17-7)</t>
  </si>
  <si>
    <t>국고03750-3312(13-8)</t>
  </si>
  <si>
    <t>국고02750-4412(14-7)</t>
  </si>
  <si>
    <t>국민주택1종20-10</t>
  </si>
  <si>
    <t>국고02625-2806(18-4)</t>
  </si>
  <si>
    <t>국고02625-3509(15-6)</t>
  </si>
  <si>
    <t>국고02000-4603(16-1)</t>
  </si>
  <si>
    <t>국민주택1종20-11</t>
  </si>
  <si>
    <t>국고02375-2812(18-10)</t>
  </si>
  <si>
    <t>국고01500-3609(16-6)</t>
  </si>
  <si>
    <t>국고02125-4703(17-1)</t>
  </si>
  <si>
    <t>국민주택1종20-12</t>
  </si>
  <si>
    <t>물가01750-2506(15-5)</t>
  </si>
  <si>
    <t>국고01375-2409(19-5)</t>
  </si>
  <si>
    <t>국고01875-2906(19-4)</t>
  </si>
  <si>
    <t>국고02250-3709(17-5)</t>
  </si>
  <si>
    <t>국고02625-4803(18-2)</t>
  </si>
  <si>
    <t>국민주택1종21-01</t>
  </si>
  <si>
    <t>물가01000-2606(16-5)</t>
  </si>
  <si>
    <t>국고01500-2503(20-1)</t>
  </si>
  <si>
    <t>국고01375-2912(19-8)</t>
  </si>
  <si>
    <t>국고02375-3809(18-7)</t>
  </si>
  <si>
    <t>국고02000-4903(19-2)</t>
  </si>
  <si>
    <t>국고01500-6609(16-9)</t>
  </si>
  <si>
    <t>국민주택1종21-02</t>
  </si>
  <si>
    <t>물가01750-2806(18-5)</t>
  </si>
  <si>
    <t>국고01125-2509(20-6)</t>
  </si>
  <si>
    <t>국고01375-3006(20-4)</t>
  </si>
  <si>
    <t>국고01125-3909(19-6)</t>
  </si>
  <si>
    <t>국고01500-5003(20-2)</t>
  </si>
  <si>
    <t>국고02000-6809(18-8)</t>
  </si>
  <si>
    <t>국민주택1종21-03</t>
  </si>
  <si>
    <t>물가01125-3006(20-5)</t>
  </si>
  <si>
    <t>국고01250-2603(21-1)</t>
  </si>
  <si>
    <t>국고01500-3012(20-9)</t>
  </si>
  <si>
    <t>국고01500-4009(20-7)</t>
  </si>
  <si>
    <t>국고01875-5103(21-2)</t>
  </si>
  <si>
    <t>국고01625-7009(20-10)</t>
  </si>
  <si>
    <t>종목명</t>
  </si>
  <si>
    <t>표준코드</t>
  </si>
  <si>
    <t>발행일</t>
    <phoneticPr fontId="1" type="noConversion"/>
  </si>
  <si>
    <t>D</t>
  </si>
  <si>
    <t>정렬</t>
  </si>
  <si>
    <t>정렬기준</t>
  </si>
  <si>
    <t>만기일</t>
    <phoneticPr fontId="1" type="noConversion"/>
  </si>
  <si>
    <t>조회기준</t>
  </si>
  <si>
    <t>일자</t>
  </si>
  <si>
    <t>1000</t>
    <phoneticPr fontId="1" type="noConversion"/>
  </si>
  <si>
    <t>조회건수</t>
  </si>
  <si>
    <t>BNDSTA1301015</t>
  </si>
  <si>
    <t>BNDSTA1200801</t>
  </si>
  <si>
    <t>BNDSTA4299999</t>
  </si>
  <si>
    <t>BNDSTA4200001</t>
  </si>
  <si>
    <t>BNDSTA4200002</t>
  </si>
  <si>
    <t>BNDSTA4200003</t>
  </si>
  <si>
    <t>BNDSTA4200004</t>
  </si>
  <si>
    <t>BNDSTA1200003</t>
  </si>
  <si>
    <t>BNDSTA1200005</t>
  </si>
  <si>
    <t>BNDSTA1200010</t>
  </si>
  <si>
    <t>BNDSTA1200020</t>
  </si>
  <si>
    <t>BNDSTA1200030</t>
  </si>
  <si>
    <t>통안기타</t>
  </si>
  <si>
    <t>물가연동국채</t>
  </si>
  <si>
    <t>국민주택1종</t>
  </si>
  <si>
    <t>BNDSTA1200002</t>
    <phoneticPr fontId="1" type="noConversion"/>
  </si>
  <si>
    <t>BNDSTA1200050</t>
    <phoneticPr fontId="1" type="noConversion"/>
  </si>
  <si>
    <t>국고50Y</t>
    <phoneticPr fontId="1" type="noConversion"/>
  </si>
  <si>
    <t>국고30Y</t>
    <phoneticPr fontId="1" type="noConversion"/>
  </si>
  <si>
    <t>국고20Y</t>
    <phoneticPr fontId="1" type="noConversion"/>
  </si>
  <si>
    <t>국고10Y</t>
    <phoneticPr fontId="1" type="noConversion"/>
  </si>
  <si>
    <t>국고5Y</t>
    <phoneticPr fontId="1" type="noConversion"/>
  </si>
  <si>
    <t>국고3Y</t>
    <phoneticPr fontId="1" type="noConversion"/>
  </si>
  <si>
    <t>국고2Y</t>
    <phoneticPr fontId="1" type="noConversion"/>
  </si>
  <si>
    <t>통안2.0Y</t>
    <phoneticPr fontId="1" type="noConversion"/>
  </si>
  <si>
    <t>통안1.5Y</t>
    <phoneticPr fontId="1" type="noConversion"/>
  </si>
  <si>
    <t>통안1.0Y</t>
    <phoneticPr fontId="1" type="noConversion"/>
  </si>
  <si>
    <t>통안0.5Y</t>
    <phoneticPr fontId="1" type="noConversion"/>
  </si>
  <si>
    <t>민평3사</t>
    <phoneticPr fontId="1" type="noConversion"/>
  </si>
  <si>
    <t>민평4사</t>
    <phoneticPr fontId="1" type="noConversion"/>
  </si>
  <si>
    <t>KR103501GCC0</t>
  </si>
  <si>
    <t>국고04250-2512(22-13)</t>
  </si>
  <si>
    <t>KR103501GC66</t>
  </si>
  <si>
    <t>국고03125-2506(22-4)</t>
  </si>
  <si>
    <t>KR103501GBC2</t>
  </si>
  <si>
    <t>국고01875-2412(21-10)</t>
  </si>
  <si>
    <t>KR103505GC96</t>
  </si>
  <si>
    <t>국고03500-7209(22-12)</t>
  </si>
  <si>
    <t>KR103503GCC6</t>
  </si>
  <si>
    <t>KR103503GC98</t>
  </si>
  <si>
    <t>국고03125-2409(22-10)</t>
  </si>
  <si>
    <t>KR103502GC99</t>
  </si>
  <si>
    <t>국고03125-5209(22-9)</t>
  </si>
  <si>
    <t>KR103502GC32</t>
  </si>
  <si>
    <t>국고02500-5203(22-2)</t>
  </si>
  <si>
    <t>KR103501GC90</t>
  </si>
  <si>
    <t>국고03125-2709(22-8)</t>
  </si>
  <si>
    <t>KR103501GC33</t>
  </si>
  <si>
    <t>국고02375-2703(22-1)</t>
  </si>
  <si>
    <t>KR103501GB91</t>
  </si>
  <si>
    <t>국고01750-2609(21-7)</t>
  </si>
  <si>
    <t>KR101501DCB1</t>
  </si>
  <si>
    <t>국민주택1종22-11</t>
  </si>
  <si>
    <t>KR101501DCA3</t>
  </si>
  <si>
    <t>국민주택1종22-10</t>
  </si>
  <si>
    <t>KR101501DC97</t>
  </si>
  <si>
    <t>국민주택1종22-09</t>
  </si>
  <si>
    <t>KR101501DC89</t>
  </si>
  <si>
    <t>국민주택1종22-08</t>
  </si>
  <si>
    <t>KR101501DC71</t>
  </si>
  <si>
    <t>국민주택1종22-07</t>
  </si>
  <si>
    <t>KR101501DC63</t>
  </si>
  <si>
    <t>국민주택1종22-06</t>
  </si>
  <si>
    <t>KR101501DC55</t>
  </si>
  <si>
    <t>국민주택1종22-05</t>
  </si>
  <si>
    <t>KR101501DC48</t>
  </si>
  <si>
    <t>국민주택1종22-04</t>
  </si>
  <si>
    <t>KR101501DC30</t>
  </si>
  <si>
    <t>국민주택1종22-03</t>
  </si>
  <si>
    <t>KR101501DC22</t>
  </si>
  <si>
    <t>국민주택1종22-02</t>
  </si>
  <si>
    <t>KR101501DC14</t>
  </si>
  <si>
    <t>국민주택1종22-01</t>
  </si>
  <si>
    <t>KR101501DBC1</t>
  </si>
  <si>
    <t>국민주택1종21-12</t>
  </si>
  <si>
    <t>KR101501DBB3</t>
  </si>
  <si>
    <t>국민주택1종21-11</t>
  </si>
  <si>
    <t>KR101501DBA5</t>
  </si>
  <si>
    <t>국민주택1종21-10</t>
  </si>
  <si>
    <t>KR101501DB98</t>
  </si>
  <si>
    <t>국민주택1종21-09</t>
  </si>
  <si>
    <t>KR101501DB80</t>
  </si>
  <si>
    <t>국민주택1종21-08</t>
  </si>
  <si>
    <t>KR101501DB72</t>
  </si>
  <si>
    <t>국민주택1종21-07</t>
  </si>
  <si>
    <t>KR101501DB64</t>
  </si>
  <si>
    <t>국민주택1종21-06</t>
  </si>
  <si>
    <t>KR101501DB56</t>
  </si>
  <si>
    <t>국민주택1종21-05</t>
  </si>
  <si>
    <t>KR101501DB49</t>
  </si>
  <si>
    <t>국민주택1종21-04</t>
  </si>
  <si>
    <t>KR310101GCA2</t>
  </si>
  <si>
    <t>통안04120-2410-02</t>
  </si>
  <si>
    <t>KR103503GC64</t>
  </si>
  <si>
    <t>물가01625-3206(22-6)</t>
  </si>
  <si>
    <t>KR103504GC97</t>
  </si>
  <si>
    <t>국고03250-4209(22-11)</t>
  </si>
  <si>
    <t>KR103503GB99</t>
  </si>
  <si>
    <t>국고01875-4109(21-9)</t>
  </si>
  <si>
    <t>KR103502GCC8</t>
  </si>
  <si>
    <t>국고04250-3212(22-14)</t>
  </si>
  <si>
    <t>KR103502GC65</t>
  </si>
  <si>
    <t>국고03375-3206(22-5)</t>
  </si>
  <si>
    <t>KR103502GBC0</t>
  </si>
  <si>
    <t>국고02375-3112(21-11)</t>
  </si>
  <si>
    <t>KR103502GB66</t>
  </si>
  <si>
    <t>국고02000-3106(21-5)</t>
  </si>
  <si>
    <t>통안3.0Y</t>
    <phoneticPr fontId="1" type="noConversion"/>
  </si>
  <si>
    <t>BNDSTA4200006</t>
    <phoneticPr fontId="1" type="noConversion"/>
  </si>
  <si>
    <t>KR310102GC94</t>
  </si>
  <si>
    <t>통안03950-2509-03</t>
  </si>
  <si>
    <t>KR310102GC37</t>
  </si>
  <si>
    <t>통안02320-2503-03</t>
  </si>
  <si>
    <t>KR310102GB95</t>
  </si>
  <si>
    <t>통안01510-2409-03</t>
  </si>
  <si>
    <t>국고04250-2412(22-15)</t>
  </si>
  <si>
    <t>KR310101GD11</t>
  </si>
  <si>
    <t>통안03680-2501-02</t>
  </si>
  <si>
    <t>KR101501DD13</t>
  </si>
  <si>
    <t>국민주택1종23-01</t>
  </si>
  <si>
    <t>KR101501DCC9</t>
  </si>
  <si>
    <t>국민주택1종22-12</t>
  </si>
  <si>
    <t>KR103501GD32</t>
  </si>
  <si>
    <t>국고03250-2803(23-1)</t>
  </si>
  <si>
    <t>KR101501DD21</t>
  </si>
  <si>
    <t>국민주택1종23-02</t>
  </si>
  <si>
    <t>KR103502GD31</t>
  </si>
  <si>
    <t>국고03250-5303(23-2)</t>
  </si>
  <si>
    <t>KR103503GD30</t>
  </si>
  <si>
    <t>국고03375-2503(23-3)</t>
  </si>
  <si>
    <t>KR101501DD39</t>
  </si>
  <si>
    <t>국민주택1종23-03</t>
  </si>
  <si>
    <t>KR310102GD36</t>
  </si>
  <si>
    <t>통안03570-2603-03</t>
  </si>
  <si>
    <t>KR101501DD47</t>
  </si>
  <si>
    <t>국민주택1종23-04</t>
  </si>
  <si>
    <t>KR310101GD45</t>
  </si>
  <si>
    <t>통안03280-2504-02</t>
  </si>
  <si>
    <t>KR103501GD65</t>
  </si>
  <si>
    <t>국고03125-2606(23-4)</t>
  </si>
  <si>
    <t>KR103502GD64</t>
  </si>
  <si>
    <t>국고03250-3306(23-5)</t>
  </si>
  <si>
    <t>KR101501DD54</t>
  </si>
  <si>
    <t>국민주택1종23-05</t>
  </si>
  <si>
    <t>KR101501DD62</t>
  </si>
  <si>
    <t>국민주택1종23-06</t>
  </si>
  <si>
    <t>KR101501DD70</t>
  </si>
  <si>
    <t>국민주택1종23-07</t>
  </si>
  <si>
    <t>KR310101GD78</t>
  </si>
  <si>
    <t>통안03670-2507-02</t>
  </si>
  <si>
    <t>KR103501GD99</t>
  </si>
  <si>
    <t>국고03500-2809(23-6)</t>
  </si>
  <si>
    <t>KR103502GD98</t>
  </si>
  <si>
    <t>국고03625-5309(23-7)</t>
  </si>
  <si>
    <t>KR101501DD88</t>
  </si>
  <si>
    <t>국민주택1종23-08</t>
  </si>
  <si>
    <t>KR103503GD97</t>
  </si>
  <si>
    <t>국고03625-2509(23-8)</t>
  </si>
  <si>
    <t>KR103504GD96</t>
  </si>
  <si>
    <t>국고03875-4309(23-9)</t>
  </si>
  <si>
    <t>KR101501DD96</t>
  </si>
  <si>
    <t>국민주택1종23-09</t>
  </si>
  <si>
    <t>KR310101GD94</t>
  </si>
  <si>
    <t>통안03670-2409-01</t>
  </si>
  <si>
    <t>KR310102GD93</t>
  </si>
  <si>
    <t>통안04000-2609-03</t>
  </si>
  <si>
    <t>KR103501GDC8</t>
  </si>
  <si>
    <t>KR101501DDA1</t>
  </si>
  <si>
    <t>국민주택1종23-10</t>
  </si>
  <si>
    <t>KR310101GDA0</t>
  </si>
  <si>
    <t>통안04020-2510-02</t>
  </si>
  <si>
    <t>국고03875-2612(23-10)</t>
  </si>
  <si>
    <t>KR103502GDC6</t>
  </si>
  <si>
    <t>국고04125-3312(23-11)</t>
  </si>
  <si>
    <t>KR101501DDB9</t>
  </si>
  <si>
    <t>국민주택1종23-11</t>
  </si>
  <si>
    <t>KR310101GDB8</t>
  </si>
  <si>
    <t>통안03730-2411-01</t>
  </si>
  <si>
    <t>KR101501DDC7</t>
  </si>
  <si>
    <t>국민주택1종23-12</t>
  </si>
  <si>
    <t>KR101501DE12</t>
  </si>
  <si>
    <t>국민주택1종24-01</t>
  </si>
  <si>
    <t>KR310101GE10</t>
  </si>
  <si>
    <t>통안03340-2601-02</t>
  </si>
  <si>
    <t>KR310102GE19</t>
  </si>
  <si>
    <t>통안03320-2501-01</t>
  </si>
  <si>
    <t>KR103501GE31</t>
  </si>
  <si>
    <t>국고03250-2903(24-1)</t>
  </si>
  <si>
    <t>KR103502GE30</t>
  </si>
  <si>
    <t>국고03250-5403(24-2)</t>
  </si>
  <si>
    <t>KR101501DE20</t>
  </si>
  <si>
    <t>국민주택1종24-02</t>
  </si>
  <si>
    <t>KR103503GE39</t>
  </si>
  <si>
    <t>국고03250-2603(24-3)</t>
  </si>
  <si>
    <t>KR101501DE38</t>
  </si>
  <si>
    <t>국민주택1종24-03</t>
  </si>
  <si>
    <t>KR310101GE36</t>
  </si>
  <si>
    <t>통안03410-2503-01</t>
  </si>
  <si>
    <t>KR310102GE35</t>
  </si>
  <si>
    <t>통안03430-2703-03</t>
  </si>
  <si>
    <t>KR101501DE46</t>
  </si>
  <si>
    <t>국민주택1종24-04</t>
  </si>
  <si>
    <t>KR103501GE64</t>
  </si>
  <si>
    <t>KR310101GE44</t>
  </si>
  <si>
    <t>통안03365-2604-02</t>
  </si>
  <si>
    <t>국고03250-2706(24-4)</t>
  </si>
  <si>
    <t>KR103502GE63</t>
  </si>
  <si>
    <t>국고03500-3406(24-5)</t>
  </si>
  <si>
    <t>KR101501DE53</t>
  </si>
  <si>
    <t>국민주택1종24-05</t>
  </si>
  <si>
    <t>KR103503GE62</t>
  </si>
  <si>
    <t>물가00750-3406(24-6)</t>
  </si>
  <si>
    <t>KR310101AE57</t>
  </si>
  <si>
    <t>통안DC024-0806-0910</t>
  </si>
  <si>
    <t>KR310101GE51</t>
  </si>
  <si>
    <t>통안03430-2505-01</t>
  </si>
  <si>
    <t>KR310102AE56</t>
  </si>
  <si>
    <t>통안DC024-0813-0910</t>
  </si>
  <si>
    <t>KR310103AE55</t>
  </si>
  <si>
    <t>통안DC024-0820-0910</t>
  </si>
  <si>
    <t>KR310104AE54</t>
  </si>
  <si>
    <t>통안DC024-0827-0910</t>
  </si>
  <si>
    <t>KR101501DE61</t>
  </si>
  <si>
    <t>국민주택1종24-06</t>
  </si>
  <si>
    <t>KR310101AE65</t>
  </si>
  <si>
    <t>통안DC024-0903-0910</t>
  </si>
  <si>
    <t>KR310102AE64</t>
  </si>
  <si>
    <t>통안DC024-0910-0910</t>
  </si>
  <si>
    <t>KR310103AE63</t>
  </si>
  <si>
    <t>통안DC024-0919-0910</t>
  </si>
  <si>
    <t>KR310104AE62</t>
  </si>
  <si>
    <t>통안DC024-0924-0910</t>
  </si>
  <si>
    <t>KR101501DE79</t>
  </si>
  <si>
    <t>국민주택1종24-07</t>
  </si>
  <si>
    <t>KR310101AE73</t>
  </si>
  <si>
    <t>통안DC024-1001-0910</t>
  </si>
  <si>
    <t>KR310101GE77</t>
  </si>
  <si>
    <t>통안03200-2607-02</t>
  </si>
  <si>
    <t>KR310102AE72</t>
  </si>
  <si>
    <t>통안DC024-1008-0910</t>
  </si>
  <si>
    <t>KR310102GE76</t>
  </si>
  <si>
    <t>통안03230-2507-01</t>
  </si>
  <si>
    <t>KR310103AE71</t>
  </si>
  <si>
    <t>통안DC024-1015-0910</t>
  </si>
  <si>
    <t>KR103501GE98</t>
  </si>
  <si>
    <t>국고03000-2909(24-7)</t>
  </si>
  <si>
    <t>KR310104AE70</t>
  </si>
  <si>
    <t>통안DC024-1022-0910</t>
  </si>
  <si>
    <t>KR310105AE79</t>
  </si>
  <si>
    <t>통안DC024-1029-0910</t>
  </si>
  <si>
    <t>KR101501DE87</t>
  </si>
  <si>
    <t>국민주택1종24-08</t>
  </si>
  <si>
    <t>KR103502GE97</t>
  </si>
  <si>
    <t>국고00000-5409(24-8)</t>
  </si>
  <si>
    <t>`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</si>
</sst>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0.0"/>
    <numFmt numFmtId="177" formatCode="0.000&quot;%&quot;"/>
    <numFmt numFmtId="178" formatCode="0.0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AE5F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B8CCE4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2" fontId="0" fillId="0" borderId="0" xfId="0" applyNumberFormat="1">
      <alignment vertical="center"/>
    </xf>
    <xf numFmtId="0" fontId="3" fillId="0" borderId="13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177" fontId="3" fillId="0" borderId="13" xfId="0" applyNumberFormat="1" applyFont="1" applyBorder="1">
      <alignment vertical="center"/>
    </xf>
    <xf numFmtId="176" fontId="3" fillId="0" borderId="13" xfId="0" applyNumberFormat="1" applyFont="1" applyBorder="1">
      <alignment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0" fontId="3" fillId="0" borderId="16" xfId="0" applyFont="1" applyBorder="1">
      <alignment vertical="center"/>
    </xf>
    <xf numFmtId="0" fontId="3" fillId="0" borderId="16" xfId="0" applyFont="1" applyBorder="1" applyAlignment="1">
      <alignment horizontal="center" vertical="center"/>
    </xf>
    <xf numFmtId="177" fontId="3" fillId="0" borderId="16" xfId="0" applyNumberFormat="1" applyFont="1" applyBorder="1">
      <alignment vertical="center"/>
    </xf>
    <xf numFmtId="176" fontId="3" fillId="0" borderId="16" xfId="0" applyNumberFormat="1" applyFont="1" applyBorder="1">
      <alignment vertical="center"/>
    </xf>
    <xf numFmtId="49" fontId="2" fillId="0" borderId="18" xfId="0" applyNumberFormat="1" applyFont="1" applyBorder="1" applyAlignment="1">
      <alignment horizontal="center" vertical="center"/>
    </xf>
    <xf numFmtId="0" fontId="3" fillId="0" borderId="19" xfId="0" applyFont="1" applyBorder="1">
      <alignment vertical="center"/>
    </xf>
    <xf numFmtId="0" fontId="3" fillId="0" borderId="19" xfId="0" applyFont="1" applyBorder="1" applyAlignment="1">
      <alignment horizontal="center" vertical="center"/>
    </xf>
    <xf numFmtId="177" fontId="3" fillId="0" borderId="19" xfId="0" applyNumberFormat="1" applyFont="1" applyBorder="1">
      <alignment vertical="center"/>
    </xf>
    <xf numFmtId="176" fontId="3" fillId="0" borderId="19" xfId="0" applyNumberFormat="1" applyFont="1" applyBorder="1">
      <alignment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right" vertical="center"/>
    </xf>
    <xf numFmtId="176" fontId="3" fillId="0" borderId="13" xfId="0" applyNumberFormat="1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right" vertical="center"/>
    </xf>
    <xf numFmtId="176" fontId="3" fillId="0" borderId="16" xfId="0" applyNumberFormat="1" applyFont="1" applyBorder="1" applyAlignment="1">
      <alignment horizontal="right" vertical="center"/>
    </xf>
    <xf numFmtId="177" fontId="3" fillId="0" borderId="19" xfId="0" applyNumberFormat="1" applyFont="1" applyBorder="1" applyAlignment="1">
      <alignment horizontal="right" vertical="center"/>
    </xf>
    <xf numFmtId="176" fontId="3" fillId="0" borderId="19" xfId="0" applyNumberFormat="1" applyFont="1" applyBorder="1" applyAlignment="1">
      <alignment horizontal="right" vertical="center"/>
    </xf>
    <xf numFmtId="0" fontId="4" fillId="0" borderId="22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177" fontId="3" fillId="0" borderId="25" xfId="0" applyNumberFormat="1" applyFont="1" applyBorder="1">
      <alignment vertical="center"/>
    </xf>
    <xf numFmtId="177" fontId="3" fillId="0" borderId="27" xfId="0" applyNumberFormat="1" applyFont="1" applyBorder="1">
      <alignment vertical="center"/>
    </xf>
    <xf numFmtId="177" fontId="3" fillId="0" borderId="29" xfId="0" applyNumberFormat="1" applyFont="1" applyBorder="1">
      <alignment vertical="center"/>
    </xf>
    <xf numFmtId="49" fontId="5" fillId="6" borderId="24" xfId="0" applyNumberFormat="1" applyFont="1" applyFill="1" applyBorder="1" applyAlignment="1">
      <alignment horizontal="center" vertical="center"/>
    </xf>
    <xf numFmtId="49" fontId="5" fillId="6" borderId="26" xfId="0" applyNumberFormat="1" applyFont="1" applyFill="1" applyBorder="1" applyAlignment="1">
      <alignment horizontal="center" vertical="center"/>
    </xf>
    <xf numFmtId="49" fontId="5" fillId="6" borderId="28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right" vertical="center"/>
    </xf>
    <xf numFmtId="2" fontId="3" fillId="0" borderId="11" xfId="0" applyNumberFormat="1" applyFont="1" applyBorder="1" applyAlignment="1">
      <alignment horizontal="right" vertical="center"/>
    </xf>
    <xf numFmtId="178" fontId="3" fillId="0" borderId="30" xfId="0" applyNumberFormat="1" applyFont="1" applyBorder="1" applyAlignment="1">
      <alignment horizontal="right" vertical="center"/>
    </xf>
    <xf numFmtId="2" fontId="3" fillId="0" borderId="12" xfId="0" applyNumberFormat="1" applyFont="1" applyBorder="1" applyAlignment="1">
      <alignment horizontal="right" vertical="center"/>
    </xf>
    <xf numFmtId="2" fontId="3" fillId="0" borderId="13" xfId="0" applyNumberFormat="1" applyFont="1" applyBorder="1" applyAlignment="1">
      <alignment horizontal="right" vertical="center"/>
    </xf>
    <xf numFmtId="178" fontId="3" fillId="0" borderId="31" xfId="0" applyNumberFormat="1" applyFont="1" applyBorder="1" applyAlignment="1">
      <alignment horizontal="right" vertical="center"/>
    </xf>
    <xf numFmtId="2" fontId="3" fillId="0" borderId="32" xfId="0" applyNumberFormat="1" applyFont="1" applyBorder="1" applyAlignment="1">
      <alignment horizontal="right" vertical="center"/>
    </xf>
    <xf numFmtId="2" fontId="3" fillId="0" borderId="33" xfId="0" applyNumberFormat="1" applyFont="1" applyBorder="1" applyAlignment="1">
      <alignment horizontal="right" vertical="center"/>
    </xf>
    <xf numFmtId="178" fontId="3" fillId="0" borderId="34" xfId="0" applyNumberFormat="1" applyFont="1" applyBorder="1" applyAlignment="1">
      <alignment horizontal="right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14" fontId="3" fillId="0" borderId="20" xfId="0" applyNumberFormat="1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14" fontId="3" fillId="0" borderId="17" xfId="0" applyNumberFormat="1" applyFont="1" applyBorder="1" applyAlignment="1">
      <alignment horizontal="center" vertical="center"/>
    </xf>
    <xf numFmtId="49" fontId="2" fillId="4" borderId="18" xfId="0" applyNumberFormat="1" applyFont="1" applyFill="1" applyBorder="1" applyAlignment="1">
      <alignment horizontal="center" vertical="center"/>
    </xf>
    <xf numFmtId="177" fontId="3" fillId="4" borderId="19" xfId="0" applyNumberFormat="1" applyFont="1" applyFill="1" applyBorder="1">
      <alignment vertical="center"/>
    </xf>
    <xf numFmtId="14" fontId="3" fillId="4" borderId="20" xfId="0" applyNumberFormat="1" applyFont="1" applyFill="1" applyBorder="1" applyAlignment="1">
      <alignment horizontal="center" vertical="center"/>
    </xf>
    <xf numFmtId="14" fontId="3" fillId="3" borderId="7" xfId="0" applyNumberFormat="1" applyFont="1" applyFill="1" applyBorder="1" applyAlignment="1">
      <alignment horizontal="center" vertical="center"/>
    </xf>
    <xf numFmtId="0" fontId="6" fillId="5" borderId="2" xfId="0" applyFont="1" applyFill="1" applyBorder="1">
      <alignment vertical="center"/>
    </xf>
    <xf numFmtId="0" fontId="4" fillId="0" borderId="38" xfId="0" applyFont="1" applyBorder="1" applyAlignment="1">
      <alignment horizontal="center" vertical="center"/>
    </xf>
    <xf numFmtId="14" fontId="3" fillId="0" borderId="39" xfId="0" applyNumberFormat="1" applyFont="1" applyBorder="1" applyAlignment="1">
      <alignment horizontal="center" vertical="center"/>
    </xf>
    <xf numFmtId="14" fontId="3" fillId="0" borderId="40" xfId="0" applyNumberFormat="1" applyFont="1" applyBorder="1" applyAlignment="1">
      <alignment horizontal="center" vertical="center"/>
    </xf>
    <xf numFmtId="14" fontId="3" fillId="0" borderId="41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4" borderId="39" xfId="0" applyFont="1" applyFill="1" applyBorder="1">
      <alignment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0" borderId="40" xfId="0" applyFont="1" applyBorder="1">
      <alignment vertical="center"/>
    </xf>
    <xf numFmtId="0" fontId="3" fillId="0" borderId="41" xfId="0" applyFont="1" applyBorder="1">
      <alignment vertical="center"/>
    </xf>
    <xf numFmtId="49" fontId="0" fillId="8" borderId="0" xfId="0" applyNumberFormat="1" applyFill="1">
      <alignment vertical="center"/>
    </xf>
    <xf numFmtId="14" fontId="0" fillId="2" borderId="0" xfId="0" applyNumberFormat="1" applyFill="1">
      <alignment vertical="center"/>
    </xf>
    <xf numFmtId="176" fontId="3" fillId="4" borderId="39" xfId="0" applyNumberFormat="1" applyFont="1" applyFill="1" applyBorder="1">
      <alignment vertical="center"/>
    </xf>
    <xf numFmtId="176" fontId="3" fillId="0" borderId="39" xfId="0" applyNumberFormat="1" applyFont="1" applyBorder="1">
      <alignment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</cellXfs>
  <cellStyles count="1">
    <cellStyle name="표준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2.8149999999999999</v>
        <stp/>
        <stp>P</stp>
        <stp>0</stp>
        <stp>BND</stp>
        <stp>KR1035G00050</stp>
        <stp>민평4사 수익률(산출일)</stp>
        <stp>45509</stp>
        <stp>Fill=false</stp>
        <tr r="C28" s="1"/>
        <tr r="C19" s="1"/>
      </tp>
      <tp>
        <v>2.86</v>
        <stp/>
        <stp>P</stp>
        <stp>0</stp>
        <stp>BND</stp>
        <stp>KR1035G00050</stp>
        <stp>민평4사 수익률(산출일)</stp>
        <stp>45506</stp>
        <stp>Fill=false</stp>
        <tr r="D19" s="1"/>
      </tp>
      <tp>
        <v>2.97</v>
        <stp/>
        <stp>P</stp>
        <stp>0</stp>
        <stp>BND</stp>
        <stp>KR1035G00010</stp>
        <stp>민평4사 수익률(산출일)</stp>
        <stp>45509</stp>
        <stp>Fill=false</stp>
        <tr r="C25" s="1"/>
        <tr r="C16" s="1"/>
        <tr r="C15" s="1"/>
        <tr r="C14" s="1"/>
        <tr r="C17" s="1"/>
      </tp>
      <tp>
        <v>3.012</v>
        <stp/>
        <stp>P</stp>
        <stp>0</stp>
        <stp>BND</stp>
        <stp>KR1035G00010</stp>
        <stp>민평4사 수익률(산출일)</stp>
        <stp>45506</stp>
        <stp>Fill=false</stp>
        <tr r="D16" s="1"/>
        <tr r="D14" s="1"/>
        <tr r="D15" s="1"/>
        <tr r="D17" s="1"/>
      </tp>
      <tp>
        <v>2.9359999999999999</v>
        <stp/>
        <stp>P</stp>
        <stp>0</stp>
        <stp>BND</stp>
        <stp>KR1035G00003</stp>
        <stp>민평4사 수익률(산출일)</stp>
        <stp>45509</stp>
        <stp>Fill=false</stp>
        <tr r="C13" s="1"/>
        <tr r="C12" s="1"/>
        <tr r="C15" s="1"/>
        <tr r="C22" s="1"/>
      </tp>
      <tp>
        <v>3.0369999999999999</v>
        <stp/>
        <stp>P</stp>
        <stp>0</stp>
        <stp>BND</stp>
        <stp>KR1035G00002</stp>
        <stp>민평4사 수익률(산출일)</stp>
        <stp>45509</stp>
        <stp>Fill=false</stp>
        <tr r="C11" s="1"/>
        <tr r="C12" s="1"/>
        <tr r="C21" s="1"/>
      </tp>
      <tp>
        <v>2.9420000000000002</v>
        <stp/>
        <stp>P</stp>
        <stp>0</stp>
        <stp>BND</stp>
        <stp>KR1035G00005</stp>
        <stp>민평4사 수익률(산출일)</stp>
        <stp>45509</stp>
        <stp>Fill=false</stp>
        <tr r="C23" s="1"/>
        <tr r="C13" s="1"/>
        <tr r="C14" s="1"/>
      </tp>
      <tp>
        <v>2.9849999999999999</v>
        <stp/>
        <stp>P</stp>
        <stp>0</stp>
        <stp>BND</stp>
        <stp>KR1035G00005</stp>
        <stp>민평4사 수익률(산출일)</stp>
        <stp>45506</stp>
        <stp>Fill=false</stp>
        <tr r="D13" s="1"/>
        <tr r="D14" s="1"/>
      </tp>
      <tp>
        <v>3.06</v>
        <stp/>
        <stp>P</stp>
        <stp>0</stp>
        <stp>BND</stp>
        <stp>KR1035G00002</stp>
        <stp>민평4사 수익률(산출일)</stp>
        <stp>45506</stp>
        <stp>Fill=false</stp>
        <tr r="D11" s="1"/>
        <tr r="D12" s="1"/>
      </tp>
      <tp>
        <v>2.9750000000000001</v>
        <stp/>
        <stp>P</stp>
        <stp>0</stp>
        <stp>BND</stp>
        <stp>KR1035G00003</stp>
        <stp>민평4사 수익률(산출일)</stp>
        <stp>45506</stp>
        <stp>Fill=false</stp>
        <tr r="D12" s="1"/>
        <tr r="D13" s="1"/>
        <tr r="D15" s="1"/>
      </tp>
      <tp>
        <v>2.8719999999999999</v>
        <stp/>
        <stp>P</stp>
        <stp>0</stp>
        <stp>BND</stp>
        <stp>KR1035G00030</stp>
        <stp>민평4사 수익률(산출일)</stp>
        <stp>45509</stp>
        <stp>Fill=false</stp>
        <tr r="C18" s="1"/>
        <tr r="C27" s="1"/>
        <tr r="C17" s="1"/>
        <tr r="C19" s="1"/>
      </tp>
      <tp>
        <v>2.9169999999999998</v>
        <stp/>
        <stp>P</stp>
        <stp>0</stp>
        <stp>BND</stp>
        <stp>KR1035G00030</stp>
        <stp>민평4사 수익률(산출일)</stp>
        <stp>45506</stp>
        <stp>Fill=false</stp>
        <tr r="D19" s="1"/>
        <tr r="D18" s="1"/>
        <tr r="D17" s="1"/>
      </tp>
      <tp>
        <v>2.9620000000000002</v>
        <stp/>
        <stp>P</stp>
        <stp>0</stp>
        <stp>BND</stp>
        <stp>KR1035G00020</stp>
        <stp>민평4사 수익률(산출일)</stp>
        <stp>45509</stp>
        <stp>Fill=false</stp>
        <tr r="C18" s="1"/>
        <tr r="C16" s="1"/>
        <tr r="C26" s="1"/>
      </tp>
      <tp>
        <v>3.0049999999999999</v>
        <stp/>
        <stp>P</stp>
        <stp>0</stp>
        <stp>BND</stp>
        <stp>KR1035G00020</stp>
        <stp>민평4사 수익률(산출일)</stp>
        <stp>45506</stp>
        <stp>Fill=false</stp>
        <tr r="D18" s="1"/>
        <tr r="D16" s="1"/>
      </tp>
      <tp>
        <v>0.67500000000000004</v>
        <stp/>
        <stp>P</stp>
        <stp>0</stp>
        <stp>BND</stp>
        <stp>KR1035M00200</stp>
        <stp>민평4사 수익률(산출일)</stp>
        <stp>45509</stp>
        <stp>Fill=false</stp>
        <tr r="C24" s="1"/>
      </tp>
      <tp>
        <v>0</v>
        <stp/>
        <stp>T</stp>
        <stp>x11.nUGl1</stp>
        <stp>41</stp>
        <stp>268720</stp>
        <tr r="Q7" s="13"/>
      </tp>
      <tp>
        <v>0</v>
        <stp/>
        <stp>T</stp>
        <stp>x10.nUGl1</stp>
        <stp>40</stp>
        <stp>268720</stp>
        <tr r="AO7" s="13"/>
      </tp>
      <tp>
        <v>0</v>
        <stp/>
        <stp>T</stp>
        <stp>x13.nUGl1</stp>
        <stp>43</stp>
        <stp>268720</stp>
        <tr r="BA7" s="13"/>
      </tp>
      <tp>
        <v>0</v>
        <stp/>
        <stp>T</stp>
        <stp>x12.nUGl1</stp>
        <stp>42</stp>
        <stp>268720</stp>
        <tr r="I7" s="13"/>
      </tp>
      <tp>
        <v>0</v>
        <stp/>
        <stp>T</stp>
        <stp>x15.nUGl1</stp>
        <stp>45</stp>
        <stp>268720</stp>
        <tr r="BE7" s="13"/>
      </tp>
      <tp>
        <v>0</v>
        <stp/>
        <stp>T</stp>
        <stp>x14.nUGl1</stp>
        <stp>44</stp>
        <stp>268720</stp>
        <tr r="U7" s="13"/>
      </tp>
      <tp>
        <v>0</v>
        <stp/>
        <stp>T</stp>
        <stp>x9.nUGl1</stp>
        <stp>39</stp>
        <stp>268720</stp>
        <tr r="AK7" s="13"/>
      </tp>
      <tp>
        <v>0</v>
        <stp/>
        <stp>T</stp>
        <stp>x8.nUGl1</stp>
        <stp>38</stp>
        <stp>268720</stp>
        <tr r="Y7" s="13"/>
      </tp>
      <tp>
        <v>0</v>
        <stp/>
        <stp>T</stp>
        <stp>x7.nUGl1</stp>
        <stp>37</stp>
        <stp>268720</stp>
        <tr r="AG7" s="13"/>
      </tp>
      <tp>
        <v>0</v>
        <stp/>
        <stp>T</stp>
        <stp>x6.nUGl1</stp>
        <stp>36</stp>
        <stp>268720</stp>
        <tr r="A7" s="13"/>
      </tp>
      <tp>
        <v>0</v>
        <stp/>
        <stp>T</stp>
        <stp>x5.nUGl1</stp>
        <stp>35</stp>
        <stp>268720</stp>
        <tr r="AW7" s="13"/>
      </tp>
      <tp>
        <v>0</v>
        <stp/>
        <stp>T</stp>
        <stp>x4.nUGl1</stp>
        <stp>34</stp>
        <stp>268720</stp>
        <tr r="AS7" s="13"/>
      </tp>
      <tp>
        <v>0</v>
        <stp/>
        <stp>T</stp>
        <stp>x3.nUGl1</stp>
        <stp>33</stp>
        <stp>268720</stp>
        <tr r="M7" s="13"/>
      </tp>
      <tp>
        <v>0</v>
        <stp/>
        <stp>T</stp>
        <stp>x2.nUGl1</stp>
        <stp>32</stp>
        <stp>268720</stp>
        <tr r="E7" s="13"/>
      </tp>
      <tp>
        <v>0</v>
        <stp/>
        <stp>T</stp>
        <stp>x1.nUGl1</stp>
        <stp>31</stp>
        <stp>268720</stp>
        <tr r="AC7" s="1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Drop" dropStyle="combo" dx="22" fmlaLink="code_list!$A$14" fmlaRange="code_list!$A$12:$A$13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ode_list!$A$11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code_list!$B$14" lockText="1" noThreeD="1"/>
</file>

<file path=xl/ctrlProps/ctrlProp6.xml><?xml version="1.0" encoding="utf-8"?>
<formControlPr xmlns="http://schemas.microsoft.com/office/spreadsheetml/2009/9/main" objectType="Radio" lockText="1" noThreeD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P209"/>
  <sheetViews>
    <sheetView showGridLines="0" tabSelected="1" zoomScale="85" zoomScaleNormal="85" workbookViewId="0">
      <selection activeCell="L7" sqref="L7"/>
    </sheetView>
  </sheetViews>
  <sheetFormatPr defaultColWidth="0" defaultRowHeight="16.5" zeroHeight="1"/>
  <cols>
    <col min="1" max="1" width="1.125" customWidth="1"/>
    <col min="2" max="2" width="9.375" customWidth="1"/>
    <col min="3" max="3" width="10" customWidth="1"/>
    <col min="4" max="4" width="5.875" bestFit="1" customWidth="1"/>
    <col min="5" max="5" width="6.625" customWidth="1"/>
    <col min="6" max="6" width="2.625" customWidth="1"/>
    <col min="7" max="7" width="15.25" hidden="1" customWidth="1"/>
    <col min="8" max="8" width="11" hidden="1" customWidth="1"/>
    <col min="9" max="9" width="5.25" bestFit="1" customWidth="1"/>
    <col min="10" max="10" width="9.125" customWidth="1"/>
    <col min="11" max="11" width="8" customWidth="1"/>
    <col min="12" max="12" width="7.75" customWidth="1"/>
    <col min="13" max="13" width="10.75" customWidth="1"/>
    <col min="14" max="14" width="2.5" customWidth="1"/>
    <col min="15" max="15" width="14.875" hidden="1" customWidth="1"/>
    <col min="16" max="16" width="11.125" hidden="1" customWidth="1"/>
    <col min="17" max="17" width="5.875" customWidth="1"/>
    <col min="18" max="18" width="13" customWidth="1"/>
    <col min="19" max="19" width="9" customWidth="1"/>
    <col min="20" max="20" width="7.75" customWidth="1"/>
    <col min="21" max="21" width="10.375" customWidth="1"/>
    <col min="22" max="22" width="2.875" customWidth="1"/>
    <col min="23" max="23" width="14.625" hidden="1" customWidth="1"/>
    <col min="24" max="24" width="7.25" hidden="1" customWidth="1"/>
    <col min="25" max="25" width="11.5" customWidth="1"/>
    <col min="26" max="27" width="7.375" customWidth="1"/>
    <col min="28" max="28" width="11.375" customWidth="1"/>
    <col min="29" max="29" width="2.125" customWidth="1"/>
    <col min="30" max="30" width="14.875" hidden="1" customWidth="1"/>
    <col min="31" max="31" width="9" hidden="1" customWidth="1"/>
    <col min="32" max="32" width="12.625" customWidth="1"/>
    <col min="33" max="34" width="8.125" customWidth="1"/>
    <col min="35" max="35" width="11.125" bestFit="1" customWidth="1"/>
    <col min="36" max="36" width="2.75" customWidth="1"/>
    <col min="37" max="37" width="15.375" style="2" hidden="1" customWidth="1"/>
    <col min="38" max="38" width="14" hidden="1" customWidth="1"/>
    <col min="39" max="39" width="11.125" hidden="1" customWidth="1"/>
    <col min="40" max="40" width="8.5" hidden="1" customWidth="1"/>
    <col min="41" max="41" width="11.125" hidden="1" customWidth="1"/>
    <col min="42" max="16384" width="9" hidden="1"/>
  </cols>
  <sheetData>
    <row r="1" spans="1:42">
      <c r="A1" t="s">
        <v>436</v>
      </c>
    </row>
    <row r="2" spans="1:42">
      <c r="B2" s="84" t="s">
        <v>85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</row>
    <row r="3" spans="1:42"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</row>
    <row r="4" spans="1:42" ht="17.25" thickBot="1">
      <c r="G4" s="4"/>
    </row>
    <row r="5" spans="1:42" ht="23.25" customHeight="1" thickBot="1">
      <c r="B5" s="54" t="s">
        <v>57</v>
      </c>
      <c r="C5" s="44">
        <f ca="1">WORKDAY($C$7,-1)</f>
        <v>45506</v>
      </c>
      <c r="H5" s="65"/>
      <c r="I5" s="81" t="s">
        <v>39</v>
      </c>
      <c r="J5" s="82"/>
      <c r="K5" s="82"/>
      <c r="L5" s="82"/>
      <c r="M5" s="83"/>
      <c r="P5" s="65"/>
      <c r="Q5" s="81" t="s">
        <v>40</v>
      </c>
      <c r="R5" s="82"/>
      <c r="S5" s="82"/>
      <c r="T5" s="82"/>
      <c r="U5" s="83"/>
      <c r="X5" s="65"/>
      <c r="Y5" s="81" t="s">
        <v>45</v>
      </c>
      <c r="Z5" s="82"/>
      <c r="AA5" s="82"/>
      <c r="AB5" s="83"/>
      <c r="AE5" s="65"/>
      <c r="AF5" s="81" t="s">
        <v>55</v>
      </c>
      <c r="AG5" s="82"/>
      <c r="AH5" s="82"/>
      <c r="AI5" s="83"/>
    </row>
    <row r="6" spans="1:42" hidden="1">
      <c r="B6" t="e">
        <f t="array" ref="B6">MATCH(MAX(IF($Q:$Q="1.0Y",$U:$U)), IF($Q:$Q="1.0Y",$U:$U ), 0)</f>
        <v>#N/A</v>
      </c>
      <c r="G6" s="1" t="s">
        <v>3</v>
      </c>
      <c r="H6" s="1" t="s">
        <v>0</v>
      </c>
      <c r="I6" s="3" t="s">
        <v>38</v>
      </c>
      <c r="J6" s="3" t="s">
        <v>44</v>
      </c>
      <c r="K6" s="5" t="str">
        <f>code_list!$B$12</f>
        <v>민평4사 수익률(산출일)</v>
      </c>
      <c r="L6" s="5"/>
      <c r="M6" s="3" t="s">
        <v>2</v>
      </c>
      <c r="O6" s="1" t="s">
        <v>3</v>
      </c>
      <c r="P6" s="1" t="s">
        <v>1</v>
      </c>
      <c r="Q6" s="3" t="s">
        <v>38</v>
      </c>
      <c r="R6" s="3" t="s">
        <v>44</v>
      </c>
      <c r="S6" s="5" t="str">
        <f>code_list!$B$12</f>
        <v>민평4사 수익률(산출일)</v>
      </c>
      <c r="T6" s="5"/>
      <c r="U6" s="3" t="s">
        <v>2</v>
      </c>
      <c r="W6" s="1" t="s">
        <v>3</v>
      </c>
      <c r="X6" s="1" t="s">
        <v>0</v>
      </c>
      <c r="Y6" s="1" t="s">
        <v>44</v>
      </c>
      <c r="Z6" s="5" t="str">
        <f>code_list!$B$12</f>
        <v>민평4사 수익률(산출일)</v>
      </c>
      <c r="AA6" s="5"/>
      <c r="AB6" s="1" t="s">
        <v>2</v>
      </c>
      <c r="AD6" s="1" t="s">
        <v>3</v>
      </c>
      <c r="AE6" s="1" t="s">
        <v>0</v>
      </c>
      <c r="AF6" s="1" t="s">
        <v>44</v>
      </c>
      <c r="AG6" s="5" t="str">
        <f>code_list!$B$12</f>
        <v>민평4사 수익률(산출일)</v>
      </c>
      <c r="AH6" s="5"/>
      <c r="AI6" s="1" t="s">
        <v>2</v>
      </c>
    </row>
    <row r="7" spans="1:42" ht="27.75" thickBot="1">
      <c r="B7" s="55" t="s">
        <v>56</v>
      </c>
      <c r="C7" s="64">
        <f ca="1">TODAY()</f>
        <v>45509</v>
      </c>
      <c r="G7" s="22" t="s">
        <v>58</v>
      </c>
      <c r="H7" s="23"/>
      <c r="I7" s="22" t="s">
        <v>38</v>
      </c>
      <c r="J7" s="23" t="s">
        <v>44</v>
      </c>
      <c r="K7" s="23" t="s">
        <v>59</v>
      </c>
      <c r="L7" s="32" t="s">
        <v>71</v>
      </c>
      <c r="M7" s="24" t="s">
        <v>60</v>
      </c>
      <c r="O7" s="22" t="s">
        <v>58</v>
      </c>
      <c r="P7" s="66"/>
      <c r="Q7" s="22" t="s">
        <v>38</v>
      </c>
      <c r="R7" s="23" t="s">
        <v>44</v>
      </c>
      <c r="S7" s="23" t="s">
        <v>59</v>
      </c>
      <c r="T7" s="32" t="s">
        <v>71</v>
      </c>
      <c r="U7" s="24" t="s">
        <v>60</v>
      </c>
      <c r="W7" s="22" t="s">
        <v>61</v>
      </c>
      <c r="X7" s="66"/>
      <c r="Y7" s="22" t="s">
        <v>44</v>
      </c>
      <c r="Z7" s="23" t="s">
        <v>62</v>
      </c>
      <c r="AA7" s="32" t="s">
        <v>71</v>
      </c>
      <c r="AB7" s="24" t="s">
        <v>60</v>
      </c>
      <c r="AD7" s="22" t="s">
        <v>58</v>
      </c>
      <c r="AE7" s="66"/>
      <c r="AF7" s="22" t="s">
        <v>44</v>
      </c>
      <c r="AG7" s="23" t="s">
        <v>59</v>
      </c>
      <c r="AH7" s="32" t="s">
        <v>71</v>
      </c>
      <c r="AI7" s="24" t="s">
        <v>63</v>
      </c>
      <c r="AK7"/>
    </row>
    <row r="8" spans="1:42">
      <c r="G8" s="17"/>
      <c r="H8" s="18" t="str">
        <f>IF(G8="","",_xll.IMDP("BND",$G8,H$6,$C$7,"Fill=false"))</f>
        <v/>
      </c>
      <c r="I8" s="70" t="str">
        <f>IF($H8="","",SUBSTITUTE(INDEX(code_list!$F:$F, MATCH(G8,국고_code,0)),"국고",""))</f>
        <v/>
      </c>
      <c r="J8" s="19" t="str">
        <f>IF($H8="","",MID( $H8, FIND("(",$H8)+1, FIND(")",$H8)-FIND("(",$H8)-1 ))</f>
        <v/>
      </c>
      <c r="K8" s="20" t="str">
        <f>IF($H8="","",_xll.IMDP("BND",$G8,K$6,$C$7,"Fill=false"))</f>
        <v/>
      </c>
      <c r="L8" s="21" t="str" cm="1">
        <f t="array" ref="L8">IF($H8="","",IFERROR( ( _xll.IMDP("BND",$G8,K$6,$C$7,"Fill=false") - _xll.IMDP("BND",$G8,K$6,$C$5,"Fill=false") ) * 100, ""))</f>
        <v/>
      </c>
      <c r="M8" s="58" t="str">
        <f>IF($H8="","",_xll.IMDP("BND",$G8,M$6,$C$7,"Fill=false,DtFmt=1"))</f>
        <v/>
      </c>
      <c r="O8" s="17"/>
      <c r="P8" s="67" t="str">
        <f>IF(O8="","",IFERROR( _xll.IMDP("BND",$O8,P$6,$C$7,"Fill=false,DtFmt=1"),""))</f>
        <v/>
      </c>
      <c r="Q8" s="70" t="str">
        <f>IF($P8="","",SUBSTITUTE(INDEX(code_list!$O:$O,MATCH(O8,통안_code,0)),"통안",""))</f>
        <v/>
      </c>
      <c r="R8" s="19" t="str">
        <f>IF($P8="","","통안"&amp;TEXT($P8,"yy/mm/dd"))</f>
        <v/>
      </c>
      <c r="S8" s="30" t="str">
        <f>IF($P8="","", _xll.IMDP("BND",$O8,S$6,$C$7,"Fill=false"))</f>
        <v/>
      </c>
      <c r="T8" s="31" t="str" cm="1">
        <f t="array" ref="T8">IF($P8="","", IFERROR( ( _xll.IMDP("BND",$O8,S$6,$C$7,"Fill=false")-_xll.IMDP("BND",$O8,S$6,$C$5,"Fill=false"))*100, ""))</f>
        <v/>
      </c>
      <c r="U8" s="58" t="str">
        <f>IF($P8="","", _xll.IMDP("BND",$O8,U$6,$C$7,"Fill=false,DtFmt=1"))</f>
        <v/>
      </c>
      <c r="W8" s="61"/>
      <c r="X8" s="71" t="str">
        <f>IF(W8="","",_xll.IMDP("BND",$W8,X$6,$C$7,"Fill=false"))</f>
        <v/>
      </c>
      <c r="Y8" s="74" t="str">
        <f>IF($X8="","","물가" &amp; MID( $X8, FIND("(",$X8)+1, FIND(")",$X8)-FIND("(",$X8)-1 ))</f>
        <v/>
      </c>
      <c r="Z8" s="62" t="str">
        <f>IF($X8="","",_xll.IMDP("BND",$W8,Z$6,$C$7,"Fill=false"))</f>
        <v/>
      </c>
      <c r="AA8" s="79" t="str">
        <f>IF($X8="","", IFERROR( ( _xll.IMDP("BND",$W8,Z$6,$C$7,"Fill=false")-_xll.IMDP("BND",$W8,Z$6,$C$5,"Fill=false"))*100, ""))</f>
        <v/>
      </c>
      <c r="AB8" s="63" t="str">
        <f>IF($X8="","",_xll.IMDP("BND",$W8,AB$6,$C$7,"Fill=false,DtFmt=1"))</f>
        <v/>
      </c>
      <c r="AD8" s="61"/>
      <c r="AE8" s="71" t="str">
        <f>IF(AD8="","",_xll.IMDP("BND",$AD8,AE$6,$C$7,"Fill=false"))</f>
        <v/>
      </c>
      <c r="AF8" s="74" t="str">
        <f>IF($AE8="","",SUBSTITUTE($AE8,"국민주택1종","국주"))</f>
        <v/>
      </c>
      <c r="AG8" s="62" t="str">
        <f>IF($AE8="","",_xll.IMDP("BND",$AD8,AG$6,$C$7,"Fill=false"))</f>
        <v/>
      </c>
      <c r="AH8" s="79" t="str">
        <f>IF($AE8="","", IFERROR( ( _xll.IMDP("BND",$AD8,AG$6,$C$7,"Fill=false")-_xll.IMDP("BND",$AD8,AG$6,$C$5,"Fill=false"))*100, ""))</f>
        <v/>
      </c>
      <c r="AI8" s="63" t="str">
        <f>IF($AE8="","",_xll.IMDP("BND",$AD8,AI$6,$C$7,"Fill=false,DtFmt=1"))</f>
        <v/>
      </c>
      <c r="AK8"/>
    </row>
    <row r="9" spans="1:42" ht="17.25" thickBot="1">
      <c r="G9" s="11"/>
      <c r="H9" s="7" t="str">
        <f>IF(G9="","",_xll.IMDP("BND",$G9,H$6,$C$7,"Fill=false"))</f>
        <v/>
      </c>
      <c r="I9" s="27" t="str">
        <f>IF($H9="","",SUBSTITUTE(INDEX(code_list!$F:$F, MATCH(G9,국고_code,0)),"국고",""))</f>
        <v/>
      </c>
      <c r="J9" s="8" t="str">
        <f t="shared" ref="J9:J72" si="0">IF($H9="","",MID( $H9, FIND("(",$H9)+1, FIND(")",$H9)-FIND("(",$H9)-1 ))</f>
        <v/>
      </c>
      <c r="K9" s="9" t="str">
        <f>IF($H9="","",_xll.IMDP("BND",$G9,K$6,$C$7,"Fill=false"))</f>
        <v/>
      </c>
      <c r="L9" s="10" t="str">
        <f>IF($H9="","",IFERROR( ( _xll.IMDP("BND",$G9,K$6,$C$7,"Fill=false") - _xll.IMDP("BND",$G9,K$6,$C$5,"Fill=false") ) * 100, ""))</f>
        <v/>
      </c>
      <c r="M9" s="59" t="str">
        <f>IF($H9="","",_xll.IMDP("BND",$G9,M$6,$C$7,"Fill=false,DtFmt=1"))</f>
        <v/>
      </c>
      <c r="O9" s="11"/>
      <c r="P9" s="68" t="str">
        <f>IF(O9="","",IFERROR( _xll.IMDP("BND",$O9,P$6,$C$7,"Fill=false,DtFmt=1"),""))</f>
        <v/>
      </c>
      <c r="Q9" s="27" t="str">
        <f>IF($P9="","",SUBSTITUTE(INDEX(code_list!$O:$O,MATCH(O9,통안_code,0)),"통안",""))</f>
        <v/>
      </c>
      <c r="R9" s="8" t="str">
        <f t="shared" ref="R9:R72" si="1">IF($P9="","","통안"&amp;TEXT($P9,"yy/mm/dd"))</f>
        <v/>
      </c>
      <c r="S9" s="25" t="str">
        <f>IF($P9="","", _xll.IMDP("BND",$O9,S$6,$C$7,"Fill=false"))</f>
        <v/>
      </c>
      <c r="T9" s="26" t="str">
        <f>IF($P9="","", IFERROR( ( _xll.IMDP("BND",$O9,S$6,$C$7,"Fill=false")-_xll.IMDP("BND",$O9,S$6,$C$5,"Fill=false"))*100, ""))</f>
        <v/>
      </c>
      <c r="U9" s="59" t="str">
        <f>IF($P9="","", _xll.IMDP("BND",$O9,U$6,$C$7,"Fill=false,DtFmt=1"))</f>
        <v/>
      </c>
      <c r="W9" s="11"/>
      <c r="X9" s="72" t="str">
        <f>IF(W9="","",_xll.IMDP("BND",$W9,X$6,$C$7,"Fill=false"))</f>
        <v/>
      </c>
      <c r="Y9" s="27" t="str">
        <f t="shared" ref="Y9:Y57" si="2">IF($X9="","","물가" &amp; MID( $X9, FIND("(",$X9)+1, FIND(")",$X9)-FIND("(",$X9)-1 ))</f>
        <v/>
      </c>
      <c r="Z9" s="25" t="str">
        <f>IF($X9="","",_xll.IMDP("BND",$W9,Z$6,$C$7,"Fill=false"))</f>
        <v/>
      </c>
      <c r="AA9" s="80" t="str">
        <f>IF($X9="","", IFERROR( ( _xll.IMDP("BND",$W9,Z$6,$C$7,"Fill=false")-_xll.IMDP("BND",$W9,Z$6,$C$5,"Fill=false"))*100, ""))</f>
        <v/>
      </c>
      <c r="AB9" s="59" t="str">
        <f>IF($X9="","",_xll.IMDP("BND",$W9,AB$6,$C$7,"Fill=false,DtFmt=1"))</f>
        <v/>
      </c>
      <c r="AD9" s="11"/>
      <c r="AE9" s="75" t="str">
        <f>IF(AD9="","",_xll.IMDP("BND",$AD9,AE$6,$C$7,"Fill=false"))</f>
        <v/>
      </c>
      <c r="AF9" s="27" t="str">
        <f t="shared" ref="AF9:AF72" si="3">IF($AE9="","",SUBSTITUTE($AE9,"국민주택1종","국주"))</f>
        <v/>
      </c>
      <c r="AG9" s="9" t="str">
        <f>IF($AE9="","",_xll.IMDP("BND",$AD9,AG$6,$C$7,"Fill=false"))</f>
        <v/>
      </c>
      <c r="AH9" s="80" t="str">
        <f>IF($AE9="","", IFERROR( ( _xll.IMDP("BND",$AD9,AG$6,$C$7,"Fill=false")-_xll.IMDP("BND",$AD9,AG$6,$C$5,"Fill=false"))*100, ""))</f>
        <v/>
      </c>
      <c r="AI9" s="59" t="str">
        <f>IF($AE9="","",_xll.IMDP("BND",$AD9,AI$6,$C$7,"Fill=false,DtFmt=1"))</f>
        <v/>
      </c>
      <c r="AK9"/>
    </row>
    <row r="10" spans="1:42">
      <c r="B10" s="40" t="s">
        <v>73</v>
      </c>
      <c r="C10" s="41" t="s">
        <v>72</v>
      </c>
      <c r="D10" s="42" t="s">
        <v>57</v>
      </c>
      <c r="E10" s="43" t="s">
        <v>64</v>
      </c>
      <c r="G10" s="11"/>
      <c r="H10" s="7" t="str">
        <f>IF(G10="","",_xll.IMDP("BND",$G10,H$6,$C$7,"Fill=false"))</f>
        <v/>
      </c>
      <c r="I10" s="27" t="str">
        <f>IF($H10="","",SUBSTITUTE(INDEX(code_list!$F:$F, MATCH(G10,국고_code,0)),"국고",""))</f>
        <v/>
      </c>
      <c r="J10" s="8" t="str">
        <f t="shared" si="0"/>
        <v/>
      </c>
      <c r="K10" s="9" t="str">
        <f>IF($H10="","",_xll.IMDP("BND",$G10,K$6,$C$7,"Fill=false"))</f>
        <v/>
      </c>
      <c r="L10" s="10" t="str">
        <f>IF($H10="","",IFERROR( ( _xll.IMDP("BND",$G10,K$6,$C$7,"Fill=false") - _xll.IMDP("BND",$G10,K$6,$C$5,"Fill=false") ) * 100, ""))</f>
        <v/>
      </c>
      <c r="M10" s="59" t="str">
        <f>IF($H10="","",_xll.IMDP("BND",$G10,M$6,$C$7,"Fill=false,DtFmt=1"))</f>
        <v/>
      </c>
      <c r="O10" s="11"/>
      <c r="P10" s="68" t="str">
        <f>IF(O10="","",IFERROR( _xll.IMDP("BND",$O10,P$6,$C$7,"Fill=false,DtFmt=1"),""))</f>
        <v/>
      </c>
      <c r="Q10" s="27" t="str">
        <f>IF($P10="","",SUBSTITUTE(INDEX(code_list!$O:$O,MATCH(O10,통안_code,0)),"통안",""))</f>
        <v/>
      </c>
      <c r="R10" s="8" t="str">
        <f t="shared" si="1"/>
        <v/>
      </c>
      <c r="S10" s="25" t="str">
        <f>IF($P10="","", _xll.IMDP("BND",$O10,S$6,$C$7,"Fill=false"))</f>
        <v/>
      </c>
      <c r="T10" s="26" t="str">
        <f>IF($P10="","", IFERROR( ( _xll.IMDP("BND",$O10,S$6,$C$7,"Fill=false")-_xll.IMDP("BND",$O10,S$6,$C$5,"Fill=false"))*100, ""))</f>
        <v/>
      </c>
      <c r="U10" s="59" t="str">
        <f>IF($P10="","", _xll.IMDP("BND",$O10,U$6,$C$7,"Fill=false,DtFmt=1"))</f>
        <v/>
      </c>
      <c r="W10" s="11"/>
      <c r="X10" s="72" t="str">
        <f>IF(W10="","",_xll.IMDP("BND",$W10,X$6,$C$7,"Fill=false"))</f>
        <v/>
      </c>
      <c r="Y10" s="27" t="str">
        <f t="shared" si="2"/>
        <v/>
      </c>
      <c r="Z10" s="25" t="str">
        <f>IF($X10="","",_xll.IMDP("BND",$W10,Z$6,$C$7,"Fill=false"))</f>
        <v/>
      </c>
      <c r="AA10" s="80" t="str">
        <f>IF($X10="","", IFERROR( ( _xll.IMDP("BND",$W10,Z$6,$C$7,"Fill=false")-_xll.IMDP("BND",$W10,Z$6,$C$5,"Fill=false"))*100, ""))</f>
        <v/>
      </c>
      <c r="AB10" s="59" t="str">
        <f>IF($X10="","",_xll.IMDP("BND",$W10,AB$6,$C$7,"Fill=false,DtFmt=1"))</f>
        <v/>
      </c>
      <c r="AD10" s="11"/>
      <c r="AE10" s="75" t="str">
        <f>IF(AD10="","",_xll.IMDP("BND",$AD10,AE$6,$C$7,"Fill=false"))</f>
        <v/>
      </c>
      <c r="AF10" s="27" t="str">
        <f t="shared" si="3"/>
        <v/>
      </c>
      <c r="AG10" s="9" t="str">
        <f>IF($AE10="","",_xll.IMDP("BND",$AD10,AG$6,$C$7,"Fill=false"))</f>
        <v/>
      </c>
      <c r="AH10" s="80" t="str">
        <f>IF($AE10="","", IFERROR( ( _xll.IMDP("BND",$AD10,AG$6,$C$7,"Fill=false")-_xll.IMDP("BND",$AD10,AG$6,$C$5,"Fill=false"))*100, ""))</f>
        <v/>
      </c>
      <c r="AI10" s="59" t="str">
        <f>IF($AE10="","",_xll.IMDP("BND",$AD10,AI$6,$C$7,"Fill=false,DtFmt=1"))</f>
        <v/>
      </c>
      <c r="AK10"/>
      <c r="AP10" s="6"/>
    </row>
    <row r="11" spans="1:42">
      <c r="B11" s="56" t="s">
        <v>74</v>
      </c>
      <c r="C11" s="45" t="e">
        <f ca="1">( _xll.IMDP("BND","KR1035G00002",code_list!$B$12,$C$7,"Fill=false") -  _xll.IMDP("BND",INDEX($O:$O,$B$6),code_list!$B$12,$C$7,"Fill=false") ) * 100</f>
        <v>#VALUE!</v>
      </c>
      <c r="D11" s="46" t="e">
        <f ca="1">( _xll.IMDP("BND","KR1035G00002",code_list!$B$12,$C$5,"Fill=false") - _xll.IMDP("BND",INDEX($O:$O,$B$6),code_list!$B$12,$C$5,"Fill=false") ) * 100</f>
        <v>#VALUE!</v>
      </c>
      <c r="E11" s="47" t="e">
        <f t="shared" ref="E11:E19" ca="1" si="4">$C11-$D11</f>
        <v>#VALUE!</v>
      </c>
      <c r="G11" s="11"/>
      <c r="H11" s="7" t="str">
        <f>IF(G11="","",_xll.IMDP("BND",$G11,H$6,$C$7,"Fill=false"))</f>
        <v/>
      </c>
      <c r="I11" s="27" t="str">
        <f>IF($H11="","",SUBSTITUTE(INDEX(code_list!$F:$F, MATCH(G11,국고_code,0)),"국고",""))</f>
        <v/>
      </c>
      <c r="J11" s="8" t="str">
        <f t="shared" si="0"/>
        <v/>
      </c>
      <c r="K11" s="9" t="str">
        <f>IF($H11="","",_xll.IMDP("BND",$G11,K$6,$C$7,"Fill=false"))</f>
        <v/>
      </c>
      <c r="L11" s="10" t="str">
        <f>IF($H11="","",IFERROR( ( _xll.IMDP("BND",$G11,K$6,$C$7,"Fill=false") - _xll.IMDP("BND",$G11,K$6,$C$5,"Fill=false") ) * 100, ""))</f>
        <v/>
      </c>
      <c r="M11" s="59" t="str">
        <f>IF($H11="","",_xll.IMDP("BND",$G11,M$6,$C$7,"Fill=false,DtFmt=1"))</f>
        <v/>
      </c>
      <c r="O11" s="11"/>
      <c r="P11" s="68" t="str">
        <f>IF(O11="","",IFERROR( _xll.IMDP("BND",$O11,P$6,$C$7,"Fill=false,DtFmt=1"),""))</f>
        <v/>
      </c>
      <c r="Q11" s="27" t="str">
        <f>IF($P11="","",SUBSTITUTE(INDEX(code_list!$O:$O,MATCH(O11,통안_code,0)),"통안",""))</f>
        <v/>
      </c>
      <c r="R11" s="8" t="str">
        <f t="shared" si="1"/>
        <v/>
      </c>
      <c r="S11" s="25" t="str">
        <f>IF($P11="","", _xll.IMDP("BND",$O11,S$6,$C$7,"Fill=false"))</f>
        <v/>
      </c>
      <c r="T11" s="26" t="str">
        <f>IF($P11="","", IFERROR( ( _xll.IMDP("BND",$O11,S$6,$C$7,"Fill=false")-_xll.IMDP("BND",$O11,S$6,$C$5,"Fill=false"))*100, ""))</f>
        <v/>
      </c>
      <c r="U11" s="59" t="str">
        <f>IF($P11="","", _xll.IMDP("BND",$O11,U$6,$C$7,"Fill=false,DtFmt=1"))</f>
        <v/>
      </c>
      <c r="W11" s="11"/>
      <c r="X11" s="72" t="str">
        <f>IF(W11="","",_xll.IMDP("BND",$W11,X$6,$C$7,"Fill=false"))</f>
        <v/>
      </c>
      <c r="Y11" s="27" t="str">
        <f t="shared" si="2"/>
        <v/>
      </c>
      <c r="Z11" s="25" t="str">
        <f>IF($X11="","",_xll.IMDP("BND",$W11,Z$6,$C$7,"Fill=false"))</f>
        <v/>
      </c>
      <c r="AA11" s="80" t="str">
        <f>IF($X11="","", IFERROR( ( _xll.IMDP("BND",$W11,Z$6,$C$7,"Fill=false")-_xll.IMDP("BND",$W11,Z$6,$C$5,"Fill=false"))*100, ""))</f>
        <v/>
      </c>
      <c r="AB11" s="59" t="str">
        <f>IF($X11="","",_xll.IMDP("BND",$W11,AB$6,$C$7,"Fill=false,DtFmt=1"))</f>
        <v/>
      </c>
      <c r="AD11" s="11"/>
      <c r="AE11" s="75" t="str">
        <f>IF(AD11="","",_xll.IMDP("BND",$AD11,AE$6,$C$7,"Fill=false"))</f>
        <v/>
      </c>
      <c r="AF11" s="27" t="str">
        <f t="shared" si="3"/>
        <v/>
      </c>
      <c r="AG11" s="9" t="str">
        <f>IF($AE11="","",_xll.IMDP("BND",$AD11,AG$6,$C$7,"Fill=false"))</f>
        <v/>
      </c>
      <c r="AH11" s="80" t="str">
        <f>IF($AE11="","", IFERROR( ( _xll.IMDP("BND",$AD11,AG$6,$C$7,"Fill=false")-_xll.IMDP("BND",$AD11,AG$6,$C$5,"Fill=false"))*100, ""))</f>
        <v/>
      </c>
      <c r="AI11" s="59" t="str">
        <f>IF($AE11="","",_xll.IMDP("BND",$AD11,AI$6,$C$7,"Fill=false,DtFmt=1"))</f>
        <v/>
      </c>
      <c r="AK11"/>
      <c r="AP11" s="6"/>
    </row>
    <row r="12" spans="1:42">
      <c r="B12" s="56" t="s">
        <v>75</v>
      </c>
      <c r="C12" s="48">
        <f ca="1">( _xll.IMDP("BND","KR1035G00003",code_list!$B$12,$C$7,"Fill=false") - _xll.IMDP("BND","KR1035G00002",code_list!$B$12,$C$7,"Fill=false") ) * 100</f>
        <v>-10.099999999999998</v>
      </c>
      <c r="D12" s="49">
        <f ca="1">( _xll.IMDP("BND","KR1035G00003",code_list!$B$12,$C$5,"Fill=false") - _xll.IMDP("BND","KR1035G00002",code_list!$B$12,$C$5,"Fill=false") ) * 100</f>
        <v>-8.4999999999999964</v>
      </c>
      <c r="E12" s="50">
        <f t="shared" ca="1" si="4"/>
        <v>-1.6000000000000014</v>
      </c>
      <c r="G12" s="11"/>
      <c r="H12" s="7" t="str">
        <f>IF(G12="","",_xll.IMDP("BND",$G12,H$6,$C$7,"Fill=false"))</f>
        <v/>
      </c>
      <c r="I12" s="27" t="str">
        <f>IF($H12="","",SUBSTITUTE(INDEX(code_list!$F:$F, MATCH(G12,국고_code,0)),"국고",""))</f>
        <v/>
      </c>
      <c r="J12" s="8" t="str">
        <f t="shared" si="0"/>
        <v/>
      </c>
      <c r="K12" s="9" t="str">
        <f>IF($H12="","",_xll.IMDP("BND",$G12,K$6,$C$7,"Fill=false"))</f>
        <v/>
      </c>
      <c r="L12" s="10" t="str">
        <f>IF($H12="","",IFERROR( ( _xll.IMDP("BND",$G12,K$6,$C$7,"Fill=false") - _xll.IMDP("BND",$G12,K$6,$C$5,"Fill=false") ) * 100, ""))</f>
        <v/>
      </c>
      <c r="M12" s="59" t="str">
        <f>IF($H12="","",_xll.IMDP("BND",$G12,M$6,$C$7,"Fill=false,DtFmt=1"))</f>
        <v/>
      </c>
      <c r="O12" s="11"/>
      <c r="P12" s="68" t="str">
        <f>IF(O12="","",IFERROR( _xll.IMDP("BND",$O12,P$6,$C$7,"Fill=false,DtFmt=1"),""))</f>
        <v/>
      </c>
      <c r="Q12" s="27" t="str">
        <f>IF($P12="","",SUBSTITUTE(INDEX(code_list!$O:$O,MATCH(O12,통안_code,0)),"통안",""))</f>
        <v/>
      </c>
      <c r="R12" s="8" t="str">
        <f t="shared" si="1"/>
        <v/>
      </c>
      <c r="S12" s="25" t="str">
        <f>IF($P12="","", _xll.IMDP("BND",$O12,S$6,$C$7,"Fill=false"))</f>
        <v/>
      </c>
      <c r="T12" s="26" t="str">
        <f>IF($P12="","", IFERROR( ( _xll.IMDP("BND",$O12,S$6,$C$7,"Fill=false")-_xll.IMDP("BND",$O12,S$6,$C$5,"Fill=false"))*100, ""))</f>
        <v/>
      </c>
      <c r="U12" s="59" t="str">
        <f>IF($P12="","", _xll.IMDP("BND",$O12,U$6,$C$7,"Fill=false,DtFmt=1"))</f>
        <v/>
      </c>
      <c r="W12" s="11"/>
      <c r="X12" s="72" t="str">
        <f>IF(W12="","",_xll.IMDP("BND",$W12,X$6,$C$7,"Fill=false"))</f>
        <v/>
      </c>
      <c r="Y12" s="27" t="str">
        <f t="shared" si="2"/>
        <v/>
      </c>
      <c r="Z12" s="25" t="str">
        <f>IF($X12="","",_xll.IMDP("BND",$W12,Z$6,$C$7,"Fill=false"))</f>
        <v/>
      </c>
      <c r="AA12" s="80" t="str">
        <f>IF($X12="","", IFERROR( ( _xll.IMDP("BND",$W12,Z$6,$C$7,"Fill=false")-_xll.IMDP("BND",$W12,Z$6,$C$5,"Fill=false"))*100, ""))</f>
        <v/>
      </c>
      <c r="AB12" s="59" t="str">
        <f>IF($X12="","",_xll.IMDP("BND",$W12,AB$6,$C$7,"Fill=false,DtFmt=1"))</f>
        <v/>
      </c>
      <c r="AD12" s="11"/>
      <c r="AE12" s="75" t="str">
        <f>IF(AD12="","",_xll.IMDP("BND",$AD12,AE$6,$C$7,"Fill=false"))</f>
        <v/>
      </c>
      <c r="AF12" s="27" t="str">
        <f t="shared" si="3"/>
        <v/>
      </c>
      <c r="AG12" s="9" t="str">
        <f>IF($AE12="","",_xll.IMDP("BND",$AD12,AG$6,$C$7,"Fill=false"))</f>
        <v/>
      </c>
      <c r="AH12" s="80" t="str">
        <f>IF($AE12="","", IFERROR( ( _xll.IMDP("BND",$AD12,AG$6,$C$7,"Fill=false")-_xll.IMDP("BND",$AD12,AG$6,$C$5,"Fill=false"))*100, ""))</f>
        <v/>
      </c>
      <c r="AI12" s="59" t="str">
        <f>IF($AE12="","",_xll.IMDP("BND",$AD12,AI$6,$C$7,"Fill=false,DtFmt=1"))</f>
        <v/>
      </c>
      <c r="AK12"/>
      <c r="AP12" s="6"/>
    </row>
    <row r="13" spans="1:42">
      <c r="B13" s="56" t="s">
        <v>76</v>
      </c>
      <c r="C13" s="48">
        <f ca="1">( _xll.IMDP("BND","KR1035G00005",code_list!$B$12,$C$7,"Fill=false") - _xll.IMDP("BND","KR1035G00003",code_list!$B$12,$C$7,"Fill=false") ) * 100</f>
        <v>0.60000000000002274</v>
      </c>
      <c r="D13" s="49">
        <f ca="1">( _xll.IMDP("BND","KR1035G00005",code_list!$B$12,$C$5,"Fill=false") - _xll.IMDP("BND","KR1035G00003",code_list!$B$12,$C$5,"Fill=false") ) * 100</f>
        <v>0.99999999999997868</v>
      </c>
      <c r="E13" s="50">
        <f t="shared" ca="1" si="4"/>
        <v>-0.39999999999995595</v>
      </c>
      <c r="G13" s="11"/>
      <c r="H13" s="7" t="str">
        <f>IF(G13="","",_xll.IMDP("BND",$G13,H$6,$C$7,"Fill=false"))</f>
        <v/>
      </c>
      <c r="I13" s="27" t="str">
        <f>IF($H13="","",SUBSTITUTE(INDEX(code_list!$F:$F, MATCH(G13,국고_code,0)),"국고",""))</f>
        <v/>
      </c>
      <c r="J13" s="8" t="str">
        <f t="shared" si="0"/>
        <v/>
      </c>
      <c r="K13" s="9" t="str">
        <f>IF($H13="","",_xll.IMDP("BND",$G13,K$6,$C$7,"Fill=false"))</f>
        <v/>
      </c>
      <c r="L13" s="10" t="str">
        <f>IF($H13="","",IFERROR( ( _xll.IMDP("BND",$G13,K$6,$C$7,"Fill=false") - _xll.IMDP("BND",$G13,K$6,$C$5,"Fill=false") ) * 100, ""))</f>
        <v/>
      </c>
      <c r="M13" s="59" t="str">
        <f>IF($H13="","",_xll.IMDP("BND",$G13,M$6,$C$7,"Fill=false,DtFmt=1"))</f>
        <v/>
      </c>
      <c r="O13" s="11"/>
      <c r="P13" s="68" t="str">
        <f>IF(O13="","",IFERROR( _xll.IMDP("BND",$O13,P$6,$C$7,"Fill=false,DtFmt=1"),""))</f>
        <v/>
      </c>
      <c r="Q13" s="27" t="str">
        <f>IF($P13="","",SUBSTITUTE(INDEX(code_list!$O:$O,MATCH(O13,통안_code,0)),"통안",""))</f>
        <v/>
      </c>
      <c r="R13" s="8" t="str">
        <f t="shared" si="1"/>
        <v/>
      </c>
      <c r="S13" s="25" t="str">
        <f>IF($P13="","", _xll.IMDP("BND",$O13,S$6,$C$7,"Fill=false"))</f>
        <v/>
      </c>
      <c r="T13" s="26" t="str">
        <f>IF($P13="","", IFERROR( ( _xll.IMDP("BND",$O13,S$6,$C$7,"Fill=false")-_xll.IMDP("BND",$O13,S$6,$C$5,"Fill=false"))*100, ""))</f>
        <v/>
      </c>
      <c r="U13" s="59" t="str">
        <f>IF($P13="","", _xll.IMDP("BND",$O13,U$6,$C$7,"Fill=false,DtFmt=1"))</f>
        <v/>
      </c>
      <c r="W13" s="11"/>
      <c r="X13" s="72" t="str">
        <f>IF(W13="","",_xll.IMDP("BND",$W13,X$6,$C$7,"Fill=false"))</f>
        <v/>
      </c>
      <c r="Y13" s="27" t="str">
        <f t="shared" si="2"/>
        <v/>
      </c>
      <c r="Z13" s="25" t="str">
        <f>IF($X13="","",_xll.IMDP("BND",$W13,Z$6,$C$7,"Fill=false"))</f>
        <v/>
      </c>
      <c r="AA13" s="80" t="str">
        <f>IF($X13="","", IFERROR( ( _xll.IMDP("BND",$W13,Z$6,$C$7,"Fill=false")-_xll.IMDP("BND",$W13,Z$6,$C$5,"Fill=false"))*100, ""))</f>
        <v/>
      </c>
      <c r="AB13" s="59" t="str">
        <f>IF($X13="","",_xll.IMDP("BND",$W13,AB$6,$C$7,"Fill=false,DtFmt=1"))</f>
        <v/>
      </c>
      <c r="AD13" s="11"/>
      <c r="AE13" s="75" t="str">
        <f>IF(AD13="","",_xll.IMDP("BND",$AD13,AE$6,$C$7,"Fill=false"))</f>
        <v/>
      </c>
      <c r="AF13" s="27" t="str">
        <f t="shared" si="3"/>
        <v/>
      </c>
      <c r="AG13" s="9" t="str">
        <f>IF($AE13="","",_xll.IMDP("BND",$AD13,AG$6,$C$7,"Fill=false"))</f>
        <v/>
      </c>
      <c r="AH13" s="80" t="str">
        <f>IF($AE13="","", IFERROR( ( _xll.IMDP("BND",$AD13,AG$6,$C$7,"Fill=false")-_xll.IMDP("BND",$AD13,AG$6,$C$5,"Fill=false"))*100, ""))</f>
        <v/>
      </c>
      <c r="AI13" s="59" t="str">
        <f>IF($AE13="","",_xll.IMDP("BND",$AD13,AI$6,$C$7,"Fill=false,DtFmt=1"))</f>
        <v/>
      </c>
      <c r="AK13"/>
      <c r="AP13" s="6"/>
    </row>
    <row r="14" spans="1:42">
      <c r="B14" s="56" t="s">
        <v>77</v>
      </c>
      <c r="C14" s="48">
        <f ca="1">( _xll.IMDP("BND","KR1035G00010",code_list!$B$12,$C$7,"Fill=false") - _xll.IMDP("BND","KR1035G00005",code_list!$B$12,$C$7,"Fill=false") ) * 100</f>
        <v>2.8000000000000025</v>
      </c>
      <c r="D14" s="49">
        <f ca="1">( _xll.IMDP("BND","KR1035G00010",code_list!$B$12,$C$5,"Fill=false") - _xll.IMDP("BND","KR1035G00005",code_list!$B$12,$C$5,"Fill=false") ) * 100</f>
        <v>2.7000000000000135</v>
      </c>
      <c r="E14" s="50">
        <f t="shared" ca="1" si="4"/>
        <v>9.9999999999988987E-2</v>
      </c>
      <c r="G14" s="11"/>
      <c r="H14" s="7" t="str">
        <f>IF(G14="","",_xll.IMDP("BND",$G14,H$6,$C$7,"Fill=false"))</f>
        <v/>
      </c>
      <c r="I14" s="27" t="str">
        <f>IF($H14="","",SUBSTITUTE(INDEX(code_list!$F:$F, MATCH(G14,국고_code,0)),"국고",""))</f>
        <v/>
      </c>
      <c r="J14" s="8" t="str">
        <f t="shared" si="0"/>
        <v/>
      </c>
      <c r="K14" s="9" t="str">
        <f>IF($H14="","",_xll.IMDP("BND",$G14,K$6,$C$7,"Fill=false"))</f>
        <v/>
      </c>
      <c r="L14" s="10" t="str">
        <f>IF($H14="","",IFERROR( ( _xll.IMDP("BND",$G14,K$6,$C$7,"Fill=false") - _xll.IMDP("BND",$G14,K$6,$C$5,"Fill=false") ) * 100, ""))</f>
        <v/>
      </c>
      <c r="M14" s="59" t="str">
        <f>IF($H14="","",_xll.IMDP("BND",$G14,M$6,$C$7,"Fill=false,DtFmt=1"))</f>
        <v/>
      </c>
      <c r="O14" s="11"/>
      <c r="P14" s="68" t="str">
        <f>IF(O14="","",IFERROR( _xll.IMDP("BND",$O14,P$6,$C$7,"Fill=false,DtFmt=1"),""))</f>
        <v/>
      </c>
      <c r="Q14" s="27" t="str">
        <f>IF($P14="","",SUBSTITUTE(INDEX(code_list!$O:$O,MATCH(O14,통안_code,0)),"통안",""))</f>
        <v/>
      </c>
      <c r="R14" s="8" t="str">
        <f t="shared" si="1"/>
        <v/>
      </c>
      <c r="S14" s="25" t="str">
        <f>IF($P14="","", _xll.IMDP("BND",$O14,S$6,$C$7,"Fill=false"))</f>
        <v/>
      </c>
      <c r="T14" s="26" t="str">
        <f>IF($P14="","", IFERROR( ( _xll.IMDP("BND",$O14,S$6,$C$7,"Fill=false")-_xll.IMDP("BND",$O14,S$6,$C$5,"Fill=false"))*100, ""))</f>
        <v/>
      </c>
      <c r="U14" s="59" t="str">
        <f>IF($P14="","", _xll.IMDP("BND",$O14,U$6,$C$7,"Fill=false,DtFmt=1"))</f>
        <v/>
      </c>
      <c r="W14" s="27"/>
      <c r="X14" s="72" t="str">
        <f>IF(W14="","",_xll.IMDP("BND",$W14,X$6,$C$7,"Fill=false"))</f>
        <v/>
      </c>
      <c r="Y14" s="27" t="str">
        <f t="shared" si="2"/>
        <v/>
      </c>
      <c r="Z14" s="25" t="str">
        <f>IF($X14="","",_xll.IMDP("BND",$W14,Z$6,$C$7,"Fill=false"))</f>
        <v/>
      </c>
      <c r="AA14" s="80" t="str">
        <f>IF($X14="","", IFERROR( ( _xll.IMDP("BND",$W14,Z$6,$C$7,"Fill=false")-_xll.IMDP("BND",$W14,Z$6,$C$5,"Fill=false"))*100, ""))</f>
        <v/>
      </c>
      <c r="AB14" s="59" t="str">
        <f>IF($X14="","",_xll.IMDP("BND",$W14,AB$6,$C$7,"Fill=false,DtFmt=1"))</f>
        <v/>
      </c>
      <c r="AD14" s="11"/>
      <c r="AE14" s="75" t="str">
        <f>IF(AD14="","",_xll.IMDP("BND",$AD14,AE$6,$C$7,"Fill=false"))</f>
        <v/>
      </c>
      <c r="AF14" s="27" t="str">
        <f t="shared" si="3"/>
        <v/>
      </c>
      <c r="AG14" s="9" t="str">
        <f>IF($AE14="","",_xll.IMDP("BND",$AD14,AG$6,$C$7,"Fill=false"))</f>
        <v/>
      </c>
      <c r="AH14" s="80" t="str">
        <f>IF($AE14="","", IFERROR( ( _xll.IMDP("BND",$AD14,AG$6,$C$7,"Fill=false")-_xll.IMDP("BND",$AD14,AG$6,$C$5,"Fill=false"))*100, ""))</f>
        <v/>
      </c>
      <c r="AI14" s="59" t="str">
        <f>IF($AE14="","",_xll.IMDP("BND",$AD14,AI$6,$C$7,"Fill=false,DtFmt=1"))</f>
        <v/>
      </c>
      <c r="AK14"/>
      <c r="AP14" s="6"/>
    </row>
    <row r="15" spans="1:42">
      <c r="B15" s="56" t="s">
        <v>78</v>
      </c>
      <c r="C15" s="48">
        <f ca="1">( _xll.IMDP("BND","KR1035G00010",code_list!$B$12,$C$7,"Fill=false") - _xll.IMDP("BND","KR1035G00003",code_list!$B$12,$C$7,"Fill=false") ) * 100</f>
        <v>3.4000000000000252</v>
      </c>
      <c r="D15" s="49">
        <f ca="1">( _xll.IMDP("BND","KR1035G00010",code_list!$B$12,$C$5,"Fill=false") - _xll.IMDP("BND","KR1035G00003",code_list!$B$12,$C$5,"Fill=false") ) * 100</f>
        <v>3.6999999999999922</v>
      </c>
      <c r="E15" s="50">
        <f t="shared" ca="1" si="4"/>
        <v>-0.29999999999996696</v>
      </c>
      <c r="G15" s="11"/>
      <c r="H15" s="7" t="str">
        <f>IF(G15="","",_xll.IMDP("BND",$G15,H$6,$C$7,"Fill=false"))</f>
        <v/>
      </c>
      <c r="I15" s="27" t="str">
        <f>IF($H15="","",SUBSTITUTE(INDEX(code_list!$F:$F, MATCH(G15,국고_code,0)),"국고",""))</f>
        <v/>
      </c>
      <c r="J15" s="8" t="str">
        <f t="shared" si="0"/>
        <v/>
      </c>
      <c r="K15" s="9" t="str">
        <f>IF($H15="","",_xll.IMDP("BND",$G15,K$6,$C$7,"Fill=false"))</f>
        <v/>
      </c>
      <c r="L15" s="10" t="str">
        <f>IF($H15="","",IFERROR( ( _xll.IMDP("BND",$G15,K$6,$C$7,"Fill=false") - _xll.IMDP("BND",$G15,K$6,$C$5,"Fill=false") ) * 100, ""))</f>
        <v/>
      </c>
      <c r="M15" s="59" t="str">
        <f>IF($H15="","",_xll.IMDP("BND",$G15,M$6,$C$7,"Fill=false,DtFmt=1"))</f>
        <v/>
      </c>
      <c r="O15" s="11"/>
      <c r="P15" s="68" t="str">
        <f>IF(O15="","",IFERROR( _xll.IMDP("BND",$O15,P$6,$C$7,"Fill=false,DtFmt=1"),""))</f>
        <v/>
      </c>
      <c r="Q15" s="27" t="str">
        <f>IF($P15="","",SUBSTITUTE(INDEX(code_list!$O:$O,MATCH(O15,통안_code,0)),"통안",""))</f>
        <v/>
      </c>
      <c r="R15" s="8" t="str">
        <f t="shared" si="1"/>
        <v/>
      </c>
      <c r="S15" s="25" t="str">
        <f>IF($P15="","", _xll.IMDP("BND",$O15,S$6,$C$7,"Fill=false"))</f>
        <v/>
      </c>
      <c r="T15" s="26" t="str">
        <f>IF($P15="","", IFERROR( ( _xll.IMDP("BND",$O15,S$6,$C$7,"Fill=false")-_xll.IMDP("BND",$O15,S$6,$C$5,"Fill=false"))*100, ""))</f>
        <v/>
      </c>
      <c r="U15" s="59" t="str">
        <f>IF($P15="","", _xll.IMDP("BND",$O15,U$6,$C$7,"Fill=false,DtFmt=1"))</f>
        <v/>
      </c>
      <c r="W15" s="27"/>
      <c r="X15" s="72" t="str">
        <f>IF(W15="","",_xll.IMDP("BND",$W15,X$6,$C$7,"Fill=false"))</f>
        <v/>
      </c>
      <c r="Y15" s="27" t="str">
        <f t="shared" si="2"/>
        <v/>
      </c>
      <c r="Z15" s="25" t="str">
        <f>IF($X15="","",_xll.IMDP("BND",$W15,Z$6,$C$7,"Fill=false"))</f>
        <v/>
      </c>
      <c r="AA15" s="80" t="str">
        <f>IF($X15="","", IFERROR( ( _xll.IMDP("BND",$W15,Z$6,$C$7,"Fill=false")-_xll.IMDP("BND",$W15,Z$6,$C$5,"Fill=false"))*100, ""))</f>
        <v/>
      </c>
      <c r="AB15" s="59" t="str">
        <f>IF($X15="","",_xll.IMDP("BND",$W15,AB$6,$C$7,"Fill=false,DtFmt=1"))</f>
        <v/>
      </c>
      <c r="AD15" s="11"/>
      <c r="AE15" s="75" t="str">
        <f>IF(AD15="","",_xll.IMDP("BND",$AD15,AE$6,$C$7,"Fill=false"))</f>
        <v/>
      </c>
      <c r="AF15" s="27" t="str">
        <f t="shared" si="3"/>
        <v/>
      </c>
      <c r="AG15" s="9" t="str">
        <f>IF($AE15="","",_xll.IMDP("BND",$AD15,AG$6,$C$7,"Fill=false"))</f>
        <v/>
      </c>
      <c r="AH15" s="80" t="str">
        <f>IF($AE15="","", IFERROR( ( _xll.IMDP("BND",$AD15,AG$6,$C$7,"Fill=false")-_xll.IMDP("BND",$AD15,AG$6,$C$5,"Fill=false"))*100, ""))</f>
        <v/>
      </c>
      <c r="AI15" s="59" t="str">
        <f>IF($AE15="","",_xll.IMDP("BND",$AD15,AI$6,$C$7,"Fill=false,DtFmt=1"))</f>
        <v/>
      </c>
      <c r="AK15"/>
    </row>
    <row r="16" spans="1:42">
      <c r="B16" s="56" t="s">
        <v>79</v>
      </c>
      <c r="C16" s="48">
        <f ca="1">( _xll.IMDP("BND","KR1035G00020",code_list!$B$12,$C$7,"Fill=false") - _xll.IMDP("BND","KR1035G00010",code_list!$B$12,$C$7,"Fill=false") ) * 100</f>
        <v>-0.80000000000000071</v>
      </c>
      <c r="D16" s="49">
        <f ca="1">( _xll.IMDP("BND","KR1035G00020",code_list!$B$12,$C$5,"Fill=false") - _xll.IMDP("BND","KR1035G00010",code_list!$B$12,$C$5,"Fill=false") ) * 100</f>
        <v>-0.70000000000001172</v>
      </c>
      <c r="E16" s="50">
        <f t="shared" ca="1" si="4"/>
        <v>-9.9999999999988987E-2</v>
      </c>
      <c r="G16" s="11"/>
      <c r="H16" s="7" t="str">
        <f>IF(G16="","",_xll.IMDP("BND",$G16,H$6,$C$7,"Fill=false"))</f>
        <v/>
      </c>
      <c r="I16" s="27" t="str">
        <f>IF($H16="","",SUBSTITUTE(INDEX(code_list!$F:$F, MATCH(G16,국고_code,0)),"국고",""))</f>
        <v/>
      </c>
      <c r="J16" s="8" t="str">
        <f t="shared" si="0"/>
        <v/>
      </c>
      <c r="K16" s="9" t="str">
        <f>IF($H16="","",_xll.IMDP("BND",$G16,K$6,$C$7,"Fill=false"))</f>
        <v/>
      </c>
      <c r="L16" s="10" t="str">
        <f>IF($H16="","",IFERROR( ( _xll.IMDP("BND",$G16,K$6,$C$7,"Fill=false") - _xll.IMDP("BND",$G16,K$6,$C$5,"Fill=false") ) * 100, ""))</f>
        <v/>
      </c>
      <c r="M16" s="59" t="str">
        <f>IF($H16="","",_xll.IMDP("BND",$G16,M$6,$C$7,"Fill=false,DtFmt=1"))</f>
        <v/>
      </c>
      <c r="O16" s="11"/>
      <c r="P16" s="68" t="str">
        <f>IF(O16="","",IFERROR( _xll.IMDP("BND",$O16,P$6,$C$7,"Fill=false,DtFmt=1"),""))</f>
        <v/>
      </c>
      <c r="Q16" s="27" t="str">
        <f>IF($P16="","",SUBSTITUTE(INDEX(code_list!$O:$O,MATCH(O16,통안_code,0)),"통안",""))</f>
        <v/>
      </c>
      <c r="R16" s="8" t="str">
        <f t="shared" si="1"/>
        <v/>
      </c>
      <c r="S16" s="25" t="str">
        <f>IF($P16="","", _xll.IMDP("BND",$O16,S$6,$C$7,"Fill=false"))</f>
        <v/>
      </c>
      <c r="T16" s="26" t="str">
        <f>IF($P16="","", IFERROR( ( _xll.IMDP("BND",$O16,S$6,$C$7,"Fill=false")-_xll.IMDP("BND",$O16,S$6,$C$5,"Fill=false"))*100, ""))</f>
        <v/>
      </c>
      <c r="U16" s="59" t="str">
        <f>IF($P16="","", _xll.IMDP("BND",$O16,U$6,$C$7,"Fill=false,DtFmt=1"))</f>
        <v/>
      </c>
      <c r="W16" s="27"/>
      <c r="X16" s="72" t="str">
        <f>IF(W16="","",_xll.IMDP("BND",$W16,X$6,$C$7,"Fill=false"))</f>
        <v/>
      </c>
      <c r="Y16" s="27" t="str">
        <f t="shared" si="2"/>
        <v/>
      </c>
      <c r="Z16" s="25" t="str">
        <f>IF($X16="","",_xll.IMDP("BND",$W16,Z$6,$C$7,"Fill=false"))</f>
        <v/>
      </c>
      <c r="AA16" s="80" t="str">
        <f>IF($X16="","", IFERROR( ( _xll.IMDP("BND",$W16,Z$6,$C$7,"Fill=false")-_xll.IMDP("BND",$W16,Z$6,$C$5,"Fill=false"))*100, ""))</f>
        <v/>
      </c>
      <c r="AB16" s="59" t="str">
        <f>IF($X16="","",_xll.IMDP("BND",$W16,AB$6,$C$7,"Fill=false,DtFmt=1"))</f>
        <v/>
      </c>
      <c r="AD16" s="11"/>
      <c r="AE16" s="75" t="str">
        <f>IF(AD16="","",_xll.IMDP("BND",$AD16,AE$6,$C$7,"Fill=false"))</f>
        <v/>
      </c>
      <c r="AF16" s="27" t="str">
        <f t="shared" si="3"/>
        <v/>
      </c>
      <c r="AG16" s="9" t="str">
        <f>IF($AE16="","",_xll.IMDP("BND",$AD16,AG$6,$C$7,"Fill=false"))</f>
        <v/>
      </c>
      <c r="AH16" s="80" t="str">
        <f>IF($AE16="","", IFERROR( ( _xll.IMDP("BND",$AD16,AG$6,$C$7,"Fill=false")-_xll.IMDP("BND",$AD16,AG$6,$C$5,"Fill=false"))*100, ""))</f>
        <v/>
      </c>
      <c r="AI16" s="59" t="str">
        <f>IF($AE16="","",_xll.IMDP("BND",$AD16,AI$6,$C$7,"Fill=false,DtFmt=1"))</f>
        <v/>
      </c>
      <c r="AK16"/>
    </row>
    <row r="17" spans="2:37">
      <c r="B17" s="56" t="s">
        <v>80</v>
      </c>
      <c r="C17" s="48">
        <f ca="1">( _xll.IMDP("BND","KR1035G00030",code_list!$B$12,$C$7,"Fill=false") - _xll.IMDP("BND","KR1035G00010",code_list!$B$12,$C$7,"Fill=false") ) * 100</f>
        <v>-9.8000000000000309</v>
      </c>
      <c r="D17" s="49">
        <f ca="1">( _xll.IMDP("BND","KR1035G00030",code_list!$B$12,$C$5,"Fill=false") - _xll.IMDP("BND","KR1035G00010",code_list!$B$12,$C$5,"Fill=false") ) * 100</f>
        <v>-9.5000000000000195</v>
      </c>
      <c r="E17" s="50">
        <f t="shared" ca="1" si="4"/>
        <v>-0.30000000000001137</v>
      </c>
      <c r="G17" s="11"/>
      <c r="H17" s="7" t="str">
        <f>IF(G17="","",_xll.IMDP("BND",$G17,H$6,$C$7,"Fill=false"))</f>
        <v/>
      </c>
      <c r="I17" s="27" t="str">
        <f>IF($H17="","",SUBSTITUTE(INDEX(code_list!$F:$F, MATCH(G17,국고_code,0)),"국고",""))</f>
        <v/>
      </c>
      <c r="J17" s="8" t="str">
        <f t="shared" si="0"/>
        <v/>
      </c>
      <c r="K17" s="9" t="str">
        <f>IF($H17="","",_xll.IMDP("BND",$G17,K$6,$C$7,"Fill=false"))</f>
        <v/>
      </c>
      <c r="L17" s="10" t="str">
        <f>IF($H17="","",IFERROR( ( _xll.IMDP("BND",$G17,K$6,$C$7,"Fill=false") - _xll.IMDP("BND",$G17,K$6,$C$5,"Fill=false") ) * 100, ""))</f>
        <v/>
      </c>
      <c r="M17" s="59" t="str">
        <f>IF($H17="","",_xll.IMDP("BND",$G17,M$6,$C$7,"Fill=false,DtFmt=1"))</f>
        <v/>
      </c>
      <c r="O17" s="11"/>
      <c r="P17" s="68" t="str">
        <f>IF(O17="","",IFERROR( _xll.IMDP("BND",$O17,P$6,$C$7,"Fill=false,DtFmt=1"),""))</f>
        <v/>
      </c>
      <c r="Q17" s="27" t="str">
        <f>IF($P17="","",SUBSTITUTE(INDEX(code_list!$O:$O,MATCH(O17,통안_code,0)),"통안",""))</f>
        <v/>
      </c>
      <c r="R17" s="8" t="str">
        <f t="shared" si="1"/>
        <v/>
      </c>
      <c r="S17" s="25" t="str">
        <f>IF($P17="","", _xll.IMDP("BND",$O17,S$6,$C$7,"Fill=false"))</f>
        <v/>
      </c>
      <c r="T17" s="26" t="str">
        <f>IF($P17="","", IFERROR( ( _xll.IMDP("BND",$O17,S$6,$C$7,"Fill=false")-_xll.IMDP("BND",$O17,S$6,$C$5,"Fill=false"))*100, ""))</f>
        <v/>
      </c>
      <c r="U17" s="59" t="str">
        <f>IF($P17="","", _xll.IMDP("BND",$O17,U$6,$C$7,"Fill=false,DtFmt=1"))</f>
        <v/>
      </c>
      <c r="W17" s="27"/>
      <c r="X17" s="72" t="str">
        <f>IF(W17="","",_xll.IMDP("BND",$W17,X$6,$C$7,"Fill=false"))</f>
        <v/>
      </c>
      <c r="Y17" s="27" t="str">
        <f t="shared" si="2"/>
        <v/>
      </c>
      <c r="Z17" s="25" t="str">
        <f>IF($X17="","",_xll.IMDP("BND",$W17,Z$6,$C$7,"Fill=false"))</f>
        <v/>
      </c>
      <c r="AA17" s="80" t="str">
        <f>IF($X17="","", IFERROR( ( _xll.IMDP("BND",$W17,Z$6,$C$7,"Fill=false")-_xll.IMDP("BND",$W17,Z$6,$C$5,"Fill=false"))*100, ""))</f>
        <v/>
      </c>
      <c r="AB17" s="59" t="str">
        <f>IF($X17="","",_xll.IMDP("BND",$W17,AB$6,$C$7,"Fill=false,DtFmt=1"))</f>
        <v/>
      </c>
      <c r="AD17" s="11"/>
      <c r="AE17" s="75" t="str">
        <f>IF(AD17="","",_xll.IMDP("BND",$AD17,AE$6,$C$7,"Fill=false"))</f>
        <v/>
      </c>
      <c r="AF17" s="27" t="str">
        <f t="shared" si="3"/>
        <v/>
      </c>
      <c r="AG17" s="9" t="str">
        <f>IF($AE17="","",_xll.IMDP("BND",$AD17,AG$6,$C$7,"Fill=false"))</f>
        <v/>
      </c>
      <c r="AH17" s="80" t="str">
        <f>IF($AE17="","", IFERROR( ( _xll.IMDP("BND",$AD17,AG$6,$C$7,"Fill=false")-_xll.IMDP("BND",$AD17,AG$6,$C$5,"Fill=false"))*100, ""))</f>
        <v/>
      </c>
      <c r="AI17" s="59" t="str">
        <f>IF($AE17="","",_xll.IMDP("BND",$AD17,AI$6,$C$7,"Fill=false,DtFmt=1"))</f>
        <v/>
      </c>
      <c r="AK17"/>
    </row>
    <row r="18" spans="2:37">
      <c r="B18" s="56" t="s">
        <v>81</v>
      </c>
      <c r="C18" s="48">
        <f ca="1">( _xll.IMDP("BND","KR1035G00030",code_list!$B$12,$C$7,"Fill=false") - _xll.IMDP("BND","KR1035G00020",code_list!$B$12,$C$7,"Fill=false") ) * 100</f>
        <v>-9.0000000000000302</v>
      </c>
      <c r="D18" s="49">
        <f ca="1">( _xll.IMDP("BND","KR1035G00030",code_list!$B$12,$C$5,"Fill=false") - _xll.IMDP("BND","KR1035G00020",code_list!$B$12,$C$5,"Fill=false") ) * 100</f>
        <v>-8.8000000000000078</v>
      </c>
      <c r="E18" s="50">
        <f t="shared" ca="1" si="4"/>
        <v>-0.20000000000002238</v>
      </c>
      <c r="G18" s="11"/>
      <c r="H18" s="7" t="str">
        <f>IF(G18="","",_xll.IMDP("BND",$G18,H$6,$C$7,"Fill=false"))</f>
        <v/>
      </c>
      <c r="I18" s="27" t="str">
        <f>IF($H18="","",SUBSTITUTE(INDEX(code_list!$F:$F, MATCH(G18,국고_code,0)),"국고",""))</f>
        <v/>
      </c>
      <c r="J18" s="8" t="str">
        <f t="shared" si="0"/>
        <v/>
      </c>
      <c r="K18" s="9" t="str">
        <f>IF($H18="","",_xll.IMDP("BND",$G18,K$6,$C$7,"Fill=false"))</f>
        <v/>
      </c>
      <c r="L18" s="10" t="str">
        <f>IF($H18="","",IFERROR( ( _xll.IMDP("BND",$G18,K$6,$C$7,"Fill=false") - _xll.IMDP("BND",$G18,K$6,$C$5,"Fill=false") ) * 100, ""))</f>
        <v/>
      </c>
      <c r="M18" s="59" t="str">
        <f>IF($H18="","",_xll.IMDP("BND",$G18,M$6,$C$7,"Fill=false,DtFmt=1"))</f>
        <v/>
      </c>
      <c r="O18" s="11"/>
      <c r="P18" s="68" t="str">
        <f>IF(O18="","",IFERROR( _xll.IMDP("BND",$O18,P$6,$C$7,"Fill=false,DtFmt=1"),""))</f>
        <v/>
      </c>
      <c r="Q18" s="27" t="str">
        <f>IF($P18="","",SUBSTITUTE(INDEX(code_list!$O:$O,MATCH(O18,통안_code,0)),"통안",""))</f>
        <v/>
      </c>
      <c r="R18" s="8" t="str">
        <f t="shared" si="1"/>
        <v/>
      </c>
      <c r="S18" s="25" t="str">
        <f>IF($P18="","", _xll.IMDP("BND",$O18,S$6,$C$7,"Fill=false"))</f>
        <v/>
      </c>
      <c r="T18" s="26" t="str">
        <f>IF($P18="","", IFERROR( ( _xll.IMDP("BND",$O18,S$6,$C$7,"Fill=false")-_xll.IMDP("BND",$O18,S$6,$C$5,"Fill=false"))*100, ""))</f>
        <v/>
      </c>
      <c r="U18" s="59" t="str">
        <f>IF($P18="","", _xll.IMDP("BND",$O18,U$6,$C$7,"Fill=false,DtFmt=1"))</f>
        <v/>
      </c>
      <c r="W18" s="27"/>
      <c r="X18" s="72" t="str">
        <f>IF(W18="","",_xll.IMDP("BND",$W18,X$6,$C$7,"Fill=false"))</f>
        <v/>
      </c>
      <c r="Y18" s="27" t="str">
        <f t="shared" si="2"/>
        <v/>
      </c>
      <c r="Z18" s="25" t="str">
        <f>IF($X18="","",_xll.IMDP("BND",$W18,Z$6,$C$7,"Fill=false"))</f>
        <v/>
      </c>
      <c r="AA18" s="80" t="str">
        <f>IF($X18="","", IFERROR( ( _xll.IMDP("BND",$W18,Z$6,$C$7,"Fill=false")-_xll.IMDP("BND",$W18,Z$6,$C$5,"Fill=false"))*100, ""))</f>
        <v/>
      </c>
      <c r="AB18" s="59" t="str">
        <f>IF($X18="","",_xll.IMDP("BND",$W18,AB$6,$C$7,"Fill=false,DtFmt=1"))</f>
        <v/>
      </c>
      <c r="AD18" s="11"/>
      <c r="AE18" s="75" t="str">
        <f>IF(AD18="","",_xll.IMDP("BND",$AD18,AE$6,$C$7,"Fill=false"))</f>
        <v/>
      </c>
      <c r="AF18" s="27" t="str">
        <f t="shared" si="3"/>
        <v/>
      </c>
      <c r="AG18" s="9" t="str">
        <f>IF($AE18="","",_xll.IMDP("BND",$AD18,AG$6,$C$7,"Fill=false"))</f>
        <v/>
      </c>
      <c r="AH18" s="80" t="str">
        <f>IF($AE18="","", IFERROR( ( _xll.IMDP("BND",$AD18,AG$6,$C$7,"Fill=false")-_xll.IMDP("BND",$AD18,AG$6,$C$5,"Fill=false"))*100, ""))</f>
        <v/>
      </c>
      <c r="AI18" s="59" t="str">
        <f>IF($AE18="","",_xll.IMDP("BND",$AD18,AI$6,$C$7,"Fill=false,DtFmt=1"))</f>
        <v/>
      </c>
      <c r="AK18"/>
    </row>
    <row r="19" spans="2:37" ht="17.25" thickBot="1">
      <c r="B19" s="57" t="s">
        <v>82</v>
      </c>
      <c r="C19" s="51">
        <f ca="1">( _xll.IMDP("BND","KR1035G00050",code_list!$B$12,$C$7,"Fill=false") - _xll.IMDP("BND","KR1035G00030",code_list!$B$12,$C$7,"Fill=false") ) * 100</f>
        <v>-5.699999999999994</v>
      </c>
      <c r="D19" s="52">
        <f ca="1">( _xll.IMDP("BND","KR1035G00050",code_list!$B$12,$C$5,"Fill=false") - _xll.IMDP("BND","KR1035G00030",code_list!$B$12,$C$5,"Fill=false") ) * 100</f>
        <v>-5.699999999999994</v>
      </c>
      <c r="E19" s="53">
        <f t="shared" ca="1" si="4"/>
        <v>0</v>
      </c>
      <c r="G19" s="11"/>
      <c r="H19" s="7" t="str">
        <f>IF(G19="","",_xll.IMDP("BND",$G19,H$6,$C$7,"Fill=false"))</f>
        <v/>
      </c>
      <c r="I19" s="27" t="str">
        <f>IF($H19="","",SUBSTITUTE(INDEX(code_list!$F:$F, MATCH(G19,국고_code,0)),"국고",""))</f>
        <v/>
      </c>
      <c r="J19" s="8" t="str">
        <f t="shared" si="0"/>
        <v/>
      </c>
      <c r="K19" s="9" t="str">
        <f>IF($H19="","",_xll.IMDP("BND",$G19,K$6,$C$7,"Fill=false"))</f>
        <v/>
      </c>
      <c r="L19" s="10" t="str">
        <f>IF($H19="","",IFERROR( ( _xll.IMDP("BND",$G19,K$6,$C$7,"Fill=false") - _xll.IMDP("BND",$G19,K$6,$C$5,"Fill=false") ) * 100, ""))</f>
        <v/>
      </c>
      <c r="M19" s="59" t="str">
        <f>IF($H19="","",_xll.IMDP("BND",$G19,M$6,$C$7,"Fill=false,DtFmt=1"))</f>
        <v/>
      </c>
      <c r="O19" s="11"/>
      <c r="P19" s="68" t="str">
        <f>IF(O19="","",IFERROR( _xll.IMDP("BND",$O19,P$6,$C$7,"Fill=false,DtFmt=1"),""))</f>
        <v/>
      </c>
      <c r="Q19" s="27" t="str">
        <f>IF($P19="","",SUBSTITUTE(INDEX(code_list!$O:$O,MATCH(O19,통안_code,0)),"통안",""))</f>
        <v/>
      </c>
      <c r="R19" s="8" t="str">
        <f t="shared" si="1"/>
        <v/>
      </c>
      <c r="S19" s="25" t="str">
        <f>IF($P19="","", _xll.IMDP("BND",$O19,S$6,$C$7,"Fill=false"))</f>
        <v/>
      </c>
      <c r="T19" s="26" t="str">
        <f>IF($P19="","", IFERROR( ( _xll.IMDP("BND",$O19,S$6,$C$7,"Fill=false")-_xll.IMDP("BND",$O19,S$6,$C$5,"Fill=false"))*100, ""))</f>
        <v/>
      </c>
      <c r="U19" s="59" t="str">
        <f>IF($P19="","", _xll.IMDP("BND",$O19,U$6,$C$7,"Fill=false,DtFmt=1"))</f>
        <v/>
      </c>
      <c r="W19" s="11"/>
      <c r="X19" s="72" t="str">
        <f>IF(W19="","",_xll.IMDP("BND",$W19,X$6,$C$7,"Fill=false"))</f>
        <v/>
      </c>
      <c r="Y19" s="27" t="str">
        <f t="shared" si="2"/>
        <v/>
      </c>
      <c r="Z19" s="25" t="str">
        <f>IF($X19="","",_xll.IMDP("BND",$W19,Z$6,$C$7,"Fill=false"))</f>
        <v/>
      </c>
      <c r="AA19" s="80" t="str">
        <f>IF($X19="","", IFERROR( ( _xll.IMDP("BND",$W19,Z$6,$C$7,"Fill=false")-_xll.IMDP("BND",$W19,Z$6,$C$5,"Fill=false"))*100, ""))</f>
        <v/>
      </c>
      <c r="AB19" s="59" t="str">
        <f>IF($X19="","",_xll.IMDP("BND",$W19,AB$6,$C$7,"Fill=false,DtFmt=1"))</f>
        <v/>
      </c>
      <c r="AD19" s="11"/>
      <c r="AE19" s="75" t="str">
        <f>IF(AD19="","",_xll.IMDP("BND",$AD19,AE$6,$C$7,"Fill=false"))</f>
        <v/>
      </c>
      <c r="AF19" s="27" t="str">
        <f t="shared" si="3"/>
        <v/>
      </c>
      <c r="AG19" s="9" t="str">
        <f>IF($AE19="","",_xll.IMDP("BND",$AD19,AG$6,$C$7,"Fill=false"))</f>
        <v/>
      </c>
      <c r="AH19" s="80" t="str">
        <f>IF($AE19="","", IFERROR( ( _xll.IMDP("BND",$AD19,AG$6,$C$7,"Fill=false")-_xll.IMDP("BND",$AD19,AG$6,$C$5,"Fill=false"))*100, ""))</f>
        <v/>
      </c>
      <c r="AI19" s="59" t="str">
        <f>IF($AE19="","",_xll.IMDP("BND",$AD19,AI$6,$C$7,"Fill=false,DtFmt=1"))</f>
        <v/>
      </c>
      <c r="AK19"/>
    </row>
    <row r="20" spans="2:37" ht="17.25" thickBot="1">
      <c r="G20" s="11"/>
      <c r="H20" s="7" t="str">
        <f>IF(G20="","",_xll.IMDP("BND",$G20,H$6,$C$7,"Fill=false"))</f>
        <v/>
      </c>
      <c r="I20" s="27" t="str">
        <f>IF($H20="","",SUBSTITUTE(INDEX(code_list!$F:$F, MATCH(G20,국고_code,0)),"국고",""))</f>
        <v/>
      </c>
      <c r="J20" s="8" t="str">
        <f t="shared" si="0"/>
        <v/>
      </c>
      <c r="K20" s="9" t="str">
        <f>IF($H20="","",_xll.IMDP("BND",$G20,K$6,$C$7,"Fill=false"))</f>
        <v/>
      </c>
      <c r="L20" s="10" t="str">
        <f>IF($H20="","",IFERROR( ( _xll.IMDP("BND",$G20,K$6,$C$7,"Fill=false") - _xll.IMDP("BND",$G20,K$6,$C$5,"Fill=false") ) * 100, ""))</f>
        <v/>
      </c>
      <c r="M20" s="59" t="str">
        <f>IF($H20="","",_xll.IMDP("BND",$G20,M$6,$C$7,"Fill=false,DtFmt=1"))</f>
        <v/>
      </c>
      <c r="O20" s="11"/>
      <c r="P20" s="68" t="str">
        <f>IF(O20="","",IFERROR( _xll.IMDP("BND",$O20,P$6,$C$7,"Fill=false,DtFmt=1"),""))</f>
        <v/>
      </c>
      <c r="Q20" s="27" t="str">
        <f>IF($P20="","",SUBSTITUTE(INDEX(code_list!$O:$O,MATCH(O20,통안_code,0)),"통안",""))</f>
        <v/>
      </c>
      <c r="R20" s="8" t="str">
        <f t="shared" si="1"/>
        <v/>
      </c>
      <c r="S20" s="25" t="str">
        <f>IF($P20="","", _xll.IMDP("BND",$O20,S$6,$C$7,"Fill=false"))</f>
        <v/>
      </c>
      <c r="T20" s="26" t="str">
        <f>IF($P20="","", IFERROR( ( _xll.IMDP("BND",$O20,S$6,$C$7,"Fill=false")-_xll.IMDP("BND",$O20,S$6,$C$5,"Fill=false"))*100, ""))</f>
        <v/>
      </c>
      <c r="U20" s="59" t="str">
        <f>IF($P20="","", _xll.IMDP("BND",$O20,U$6,$C$7,"Fill=false,DtFmt=1"))</f>
        <v/>
      </c>
      <c r="W20" s="11"/>
      <c r="X20" s="72" t="str">
        <f>IF(W20="","",_xll.IMDP("BND",$W20,X$6,$C$7,"Fill=false"))</f>
        <v/>
      </c>
      <c r="Y20" s="27" t="str">
        <f t="shared" si="2"/>
        <v/>
      </c>
      <c r="Z20" s="25" t="str">
        <f>IF($X20="","",_xll.IMDP("BND",$W20,Z$6,$C$7,"Fill=false"))</f>
        <v/>
      </c>
      <c r="AA20" s="80" t="str">
        <f>IF($X20="","", IFERROR( ( _xll.IMDP("BND",$W20,Z$6,$C$7,"Fill=false")-_xll.IMDP("BND",$W20,Z$6,$C$5,"Fill=false"))*100, ""))</f>
        <v/>
      </c>
      <c r="AB20" s="59" t="str">
        <f>IF($X20="","",_xll.IMDP("BND",$W20,AB$6,$C$7,"Fill=false,DtFmt=1"))</f>
        <v/>
      </c>
      <c r="AD20" s="11"/>
      <c r="AE20" s="75" t="str">
        <f>IF(AD20="","",_xll.IMDP("BND",$AD20,AE$6,$C$7,"Fill=false"))</f>
        <v/>
      </c>
      <c r="AF20" s="27" t="str">
        <f t="shared" si="3"/>
        <v/>
      </c>
      <c r="AG20" s="9" t="str">
        <f>IF($AE20="","",_xll.IMDP("BND",$AD20,AG$6,$C$7,"Fill=false"))</f>
        <v/>
      </c>
      <c r="AH20" s="80" t="str">
        <f>IF($AE20="","", IFERROR( ( _xll.IMDP("BND",$AD20,AG$6,$C$7,"Fill=false")-_xll.IMDP("BND",$AD20,AG$6,$C$5,"Fill=false"))*100, ""))</f>
        <v/>
      </c>
      <c r="AI20" s="59" t="str">
        <f>IF($AE20="","",_xll.IMDP("BND",$AD20,AI$6,$C$7,"Fill=false,DtFmt=1"))</f>
        <v/>
      </c>
      <c r="AK20"/>
    </row>
    <row r="21" spans="2:37">
      <c r="B21" s="37" t="s">
        <v>65</v>
      </c>
      <c r="C21" s="34">
        <f ca="1">_xll.IMDP("BND","KR1035G00002",code_list!$B$12,$C$7,"Fill=false")</f>
        <v>3.0369999999999999</v>
      </c>
      <c r="G21" s="11"/>
      <c r="H21" s="7" t="str">
        <f>IF(G21="","",_xll.IMDP("BND",$G21,H$6,$C$7,"Fill=false"))</f>
        <v/>
      </c>
      <c r="I21" s="27" t="str">
        <f>IF($H21="","",SUBSTITUTE(INDEX(code_list!$F:$F, MATCH(G21,국고_code,0)),"국고",""))</f>
        <v/>
      </c>
      <c r="J21" s="8" t="str">
        <f t="shared" si="0"/>
        <v/>
      </c>
      <c r="K21" s="9" t="str">
        <f>IF($H21="","",_xll.IMDP("BND",$G21,K$6,$C$7,"Fill=false"))</f>
        <v/>
      </c>
      <c r="L21" s="10" t="str">
        <f>IF($H21="","",IFERROR( ( _xll.IMDP("BND",$G21,K$6,$C$7,"Fill=false") - _xll.IMDP("BND",$G21,K$6,$C$5,"Fill=false") ) * 100, ""))</f>
        <v/>
      </c>
      <c r="M21" s="59" t="str">
        <f>IF($H21="","",_xll.IMDP("BND",$G21,M$6,$C$7,"Fill=false,DtFmt=1"))</f>
        <v/>
      </c>
      <c r="O21" s="11"/>
      <c r="P21" s="68" t="str">
        <f>IF(O21="","",IFERROR( _xll.IMDP("BND",$O21,P$6,$C$7,"Fill=false,DtFmt=1"),""))</f>
        <v/>
      </c>
      <c r="Q21" s="27" t="str">
        <f>IF($P21="","",SUBSTITUTE(INDEX(code_list!$O:$O,MATCH(O21,통안_code,0)),"통안",""))</f>
        <v/>
      </c>
      <c r="R21" s="8" t="str">
        <f t="shared" si="1"/>
        <v/>
      </c>
      <c r="S21" s="25" t="str">
        <f>IF($P21="","", _xll.IMDP("BND",$O21,S$6,$C$7,"Fill=false"))</f>
        <v/>
      </c>
      <c r="T21" s="26" t="str">
        <f>IF($P21="","", IFERROR( ( _xll.IMDP("BND",$O21,S$6,$C$7,"Fill=false")-_xll.IMDP("BND",$O21,S$6,$C$5,"Fill=false"))*100, ""))</f>
        <v/>
      </c>
      <c r="U21" s="59" t="str">
        <f>IF($P21="","", _xll.IMDP("BND",$O21,U$6,$C$7,"Fill=false,DtFmt=1"))</f>
        <v/>
      </c>
      <c r="W21" s="11"/>
      <c r="X21" s="72" t="str">
        <f>IF(W21="","",_xll.IMDP("BND",$W21,X$6,$C$7,"Fill=false"))</f>
        <v/>
      </c>
      <c r="Y21" s="27" t="str">
        <f t="shared" si="2"/>
        <v/>
      </c>
      <c r="Z21" s="25" t="str">
        <f>IF($X21="","",_xll.IMDP("BND",$W21,Z$6,$C$7,"Fill=false"))</f>
        <v/>
      </c>
      <c r="AA21" s="80" t="str">
        <f>IF($X21="","", IFERROR( ( _xll.IMDP("BND",$W21,Z$6,$C$7,"Fill=false")-_xll.IMDP("BND",$W21,Z$6,$C$5,"Fill=false"))*100, ""))</f>
        <v/>
      </c>
      <c r="AB21" s="59" t="str">
        <f>IF($X21="","",_xll.IMDP("BND",$W21,AB$6,$C$7,"Fill=false,DtFmt=1"))</f>
        <v/>
      </c>
      <c r="AD21" s="11"/>
      <c r="AE21" s="75" t="str">
        <f>IF(AD21="","",_xll.IMDP("BND",$AD21,AE$6,$C$7,"Fill=false"))</f>
        <v/>
      </c>
      <c r="AF21" s="27" t="str">
        <f t="shared" si="3"/>
        <v/>
      </c>
      <c r="AG21" s="9" t="str">
        <f>IF($AE21="","",_xll.IMDP("BND",$AD21,AG$6,$C$7,"Fill=false"))</f>
        <v/>
      </c>
      <c r="AH21" s="80" t="str">
        <f>IF($AE21="","", IFERROR( ( _xll.IMDP("BND",$AD21,AG$6,$C$7,"Fill=false")-_xll.IMDP("BND",$AD21,AG$6,$C$5,"Fill=false"))*100, ""))</f>
        <v/>
      </c>
      <c r="AI21" s="59" t="str">
        <f>IF($AE21="","",_xll.IMDP("BND",$AD21,AI$6,$C$7,"Fill=false,DtFmt=1"))</f>
        <v/>
      </c>
      <c r="AK21"/>
    </row>
    <row r="22" spans="2:37">
      <c r="B22" s="38" t="s">
        <v>70</v>
      </c>
      <c r="C22" s="35">
        <f ca="1">_xll.IMDP("BND","KR1035G00003",code_list!$B$12,$C$7,"Fill=false")</f>
        <v>2.9359999999999999</v>
      </c>
      <c r="G22" s="11"/>
      <c r="H22" s="7" t="str">
        <f>IF(G22="","",_xll.IMDP("BND",$G22,H$6,$C$7,"Fill=false"))</f>
        <v/>
      </c>
      <c r="I22" s="27" t="str">
        <f>IF($H22="","",SUBSTITUTE(INDEX(code_list!$F:$F, MATCH(G22,국고_code,0)),"국고",""))</f>
        <v/>
      </c>
      <c r="J22" s="8" t="str">
        <f t="shared" si="0"/>
        <v/>
      </c>
      <c r="K22" s="9" t="str">
        <f>IF($H22="","",_xll.IMDP("BND",$G22,K$6,$C$7,"Fill=false"))</f>
        <v/>
      </c>
      <c r="L22" s="10" t="str">
        <f>IF($H22="","",IFERROR( ( _xll.IMDP("BND",$G22,K$6,$C$7,"Fill=false") - _xll.IMDP("BND",$G22,K$6,$C$5,"Fill=false") ) * 100, ""))</f>
        <v/>
      </c>
      <c r="M22" s="59" t="str">
        <f>IF($H22="","",_xll.IMDP("BND",$G22,M$6,$C$7,"Fill=false,DtFmt=1"))</f>
        <v/>
      </c>
      <c r="O22" s="11"/>
      <c r="P22" s="68" t="str">
        <f>IF(O22="","",IFERROR( _xll.IMDP("BND",$O22,P$6,$C$7,"Fill=false,DtFmt=1"),""))</f>
        <v/>
      </c>
      <c r="Q22" s="27" t="str">
        <f>IF($P22="","",SUBSTITUTE(INDEX(code_list!$O:$O,MATCH(O22,통안_code,0)),"통안",""))</f>
        <v/>
      </c>
      <c r="R22" s="8" t="str">
        <f t="shared" si="1"/>
        <v/>
      </c>
      <c r="S22" s="25" t="str">
        <f>IF($P22="","", _xll.IMDP("BND",$O22,S$6,$C$7,"Fill=false"))</f>
        <v/>
      </c>
      <c r="T22" s="26" t="str">
        <f>IF($P22="","", IFERROR( ( _xll.IMDP("BND",$O22,S$6,$C$7,"Fill=false")-_xll.IMDP("BND",$O22,S$6,$C$5,"Fill=false"))*100, ""))</f>
        <v/>
      </c>
      <c r="U22" s="59" t="str">
        <f>IF($P22="","", _xll.IMDP("BND",$O22,U$6,$C$7,"Fill=false,DtFmt=1"))</f>
        <v/>
      </c>
      <c r="W22" s="11"/>
      <c r="X22" s="72" t="str">
        <f>IF(W22="","",_xll.IMDP("BND",$W22,X$6,$C$7,"Fill=false"))</f>
        <v/>
      </c>
      <c r="Y22" s="27" t="str">
        <f t="shared" si="2"/>
        <v/>
      </c>
      <c r="Z22" s="25" t="str">
        <f>IF($X22="","",_xll.IMDP("BND",$W22,Z$6,$C$7,"Fill=false"))</f>
        <v/>
      </c>
      <c r="AA22" s="80" t="str">
        <f>IF($X22="","", IFERROR( ( _xll.IMDP("BND",$W22,Z$6,$C$7,"Fill=false")-_xll.IMDP("BND",$W22,Z$6,$C$5,"Fill=false"))*100, ""))</f>
        <v/>
      </c>
      <c r="AB22" s="59" t="str">
        <f>IF($X22="","",_xll.IMDP("BND",$W22,AB$6,$C$7,"Fill=false,DtFmt=1"))</f>
        <v/>
      </c>
      <c r="AD22" s="11"/>
      <c r="AE22" s="75" t="str">
        <f>IF(AD22="","",_xll.IMDP("BND",$AD22,AE$6,$C$7,"Fill=false"))</f>
        <v/>
      </c>
      <c r="AF22" s="27" t="str">
        <f t="shared" si="3"/>
        <v/>
      </c>
      <c r="AG22" s="9" t="str">
        <f>IF($AE22="","",_xll.IMDP("BND",$AD22,AG$6,$C$7,"Fill=false"))</f>
        <v/>
      </c>
      <c r="AH22" s="80" t="str">
        <f>IF($AE22="","", IFERROR( ( _xll.IMDP("BND",$AD22,AG$6,$C$7,"Fill=false")-_xll.IMDP("BND",$AD22,AG$6,$C$5,"Fill=false"))*100, ""))</f>
        <v/>
      </c>
      <c r="AI22" s="59" t="str">
        <f>IF($AE22="","",_xll.IMDP("BND",$AD22,AI$6,$C$7,"Fill=false,DtFmt=1"))</f>
        <v/>
      </c>
      <c r="AK22"/>
    </row>
    <row r="23" spans="2:37">
      <c r="B23" s="38" t="s">
        <v>66</v>
      </c>
      <c r="C23" s="35">
        <f ca="1">_xll.IMDP("BND","KR1035G00005",code_list!$B$12,$C$7,"Fill=false")</f>
        <v>2.9420000000000002</v>
      </c>
      <c r="G23" s="11"/>
      <c r="H23" s="7" t="str">
        <f>IF(G23="","",_xll.IMDP("BND",$G23,H$6,$C$7,"Fill=false"))</f>
        <v/>
      </c>
      <c r="I23" s="27" t="str">
        <f>IF($H23="","",SUBSTITUTE(INDEX(code_list!$F:$F, MATCH(G23,국고_code,0)),"국고",""))</f>
        <v/>
      </c>
      <c r="J23" s="8" t="str">
        <f t="shared" si="0"/>
        <v/>
      </c>
      <c r="K23" s="9" t="str">
        <f>IF($H23="","",_xll.IMDP("BND",$G23,K$6,$C$7,"Fill=false"))</f>
        <v/>
      </c>
      <c r="L23" s="10" t="str">
        <f>IF($H23="","",IFERROR( ( _xll.IMDP("BND",$G23,K$6,$C$7,"Fill=false") - _xll.IMDP("BND",$G23,K$6,$C$5,"Fill=false") ) * 100, ""))</f>
        <v/>
      </c>
      <c r="M23" s="59" t="str">
        <f>IF($H23="","",_xll.IMDP("BND",$G23,M$6,$C$7,"Fill=false,DtFmt=1"))</f>
        <v/>
      </c>
      <c r="O23" s="11"/>
      <c r="P23" s="68" t="str">
        <f>IF(O23="","",IFERROR( _xll.IMDP("BND",$O23,P$6,$C$7,"Fill=false,DtFmt=1"),""))</f>
        <v/>
      </c>
      <c r="Q23" s="27" t="str">
        <f>IF($P23="","",SUBSTITUTE(INDEX(code_list!$O:$O,MATCH(O23,통안_code,0)),"통안",""))</f>
        <v/>
      </c>
      <c r="R23" s="8" t="str">
        <f t="shared" si="1"/>
        <v/>
      </c>
      <c r="S23" s="25" t="str">
        <f>IF($P23="","", _xll.IMDP("BND",$O23,S$6,$C$7,"Fill=false"))</f>
        <v/>
      </c>
      <c r="T23" s="26" t="str">
        <f>IF($P23="","", IFERROR( ( _xll.IMDP("BND",$O23,S$6,$C$7,"Fill=false")-_xll.IMDP("BND",$O23,S$6,$C$5,"Fill=false"))*100, ""))</f>
        <v/>
      </c>
      <c r="U23" s="59" t="str">
        <f>IF($P23="","", _xll.IMDP("BND",$O23,U$6,$C$7,"Fill=false,DtFmt=1"))</f>
        <v/>
      </c>
      <c r="W23" s="11"/>
      <c r="X23" s="72" t="str">
        <f>IF(W23="","",_xll.IMDP("BND",$W23,X$6,$C$7,"Fill=false"))</f>
        <v/>
      </c>
      <c r="Y23" s="27" t="str">
        <f t="shared" si="2"/>
        <v/>
      </c>
      <c r="Z23" s="25" t="str">
        <f>IF($X23="","",_xll.IMDP("BND",$W23,Z$6,$C$7,"Fill=false"))</f>
        <v/>
      </c>
      <c r="AA23" s="80" t="str">
        <f>IF($X23="","", IFERROR( ( _xll.IMDP("BND",$W23,Z$6,$C$7,"Fill=false")-_xll.IMDP("BND",$W23,Z$6,$C$5,"Fill=false"))*100, ""))</f>
        <v/>
      </c>
      <c r="AB23" s="59" t="str">
        <f>IF($X23="","",_xll.IMDP("BND",$W23,AB$6,$C$7,"Fill=false,DtFmt=1"))</f>
        <v/>
      </c>
      <c r="AD23" s="11"/>
      <c r="AE23" s="75" t="str">
        <f>IF(AD23="","",_xll.IMDP("BND",$AD23,AE$6,$C$7,"Fill=false"))</f>
        <v/>
      </c>
      <c r="AF23" s="27" t="str">
        <f t="shared" si="3"/>
        <v/>
      </c>
      <c r="AG23" s="9" t="str">
        <f>IF($AE23="","",_xll.IMDP("BND",$AD23,AG$6,$C$7,"Fill=false"))</f>
        <v/>
      </c>
      <c r="AH23" s="80" t="str">
        <f>IF($AE23="","", IFERROR( ( _xll.IMDP("BND",$AD23,AG$6,$C$7,"Fill=false")-_xll.IMDP("BND",$AD23,AG$6,$C$5,"Fill=false"))*100, ""))</f>
        <v/>
      </c>
      <c r="AI23" s="59" t="str">
        <f>IF($AE23="","",_xll.IMDP("BND",$AD23,AI$6,$C$7,"Fill=false,DtFmt=1"))</f>
        <v/>
      </c>
      <c r="AK23"/>
    </row>
    <row r="24" spans="2:37">
      <c r="B24" s="38" t="s">
        <v>45</v>
      </c>
      <c r="C24" s="35">
        <f ca="1">_xll.IMDP("BND","KR1035M00200",code_list!$B$12,$C$7,"Fill=false")</f>
        <v>0.67500000000000004</v>
      </c>
      <c r="G24" s="11"/>
      <c r="H24" s="7" t="str">
        <f>IF(G24="","",_xll.IMDP("BND",$G24,H$6,$C$7,"Fill=false"))</f>
        <v/>
      </c>
      <c r="I24" s="27" t="str">
        <f>IF($H24="","",SUBSTITUTE(INDEX(code_list!$F:$F, MATCH(G24,국고_code,0)),"국고",""))</f>
        <v/>
      </c>
      <c r="J24" s="8" t="str">
        <f t="shared" si="0"/>
        <v/>
      </c>
      <c r="K24" s="9" t="str">
        <f>IF($H24="","",_xll.IMDP("BND",$G24,K$6,$C$7,"Fill=false"))</f>
        <v/>
      </c>
      <c r="L24" s="10" t="str">
        <f>IF($H24="","",IFERROR( ( _xll.IMDP("BND",$G24,K$6,$C$7,"Fill=false") - _xll.IMDP("BND",$G24,K$6,$C$5,"Fill=false") ) * 100, ""))</f>
        <v/>
      </c>
      <c r="M24" s="59" t="str">
        <f>IF($H24="","",_xll.IMDP("BND",$G24,M$6,$C$7,"Fill=false,DtFmt=1"))</f>
        <v/>
      </c>
      <c r="O24" s="11"/>
      <c r="P24" s="68" t="str">
        <f>IF(O24="","",IFERROR( _xll.IMDP("BND",$O24,P$6,$C$7,"Fill=false,DtFmt=1"),""))</f>
        <v/>
      </c>
      <c r="Q24" s="27" t="str">
        <f>IF($P24="","",SUBSTITUTE(INDEX(code_list!$O:$O,MATCH(O24,통안_code,0)),"통안",""))</f>
        <v/>
      </c>
      <c r="R24" s="8" t="str">
        <f t="shared" si="1"/>
        <v/>
      </c>
      <c r="S24" s="25" t="str">
        <f>IF($P24="","", _xll.IMDP("BND",$O24,S$6,$C$7,"Fill=false"))</f>
        <v/>
      </c>
      <c r="T24" s="26" t="str">
        <f>IF($P24="","", IFERROR( ( _xll.IMDP("BND",$O24,S$6,$C$7,"Fill=false")-_xll.IMDP("BND",$O24,S$6,$C$5,"Fill=false"))*100, ""))</f>
        <v/>
      </c>
      <c r="U24" s="59" t="str">
        <f>IF($P24="","", _xll.IMDP("BND",$O24,U$6,$C$7,"Fill=false,DtFmt=1"))</f>
        <v/>
      </c>
      <c r="W24" s="11"/>
      <c r="X24" s="72" t="str">
        <f>IF(W24="","",_xll.IMDP("BND",$W24,X$6,$C$7,"Fill=false"))</f>
        <v/>
      </c>
      <c r="Y24" s="27" t="str">
        <f t="shared" si="2"/>
        <v/>
      </c>
      <c r="Z24" s="25" t="str">
        <f>IF($X24="","",_xll.IMDP("BND",$W24,Z$6,$C$7,"Fill=false"))</f>
        <v/>
      </c>
      <c r="AA24" s="80" t="str">
        <f>IF($X24="","", IFERROR( ( _xll.IMDP("BND",$W24,Z$6,$C$7,"Fill=false")-_xll.IMDP("BND",$W24,Z$6,$C$5,"Fill=false"))*100, ""))</f>
        <v/>
      </c>
      <c r="AB24" s="59" t="str">
        <f>IF($X24="","",_xll.IMDP("BND",$W24,AB$6,$C$7,"Fill=false,DtFmt=1"))</f>
        <v/>
      </c>
      <c r="AD24" s="11"/>
      <c r="AE24" s="75" t="str">
        <f>IF(AD24="","",_xll.IMDP("BND",$AD24,AE$6,$C$7,"Fill=false"))</f>
        <v/>
      </c>
      <c r="AF24" s="27" t="str">
        <f t="shared" si="3"/>
        <v/>
      </c>
      <c r="AG24" s="9" t="str">
        <f>IF($AE24="","",_xll.IMDP("BND",$AD24,AG$6,$C$7,"Fill=false"))</f>
        <v/>
      </c>
      <c r="AH24" s="80" t="str">
        <f>IF($AE24="","", IFERROR( ( _xll.IMDP("BND",$AD24,AG$6,$C$7,"Fill=false")-_xll.IMDP("BND",$AD24,AG$6,$C$5,"Fill=false"))*100, ""))</f>
        <v/>
      </c>
      <c r="AI24" s="59" t="str">
        <f>IF($AE24="","",_xll.IMDP("BND",$AD24,AI$6,$C$7,"Fill=false,DtFmt=1"))</f>
        <v/>
      </c>
      <c r="AK24"/>
    </row>
    <row r="25" spans="2:37">
      <c r="B25" s="38" t="s">
        <v>68</v>
      </c>
      <c r="C25" s="35">
        <f ca="1">_xll.IMDP("BND","KR1035G00010",code_list!$B$12,$C$7,"Fill=false")</f>
        <v>2.97</v>
      </c>
      <c r="G25" s="11"/>
      <c r="H25" s="7" t="str">
        <f>IF(G25="","",_xll.IMDP("BND",$G25,H$6,$C$7,"Fill=false"))</f>
        <v/>
      </c>
      <c r="I25" s="27" t="str">
        <f>IF($H25="","",SUBSTITUTE(INDEX(code_list!$F:$F, MATCH(G25,국고_code,0)),"국고",""))</f>
        <v/>
      </c>
      <c r="J25" s="8" t="str">
        <f t="shared" si="0"/>
        <v/>
      </c>
      <c r="K25" s="9" t="str">
        <f>IF($H25="","",_xll.IMDP("BND",$G25,K$6,$C$7,"Fill=false"))</f>
        <v/>
      </c>
      <c r="L25" s="10" t="str">
        <f>IF($H25="","",IFERROR( ( _xll.IMDP("BND",$G25,K$6,$C$7,"Fill=false") - _xll.IMDP("BND",$G25,K$6,$C$5,"Fill=false") ) * 100, ""))</f>
        <v/>
      </c>
      <c r="M25" s="59" t="str">
        <f>IF($H25="","",_xll.IMDP("BND",$G25,M$6,$C$7,"Fill=false,DtFmt=1"))</f>
        <v/>
      </c>
      <c r="O25" s="11"/>
      <c r="P25" s="68" t="str">
        <f>IF(O25="","",IFERROR( _xll.IMDP("BND",$O25,P$6,$C$7,"Fill=false,DtFmt=1"),""))</f>
        <v/>
      </c>
      <c r="Q25" s="27" t="str">
        <f>IF($P25="","",SUBSTITUTE(INDEX(code_list!$O:$O,MATCH(O25,통안_code,0)),"통안",""))</f>
        <v/>
      </c>
      <c r="R25" s="8" t="str">
        <f t="shared" si="1"/>
        <v/>
      </c>
      <c r="S25" s="25" t="str">
        <f>IF($P25="","", _xll.IMDP("BND",$O25,S$6,$C$7,"Fill=false"))</f>
        <v/>
      </c>
      <c r="T25" s="26" t="str">
        <f>IF($P25="","", IFERROR( ( _xll.IMDP("BND",$O25,S$6,$C$7,"Fill=false")-_xll.IMDP("BND",$O25,S$6,$C$5,"Fill=false"))*100, ""))</f>
        <v/>
      </c>
      <c r="U25" s="59" t="str">
        <f>IF($P25="","", _xll.IMDP("BND",$O25,U$6,$C$7,"Fill=false,DtFmt=1"))</f>
        <v/>
      </c>
      <c r="W25" s="11"/>
      <c r="X25" s="72" t="str">
        <f>IF(W25="","",_xll.IMDP("BND",$W25,X$6,$C$7,"Fill=false"))</f>
        <v/>
      </c>
      <c r="Y25" s="27" t="str">
        <f t="shared" si="2"/>
        <v/>
      </c>
      <c r="Z25" s="25" t="str">
        <f>IF($X25="","",_xll.IMDP("BND",$W25,Z$6,$C$7,"Fill=false"))</f>
        <v/>
      </c>
      <c r="AA25" s="80" t="str">
        <f>IF($X25="","", IFERROR( ( _xll.IMDP("BND",$W25,Z$6,$C$7,"Fill=false")-_xll.IMDP("BND",$W25,Z$6,$C$5,"Fill=false"))*100, ""))</f>
        <v/>
      </c>
      <c r="AB25" s="59" t="str">
        <f>IF($X25="","",_xll.IMDP("BND",$W25,AB$6,$C$7,"Fill=false,DtFmt=1"))</f>
        <v/>
      </c>
      <c r="AD25" s="11"/>
      <c r="AE25" s="75" t="str">
        <f>IF(AD25="","",_xll.IMDP("BND",$AD25,AE$6,$C$7,"Fill=false"))</f>
        <v/>
      </c>
      <c r="AF25" s="27" t="str">
        <f t="shared" si="3"/>
        <v/>
      </c>
      <c r="AG25" s="9" t="str">
        <f>IF($AE25="","",_xll.IMDP("BND",$AD25,AG$6,$C$7,"Fill=false"))</f>
        <v/>
      </c>
      <c r="AH25" s="80" t="str">
        <f>IF($AE25="","", IFERROR( ( _xll.IMDP("BND",$AD25,AG$6,$C$7,"Fill=false")-_xll.IMDP("BND",$AD25,AG$6,$C$5,"Fill=false"))*100, ""))</f>
        <v/>
      </c>
      <c r="AI25" s="59" t="str">
        <f>IF($AE25="","",_xll.IMDP("BND",$AD25,AI$6,$C$7,"Fill=false,DtFmt=1"))</f>
        <v/>
      </c>
      <c r="AK25"/>
    </row>
    <row r="26" spans="2:37">
      <c r="B26" s="38" t="s">
        <v>69</v>
      </c>
      <c r="C26" s="35">
        <f ca="1">_xll.IMDP("BND","KR1035G00020",code_list!$B$12,$C$7,"Fill=false")</f>
        <v>2.9620000000000002</v>
      </c>
      <c r="G26" s="11"/>
      <c r="H26" s="7" t="str">
        <f>IF(G26="","",_xll.IMDP("BND",$G26,H$6,$C$7,"Fill=false"))</f>
        <v/>
      </c>
      <c r="I26" s="27" t="str">
        <f>IF($H26="","",SUBSTITUTE(INDEX(code_list!$F:$F, MATCH(G26,국고_code,0)),"국고",""))</f>
        <v/>
      </c>
      <c r="J26" s="8" t="str">
        <f t="shared" si="0"/>
        <v/>
      </c>
      <c r="K26" s="9" t="str">
        <f>IF($H26="","",_xll.IMDP("BND",$G26,K$6,$C$7,"Fill=false"))</f>
        <v/>
      </c>
      <c r="L26" s="10" t="str">
        <f>IF($H26="","",IFERROR( ( _xll.IMDP("BND",$G26,K$6,$C$7,"Fill=false") - _xll.IMDP("BND",$G26,K$6,$C$5,"Fill=false") ) * 100, ""))</f>
        <v/>
      </c>
      <c r="M26" s="59" t="str">
        <f>IF($H26="","",_xll.IMDP("BND",$G26,M$6,$C$7,"Fill=false,DtFmt=1"))</f>
        <v/>
      </c>
      <c r="O26" s="11"/>
      <c r="P26" s="68" t="str">
        <f>IF(O26="","",IFERROR( _xll.IMDP("BND",$O26,P$6,$C$7,"Fill=false,DtFmt=1"),""))</f>
        <v/>
      </c>
      <c r="Q26" s="27" t="str">
        <f>IF($P26="","",SUBSTITUTE(INDEX(code_list!$O:$O,MATCH(O26,통안_code,0)),"통안",""))</f>
        <v/>
      </c>
      <c r="R26" s="8" t="str">
        <f t="shared" si="1"/>
        <v/>
      </c>
      <c r="S26" s="25" t="str">
        <f>IF($P26="","", _xll.IMDP("BND",$O26,S$6,$C$7,"Fill=false"))</f>
        <v/>
      </c>
      <c r="T26" s="26" t="str">
        <f>IF($P26="","", IFERROR( ( _xll.IMDP("BND",$O26,S$6,$C$7,"Fill=false")-_xll.IMDP("BND",$O26,S$6,$C$5,"Fill=false"))*100, ""))</f>
        <v/>
      </c>
      <c r="U26" s="59" t="str">
        <f>IF($P26="","", _xll.IMDP("BND",$O26,U$6,$C$7,"Fill=false,DtFmt=1"))</f>
        <v/>
      </c>
      <c r="W26" s="11"/>
      <c r="X26" s="72" t="str">
        <f>IF(W26="","",_xll.IMDP("BND",$W26,X$6,$C$7,"Fill=false"))</f>
        <v/>
      </c>
      <c r="Y26" s="27" t="str">
        <f t="shared" si="2"/>
        <v/>
      </c>
      <c r="Z26" s="25" t="str">
        <f>IF($X26="","",_xll.IMDP("BND",$W26,Z$6,$C$7,"Fill=false"))</f>
        <v/>
      </c>
      <c r="AA26" s="80" t="str">
        <f>IF($X26="","", IFERROR( ( _xll.IMDP("BND",$W26,Z$6,$C$7,"Fill=false")-_xll.IMDP("BND",$W26,Z$6,$C$5,"Fill=false"))*100, ""))</f>
        <v/>
      </c>
      <c r="AB26" s="59" t="str">
        <f>IF($X26="","",_xll.IMDP("BND",$W26,AB$6,$C$7,"Fill=false,DtFmt=1"))</f>
        <v/>
      </c>
      <c r="AD26" s="11"/>
      <c r="AE26" s="75" t="str">
        <f>IF(AD26="","",_xll.IMDP("BND",$AD26,AE$6,$C$7,"Fill=false"))</f>
        <v/>
      </c>
      <c r="AF26" s="27" t="str">
        <f t="shared" si="3"/>
        <v/>
      </c>
      <c r="AG26" s="9" t="str">
        <f>IF($AE26="","",_xll.IMDP("BND",$AD26,AG$6,$C$7,"Fill=false"))</f>
        <v/>
      </c>
      <c r="AH26" s="80" t="str">
        <f>IF($AE26="","", IFERROR( ( _xll.IMDP("BND",$AD26,AG$6,$C$7,"Fill=false")-_xll.IMDP("BND",$AD26,AG$6,$C$5,"Fill=false"))*100, ""))</f>
        <v/>
      </c>
      <c r="AI26" s="59" t="str">
        <f>IF($AE26="","",_xll.IMDP("BND",$AD26,AI$6,$C$7,"Fill=false,DtFmt=1"))</f>
        <v/>
      </c>
      <c r="AK26"/>
    </row>
    <row r="27" spans="2:37">
      <c r="B27" s="38" t="s">
        <v>67</v>
      </c>
      <c r="C27" s="35">
        <f ca="1">_xll.IMDP("BND","KR1035G00030",code_list!$B$12,$C$7,"Fill=false")</f>
        <v>2.8719999999999999</v>
      </c>
      <c r="G27" s="11"/>
      <c r="H27" s="7" t="str">
        <f>IF(G27="","",_xll.IMDP("BND",$G27,H$6,$C$7,"Fill=false"))</f>
        <v/>
      </c>
      <c r="I27" s="27" t="str">
        <f>IF($H27="","",SUBSTITUTE(INDEX(code_list!$F:$F, MATCH(G27,국고_code,0)),"국고",""))</f>
        <v/>
      </c>
      <c r="J27" s="8" t="str">
        <f t="shared" si="0"/>
        <v/>
      </c>
      <c r="K27" s="9" t="str">
        <f>IF($H27="","",_xll.IMDP("BND",$G27,K$6,$C$7,"Fill=false"))</f>
        <v/>
      </c>
      <c r="L27" s="10" t="str">
        <f>IF($H27="","",IFERROR( ( _xll.IMDP("BND",$G27,K$6,$C$7,"Fill=false") - _xll.IMDP("BND",$G27,K$6,$C$5,"Fill=false") ) * 100, ""))</f>
        <v/>
      </c>
      <c r="M27" s="59" t="str">
        <f>IF($H27="","",_xll.IMDP("BND",$G27,M$6,$C$7,"Fill=false,DtFmt=1"))</f>
        <v/>
      </c>
      <c r="O27" s="11"/>
      <c r="P27" s="68" t="str">
        <f>IF(O27="","",IFERROR( _xll.IMDP("BND",$O27,P$6,$C$7,"Fill=false,DtFmt=1"),""))</f>
        <v/>
      </c>
      <c r="Q27" s="27" t="str">
        <f>IF($P27="","",SUBSTITUTE(INDEX(code_list!$O:$O,MATCH(O27,통안_code,0)),"통안",""))</f>
        <v/>
      </c>
      <c r="R27" s="8" t="str">
        <f t="shared" si="1"/>
        <v/>
      </c>
      <c r="S27" s="25" t="str">
        <f>IF($P27="","", _xll.IMDP("BND",$O27,S$6,$C$7,"Fill=false"))</f>
        <v/>
      </c>
      <c r="T27" s="26" t="str">
        <f>IF($P27="","", IFERROR( ( _xll.IMDP("BND",$O27,S$6,$C$7,"Fill=false")-_xll.IMDP("BND",$O27,S$6,$C$5,"Fill=false"))*100, ""))</f>
        <v/>
      </c>
      <c r="U27" s="59" t="str">
        <f>IF($P27="","", _xll.IMDP("BND",$O27,U$6,$C$7,"Fill=false,DtFmt=1"))</f>
        <v/>
      </c>
      <c r="W27" s="11"/>
      <c r="X27" s="72" t="str">
        <f>IF(W27="","",_xll.IMDP("BND",$W27,X$6,$C$7,"Fill=false"))</f>
        <v/>
      </c>
      <c r="Y27" s="27" t="str">
        <f t="shared" si="2"/>
        <v/>
      </c>
      <c r="Z27" s="25" t="str">
        <f>IF($X27="","",_xll.IMDP("BND",$W27,Z$6,$C$7,"Fill=false"))</f>
        <v/>
      </c>
      <c r="AA27" s="80" t="str">
        <f>IF($X27="","", IFERROR( ( _xll.IMDP("BND",$W27,Z$6,$C$7,"Fill=false")-_xll.IMDP("BND",$W27,Z$6,$C$5,"Fill=false"))*100, ""))</f>
        <v/>
      </c>
      <c r="AB27" s="59" t="str">
        <f>IF($X27="","",_xll.IMDP("BND",$W27,AB$6,$C$7,"Fill=false,DtFmt=1"))</f>
        <v/>
      </c>
      <c r="AD27" s="11"/>
      <c r="AE27" s="75" t="str">
        <f>IF(AD27="","",_xll.IMDP("BND",$AD27,AE$6,$C$7,"Fill=false"))</f>
        <v/>
      </c>
      <c r="AF27" s="27" t="str">
        <f t="shared" si="3"/>
        <v/>
      </c>
      <c r="AG27" s="9" t="str">
        <f>IF($AE27="","",_xll.IMDP("BND",$AD27,AG$6,$C$7,"Fill=false"))</f>
        <v/>
      </c>
      <c r="AH27" s="80" t="str">
        <f>IF($AE27="","", IFERROR( ( _xll.IMDP("BND",$AD27,AG$6,$C$7,"Fill=false")-_xll.IMDP("BND",$AD27,AG$6,$C$5,"Fill=false"))*100, ""))</f>
        <v/>
      </c>
      <c r="AI27" s="59" t="str">
        <f>IF($AE27="","",_xll.IMDP("BND",$AD27,AI$6,$C$7,"Fill=false,DtFmt=1"))</f>
        <v/>
      </c>
      <c r="AK27"/>
    </row>
    <row r="28" spans="2:37" ht="17.25" thickBot="1">
      <c r="B28" s="39" t="s">
        <v>98</v>
      </c>
      <c r="C28" s="36">
        <f ca="1">_xll.IMDP("BND","KR1035G00050",code_list!$B$12,$C$7,"Fill=false")</f>
        <v>2.8149999999999999</v>
      </c>
      <c r="G28" s="11"/>
      <c r="H28" s="7" t="str">
        <f>IF(G28="","",_xll.IMDP("BND",$G28,H$6,$C$7,"Fill=false"))</f>
        <v/>
      </c>
      <c r="I28" s="27" t="str">
        <f>IF($H28="","",SUBSTITUTE(INDEX(code_list!$F:$F, MATCH(G28,국고_code,0)),"국고",""))</f>
        <v/>
      </c>
      <c r="J28" s="8" t="str">
        <f t="shared" si="0"/>
        <v/>
      </c>
      <c r="K28" s="9" t="str">
        <f>IF($H28="","",_xll.IMDP("BND",$G28,K$6,$C$7,"Fill=false"))</f>
        <v/>
      </c>
      <c r="L28" s="10" t="str">
        <f>IF($H28="","",IFERROR( ( _xll.IMDP("BND",$G28,K$6,$C$7,"Fill=false") - _xll.IMDP("BND",$G28,K$6,$C$5,"Fill=false") ) * 100, ""))</f>
        <v/>
      </c>
      <c r="M28" s="59" t="str">
        <f>IF($H28="","",_xll.IMDP("BND",$G28,M$6,$C$7,"Fill=false,DtFmt=1"))</f>
        <v/>
      </c>
      <c r="O28" s="11"/>
      <c r="P28" s="68" t="str">
        <f>IF(O28="","",IFERROR( _xll.IMDP("BND",$O28,P$6,$C$7,"Fill=false,DtFmt=1"),""))</f>
        <v/>
      </c>
      <c r="Q28" s="27" t="str">
        <f>IF($P28="","",SUBSTITUTE(INDEX(code_list!$O:$O,MATCH(O28,통안_code,0)),"통안",""))</f>
        <v/>
      </c>
      <c r="R28" s="8" t="str">
        <f t="shared" si="1"/>
        <v/>
      </c>
      <c r="S28" s="25" t="str">
        <f>IF($P28="","", _xll.IMDP("BND",$O28,S$6,$C$7,"Fill=false"))</f>
        <v/>
      </c>
      <c r="T28" s="26" t="str">
        <f>IF($P28="","", IFERROR( ( _xll.IMDP("BND",$O28,S$6,$C$7,"Fill=false")-_xll.IMDP("BND",$O28,S$6,$C$5,"Fill=false"))*100, ""))</f>
        <v/>
      </c>
      <c r="U28" s="59" t="str">
        <f>IF($P28="","", _xll.IMDP("BND",$O28,U$6,$C$7,"Fill=false,DtFmt=1"))</f>
        <v/>
      </c>
      <c r="W28" s="11"/>
      <c r="X28" s="72" t="str">
        <f>IF(W28="","",_xll.IMDP("BND",$W28,X$6,$C$7,"Fill=false"))</f>
        <v/>
      </c>
      <c r="Y28" s="27" t="str">
        <f t="shared" si="2"/>
        <v/>
      </c>
      <c r="Z28" s="25" t="str">
        <f>IF($X28="","",_xll.IMDP("BND",$W28,Z$6,$C$7,"Fill=false"))</f>
        <v/>
      </c>
      <c r="AA28" s="80" t="str">
        <f>IF($X28="","", IFERROR( ( _xll.IMDP("BND",$W28,Z$6,$C$7,"Fill=false")-_xll.IMDP("BND",$W28,Z$6,$C$5,"Fill=false"))*100, ""))</f>
        <v/>
      </c>
      <c r="AB28" s="59" t="str">
        <f>IF($X28="","",_xll.IMDP("BND",$W28,AB$6,$C$7,"Fill=false,DtFmt=1"))</f>
        <v/>
      </c>
      <c r="AD28" s="11"/>
      <c r="AE28" s="75" t="str">
        <f>IF(AD28="","",_xll.IMDP("BND",$AD28,AE$6,$C$7,"Fill=false"))</f>
        <v/>
      </c>
      <c r="AF28" s="27" t="str">
        <f t="shared" si="3"/>
        <v/>
      </c>
      <c r="AG28" s="9" t="str">
        <f>IF($AE28="","",_xll.IMDP("BND",$AD28,AG$6,$C$7,"Fill=false"))</f>
        <v/>
      </c>
      <c r="AH28" s="80" t="str">
        <f>IF($AE28="","", IFERROR( ( _xll.IMDP("BND",$AD28,AG$6,$C$7,"Fill=false")-_xll.IMDP("BND",$AD28,AG$6,$C$5,"Fill=false"))*100, ""))</f>
        <v/>
      </c>
      <c r="AI28" s="59" t="str">
        <f>IF($AE28="","",_xll.IMDP("BND",$AD28,AI$6,$C$7,"Fill=false,DtFmt=1"))</f>
        <v/>
      </c>
      <c r="AK28"/>
    </row>
    <row r="29" spans="2:37">
      <c r="G29" s="11"/>
      <c r="H29" s="7" t="str">
        <f>IF(G29="","",_xll.IMDP("BND",$G29,H$6,$C$7,"Fill=false"))</f>
        <v/>
      </c>
      <c r="I29" s="27" t="str">
        <f>IF($H29="","",SUBSTITUTE(INDEX(code_list!$F:$F, MATCH(G29,국고_code,0)),"국고",""))</f>
        <v/>
      </c>
      <c r="J29" s="8" t="str">
        <f t="shared" si="0"/>
        <v/>
      </c>
      <c r="K29" s="9" t="str">
        <f>IF($H29="","",_xll.IMDP("BND",$G29,K$6,$C$7,"Fill=false"))</f>
        <v/>
      </c>
      <c r="L29" s="10" t="str">
        <f>IF($H29="","",IFERROR( ( _xll.IMDP("BND",$G29,K$6,$C$7,"Fill=false") - _xll.IMDP("BND",$G29,K$6,$C$5,"Fill=false") ) * 100, ""))</f>
        <v/>
      </c>
      <c r="M29" s="59" t="str">
        <f>IF($H29="","",_xll.IMDP("BND",$G29,M$6,$C$7,"Fill=false,DtFmt=1"))</f>
        <v/>
      </c>
      <c r="O29" s="11"/>
      <c r="P29" s="68" t="str">
        <f>IF(O29="","",IFERROR( _xll.IMDP("BND",$O29,P$6,$C$7,"Fill=false,DtFmt=1"),""))</f>
        <v/>
      </c>
      <c r="Q29" s="27" t="str">
        <f>IF($P29="","",SUBSTITUTE(INDEX(code_list!$O:$O,MATCH(O29,통안_code,0)),"통안",""))</f>
        <v/>
      </c>
      <c r="R29" s="8" t="str">
        <f t="shared" si="1"/>
        <v/>
      </c>
      <c r="S29" s="25" t="str">
        <f>IF($P29="","", _xll.IMDP("BND",$O29,S$6,$C$7,"Fill=false"))</f>
        <v/>
      </c>
      <c r="T29" s="26" t="str">
        <f>IF($P29="","", IFERROR( ( _xll.IMDP("BND",$O29,S$6,$C$7,"Fill=false")-_xll.IMDP("BND",$O29,S$6,$C$5,"Fill=false"))*100, ""))</f>
        <v/>
      </c>
      <c r="U29" s="59" t="str">
        <f>IF($P29="","", _xll.IMDP("BND",$O29,U$6,$C$7,"Fill=false,DtFmt=1"))</f>
        <v/>
      </c>
      <c r="W29" s="11"/>
      <c r="X29" s="72" t="str">
        <f>IF(W29="","",_xll.IMDP("BND",$W29,X$6,$C$7,"Fill=false"))</f>
        <v/>
      </c>
      <c r="Y29" s="27" t="str">
        <f t="shared" si="2"/>
        <v/>
      </c>
      <c r="Z29" s="25" t="str">
        <f>IF($X29="","",_xll.IMDP("BND",$W29,Z$6,$C$7,"Fill=false"))</f>
        <v/>
      </c>
      <c r="AA29" s="80" t="str">
        <f>IF($X29="","", IFERROR( ( _xll.IMDP("BND",$W29,Z$6,$C$7,"Fill=false")-_xll.IMDP("BND",$W29,Z$6,$C$5,"Fill=false"))*100, ""))</f>
        <v/>
      </c>
      <c r="AB29" s="59" t="str">
        <f>IF($X29="","",_xll.IMDP("BND",$W29,AB$6,$C$7,"Fill=false,DtFmt=1"))</f>
        <v/>
      </c>
      <c r="AD29" s="11"/>
      <c r="AE29" s="75" t="str">
        <f>IF(AD29="","",_xll.IMDP("BND",$AD29,AE$6,$C$7,"Fill=false"))</f>
        <v/>
      </c>
      <c r="AF29" s="27" t="str">
        <f t="shared" si="3"/>
        <v/>
      </c>
      <c r="AG29" s="9" t="str">
        <f>IF($AE29="","",_xll.IMDP("BND",$AD29,AG$6,$C$7,"Fill=false"))</f>
        <v/>
      </c>
      <c r="AH29" s="80" t="str">
        <f>IF($AE29="","", IFERROR( ( _xll.IMDP("BND",$AD29,AG$6,$C$7,"Fill=false")-_xll.IMDP("BND",$AD29,AG$6,$C$5,"Fill=false"))*100, ""))</f>
        <v/>
      </c>
      <c r="AI29" s="59" t="str">
        <f>IF($AE29="","",_xll.IMDP("BND",$AD29,AI$6,$C$7,"Fill=false,DtFmt=1"))</f>
        <v/>
      </c>
      <c r="AK29"/>
    </row>
    <row r="30" spans="2:37">
      <c r="G30" s="11"/>
      <c r="H30" s="7" t="str">
        <f>IF(G30="","",_xll.IMDP("BND",$G30,H$6,$C$7,"Fill=false"))</f>
        <v/>
      </c>
      <c r="I30" s="27" t="str">
        <f>IF($H30="","",SUBSTITUTE(INDEX(code_list!$F:$F, MATCH(G30,국고_code,0)),"국고",""))</f>
        <v/>
      </c>
      <c r="J30" s="8" t="str">
        <f t="shared" si="0"/>
        <v/>
      </c>
      <c r="K30" s="9" t="str">
        <f>IF($H30="","",_xll.IMDP("BND",$G30,K$6,$C$7,"Fill=false"))</f>
        <v/>
      </c>
      <c r="L30" s="10" t="str">
        <f>IF($H30="","",IFERROR( ( _xll.IMDP("BND",$G30,K$6,$C$7,"Fill=false") - _xll.IMDP("BND",$G30,K$6,$C$5,"Fill=false") ) * 100, ""))</f>
        <v/>
      </c>
      <c r="M30" s="59" t="str">
        <f>IF($H30="","",_xll.IMDP("BND",$G30,M$6,$C$7,"Fill=false,DtFmt=1"))</f>
        <v/>
      </c>
      <c r="O30" s="11"/>
      <c r="P30" s="68" t="str">
        <f>IF(O30="","",IFERROR( _xll.IMDP("BND",$O30,P$6,$C$7,"Fill=false,DtFmt=1"),""))</f>
        <v/>
      </c>
      <c r="Q30" s="27" t="str">
        <f>IF($P30="","",SUBSTITUTE(INDEX(code_list!$O:$O,MATCH(O30,통안_code,0)),"통안",""))</f>
        <v/>
      </c>
      <c r="R30" s="8" t="str">
        <f t="shared" si="1"/>
        <v/>
      </c>
      <c r="S30" s="25" t="str">
        <f>IF($P30="","", _xll.IMDP("BND",$O30,S$6,$C$7,"Fill=false"))</f>
        <v/>
      </c>
      <c r="T30" s="26" t="str">
        <f>IF($P30="","", IFERROR( ( _xll.IMDP("BND",$O30,S$6,$C$7,"Fill=false")-_xll.IMDP("BND",$O30,S$6,$C$5,"Fill=false"))*100, ""))</f>
        <v/>
      </c>
      <c r="U30" s="59" t="str">
        <f>IF($P30="","", _xll.IMDP("BND",$O30,U$6,$C$7,"Fill=false,DtFmt=1"))</f>
        <v/>
      </c>
      <c r="W30" s="11"/>
      <c r="X30" s="72" t="str">
        <f>IF(W30="","",_xll.IMDP("BND",$W30,X$6,$C$7,"Fill=false"))</f>
        <v/>
      </c>
      <c r="Y30" s="27" t="str">
        <f t="shared" si="2"/>
        <v/>
      </c>
      <c r="Z30" s="25" t="str">
        <f>IF($X30="","",_xll.IMDP("BND",$W30,Z$6,$C$7,"Fill=false"))</f>
        <v/>
      </c>
      <c r="AA30" s="80" t="str">
        <f>IF($X30="","", IFERROR( ( _xll.IMDP("BND",$W30,Z$6,$C$7,"Fill=false")-_xll.IMDP("BND",$W30,Z$6,$C$5,"Fill=false"))*100, ""))</f>
        <v/>
      </c>
      <c r="AB30" s="59" t="str">
        <f>IF($X30="","",_xll.IMDP("BND",$W30,AB$6,$C$7,"Fill=false,DtFmt=1"))</f>
        <v/>
      </c>
      <c r="AD30" s="11"/>
      <c r="AE30" s="75" t="str">
        <f>IF(AD30="","",_xll.IMDP("BND",$AD30,AE$6,$C$7,"Fill=false"))</f>
        <v/>
      </c>
      <c r="AF30" s="27" t="str">
        <f t="shared" si="3"/>
        <v/>
      </c>
      <c r="AG30" s="9" t="str">
        <f>IF($AE30="","",_xll.IMDP("BND",$AD30,AG$6,$C$7,"Fill=false"))</f>
        <v/>
      </c>
      <c r="AH30" s="80" t="str">
        <f>IF($AE30="","", IFERROR( ( _xll.IMDP("BND",$AD30,AG$6,$C$7,"Fill=false")-_xll.IMDP("BND",$AD30,AG$6,$C$5,"Fill=false"))*100, ""))</f>
        <v/>
      </c>
      <c r="AI30" s="59" t="str">
        <f>IF($AE30="","",_xll.IMDP("BND",$AD30,AI$6,$C$7,"Fill=false,DtFmt=1"))</f>
        <v/>
      </c>
    </row>
    <row r="31" spans="2:37">
      <c r="G31" s="11"/>
      <c r="H31" s="7" t="str">
        <f>IF(G31="","",_xll.IMDP("BND",$G31,H$6,$C$7,"Fill=false"))</f>
        <v/>
      </c>
      <c r="I31" s="27" t="str">
        <f>IF($H31="","",SUBSTITUTE(INDEX(code_list!$F:$F, MATCH(G31,국고_code,0)),"국고",""))</f>
        <v/>
      </c>
      <c r="J31" s="8" t="str">
        <f t="shared" si="0"/>
        <v/>
      </c>
      <c r="K31" s="9" t="str">
        <f>IF($H31="","",_xll.IMDP("BND",$G31,K$6,$C$7,"Fill=false"))</f>
        <v/>
      </c>
      <c r="L31" s="10" t="str">
        <f>IF($H31="","",IFERROR( ( _xll.IMDP("BND",$G31,K$6,$C$7,"Fill=false") - _xll.IMDP("BND",$G31,K$6,$C$5,"Fill=false") ) * 100, ""))</f>
        <v/>
      </c>
      <c r="M31" s="59" t="str">
        <f>IF($H31="","",_xll.IMDP("BND",$G31,M$6,$C$7,"Fill=false,DtFmt=1"))</f>
        <v/>
      </c>
      <c r="O31" s="11"/>
      <c r="P31" s="68" t="str">
        <f>IF(O31="","",IFERROR( _xll.IMDP("BND",$O31,P$6,$C$7,"Fill=false,DtFmt=1"),""))</f>
        <v/>
      </c>
      <c r="Q31" s="27" t="str">
        <f>IF($P31="","",SUBSTITUTE(INDEX(code_list!$O:$O,MATCH(O31,통안_code,0)),"통안",""))</f>
        <v/>
      </c>
      <c r="R31" s="8" t="str">
        <f t="shared" si="1"/>
        <v/>
      </c>
      <c r="S31" s="25" t="str">
        <f>IF($P31="","", _xll.IMDP("BND",$O31,S$6,$C$7,"Fill=false"))</f>
        <v/>
      </c>
      <c r="T31" s="26" t="str">
        <f>IF($P31="","", IFERROR( ( _xll.IMDP("BND",$O31,S$6,$C$7,"Fill=false")-_xll.IMDP("BND",$O31,S$6,$C$5,"Fill=false"))*100, ""))</f>
        <v/>
      </c>
      <c r="U31" s="59" t="str">
        <f>IF($P31="","", _xll.IMDP("BND",$O31,U$6,$C$7,"Fill=false,DtFmt=1"))</f>
        <v/>
      </c>
      <c r="W31" s="11"/>
      <c r="X31" s="72" t="str">
        <f>IF(W31="","",_xll.IMDP("BND",$W31,X$6,$C$7,"Fill=false"))</f>
        <v/>
      </c>
      <c r="Y31" s="27" t="str">
        <f t="shared" si="2"/>
        <v/>
      </c>
      <c r="Z31" s="25" t="str">
        <f>IF($X31="","",_xll.IMDP("BND",$W31,Z$6,$C$7,"Fill=false"))</f>
        <v/>
      </c>
      <c r="AA31" s="80" t="str">
        <f>IF($X31="","", IFERROR( ( _xll.IMDP("BND",$W31,Z$6,$C$7,"Fill=false")-_xll.IMDP("BND",$W31,Z$6,$C$5,"Fill=false"))*100, ""))</f>
        <v/>
      </c>
      <c r="AB31" s="59" t="str">
        <f>IF($X31="","",_xll.IMDP("BND",$W31,AB$6,$C$7,"Fill=false,DtFmt=1"))</f>
        <v/>
      </c>
      <c r="AD31" s="11"/>
      <c r="AE31" s="75" t="str">
        <f>IF(AD31="","",_xll.IMDP("BND",$AD31,AE$6,$C$7,"Fill=false"))</f>
        <v/>
      </c>
      <c r="AF31" s="27" t="str">
        <f t="shared" si="3"/>
        <v/>
      </c>
      <c r="AG31" s="9" t="str">
        <f>IF($AE31="","",_xll.IMDP("BND",$AD31,AG$6,$C$7,"Fill=false"))</f>
        <v/>
      </c>
      <c r="AH31" s="80" t="str">
        <f>IF($AE31="","", IFERROR( ( _xll.IMDP("BND",$AD31,AG$6,$C$7,"Fill=false")-_xll.IMDP("BND",$AD31,AG$6,$C$5,"Fill=false"))*100, ""))</f>
        <v/>
      </c>
      <c r="AI31" s="59" t="str">
        <f>IF($AE31="","",_xll.IMDP("BND",$AD31,AI$6,$C$7,"Fill=false,DtFmt=1"))</f>
        <v/>
      </c>
    </row>
    <row r="32" spans="2:37">
      <c r="G32" s="11"/>
      <c r="H32" s="7" t="str">
        <f>IF(G32="","",_xll.IMDP("BND",$G32,H$6,$C$7,"Fill=false"))</f>
        <v/>
      </c>
      <c r="I32" s="27" t="str">
        <f>IF($H32="","",SUBSTITUTE(INDEX(code_list!$F:$F, MATCH(G32,국고_code,0)),"국고",""))</f>
        <v/>
      </c>
      <c r="J32" s="8" t="str">
        <f t="shared" si="0"/>
        <v/>
      </c>
      <c r="K32" s="9" t="str">
        <f>IF($H32="","",_xll.IMDP("BND",$G32,K$6,$C$7,"Fill=false"))</f>
        <v/>
      </c>
      <c r="L32" s="10" t="str">
        <f>IF($H32="","",IFERROR( ( _xll.IMDP("BND",$G32,K$6,$C$7,"Fill=false") - _xll.IMDP("BND",$G32,K$6,$C$5,"Fill=false") ) * 100, ""))</f>
        <v/>
      </c>
      <c r="M32" s="59" t="str">
        <f>IF($H32="","",_xll.IMDP("BND",$G32,M$6,$C$7,"Fill=false,DtFmt=1"))</f>
        <v/>
      </c>
      <c r="O32" s="11"/>
      <c r="P32" s="68" t="str">
        <f>IF(O32="","",IFERROR( _xll.IMDP("BND",$O32,P$6,$C$7,"Fill=false,DtFmt=1"),""))</f>
        <v/>
      </c>
      <c r="Q32" s="27" t="str">
        <f>IF($P32="","",SUBSTITUTE(INDEX(code_list!$O:$O,MATCH(O32,통안_code,0)),"통안",""))</f>
        <v/>
      </c>
      <c r="R32" s="8" t="str">
        <f t="shared" si="1"/>
        <v/>
      </c>
      <c r="S32" s="25" t="str">
        <f>IF($P32="","", _xll.IMDP("BND",$O32,S$6,$C$7,"Fill=false"))</f>
        <v/>
      </c>
      <c r="T32" s="26" t="str">
        <f>IF($P32="","", IFERROR( ( _xll.IMDP("BND",$O32,S$6,$C$7,"Fill=false")-_xll.IMDP("BND",$O32,S$6,$C$5,"Fill=false"))*100, ""))</f>
        <v/>
      </c>
      <c r="U32" s="59" t="str">
        <f>IF($P32="","", _xll.IMDP("BND",$O32,U$6,$C$7,"Fill=false,DtFmt=1"))</f>
        <v/>
      </c>
      <c r="W32" s="11"/>
      <c r="X32" s="72" t="str">
        <f>IF(W32="","",_xll.IMDP("BND",$W32,X$6,$C$7,"Fill=false"))</f>
        <v/>
      </c>
      <c r="Y32" s="27" t="str">
        <f t="shared" si="2"/>
        <v/>
      </c>
      <c r="Z32" s="25" t="str">
        <f>IF($X32="","",_xll.IMDP("BND",$W32,Z$6,$C$7,"Fill=false"))</f>
        <v/>
      </c>
      <c r="AA32" s="80" t="str">
        <f>IF($X32="","", IFERROR( ( _xll.IMDP("BND",$W32,Z$6,$C$7,"Fill=false")-_xll.IMDP("BND",$W32,Z$6,$C$5,"Fill=false"))*100, ""))</f>
        <v/>
      </c>
      <c r="AB32" s="59" t="str">
        <f>IF($X32="","",_xll.IMDP("BND",$W32,AB$6,$C$7,"Fill=false,DtFmt=1"))</f>
        <v/>
      </c>
      <c r="AD32" s="11"/>
      <c r="AE32" s="75" t="str">
        <f>IF(AD32="","",_xll.IMDP("BND",$AD32,AE$6,$C$7,"Fill=false"))</f>
        <v/>
      </c>
      <c r="AF32" s="27" t="str">
        <f t="shared" si="3"/>
        <v/>
      </c>
      <c r="AG32" s="9" t="str">
        <f>IF($AE32="","",_xll.IMDP("BND",$AD32,AG$6,$C$7,"Fill=false"))</f>
        <v/>
      </c>
      <c r="AH32" s="80" t="str">
        <f>IF($AE32="","", IFERROR( ( _xll.IMDP("BND",$AD32,AG$6,$C$7,"Fill=false")-_xll.IMDP("BND",$AD32,AG$6,$C$5,"Fill=false"))*100, ""))</f>
        <v/>
      </c>
      <c r="AI32" s="59" t="str">
        <f>IF($AE32="","",_xll.IMDP("BND",$AD32,AI$6,$C$7,"Fill=false,DtFmt=1"))</f>
        <v/>
      </c>
    </row>
    <row r="33" spans="7:35">
      <c r="G33" s="11"/>
      <c r="H33" s="7" t="str">
        <f>IF(G33="","",_xll.IMDP("BND",$G33,H$6,$C$7,"Fill=false"))</f>
        <v/>
      </c>
      <c r="I33" s="27" t="str">
        <f>IF($H33="","",SUBSTITUTE(INDEX(code_list!$F:$F, MATCH(G33,국고_code,0)),"국고",""))</f>
        <v/>
      </c>
      <c r="J33" s="8" t="str">
        <f t="shared" si="0"/>
        <v/>
      </c>
      <c r="K33" s="9" t="str">
        <f>IF($H33="","",_xll.IMDP("BND",$G33,K$6,$C$7,"Fill=false"))</f>
        <v/>
      </c>
      <c r="L33" s="10" t="str">
        <f>IF($H33="","",IFERROR( ( _xll.IMDP("BND",$G33,K$6,$C$7,"Fill=false") - _xll.IMDP("BND",$G33,K$6,$C$5,"Fill=false") ) * 100, ""))</f>
        <v/>
      </c>
      <c r="M33" s="59" t="str">
        <f>IF($H33="","",_xll.IMDP("BND",$G33,M$6,$C$7,"Fill=false,DtFmt=1"))</f>
        <v/>
      </c>
      <c r="O33" s="11"/>
      <c r="P33" s="68" t="str">
        <f>IF(O33="","",IFERROR( _xll.IMDP("BND",$O33,P$6,$C$7,"Fill=false,DtFmt=1"),""))</f>
        <v/>
      </c>
      <c r="Q33" s="27" t="str">
        <f>IF($P33="","",SUBSTITUTE(INDEX(code_list!$O:$O,MATCH(O33,통안_code,0)),"통안",""))</f>
        <v/>
      </c>
      <c r="R33" s="8" t="str">
        <f t="shared" si="1"/>
        <v/>
      </c>
      <c r="S33" s="25" t="str">
        <f>IF($P33="","", _xll.IMDP("BND",$O33,S$6,$C$7,"Fill=false"))</f>
        <v/>
      </c>
      <c r="T33" s="26" t="str">
        <f>IF($P33="","", IFERROR( ( _xll.IMDP("BND",$O33,S$6,$C$7,"Fill=false")-_xll.IMDP("BND",$O33,S$6,$C$5,"Fill=false"))*100, ""))</f>
        <v/>
      </c>
      <c r="U33" s="59" t="str">
        <f>IF($P33="","", _xll.IMDP("BND",$O33,U$6,$C$7,"Fill=false,DtFmt=1"))</f>
        <v/>
      </c>
      <c r="W33" s="27"/>
      <c r="X33" s="72" t="str">
        <f>IF(W33="","",_xll.IMDP("BND",$W33,X$6,$C$7,"Fill=false"))</f>
        <v/>
      </c>
      <c r="Y33" s="27" t="str">
        <f t="shared" si="2"/>
        <v/>
      </c>
      <c r="Z33" s="25" t="str">
        <f>IF($X33="","",_xll.IMDP("BND",$W33,Z$6,$C$7,"Fill=false"))</f>
        <v/>
      </c>
      <c r="AA33" s="80" t="str">
        <f>IF($X33="","", IFERROR( ( _xll.IMDP("BND",$W33,Z$6,$C$7,"Fill=false")-_xll.IMDP("BND",$W33,Z$6,$C$5,"Fill=false"))*100, ""))</f>
        <v/>
      </c>
      <c r="AB33" s="59" t="str">
        <f>IF($X33="","",_xll.IMDP("BND",$W33,AB$6,$C$7,"Fill=false,DtFmt=1"))</f>
        <v/>
      </c>
      <c r="AD33" s="11"/>
      <c r="AE33" s="75" t="str">
        <f>IF(AD33="","",_xll.IMDP("BND",$AD33,AE$6,$C$7,"Fill=false"))</f>
        <v/>
      </c>
      <c r="AF33" s="27" t="str">
        <f t="shared" si="3"/>
        <v/>
      </c>
      <c r="AG33" s="9" t="str">
        <f>IF($AE33="","",_xll.IMDP("BND",$AD33,AG$6,$C$7,"Fill=false"))</f>
        <v/>
      </c>
      <c r="AH33" s="80" t="str">
        <f>IF($AE33="","", IFERROR( ( _xll.IMDP("BND",$AD33,AG$6,$C$7,"Fill=false")-_xll.IMDP("BND",$AD33,AG$6,$C$5,"Fill=false"))*100, ""))</f>
        <v/>
      </c>
      <c r="AI33" s="59" t="str">
        <f>IF($AE33="","",_xll.IMDP("BND",$AD33,AI$6,$C$7,"Fill=false,DtFmt=1"))</f>
        <v/>
      </c>
    </row>
    <row r="34" spans="7:35">
      <c r="G34" s="11"/>
      <c r="H34" s="7" t="str">
        <f>IF(G34="","",_xll.IMDP("BND",$G34,H$6,$C$7,"Fill=false"))</f>
        <v/>
      </c>
      <c r="I34" s="27" t="str">
        <f>IF($H34="","",SUBSTITUTE(INDEX(code_list!$F:$F, MATCH(G34,국고_code,0)),"국고",""))</f>
        <v/>
      </c>
      <c r="J34" s="8" t="str">
        <f t="shared" si="0"/>
        <v/>
      </c>
      <c r="K34" s="9" t="str">
        <f>IF($H34="","",_xll.IMDP("BND",$G34,K$6,$C$7,"Fill=false"))</f>
        <v/>
      </c>
      <c r="L34" s="10" t="str">
        <f>IF($H34="","",IFERROR( ( _xll.IMDP("BND",$G34,K$6,$C$7,"Fill=false") - _xll.IMDP("BND",$G34,K$6,$C$5,"Fill=false") ) * 100, ""))</f>
        <v/>
      </c>
      <c r="M34" s="59" t="str">
        <f>IF($H34="","",_xll.IMDP("BND",$G34,M$6,$C$7,"Fill=false,DtFmt=1"))</f>
        <v/>
      </c>
      <c r="O34" s="11"/>
      <c r="P34" s="68" t="str">
        <f>IF(O34="","",IFERROR( _xll.IMDP("BND",$O34,P$6,$C$7,"Fill=false,DtFmt=1"),""))</f>
        <v/>
      </c>
      <c r="Q34" s="27" t="str">
        <f>IF($P34="","",SUBSTITUTE(INDEX(code_list!$O:$O,MATCH(O34,통안_code,0)),"통안",""))</f>
        <v/>
      </c>
      <c r="R34" s="8" t="str">
        <f t="shared" si="1"/>
        <v/>
      </c>
      <c r="S34" s="25" t="str">
        <f>IF($P34="","", _xll.IMDP("BND",$O34,S$6,$C$7,"Fill=false"))</f>
        <v/>
      </c>
      <c r="T34" s="26" t="str">
        <f>IF($P34="","", IFERROR( ( _xll.IMDP("BND",$O34,S$6,$C$7,"Fill=false")-_xll.IMDP("BND",$O34,S$6,$C$5,"Fill=false"))*100, ""))</f>
        <v/>
      </c>
      <c r="U34" s="59" t="str">
        <f>IF($P34="","", _xll.IMDP("BND",$O34,U$6,$C$7,"Fill=false,DtFmt=1"))</f>
        <v/>
      </c>
      <c r="W34" s="27"/>
      <c r="X34" s="72" t="str">
        <f>IF(W34="","",_xll.IMDP("BND",$W34,X$6,$C$7,"Fill=false"))</f>
        <v/>
      </c>
      <c r="Y34" s="27" t="str">
        <f t="shared" si="2"/>
        <v/>
      </c>
      <c r="Z34" s="25" t="str">
        <f>IF($X34="","",_xll.IMDP("BND",$W34,Z$6,$C$7,"Fill=false"))</f>
        <v/>
      </c>
      <c r="AA34" s="80" t="str">
        <f>IF($X34="","", IFERROR( ( _xll.IMDP("BND",$W34,Z$6,$C$7,"Fill=false")-_xll.IMDP("BND",$W34,Z$6,$C$5,"Fill=false"))*100, ""))</f>
        <v/>
      </c>
      <c r="AB34" s="59" t="str">
        <f>IF($X34="","",_xll.IMDP("BND",$W34,AB$6,$C$7,"Fill=false,DtFmt=1"))</f>
        <v/>
      </c>
      <c r="AD34" s="11"/>
      <c r="AE34" s="75" t="str">
        <f>IF(AD34="","",_xll.IMDP("BND",$AD34,AE$6,$C$7,"Fill=false"))</f>
        <v/>
      </c>
      <c r="AF34" s="27" t="str">
        <f t="shared" si="3"/>
        <v/>
      </c>
      <c r="AG34" s="9" t="str">
        <f>IF($AE34="","",_xll.IMDP("BND",$AD34,AG$6,$C$7,"Fill=false"))</f>
        <v/>
      </c>
      <c r="AH34" s="80" t="str">
        <f>IF($AE34="","", IFERROR( ( _xll.IMDP("BND",$AD34,AG$6,$C$7,"Fill=false")-_xll.IMDP("BND",$AD34,AG$6,$C$5,"Fill=false"))*100, ""))</f>
        <v/>
      </c>
      <c r="AI34" s="59" t="str">
        <f>IF($AE34="","",_xll.IMDP("BND",$AD34,AI$6,$C$7,"Fill=false,DtFmt=1"))</f>
        <v/>
      </c>
    </row>
    <row r="35" spans="7:35">
      <c r="G35" s="11"/>
      <c r="H35" s="7" t="str">
        <f>IF(G35="","",_xll.IMDP("BND",$G35,H$6,$C$7,"Fill=false"))</f>
        <v/>
      </c>
      <c r="I35" s="27" t="str">
        <f>IF($H35="","",SUBSTITUTE(INDEX(code_list!$F:$F, MATCH(G35,국고_code,0)),"국고",""))</f>
        <v/>
      </c>
      <c r="J35" s="8" t="str">
        <f t="shared" si="0"/>
        <v/>
      </c>
      <c r="K35" s="9" t="str">
        <f>IF($H35="","",_xll.IMDP("BND",$G35,K$6,$C$7,"Fill=false"))</f>
        <v/>
      </c>
      <c r="L35" s="10" t="str">
        <f>IF($H35="","",IFERROR( ( _xll.IMDP("BND",$G35,K$6,$C$7,"Fill=false") - _xll.IMDP("BND",$G35,K$6,$C$5,"Fill=false") ) * 100, ""))</f>
        <v/>
      </c>
      <c r="M35" s="59" t="str">
        <f>IF($H35="","",_xll.IMDP("BND",$G35,M$6,$C$7,"Fill=false,DtFmt=1"))</f>
        <v/>
      </c>
      <c r="O35" s="11"/>
      <c r="P35" s="68" t="str">
        <f>IF(O35="","",IFERROR( _xll.IMDP("BND",$O35,P$6,$C$7,"Fill=false,DtFmt=1"),""))</f>
        <v/>
      </c>
      <c r="Q35" s="27" t="str">
        <f>IF($P35="","",SUBSTITUTE(INDEX(code_list!$O:$O,MATCH(O35,통안_code,0)),"통안",""))</f>
        <v/>
      </c>
      <c r="R35" s="8" t="str">
        <f t="shared" si="1"/>
        <v/>
      </c>
      <c r="S35" s="25" t="str">
        <f>IF($P35="","", _xll.IMDP("BND",$O35,S$6,$C$7,"Fill=false"))</f>
        <v/>
      </c>
      <c r="T35" s="26" t="str">
        <f>IF($P35="","", IFERROR( ( _xll.IMDP("BND",$O35,S$6,$C$7,"Fill=false")-_xll.IMDP("BND",$O35,S$6,$C$5,"Fill=false"))*100, ""))</f>
        <v/>
      </c>
      <c r="U35" s="59" t="str">
        <f>IF($P35="","", _xll.IMDP("BND",$O35,U$6,$C$7,"Fill=false,DtFmt=1"))</f>
        <v/>
      </c>
      <c r="W35" s="27"/>
      <c r="X35" s="72" t="str">
        <f>IF(W35="","",_xll.IMDP("BND",$W35,X$6,$C$7,"Fill=false"))</f>
        <v/>
      </c>
      <c r="Y35" s="27" t="str">
        <f t="shared" si="2"/>
        <v/>
      </c>
      <c r="Z35" s="25" t="str">
        <f>IF($X35="","",_xll.IMDP("BND",$W35,Z$6,$C$7,"Fill=false"))</f>
        <v/>
      </c>
      <c r="AA35" s="80" t="str">
        <f>IF($X35="","", IFERROR( ( _xll.IMDP("BND",$W35,Z$6,$C$7,"Fill=false")-_xll.IMDP("BND",$W35,Z$6,$C$5,"Fill=false"))*100, ""))</f>
        <v/>
      </c>
      <c r="AB35" s="59" t="str">
        <f>IF($X35="","",_xll.IMDP("BND",$W35,AB$6,$C$7,"Fill=false,DtFmt=1"))</f>
        <v/>
      </c>
      <c r="AD35" s="11"/>
      <c r="AE35" s="75" t="str">
        <f>IF(AD35="","",_xll.IMDP("BND",$AD35,AE$6,$C$7,"Fill=false"))</f>
        <v/>
      </c>
      <c r="AF35" s="27" t="str">
        <f t="shared" si="3"/>
        <v/>
      </c>
      <c r="AG35" s="9" t="str">
        <f>IF($AE35="","",_xll.IMDP("BND",$AD35,AG$6,$C$7,"Fill=false"))</f>
        <v/>
      </c>
      <c r="AH35" s="80" t="str">
        <f>IF($AE35="","", IFERROR( ( _xll.IMDP("BND",$AD35,AG$6,$C$7,"Fill=false")-_xll.IMDP("BND",$AD35,AG$6,$C$5,"Fill=false"))*100, ""))</f>
        <v/>
      </c>
      <c r="AI35" s="59" t="str">
        <f>IF($AE35="","",_xll.IMDP("BND",$AD35,AI$6,$C$7,"Fill=false,DtFmt=1"))</f>
        <v/>
      </c>
    </row>
    <row r="36" spans="7:35">
      <c r="G36" s="11"/>
      <c r="H36" s="7" t="str">
        <f>IF(G36="","",_xll.IMDP("BND",$G36,H$6,$C$7,"Fill=false"))</f>
        <v/>
      </c>
      <c r="I36" s="27" t="str">
        <f>IF($H36="","",SUBSTITUTE(INDEX(code_list!$F:$F, MATCH(G36,국고_code,0)),"국고",""))</f>
        <v/>
      </c>
      <c r="J36" s="8" t="str">
        <f t="shared" si="0"/>
        <v/>
      </c>
      <c r="K36" s="9" t="str">
        <f>IF($H36="","",_xll.IMDP("BND",$G36,K$6,$C$7,"Fill=false"))</f>
        <v/>
      </c>
      <c r="L36" s="10" t="str">
        <f>IF($H36="","",IFERROR( ( _xll.IMDP("BND",$G36,K$6,$C$7,"Fill=false") - _xll.IMDP("BND",$G36,K$6,$C$5,"Fill=false") ) * 100, ""))</f>
        <v/>
      </c>
      <c r="M36" s="59" t="str">
        <f>IF($H36="","",_xll.IMDP("BND",$G36,M$6,$C$7,"Fill=false,DtFmt=1"))</f>
        <v/>
      </c>
      <c r="O36" s="11"/>
      <c r="P36" s="68" t="str">
        <f>IF(O36="","",IFERROR( _xll.IMDP("BND",$O36,P$6,$C$7,"Fill=false,DtFmt=1"),""))</f>
        <v/>
      </c>
      <c r="Q36" s="27" t="str">
        <f>IF($P36="","",SUBSTITUTE(INDEX(code_list!$O:$O,MATCH(O36,통안_code,0)),"통안",""))</f>
        <v/>
      </c>
      <c r="R36" s="8" t="str">
        <f t="shared" si="1"/>
        <v/>
      </c>
      <c r="S36" s="25" t="str">
        <f>IF($P36="","", _xll.IMDP("BND",$O36,S$6,$C$7,"Fill=false"))</f>
        <v/>
      </c>
      <c r="T36" s="26" t="str">
        <f>IF($P36="","", IFERROR( ( _xll.IMDP("BND",$O36,S$6,$C$7,"Fill=false")-_xll.IMDP("BND",$O36,S$6,$C$5,"Fill=false"))*100, ""))</f>
        <v/>
      </c>
      <c r="U36" s="59" t="str">
        <f>IF($P36="","", _xll.IMDP("BND",$O36,U$6,$C$7,"Fill=false,DtFmt=1"))</f>
        <v/>
      </c>
      <c r="W36" s="27"/>
      <c r="X36" s="72" t="str">
        <f>IF(W36="","",_xll.IMDP("BND",$W36,X$6,$C$7,"Fill=false"))</f>
        <v/>
      </c>
      <c r="Y36" s="27" t="str">
        <f t="shared" si="2"/>
        <v/>
      </c>
      <c r="Z36" s="25" t="str">
        <f>IF($X36="","",_xll.IMDP("BND",$W36,Z$6,$C$7,"Fill=false"))</f>
        <v/>
      </c>
      <c r="AA36" s="80" t="str">
        <f>IF($X36="","", IFERROR( ( _xll.IMDP("BND",$W36,Z$6,$C$7,"Fill=false")-_xll.IMDP("BND",$W36,Z$6,$C$5,"Fill=false"))*100, ""))</f>
        <v/>
      </c>
      <c r="AB36" s="59" t="str">
        <f>IF($X36="","",_xll.IMDP("BND",$W36,AB$6,$C$7,"Fill=false,DtFmt=1"))</f>
        <v/>
      </c>
      <c r="AD36" s="11"/>
      <c r="AE36" s="75" t="str">
        <f>IF(AD36="","",_xll.IMDP("BND",$AD36,AE$6,$C$7,"Fill=false"))</f>
        <v/>
      </c>
      <c r="AF36" s="27" t="str">
        <f t="shared" si="3"/>
        <v/>
      </c>
      <c r="AG36" s="9" t="str">
        <f>IF($AE36="","",_xll.IMDP("BND",$AD36,AG$6,$C$7,"Fill=false"))</f>
        <v/>
      </c>
      <c r="AH36" s="80" t="str">
        <f>IF($AE36="","", IFERROR( ( _xll.IMDP("BND",$AD36,AG$6,$C$7,"Fill=false")-_xll.IMDP("BND",$AD36,AG$6,$C$5,"Fill=false"))*100, ""))</f>
        <v/>
      </c>
      <c r="AI36" s="59" t="str">
        <f>IF($AE36="","",_xll.IMDP("BND",$AD36,AI$6,$C$7,"Fill=false,DtFmt=1"))</f>
        <v/>
      </c>
    </row>
    <row r="37" spans="7:35">
      <c r="G37" s="11"/>
      <c r="H37" s="7" t="str">
        <f>IF(G37="","",_xll.IMDP("BND",$G37,H$6,$C$7,"Fill=false"))</f>
        <v/>
      </c>
      <c r="I37" s="27" t="str">
        <f>IF($H37="","",SUBSTITUTE(INDEX(code_list!$F:$F, MATCH(G37,국고_code,0)),"국고",""))</f>
        <v/>
      </c>
      <c r="J37" s="8" t="str">
        <f t="shared" si="0"/>
        <v/>
      </c>
      <c r="K37" s="9" t="str">
        <f>IF($H37="","",_xll.IMDP("BND",$G37,K$6,$C$7,"Fill=false"))</f>
        <v/>
      </c>
      <c r="L37" s="10" t="str">
        <f>IF($H37="","",IFERROR( ( _xll.IMDP("BND",$G37,K$6,$C$7,"Fill=false") - _xll.IMDP("BND",$G37,K$6,$C$5,"Fill=false") ) * 100, ""))</f>
        <v/>
      </c>
      <c r="M37" s="59" t="str">
        <f>IF($H37="","",_xll.IMDP("BND",$G37,M$6,$C$7,"Fill=false,DtFmt=1"))</f>
        <v/>
      </c>
      <c r="O37" s="11"/>
      <c r="P37" s="68" t="str">
        <f>IF(O37="","",IFERROR( _xll.IMDP("BND",$O37,P$6,$C$7,"Fill=false,DtFmt=1"),""))</f>
        <v/>
      </c>
      <c r="Q37" s="27" t="str">
        <f>IF($P37="","",SUBSTITUTE(INDEX(code_list!$O:$O,MATCH(O37,통안_code,0)),"통안",""))</f>
        <v/>
      </c>
      <c r="R37" s="8" t="str">
        <f t="shared" si="1"/>
        <v/>
      </c>
      <c r="S37" s="25" t="str">
        <f>IF($P37="","", _xll.IMDP("BND",$O37,S$6,$C$7,"Fill=false"))</f>
        <v/>
      </c>
      <c r="T37" s="26" t="str">
        <f>IF($P37="","", IFERROR( ( _xll.IMDP("BND",$O37,S$6,$C$7,"Fill=false")-_xll.IMDP("BND",$O37,S$6,$C$5,"Fill=false"))*100, ""))</f>
        <v/>
      </c>
      <c r="U37" s="59" t="str">
        <f>IF($P37="","", _xll.IMDP("BND",$O37,U$6,$C$7,"Fill=false,DtFmt=1"))</f>
        <v/>
      </c>
      <c r="W37" s="27"/>
      <c r="X37" s="72" t="str">
        <f>IF(W37="","",_xll.IMDP("BND",$W37,X$6,$C$7,"Fill=false"))</f>
        <v/>
      </c>
      <c r="Y37" s="27" t="str">
        <f t="shared" si="2"/>
        <v/>
      </c>
      <c r="Z37" s="25" t="str">
        <f>IF($X37="","",_xll.IMDP("BND",$W37,Z$6,$C$7,"Fill=false"))</f>
        <v/>
      </c>
      <c r="AA37" s="80" t="str">
        <f>IF($X37="","", IFERROR( ( _xll.IMDP("BND",$W37,Z$6,$C$7,"Fill=false")-_xll.IMDP("BND",$W37,Z$6,$C$5,"Fill=false"))*100, ""))</f>
        <v/>
      </c>
      <c r="AB37" s="59" t="str">
        <f>IF($X37="","",_xll.IMDP("BND",$W37,AB$6,$C$7,"Fill=false,DtFmt=1"))</f>
        <v/>
      </c>
      <c r="AD37" s="11"/>
      <c r="AE37" s="75" t="str">
        <f>IF(AD37="","",_xll.IMDP("BND",$AD37,AE$6,$C$7,"Fill=false"))</f>
        <v/>
      </c>
      <c r="AF37" s="27" t="str">
        <f t="shared" si="3"/>
        <v/>
      </c>
      <c r="AG37" s="9" t="str">
        <f>IF($AE37="","",_xll.IMDP("BND",$AD37,AG$6,$C$7,"Fill=false"))</f>
        <v/>
      </c>
      <c r="AH37" s="80" t="str">
        <f>IF($AE37="","", IFERROR( ( _xll.IMDP("BND",$AD37,AG$6,$C$7,"Fill=false")-_xll.IMDP("BND",$AD37,AG$6,$C$5,"Fill=false"))*100, ""))</f>
        <v/>
      </c>
      <c r="AI37" s="59" t="str">
        <f>IF($AE37="","",_xll.IMDP("BND",$AD37,AI$6,$C$7,"Fill=false,DtFmt=1"))</f>
        <v/>
      </c>
    </row>
    <row r="38" spans="7:35">
      <c r="G38" s="11"/>
      <c r="H38" s="7" t="str">
        <f>IF(G38="","",_xll.IMDP("BND",$G38,H$6,$C$7,"Fill=false"))</f>
        <v/>
      </c>
      <c r="I38" s="27" t="str">
        <f>IF($H38="","",SUBSTITUTE(INDEX(code_list!$F:$F, MATCH(G38,국고_code,0)),"국고",""))</f>
        <v/>
      </c>
      <c r="J38" s="8" t="str">
        <f t="shared" si="0"/>
        <v/>
      </c>
      <c r="K38" s="9" t="str">
        <f>IF($H38="","",_xll.IMDP("BND",$G38,K$6,$C$7,"Fill=false"))</f>
        <v/>
      </c>
      <c r="L38" s="10" t="str">
        <f>IF($H38="","",IFERROR( ( _xll.IMDP("BND",$G38,K$6,$C$7,"Fill=false") - _xll.IMDP("BND",$G38,K$6,$C$5,"Fill=false") ) * 100, ""))</f>
        <v/>
      </c>
      <c r="M38" s="59" t="str">
        <f>IF($H38="","",_xll.IMDP("BND",$G38,M$6,$C$7,"Fill=false,DtFmt=1"))</f>
        <v/>
      </c>
      <c r="O38" s="11"/>
      <c r="P38" s="68" t="str">
        <f>IF(O38="","",IFERROR( _xll.IMDP("BND",$O38,P$6,$C$7,"Fill=false,DtFmt=1"),""))</f>
        <v/>
      </c>
      <c r="Q38" s="27" t="str">
        <f>IF($P38="","",SUBSTITUTE(INDEX(code_list!$O:$O,MATCH(O38,통안_code,0)),"통안",""))</f>
        <v/>
      </c>
      <c r="R38" s="8" t="str">
        <f t="shared" si="1"/>
        <v/>
      </c>
      <c r="S38" s="25" t="str">
        <f>IF($P38="","", _xll.IMDP("BND",$O38,S$6,$C$7,"Fill=false"))</f>
        <v/>
      </c>
      <c r="T38" s="26" t="str">
        <f>IF($P38="","", IFERROR( ( _xll.IMDP("BND",$O38,S$6,$C$7,"Fill=false")-_xll.IMDP("BND",$O38,S$6,$C$5,"Fill=false"))*100, ""))</f>
        <v/>
      </c>
      <c r="U38" s="59" t="str">
        <f>IF($P38="","", _xll.IMDP("BND",$O38,U$6,$C$7,"Fill=false,DtFmt=1"))</f>
        <v/>
      </c>
      <c r="W38" s="27"/>
      <c r="X38" s="72" t="str">
        <f>IF(W38="","",_xll.IMDP("BND",$W38,X$6,$C$7,"Fill=false"))</f>
        <v/>
      </c>
      <c r="Y38" s="27" t="str">
        <f t="shared" si="2"/>
        <v/>
      </c>
      <c r="Z38" s="25" t="str">
        <f>IF($X38="","",_xll.IMDP("BND",$W38,Z$6,$C$7,"Fill=false"))</f>
        <v/>
      </c>
      <c r="AA38" s="80" t="str">
        <f>IF($X38="","", IFERROR( ( _xll.IMDP("BND",$W38,Z$6,$C$7,"Fill=false")-_xll.IMDP("BND",$W38,Z$6,$C$5,"Fill=false"))*100, ""))</f>
        <v/>
      </c>
      <c r="AB38" s="59" t="str">
        <f>IF($X38="","",_xll.IMDP("BND",$W38,AB$6,$C$7,"Fill=false,DtFmt=1"))</f>
        <v/>
      </c>
      <c r="AD38" s="11"/>
      <c r="AE38" s="75" t="str">
        <f>IF(AD38="","",_xll.IMDP("BND",$AD38,AE$6,$C$7,"Fill=false"))</f>
        <v/>
      </c>
      <c r="AF38" s="27" t="str">
        <f t="shared" si="3"/>
        <v/>
      </c>
      <c r="AG38" s="9" t="str">
        <f>IF($AE38="","",_xll.IMDP("BND",$AD38,AG$6,$C$7,"Fill=false"))</f>
        <v/>
      </c>
      <c r="AH38" s="80" t="str">
        <f>IF($AE38="","", IFERROR( ( _xll.IMDP("BND",$AD38,AG$6,$C$7,"Fill=false")-_xll.IMDP("BND",$AD38,AG$6,$C$5,"Fill=false"))*100, ""))</f>
        <v/>
      </c>
      <c r="AI38" s="59" t="str">
        <f>IF($AE38="","",_xll.IMDP("BND",$AD38,AI$6,$C$7,"Fill=false,DtFmt=1"))</f>
        <v/>
      </c>
    </row>
    <row r="39" spans="7:35">
      <c r="G39" s="11"/>
      <c r="H39" s="7" t="str">
        <f>IF(G39="","",_xll.IMDP("BND",$G39,H$6,$C$7,"Fill=false"))</f>
        <v/>
      </c>
      <c r="I39" s="27" t="str">
        <f>IF($H39="","",SUBSTITUTE(INDEX(code_list!$F:$F, MATCH(G39,국고_code,0)),"국고",""))</f>
        <v/>
      </c>
      <c r="J39" s="8" t="str">
        <f t="shared" si="0"/>
        <v/>
      </c>
      <c r="K39" s="9" t="str">
        <f>IF($H39="","",_xll.IMDP("BND",$G39,K$6,$C$7,"Fill=false"))</f>
        <v/>
      </c>
      <c r="L39" s="10" t="str">
        <f>IF($H39="","",IFERROR( ( _xll.IMDP("BND",$G39,K$6,$C$7,"Fill=false") - _xll.IMDP("BND",$G39,K$6,$C$5,"Fill=false") ) * 100, ""))</f>
        <v/>
      </c>
      <c r="M39" s="59" t="str">
        <f>IF($H39="","",_xll.IMDP("BND",$G39,M$6,$C$7,"Fill=false,DtFmt=1"))</f>
        <v/>
      </c>
      <c r="O39" s="11"/>
      <c r="P39" s="68" t="str">
        <f>IF(O39="","",IFERROR( _xll.IMDP("BND",$O39,P$6,$C$7,"Fill=false,DtFmt=1"),""))</f>
        <v/>
      </c>
      <c r="Q39" s="27" t="str">
        <f>IF($P39="","",SUBSTITUTE(INDEX(code_list!$O:$O,MATCH(O39,통안_code,0)),"통안",""))</f>
        <v/>
      </c>
      <c r="R39" s="8" t="str">
        <f t="shared" si="1"/>
        <v/>
      </c>
      <c r="S39" s="25" t="str">
        <f>IF($P39="","", _xll.IMDP("BND",$O39,S$6,$C$7,"Fill=false"))</f>
        <v/>
      </c>
      <c r="T39" s="26" t="str">
        <f>IF($P39="","", IFERROR( ( _xll.IMDP("BND",$O39,S$6,$C$7,"Fill=false")-_xll.IMDP("BND",$O39,S$6,$C$5,"Fill=false"))*100, ""))</f>
        <v/>
      </c>
      <c r="U39" s="59" t="str">
        <f>IF($P39="","", _xll.IMDP("BND",$O39,U$6,$C$7,"Fill=false,DtFmt=1"))</f>
        <v/>
      </c>
      <c r="W39" s="27"/>
      <c r="X39" s="72" t="str">
        <f>IF(W39="","",_xll.IMDP("BND",$W39,X$6,$C$7,"Fill=false"))</f>
        <v/>
      </c>
      <c r="Y39" s="27" t="str">
        <f t="shared" si="2"/>
        <v/>
      </c>
      <c r="Z39" s="25" t="str">
        <f>IF($X39="","",_xll.IMDP("BND",$W39,Z$6,$C$7,"Fill=false"))</f>
        <v/>
      </c>
      <c r="AA39" s="80" t="str">
        <f>IF($X39="","", IFERROR( ( _xll.IMDP("BND",$W39,Z$6,$C$7,"Fill=false")-_xll.IMDP("BND",$W39,Z$6,$C$5,"Fill=false"))*100, ""))</f>
        <v/>
      </c>
      <c r="AB39" s="59" t="str">
        <f>IF($X39="","",_xll.IMDP("BND",$W39,AB$6,$C$7,"Fill=false,DtFmt=1"))</f>
        <v/>
      </c>
      <c r="AD39" s="11"/>
      <c r="AE39" s="75" t="str">
        <f>IF(AD39="","",_xll.IMDP("BND",$AD39,AE$6,$C$7,"Fill=false"))</f>
        <v/>
      </c>
      <c r="AF39" s="27" t="str">
        <f t="shared" si="3"/>
        <v/>
      </c>
      <c r="AG39" s="9" t="str">
        <f>IF($AE39="","",_xll.IMDP("BND",$AD39,AG$6,$C$7,"Fill=false"))</f>
        <v/>
      </c>
      <c r="AH39" s="80" t="str">
        <f>IF($AE39="","", IFERROR( ( _xll.IMDP("BND",$AD39,AG$6,$C$7,"Fill=false")-_xll.IMDP("BND",$AD39,AG$6,$C$5,"Fill=false"))*100, ""))</f>
        <v/>
      </c>
      <c r="AI39" s="59" t="str">
        <f>IF($AE39="","",_xll.IMDP("BND",$AD39,AI$6,$C$7,"Fill=false,DtFmt=1"))</f>
        <v/>
      </c>
    </row>
    <row r="40" spans="7:35">
      <c r="G40" s="11"/>
      <c r="H40" s="7" t="str">
        <f>IF(G40="","",_xll.IMDP("BND",$G40,H$6,$C$7,"Fill=false"))</f>
        <v/>
      </c>
      <c r="I40" s="27" t="str">
        <f>IF($H40="","",SUBSTITUTE(INDEX(code_list!$F:$F, MATCH(G40,국고_code,0)),"국고",""))</f>
        <v/>
      </c>
      <c r="J40" s="8" t="str">
        <f t="shared" si="0"/>
        <v/>
      </c>
      <c r="K40" s="9" t="str">
        <f>IF($H40="","",_xll.IMDP("BND",$G40,K$6,$C$7,"Fill=false"))</f>
        <v/>
      </c>
      <c r="L40" s="10" t="str">
        <f>IF($H40="","",IFERROR( ( _xll.IMDP("BND",$G40,K$6,$C$7,"Fill=false") - _xll.IMDP("BND",$G40,K$6,$C$5,"Fill=false") ) * 100, ""))</f>
        <v/>
      </c>
      <c r="M40" s="59" t="str">
        <f>IF($H40="","",_xll.IMDP("BND",$G40,M$6,$C$7,"Fill=false,DtFmt=1"))</f>
        <v/>
      </c>
      <c r="O40" s="11"/>
      <c r="P40" s="68" t="str">
        <f>IF(O40="","",IFERROR( _xll.IMDP("BND",$O40,P$6,$C$7,"Fill=false,DtFmt=1"),""))</f>
        <v/>
      </c>
      <c r="Q40" s="27" t="str">
        <f>IF($P40="","",SUBSTITUTE(INDEX(code_list!$O:$O,MATCH(O40,통안_code,0)),"통안",""))</f>
        <v/>
      </c>
      <c r="R40" s="8" t="str">
        <f t="shared" si="1"/>
        <v/>
      </c>
      <c r="S40" s="25" t="str">
        <f>IF($P40="","", _xll.IMDP("BND",$O40,S$6,$C$7,"Fill=false"))</f>
        <v/>
      </c>
      <c r="T40" s="26" t="str">
        <f>IF($P40="","", IFERROR( ( _xll.IMDP("BND",$O40,S$6,$C$7,"Fill=false")-_xll.IMDP("BND",$O40,S$6,$C$5,"Fill=false"))*100, ""))</f>
        <v/>
      </c>
      <c r="U40" s="59" t="str">
        <f>IF($P40="","", _xll.IMDP("BND",$O40,U$6,$C$7,"Fill=false,DtFmt=1"))</f>
        <v/>
      </c>
      <c r="W40" s="27"/>
      <c r="X40" s="72" t="str">
        <f>IF(W40="","",_xll.IMDP("BND",$W40,X$6,$C$7,"Fill=false"))</f>
        <v/>
      </c>
      <c r="Y40" s="27" t="str">
        <f t="shared" si="2"/>
        <v/>
      </c>
      <c r="Z40" s="25" t="str">
        <f>IF($X40="","",_xll.IMDP("BND",$W40,Z$6,$C$7,"Fill=false"))</f>
        <v/>
      </c>
      <c r="AA40" s="80" t="str">
        <f>IF($X40="","", IFERROR( ( _xll.IMDP("BND",$W40,Z$6,$C$7,"Fill=false")-_xll.IMDP("BND",$W40,Z$6,$C$5,"Fill=false"))*100, ""))</f>
        <v/>
      </c>
      <c r="AB40" s="59" t="str">
        <f>IF($X40="","",_xll.IMDP("BND",$W40,AB$6,$C$7,"Fill=false,DtFmt=1"))</f>
        <v/>
      </c>
      <c r="AD40" s="11"/>
      <c r="AE40" s="75" t="str">
        <f>IF(AD40="","",_xll.IMDP("BND",$AD40,AE$6,$C$7,"Fill=false"))</f>
        <v/>
      </c>
      <c r="AF40" s="27" t="str">
        <f t="shared" si="3"/>
        <v/>
      </c>
      <c r="AG40" s="9" t="str">
        <f>IF($AE40="","",_xll.IMDP("BND",$AD40,AG$6,$C$7,"Fill=false"))</f>
        <v/>
      </c>
      <c r="AH40" s="80" t="str">
        <f>IF($AE40="","", IFERROR( ( _xll.IMDP("BND",$AD40,AG$6,$C$7,"Fill=false")-_xll.IMDP("BND",$AD40,AG$6,$C$5,"Fill=false"))*100, ""))</f>
        <v/>
      </c>
      <c r="AI40" s="59" t="str">
        <f>IF($AE40="","",_xll.IMDP("BND",$AD40,AI$6,$C$7,"Fill=false,DtFmt=1"))</f>
        <v/>
      </c>
    </row>
    <row r="41" spans="7:35">
      <c r="G41" s="11"/>
      <c r="H41" s="7" t="str">
        <f>IF(G41="","",_xll.IMDP("BND",$G41,H$6,$C$7,"Fill=false"))</f>
        <v/>
      </c>
      <c r="I41" s="27" t="str">
        <f>IF($H41="","",SUBSTITUTE(INDEX(code_list!$F:$F, MATCH(G41,국고_code,0)),"국고",""))</f>
        <v/>
      </c>
      <c r="J41" s="8" t="str">
        <f t="shared" si="0"/>
        <v/>
      </c>
      <c r="K41" s="9" t="str">
        <f>IF($H41="","",_xll.IMDP("BND",$G41,K$6,$C$7,"Fill=false"))</f>
        <v/>
      </c>
      <c r="L41" s="10" t="str">
        <f>IF($H41="","",IFERROR( ( _xll.IMDP("BND",$G41,K$6,$C$7,"Fill=false") - _xll.IMDP("BND",$G41,K$6,$C$5,"Fill=false") ) * 100, ""))</f>
        <v/>
      </c>
      <c r="M41" s="59" t="str">
        <f>IF($H41="","",_xll.IMDP("BND",$G41,M$6,$C$7,"Fill=false,DtFmt=1"))</f>
        <v/>
      </c>
      <c r="O41" s="11"/>
      <c r="P41" s="68" t="str">
        <f>IF(O41="","",IFERROR( _xll.IMDP("BND",$O41,P$6,$C$7,"Fill=false,DtFmt=1"),""))</f>
        <v/>
      </c>
      <c r="Q41" s="27" t="str">
        <f>IF($P41="","",SUBSTITUTE(INDEX(code_list!$O:$O,MATCH(O41,통안_code,0)),"통안",""))</f>
        <v/>
      </c>
      <c r="R41" s="8" t="str">
        <f t="shared" si="1"/>
        <v/>
      </c>
      <c r="S41" s="25" t="str">
        <f>IF($P41="","", _xll.IMDP("BND",$O41,S$6,$C$7,"Fill=false"))</f>
        <v/>
      </c>
      <c r="T41" s="26" t="str">
        <f>IF($P41="","", IFERROR( ( _xll.IMDP("BND",$O41,S$6,$C$7,"Fill=false")-_xll.IMDP("BND",$O41,S$6,$C$5,"Fill=false"))*100, ""))</f>
        <v/>
      </c>
      <c r="U41" s="59" t="str">
        <f>IF($P41="","", _xll.IMDP("BND",$O41,U$6,$C$7,"Fill=false,DtFmt=1"))</f>
        <v/>
      </c>
      <c r="W41" s="27"/>
      <c r="X41" s="72" t="str">
        <f>IF(W41="","",_xll.IMDP("BND",$W41,X$6,$C$7,"Fill=false"))</f>
        <v/>
      </c>
      <c r="Y41" s="27" t="str">
        <f t="shared" si="2"/>
        <v/>
      </c>
      <c r="Z41" s="25" t="str">
        <f>IF($X41="","",_xll.IMDP("BND",$W41,Z$6,$C$7,"Fill=false"))</f>
        <v/>
      </c>
      <c r="AA41" s="80" t="str">
        <f>IF($X41="","", IFERROR( ( _xll.IMDP("BND",$W41,Z$6,$C$7,"Fill=false")-_xll.IMDP("BND",$W41,Z$6,$C$5,"Fill=false"))*100, ""))</f>
        <v/>
      </c>
      <c r="AB41" s="59" t="str">
        <f>IF($X41="","",_xll.IMDP("BND",$W41,AB$6,$C$7,"Fill=false,DtFmt=1"))</f>
        <v/>
      </c>
      <c r="AD41" s="11"/>
      <c r="AE41" s="75" t="str">
        <f>IF(AD41="","",_xll.IMDP("BND",$AD41,AE$6,$C$7,"Fill=false"))</f>
        <v/>
      </c>
      <c r="AF41" s="27" t="str">
        <f t="shared" si="3"/>
        <v/>
      </c>
      <c r="AG41" s="9" t="str">
        <f>IF($AE41="","",_xll.IMDP("BND",$AD41,AG$6,$C$7,"Fill=false"))</f>
        <v/>
      </c>
      <c r="AH41" s="80" t="str">
        <f>IF($AE41="","", IFERROR( ( _xll.IMDP("BND",$AD41,AG$6,$C$7,"Fill=false")-_xll.IMDP("BND",$AD41,AG$6,$C$5,"Fill=false"))*100, ""))</f>
        <v/>
      </c>
      <c r="AI41" s="59" t="str">
        <f>IF($AE41="","",_xll.IMDP("BND",$AD41,AI$6,$C$7,"Fill=false,DtFmt=1"))</f>
        <v/>
      </c>
    </row>
    <row r="42" spans="7:35">
      <c r="G42" s="11"/>
      <c r="H42" s="7" t="str">
        <f>IF(G42="","",_xll.IMDP("BND",$G42,H$6,$C$7,"Fill=false"))</f>
        <v/>
      </c>
      <c r="I42" s="27" t="str">
        <f>IF($H42="","",SUBSTITUTE(INDEX(code_list!$F:$F, MATCH(G42,국고_code,0)),"국고",""))</f>
        <v/>
      </c>
      <c r="J42" s="8" t="str">
        <f t="shared" si="0"/>
        <v/>
      </c>
      <c r="K42" s="9" t="str">
        <f>IF($H42="","",_xll.IMDP("BND",$G42,K$6,$C$7,"Fill=false"))</f>
        <v/>
      </c>
      <c r="L42" s="10" t="str">
        <f>IF($H42="","",IFERROR( ( _xll.IMDP("BND",$G42,K$6,$C$7,"Fill=false") - _xll.IMDP("BND",$G42,K$6,$C$5,"Fill=false") ) * 100, ""))</f>
        <v/>
      </c>
      <c r="M42" s="59" t="str">
        <f>IF($H42="","",_xll.IMDP("BND",$G42,M$6,$C$7,"Fill=false,DtFmt=1"))</f>
        <v/>
      </c>
      <c r="O42" s="11"/>
      <c r="P42" s="68" t="str">
        <f>IF(O42="","",IFERROR( _xll.IMDP("BND",$O42,P$6,$C$7,"Fill=false,DtFmt=1"),""))</f>
        <v/>
      </c>
      <c r="Q42" s="27" t="str">
        <f>IF($P42="","",SUBSTITUTE(INDEX(code_list!$O:$O,MATCH(O42,통안_code,0)),"통안",""))</f>
        <v/>
      </c>
      <c r="R42" s="8" t="str">
        <f t="shared" si="1"/>
        <v/>
      </c>
      <c r="S42" s="25" t="str">
        <f>IF($P42="","", _xll.IMDP("BND",$O42,S$6,$C$7,"Fill=false"))</f>
        <v/>
      </c>
      <c r="T42" s="26" t="str">
        <f>IF($P42="","", IFERROR( ( _xll.IMDP("BND",$O42,S$6,$C$7,"Fill=false")-_xll.IMDP("BND",$O42,S$6,$C$5,"Fill=false"))*100, ""))</f>
        <v/>
      </c>
      <c r="U42" s="59" t="str">
        <f>IF($P42="","", _xll.IMDP("BND",$O42,U$6,$C$7,"Fill=false,DtFmt=1"))</f>
        <v/>
      </c>
      <c r="W42" s="27"/>
      <c r="X42" s="72" t="str">
        <f>IF(W42="","",_xll.IMDP("BND",$W42,X$6,$C$7,"Fill=false"))</f>
        <v/>
      </c>
      <c r="Y42" s="27" t="str">
        <f t="shared" si="2"/>
        <v/>
      </c>
      <c r="Z42" s="25" t="str">
        <f>IF($X42="","",_xll.IMDP("BND",$W42,Z$6,$C$7,"Fill=false"))</f>
        <v/>
      </c>
      <c r="AA42" s="80" t="str">
        <f>IF($X42="","", IFERROR( ( _xll.IMDP("BND",$W42,Z$6,$C$7,"Fill=false")-_xll.IMDP("BND",$W42,Z$6,$C$5,"Fill=false"))*100, ""))</f>
        <v/>
      </c>
      <c r="AB42" s="59" t="str">
        <f>IF($X42="","",_xll.IMDP("BND",$W42,AB$6,$C$7,"Fill=false,DtFmt=1"))</f>
        <v/>
      </c>
      <c r="AD42" s="11"/>
      <c r="AE42" s="75" t="str">
        <f>IF(AD42="","",_xll.IMDP("BND",$AD42,AE$6,$C$7,"Fill=false"))</f>
        <v/>
      </c>
      <c r="AF42" s="27" t="str">
        <f t="shared" si="3"/>
        <v/>
      </c>
      <c r="AG42" s="9" t="str">
        <f>IF($AE42="","",_xll.IMDP("BND",$AD42,AG$6,$C$7,"Fill=false"))</f>
        <v/>
      </c>
      <c r="AH42" s="80" t="str">
        <f>IF($AE42="","", IFERROR( ( _xll.IMDP("BND",$AD42,AG$6,$C$7,"Fill=false")-_xll.IMDP("BND",$AD42,AG$6,$C$5,"Fill=false"))*100, ""))</f>
        <v/>
      </c>
      <c r="AI42" s="59" t="str">
        <f>IF($AE42="","",_xll.IMDP("BND",$AD42,AI$6,$C$7,"Fill=false,DtFmt=1"))</f>
        <v/>
      </c>
    </row>
    <row r="43" spans="7:35">
      <c r="G43" s="11"/>
      <c r="H43" s="7" t="str">
        <f>IF(G43="","",_xll.IMDP("BND",$G43,H$6,$C$7,"Fill=false"))</f>
        <v/>
      </c>
      <c r="I43" s="27" t="str">
        <f>IF($H43="","",SUBSTITUTE(INDEX(code_list!$F:$F, MATCH(G43,국고_code,0)),"국고",""))</f>
        <v/>
      </c>
      <c r="J43" s="8" t="str">
        <f t="shared" si="0"/>
        <v/>
      </c>
      <c r="K43" s="9" t="str">
        <f>IF($H43="","",_xll.IMDP("BND",$G43,K$6,$C$7,"Fill=false"))</f>
        <v/>
      </c>
      <c r="L43" s="10" t="str">
        <f>IF($H43="","",IFERROR( ( _xll.IMDP("BND",$G43,K$6,$C$7,"Fill=false") - _xll.IMDP("BND",$G43,K$6,$C$5,"Fill=false") ) * 100, ""))</f>
        <v/>
      </c>
      <c r="M43" s="59" t="str">
        <f>IF($H43="","",_xll.IMDP("BND",$G43,M$6,$C$7,"Fill=false,DtFmt=1"))</f>
        <v/>
      </c>
      <c r="O43" s="11"/>
      <c r="P43" s="68" t="str">
        <f>IF(O43="","",IFERROR( _xll.IMDP("BND",$O43,P$6,$C$7,"Fill=false,DtFmt=1"),""))</f>
        <v/>
      </c>
      <c r="Q43" s="27" t="str">
        <f>IF($P43="","",SUBSTITUTE(INDEX(code_list!$O:$O,MATCH(O43,통안_code,0)),"통안",""))</f>
        <v/>
      </c>
      <c r="R43" s="8" t="str">
        <f t="shared" si="1"/>
        <v/>
      </c>
      <c r="S43" s="25" t="str">
        <f>IF($P43="","", _xll.IMDP("BND",$O43,S$6,$C$7,"Fill=false"))</f>
        <v/>
      </c>
      <c r="T43" s="26" t="str">
        <f>IF($P43="","", IFERROR( ( _xll.IMDP("BND",$O43,S$6,$C$7,"Fill=false")-_xll.IMDP("BND",$O43,S$6,$C$5,"Fill=false"))*100, ""))</f>
        <v/>
      </c>
      <c r="U43" s="59" t="str">
        <f>IF($P43="","", _xll.IMDP("BND",$O43,U$6,$C$7,"Fill=false,DtFmt=1"))</f>
        <v/>
      </c>
      <c r="W43" s="27"/>
      <c r="X43" s="72" t="str">
        <f>IF(W43="","",_xll.IMDP("BND",$W43,X$6,$C$7,"Fill=false"))</f>
        <v/>
      </c>
      <c r="Y43" s="27" t="str">
        <f t="shared" si="2"/>
        <v/>
      </c>
      <c r="Z43" s="25" t="str">
        <f>IF($X43="","",_xll.IMDP("BND",$W43,Z$6,$C$7,"Fill=false"))</f>
        <v/>
      </c>
      <c r="AA43" s="80" t="str">
        <f>IF($X43="","", IFERROR( ( _xll.IMDP("BND",$W43,Z$6,$C$7,"Fill=false")-_xll.IMDP("BND",$W43,Z$6,$C$5,"Fill=false"))*100, ""))</f>
        <v/>
      </c>
      <c r="AB43" s="59" t="str">
        <f>IF($X43="","",_xll.IMDP("BND",$W43,AB$6,$C$7,"Fill=false,DtFmt=1"))</f>
        <v/>
      </c>
      <c r="AD43" s="11"/>
      <c r="AE43" s="75" t="str">
        <f>IF(AD43="","",_xll.IMDP("BND",$AD43,AE$6,$C$7,"Fill=false"))</f>
        <v/>
      </c>
      <c r="AF43" s="27" t="str">
        <f t="shared" si="3"/>
        <v/>
      </c>
      <c r="AG43" s="9" t="str">
        <f>IF($AE43="","",_xll.IMDP("BND",$AD43,AG$6,$C$7,"Fill=false"))</f>
        <v/>
      </c>
      <c r="AH43" s="80" t="str">
        <f>IF($AE43="","", IFERROR( ( _xll.IMDP("BND",$AD43,AG$6,$C$7,"Fill=false")-_xll.IMDP("BND",$AD43,AG$6,$C$5,"Fill=false"))*100, ""))</f>
        <v/>
      </c>
      <c r="AI43" s="59" t="str">
        <f>IF($AE43="","",_xll.IMDP("BND",$AD43,AI$6,$C$7,"Fill=false,DtFmt=1"))</f>
        <v/>
      </c>
    </row>
    <row r="44" spans="7:35">
      <c r="G44" s="11"/>
      <c r="H44" s="7" t="str">
        <f>IF(G44="","",_xll.IMDP("BND",$G44,H$6,$C$7,"Fill=false"))</f>
        <v/>
      </c>
      <c r="I44" s="27" t="str">
        <f>IF($H44="","",SUBSTITUTE(INDEX(code_list!$F:$F, MATCH(G44,국고_code,0)),"국고",""))</f>
        <v/>
      </c>
      <c r="J44" s="8" t="str">
        <f t="shared" si="0"/>
        <v/>
      </c>
      <c r="K44" s="9" t="str">
        <f>IF($H44="","",_xll.IMDP("BND",$G44,K$6,$C$7,"Fill=false"))</f>
        <v/>
      </c>
      <c r="L44" s="10" t="str">
        <f>IF($H44="","",IFERROR( ( _xll.IMDP("BND",$G44,K$6,$C$7,"Fill=false") - _xll.IMDP("BND",$G44,K$6,$C$5,"Fill=false") ) * 100, ""))</f>
        <v/>
      </c>
      <c r="M44" s="59" t="str">
        <f>IF($H44="","",_xll.IMDP("BND",$G44,M$6,$C$7,"Fill=false,DtFmt=1"))</f>
        <v/>
      </c>
      <c r="O44" s="11"/>
      <c r="P44" s="68" t="str">
        <f>IF(O44="","",IFERROR( _xll.IMDP("BND",$O44,P$6,$C$7,"Fill=false,DtFmt=1"),""))</f>
        <v/>
      </c>
      <c r="Q44" s="27" t="str">
        <f>IF($P44="","",SUBSTITUTE(INDEX(code_list!$O:$O,MATCH(O44,통안_code,0)),"통안",""))</f>
        <v/>
      </c>
      <c r="R44" s="8" t="str">
        <f t="shared" si="1"/>
        <v/>
      </c>
      <c r="S44" s="25" t="str">
        <f>IF($P44="","", _xll.IMDP("BND",$O44,S$6,$C$7,"Fill=false"))</f>
        <v/>
      </c>
      <c r="T44" s="26" t="str">
        <f>IF($P44="","", IFERROR( ( _xll.IMDP("BND",$O44,S$6,$C$7,"Fill=false")-_xll.IMDP("BND",$O44,S$6,$C$5,"Fill=false"))*100, ""))</f>
        <v/>
      </c>
      <c r="U44" s="59" t="str">
        <f>IF($P44="","", _xll.IMDP("BND",$O44,U$6,$C$7,"Fill=false,DtFmt=1"))</f>
        <v/>
      </c>
      <c r="W44" s="27"/>
      <c r="X44" s="72" t="str">
        <f>IF(W44="","",_xll.IMDP("BND",$W44,X$6,$C$7,"Fill=false"))</f>
        <v/>
      </c>
      <c r="Y44" s="27" t="str">
        <f t="shared" si="2"/>
        <v/>
      </c>
      <c r="Z44" s="25" t="str">
        <f>IF($X44="","",_xll.IMDP("BND",$W44,Z$6,$C$7,"Fill=false"))</f>
        <v/>
      </c>
      <c r="AA44" s="80" t="str">
        <f>IF($X44="","", IFERROR( ( _xll.IMDP("BND",$W44,Z$6,$C$7,"Fill=false")-_xll.IMDP("BND",$W44,Z$6,$C$5,"Fill=false"))*100, ""))</f>
        <v/>
      </c>
      <c r="AB44" s="59" t="str">
        <f>IF($X44="","",_xll.IMDP("BND",$W44,AB$6,$C$7,"Fill=false,DtFmt=1"))</f>
        <v/>
      </c>
      <c r="AD44" s="11"/>
      <c r="AE44" s="75" t="str">
        <f>IF(AD44="","",_xll.IMDP("BND",$AD44,AE$6,$C$7,"Fill=false"))</f>
        <v/>
      </c>
      <c r="AF44" s="27" t="str">
        <f t="shared" si="3"/>
        <v/>
      </c>
      <c r="AG44" s="9" t="str">
        <f>IF($AE44="","",_xll.IMDP("BND",$AD44,AG$6,$C$7,"Fill=false"))</f>
        <v/>
      </c>
      <c r="AH44" s="80" t="str">
        <f>IF($AE44="","", IFERROR( ( _xll.IMDP("BND",$AD44,AG$6,$C$7,"Fill=false")-_xll.IMDP("BND",$AD44,AG$6,$C$5,"Fill=false"))*100, ""))</f>
        <v/>
      </c>
      <c r="AI44" s="59" t="str">
        <f>IF($AE44="","",_xll.IMDP("BND",$AD44,AI$6,$C$7,"Fill=false,DtFmt=1"))</f>
        <v/>
      </c>
    </row>
    <row r="45" spans="7:35">
      <c r="G45" s="11"/>
      <c r="H45" s="7" t="str">
        <f>IF(G45="","",_xll.IMDP("BND",$G45,H$6,$C$7,"Fill=false"))</f>
        <v/>
      </c>
      <c r="I45" s="27" t="str">
        <f>IF($H45="","",SUBSTITUTE(INDEX(code_list!$F:$F, MATCH(G45,국고_code,0)),"국고",""))</f>
        <v/>
      </c>
      <c r="J45" s="8" t="str">
        <f t="shared" si="0"/>
        <v/>
      </c>
      <c r="K45" s="9" t="str">
        <f>IF($H45="","",_xll.IMDP("BND",$G45,K$6,$C$7,"Fill=false"))</f>
        <v/>
      </c>
      <c r="L45" s="10" t="str">
        <f>IF($H45="","",IFERROR( ( _xll.IMDP("BND",$G45,K$6,$C$7,"Fill=false") - _xll.IMDP("BND",$G45,K$6,$C$5,"Fill=false") ) * 100, ""))</f>
        <v/>
      </c>
      <c r="M45" s="59" t="str">
        <f>IF($H45="","",_xll.IMDP("BND",$G45,M$6,$C$7,"Fill=false,DtFmt=1"))</f>
        <v/>
      </c>
      <c r="O45" s="11"/>
      <c r="P45" s="68" t="str">
        <f>IF(O45="","",IFERROR( _xll.IMDP("BND",$O45,P$6,$C$7,"Fill=false,DtFmt=1"),""))</f>
        <v/>
      </c>
      <c r="Q45" s="27" t="str">
        <f>IF($P45="","",SUBSTITUTE(INDEX(code_list!$O:$O,MATCH(O45,통안_code,0)),"통안",""))</f>
        <v/>
      </c>
      <c r="R45" s="8" t="str">
        <f t="shared" si="1"/>
        <v/>
      </c>
      <c r="S45" s="25" t="str">
        <f>IF($P45="","", _xll.IMDP("BND",$O45,S$6,$C$7,"Fill=false"))</f>
        <v/>
      </c>
      <c r="T45" s="26" t="str">
        <f>IF($P45="","", IFERROR( ( _xll.IMDP("BND",$O45,S$6,$C$7,"Fill=false")-_xll.IMDP("BND",$O45,S$6,$C$5,"Fill=false"))*100, ""))</f>
        <v/>
      </c>
      <c r="U45" s="59" t="str">
        <f>IF($P45="","", _xll.IMDP("BND",$O45,U$6,$C$7,"Fill=false,DtFmt=1"))</f>
        <v/>
      </c>
      <c r="W45" s="27"/>
      <c r="X45" s="72" t="str">
        <f>IF(W45="","",_xll.IMDP("BND",$W45,X$6,$C$7,"Fill=false"))</f>
        <v/>
      </c>
      <c r="Y45" s="27" t="str">
        <f t="shared" si="2"/>
        <v/>
      </c>
      <c r="Z45" s="25" t="str">
        <f>IF($X45="","",_xll.IMDP("BND",$W45,Z$6,$C$7,"Fill=false"))</f>
        <v/>
      </c>
      <c r="AA45" s="80" t="str">
        <f>IF($X45="","", IFERROR( ( _xll.IMDP("BND",$W45,Z$6,$C$7,"Fill=false")-_xll.IMDP("BND",$W45,Z$6,$C$5,"Fill=false"))*100, ""))</f>
        <v/>
      </c>
      <c r="AB45" s="59" t="str">
        <f>IF($X45="","",_xll.IMDP("BND",$W45,AB$6,$C$7,"Fill=false,DtFmt=1"))</f>
        <v/>
      </c>
      <c r="AD45" s="11"/>
      <c r="AE45" s="75" t="str">
        <f>IF(AD45="","",_xll.IMDP("BND",$AD45,AE$6,$C$7,"Fill=false"))</f>
        <v/>
      </c>
      <c r="AF45" s="27" t="str">
        <f t="shared" si="3"/>
        <v/>
      </c>
      <c r="AG45" s="9" t="str">
        <f>IF($AE45="","",_xll.IMDP("BND",$AD45,AG$6,$C$7,"Fill=false"))</f>
        <v/>
      </c>
      <c r="AH45" s="80" t="str">
        <f>IF($AE45="","", IFERROR( ( _xll.IMDP("BND",$AD45,AG$6,$C$7,"Fill=false")-_xll.IMDP("BND",$AD45,AG$6,$C$5,"Fill=false"))*100, ""))</f>
        <v/>
      </c>
      <c r="AI45" s="59" t="str">
        <f>IF($AE45="","",_xll.IMDP("BND",$AD45,AI$6,$C$7,"Fill=false,DtFmt=1"))</f>
        <v/>
      </c>
    </row>
    <row r="46" spans="7:35">
      <c r="G46" s="11"/>
      <c r="H46" s="7" t="str">
        <f>IF(G46="","",_xll.IMDP("BND",$G46,H$6,$C$7,"Fill=false"))</f>
        <v/>
      </c>
      <c r="I46" s="27" t="str">
        <f>IF($H46="","",SUBSTITUTE(INDEX(code_list!$F:$F, MATCH(G46,국고_code,0)),"국고",""))</f>
        <v/>
      </c>
      <c r="J46" s="8" t="str">
        <f t="shared" si="0"/>
        <v/>
      </c>
      <c r="K46" s="9" t="str">
        <f>IF($H46="","",_xll.IMDP("BND",$G46,K$6,$C$7,"Fill=false"))</f>
        <v/>
      </c>
      <c r="L46" s="10" t="str">
        <f>IF($H46="","",IFERROR( ( _xll.IMDP("BND",$G46,K$6,$C$7,"Fill=false") - _xll.IMDP("BND",$G46,K$6,$C$5,"Fill=false") ) * 100, ""))</f>
        <v/>
      </c>
      <c r="M46" s="59" t="str">
        <f>IF($H46="","",_xll.IMDP("BND",$G46,M$6,$C$7,"Fill=false,DtFmt=1"))</f>
        <v/>
      </c>
      <c r="O46" s="11"/>
      <c r="P46" s="68" t="str">
        <f>IF(O46="","",IFERROR( _xll.IMDP("BND",$O46,P$6,$C$7,"Fill=false,DtFmt=1"),""))</f>
        <v/>
      </c>
      <c r="Q46" s="27" t="str">
        <f>IF($P46="","",SUBSTITUTE(INDEX(code_list!$O:$O,MATCH(O46,통안_code,0)),"통안",""))</f>
        <v/>
      </c>
      <c r="R46" s="8" t="str">
        <f t="shared" si="1"/>
        <v/>
      </c>
      <c r="S46" s="25" t="str">
        <f>IF($P46="","", _xll.IMDP("BND",$O46,S$6,$C$7,"Fill=false"))</f>
        <v/>
      </c>
      <c r="T46" s="26" t="str">
        <f>IF($P46="","", IFERROR( ( _xll.IMDP("BND",$O46,S$6,$C$7,"Fill=false")-_xll.IMDP("BND",$O46,S$6,$C$5,"Fill=false"))*100, ""))</f>
        <v/>
      </c>
      <c r="U46" s="59" t="str">
        <f>IF($P46="","", _xll.IMDP("BND",$O46,U$6,$C$7,"Fill=false,DtFmt=1"))</f>
        <v/>
      </c>
      <c r="W46" s="27"/>
      <c r="X46" s="72" t="str">
        <f>IF(W46="","",_xll.IMDP("BND",$W46,X$6,$C$7,"Fill=false"))</f>
        <v/>
      </c>
      <c r="Y46" s="27" t="str">
        <f t="shared" si="2"/>
        <v/>
      </c>
      <c r="Z46" s="25" t="str">
        <f>IF($X46="","",_xll.IMDP("BND",$W46,Z$6,$C$7,"Fill=false"))</f>
        <v/>
      </c>
      <c r="AA46" s="80" t="str">
        <f>IF($X46="","", IFERROR( ( _xll.IMDP("BND",$W46,Z$6,$C$7,"Fill=false")-_xll.IMDP("BND",$W46,Z$6,$C$5,"Fill=false"))*100, ""))</f>
        <v/>
      </c>
      <c r="AB46" s="59" t="str">
        <f>IF($X46="","",_xll.IMDP("BND",$W46,AB$6,$C$7,"Fill=false,DtFmt=1"))</f>
        <v/>
      </c>
      <c r="AD46" s="11"/>
      <c r="AE46" s="75" t="str">
        <f>IF(AD46="","",_xll.IMDP("BND",$AD46,AE$6,$C$7,"Fill=false"))</f>
        <v/>
      </c>
      <c r="AF46" s="27" t="str">
        <f t="shared" si="3"/>
        <v/>
      </c>
      <c r="AG46" s="9" t="str">
        <f>IF($AE46="","",_xll.IMDP("BND",$AD46,AG$6,$C$7,"Fill=false"))</f>
        <v/>
      </c>
      <c r="AH46" s="80" t="str">
        <f>IF($AE46="","", IFERROR( ( _xll.IMDP("BND",$AD46,AG$6,$C$7,"Fill=false")-_xll.IMDP("BND",$AD46,AG$6,$C$5,"Fill=false"))*100, ""))</f>
        <v/>
      </c>
      <c r="AI46" s="59" t="str">
        <f>IF($AE46="","",_xll.IMDP("BND",$AD46,AI$6,$C$7,"Fill=false,DtFmt=1"))</f>
        <v/>
      </c>
    </row>
    <row r="47" spans="7:35">
      <c r="G47" s="11"/>
      <c r="H47" s="7" t="str">
        <f>IF(G47="","",_xll.IMDP("BND",$G47,H$6,$C$7,"Fill=false"))</f>
        <v/>
      </c>
      <c r="I47" s="27" t="str">
        <f>IF($H47="","",SUBSTITUTE(INDEX(code_list!$F:$F, MATCH(G47,국고_code,0)),"국고",""))</f>
        <v/>
      </c>
      <c r="J47" s="8" t="str">
        <f t="shared" si="0"/>
        <v/>
      </c>
      <c r="K47" s="9" t="str">
        <f>IF($H47="","",_xll.IMDP("BND",$G47,K$6,$C$7,"Fill=false"))</f>
        <v/>
      </c>
      <c r="L47" s="10" t="str">
        <f>IF($H47="","",IFERROR( ( _xll.IMDP("BND",$G47,K$6,$C$7,"Fill=false") - _xll.IMDP("BND",$G47,K$6,$C$5,"Fill=false") ) * 100, ""))</f>
        <v/>
      </c>
      <c r="M47" s="59" t="str">
        <f>IF($H47="","",_xll.IMDP("BND",$G47,M$6,$C$7,"Fill=false,DtFmt=1"))</f>
        <v/>
      </c>
      <c r="O47" s="11"/>
      <c r="P47" s="68" t="str">
        <f>IF(O47="","",IFERROR( _xll.IMDP("BND",$O47,P$6,$C$7,"Fill=false,DtFmt=1"),""))</f>
        <v/>
      </c>
      <c r="Q47" s="27" t="str">
        <f>IF($P47="","",SUBSTITUTE(INDEX(code_list!$O:$O,MATCH(O47,통안_code,0)),"통안",""))</f>
        <v/>
      </c>
      <c r="R47" s="8" t="str">
        <f t="shared" si="1"/>
        <v/>
      </c>
      <c r="S47" s="25" t="str">
        <f>IF($P47="","", _xll.IMDP("BND",$O47,S$6,$C$7,"Fill=false"))</f>
        <v/>
      </c>
      <c r="T47" s="26" t="str">
        <f>IF($P47="","", IFERROR( ( _xll.IMDP("BND",$O47,S$6,$C$7,"Fill=false")-_xll.IMDP("BND",$O47,S$6,$C$5,"Fill=false"))*100, ""))</f>
        <v/>
      </c>
      <c r="U47" s="59" t="str">
        <f>IF($P47="","", _xll.IMDP("BND",$O47,U$6,$C$7,"Fill=false,DtFmt=1"))</f>
        <v/>
      </c>
      <c r="W47" s="27"/>
      <c r="X47" s="72" t="str">
        <f>IF(W47="","",_xll.IMDP("BND",$W47,X$6,$C$7,"Fill=false"))</f>
        <v/>
      </c>
      <c r="Y47" s="27" t="str">
        <f t="shared" si="2"/>
        <v/>
      </c>
      <c r="Z47" s="25" t="str">
        <f>IF($X47="","",_xll.IMDP("BND",$W47,Z$6,$C$7,"Fill=false"))</f>
        <v/>
      </c>
      <c r="AA47" s="80" t="str">
        <f>IF($X47="","", IFERROR( ( _xll.IMDP("BND",$W47,Z$6,$C$7,"Fill=false")-_xll.IMDP("BND",$W47,Z$6,$C$5,"Fill=false"))*100, ""))</f>
        <v/>
      </c>
      <c r="AB47" s="59" t="str">
        <f>IF($X47="","",_xll.IMDP("BND",$W47,AB$6,$C$7,"Fill=false,DtFmt=1"))</f>
        <v/>
      </c>
      <c r="AD47" s="11"/>
      <c r="AE47" s="75" t="str">
        <f>IF(AD47="","",_xll.IMDP("BND",$AD47,AE$6,$C$7,"Fill=false"))</f>
        <v/>
      </c>
      <c r="AF47" s="27" t="str">
        <f t="shared" si="3"/>
        <v/>
      </c>
      <c r="AG47" s="9" t="str">
        <f>IF($AE47="","",_xll.IMDP("BND",$AD47,AG$6,$C$7,"Fill=false"))</f>
        <v/>
      </c>
      <c r="AH47" s="80" t="str">
        <f>IF($AE47="","", IFERROR( ( _xll.IMDP("BND",$AD47,AG$6,$C$7,"Fill=false")-_xll.IMDP("BND",$AD47,AG$6,$C$5,"Fill=false"))*100, ""))</f>
        <v/>
      </c>
      <c r="AI47" s="59" t="str">
        <f>IF($AE47="","",_xll.IMDP("BND",$AD47,AI$6,$C$7,"Fill=false,DtFmt=1"))</f>
        <v/>
      </c>
    </row>
    <row r="48" spans="7:35">
      <c r="G48" s="11"/>
      <c r="H48" s="7" t="str">
        <f>IF(G48="","",_xll.IMDP("BND",$G48,H$6,$C$7,"Fill=false"))</f>
        <v/>
      </c>
      <c r="I48" s="27" t="str">
        <f>IF($H48="","",SUBSTITUTE(INDEX(code_list!$F:$F, MATCH(G48,국고_code,0)),"국고",""))</f>
        <v/>
      </c>
      <c r="J48" s="8" t="str">
        <f t="shared" si="0"/>
        <v/>
      </c>
      <c r="K48" s="9" t="str">
        <f>IF($H48="","",_xll.IMDP("BND",$G48,K$6,$C$7,"Fill=false"))</f>
        <v/>
      </c>
      <c r="L48" s="10" t="str">
        <f>IF($H48="","",IFERROR( ( _xll.IMDP("BND",$G48,K$6,$C$7,"Fill=false") - _xll.IMDP("BND",$G48,K$6,$C$5,"Fill=false") ) * 100, ""))</f>
        <v/>
      </c>
      <c r="M48" s="59" t="str">
        <f>IF($H48="","",_xll.IMDP("BND",$G48,M$6,$C$7,"Fill=false,DtFmt=1"))</f>
        <v/>
      </c>
      <c r="O48" s="11"/>
      <c r="P48" s="68" t="str">
        <f>IF(O48="","",IFERROR( _xll.IMDP("BND",$O48,P$6,$C$7,"Fill=false,DtFmt=1"),""))</f>
        <v/>
      </c>
      <c r="Q48" s="27" t="str">
        <f>IF($P48="","",SUBSTITUTE(INDEX(code_list!$O:$O,MATCH(O48,통안_code,0)),"통안",""))</f>
        <v/>
      </c>
      <c r="R48" s="8" t="str">
        <f t="shared" si="1"/>
        <v/>
      </c>
      <c r="S48" s="25" t="str">
        <f>IF($P48="","", _xll.IMDP("BND",$O48,S$6,$C$7,"Fill=false"))</f>
        <v/>
      </c>
      <c r="T48" s="26" t="str">
        <f>IF($P48="","", IFERROR( ( _xll.IMDP("BND",$O48,S$6,$C$7,"Fill=false")-_xll.IMDP("BND",$O48,S$6,$C$5,"Fill=false"))*100, ""))</f>
        <v/>
      </c>
      <c r="U48" s="59" t="str">
        <f>IF($P48="","", _xll.IMDP("BND",$O48,U$6,$C$7,"Fill=false,DtFmt=1"))</f>
        <v/>
      </c>
      <c r="W48" s="27"/>
      <c r="X48" s="72" t="str">
        <f>IF(W48="","",_xll.IMDP("BND",$W48,X$6,$C$7,"Fill=false"))</f>
        <v/>
      </c>
      <c r="Y48" s="27" t="str">
        <f t="shared" si="2"/>
        <v/>
      </c>
      <c r="Z48" s="25" t="str">
        <f>IF($X48="","",_xll.IMDP("BND",$W48,Z$6,$C$7,"Fill=false"))</f>
        <v/>
      </c>
      <c r="AA48" s="80" t="str">
        <f>IF($X48="","", IFERROR( ( _xll.IMDP("BND",$W48,Z$6,$C$7,"Fill=false")-_xll.IMDP("BND",$W48,Z$6,$C$5,"Fill=false"))*100, ""))</f>
        <v/>
      </c>
      <c r="AB48" s="59" t="str">
        <f>IF($X48="","",_xll.IMDP("BND",$W48,AB$6,$C$7,"Fill=false,DtFmt=1"))</f>
        <v/>
      </c>
      <c r="AD48" s="11"/>
      <c r="AE48" s="75" t="str">
        <f>IF(AD48="","",_xll.IMDP("BND",$AD48,AE$6,$C$7,"Fill=false"))</f>
        <v/>
      </c>
      <c r="AF48" s="27" t="str">
        <f t="shared" si="3"/>
        <v/>
      </c>
      <c r="AG48" s="9" t="str">
        <f>IF($AE48="","",_xll.IMDP("BND",$AD48,AG$6,$C$7,"Fill=false"))</f>
        <v/>
      </c>
      <c r="AH48" s="80" t="str">
        <f>IF($AE48="","", IFERROR( ( _xll.IMDP("BND",$AD48,AG$6,$C$7,"Fill=false")-_xll.IMDP("BND",$AD48,AG$6,$C$5,"Fill=false"))*100, ""))</f>
        <v/>
      </c>
      <c r="AI48" s="59" t="str">
        <f>IF($AE48="","",_xll.IMDP("BND",$AD48,AI$6,$C$7,"Fill=false,DtFmt=1"))</f>
        <v/>
      </c>
    </row>
    <row r="49" spans="7:35">
      <c r="G49" s="11"/>
      <c r="H49" s="7" t="str">
        <f>IF(G49="","",_xll.IMDP("BND",$G49,H$6,$C$7,"Fill=false"))</f>
        <v/>
      </c>
      <c r="I49" s="27" t="str">
        <f>IF($H49="","",SUBSTITUTE(INDEX(code_list!$F:$F, MATCH(G49,국고_code,0)),"국고",""))</f>
        <v/>
      </c>
      <c r="J49" s="8" t="str">
        <f t="shared" si="0"/>
        <v/>
      </c>
      <c r="K49" s="9" t="str">
        <f>IF($H49="","",_xll.IMDP("BND",$G49,K$6,$C$7,"Fill=false"))</f>
        <v/>
      </c>
      <c r="L49" s="10" t="str">
        <f>IF($H49="","",IFERROR( ( _xll.IMDP("BND",$G49,K$6,$C$7,"Fill=false") - _xll.IMDP("BND",$G49,K$6,$C$5,"Fill=false") ) * 100, ""))</f>
        <v/>
      </c>
      <c r="M49" s="59" t="str">
        <f>IF($H49="","",_xll.IMDP("BND",$G49,M$6,$C$7,"Fill=false,DtFmt=1"))</f>
        <v/>
      </c>
      <c r="O49" s="11"/>
      <c r="P49" s="68" t="str">
        <f>IF(O49="","",IFERROR( _xll.IMDP("BND",$O49,P$6,$C$7,"Fill=false,DtFmt=1"),""))</f>
        <v/>
      </c>
      <c r="Q49" s="27" t="str">
        <f>IF($P49="","",SUBSTITUTE(INDEX(code_list!$O:$O,MATCH(O49,통안_code,0)),"통안",""))</f>
        <v/>
      </c>
      <c r="R49" s="8" t="str">
        <f t="shared" si="1"/>
        <v/>
      </c>
      <c r="S49" s="25" t="str">
        <f>IF($P49="","", _xll.IMDP("BND",$O49,S$6,$C$7,"Fill=false"))</f>
        <v/>
      </c>
      <c r="T49" s="26" t="str">
        <f>IF($P49="","", IFERROR( ( _xll.IMDP("BND",$O49,S$6,$C$7,"Fill=false")-_xll.IMDP("BND",$O49,S$6,$C$5,"Fill=false"))*100, ""))</f>
        <v/>
      </c>
      <c r="U49" s="59" t="str">
        <f>IF($P49="","", _xll.IMDP("BND",$O49,U$6,$C$7,"Fill=false,DtFmt=1"))</f>
        <v/>
      </c>
      <c r="W49" s="27"/>
      <c r="X49" s="72" t="str">
        <f>IF(W49="","",_xll.IMDP("BND",$W49,X$6,$C$7,"Fill=false"))</f>
        <v/>
      </c>
      <c r="Y49" s="27" t="str">
        <f t="shared" si="2"/>
        <v/>
      </c>
      <c r="Z49" s="25" t="str">
        <f>IF($X49="","",_xll.IMDP("BND",$W49,Z$6,$C$7,"Fill=false"))</f>
        <v/>
      </c>
      <c r="AA49" s="80" t="str">
        <f>IF($X49="","", IFERROR( ( _xll.IMDP("BND",$W49,Z$6,$C$7,"Fill=false")-_xll.IMDP("BND",$W49,Z$6,$C$5,"Fill=false"))*100, ""))</f>
        <v/>
      </c>
      <c r="AB49" s="59" t="str">
        <f>IF($X49="","",_xll.IMDP("BND",$W49,AB$6,$C$7,"Fill=false,DtFmt=1"))</f>
        <v/>
      </c>
      <c r="AD49" s="11"/>
      <c r="AE49" s="75" t="str">
        <f>IF(AD49="","",_xll.IMDP("BND",$AD49,AE$6,$C$7,"Fill=false"))</f>
        <v/>
      </c>
      <c r="AF49" s="27" t="str">
        <f t="shared" si="3"/>
        <v/>
      </c>
      <c r="AG49" s="9" t="str">
        <f>IF($AE49="","",_xll.IMDP("BND",$AD49,AG$6,$C$7,"Fill=false"))</f>
        <v/>
      </c>
      <c r="AH49" s="80" t="str">
        <f>IF($AE49="","", IFERROR( ( _xll.IMDP("BND",$AD49,AG$6,$C$7,"Fill=false")-_xll.IMDP("BND",$AD49,AG$6,$C$5,"Fill=false"))*100, ""))</f>
        <v/>
      </c>
      <c r="AI49" s="59" t="str">
        <f>IF($AE49="","",_xll.IMDP("BND",$AD49,AI$6,$C$7,"Fill=false,DtFmt=1"))</f>
        <v/>
      </c>
    </row>
    <row r="50" spans="7:35">
      <c r="G50" s="11"/>
      <c r="H50" s="7" t="str">
        <f>IF(G50="","",_xll.IMDP("BND",$G50,H$6,$C$7,"Fill=false"))</f>
        <v/>
      </c>
      <c r="I50" s="27" t="str">
        <f>IF($H50="","",SUBSTITUTE(INDEX(code_list!$F:$F, MATCH(G50,국고_code,0)),"국고",""))</f>
        <v/>
      </c>
      <c r="J50" s="8" t="str">
        <f t="shared" si="0"/>
        <v/>
      </c>
      <c r="K50" s="9" t="str">
        <f>IF($H50="","",_xll.IMDP("BND",$G50,K$6,$C$7,"Fill=false"))</f>
        <v/>
      </c>
      <c r="L50" s="10" t="str">
        <f>IF($H50="","",IFERROR( ( _xll.IMDP("BND",$G50,K$6,$C$7,"Fill=false") - _xll.IMDP("BND",$G50,K$6,$C$5,"Fill=false") ) * 100, ""))</f>
        <v/>
      </c>
      <c r="M50" s="59" t="str">
        <f>IF($H50="","",_xll.IMDP("BND",$G50,M$6,$C$7,"Fill=false,DtFmt=1"))</f>
        <v/>
      </c>
      <c r="O50" s="27"/>
      <c r="P50" s="68" t="str">
        <f>IF(O50="","",IFERROR( _xll.IMDP("BND",$O50,P$6,$C$7,"Fill=false,DtFmt=1"),""))</f>
        <v/>
      </c>
      <c r="Q50" s="27" t="str">
        <f>IF($P50="","",SUBSTITUTE(INDEX(code_list!$O:$O,MATCH(O50,통안_code,0)),"통안",""))</f>
        <v/>
      </c>
      <c r="R50" s="8" t="str">
        <f t="shared" si="1"/>
        <v/>
      </c>
      <c r="S50" s="25" t="str">
        <f>IF($P50="","", _xll.IMDP("BND",$O50,S$6,$C$7,"Fill=false"))</f>
        <v/>
      </c>
      <c r="T50" s="26" t="str">
        <f>IF($P50="","", IFERROR( ( _xll.IMDP("BND",$O50,S$6,$C$7,"Fill=false")-_xll.IMDP("BND",$O50,S$6,$C$5,"Fill=false"))*100, ""))</f>
        <v/>
      </c>
      <c r="U50" s="59" t="str">
        <f>IF($P50="","", _xll.IMDP("BND",$O50,U$6,$C$7,"Fill=false,DtFmt=1"))</f>
        <v/>
      </c>
      <c r="W50" s="27"/>
      <c r="X50" s="72" t="str">
        <f>IF(W50="","",_xll.IMDP("BND",$W50,X$6,$C$7,"Fill=false"))</f>
        <v/>
      </c>
      <c r="Y50" s="27" t="str">
        <f t="shared" si="2"/>
        <v/>
      </c>
      <c r="Z50" s="25" t="str">
        <f>IF($X50="","",_xll.IMDP("BND",$W50,Z$6,$C$7,"Fill=false"))</f>
        <v/>
      </c>
      <c r="AA50" s="80" t="str">
        <f>IF($X50="","", IFERROR( ( _xll.IMDP("BND",$W50,Z$6,$C$7,"Fill=false")-_xll.IMDP("BND",$W50,Z$6,$C$5,"Fill=false"))*100, ""))</f>
        <v/>
      </c>
      <c r="AB50" s="59" t="str">
        <f>IF($X50="","",_xll.IMDP("BND",$W50,AB$6,$C$7,"Fill=false,DtFmt=1"))</f>
        <v/>
      </c>
      <c r="AD50" s="11"/>
      <c r="AE50" s="75" t="str">
        <f>IF(AD50="","",_xll.IMDP("BND",$AD50,AE$6,$C$7,"Fill=false"))</f>
        <v/>
      </c>
      <c r="AF50" s="27" t="str">
        <f t="shared" si="3"/>
        <v/>
      </c>
      <c r="AG50" s="9" t="str">
        <f>IF($AE50="","",_xll.IMDP("BND",$AD50,AG$6,$C$7,"Fill=false"))</f>
        <v/>
      </c>
      <c r="AH50" s="80" t="str">
        <f>IF($AE50="","", IFERROR( ( _xll.IMDP("BND",$AD50,AG$6,$C$7,"Fill=false")-_xll.IMDP("BND",$AD50,AG$6,$C$5,"Fill=false"))*100, ""))</f>
        <v/>
      </c>
      <c r="AI50" s="59" t="str">
        <f>IF($AE50="","",_xll.IMDP("BND",$AD50,AI$6,$C$7,"Fill=false,DtFmt=1"))</f>
        <v/>
      </c>
    </row>
    <row r="51" spans="7:35">
      <c r="G51" s="11"/>
      <c r="H51" s="7" t="str">
        <f>IF(G51="","",_xll.IMDP("BND",$G51,H$6,$C$7,"Fill=false"))</f>
        <v/>
      </c>
      <c r="I51" s="27" t="str">
        <f>IF($H51="","",SUBSTITUTE(INDEX(code_list!$F:$F, MATCH(G51,국고_code,0)),"국고",""))</f>
        <v/>
      </c>
      <c r="J51" s="8" t="str">
        <f t="shared" si="0"/>
        <v/>
      </c>
      <c r="K51" s="9" t="str">
        <f>IF($H51="","",_xll.IMDP("BND",$G51,K$6,$C$7,"Fill=false"))</f>
        <v/>
      </c>
      <c r="L51" s="10" t="str">
        <f>IF($H51="","",IFERROR( ( _xll.IMDP("BND",$G51,K$6,$C$7,"Fill=false") - _xll.IMDP("BND",$G51,K$6,$C$5,"Fill=false") ) * 100, ""))</f>
        <v/>
      </c>
      <c r="M51" s="59" t="str">
        <f>IF($H51="","",_xll.IMDP("BND",$G51,M$6,$C$7,"Fill=false,DtFmt=1"))</f>
        <v/>
      </c>
      <c r="O51" s="27"/>
      <c r="P51" s="68" t="str">
        <f>IF(O51="","",IFERROR( _xll.IMDP("BND",$O51,P$6,$C$7,"Fill=false,DtFmt=1"),""))</f>
        <v/>
      </c>
      <c r="Q51" s="27" t="str">
        <f>IF($P51="","",SUBSTITUTE(INDEX(code_list!$O:$O,MATCH(O51,통안_code,0)),"통안",""))</f>
        <v/>
      </c>
      <c r="R51" s="8" t="str">
        <f t="shared" si="1"/>
        <v/>
      </c>
      <c r="S51" s="25" t="str">
        <f>IF($P51="","", _xll.IMDP("BND",$O51,S$6,$C$7,"Fill=false"))</f>
        <v/>
      </c>
      <c r="T51" s="26" t="str">
        <f>IF($P51="","", IFERROR( ( _xll.IMDP("BND",$O51,S$6,$C$7,"Fill=false")-_xll.IMDP("BND",$O51,S$6,$C$5,"Fill=false"))*100, ""))</f>
        <v/>
      </c>
      <c r="U51" s="59" t="str">
        <f>IF($P51="","", _xll.IMDP("BND",$O51,U$6,$C$7,"Fill=false,DtFmt=1"))</f>
        <v/>
      </c>
      <c r="W51" s="27"/>
      <c r="X51" s="72" t="str">
        <f>IF(W51="","",_xll.IMDP("BND",$W51,X$6,$C$7,"Fill=false"))</f>
        <v/>
      </c>
      <c r="Y51" s="27" t="str">
        <f t="shared" si="2"/>
        <v/>
      </c>
      <c r="Z51" s="25" t="str">
        <f>IF($X51="","",_xll.IMDP("BND",$W51,Z$6,$C$7,"Fill=false"))</f>
        <v/>
      </c>
      <c r="AA51" s="80" t="str">
        <f>IF($X51="","", IFERROR( ( _xll.IMDP("BND",$W51,Z$6,$C$7,"Fill=false")-_xll.IMDP("BND",$W51,Z$6,$C$5,"Fill=false"))*100, ""))</f>
        <v/>
      </c>
      <c r="AB51" s="59" t="str">
        <f>IF($X51="","",_xll.IMDP("BND",$W51,AB$6,$C$7,"Fill=false,DtFmt=1"))</f>
        <v/>
      </c>
      <c r="AD51" s="11"/>
      <c r="AE51" s="75" t="str">
        <f>IF(AD51="","",_xll.IMDP("BND",$AD51,AE$6,$C$7,"Fill=false"))</f>
        <v/>
      </c>
      <c r="AF51" s="27" t="str">
        <f t="shared" si="3"/>
        <v/>
      </c>
      <c r="AG51" s="9" t="str">
        <f>IF($AE51="","",_xll.IMDP("BND",$AD51,AG$6,$C$7,"Fill=false"))</f>
        <v/>
      </c>
      <c r="AH51" s="80" t="str">
        <f>IF($AE51="","", IFERROR( ( _xll.IMDP("BND",$AD51,AG$6,$C$7,"Fill=false")-_xll.IMDP("BND",$AD51,AG$6,$C$5,"Fill=false"))*100, ""))</f>
        <v/>
      </c>
      <c r="AI51" s="59" t="str">
        <f>IF($AE51="","",_xll.IMDP("BND",$AD51,AI$6,$C$7,"Fill=false,DtFmt=1"))</f>
        <v/>
      </c>
    </row>
    <row r="52" spans="7:35">
      <c r="G52" s="11"/>
      <c r="H52" s="7" t="str">
        <f>IF(G52="","",_xll.IMDP("BND",$G52,H$6,$C$7,"Fill=false"))</f>
        <v/>
      </c>
      <c r="I52" s="27" t="str">
        <f>IF($H52="","",SUBSTITUTE(INDEX(code_list!$F:$F, MATCH(G52,국고_code,0)),"국고",""))</f>
        <v/>
      </c>
      <c r="J52" s="8" t="str">
        <f t="shared" si="0"/>
        <v/>
      </c>
      <c r="K52" s="9" t="str">
        <f>IF($H52="","",_xll.IMDP("BND",$G52,K$6,$C$7,"Fill=false"))</f>
        <v/>
      </c>
      <c r="L52" s="10" t="str">
        <f>IF($H52="","",IFERROR( ( _xll.IMDP("BND",$G52,K$6,$C$7,"Fill=false") - _xll.IMDP("BND",$G52,K$6,$C$5,"Fill=false") ) * 100, ""))</f>
        <v/>
      </c>
      <c r="M52" s="59" t="str">
        <f>IF($H52="","",_xll.IMDP("BND",$G52,M$6,$C$7,"Fill=false,DtFmt=1"))</f>
        <v/>
      </c>
      <c r="O52" s="27"/>
      <c r="P52" s="68" t="str">
        <f>IF(O52="","",IFERROR( _xll.IMDP("BND",$O52,P$6,$C$7,"Fill=false,DtFmt=1"),""))</f>
        <v/>
      </c>
      <c r="Q52" s="27" t="str">
        <f>IF($P52="","",SUBSTITUTE(INDEX(code_list!$O:$O,MATCH(O52,통안_code,0)),"통안",""))</f>
        <v/>
      </c>
      <c r="R52" s="8" t="str">
        <f t="shared" si="1"/>
        <v/>
      </c>
      <c r="S52" s="25" t="str">
        <f>IF($P52="","", _xll.IMDP("BND",$O52,S$6,$C$7,"Fill=false"))</f>
        <v/>
      </c>
      <c r="T52" s="26" t="str">
        <f>IF($P52="","", IFERROR( ( _xll.IMDP("BND",$O52,S$6,$C$7,"Fill=false")-_xll.IMDP("BND",$O52,S$6,$C$5,"Fill=false"))*100, ""))</f>
        <v/>
      </c>
      <c r="U52" s="59" t="str">
        <f>IF($P52="","", _xll.IMDP("BND",$O52,U$6,$C$7,"Fill=false,DtFmt=1"))</f>
        <v/>
      </c>
      <c r="W52" s="27"/>
      <c r="X52" s="72" t="str">
        <f>IF(W52="","",_xll.IMDP("BND",$W52,X$6,$C$7,"Fill=false"))</f>
        <v/>
      </c>
      <c r="Y52" s="27" t="str">
        <f t="shared" si="2"/>
        <v/>
      </c>
      <c r="Z52" s="25" t="str">
        <f>IF($X52="","",_xll.IMDP("BND",$W52,Z$6,$C$7,"Fill=false"))</f>
        <v/>
      </c>
      <c r="AA52" s="80" t="str">
        <f>IF($X52="","", IFERROR( ( _xll.IMDP("BND",$W52,Z$6,$C$7,"Fill=false")-_xll.IMDP("BND",$W52,Z$6,$C$5,"Fill=false"))*100, ""))</f>
        <v/>
      </c>
      <c r="AB52" s="59" t="str">
        <f>IF($X52="","",_xll.IMDP("BND",$W52,AB$6,$C$7,"Fill=false,DtFmt=1"))</f>
        <v/>
      </c>
      <c r="AD52" s="11"/>
      <c r="AE52" s="75" t="str">
        <f>IF(AD52="","",_xll.IMDP("BND",$AD52,AE$6,$C$7,"Fill=false"))</f>
        <v/>
      </c>
      <c r="AF52" s="27" t="str">
        <f t="shared" si="3"/>
        <v/>
      </c>
      <c r="AG52" s="9" t="str">
        <f>IF($AE52="","",_xll.IMDP("BND",$AD52,AG$6,$C$7,"Fill=false"))</f>
        <v/>
      </c>
      <c r="AH52" s="80" t="str">
        <f>IF($AE52="","", IFERROR( ( _xll.IMDP("BND",$AD52,AG$6,$C$7,"Fill=false")-_xll.IMDP("BND",$AD52,AG$6,$C$5,"Fill=false"))*100, ""))</f>
        <v/>
      </c>
      <c r="AI52" s="59" t="str">
        <f>IF($AE52="","",_xll.IMDP("BND",$AD52,AI$6,$C$7,"Fill=false,DtFmt=1"))</f>
        <v/>
      </c>
    </row>
    <row r="53" spans="7:35">
      <c r="G53" s="11"/>
      <c r="H53" s="7" t="str">
        <f>IF(G53="","",_xll.IMDP("BND",$G53,H$6,$C$7,"Fill=false"))</f>
        <v/>
      </c>
      <c r="I53" s="27" t="str">
        <f>IF($H53="","",SUBSTITUTE(INDEX(code_list!$F:$F, MATCH(G53,국고_code,0)),"국고",""))</f>
        <v/>
      </c>
      <c r="J53" s="8" t="str">
        <f t="shared" si="0"/>
        <v/>
      </c>
      <c r="K53" s="9" t="str">
        <f>IF($H53="","",_xll.IMDP("BND",$G53,K$6,$C$7,"Fill=false"))</f>
        <v/>
      </c>
      <c r="L53" s="10" t="str">
        <f>IF($H53="","",IFERROR( ( _xll.IMDP("BND",$G53,K$6,$C$7,"Fill=false") - _xll.IMDP("BND",$G53,K$6,$C$5,"Fill=false") ) * 100, ""))</f>
        <v/>
      </c>
      <c r="M53" s="59" t="str">
        <f>IF($H53="","",_xll.IMDP("BND",$G53,M$6,$C$7,"Fill=false,DtFmt=1"))</f>
        <v/>
      </c>
      <c r="O53" s="11"/>
      <c r="P53" s="68" t="str">
        <f>IF(O53="","",IFERROR( _xll.IMDP("BND",$O53,P$6,$C$7,"Fill=false,DtFmt=1"),""))</f>
        <v/>
      </c>
      <c r="Q53" s="27" t="str">
        <f>IF($P53="","",SUBSTITUTE(INDEX(code_list!$O:$O,MATCH(O53,통안_code,0)),"통안",""))</f>
        <v/>
      </c>
      <c r="R53" s="8" t="str">
        <f t="shared" si="1"/>
        <v/>
      </c>
      <c r="S53" s="25" t="str">
        <f>IF($P53="","", _xll.IMDP("BND",$O53,S$6,$C$7,"Fill=false"))</f>
        <v/>
      </c>
      <c r="T53" s="26" t="str">
        <f>IF($P53="","", IFERROR( ( _xll.IMDP("BND",$O53,S$6,$C$7,"Fill=false")-_xll.IMDP("BND",$O53,S$6,$C$5,"Fill=false"))*100, ""))</f>
        <v/>
      </c>
      <c r="U53" s="59" t="str">
        <f>IF($P53="","", _xll.IMDP("BND",$O53,U$6,$C$7,"Fill=false,DtFmt=1"))</f>
        <v/>
      </c>
      <c r="W53" s="27"/>
      <c r="X53" s="72" t="str">
        <f>IF(W53="","",_xll.IMDP("BND",$W53,X$6,$C$7,"Fill=false"))</f>
        <v/>
      </c>
      <c r="Y53" s="27" t="str">
        <f t="shared" si="2"/>
        <v/>
      </c>
      <c r="Z53" s="25" t="str">
        <f>IF($X53="","",_xll.IMDP("BND",$W53,Z$6,$C$7,"Fill=false"))</f>
        <v/>
      </c>
      <c r="AA53" s="80" t="str">
        <f>IF($X53="","", IFERROR( ( _xll.IMDP("BND",$W53,Z$6,$C$7,"Fill=false")-_xll.IMDP("BND",$W53,Z$6,$C$5,"Fill=false"))*100, ""))</f>
        <v/>
      </c>
      <c r="AB53" s="59" t="str">
        <f>IF($X53="","",_xll.IMDP("BND",$W53,AB$6,$C$7,"Fill=false,DtFmt=1"))</f>
        <v/>
      </c>
      <c r="AD53" s="11"/>
      <c r="AE53" s="75" t="str">
        <f>IF(AD53="","",_xll.IMDP("BND",$AD53,AE$6,$C$7,"Fill=false"))</f>
        <v/>
      </c>
      <c r="AF53" s="27" t="str">
        <f t="shared" si="3"/>
        <v/>
      </c>
      <c r="AG53" s="9" t="str">
        <f>IF($AE53="","",_xll.IMDP("BND",$AD53,AG$6,$C$7,"Fill=false"))</f>
        <v/>
      </c>
      <c r="AH53" s="80" t="str">
        <f>IF($AE53="","", IFERROR( ( _xll.IMDP("BND",$AD53,AG$6,$C$7,"Fill=false")-_xll.IMDP("BND",$AD53,AG$6,$C$5,"Fill=false"))*100, ""))</f>
        <v/>
      </c>
      <c r="AI53" s="59" t="str">
        <f>IF($AE53="","",_xll.IMDP("BND",$AD53,AI$6,$C$7,"Fill=false,DtFmt=1"))</f>
        <v/>
      </c>
    </row>
    <row r="54" spans="7:35">
      <c r="G54" s="11"/>
      <c r="H54" s="7" t="str">
        <f>IF(G54="","",_xll.IMDP("BND",$G54,H$6,$C$7,"Fill=false"))</f>
        <v/>
      </c>
      <c r="I54" s="27" t="str">
        <f>IF($H54="","",SUBSTITUTE(INDEX(code_list!$F:$F, MATCH(G54,국고_code,0)),"국고",""))</f>
        <v/>
      </c>
      <c r="J54" s="8" t="str">
        <f t="shared" si="0"/>
        <v/>
      </c>
      <c r="K54" s="9" t="str">
        <f>IF($H54="","",_xll.IMDP("BND",$G54,K$6,$C$7,"Fill=false"))</f>
        <v/>
      </c>
      <c r="L54" s="10" t="str">
        <f>IF($H54="","",IFERROR( ( _xll.IMDP("BND",$G54,K$6,$C$7,"Fill=false") - _xll.IMDP("BND",$G54,K$6,$C$5,"Fill=false") ) * 100, ""))</f>
        <v/>
      </c>
      <c r="M54" s="59" t="str">
        <f>IF($H54="","",_xll.IMDP("BND",$G54,M$6,$C$7,"Fill=false,DtFmt=1"))</f>
        <v/>
      </c>
      <c r="O54" s="11"/>
      <c r="P54" s="68" t="str">
        <f>IF(O54="","",IFERROR( _xll.IMDP("BND",$O54,P$6,$C$7,"Fill=false,DtFmt=1"),""))</f>
        <v/>
      </c>
      <c r="Q54" s="27" t="str">
        <f>IF($P54="","",SUBSTITUTE(INDEX(code_list!$O:$O,MATCH(O54,통안_code,0)),"통안",""))</f>
        <v/>
      </c>
      <c r="R54" s="8" t="str">
        <f t="shared" si="1"/>
        <v/>
      </c>
      <c r="S54" s="25" t="str">
        <f>IF($P54="","", _xll.IMDP("BND",$O54,S$6,$C$7,"Fill=false"))</f>
        <v/>
      </c>
      <c r="T54" s="26" t="str">
        <f>IF($P54="","", IFERROR( ( _xll.IMDP("BND",$O54,S$6,$C$7,"Fill=false")-_xll.IMDP("BND",$O54,S$6,$C$5,"Fill=false"))*100, ""))</f>
        <v/>
      </c>
      <c r="U54" s="59" t="str">
        <f>IF($P54="","", _xll.IMDP("BND",$O54,U$6,$C$7,"Fill=false,DtFmt=1"))</f>
        <v/>
      </c>
      <c r="W54" s="27"/>
      <c r="X54" s="72" t="str">
        <f>IF(W54="","",_xll.IMDP("BND",$W54,X$6,$C$7,"Fill=false"))</f>
        <v/>
      </c>
      <c r="Y54" s="27" t="str">
        <f t="shared" si="2"/>
        <v/>
      </c>
      <c r="Z54" s="25" t="str">
        <f>IF($X54="","",_xll.IMDP("BND",$W54,Z$6,$C$7,"Fill=false"))</f>
        <v/>
      </c>
      <c r="AA54" s="80" t="str">
        <f>IF($X54="","", IFERROR( ( _xll.IMDP("BND",$W54,Z$6,$C$7,"Fill=false")-_xll.IMDP("BND",$W54,Z$6,$C$5,"Fill=false"))*100, ""))</f>
        <v/>
      </c>
      <c r="AB54" s="59" t="str">
        <f>IF($X54="","",_xll.IMDP("BND",$W54,AB$6,$C$7,"Fill=false,DtFmt=1"))</f>
        <v/>
      </c>
      <c r="AD54" s="11"/>
      <c r="AE54" s="75" t="str">
        <f>IF(AD54="","",_xll.IMDP("BND",$AD54,AE$6,$C$7,"Fill=false"))</f>
        <v/>
      </c>
      <c r="AF54" s="27" t="str">
        <f t="shared" si="3"/>
        <v/>
      </c>
      <c r="AG54" s="9" t="str">
        <f>IF($AE54="","",_xll.IMDP("BND",$AD54,AG$6,$C$7,"Fill=false"))</f>
        <v/>
      </c>
      <c r="AH54" s="80" t="str">
        <f>IF($AE54="","", IFERROR( ( _xll.IMDP("BND",$AD54,AG$6,$C$7,"Fill=false")-_xll.IMDP("BND",$AD54,AG$6,$C$5,"Fill=false"))*100, ""))</f>
        <v/>
      </c>
      <c r="AI54" s="59" t="str">
        <f>IF($AE54="","",_xll.IMDP("BND",$AD54,AI$6,$C$7,"Fill=false,DtFmt=1"))</f>
        <v/>
      </c>
    </row>
    <row r="55" spans="7:35">
      <c r="G55" s="11"/>
      <c r="H55" s="7" t="str">
        <f>IF(G55="","",_xll.IMDP("BND",$G55,H$6,$C$7,"Fill=false"))</f>
        <v/>
      </c>
      <c r="I55" s="27" t="str">
        <f>IF($H55="","",SUBSTITUTE(INDEX(code_list!$F:$F, MATCH(G55,국고_code,0)),"국고",""))</f>
        <v/>
      </c>
      <c r="J55" s="8" t="str">
        <f t="shared" si="0"/>
        <v/>
      </c>
      <c r="K55" s="9" t="str">
        <f>IF($H55="","",_xll.IMDP("BND",$G55,K$6,$C$7,"Fill=false"))</f>
        <v/>
      </c>
      <c r="L55" s="10" t="str">
        <f>IF($H55="","",IFERROR( ( _xll.IMDP("BND",$G55,K$6,$C$7,"Fill=false") - _xll.IMDP("BND",$G55,K$6,$C$5,"Fill=false") ) * 100, ""))</f>
        <v/>
      </c>
      <c r="M55" s="59" t="str">
        <f>IF($H55="","",_xll.IMDP("BND",$G55,M$6,$C$7,"Fill=false,DtFmt=1"))</f>
        <v/>
      </c>
      <c r="O55" s="11"/>
      <c r="P55" s="68" t="str">
        <f>IF(O55="","",IFERROR( _xll.IMDP("BND",$O55,P$6,$C$7,"Fill=false,DtFmt=1"),""))</f>
        <v/>
      </c>
      <c r="Q55" s="27" t="str">
        <f>IF($P55="","",SUBSTITUTE(INDEX(code_list!$O:$O,MATCH(O55,통안_code,0)),"통안",""))</f>
        <v/>
      </c>
      <c r="R55" s="8" t="str">
        <f t="shared" si="1"/>
        <v/>
      </c>
      <c r="S55" s="25" t="str">
        <f>IF($P55="","", _xll.IMDP("BND",$O55,S$6,$C$7,"Fill=false"))</f>
        <v/>
      </c>
      <c r="T55" s="26" t="str">
        <f>IF($P55="","", IFERROR( ( _xll.IMDP("BND",$O55,S$6,$C$7,"Fill=false")-_xll.IMDP("BND",$O55,S$6,$C$5,"Fill=false"))*100, ""))</f>
        <v/>
      </c>
      <c r="U55" s="59" t="str">
        <f>IF($P55="","", _xll.IMDP("BND",$O55,U$6,$C$7,"Fill=false,DtFmt=1"))</f>
        <v/>
      </c>
      <c r="W55" s="27"/>
      <c r="X55" s="72" t="str">
        <f>IF(W55="","",_xll.IMDP("BND",$W55,X$6,$C$7,"Fill=false"))</f>
        <v/>
      </c>
      <c r="Y55" s="27" t="str">
        <f t="shared" si="2"/>
        <v/>
      </c>
      <c r="Z55" s="25" t="str">
        <f>IF($X55="","",_xll.IMDP("BND",$W55,Z$6,$C$7,"Fill=false"))</f>
        <v/>
      </c>
      <c r="AA55" s="80" t="str">
        <f>IF($X55="","", IFERROR( ( _xll.IMDP("BND",$W55,Z$6,$C$7,"Fill=false")-_xll.IMDP("BND",$W55,Z$6,$C$5,"Fill=false"))*100, ""))</f>
        <v/>
      </c>
      <c r="AB55" s="59" t="str">
        <f>IF($X55="","",_xll.IMDP("BND",$W55,AB$6,$C$7,"Fill=false,DtFmt=1"))</f>
        <v/>
      </c>
      <c r="AD55" s="11"/>
      <c r="AE55" s="75" t="str">
        <f>IF(AD55="","",_xll.IMDP("BND",$AD55,AE$6,$C$7,"Fill=false"))</f>
        <v/>
      </c>
      <c r="AF55" s="27" t="str">
        <f t="shared" si="3"/>
        <v/>
      </c>
      <c r="AG55" s="9" t="str">
        <f>IF($AE55="","",_xll.IMDP("BND",$AD55,AG$6,$C$7,"Fill=false"))</f>
        <v/>
      </c>
      <c r="AH55" s="80" t="str">
        <f>IF($AE55="","", IFERROR( ( _xll.IMDP("BND",$AD55,AG$6,$C$7,"Fill=false")-_xll.IMDP("BND",$AD55,AG$6,$C$5,"Fill=false"))*100, ""))</f>
        <v/>
      </c>
      <c r="AI55" s="59" t="str">
        <f>IF($AE55="","",_xll.IMDP("BND",$AD55,AI$6,$C$7,"Fill=false,DtFmt=1"))</f>
        <v/>
      </c>
    </row>
    <row r="56" spans="7:35">
      <c r="G56" s="11"/>
      <c r="H56" s="7" t="str">
        <f>IF(G56="","",_xll.IMDP("BND",$G56,H$6,$C$7,"Fill=false"))</f>
        <v/>
      </c>
      <c r="I56" s="27" t="str">
        <f>IF($H56="","",SUBSTITUTE(INDEX(code_list!$F:$F, MATCH(G56,국고_code,0)),"국고",""))</f>
        <v/>
      </c>
      <c r="J56" s="8" t="str">
        <f t="shared" si="0"/>
        <v/>
      </c>
      <c r="K56" s="9" t="str">
        <f>IF($H56="","",_xll.IMDP("BND",$G56,K$6,$C$7,"Fill=false"))</f>
        <v/>
      </c>
      <c r="L56" s="10" t="str">
        <f>IF($H56="","",IFERROR( ( _xll.IMDP("BND",$G56,K$6,$C$7,"Fill=false") - _xll.IMDP("BND",$G56,K$6,$C$5,"Fill=false") ) * 100, ""))</f>
        <v/>
      </c>
      <c r="M56" s="59" t="str">
        <f>IF($H56="","",_xll.IMDP("BND",$G56,M$6,$C$7,"Fill=false,DtFmt=1"))</f>
        <v/>
      </c>
      <c r="O56" s="11"/>
      <c r="P56" s="68" t="str">
        <f>IF(O56="","",IFERROR( _xll.IMDP("BND",$O56,P$6,$C$7,"Fill=false,DtFmt=1"),""))</f>
        <v/>
      </c>
      <c r="Q56" s="27" t="str">
        <f>IF($P56="","",SUBSTITUTE(INDEX(code_list!$O:$O,MATCH(O56,통안_code,0)),"통안",""))</f>
        <v/>
      </c>
      <c r="R56" s="8" t="str">
        <f t="shared" si="1"/>
        <v/>
      </c>
      <c r="S56" s="25" t="str">
        <f>IF($P56="","", _xll.IMDP("BND",$O56,S$6,$C$7,"Fill=false"))</f>
        <v/>
      </c>
      <c r="T56" s="26" t="str">
        <f>IF($P56="","", IFERROR( ( _xll.IMDP("BND",$O56,S$6,$C$7,"Fill=false")-_xll.IMDP("BND",$O56,S$6,$C$5,"Fill=false"))*100, ""))</f>
        <v/>
      </c>
      <c r="U56" s="59" t="str">
        <f>IF($P56="","", _xll.IMDP("BND",$O56,U$6,$C$7,"Fill=false,DtFmt=1"))</f>
        <v/>
      </c>
      <c r="W56" s="27"/>
      <c r="X56" s="72" t="str">
        <f>IF(W56="","",_xll.IMDP("BND",$W56,X$6,$C$7,"Fill=false"))</f>
        <v/>
      </c>
      <c r="Y56" s="27" t="str">
        <f t="shared" si="2"/>
        <v/>
      </c>
      <c r="Z56" s="25" t="str">
        <f>IF($X56="","",_xll.IMDP("BND",$W56,Z$6,$C$7,"Fill=false"))</f>
        <v/>
      </c>
      <c r="AA56" s="80" t="str">
        <f>IF($X56="","", IFERROR( ( _xll.IMDP("BND",$W56,Z$6,$C$7,"Fill=false")-_xll.IMDP("BND",$W56,Z$6,$C$5,"Fill=false"))*100, ""))</f>
        <v/>
      </c>
      <c r="AB56" s="59" t="str">
        <f>IF($X56="","",_xll.IMDP("BND",$W56,AB$6,$C$7,"Fill=false,DtFmt=1"))</f>
        <v/>
      </c>
      <c r="AD56" s="11"/>
      <c r="AE56" s="75" t="str">
        <f>IF(AD56="","",_xll.IMDP("BND",$AD56,AE$6,$C$7,"Fill=false"))</f>
        <v/>
      </c>
      <c r="AF56" s="27" t="str">
        <f t="shared" si="3"/>
        <v/>
      </c>
      <c r="AG56" s="9" t="str">
        <f>IF($AE56="","",_xll.IMDP("BND",$AD56,AG$6,$C$7,"Fill=false"))</f>
        <v/>
      </c>
      <c r="AH56" s="80" t="str">
        <f>IF($AE56="","", IFERROR( ( _xll.IMDP("BND",$AD56,AG$6,$C$7,"Fill=false")-_xll.IMDP("BND",$AD56,AG$6,$C$5,"Fill=false"))*100, ""))</f>
        <v/>
      </c>
      <c r="AI56" s="59" t="str">
        <f>IF($AE56="","",_xll.IMDP("BND",$AD56,AI$6,$C$7,"Fill=false,DtFmt=1"))</f>
        <v/>
      </c>
    </row>
    <row r="57" spans="7:35">
      <c r="G57" s="11"/>
      <c r="H57" s="7" t="str">
        <f>IF(G57="","",_xll.IMDP("BND",$G57,H$6,$C$7,"Fill=false"))</f>
        <v/>
      </c>
      <c r="I57" s="27" t="str">
        <f>IF($H57="","",SUBSTITUTE(INDEX(code_list!$F:$F, MATCH(G57,국고_code,0)),"국고",""))</f>
        <v/>
      </c>
      <c r="J57" s="8" t="str">
        <f t="shared" si="0"/>
        <v/>
      </c>
      <c r="K57" s="9" t="str">
        <f>IF($H57="","",_xll.IMDP("BND",$G57,K$6,$C$7,"Fill=false"))</f>
        <v/>
      </c>
      <c r="L57" s="10" t="str">
        <f>IF($H57="","",IFERROR( ( _xll.IMDP("BND",$G57,K$6,$C$7,"Fill=false") - _xll.IMDP("BND",$G57,K$6,$C$5,"Fill=false") ) * 100, ""))</f>
        <v/>
      </c>
      <c r="M57" s="59" t="str">
        <f>IF($H57="","",_xll.IMDP("BND",$G57,M$6,$C$7,"Fill=false,DtFmt=1"))</f>
        <v/>
      </c>
      <c r="O57" s="11"/>
      <c r="P57" s="68" t="str">
        <f>IF(O57="","",IFERROR( _xll.IMDP("BND",$O57,P$6,$C$7,"Fill=false,DtFmt=1"),""))</f>
        <v/>
      </c>
      <c r="Q57" s="27" t="str">
        <f>IF($P57="","",SUBSTITUTE(INDEX(code_list!$O:$O,MATCH(O57,통안_code,0)),"통안",""))</f>
        <v/>
      </c>
      <c r="R57" s="8" t="str">
        <f t="shared" si="1"/>
        <v/>
      </c>
      <c r="S57" s="25" t="str">
        <f>IF($P57="","", _xll.IMDP("BND",$O57,S$6,$C$7,"Fill=false"))</f>
        <v/>
      </c>
      <c r="T57" s="26" t="str">
        <f>IF($P57="","", IFERROR( ( _xll.IMDP("BND",$O57,S$6,$C$7,"Fill=false")-_xll.IMDP("BND",$O57,S$6,$C$5,"Fill=false"))*100, ""))</f>
        <v/>
      </c>
      <c r="U57" s="59" t="str">
        <f>IF($P57="","", _xll.IMDP("BND",$O57,U$6,$C$7,"Fill=false,DtFmt=1"))</f>
        <v/>
      </c>
      <c r="W57" s="33"/>
      <c r="X57" s="73" t="str">
        <f>IF(W57="","",_xll.IMDP("BND",$W57,X$6,$C$7,"Fill=false"))</f>
        <v/>
      </c>
      <c r="Y57" s="33" t="str">
        <f t="shared" si="2"/>
        <v/>
      </c>
      <c r="Z57" s="28" t="str">
        <f>IF($X57="","",_xll.IMDP("BND",$W57,Z$6,$C$7,"Fill=false"))</f>
        <v/>
      </c>
      <c r="AA57" s="16" t="str">
        <f>IF($X57="","", IFERROR( ( _xll.IMDP("BND",$W57,Z$6,$C$7,"Fill=false")-_xll.IMDP("BND",$W57,Z$6,$C$5,"Fill=false"))*100, ""))</f>
        <v/>
      </c>
      <c r="AB57" s="60" t="str">
        <f>IF($X57="","",_xll.IMDP("BND",$W57,AB$6,$C$7,"Fill=false,DtFmt=1"))</f>
        <v/>
      </c>
      <c r="AD57" s="11"/>
      <c r="AE57" s="75" t="str">
        <f>IF(AD57="","",_xll.IMDP("BND",$AD57,AE$6,$C$7,"Fill=false"))</f>
        <v/>
      </c>
      <c r="AF57" s="27" t="str">
        <f t="shared" si="3"/>
        <v/>
      </c>
      <c r="AG57" s="9" t="str">
        <f>IF($AE57="","",_xll.IMDP("BND",$AD57,AG$6,$C$7,"Fill=false"))</f>
        <v/>
      </c>
      <c r="AH57" s="80" t="str">
        <f>IF($AE57="","", IFERROR( ( _xll.IMDP("BND",$AD57,AG$6,$C$7,"Fill=false")-_xll.IMDP("BND",$AD57,AG$6,$C$5,"Fill=false"))*100, ""))</f>
        <v/>
      </c>
      <c r="AI57" s="59" t="str">
        <f>IF($AE57="","",_xll.IMDP("BND",$AD57,AI$6,$C$7,"Fill=false,DtFmt=1"))</f>
        <v/>
      </c>
    </row>
    <row r="58" spans="7:35">
      <c r="G58" s="11"/>
      <c r="H58" s="7" t="str">
        <f>IF(G58="","",_xll.IMDP("BND",$G58,H$6,$C$7,"Fill=false"))</f>
        <v/>
      </c>
      <c r="I58" s="27" t="str">
        <f>IF($H58="","",SUBSTITUTE(INDEX(code_list!$F:$F, MATCH(G58,국고_code,0)),"국고",""))</f>
        <v/>
      </c>
      <c r="J58" s="8" t="str">
        <f t="shared" si="0"/>
        <v/>
      </c>
      <c r="K58" s="9" t="str">
        <f>IF($H58="","",_xll.IMDP("BND",$G58,K$6,$C$7,"Fill=false"))</f>
        <v/>
      </c>
      <c r="L58" s="10" t="str">
        <f>IF($H58="","",IFERROR( ( _xll.IMDP("BND",$G58,K$6,$C$7,"Fill=false") - _xll.IMDP("BND",$G58,K$6,$C$5,"Fill=false") ) * 100, ""))</f>
        <v/>
      </c>
      <c r="M58" s="59" t="str">
        <f>IF($H58="","",_xll.IMDP("BND",$G58,M$6,$C$7,"Fill=false,DtFmt=1"))</f>
        <v/>
      </c>
      <c r="O58" s="11"/>
      <c r="P58" s="68" t="str">
        <f>IF(O58="","",IFERROR( _xll.IMDP("BND",$O58,P$6,$C$7,"Fill=false,DtFmt=1"),""))</f>
        <v/>
      </c>
      <c r="Q58" s="27" t="str">
        <f>IF($P58="","",SUBSTITUTE(INDEX(code_list!$O:$O,MATCH(O58,통안_code,0)),"통안",""))</f>
        <v/>
      </c>
      <c r="R58" s="8" t="str">
        <f t="shared" si="1"/>
        <v/>
      </c>
      <c r="S58" s="25" t="str">
        <f>IF($P58="","", _xll.IMDP("BND",$O58,S$6,$C$7,"Fill=false"))</f>
        <v/>
      </c>
      <c r="T58" s="26" t="str">
        <f>IF($P58="","", IFERROR( ( _xll.IMDP("BND",$O58,S$6,$C$7,"Fill=false")-_xll.IMDP("BND",$O58,S$6,$C$5,"Fill=false"))*100, ""))</f>
        <v/>
      </c>
      <c r="U58" s="59" t="str">
        <f>IF($P58="","", _xll.IMDP("BND",$O58,U$6,$C$7,"Fill=false,DtFmt=1"))</f>
        <v/>
      </c>
      <c r="AD58" s="11"/>
      <c r="AE58" s="75" t="str">
        <f>IF(AD58="","",_xll.IMDP("BND",$AD58,AE$6,$C$7,"Fill=false"))</f>
        <v/>
      </c>
      <c r="AF58" s="27" t="str">
        <f t="shared" si="3"/>
        <v/>
      </c>
      <c r="AG58" s="9" t="str">
        <f>IF($AE58="","",_xll.IMDP("BND",$AD58,AG$6,$C$7,"Fill=false"))</f>
        <v/>
      </c>
      <c r="AH58" s="80" t="str">
        <f>IF($AE58="","", IFERROR( ( _xll.IMDP("BND",$AD58,AG$6,$C$7,"Fill=false")-_xll.IMDP("BND",$AD58,AG$6,$C$5,"Fill=false"))*100, ""))</f>
        <v/>
      </c>
      <c r="AI58" s="59" t="str">
        <f>IF($AE58="","",_xll.IMDP("BND",$AD58,AI$6,$C$7,"Fill=false,DtFmt=1"))</f>
        <v/>
      </c>
    </row>
    <row r="59" spans="7:35">
      <c r="G59" s="11"/>
      <c r="H59" s="7" t="str">
        <f>IF(G59="","",_xll.IMDP("BND",$G59,H$6,$C$7,"Fill=false"))</f>
        <v/>
      </c>
      <c r="I59" s="27" t="str">
        <f>IF($H59="","",SUBSTITUTE(INDEX(code_list!$F:$F, MATCH(G59,국고_code,0)),"국고",""))</f>
        <v/>
      </c>
      <c r="J59" s="8" t="str">
        <f t="shared" si="0"/>
        <v/>
      </c>
      <c r="K59" s="9" t="str">
        <f>IF($H59="","",_xll.IMDP("BND",$G59,K$6,$C$7,"Fill=false"))</f>
        <v/>
      </c>
      <c r="L59" s="10" t="str">
        <f>IF($H59="","",IFERROR( ( _xll.IMDP("BND",$G59,K$6,$C$7,"Fill=false") - _xll.IMDP("BND",$G59,K$6,$C$5,"Fill=false") ) * 100, ""))</f>
        <v/>
      </c>
      <c r="M59" s="59" t="str">
        <f>IF($H59="","",_xll.IMDP("BND",$G59,M$6,$C$7,"Fill=false,DtFmt=1"))</f>
        <v/>
      </c>
      <c r="O59" s="11"/>
      <c r="P59" s="68" t="str">
        <f>IF(O59="","",IFERROR( _xll.IMDP("BND",$O59,P$6,$C$7,"Fill=false,DtFmt=1"),""))</f>
        <v/>
      </c>
      <c r="Q59" s="27" t="str">
        <f>IF($P59="","",SUBSTITUTE(INDEX(code_list!$O:$O,MATCH(O59,통안_code,0)),"통안",""))</f>
        <v/>
      </c>
      <c r="R59" s="8" t="str">
        <f t="shared" si="1"/>
        <v/>
      </c>
      <c r="S59" s="25" t="str">
        <f>IF($P59="","", _xll.IMDP("BND",$O59,S$6,$C$7,"Fill=false"))</f>
        <v/>
      </c>
      <c r="T59" s="26" t="str">
        <f>IF($P59="","", IFERROR( ( _xll.IMDP("BND",$O59,S$6,$C$7,"Fill=false")-_xll.IMDP("BND",$O59,S$6,$C$5,"Fill=false"))*100, ""))</f>
        <v/>
      </c>
      <c r="U59" s="59" t="str">
        <f>IF($P59="","", _xll.IMDP("BND",$O59,U$6,$C$7,"Fill=false,DtFmt=1"))</f>
        <v/>
      </c>
      <c r="AD59" s="11"/>
      <c r="AE59" s="75" t="str">
        <f>IF(AD59="","",_xll.IMDP("BND",$AD59,AE$6,$C$7,"Fill=false"))</f>
        <v/>
      </c>
      <c r="AF59" s="27" t="str">
        <f t="shared" si="3"/>
        <v/>
      </c>
      <c r="AG59" s="9" t="str">
        <f>IF($AE59="","",_xll.IMDP("BND",$AD59,AG$6,$C$7,"Fill=false"))</f>
        <v/>
      </c>
      <c r="AH59" s="80" t="str">
        <f>IF($AE59="","", IFERROR( ( _xll.IMDP("BND",$AD59,AG$6,$C$7,"Fill=false")-_xll.IMDP("BND",$AD59,AG$6,$C$5,"Fill=false"))*100, ""))</f>
        <v/>
      </c>
      <c r="AI59" s="59" t="str">
        <f>IF($AE59="","",_xll.IMDP("BND",$AD59,AI$6,$C$7,"Fill=false,DtFmt=1"))</f>
        <v/>
      </c>
    </row>
    <row r="60" spans="7:35">
      <c r="G60" s="11"/>
      <c r="H60" s="7" t="str">
        <f>IF(G60="","",_xll.IMDP("BND",$G60,H$6,$C$7,"Fill=false"))</f>
        <v/>
      </c>
      <c r="I60" s="27" t="str">
        <f>IF($H60="","",SUBSTITUTE(INDEX(code_list!$F:$F, MATCH(G60,국고_code,0)),"국고",""))</f>
        <v/>
      </c>
      <c r="J60" s="8" t="str">
        <f t="shared" si="0"/>
        <v/>
      </c>
      <c r="K60" s="9" t="str">
        <f>IF($H60="","",_xll.IMDP("BND",$G60,K$6,$C$7,"Fill=false"))</f>
        <v/>
      </c>
      <c r="L60" s="10" t="str">
        <f>IF($H60="","",IFERROR( ( _xll.IMDP("BND",$G60,K$6,$C$7,"Fill=false") - _xll.IMDP("BND",$G60,K$6,$C$5,"Fill=false") ) * 100, ""))</f>
        <v/>
      </c>
      <c r="M60" s="59" t="str">
        <f>IF($H60="","",_xll.IMDP("BND",$G60,M$6,$C$7,"Fill=false,DtFmt=1"))</f>
        <v/>
      </c>
      <c r="O60" s="11"/>
      <c r="P60" s="68" t="str">
        <f>IF(O60="","",IFERROR( _xll.IMDP("BND",$O60,P$6,$C$7,"Fill=false,DtFmt=1"),""))</f>
        <v/>
      </c>
      <c r="Q60" s="27" t="str">
        <f>IF($P60="","",SUBSTITUTE(INDEX(code_list!$O:$O,MATCH(O60,통안_code,0)),"통안",""))</f>
        <v/>
      </c>
      <c r="R60" s="8" t="str">
        <f t="shared" si="1"/>
        <v/>
      </c>
      <c r="S60" s="25" t="str">
        <f>IF($P60="","", _xll.IMDP("BND",$O60,S$6,$C$7,"Fill=false"))</f>
        <v/>
      </c>
      <c r="T60" s="26" t="str">
        <f>IF($P60="","", IFERROR( ( _xll.IMDP("BND",$O60,S$6,$C$7,"Fill=false")-_xll.IMDP("BND",$O60,S$6,$C$5,"Fill=false"))*100, ""))</f>
        <v/>
      </c>
      <c r="U60" s="59" t="str">
        <f>IF($P60="","", _xll.IMDP("BND",$O60,U$6,$C$7,"Fill=false,DtFmt=1"))</f>
        <v/>
      </c>
      <c r="AD60" s="11"/>
      <c r="AE60" s="75" t="str">
        <f>IF(AD60="","",_xll.IMDP("BND",$AD60,AE$6,$C$7,"Fill=false"))</f>
        <v/>
      </c>
      <c r="AF60" s="27" t="str">
        <f t="shared" si="3"/>
        <v/>
      </c>
      <c r="AG60" s="9" t="str">
        <f>IF($AE60="","",_xll.IMDP("BND",$AD60,AG$6,$C$7,"Fill=false"))</f>
        <v/>
      </c>
      <c r="AH60" s="80" t="str">
        <f>IF($AE60="","", IFERROR( ( _xll.IMDP("BND",$AD60,AG$6,$C$7,"Fill=false")-_xll.IMDP("BND",$AD60,AG$6,$C$5,"Fill=false"))*100, ""))</f>
        <v/>
      </c>
      <c r="AI60" s="59" t="str">
        <f>IF($AE60="","",_xll.IMDP("BND",$AD60,AI$6,$C$7,"Fill=false,DtFmt=1"))</f>
        <v/>
      </c>
    </row>
    <row r="61" spans="7:35">
      <c r="G61" s="11"/>
      <c r="H61" s="7" t="str">
        <f>IF(G61="","",_xll.IMDP("BND",$G61,H$6,$C$7,"Fill=false"))</f>
        <v/>
      </c>
      <c r="I61" s="27" t="str">
        <f>IF($H61="","",SUBSTITUTE(INDEX(code_list!$F:$F, MATCH(G61,국고_code,0)),"국고",""))</f>
        <v/>
      </c>
      <c r="J61" s="8" t="str">
        <f t="shared" si="0"/>
        <v/>
      </c>
      <c r="K61" s="9" t="str">
        <f>IF($H61="","",_xll.IMDP("BND",$G61,K$6,$C$7,"Fill=false"))</f>
        <v/>
      </c>
      <c r="L61" s="10" t="str">
        <f>IF($H61="","",IFERROR( ( _xll.IMDP("BND",$G61,K$6,$C$7,"Fill=false") - _xll.IMDP("BND",$G61,K$6,$C$5,"Fill=false") ) * 100, ""))</f>
        <v/>
      </c>
      <c r="M61" s="59" t="str">
        <f>IF($H61="","",_xll.IMDP("BND",$G61,M$6,$C$7,"Fill=false,DtFmt=1"))</f>
        <v/>
      </c>
      <c r="O61" s="11"/>
      <c r="P61" s="68" t="str">
        <f>IF(O61="","",IFERROR( _xll.IMDP("BND",$O61,P$6,$C$7,"Fill=false,DtFmt=1"),""))</f>
        <v/>
      </c>
      <c r="Q61" s="27" t="str">
        <f>IF($P61="","",SUBSTITUTE(INDEX(code_list!$O:$O,MATCH(O61,통안_code,0)),"통안",""))</f>
        <v/>
      </c>
      <c r="R61" s="8" t="str">
        <f t="shared" si="1"/>
        <v/>
      </c>
      <c r="S61" s="25" t="str">
        <f>IF($P61="","", _xll.IMDP("BND",$O61,S$6,$C$7,"Fill=false"))</f>
        <v/>
      </c>
      <c r="T61" s="26" t="str">
        <f>IF($P61="","", IFERROR( ( _xll.IMDP("BND",$O61,S$6,$C$7,"Fill=false")-_xll.IMDP("BND",$O61,S$6,$C$5,"Fill=false"))*100, ""))</f>
        <v/>
      </c>
      <c r="U61" s="59" t="str">
        <f>IF($P61="","", _xll.IMDP("BND",$O61,U$6,$C$7,"Fill=false,DtFmt=1"))</f>
        <v/>
      </c>
      <c r="AD61" s="11"/>
      <c r="AE61" s="75" t="str">
        <f>IF(AD61="","",_xll.IMDP("BND",$AD61,AE$6,$C$7,"Fill=false"))</f>
        <v/>
      </c>
      <c r="AF61" s="27" t="str">
        <f t="shared" si="3"/>
        <v/>
      </c>
      <c r="AG61" s="9" t="str">
        <f>IF($AE61="","",_xll.IMDP("BND",$AD61,AG$6,$C$7,"Fill=false"))</f>
        <v/>
      </c>
      <c r="AH61" s="80" t="str">
        <f>IF($AE61="","", IFERROR( ( _xll.IMDP("BND",$AD61,AG$6,$C$7,"Fill=false")-_xll.IMDP("BND",$AD61,AG$6,$C$5,"Fill=false"))*100, ""))</f>
        <v/>
      </c>
      <c r="AI61" s="59" t="str">
        <f>IF($AE61="","",_xll.IMDP("BND",$AD61,AI$6,$C$7,"Fill=false,DtFmt=1"))</f>
        <v/>
      </c>
    </row>
    <row r="62" spans="7:35">
      <c r="G62" s="11"/>
      <c r="H62" s="7" t="str">
        <f>IF(G62="","",_xll.IMDP("BND",$G62,H$6,$C$7,"Fill=false"))</f>
        <v/>
      </c>
      <c r="I62" s="27" t="str">
        <f>IF($H62="","",SUBSTITUTE(INDEX(code_list!$F:$F, MATCH(G62,국고_code,0)),"국고",""))</f>
        <v/>
      </c>
      <c r="J62" s="8" t="str">
        <f t="shared" si="0"/>
        <v/>
      </c>
      <c r="K62" s="9" t="str">
        <f>IF($H62="","",_xll.IMDP("BND",$G62,K$6,$C$7,"Fill=false"))</f>
        <v/>
      </c>
      <c r="L62" s="10" t="str">
        <f>IF($H62="","",IFERROR( ( _xll.IMDP("BND",$G62,K$6,$C$7,"Fill=false") - _xll.IMDP("BND",$G62,K$6,$C$5,"Fill=false") ) * 100, ""))</f>
        <v/>
      </c>
      <c r="M62" s="59" t="str">
        <f>IF($H62="","",_xll.IMDP("BND",$G62,M$6,$C$7,"Fill=false,DtFmt=1"))</f>
        <v/>
      </c>
      <c r="O62" s="11"/>
      <c r="P62" s="68" t="str">
        <f>IF(O62="","",IFERROR( _xll.IMDP("BND",$O62,P$6,$C$7,"Fill=false,DtFmt=1"),""))</f>
        <v/>
      </c>
      <c r="Q62" s="27" t="str">
        <f>IF($P62="","",SUBSTITUTE(INDEX(code_list!$O:$O,MATCH(O62,통안_code,0)),"통안",""))</f>
        <v/>
      </c>
      <c r="R62" s="8" t="str">
        <f t="shared" si="1"/>
        <v/>
      </c>
      <c r="S62" s="25" t="str">
        <f>IF($P62="","", _xll.IMDP("BND",$O62,S$6,$C$7,"Fill=false"))</f>
        <v/>
      </c>
      <c r="T62" s="26" t="str">
        <f>IF($P62="","", IFERROR( ( _xll.IMDP("BND",$O62,S$6,$C$7,"Fill=false")-_xll.IMDP("BND",$O62,S$6,$C$5,"Fill=false"))*100, ""))</f>
        <v/>
      </c>
      <c r="U62" s="59" t="str">
        <f>IF($P62="","", _xll.IMDP("BND",$O62,U$6,$C$7,"Fill=false,DtFmt=1"))</f>
        <v/>
      </c>
      <c r="AD62" s="11"/>
      <c r="AE62" s="75" t="str">
        <f>IF(AD62="","",_xll.IMDP("BND",$AD62,AE$6,$C$7,"Fill=false"))</f>
        <v/>
      </c>
      <c r="AF62" s="27" t="str">
        <f t="shared" si="3"/>
        <v/>
      </c>
      <c r="AG62" s="9" t="str">
        <f>IF($AE62="","",_xll.IMDP("BND",$AD62,AG$6,$C$7,"Fill=false"))</f>
        <v/>
      </c>
      <c r="AH62" s="80" t="str">
        <f>IF($AE62="","", IFERROR( ( _xll.IMDP("BND",$AD62,AG$6,$C$7,"Fill=false")-_xll.IMDP("BND",$AD62,AG$6,$C$5,"Fill=false"))*100, ""))</f>
        <v/>
      </c>
      <c r="AI62" s="59" t="str">
        <f>IF($AE62="","",_xll.IMDP("BND",$AD62,AI$6,$C$7,"Fill=false,DtFmt=1"))</f>
        <v/>
      </c>
    </row>
    <row r="63" spans="7:35">
      <c r="G63" s="11"/>
      <c r="H63" s="7" t="str">
        <f>IF(G63="","",_xll.IMDP("BND",$G63,H$6,$C$7,"Fill=false"))</f>
        <v/>
      </c>
      <c r="I63" s="27" t="str">
        <f>IF($H63="","",SUBSTITUTE(INDEX(code_list!$F:$F, MATCH(G63,국고_code,0)),"국고",""))</f>
        <v/>
      </c>
      <c r="J63" s="8" t="str">
        <f t="shared" si="0"/>
        <v/>
      </c>
      <c r="K63" s="9" t="str">
        <f>IF($H63="","",_xll.IMDP("BND",$G63,K$6,$C$7,"Fill=false"))</f>
        <v/>
      </c>
      <c r="L63" s="10" t="str">
        <f>IF($H63="","",IFERROR( ( _xll.IMDP("BND",$G63,K$6,$C$7,"Fill=false") - _xll.IMDP("BND",$G63,K$6,$C$5,"Fill=false") ) * 100, ""))</f>
        <v/>
      </c>
      <c r="M63" s="59" t="str">
        <f>IF($H63="","",_xll.IMDP("BND",$G63,M$6,$C$7,"Fill=false,DtFmt=1"))</f>
        <v/>
      </c>
      <c r="O63" s="11"/>
      <c r="P63" s="68" t="str">
        <f>IF(O63="","",IFERROR( _xll.IMDP("BND",$O63,P$6,$C$7,"Fill=false,DtFmt=1"),""))</f>
        <v/>
      </c>
      <c r="Q63" s="27" t="str">
        <f>IF($P63="","",SUBSTITUTE(INDEX(code_list!$O:$O,MATCH(O63,통안_code,0)),"통안",""))</f>
        <v/>
      </c>
      <c r="R63" s="8" t="str">
        <f t="shared" si="1"/>
        <v/>
      </c>
      <c r="S63" s="25" t="str">
        <f>IF($P63="","", _xll.IMDP("BND",$O63,S$6,$C$7,"Fill=false"))</f>
        <v/>
      </c>
      <c r="T63" s="26" t="str">
        <f>IF($P63="","", IFERROR( ( _xll.IMDP("BND",$O63,S$6,$C$7,"Fill=false")-_xll.IMDP("BND",$O63,S$6,$C$5,"Fill=false"))*100, ""))</f>
        <v/>
      </c>
      <c r="U63" s="59" t="str">
        <f>IF($P63="","", _xll.IMDP("BND",$O63,U$6,$C$7,"Fill=false,DtFmt=1"))</f>
        <v/>
      </c>
      <c r="AD63" s="11"/>
      <c r="AE63" s="75" t="str">
        <f>IF(AD63="","",_xll.IMDP("BND",$AD63,AE$6,$C$7,"Fill=false"))</f>
        <v/>
      </c>
      <c r="AF63" s="27" t="str">
        <f t="shared" si="3"/>
        <v/>
      </c>
      <c r="AG63" s="9" t="str">
        <f>IF($AE63="","",_xll.IMDP("BND",$AD63,AG$6,$C$7,"Fill=false"))</f>
        <v/>
      </c>
      <c r="AH63" s="80" t="str">
        <f>IF($AE63="","", IFERROR( ( _xll.IMDP("BND",$AD63,AG$6,$C$7,"Fill=false")-_xll.IMDP("BND",$AD63,AG$6,$C$5,"Fill=false"))*100, ""))</f>
        <v/>
      </c>
      <c r="AI63" s="59" t="str">
        <f>IF($AE63="","",_xll.IMDP("BND",$AD63,AI$6,$C$7,"Fill=false,DtFmt=1"))</f>
        <v/>
      </c>
    </row>
    <row r="64" spans="7:35">
      <c r="G64" s="11"/>
      <c r="H64" s="7" t="str">
        <f>IF(G64="","",_xll.IMDP("BND",$G64,H$6,$C$7,"Fill=false"))</f>
        <v/>
      </c>
      <c r="I64" s="27" t="str">
        <f>IF($H64="","",SUBSTITUTE(INDEX(code_list!$F:$F, MATCH(G64,국고_code,0)),"국고",""))</f>
        <v/>
      </c>
      <c r="J64" s="8" t="str">
        <f t="shared" si="0"/>
        <v/>
      </c>
      <c r="K64" s="9" t="str">
        <f>IF($H64="","",_xll.IMDP("BND",$G64,K$6,$C$7,"Fill=false"))</f>
        <v/>
      </c>
      <c r="L64" s="10" t="str">
        <f>IF($H64="","",IFERROR( ( _xll.IMDP("BND",$G64,K$6,$C$7,"Fill=false") - _xll.IMDP("BND",$G64,K$6,$C$5,"Fill=false") ) * 100, ""))</f>
        <v/>
      </c>
      <c r="M64" s="59" t="str">
        <f>IF($H64="","",_xll.IMDP("BND",$G64,M$6,$C$7,"Fill=false,DtFmt=1"))</f>
        <v/>
      </c>
      <c r="O64" s="11"/>
      <c r="P64" s="68" t="str">
        <f>IF(O64="","",IFERROR( _xll.IMDP("BND",$O64,P$6,$C$7,"Fill=false,DtFmt=1"),""))</f>
        <v/>
      </c>
      <c r="Q64" s="27" t="str">
        <f>IF($P64="","",SUBSTITUTE(INDEX(code_list!$O:$O,MATCH(O64,통안_code,0)),"통안",""))</f>
        <v/>
      </c>
      <c r="R64" s="8" t="str">
        <f t="shared" si="1"/>
        <v/>
      </c>
      <c r="S64" s="25" t="str">
        <f>IF($P64="","", _xll.IMDP("BND",$O64,S$6,$C$7,"Fill=false"))</f>
        <v/>
      </c>
      <c r="T64" s="26" t="str">
        <f>IF($P64="","", IFERROR( ( _xll.IMDP("BND",$O64,S$6,$C$7,"Fill=false")-_xll.IMDP("BND",$O64,S$6,$C$5,"Fill=false"))*100, ""))</f>
        <v/>
      </c>
      <c r="U64" s="59" t="str">
        <f>IF($P64="","", _xll.IMDP("BND",$O64,U$6,$C$7,"Fill=false,DtFmt=1"))</f>
        <v/>
      </c>
      <c r="AD64" s="11"/>
      <c r="AE64" s="75" t="str">
        <f>IF(AD64="","",_xll.IMDP("BND",$AD64,AE$6,$C$7,"Fill=false"))</f>
        <v/>
      </c>
      <c r="AF64" s="27" t="str">
        <f t="shared" si="3"/>
        <v/>
      </c>
      <c r="AG64" s="9" t="str">
        <f>IF($AE64="","",_xll.IMDP("BND",$AD64,AG$6,$C$7,"Fill=false"))</f>
        <v/>
      </c>
      <c r="AH64" s="80" t="str">
        <f>IF($AE64="","", IFERROR( ( _xll.IMDP("BND",$AD64,AG$6,$C$7,"Fill=false")-_xll.IMDP("BND",$AD64,AG$6,$C$5,"Fill=false"))*100, ""))</f>
        <v/>
      </c>
      <c r="AI64" s="59" t="str">
        <f>IF($AE64="","",_xll.IMDP("BND",$AD64,AI$6,$C$7,"Fill=false,DtFmt=1"))</f>
        <v/>
      </c>
    </row>
    <row r="65" spans="7:35">
      <c r="G65" s="11"/>
      <c r="H65" s="7" t="str">
        <f>IF(G65="","",_xll.IMDP("BND",$G65,H$6,$C$7,"Fill=false"))</f>
        <v/>
      </c>
      <c r="I65" s="27" t="str">
        <f>IF($H65="","",SUBSTITUTE(INDEX(code_list!$F:$F, MATCH(G65,국고_code,0)),"국고",""))</f>
        <v/>
      </c>
      <c r="J65" s="8" t="str">
        <f t="shared" si="0"/>
        <v/>
      </c>
      <c r="K65" s="9" t="str">
        <f>IF($H65="","",_xll.IMDP("BND",$G65,K$6,$C$7,"Fill=false"))</f>
        <v/>
      </c>
      <c r="L65" s="10" t="str">
        <f>IF($H65="","",IFERROR( ( _xll.IMDP("BND",$G65,K$6,$C$7,"Fill=false") - _xll.IMDP("BND",$G65,K$6,$C$5,"Fill=false") ) * 100, ""))</f>
        <v/>
      </c>
      <c r="M65" s="59" t="str">
        <f>IF($H65="","",_xll.IMDP("BND",$G65,M$6,$C$7,"Fill=false,DtFmt=1"))</f>
        <v/>
      </c>
      <c r="O65" s="11"/>
      <c r="P65" s="68" t="str">
        <f>IF(O65="","",IFERROR( _xll.IMDP("BND",$O65,P$6,$C$7,"Fill=false,DtFmt=1"),""))</f>
        <v/>
      </c>
      <c r="Q65" s="27" t="str">
        <f>IF($P65="","",SUBSTITUTE(INDEX(code_list!$O:$O,MATCH(O65,통안_code,0)),"통안",""))</f>
        <v/>
      </c>
      <c r="R65" s="8" t="str">
        <f t="shared" si="1"/>
        <v/>
      </c>
      <c r="S65" s="25" t="str">
        <f>IF($P65="","", _xll.IMDP("BND",$O65,S$6,$C$7,"Fill=false"))</f>
        <v/>
      </c>
      <c r="T65" s="26" t="str">
        <f>IF($P65="","", IFERROR( ( _xll.IMDP("BND",$O65,S$6,$C$7,"Fill=false")-_xll.IMDP("BND",$O65,S$6,$C$5,"Fill=false"))*100, ""))</f>
        <v/>
      </c>
      <c r="U65" s="59" t="str">
        <f>IF($P65="","", _xll.IMDP("BND",$O65,U$6,$C$7,"Fill=false,DtFmt=1"))</f>
        <v/>
      </c>
      <c r="AD65" s="11"/>
      <c r="AE65" s="75" t="str">
        <f>IF(AD65="","",_xll.IMDP("BND",$AD65,AE$6,$C$7,"Fill=false"))</f>
        <v/>
      </c>
      <c r="AF65" s="27" t="str">
        <f t="shared" si="3"/>
        <v/>
      </c>
      <c r="AG65" s="9" t="str">
        <f>IF($AE65="","",_xll.IMDP("BND",$AD65,AG$6,$C$7,"Fill=false"))</f>
        <v/>
      </c>
      <c r="AH65" s="80" t="str">
        <f>IF($AE65="","", IFERROR( ( _xll.IMDP("BND",$AD65,AG$6,$C$7,"Fill=false")-_xll.IMDP("BND",$AD65,AG$6,$C$5,"Fill=false"))*100, ""))</f>
        <v/>
      </c>
      <c r="AI65" s="59" t="str">
        <f>IF($AE65="","",_xll.IMDP("BND",$AD65,AI$6,$C$7,"Fill=false,DtFmt=1"))</f>
        <v/>
      </c>
    </row>
    <row r="66" spans="7:35">
      <c r="G66" s="11"/>
      <c r="H66" s="7" t="str">
        <f>IF(G66="","",_xll.IMDP("BND",$G66,H$6,$C$7,"Fill=false"))</f>
        <v/>
      </c>
      <c r="I66" s="27" t="str">
        <f>IF($H66="","",SUBSTITUTE(INDEX(code_list!$F:$F, MATCH(G66,국고_code,0)),"국고",""))</f>
        <v/>
      </c>
      <c r="J66" s="8" t="str">
        <f t="shared" si="0"/>
        <v/>
      </c>
      <c r="K66" s="9" t="str">
        <f>IF($H66="","",_xll.IMDP("BND",$G66,K$6,$C$7,"Fill=false"))</f>
        <v/>
      </c>
      <c r="L66" s="10" t="str">
        <f>IF($H66="","",IFERROR( ( _xll.IMDP("BND",$G66,K$6,$C$7,"Fill=false") - _xll.IMDP("BND",$G66,K$6,$C$5,"Fill=false") ) * 100, ""))</f>
        <v/>
      </c>
      <c r="M66" s="59" t="str">
        <f>IF($H66="","",_xll.IMDP("BND",$G66,M$6,$C$7,"Fill=false,DtFmt=1"))</f>
        <v/>
      </c>
      <c r="O66" s="11"/>
      <c r="P66" s="68" t="str">
        <f>IF(O66="","",IFERROR( _xll.IMDP("BND",$O66,P$6,$C$7,"Fill=false,DtFmt=1"),""))</f>
        <v/>
      </c>
      <c r="Q66" s="27" t="str">
        <f>IF($P66="","",SUBSTITUTE(INDEX(code_list!$O:$O,MATCH(O66,통안_code,0)),"통안",""))</f>
        <v/>
      </c>
      <c r="R66" s="8" t="str">
        <f t="shared" si="1"/>
        <v/>
      </c>
      <c r="S66" s="25" t="str">
        <f>IF($P66="","", _xll.IMDP("BND",$O66,S$6,$C$7,"Fill=false"))</f>
        <v/>
      </c>
      <c r="T66" s="26" t="str">
        <f>IF($P66="","", IFERROR( ( _xll.IMDP("BND",$O66,S$6,$C$7,"Fill=false")-_xll.IMDP("BND",$O66,S$6,$C$5,"Fill=false"))*100, ""))</f>
        <v/>
      </c>
      <c r="U66" s="59" t="str">
        <f>IF($P66="","", _xll.IMDP("BND",$O66,U$6,$C$7,"Fill=false,DtFmt=1"))</f>
        <v/>
      </c>
      <c r="AD66" s="11"/>
      <c r="AE66" s="75" t="str">
        <f>IF(AD66="","",_xll.IMDP("BND",$AD66,AE$6,$C$7,"Fill=false"))</f>
        <v/>
      </c>
      <c r="AF66" s="27" t="str">
        <f t="shared" si="3"/>
        <v/>
      </c>
      <c r="AG66" s="9" t="str">
        <f>IF($AE66="","",_xll.IMDP("BND",$AD66,AG$6,$C$7,"Fill=false"))</f>
        <v/>
      </c>
      <c r="AH66" s="80" t="str">
        <f>IF($AE66="","", IFERROR( ( _xll.IMDP("BND",$AD66,AG$6,$C$7,"Fill=false")-_xll.IMDP("BND",$AD66,AG$6,$C$5,"Fill=false"))*100, ""))</f>
        <v/>
      </c>
      <c r="AI66" s="59" t="str">
        <f>IF($AE66="","",_xll.IMDP("BND",$AD66,AI$6,$C$7,"Fill=false,DtFmt=1"))</f>
        <v/>
      </c>
    </row>
    <row r="67" spans="7:35">
      <c r="G67" s="11"/>
      <c r="H67" s="7" t="str">
        <f>IF(G67="","",_xll.IMDP("BND",$G67,H$6,$C$7,"Fill=false"))</f>
        <v/>
      </c>
      <c r="I67" s="27" t="str">
        <f>IF($H67="","",SUBSTITUTE(INDEX(code_list!$F:$F, MATCH(G67,국고_code,0)),"국고",""))</f>
        <v/>
      </c>
      <c r="J67" s="8" t="str">
        <f t="shared" si="0"/>
        <v/>
      </c>
      <c r="K67" s="9" t="str">
        <f>IF($H67="","",_xll.IMDP("BND",$G67,K$6,$C$7,"Fill=false"))</f>
        <v/>
      </c>
      <c r="L67" s="10" t="str">
        <f>IF($H67="","",IFERROR( ( _xll.IMDP("BND",$G67,K$6,$C$7,"Fill=false") - _xll.IMDP("BND",$G67,K$6,$C$5,"Fill=false") ) * 100, ""))</f>
        <v/>
      </c>
      <c r="M67" s="59" t="str">
        <f>IF($H67="","",_xll.IMDP("BND",$G67,M$6,$C$7,"Fill=false,DtFmt=1"))</f>
        <v/>
      </c>
      <c r="O67" s="11"/>
      <c r="P67" s="68" t="str">
        <f>IF(O67="","",IFERROR( _xll.IMDP("BND",$O67,P$6,$C$7,"Fill=false,DtFmt=1"),""))</f>
        <v/>
      </c>
      <c r="Q67" s="27" t="str">
        <f>IF($P67="","",SUBSTITUTE(INDEX(code_list!$O:$O,MATCH(O67,통안_code,0)),"통안",""))</f>
        <v/>
      </c>
      <c r="R67" s="8" t="str">
        <f t="shared" si="1"/>
        <v/>
      </c>
      <c r="S67" s="25" t="str">
        <f>IF($P67="","", _xll.IMDP("BND",$O67,S$6,$C$7,"Fill=false"))</f>
        <v/>
      </c>
      <c r="T67" s="26" t="str">
        <f>IF($P67="","", IFERROR( ( _xll.IMDP("BND",$O67,S$6,$C$7,"Fill=false")-_xll.IMDP("BND",$O67,S$6,$C$5,"Fill=false"))*100, ""))</f>
        <v/>
      </c>
      <c r="U67" s="59" t="str">
        <f>IF($P67="","", _xll.IMDP("BND",$O67,U$6,$C$7,"Fill=false,DtFmt=1"))</f>
        <v/>
      </c>
      <c r="AD67" s="11"/>
      <c r="AE67" s="75" t="str">
        <f>IF(AD67="","",_xll.IMDP("BND",$AD67,AE$6,$C$7,"Fill=false"))</f>
        <v/>
      </c>
      <c r="AF67" s="27" t="str">
        <f t="shared" si="3"/>
        <v/>
      </c>
      <c r="AG67" s="9" t="str">
        <f>IF($AE67="","",_xll.IMDP("BND",$AD67,AG$6,$C$7,"Fill=false"))</f>
        <v/>
      </c>
      <c r="AH67" s="80" t="str">
        <f>IF($AE67="","", IFERROR( ( _xll.IMDP("BND",$AD67,AG$6,$C$7,"Fill=false")-_xll.IMDP("BND",$AD67,AG$6,$C$5,"Fill=false"))*100, ""))</f>
        <v/>
      </c>
      <c r="AI67" s="59" t="str">
        <f>IF($AE67="","",_xll.IMDP("BND",$AD67,AI$6,$C$7,"Fill=false,DtFmt=1"))</f>
        <v/>
      </c>
    </row>
    <row r="68" spans="7:35">
      <c r="G68" s="11"/>
      <c r="H68" s="7" t="str">
        <f>IF(G68="","",_xll.IMDP("BND",$G68,H$6,$C$7,"Fill=false"))</f>
        <v/>
      </c>
      <c r="I68" s="27" t="str">
        <f>IF($H68="","",SUBSTITUTE(INDEX(code_list!$F:$F, MATCH(G68,국고_code,0)),"국고",""))</f>
        <v/>
      </c>
      <c r="J68" s="8" t="str">
        <f t="shared" si="0"/>
        <v/>
      </c>
      <c r="K68" s="9" t="str">
        <f>IF($H68="","",_xll.IMDP("BND",$G68,K$6,$C$7,"Fill=false"))</f>
        <v/>
      </c>
      <c r="L68" s="10" t="str">
        <f>IF($H68="","",IFERROR( ( _xll.IMDP("BND",$G68,K$6,$C$7,"Fill=false") - _xll.IMDP("BND",$G68,K$6,$C$5,"Fill=false") ) * 100, ""))</f>
        <v/>
      </c>
      <c r="M68" s="59" t="str">
        <f>IF($H68="","",_xll.IMDP("BND",$G68,M$6,$C$7,"Fill=false,DtFmt=1"))</f>
        <v/>
      </c>
      <c r="O68" s="11"/>
      <c r="P68" s="68" t="str">
        <f>IF(O68="","",IFERROR( _xll.IMDP("BND",$O68,P$6,$C$7,"Fill=false,DtFmt=1"),""))</f>
        <v/>
      </c>
      <c r="Q68" s="27" t="str">
        <f>IF($P68="","",SUBSTITUTE(INDEX(code_list!$O:$O,MATCH(O68,통안_code,0)),"통안",""))</f>
        <v/>
      </c>
      <c r="R68" s="8" t="str">
        <f t="shared" si="1"/>
        <v/>
      </c>
      <c r="S68" s="25" t="str">
        <f>IF($P68="","", _xll.IMDP("BND",$O68,S$6,$C$7,"Fill=false"))</f>
        <v/>
      </c>
      <c r="T68" s="26" t="str">
        <f>IF($P68="","", IFERROR( ( _xll.IMDP("BND",$O68,S$6,$C$7,"Fill=false")-_xll.IMDP("BND",$O68,S$6,$C$5,"Fill=false"))*100, ""))</f>
        <v/>
      </c>
      <c r="U68" s="59" t="str">
        <f>IF($P68="","", _xll.IMDP("BND",$O68,U$6,$C$7,"Fill=false,DtFmt=1"))</f>
        <v/>
      </c>
      <c r="AD68" s="11"/>
      <c r="AE68" s="75" t="str">
        <f>IF(AD68="","",_xll.IMDP("BND",$AD68,AE$6,$C$7,"Fill=false"))</f>
        <v/>
      </c>
      <c r="AF68" s="27" t="str">
        <f t="shared" si="3"/>
        <v/>
      </c>
      <c r="AG68" s="9" t="str">
        <f>IF($AE68="","",_xll.IMDP("BND",$AD68,AG$6,$C$7,"Fill=false"))</f>
        <v/>
      </c>
      <c r="AH68" s="80" t="str">
        <f>IF($AE68="","", IFERROR( ( _xll.IMDP("BND",$AD68,AG$6,$C$7,"Fill=false")-_xll.IMDP("BND",$AD68,AG$6,$C$5,"Fill=false"))*100, ""))</f>
        <v/>
      </c>
      <c r="AI68" s="59" t="str">
        <f>IF($AE68="","",_xll.IMDP("BND",$AD68,AI$6,$C$7,"Fill=false,DtFmt=1"))</f>
        <v/>
      </c>
    </row>
    <row r="69" spans="7:35">
      <c r="G69" s="11"/>
      <c r="H69" s="7" t="str">
        <f>IF(G69="","",_xll.IMDP("BND",$G69,H$6,$C$7,"Fill=false"))</f>
        <v/>
      </c>
      <c r="I69" s="27" t="str">
        <f>IF($H69="","",SUBSTITUTE(INDEX(code_list!$F:$F, MATCH(G69,국고_code,0)),"국고",""))</f>
        <v/>
      </c>
      <c r="J69" s="8" t="str">
        <f t="shared" si="0"/>
        <v/>
      </c>
      <c r="K69" s="9" t="str">
        <f>IF($H69="","",_xll.IMDP("BND",$G69,K$6,$C$7,"Fill=false"))</f>
        <v/>
      </c>
      <c r="L69" s="10" t="str">
        <f>IF($H69="","",IFERROR( ( _xll.IMDP("BND",$G69,K$6,$C$7,"Fill=false") - _xll.IMDP("BND",$G69,K$6,$C$5,"Fill=false") ) * 100, ""))</f>
        <v/>
      </c>
      <c r="M69" s="59" t="str">
        <f>IF($H69="","",_xll.IMDP("BND",$G69,M$6,$C$7,"Fill=false,DtFmt=1"))</f>
        <v/>
      </c>
      <c r="O69" s="11"/>
      <c r="P69" s="68" t="str">
        <f>IF(O69="","",IFERROR( _xll.IMDP("BND",$O69,P$6,$C$7,"Fill=false,DtFmt=1"),""))</f>
        <v/>
      </c>
      <c r="Q69" s="27" t="str">
        <f>IF($P69="","",SUBSTITUTE(INDEX(code_list!$O:$O,MATCH(O69,통안_code,0)),"통안",""))</f>
        <v/>
      </c>
      <c r="R69" s="8" t="str">
        <f t="shared" si="1"/>
        <v/>
      </c>
      <c r="S69" s="25" t="str">
        <f>IF($P69="","", _xll.IMDP("BND",$O69,S$6,$C$7,"Fill=false"))</f>
        <v/>
      </c>
      <c r="T69" s="26" t="str">
        <f>IF($P69="","", IFERROR( ( _xll.IMDP("BND",$O69,S$6,$C$7,"Fill=false")-_xll.IMDP("BND",$O69,S$6,$C$5,"Fill=false"))*100, ""))</f>
        <v/>
      </c>
      <c r="U69" s="59" t="str">
        <f>IF($P69="","", _xll.IMDP("BND",$O69,U$6,$C$7,"Fill=false,DtFmt=1"))</f>
        <v/>
      </c>
      <c r="AD69" s="11"/>
      <c r="AE69" s="75" t="str">
        <f>IF(AD69="","",_xll.IMDP("BND",$AD69,AE$6,$C$7,"Fill=false"))</f>
        <v/>
      </c>
      <c r="AF69" s="27" t="str">
        <f t="shared" si="3"/>
        <v/>
      </c>
      <c r="AG69" s="9" t="str">
        <f>IF($AE69="","",_xll.IMDP("BND",$AD69,AG$6,$C$7,"Fill=false"))</f>
        <v/>
      </c>
      <c r="AH69" s="80" t="str">
        <f>IF($AE69="","", IFERROR( ( _xll.IMDP("BND",$AD69,AG$6,$C$7,"Fill=false")-_xll.IMDP("BND",$AD69,AG$6,$C$5,"Fill=false"))*100, ""))</f>
        <v/>
      </c>
      <c r="AI69" s="59" t="str">
        <f>IF($AE69="","",_xll.IMDP("BND",$AD69,AI$6,$C$7,"Fill=false,DtFmt=1"))</f>
        <v/>
      </c>
    </row>
    <row r="70" spans="7:35">
      <c r="G70" s="11"/>
      <c r="H70" s="7" t="str">
        <f>IF(G70="","",_xll.IMDP("BND",$G70,H$6,$C$7,"Fill=false"))</f>
        <v/>
      </c>
      <c r="I70" s="27" t="str">
        <f>IF($H70="","",SUBSTITUTE(INDEX(code_list!$F:$F, MATCH(G70,국고_code,0)),"국고",""))</f>
        <v/>
      </c>
      <c r="J70" s="8" t="str">
        <f t="shared" si="0"/>
        <v/>
      </c>
      <c r="K70" s="9" t="str">
        <f>IF($H70="","",_xll.IMDP("BND",$G70,K$6,$C$7,"Fill=false"))</f>
        <v/>
      </c>
      <c r="L70" s="10" t="str">
        <f>IF($H70="","",IFERROR( ( _xll.IMDP("BND",$G70,K$6,$C$7,"Fill=false") - _xll.IMDP("BND",$G70,K$6,$C$5,"Fill=false") ) * 100, ""))</f>
        <v/>
      </c>
      <c r="M70" s="59" t="str">
        <f>IF($H70="","",_xll.IMDP("BND",$G70,M$6,$C$7,"Fill=false,DtFmt=1"))</f>
        <v/>
      </c>
      <c r="O70" s="11"/>
      <c r="P70" s="68" t="str">
        <f>IF(O70="","",IFERROR( _xll.IMDP("BND",$O70,P$6,$C$7,"Fill=false,DtFmt=1"),""))</f>
        <v/>
      </c>
      <c r="Q70" s="27" t="str">
        <f>IF($P70="","",SUBSTITUTE(INDEX(code_list!$O:$O,MATCH(O70,통안_code,0)),"통안",""))</f>
        <v/>
      </c>
      <c r="R70" s="8" t="str">
        <f t="shared" si="1"/>
        <v/>
      </c>
      <c r="S70" s="25" t="str">
        <f>IF($P70="","", _xll.IMDP("BND",$O70,S$6,$C$7,"Fill=false"))</f>
        <v/>
      </c>
      <c r="T70" s="26" t="str">
        <f>IF($P70="","", IFERROR( ( _xll.IMDP("BND",$O70,S$6,$C$7,"Fill=false")-_xll.IMDP("BND",$O70,S$6,$C$5,"Fill=false"))*100, ""))</f>
        <v/>
      </c>
      <c r="U70" s="59" t="str">
        <f>IF($P70="","", _xll.IMDP("BND",$O70,U$6,$C$7,"Fill=false,DtFmt=1"))</f>
        <v/>
      </c>
      <c r="AD70" s="11"/>
      <c r="AE70" s="75" t="str">
        <f>IF(AD70="","",_xll.IMDP("BND",$AD70,AE$6,$C$7,"Fill=false"))</f>
        <v/>
      </c>
      <c r="AF70" s="27" t="str">
        <f t="shared" si="3"/>
        <v/>
      </c>
      <c r="AG70" s="9" t="str">
        <f>IF($AE70="","",_xll.IMDP("BND",$AD70,AG$6,$C$7,"Fill=false"))</f>
        <v/>
      </c>
      <c r="AH70" s="80" t="str">
        <f>IF($AE70="","", IFERROR( ( _xll.IMDP("BND",$AD70,AG$6,$C$7,"Fill=false")-_xll.IMDP("BND",$AD70,AG$6,$C$5,"Fill=false"))*100, ""))</f>
        <v/>
      </c>
      <c r="AI70" s="59" t="str">
        <f>IF($AE70="","",_xll.IMDP("BND",$AD70,AI$6,$C$7,"Fill=false,DtFmt=1"))</f>
        <v/>
      </c>
    </row>
    <row r="71" spans="7:35">
      <c r="G71" s="11"/>
      <c r="H71" s="7" t="str">
        <f>IF(G71="","",_xll.IMDP("BND",$G71,H$6,$C$7,"Fill=false"))</f>
        <v/>
      </c>
      <c r="I71" s="27" t="str">
        <f>IF($H71="","",SUBSTITUTE(INDEX(code_list!$F:$F, MATCH(G71,국고_code,0)),"국고",""))</f>
        <v/>
      </c>
      <c r="J71" s="8" t="str">
        <f t="shared" si="0"/>
        <v/>
      </c>
      <c r="K71" s="9" t="str">
        <f>IF($H71="","",_xll.IMDP("BND",$G71,K$6,$C$7,"Fill=false"))</f>
        <v/>
      </c>
      <c r="L71" s="10" t="str">
        <f>IF($H71="","",IFERROR( ( _xll.IMDP("BND",$G71,K$6,$C$7,"Fill=false") - _xll.IMDP("BND",$G71,K$6,$C$5,"Fill=false") ) * 100, ""))</f>
        <v/>
      </c>
      <c r="M71" s="59" t="str">
        <f>IF($H71="","",_xll.IMDP("BND",$G71,M$6,$C$7,"Fill=false,DtFmt=1"))</f>
        <v/>
      </c>
      <c r="O71" s="11"/>
      <c r="P71" s="68" t="str">
        <f>IF(O71="","",IFERROR( _xll.IMDP("BND",$O71,P$6,$C$7,"Fill=false,DtFmt=1"),""))</f>
        <v/>
      </c>
      <c r="Q71" s="27" t="str">
        <f>IF($P71="","",SUBSTITUTE(INDEX(code_list!$O:$O,MATCH(O71,통안_code,0)),"통안",""))</f>
        <v/>
      </c>
      <c r="R71" s="8" t="str">
        <f t="shared" si="1"/>
        <v/>
      </c>
      <c r="S71" s="25" t="str">
        <f>IF($P71="","", _xll.IMDP("BND",$O71,S$6,$C$7,"Fill=false"))</f>
        <v/>
      </c>
      <c r="T71" s="26" t="str">
        <f>IF($P71="","", IFERROR( ( _xll.IMDP("BND",$O71,S$6,$C$7,"Fill=false")-_xll.IMDP("BND",$O71,S$6,$C$5,"Fill=false"))*100, ""))</f>
        <v/>
      </c>
      <c r="U71" s="59" t="str">
        <f>IF($P71="","", _xll.IMDP("BND",$O71,U$6,$C$7,"Fill=false,DtFmt=1"))</f>
        <v/>
      </c>
      <c r="AD71" s="11"/>
      <c r="AE71" s="75" t="str">
        <f>IF(AD71="","",_xll.IMDP("BND",$AD71,AE$6,$C$7,"Fill=false"))</f>
        <v/>
      </c>
      <c r="AF71" s="27" t="str">
        <f t="shared" si="3"/>
        <v/>
      </c>
      <c r="AG71" s="9" t="str">
        <f>IF($AE71="","",_xll.IMDP("BND",$AD71,AG$6,$C$7,"Fill=false"))</f>
        <v/>
      </c>
      <c r="AH71" s="80" t="str">
        <f>IF($AE71="","", IFERROR( ( _xll.IMDP("BND",$AD71,AG$6,$C$7,"Fill=false")-_xll.IMDP("BND",$AD71,AG$6,$C$5,"Fill=false"))*100, ""))</f>
        <v/>
      </c>
      <c r="AI71" s="59" t="str">
        <f>IF($AE71="","",_xll.IMDP("BND",$AD71,AI$6,$C$7,"Fill=false,DtFmt=1"))</f>
        <v/>
      </c>
    </row>
    <row r="72" spans="7:35">
      <c r="G72" s="11"/>
      <c r="H72" s="7" t="str">
        <f>IF(G72="","",_xll.IMDP("BND",$G72,H$6,$C$7,"Fill=false"))</f>
        <v/>
      </c>
      <c r="I72" s="27" t="str">
        <f>IF($H72="","",SUBSTITUTE(INDEX(code_list!$F:$F, MATCH(G72,국고_code,0)),"국고",""))</f>
        <v/>
      </c>
      <c r="J72" s="8" t="str">
        <f t="shared" si="0"/>
        <v/>
      </c>
      <c r="K72" s="9" t="str">
        <f>IF($H72="","",_xll.IMDP("BND",$G72,K$6,$C$7,"Fill=false"))</f>
        <v/>
      </c>
      <c r="L72" s="10" t="str">
        <f>IF($H72="","",IFERROR( ( _xll.IMDP("BND",$G72,K$6,$C$7,"Fill=false") - _xll.IMDP("BND",$G72,K$6,$C$5,"Fill=false") ) * 100, ""))</f>
        <v/>
      </c>
      <c r="M72" s="59" t="str">
        <f>IF($H72="","",_xll.IMDP("BND",$G72,M$6,$C$7,"Fill=false,DtFmt=1"))</f>
        <v/>
      </c>
      <c r="O72" s="11"/>
      <c r="P72" s="68" t="str">
        <f>IF(O72="","",IFERROR( _xll.IMDP("BND",$O72,P$6,$C$7,"Fill=false,DtFmt=1"),""))</f>
        <v/>
      </c>
      <c r="Q72" s="27" t="str">
        <f>IF($P72="","",SUBSTITUTE(INDEX(code_list!$O:$O,MATCH(O72,통안_code,0)),"통안",""))</f>
        <v/>
      </c>
      <c r="R72" s="8" t="str">
        <f t="shared" si="1"/>
        <v/>
      </c>
      <c r="S72" s="25" t="str">
        <f>IF($P72="","", _xll.IMDP("BND",$O72,S$6,$C$7,"Fill=false"))</f>
        <v/>
      </c>
      <c r="T72" s="26" t="str">
        <f>IF($P72="","", IFERROR( ( _xll.IMDP("BND",$O72,S$6,$C$7,"Fill=false")-_xll.IMDP("BND",$O72,S$6,$C$5,"Fill=false"))*100, ""))</f>
        <v/>
      </c>
      <c r="U72" s="59" t="str">
        <f>IF($P72="","", _xll.IMDP("BND",$O72,U$6,$C$7,"Fill=false,DtFmt=1"))</f>
        <v/>
      </c>
      <c r="AD72" s="11"/>
      <c r="AE72" s="75" t="str">
        <f>IF(AD72="","",_xll.IMDP("BND",$AD72,AE$6,$C$7,"Fill=false"))</f>
        <v/>
      </c>
      <c r="AF72" s="27" t="str">
        <f t="shared" si="3"/>
        <v/>
      </c>
      <c r="AG72" s="9" t="str">
        <f>IF($AE72="","",_xll.IMDP("BND",$AD72,AG$6,$C$7,"Fill=false"))</f>
        <v/>
      </c>
      <c r="AH72" s="80" t="str">
        <f>IF($AE72="","", IFERROR( ( _xll.IMDP("BND",$AD72,AG$6,$C$7,"Fill=false")-_xll.IMDP("BND",$AD72,AG$6,$C$5,"Fill=false"))*100, ""))</f>
        <v/>
      </c>
      <c r="AI72" s="59" t="str">
        <f>IF($AE72="","",_xll.IMDP("BND",$AD72,AI$6,$C$7,"Fill=false,DtFmt=1"))</f>
        <v/>
      </c>
    </row>
    <row r="73" spans="7:35">
      <c r="G73" s="11"/>
      <c r="H73" s="7" t="str">
        <f>IF(G73="","",_xll.IMDP("BND",$G73,H$6,$C$7,"Fill=false"))</f>
        <v/>
      </c>
      <c r="I73" s="27" t="str">
        <f>IF($H73="","",SUBSTITUTE(INDEX(code_list!$F:$F, MATCH(G73,국고_code,0)),"국고",""))</f>
        <v/>
      </c>
      <c r="J73" s="8" t="str">
        <f t="shared" ref="J73:J106" si="5">IF($H73="","",MID( $H73, FIND("(",$H73)+1, FIND(")",$H73)-FIND("(",$H73)-1 ))</f>
        <v/>
      </c>
      <c r="K73" s="9" t="str">
        <f>IF($H73="","",_xll.IMDP("BND",$G73,K$6,$C$7,"Fill=false"))</f>
        <v/>
      </c>
      <c r="L73" s="10" t="str">
        <f>IF($H73="","",IFERROR( ( _xll.IMDP("BND",$G73,K$6,$C$7,"Fill=false") - _xll.IMDP("BND",$G73,K$6,$C$5,"Fill=false") ) * 100, ""))</f>
        <v/>
      </c>
      <c r="M73" s="59" t="str">
        <f>IF($H73="","",_xll.IMDP("BND",$G73,M$6,$C$7,"Fill=false,DtFmt=1"))</f>
        <v/>
      </c>
      <c r="O73" s="11"/>
      <c r="P73" s="68" t="str">
        <f>IF(O73="","",IFERROR( _xll.IMDP("BND",$O73,P$6,$C$7,"Fill=false,DtFmt=1"),""))</f>
        <v/>
      </c>
      <c r="Q73" s="27" t="str">
        <f>IF($P73="","",SUBSTITUTE(INDEX(code_list!$O:$O,MATCH(O73,통안_code,0)),"통안",""))</f>
        <v/>
      </c>
      <c r="R73" s="8" t="str">
        <f t="shared" ref="R73:R136" si="6">IF($P73="","","통안"&amp;TEXT($P73,"yy/mm/dd"))</f>
        <v/>
      </c>
      <c r="S73" s="25" t="str">
        <f>IF($P73="","", _xll.IMDP("BND",$O73,S$6,$C$7,"Fill=false"))</f>
        <v/>
      </c>
      <c r="T73" s="26" t="str">
        <f>IF($P73="","", IFERROR( ( _xll.IMDP("BND",$O73,S$6,$C$7,"Fill=false")-_xll.IMDP("BND",$O73,S$6,$C$5,"Fill=false"))*100, ""))</f>
        <v/>
      </c>
      <c r="U73" s="59" t="str">
        <f>IF($P73="","", _xll.IMDP("BND",$O73,U$6,$C$7,"Fill=false,DtFmt=1"))</f>
        <v/>
      </c>
      <c r="AD73" s="11"/>
      <c r="AE73" s="75" t="str">
        <f>IF(AD73="","",_xll.IMDP("BND",$AD73,AE$6,$C$7,"Fill=false"))</f>
        <v/>
      </c>
      <c r="AF73" s="27" t="str">
        <f t="shared" ref="AF73:AF136" si="7">IF($AE73="","",SUBSTITUTE($AE73,"국민주택1종","국주"))</f>
        <v/>
      </c>
      <c r="AG73" s="9" t="str">
        <f>IF($AE73="","",_xll.IMDP("BND",$AD73,AG$6,$C$7,"Fill=false"))</f>
        <v/>
      </c>
      <c r="AH73" s="80" t="str">
        <f>IF($AE73="","", IFERROR( ( _xll.IMDP("BND",$AD73,AG$6,$C$7,"Fill=false")-_xll.IMDP("BND",$AD73,AG$6,$C$5,"Fill=false"))*100, ""))</f>
        <v/>
      </c>
      <c r="AI73" s="59" t="str">
        <f>IF($AE73="","",_xll.IMDP("BND",$AD73,AI$6,$C$7,"Fill=false,DtFmt=1"))</f>
        <v/>
      </c>
    </row>
    <row r="74" spans="7:35">
      <c r="G74" s="11"/>
      <c r="H74" s="7" t="str">
        <f>IF(G74="","",_xll.IMDP("BND",$G74,H$6,$C$7,"Fill=false"))</f>
        <v/>
      </c>
      <c r="I74" s="27" t="str">
        <f>IF($H74="","",SUBSTITUTE(INDEX(code_list!$F:$F, MATCH(G74,국고_code,0)),"국고",""))</f>
        <v/>
      </c>
      <c r="J74" s="8" t="str">
        <f t="shared" si="5"/>
        <v/>
      </c>
      <c r="K74" s="9" t="str">
        <f>IF($H74="","",_xll.IMDP("BND",$G74,K$6,$C$7,"Fill=false"))</f>
        <v/>
      </c>
      <c r="L74" s="10" t="str">
        <f>IF($H74="","",IFERROR( ( _xll.IMDP("BND",$G74,K$6,$C$7,"Fill=false") - _xll.IMDP("BND",$G74,K$6,$C$5,"Fill=false") ) * 100, ""))</f>
        <v/>
      </c>
      <c r="M74" s="59" t="str">
        <f>IF($H74="","",_xll.IMDP("BND",$G74,M$6,$C$7,"Fill=false,DtFmt=1"))</f>
        <v/>
      </c>
      <c r="O74" s="11"/>
      <c r="P74" s="68" t="str">
        <f>IF(O74="","",IFERROR( _xll.IMDP("BND",$O74,P$6,$C$7,"Fill=false,DtFmt=1"),""))</f>
        <v/>
      </c>
      <c r="Q74" s="27" t="str">
        <f>IF($P74="","",SUBSTITUTE(INDEX(code_list!$O:$O,MATCH(O74,통안_code,0)),"통안",""))</f>
        <v/>
      </c>
      <c r="R74" s="8" t="str">
        <f t="shared" si="6"/>
        <v/>
      </c>
      <c r="S74" s="25" t="str">
        <f>IF($P74="","", _xll.IMDP("BND",$O74,S$6,$C$7,"Fill=false"))</f>
        <v/>
      </c>
      <c r="T74" s="26" t="str">
        <f>IF($P74="","", IFERROR( ( _xll.IMDP("BND",$O74,S$6,$C$7,"Fill=false")-_xll.IMDP("BND",$O74,S$6,$C$5,"Fill=false"))*100, ""))</f>
        <v/>
      </c>
      <c r="U74" s="59" t="str">
        <f>IF($P74="","", _xll.IMDP("BND",$O74,U$6,$C$7,"Fill=false,DtFmt=1"))</f>
        <v/>
      </c>
      <c r="AD74" s="11"/>
      <c r="AE74" s="75" t="str">
        <f>IF(AD74="","",_xll.IMDP("BND",$AD74,AE$6,$C$7,"Fill=false"))</f>
        <v/>
      </c>
      <c r="AF74" s="27" t="str">
        <f t="shared" si="7"/>
        <v/>
      </c>
      <c r="AG74" s="9" t="str">
        <f>IF($AE74="","",_xll.IMDP("BND",$AD74,AG$6,$C$7,"Fill=false"))</f>
        <v/>
      </c>
      <c r="AH74" s="80" t="str">
        <f>IF($AE74="","", IFERROR( ( _xll.IMDP("BND",$AD74,AG$6,$C$7,"Fill=false")-_xll.IMDP("BND",$AD74,AG$6,$C$5,"Fill=false"))*100, ""))</f>
        <v/>
      </c>
      <c r="AI74" s="59" t="str">
        <f>IF($AE74="","",_xll.IMDP("BND",$AD74,AI$6,$C$7,"Fill=false,DtFmt=1"))</f>
        <v/>
      </c>
    </row>
    <row r="75" spans="7:35">
      <c r="G75" s="11"/>
      <c r="H75" s="7" t="str">
        <f>IF(G75="","",_xll.IMDP("BND",$G75,H$6,$C$7,"Fill=false"))</f>
        <v/>
      </c>
      <c r="I75" s="27" t="str">
        <f>IF($H75="","",SUBSTITUTE(INDEX(code_list!$F:$F, MATCH(G75,국고_code,0)),"국고",""))</f>
        <v/>
      </c>
      <c r="J75" s="8" t="str">
        <f t="shared" si="5"/>
        <v/>
      </c>
      <c r="K75" s="9" t="str">
        <f>IF($H75="","",_xll.IMDP("BND",$G75,K$6,$C$7,"Fill=false"))</f>
        <v/>
      </c>
      <c r="L75" s="10" t="str">
        <f>IF($H75="","",IFERROR( ( _xll.IMDP("BND",$G75,K$6,$C$7,"Fill=false") - _xll.IMDP("BND",$G75,K$6,$C$5,"Fill=false") ) * 100, ""))</f>
        <v/>
      </c>
      <c r="M75" s="59" t="str">
        <f>IF($H75="","",_xll.IMDP("BND",$G75,M$6,$C$7,"Fill=false,DtFmt=1"))</f>
        <v/>
      </c>
      <c r="O75" s="11"/>
      <c r="P75" s="68" t="str">
        <f>IF(O75="","",IFERROR( _xll.IMDP("BND",$O75,P$6,$C$7,"Fill=false,DtFmt=1"),""))</f>
        <v/>
      </c>
      <c r="Q75" s="27" t="str">
        <f>IF($P75="","",SUBSTITUTE(INDEX(code_list!$O:$O,MATCH(O75,통안_code,0)),"통안",""))</f>
        <v/>
      </c>
      <c r="R75" s="8" t="str">
        <f t="shared" si="6"/>
        <v/>
      </c>
      <c r="S75" s="25" t="str">
        <f>IF($P75="","", _xll.IMDP("BND",$O75,S$6,$C$7,"Fill=false"))</f>
        <v/>
      </c>
      <c r="T75" s="26" t="str">
        <f>IF($P75="","", IFERROR( ( _xll.IMDP("BND",$O75,S$6,$C$7,"Fill=false")-_xll.IMDP("BND",$O75,S$6,$C$5,"Fill=false"))*100, ""))</f>
        <v/>
      </c>
      <c r="U75" s="59" t="str">
        <f>IF($P75="","", _xll.IMDP("BND",$O75,U$6,$C$7,"Fill=false,DtFmt=1"))</f>
        <v/>
      </c>
      <c r="AD75" s="27"/>
      <c r="AE75" s="75" t="str">
        <f>IF(AD75="","",_xll.IMDP("BND",$AD75,AE$6,$C$7,"Fill=false"))</f>
        <v/>
      </c>
      <c r="AF75" s="27" t="str">
        <f t="shared" si="7"/>
        <v/>
      </c>
      <c r="AG75" s="9" t="str">
        <f>IF($AE75="","",_xll.IMDP("BND",$AD75,AG$6,$C$7,"Fill=false"))</f>
        <v/>
      </c>
      <c r="AH75" s="80" t="str">
        <f>IF($AE75="","", IFERROR( ( _xll.IMDP("BND",$AD75,AG$6,$C$7,"Fill=false")-_xll.IMDP("BND",$AD75,AG$6,$C$5,"Fill=false"))*100, ""))</f>
        <v/>
      </c>
      <c r="AI75" s="59" t="str">
        <f>IF($AE75="","",_xll.IMDP("BND",$AD75,AI$6,$C$7,"Fill=false,DtFmt=1"))</f>
        <v/>
      </c>
    </row>
    <row r="76" spans="7:35">
      <c r="G76" s="11"/>
      <c r="H76" s="7" t="str">
        <f>IF(G76="","",_xll.IMDP("BND",$G76,H$6,$C$7,"Fill=false"))</f>
        <v/>
      </c>
      <c r="I76" s="27" t="str">
        <f>IF($H76="","",SUBSTITUTE(INDEX(code_list!$F:$F, MATCH(G76,국고_code,0)),"국고",""))</f>
        <v/>
      </c>
      <c r="J76" s="8" t="str">
        <f t="shared" si="5"/>
        <v/>
      </c>
      <c r="K76" s="9" t="str">
        <f>IF($H76="","",_xll.IMDP("BND",$G76,K$6,$C$7,"Fill=false"))</f>
        <v/>
      </c>
      <c r="L76" s="10" t="str">
        <f>IF($H76="","",IFERROR( ( _xll.IMDP("BND",$G76,K$6,$C$7,"Fill=false") - _xll.IMDP("BND",$G76,K$6,$C$5,"Fill=false") ) * 100, ""))</f>
        <v/>
      </c>
      <c r="M76" s="59" t="str">
        <f>IF($H76="","",_xll.IMDP("BND",$G76,M$6,$C$7,"Fill=false,DtFmt=1"))</f>
        <v/>
      </c>
      <c r="O76" s="11"/>
      <c r="P76" s="68" t="str">
        <f>IF(O76="","",IFERROR( _xll.IMDP("BND",$O76,P$6,$C$7,"Fill=false,DtFmt=1"),""))</f>
        <v/>
      </c>
      <c r="Q76" s="27" t="str">
        <f>IF($P76="","",SUBSTITUTE(INDEX(code_list!$O:$O,MATCH(O76,통안_code,0)),"통안",""))</f>
        <v/>
      </c>
      <c r="R76" s="8" t="str">
        <f t="shared" si="6"/>
        <v/>
      </c>
      <c r="S76" s="25" t="str">
        <f>IF($P76="","", _xll.IMDP("BND",$O76,S$6,$C$7,"Fill=false"))</f>
        <v/>
      </c>
      <c r="T76" s="26" t="str">
        <f>IF($P76="","", IFERROR( ( _xll.IMDP("BND",$O76,S$6,$C$7,"Fill=false")-_xll.IMDP("BND",$O76,S$6,$C$5,"Fill=false"))*100, ""))</f>
        <v/>
      </c>
      <c r="U76" s="59" t="str">
        <f>IF($P76="","", _xll.IMDP("BND",$O76,U$6,$C$7,"Fill=false,DtFmt=1"))</f>
        <v/>
      </c>
      <c r="AD76" s="27"/>
      <c r="AE76" s="75" t="str">
        <f>IF(AD76="","",_xll.IMDP("BND",$AD76,AE$6,$C$7,"Fill=false"))</f>
        <v/>
      </c>
      <c r="AF76" s="27" t="str">
        <f t="shared" si="7"/>
        <v/>
      </c>
      <c r="AG76" s="9" t="str">
        <f>IF($AE76="","",_xll.IMDP("BND",$AD76,AG$6,$C$7,"Fill=false"))</f>
        <v/>
      </c>
      <c r="AH76" s="80" t="str">
        <f>IF($AE76="","", IFERROR( ( _xll.IMDP("BND",$AD76,AG$6,$C$7,"Fill=false")-_xll.IMDP("BND",$AD76,AG$6,$C$5,"Fill=false"))*100, ""))</f>
        <v/>
      </c>
      <c r="AI76" s="59" t="str">
        <f>IF($AE76="","",_xll.IMDP("BND",$AD76,AI$6,$C$7,"Fill=false,DtFmt=1"))</f>
        <v/>
      </c>
    </row>
    <row r="77" spans="7:35">
      <c r="G77" s="11"/>
      <c r="H77" s="7" t="str">
        <f>IF(G77="","",_xll.IMDP("BND",$G77,H$6,$C$7,"Fill=false"))</f>
        <v/>
      </c>
      <c r="I77" s="27" t="str">
        <f>IF($H77="","",SUBSTITUTE(INDEX(code_list!$F:$F, MATCH(G77,국고_code,0)),"국고",""))</f>
        <v/>
      </c>
      <c r="J77" s="8" t="str">
        <f t="shared" si="5"/>
        <v/>
      </c>
      <c r="K77" s="9" t="str">
        <f>IF($H77="","",_xll.IMDP("BND",$G77,K$6,$C$7,"Fill=false"))</f>
        <v/>
      </c>
      <c r="L77" s="10" t="str">
        <f>IF($H77="","",IFERROR( ( _xll.IMDP("BND",$G77,K$6,$C$7,"Fill=false") - _xll.IMDP("BND",$G77,K$6,$C$5,"Fill=false") ) * 100, ""))</f>
        <v/>
      </c>
      <c r="M77" s="59" t="str">
        <f>IF($H77="","",_xll.IMDP("BND",$G77,M$6,$C$7,"Fill=false,DtFmt=1"))</f>
        <v/>
      </c>
      <c r="O77" s="11"/>
      <c r="P77" s="68" t="str">
        <f>IF(O77="","",IFERROR( _xll.IMDP("BND",$O77,P$6,$C$7,"Fill=false,DtFmt=1"),""))</f>
        <v/>
      </c>
      <c r="Q77" s="27" t="str">
        <f>IF($P77="","",SUBSTITUTE(INDEX(code_list!$O:$O,MATCH(O77,통안_code,0)),"통안",""))</f>
        <v/>
      </c>
      <c r="R77" s="8" t="str">
        <f t="shared" si="6"/>
        <v/>
      </c>
      <c r="S77" s="25" t="str">
        <f>IF($P77="","", _xll.IMDP("BND",$O77,S$6,$C$7,"Fill=false"))</f>
        <v/>
      </c>
      <c r="T77" s="26" t="str">
        <f>IF($P77="","", IFERROR( ( _xll.IMDP("BND",$O77,S$6,$C$7,"Fill=false")-_xll.IMDP("BND",$O77,S$6,$C$5,"Fill=false"))*100, ""))</f>
        <v/>
      </c>
      <c r="U77" s="59" t="str">
        <f>IF($P77="","", _xll.IMDP("BND",$O77,U$6,$C$7,"Fill=false,DtFmt=1"))</f>
        <v/>
      </c>
      <c r="AD77" s="27"/>
      <c r="AE77" s="75" t="str">
        <f>IF(AD77="","",_xll.IMDP("BND",$AD77,AE$6,$C$7,"Fill=false"))</f>
        <v/>
      </c>
      <c r="AF77" s="27" t="str">
        <f t="shared" si="7"/>
        <v/>
      </c>
      <c r="AG77" s="9" t="str">
        <f>IF($AE77="","",_xll.IMDP("BND",$AD77,AG$6,$C$7,"Fill=false"))</f>
        <v/>
      </c>
      <c r="AH77" s="80" t="str">
        <f>IF($AE77="","", IFERROR( ( _xll.IMDP("BND",$AD77,AG$6,$C$7,"Fill=false")-_xll.IMDP("BND",$AD77,AG$6,$C$5,"Fill=false"))*100, ""))</f>
        <v/>
      </c>
      <c r="AI77" s="59" t="str">
        <f>IF($AE77="","",_xll.IMDP("BND",$AD77,AI$6,$C$7,"Fill=false,DtFmt=1"))</f>
        <v/>
      </c>
    </row>
    <row r="78" spans="7:35">
      <c r="G78" s="11"/>
      <c r="H78" s="7" t="str">
        <f>IF(G78="","",_xll.IMDP("BND",$G78,H$6,$C$7,"Fill=false"))</f>
        <v/>
      </c>
      <c r="I78" s="27" t="str">
        <f>IF($H78="","",SUBSTITUTE(INDEX(code_list!$F:$F, MATCH(G78,국고_code,0)),"국고",""))</f>
        <v/>
      </c>
      <c r="J78" s="8" t="str">
        <f t="shared" si="5"/>
        <v/>
      </c>
      <c r="K78" s="9" t="str">
        <f>IF($H78="","",_xll.IMDP("BND",$G78,K$6,$C$7,"Fill=false"))</f>
        <v/>
      </c>
      <c r="L78" s="10" t="str">
        <f>IF($H78="","",IFERROR( ( _xll.IMDP("BND",$G78,K$6,$C$7,"Fill=false") - _xll.IMDP("BND",$G78,K$6,$C$5,"Fill=false") ) * 100, ""))</f>
        <v/>
      </c>
      <c r="M78" s="59" t="str">
        <f>IF($H78="","",_xll.IMDP("BND",$G78,M$6,$C$7,"Fill=false,DtFmt=1"))</f>
        <v/>
      </c>
      <c r="O78" s="11"/>
      <c r="P78" s="68" t="str">
        <f>IF(O78="","",IFERROR( _xll.IMDP("BND",$O78,P$6,$C$7,"Fill=false,DtFmt=1"),""))</f>
        <v/>
      </c>
      <c r="Q78" s="27" t="str">
        <f>IF($P78="","",SUBSTITUTE(INDEX(code_list!$O:$O,MATCH(O78,통안_code,0)),"통안",""))</f>
        <v/>
      </c>
      <c r="R78" s="8" t="str">
        <f t="shared" si="6"/>
        <v/>
      </c>
      <c r="S78" s="25" t="str">
        <f>IF($P78="","", _xll.IMDP("BND",$O78,S$6,$C$7,"Fill=false"))</f>
        <v/>
      </c>
      <c r="T78" s="26" t="str">
        <f>IF($P78="","", IFERROR( ( _xll.IMDP("BND",$O78,S$6,$C$7,"Fill=false")-_xll.IMDP("BND",$O78,S$6,$C$5,"Fill=false"))*100, ""))</f>
        <v/>
      </c>
      <c r="U78" s="59" t="str">
        <f>IF($P78="","", _xll.IMDP("BND",$O78,U$6,$C$7,"Fill=false,DtFmt=1"))</f>
        <v/>
      </c>
      <c r="AD78" s="27"/>
      <c r="AE78" s="75" t="str">
        <f>IF(AD78="","",_xll.IMDP("BND",$AD78,AE$6,$C$7,"Fill=false"))</f>
        <v/>
      </c>
      <c r="AF78" s="27" t="str">
        <f t="shared" si="7"/>
        <v/>
      </c>
      <c r="AG78" s="9" t="str">
        <f>IF($AE78="","",_xll.IMDP("BND",$AD78,AG$6,$C$7,"Fill=false"))</f>
        <v/>
      </c>
      <c r="AH78" s="80" t="str">
        <f>IF($AE78="","", IFERROR( ( _xll.IMDP("BND",$AD78,AG$6,$C$7,"Fill=false")-_xll.IMDP("BND",$AD78,AG$6,$C$5,"Fill=false"))*100, ""))</f>
        <v/>
      </c>
      <c r="AI78" s="59" t="str">
        <f>IF($AE78="","",_xll.IMDP("BND",$AD78,AI$6,$C$7,"Fill=false,DtFmt=1"))</f>
        <v/>
      </c>
    </row>
    <row r="79" spans="7:35">
      <c r="G79" s="11"/>
      <c r="H79" s="7" t="str">
        <f>IF(G79="","",_xll.IMDP("BND",$G79,H$6,$C$7,"Fill=false"))</f>
        <v/>
      </c>
      <c r="I79" s="27" t="str">
        <f>IF($H79="","",SUBSTITUTE(INDEX(code_list!$F:$F, MATCH(G79,국고_code,0)),"국고",""))</f>
        <v/>
      </c>
      <c r="J79" s="8" t="str">
        <f t="shared" si="5"/>
        <v/>
      </c>
      <c r="K79" s="9" t="str">
        <f>IF($H79="","",_xll.IMDP("BND",$G79,K$6,$C$7,"Fill=false"))</f>
        <v/>
      </c>
      <c r="L79" s="10" t="str">
        <f>IF($H79="","",IFERROR( ( _xll.IMDP("BND",$G79,K$6,$C$7,"Fill=false") - _xll.IMDP("BND",$G79,K$6,$C$5,"Fill=false") ) * 100, ""))</f>
        <v/>
      </c>
      <c r="M79" s="59" t="str">
        <f>IF($H79="","",_xll.IMDP("BND",$G79,M$6,$C$7,"Fill=false,DtFmt=1"))</f>
        <v/>
      </c>
      <c r="O79" s="11"/>
      <c r="P79" s="68" t="str">
        <f>IF(O79="","",IFERROR( _xll.IMDP("BND",$O79,P$6,$C$7,"Fill=false,DtFmt=1"),""))</f>
        <v/>
      </c>
      <c r="Q79" s="27" t="str">
        <f>IF($P79="","",SUBSTITUTE(INDEX(code_list!$O:$O,MATCH(O79,통안_code,0)),"통안",""))</f>
        <v/>
      </c>
      <c r="R79" s="8" t="str">
        <f t="shared" si="6"/>
        <v/>
      </c>
      <c r="S79" s="25" t="str">
        <f>IF($P79="","", _xll.IMDP("BND",$O79,S$6,$C$7,"Fill=false"))</f>
        <v/>
      </c>
      <c r="T79" s="26" t="str">
        <f>IF($P79="","", IFERROR( ( _xll.IMDP("BND",$O79,S$6,$C$7,"Fill=false")-_xll.IMDP("BND",$O79,S$6,$C$5,"Fill=false"))*100, ""))</f>
        <v/>
      </c>
      <c r="U79" s="59" t="str">
        <f>IF($P79="","", _xll.IMDP("BND",$O79,U$6,$C$7,"Fill=false,DtFmt=1"))</f>
        <v/>
      </c>
      <c r="AD79" s="27"/>
      <c r="AE79" s="75" t="str">
        <f>IF(AD79="","",_xll.IMDP("BND",$AD79,AE$6,$C$7,"Fill=false"))</f>
        <v/>
      </c>
      <c r="AF79" s="27" t="str">
        <f t="shared" si="7"/>
        <v/>
      </c>
      <c r="AG79" s="9" t="str">
        <f>IF($AE79="","",_xll.IMDP("BND",$AD79,AG$6,$C$7,"Fill=false"))</f>
        <v/>
      </c>
      <c r="AH79" s="80" t="str">
        <f>IF($AE79="","", IFERROR( ( _xll.IMDP("BND",$AD79,AG$6,$C$7,"Fill=false")-_xll.IMDP("BND",$AD79,AG$6,$C$5,"Fill=false"))*100, ""))</f>
        <v/>
      </c>
      <c r="AI79" s="59" t="str">
        <f>IF($AE79="","",_xll.IMDP("BND",$AD79,AI$6,$C$7,"Fill=false,DtFmt=1"))</f>
        <v/>
      </c>
    </row>
    <row r="80" spans="7:35">
      <c r="G80" s="11"/>
      <c r="H80" s="7" t="str">
        <f>IF(G80="","",_xll.IMDP("BND",$G80,H$6,$C$7,"Fill=false"))</f>
        <v/>
      </c>
      <c r="I80" s="27" t="str">
        <f>IF($H80="","",SUBSTITUTE(INDEX(code_list!$F:$F, MATCH(G80,국고_code,0)),"국고",""))</f>
        <v/>
      </c>
      <c r="J80" s="8" t="str">
        <f t="shared" si="5"/>
        <v/>
      </c>
      <c r="K80" s="9" t="str">
        <f>IF($H80="","",_xll.IMDP("BND",$G80,K$6,$C$7,"Fill=false"))</f>
        <v/>
      </c>
      <c r="L80" s="10" t="str">
        <f>IF($H80="","",IFERROR( ( _xll.IMDP("BND",$G80,K$6,$C$7,"Fill=false") - _xll.IMDP("BND",$G80,K$6,$C$5,"Fill=false") ) * 100, ""))</f>
        <v/>
      </c>
      <c r="M80" s="59" t="str">
        <f>IF($H80="","",_xll.IMDP("BND",$G80,M$6,$C$7,"Fill=false,DtFmt=1"))</f>
        <v/>
      </c>
      <c r="O80" s="11"/>
      <c r="P80" s="68" t="str">
        <f>IF(O80="","",IFERROR( _xll.IMDP("BND",$O80,P$6,$C$7,"Fill=false,DtFmt=1"),""))</f>
        <v/>
      </c>
      <c r="Q80" s="27" t="str">
        <f>IF($P80="","",SUBSTITUTE(INDEX(code_list!$O:$O,MATCH(O80,통안_code,0)),"통안",""))</f>
        <v/>
      </c>
      <c r="R80" s="8" t="str">
        <f t="shared" si="6"/>
        <v/>
      </c>
      <c r="S80" s="25" t="str">
        <f>IF($P80="","", _xll.IMDP("BND",$O80,S$6,$C$7,"Fill=false"))</f>
        <v/>
      </c>
      <c r="T80" s="26" t="str">
        <f>IF($P80="","", IFERROR( ( _xll.IMDP("BND",$O80,S$6,$C$7,"Fill=false")-_xll.IMDP("BND",$O80,S$6,$C$5,"Fill=false"))*100, ""))</f>
        <v/>
      </c>
      <c r="U80" s="59" t="str">
        <f>IF($P80="","", _xll.IMDP("BND",$O80,U$6,$C$7,"Fill=false,DtFmt=1"))</f>
        <v/>
      </c>
      <c r="AD80" s="27"/>
      <c r="AE80" s="75" t="str">
        <f>IF(AD80="","",_xll.IMDP("BND",$AD80,AE$6,$C$7,"Fill=false"))</f>
        <v/>
      </c>
      <c r="AF80" s="27" t="str">
        <f t="shared" si="7"/>
        <v/>
      </c>
      <c r="AG80" s="9" t="str">
        <f>IF($AE80="","",_xll.IMDP("BND",$AD80,AG$6,$C$7,"Fill=false"))</f>
        <v/>
      </c>
      <c r="AH80" s="80" t="str">
        <f>IF($AE80="","", IFERROR( ( _xll.IMDP("BND",$AD80,AG$6,$C$7,"Fill=false")-_xll.IMDP("BND",$AD80,AG$6,$C$5,"Fill=false"))*100, ""))</f>
        <v/>
      </c>
      <c r="AI80" s="59" t="str">
        <f>IF($AE80="","",_xll.IMDP("BND",$AD80,AI$6,$C$7,"Fill=false,DtFmt=1"))</f>
        <v/>
      </c>
    </row>
    <row r="81" spans="7:35">
      <c r="G81" s="11"/>
      <c r="H81" s="7" t="str">
        <f>IF(G81="","",_xll.IMDP("BND",$G81,H$6,$C$7,"Fill=false"))</f>
        <v/>
      </c>
      <c r="I81" s="27" t="str">
        <f>IF($H81="","",SUBSTITUTE(INDEX(code_list!$F:$F, MATCH(G81,국고_code,0)),"국고",""))</f>
        <v/>
      </c>
      <c r="J81" s="8" t="str">
        <f t="shared" si="5"/>
        <v/>
      </c>
      <c r="K81" s="9" t="str">
        <f>IF($H81="","",_xll.IMDP("BND",$G81,K$6,$C$7,"Fill=false"))</f>
        <v/>
      </c>
      <c r="L81" s="10" t="str">
        <f>IF($H81="","",IFERROR( ( _xll.IMDP("BND",$G81,K$6,$C$7,"Fill=false") - _xll.IMDP("BND",$G81,K$6,$C$5,"Fill=false") ) * 100, ""))</f>
        <v/>
      </c>
      <c r="M81" s="59" t="str">
        <f>IF($H81="","",_xll.IMDP("BND",$G81,M$6,$C$7,"Fill=false,DtFmt=1"))</f>
        <v/>
      </c>
      <c r="O81" s="11"/>
      <c r="P81" s="68" t="str">
        <f>IF(O81="","",IFERROR( _xll.IMDP("BND",$O81,P$6,$C$7,"Fill=false,DtFmt=1"),""))</f>
        <v/>
      </c>
      <c r="Q81" s="27" t="str">
        <f>IF($P81="","",SUBSTITUTE(INDEX(code_list!$O:$O,MATCH(O81,통안_code,0)),"통안",""))</f>
        <v/>
      </c>
      <c r="R81" s="8" t="str">
        <f t="shared" si="6"/>
        <v/>
      </c>
      <c r="S81" s="25" t="str">
        <f>IF($P81="","", _xll.IMDP("BND",$O81,S$6,$C$7,"Fill=false"))</f>
        <v/>
      </c>
      <c r="T81" s="26" t="str">
        <f>IF($P81="","", IFERROR( ( _xll.IMDP("BND",$O81,S$6,$C$7,"Fill=false")-_xll.IMDP("BND",$O81,S$6,$C$5,"Fill=false"))*100, ""))</f>
        <v/>
      </c>
      <c r="U81" s="59" t="str">
        <f>IF($P81="","", _xll.IMDP("BND",$O81,U$6,$C$7,"Fill=false,DtFmt=1"))</f>
        <v/>
      </c>
      <c r="AD81" s="27"/>
      <c r="AE81" s="75" t="str">
        <f>IF(AD81="","",_xll.IMDP("BND",$AD81,AE$6,$C$7,"Fill=false"))</f>
        <v/>
      </c>
      <c r="AF81" s="27" t="str">
        <f t="shared" si="7"/>
        <v/>
      </c>
      <c r="AG81" s="9" t="str">
        <f>IF($AE81="","",_xll.IMDP("BND",$AD81,AG$6,$C$7,"Fill=false"))</f>
        <v/>
      </c>
      <c r="AH81" s="80" t="str">
        <f>IF($AE81="","", IFERROR( ( _xll.IMDP("BND",$AD81,AG$6,$C$7,"Fill=false")-_xll.IMDP("BND",$AD81,AG$6,$C$5,"Fill=false"))*100, ""))</f>
        <v/>
      </c>
      <c r="AI81" s="59" t="str">
        <f>IF($AE81="","",_xll.IMDP("BND",$AD81,AI$6,$C$7,"Fill=false,DtFmt=1"))</f>
        <v/>
      </c>
    </row>
    <row r="82" spans="7:35">
      <c r="G82" s="11"/>
      <c r="H82" s="7" t="str">
        <f>IF(G82="","",_xll.IMDP("BND",$G82,H$6,$C$7,"Fill=false"))</f>
        <v/>
      </c>
      <c r="I82" s="27" t="str">
        <f>IF($H82="","",SUBSTITUTE(INDEX(code_list!$F:$F, MATCH(G82,국고_code,0)),"국고",""))</f>
        <v/>
      </c>
      <c r="J82" s="8" t="str">
        <f t="shared" si="5"/>
        <v/>
      </c>
      <c r="K82" s="9" t="str">
        <f>IF($H82="","",_xll.IMDP("BND",$G82,K$6,$C$7,"Fill=false"))</f>
        <v/>
      </c>
      <c r="L82" s="10" t="str">
        <f>IF($H82="","",IFERROR( ( _xll.IMDP("BND",$G82,K$6,$C$7,"Fill=false") - _xll.IMDP("BND",$G82,K$6,$C$5,"Fill=false") ) * 100, ""))</f>
        <v/>
      </c>
      <c r="M82" s="59" t="str">
        <f>IF($H82="","",_xll.IMDP("BND",$G82,M$6,$C$7,"Fill=false,DtFmt=1"))</f>
        <v/>
      </c>
      <c r="O82" s="11"/>
      <c r="P82" s="68" t="str">
        <f>IF(O82="","",IFERROR( _xll.IMDP("BND",$O82,P$6,$C$7,"Fill=false,DtFmt=1"),""))</f>
        <v/>
      </c>
      <c r="Q82" s="27" t="str">
        <f>IF($P82="","",SUBSTITUTE(INDEX(code_list!$O:$O,MATCH(O82,통안_code,0)),"통안",""))</f>
        <v/>
      </c>
      <c r="R82" s="8" t="str">
        <f t="shared" si="6"/>
        <v/>
      </c>
      <c r="S82" s="25" t="str">
        <f>IF($P82="","", _xll.IMDP("BND",$O82,S$6,$C$7,"Fill=false"))</f>
        <v/>
      </c>
      <c r="T82" s="26" t="str">
        <f>IF($P82="","", IFERROR( ( _xll.IMDP("BND",$O82,S$6,$C$7,"Fill=false")-_xll.IMDP("BND",$O82,S$6,$C$5,"Fill=false"))*100, ""))</f>
        <v/>
      </c>
      <c r="U82" s="59" t="str">
        <f>IF($P82="","", _xll.IMDP("BND",$O82,U$6,$C$7,"Fill=false,DtFmt=1"))</f>
        <v/>
      </c>
      <c r="AD82" s="27"/>
      <c r="AE82" s="75" t="str">
        <f>IF(AD82="","",_xll.IMDP("BND",$AD82,AE$6,$C$7,"Fill=false"))</f>
        <v/>
      </c>
      <c r="AF82" s="27" t="str">
        <f t="shared" si="7"/>
        <v/>
      </c>
      <c r="AG82" s="9" t="str">
        <f>IF($AE82="","",_xll.IMDP("BND",$AD82,AG$6,$C$7,"Fill=false"))</f>
        <v/>
      </c>
      <c r="AH82" s="80" t="str">
        <f>IF($AE82="","", IFERROR( ( _xll.IMDP("BND",$AD82,AG$6,$C$7,"Fill=false")-_xll.IMDP("BND",$AD82,AG$6,$C$5,"Fill=false"))*100, ""))</f>
        <v/>
      </c>
      <c r="AI82" s="59" t="str">
        <f>IF($AE82="","",_xll.IMDP("BND",$AD82,AI$6,$C$7,"Fill=false,DtFmt=1"))</f>
        <v/>
      </c>
    </row>
    <row r="83" spans="7:35">
      <c r="G83" s="11"/>
      <c r="H83" s="7" t="str">
        <f>IF(G83="","",_xll.IMDP("BND",$G83,H$6,$C$7,"Fill=false"))</f>
        <v/>
      </c>
      <c r="I83" s="27" t="str">
        <f>IF($H83="","",SUBSTITUTE(INDEX(code_list!$F:$F, MATCH(G83,국고_code,0)),"국고",""))</f>
        <v/>
      </c>
      <c r="J83" s="8" t="str">
        <f t="shared" si="5"/>
        <v/>
      </c>
      <c r="K83" s="9" t="str">
        <f>IF($H83="","",_xll.IMDP("BND",$G83,K$6,$C$7,"Fill=false"))</f>
        <v/>
      </c>
      <c r="L83" s="10" t="str">
        <f>IF($H83="","",IFERROR( ( _xll.IMDP("BND",$G83,K$6,$C$7,"Fill=false") - _xll.IMDP("BND",$G83,K$6,$C$5,"Fill=false") ) * 100, ""))</f>
        <v/>
      </c>
      <c r="M83" s="59" t="str">
        <f>IF($H83="","",_xll.IMDP("BND",$G83,M$6,$C$7,"Fill=false,DtFmt=1"))</f>
        <v/>
      </c>
      <c r="O83" s="11"/>
      <c r="P83" s="68" t="str">
        <f>IF(O83="","",IFERROR( _xll.IMDP("BND",$O83,P$6,$C$7,"Fill=false,DtFmt=1"),""))</f>
        <v/>
      </c>
      <c r="Q83" s="27" t="str">
        <f>IF($P83="","",SUBSTITUTE(INDEX(code_list!$O:$O,MATCH(O83,통안_code,0)),"통안",""))</f>
        <v/>
      </c>
      <c r="R83" s="8" t="str">
        <f t="shared" si="6"/>
        <v/>
      </c>
      <c r="S83" s="25" t="str">
        <f>IF($P83="","", _xll.IMDP("BND",$O83,S$6,$C$7,"Fill=false"))</f>
        <v/>
      </c>
      <c r="T83" s="26" t="str">
        <f>IF($P83="","", IFERROR( ( _xll.IMDP("BND",$O83,S$6,$C$7,"Fill=false")-_xll.IMDP("BND",$O83,S$6,$C$5,"Fill=false"))*100, ""))</f>
        <v/>
      </c>
      <c r="U83" s="59" t="str">
        <f>IF($P83="","", _xll.IMDP("BND",$O83,U$6,$C$7,"Fill=false,DtFmt=1"))</f>
        <v/>
      </c>
      <c r="AD83" s="11"/>
      <c r="AE83" s="75" t="str">
        <f>IF(AD83="","",_xll.IMDP("BND",$AD83,AE$6,$C$7,"Fill=false"))</f>
        <v/>
      </c>
      <c r="AF83" s="27" t="str">
        <f t="shared" si="7"/>
        <v/>
      </c>
      <c r="AG83" s="9" t="str">
        <f>IF($AE83="","",_xll.IMDP("BND",$AD83,AG$6,$C$7,"Fill=false"))</f>
        <v/>
      </c>
      <c r="AH83" s="80" t="str">
        <f>IF($AE83="","", IFERROR( ( _xll.IMDP("BND",$AD83,AG$6,$C$7,"Fill=false")-_xll.IMDP("BND",$AD83,AG$6,$C$5,"Fill=false"))*100, ""))</f>
        <v/>
      </c>
      <c r="AI83" s="59" t="str">
        <f>IF($AE83="","",_xll.IMDP("BND",$AD83,AI$6,$C$7,"Fill=false,DtFmt=1"))</f>
        <v/>
      </c>
    </row>
    <row r="84" spans="7:35">
      <c r="G84" s="11"/>
      <c r="H84" s="7" t="str">
        <f>IF(G84="","",_xll.IMDP("BND",$G84,H$6,$C$7,"Fill=false"))</f>
        <v/>
      </c>
      <c r="I84" s="27" t="str">
        <f>IF($H84="","",SUBSTITUTE(INDEX(code_list!$F:$F, MATCH(G84,국고_code,0)),"국고",""))</f>
        <v/>
      </c>
      <c r="J84" s="8" t="str">
        <f t="shared" si="5"/>
        <v/>
      </c>
      <c r="K84" s="9" t="str">
        <f>IF($H84="","",_xll.IMDP("BND",$G84,K$6,$C$7,"Fill=false"))</f>
        <v/>
      </c>
      <c r="L84" s="10" t="str">
        <f>IF($H84="","",IFERROR( ( _xll.IMDP("BND",$G84,K$6,$C$7,"Fill=false") - _xll.IMDP("BND",$G84,K$6,$C$5,"Fill=false") ) * 100, ""))</f>
        <v/>
      </c>
      <c r="M84" s="59" t="str">
        <f>IF($H84="","",_xll.IMDP("BND",$G84,M$6,$C$7,"Fill=false,DtFmt=1"))</f>
        <v/>
      </c>
      <c r="O84" s="11"/>
      <c r="P84" s="68" t="str">
        <f>IF(O84="","",IFERROR( _xll.IMDP("BND",$O84,P$6,$C$7,"Fill=false,DtFmt=1"),""))</f>
        <v/>
      </c>
      <c r="Q84" s="27" t="str">
        <f>IF($P84="","",SUBSTITUTE(INDEX(code_list!$O:$O,MATCH(O84,통안_code,0)),"통안",""))</f>
        <v/>
      </c>
      <c r="R84" s="8" t="str">
        <f t="shared" si="6"/>
        <v/>
      </c>
      <c r="S84" s="25" t="str">
        <f>IF($P84="","", _xll.IMDP("BND",$O84,S$6,$C$7,"Fill=false"))</f>
        <v/>
      </c>
      <c r="T84" s="26" t="str">
        <f>IF($P84="","", IFERROR( ( _xll.IMDP("BND",$O84,S$6,$C$7,"Fill=false")-_xll.IMDP("BND",$O84,S$6,$C$5,"Fill=false"))*100, ""))</f>
        <v/>
      </c>
      <c r="U84" s="59" t="str">
        <f>IF($P84="","", _xll.IMDP("BND",$O84,U$6,$C$7,"Fill=false,DtFmt=1"))</f>
        <v/>
      </c>
      <c r="AD84" s="11"/>
      <c r="AE84" s="75" t="str">
        <f>IF(AD84="","",_xll.IMDP("BND",$AD84,AE$6,$C$7,"Fill=false"))</f>
        <v/>
      </c>
      <c r="AF84" s="27" t="str">
        <f t="shared" si="7"/>
        <v/>
      </c>
      <c r="AG84" s="9" t="str">
        <f>IF($AE84="","",_xll.IMDP("BND",$AD84,AG$6,$C$7,"Fill=false"))</f>
        <v/>
      </c>
      <c r="AH84" s="80" t="str">
        <f>IF($AE84="","", IFERROR( ( _xll.IMDP("BND",$AD84,AG$6,$C$7,"Fill=false")-_xll.IMDP("BND",$AD84,AG$6,$C$5,"Fill=false"))*100, ""))</f>
        <v/>
      </c>
      <c r="AI84" s="59" t="str">
        <f>IF($AE84="","",_xll.IMDP("BND",$AD84,AI$6,$C$7,"Fill=false,DtFmt=1"))</f>
        <v/>
      </c>
    </row>
    <row r="85" spans="7:35">
      <c r="G85" s="11"/>
      <c r="H85" s="7" t="str">
        <f>IF(G85="","",_xll.IMDP("BND",$G85,H$6,$C$7,"Fill=false"))</f>
        <v/>
      </c>
      <c r="I85" s="27" t="str">
        <f>IF($H85="","",SUBSTITUTE(INDEX(code_list!$F:$F, MATCH(G85,국고_code,0)),"국고",""))</f>
        <v/>
      </c>
      <c r="J85" s="8" t="str">
        <f t="shared" si="5"/>
        <v/>
      </c>
      <c r="K85" s="9" t="str">
        <f>IF($H85="","",_xll.IMDP("BND",$G85,K$6,$C$7,"Fill=false"))</f>
        <v/>
      </c>
      <c r="L85" s="10" t="str">
        <f>IF($H85="","",IFERROR( ( _xll.IMDP("BND",$G85,K$6,$C$7,"Fill=false") - _xll.IMDP("BND",$G85,K$6,$C$5,"Fill=false") ) * 100, ""))</f>
        <v/>
      </c>
      <c r="M85" s="59" t="str">
        <f>IF($H85="","",_xll.IMDP("BND",$G85,M$6,$C$7,"Fill=false,DtFmt=1"))</f>
        <v/>
      </c>
      <c r="O85" s="11"/>
      <c r="P85" s="68" t="str">
        <f>IF(O85="","",IFERROR( _xll.IMDP("BND",$O85,P$6,$C$7,"Fill=false,DtFmt=1"),""))</f>
        <v/>
      </c>
      <c r="Q85" s="27" t="str">
        <f>IF($P85="","",SUBSTITUTE(INDEX(code_list!$O:$O,MATCH(O85,통안_code,0)),"통안",""))</f>
        <v/>
      </c>
      <c r="R85" s="8" t="str">
        <f t="shared" si="6"/>
        <v/>
      </c>
      <c r="S85" s="25" t="str">
        <f>IF($P85="","", _xll.IMDP("BND",$O85,S$6,$C$7,"Fill=false"))</f>
        <v/>
      </c>
      <c r="T85" s="26" t="str">
        <f>IF($P85="","", IFERROR( ( _xll.IMDP("BND",$O85,S$6,$C$7,"Fill=false")-_xll.IMDP("BND",$O85,S$6,$C$5,"Fill=false"))*100, ""))</f>
        <v/>
      </c>
      <c r="U85" s="59" t="str">
        <f>IF($P85="","", _xll.IMDP("BND",$O85,U$6,$C$7,"Fill=false,DtFmt=1"))</f>
        <v/>
      </c>
      <c r="AD85" s="11"/>
      <c r="AE85" s="75" t="str">
        <f>IF(AD85="","",_xll.IMDP("BND",$AD85,AE$6,$C$7,"Fill=false"))</f>
        <v/>
      </c>
      <c r="AF85" s="27" t="str">
        <f t="shared" si="7"/>
        <v/>
      </c>
      <c r="AG85" s="9" t="str">
        <f>IF($AE85="","",_xll.IMDP("BND",$AD85,AG$6,$C$7,"Fill=false"))</f>
        <v/>
      </c>
      <c r="AH85" s="80" t="str">
        <f>IF($AE85="","", IFERROR( ( _xll.IMDP("BND",$AD85,AG$6,$C$7,"Fill=false")-_xll.IMDP("BND",$AD85,AG$6,$C$5,"Fill=false"))*100, ""))</f>
        <v/>
      </c>
      <c r="AI85" s="59" t="str">
        <f>IF($AE85="","",_xll.IMDP("BND",$AD85,AI$6,$C$7,"Fill=false,DtFmt=1"))</f>
        <v/>
      </c>
    </row>
    <row r="86" spans="7:35">
      <c r="G86" s="11"/>
      <c r="H86" s="7" t="str">
        <f>IF(G86="","",_xll.IMDP("BND",$G86,H$6,$C$7,"Fill=false"))</f>
        <v/>
      </c>
      <c r="I86" s="27" t="str">
        <f>IF($H86="","",SUBSTITUTE(INDEX(code_list!$F:$F, MATCH(G86,국고_code,0)),"국고",""))</f>
        <v/>
      </c>
      <c r="J86" s="8" t="str">
        <f t="shared" si="5"/>
        <v/>
      </c>
      <c r="K86" s="9" t="str">
        <f>IF($H86="","",_xll.IMDP("BND",$G86,K$6,$C$7,"Fill=false"))</f>
        <v/>
      </c>
      <c r="L86" s="10" t="str">
        <f>IF($H86="","",IFERROR( ( _xll.IMDP("BND",$G86,K$6,$C$7,"Fill=false") - _xll.IMDP("BND",$G86,K$6,$C$5,"Fill=false") ) * 100, ""))</f>
        <v/>
      </c>
      <c r="M86" s="59" t="str">
        <f>IF($H86="","",_xll.IMDP("BND",$G86,M$6,$C$7,"Fill=false,DtFmt=1"))</f>
        <v/>
      </c>
      <c r="O86" s="11"/>
      <c r="P86" s="68" t="str">
        <f>IF(O86="","",IFERROR( _xll.IMDP("BND",$O86,P$6,$C$7,"Fill=false,DtFmt=1"),""))</f>
        <v/>
      </c>
      <c r="Q86" s="27" t="str">
        <f>IF($P86="","",SUBSTITUTE(INDEX(code_list!$O:$O,MATCH(O86,통안_code,0)),"통안",""))</f>
        <v/>
      </c>
      <c r="R86" s="8" t="str">
        <f t="shared" si="6"/>
        <v/>
      </c>
      <c r="S86" s="25" t="str">
        <f>IF($P86="","", _xll.IMDP("BND",$O86,S$6,$C$7,"Fill=false"))</f>
        <v/>
      </c>
      <c r="T86" s="26" t="str">
        <f>IF($P86="","", IFERROR( ( _xll.IMDP("BND",$O86,S$6,$C$7,"Fill=false")-_xll.IMDP("BND",$O86,S$6,$C$5,"Fill=false"))*100, ""))</f>
        <v/>
      </c>
      <c r="U86" s="59" t="str">
        <f>IF($P86="","", _xll.IMDP("BND",$O86,U$6,$C$7,"Fill=false,DtFmt=1"))</f>
        <v/>
      </c>
      <c r="AD86" s="11"/>
      <c r="AE86" s="75" t="str">
        <f>IF(AD86="","",_xll.IMDP("BND",$AD86,AE$6,$C$7,"Fill=false"))</f>
        <v/>
      </c>
      <c r="AF86" s="27" t="str">
        <f t="shared" si="7"/>
        <v/>
      </c>
      <c r="AG86" s="9" t="str">
        <f>IF($AE86="","",_xll.IMDP("BND",$AD86,AG$6,$C$7,"Fill=false"))</f>
        <v/>
      </c>
      <c r="AH86" s="80" t="str">
        <f>IF($AE86="","", IFERROR( ( _xll.IMDP("BND",$AD86,AG$6,$C$7,"Fill=false")-_xll.IMDP("BND",$AD86,AG$6,$C$5,"Fill=false"))*100, ""))</f>
        <v/>
      </c>
      <c r="AI86" s="59" t="str">
        <f>IF($AE86="","",_xll.IMDP("BND",$AD86,AI$6,$C$7,"Fill=false,DtFmt=1"))</f>
        <v/>
      </c>
    </row>
    <row r="87" spans="7:35">
      <c r="G87" s="11"/>
      <c r="H87" s="7" t="str">
        <f>IF(G87="","",_xll.IMDP("BND",$G87,H$6,$C$7,"Fill=false"))</f>
        <v/>
      </c>
      <c r="I87" s="27" t="str">
        <f>IF($H87="","",SUBSTITUTE(INDEX(code_list!$F:$F, MATCH(G87,국고_code,0)),"국고",""))</f>
        <v/>
      </c>
      <c r="J87" s="8" t="str">
        <f t="shared" si="5"/>
        <v/>
      </c>
      <c r="K87" s="9" t="str">
        <f>IF($H87="","",_xll.IMDP("BND",$G87,K$6,$C$7,"Fill=false"))</f>
        <v/>
      </c>
      <c r="L87" s="10" t="str">
        <f>IF($H87="","",IFERROR( ( _xll.IMDP("BND",$G87,K$6,$C$7,"Fill=false") - _xll.IMDP("BND",$G87,K$6,$C$5,"Fill=false") ) * 100, ""))</f>
        <v/>
      </c>
      <c r="M87" s="59" t="str">
        <f>IF($H87="","",_xll.IMDP("BND",$G87,M$6,$C$7,"Fill=false,DtFmt=1"))</f>
        <v/>
      </c>
      <c r="O87" s="11"/>
      <c r="P87" s="68" t="str">
        <f>IF(O87="","",IFERROR( _xll.IMDP("BND",$O87,P$6,$C$7,"Fill=false,DtFmt=1"),""))</f>
        <v/>
      </c>
      <c r="Q87" s="27" t="str">
        <f>IF($P87="","",SUBSTITUTE(INDEX(code_list!$O:$O,MATCH(O87,통안_code,0)),"통안",""))</f>
        <v/>
      </c>
      <c r="R87" s="8" t="str">
        <f t="shared" si="6"/>
        <v/>
      </c>
      <c r="S87" s="25" t="str">
        <f>IF($P87="","", _xll.IMDP("BND",$O87,S$6,$C$7,"Fill=false"))</f>
        <v/>
      </c>
      <c r="T87" s="26" t="str">
        <f>IF($P87="","", IFERROR( ( _xll.IMDP("BND",$O87,S$6,$C$7,"Fill=false")-_xll.IMDP("BND",$O87,S$6,$C$5,"Fill=false"))*100, ""))</f>
        <v/>
      </c>
      <c r="U87" s="59" t="str">
        <f>IF($P87="","", _xll.IMDP("BND",$O87,U$6,$C$7,"Fill=false,DtFmt=1"))</f>
        <v/>
      </c>
      <c r="AD87" s="11"/>
      <c r="AE87" s="75" t="str">
        <f>IF(AD87="","",_xll.IMDP("BND",$AD87,AE$6,$C$7,"Fill=false"))</f>
        <v/>
      </c>
      <c r="AF87" s="27" t="str">
        <f t="shared" si="7"/>
        <v/>
      </c>
      <c r="AG87" s="9" t="str">
        <f>IF($AE87="","",_xll.IMDP("BND",$AD87,AG$6,$C$7,"Fill=false"))</f>
        <v/>
      </c>
      <c r="AH87" s="80" t="str">
        <f>IF($AE87="","", IFERROR( ( _xll.IMDP("BND",$AD87,AG$6,$C$7,"Fill=false")-_xll.IMDP("BND",$AD87,AG$6,$C$5,"Fill=false"))*100, ""))</f>
        <v/>
      </c>
      <c r="AI87" s="59" t="str">
        <f>IF($AE87="","",_xll.IMDP("BND",$AD87,AI$6,$C$7,"Fill=false,DtFmt=1"))</f>
        <v/>
      </c>
    </row>
    <row r="88" spans="7:35">
      <c r="G88" s="11"/>
      <c r="H88" s="7" t="str">
        <f>IF(G88="","",_xll.IMDP("BND",$G88,H$6,$C$7,"Fill=false"))</f>
        <v/>
      </c>
      <c r="I88" s="27" t="str">
        <f>IF($H88="","",SUBSTITUTE(INDEX(code_list!$F:$F, MATCH(G88,국고_code,0)),"국고",""))</f>
        <v/>
      </c>
      <c r="J88" s="8" t="str">
        <f t="shared" si="5"/>
        <v/>
      </c>
      <c r="K88" s="9" t="str">
        <f>IF($H88="","",_xll.IMDP("BND",$G88,K$6,$C$7,"Fill=false"))</f>
        <v/>
      </c>
      <c r="L88" s="10" t="str">
        <f>IF($H88="","",IFERROR( ( _xll.IMDP("BND",$G88,K$6,$C$7,"Fill=false") - _xll.IMDP("BND",$G88,K$6,$C$5,"Fill=false") ) * 100, ""))</f>
        <v/>
      </c>
      <c r="M88" s="59" t="str">
        <f>IF($H88="","",_xll.IMDP("BND",$G88,M$6,$C$7,"Fill=false,DtFmt=1"))</f>
        <v/>
      </c>
      <c r="O88" s="11"/>
      <c r="P88" s="68" t="str">
        <f>IF(O88="","",IFERROR( _xll.IMDP("BND",$O88,P$6,$C$7,"Fill=false,DtFmt=1"),""))</f>
        <v/>
      </c>
      <c r="Q88" s="27" t="str">
        <f>IF($P88="","",SUBSTITUTE(INDEX(code_list!$O:$O,MATCH(O88,통안_code,0)),"통안",""))</f>
        <v/>
      </c>
      <c r="R88" s="8" t="str">
        <f t="shared" si="6"/>
        <v/>
      </c>
      <c r="S88" s="25" t="str">
        <f>IF($P88="","", _xll.IMDP("BND",$O88,S$6,$C$7,"Fill=false"))</f>
        <v/>
      </c>
      <c r="T88" s="26" t="str">
        <f>IF($P88="","", IFERROR( ( _xll.IMDP("BND",$O88,S$6,$C$7,"Fill=false")-_xll.IMDP("BND",$O88,S$6,$C$5,"Fill=false"))*100, ""))</f>
        <v/>
      </c>
      <c r="U88" s="59" t="str">
        <f>IF($P88="","", _xll.IMDP("BND",$O88,U$6,$C$7,"Fill=false,DtFmt=1"))</f>
        <v/>
      </c>
      <c r="AD88" s="11"/>
      <c r="AE88" s="75" t="str">
        <f>IF(AD88="","",_xll.IMDP("BND",$AD88,AE$6,$C$7,"Fill=false"))</f>
        <v/>
      </c>
      <c r="AF88" s="27" t="str">
        <f t="shared" si="7"/>
        <v/>
      </c>
      <c r="AG88" s="9" t="str">
        <f>IF($AE88="","",_xll.IMDP("BND",$AD88,AG$6,$C$7,"Fill=false"))</f>
        <v/>
      </c>
      <c r="AH88" s="80" t="str">
        <f>IF($AE88="","", IFERROR( ( _xll.IMDP("BND",$AD88,AG$6,$C$7,"Fill=false")-_xll.IMDP("BND",$AD88,AG$6,$C$5,"Fill=false"))*100, ""))</f>
        <v/>
      </c>
      <c r="AI88" s="59" t="str">
        <f>IF($AE88="","",_xll.IMDP("BND",$AD88,AI$6,$C$7,"Fill=false,DtFmt=1"))</f>
        <v/>
      </c>
    </row>
    <row r="89" spans="7:35">
      <c r="G89" s="11"/>
      <c r="H89" s="7" t="str">
        <f>IF(G89="","",_xll.IMDP("BND",$G89,H$6,$C$7,"Fill=false"))</f>
        <v/>
      </c>
      <c r="I89" s="27" t="str">
        <f>IF($H89="","",SUBSTITUTE(INDEX(code_list!$F:$F, MATCH(G89,국고_code,0)),"국고",""))</f>
        <v/>
      </c>
      <c r="J89" s="8" t="str">
        <f t="shared" si="5"/>
        <v/>
      </c>
      <c r="K89" s="9" t="str">
        <f>IF($H89="","",_xll.IMDP("BND",$G89,K$6,$C$7,"Fill=false"))</f>
        <v/>
      </c>
      <c r="L89" s="10" t="str">
        <f>IF($H89="","",IFERROR( ( _xll.IMDP("BND",$G89,K$6,$C$7,"Fill=false") - _xll.IMDP("BND",$G89,K$6,$C$5,"Fill=false") ) * 100, ""))</f>
        <v/>
      </c>
      <c r="M89" s="59" t="str">
        <f>IF($H89="","",_xll.IMDP("BND",$G89,M$6,$C$7,"Fill=false,DtFmt=1"))</f>
        <v/>
      </c>
      <c r="O89" s="11"/>
      <c r="P89" s="68" t="str">
        <f>IF(O89="","",IFERROR( _xll.IMDP("BND",$O89,P$6,$C$7,"Fill=false,DtFmt=1"),""))</f>
        <v/>
      </c>
      <c r="Q89" s="27" t="str">
        <f>IF($P89="","",SUBSTITUTE(INDEX(code_list!$O:$O,MATCH(O89,통안_code,0)),"통안",""))</f>
        <v/>
      </c>
      <c r="R89" s="8" t="str">
        <f t="shared" si="6"/>
        <v/>
      </c>
      <c r="S89" s="25" t="str">
        <f>IF($P89="","", _xll.IMDP("BND",$O89,S$6,$C$7,"Fill=false"))</f>
        <v/>
      </c>
      <c r="T89" s="26" t="str">
        <f>IF($P89="","", IFERROR( ( _xll.IMDP("BND",$O89,S$6,$C$7,"Fill=false")-_xll.IMDP("BND",$O89,S$6,$C$5,"Fill=false"))*100, ""))</f>
        <v/>
      </c>
      <c r="U89" s="59" t="str">
        <f>IF($P89="","", _xll.IMDP("BND",$O89,U$6,$C$7,"Fill=false,DtFmt=1"))</f>
        <v/>
      </c>
      <c r="AD89" s="11"/>
      <c r="AE89" s="75" t="str">
        <f>IF(AD89="","",_xll.IMDP("BND",$AD89,AE$6,$C$7,"Fill=false"))</f>
        <v/>
      </c>
      <c r="AF89" s="27" t="str">
        <f t="shared" si="7"/>
        <v/>
      </c>
      <c r="AG89" s="9" t="str">
        <f>IF($AE89="","",_xll.IMDP("BND",$AD89,AG$6,$C$7,"Fill=false"))</f>
        <v/>
      </c>
      <c r="AH89" s="80" t="str">
        <f>IF($AE89="","", IFERROR( ( _xll.IMDP("BND",$AD89,AG$6,$C$7,"Fill=false")-_xll.IMDP("BND",$AD89,AG$6,$C$5,"Fill=false"))*100, ""))</f>
        <v/>
      </c>
      <c r="AI89" s="59" t="str">
        <f>IF($AE89="","",_xll.IMDP("BND",$AD89,AI$6,$C$7,"Fill=false,DtFmt=1"))</f>
        <v/>
      </c>
    </row>
    <row r="90" spans="7:35">
      <c r="G90" s="11"/>
      <c r="H90" s="7" t="str">
        <f>IF(G90="","",_xll.IMDP("BND",$G90,H$6,$C$7,"Fill=false"))</f>
        <v/>
      </c>
      <c r="I90" s="27" t="str">
        <f>IF($H90="","",SUBSTITUTE(INDEX(code_list!$F:$F, MATCH(G90,국고_code,0)),"국고",""))</f>
        <v/>
      </c>
      <c r="J90" s="8" t="str">
        <f t="shared" si="5"/>
        <v/>
      </c>
      <c r="K90" s="9" t="str">
        <f>IF($H90="","",_xll.IMDP("BND",$G90,K$6,$C$7,"Fill=false"))</f>
        <v/>
      </c>
      <c r="L90" s="10" t="str">
        <f>IF($H90="","",IFERROR( ( _xll.IMDP("BND",$G90,K$6,$C$7,"Fill=false") - _xll.IMDP("BND",$G90,K$6,$C$5,"Fill=false") ) * 100, ""))</f>
        <v/>
      </c>
      <c r="M90" s="59" t="str">
        <f>IF($H90="","",_xll.IMDP("BND",$G90,M$6,$C$7,"Fill=false,DtFmt=1"))</f>
        <v/>
      </c>
      <c r="O90" s="11"/>
      <c r="P90" s="68" t="str">
        <f>IF(O90="","",IFERROR( _xll.IMDP("BND",$O90,P$6,$C$7,"Fill=false,DtFmt=1"),""))</f>
        <v/>
      </c>
      <c r="Q90" s="27" t="str">
        <f>IF($P90="","",SUBSTITUTE(INDEX(code_list!$O:$O,MATCH(O90,통안_code,0)),"통안",""))</f>
        <v/>
      </c>
      <c r="R90" s="8" t="str">
        <f t="shared" si="6"/>
        <v/>
      </c>
      <c r="S90" s="25" t="str">
        <f>IF($P90="","", _xll.IMDP("BND",$O90,S$6,$C$7,"Fill=false"))</f>
        <v/>
      </c>
      <c r="T90" s="26" t="str">
        <f>IF($P90="","", IFERROR( ( _xll.IMDP("BND",$O90,S$6,$C$7,"Fill=false")-_xll.IMDP("BND",$O90,S$6,$C$5,"Fill=false"))*100, ""))</f>
        <v/>
      </c>
      <c r="U90" s="59" t="str">
        <f>IF($P90="","", _xll.IMDP("BND",$O90,U$6,$C$7,"Fill=false,DtFmt=1"))</f>
        <v/>
      </c>
      <c r="AD90" s="11"/>
      <c r="AE90" s="75" t="str">
        <f>IF(AD90="","",_xll.IMDP("BND",$AD90,AE$6,$C$7,"Fill=false"))</f>
        <v/>
      </c>
      <c r="AF90" s="27" t="str">
        <f t="shared" si="7"/>
        <v/>
      </c>
      <c r="AG90" s="9" t="str">
        <f>IF($AE90="","",_xll.IMDP("BND",$AD90,AG$6,$C$7,"Fill=false"))</f>
        <v/>
      </c>
      <c r="AH90" s="80" t="str">
        <f>IF($AE90="","", IFERROR( ( _xll.IMDP("BND",$AD90,AG$6,$C$7,"Fill=false")-_xll.IMDP("BND",$AD90,AG$6,$C$5,"Fill=false"))*100, ""))</f>
        <v/>
      </c>
      <c r="AI90" s="59" t="str">
        <f>IF($AE90="","",_xll.IMDP("BND",$AD90,AI$6,$C$7,"Fill=false,DtFmt=1"))</f>
        <v/>
      </c>
    </row>
    <row r="91" spans="7:35">
      <c r="G91" s="11"/>
      <c r="H91" s="7" t="str">
        <f>IF(G91="","",_xll.IMDP("BND",$G91,H$6,$C$7,"Fill=false"))</f>
        <v/>
      </c>
      <c r="I91" s="27" t="str">
        <f>IF($H91="","",SUBSTITUTE(INDEX(code_list!$F:$F, MATCH(G91,국고_code,0)),"국고",""))</f>
        <v/>
      </c>
      <c r="J91" s="8" t="str">
        <f t="shared" si="5"/>
        <v/>
      </c>
      <c r="K91" s="9" t="str">
        <f>IF($H91="","",_xll.IMDP("BND",$G91,K$6,$C$7,"Fill=false"))</f>
        <v/>
      </c>
      <c r="L91" s="10" t="str">
        <f>IF($H91="","",IFERROR( ( _xll.IMDP("BND",$G91,K$6,$C$7,"Fill=false") - _xll.IMDP("BND",$G91,K$6,$C$5,"Fill=false") ) * 100, ""))</f>
        <v/>
      </c>
      <c r="M91" s="59" t="str">
        <f>IF($H91="","",_xll.IMDP("BND",$G91,M$6,$C$7,"Fill=false,DtFmt=1"))</f>
        <v/>
      </c>
      <c r="O91" s="11"/>
      <c r="P91" s="68" t="str">
        <f>IF(O91="","",IFERROR( _xll.IMDP("BND",$O91,P$6,$C$7,"Fill=false,DtFmt=1"),""))</f>
        <v/>
      </c>
      <c r="Q91" s="27" t="str">
        <f>IF($P91="","",SUBSTITUTE(INDEX(code_list!$O:$O,MATCH(O91,통안_code,0)),"통안",""))</f>
        <v/>
      </c>
      <c r="R91" s="8" t="str">
        <f t="shared" si="6"/>
        <v/>
      </c>
      <c r="S91" s="25" t="str">
        <f>IF($P91="","", _xll.IMDP("BND",$O91,S$6,$C$7,"Fill=false"))</f>
        <v/>
      </c>
      <c r="T91" s="26" t="str">
        <f>IF($P91="","", IFERROR( ( _xll.IMDP("BND",$O91,S$6,$C$7,"Fill=false")-_xll.IMDP("BND",$O91,S$6,$C$5,"Fill=false"))*100, ""))</f>
        <v/>
      </c>
      <c r="U91" s="59" t="str">
        <f>IF($P91="","", _xll.IMDP("BND",$O91,U$6,$C$7,"Fill=false,DtFmt=1"))</f>
        <v/>
      </c>
      <c r="AD91" s="11"/>
      <c r="AE91" s="75" t="str">
        <f>IF(AD91="","",_xll.IMDP("BND",$AD91,AE$6,$C$7,"Fill=false"))</f>
        <v/>
      </c>
      <c r="AF91" s="27" t="str">
        <f t="shared" si="7"/>
        <v/>
      </c>
      <c r="AG91" s="9" t="str">
        <f>IF($AE91="","",_xll.IMDP("BND",$AD91,AG$6,$C$7,"Fill=false"))</f>
        <v/>
      </c>
      <c r="AH91" s="80" t="str">
        <f>IF($AE91="","", IFERROR( ( _xll.IMDP("BND",$AD91,AG$6,$C$7,"Fill=false")-_xll.IMDP("BND",$AD91,AG$6,$C$5,"Fill=false"))*100, ""))</f>
        <v/>
      </c>
      <c r="AI91" s="59" t="str">
        <f>IF($AE91="","",_xll.IMDP("BND",$AD91,AI$6,$C$7,"Fill=false,DtFmt=1"))</f>
        <v/>
      </c>
    </row>
    <row r="92" spans="7:35">
      <c r="G92" s="11"/>
      <c r="H92" s="7" t="str">
        <f>IF(G92="","",_xll.IMDP("BND",$G92,H$6,$C$7,"Fill=false"))</f>
        <v/>
      </c>
      <c r="I92" s="27" t="str">
        <f>IF($H92="","",SUBSTITUTE(INDEX(code_list!$F:$F, MATCH(G92,국고_code,0)),"국고",""))</f>
        <v/>
      </c>
      <c r="J92" s="8" t="str">
        <f t="shared" si="5"/>
        <v/>
      </c>
      <c r="K92" s="9" t="str">
        <f>IF($H92="","",_xll.IMDP("BND",$G92,K$6,$C$7,"Fill=false"))</f>
        <v/>
      </c>
      <c r="L92" s="10" t="str">
        <f>IF($H92="","",IFERROR( ( _xll.IMDP("BND",$G92,K$6,$C$7,"Fill=false") - _xll.IMDP("BND",$G92,K$6,$C$5,"Fill=false") ) * 100, ""))</f>
        <v/>
      </c>
      <c r="M92" s="59" t="str">
        <f>IF($H92="","",_xll.IMDP("BND",$G92,M$6,$C$7,"Fill=false,DtFmt=1"))</f>
        <v/>
      </c>
      <c r="O92" s="11"/>
      <c r="P92" s="68" t="str">
        <f>IF(O92="","",IFERROR( _xll.IMDP("BND",$O92,P$6,$C$7,"Fill=false,DtFmt=1"),""))</f>
        <v/>
      </c>
      <c r="Q92" s="27" t="str">
        <f>IF($P92="","",SUBSTITUTE(INDEX(code_list!$O:$O,MATCH(O92,통안_code,0)),"통안",""))</f>
        <v/>
      </c>
      <c r="R92" s="8" t="str">
        <f t="shared" si="6"/>
        <v/>
      </c>
      <c r="S92" s="25" t="str">
        <f>IF($P92="","", _xll.IMDP("BND",$O92,S$6,$C$7,"Fill=false"))</f>
        <v/>
      </c>
      <c r="T92" s="26" t="str">
        <f>IF($P92="","", IFERROR( ( _xll.IMDP("BND",$O92,S$6,$C$7,"Fill=false")-_xll.IMDP("BND",$O92,S$6,$C$5,"Fill=false"))*100, ""))</f>
        <v/>
      </c>
      <c r="U92" s="59" t="str">
        <f>IF($P92="","", _xll.IMDP("BND",$O92,U$6,$C$7,"Fill=false,DtFmt=1"))</f>
        <v/>
      </c>
      <c r="AD92" s="11"/>
      <c r="AE92" s="75" t="str">
        <f>IF(AD92="","",_xll.IMDP("BND",$AD92,AE$6,$C$7,"Fill=false"))</f>
        <v/>
      </c>
      <c r="AF92" s="27" t="str">
        <f t="shared" si="7"/>
        <v/>
      </c>
      <c r="AG92" s="9" t="str">
        <f>IF($AE92="","",_xll.IMDP("BND",$AD92,AG$6,$C$7,"Fill=false"))</f>
        <v/>
      </c>
      <c r="AH92" s="80" t="str">
        <f>IF($AE92="","", IFERROR( ( _xll.IMDP("BND",$AD92,AG$6,$C$7,"Fill=false")-_xll.IMDP("BND",$AD92,AG$6,$C$5,"Fill=false"))*100, ""))</f>
        <v/>
      </c>
      <c r="AI92" s="59" t="str">
        <f>IF($AE92="","",_xll.IMDP("BND",$AD92,AI$6,$C$7,"Fill=false,DtFmt=1"))</f>
        <v/>
      </c>
    </row>
    <row r="93" spans="7:35">
      <c r="G93" s="11"/>
      <c r="H93" s="7" t="str">
        <f>IF(G93="","",_xll.IMDP("BND",$G93,H$6,$C$7,"Fill=false"))</f>
        <v/>
      </c>
      <c r="I93" s="27" t="str">
        <f>IF($H93="","",SUBSTITUTE(INDEX(code_list!$F:$F, MATCH(G93,국고_code,0)),"국고",""))</f>
        <v/>
      </c>
      <c r="J93" s="8" t="str">
        <f t="shared" si="5"/>
        <v/>
      </c>
      <c r="K93" s="9" t="str">
        <f>IF($H93="","",_xll.IMDP("BND",$G93,K$6,$C$7,"Fill=false"))</f>
        <v/>
      </c>
      <c r="L93" s="10" t="str">
        <f>IF($H93="","",IFERROR( ( _xll.IMDP("BND",$G93,K$6,$C$7,"Fill=false") - _xll.IMDP("BND",$G93,K$6,$C$5,"Fill=false") ) * 100, ""))</f>
        <v/>
      </c>
      <c r="M93" s="59" t="str">
        <f>IF($H93="","",_xll.IMDP("BND",$G93,M$6,$C$7,"Fill=false,DtFmt=1"))</f>
        <v/>
      </c>
      <c r="O93" s="11"/>
      <c r="P93" s="68" t="str">
        <f>IF(O93="","",IFERROR( _xll.IMDP("BND",$O93,P$6,$C$7,"Fill=false,DtFmt=1"),""))</f>
        <v/>
      </c>
      <c r="Q93" s="27" t="str">
        <f>IF($P93="","",SUBSTITUTE(INDEX(code_list!$O:$O,MATCH(O93,통안_code,0)),"통안",""))</f>
        <v/>
      </c>
      <c r="R93" s="8" t="str">
        <f t="shared" si="6"/>
        <v/>
      </c>
      <c r="S93" s="25" t="str">
        <f>IF($P93="","", _xll.IMDP("BND",$O93,S$6,$C$7,"Fill=false"))</f>
        <v/>
      </c>
      <c r="T93" s="26" t="str">
        <f>IF($P93="","", IFERROR( ( _xll.IMDP("BND",$O93,S$6,$C$7,"Fill=false")-_xll.IMDP("BND",$O93,S$6,$C$5,"Fill=false"))*100, ""))</f>
        <v/>
      </c>
      <c r="U93" s="59" t="str">
        <f>IF($P93="","", _xll.IMDP("BND",$O93,U$6,$C$7,"Fill=false,DtFmt=1"))</f>
        <v/>
      </c>
      <c r="AD93" s="11"/>
      <c r="AE93" s="75" t="str">
        <f>IF(AD93="","",_xll.IMDP("BND",$AD93,AE$6,$C$7,"Fill=false"))</f>
        <v/>
      </c>
      <c r="AF93" s="27" t="str">
        <f t="shared" si="7"/>
        <v/>
      </c>
      <c r="AG93" s="9" t="str">
        <f>IF($AE93="","",_xll.IMDP("BND",$AD93,AG$6,$C$7,"Fill=false"))</f>
        <v/>
      </c>
      <c r="AH93" s="80" t="str">
        <f>IF($AE93="","", IFERROR( ( _xll.IMDP("BND",$AD93,AG$6,$C$7,"Fill=false")-_xll.IMDP("BND",$AD93,AG$6,$C$5,"Fill=false"))*100, ""))</f>
        <v/>
      </c>
      <c r="AI93" s="59" t="str">
        <f>IF($AE93="","",_xll.IMDP("BND",$AD93,AI$6,$C$7,"Fill=false,DtFmt=1"))</f>
        <v/>
      </c>
    </row>
    <row r="94" spans="7:35">
      <c r="G94" s="11"/>
      <c r="H94" s="7" t="str">
        <f>IF(G94="","",_xll.IMDP("BND",$G94,H$6,$C$7,"Fill=false"))</f>
        <v/>
      </c>
      <c r="I94" s="27" t="str">
        <f>IF($H94="","",SUBSTITUTE(INDEX(code_list!$F:$F, MATCH(G94,국고_code,0)),"국고",""))</f>
        <v/>
      </c>
      <c r="J94" s="8" t="str">
        <f t="shared" si="5"/>
        <v/>
      </c>
      <c r="K94" s="9" t="str">
        <f>IF($H94="","",_xll.IMDP("BND",$G94,K$6,$C$7,"Fill=false"))</f>
        <v/>
      </c>
      <c r="L94" s="10" t="str">
        <f>IF($H94="","",IFERROR( ( _xll.IMDP("BND",$G94,K$6,$C$7,"Fill=false") - _xll.IMDP("BND",$G94,K$6,$C$5,"Fill=false") ) * 100, ""))</f>
        <v/>
      </c>
      <c r="M94" s="59" t="str">
        <f>IF($H94="","",_xll.IMDP("BND",$G94,M$6,$C$7,"Fill=false,DtFmt=1"))</f>
        <v/>
      </c>
      <c r="O94" s="11"/>
      <c r="P94" s="68" t="str">
        <f>IF(O94="","",IFERROR( _xll.IMDP("BND",$O94,P$6,$C$7,"Fill=false,DtFmt=1"),""))</f>
        <v/>
      </c>
      <c r="Q94" s="27" t="str">
        <f>IF($P94="","",SUBSTITUTE(INDEX(code_list!$O:$O,MATCH(O94,통안_code,0)),"통안",""))</f>
        <v/>
      </c>
      <c r="R94" s="8" t="str">
        <f t="shared" si="6"/>
        <v/>
      </c>
      <c r="S94" s="25" t="str">
        <f>IF($P94="","", _xll.IMDP("BND",$O94,S$6,$C$7,"Fill=false"))</f>
        <v/>
      </c>
      <c r="T94" s="26" t="str">
        <f>IF($P94="","", IFERROR( ( _xll.IMDP("BND",$O94,S$6,$C$7,"Fill=false")-_xll.IMDP("BND",$O94,S$6,$C$5,"Fill=false"))*100, ""))</f>
        <v/>
      </c>
      <c r="U94" s="59" t="str">
        <f>IF($P94="","", _xll.IMDP("BND",$O94,U$6,$C$7,"Fill=false,DtFmt=1"))</f>
        <v/>
      </c>
      <c r="AD94" s="11"/>
      <c r="AE94" s="75" t="str">
        <f>IF(AD94="","",_xll.IMDP("BND",$AD94,AE$6,$C$7,"Fill=false"))</f>
        <v/>
      </c>
      <c r="AF94" s="27" t="str">
        <f t="shared" si="7"/>
        <v/>
      </c>
      <c r="AG94" s="9" t="str">
        <f>IF($AE94="","",_xll.IMDP("BND",$AD94,AG$6,$C$7,"Fill=false"))</f>
        <v/>
      </c>
      <c r="AH94" s="80" t="str">
        <f>IF($AE94="","", IFERROR( ( _xll.IMDP("BND",$AD94,AG$6,$C$7,"Fill=false")-_xll.IMDP("BND",$AD94,AG$6,$C$5,"Fill=false"))*100, ""))</f>
        <v/>
      </c>
      <c r="AI94" s="59" t="str">
        <f>IF($AE94="","",_xll.IMDP("BND",$AD94,AI$6,$C$7,"Fill=false,DtFmt=1"))</f>
        <v/>
      </c>
    </row>
    <row r="95" spans="7:35">
      <c r="G95" s="11"/>
      <c r="H95" s="7" t="str">
        <f>IF(G95="","",_xll.IMDP("BND",$G95,H$6,$C$7,"Fill=false"))</f>
        <v/>
      </c>
      <c r="I95" s="27" t="str">
        <f>IF($H95="","",SUBSTITUTE(INDEX(code_list!$F:$F, MATCH(G95,국고_code,0)),"국고",""))</f>
        <v/>
      </c>
      <c r="J95" s="8" t="str">
        <f t="shared" si="5"/>
        <v/>
      </c>
      <c r="K95" s="9" t="str">
        <f>IF($H95="","",_xll.IMDP("BND",$G95,K$6,$C$7,"Fill=false"))</f>
        <v/>
      </c>
      <c r="L95" s="10" t="str">
        <f>IF($H95="","",IFERROR( ( _xll.IMDP("BND",$G95,K$6,$C$7,"Fill=false") - _xll.IMDP("BND",$G95,K$6,$C$5,"Fill=false") ) * 100, ""))</f>
        <v/>
      </c>
      <c r="M95" s="59" t="str">
        <f>IF($H95="","",_xll.IMDP("BND",$G95,M$6,$C$7,"Fill=false,DtFmt=1"))</f>
        <v/>
      </c>
      <c r="O95" s="11"/>
      <c r="P95" s="68" t="str">
        <f>IF(O95="","",IFERROR( _xll.IMDP("BND",$O95,P$6,$C$7,"Fill=false,DtFmt=1"),""))</f>
        <v/>
      </c>
      <c r="Q95" s="27" t="str">
        <f>IF($P95="","",SUBSTITUTE(INDEX(code_list!$O:$O,MATCH(O95,통안_code,0)),"통안",""))</f>
        <v/>
      </c>
      <c r="R95" s="8" t="str">
        <f t="shared" si="6"/>
        <v/>
      </c>
      <c r="S95" s="25" t="str">
        <f>IF($P95="","", _xll.IMDP("BND",$O95,S$6,$C$7,"Fill=false"))</f>
        <v/>
      </c>
      <c r="T95" s="26" t="str">
        <f>IF($P95="","", IFERROR( ( _xll.IMDP("BND",$O95,S$6,$C$7,"Fill=false")-_xll.IMDP("BND",$O95,S$6,$C$5,"Fill=false"))*100, ""))</f>
        <v/>
      </c>
      <c r="U95" s="59" t="str">
        <f>IF($P95="","", _xll.IMDP("BND",$O95,U$6,$C$7,"Fill=false,DtFmt=1"))</f>
        <v/>
      </c>
      <c r="AD95" s="11"/>
      <c r="AE95" s="75" t="str">
        <f>IF(AD95="","",_xll.IMDP("BND",$AD95,AE$6,$C$7,"Fill=false"))</f>
        <v/>
      </c>
      <c r="AF95" s="27" t="str">
        <f t="shared" si="7"/>
        <v/>
      </c>
      <c r="AG95" s="9" t="str">
        <f>IF($AE95="","",_xll.IMDP("BND",$AD95,AG$6,$C$7,"Fill=false"))</f>
        <v/>
      </c>
      <c r="AH95" s="80" t="str">
        <f>IF($AE95="","", IFERROR( ( _xll.IMDP("BND",$AD95,AG$6,$C$7,"Fill=false")-_xll.IMDP("BND",$AD95,AG$6,$C$5,"Fill=false"))*100, ""))</f>
        <v/>
      </c>
      <c r="AI95" s="59" t="str">
        <f>IF($AE95="","",_xll.IMDP("BND",$AD95,AI$6,$C$7,"Fill=false,DtFmt=1"))</f>
        <v/>
      </c>
    </row>
    <row r="96" spans="7:35">
      <c r="G96" s="11"/>
      <c r="H96" s="7" t="str">
        <f>IF(G96="","",_xll.IMDP("BND",$G96,H$6,$C$7,"Fill=false"))</f>
        <v/>
      </c>
      <c r="I96" s="27" t="str">
        <f>IF($H96="","",SUBSTITUTE(INDEX(code_list!$F:$F, MATCH(G96,국고_code,0)),"국고",""))</f>
        <v/>
      </c>
      <c r="J96" s="8" t="str">
        <f t="shared" si="5"/>
        <v/>
      </c>
      <c r="K96" s="9" t="str">
        <f>IF($H96="","",_xll.IMDP("BND",$G96,K$6,$C$7,"Fill=false"))</f>
        <v/>
      </c>
      <c r="L96" s="10" t="str">
        <f>IF($H96="","",IFERROR( ( _xll.IMDP("BND",$G96,K$6,$C$7,"Fill=false") - _xll.IMDP("BND",$G96,K$6,$C$5,"Fill=false") ) * 100, ""))</f>
        <v/>
      </c>
      <c r="M96" s="59" t="str">
        <f>IF($H96="","",_xll.IMDP("BND",$G96,M$6,$C$7,"Fill=false,DtFmt=1"))</f>
        <v/>
      </c>
      <c r="O96" s="11"/>
      <c r="P96" s="68" t="str">
        <f>IF(O96="","",IFERROR( _xll.IMDP("BND",$O96,P$6,$C$7,"Fill=false,DtFmt=1"),""))</f>
        <v/>
      </c>
      <c r="Q96" s="27" t="str">
        <f>IF($P96="","",SUBSTITUTE(INDEX(code_list!$O:$O,MATCH(O96,통안_code,0)),"통안",""))</f>
        <v/>
      </c>
      <c r="R96" s="8" t="str">
        <f t="shared" si="6"/>
        <v/>
      </c>
      <c r="S96" s="25" t="str">
        <f>IF($P96="","", _xll.IMDP("BND",$O96,S$6,$C$7,"Fill=false"))</f>
        <v/>
      </c>
      <c r="T96" s="26" t="str">
        <f>IF($P96="","", IFERROR( ( _xll.IMDP("BND",$O96,S$6,$C$7,"Fill=false")-_xll.IMDP("BND",$O96,S$6,$C$5,"Fill=false"))*100, ""))</f>
        <v/>
      </c>
      <c r="U96" s="59" t="str">
        <f>IF($P96="","", _xll.IMDP("BND",$O96,U$6,$C$7,"Fill=false,DtFmt=1"))</f>
        <v/>
      </c>
      <c r="AD96" s="11"/>
      <c r="AE96" s="75" t="str">
        <f>IF(AD96="","",_xll.IMDP("BND",$AD96,AE$6,$C$7,"Fill=false"))</f>
        <v/>
      </c>
      <c r="AF96" s="27" t="str">
        <f t="shared" si="7"/>
        <v/>
      </c>
      <c r="AG96" s="9" t="str">
        <f>IF($AE96="","",_xll.IMDP("BND",$AD96,AG$6,$C$7,"Fill=false"))</f>
        <v/>
      </c>
      <c r="AH96" s="80" t="str">
        <f>IF($AE96="","", IFERROR( ( _xll.IMDP("BND",$AD96,AG$6,$C$7,"Fill=false")-_xll.IMDP("BND",$AD96,AG$6,$C$5,"Fill=false"))*100, ""))</f>
        <v/>
      </c>
      <c r="AI96" s="59" t="str">
        <f>IF($AE96="","",_xll.IMDP("BND",$AD96,AI$6,$C$7,"Fill=false,DtFmt=1"))</f>
        <v/>
      </c>
    </row>
    <row r="97" spans="7:35">
      <c r="G97" s="11"/>
      <c r="H97" s="7" t="str">
        <f>IF(G97="","",_xll.IMDP("BND",$G97,H$6,$C$7,"Fill=false"))</f>
        <v/>
      </c>
      <c r="I97" s="27" t="str">
        <f>IF($H97="","",SUBSTITUTE(INDEX(code_list!$F:$F, MATCH(G97,국고_code,0)),"국고",""))</f>
        <v/>
      </c>
      <c r="J97" s="8" t="str">
        <f t="shared" si="5"/>
        <v/>
      </c>
      <c r="K97" s="9" t="str">
        <f>IF($H97="","",_xll.IMDP("BND",$G97,K$6,$C$7,"Fill=false"))</f>
        <v/>
      </c>
      <c r="L97" s="10" t="str">
        <f>IF($H97="","",IFERROR( ( _xll.IMDP("BND",$G97,K$6,$C$7,"Fill=false") - _xll.IMDP("BND",$G97,K$6,$C$5,"Fill=false") ) * 100, ""))</f>
        <v/>
      </c>
      <c r="M97" s="59" t="str">
        <f>IF($H97="","",_xll.IMDP("BND",$G97,M$6,$C$7,"Fill=false,DtFmt=1"))</f>
        <v/>
      </c>
      <c r="O97" s="11"/>
      <c r="P97" s="68" t="str">
        <f>IF(O97="","",IFERROR( _xll.IMDP("BND",$O97,P$6,$C$7,"Fill=false,DtFmt=1"),""))</f>
        <v/>
      </c>
      <c r="Q97" s="27" t="str">
        <f>IF($P97="","",SUBSTITUTE(INDEX(code_list!$O:$O,MATCH(O97,통안_code,0)),"통안",""))</f>
        <v/>
      </c>
      <c r="R97" s="8" t="str">
        <f t="shared" si="6"/>
        <v/>
      </c>
      <c r="S97" s="25" t="str">
        <f>IF($P97="","", _xll.IMDP("BND",$O97,S$6,$C$7,"Fill=false"))</f>
        <v/>
      </c>
      <c r="T97" s="26" t="str">
        <f>IF($P97="","", IFERROR( ( _xll.IMDP("BND",$O97,S$6,$C$7,"Fill=false")-_xll.IMDP("BND",$O97,S$6,$C$5,"Fill=false"))*100, ""))</f>
        <v/>
      </c>
      <c r="U97" s="59" t="str">
        <f>IF($P97="","", _xll.IMDP("BND",$O97,U$6,$C$7,"Fill=false,DtFmt=1"))</f>
        <v/>
      </c>
      <c r="AD97" s="11"/>
      <c r="AE97" s="75" t="str">
        <f>IF(AD97="","",_xll.IMDP("BND",$AD97,AE$6,$C$7,"Fill=false"))</f>
        <v/>
      </c>
      <c r="AF97" s="27" t="str">
        <f t="shared" si="7"/>
        <v/>
      </c>
      <c r="AG97" s="9" t="str">
        <f>IF($AE97="","",_xll.IMDP("BND",$AD97,AG$6,$C$7,"Fill=false"))</f>
        <v/>
      </c>
      <c r="AH97" s="80" t="str">
        <f>IF($AE97="","", IFERROR( ( _xll.IMDP("BND",$AD97,AG$6,$C$7,"Fill=false")-_xll.IMDP("BND",$AD97,AG$6,$C$5,"Fill=false"))*100, ""))</f>
        <v/>
      </c>
      <c r="AI97" s="59" t="str">
        <f>IF($AE97="","",_xll.IMDP("BND",$AD97,AI$6,$C$7,"Fill=false,DtFmt=1"))</f>
        <v/>
      </c>
    </row>
    <row r="98" spans="7:35">
      <c r="G98" s="11"/>
      <c r="H98" s="7" t="str">
        <f>IF(G98="","",_xll.IMDP("BND",$G98,H$6,$C$7,"Fill=false"))</f>
        <v/>
      </c>
      <c r="I98" s="27" t="str">
        <f>IF($H98="","",SUBSTITUTE(INDEX(code_list!$F:$F, MATCH(G98,국고_code,0)),"국고",""))</f>
        <v/>
      </c>
      <c r="J98" s="8" t="str">
        <f t="shared" si="5"/>
        <v/>
      </c>
      <c r="K98" s="9" t="str">
        <f>IF($H98="","",_xll.IMDP("BND",$G98,K$6,$C$7,"Fill=false"))</f>
        <v/>
      </c>
      <c r="L98" s="10" t="str">
        <f>IF($H98="","",IFERROR( ( _xll.IMDP("BND",$G98,K$6,$C$7,"Fill=false") - _xll.IMDP("BND",$G98,K$6,$C$5,"Fill=false") ) * 100, ""))</f>
        <v/>
      </c>
      <c r="M98" s="59" t="str">
        <f>IF($H98="","",_xll.IMDP("BND",$G98,M$6,$C$7,"Fill=false,DtFmt=1"))</f>
        <v/>
      </c>
      <c r="O98" s="11"/>
      <c r="P98" s="68" t="str">
        <f>IF(O98="","",IFERROR( _xll.IMDP("BND",$O98,P$6,$C$7,"Fill=false,DtFmt=1"),""))</f>
        <v/>
      </c>
      <c r="Q98" s="27" t="str">
        <f>IF($P98="","",SUBSTITUTE(INDEX(code_list!$O:$O,MATCH(O98,통안_code,0)),"통안",""))</f>
        <v/>
      </c>
      <c r="R98" s="8" t="str">
        <f t="shared" si="6"/>
        <v/>
      </c>
      <c r="S98" s="25" t="str">
        <f>IF($P98="","", _xll.IMDP("BND",$O98,S$6,$C$7,"Fill=false"))</f>
        <v/>
      </c>
      <c r="T98" s="26" t="str">
        <f>IF($P98="","", IFERROR( ( _xll.IMDP("BND",$O98,S$6,$C$7,"Fill=false")-_xll.IMDP("BND",$O98,S$6,$C$5,"Fill=false"))*100, ""))</f>
        <v/>
      </c>
      <c r="U98" s="59" t="str">
        <f>IF($P98="","", _xll.IMDP("BND",$O98,U$6,$C$7,"Fill=false,DtFmt=1"))</f>
        <v/>
      </c>
      <c r="AD98" s="11"/>
      <c r="AE98" s="75" t="str">
        <f>IF(AD98="","",_xll.IMDP("BND",$AD98,AE$6,$C$7,"Fill=false"))</f>
        <v/>
      </c>
      <c r="AF98" s="27" t="str">
        <f t="shared" si="7"/>
        <v/>
      </c>
      <c r="AG98" s="9" t="str">
        <f>IF($AE98="","",_xll.IMDP("BND",$AD98,AG$6,$C$7,"Fill=false"))</f>
        <v/>
      </c>
      <c r="AH98" s="80" t="str">
        <f>IF($AE98="","", IFERROR( ( _xll.IMDP("BND",$AD98,AG$6,$C$7,"Fill=false")-_xll.IMDP("BND",$AD98,AG$6,$C$5,"Fill=false"))*100, ""))</f>
        <v/>
      </c>
      <c r="AI98" s="59" t="str">
        <f>IF($AE98="","",_xll.IMDP("BND",$AD98,AI$6,$C$7,"Fill=false,DtFmt=1"))</f>
        <v/>
      </c>
    </row>
    <row r="99" spans="7:35">
      <c r="G99" s="11"/>
      <c r="H99" s="7" t="str">
        <f>IF(G99="","",_xll.IMDP("BND",$G99,H$6,$C$7,"Fill=false"))</f>
        <v/>
      </c>
      <c r="I99" s="27" t="str">
        <f>IF($H99="","",SUBSTITUTE(INDEX(code_list!$F:$F, MATCH(G99,국고_code,0)),"국고",""))</f>
        <v/>
      </c>
      <c r="J99" s="8" t="str">
        <f t="shared" si="5"/>
        <v/>
      </c>
      <c r="K99" s="9" t="str">
        <f>IF($H99="","",_xll.IMDP("BND",$G99,K$6,$C$7,"Fill=false"))</f>
        <v/>
      </c>
      <c r="L99" s="10" t="str">
        <f>IF($H99="","",IFERROR( ( _xll.IMDP("BND",$G99,K$6,$C$7,"Fill=false") - _xll.IMDP("BND",$G99,K$6,$C$5,"Fill=false") ) * 100, ""))</f>
        <v/>
      </c>
      <c r="M99" s="59" t="str">
        <f>IF($H99="","",_xll.IMDP("BND",$G99,M$6,$C$7,"Fill=false,DtFmt=1"))</f>
        <v/>
      </c>
      <c r="O99" s="11"/>
      <c r="P99" s="68" t="str">
        <f>IF(O99="","",IFERROR( _xll.IMDP("BND",$O99,P$6,$C$7,"Fill=false,DtFmt=1"),""))</f>
        <v/>
      </c>
      <c r="Q99" s="27" t="str">
        <f>IF($P99="","",SUBSTITUTE(INDEX(code_list!$O:$O,MATCH(O99,통안_code,0)),"통안",""))</f>
        <v/>
      </c>
      <c r="R99" s="8" t="str">
        <f t="shared" si="6"/>
        <v/>
      </c>
      <c r="S99" s="25" t="str">
        <f>IF($P99="","", _xll.IMDP("BND",$O99,S$6,$C$7,"Fill=false"))</f>
        <v/>
      </c>
      <c r="T99" s="26" t="str">
        <f>IF($P99="","", IFERROR( ( _xll.IMDP("BND",$O99,S$6,$C$7,"Fill=false")-_xll.IMDP("BND",$O99,S$6,$C$5,"Fill=false"))*100, ""))</f>
        <v/>
      </c>
      <c r="U99" s="59" t="str">
        <f>IF($P99="","", _xll.IMDP("BND",$O99,U$6,$C$7,"Fill=false,DtFmt=1"))</f>
        <v/>
      </c>
      <c r="AD99" s="11"/>
      <c r="AE99" s="75" t="str">
        <f>IF(AD99="","",_xll.IMDP("BND",$AD99,AE$6,$C$7,"Fill=false"))</f>
        <v/>
      </c>
      <c r="AF99" s="27" t="str">
        <f t="shared" si="7"/>
        <v/>
      </c>
      <c r="AG99" s="9" t="str">
        <f>IF($AE99="","",_xll.IMDP("BND",$AD99,AG$6,$C$7,"Fill=false"))</f>
        <v/>
      </c>
      <c r="AH99" s="80" t="str">
        <f>IF($AE99="","", IFERROR( ( _xll.IMDP("BND",$AD99,AG$6,$C$7,"Fill=false")-_xll.IMDP("BND",$AD99,AG$6,$C$5,"Fill=false"))*100, ""))</f>
        <v/>
      </c>
      <c r="AI99" s="59" t="str">
        <f>IF($AE99="","",_xll.IMDP("BND",$AD99,AI$6,$C$7,"Fill=false,DtFmt=1"))</f>
        <v/>
      </c>
    </row>
    <row r="100" spans="7:35">
      <c r="G100" s="11"/>
      <c r="H100" s="7" t="str">
        <f>IF(G100="","",_xll.IMDP("BND",$G100,H$6,$C$7,"Fill=false"))</f>
        <v/>
      </c>
      <c r="I100" s="27" t="str">
        <f>IF($H100="","",SUBSTITUTE(INDEX(code_list!$F:$F, MATCH(G100,국고_code,0)),"국고",""))</f>
        <v/>
      </c>
      <c r="J100" s="8" t="str">
        <f t="shared" si="5"/>
        <v/>
      </c>
      <c r="K100" s="9" t="str">
        <f>IF($H100="","",_xll.IMDP("BND",$G100,K$6,$C$7,"Fill=false"))</f>
        <v/>
      </c>
      <c r="L100" s="10" t="str">
        <f>IF($H100="","",IFERROR( ( _xll.IMDP("BND",$G100,K$6,$C$7,"Fill=false") - _xll.IMDP("BND",$G100,K$6,$C$5,"Fill=false") ) * 100, ""))</f>
        <v/>
      </c>
      <c r="M100" s="59" t="str">
        <f>IF($H100="","",_xll.IMDP("BND",$G100,M$6,$C$7,"Fill=false,DtFmt=1"))</f>
        <v/>
      </c>
      <c r="O100" s="11"/>
      <c r="P100" s="68" t="str">
        <f>IF(O100="","",IFERROR( _xll.IMDP("BND",$O100,P$6,$C$7,"Fill=false,DtFmt=1"),""))</f>
        <v/>
      </c>
      <c r="Q100" s="27" t="str">
        <f>IF($P100="","",SUBSTITUTE(INDEX(code_list!$O:$O,MATCH(O100,통안_code,0)),"통안",""))</f>
        <v/>
      </c>
      <c r="R100" s="8" t="str">
        <f t="shared" si="6"/>
        <v/>
      </c>
      <c r="S100" s="25" t="str">
        <f>IF($P100="","", _xll.IMDP("BND",$O100,S$6,$C$7,"Fill=false"))</f>
        <v/>
      </c>
      <c r="T100" s="26" t="str">
        <f>IF($P100="","", IFERROR( ( _xll.IMDP("BND",$O100,S$6,$C$7,"Fill=false")-_xll.IMDP("BND",$O100,S$6,$C$5,"Fill=false"))*100, ""))</f>
        <v/>
      </c>
      <c r="U100" s="59" t="str">
        <f>IF($P100="","", _xll.IMDP("BND",$O100,U$6,$C$7,"Fill=false,DtFmt=1"))</f>
        <v/>
      </c>
      <c r="AD100" s="11"/>
      <c r="AE100" s="75" t="str">
        <f>IF(AD100="","",_xll.IMDP("BND",$AD100,AE$6,$C$7,"Fill=false"))</f>
        <v/>
      </c>
      <c r="AF100" s="27" t="str">
        <f t="shared" si="7"/>
        <v/>
      </c>
      <c r="AG100" s="9" t="str">
        <f>IF($AE100="","",_xll.IMDP("BND",$AD100,AG$6,$C$7,"Fill=false"))</f>
        <v/>
      </c>
      <c r="AH100" s="80" t="str">
        <f>IF($AE100="","", IFERROR( ( _xll.IMDP("BND",$AD100,AG$6,$C$7,"Fill=false")-_xll.IMDP("BND",$AD100,AG$6,$C$5,"Fill=false"))*100, ""))</f>
        <v/>
      </c>
      <c r="AI100" s="59" t="str">
        <f>IF($AE100="","",_xll.IMDP("BND",$AD100,AI$6,$C$7,"Fill=false,DtFmt=1"))</f>
        <v/>
      </c>
    </row>
    <row r="101" spans="7:35">
      <c r="G101" s="11"/>
      <c r="H101" s="7" t="str">
        <f>IF(G101="","",_xll.IMDP("BND",$G101,H$6,$C$7,"Fill=false"))</f>
        <v/>
      </c>
      <c r="I101" s="27" t="str">
        <f>IF($H101="","",SUBSTITUTE(INDEX(code_list!$F:$F, MATCH(G101,국고_code,0)),"국고",""))</f>
        <v/>
      </c>
      <c r="J101" s="8" t="str">
        <f t="shared" si="5"/>
        <v/>
      </c>
      <c r="K101" s="9" t="str">
        <f>IF($H101="","",_xll.IMDP("BND",$G101,K$6,$C$7,"Fill=false"))</f>
        <v/>
      </c>
      <c r="L101" s="10" t="str">
        <f>IF($H101="","",IFERROR( ( _xll.IMDP("BND",$G101,K$6,$C$7,"Fill=false") - _xll.IMDP("BND",$G101,K$6,$C$5,"Fill=false") ) * 100, ""))</f>
        <v/>
      </c>
      <c r="M101" s="59" t="str">
        <f>IF($H101="","",_xll.IMDP("BND",$G101,M$6,$C$7,"Fill=false,DtFmt=1"))</f>
        <v/>
      </c>
      <c r="O101" s="11"/>
      <c r="P101" s="68" t="str">
        <f>IF(O101="","",IFERROR( _xll.IMDP("BND",$O101,P$6,$C$7,"Fill=false,DtFmt=1"),""))</f>
        <v/>
      </c>
      <c r="Q101" s="27" t="str">
        <f>IF($P101="","",SUBSTITUTE(INDEX(code_list!$O:$O,MATCH(O101,통안_code,0)),"통안",""))</f>
        <v/>
      </c>
      <c r="R101" s="8" t="str">
        <f t="shared" si="6"/>
        <v/>
      </c>
      <c r="S101" s="25" t="str">
        <f>IF($P101="","", _xll.IMDP("BND",$O101,S$6,$C$7,"Fill=false"))</f>
        <v/>
      </c>
      <c r="T101" s="26" t="str">
        <f>IF($P101="","", IFERROR( ( _xll.IMDP("BND",$O101,S$6,$C$7,"Fill=false")-_xll.IMDP("BND",$O101,S$6,$C$5,"Fill=false"))*100, ""))</f>
        <v/>
      </c>
      <c r="U101" s="59" t="str">
        <f>IF($P101="","", _xll.IMDP("BND",$O101,U$6,$C$7,"Fill=false,DtFmt=1"))</f>
        <v/>
      </c>
      <c r="AD101" s="11"/>
      <c r="AE101" s="75" t="str">
        <f>IF(AD101="","",_xll.IMDP("BND",$AD101,AE$6,$C$7,"Fill=false"))</f>
        <v/>
      </c>
      <c r="AF101" s="27" t="str">
        <f t="shared" si="7"/>
        <v/>
      </c>
      <c r="AG101" s="9" t="str">
        <f>IF($AE101="","",_xll.IMDP("BND",$AD101,AG$6,$C$7,"Fill=false"))</f>
        <v/>
      </c>
      <c r="AH101" s="80" t="str">
        <f>IF($AE101="","", IFERROR( ( _xll.IMDP("BND",$AD101,AG$6,$C$7,"Fill=false")-_xll.IMDP("BND",$AD101,AG$6,$C$5,"Fill=false"))*100, ""))</f>
        <v/>
      </c>
      <c r="AI101" s="59" t="str">
        <f>IF($AE101="","",_xll.IMDP("BND",$AD101,AI$6,$C$7,"Fill=false,DtFmt=1"))</f>
        <v/>
      </c>
    </row>
    <row r="102" spans="7:35">
      <c r="G102" s="11"/>
      <c r="H102" s="7" t="str">
        <f>IF(G102="","",_xll.IMDP("BND",$G102,H$6,$C$7,"Fill=false"))</f>
        <v/>
      </c>
      <c r="I102" s="27" t="str">
        <f>IF($H102="","",SUBSTITUTE(INDEX(code_list!$F:$F, MATCH(G102,국고_code,0)),"국고",""))</f>
        <v/>
      </c>
      <c r="J102" s="8" t="str">
        <f t="shared" si="5"/>
        <v/>
      </c>
      <c r="K102" s="9" t="str">
        <f>IF($H102="","",_xll.IMDP("BND",$G102,K$6,$C$7,"Fill=false"))</f>
        <v/>
      </c>
      <c r="L102" s="10" t="str">
        <f>IF($H102="","",IFERROR( ( _xll.IMDP("BND",$G102,K$6,$C$7,"Fill=false") - _xll.IMDP("BND",$G102,K$6,$C$5,"Fill=false") ) * 100, ""))</f>
        <v/>
      </c>
      <c r="M102" s="59" t="str">
        <f>IF($H102="","",_xll.IMDP("BND",$G102,M$6,$C$7,"Fill=false,DtFmt=1"))</f>
        <v/>
      </c>
      <c r="O102" s="11"/>
      <c r="P102" s="68" t="str">
        <f>IF(O102="","",IFERROR( _xll.IMDP("BND",$O102,P$6,$C$7,"Fill=false,DtFmt=1"),""))</f>
        <v/>
      </c>
      <c r="Q102" s="27" t="str">
        <f>IF($P102="","",SUBSTITUTE(INDEX(code_list!$O:$O,MATCH(O102,통안_code,0)),"통안",""))</f>
        <v/>
      </c>
      <c r="R102" s="8" t="str">
        <f t="shared" si="6"/>
        <v/>
      </c>
      <c r="S102" s="25" t="str">
        <f>IF($P102="","", _xll.IMDP("BND",$O102,S$6,$C$7,"Fill=false"))</f>
        <v/>
      </c>
      <c r="T102" s="26" t="str">
        <f>IF($P102="","", IFERROR( ( _xll.IMDP("BND",$O102,S$6,$C$7,"Fill=false")-_xll.IMDP("BND",$O102,S$6,$C$5,"Fill=false"))*100, ""))</f>
        <v/>
      </c>
      <c r="U102" s="59" t="str">
        <f>IF($P102="","", _xll.IMDP("BND",$O102,U$6,$C$7,"Fill=false,DtFmt=1"))</f>
        <v/>
      </c>
      <c r="AD102" s="11"/>
      <c r="AE102" s="75" t="str">
        <f>IF(AD102="","",_xll.IMDP("BND",$AD102,AE$6,$C$7,"Fill=false"))</f>
        <v/>
      </c>
      <c r="AF102" s="27" t="str">
        <f t="shared" si="7"/>
        <v/>
      </c>
      <c r="AG102" s="9" t="str">
        <f>IF($AE102="","",_xll.IMDP("BND",$AD102,AG$6,$C$7,"Fill=false"))</f>
        <v/>
      </c>
      <c r="AH102" s="80" t="str">
        <f>IF($AE102="","", IFERROR( ( _xll.IMDP("BND",$AD102,AG$6,$C$7,"Fill=false")-_xll.IMDP("BND",$AD102,AG$6,$C$5,"Fill=false"))*100, ""))</f>
        <v/>
      </c>
      <c r="AI102" s="59" t="str">
        <f>IF($AE102="","",_xll.IMDP("BND",$AD102,AI$6,$C$7,"Fill=false,DtFmt=1"))</f>
        <v/>
      </c>
    </row>
    <row r="103" spans="7:35">
      <c r="G103" s="11"/>
      <c r="H103" s="7" t="str">
        <f>IF(G103="","",_xll.IMDP("BND",$G103,H$6,$C$7,"Fill=false"))</f>
        <v/>
      </c>
      <c r="I103" s="27" t="str">
        <f>IF($H103="","",SUBSTITUTE(INDEX(code_list!$F:$F, MATCH(G103,국고_code,0)),"국고",""))</f>
        <v/>
      </c>
      <c r="J103" s="8" t="str">
        <f t="shared" si="5"/>
        <v/>
      </c>
      <c r="K103" s="9" t="str">
        <f>IF($H103="","",_xll.IMDP("BND",$G103,K$6,$C$7,"Fill=false"))</f>
        <v/>
      </c>
      <c r="L103" s="10" t="str">
        <f>IF($H103="","",IFERROR( ( _xll.IMDP("BND",$G103,K$6,$C$7,"Fill=false") - _xll.IMDP("BND",$G103,K$6,$C$5,"Fill=false") ) * 100, ""))</f>
        <v/>
      </c>
      <c r="M103" s="59" t="str">
        <f>IF($H103="","",_xll.IMDP("BND",$G103,M$6,$C$7,"Fill=false,DtFmt=1"))</f>
        <v/>
      </c>
      <c r="O103" s="11"/>
      <c r="P103" s="68" t="str">
        <f>IF(O103="","",IFERROR( _xll.IMDP("BND",$O103,P$6,$C$7,"Fill=false,DtFmt=1"),""))</f>
        <v/>
      </c>
      <c r="Q103" s="27" t="str">
        <f>IF($P103="","",SUBSTITUTE(INDEX(code_list!$O:$O,MATCH(O103,통안_code,0)),"통안",""))</f>
        <v/>
      </c>
      <c r="R103" s="8" t="str">
        <f t="shared" si="6"/>
        <v/>
      </c>
      <c r="S103" s="25" t="str">
        <f>IF($P103="","", _xll.IMDP("BND",$O103,S$6,$C$7,"Fill=false"))</f>
        <v/>
      </c>
      <c r="T103" s="26" t="str">
        <f>IF($P103="","", IFERROR( ( _xll.IMDP("BND",$O103,S$6,$C$7,"Fill=false")-_xll.IMDP("BND",$O103,S$6,$C$5,"Fill=false"))*100, ""))</f>
        <v/>
      </c>
      <c r="U103" s="59" t="str">
        <f>IF($P103="","", _xll.IMDP("BND",$O103,U$6,$C$7,"Fill=false,DtFmt=1"))</f>
        <v/>
      </c>
      <c r="AD103" s="11"/>
      <c r="AE103" s="75" t="str">
        <f>IF(AD103="","",_xll.IMDP("BND",$AD103,AE$6,$C$7,"Fill=false"))</f>
        <v/>
      </c>
      <c r="AF103" s="27" t="str">
        <f t="shared" si="7"/>
        <v/>
      </c>
      <c r="AG103" s="9" t="str">
        <f>IF($AE103="","",_xll.IMDP("BND",$AD103,AG$6,$C$7,"Fill=false"))</f>
        <v/>
      </c>
      <c r="AH103" s="80" t="str">
        <f>IF($AE103="","", IFERROR( ( _xll.IMDP("BND",$AD103,AG$6,$C$7,"Fill=false")-_xll.IMDP("BND",$AD103,AG$6,$C$5,"Fill=false"))*100, ""))</f>
        <v/>
      </c>
      <c r="AI103" s="59" t="str">
        <f>IF($AE103="","",_xll.IMDP("BND",$AD103,AI$6,$C$7,"Fill=false,DtFmt=1"))</f>
        <v/>
      </c>
    </row>
    <row r="104" spans="7:35">
      <c r="G104" s="11"/>
      <c r="H104" s="7" t="str">
        <f>IF(G104="","",_xll.IMDP("BND",$G104,H$6,$C$7,"Fill=false"))</f>
        <v/>
      </c>
      <c r="I104" s="27" t="str">
        <f>IF($H104="","",SUBSTITUTE(INDEX(code_list!$F:$F, MATCH(G104,국고_code,0)),"국고",""))</f>
        <v/>
      </c>
      <c r="J104" s="8" t="str">
        <f t="shared" si="5"/>
        <v/>
      </c>
      <c r="K104" s="9" t="str">
        <f>IF($H104="","",_xll.IMDP("BND",$G104,K$6,$C$7,"Fill=false"))</f>
        <v/>
      </c>
      <c r="L104" s="10" t="str">
        <f>IF($H104="","",IFERROR( ( _xll.IMDP("BND",$G104,K$6,$C$7,"Fill=false") - _xll.IMDP("BND",$G104,K$6,$C$5,"Fill=false") ) * 100, ""))</f>
        <v/>
      </c>
      <c r="M104" s="59" t="str">
        <f>IF($H104="","",_xll.IMDP("BND",$G104,M$6,$C$7,"Fill=false,DtFmt=1"))</f>
        <v/>
      </c>
      <c r="O104" s="11"/>
      <c r="P104" s="68" t="str">
        <f>IF(O104="","",IFERROR( _xll.IMDP("BND",$O104,P$6,$C$7,"Fill=false,DtFmt=1"),""))</f>
        <v/>
      </c>
      <c r="Q104" s="27" t="str">
        <f>IF($P104="","",SUBSTITUTE(INDEX(code_list!$O:$O,MATCH(O104,통안_code,0)),"통안",""))</f>
        <v/>
      </c>
      <c r="R104" s="8" t="str">
        <f t="shared" si="6"/>
        <v/>
      </c>
      <c r="S104" s="25" t="str">
        <f>IF($P104="","", _xll.IMDP("BND",$O104,S$6,$C$7,"Fill=false"))</f>
        <v/>
      </c>
      <c r="T104" s="26" t="str">
        <f>IF($P104="","", IFERROR( ( _xll.IMDP("BND",$O104,S$6,$C$7,"Fill=false")-_xll.IMDP("BND",$O104,S$6,$C$5,"Fill=false"))*100, ""))</f>
        <v/>
      </c>
      <c r="U104" s="59" t="str">
        <f>IF($P104="","", _xll.IMDP("BND",$O104,U$6,$C$7,"Fill=false,DtFmt=1"))</f>
        <v/>
      </c>
      <c r="AD104" s="11"/>
      <c r="AE104" s="75" t="str">
        <f>IF(AD104="","",_xll.IMDP("BND",$AD104,AE$6,$C$7,"Fill=false"))</f>
        <v/>
      </c>
      <c r="AF104" s="27" t="str">
        <f t="shared" si="7"/>
        <v/>
      </c>
      <c r="AG104" s="9" t="str">
        <f>IF($AE104="","",_xll.IMDP("BND",$AD104,AG$6,$C$7,"Fill=false"))</f>
        <v/>
      </c>
      <c r="AH104" s="80" t="str">
        <f>IF($AE104="","", IFERROR( ( _xll.IMDP("BND",$AD104,AG$6,$C$7,"Fill=false")-_xll.IMDP("BND",$AD104,AG$6,$C$5,"Fill=false"))*100, ""))</f>
        <v/>
      </c>
      <c r="AI104" s="59" t="str">
        <f>IF($AE104="","",_xll.IMDP("BND",$AD104,AI$6,$C$7,"Fill=false,DtFmt=1"))</f>
        <v/>
      </c>
    </row>
    <row r="105" spans="7:35">
      <c r="G105" s="11"/>
      <c r="H105" s="7" t="str">
        <f>IF(G105="","",_xll.IMDP("BND",$G105,H$6,$C$7,"Fill=false"))</f>
        <v/>
      </c>
      <c r="I105" s="27" t="str">
        <f>IF($H105="","",SUBSTITUTE(INDEX(code_list!$F:$F, MATCH(G105,국고_code,0)),"국고",""))</f>
        <v/>
      </c>
      <c r="J105" s="8" t="str">
        <f t="shared" si="5"/>
        <v/>
      </c>
      <c r="K105" s="9" t="str">
        <f>IF($H105="","",_xll.IMDP("BND",$G105,K$6,$C$7,"Fill=false"))</f>
        <v/>
      </c>
      <c r="L105" s="10" t="str">
        <f>IF($H105="","",IFERROR( ( _xll.IMDP("BND",$G105,K$6,$C$7,"Fill=false") - _xll.IMDP("BND",$G105,K$6,$C$5,"Fill=false") ) * 100, ""))</f>
        <v/>
      </c>
      <c r="M105" s="59" t="str">
        <f>IF($H105="","",_xll.IMDP("BND",$G105,M$6,$C$7,"Fill=false,DtFmt=1"))</f>
        <v/>
      </c>
      <c r="O105" s="11"/>
      <c r="P105" s="68" t="str">
        <f>IF(O105="","",IFERROR( _xll.IMDP("BND",$O105,P$6,$C$7,"Fill=false,DtFmt=1"),""))</f>
        <v/>
      </c>
      <c r="Q105" s="27" t="str">
        <f>IF($P105="","",SUBSTITUTE(INDEX(code_list!$O:$O,MATCH(O105,통안_code,0)),"통안",""))</f>
        <v/>
      </c>
      <c r="R105" s="8" t="str">
        <f t="shared" si="6"/>
        <v/>
      </c>
      <c r="S105" s="25" t="str">
        <f>IF($P105="","", _xll.IMDP("BND",$O105,S$6,$C$7,"Fill=false"))</f>
        <v/>
      </c>
      <c r="T105" s="26" t="str">
        <f>IF($P105="","", IFERROR( ( _xll.IMDP("BND",$O105,S$6,$C$7,"Fill=false")-_xll.IMDP("BND",$O105,S$6,$C$5,"Fill=false"))*100, ""))</f>
        <v/>
      </c>
      <c r="U105" s="59" t="str">
        <f>IF($P105="","", _xll.IMDP("BND",$O105,U$6,$C$7,"Fill=false,DtFmt=1"))</f>
        <v/>
      </c>
      <c r="AD105" s="11"/>
      <c r="AE105" s="75" t="str">
        <f>IF(AD105="","",_xll.IMDP("BND",$AD105,AE$6,$C$7,"Fill=false"))</f>
        <v/>
      </c>
      <c r="AF105" s="27" t="str">
        <f t="shared" si="7"/>
        <v/>
      </c>
      <c r="AG105" s="9" t="str">
        <f>IF($AE105="","",_xll.IMDP("BND",$AD105,AG$6,$C$7,"Fill=false"))</f>
        <v/>
      </c>
      <c r="AH105" s="80" t="str">
        <f>IF($AE105="","", IFERROR( ( _xll.IMDP("BND",$AD105,AG$6,$C$7,"Fill=false")-_xll.IMDP("BND",$AD105,AG$6,$C$5,"Fill=false"))*100, ""))</f>
        <v/>
      </c>
      <c r="AI105" s="59" t="str">
        <f>IF($AE105="","",_xll.IMDP("BND",$AD105,AI$6,$C$7,"Fill=false,DtFmt=1"))</f>
        <v/>
      </c>
    </row>
    <row r="106" spans="7:35">
      <c r="G106" s="11"/>
      <c r="H106" s="7" t="str">
        <f>IF(G106="","",_xll.IMDP("BND",$G106,H$6,$C$7,"Fill=false"))</f>
        <v/>
      </c>
      <c r="I106" s="27" t="str">
        <f>IF($H106="","",SUBSTITUTE(INDEX(code_list!$F:$F, MATCH(G106,국고_code,0)),"국고",""))</f>
        <v/>
      </c>
      <c r="J106" s="8" t="str">
        <f t="shared" si="5"/>
        <v/>
      </c>
      <c r="K106" s="9" t="str">
        <f>IF($H106="","",_xll.IMDP("BND",$G106,K$6,$C$7,"Fill=false"))</f>
        <v/>
      </c>
      <c r="L106" s="10" t="str">
        <f>IF($H106="","",IFERROR( ( _xll.IMDP("BND",$G106,K$6,$C$7,"Fill=false") - _xll.IMDP("BND",$G106,K$6,$C$5,"Fill=false") ) * 100, ""))</f>
        <v/>
      </c>
      <c r="M106" s="59" t="str">
        <f>IF($H106="","",_xll.IMDP("BND",$G106,M$6,$C$7,"Fill=false,DtFmt=1"))</f>
        <v/>
      </c>
      <c r="O106" s="11"/>
      <c r="P106" s="68" t="str">
        <f>IF(O106="","",IFERROR( _xll.IMDP("BND",$O106,P$6,$C$7,"Fill=false,DtFmt=1"),""))</f>
        <v/>
      </c>
      <c r="Q106" s="27" t="str">
        <f>IF($P106="","",SUBSTITUTE(INDEX(code_list!$O:$O,MATCH(O106,통안_code,0)),"통안",""))</f>
        <v/>
      </c>
      <c r="R106" s="8" t="str">
        <f t="shared" si="6"/>
        <v/>
      </c>
      <c r="S106" s="25" t="str">
        <f>IF($P106="","", _xll.IMDP("BND",$O106,S$6,$C$7,"Fill=false"))</f>
        <v/>
      </c>
      <c r="T106" s="26" t="str">
        <f>IF($P106="","", IFERROR( ( _xll.IMDP("BND",$O106,S$6,$C$7,"Fill=false")-_xll.IMDP("BND",$O106,S$6,$C$5,"Fill=false"))*100, ""))</f>
        <v/>
      </c>
      <c r="U106" s="59" t="str">
        <f>IF($P106="","", _xll.IMDP("BND",$O106,U$6,$C$7,"Fill=false,DtFmt=1"))</f>
        <v/>
      </c>
      <c r="AD106" s="11"/>
      <c r="AE106" s="75" t="str">
        <f>IF(AD106="","",_xll.IMDP("BND",$AD106,AE$6,$C$7,"Fill=false"))</f>
        <v/>
      </c>
      <c r="AF106" s="27" t="str">
        <f t="shared" si="7"/>
        <v/>
      </c>
      <c r="AG106" s="9" t="str">
        <f>IF($AE106="","",_xll.IMDP("BND",$AD106,AG$6,$C$7,"Fill=false"))</f>
        <v/>
      </c>
      <c r="AH106" s="80" t="str">
        <f>IF($AE106="","", IFERROR( ( _xll.IMDP("BND",$AD106,AG$6,$C$7,"Fill=false")-_xll.IMDP("BND",$AD106,AG$6,$C$5,"Fill=false"))*100, ""))</f>
        <v/>
      </c>
      <c r="AI106" s="59" t="str">
        <f>IF($AE106="","",_xll.IMDP("BND",$AD106,AI$6,$C$7,"Fill=false,DtFmt=1"))</f>
        <v/>
      </c>
    </row>
    <row r="107" spans="7:35">
      <c r="G107" s="11"/>
      <c r="H107" s="7"/>
      <c r="I107" s="27"/>
      <c r="J107" s="8"/>
      <c r="K107" s="9"/>
      <c r="L107" s="10"/>
      <c r="M107" s="59"/>
      <c r="O107" s="11"/>
      <c r="P107" s="68" t="str">
        <f>IF(O107="","",IFERROR( _xll.IMDP("BND",$O107,P$6,$C$7,"Fill=false,DtFmt=1"),""))</f>
        <v/>
      </c>
      <c r="Q107" s="27" t="str">
        <f>IF($P107="","",SUBSTITUTE(INDEX(code_list!$O:$O,MATCH(O107,통안_code,0)),"통안",""))</f>
        <v/>
      </c>
      <c r="R107" s="8" t="str">
        <f t="shared" si="6"/>
        <v/>
      </c>
      <c r="S107" s="25" t="str">
        <f>IF($P107="","", _xll.IMDP("BND",$O107,S$6,$C$7,"Fill=false"))</f>
        <v/>
      </c>
      <c r="T107" s="26" t="str">
        <f>IF($P107="","", IFERROR( ( _xll.IMDP("BND",$O107,S$6,$C$7,"Fill=false")-_xll.IMDP("BND",$O107,S$6,$C$5,"Fill=false"))*100, ""))</f>
        <v/>
      </c>
      <c r="U107" s="59" t="str">
        <f>IF($P107="","", _xll.IMDP("BND",$O107,U$6,$C$7,"Fill=false,DtFmt=1"))</f>
        <v/>
      </c>
      <c r="AD107" s="11"/>
      <c r="AE107" s="75" t="str">
        <f>IF(AD107="","",_xll.IMDP("BND",$AD107,AE$6,$C$7,"Fill=false"))</f>
        <v/>
      </c>
      <c r="AF107" s="27" t="str">
        <f t="shared" si="7"/>
        <v/>
      </c>
      <c r="AG107" s="9" t="str">
        <f>IF($AE107="","",_xll.IMDP("BND",$AD107,AG$6,$C$7,"Fill=false"))</f>
        <v/>
      </c>
      <c r="AH107" s="80" t="str">
        <f>IF($AE107="","", IFERROR( ( _xll.IMDP("BND",$AD107,AG$6,$C$7,"Fill=false")-_xll.IMDP("BND",$AD107,AG$6,$C$5,"Fill=false"))*100, ""))</f>
        <v/>
      </c>
      <c r="AI107" s="59" t="str">
        <f>IF($AE107="","",_xll.IMDP("BND",$AD107,AI$6,$C$7,"Fill=false,DtFmt=1"))</f>
        <v/>
      </c>
    </row>
    <row r="108" spans="7:35">
      <c r="G108" s="11"/>
      <c r="H108" s="7"/>
      <c r="I108" s="27"/>
      <c r="J108" s="8"/>
      <c r="K108" s="9"/>
      <c r="L108" s="10"/>
      <c r="M108" s="59"/>
      <c r="O108" s="11"/>
      <c r="P108" s="68" t="str">
        <f>IF(O108="","",IFERROR( _xll.IMDP("BND",$O108,P$6,$C$7,"Fill=false,DtFmt=1"),""))</f>
        <v/>
      </c>
      <c r="Q108" s="27" t="str">
        <f>IF($P108="","",SUBSTITUTE(INDEX(code_list!$O:$O,MATCH(O108,통안_code,0)),"통안",""))</f>
        <v/>
      </c>
      <c r="R108" s="8" t="str">
        <f t="shared" si="6"/>
        <v/>
      </c>
      <c r="S108" s="25" t="str">
        <f>IF($P108="","", _xll.IMDP("BND",$O108,S$6,$C$7,"Fill=false"))</f>
        <v/>
      </c>
      <c r="T108" s="26" t="str">
        <f>IF($P108="","", IFERROR( ( _xll.IMDP("BND",$O108,S$6,$C$7,"Fill=false")-_xll.IMDP("BND",$O108,S$6,$C$5,"Fill=false"))*100, ""))</f>
        <v/>
      </c>
      <c r="U108" s="59" t="str">
        <f>IF($P108="","", _xll.IMDP("BND",$O108,U$6,$C$7,"Fill=false,DtFmt=1"))</f>
        <v/>
      </c>
      <c r="AD108" s="11"/>
      <c r="AE108" s="75" t="str">
        <f>IF(AD108="","",_xll.IMDP("BND",$AD108,AE$6,$C$7,"Fill=false"))</f>
        <v/>
      </c>
      <c r="AF108" s="27" t="str">
        <f t="shared" si="7"/>
        <v/>
      </c>
      <c r="AG108" s="9" t="str">
        <f>IF($AE108="","",_xll.IMDP("BND",$AD108,AG$6,$C$7,"Fill=false"))</f>
        <v/>
      </c>
      <c r="AH108" s="80" t="str">
        <f>IF($AE108="","", IFERROR( ( _xll.IMDP("BND",$AD108,AG$6,$C$7,"Fill=false")-_xll.IMDP("BND",$AD108,AG$6,$C$5,"Fill=false"))*100, ""))</f>
        <v/>
      </c>
      <c r="AI108" s="59" t="str">
        <f>IF($AE108="","",_xll.IMDP("BND",$AD108,AI$6,$C$7,"Fill=false,DtFmt=1"))</f>
        <v/>
      </c>
    </row>
    <row r="109" spans="7:35">
      <c r="G109" s="11"/>
      <c r="H109" s="7"/>
      <c r="I109" s="27"/>
      <c r="J109" s="8"/>
      <c r="K109" s="9"/>
      <c r="L109" s="10"/>
      <c r="M109" s="59"/>
      <c r="O109" s="11"/>
      <c r="P109" s="68" t="str">
        <f>IF(O109="","",IFERROR( _xll.IMDP("BND",$O109,P$6,$C$7,"Fill=false,DtFmt=1"),""))</f>
        <v/>
      </c>
      <c r="Q109" s="27" t="str">
        <f>IF($P109="","",SUBSTITUTE(INDEX(code_list!$O:$O,MATCH(O109,통안_code,0)),"통안",""))</f>
        <v/>
      </c>
      <c r="R109" s="8" t="str">
        <f t="shared" si="6"/>
        <v/>
      </c>
      <c r="S109" s="25" t="str">
        <f>IF($P109="","", _xll.IMDP("BND",$O109,S$6,$C$7,"Fill=false"))</f>
        <v/>
      </c>
      <c r="T109" s="26" t="str">
        <f>IF($P109="","", IFERROR( ( _xll.IMDP("BND",$O109,S$6,$C$7,"Fill=false")-_xll.IMDP("BND",$O109,S$6,$C$5,"Fill=false"))*100, ""))</f>
        <v/>
      </c>
      <c r="U109" s="59" t="str">
        <f>IF($P109="","", _xll.IMDP("BND",$O109,U$6,$C$7,"Fill=false,DtFmt=1"))</f>
        <v/>
      </c>
      <c r="AD109" s="11"/>
      <c r="AE109" s="75" t="str">
        <f>IF(AD109="","",_xll.IMDP("BND",$AD109,AE$6,$C$7,"Fill=false"))</f>
        <v/>
      </c>
      <c r="AF109" s="27" t="str">
        <f t="shared" si="7"/>
        <v/>
      </c>
      <c r="AG109" s="9" t="str">
        <f>IF($AE109="","",_xll.IMDP("BND",$AD109,AG$6,$C$7,"Fill=false"))</f>
        <v/>
      </c>
      <c r="AH109" s="80" t="str">
        <f>IF($AE109="","", IFERROR( ( _xll.IMDP("BND",$AD109,AG$6,$C$7,"Fill=false")-_xll.IMDP("BND",$AD109,AG$6,$C$5,"Fill=false"))*100, ""))</f>
        <v/>
      </c>
      <c r="AI109" s="59" t="str">
        <f>IF($AE109="","",_xll.IMDP("BND",$AD109,AI$6,$C$7,"Fill=false,DtFmt=1"))</f>
        <v/>
      </c>
    </row>
    <row r="110" spans="7:35">
      <c r="G110" s="11"/>
      <c r="H110" s="7"/>
      <c r="I110" s="27"/>
      <c r="J110" s="8"/>
      <c r="K110" s="9"/>
      <c r="L110" s="10"/>
      <c r="M110" s="59"/>
      <c r="O110" s="11"/>
      <c r="P110" s="68" t="str">
        <f>IF(O110="","",IFERROR( _xll.IMDP("BND",$O110,P$6,$C$7,"Fill=false,DtFmt=1"),""))</f>
        <v/>
      </c>
      <c r="Q110" s="27" t="str">
        <f>IF($P110="","",SUBSTITUTE(INDEX(code_list!$O:$O,MATCH(O110,통안_code,0)),"통안",""))</f>
        <v/>
      </c>
      <c r="R110" s="8" t="str">
        <f t="shared" si="6"/>
        <v/>
      </c>
      <c r="S110" s="25" t="str">
        <f>IF($P110="","", _xll.IMDP("BND",$O110,S$6,$C$7,"Fill=false"))</f>
        <v/>
      </c>
      <c r="T110" s="26" t="str">
        <f>IF($P110="","", IFERROR( ( _xll.IMDP("BND",$O110,S$6,$C$7,"Fill=false")-_xll.IMDP("BND",$O110,S$6,$C$5,"Fill=false"))*100, ""))</f>
        <v/>
      </c>
      <c r="U110" s="59" t="str">
        <f>IF($P110="","", _xll.IMDP("BND",$O110,U$6,$C$7,"Fill=false,DtFmt=1"))</f>
        <v/>
      </c>
      <c r="AD110" s="11"/>
      <c r="AE110" s="75" t="str">
        <f>IF(AD110="","",_xll.IMDP("BND",$AD110,AE$6,$C$7,"Fill=false"))</f>
        <v/>
      </c>
      <c r="AF110" s="27" t="str">
        <f t="shared" si="7"/>
        <v/>
      </c>
      <c r="AG110" s="9" t="str">
        <f>IF($AE110="","",_xll.IMDP("BND",$AD110,AG$6,$C$7,"Fill=false"))</f>
        <v/>
      </c>
      <c r="AH110" s="80" t="str">
        <f>IF($AE110="","", IFERROR( ( _xll.IMDP("BND",$AD110,AG$6,$C$7,"Fill=false")-_xll.IMDP("BND",$AD110,AG$6,$C$5,"Fill=false"))*100, ""))</f>
        <v/>
      </c>
      <c r="AI110" s="59" t="str">
        <f>IF($AE110="","",_xll.IMDP("BND",$AD110,AI$6,$C$7,"Fill=false,DtFmt=1"))</f>
        <v/>
      </c>
    </row>
    <row r="111" spans="7:35">
      <c r="G111" s="11"/>
      <c r="H111" s="7"/>
      <c r="I111" s="27"/>
      <c r="J111" s="8"/>
      <c r="K111" s="9"/>
      <c r="L111" s="10"/>
      <c r="M111" s="59"/>
      <c r="O111" s="11"/>
      <c r="P111" s="68" t="str">
        <f>IF(O111="","",IFERROR( _xll.IMDP("BND",$O111,P$6,$C$7,"Fill=false,DtFmt=1"),""))</f>
        <v/>
      </c>
      <c r="Q111" s="27" t="str">
        <f>IF($P111="","",SUBSTITUTE(INDEX(code_list!$O:$O,MATCH(O111,통안_code,0)),"통안",""))</f>
        <v/>
      </c>
      <c r="R111" s="8" t="str">
        <f t="shared" si="6"/>
        <v/>
      </c>
      <c r="S111" s="25" t="str">
        <f>IF($P111="","", _xll.IMDP("BND",$O111,S$6,$C$7,"Fill=false"))</f>
        <v/>
      </c>
      <c r="T111" s="26" t="str">
        <f>IF($P111="","", IFERROR( ( _xll.IMDP("BND",$O111,S$6,$C$7,"Fill=false")-_xll.IMDP("BND",$O111,S$6,$C$5,"Fill=false"))*100, ""))</f>
        <v/>
      </c>
      <c r="U111" s="59" t="str">
        <f>IF($P111="","", _xll.IMDP("BND",$O111,U$6,$C$7,"Fill=false,DtFmt=1"))</f>
        <v/>
      </c>
      <c r="AD111" s="11"/>
      <c r="AE111" s="75" t="str">
        <f>IF(AD111="","",_xll.IMDP("BND",$AD111,AE$6,$C$7,"Fill=false"))</f>
        <v/>
      </c>
      <c r="AF111" s="27" t="str">
        <f t="shared" si="7"/>
        <v/>
      </c>
      <c r="AG111" s="9" t="str">
        <f>IF($AE111="","",_xll.IMDP("BND",$AD111,AG$6,$C$7,"Fill=false"))</f>
        <v/>
      </c>
      <c r="AH111" s="80" t="str">
        <f>IF($AE111="","", IFERROR( ( _xll.IMDP("BND",$AD111,AG$6,$C$7,"Fill=false")-_xll.IMDP("BND",$AD111,AG$6,$C$5,"Fill=false"))*100, ""))</f>
        <v/>
      </c>
      <c r="AI111" s="59" t="str">
        <f>IF($AE111="","",_xll.IMDP("BND",$AD111,AI$6,$C$7,"Fill=false,DtFmt=1"))</f>
        <v/>
      </c>
    </row>
    <row r="112" spans="7:35">
      <c r="G112" s="11"/>
      <c r="H112" s="7"/>
      <c r="I112" s="27"/>
      <c r="J112" s="8"/>
      <c r="K112" s="9"/>
      <c r="L112" s="10"/>
      <c r="M112" s="59"/>
      <c r="O112" s="11"/>
      <c r="P112" s="68" t="str">
        <f>IF(O112="","",IFERROR( _xll.IMDP("BND",$O112,P$6,$C$7,"Fill=false,DtFmt=1"),""))</f>
        <v/>
      </c>
      <c r="Q112" s="27" t="str">
        <f>IF($P112="","",SUBSTITUTE(INDEX(code_list!$O:$O,MATCH(O112,통안_code,0)),"통안",""))</f>
        <v/>
      </c>
      <c r="R112" s="8" t="str">
        <f t="shared" si="6"/>
        <v/>
      </c>
      <c r="S112" s="25" t="str">
        <f>IF($P112="","", _xll.IMDP("BND",$O112,S$6,$C$7,"Fill=false"))</f>
        <v/>
      </c>
      <c r="T112" s="26" t="str">
        <f>IF($P112="","", IFERROR( ( _xll.IMDP("BND",$O112,S$6,$C$7,"Fill=false")-_xll.IMDP("BND",$O112,S$6,$C$5,"Fill=false"))*100, ""))</f>
        <v/>
      </c>
      <c r="U112" s="59" t="str">
        <f>IF($P112="","", _xll.IMDP("BND",$O112,U$6,$C$7,"Fill=false,DtFmt=1"))</f>
        <v/>
      </c>
      <c r="AD112" s="11"/>
      <c r="AE112" s="75" t="str">
        <f>IF(AD112="","",_xll.IMDP("BND",$AD112,AE$6,$C$7,"Fill=false"))</f>
        <v/>
      </c>
      <c r="AF112" s="27" t="str">
        <f t="shared" si="7"/>
        <v/>
      </c>
      <c r="AG112" s="9" t="str">
        <f>IF($AE112="","",_xll.IMDP("BND",$AD112,AG$6,$C$7,"Fill=false"))</f>
        <v/>
      </c>
      <c r="AH112" s="80" t="str">
        <f>IF($AE112="","", IFERROR( ( _xll.IMDP("BND",$AD112,AG$6,$C$7,"Fill=false")-_xll.IMDP("BND",$AD112,AG$6,$C$5,"Fill=false"))*100, ""))</f>
        <v/>
      </c>
      <c r="AI112" s="59" t="str">
        <f>IF($AE112="","",_xll.IMDP("BND",$AD112,AI$6,$C$7,"Fill=false,DtFmt=1"))</f>
        <v/>
      </c>
    </row>
    <row r="113" spans="7:35">
      <c r="G113" s="11"/>
      <c r="H113" s="7"/>
      <c r="I113" s="27"/>
      <c r="J113" s="8"/>
      <c r="K113" s="9"/>
      <c r="L113" s="10"/>
      <c r="M113" s="59"/>
      <c r="O113" s="11"/>
      <c r="P113" s="68" t="str">
        <f>IF(O113="","",IFERROR( _xll.IMDP("BND",$O113,P$6,$C$7,"Fill=false,DtFmt=1"),""))</f>
        <v/>
      </c>
      <c r="Q113" s="27" t="str">
        <f>IF($P113="","",SUBSTITUTE(INDEX(code_list!$O:$O,MATCH(O113,통안_code,0)),"통안",""))</f>
        <v/>
      </c>
      <c r="R113" s="8" t="str">
        <f t="shared" si="6"/>
        <v/>
      </c>
      <c r="S113" s="25" t="str">
        <f>IF($P113="","", _xll.IMDP("BND",$O113,S$6,$C$7,"Fill=false"))</f>
        <v/>
      </c>
      <c r="T113" s="26" t="str">
        <f>IF($P113="","", IFERROR( ( _xll.IMDP("BND",$O113,S$6,$C$7,"Fill=false")-_xll.IMDP("BND",$O113,S$6,$C$5,"Fill=false"))*100, ""))</f>
        <v/>
      </c>
      <c r="U113" s="59" t="str">
        <f>IF($P113="","", _xll.IMDP("BND",$O113,U$6,$C$7,"Fill=false,DtFmt=1"))</f>
        <v/>
      </c>
      <c r="AD113" s="11"/>
      <c r="AE113" s="75" t="str">
        <f>IF(AD113="","",_xll.IMDP("BND",$AD113,AE$6,$C$7,"Fill=false"))</f>
        <v/>
      </c>
      <c r="AF113" s="27" t="str">
        <f t="shared" si="7"/>
        <v/>
      </c>
      <c r="AG113" s="9" t="str">
        <f>IF($AE113="","",_xll.IMDP("BND",$AD113,AG$6,$C$7,"Fill=false"))</f>
        <v/>
      </c>
      <c r="AH113" s="80" t="str">
        <f>IF($AE113="","", IFERROR( ( _xll.IMDP("BND",$AD113,AG$6,$C$7,"Fill=false")-_xll.IMDP("BND",$AD113,AG$6,$C$5,"Fill=false"))*100, ""))</f>
        <v/>
      </c>
      <c r="AI113" s="59" t="str">
        <f>IF($AE113="","",_xll.IMDP("BND",$AD113,AI$6,$C$7,"Fill=false,DtFmt=1"))</f>
        <v/>
      </c>
    </row>
    <row r="114" spans="7:35">
      <c r="G114" s="11"/>
      <c r="H114" s="7"/>
      <c r="I114" s="27"/>
      <c r="J114" s="8"/>
      <c r="K114" s="9"/>
      <c r="L114" s="10"/>
      <c r="M114" s="59"/>
      <c r="O114" s="11"/>
      <c r="P114" s="68" t="str">
        <f>IF(O114="","",IFERROR( _xll.IMDP("BND",$O114,P$6,$C$7,"Fill=false,DtFmt=1"),""))</f>
        <v/>
      </c>
      <c r="Q114" s="27" t="str">
        <f>IF($P114="","",SUBSTITUTE(INDEX(code_list!$O:$O,MATCH(O114,통안_code,0)),"통안",""))</f>
        <v/>
      </c>
      <c r="R114" s="8" t="str">
        <f t="shared" si="6"/>
        <v/>
      </c>
      <c r="S114" s="25" t="str">
        <f>IF($P114="","", _xll.IMDP("BND",$O114,S$6,$C$7,"Fill=false"))</f>
        <v/>
      </c>
      <c r="T114" s="26" t="str">
        <f>IF($P114="","", IFERROR( ( _xll.IMDP("BND",$O114,S$6,$C$7,"Fill=false")-_xll.IMDP("BND",$O114,S$6,$C$5,"Fill=false"))*100, ""))</f>
        <v/>
      </c>
      <c r="U114" s="59" t="str">
        <f>IF($P114="","", _xll.IMDP("BND",$O114,U$6,$C$7,"Fill=false,DtFmt=1"))</f>
        <v/>
      </c>
      <c r="AD114" s="11"/>
      <c r="AE114" s="75" t="str">
        <f>IF(AD114="","",_xll.IMDP("BND",$AD114,AE$6,$C$7,"Fill=false"))</f>
        <v/>
      </c>
      <c r="AF114" s="27" t="str">
        <f t="shared" si="7"/>
        <v/>
      </c>
      <c r="AG114" s="9" t="str">
        <f>IF($AE114="","",_xll.IMDP("BND",$AD114,AG$6,$C$7,"Fill=false"))</f>
        <v/>
      </c>
      <c r="AH114" s="80" t="str">
        <f>IF($AE114="","", IFERROR( ( _xll.IMDP("BND",$AD114,AG$6,$C$7,"Fill=false")-_xll.IMDP("BND",$AD114,AG$6,$C$5,"Fill=false"))*100, ""))</f>
        <v/>
      </c>
      <c r="AI114" s="59" t="str">
        <f>IF($AE114="","",_xll.IMDP("BND",$AD114,AI$6,$C$7,"Fill=false,DtFmt=1"))</f>
        <v/>
      </c>
    </row>
    <row r="115" spans="7:35">
      <c r="G115" s="11"/>
      <c r="H115" s="7"/>
      <c r="I115" s="27"/>
      <c r="J115" s="8"/>
      <c r="K115" s="9"/>
      <c r="L115" s="10"/>
      <c r="M115" s="59"/>
      <c r="O115" s="11"/>
      <c r="P115" s="68" t="str">
        <f>IF(O115="","",IFERROR( _xll.IMDP("BND",$O115,P$6,$C$7,"Fill=false,DtFmt=1"),""))</f>
        <v/>
      </c>
      <c r="Q115" s="27" t="str">
        <f>IF($P115="","",SUBSTITUTE(INDEX(code_list!$O:$O,MATCH(O115,통안_code,0)),"통안",""))</f>
        <v/>
      </c>
      <c r="R115" s="8" t="str">
        <f t="shared" si="6"/>
        <v/>
      </c>
      <c r="S115" s="25" t="str">
        <f>IF($P115="","", _xll.IMDP("BND",$O115,S$6,$C$7,"Fill=false"))</f>
        <v/>
      </c>
      <c r="T115" s="26" t="str">
        <f>IF($P115="","", IFERROR( ( _xll.IMDP("BND",$O115,S$6,$C$7,"Fill=false")-_xll.IMDP("BND",$O115,S$6,$C$5,"Fill=false"))*100, ""))</f>
        <v/>
      </c>
      <c r="U115" s="59" t="str">
        <f>IF($P115="","", _xll.IMDP("BND",$O115,U$6,$C$7,"Fill=false,DtFmt=1"))</f>
        <v/>
      </c>
      <c r="AD115" s="11"/>
      <c r="AE115" s="75" t="str">
        <f>IF(AD115="","",_xll.IMDP("BND",$AD115,AE$6,$C$7,"Fill=false"))</f>
        <v/>
      </c>
      <c r="AF115" s="27" t="str">
        <f t="shared" si="7"/>
        <v/>
      </c>
      <c r="AG115" s="9" t="str">
        <f>IF($AE115="","",_xll.IMDP("BND",$AD115,AG$6,$C$7,"Fill=false"))</f>
        <v/>
      </c>
      <c r="AH115" s="80" t="str">
        <f>IF($AE115="","", IFERROR( ( _xll.IMDP("BND",$AD115,AG$6,$C$7,"Fill=false")-_xll.IMDP("BND",$AD115,AG$6,$C$5,"Fill=false"))*100, ""))</f>
        <v/>
      </c>
      <c r="AI115" s="59" t="str">
        <f>IF($AE115="","",_xll.IMDP("BND",$AD115,AI$6,$C$7,"Fill=false,DtFmt=1"))</f>
        <v/>
      </c>
    </row>
    <row r="116" spans="7:35">
      <c r="G116" s="11"/>
      <c r="H116" s="7"/>
      <c r="I116" s="27"/>
      <c r="J116" s="8"/>
      <c r="K116" s="9"/>
      <c r="L116" s="10"/>
      <c r="M116" s="59"/>
      <c r="O116" s="11"/>
      <c r="P116" s="68" t="str">
        <f>IF(O116="","",IFERROR( _xll.IMDP("BND",$O116,P$6,$C$7,"Fill=false,DtFmt=1"),""))</f>
        <v/>
      </c>
      <c r="Q116" s="27" t="str">
        <f>IF($P116="","",SUBSTITUTE(INDEX(code_list!$O:$O,MATCH(O116,통안_code,0)),"통안",""))</f>
        <v/>
      </c>
      <c r="R116" s="8" t="str">
        <f t="shared" si="6"/>
        <v/>
      </c>
      <c r="S116" s="25" t="str">
        <f>IF($P116="","", _xll.IMDP("BND",$O116,S$6,$C$7,"Fill=false"))</f>
        <v/>
      </c>
      <c r="T116" s="26" t="str">
        <f>IF($P116="","", IFERROR( ( _xll.IMDP("BND",$O116,S$6,$C$7,"Fill=false")-_xll.IMDP("BND",$O116,S$6,$C$5,"Fill=false"))*100, ""))</f>
        <v/>
      </c>
      <c r="U116" s="59" t="str">
        <f>IF($P116="","", _xll.IMDP("BND",$O116,U$6,$C$7,"Fill=false,DtFmt=1"))</f>
        <v/>
      </c>
      <c r="AD116" s="11"/>
      <c r="AE116" s="75" t="str">
        <f>IF(AD116="","",_xll.IMDP("BND",$AD116,AE$6,$C$7,"Fill=false"))</f>
        <v/>
      </c>
      <c r="AF116" s="27" t="str">
        <f t="shared" si="7"/>
        <v/>
      </c>
      <c r="AG116" s="9" t="str">
        <f>IF($AE116="","",_xll.IMDP("BND",$AD116,AG$6,$C$7,"Fill=false"))</f>
        <v/>
      </c>
      <c r="AH116" s="80" t="str">
        <f>IF($AE116="","", IFERROR( ( _xll.IMDP("BND",$AD116,AG$6,$C$7,"Fill=false")-_xll.IMDP("BND",$AD116,AG$6,$C$5,"Fill=false"))*100, ""))</f>
        <v/>
      </c>
      <c r="AI116" s="59" t="str">
        <f>IF($AE116="","",_xll.IMDP("BND",$AD116,AI$6,$C$7,"Fill=false,DtFmt=1"))</f>
        <v/>
      </c>
    </row>
    <row r="117" spans="7:35">
      <c r="G117" s="11"/>
      <c r="H117" s="7"/>
      <c r="I117" s="27"/>
      <c r="J117" s="8"/>
      <c r="K117" s="9"/>
      <c r="L117" s="10"/>
      <c r="M117" s="59"/>
      <c r="O117" s="11"/>
      <c r="P117" s="68" t="str">
        <f>IF(O117="","",IFERROR( _xll.IMDP("BND",$O117,P$6,$C$7,"Fill=false,DtFmt=1"),""))</f>
        <v/>
      </c>
      <c r="Q117" s="27" t="str">
        <f>IF($P117="","",SUBSTITUTE(INDEX(code_list!$O:$O,MATCH(O117,통안_code,0)),"통안",""))</f>
        <v/>
      </c>
      <c r="R117" s="8" t="str">
        <f t="shared" si="6"/>
        <v/>
      </c>
      <c r="S117" s="25" t="str">
        <f>IF($P117="","", _xll.IMDP("BND",$O117,S$6,$C$7,"Fill=false"))</f>
        <v/>
      </c>
      <c r="T117" s="26" t="str">
        <f>IF($P117="","", IFERROR( ( _xll.IMDP("BND",$O117,S$6,$C$7,"Fill=false")-_xll.IMDP("BND",$O117,S$6,$C$5,"Fill=false"))*100, ""))</f>
        <v/>
      </c>
      <c r="U117" s="59" t="str">
        <f>IF($P117="","", _xll.IMDP("BND",$O117,U$6,$C$7,"Fill=false,DtFmt=1"))</f>
        <v/>
      </c>
      <c r="AD117" s="11"/>
      <c r="AE117" s="75" t="str">
        <f>IF(AD117="","",_xll.IMDP("BND",$AD117,AE$6,$C$7,"Fill=false"))</f>
        <v/>
      </c>
      <c r="AF117" s="27" t="str">
        <f t="shared" si="7"/>
        <v/>
      </c>
      <c r="AG117" s="9" t="str">
        <f>IF($AE117="","",_xll.IMDP("BND",$AD117,AG$6,$C$7,"Fill=false"))</f>
        <v/>
      </c>
      <c r="AH117" s="80" t="str">
        <f>IF($AE117="","", IFERROR( ( _xll.IMDP("BND",$AD117,AG$6,$C$7,"Fill=false")-_xll.IMDP("BND",$AD117,AG$6,$C$5,"Fill=false"))*100, ""))</f>
        <v/>
      </c>
      <c r="AI117" s="59" t="str">
        <f>IF($AE117="","",_xll.IMDP("BND",$AD117,AI$6,$C$7,"Fill=false,DtFmt=1"))</f>
        <v/>
      </c>
    </row>
    <row r="118" spans="7:35">
      <c r="G118" s="11"/>
      <c r="H118" s="7"/>
      <c r="I118" s="27"/>
      <c r="J118" s="8"/>
      <c r="K118" s="9"/>
      <c r="L118" s="10"/>
      <c r="M118" s="59"/>
      <c r="O118" s="11"/>
      <c r="P118" s="68" t="str">
        <f>IF(O118="","",IFERROR( _xll.IMDP("BND",$O118,P$6,$C$7,"Fill=false,DtFmt=1"),""))</f>
        <v/>
      </c>
      <c r="Q118" s="27" t="str">
        <f>IF($P118="","",SUBSTITUTE(INDEX(code_list!$O:$O,MATCH(O118,통안_code,0)),"통안",""))</f>
        <v/>
      </c>
      <c r="R118" s="8" t="str">
        <f t="shared" si="6"/>
        <v/>
      </c>
      <c r="S118" s="25" t="str">
        <f>IF($P118="","", _xll.IMDP("BND",$O118,S$6,$C$7,"Fill=false"))</f>
        <v/>
      </c>
      <c r="T118" s="26" t="str">
        <f>IF($P118="","", IFERROR( ( _xll.IMDP("BND",$O118,S$6,$C$7,"Fill=false")-_xll.IMDP("BND",$O118,S$6,$C$5,"Fill=false"))*100, ""))</f>
        <v/>
      </c>
      <c r="U118" s="59" t="str">
        <f>IF($P118="","", _xll.IMDP("BND",$O118,U$6,$C$7,"Fill=false,DtFmt=1"))</f>
        <v/>
      </c>
      <c r="AD118" s="11"/>
      <c r="AE118" s="75" t="str">
        <f>IF(AD118="","",_xll.IMDP("BND",$AD118,AE$6,$C$7,"Fill=false"))</f>
        <v/>
      </c>
      <c r="AF118" s="27" t="str">
        <f t="shared" si="7"/>
        <v/>
      </c>
      <c r="AG118" s="9" t="str">
        <f>IF($AE118="","",_xll.IMDP("BND",$AD118,AG$6,$C$7,"Fill=false"))</f>
        <v/>
      </c>
      <c r="AH118" s="80" t="str">
        <f>IF($AE118="","", IFERROR( ( _xll.IMDP("BND",$AD118,AG$6,$C$7,"Fill=false")-_xll.IMDP("BND",$AD118,AG$6,$C$5,"Fill=false"))*100, ""))</f>
        <v/>
      </c>
      <c r="AI118" s="59" t="str">
        <f>IF($AE118="","",_xll.IMDP("BND",$AD118,AI$6,$C$7,"Fill=false,DtFmt=1"))</f>
        <v/>
      </c>
    </row>
    <row r="119" spans="7:35">
      <c r="G119" s="11"/>
      <c r="H119" s="7"/>
      <c r="I119" s="27"/>
      <c r="J119" s="8"/>
      <c r="K119" s="9"/>
      <c r="L119" s="10"/>
      <c r="M119" s="59"/>
      <c r="O119" s="11"/>
      <c r="P119" s="68" t="str">
        <f>IF(O119="","",IFERROR( _xll.IMDP("BND",$O119,P$6,$C$7,"Fill=false,DtFmt=1"),""))</f>
        <v/>
      </c>
      <c r="Q119" s="27" t="str">
        <f>IF($P119="","",SUBSTITUTE(INDEX(code_list!$O:$O,MATCH(O119,통안_code,0)),"통안",""))</f>
        <v/>
      </c>
      <c r="R119" s="8" t="str">
        <f t="shared" si="6"/>
        <v/>
      </c>
      <c r="S119" s="25" t="str">
        <f>IF($P119="","", _xll.IMDP("BND",$O119,S$6,$C$7,"Fill=false"))</f>
        <v/>
      </c>
      <c r="T119" s="26" t="str">
        <f>IF($P119="","", IFERROR( ( _xll.IMDP("BND",$O119,S$6,$C$7,"Fill=false")-_xll.IMDP("BND",$O119,S$6,$C$5,"Fill=false"))*100, ""))</f>
        <v/>
      </c>
      <c r="U119" s="59" t="str">
        <f>IF($P119="","", _xll.IMDP("BND",$O119,U$6,$C$7,"Fill=false,DtFmt=1"))</f>
        <v/>
      </c>
      <c r="AD119" s="11"/>
      <c r="AE119" s="75" t="str">
        <f>IF(AD119="","",_xll.IMDP("BND",$AD119,AE$6,$C$7,"Fill=false"))</f>
        <v/>
      </c>
      <c r="AF119" s="27" t="str">
        <f t="shared" si="7"/>
        <v/>
      </c>
      <c r="AG119" s="9" t="str">
        <f>IF($AE119="","",_xll.IMDP("BND",$AD119,AG$6,$C$7,"Fill=false"))</f>
        <v/>
      </c>
      <c r="AH119" s="80" t="str">
        <f>IF($AE119="","", IFERROR( ( _xll.IMDP("BND",$AD119,AG$6,$C$7,"Fill=false")-_xll.IMDP("BND",$AD119,AG$6,$C$5,"Fill=false"))*100, ""))</f>
        <v/>
      </c>
      <c r="AI119" s="59" t="str">
        <f>IF($AE119="","",_xll.IMDP("BND",$AD119,AI$6,$C$7,"Fill=false,DtFmt=1"))</f>
        <v/>
      </c>
    </row>
    <row r="120" spans="7:35">
      <c r="G120" s="11"/>
      <c r="H120" s="7"/>
      <c r="I120" s="27"/>
      <c r="J120" s="8"/>
      <c r="K120" s="9"/>
      <c r="L120" s="10"/>
      <c r="M120" s="59"/>
      <c r="O120" s="11"/>
      <c r="P120" s="68" t="str">
        <f>IF(O120="","",IFERROR( _xll.IMDP("BND",$O120,P$6,$C$7,"Fill=false,DtFmt=1"),""))</f>
        <v/>
      </c>
      <c r="Q120" s="27" t="str">
        <f>IF($P120="","",SUBSTITUTE(INDEX(code_list!$O:$O,MATCH(O120,통안_code,0)),"통안",""))</f>
        <v/>
      </c>
      <c r="R120" s="8" t="str">
        <f t="shared" si="6"/>
        <v/>
      </c>
      <c r="S120" s="25" t="str">
        <f>IF($P120="","", _xll.IMDP("BND",$O120,S$6,$C$7,"Fill=false"))</f>
        <v/>
      </c>
      <c r="T120" s="26" t="str">
        <f>IF($P120="","", IFERROR( ( _xll.IMDP("BND",$O120,S$6,$C$7,"Fill=false")-_xll.IMDP("BND",$O120,S$6,$C$5,"Fill=false"))*100, ""))</f>
        <v/>
      </c>
      <c r="U120" s="59" t="str">
        <f>IF($P120="","", _xll.IMDP("BND",$O120,U$6,$C$7,"Fill=false,DtFmt=1"))</f>
        <v/>
      </c>
      <c r="AD120" s="11"/>
      <c r="AE120" s="75" t="str">
        <f>IF(AD120="","",_xll.IMDP("BND",$AD120,AE$6,$C$7,"Fill=false"))</f>
        <v/>
      </c>
      <c r="AF120" s="27" t="str">
        <f t="shared" si="7"/>
        <v/>
      </c>
      <c r="AG120" s="9" t="str">
        <f>IF($AE120="","",_xll.IMDP("BND",$AD120,AG$6,$C$7,"Fill=false"))</f>
        <v/>
      </c>
      <c r="AH120" s="80" t="str">
        <f>IF($AE120="","", IFERROR( ( _xll.IMDP("BND",$AD120,AG$6,$C$7,"Fill=false")-_xll.IMDP("BND",$AD120,AG$6,$C$5,"Fill=false"))*100, ""))</f>
        <v/>
      </c>
      <c r="AI120" s="59" t="str">
        <f>IF($AE120="","",_xll.IMDP("BND",$AD120,AI$6,$C$7,"Fill=false,DtFmt=1"))</f>
        <v/>
      </c>
    </row>
    <row r="121" spans="7:35">
      <c r="G121" s="11"/>
      <c r="H121" s="7"/>
      <c r="I121" s="27"/>
      <c r="J121" s="8"/>
      <c r="K121" s="9"/>
      <c r="L121" s="10"/>
      <c r="M121" s="59"/>
      <c r="O121" s="11"/>
      <c r="P121" s="68" t="str">
        <f>IF(O121="","",IFERROR( _xll.IMDP("BND",$O121,P$6,$C$7,"Fill=false,DtFmt=1"),""))</f>
        <v/>
      </c>
      <c r="Q121" s="27" t="str">
        <f>IF($P121="","",SUBSTITUTE(INDEX(code_list!$O:$O,MATCH(O121,통안_code,0)),"통안",""))</f>
        <v/>
      </c>
      <c r="R121" s="8" t="str">
        <f t="shared" si="6"/>
        <v/>
      </c>
      <c r="S121" s="25" t="str">
        <f>IF($P121="","", _xll.IMDP("BND",$O121,S$6,$C$7,"Fill=false"))</f>
        <v/>
      </c>
      <c r="T121" s="26" t="str">
        <f>IF($P121="","", IFERROR( ( _xll.IMDP("BND",$O121,S$6,$C$7,"Fill=false")-_xll.IMDP("BND",$O121,S$6,$C$5,"Fill=false"))*100, ""))</f>
        <v/>
      </c>
      <c r="U121" s="59" t="str">
        <f>IF($P121="","", _xll.IMDP("BND",$O121,U$6,$C$7,"Fill=false,DtFmt=1"))</f>
        <v/>
      </c>
      <c r="AD121" s="11"/>
      <c r="AE121" s="75" t="str">
        <f>IF(AD121="","",_xll.IMDP("BND",$AD121,AE$6,$C$7,"Fill=false"))</f>
        <v/>
      </c>
      <c r="AF121" s="27" t="str">
        <f t="shared" si="7"/>
        <v/>
      </c>
      <c r="AG121" s="9" t="str">
        <f>IF($AE121="","",_xll.IMDP("BND",$AD121,AG$6,$C$7,"Fill=false"))</f>
        <v/>
      </c>
      <c r="AH121" s="80" t="str">
        <f>IF($AE121="","", IFERROR( ( _xll.IMDP("BND",$AD121,AG$6,$C$7,"Fill=false")-_xll.IMDP("BND",$AD121,AG$6,$C$5,"Fill=false"))*100, ""))</f>
        <v/>
      </c>
      <c r="AI121" s="59" t="str">
        <f>IF($AE121="","",_xll.IMDP("BND",$AD121,AI$6,$C$7,"Fill=false,DtFmt=1"))</f>
        <v/>
      </c>
    </row>
    <row r="122" spans="7:35">
      <c r="G122" s="11"/>
      <c r="H122" s="7"/>
      <c r="I122" s="27"/>
      <c r="J122" s="8"/>
      <c r="K122" s="9"/>
      <c r="L122" s="10"/>
      <c r="M122" s="59"/>
      <c r="O122" s="11"/>
      <c r="P122" s="68" t="str">
        <f>IF(O122="","",IFERROR( _xll.IMDP("BND",$O122,P$6,$C$7,"Fill=false,DtFmt=1"),""))</f>
        <v/>
      </c>
      <c r="Q122" s="27" t="str">
        <f>IF($P122="","",SUBSTITUTE(INDEX(code_list!$O:$O,MATCH(O122,통안_code,0)),"통안",""))</f>
        <v/>
      </c>
      <c r="R122" s="8" t="str">
        <f t="shared" si="6"/>
        <v/>
      </c>
      <c r="S122" s="25" t="str">
        <f>IF($P122="","", _xll.IMDP("BND",$O122,S$6,$C$7,"Fill=false"))</f>
        <v/>
      </c>
      <c r="T122" s="26" t="str">
        <f>IF($P122="","", IFERROR( ( _xll.IMDP("BND",$O122,S$6,$C$7,"Fill=false")-_xll.IMDP("BND",$O122,S$6,$C$5,"Fill=false"))*100, ""))</f>
        <v/>
      </c>
      <c r="U122" s="59" t="str">
        <f>IF($P122="","", _xll.IMDP("BND",$O122,U$6,$C$7,"Fill=false,DtFmt=1"))</f>
        <v/>
      </c>
      <c r="AD122" s="11"/>
      <c r="AE122" s="75" t="str">
        <f>IF(AD122="","",_xll.IMDP("BND",$AD122,AE$6,$C$7,"Fill=false"))</f>
        <v/>
      </c>
      <c r="AF122" s="27" t="str">
        <f t="shared" si="7"/>
        <v/>
      </c>
      <c r="AG122" s="9" t="str">
        <f>IF($AE122="","",_xll.IMDP("BND",$AD122,AG$6,$C$7,"Fill=false"))</f>
        <v/>
      </c>
      <c r="AH122" s="80" t="str">
        <f>IF($AE122="","", IFERROR( ( _xll.IMDP("BND",$AD122,AG$6,$C$7,"Fill=false")-_xll.IMDP("BND",$AD122,AG$6,$C$5,"Fill=false"))*100, ""))</f>
        <v/>
      </c>
      <c r="AI122" s="59" t="str">
        <f>IF($AE122="","",_xll.IMDP("BND",$AD122,AI$6,$C$7,"Fill=false,DtFmt=1"))</f>
        <v/>
      </c>
    </row>
    <row r="123" spans="7:35">
      <c r="G123" s="11"/>
      <c r="H123" s="7"/>
      <c r="I123" s="27"/>
      <c r="J123" s="8"/>
      <c r="K123" s="9"/>
      <c r="L123" s="10"/>
      <c r="M123" s="59"/>
      <c r="O123" s="11"/>
      <c r="P123" s="68" t="str">
        <f>IF(O123="","",IFERROR( _xll.IMDP("BND",$O123,P$6,$C$7,"Fill=false,DtFmt=1"),""))</f>
        <v/>
      </c>
      <c r="Q123" s="27" t="str">
        <f>IF($P123="","",SUBSTITUTE(INDEX(code_list!$O:$O,MATCH(O123,통안_code,0)),"통안",""))</f>
        <v/>
      </c>
      <c r="R123" s="8" t="str">
        <f t="shared" si="6"/>
        <v/>
      </c>
      <c r="S123" s="25" t="str">
        <f>IF($P123="","", _xll.IMDP("BND",$O123,S$6,$C$7,"Fill=false"))</f>
        <v/>
      </c>
      <c r="T123" s="26" t="str">
        <f>IF($P123="","", IFERROR( ( _xll.IMDP("BND",$O123,S$6,$C$7,"Fill=false")-_xll.IMDP("BND",$O123,S$6,$C$5,"Fill=false"))*100, ""))</f>
        <v/>
      </c>
      <c r="U123" s="59" t="str">
        <f>IF($P123="","", _xll.IMDP("BND",$O123,U$6,$C$7,"Fill=false,DtFmt=1"))</f>
        <v/>
      </c>
      <c r="AD123" s="11"/>
      <c r="AE123" s="75" t="str">
        <f>IF(AD123="","",_xll.IMDP("BND",$AD123,AE$6,$C$7,"Fill=false"))</f>
        <v/>
      </c>
      <c r="AF123" s="27" t="str">
        <f t="shared" si="7"/>
        <v/>
      </c>
      <c r="AG123" s="9" t="str">
        <f>IF($AE123="","",_xll.IMDP("BND",$AD123,AG$6,$C$7,"Fill=false"))</f>
        <v/>
      </c>
      <c r="AH123" s="80" t="str">
        <f>IF($AE123="","", IFERROR( ( _xll.IMDP("BND",$AD123,AG$6,$C$7,"Fill=false")-_xll.IMDP("BND",$AD123,AG$6,$C$5,"Fill=false"))*100, ""))</f>
        <v/>
      </c>
      <c r="AI123" s="59" t="str">
        <f>IF($AE123="","",_xll.IMDP("BND",$AD123,AI$6,$C$7,"Fill=false,DtFmt=1"))</f>
        <v/>
      </c>
    </row>
    <row r="124" spans="7:35">
      <c r="G124" s="11"/>
      <c r="H124" s="7"/>
      <c r="I124" s="27"/>
      <c r="J124" s="8"/>
      <c r="K124" s="9"/>
      <c r="L124" s="10"/>
      <c r="M124" s="59"/>
      <c r="O124" s="11"/>
      <c r="P124" s="68" t="str">
        <f>IF(O124="","",IFERROR( _xll.IMDP("BND",$O124,P$6,$C$7,"Fill=false,DtFmt=1"),""))</f>
        <v/>
      </c>
      <c r="Q124" s="27" t="str">
        <f>IF($P124="","",SUBSTITUTE(INDEX(code_list!$O:$O,MATCH(O124,통안_code,0)),"통안",""))</f>
        <v/>
      </c>
      <c r="R124" s="8" t="str">
        <f t="shared" si="6"/>
        <v/>
      </c>
      <c r="S124" s="25" t="str">
        <f>IF($P124="","", _xll.IMDP("BND",$O124,S$6,$C$7,"Fill=false"))</f>
        <v/>
      </c>
      <c r="T124" s="26" t="str">
        <f>IF($P124="","", IFERROR( ( _xll.IMDP("BND",$O124,S$6,$C$7,"Fill=false")-_xll.IMDP("BND",$O124,S$6,$C$5,"Fill=false"))*100, ""))</f>
        <v/>
      </c>
      <c r="U124" s="59" t="str">
        <f>IF($P124="","", _xll.IMDP("BND",$O124,U$6,$C$7,"Fill=false,DtFmt=1"))</f>
        <v/>
      </c>
      <c r="AD124" s="11"/>
      <c r="AE124" s="75" t="str">
        <f>IF(AD124="","",_xll.IMDP("BND",$AD124,AE$6,$C$7,"Fill=false"))</f>
        <v/>
      </c>
      <c r="AF124" s="27" t="str">
        <f t="shared" si="7"/>
        <v/>
      </c>
      <c r="AG124" s="9" t="str">
        <f>IF($AE124="","",_xll.IMDP("BND",$AD124,AG$6,$C$7,"Fill=false"))</f>
        <v/>
      </c>
      <c r="AH124" s="80" t="str">
        <f>IF($AE124="","", IFERROR( ( _xll.IMDP("BND",$AD124,AG$6,$C$7,"Fill=false")-_xll.IMDP("BND",$AD124,AG$6,$C$5,"Fill=false"))*100, ""))</f>
        <v/>
      </c>
      <c r="AI124" s="59" t="str">
        <f>IF($AE124="","",_xll.IMDP("BND",$AD124,AI$6,$C$7,"Fill=false,DtFmt=1"))</f>
        <v/>
      </c>
    </row>
    <row r="125" spans="7:35">
      <c r="G125" s="11"/>
      <c r="H125" s="7"/>
      <c r="I125" s="27"/>
      <c r="J125" s="8"/>
      <c r="K125" s="9"/>
      <c r="L125" s="10"/>
      <c r="M125" s="59"/>
      <c r="O125" s="11"/>
      <c r="P125" s="68" t="str">
        <f>IF(O125="","",IFERROR( _xll.IMDP("BND",$O125,P$6,$C$7,"Fill=false,DtFmt=1"),""))</f>
        <v/>
      </c>
      <c r="Q125" s="27" t="str">
        <f>IF($P125="","",SUBSTITUTE(INDEX(code_list!$O:$O,MATCH(O125,통안_code,0)),"통안",""))</f>
        <v/>
      </c>
      <c r="R125" s="8" t="str">
        <f t="shared" si="6"/>
        <v/>
      </c>
      <c r="S125" s="25" t="str">
        <f>IF($P125="","", _xll.IMDP("BND",$O125,S$6,$C$7,"Fill=false"))</f>
        <v/>
      </c>
      <c r="T125" s="26" t="str">
        <f>IF($P125="","", IFERROR( ( _xll.IMDP("BND",$O125,S$6,$C$7,"Fill=false")-_xll.IMDP("BND",$O125,S$6,$C$5,"Fill=false"))*100, ""))</f>
        <v/>
      </c>
      <c r="U125" s="59" t="str">
        <f>IF($P125="","", _xll.IMDP("BND",$O125,U$6,$C$7,"Fill=false,DtFmt=1"))</f>
        <v/>
      </c>
      <c r="AD125" s="11"/>
      <c r="AE125" s="75" t="str">
        <f>IF(AD125="","",_xll.IMDP("BND",$AD125,AE$6,$C$7,"Fill=false"))</f>
        <v/>
      </c>
      <c r="AF125" s="27" t="str">
        <f t="shared" si="7"/>
        <v/>
      </c>
      <c r="AG125" s="9" t="str">
        <f>IF($AE125="","",_xll.IMDP("BND",$AD125,AG$6,$C$7,"Fill=false"))</f>
        <v/>
      </c>
      <c r="AH125" s="80" t="str">
        <f>IF($AE125="","", IFERROR( ( _xll.IMDP("BND",$AD125,AG$6,$C$7,"Fill=false")-_xll.IMDP("BND",$AD125,AG$6,$C$5,"Fill=false"))*100, ""))</f>
        <v/>
      </c>
      <c r="AI125" s="59" t="str">
        <f>IF($AE125="","",_xll.IMDP("BND",$AD125,AI$6,$C$7,"Fill=false,DtFmt=1"))</f>
        <v/>
      </c>
    </row>
    <row r="126" spans="7:35">
      <c r="G126" s="11"/>
      <c r="H126" s="7"/>
      <c r="I126" s="27"/>
      <c r="J126" s="8"/>
      <c r="K126" s="9"/>
      <c r="L126" s="10"/>
      <c r="M126" s="59"/>
      <c r="O126" s="11"/>
      <c r="P126" s="68" t="str">
        <f>IF(O126="","",IFERROR( _xll.IMDP("BND",$O126,P$6,$C$7,"Fill=false,DtFmt=1"),""))</f>
        <v/>
      </c>
      <c r="Q126" s="27" t="str">
        <f>IF($P126="","",SUBSTITUTE(INDEX(code_list!$O:$O,MATCH(O126,통안_code,0)),"통안",""))</f>
        <v/>
      </c>
      <c r="R126" s="8" t="str">
        <f t="shared" si="6"/>
        <v/>
      </c>
      <c r="S126" s="25" t="str">
        <f>IF($P126="","", _xll.IMDP("BND",$O126,S$6,$C$7,"Fill=false"))</f>
        <v/>
      </c>
      <c r="T126" s="26" t="str">
        <f>IF($P126="","", IFERROR( ( _xll.IMDP("BND",$O126,S$6,$C$7,"Fill=false")-_xll.IMDP("BND",$O126,S$6,$C$5,"Fill=false"))*100, ""))</f>
        <v/>
      </c>
      <c r="U126" s="59" t="str">
        <f>IF($P126="","", _xll.IMDP("BND",$O126,U$6,$C$7,"Fill=false,DtFmt=1"))</f>
        <v/>
      </c>
      <c r="AD126" s="11"/>
      <c r="AE126" s="75" t="str">
        <f>IF(AD126="","",_xll.IMDP("BND",$AD126,AE$6,$C$7,"Fill=false"))</f>
        <v/>
      </c>
      <c r="AF126" s="27" t="str">
        <f t="shared" si="7"/>
        <v/>
      </c>
      <c r="AG126" s="9" t="str">
        <f>IF($AE126="","",_xll.IMDP("BND",$AD126,AG$6,$C$7,"Fill=false"))</f>
        <v/>
      </c>
      <c r="AH126" s="80" t="str">
        <f>IF($AE126="","", IFERROR( ( _xll.IMDP("BND",$AD126,AG$6,$C$7,"Fill=false")-_xll.IMDP("BND",$AD126,AG$6,$C$5,"Fill=false"))*100, ""))</f>
        <v/>
      </c>
      <c r="AI126" s="59" t="str">
        <f>IF($AE126="","",_xll.IMDP("BND",$AD126,AI$6,$C$7,"Fill=false,DtFmt=1"))</f>
        <v/>
      </c>
    </row>
    <row r="127" spans="7:35">
      <c r="G127" s="11"/>
      <c r="H127" s="7"/>
      <c r="I127" s="27"/>
      <c r="J127" s="8"/>
      <c r="K127" s="9"/>
      <c r="L127" s="10"/>
      <c r="M127" s="59"/>
      <c r="O127" s="11"/>
      <c r="P127" s="68" t="str">
        <f>IF(O127="","",IFERROR( _xll.IMDP("BND",$O127,P$6,$C$7,"Fill=false,DtFmt=1"),""))</f>
        <v/>
      </c>
      <c r="Q127" s="27" t="str">
        <f>IF($P127="","",SUBSTITUTE(INDEX(code_list!$O:$O,MATCH(O127,통안_code,0)),"통안",""))</f>
        <v/>
      </c>
      <c r="R127" s="8" t="str">
        <f t="shared" si="6"/>
        <v/>
      </c>
      <c r="S127" s="25" t="str">
        <f>IF($P127="","", _xll.IMDP("BND",$O127,S$6,$C$7,"Fill=false"))</f>
        <v/>
      </c>
      <c r="T127" s="26" t="str">
        <f>IF($P127="","", IFERROR( ( _xll.IMDP("BND",$O127,S$6,$C$7,"Fill=false")-_xll.IMDP("BND",$O127,S$6,$C$5,"Fill=false"))*100, ""))</f>
        <v/>
      </c>
      <c r="U127" s="59" t="str">
        <f>IF($P127="","", _xll.IMDP("BND",$O127,U$6,$C$7,"Fill=false,DtFmt=1"))</f>
        <v/>
      </c>
      <c r="AD127" s="11"/>
      <c r="AE127" s="75" t="str">
        <f>IF(AD127="","",_xll.IMDP("BND",$AD127,AE$6,$C$7,"Fill=false"))</f>
        <v/>
      </c>
      <c r="AF127" s="27" t="str">
        <f t="shared" si="7"/>
        <v/>
      </c>
      <c r="AG127" s="9" t="str">
        <f>IF($AE127="","",_xll.IMDP("BND",$AD127,AG$6,$C$7,"Fill=false"))</f>
        <v/>
      </c>
      <c r="AH127" s="80" t="str">
        <f>IF($AE127="","", IFERROR( ( _xll.IMDP("BND",$AD127,AG$6,$C$7,"Fill=false")-_xll.IMDP("BND",$AD127,AG$6,$C$5,"Fill=false"))*100, ""))</f>
        <v/>
      </c>
      <c r="AI127" s="59" t="str">
        <f>IF($AE127="","",_xll.IMDP("BND",$AD127,AI$6,$C$7,"Fill=false,DtFmt=1"))</f>
        <v/>
      </c>
    </row>
    <row r="128" spans="7:35">
      <c r="G128" s="11"/>
      <c r="H128" s="7"/>
      <c r="I128" s="27"/>
      <c r="J128" s="8"/>
      <c r="K128" s="9"/>
      <c r="L128" s="10"/>
      <c r="M128" s="59"/>
      <c r="O128" s="11"/>
      <c r="P128" s="68" t="str">
        <f>IF(O128="","",IFERROR( _xll.IMDP("BND",$O128,P$6,$C$7,"Fill=false,DtFmt=1"),""))</f>
        <v/>
      </c>
      <c r="Q128" s="27" t="str">
        <f>IF($P128="","",SUBSTITUTE(INDEX(code_list!$O:$O,MATCH(O128,통안_code,0)),"통안",""))</f>
        <v/>
      </c>
      <c r="R128" s="8" t="str">
        <f t="shared" si="6"/>
        <v/>
      </c>
      <c r="S128" s="25" t="str">
        <f>IF($P128="","", _xll.IMDP("BND",$O128,S$6,$C$7,"Fill=false"))</f>
        <v/>
      </c>
      <c r="T128" s="26" t="str">
        <f>IF($P128="","", IFERROR( ( _xll.IMDP("BND",$O128,S$6,$C$7,"Fill=false")-_xll.IMDP("BND",$O128,S$6,$C$5,"Fill=false"))*100, ""))</f>
        <v/>
      </c>
      <c r="U128" s="59" t="str">
        <f>IF($P128="","", _xll.IMDP("BND",$O128,U$6,$C$7,"Fill=false,DtFmt=1"))</f>
        <v/>
      </c>
      <c r="AD128" s="11"/>
      <c r="AE128" s="75" t="str">
        <f>IF(AD128="","",_xll.IMDP("BND",$AD128,AE$6,$C$7,"Fill=false"))</f>
        <v/>
      </c>
      <c r="AF128" s="27" t="str">
        <f t="shared" si="7"/>
        <v/>
      </c>
      <c r="AG128" s="9" t="str">
        <f>IF($AE128="","",_xll.IMDP("BND",$AD128,AG$6,$C$7,"Fill=false"))</f>
        <v/>
      </c>
      <c r="AH128" s="80" t="str">
        <f>IF($AE128="","", IFERROR( ( _xll.IMDP("BND",$AD128,AG$6,$C$7,"Fill=false")-_xll.IMDP("BND",$AD128,AG$6,$C$5,"Fill=false"))*100, ""))</f>
        <v/>
      </c>
      <c r="AI128" s="59" t="str">
        <f>IF($AE128="","",_xll.IMDP("BND",$AD128,AI$6,$C$7,"Fill=false,DtFmt=1"))</f>
        <v/>
      </c>
    </row>
    <row r="129" spans="7:35">
      <c r="G129" s="11"/>
      <c r="H129" s="7"/>
      <c r="I129" s="27"/>
      <c r="J129" s="8"/>
      <c r="K129" s="9"/>
      <c r="L129" s="10"/>
      <c r="M129" s="59"/>
      <c r="O129" s="11"/>
      <c r="P129" s="68" t="str">
        <f>IF(O129="","",IFERROR( _xll.IMDP("BND",$O129,P$6,$C$7,"Fill=false,DtFmt=1"),""))</f>
        <v/>
      </c>
      <c r="Q129" s="27" t="str">
        <f>IF($P129="","",SUBSTITUTE(INDEX(code_list!$O:$O,MATCH(O129,통안_code,0)),"통안",""))</f>
        <v/>
      </c>
      <c r="R129" s="8" t="str">
        <f t="shared" si="6"/>
        <v/>
      </c>
      <c r="S129" s="25" t="str">
        <f>IF($P129="","", _xll.IMDP("BND",$O129,S$6,$C$7,"Fill=false"))</f>
        <v/>
      </c>
      <c r="T129" s="26" t="str">
        <f>IF($P129="","", IFERROR( ( _xll.IMDP("BND",$O129,S$6,$C$7,"Fill=false")-_xll.IMDP("BND",$O129,S$6,$C$5,"Fill=false"))*100, ""))</f>
        <v/>
      </c>
      <c r="U129" s="59" t="str">
        <f>IF($P129="","", _xll.IMDP("BND",$O129,U$6,$C$7,"Fill=false,DtFmt=1"))</f>
        <v/>
      </c>
      <c r="AD129" s="11"/>
      <c r="AE129" s="75" t="str">
        <f>IF(AD129="","",_xll.IMDP("BND",$AD129,AE$6,$C$7,"Fill=false"))</f>
        <v/>
      </c>
      <c r="AF129" s="27" t="str">
        <f t="shared" si="7"/>
        <v/>
      </c>
      <c r="AG129" s="9" t="str">
        <f>IF($AE129="","",_xll.IMDP("BND",$AD129,AG$6,$C$7,"Fill=false"))</f>
        <v/>
      </c>
      <c r="AH129" s="80" t="str">
        <f>IF($AE129="","", IFERROR( ( _xll.IMDP("BND",$AD129,AG$6,$C$7,"Fill=false")-_xll.IMDP("BND",$AD129,AG$6,$C$5,"Fill=false"))*100, ""))</f>
        <v/>
      </c>
      <c r="AI129" s="59" t="str">
        <f>IF($AE129="","",_xll.IMDP("BND",$AD129,AI$6,$C$7,"Fill=false,DtFmt=1"))</f>
        <v/>
      </c>
    </row>
    <row r="130" spans="7:35">
      <c r="G130" s="11"/>
      <c r="H130" s="7"/>
      <c r="I130" s="27"/>
      <c r="J130" s="8"/>
      <c r="K130" s="9"/>
      <c r="L130" s="10"/>
      <c r="M130" s="59"/>
      <c r="O130" s="11"/>
      <c r="P130" s="68" t="str">
        <f>IF(O130="","",IFERROR( _xll.IMDP("BND",$O130,P$6,$C$7,"Fill=false,DtFmt=1"),""))</f>
        <v/>
      </c>
      <c r="Q130" s="27" t="str">
        <f>IF($P130="","",SUBSTITUTE(INDEX(code_list!$O:$O,MATCH(O130,통안_code,0)),"통안",""))</f>
        <v/>
      </c>
      <c r="R130" s="8" t="str">
        <f t="shared" si="6"/>
        <v/>
      </c>
      <c r="S130" s="25" t="str">
        <f>IF($P130="","", _xll.IMDP("BND",$O130,S$6,$C$7,"Fill=false"))</f>
        <v/>
      </c>
      <c r="T130" s="26" t="str">
        <f>IF($P130="","", IFERROR( ( _xll.IMDP("BND",$O130,S$6,$C$7,"Fill=false")-_xll.IMDP("BND",$O130,S$6,$C$5,"Fill=false"))*100, ""))</f>
        <v/>
      </c>
      <c r="U130" s="59" t="str">
        <f>IF($P130="","", _xll.IMDP("BND",$O130,U$6,$C$7,"Fill=false,DtFmt=1"))</f>
        <v/>
      </c>
      <c r="AD130" s="11"/>
      <c r="AE130" s="75" t="str">
        <f>IF(AD130="","",_xll.IMDP("BND",$AD130,AE$6,$C$7,"Fill=false"))</f>
        <v/>
      </c>
      <c r="AF130" s="27" t="str">
        <f t="shared" si="7"/>
        <v/>
      </c>
      <c r="AG130" s="9" t="str">
        <f>IF($AE130="","",_xll.IMDP("BND",$AD130,AG$6,$C$7,"Fill=false"))</f>
        <v/>
      </c>
      <c r="AH130" s="80" t="str">
        <f>IF($AE130="","", IFERROR( ( _xll.IMDP("BND",$AD130,AG$6,$C$7,"Fill=false")-_xll.IMDP("BND",$AD130,AG$6,$C$5,"Fill=false"))*100, ""))</f>
        <v/>
      </c>
      <c r="AI130" s="59" t="str">
        <f>IF($AE130="","",_xll.IMDP("BND",$AD130,AI$6,$C$7,"Fill=false,DtFmt=1"))</f>
        <v/>
      </c>
    </row>
    <row r="131" spans="7:35">
      <c r="G131" s="11"/>
      <c r="H131" s="7"/>
      <c r="I131" s="27"/>
      <c r="J131" s="8"/>
      <c r="K131" s="9"/>
      <c r="L131" s="10"/>
      <c r="M131" s="59"/>
      <c r="O131" s="11"/>
      <c r="P131" s="68" t="str">
        <f>IF(O131="","",IFERROR( _xll.IMDP("BND",$O131,P$6,$C$7,"Fill=false,DtFmt=1"),""))</f>
        <v/>
      </c>
      <c r="Q131" s="27" t="str">
        <f>IF($P131="","",SUBSTITUTE(INDEX(code_list!$O:$O,MATCH(O131,통안_code,0)),"통안",""))</f>
        <v/>
      </c>
      <c r="R131" s="8" t="str">
        <f t="shared" si="6"/>
        <v/>
      </c>
      <c r="S131" s="25" t="str">
        <f>IF($P131="","", _xll.IMDP("BND",$O131,S$6,$C$7,"Fill=false"))</f>
        <v/>
      </c>
      <c r="T131" s="26" t="str">
        <f>IF($P131="","", IFERROR( ( _xll.IMDP("BND",$O131,S$6,$C$7,"Fill=false")-_xll.IMDP("BND",$O131,S$6,$C$5,"Fill=false"))*100, ""))</f>
        <v/>
      </c>
      <c r="U131" s="59" t="str">
        <f>IF($P131="","", _xll.IMDP("BND",$O131,U$6,$C$7,"Fill=false,DtFmt=1"))</f>
        <v/>
      </c>
      <c r="AD131" s="11"/>
      <c r="AE131" s="75" t="str">
        <f>IF(AD131="","",_xll.IMDP("BND",$AD131,AE$6,$C$7,"Fill=false"))</f>
        <v/>
      </c>
      <c r="AF131" s="27" t="str">
        <f t="shared" si="7"/>
        <v/>
      </c>
      <c r="AG131" s="9" t="str">
        <f>IF($AE131="","",_xll.IMDP("BND",$AD131,AG$6,$C$7,"Fill=false"))</f>
        <v/>
      </c>
      <c r="AH131" s="80" t="str">
        <f>IF($AE131="","", IFERROR( ( _xll.IMDP("BND",$AD131,AG$6,$C$7,"Fill=false")-_xll.IMDP("BND",$AD131,AG$6,$C$5,"Fill=false"))*100, ""))</f>
        <v/>
      </c>
      <c r="AI131" s="59" t="str">
        <f>IF($AE131="","",_xll.IMDP("BND",$AD131,AI$6,$C$7,"Fill=false,DtFmt=1"))</f>
        <v/>
      </c>
    </row>
    <row r="132" spans="7:35">
      <c r="G132" s="11"/>
      <c r="H132" s="7"/>
      <c r="I132" s="27"/>
      <c r="J132" s="8"/>
      <c r="K132" s="9"/>
      <c r="L132" s="10"/>
      <c r="M132" s="59"/>
      <c r="O132" s="11"/>
      <c r="P132" s="68" t="str">
        <f>IF(O132="","",IFERROR( _xll.IMDP("BND",$O132,P$6,$C$7,"Fill=false,DtFmt=1"),""))</f>
        <v/>
      </c>
      <c r="Q132" s="27" t="str">
        <f>IF($P132="","",SUBSTITUTE(INDEX(code_list!$O:$O,MATCH(O132,통안_code,0)),"통안",""))</f>
        <v/>
      </c>
      <c r="R132" s="8" t="str">
        <f t="shared" si="6"/>
        <v/>
      </c>
      <c r="S132" s="25" t="str">
        <f>IF($P132="","", _xll.IMDP("BND",$O132,S$6,$C$7,"Fill=false"))</f>
        <v/>
      </c>
      <c r="T132" s="26" t="str">
        <f>IF($P132="","", IFERROR( ( _xll.IMDP("BND",$O132,S$6,$C$7,"Fill=false")-_xll.IMDP("BND",$O132,S$6,$C$5,"Fill=false"))*100, ""))</f>
        <v/>
      </c>
      <c r="U132" s="59" t="str">
        <f>IF($P132="","", _xll.IMDP("BND",$O132,U$6,$C$7,"Fill=false,DtFmt=1"))</f>
        <v/>
      </c>
      <c r="AD132" s="11"/>
      <c r="AE132" s="75" t="str">
        <f>IF(AD132="","",_xll.IMDP("BND",$AD132,AE$6,$C$7,"Fill=false"))</f>
        <v/>
      </c>
      <c r="AF132" s="27" t="str">
        <f t="shared" si="7"/>
        <v/>
      </c>
      <c r="AG132" s="9" t="str">
        <f>IF($AE132="","",_xll.IMDP("BND",$AD132,AG$6,$C$7,"Fill=false"))</f>
        <v/>
      </c>
      <c r="AH132" s="80" t="str">
        <f>IF($AE132="","", IFERROR( ( _xll.IMDP("BND",$AD132,AG$6,$C$7,"Fill=false")-_xll.IMDP("BND",$AD132,AG$6,$C$5,"Fill=false"))*100, ""))</f>
        <v/>
      </c>
      <c r="AI132" s="59" t="str">
        <f>IF($AE132="","",_xll.IMDP("BND",$AD132,AI$6,$C$7,"Fill=false,DtFmt=1"))</f>
        <v/>
      </c>
    </row>
    <row r="133" spans="7:35">
      <c r="G133" s="11"/>
      <c r="H133" s="7"/>
      <c r="I133" s="27"/>
      <c r="J133" s="8"/>
      <c r="K133" s="9"/>
      <c r="L133" s="10"/>
      <c r="M133" s="59"/>
      <c r="O133" s="11"/>
      <c r="P133" s="68" t="str">
        <f>IF(O133="","",IFERROR( _xll.IMDP("BND",$O133,P$6,$C$7,"Fill=false,DtFmt=1"),""))</f>
        <v/>
      </c>
      <c r="Q133" s="27" t="str">
        <f>IF($P133="","",SUBSTITUTE(INDEX(code_list!$O:$O,MATCH(O133,통안_code,0)),"통안",""))</f>
        <v/>
      </c>
      <c r="R133" s="8" t="str">
        <f t="shared" si="6"/>
        <v/>
      </c>
      <c r="S133" s="25" t="str">
        <f>IF($P133="","", _xll.IMDP("BND",$O133,S$6,$C$7,"Fill=false"))</f>
        <v/>
      </c>
      <c r="T133" s="26" t="str">
        <f>IF($P133="","", IFERROR( ( _xll.IMDP("BND",$O133,S$6,$C$7,"Fill=false")-_xll.IMDP("BND",$O133,S$6,$C$5,"Fill=false"))*100, ""))</f>
        <v/>
      </c>
      <c r="U133" s="59" t="str">
        <f>IF($P133="","", _xll.IMDP("BND",$O133,U$6,$C$7,"Fill=false,DtFmt=1"))</f>
        <v/>
      </c>
      <c r="AD133" s="11"/>
      <c r="AE133" s="75" t="str">
        <f>IF(AD133="","",_xll.IMDP("BND",$AD133,AE$6,$C$7,"Fill=false"))</f>
        <v/>
      </c>
      <c r="AF133" s="27" t="str">
        <f t="shared" si="7"/>
        <v/>
      </c>
      <c r="AG133" s="9" t="str">
        <f>IF($AE133="","",_xll.IMDP("BND",$AD133,AG$6,$C$7,"Fill=false"))</f>
        <v/>
      </c>
      <c r="AH133" s="80" t="str">
        <f>IF($AE133="","", IFERROR( ( _xll.IMDP("BND",$AD133,AG$6,$C$7,"Fill=false")-_xll.IMDP("BND",$AD133,AG$6,$C$5,"Fill=false"))*100, ""))</f>
        <v/>
      </c>
      <c r="AI133" s="59" t="str">
        <f>IF($AE133="","",_xll.IMDP("BND",$AD133,AI$6,$C$7,"Fill=false,DtFmt=1"))</f>
        <v/>
      </c>
    </row>
    <row r="134" spans="7:35">
      <c r="G134" s="11"/>
      <c r="H134" s="7"/>
      <c r="I134" s="27"/>
      <c r="J134" s="8"/>
      <c r="K134" s="9"/>
      <c r="L134" s="10"/>
      <c r="M134" s="59"/>
      <c r="O134" s="11"/>
      <c r="P134" s="68" t="str">
        <f>IF(O134="","",IFERROR( _xll.IMDP("BND",$O134,P$6,$C$7,"Fill=false,DtFmt=1"),""))</f>
        <v/>
      </c>
      <c r="Q134" s="27" t="str">
        <f>IF($P134="","",SUBSTITUTE(INDEX(code_list!$O:$O,MATCH(O134,통안_code,0)),"통안",""))</f>
        <v/>
      </c>
      <c r="R134" s="8" t="str">
        <f t="shared" si="6"/>
        <v/>
      </c>
      <c r="S134" s="25" t="str">
        <f>IF($P134="","", _xll.IMDP("BND",$O134,S$6,$C$7,"Fill=false"))</f>
        <v/>
      </c>
      <c r="T134" s="26" t="str">
        <f>IF($P134="","", IFERROR( ( _xll.IMDP("BND",$O134,S$6,$C$7,"Fill=false")-_xll.IMDP("BND",$O134,S$6,$C$5,"Fill=false"))*100, ""))</f>
        <v/>
      </c>
      <c r="U134" s="59" t="str">
        <f>IF($P134="","", _xll.IMDP("BND",$O134,U$6,$C$7,"Fill=false,DtFmt=1"))</f>
        <v/>
      </c>
      <c r="AD134" s="11"/>
      <c r="AE134" s="75" t="str">
        <f>IF(AD134="","",_xll.IMDP("BND",$AD134,AE$6,$C$7,"Fill=false"))</f>
        <v/>
      </c>
      <c r="AF134" s="27" t="str">
        <f t="shared" si="7"/>
        <v/>
      </c>
      <c r="AG134" s="9" t="str">
        <f>IF($AE134="","",_xll.IMDP("BND",$AD134,AG$6,$C$7,"Fill=false"))</f>
        <v/>
      </c>
      <c r="AH134" s="80" t="str">
        <f>IF($AE134="","", IFERROR( ( _xll.IMDP("BND",$AD134,AG$6,$C$7,"Fill=false")-_xll.IMDP("BND",$AD134,AG$6,$C$5,"Fill=false"))*100, ""))</f>
        <v/>
      </c>
      <c r="AI134" s="59" t="str">
        <f>IF($AE134="","",_xll.IMDP("BND",$AD134,AI$6,$C$7,"Fill=false,DtFmt=1"))</f>
        <v/>
      </c>
    </row>
    <row r="135" spans="7:35">
      <c r="G135" s="11"/>
      <c r="H135" s="7"/>
      <c r="I135" s="27"/>
      <c r="J135" s="8"/>
      <c r="K135" s="9"/>
      <c r="L135" s="10"/>
      <c r="M135" s="59"/>
      <c r="O135" s="11"/>
      <c r="P135" s="68" t="str">
        <f>IF(O135="","",IFERROR( _xll.IMDP("BND",$O135,P$6,$C$7,"Fill=false,DtFmt=1"),""))</f>
        <v/>
      </c>
      <c r="Q135" s="27" t="str">
        <f>IF($P135="","",SUBSTITUTE(INDEX(code_list!$O:$O,MATCH(O135,통안_code,0)),"통안",""))</f>
        <v/>
      </c>
      <c r="R135" s="8" t="str">
        <f t="shared" si="6"/>
        <v/>
      </c>
      <c r="S135" s="25" t="str">
        <f>IF($P135="","", _xll.IMDP("BND",$O135,S$6,$C$7,"Fill=false"))</f>
        <v/>
      </c>
      <c r="T135" s="26" t="str">
        <f>IF($P135="","", IFERROR( ( _xll.IMDP("BND",$O135,S$6,$C$7,"Fill=false")-_xll.IMDP("BND",$O135,S$6,$C$5,"Fill=false"))*100, ""))</f>
        <v/>
      </c>
      <c r="U135" s="59" t="str">
        <f>IF($P135="","", _xll.IMDP("BND",$O135,U$6,$C$7,"Fill=false,DtFmt=1"))</f>
        <v/>
      </c>
      <c r="AD135" s="11"/>
      <c r="AE135" s="75" t="str">
        <f>IF(AD135="","",_xll.IMDP("BND",$AD135,AE$6,$C$7,"Fill=false"))</f>
        <v/>
      </c>
      <c r="AF135" s="27" t="str">
        <f t="shared" si="7"/>
        <v/>
      </c>
      <c r="AG135" s="9" t="str">
        <f>IF($AE135="","",_xll.IMDP("BND",$AD135,AG$6,$C$7,"Fill=false"))</f>
        <v/>
      </c>
      <c r="AH135" s="80" t="str">
        <f>IF($AE135="","", IFERROR( ( _xll.IMDP("BND",$AD135,AG$6,$C$7,"Fill=false")-_xll.IMDP("BND",$AD135,AG$6,$C$5,"Fill=false"))*100, ""))</f>
        <v/>
      </c>
      <c r="AI135" s="59" t="str">
        <f>IF($AE135="","",_xll.IMDP("BND",$AD135,AI$6,$C$7,"Fill=false,DtFmt=1"))</f>
        <v/>
      </c>
    </row>
    <row r="136" spans="7:35">
      <c r="G136" s="11"/>
      <c r="H136" s="7"/>
      <c r="I136" s="27"/>
      <c r="J136" s="8"/>
      <c r="K136" s="9"/>
      <c r="L136" s="10"/>
      <c r="M136" s="59"/>
      <c r="O136" s="11"/>
      <c r="P136" s="68" t="str">
        <f>IF(O136="","",IFERROR( _xll.IMDP("BND",$O136,P$6,$C$7,"Fill=false,DtFmt=1"),""))</f>
        <v/>
      </c>
      <c r="Q136" s="27" t="str">
        <f>IF($P136="","",SUBSTITUTE(INDEX(code_list!$O:$O,MATCH(O136,통안_code,0)),"통안",""))</f>
        <v/>
      </c>
      <c r="R136" s="8" t="str">
        <f t="shared" si="6"/>
        <v/>
      </c>
      <c r="S136" s="25" t="str">
        <f>IF($P136="","", _xll.IMDP("BND",$O136,S$6,$C$7,"Fill=false"))</f>
        <v/>
      </c>
      <c r="T136" s="26" t="str">
        <f>IF($P136="","", IFERROR( ( _xll.IMDP("BND",$O136,S$6,$C$7,"Fill=false")-_xll.IMDP("BND",$O136,S$6,$C$5,"Fill=false"))*100, ""))</f>
        <v/>
      </c>
      <c r="U136" s="59" t="str">
        <f>IF($P136="","", _xll.IMDP("BND",$O136,U$6,$C$7,"Fill=false,DtFmt=1"))</f>
        <v/>
      </c>
      <c r="AD136" s="11"/>
      <c r="AE136" s="75" t="str">
        <f>IF(AD136="","",_xll.IMDP("BND",$AD136,AE$6,$C$7,"Fill=false"))</f>
        <v/>
      </c>
      <c r="AF136" s="27" t="str">
        <f t="shared" si="7"/>
        <v/>
      </c>
      <c r="AG136" s="9" t="str">
        <f>IF($AE136="","",_xll.IMDP("BND",$AD136,AG$6,$C$7,"Fill=false"))</f>
        <v/>
      </c>
      <c r="AH136" s="80" t="str">
        <f>IF($AE136="","", IFERROR( ( _xll.IMDP("BND",$AD136,AG$6,$C$7,"Fill=false")-_xll.IMDP("BND",$AD136,AG$6,$C$5,"Fill=false"))*100, ""))</f>
        <v/>
      </c>
      <c r="AI136" s="59" t="str">
        <f>IF($AE136="","",_xll.IMDP("BND",$AD136,AI$6,$C$7,"Fill=false,DtFmt=1"))</f>
        <v/>
      </c>
    </row>
    <row r="137" spans="7:35">
      <c r="G137" s="11"/>
      <c r="H137" s="7"/>
      <c r="I137" s="27"/>
      <c r="J137" s="8"/>
      <c r="K137" s="9"/>
      <c r="L137" s="10"/>
      <c r="M137" s="59"/>
      <c r="O137" s="11"/>
      <c r="P137" s="68" t="str">
        <f>IF(O137="","",IFERROR( _xll.IMDP("BND",$O137,P$6,$C$7,"Fill=false,DtFmt=1"),""))</f>
        <v/>
      </c>
      <c r="Q137" s="27" t="str">
        <f>IF($P137="","",SUBSTITUTE(INDEX(code_list!$O:$O,MATCH(O137,통안_code,0)),"통안",""))</f>
        <v/>
      </c>
      <c r="R137" s="8" t="str">
        <f t="shared" ref="R137:R200" si="8">IF($P137="","","통안"&amp;TEXT($P137,"yy/mm/dd"))</f>
        <v/>
      </c>
      <c r="S137" s="25" t="str">
        <f>IF($P137="","", _xll.IMDP("BND",$O137,S$6,$C$7,"Fill=false"))</f>
        <v/>
      </c>
      <c r="T137" s="26" t="str">
        <f>IF($P137="","", IFERROR( ( _xll.IMDP("BND",$O137,S$6,$C$7,"Fill=false")-_xll.IMDP("BND",$O137,S$6,$C$5,"Fill=false"))*100, ""))</f>
        <v/>
      </c>
      <c r="U137" s="59" t="str">
        <f>IF($P137="","", _xll.IMDP("BND",$O137,U$6,$C$7,"Fill=false,DtFmt=1"))</f>
        <v/>
      </c>
      <c r="AD137" s="11"/>
      <c r="AE137" s="75" t="str">
        <f>IF(AD137="","",_xll.IMDP("BND",$AD137,AE$6,$C$7,"Fill=false"))</f>
        <v/>
      </c>
      <c r="AF137" s="27" t="str">
        <f t="shared" ref="AF137:AF200" si="9">IF($AE137="","",SUBSTITUTE($AE137,"국민주택1종","국주"))</f>
        <v/>
      </c>
      <c r="AG137" s="9" t="str">
        <f>IF($AE137="","",_xll.IMDP("BND",$AD137,AG$6,$C$7,"Fill=false"))</f>
        <v/>
      </c>
      <c r="AH137" s="80" t="str">
        <f>IF($AE137="","", IFERROR( ( _xll.IMDP("BND",$AD137,AG$6,$C$7,"Fill=false")-_xll.IMDP("BND",$AD137,AG$6,$C$5,"Fill=false"))*100, ""))</f>
        <v/>
      </c>
      <c r="AI137" s="59" t="str">
        <f>IF($AE137="","",_xll.IMDP("BND",$AD137,AI$6,$C$7,"Fill=false,DtFmt=1"))</f>
        <v/>
      </c>
    </row>
    <row r="138" spans="7:35">
      <c r="G138" s="11"/>
      <c r="H138" s="7"/>
      <c r="I138" s="27"/>
      <c r="J138" s="8"/>
      <c r="K138" s="9"/>
      <c r="L138" s="10"/>
      <c r="M138" s="59"/>
      <c r="O138" s="11"/>
      <c r="P138" s="68" t="str">
        <f>IF(O138="","",IFERROR( _xll.IMDP("BND",$O138,P$6,$C$7,"Fill=false,DtFmt=1"),""))</f>
        <v/>
      </c>
      <c r="Q138" s="27" t="str">
        <f>IF($P138="","",SUBSTITUTE(INDEX(code_list!$O:$O,MATCH(O138,통안_code,0)),"통안",""))</f>
        <v/>
      </c>
      <c r="R138" s="8" t="str">
        <f t="shared" si="8"/>
        <v/>
      </c>
      <c r="S138" s="25" t="str">
        <f>IF($P138="","", _xll.IMDP("BND",$O138,S$6,$C$7,"Fill=false"))</f>
        <v/>
      </c>
      <c r="T138" s="26" t="str">
        <f>IF($P138="","", IFERROR( ( _xll.IMDP("BND",$O138,S$6,$C$7,"Fill=false")-_xll.IMDP("BND",$O138,S$6,$C$5,"Fill=false"))*100, ""))</f>
        <v/>
      </c>
      <c r="U138" s="59" t="str">
        <f>IF($P138="","", _xll.IMDP("BND",$O138,U$6,$C$7,"Fill=false,DtFmt=1"))</f>
        <v/>
      </c>
      <c r="AD138" s="11"/>
      <c r="AE138" s="75" t="str">
        <f>IF(AD138="","",_xll.IMDP("BND",$AD138,AE$6,$C$7,"Fill=false"))</f>
        <v/>
      </c>
      <c r="AF138" s="27" t="str">
        <f t="shared" si="9"/>
        <v/>
      </c>
      <c r="AG138" s="9" t="str">
        <f>IF($AE138="","",_xll.IMDP("BND",$AD138,AG$6,$C$7,"Fill=false"))</f>
        <v/>
      </c>
      <c r="AH138" s="80" t="str">
        <f>IF($AE138="","", IFERROR( ( _xll.IMDP("BND",$AD138,AG$6,$C$7,"Fill=false")-_xll.IMDP("BND",$AD138,AG$6,$C$5,"Fill=false"))*100, ""))</f>
        <v/>
      </c>
      <c r="AI138" s="59" t="str">
        <f>IF($AE138="","",_xll.IMDP("BND",$AD138,AI$6,$C$7,"Fill=false,DtFmt=1"))</f>
        <v/>
      </c>
    </row>
    <row r="139" spans="7:35">
      <c r="G139" s="11"/>
      <c r="H139" s="7"/>
      <c r="I139" s="27"/>
      <c r="J139" s="8"/>
      <c r="K139" s="9"/>
      <c r="L139" s="10"/>
      <c r="M139" s="59"/>
      <c r="O139" s="11"/>
      <c r="P139" s="68" t="str">
        <f>IF(O139="","",IFERROR( _xll.IMDP("BND",$O139,P$6,$C$7,"Fill=false,DtFmt=1"),""))</f>
        <v/>
      </c>
      <c r="Q139" s="27" t="str">
        <f>IF($P139="","",SUBSTITUTE(INDEX(code_list!$O:$O,MATCH(O139,통안_code,0)),"통안",""))</f>
        <v/>
      </c>
      <c r="R139" s="8" t="str">
        <f t="shared" si="8"/>
        <v/>
      </c>
      <c r="S139" s="25" t="str">
        <f>IF($P139="","", _xll.IMDP("BND",$O139,S$6,$C$7,"Fill=false"))</f>
        <v/>
      </c>
      <c r="T139" s="26" t="str">
        <f>IF($P139="","", IFERROR( ( _xll.IMDP("BND",$O139,S$6,$C$7,"Fill=false")-_xll.IMDP("BND",$O139,S$6,$C$5,"Fill=false"))*100, ""))</f>
        <v/>
      </c>
      <c r="U139" s="59" t="str">
        <f>IF($P139="","", _xll.IMDP("BND",$O139,U$6,$C$7,"Fill=false,DtFmt=1"))</f>
        <v/>
      </c>
      <c r="AD139" s="11"/>
      <c r="AE139" s="75" t="str">
        <f>IF(AD139="","",_xll.IMDP("BND",$AD139,AE$6,$C$7,"Fill=false"))</f>
        <v/>
      </c>
      <c r="AF139" s="27" t="str">
        <f t="shared" si="9"/>
        <v/>
      </c>
      <c r="AG139" s="9" t="str">
        <f>IF($AE139="","",_xll.IMDP("BND",$AD139,AG$6,$C$7,"Fill=false"))</f>
        <v/>
      </c>
      <c r="AH139" s="80" t="str">
        <f>IF($AE139="","", IFERROR( ( _xll.IMDP("BND",$AD139,AG$6,$C$7,"Fill=false")-_xll.IMDP("BND",$AD139,AG$6,$C$5,"Fill=false"))*100, ""))</f>
        <v/>
      </c>
      <c r="AI139" s="59" t="str">
        <f>IF($AE139="","",_xll.IMDP("BND",$AD139,AI$6,$C$7,"Fill=false,DtFmt=1"))</f>
        <v/>
      </c>
    </row>
    <row r="140" spans="7:35">
      <c r="G140" s="11"/>
      <c r="H140" s="7"/>
      <c r="I140" s="27"/>
      <c r="J140" s="8"/>
      <c r="K140" s="9"/>
      <c r="L140" s="10"/>
      <c r="M140" s="59"/>
      <c r="O140" s="11"/>
      <c r="P140" s="68" t="str">
        <f>IF(O140="","",IFERROR( _xll.IMDP("BND",$O140,P$6,$C$7,"Fill=false,DtFmt=1"),""))</f>
        <v/>
      </c>
      <c r="Q140" s="27" t="str">
        <f>IF($P140="","",SUBSTITUTE(INDEX(code_list!$O:$O,MATCH(O140,통안_code,0)),"통안",""))</f>
        <v/>
      </c>
      <c r="R140" s="8" t="str">
        <f t="shared" si="8"/>
        <v/>
      </c>
      <c r="S140" s="25" t="str">
        <f>IF($P140="","", _xll.IMDP("BND",$O140,S$6,$C$7,"Fill=false"))</f>
        <v/>
      </c>
      <c r="T140" s="26" t="str">
        <f>IF($P140="","", IFERROR( ( _xll.IMDP("BND",$O140,S$6,$C$7,"Fill=false")-_xll.IMDP("BND",$O140,S$6,$C$5,"Fill=false"))*100, ""))</f>
        <v/>
      </c>
      <c r="U140" s="59" t="str">
        <f>IF($P140="","", _xll.IMDP("BND",$O140,U$6,$C$7,"Fill=false,DtFmt=1"))</f>
        <v/>
      </c>
      <c r="AD140" s="11"/>
      <c r="AE140" s="75" t="str">
        <f>IF(AD140="","",_xll.IMDP("BND",$AD140,AE$6,$C$7,"Fill=false"))</f>
        <v/>
      </c>
      <c r="AF140" s="27" t="str">
        <f t="shared" si="9"/>
        <v/>
      </c>
      <c r="AG140" s="9" t="str">
        <f>IF($AE140="","",_xll.IMDP("BND",$AD140,AG$6,$C$7,"Fill=false"))</f>
        <v/>
      </c>
      <c r="AH140" s="80" t="str">
        <f>IF($AE140="","", IFERROR( ( _xll.IMDP("BND",$AD140,AG$6,$C$7,"Fill=false")-_xll.IMDP("BND",$AD140,AG$6,$C$5,"Fill=false"))*100, ""))</f>
        <v/>
      </c>
      <c r="AI140" s="59" t="str">
        <f>IF($AE140="","",_xll.IMDP("BND",$AD140,AI$6,$C$7,"Fill=false,DtFmt=1"))</f>
        <v/>
      </c>
    </row>
    <row r="141" spans="7:35">
      <c r="G141" s="11"/>
      <c r="H141" s="7"/>
      <c r="I141" s="27"/>
      <c r="J141" s="8"/>
      <c r="K141" s="9"/>
      <c r="L141" s="10"/>
      <c r="M141" s="59"/>
      <c r="O141" s="11"/>
      <c r="P141" s="68" t="str">
        <f>IF(O141="","",IFERROR( _xll.IMDP("BND",$O141,P$6,$C$7,"Fill=false,DtFmt=1"),""))</f>
        <v/>
      </c>
      <c r="Q141" s="27" t="str">
        <f>IF($P141="","",SUBSTITUTE(INDEX(code_list!$O:$O,MATCH(O141,통안_code,0)),"통안",""))</f>
        <v/>
      </c>
      <c r="R141" s="8" t="str">
        <f t="shared" si="8"/>
        <v/>
      </c>
      <c r="S141" s="25" t="str">
        <f>IF($P141="","", _xll.IMDP("BND",$O141,S$6,$C$7,"Fill=false"))</f>
        <v/>
      </c>
      <c r="T141" s="26" t="str">
        <f>IF($P141="","", IFERROR( ( _xll.IMDP("BND",$O141,S$6,$C$7,"Fill=false")-_xll.IMDP("BND",$O141,S$6,$C$5,"Fill=false"))*100, ""))</f>
        <v/>
      </c>
      <c r="U141" s="59" t="str">
        <f>IF($P141="","", _xll.IMDP("BND",$O141,U$6,$C$7,"Fill=false,DtFmt=1"))</f>
        <v/>
      </c>
      <c r="AD141" s="11"/>
      <c r="AE141" s="75" t="str">
        <f>IF(AD141="","",_xll.IMDP("BND",$AD141,AE$6,$C$7,"Fill=false"))</f>
        <v/>
      </c>
      <c r="AF141" s="27" t="str">
        <f t="shared" si="9"/>
        <v/>
      </c>
      <c r="AG141" s="9" t="str">
        <f>IF($AE141="","",_xll.IMDP("BND",$AD141,AG$6,$C$7,"Fill=false"))</f>
        <v/>
      </c>
      <c r="AH141" s="80" t="str">
        <f>IF($AE141="","", IFERROR( ( _xll.IMDP("BND",$AD141,AG$6,$C$7,"Fill=false")-_xll.IMDP("BND",$AD141,AG$6,$C$5,"Fill=false"))*100, ""))</f>
        <v/>
      </c>
      <c r="AI141" s="59" t="str">
        <f>IF($AE141="","",_xll.IMDP("BND",$AD141,AI$6,$C$7,"Fill=false,DtFmt=1"))</f>
        <v/>
      </c>
    </row>
    <row r="142" spans="7:35">
      <c r="G142" s="11"/>
      <c r="H142" s="7"/>
      <c r="I142" s="27"/>
      <c r="J142" s="8"/>
      <c r="K142" s="9"/>
      <c r="L142" s="10"/>
      <c r="M142" s="59"/>
      <c r="O142" s="11"/>
      <c r="P142" s="68" t="str">
        <f>IF(O142="","",IFERROR( _xll.IMDP("BND",$O142,P$6,$C$7,"Fill=false,DtFmt=1"),""))</f>
        <v/>
      </c>
      <c r="Q142" s="27" t="str">
        <f>IF($P142="","",SUBSTITUTE(INDEX(code_list!$O:$O,MATCH(O142,통안_code,0)),"통안",""))</f>
        <v/>
      </c>
      <c r="R142" s="8" t="str">
        <f t="shared" si="8"/>
        <v/>
      </c>
      <c r="S142" s="25" t="str">
        <f>IF($P142="","", _xll.IMDP("BND",$O142,S$6,$C$7,"Fill=false"))</f>
        <v/>
      </c>
      <c r="T142" s="26" t="str">
        <f>IF($P142="","", IFERROR( ( _xll.IMDP("BND",$O142,S$6,$C$7,"Fill=false")-_xll.IMDP("BND",$O142,S$6,$C$5,"Fill=false"))*100, ""))</f>
        <v/>
      </c>
      <c r="U142" s="59" t="str">
        <f>IF($P142="","", _xll.IMDP("BND",$O142,U$6,$C$7,"Fill=false,DtFmt=1"))</f>
        <v/>
      </c>
      <c r="AD142" s="11"/>
      <c r="AE142" s="75" t="str">
        <f>IF(AD142="","",_xll.IMDP("BND",$AD142,AE$6,$C$7,"Fill=false"))</f>
        <v/>
      </c>
      <c r="AF142" s="27" t="str">
        <f t="shared" si="9"/>
        <v/>
      </c>
      <c r="AG142" s="9" t="str">
        <f>IF($AE142="","",_xll.IMDP("BND",$AD142,AG$6,$C$7,"Fill=false"))</f>
        <v/>
      </c>
      <c r="AH142" s="80" t="str">
        <f>IF($AE142="","", IFERROR( ( _xll.IMDP("BND",$AD142,AG$6,$C$7,"Fill=false")-_xll.IMDP("BND",$AD142,AG$6,$C$5,"Fill=false"))*100, ""))</f>
        <v/>
      </c>
      <c r="AI142" s="59" t="str">
        <f>IF($AE142="","",_xll.IMDP("BND",$AD142,AI$6,$C$7,"Fill=false,DtFmt=1"))</f>
        <v/>
      </c>
    </row>
    <row r="143" spans="7:35">
      <c r="G143" s="11"/>
      <c r="H143" s="7"/>
      <c r="I143" s="27"/>
      <c r="J143" s="8"/>
      <c r="K143" s="9"/>
      <c r="L143" s="10"/>
      <c r="M143" s="59"/>
      <c r="O143" s="11"/>
      <c r="P143" s="68" t="str">
        <f>IF(O143="","",IFERROR( _xll.IMDP("BND",$O143,P$6,$C$7,"Fill=false,DtFmt=1"),""))</f>
        <v/>
      </c>
      <c r="Q143" s="27" t="str">
        <f>IF($P143="","",SUBSTITUTE(INDEX(code_list!$O:$O,MATCH(O143,통안_code,0)),"통안",""))</f>
        <v/>
      </c>
      <c r="R143" s="8" t="str">
        <f t="shared" si="8"/>
        <v/>
      </c>
      <c r="S143" s="25" t="str">
        <f>IF($P143="","", _xll.IMDP("BND",$O143,S$6,$C$7,"Fill=false"))</f>
        <v/>
      </c>
      <c r="T143" s="26" t="str">
        <f>IF($P143="","", IFERROR( ( _xll.IMDP("BND",$O143,S$6,$C$7,"Fill=false")-_xll.IMDP("BND",$O143,S$6,$C$5,"Fill=false"))*100, ""))</f>
        <v/>
      </c>
      <c r="U143" s="59" t="str">
        <f>IF($P143="","", _xll.IMDP("BND",$O143,U$6,$C$7,"Fill=false,DtFmt=1"))</f>
        <v/>
      </c>
      <c r="AD143" s="11"/>
      <c r="AE143" s="75" t="str">
        <f>IF(AD143="","",_xll.IMDP("BND",$AD143,AE$6,$C$7,"Fill=false"))</f>
        <v/>
      </c>
      <c r="AF143" s="27" t="str">
        <f t="shared" si="9"/>
        <v/>
      </c>
      <c r="AG143" s="9" t="str">
        <f>IF($AE143="","",_xll.IMDP("BND",$AD143,AG$6,$C$7,"Fill=false"))</f>
        <v/>
      </c>
      <c r="AH143" s="80" t="str">
        <f>IF($AE143="","", IFERROR( ( _xll.IMDP("BND",$AD143,AG$6,$C$7,"Fill=false")-_xll.IMDP("BND",$AD143,AG$6,$C$5,"Fill=false"))*100, ""))</f>
        <v/>
      </c>
      <c r="AI143" s="59" t="str">
        <f>IF($AE143="","",_xll.IMDP("BND",$AD143,AI$6,$C$7,"Fill=false,DtFmt=1"))</f>
        <v/>
      </c>
    </row>
    <row r="144" spans="7:35">
      <c r="G144" s="11"/>
      <c r="H144" s="7"/>
      <c r="I144" s="27"/>
      <c r="J144" s="8"/>
      <c r="K144" s="9"/>
      <c r="L144" s="10"/>
      <c r="M144" s="59"/>
      <c r="O144" s="11"/>
      <c r="P144" s="68" t="str">
        <f>IF(O144="","",IFERROR( _xll.IMDP("BND",$O144,P$6,$C$7,"Fill=false,DtFmt=1"),""))</f>
        <v/>
      </c>
      <c r="Q144" s="27" t="str">
        <f>IF($P144="","",SUBSTITUTE(INDEX(code_list!$O:$O,MATCH(O144,통안_code,0)),"통안",""))</f>
        <v/>
      </c>
      <c r="R144" s="8" t="str">
        <f t="shared" si="8"/>
        <v/>
      </c>
      <c r="S144" s="25" t="str">
        <f>IF($P144="","", _xll.IMDP("BND",$O144,S$6,$C$7,"Fill=false"))</f>
        <v/>
      </c>
      <c r="T144" s="26" t="str">
        <f>IF($P144="","", IFERROR( ( _xll.IMDP("BND",$O144,S$6,$C$7,"Fill=false")-_xll.IMDP("BND",$O144,S$6,$C$5,"Fill=false"))*100, ""))</f>
        <v/>
      </c>
      <c r="U144" s="59" t="str">
        <f>IF($P144="","", _xll.IMDP("BND",$O144,U$6,$C$7,"Fill=false,DtFmt=1"))</f>
        <v/>
      </c>
      <c r="AD144" s="11"/>
      <c r="AE144" s="75" t="str">
        <f>IF(AD144="","",_xll.IMDP("BND",$AD144,AE$6,$C$7,"Fill=false"))</f>
        <v/>
      </c>
      <c r="AF144" s="27" t="str">
        <f t="shared" si="9"/>
        <v/>
      </c>
      <c r="AG144" s="9" t="str">
        <f>IF($AE144="","",_xll.IMDP("BND",$AD144,AG$6,$C$7,"Fill=false"))</f>
        <v/>
      </c>
      <c r="AH144" s="80" t="str">
        <f>IF($AE144="","", IFERROR( ( _xll.IMDP("BND",$AD144,AG$6,$C$7,"Fill=false")-_xll.IMDP("BND",$AD144,AG$6,$C$5,"Fill=false"))*100, ""))</f>
        <v/>
      </c>
      <c r="AI144" s="59" t="str">
        <f>IF($AE144="","",_xll.IMDP("BND",$AD144,AI$6,$C$7,"Fill=false,DtFmt=1"))</f>
        <v/>
      </c>
    </row>
    <row r="145" spans="7:35">
      <c r="G145" s="11"/>
      <c r="H145" s="7"/>
      <c r="I145" s="27"/>
      <c r="J145" s="8"/>
      <c r="K145" s="9"/>
      <c r="L145" s="10"/>
      <c r="M145" s="59"/>
      <c r="O145" s="11"/>
      <c r="P145" s="68" t="str">
        <f>IF(O145="","",IFERROR( _xll.IMDP("BND",$O145,P$6,$C$7,"Fill=false,DtFmt=1"),""))</f>
        <v/>
      </c>
      <c r="Q145" s="27" t="str">
        <f>IF($P145="","",SUBSTITUTE(INDEX(code_list!$O:$O,MATCH(O145,통안_code,0)),"통안",""))</f>
        <v/>
      </c>
      <c r="R145" s="8" t="str">
        <f t="shared" si="8"/>
        <v/>
      </c>
      <c r="S145" s="25" t="str">
        <f>IF($P145="","", _xll.IMDP("BND",$O145,S$6,$C$7,"Fill=false"))</f>
        <v/>
      </c>
      <c r="T145" s="26" t="str">
        <f>IF($P145="","", IFERROR( ( _xll.IMDP("BND",$O145,S$6,$C$7,"Fill=false")-_xll.IMDP("BND",$O145,S$6,$C$5,"Fill=false"))*100, ""))</f>
        <v/>
      </c>
      <c r="U145" s="59" t="str">
        <f>IF($P145="","", _xll.IMDP("BND",$O145,U$6,$C$7,"Fill=false,DtFmt=1"))</f>
        <v/>
      </c>
      <c r="AD145" s="11"/>
      <c r="AE145" s="75" t="str">
        <f>IF(AD145="","",_xll.IMDP("BND",$AD145,AE$6,$C$7,"Fill=false"))</f>
        <v/>
      </c>
      <c r="AF145" s="27" t="str">
        <f t="shared" si="9"/>
        <v/>
      </c>
      <c r="AG145" s="9" t="str">
        <f>IF($AE145="","",_xll.IMDP("BND",$AD145,AG$6,$C$7,"Fill=false"))</f>
        <v/>
      </c>
      <c r="AH145" s="80" t="str">
        <f>IF($AE145="","", IFERROR( ( _xll.IMDP("BND",$AD145,AG$6,$C$7,"Fill=false")-_xll.IMDP("BND",$AD145,AG$6,$C$5,"Fill=false"))*100, ""))</f>
        <v/>
      </c>
      <c r="AI145" s="59" t="str">
        <f>IF($AE145="","",_xll.IMDP("BND",$AD145,AI$6,$C$7,"Fill=false,DtFmt=1"))</f>
        <v/>
      </c>
    </row>
    <row r="146" spans="7:35">
      <c r="G146" s="11"/>
      <c r="H146" s="7"/>
      <c r="I146" s="27"/>
      <c r="J146" s="8"/>
      <c r="K146" s="9"/>
      <c r="L146" s="10"/>
      <c r="M146" s="59"/>
      <c r="O146" s="11"/>
      <c r="P146" s="68" t="str">
        <f>IF(O146="","",IFERROR( _xll.IMDP("BND",$O146,P$6,$C$7,"Fill=false,DtFmt=1"),""))</f>
        <v/>
      </c>
      <c r="Q146" s="27" t="str">
        <f>IF($P146="","",SUBSTITUTE(INDEX(code_list!$O:$O,MATCH(O146,통안_code,0)),"통안",""))</f>
        <v/>
      </c>
      <c r="R146" s="8" t="str">
        <f t="shared" si="8"/>
        <v/>
      </c>
      <c r="S146" s="25" t="str">
        <f>IF($P146="","", _xll.IMDP("BND",$O146,S$6,$C$7,"Fill=false"))</f>
        <v/>
      </c>
      <c r="T146" s="26" t="str">
        <f>IF($P146="","", IFERROR( ( _xll.IMDP("BND",$O146,S$6,$C$7,"Fill=false")-_xll.IMDP("BND",$O146,S$6,$C$5,"Fill=false"))*100, ""))</f>
        <v/>
      </c>
      <c r="U146" s="59" t="str">
        <f>IF($P146="","", _xll.IMDP("BND",$O146,U$6,$C$7,"Fill=false,DtFmt=1"))</f>
        <v/>
      </c>
      <c r="AD146" s="11"/>
      <c r="AE146" s="75" t="str">
        <f>IF(AD146="","",_xll.IMDP("BND",$AD146,AE$6,$C$7,"Fill=false"))</f>
        <v/>
      </c>
      <c r="AF146" s="27" t="str">
        <f t="shared" si="9"/>
        <v/>
      </c>
      <c r="AG146" s="9" t="str">
        <f>IF($AE146="","",_xll.IMDP("BND",$AD146,AG$6,$C$7,"Fill=false"))</f>
        <v/>
      </c>
      <c r="AH146" s="80" t="str">
        <f>IF($AE146="","", IFERROR( ( _xll.IMDP("BND",$AD146,AG$6,$C$7,"Fill=false")-_xll.IMDP("BND",$AD146,AG$6,$C$5,"Fill=false"))*100, ""))</f>
        <v/>
      </c>
      <c r="AI146" s="59" t="str">
        <f>IF($AE146="","",_xll.IMDP("BND",$AD146,AI$6,$C$7,"Fill=false,DtFmt=1"))</f>
        <v/>
      </c>
    </row>
    <row r="147" spans="7:35">
      <c r="G147" s="11"/>
      <c r="H147" s="7"/>
      <c r="I147" s="27"/>
      <c r="J147" s="8"/>
      <c r="K147" s="9"/>
      <c r="L147" s="10"/>
      <c r="M147" s="59"/>
      <c r="O147" s="11"/>
      <c r="P147" s="68" t="str">
        <f>IF(O147="","",IFERROR( _xll.IMDP("BND",$O147,P$6,$C$7,"Fill=false,DtFmt=1"),""))</f>
        <v/>
      </c>
      <c r="Q147" s="27" t="str">
        <f>IF($P147="","",SUBSTITUTE(INDEX(code_list!$O:$O,MATCH(O147,통안_code,0)),"통안",""))</f>
        <v/>
      </c>
      <c r="R147" s="8" t="str">
        <f t="shared" si="8"/>
        <v/>
      </c>
      <c r="S147" s="25" t="str">
        <f>IF($P147="","", _xll.IMDP("BND",$O147,S$6,$C$7,"Fill=false"))</f>
        <v/>
      </c>
      <c r="T147" s="26" t="str">
        <f>IF($P147="","", IFERROR( ( _xll.IMDP("BND",$O147,S$6,$C$7,"Fill=false")-_xll.IMDP("BND",$O147,S$6,$C$5,"Fill=false"))*100, ""))</f>
        <v/>
      </c>
      <c r="U147" s="59" t="str">
        <f>IF($P147="","", _xll.IMDP("BND",$O147,U$6,$C$7,"Fill=false,DtFmt=1"))</f>
        <v/>
      </c>
      <c r="AD147" s="11"/>
      <c r="AE147" s="75" t="str">
        <f>IF(AD147="","",_xll.IMDP("BND",$AD147,AE$6,$C$7,"Fill=false"))</f>
        <v/>
      </c>
      <c r="AF147" s="27" t="str">
        <f t="shared" si="9"/>
        <v/>
      </c>
      <c r="AG147" s="9" t="str">
        <f>IF($AE147="","",_xll.IMDP("BND",$AD147,AG$6,$C$7,"Fill=false"))</f>
        <v/>
      </c>
      <c r="AH147" s="80" t="str">
        <f>IF($AE147="","", IFERROR( ( _xll.IMDP("BND",$AD147,AG$6,$C$7,"Fill=false")-_xll.IMDP("BND",$AD147,AG$6,$C$5,"Fill=false"))*100, ""))</f>
        <v/>
      </c>
      <c r="AI147" s="59" t="str">
        <f>IF($AE147="","",_xll.IMDP("BND",$AD147,AI$6,$C$7,"Fill=false,DtFmt=1"))</f>
        <v/>
      </c>
    </row>
    <row r="148" spans="7:35">
      <c r="G148" s="11"/>
      <c r="H148" s="7"/>
      <c r="I148" s="27"/>
      <c r="J148" s="8"/>
      <c r="K148" s="9"/>
      <c r="L148" s="10"/>
      <c r="M148" s="59"/>
      <c r="O148" s="11"/>
      <c r="P148" s="68" t="str">
        <f>IF(O148="","",IFERROR( _xll.IMDP("BND",$O148,P$6,$C$7,"Fill=false,DtFmt=1"),""))</f>
        <v/>
      </c>
      <c r="Q148" s="27" t="str">
        <f>IF($P148="","",SUBSTITUTE(INDEX(code_list!$O:$O,MATCH(O148,통안_code,0)),"통안",""))</f>
        <v/>
      </c>
      <c r="R148" s="8" t="str">
        <f t="shared" si="8"/>
        <v/>
      </c>
      <c r="S148" s="25" t="str">
        <f>IF($P148="","", _xll.IMDP("BND",$O148,S$6,$C$7,"Fill=false"))</f>
        <v/>
      </c>
      <c r="T148" s="26" t="str">
        <f>IF($P148="","", IFERROR( ( _xll.IMDP("BND",$O148,S$6,$C$7,"Fill=false")-_xll.IMDP("BND",$O148,S$6,$C$5,"Fill=false"))*100, ""))</f>
        <v/>
      </c>
      <c r="U148" s="59" t="str">
        <f>IF($P148="","", _xll.IMDP("BND",$O148,U$6,$C$7,"Fill=false,DtFmt=1"))</f>
        <v/>
      </c>
      <c r="AD148" s="11"/>
      <c r="AE148" s="75" t="str">
        <f>IF(AD148="","",_xll.IMDP("BND",$AD148,AE$6,$C$7,"Fill=false"))</f>
        <v/>
      </c>
      <c r="AF148" s="27" t="str">
        <f t="shared" si="9"/>
        <v/>
      </c>
      <c r="AG148" s="9" t="str">
        <f>IF($AE148="","",_xll.IMDP("BND",$AD148,AG$6,$C$7,"Fill=false"))</f>
        <v/>
      </c>
      <c r="AH148" s="80" t="str">
        <f>IF($AE148="","", IFERROR( ( _xll.IMDP("BND",$AD148,AG$6,$C$7,"Fill=false")-_xll.IMDP("BND",$AD148,AG$6,$C$5,"Fill=false"))*100, ""))</f>
        <v/>
      </c>
      <c r="AI148" s="59" t="str">
        <f>IF($AE148="","",_xll.IMDP("BND",$AD148,AI$6,$C$7,"Fill=false,DtFmt=1"))</f>
        <v/>
      </c>
    </row>
    <row r="149" spans="7:35">
      <c r="G149" s="11"/>
      <c r="H149" s="7"/>
      <c r="I149" s="27"/>
      <c r="J149" s="8"/>
      <c r="K149" s="9"/>
      <c r="L149" s="10"/>
      <c r="M149" s="59"/>
      <c r="O149" s="11"/>
      <c r="P149" s="68" t="str">
        <f>IF(O149="","",IFERROR( _xll.IMDP("BND",$O149,P$6,$C$7,"Fill=false,DtFmt=1"),""))</f>
        <v/>
      </c>
      <c r="Q149" s="27" t="str">
        <f>IF($P149="","",SUBSTITUTE(INDEX(code_list!$O:$O,MATCH(O149,통안_code,0)),"통안",""))</f>
        <v/>
      </c>
      <c r="R149" s="8" t="str">
        <f t="shared" si="8"/>
        <v/>
      </c>
      <c r="S149" s="25" t="str">
        <f>IF($P149="","", _xll.IMDP("BND",$O149,S$6,$C$7,"Fill=false"))</f>
        <v/>
      </c>
      <c r="T149" s="26" t="str">
        <f>IF($P149="","", IFERROR( ( _xll.IMDP("BND",$O149,S$6,$C$7,"Fill=false")-_xll.IMDP("BND",$O149,S$6,$C$5,"Fill=false"))*100, ""))</f>
        <v/>
      </c>
      <c r="U149" s="59" t="str">
        <f>IF($P149="","", _xll.IMDP("BND",$O149,U$6,$C$7,"Fill=false,DtFmt=1"))</f>
        <v/>
      </c>
      <c r="AD149" s="11"/>
      <c r="AE149" s="75" t="str">
        <f>IF(AD149="","",_xll.IMDP("BND",$AD149,AE$6,$C$7,"Fill=false"))</f>
        <v/>
      </c>
      <c r="AF149" s="27" t="str">
        <f t="shared" si="9"/>
        <v/>
      </c>
      <c r="AG149" s="9" t="str">
        <f>IF($AE149="","",_xll.IMDP("BND",$AD149,AG$6,$C$7,"Fill=false"))</f>
        <v/>
      </c>
      <c r="AH149" s="80" t="str">
        <f>IF($AE149="","", IFERROR( ( _xll.IMDP("BND",$AD149,AG$6,$C$7,"Fill=false")-_xll.IMDP("BND",$AD149,AG$6,$C$5,"Fill=false"))*100, ""))</f>
        <v/>
      </c>
      <c r="AI149" s="59" t="str">
        <f>IF($AE149="","",_xll.IMDP("BND",$AD149,AI$6,$C$7,"Fill=false,DtFmt=1"))</f>
        <v/>
      </c>
    </row>
    <row r="150" spans="7:35">
      <c r="G150" s="11"/>
      <c r="H150" s="7"/>
      <c r="I150" s="27"/>
      <c r="J150" s="8"/>
      <c r="K150" s="9"/>
      <c r="L150" s="10"/>
      <c r="M150" s="59"/>
      <c r="O150" s="11"/>
      <c r="P150" s="68" t="str">
        <f>IF(O150="","",IFERROR( _xll.IMDP("BND",$O150,P$6,$C$7,"Fill=false,DtFmt=1"),""))</f>
        <v/>
      </c>
      <c r="Q150" s="27" t="str">
        <f>IF($P150="","",SUBSTITUTE(INDEX(code_list!$O:$O,MATCH(O150,통안_code,0)),"통안",""))</f>
        <v/>
      </c>
      <c r="R150" s="8" t="str">
        <f t="shared" si="8"/>
        <v/>
      </c>
      <c r="S150" s="25" t="str">
        <f>IF($P150="","", _xll.IMDP("BND",$O150,S$6,$C$7,"Fill=false"))</f>
        <v/>
      </c>
      <c r="T150" s="26" t="str">
        <f>IF($P150="","", IFERROR( ( _xll.IMDP("BND",$O150,S$6,$C$7,"Fill=false")-_xll.IMDP("BND",$O150,S$6,$C$5,"Fill=false"))*100, ""))</f>
        <v/>
      </c>
      <c r="U150" s="59" t="str">
        <f>IF($P150="","", _xll.IMDP("BND",$O150,U$6,$C$7,"Fill=false,DtFmt=1"))</f>
        <v/>
      </c>
      <c r="AD150" s="11"/>
      <c r="AE150" s="75" t="str">
        <f>IF(AD150="","",_xll.IMDP("BND",$AD150,AE$6,$C$7,"Fill=false"))</f>
        <v/>
      </c>
      <c r="AF150" s="27" t="str">
        <f t="shared" si="9"/>
        <v/>
      </c>
      <c r="AG150" s="9" t="str">
        <f>IF($AE150="","",_xll.IMDP("BND",$AD150,AG$6,$C$7,"Fill=false"))</f>
        <v/>
      </c>
      <c r="AH150" s="80" t="str">
        <f>IF($AE150="","", IFERROR( ( _xll.IMDP("BND",$AD150,AG$6,$C$7,"Fill=false")-_xll.IMDP("BND",$AD150,AG$6,$C$5,"Fill=false"))*100, ""))</f>
        <v/>
      </c>
      <c r="AI150" s="59" t="str">
        <f>IF($AE150="","",_xll.IMDP("BND",$AD150,AI$6,$C$7,"Fill=false,DtFmt=1"))</f>
        <v/>
      </c>
    </row>
    <row r="151" spans="7:35">
      <c r="G151" s="11"/>
      <c r="H151" s="7"/>
      <c r="I151" s="27"/>
      <c r="J151" s="8"/>
      <c r="K151" s="9"/>
      <c r="L151" s="10"/>
      <c r="M151" s="59"/>
      <c r="O151" s="11"/>
      <c r="P151" s="68" t="str">
        <f>IF(O151="","",IFERROR( _xll.IMDP("BND",$O151,P$6,$C$7,"Fill=false,DtFmt=1"),""))</f>
        <v/>
      </c>
      <c r="Q151" s="27" t="str">
        <f>IF($P151="","",SUBSTITUTE(INDEX(code_list!$O:$O,MATCH(O151,통안_code,0)),"통안",""))</f>
        <v/>
      </c>
      <c r="R151" s="8" t="str">
        <f t="shared" si="8"/>
        <v/>
      </c>
      <c r="S151" s="25" t="str">
        <f>IF($P151="","", _xll.IMDP("BND",$O151,S$6,$C$7,"Fill=false"))</f>
        <v/>
      </c>
      <c r="T151" s="26" t="str">
        <f>IF($P151="","", IFERROR( ( _xll.IMDP("BND",$O151,S$6,$C$7,"Fill=false")-_xll.IMDP("BND",$O151,S$6,$C$5,"Fill=false"))*100, ""))</f>
        <v/>
      </c>
      <c r="U151" s="59" t="str">
        <f>IF($P151="","", _xll.IMDP("BND",$O151,U$6,$C$7,"Fill=false,DtFmt=1"))</f>
        <v/>
      </c>
      <c r="AD151" s="11"/>
      <c r="AE151" s="75" t="str">
        <f>IF(AD151="","",_xll.IMDP("BND",$AD151,AE$6,$C$7,"Fill=false"))</f>
        <v/>
      </c>
      <c r="AF151" s="27" t="str">
        <f t="shared" si="9"/>
        <v/>
      </c>
      <c r="AG151" s="9" t="str">
        <f>IF($AE151="","",_xll.IMDP("BND",$AD151,AG$6,$C$7,"Fill=false"))</f>
        <v/>
      </c>
      <c r="AH151" s="80" t="str">
        <f>IF($AE151="","", IFERROR( ( _xll.IMDP("BND",$AD151,AG$6,$C$7,"Fill=false")-_xll.IMDP("BND",$AD151,AG$6,$C$5,"Fill=false"))*100, ""))</f>
        <v/>
      </c>
      <c r="AI151" s="59" t="str">
        <f>IF($AE151="","",_xll.IMDP("BND",$AD151,AI$6,$C$7,"Fill=false,DtFmt=1"))</f>
        <v/>
      </c>
    </row>
    <row r="152" spans="7:35">
      <c r="G152" s="11"/>
      <c r="H152" s="7"/>
      <c r="I152" s="27"/>
      <c r="J152" s="8"/>
      <c r="K152" s="9"/>
      <c r="L152" s="10"/>
      <c r="M152" s="59"/>
      <c r="O152" s="11"/>
      <c r="P152" s="68" t="str">
        <f>IF(O152="","",IFERROR( _xll.IMDP("BND",$O152,P$6,$C$7,"Fill=false,DtFmt=1"),""))</f>
        <v/>
      </c>
      <c r="Q152" s="27" t="str">
        <f>IF($P152="","",SUBSTITUTE(INDEX(code_list!$O:$O,MATCH(O152,통안_code,0)),"통안",""))</f>
        <v/>
      </c>
      <c r="R152" s="8" t="str">
        <f t="shared" si="8"/>
        <v/>
      </c>
      <c r="S152" s="25" t="str">
        <f>IF($P152="","", _xll.IMDP("BND",$O152,S$6,$C$7,"Fill=false"))</f>
        <v/>
      </c>
      <c r="T152" s="26" t="str">
        <f>IF($P152="","", IFERROR( ( _xll.IMDP("BND",$O152,S$6,$C$7,"Fill=false")-_xll.IMDP("BND",$O152,S$6,$C$5,"Fill=false"))*100, ""))</f>
        <v/>
      </c>
      <c r="U152" s="59" t="str">
        <f>IF($P152="","", _xll.IMDP("BND",$O152,U$6,$C$7,"Fill=false,DtFmt=1"))</f>
        <v/>
      </c>
      <c r="AD152" s="11"/>
      <c r="AE152" s="75" t="str">
        <f>IF(AD152="","",_xll.IMDP("BND",$AD152,AE$6,$C$7,"Fill=false"))</f>
        <v/>
      </c>
      <c r="AF152" s="27" t="str">
        <f t="shared" si="9"/>
        <v/>
      </c>
      <c r="AG152" s="9" t="str">
        <f>IF($AE152="","",_xll.IMDP("BND",$AD152,AG$6,$C$7,"Fill=false"))</f>
        <v/>
      </c>
      <c r="AH152" s="80" t="str">
        <f>IF($AE152="","", IFERROR( ( _xll.IMDP("BND",$AD152,AG$6,$C$7,"Fill=false")-_xll.IMDP("BND",$AD152,AG$6,$C$5,"Fill=false"))*100, ""))</f>
        <v/>
      </c>
      <c r="AI152" s="59" t="str">
        <f>IF($AE152="","",_xll.IMDP("BND",$AD152,AI$6,$C$7,"Fill=false,DtFmt=1"))</f>
        <v/>
      </c>
    </row>
    <row r="153" spans="7:35">
      <c r="G153" s="11"/>
      <c r="H153" s="7"/>
      <c r="I153" s="27"/>
      <c r="J153" s="8"/>
      <c r="K153" s="9"/>
      <c r="L153" s="10"/>
      <c r="M153" s="59"/>
      <c r="O153" s="11"/>
      <c r="P153" s="68" t="str">
        <f>IF(O153="","",IFERROR( _xll.IMDP("BND",$O153,P$6,$C$7,"Fill=false,DtFmt=1"),""))</f>
        <v/>
      </c>
      <c r="Q153" s="27" t="str">
        <f>IF($P153="","",SUBSTITUTE(INDEX(code_list!$O:$O,MATCH(O153,통안_code,0)),"통안",""))</f>
        <v/>
      </c>
      <c r="R153" s="8" t="str">
        <f t="shared" si="8"/>
        <v/>
      </c>
      <c r="S153" s="25" t="str">
        <f>IF($P153="","", _xll.IMDP("BND",$O153,S$6,$C$7,"Fill=false"))</f>
        <v/>
      </c>
      <c r="T153" s="26" t="str">
        <f>IF($P153="","", IFERROR( ( _xll.IMDP("BND",$O153,S$6,$C$7,"Fill=false")-_xll.IMDP("BND",$O153,S$6,$C$5,"Fill=false"))*100, ""))</f>
        <v/>
      </c>
      <c r="U153" s="59" t="str">
        <f>IF($P153="","", _xll.IMDP("BND",$O153,U$6,$C$7,"Fill=false,DtFmt=1"))</f>
        <v/>
      </c>
      <c r="AD153" s="11"/>
      <c r="AE153" s="75" t="str">
        <f>IF(AD153="","",_xll.IMDP("BND",$AD153,AE$6,$C$7,"Fill=false"))</f>
        <v/>
      </c>
      <c r="AF153" s="27" t="str">
        <f t="shared" si="9"/>
        <v/>
      </c>
      <c r="AG153" s="9" t="str">
        <f>IF($AE153="","",_xll.IMDP("BND",$AD153,AG$6,$C$7,"Fill=false"))</f>
        <v/>
      </c>
      <c r="AH153" s="80" t="str">
        <f>IF($AE153="","", IFERROR( ( _xll.IMDP("BND",$AD153,AG$6,$C$7,"Fill=false")-_xll.IMDP("BND",$AD153,AG$6,$C$5,"Fill=false"))*100, ""))</f>
        <v/>
      </c>
      <c r="AI153" s="59" t="str">
        <f>IF($AE153="","",_xll.IMDP("BND",$AD153,AI$6,$C$7,"Fill=false,DtFmt=1"))</f>
        <v/>
      </c>
    </row>
    <row r="154" spans="7:35">
      <c r="G154" s="11"/>
      <c r="H154" s="7"/>
      <c r="I154" s="27"/>
      <c r="J154" s="8"/>
      <c r="K154" s="9"/>
      <c r="L154" s="10"/>
      <c r="M154" s="59"/>
      <c r="O154" s="11"/>
      <c r="P154" s="68" t="str">
        <f>IF(O154="","",IFERROR( _xll.IMDP("BND",$O154,P$6,$C$7,"Fill=false,DtFmt=1"),""))</f>
        <v/>
      </c>
      <c r="Q154" s="27" t="str">
        <f>IF($P154="","",SUBSTITUTE(INDEX(code_list!$O:$O,MATCH(O154,통안_code,0)),"통안",""))</f>
        <v/>
      </c>
      <c r="R154" s="8" t="str">
        <f t="shared" si="8"/>
        <v/>
      </c>
      <c r="S154" s="25" t="str">
        <f>IF($P154="","", _xll.IMDP("BND",$O154,S$6,$C$7,"Fill=false"))</f>
        <v/>
      </c>
      <c r="T154" s="26" t="str">
        <f>IF($P154="","", IFERROR( ( _xll.IMDP("BND",$O154,S$6,$C$7,"Fill=false")-_xll.IMDP("BND",$O154,S$6,$C$5,"Fill=false"))*100, ""))</f>
        <v/>
      </c>
      <c r="U154" s="59" t="str">
        <f>IF($P154="","", _xll.IMDP("BND",$O154,U$6,$C$7,"Fill=false,DtFmt=1"))</f>
        <v/>
      </c>
      <c r="AD154" s="11"/>
      <c r="AE154" s="75" t="str">
        <f>IF(AD154="","",_xll.IMDP("BND",$AD154,AE$6,$C$7,"Fill=false"))</f>
        <v/>
      </c>
      <c r="AF154" s="27" t="str">
        <f t="shared" si="9"/>
        <v/>
      </c>
      <c r="AG154" s="9" t="str">
        <f>IF($AE154="","",_xll.IMDP("BND",$AD154,AG$6,$C$7,"Fill=false"))</f>
        <v/>
      </c>
      <c r="AH154" s="80" t="str">
        <f>IF($AE154="","", IFERROR( ( _xll.IMDP("BND",$AD154,AG$6,$C$7,"Fill=false")-_xll.IMDP("BND",$AD154,AG$6,$C$5,"Fill=false"))*100, ""))</f>
        <v/>
      </c>
      <c r="AI154" s="59" t="str">
        <f>IF($AE154="","",_xll.IMDP("BND",$AD154,AI$6,$C$7,"Fill=false,DtFmt=1"))</f>
        <v/>
      </c>
    </row>
    <row r="155" spans="7:35">
      <c r="G155" s="11"/>
      <c r="H155" s="7"/>
      <c r="I155" s="27"/>
      <c r="J155" s="8"/>
      <c r="K155" s="9"/>
      <c r="L155" s="10"/>
      <c r="M155" s="59"/>
      <c r="O155" s="11"/>
      <c r="P155" s="68" t="str">
        <f>IF(O155="","",IFERROR( _xll.IMDP("BND",$O155,P$6,$C$7,"Fill=false,DtFmt=1"),""))</f>
        <v/>
      </c>
      <c r="Q155" s="27" t="str">
        <f>IF($P155="","",SUBSTITUTE(INDEX(code_list!$O:$O,MATCH(O155,통안_code,0)),"통안",""))</f>
        <v/>
      </c>
      <c r="R155" s="8" t="str">
        <f t="shared" si="8"/>
        <v/>
      </c>
      <c r="S155" s="25" t="str">
        <f>IF($P155="","", _xll.IMDP("BND",$O155,S$6,$C$7,"Fill=false"))</f>
        <v/>
      </c>
      <c r="T155" s="26" t="str">
        <f>IF($P155="","", IFERROR( ( _xll.IMDP("BND",$O155,S$6,$C$7,"Fill=false")-_xll.IMDP("BND",$O155,S$6,$C$5,"Fill=false"))*100, ""))</f>
        <v/>
      </c>
      <c r="U155" s="59" t="str">
        <f>IF($P155="","", _xll.IMDP("BND",$O155,U$6,$C$7,"Fill=false,DtFmt=1"))</f>
        <v/>
      </c>
      <c r="AD155" s="11"/>
      <c r="AE155" s="75" t="str">
        <f>IF(AD155="","",_xll.IMDP("BND",$AD155,AE$6,$C$7,"Fill=false"))</f>
        <v/>
      </c>
      <c r="AF155" s="27" t="str">
        <f t="shared" si="9"/>
        <v/>
      </c>
      <c r="AG155" s="9" t="str">
        <f>IF($AE155="","",_xll.IMDP("BND",$AD155,AG$6,$C$7,"Fill=false"))</f>
        <v/>
      </c>
      <c r="AH155" s="80" t="str">
        <f>IF($AE155="","", IFERROR( ( _xll.IMDP("BND",$AD155,AG$6,$C$7,"Fill=false")-_xll.IMDP("BND",$AD155,AG$6,$C$5,"Fill=false"))*100, ""))</f>
        <v/>
      </c>
      <c r="AI155" s="59" t="str">
        <f>IF($AE155="","",_xll.IMDP("BND",$AD155,AI$6,$C$7,"Fill=false,DtFmt=1"))</f>
        <v/>
      </c>
    </row>
    <row r="156" spans="7:35">
      <c r="G156" s="11"/>
      <c r="H156" s="7"/>
      <c r="I156" s="27"/>
      <c r="J156" s="8"/>
      <c r="K156" s="9"/>
      <c r="L156" s="10"/>
      <c r="M156" s="59"/>
      <c r="O156" s="11"/>
      <c r="P156" s="68" t="str">
        <f>IF(O156="","",IFERROR( _xll.IMDP("BND",$O156,P$6,$C$7,"Fill=false,DtFmt=1"),""))</f>
        <v/>
      </c>
      <c r="Q156" s="27" t="str">
        <f>IF($P156="","",SUBSTITUTE(INDEX(code_list!$O:$O,MATCH(O156,통안_code,0)),"통안",""))</f>
        <v/>
      </c>
      <c r="R156" s="8" t="str">
        <f t="shared" si="8"/>
        <v/>
      </c>
      <c r="S156" s="25" t="str">
        <f>IF($P156="","", _xll.IMDP("BND",$O156,S$6,$C$7,"Fill=false"))</f>
        <v/>
      </c>
      <c r="T156" s="26" t="str">
        <f>IF($P156="","", IFERROR( ( _xll.IMDP("BND",$O156,S$6,$C$7,"Fill=false")-_xll.IMDP("BND",$O156,S$6,$C$5,"Fill=false"))*100, ""))</f>
        <v/>
      </c>
      <c r="U156" s="59" t="str">
        <f>IF($P156="","", _xll.IMDP("BND",$O156,U$6,$C$7,"Fill=false,DtFmt=1"))</f>
        <v/>
      </c>
      <c r="AD156" s="11"/>
      <c r="AE156" s="75" t="str">
        <f>IF(AD156="","",_xll.IMDP("BND",$AD156,AE$6,$C$7,"Fill=false"))</f>
        <v/>
      </c>
      <c r="AF156" s="27" t="str">
        <f t="shared" si="9"/>
        <v/>
      </c>
      <c r="AG156" s="9" t="str">
        <f>IF($AE156="","",_xll.IMDP("BND",$AD156,AG$6,$C$7,"Fill=false"))</f>
        <v/>
      </c>
      <c r="AH156" s="80" t="str">
        <f>IF($AE156="","", IFERROR( ( _xll.IMDP("BND",$AD156,AG$6,$C$7,"Fill=false")-_xll.IMDP("BND",$AD156,AG$6,$C$5,"Fill=false"))*100, ""))</f>
        <v/>
      </c>
      <c r="AI156" s="59" t="str">
        <f>IF($AE156="","",_xll.IMDP("BND",$AD156,AI$6,$C$7,"Fill=false,DtFmt=1"))</f>
        <v/>
      </c>
    </row>
    <row r="157" spans="7:35">
      <c r="G157" s="11"/>
      <c r="H157" s="7"/>
      <c r="I157" s="27"/>
      <c r="J157" s="8"/>
      <c r="K157" s="9"/>
      <c r="L157" s="10"/>
      <c r="M157" s="59"/>
      <c r="O157" s="11"/>
      <c r="P157" s="68" t="str">
        <f>IF(O157="","",IFERROR( _xll.IMDP("BND",$O157,P$6,$C$7,"Fill=false,DtFmt=1"),""))</f>
        <v/>
      </c>
      <c r="Q157" s="27" t="str">
        <f>IF($P157="","",SUBSTITUTE(INDEX(code_list!$O:$O,MATCH(O157,통안_code,0)),"통안",""))</f>
        <v/>
      </c>
      <c r="R157" s="8" t="str">
        <f t="shared" si="8"/>
        <v/>
      </c>
      <c r="S157" s="25" t="str">
        <f>IF($P157="","", _xll.IMDP("BND",$O157,S$6,$C$7,"Fill=false"))</f>
        <v/>
      </c>
      <c r="T157" s="26" t="str">
        <f>IF($P157="","", IFERROR( ( _xll.IMDP("BND",$O157,S$6,$C$7,"Fill=false")-_xll.IMDP("BND",$O157,S$6,$C$5,"Fill=false"))*100, ""))</f>
        <v/>
      </c>
      <c r="U157" s="59" t="str">
        <f>IF($P157="","", _xll.IMDP("BND",$O157,U$6,$C$7,"Fill=false,DtFmt=1"))</f>
        <v/>
      </c>
      <c r="AD157" s="11"/>
      <c r="AE157" s="75" t="str">
        <f>IF(AD157="","",_xll.IMDP("BND",$AD157,AE$6,$C$7,"Fill=false"))</f>
        <v/>
      </c>
      <c r="AF157" s="27" t="str">
        <f t="shared" si="9"/>
        <v/>
      </c>
      <c r="AG157" s="9" t="str">
        <f>IF($AE157="","",_xll.IMDP("BND",$AD157,AG$6,$C$7,"Fill=false"))</f>
        <v/>
      </c>
      <c r="AH157" s="80" t="str">
        <f>IF($AE157="","", IFERROR( ( _xll.IMDP("BND",$AD157,AG$6,$C$7,"Fill=false")-_xll.IMDP("BND",$AD157,AG$6,$C$5,"Fill=false"))*100, ""))</f>
        <v/>
      </c>
      <c r="AI157" s="59" t="str">
        <f>IF($AE157="","",_xll.IMDP("BND",$AD157,AI$6,$C$7,"Fill=false,DtFmt=1"))</f>
        <v/>
      </c>
    </row>
    <row r="158" spans="7:35">
      <c r="G158" s="11"/>
      <c r="H158" s="7"/>
      <c r="I158" s="27"/>
      <c r="J158" s="8"/>
      <c r="K158" s="9"/>
      <c r="L158" s="10"/>
      <c r="M158" s="59"/>
      <c r="O158" s="11"/>
      <c r="P158" s="68" t="str">
        <f>IF(O158="","",IFERROR( _xll.IMDP("BND",$O158,P$6,$C$7,"Fill=false,DtFmt=1"),""))</f>
        <v/>
      </c>
      <c r="Q158" s="27" t="str">
        <f>IF($P158="","",SUBSTITUTE(INDEX(code_list!$O:$O,MATCH(O158,통안_code,0)),"통안",""))</f>
        <v/>
      </c>
      <c r="R158" s="8" t="str">
        <f t="shared" si="8"/>
        <v/>
      </c>
      <c r="S158" s="25" t="str">
        <f>IF($P158="","", _xll.IMDP("BND",$O158,S$6,$C$7,"Fill=false"))</f>
        <v/>
      </c>
      <c r="T158" s="26" t="str">
        <f>IF($P158="","", IFERROR( ( _xll.IMDP("BND",$O158,S$6,$C$7,"Fill=false")-_xll.IMDP("BND",$O158,S$6,$C$5,"Fill=false"))*100, ""))</f>
        <v/>
      </c>
      <c r="U158" s="59" t="str">
        <f>IF($P158="","", _xll.IMDP("BND",$O158,U$6,$C$7,"Fill=false,DtFmt=1"))</f>
        <v/>
      </c>
      <c r="AD158" s="11"/>
      <c r="AE158" s="75" t="str">
        <f>IF(AD158="","",_xll.IMDP("BND",$AD158,AE$6,$C$7,"Fill=false"))</f>
        <v/>
      </c>
      <c r="AF158" s="27" t="str">
        <f t="shared" si="9"/>
        <v/>
      </c>
      <c r="AG158" s="9" t="str">
        <f>IF($AE158="","",_xll.IMDP("BND",$AD158,AG$6,$C$7,"Fill=false"))</f>
        <v/>
      </c>
      <c r="AH158" s="80" t="str">
        <f>IF($AE158="","", IFERROR( ( _xll.IMDP("BND",$AD158,AG$6,$C$7,"Fill=false")-_xll.IMDP("BND",$AD158,AG$6,$C$5,"Fill=false"))*100, ""))</f>
        <v/>
      </c>
      <c r="AI158" s="59" t="str">
        <f>IF($AE158="","",_xll.IMDP("BND",$AD158,AI$6,$C$7,"Fill=false,DtFmt=1"))</f>
        <v/>
      </c>
    </row>
    <row r="159" spans="7:35">
      <c r="G159" s="11"/>
      <c r="H159" s="7"/>
      <c r="I159" s="27"/>
      <c r="J159" s="8"/>
      <c r="K159" s="9"/>
      <c r="L159" s="10"/>
      <c r="M159" s="59"/>
      <c r="O159" s="11"/>
      <c r="P159" s="68" t="str">
        <f>IF(O159="","",IFERROR( _xll.IMDP("BND",$O159,P$6,$C$7,"Fill=false,DtFmt=1"),""))</f>
        <v/>
      </c>
      <c r="Q159" s="27" t="str">
        <f>IF($P159="","",SUBSTITUTE(INDEX(code_list!$O:$O,MATCH(O159,통안_code,0)),"통안",""))</f>
        <v/>
      </c>
      <c r="R159" s="8" t="str">
        <f t="shared" si="8"/>
        <v/>
      </c>
      <c r="S159" s="25" t="str">
        <f>IF($P159="","", _xll.IMDP("BND",$O159,S$6,$C$7,"Fill=false"))</f>
        <v/>
      </c>
      <c r="T159" s="26" t="str">
        <f>IF($P159="","", IFERROR( ( _xll.IMDP("BND",$O159,S$6,$C$7,"Fill=false")-_xll.IMDP("BND",$O159,S$6,$C$5,"Fill=false"))*100, ""))</f>
        <v/>
      </c>
      <c r="U159" s="59" t="str">
        <f>IF($P159="","", _xll.IMDP("BND",$O159,U$6,$C$7,"Fill=false,DtFmt=1"))</f>
        <v/>
      </c>
      <c r="AD159" s="11"/>
      <c r="AE159" s="75" t="str">
        <f>IF(AD159="","",_xll.IMDP("BND",$AD159,AE$6,$C$7,"Fill=false"))</f>
        <v/>
      </c>
      <c r="AF159" s="27" t="str">
        <f t="shared" si="9"/>
        <v/>
      </c>
      <c r="AG159" s="9" t="str">
        <f>IF($AE159="","",_xll.IMDP("BND",$AD159,AG$6,$C$7,"Fill=false"))</f>
        <v/>
      </c>
      <c r="AH159" s="80" t="str">
        <f>IF($AE159="","", IFERROR( ( _xll.IMDP("BND",$AD159,AG$6,$C$7,"Fill=false")-_xll.IMDP("BND",$AD159,AG$6,$C$5,"Fill=false"))*100, ""))</f>
        <v/>
      </c>
      <c r="AI159" s="59" t="str">
        <f>IF($AE159="","",_xll.IMDP("BND",$AD159,AI$6,$C$7,"Fill=false,DtFmt=1"))</f>
        <v/>
      </c>
    </row>
    <row r="160" spans="7:35">
      <c r="G160" s="11"/>
      <c r="H160" s="7"/>
      <c r="I160" s="27"/>
      <c r="J160" s="8"/>
      <c r="K160" s="9"/>
      <c r="L160" s="10"/>
      <c r="M160" s="59"/>
      <c r="O160" s="11"/>
      <c r="P160" s="68" t="str">
        <f>IF(O160="","",IFERROR( _xll.IMDP("BND",$O160,P$6,$C$7,"Fill=false,DtFmt=1"),""))</f>
        <v/>
      </c>
      <c r="Q160" s="27" t="str">
        <f>IF($P160="","",SUBSTITUTE(INDEX(code_list!$O:$O,MATCH(O160,통안_code,0)),"통안",""))</f>
        <v/>
      </c>
      <c r="R160" s="8" t="str">
        <f t="shared" si="8"/>
        <v/>
      </c>
      <c r="S160" s="25" t="str">
        <f>IF($P160="","", _xll.IMDP("BND",$O160,S$6,$C$7,"Fill=false"))</f>
        <v/>
      </c>
      <c r="T160" s="26" t="str">
        <f>IF($P160="","", IFERROR( ( _xll.IMDP("BND",$O160,S$6,$C$7,"Fill=false")-_xll.IMDP("BND",$O160,S$6,$C$5,"Fill=false"))*100, ""))</f>
        <v/>
      </c>
      <c r="U160" s="59" t="str">
        <f>IF($P160="","", _xll.IMDP("BND",$O160,U$6,$C$7,"Fill=false,DtFmt=1"))</f>
        <v/>
      </c>
      <c r="AD160" s="11"/>
      <c r="AE160" s="75" t="str">
        <f>IF(AD160="","",_xll.IMDP("BND",$AD160,AE$6,$C$7,"Fill=false"))</f>
        <v/>
      </c>
      <c r="AF160" s="27" t="str">
        <f t="shared" si="9"/>
        <v/>
      </c>
      <c r="AG160" s="9" t="str">
        <f>IF($AE160="","",_xll.IMDP("BND",$AD160,AG$6,$C$7,"Fill=false"))</f>
        <v/>
      </c>
      <c r="AH160" s="80" t="str">
        <f>IF($AE160="","", IFERROR( ( _xll.IMDP("BND",$AD160,AG$6,$C$7,"Fill=false")-_xll.IMDP("BND",$AD160,AG$6,$C$5,"Fill=false"))*100, ""))</f>
        <v/>
      </c>
      <c r="AI160" s="59" t="str">
        <f>IF($AE160="","",_xll.IMDP("BND",$AD160,AI$6,$C$7,"Fill=false,DtFmt=1"))</f>
        <v/>
      </c>
    </row>
    <row r="161" spans="7:35">
      <c r="G161" s="11"/>
      <c r="H161" s="7"/>
      <c r="I161" s="27"/>
      <c r="J161" s="8"/>
      <c r="K161" s="9"/>
      <c r="L161" s="10"/>
      <c r="M161" s="59"/>
      <c r="O161" s="11"/>
      <c r="P161" s="68" t="str">
        <f>IF(O161="","",IFERROR( _xll.IMDP("BND",$O161,P$6,$C$7,"Fill=false,DtFmt=1"),""))</f>
        <v/>
      </c>
      <c r="Q161" s="27" t="str">
        <f>IF($P161="","",SUBSTITUTE(INDEX(code_list!$O:$O,MATCH(O161,통안_code,0)),"통안",""))</f>
        <v/>
      </c>
      <c r="R161" s="8" t="str">
        <f t="shared" si="8"/>
        <v/>
      </c>
      <c r="S161" s="25" t="str">
        <f>IF($P161="","", _xll.IMDP("BND",$O161,S$6,$C$7,"Fill=false"))</f>
        <v/>
      </c>
      <c r="T161" s="26" t="str">
        <f>IF($P161="","", IFERROR( ( _xll.IMDP("BND",$O161,S$6,$C$7,"Fill=false")-_xll.IMDP("BND",$O161,S$6,$C$5,"Fill=false"))*100, ""))</f>
        <v/>
      </c>
      <c r="U161" s="59" t="str">
        <f>IF($P161="","", _xll.IMDP("BND",$O161,U$6,$C$7,"Fill=false,DtFmt=1"))</f>
        <v/>
      </c>
      <c r="AD161" s="11"/>
      <c r="AE161" s="75" t="str">
        <f>IF(AD161="","",_xll.IMDP("BND",$AD161,AE$6,$C$7,"Fill=false"))</f>
        <v/>
      </c>
      <c r="AF161" s="27" t="str">
        <f t="shared" si="9"/>
        <v/>
      </c>
      <c r="AG161" s="9" t="str">
        <f>IF($AE161="","",_xll.IMDP("BND",$AD161,AG$6,$C$7,"Fill=false"))</f>
        <v/>
      </c>
      <c r="AH161" s="80" t="str">
        <f>IF($AE161="","", IFERROR( ( _xll.IMDP("BND",$AD161,AG$6,$C$7,"Fill=false")-_xll.IMDP("BND",$AD161,AG$6,$C$5,"Fill=false"))*100, ""))</f>
        <v/>
      </c>
      <c r="AI161" s="59" t="str">
        <f>IF($AE161="","",_xll.IMDP("BND",$AD161,AI$6,$C$7,"Fill=false,DtFmt=1"))</f>
        <v/>
      </c>
    </row>
    <row r="162" spans="7:35">
      <c r="G162" s="11"/>
      <c r="H162" s="7"/>
      <c r="I162" s="27"/>
      <c r="J162" s="8"/>
      <c r="K162" s="9"/>
      <c r="L162" s="10"/>
      <c r="M162" s="59"/>
      <c r="O162" s="11"/>
      <c r="P162" s="68" t="str">
        <f>IF(O162="","",IFERROR( _xll.IMDP("BND",$O162,P$6,$C$7,"Fill=false,DtFmt=1"),""))</f>
        <v/>
      </c>
      <c r="Q162" s="27" t="str">
        <f>IF($P162="","",SUBSTITUTE(INDEX(code_list!$O:$O,MATCH(O162,통안_code,0)),"통안",""))</f>
        <v/>
      </c>
      <c r="R162" s="8" t="str">
        <f t="shared" si="8"/>
        <v/>
      </c>
      <c r="S162" s="25" t="str">
        <f>IF($P162="","", _xll.IMDP("BND",$O162,S$6,$C$7,"Fill=false"))</f>
        <v/>
      </c>
      <c r="T162" s="26" t="str">
        <f>IF($P162="","", IFERROR( ( _xll.IMDP("BND",$O162,S$6,$C$7,"Fill=false")-_xll.IMDP("BND",$O162,S$6,$C$5,"Fill=false"))*100, ""))</f>
        <v/>
      </c>
      <c r="U162" s="59" t="str">
        <f>IF($P162="","", _xll.IMDP("BND",$O162,U$6,$C$7,"Fill=false,DtFmt=1"))</f>
        <v/>
      </c>
      <c r="AD162" s="11"/>
      <c r="AE162" s="75" t="str">
        <f>IF(AD162="","",_xll.IMDP("BND",$AD162,AE$6,$C$7,"Fill=false"))</f>
        <v/>
      </c>
      <c r="AF162" s="27" t="str">
        <f t="shared" si="9"/>
        <v/>
      </c>
      <c r="AG162" s="9" t="str">
        <f>IF($AE162="","",_xll.IMDP("BND",$AD162,AG$6,$C$7,"Fill=false"))</f>
        <v/>
      </c>
      <c r="AH162" s="80" t="str">
        <f>IF($AE162="","", IFERROR( ( _xll.IMDP("BND",$AD162,AG$6,$C$7,"Fill=false")-_xll.IMDP("BND",$AD162,AG$6,$C$5,"Fill=false"))*100, ""))</f>
        <v/>
      </c>
      <c r="AI162" s="59" t="str">
        <f>IF($AE162="","",_xll.IMDP("BND",$AD162,AI$6,$C$7,"Fill=false,DtFmt=1"))</f>
        <v/>
      </c>
    </row>
    <row r="163" spans="7:35">
      <c r="G163" s="11"/>
      <c r="H163" s="7"/>
      <c r="I163" s="27"/>
      <c r="J163" s="8"/>
      <c r="K163" s="9"/>
      <c r="L163" s="10"/>
      <c r="M163" s="59"/>
      <c r="O163" s="11"/>
      <c r="P163" s="68" t="str">
        <f>IF(O163="","",IFERROR( _xll.IMDP("BND",$O163,P$6,$C$7,"Fill=false,DtFmt=1"),""))</f>
        <v/>
      </c>
      <c r="Q163" s="27" t="str">
        <f>IF($P163="","",SUBSTITUTE(INDEX(code_list!$O:$O,MATCH(O163,통안_code,0)),"통안",""))</f>
        <v/>
      </c>
      <c r="R163" s="8" t="str">
        <f t="shared" si="8"/>
        <v/>
      </c>
      <c r="S163" s="25" t="str">
        <f>IF($P163="","", _xll.IMDP("BND",$O163,S$6,$C$7,"Fill=false"))</f>
        <v/>
      </c>
      <c r="T163" s="26" t="str">
        <f>IF($P163="","", IFERROR( ( _xll.IMDP("BND",$O163,S$6,$C$7,"Fill=false")-_xll.IMDP("BND",$O163,S$6,$C$5,"Fill=false"))*100, ""))</f>
        <v/>
      </c>
      <c r="U163" s="59" t="str">
        <f>IF($P163="","", _xll.IMDP("BND",$O163,U$6,$C$7,"Fill=false,DtFmt=1"))</f>
        <v/>
      </c>
      <c r="AD163" s="11"/>
      <c r="AE163" s="75" t="str">
        <f>IF(AD163="","",_xll.IMDP("BND",$AD163,AE$6,$C$7,"Fill=false"))</f>
        <v/>
      </c>
      <c r="AF163" s="27" t="str">
        <f t="shared" si="9"/>
        <v/>
      </c>
      <c r="AG163" s="9" t="str">
        <f>IF($AE163="","",_xll.IMDP("BND",$AD163,AG$6,$C$7,"Fill=false"))</f>
        <v/>
      </c>
      <c r="AH163" s="80" t="str">
        <f>IF($AE163="","", IFERROR( ( _xll.IMDP("BND",$AD163,AG$6,$C$7,"Fill=false")-_xll.IMDP("BND",$AD163,AG$6,$C$5,"Fill=false"))*100, ""))</f>
        <v/>
      </c>
      <c r="AI163" s="59" t="str">
        <f>IF($AE163="","",_xll.IMDP("BND",$AD163,AI$6,$C$7,"Fill=false,DtFmt=1"))</f>
        <v/>
      </c>
    </row>
    <row r="164" spans="7:35">
      <c r="G164" s="11"/>
      <c r="H164" s="7"/>
      <c r="I164" s="27"/>
      <c r="J164" s="8"/>
      <c r="K164" s="9"/>
      <c r="L164" s="10"/>
      <c r="M164" s="59"/>
      <c r="O164" s="11"/>
      <c r="P164" s="68" t="str">
        <f>IF(O164="","",IFERROR( _xll.IMDP("BND",$O164,P$6,$C$7,"Fill=false,DtFmt=1"),""))</f>
        <v/>
      </c>
      <c r="Q164" s="27" t="str">
        <f>IF($P164="","",SUBSTITUTE(INDEX(code_list!$O:$O,MATCH(O164,통안_code,0)),"통안",""))</f>
        <v/>
      </c>
      <c r="R164" s="8" t="str">
        <f t="shared" si="8"/>
        <v/>
      </c>
      <c r="S164" s="25" t="str">
        <f>IF($P164="","", _xll.IMDP("BND",$O164,S$6,$C$7,"Fill=false"))</f>
        <v/>
      </c>
      <c r="T164" s="26" t="str">
        <f>IF($P164="","", IFERROR( ( _xll.IMDP("BND",$O164,S$6,$C$7,"Fill=false")-_xll.IMDP("BND",$O164,S$6,$C$5,"Fill=false"))*100, ""))</f>
        <v/>
      </c>
      <c r="U164" s="59" t="str">
        <f>IF($P164="","", _xll.IMDP("BND",$O164,U$6,$C$7,"Fill=false,DtFmt=1"))</f>
        <v/>
      </c>
      <c r="AD164" s="11"/>
      <c r="AE164" s="75" t="str">
        <f>IF(AD164="","",_xll.IMDP("BND",$AD164,AE$6,$C$7,"Fill=false"))</f>
        <v/>
      </c>
      <c r="AF164" s="27" t="str">
        <f t="shared" si="9"/>
        <v/>
      </c>
      <c r="AG164" s="9" t="str">
        <f>IF($AE164="","",_xll.IMDP("BND",$AD164,AG$6,$C$7,"Fill=false"))</f>
        <v/>
      </c>
      <c r="AH164" s="80" t="str">
        <f>IF($AE164="","", IFERROR( ( _xll.IMDP("BND",$AD164,AG$6,$C$7,"Fill=false")-_xll.IMDP("BND",$AD164,AG$6,$C$5,"Fill=false"))*100, ""))</f>
        <v/>
      </c>
      <c r="AI164" s="59" t="str">
        <f>IF($AE164="","",_xll.IMDP("BND",$AD164,AI$6,$C$7,"Fill=false,DtFmt=1"))</f>
        <v/>
      </c>
    </row>
    <row r="165" spans="7:35">
      <c r="G165" s="11"/>
      <c r="H165" s="7"/>
      <c r="I165" s="27"/>
      <c r="J165" s="8"/>
      <c r="K165" s="9"/>
      <c r="L165" s="10"/>
      <c r="M165" s="59"/>
      <c r="O165" s="11"/>
      <c r="P165" s="68" t="str">
        <f>IF(O165="","",IFERROR( _xll.IMDP("BND",$O165,P$6,$C$7,"Fill=false,DtFmt=1"),""))</f>
        <v/>
      </c>
      <c r="Q165" s="27" t="str">
        <f>IF($P165="","",SUBSTITUTE(INDEX(code_list!$O:$O,MATCH(O165,통안_code,0)),"통안",""))</f>
        <v/>
      </c>
      <c r="R165" s="8" t="str">
        <f t="shared" si="8"/>
        <v/>
      </c>
      <c r="S165" s="25" t="str">
        <f>IF($P165="","", _xll.IMDP("BND",$O165,S$6,$C$7,"Fill=false"))</f>
        <v/>
      </c>
      <c r="T165" s="26" t="str">
        <f>IF($P165="","", IFERROR( ( _xll.IMDP("BND",$O165,S$6,$C$7,"Fill=false")-_xll.IMDP("BND",$O165,S$6,$C$5,"Fill=false"))*100, ""))</f>
        <v/>
      </c>
      <c r="U165" s="59" t="str">
        <f>IF($P165="","", _xll.IMDP("BND",$O165,U$6,$C$7,"Fill=false,DtFmt=1"))</f>
        <v/>
      </c>
      <c r="AD165" s="11"/>
      <c r="AE165" s="75" t="str">
        <f>IF(AD165="","",_xll.IMDP("BND",$AD165,AE$6,$C$7,"Fill=false"))</f>
        <v/>
      </c>
      <c r="AF165" s="27" t="str">
        <f t="shared" si="9"/>
        <v/>
      </c>
      <c r="AG165" s="9" t="str">
        <f>IF($AE165="","",_xll.IMDP("BND",$AD165,AG$6,$C$7,"Fill=false"))</f>
        <v/>
      </c>
      <c r="AH165" s="80" t="str">
        <f>IF($AE165="","", IFERROR( ( _xll.IMDP("BND",$AD165,AG$6,$C$7,"Fill=false")-_xll.IMDP("BND",$AD165,AG$6,$C$5,"Fill=false"))*100, ""))</f>
        <v/>
      </c>
      <c r="AI165" s="59" t="str">
        <f>IF($AE165="","",_xll.IMDP("BND",$AD165,AI$6,$C$7,"Fill=false,DtFmt=1"))</f>
        <v/>
      </c>
    </row>
    <row r="166" spans="7:35">
      <c r="G166" s="11"/>
      <c r="H166" s="7"/>
      <c r="I166" s="27"/>
      <c r="J166" s="8"/>
      <c r="K166" s="9"/>
      <c r="L166" s="10"/>
      <c r="M166" s="59"/>
      <c r="O166" s="11"/>
      <c r="P166" s="68" t="str">
        <f>IF(O166="","",IFERROR( _xll.IMDP("BND",$O166,P$6,$C$7,"Fill=false,DtFmt=1"),""))</f>
        <v/>
      </c>
      <c r="Q166" s="27" t="str">
        <f>IF($P166="","",SUBSTITUTE(INDEX(code_list!$O:$O,MATCH(O166,통안_code,0)),"통안",""))</f>
        <v/>
      </c>
      <c r="R166" s="8" t="str">
        <f t="shared" si="8"/>
        <v/>
      </c>
      <c r="S166" s="25" t="str">
        <f>IF($P166="","", _xll.IMDP("BND",$O166,S$6,$C$7,"Fill=false"))</f>
        <v/>
      </c>
      <c r="T166" s="26" t="str">
        <f>IF($P166="","", IFERROR( ( _xll.IMDP("BND",$O166,S$6,$C$7,"Fill=false")-_xll.IMDP("BND",$O166,S$6,$C$5,"Fill=false"))*100, ""))</f>
        <v/>
      </c>
      <c r="U166" s="59" t="str">
        <f>IF($P166="","", _xll.IMDP("BND",$O166,U$6,$C$7,"Fill=false,DtFmt=1"))</f>
        <v/>
      </c>
      <c r="AD166" s="11"/>
      <c r="AE166" s="75" t="str">
        <f>IF(AD166="","",_xll.IMDP("BND",$AD166,AE$6,$C$7,"Fill=false"))</f>
        <v/>
      </c>
      <c r="AF166" s="27" t="str">
        <f t="shared" si="9"/>
        <v/>
      </c>
      <c r="AG166" s="9" t="str">
        <f>IF($AE166="","",_xll.IMDP("BND",$AD166,AG$6,$C$7,"Fill=false"))</f>
        <v/>
      </c>
      <c r="AH166" s="80" t="str">
        <f>IF($AE166="","", IFERROR( ( _xll.IMDP("BND",$AD166,AG$6,$C$7,"Fill=false")-_xll.IMDP("BND",$AD166,AG$6,$C$5,"Fill=false"))*100, ""))</f>
        <v/>
      </c>
      <c r="AI166" s="59" t="str">
        <f>IF($AE166="","",_xll.IMDP("BND",$AD166,AI$6,$C$7,"Fill=false,DtFmt=1"))</f>
        <v/>
      </c>
    </row>
    <row r="167" spans="7:35">
      <c r="G167" s="11"/>
      <c r="H167" s="7"/>
      <c r="I167" s="27"/>
      <c r="J167" s="8"/>
      <c r="K167" s="9"/>
      <c r="L167" s="10"/>
      <c r="M167" s="59"/>
      <c r="O167" s="11"/>
      <c r="P167" s="68" t="str">
        <f>IF(O167="","",IFERROR( _xll.IMDP("BND",$O167,P$6,$C$7,"Fill=false,DtFmt=1"),""))</f>
        <v/>
      </c>
      <c r="Q167" s="27" t="str">
        <f>IF($P167="","",SUBSTITUTE(INDEX(code_list!$O:$O,MATCH(O167,통안_code,0)),"통안",""))</f>
        <v/>
      </c>
      <c r="R167" s="8" t="str">
        <f t="shared" si="8"/>
        <v/>
      </c>
      <c r="S167" s="25" t="str">
        <f>IF($P167="","", _xll.IMDP("BND",$O167,S$6,$C$7,"Fill=false"))</f>
        <v/>
      </c>
      <c r="T167" s="26" t="str">
        <f>IF($P167="","", IFERROR( ( _xll.IMDP("BND",$O167,S$6,$C$7,"Fill=false")-_xll.IMDP("BND",$O167,S$6,$C$5,"Fill=false"))*100, ""))</f>
        <v/>
      </c>
      <c r="U167" s="59" t="str">
        <f>IF($P167="","", _xll.IMDP("BND",$O167,U$6,$C$7,"Fill=false,DtFmt=1"))</f>
        <v/>
      </c>
      <c r="AD167" s="11"/>
      <c r="AE167" s="75" t="str">
        <f>IF(AD167="","",_xll.IMDP("BND",$AD167,AE$6,$C$7,"Fill=false"))</f>
        <v/>
      </c>
      <c r="AF167" s="27" t="str">
        <f t="shared" si="9"/>
        <v/>
      </c>
      <c r="AG167" s="9" t="str">
        <f>IF($AE167="","",_xll.IMDP("BND",$AD167,AG$6,$C$7,"Fill=false"))</f>
        <v/>
      </c>
      <c r="AH167" s="80" t="str">
        <f>IF($AE167="","", IFERROR( ( _xll.IMDP("BND",$AD167,AG$6,$C$7,"Fill=false")-_xll.IMDP("BND",$AD167,AG$6,$C$5,"Fill=false"))*100, ""))</f>
        <v/>
      </c>
      <c r="AI167" s="59" t="str">
        <f>IF($AE167="","",_xll.IMDP("BND",$AD167,AI$6,$C$7,"Fill=false,DtFmt=1"))</f>
        <v/>
      </c>
    </row>
    <row r="168" spans="7:35">
      <c r="G168" s="11"/>
      <c r="H168" s="7"/>
      <c r="I168" s="27"/>
      <c r="J168" s="8"/>
      <c r="K168" s="9"/>
      <c r="L168" s="10"/>
      <c r="M168" s="59"/>
      <c r="O168" s="11"/>
      <c r="P168" s="68" t="str">
        <f>IF(O168="","",IFERROR( _xll.IMDP("BND",$O168,P$6,$C$7,"Fill=false,DtFmt=1"),""))</f>
        <v/>
      </c>
      <c r="Q168" s="27" t="str">
        <f>IF($P168="","",SUBSTITUTE(INDEX(code_list!$O:$O,MATCH(O168,통안_code,0)),"통안",""))</f>
        <v/>
      </c>
      <c r="R168" s="8" t="str">
        <f t="shared" si="8"/>
        <v/>
      </c>
      <c r="S168" s="25" t="str">
        <f>IF($P168="","", _xll.IMDP("BND",$O168,S$6,$C$7,"Fill=false"))</f>
        <v/>
      </c>
      <c r="T168" s="26" t="str">
        <f>IF($P168="","", IFERROR( ( _xll.IMDP("BND",$O168,S$6,$C$7,"Fill=false")-_xll.IMDP("BND",$O168,S$6,$C$5,"Fill=false"))*100, ""))</f>
        <v/>
      </c>
      <c r="U168" s="59" t="str">
        <f>IF($P168="","", _xll.IMDP("BND",$O168,U$6,$C$7,"Fill=false,DtFmt=1"))</f>
        <v/>
      </c>
      <c r="AD168" s="11"/>
      <c r="AE168" s="75" t="str">
        <f>IF(AD168="","",_xll.IMDP("BND",$AD168,AE$6,$C$7,"Fill=false"))</f>
        <v/>
      </c>
      <c r="AF168" s="27" t="str">
        <f t="shared" si="9"/>
        <v/>
      </c>
      <c r="AG168" s="9" t="str">
        <f>IF($AE168="","",_xll.IMDP("BND",$AD168,AG$6,$C$7,"Fill=false"))</f>
        <v/>
      </c>
      <c r="AH168" s="80" t="str">
        <f>IF($AE168="","", IFERROR( ( _xll.IMDP("BND",$AD168,AG$6,$C$7,"Fill=false")-_xll.IMDP("BND",$AD168,AG$6,$C$5,"Fill=false"))*100, ""))</f>
        <v/>
      </c>
      <c r="AI168" s="59" t="str">
        <f>IF($AE168="","",_xll.IMDP("BND",$AD168,AI$6,$C$7,"Fill=false,DtFmt=1"))</f>
        <v/>
      </c>
    </row>
    <row r="169" spans="7:35">
      <c r="G169" s="11"/>
      <c r="H169" s="7"/>
      <c r="I169" s="27"/>
      <c r="J169" s="8"/>
      <c r="K169" s="9"/>
      <c r="L169" s="10"/>
      <c r="M169" s="59"/>
      <c r="O169" s="11"/>
      <c r="P169" s="68" t="str">
        <f>IF(O169="","",IFERROR( _xll.IMDP("BND",$O169,P$6,$C$7,"Fill=false,DtFmt=1"),""))</f>
        <v/>
      </c>
      <c r="Q169" s="27" t="str">
        <f>IF($P169="","",SUBSTITUTE(INDEX(code_list!$O:$O,MATCH(O169,통안_code,0)),"통안",""))</f>
        <v/>
      </c>
      <c r="R169" s="8" t="str">
        <f t="shared" si="8"/>
        <v/>
      </c>
      <c r="S169" s="25" t="str">
        <f>IF($P169="","", _xll.IMDP("BND",$O169,S$6,$C$7,"Fill=false"))</f>
        <v/>
      </c>
      <c r="T169" s="26" t="str">
        <f>IF($P169="","", IFERROR( ( _xll.IMDP("BND",$O169,S$6,$C$7,"Fill=false")-_xll.IMDP("BND",$O169,S$6,$C$5,"Fill=false"))*100, ""))</f>
        <v/>
      </c>
      <c r="U169" s="59" t="str">
        <f>IF($P169="","", _xll.IMDP("BND",$O169,U$6,$C$7,"Fill=false,DtFmt=1"))</f>
        <v/>
      </c>
      <c r="AD169" s="11"/>
      <c r="AE169" s="75" t="str">
        <f>IF(AD169="","",_xll.IMDP("BND",$AD169,AE$6,$C$7,"Fill=false"))</f>
        <v/>
      </c>
      <c r="AF169" s="27" t="str">
        <f t="shared" si="9"/>
        <v/>
      </c>
      <c r="AG169" s="9" t="str">
        <f>IF($AE169="","",_xll.IMDP("BND",$AD169,AG$6,$C$7,"Fill=false"))</f>
        <v/>
      </c>
      <c r="AH169" s="80" t="str">
        <f>IF($AE169="","", IFERROR( ( _xll.IMDP("BND",$AD169,AG$6,$C$7,"Fill=false")-_xll.IMDP("BND",$AD169,AG$6,$C$5,"Fill=false"))*100, ""))</f>
        <v/>
      </c>
      <c r="AI169" s="59" t="str">
        <f>IF($AE169="","",_xll.IMDP("BND",$AD169,AI$6,$C$7,"Fill=false,DtFmt=1"))</f>
        <v/>
      </c>
    </row>
    <row r="170" spans="7:35">
      <c r="G170" s="11"/>
      <c r="H170" s="7"/>
      <c r="I170" s="27"/>
      <c r="J170" s="8"/>
      <c r="K170" s="9"/>
      <c r="L170" s="10"/>
      <c r="M170" s="59"/>
      <c r="O170" s="11"/>
      <c r="P170" s="68" t="str">
        <f>IF(O170="","",IFERROR( _xll.IMDP("BND",$O170,P$6,$C$7,"Fill=false,DtFmt=1"),""))</f>
        <v/>
      </c>
      <c r="Q170" s="27" t="str">
        <f>IF($P170="","",SUBSTITUTE(INDEX(code_list!$O:$O,MATCH(O170,통안_code,0)),"통안",""))</f>
        <v/>
      </c>
      <c r="R170" s="8" t="str">
        <f t="shared" si="8"/>
        <v/>
      </c>
      <c r="S170" s="25" t="str">
        <f>IF($P170="","", _xll.IMDP("BND",$O170,S$6,$C$7,"Fill=false"))</f>
        <v/>
      </c>
      <c r="T170" s="26" t="str">
        <f>IF($P170="","", IFERROR( ( _xll.IMDP("BND",$O170,S$6,$C$7,"Fill=false")-_xll.IMDP("BND",$O170,S$6,$C$5,"Fill=false"))*100, ""))</f>
        <v/>
      </c>
      <c r="U170" s="59" t="str">
        <f>IF($P170="","", _xll.IMDP("BND",$O170,U$6,$C$7,"Fill=false,DtFmt=1"))</f>
        <v/>
      </c>
      <c r="AD170" s="11"/>
      <c r="AE170" s="75" t="str">
        <f>IF(AD170="","",_xll.IMDP("BND",$AD170,AE$6,$C$7,"Fill=false"))</f>
        <v/>
      </c>
      <c r="AF170" s="27" t="str">
        <f t="shared" si="9"/>
        <v/>
      </c>
      <c r="AG170" s="9" t="str">
        <f>IF($AE170="","",_xll.IMDP("BND",$AD170,AG$6,$C$7,"Fill=false"))</f>
        <v/>
      </c>
      <c r="AH170" s="80" t="str">
        <f>IF($AE170="","", IFERROR( ( _xll.IMDP("BND",$AD170,AG$6,$C$7,"Fill=false")-_xll.IMDP("BND",$AD170,AG$6,$C$5,"Fill=false"))*100, ""))</f>
        <v/>
      </c>
      <c r="AI170" s="59" t="str">
        <f>IF($AE170="","",_xll.IMDP("BND",$AD170,AI$6,$C$7,"Fill=false,DtFmt=1"))</f>
        <v/>
      </c>
    </row>
    <row r="171" spans="7:35">
      <c r="G171" s="11"/>
      <c r="H171" s="7"/>
      <c r="I171" s="27"/>
      <c r="J171" s="8"/>
      <c r="K171" s="9"/>
      <c r="L171" s="10"/>
      <c r="M171" s="59"/>
      <c r="O171" s="11"/>
      <c r="P171" s="68" t="str">
        <f>IF(O171="","",IFERROR( _xll.IMDP("BND",$O171,P$6,$C$7,"Fill=false,DtFmt=1"),""))</f>
        <v/>
      </c>
      <c r="Q171" s="27" t="str">
        <f>IF($P171="","",SUBSTITUTE(INDEX(code_list!$O:$O,MATCH(O171,통안_code,0)),"통안",""))</f>
        <v/>
      </c>
      <c r="R171" s="8" t="str">
        <f t="shared" si="8"/>
        <v/>
      </c>
      <c r="S171" s="25" t="str">
        <f>IF($P171="","", _xll.IMDP("BND",$O171,S$6,$C$7,"Fill=false"))</f>
        <v/>
      </c>
      <c r="T171" s="26" t="str">
        <f>IF($P171="","", IFERROR( ( _xll.IMDP("BND",$O171,S$6,$C$7,"Fill=false")-_xll.IMDP("BND",$O171,S$6,$C$5,"Fill=false"))*100, ""))</f>
        <v/>
      </c>
      <c r="U171" s="59" t="str">
        <f>IF($P171="","", _xll.IMDP("BND",$O171,U$6,$C$7,"Fill=false,DtFmt=1"))</f>
        <v/>
      </c>
      <c r="AD171" s="11"/>
      <c r="AE171" s="75" t="str">
        <f>IF(AD171="","",_xll.IMDP("BND",$AD171,AE$6,$C$7,"Fill=false"))</f>
        <v/>
      </c>
      <c r="AF171" s="27" t="str">
        <f t="shared" si="9"/>
        <v/>
      </c>
      <c r="AG171" s="9" t="str">
        <f>IF($AE171="","",_xll.IMDP("BND",$AD171,AG$6,$C$7,"Fill=false"))</f>
        <v/>
      </c>
      <c r="AH171" s="80" t="str">
        <f>IF($AE171="","", IFERROR( ( _xll.IMDP("BND",$AD171,AG$6,$C$7,"Fill=false")-_xll.IMDP("BND",$AD171,AG$6,$C$5,"Fill=false"))*100, ""))</f>
        <v/>
      </c>
      <c r="AI171" s="59" t="str">
        <f>IF($AE171="","",_xll.IMDP("BND",$AD171,AI$6,$C$7,"Fill=false,DtFmt=1"))</f>
        <v/>
      </c>
    </row>
    <row r="172" spans="7:35">
      <c r="G172" s="11"/>
      <c r="H172" s="7"/>
      <c r="I172" s="27"/>
      <c r="J172" s="8"/>
      <c r="K172" s="9"/>
      <c r="L172" s="10"/>
      <c r="M172" s="59"/>
      <c r="O172" s="11"/>
      <c r="P172" s="68" t="str">
        <f>IF(O172="","",IFERROR( _xll.IMDP("BND",$O172,P$6,$C$7,"Fill=false,DtFmt=1"),""))</f>
        <v/>
      </c>
      <c r="Q172" s="27" t="str">
        <f>IF($P172="","",SUBSTITUTE(INDEX(code_list!$O:$O,MATCH(O172,통안_code,0)),"통안",""))</f>
        <v/>
      </c>
      <c r="R172" s="8" t="str">
        <f t="shared" si="8"/>
        <v/>
      </c>
      <c r="S172" s="25" t="str">
        <f>IF($P172="","", _xll.IMDP("BND",$O172,S$6,$C$7,"Fill=false"))</f>
        <v/>
      </c>
      <c r="T172" s="26" t="str">
        <f>IF($P172="","", IFERROR( ( _xll.IMDP("BND",$O172,S$6,$C$7,"Fill=false")-_xll.IMDP("BND",$O172,S$6,$C$5,"Fill=false"))*100, ""))</f>
        <v/>
      </c>
      <c r="U172" s="59" t="str">
        <f>IF($P172="","", _xll.IMDP("BND",$O172,U$6,$C$7,"Fill=false,DtFmt=1"))</f>
        <v/>
      </c>
      <c r="AD172" s="11"/>
      <c r="AE172" s="75" t="str">
        <f>IF(AD172="","",_xll.IMDP("BND",$AD172,AE$6,$C$7,"Fill=false"))</f>
        <v/>
      </c>
      <c r="AF172" s="27" t="str">
        <f t="shared" si="9"/>
        <v/>
      </c>
      <c r="AG172" s="9" t="str">
        <f>IF($AE172="","",_xll.IMDP("BND",$AD172,AG$6,$C$7,"Fill=false"))</f>
        <v/>
      </c>
      <c r="AH172" s="80" t="str">
        <f>IF($AE172="","", IFERROR( ( _xll.IMDP("BND",$AD172,AG$6,$C$7,"Fill=false")-_xll.IMDP("BND",$AD172,AG$6,$C$5,"Fill=false"))*100, ""))</f>
        <v/>
      </c>
      <c r="AI172" s="59" t="str">
        <f>IF($AE172="","",_xll.IMDP("BND",$AD172,AI$6,$C$7,"Fill=false,DtFmt=1"))</f>
        <v/>
      </c>
    </row>
    <row r="173" spans="7:35">
      <c r="G173" s="11"/>
      <c r="H173" s="7"/>
      <c r="I173" s="27"/>
      <c r="J173" s="8"/>
      <c r="K173" s="9"/>
      <c r="L173" s="10"/>
      <c r="M173" s="59"/>
      <c r="O173" s="11"/>
      <c r="P173" s="68" t="str">
        <f>IF(O173="","",IFERROR( _xll.IMDP("BND",$O173,P$6,$C$7,"Fill=false,DtFmt=1"),""))</f>
        <v/>
      </c>
      <c r="Q173" s="27" t="str">
        <f>IF($P173="","",SUBSTITUTE(INDEX(code_list!$O:$O,MATCH(O173,통안_code,0)),"통안",""))</f>
        <v/>
      </c>
      <c r="R173" s="8" t="str">
        <f t="shared" si="8"/>
        <v/>
      </c>
      <c r="S173" s="25" t="str">
        <f>IF($P173="","", _xll.IMDP("BND",$O173,S$6,$C$7,"Fill=false"))</f>
        <v/>
      </c>
      <c r="T173" s="26" t="str">
        <f>IF($P173="","", IFERROR( ( _xll.IMDP("BND",$O173,S$6,$C$7,"Fill=false")-_xll.IMDP("BND",$O173,S$6,$C$5,"Fill=false"))*100, ""))</f>
        <v/>
      </c>
      <c r="U173" s="59" t="str">
        <f>IF($P173="","", _xll.IMDP("BND",$O173,U$6,$C$7,"Fill=false,DtFmt=1"))</f>
        <v/>
      </c>
      <c r="AD173" s="11"/>
      <c r="AE173" s="75" t="str">
        <f>IF(AD173="","",_xll.IMDP("BND",$AD173,AE$6,$C$7,"Fill=false"))</f>
        <v/>
      </c>
      <c r="AF173" s="27" t="str">
        <f t="shared" si="9"/>
        <v/>
      </c>
      <c r="AG173" s="9" t="str">
        <f>IF($AE173="","",_xll.IMDP("BND",$AD173,AG$6,$C$7,"Fill=false"))</f>
        <v/>
      </c>
      <c r="AH173" s="80" t="str">
        <f>IF($AE173="","", IFERROR( ( _xll.IMDP("BND",$AD173,AG$6,$C$7,"Fill=false")-_xll.IMDP("BND",$AD173,AG$6,$C$5,"Fill=false"))*100, ""))</f>
        <v/>
      </c>
      <c r="AI173" s="59" t="str">
        <f>IF($AE173="","",_xll.IMDP("BND",$AD173,AI$6,$C$7,"Fill=false,DtFmt=1"))</f>
        <v/>
      </c>
    </row>
    <row r="174" spans="7:35">
      <c r="G174" s="11"/>
      <c r="H174" s="7"/>
      <c r="I174" s="27"/>
      <c r="J174" s="8"/>
      <c r="K174" s="9"/>
      <c r="L174" s="10"/>
      <c r="M174" s="59"/>
      <c r="O174" s="11"/>
      <c r="P174" s="68" t="str">
        <f>IF(O174="","",IFERROR( _xll.IMDP("BND",$O174,P$6,$C$7,"Fill=false,DtFmt=1"),""))</f>
        <v/>
      </c>
      <c r="Q174" s="27" t="str">
        <f>IF($P174="","",SUBSTITUTE(INDEX(code_list!$O:$O,MATCH(O174,통안_code,0)),"통안",""))</f>
        <v/>
      </c>
      <c r="R174" s="8" t="str">
        <f t="shared" si="8"/>
        <v/>
      </c>
      <c r="S174" s="25" t="str">
        <f>IF($P174="","", _xll.IMDP("BND",$O174,S$6,$C$7,"Fill=false"))</f>
        <v/>
      </c>
      <c r="T174" s="26" t="str">
        <f>IF($P174="","", IFERROR( ( _xll.IMDP("BND",$O174,S$6,$C$7,"Fill=false")-_xll.IMDP("BND",$O174,S$6,$C$5,"Fill=false"))*100, ""))</f>
        <v/>
      </c>
      <c r="U174" s="59" t="str">
        <f>IF($P174="","", _xll.IMDP("BND",$O174,U$6,$C$7,"Fill=false,DtFmt=1"))</f>
        <v/>
      </c>
      <c r="AD174" s="11"/>
      <c r="AE174" s="75" t="str">
        <f>IF(AD174="","",_xll.IMDP("BND",$AD174,AE$6,$C$7,"Fill=false"))</f>
        <v/>
      </c>
      <c r="AF174" s="27" t="str">
        <f t="shared" si="9"/>
        <v/>
      </c>
      <c r="AG174" s="9" t="str">
        <f>IF($AE174="","",_xll.IMDP("BND",$AD174,AG$6,$C$7,"Fill=false"))</f>
        <v/>
      </c>
      <c r="AH174" s="80" t="str">
        <f>IF($AE174="","", IFERROR( ( _xll.IMDP("BND",$AD174,AG$6,$C$7,"Fill=false")-_xll.IMDP("BND",$AD174,AG$6,$C$5,"Fill=false"))*100, ""))</f>
        <v/>
      </c>
      <c r="AI174" s="59" t="str">
        <f>IF($AE174="","",_xll.IMDP("BND",$AD174,AI$6,$C$7,"Fill=false,DtFmt=1"))</f>
        <v/>
      </c>
    </row>
    <row r="175" spans="7:35">
      <c r="G175" s="11"/>
      <c r="H175" s="7"/>
      <c r="I175" s="27"/>
      <c r="J175" s="8"/>
      <c r="K175" s="9"/>
      <c r="L175" s="10"/>
      <c r="M175" s="59"/>
      <c r="O175" s="11"/>
      <c r="P175" s="68" t="str">
        <f>IF(O175="","",IFERROR( _xll.IMDP("BND",$O175,P$6,$C$7,"Fill=false,DtFmt=1"),""))</f>
        <v/>
      </c>
      <c r="Q175" s="27" t="str">
        <f>IF($P175="","",SUBSTITUTE(INDEX(code_list!$O:$O,MATCH(O175,통안_code,0)),"통안",""))</f>
        <v/>
      </c>
      <c r="R175" s="8" t="str">
        <f t="shared" si="8"/>
        <v/>
      </c>
      <c r="S175" s="25" t="str">
        <f>IF($P175="","", _xll.IMDP("BND",$O175,S$6,$C$7,"Fill=false"))</f>
        <v/>
      </c>
      <c r="T175" s="26" t="str">
        <f>IF($P175="","", IFERROR( ( _xll.IMDP("BND",$O175,S$6,$C$7,"Fill=false")-_xll.IMDP("BND",$O175,S$6,$C$5,"Fill=false"))*100, ""))</f>
        <v/>
      </c>
      <c r="U175" s="59" t="str">
        <f>IF($P175="","", _xll.IMDP("BND",$O175,U$6,$C$7,"Fill=false,DtFmt=1"))</f>
        <v/>
      </c>
      <c r="AD175" s="11"/>
      <c r="AE175" s="75" t="str">
        <f>IF(AD175="","",_xll.IMDP("BND",$AD175,AE$6,$C$7,"Fill=false"))</f>
        <v/>
      </c>
      <c r="AF175" s="27" t="str">
        <f t="shared" si="9"/>
        <v/>
      </c>
      <c r="AG175" s="9" t="str">
        <f>IF($AE175="","",_xll.IMDP("BND",$AD175,AG$6,$C$7,"Fill=false"))</f>
        <v/>
      </c>
      <c r="AH175" s="80" t="str">
        <f>IF($AE175="","", IFERROR( ( _xll.IMDP("BND",$AD175,AG$6,$C$7,"Fill=false")-_xll.IMDP("BND",$AD175,AG$6,$C$5,"Fill=false"))*100, ""))</f>
        <v/>
      </c>
      <c r="AI175" s="59" t="str">
        <f>IF($AE175="","",_xll.IMDP("BND",$AD175,AI$6,$C$7,"Fill=false,DtFmt=1"))</f>
        <v/>
      </c>
    </row>
    <row r="176" spans="7:35">
      <c r="G176" s="11"/>
      <c r="H176" s="7"/>
      <c r="I176" s="27"/>
      <c r="J176" s="8"/>
      <c r="K176" s="9"/>
      <c r="L176" s="10"/>
      <c r="M176" s="59"/>
      <c r="O176" s="11"/>
      <c r="P176" s="68" t="str">
        <f>IF(O176="","",IFERROR( _xll.IMDP("BND",$O176,P$6,$C$7,"Fill=false,DtFmt=1"),""))</f>
        <v/>
      </c>
      <c r="Q176" s="27" t="str">
        <f>IF($P176="","",SUBSTITUTE(INDEX(code_list!$O:$O,MATCH(O176,통안_code,0)),"통안",""))</f>
        <v/>
      </c>
      <c r="R176" s="8" t="str">
        <f t="shared" si="8"/>
        <v/>
      </c>
      <c r="S176" s="25" t="str">
        <f>IF($P176="","", _xll.IMDP("BND",$O176,S$6,$C$7,"Fill=false"))</f>
        <v/>
      </c>
      <c r="T176" s="26" t="str">
        <f>IF($P176="","", IFERROR( ( _xll.IMDP("BND",$O176,S$6,$C$7,"Fill=false")-_xll.IMDP("BND",$O176,S$6,$C$5,"Fill=false"))*100, ""))</f>
        <v/>
      </c>
      <c r="U176" s="59" t="str">
        <f>IF($P176="","", _xll.IMDP("BND",$O176,U$6,$C$7,"Fill=false,DtFmt=1"))</f>
        <v/>
      </c>
      <c r="AD176" s="11"/>
      <c r="AE176" s="75" t="str">
        <f>IF(AD176="","",_xll.IMDP("BND",$AD176,AE$6,$C$7,"Fill=false"))</f>
        <v/>
      </c>
      <c r="AF176" s="27" t="str">
        <f t="shared" si="9"/>
        <v/>
      </c>
      <c r="AG176" s="9" t="str">
        <f>IF($AE176="","",_xll.IMDP("BND",$AD176,AG$6,$C$7,"Fill=false"))</f>
        <v/>
      </c>
      <c r="AH176" s="80" t="str">
        <f>IF($AE176="","", IFERROR( ( _xll.IMDP("BND",$AD176,AG$6,$C$7,"Fill=false")-_xll.IMDP("BND",$AD176,AG$6,$C$5,"Fill=false"))*100, ""))</f>
        <v/>
      </c>
      <c r="AI176" s="59" t="str">
        <f>IF($AE176="","",_xll.IMDP("BND",$AD176,AI$6,$C$7,"Fill=false,DtFmt=1"))</f>
        <v/>
      </c>
    </row>
    <row r="177" spans="7:35">
      <c r="G177" s="11"/>
      <c r="H177" s="7"/>
      <c r="I177" s="27"/>
      <c r="J177" s="8"/>
      <c r="K177" s="9"/>
      <c r="L177" s="10"/>
      <c r="M177" s="59"/>
      <c r="O177" s="11"/>
      <c r="P177" s="68" t="str">
        <f>IF(O177="","",IFERROR( _xll.IMDP("BND",$O177,P$6,$C$7,"Fill=false,DtFmt=1"),""))</f>
        <v/>
      </c>
      <c r="Q177" s="27" t="str">
        <f>IF($P177="","",SUBSTITUTE(INDEX(code_list!$O:$O,MATCH(O177,통안_code,0)),"통안",""))</f>
        <v/>
      </c>
      <c r="R177" s="8" t="str">
        <f t="shared" si="8"/>
        <v/>
      </c>
      <c r="S177" s="25" t="str">
        <f>IF($P177="","", _xll.IMDP("BND",$O177,S$6,$C$7,"Fill=false"))</f>
        <v/>
      </c>
      <c r="T177" s="26" t="str">
        <f>IF($P177="","", IFERROR( ( _xll.IMDP("BND",$O177,S$6,$C$7,"Fill=false")-_xll.IMDP("BND",$O177,S$6,$C$5,"Fill=false"))*100, ""))</f>
        <v/>
      </c>
      <c r="U177" s="59" t="str">
        <f>IF($P177="","", _xll.IMDP("BND",$O177,U$6,$C$7,"Fill=false,DtFmt=1"))</f>
        <v/>
      </c>
      <c r="AD177" s="11"/>
      <c r="AE177" s="75" t="str">
        <f>IF(AD177="","",_xll.IMDP("BND",$AD177,AE$6,$C$7,"Fill=false"))</f>
        <v/>
      </c>
      <c r="AF177" s="27" t="str">
        <f t="shared" si="9"/>
        <v/>
      </c>
      <c r="AG177" s="9" t="str">
        <f>IF($AE177="","",_xll.IMDP("BND",$AD177,AG$6,$C$7,"Fill=false"))</f>
        <v/>
      </c>
      <c r="AH177" s="80" t="str">
        <f>IF($AE177="","", IFERROR( ( _xll.IMDP("BND",$AD177,AG$6,$C$7,"Fill=false")-_xll.IMDP("BND",$AD177,AG$6,$C$5,"Fill=false"))*100, ""))</f>
        <v/>
      </c>
      <c r="AI177" s="59" t="str">
        <f>IF($AE177="","",_xll.IMDP("BND",$AD177,AI$6,$C$7,"Fill=false,DtFmt=1"))</f>
        <v/>
      </c>
    </row>
    <row r="178" spans="7:35">
      <c r="G178" s="11"/>
      <c r="H178" s="7"/>
      <c r="I178" s="27"/>
      <c r="J178" s="8"/>
      <c r="K178" s="9"/>
      <c r="L178" s="10"/>
      <c r="M178" s="59"/>
      <c r="O178" s="11"/>
      <c r="P178" s="68" t="str">
        <f>IF(O178="","",IFERROR( _xll.IMDP("BND",$O178,P$6,$C$7,"Fill=false,DtFmt=1"),""))</f>
        <v/>
      </c>
      <c r="Q178" s="27" t="str">
        <f>IF($P178="","",SUBSTITUTE(INDEX(code_list!$O:$O,MATCH(O178,통안_code,0)),"통안",""))</f>
        <v/>
      </c>
      <c r="R178" s="8" t="str">
        <f t="shared" si="8"/>
        <v/>
      </c>
      <c r="S178" s="25" t="str">
        <f>IF($P178="","", _xll.IMDP("BND",$O178,S$6,$C$7,"Fill=false"))</f>
        <v/>
      </c>
      <c r="T178" s="26" t="str">
        <f>IF($P178="","", IFERROR( ( _xll.IMDP("BND",$O178,S$6,$C$7,"Fill=false")-_xll.IMDP("BND",$O178,S$6,$C$5,"Fill=false"))*100, ""))</f>
        <v/>
      </c>
      <c r="U178" s="59" t="str">
        <f>IF($P178="","", _xll.IMDP("BND",$O178,U$6,$C$7,"Fill=false,DtFmt=1"))</f>
        <v/>
      </c>
      <c r="AD178" s="11"/>
      <c r="AE178" s="75" t="str">
        <f>IF(AD178="","",_xll.IMDP("BND",$AD178,AE$6,$C$7,"Fill=false"))</f>
        <v/>
      </c>
      <c r="AF178" s="27" t="str">
        <f t="shared" si="9"/>
        <v/>
      </c>
      <c r="AG178" s="9" t="str">
        <f>IF($AE178="","",_xll.IMDP("BND",$AD178,AG$6,$C$7,"Fill=false"))</f>
        <v/>
      </c>
      <c r="AH178" s="80" t="str">
        <f>IF($AE178="","", IFERROR( ( _xll.IMDP("BND",$AD178,AG$6,$C$7,"Fill=false")-_xll.IMDP("BND",$AD178,AG$6,$C$5,"Fill=false"))*100, ""))</f>
        <v/>
      </c>
      <c r="AI178" s="59" t="str">
        <f>IF($AE178="","",_xll.IMDP("BND",$AD178,AI$6,$C$7,"Fill=false,DtFmt=1"))</f>
        <v/>
      </c>
    </row>
    <row r="179" spans="7:35">
      <c r="G179" s="11"/>
      <c r="H179" s="7"/>
      <c r="I179" s="27"/>
      <c r="J179" s="8"/>
      <c r="K179" s="9"/>
      <c r="L179" s="10"/>
      <c r="M179" s="59"/>
      <c r="O179" s="11"/>
      <c r="P179" s="68" t="str">
        <f>IF(O179="","",IFERROR( _xll.IMDP("BND",$O179,P$6,$C$7,"Fill=false,DtFmt=1"),""))</f>
        <v/>
      </c>
      <c r="Q179" s="27" t="str">
        <f>IF($P179="","",SUBSTITUTE(INDEX(code_list!$O:$O,MATCH(O179,통안_code,0)),"통안",""))</f>
        <v/>
      </c>
      <c r="R179" s="8" t="str">
        <f t="shared" si="8"/>
        <v/>
      </c>
      <c r="S179" s="25" t="str">
        <f>IF($P179="","", _xll.IMDP("BND",$O179,S$6,$C$7,"Fill=false"))</f>
        <v/>
      </c>
      <c r="T179" s="26" t="str">
        <f>IF($P179="","", IFERROR( ( _xll.IMDP("BND",$O179,S$6,$C$7,"Fill=false")-_xll.IMDP("BND",$O179,S$6,$C$5,"Fill=false"))*100, ""))</f>
        <v/>
      </c>
      <c r="U179" s="59" t="str">
        <f>IF($P179="","", _xll.IMDP("BND",$O179,U$6,$C$7,"Fill=false,DtFmt=1"))</f>
        <v/>
      </c>
      <c r="AD179" s="11"/>
      <c r="AE179" s="75" t="str">
        <f>IF(AD179="","",_xll.IMDP("BND",$AD179,AE$6,$C$7,"Fill=false"))</f>
        <v/>
      </c>
      <c r="AF179" s="27" t="str">
        <f t="shared" si="9"/>
        <v/>
      </c>
      <c r="AG179" s="9" t="str">
        <f>IF($AE179="","",_xll.IMDP("BND",$AD179,AG$6,$C$7,"Fill=false"))</f>
        <v/>
      </c>
      <c r="AH179" s="80" t="str">
        <f>IF($AE179="","", IFERROR( ( _xll.IMDP("BND",$AD179,AG$6,$C$7,"Fill=false")-_xll.IMDP("BND",$AD179,AG$6,$C$5,"Fill=false"))*100, ""))</f>
        <v/>
      </c>
      <c r="AI179" s="59" t="str">
        <f>IF($AE179="","",_xll.IMDP("BND",$AD179,AI$6,$C$7,"Fill=false,DtFmt=1"))</f>
        <v/>
      </c>
    </row>
    <row r="180" spans="7:35">
      <c r="G180" s="11"/>
      <c r="H180" s="7"/>
      <c r="I180" s="27"/>
      <c r="J180" s="8"/>
      <c r="K180" s="9"/>
      <c r="L180" s="10"/>
      <c r="M180" s="59"/>
      <c r="O180" s="11"/>
      <c r="P180" s="68" t="str">
        <f>IF(O180="","",IFERROR( _xll.IMDP("BND",$O180,P$6,$C$7,"Fill=false,DtFmt=1"),""))</f>
        <v/>
      </c>
      <c r="Q180" s="27" t="str">
        <f>IF($P180="","",SUBSTITUTE(INDEX(code_list!$O:$O,MATCH(O180,통안_code,0)),"통안",""))</f>
        <v/>
      </c>
      <c r="R180" s="8" t="str">
        <f t="shared" si="8"/>
        <v/>
      </c>
      <c r="S180" s="25" t="str">
        <f>IF($P180="","", _xll.IMDP("BND",$O180,S$6,$C$7,"Fill=false"))</f>
        <v/>
      </c>
      <c r="T180" s="26" t="str">
        <f>IF($P180="","", IFERROR( ( _xll.IMDP("BND",$O180,S$6,$C$7,"Fill=false")-_xll.IMDP("BND",$O180,S$6,$C$5,"Fill=false"))*100, ""))</f>
        <v/>
      </c>
      <c r="U180" s="59" t="str">
        <f>IF($P180="","", _xll.IMDP("BND",$O180,U$6,$C$7,"Fill=false,DtFmt=1"))</f>
        <v/>
      </c>
      <c r="AD180" s="11"/>
      <c r="AE180" s="75" t="str">
        <f>IF(AD180="","",_xll.IMDP("BND",$AD180,AE$6,$C$7,"Fill=false"))</f>
        <v/>
      </c>
      <c r="AF180" s="27" t="str">
        <f t="shared" si="9"/>
        <v/>
      </c>
      <c r="AG180" s="9" t="str">
        <f>IF($AE180="","",_xll.IMDP("BND",$AD180,AG$6,$C$7,"Fill=false"))</f>
        <v/>
      </c>
      <c r="AH180" s="80" t="str">
        <f>IF($AE180="","", IFERROR( ( _xll.IMDP("BND",$AD180,AG$6,$C$7,"Fill=false")-_xll.IMDP("BND",$AD180,AG$6,$C$5,"Fill=false"))*100, ""))</f>
        <v/>
      </c>
      <c r="AI180" s="59" t="str">
        <f>IF($AE180="","",_xll.IMDP("BND",$AD180,AI$6,$C$7,"Fill=false,DtFmt=1"))</f>
        <v/>
      </c>
    </row>
    <row r="181" spans="7:35">
      <c r="G181" s="11"/>
      <c r="H181" s="7"/>
      <c r="I181" s="27"/>
      <c r="J181" s="8"/>
      <c r="K181" s="9"/>
      <c r="L181" s="10"/>
      <c r="M181" s="59"/>
      <c r="O181" s="11"/>
      <c r="P181" s="68" t="str">
        <f>IF(O181="","",IFERROR( _xll.IMDP("BND",$O181,P$6,$C$7,"Fill=false,DtFmt=1"),""))</f>
        <v/>
      </c>
      <c r="Q181" s="27" t="str">
        <f>IF($P181="","",SUBSTITUTE(INDEX(code_list!$O:$O,MATCH(O181,통안_code,0)),"통안",""))</f>
        <v/>
      </c>
      <c r="R181" s="8" t="str">
        <f t="shared" si="8"/>
        <v/>
      </c>
      <c r="S181" s="25" t="str">
        <f>IF($P181="","", _xll.IMDP("BND",$O181,S$6,$C$7,"Fill=false"))</f>
        <v/>
      </c>
      <c r="T181" s="26" t="str">
        <f>IF($P181="","", IFERROR( ( _xll.IMDP("BND",$O181,S$6,$C$7,"Fill=false")-_xll.IMDP("BND",$O181,S$6,$C$5,"Fill=false"))*100, ""))</f>
        <v/>
      </c>
      <c r="U181" s="59" t="str">
        <f>IF($P181="","", _xll.IMDP("BND",$O181,U$6,$C$7,"Fill=false,DtFmt=1"))</f>
        <v/>
      </c>
      <c r="AD181" s="11"/>
      <c r="AE181" s="75" t="str">
        <f>IF(AD181="","",_xll.IMDP("BND",$AD181,AE$6,$C$7,"Fill=false"))</f>
        <v/>
      </c>
      <c r="AF181" s="27" t="str">
        <f t="shared" si="9"/>
        <v/>
      </c>
      <c r="AG181" s="9" t="str">
        <f>IF($AE181="","",_xll.IMDP("BND",$AD181,AG$6,$C$7,"Fill=false"))</f>
        <v/>
      </c>
      <c r="AH181" s="80" t="str">
        <f>IF($AE181="","", IFERROR( ( _xll.IMDP("BND",$AD181,AG$6,$C$7,"Fill=false")-_xll.IMDP("BND",$AD181,AG$6,$C$5,"Fill=false"))*100, ""))</f>
        <v/>
      </c>
      <c r="AI181" s="59" t="str">
        <f>IF($AE181="","",_xll.IMDP("BND",$AD181,AI$6,$C$7,"Fill=false,DtFmt=1"))</f>
        <v/>
      </c>
    </row>
    <row r="182" spans="7:35">
      <c r="G182" s="11"/>
      <c r="H182" s="7"/>
      <c r="I182" s="27"/>
      <c r="J182" s="8"/>
      <c r="K182" s="9"/>
      <c r="L182" s="10"/>
      <c r="M182" s="59"/>
      <c r="O182" s="11"/>
      <c r="P182" s="68" t="str">
        <f>IF(O182="","",IFERROR( _xll.IMDP("BND",$O182,P$6,$C$7,"Fill=false,DtFmt=1"),""))</f>
        <v/>
      </c>
      <c r="Q182" s="27" t="str">
        <f>IF($P182="","",SUBSTITUTE(INDEX(code_list!$O:$O,MATCH(O182,통안_code,0)),"통안",""))</f>
        <v/>
      </c>
      <c r="R182" s="8" t="str">
        <f t="shared" si="8"/>
        <v/>
      </c>
      <c r="S182" s="25" t="str">
        <f>IF($P182="","", _xll.IMDP("BND",$O182,S$6,$C$7,"Fill=false"))</f>
        <v/>
      </c>
      <c r="T182" s="26" t="str">
        <f>IF($P182="","", IFERROR( ( _xll.IMDP("BND",$O182,S$6,$C$7,"Fill=false")-_xll.IMDP("BND",$O182,S$6,$C$5,"Fill=false"))*100, ""))</f>
        <v/>
      </c>
      <c r="U182" s="59" t="str">
        <f>IF($P182="","", _xll.IMDP("BND",$O182,U$6,$C$7,"Fill=false,DtFmt=1"))</f>
        <v/>
      </c>
      <c r="AD182" s="11"/>
      <c r="AE182" s="75" t="str">
        <f>IF(AD182="","",_xll.IMDP("BND",$AD182,AE$6,$C$7,"Fill=false"))</f>
        <v/>
      </c>
      <c r="AF182" s="27" t="str">
        <f t="shared" si="9"/>
        <v/>
      </c>
      <c r="AG182" s="9" t="str">
        <f>IF($AE182="","",_xll.IMDP("BND",$AD182,AG$6,$C$7,"Fill=false"))</f>
        <v/>
      </c>
      <c r="AH182" s="80" t="str">
        <f>IF($AE182="","", IFERROR( ( _xll.IMDP("BND",$AD182,AG$6,$C$7,"Fill=false")-_xll.IMDP("BND",$AD182,AG$6,$C$5,"Fill=false"))*100, ""))</f>
        <v/>
      </c>
      <c r="AI182" s="59" t="str">
        <f>IF($AE182="","",_xll.IMDP("BND",$AD182,AI$6,$C$7,"Fill=false,DtFmt=1"))</f>
        <v/>
      </c>
    </row>
    <row r="183" spans="7:35">
      <c r="G183" s="11"/>
      <c r="H183" s="7"/>
      <c r="I183" s="27"/>
      <c r="J183" s="8"/>
      <c r="K183" s="9"/>
      <c r="L183" s="10"/>
      <c r="M183" s="59"/>
      <c r="O183" s="11"/>
      <c r="P183" s="68" t="str">
        <f>IF(O183="","",IFERROR( _xll.IMDP("BND",$O183,P$6,$C$7,"Fill=false,DtFmt=1"),""))</f>
        <v/>
      </c>
      <c r="Q183" s="27" t="str">
        <f>IF($P183="","",SUBSTITUTE(INDEX(code_list!$O:$O,MATCH(O183,통안_code,0)),"통안",""))</f>
        <v/>
      </c>
      <c r="R183" s="8" t="str">
        <f t="shared" si="8"/>
        <v/>
      </c>
      <c r="S183" s="25" t="str">
        <f>IF($P183="","", _xll.IMDP("BND",$O183,S$6,$C$7,"Fill=false"))</f>
        <v/>
      </c>
      <c r="T183" s="26" t="str">
        <f>IF($P183="","", IFERROR( ( _xll.IMDP("BND",$O183,S$6,$C$7,"Fill=false")-_xll.IMDP("BND",$O183,S$6,$C$5,"Fill=false"))*100, ""))</f>
        <v/>
      </c>
      <c r="U183" s="59" t="str">
        <f>IF($P183="","", _xll.IMDP("BND",$O183,U$6,$C$7,"Fill=false,DtFmt=1"))</f>
        <v/>
      </c>
      <c r="AD183" s="11"/>
      <c r="AE183" s="75" t="str">
        <f>IF(AD183="","",_xll.IMDP("BND",$AD183,AE$6,$C$7,"Fill=false"))</f>
        <v/>
      </c>
      <c r="AF183" s="27" t="str">
        <f t="shared" si="9"/>
        <v/>
      </c>
      <c r="AG183" s="9" t="str">
        <f>IF($AE183="","",_xll.IMDP("BND",$AD183,AG$6,$C$7,"Fill=false"))</f>
        <v/>
      </c>
      <c r="AH183" s="80" t="str">
        <f>IF($AE183="","", IFERROR( ( _xll.IMDP("BND",$AD183,AG$6,$C$7,"Fill=false")-_xll.IMDP("BND",$AD183,AG$6,$C$5,"Fill=false"))*100, ""))</f>
        <v/>
      </c>
      <c r="AI183" s="59" t="str">
        <f>IF($AE183="","",_xll.IMDP("BND",$AD183,AI$6,$C$7,"Fill=false,DtFmt=1"))</f>
        <v/>
      </c>
    </row>
    <row r="184" spans="7:35">
      <c r="G184" s="11"/>
      <c r="H184" s="7"/>
      <c r="I184" s="27"/>
      <c r="J184" s="8"/>
      <c r="K184" s="9"/>
      <c r="L184" s="10"/>
      <c r="M184" s="59"/>
      <c r="O184" s="11"/>
      <c r="P184" s="68" t="str">
        <f>IF(O184="","",IFERROR( _xll.IMDP("BND",$O184,P$6,$C$7,"Fill=false,DtFmt=1"),""))</f>
        <v/>
      </c>
      <c r="Q184" s="27" t="str">
        <f>IF($P184="","",SUBSTITUTE(INDEX(code_list!$O:$O,MATCH(O184,통안_code,0)),"통안",""))</f>
        <v/>
      </c>
      <c r="R184" s="8" t="str">
        <f t="shared" si="8"/>
        <v/>
      </c>
      <c r="S184" s="25" t="str">
        <f>IF($P184="","", _xll.IMDP("BND",$O184,S$6,$C$7,"Fill=false"))</f>
        <v/>
      </c>
      <c r="T184" s="26" t="str">
        <f>IF($P184="","", IFERROR( ( _xll.IMDP("BND",$O184,S$6,$C$7,"Fill=false")-_xll.IMDP("BND",$O184,S$6,$C$5,"Fill=false"))*100, ""))</f>
        <v/>
      </c>
      <c r="U184" s="59" t="str">
        <f>IF($P184="","", _xll.IMDP("BND",$O184,U$6,$C$7,"Fill=false,DtFmt=1"))</f>
        <v/>
      </c>
      <c r="AD184" s="11"/>
      <c r="AE184" s="75" t="str">
        <f>IF(AD184="","",_xll.IMDP("BND",$AD184,AE$6,$C$7,"Fill=false"))</f>
        <v/>
      </c>
      <c r="AF184" s="27" t="str">
        <f t="shared" si="9"/>
        <v/>
      </c>
      <c r="AG184" s="9" t="str">
        <f>IF($AE184="","",_xll.IMDP("BND",$AD184,AG$6,$C$7,"Fill=false"))</f>
        <v/>
      </c>
      <c r="AH184" s="80" t="str">
        <f>IF($AE184="","", IFERROR( ( _xll.IMDP("BND",$AD184,AG$6,$C$7,"Fill=false")-_xll.IMDP("BND",$AD184,AG$6,$C$5,"Fill=false"))*100, ""))</f>
        <v/>
      </c>
      <c r="AI184" s="59" t="str">
        <f>IF($AE184="","",_xll.IMDP("BND",$AD184,AI$6,$C$7,"Fill=false,DtFmt=1"))</f>
        <v/>
      </c>
    </row>
    <row r="185" spans="7:35">
      <c r="G185" s="11"/>
      <c r="H185" s="7"/>
      <c r="I185" s="27"/>
      <c r="J185" s="8"/>
      <c r="K185" s="9"/>
      <c r="L185" s="10"/>
      <c r="M185" s="59"/>
      <c r="O185" s="11"/>
      <c r="P185" s="68" t="str">
        <f>IF(O185="","",IFERROR( _xll.IMDP("BND",$O185,P$6,$C$7,"Fill=false,DtFmt=1"),""))</f>
        <v/>
      </c>
      <c r="Q185" s="27" t="str">
        <f>IF($P185="","",SUBSTITUTE(INDEX(code_list!$O:$O,MATCH(O185,통안_code,0)),"통안",""))</f>
        <v/>
      </c>
      <c r="R185" s="8" t="str">
        <f t="shared" si="8"/>
        <v/>
      </c>
      <c r="S185" s="25" t="str">
        <f>IF($P185="","", _xll.IMDP("BND",$O185,S$6,$C$7,"Fill=false"))</f>
        <v/>
      </c>
      <c r="T185" s="26" t="str">
        <f>IF($P185="","", IFERROR( ( _xll.IMDP("BND",$O185,S$6,$C$7,"Fill=false")-_xll.IMDP("BND",$O185,S$6,$C$5,"Fill=false"))*100, ""))</f>
        <v/>
      </c>
      <c r="U185" s="59" t="str">
        <f>IF($P185="","", _xll.IMDP("BND",$O185,U$6,$C$7,"Fill=false,DtFmt=1"))</f>
        <v/>
      </c>
      <c r="AD185" s="11"/>
      <c r="AE185" s="75" t="str">
        <f>IF(AD185="","",_xll.IMDP("BND",$AD185,AE$6,$C$7,"Fill=false"))</f>
        <v/>
      </c>
      <c r="AF185" s="27" t="str">
        <f t="shared" si="9"/>
        <v/>
      </c>
      <c r="AG185" s="9" t="str">
        <f>IF($AE185="","",_xll.IMDP("BND",$AD185,AG$6,$C$7,"Fill=false"))</f>
        <v/>
      </c>
      <c r="AH185" s="80" t="str">
        <f>IF($AE185="","", IFERROR( ( _xll.IMDP("BND",$AD185,AG$6,$C$7,"Fill=false")-_xll.IMDP("BND",$AD185,AG$6,$C$5,"Fill=false"))*100, ""))</f>
        <v/>
      </c>
      <c r="AI185" s="59" t="str">
        <f>IF($AE185="","",_xll.IMDP("BND",$AD185,AI$6,$C$7,"Fill=false,DtFmt=1"))</f>
        <v/>
      </c>
    </row>
    <row r="186" spans="7:35">
      <c r="G186" s="11"/>
      <c r="H186" s="7"/>
      <c r="I186" s="27"/>
      <c r="J186" s="8"/>
      <c r="K186" s="9"/>
      <c r="L186" s="10"/>
      <c r="M186" s="59"/>
      <c r="O186" s="11"/>
      <c r="P186" s="68" t="str">
        <f>IF(O186="","",IFERROR( _xll.IMDP("BND",$O186,P$6,$C$7,"Fill=false,DtFmt=1"),""))</f>
        <v/>
      </c>
      <c r="Q186" s="27" t="str">
        <f>IF($P186="","",SUBSTITUTE(INDEX(code_list!$O:$O,MATCH(O186,통안_code,0)),"통안",""))</f>
        <v/>
      </c>
      <c r="R186" s="8" t="str">
        <f t="shared" si="8"/>
        <v/>
      </c>
      <c r="S186" s="25" t="str">
        <f>IF($P186="","", _xll.IMDP("BND",$O186,S$6,$C$7,"Fill=false"))</f>
        <v/>
      </c>
      <c r="T186" s="26" t="str">
        <f>IF($P186="","", IFERROR( ( _xll.IMDP("BND",$O186,S$6,$C$7,"Fill=false")-_xll.IMDP("BND",$O186,S$6,$C$5,"Fill=false"))*100, ""))</f>
        <v/>
      </c>
      <c r="U186" s="59" t="str">
        <f>IF($P186="","", _xll.IMDP("BND",$O186,U$6,$C$7,"Fill=false,DtFmt=1"))</f>
        <v/>
      </c>
      <c r="AD186" s="11"/>
      <c r="AE186" s="75" t="str">
        <f>IF(AD186="","",_xll.IMDP("BND",$AD186,AE$6,$C$7,"Fill=false"))</f>
        <v/>
      </c>
      <c r="AF186" s="27" t="str">
        <f t="shared" si="9"/>
        <v/>
      </c>
      <c r="AG186" s="9" t="str">
        <f>IF($AE186="","",_xll.IMDP("BND",$AD186,AG$6,$C$7,"Fill=false"))</f>
        <v/>
      </c>
      <c r="AH186" s="80" t="str">
        <f>IF($AE186="","", IFERROR( ( _xll.IMDP("BND",$AD186,AG$6,$C$7,"Fill=false")-_xll.IMDP("BND",$AD186,AG$6,$C$5,"Fill=false"))*100, ""))</f>
        <v/>
      </c>
      <c r="AI186" s="59" t="str">
        <f>IF($AE186="","",_xll.IMDP("BND",$AD186,AI$6,$C$7,"Fill=false,DtFmt=1"))</f>
        <v/>
      </c>
    </row>
    <row r="187" spans="7:35">
      <c r="G187" s="11"/>
      <c r="H187" s="7"/>
      <c r="I187" s="27"/>
      <c r="J187" s="8"/>
      <c r="K187" s="9"/>
      <c r="L187" s="10"/>
      <c r="M187" s="59"/>
      <c r="O187" s="11"/>
      <c r="P187" s="68" t="str">
        <f>IF(O187="","",IFERROR( _xll.IMDP("BND",$O187,P$6,$C$7,"Fill=false,DtFmt=1"),""))</f>
        <v/>
      </c>
      <c r="Q187" s="27" t="str">
        <f>IF($P187="","",SUBSTITUTE(INDEX(code_list!$O:$O,MATCH(O187,통안_code,0)),"통안",""))</f>
        <v/>
      </c>
      <c r="R187" s="8" t="str">
        <f t="shared" si="8"/>
        <v/>
      </c>
      <c r="S187" s="25" t="str">
        <f>IF($P187="","", _xll.IMDP("BND",$O187,S$6,$C$7,"Fill=false"))</f>
        <v/>
      </c>
      <c r="T187" s="26" t="str">
        <f>IF($P187="","", IFERROR( ( _xll.IMDP("BND",$O187,S$6,$C$7,"Fill=false")-_xll.IMDP("BND",$O187,S$6,$C$5,"Fill=false"))*100, ""))</f>
        <v/>
      </c>
      <c r="U187" s="59" t="str">
        <f>IF($P187="","", _xll.IMDP("BND",$O187,U$6,$C$7,"Fill=false,DtFmt=1"))</f>
        <v/>
      </c>
      <c r="AD187" s="11"/>
      <c r="AE187" s="75" t="str">
        <f>IF(AD187="","",_xll.IMDP("BND",$AD187,AE$6,$C$7,"Fill=false"))</f>
        <v/>
      </c>
      <c r="AF187" s="27" t="str">
        <f t="shared" si="9"/>
        <v/>
      </c>
      <c r="AG187" s="9" t="str">
        <f>IF($AE187="","",_xll.IMDP("BND",$AD187,AG$6,$C$7,"Fill=false"))</f>
        <v/>
      </c>
      <c r="AH187" s="80" t="str">
        <f>IF($AE187="","", IFERROR( ( _xll.IMDP("BND",$AD187,AG$6,$C$7,"Fill=false")-_xll.IMDP("BND",$AD187,AG$6,$C$5,"Fill=false"))*100, ""))</f>
        <v/>
      </c>
      <c r="AI187" s="59" t="str">
        <f>IF($AE187="","",_xll.IMDP("BND",$AD187,AI$6,$C$7,"Fill=false,DtFmt=1"))</f>
        <v/>
      </c>
    </row>
    <row r="188" spans="7:35">
      <c r="G188" s="11"/>
      <c r="H188" s="7"/>
      <c r="I188" s="27"/>
      <c r="J188" s="8"/>
      <c r="K188" s="9"/>
      <c r="L188" s="10"/>
      <c r="M188" s="59"/>
      <c r="O188" s="11"/>
      <c r="P188" s="68" t="str">
        <f>IF(O188="","",IFERROR( _xll.IMDP("BND",$O188,P$6,$C$7,"Fill=false,DtFmt=1"),""))</f>
        <v/>
      </c>
      <c r="Q188" s="27" t="str">
        <f>IF($P188="","",SUBSTITUTE(INDEX(code_list!$O:$O,MATCH(O188,통안_code,0)),"통안",""))</f>
        <v/>
      </c>
      <c r="R188" s="8" t="str">
        <f t="shared" si="8"/>
        <v/>
      </c>
      <c r="S188" s="25" t="str">
        <f>IF($P188="","", _xll.IMDP("BND",$O188,S$6,$C$7,"Fill=false"))</f>
        <v/>
      </c>
      <c r="T188" s="26" t="str">
        <f>IF($P188="","", IFERROR( ( _xll.IMDP("BND",$O188,S$6,$C$7,"Fill=false")-_xll.IMDP("BND",$O188,S$6,$C$5,"Fill=false"))*100, ""))</f>
        <v/>
      </c>
      <c r="U188" s="59" t="str">
        <f>IF($P188="","", _xll.IMDP("BND",$O188,U$6,$C$7,"Fill=false,DtFmt=1"))</f>
        <v/>
      </c>
      <c r="AD188" s="11"/>
      <c r="AE188" s="75" t="str">
        <f>IF(AD188="","",_xll.IMDP("BND",$AD188,AE$6,$C$7,"Fill=false"))</f>
        <v/>
      </c>
      <c r="AF188" s="27" t="str">
        <f t="shared" si="9"/>
        <v/>
      </c>
      <c r="AG188" s="9" t="str">
        <f>IF($AE188="","",_xll.IMDP("BND",$AD188,AG$6,$C$7,"Fill=false"))</f>
        <v/>
      </c>
      <c r="AH188" s="80" t="str">
        <f>IF($AE188="","", IFERROR( ( _xll.IMDP("BND",$AD188,AG$6,$C$7,"Fill=false")-_xll.IMDP("BND",$AD188,AG$6,$C$5,"Fill=false"))*100, ""))</f>
        <v/>
      </c>
      <c r="AI188" s="59" t="str">
        <f>IF($AE188="","",_xll.IMDP("BND",$AD188,AI$6,$C$7,"Fill=false,DtFmt=1"))</f>
        <v/>
      </c>
    </row>
    <row r="189" spans="7:35">
      <c r="G189" s="11"/>
      <c r="H189" s="7"/>
      <c r="I189" s="27"/>
      <c r="J189" s="8"/>
      <c r="K189" s="9"/>
      <c r="L189" s="10"/>
      <c r="M189" s="59"/>
      <c r="O189" s="11"/>
      <c r="P189" s="68" t="str">
        <f>IF(O189="","",IFERROR( _xll.IMDP("BND",$O189,P$6,$C$7,"Fill=false,DtFmt=1"),""))</f>
        <v/>
      </c>
      <c r="Q189" s="27" t="str">
        <f>IF($P189="","",SUBSTITUTE(INDEX(code_list!$O:$O,MATCH(O189,통안_code,0)),"통안",""))</f>
        <v/>
      </c>
      <c r="R189" s="8" t="str">
        <f t="shared" si="8"/>
        <v/>
      </c>
      <c r="S189" s="25" t="str">
        <f>IF($P189="","", _xll.IMDP("BND",$O189,S$6,$C$7,"Fill=false"))</f>
        <v/>
      </c>
      <c r="T189" s="26" t="str">
        <f>IF($P189="","", IFERROR( ( _xll.IMDP("BND",$O189,S$6,$C$7,"Fill=false")-_xll.IMDP("BND",$O189,S$6,$C$5,"Fill=false"))*100, ""))</f>
        <v/>
      </c>
      <c r="U189" s="59" t="str">
        <f>IF($P189="","", _xll.IMDP("BND",$O189,U$6,$C$7,"Fill=false,DtFmt=1"))</f>
        <v/>
      </c>
      <c r="AD189" s="11"/>
      <c r="AE189" s="75" t="str">
        <f>IF(AD189="","",_xll.IMDP("BND",$AD189,AE$6,$C$7,"Fill=false"))</f>
        <v/>
      </c>
      <c r="AF189" s="27" t="str">
        <f t="shared" si="9"/>
        <v/>
      </c>
      <c r="AG189" s="9" t="str">
        <f>IF($AE189="","",_xll.IMDP("BND",$AD189,AG$6,$C$7,"Fill=false"))</f>
        <v/>
      </c>
      <c r="AH189" s="80" t="str">
        <f>IF($AE189="","", IFERROR( ( _xll.IMDP("BND",$AD189,AG$6,$C$7,"Fill=false")-_xll.IMDP("BND",$AD189,AG$6,$C$5,"Fill=false"))*100, ""))</f>
        <v/>
      </c>
      <c r="AI189" s="59" t="str">
        <f>IF($AE189="","",_xll.IMDP("BND",$AD189,AI$6,$C$7,"Fill=false,DtFmt=1"))</f>
        <v/>
      </c>
    </row>
    <row r="190" spans="7:35">
      <c r="G190" s="11"/>
      <c r="H190" s="7"/>
      <c r="I190" s="27"/>
      <c r="J190" s="8"/>
      <c r="K190" s="9"/>
      <c r="L190" s="10"/>
      <c r="M190" s="59"/>
      <c r="O190" s="11"/>
      <c r="P190" s="68" t="str">
        <f>IF(O190="","",IFERROR( _xll.IMDP("BND",$O190,P$6,$C$7,"Fill=false,DtFmt=1"),""))</f>
        <v/>
      </c>
      <c r="Q190" s="27" t="str">
        <f>IF($P190="","",SUBSTITUTE(INDEX(code_list!$O:$O,MATCH(O190,통안_code,0)),"통안",""))</f>
        <v/>
      </c>
      <c r="R190" s="8" t="str">
        <f t="shared" si="8"/>
        <v/>
      </c>
      <c r="S190" s="25" t="str">
        <f>IF($P190="","", _xll.IMDP("BND",$O190,S$6,$C$7,"Fill=false"))</f>
        <v/>
      </c>
      <c r="T190" s="26" t="str">
        <f>IF($P190="","", IFERROR( ( _xll.IMDP("BND",$O190,S$6,$C$7,"Fill=false")-_xll.IMDP("BND",$O190,S$6,$C$5,"Fill=false"))*100, ""))</f>
        <v/>
      </c>
      <c r="U190" s="59" t="str">
        <f>IF($P190="","", _xll.IMDP("BND",$O190,U$6,$C$7,"Fill=false,DtFmt=1"))</f>
        <v/>
      </c>
      <c r="AD190" s="11"/>
      <c r="AE190" s="75" t="str">
        <f>IF(AD190="","",_xll.IMDP("BND",$AD190,AE$6,$C$7,"Fill=false"))</f>
        <v/>
      </c>
      <c r="AF190" s="27" t="str">
        <f t="shared" si="9"/>
        <v/>
      </c>
      <c r="AG190" s="9" t="str">
        <f>IF($AE190="","",_xll.IMDP("BND",$AD190,AG$6,$C$7,"Fill=false"))</f>
        <v/>
      </c>
      <c r="AH190" s="80" t="str">
        <f>IF($AE190="","", IFERROR( ( _xll.IMDP("BND",$AD190,AG$6,$C$7,"Fill=false")-_xll.IMDP("BND",$AD190,AG$6,$C$5,"Fill=false"))*100, ""))</f>
        <v/>
      </c>
      <c r="AI190" s="59" t="str">
        <f>IF($AE190="","",_xll.IMDP("BND",$AD190,AI$6,$C$7,"Fill=false,DtFmt=1"))</f>
        <v/>
      </c>
    </row>
    <row r="191" spans="7:35">
      <c r="G191" s="11"/>
      <c r="H191" s="7"/>
      <c r="I191" s="27"/>
      <c r="J191" s="8"/>
      <c r="K191" s="9"/>
      <c r="L191" s="10"/>
      <c r="M191" s="59"/>
      <c r="O191" s="11"/>
      <c r="P191" s="68" t="str">
        <f>IF(O191="","",IFERROR( _xll.IMDP("BND",$O191,P$6,$C$7,"Fill=false,DtFmt=1"),""))</f>
        <v/>
      </c>
      <c r="Q191" s="27" t="str">
        <f>IF($P191="","",SUBSTITUTE(INDEX(code_list!$O:$O,MATCH(O191,통안_code,0)),"통안",""))</f>
        <v/>
      </c>
      <c r="R191" s="8" t="str">
        <f t="shared" si="8"/>
        <v/>
      </c>
      <c r="S191" s="25" t="str">
        <f>IF($P191="","", _xll.IMDP("BND",$O191,S$6,$C$7,"Fill=false"))</f>
        <v/>
      </c>
      <c r="T191" s="26" t="str">
        <f>IF($P191="","", IFERROR( ( _xll.IMDP("BND",$O191,S$6,$C$7,"Fill=false")-_xll.IMDP("BND",$O191,S$6,$C$5,"Fill=false"))*100, ""))</f>
        <v/>
      </c>
      <c r="U191" s="59" t="str">
        <f>IF($P191="","", _xll.IMDP("BND",$O191,U$6,$C$7,"Fill=false,DtFmt=1"))</f>
        <v/>
      </c>
      <c r="AD191" s="11"/>
      <c r="AE191" s="75" t="str">
        <f>IF(AD191="","",_xll.IMDP("BND",$AD191,AE$6,$C$7,"Fill=false"))</f>
        <v/>
      </c>
      <c r="AF191" s="27" t="str">
        <f t="shared" si="9"/>
        <v/>
      </c>
      <c r="AG191" s="9" t="str">
        <f>IF($AE191="","",_xll.IMDP("BND",$AD191,AG$6,$C$7,"Fill=false"))</f>
        <v/>
      </c>
      <c r="AH191" s="80" t="str">
        <f>IF($AE191="","", IFERROR( ( _xll.IMDP("BND",$AD191,AG$6,$C$7,"Fill=false")-_xll.IMDP("BND",$AD191,AG$6,$C$5,"Fill=false"))*100, ""))</f>
        <v/>
      </c>
      <c r="AI191" s="59" t="str">
        <f>IF($AE191="","",_xll.IMDP("BND",$AD191,AI$6,$C$7,"Fill=false,DtFmt=1"))</f>
        <v/>
      </c>
    </row>
    <row r="192" spans="7:35">
      <c r="G192" s="11"/>
      <c r="H192" s="7"/>
      <c r="I192" s="27"/>
      <c r="J192" s="8"/>
      <c r="K192" s="9"/>
      <c r="L192" s="10"/>
      <c r="M192" s="59"/>
      <c r="O192" s="11"/>
      <c r="P192" s="68" t="str">
        <f>IF(O192="","",IFERROR( _xll.IMDP("BND",$O192,P$6,$C$7,"Fill=false,DtFmt=1"),""))</f>
        <v/>
      </c>
      <c r="Q192" s="27" t="str">
        <f>IF($P192="","",SUBSTITUTE(INDEX(code_list!$O:$O,MATCH(O192,통안_code,0)),"통안",""))</f>
        <v/>
      </c>
      <c r="R192" s="8" t="str">
        <f t="shared" si="8"/>
        <v/>
      </c>
      <c r="S192" s="25" t="str">
        <f>IF($P192="","", _xll.IMDP("BND",$O192,S$6,$C$7,"Fill=false"))</f>
        <v/>
      </c>
      <c r="T192" s="26" t="str">
        <f>IF($P192="","", IFERROR( ( _xll.IMDP("BND",$O192,S$6,$C$7,"Fill=false")-_xll.IMDP("BND",$O192,S$6,$C$5,"Fill=false"))*100, ""))</f>
        <v/>
      </c>
      <c r="U192" s="59" t="str">
        <f>IF($P192="","", _xll.IMDP("BND",$O192,U$6,$C$7,"Fill=false,DtFmt=1"))</f>
        <v/>
      </c>
      <c r="AD192" s="11"/>
      <c r="AE192" s="75" t="str">
        <f>IF(AD192="","",_xll.IMDP("BND",$AD192,AE$6,$C$7,"Fill=false"))</f>
        <v/>
      </c>
      <c r="AF192" s="27" t="str">
        <f t="shared" si="9"/>
        <v/>
      </c>
      <c r="AG192" s="9" t="str">
        <f>IF($AE192="","",_xll.IMDP("BND",$AD192,AG$6,$C$7,"Fill=false"))</f>
        <v/>
      </c>
      <c r="AH192" s="80" t="str">
        <f>IF($AE192="","", IFERROR( ( _xll.IMDP("BND",$AD192,AG$6,$C$7,"Fill=false")-_xll.IMDP("BND",$AD192,AG$6,$C$5,"Fill=false"))*100, ""))</f>
        <v/>
      </c>
      <c r="AI192" s="59" t="str">
        <f>IF($AE192="","",_xll.IMDP("BND",$AD192,AI$6,$C$7,"Fill=false,DtFmt=1"))</f>
        <v/>
      </c>
    </row>
    <row r="193" spans="7:35">
      <c r="G193" s="11"/>
      <c r="H193" s="7"/>
      <c r="I193" s="27"/>
      <c r="J193" s="8"/>
      <c r="K193" s="9"/>
      <c r="L193" s="10"/>
      <c r="M193" s="59"/>
      <c r="O193" s="11"/>
      <c r="P193" s="68" t="str">
        <f>IF(O193="","",IFERROR( _xll.IMDP("BND",$O193,P$6,$C$7,"Fill=false,DtFmt=1"),""))</f>
        <v/>
      </c>
      <c r="Q193" s="27" t="str">
        <f>IF($P193="","",SUBSTITUTE(INDEX(code_list!$O:$O,MATCH(O193,통안_code,0)),"통안",""))</f>
        <v/>
      </c>
      <c r="R193" s="8" t="str">
        <f t="shared" si="8"/>
        <v/>
      </c>
      <c r="S193" s="25" t="str">
        <f>IF($P193="","", _xll.IMDP("BND",$O193,S$6,$C$7,"Fill=false"))</f>
        <v/>
      </c>
      <c r="T193" s="26" t="str">
        <f>IF($P193="","", IFERROR( ( _xll.IMDP("BND",$O193,S$6,$C$7,"Fill=false")-_xll.IMDP("BND",$O193,S$6,$C$5,"Fill=false"))*100, ""))</f>
        <v/>
      </c>
      <c r="U193" s="59" t="str">
        <f>IF($P193="","", _xll.IMDP("BND",$O193,U$6,$C$7,"Fill=false,DtFmt=1"))</f>
        <v/>
      </c>
      <c r="AD193" s="11"/>
      <c r="AE193" s="75" t="str">
        <f>IF(AD193="","",_xll.IMDP("BND",$AD193,AE$6,$C$7,"Fill=false"))</f>
        <v/>
      </c>
      <c r="AF193" s="27" t="str">
        <f t="shared" si="9"/>
        <v/>
      </c>
      <c r="AG193" s="9" t="str">
        <f>IF($AE193="","",_xll.IMDP("BND",$AD193,AG$6,$C$7,"Fill=false"))</f>
        <v/>
      </c>
      <c r="AH193" s="80" t="str">
        <f>IF($AE193="","", IFERROR( ( _xll.IMDP("BND",$AD193,AG$6,$C$7,"Fill=false")-_xll.IMDP("BND",$AD193,AG$6,$C$5,"Fill=false"))*100, ""))</f>
        <v/>
      </c>
      <c r="AI193" s="59" t="str">
        <f>IF($AE193="","",_xll.IMDP("BND",$AD193,AI$6,$C$7,"Fill=false,DtFmt=1"))</f>
        <v/>
      </c>
    </row>
    <row r="194" spans="7:35">
      <c r="G194" s="11"/>
      <c r="H194" s="7"/>
      <c r="I194" s="27"/>
      <c r="J194" s="8"/>
      <c r="K194" s="9"/>
      <c r="L194" s="10"/>
      <c r="M194" s="59"/>
      <c r="O194" s="11"/>
      <c r="P194" s="68" t="str">
        <f>IF(O194="","",IFERROR( _xll.IMDP("BND",$O194,P$6,$C$7,"Fill=false,DtFmt=1"),""))</f>
        <v/>
      </c>
      <c r="Q194" s="27" t="str">
        <f>IF($P194="","",SUBSTITUTE(INDEX(code_list!$O:$O,MATCH(O194,통안_code,0)),"통안",""))</f>
        <v/>
      </c>
      <c r="R194" s="8" t="str">
        <f t="shared" si="8"/>
        <v/>
      </c>
      <c r="S194" s="25" t="str">
        <f>IF($P194="","", _xll.IMDP("BND",$O194,S$6,$C$7,"Fill=false"))</f>
        <v/>
      </c>
      <c r="T194" s="26" t="str">
        <f>IF($P194="","", IFERROR( ( _xll.IMDP("BND",$O194,S$6,$C$7,"Fill=false")-_xll.IMDP("BND",$O194,S$6,$C$5,"Fill=false"))*100, ""))</f>
        <v/>
      </c>
      <c r="U194" s="59" t="str">
        <f>IF($P194="","", _xll.IMDP("BND",$O194,U$6,$C$7,"Fill=false,DtFmt=1"))</f>
        <v/>
      </c>
      <c r="AD194" s="11"/>
      <c r="AE194" s="75" t="str">
        <f>IF(AD194="","",_xll.IMDP("BND",$AD194,AE$6,$C$7,"Fill=false"))</f>
        <v/>
      </c>
      <c r="AF194" s="27" t="str">
        <f t="shared" si="9"/>
        <v/>
      </c>
      <c r="AG194" s="9" t="str">
        <f>IF($AE194="","",_xll.IMDP("BND",$AD194,AG$6,$C$7,"Fill=false"))</f>
        <v/>
      </c>
      <c r="AH194" s="80" t="str">
        <f>IF($AE194="","", IFERROR( ( _xll.IMDP("BND",$AD194,AG$6,$C$7,"Fill=false")-_xll.IMDP("BND",$AD194,AG$6,$C$5,"Fill=false"))*100, ""))</f>
        <v/>
      </c>
      <c r="AI194" s="59" t="str">
        <f>IF($AE194="","",_xll.IMDP("BND",$AD194,AI$6,$C$7,"Fill=false,DtFmt=1"))</f>
        <v/>
      </c>
    </row>
    <row r="195" spans="7:35">
      <c r="G195" s="11"/>
      <c r="H195" s="7"/>
      <c r="I195" s="27"/>
      <c r="J195" s="8"/>
      <c r="K195" s="9"/>
      <c r="L195" s="10"/>
      <c r="M195" s="59"/>
      <c r="O195" s="11"/>
      <c r="P195" s="68" t="str">
        <f>IF(O195="","",IFERROR( _xll.IMDP("BND",$O195,P$6,$C$7,"Fill=false,DtFmt=1"),""))</f>
        <v/>
      </c>
      <c r="Q195" s="27" t="str">
        <f>IF($P195="","",SUBSTITUTE(INDEX(code_list!$O:$O,MATCH(O195,통안_code,0)),"통안",""))</f>
        <v/>
      </c>
      <c r="R195" s="8" t="str">
        <f t="shared" si="8"/>
        <v/>
      </c>
      <c r="S195" s="25" t="str">
        <f>IF($P195="","", _xll.IMDP("BND",$O195,S$6,$C$7,"Fill=false"))</f>
        <v/>
      </c>
      <c r="T195" s="26" t="str">
        <f>IF($P195="","", IFERROR( ( _xll.IMDP("BND",$O195,S$6,$C$7,"Fill=false")-_xll.IMDP("BND",$O195,S$6,$C$5,"Fill=false"))*100, ""))</f>
        <v/>
      </c>
      <c r="U195" s="59" t="str">
        <f>IF($P195="","", _xll.IMDP("BND",$O195,U$6,$C$7,"Fill=false,DtFmt=1"))</f>
        <v/>
      </c>
      <c r="AD195" s="11"/>
      <c r="AE195" s="75" t="str">
        <f>IF(AD195="","",_xll.IMDP("BND",$AD195,AE$6,$C$7,"Fill=false"))</f>
        <v/>
      </c>
      <c r="AF195" s="27" t="str">
        <f t="shared" si="9"/>
        <v/>
      </c>
      <c r="AG195" s="9" t="str">
        <f>IF($AE195="","",_xll.IMDP("BND",$AD195,AG$6,$C$7,"Fill=false"))</f>
        <v/>
      </c>
      <c r="AH195" s="80" t="str">
        <f>IF($AE195="","", IFERROR( ( _xll.IMDP("BND",$AD195,AG$6,$C$7,"Fill=false")-_xll.IMDP("BND",$AD195,AG$6,$C$5,"Fill=false"))*100, ""))</f>
        <v/>
      </c>
      <c r="AI195" s="59" t="str">
        <f>IF($AE195="","",_xll.IMDP("BND",$AD195,AI$6,$C$7,"Fill=false,DtFmt=1"))</f>
        <v/>
      </c>
    </row>
    <row r="196" spans="7:35">
      <c r="G196" s="11"/>
      <c r="H196" s="7"/>
      <c r="I196" s="27"/>
      <c r="J196" s="8"/>
      <c r="K196" s="9"/>
      <c r="L196" s="10"/>
      <c r="M196" s="59"/>
      <c r="O196" s="11"/>
      <c r="P196" s="68" t="str">
        <f>IF(O196="","",IFERROR( _xll.IMDP("BND",$O196,P$6,$C$7,"Fill=false,DtFmt=1"),""))</f>
        <v/>
      </c>
      <c r="Q196" s="27" t="str">
        <f>IF($P196="","",SUBSTITUTE(INDEX(code_list!$O:$O,MATCH(O196,통안_code,0)),"통안",""))</f>
        <v/>
      </c>
      <c r="R196" s="8" t="str">
        <f t="shared" si="8"/>
        <v/>
      </c>
      <c r="S196" s="25" t="str">
        <f>IF($P196="","", _xll.IMDP("BND",$O196,S$6,$C$7,"Fill=false"))</f>
        <v/>
      </c>
      <c r="T196" s="26" t="str">
        <f>IF($P196="","", IFERROR( ( _xll.IMDP("BND",$O196,S$6,$C$7,"Fill=false")-_xll.IMDP("BND",$O196,S$6,$C$5,"Fill=false"))*100, ""))</f>
        <v/>
      </c>
      <c r="U196" s="59" t="str">
        <f>IF($P196="","", _xll.IMDP("BND",$O196,U$6,$C$7,"Fill=false,DtFmt=1"))</f>
        <v/>
      </c>
      <c r="AD196" s="11"/>
      <c r="AE196" s="75" t="str">
        <f>IF(AD196="","",_xll.IMDP("BND",$AD196,AE$6,$C$7,"Fill=false"))</f>
        <v/>
      </c>
      <c r="AF196" s="27" t="str">
        <f t="shared" si="9"/>
        <v/>
      </c>
      <c r="AG196" s="9" t="str">
        <f>IF($AE196="","",_xll.IMDP("BND",$AD196,AG$6,$C$7,"Fill=false"))</f>
        <v/>
      </c>
      <c r="AH196" s="80" t="str">
        <f>IF($AE196="","", IFERROR( ( _xll.IMDP("BND",$AD196,AG$6,$C$7,"Fill=false")-_xll.IMDP("BND",$AD196,AG$6,$C$5,"Fill=false"))*100, ""))</f>
        <v/>
      </c>
      <c r="AI196" s="59" t="str">
        <f>IF($AE196="","",_xll.IMDP("BND",$AD196,AI$6,$C$7,"Fill=false,DtFmt=1"))</f>
        <v/>
      </c>
    </row>
    <row r="197" spans="7:35">
      <c r="G197" s="11"/>
      <c r="H197" s="7"/>
      <c r="I197" s="27"/>
      <c r="J197" s="8"/>
      <c r="K197" s="9"/>
      <c r="L197" s="10"/>
      <c r="M197" s="59"/>
      <c r="O197" s="11"/>
      <c r="P197" s="68" t="str">
        <f>IF(O197="","",IFERROR( _xll.IMDP("BND",$O197,P$6,$C$7,"Fill=false,DtFmt=1"),""))</f>
        <v/>
      </c>
      <c r="Q197" s="27" t="str">
        <f>IF($P197="","",SUBSTITUTE(INDEX(code_list!$O:$O,MATCH(O197,통안_code,0)),"통안",""))</f>
        <v/>
      </c>
      <c r="R197" s="8" t="str">
        <f t="shared" si="8"/>
        <v/>
      </c>
      <c r="S197" s="25" t="str">
        <f>IF($P197="","", _xll.IMDP("BND",$O197,S$6,$C$7,"Fill=false"))</f>
        <v/>
      </c>
      <c r="T197" s="26" t="str">
        <f>IF($P197="","", IFERROR( ( _xll.IMDP("BND",$O197,S$6,$C$7,"Fill=false")-_xll.IMDP("BND",$O197,S$6,$C$5,"Fill=false"))*100, ""))</f>
        <v/>
      </c>
      <c r="U197" s="59" t="str">
        <f>IF($P197="","", _xll.IMDP("BND",$O197,U$6,$C$7,"Fill=false,DtFmt=1"))</f>
        <v/>
      </c>
      <c r="AD197" s="11"/>
      <c r="AE197" s="75" t="str">
        <f>IF(AD197="","",_xll.IMDP("BND",$AD197,AE$6,$C$7,"Fill=false"))</f>
        <v/>
      </c>
      <c r="AF197" s="27" t="str">
        <f t="shared" si="9"/>
        <v/>
      </c>
      <c r="AG197" s="9" t="str">
        <f>IF($AE197="","",_xll.IMDP("BND",$AD197,AG$6,$C$7,"Fill=false"))</f>
        <v/>
      </c>
      <c r="AH197" s="80" t="str">
        <f>IF($AE197="","", IFERROR( ( _xll.IMDP("BND",$AD197,AG$6,$C$7,"Fill=false")-_xll.IMDP("BND",$AD197,AG$6,$C$5,"Fill=false"))*100, ""))</f>
        <v/>
      </c>
      <c r="AI197" s="59" t="str">
        <f>IF($AE197="","",_xll.IMDP("BND",$AD197,AI$6,$C$7,"Fill=false,DtFmt=1"))</f>
        <v/>
      </c>
    </row>
    <row r="198" spans="7:35">
      <c r="G198" s="11"/>
      <c r="H198" s="7"/>
      <c r="I198" s="27"/>
      <c r="J198" s="8"/>
      <c r="K198" s="9"/>
      <c r="L198" s="10"/>
      <c r="M198" s="59"/>
      <c r="O198" s="11"/>
      <c r="P198" s="68" t="str">
        <f>IF(O198="","",IFERROR( _xll.IMDP("BND",$O198,P$6,$C$7,"Fill=false,DtFmt=1"),""))</f>
        <v/>
      </c>
      <c r="Q198" s="27" t="str">
        <f>IF($P198="","",SUBSTITUTE(INDEX(code_list!$O:$O,MATCH(O198,통안_code,0)),"통안",""))</f>
        <v/>
      </c>
      <c r="R198" s="8" t="str">
        <f t="shared" si="8"/>
        <v/>
      </c>
      <c r="S198" s="25" t="str">
        <f>IF($P198="","", _xll.IMDP("BND",$O198,S$6,$C$7,"Fill=false"))</f>
        <v/>
      </c>
      <c r="T198" s="26" t="str">
        <f>IF($P198="","", IFERROR( ( _xll.IMDP("BND",$O198,S$6,$C$7,"Fill=false")-_xll.IMDP("BND",$O198,S$6,$C$5,"Fill=false"))*100, ""))</f>
        <v/>
      </c>
      <c r="U198" s="59" t="str">
        <f>IF($P198="","", _xll.IMDP("BND",$O198,U$6,$C$7,"Fill=false,DtFmt=1"))</f>
        <v/>
      </c>
      <c r="AD198" s="11"/>
      <c r="AE198" s="75" t="str">
        <f>IF(AD198="","",_xll.IMDP("BND",$AD198,AE$6,$C$7,"Fill=false"))</f>
        <v/>
      </c>
      <c r="AF198" s="27" t="str">
        <f t="shared" si="9"/>
        <v/>
      </c>
      <c r="AG198" s="9" t="str">
        <f>IF($AE198="","",_xll.IMDP("BND",$AD198,AG$6,$C$7,"Fill=false"))</f>
        <v/>
      </c>
      <c r="AH198" s="80" t="str">
        <f>IF($AE198="","", IFERROR( ( _xll.IMDP("BND",$AD198,AG$6,$C$7,"Fill=false")-_xll.IMDP("BND",$AD198,AG$6,$C$5,"Fill=false"))*100, ""))</f>
        <v/>
      </c>
      <c r="AI198" s="59" t="str">
        <f>IF($AE198="","",_xll.IMDP("BND",$AD198,AI$6,$C$7,"Fill=false,DtFmt=1"))</f>
        <v/>
      </c>
    </row>
    <row r="199" spans="7:35">
      <c r="G199" s="11"/>
      <c r="H199" s="7"/>
      <c r="I199" s="27"/>
      <c r="J199" s="8"/>
      <c r="K199" s="9"/>
      <c r="L199" s="10"/>
      <c r="M199" s="59"/>
      <c r="O199" s="11"/>
      <c r="P199" s="68" t="str">
        <f>IF(O199="","",IFERROR( _xll.IMDP("BND",$O199,P$6,$C$7,"Fill=false,DtFmt=1"),""))</f>
        <v/>
      </c>
      <c r="Q199" s="27" t="str">
        <f>IF($P199="","",SUBSTITUTE(INDEX(code_list!$O:$O,MATCH(O199,통안_code,0)),"통안",""))</f>
        <v/>
      </c>
      <c r="R199" s="8" t="str">
        <f t="shared" si="8"/>
        <v/>
      </c>
      <c r="S199" s="25" t="str">
        <f>IF($P199="","", _xll.IMDP("BND",$O199,S$6,$C$7,"Fill=false"))</f>
        <v/>
      </c>
      <c r="T199" s="26" t="str">
        <f>IF($P199="","", IFERROR( ( _xll.IMDP("BND",$O199,S$6,$C$7,"Fill=false")-_xll.IMDP("BND",$O199,S$6,$C$5,"Fill=false"))*100, ""))</f>
        <v/>
      </c>
      <c r="U199" s="59" t="str">
        <f>IF($P199="","", _xll.IMDP("BND",$O199,U$6,$C$7,"Fill=false,DtFmt=1"))</f>
        <v/>
      </c>
      <c r="AD199" s="11"/>
      <c r="AE199" s="75" t="str">
        <f>IF(AD199="","",_xll.IMDP("BND",$AD199,AE$6,$C$7,"Fill=false"))</f>
        <v/>
      </c>
      <c r="AF199" s="27" t="str">
        <f t="shared" si="9"/>
        <v/>
      </c>
      <c r="AG199" s="9" t="str">
        <f>IF($AE199="","",_xll.IMDP("BND",$AD199,AG$6,$C$7,"Fill=false"))</f>
        <v/>
      </c>
      <c r="AH199" s="80" t="str">
        <f>IF($AE199="","", IFERROR( ( _xll.IMDP("BND",$AD199,AG$6,$C$7,"Fill=false")-_xll.IMDP("BND",$AD199,AG$6,$C$5,"Fill=false"))*100, ""))</f>
        <v/>
      </c>
      <c r="AI199" s="59" t="str">
        <f>IF($AE199="","",_xll.IMDP("BND",$AD199,AI$6,$C$7,"Fill=false,DtFmt=1"))</f>
        <v/>
      </c>
    </row>
    <row r="200" spans="7:35">
      <c r="G200" s="11"/>
      <c r="H200" s="7"/>
      <c r="I200" s="27"/>
      <c r="J200" s="8"/>
      <c r="K200" s="9"/>
      <c r="L200" s="10"/>
      <c r="M200" s="59"/>
      <c r="O200" s="11"/>
      <c r="P200" s="68" t="str">
        <f>IF(O200="","",IFERROR( _xll.IMDP("BND",$O200,P$6,$C$7,"Fill=false,DtFmt=1"),""))</f>
        <v/>
      </c>
      <c r="Q200" s="27" t="str">
        <f>IF($P200="","",SUBSTITUTE(INDEX(code_list!$O:$O,MATCH(O200,통안_code,0)),"통안",""))</f>
        <v/>
      </c>
      <c r="R200" s="8" t="str">
        <f t="shared" si="8"/>
        <v/>
      </c>
      <c r="S200" s="25" t="str">
        <f>IF($P200="","", _xll.IMDP("BND",$O200,S$6,$C$7,"Fill=false"))</f>
        <v/>
      </c>
      <c r="T200" s="26" t="str">
        <f>IF($P200="","", IFERROR( ( _xll.IMDP("BND",$O200,S$6,$C$7,"Fill=false")-_xll.IMDP("BND",$O200,S$6,$C$5,"Fill=false"))*100, ""))</f>
        <v/>
      </c>
      <c r="U200" s="59" t="str">
        <f>IF($P200="","", _xll.IMDP("BND",$O200,U$6,$C$7,"Fill=false,DtFmt=1"))</f>
        <v/>
      </c>
      <c r="AD200" s="11"/>
      <c r="AE200" s="75" t="str">
        <f>IF(AD200="","",_xll.IMDP("BND",$AD200,AE$6,$C$7,"Fill=false"))</f>
        <v/>
      </c>
      <c r="AF200" s="27" t="str">
        <f t="shared" si="9"/>
        <v/>
      </c>
      <c r="AG200" s="9" t="str">
        <f>IF($AE200="","",_xll.IMDP("BND",$AD200,AG$6,$C$7,"Fill=false"))</f>
        <v/>
      </c>
      <c r="AH200" s="80" t="str">
        <f>IF($AE200="","", IFERROR( ( _xll.IMDP("BND",$AD200,AG$6,$C$7,"Fill=false")-_xll.IMDP("BND",$AD200,AG$6,$C$5,"Fill=false"))*100, ""))</f>
        <v/>
      </c>
      <c r="AI200" s="59" t="str">
        <f>IF($AE200="","",_xll.IMDP("BND",$AD200,AI$6,$C$7,"Fill=false,DtFmt=1"))</f>
        <v/>
      </c>
    </row>
    <row r="201" spans="7:35">
      <c r="G201" s="11"/>
      <c r="H201" s="7"/>
      <c r="I201" s="27"/>
      <c r="J201" s="8"/>
      <c r="K201" s="9"/>
      <c r="L201" s="10"/>
      <c r="M201" s="59"/>
      <c r="O201" s="11"/>
      <c r="P201" s="68" t="str">
        <f>IF(O201="","",IFERROR( _xll.IMDP("BND",$O201,P$6,$C$7,"Fill=false,DtFmt=1"),""))</f>
        <v/>
      </c>
      <c r="Q201" s="27" t="str">
        <f>IF($P201="","",SUBSTITUTE(INDEX(code_list!$O:$O,MATCH(O201,통안_code,0)),"통안",""))</f>
        <v/>
      </c>
      <c r="R201" s="8" t="str">
        <f t="shared" ref="R201:R207" si="10">IF($P201="","","통안"&amp;TEXT($P201,"yy/mm/dd"))</f>
        <v/>
      </c>
      <c r="S201" s="25" t="str">
        <f>IF($P201="","", _xll.IMDP("BND",$O201,S$6,$C$7,"Fill=false"))</f>
        <v/>
      </c>
      <c r="T201" s="26" t="str">
        <f>IF($P201="","", IFERROR( ( _xll.IMDP("BND",$O201,S$6,$C$7,"Fill=false")-_xll.IMDP("BND",$O201,S$6,$C$5,"Fill=false"))*100, ""))</f>
        <v/>
      </c>
      <c r="U201" s="59" t="str">
        <f>IF($P201="","", _xll.IMDP("BND",$O201,U$6,$C$7,"Fill=false,DtFmt=1"))</f>
        <v/>
      </c>
      <c r="AD201" s="11"/>
      <c r="AE201" s="75" t="str">
        <f>IF(AD201="","",_xll.IMDP("BND",$AD201,AE$6,$C$7,"Fill=false"))</f>
        <v/>
      </c>
      <c r="AF201" s="27" t="str">
        <f t="shared" ref="AF201:AF207" si="11">IF($AE201="","",SUBSTITUTE($AE201,"국민주택1종","국주"))</f>
        <v/>
      </c>
      <c r="AG201" s="9" t="str">
        <f>IF($AE201="","",_xll.IMDP("BND",$AD201,AG$6,$C$7,"Fill=false"))</f>
        <v/>
      </c>
      <c r="AH201" s="80" t="str">
        <f>IF($AE201="","", IFERROR( ( _xll.IMDP("BND",$AD201,AG$6,$C$7,"Fill=false")-_xll.IMDP("BND",$AD201,AG$6,$C$5,"Fill=false"))*100, ""))</f>
        <v/>
      </c>
      <c r="AI201" s="59" t="str">
        <f>IF($AE201="","",_xll.IMDP("BND",$AD201,AI$6,$C$7,"Fill=false,DtFmt=1"))</f>
        <v/>
      </c>
    </row>
    <row r="202" spans="7:35">
      <c r="G202" s="11"/>
      <c r="H202" s="7"/>
      <c r="I202" s="27"/>
      <c r="J202" s="8"/>
      <c r="K202" s="9"/>
      <c r="L202" s="10"/>
      <c r="M202" s="59"/>
      <c r="O202" s="11"/>
      <c r="P202" s="68" t="str">
        <f>IF(O202="","",IFERROR( _xll.IMDP("BND",$O202,P$6,$C$7,"Fill=false,DtFmt=1"),""))</f>
        <v/>
      </c>
      <c r="Q202" s="27" t="str">
        <f>IF($P202="","",SUBSTITUTE(INDEX(code_list!$O:$O,MATCH(O202,통안_code,0)),"통안",""))</f>
        <v/>
      </c>
      <c r="R202" s="8" t="str">
        <f t="shared" si="10"/>
        <v/>
      </c>
      <c r="S202" s="25" t="str">
        <f>IF($P202="","", _xll.IMDP("BND",$O202,S$6,$C$7,"Fill=false"))</f>
        <v/>
      </c>
      <c r="T202" s="26" t="str">
        <f>IF($P202="","", IFERROR( ( _xll.IMDP("BND",$O202,S$6,$C$7,"Fill=false")-_xll.IMDP("BND",$O202,S$6,$C$5,"Fill=false"))*100, ""))</f>
        <v/>
      </c>
      <c r="U202" s="59" t="str">
        <f>IF($P202="","", _xll.IMDP("BND",$O202,U$6,$C$7,"Fill=false,DtFmt=1"))</f>
        <v/>
      </c>
      <c r="AD202" s="11"/>
      <c r="AE202" s="75" t="str">
        <f>IF(AD202="","",_xll.IMDP("BND",$AD202,AE$6,$C$7,"Fill=false"))</f>
        <v/>
      </c>
      <c r="AF202" s="27" t="str">
        <f t="shared" si="11"/>
        <v/>
      </c>
      <c r="AG202" s="9" t="str">
        <f>IF($AE202="","",_xll.IMDP("BND",$AD202,AG$6,$C$7,"Fill=false"))</f>
        <v/>
      </c>
      <c r="AH202" s="80" t="str">
        <f>IF($AE202="","", IFERROR( ( _xll.IMDP("BND",$AD202,AG$6,$C$7,"Fill=false")-_xll.IMDP("BND",$AD202,AG$6,$C$5,"Fill=false"))*100, ""))</f>
        <v/>
      </c>
      <c r="AI202" s="59" t="str">
        <f>IF($AE202="","",_xll.IMDP("BND",$AD202,AI$6,$C$7,"Fill=false,DtFmt=1"))</f>
        <v/>
      </c>
    </row>
    <row r="203" spans="7:35">
      <c r="G203" s="11"/>
      <c r="H203" s="7"/>
      <c r="I203" s="27"/>
      <c r="J203" s="8"/>
      <c r="K203" s="9"/>
      <c r="L203" s="10"/>
      <c r="M203" s="59"/>
      <c r="O203" s="11"/>
      <c r="P203" s="68" t="str">
        <f>IF(O203="","",IFERROR( _xll.IMDP("BND",$O203,P$6,$C$7,"Fill=false,DtFmt=1"),""))</f>
        <v/>
      </c>
      <c r="Q203" s="27" t="str">
        <f>IF($P203="","",SUBSTITUTE(INDEX(code_list!$O:$O,MATCH(O203,통안_code,0)),"통안",""))</f>
        <v/>
      </c>
      <c r="R203" s="8" t="str">
        <f t="shared" si="10"/>
        <v/>
      </c>
      <c r="S203" s="25" t="str">
        <f>IF($P203="","", _xll.IMDP("BND",$O203,S$6,$C$7,"Fill=false"))</f>
        <v/>
      </c>
      <c r="T203" s="26" t="str">
        <f>IF($P203="","", IFERROR( ( _xll.IMDP("BND",$O203,S$6,$C$7,"Fill=false")-_xll.IMDP("BND",$O203,S$6,$C$5,"Fill=false"))*100, ""))</f>
        <v/>
      </c>
      <c r="U203" s="59" t="str">
        <f>IF($P203="","", _xll.IMDP("BND",$O203,U$6,$C$7,"Fill=false,DtFmt=1"))</f>
        <v/>
      </c>
      <c r="AD203" s="11"/>
      <c r="AE203" s="75" t="str">
        <f>IF(AD203="","",_xll.IMDP("BND",$AD203,AE$6,$C$7,"Fill=false"))</f>
        <v/>
      </c>
      <c r="AF203" s="27" t="str">
        <f t="shared" si="11"/>
        <v/>
      </c>
      <c r="AG203" s="9" t="str">
        <f>IF($AE203="","",_xll.IMDP("BND",$AD203,AG$6,$C$7,"Fill=false"))</f>
        <v/>
      </c>
      <c r="AH203" s="80" t="str">
        <f>IF($AE203="","", IFERROR( ( _xll.IMDP("BND",$AD203,AG$6,$C$7,"Fill=false")-_xll.IMDP("BND",$AD203,AG$6,$C$5,"Fill=false"))*100, ""))</f>
        <v/>
      </c>
      <c r="AI203" s="59" t="str">
        <f>IF($AE203="","",_xll.IMDP("BND",$AD203,AI$6,$C$7,"Fill=false,DtFmt=1"))</f>
        <v/>
      </c>
    </row>
    <row r="204" spans="7:35">
      <c r="G204" s="11"/>
      <c r="H204" s="7"/>
      <c r="I204" s="27"/>
      <c r="J204" s="8"/>
      <c r="K204" s="9"/>
      <c r="L204" s="10"/>
      <c r="M204" s="59"/>
      <c r="O204" s="11"/>
      <c r="P204" s="68" t="str">
        <f>IF(O204="","",IFERROR( _xll.IMDP("BND",$O204,P$6,$C$7,"Fill=false,DtFmt=1"),""))</f>
        <v/>
      </c>
      <c r="Q204" s="27" t="str">
        <f>IF($P204="","",SUBSTITUTE(INDEX(code_list!$O:$O,MATCH(O204,통안_code,0)),"통안",""))</f>
        <v/>
      </c>
      <c r="R204" s="8" t="str">
        <f t="shared" si="10"/>
        <v/>
      </c>
      <c r="S204" s="25" t="str">
        <f>IF($P204="","", _xll.IMDP("BND",$O204,S$6,$C$7,"Fill=false"))</f>
        <v/>
      </c>
      <c r="T204" s="26" t="str">
        <f>IF($P204="","", IFERROR( ( _xll.IMDP("BND",$O204,S$6,$C$7,"Fill=false")-_xll.IMDP("BND",$O204,S$6,$C$5,"Fill=false"))*100, ""))</f>
        <v/>
      </c>
      <c r="U204" s="59" t="str">
        <f>IF($P204="","", _xll.IMDP("BND",$O204,U$6,$C$7,"Fill=false,DtFmt=1"))</f>
        <v/>
      </c>
      <c r="AD204" s="11"/>
      <c r="AE204" s="75" t="str">
        <f>IF(AD204="","",_xll.IMDP("BND",$AD204,AE$6,$C$7,"Fill=false"))</f>
        <v/>
      </c>
      <c r="AF204" s="27" t="str">
        <f t="shared" si="11"/>
        <v/>
      </c>
      <c r="AG204" s="9" t="str">
        <f>IF($AE204="","",_xll.IMDP("BND",$AD204,AG$6,$C$7,"Fill=false"))</f>
        <v/>
      </c>
      <c r="AH204" s="80" t="str">
        <f>IF($AE204="","", IFERROR( ( _xll.IMDP("BND",$AD204,AG$6,$C$7,"Fill=false")-_xll.IMDP("BND",$AD204,AG$6,$C$5,"Fill=false"))*100, ""))</f>
        <v/>
      </c>
      <c r="AI204" s="59" t="str">
        <f>IF($AE204="","",_xll.IMDP("BND",$AD204,AI$6,$C$7,"Fill=false,DtFmt=1"))</f>
        <v/>
      </c>
    </row>
    <row r="205" spans="7:35">
      <c r="G205" s="11"/>
      <c r="H205" s="7"/>
      <c r="I205" s="27"/>
      <c r="J205" s="8"/>
      <c r="K205" s="9"/>
      <c r="L205" s="10"/>
      <c r="M205" s="59"/>
      <c r="O205" s="11"/>
      <c r="P205" s="68" t="str">
        <f>IF(O205="","",IFERROR( _xll.IMDP("BND",$O205,P$6,$C$7,"Fill=false,DtFmt=1"),""))</f>
        <v/>
      </c>
      <c r="Q205" s="27" t="str">
        <f>IF($P205="","",SUBSTITUTE(INDEX(code_list!$O:$O,MATCH(O205,통안_code,0)),"통안",""))</f>
        <v/>
      </c>
      <c r="R205" s="8" t="str">
        <f t="shared" si="10"/>
        <v/>
      </c>
      <c r="S205" s="25" t="str">
        <f>IF($P205="","", _xll.IMDP("BND",$O205,S$6,$C$7,"Fill=false"))</f>
        <v/>
      </c>
      <c r="T205" s="26" t="str">
        <f>IF($P205="","", IFERROR( ( _xll.IMDP("BND",$O205,S$6,$C$7,"Fill=false")-_xll.IMDP("BND",$O205,S$6,$C$5,"Fill=false"))*100, ""))</f>
        <v/>
      </c>
      <c r="U205" s="59" t="str">
        <f>IF($P205="","", _xll.IMDP("BND",$O205,U$6,$C$7,"Fill=false,DtFmt=1"))</f>
        <v/>
      </c>
      <c r="AD205" s="11"/>
      <c r="AE205" s="75" t="str">
        <f>IF(AD205="","",_xll.IMDP("BND",$AD205,AE$6,$C$7,"Fill=false"))</f>
        <v/>
      </c>
      <c r="AF205" s="27" t="str">
        <f t="shared" si="11"/>
        <v/>
      </c>
      <c r="AG205" s="9" t="str">
        <f>IF($AE205="","",_xll.IMDP("BND",$AD205,AG$6,$C$7,"Fill=false"))</f>
        <v/>
      </c>
      <c r="AH205" s="80" t="str">
        <f>IF($AE205="","", IFERROR( ( _xll.IMDP("BND",$AD205,AG$6,$C$7,"Fill=false")-_xll.IMDP("BND",$AD205,AG$6,$C$5,"Fill=false"))*100, ""))</f>
        <v/>
      </c>
      <c r="AI205" s="59" t="str">
        <f>IF($AE205="","",_xll.IMDP("BND",$AD205,AI$6,$C$7,"Fill=false,DtFmt=1"))</f>
        <v/>
      </c>
    </row>
    <row r="206" spans="7:35">
      <c r="G206" s="11"/>
      <c r="H206" s="7"/>
      <c r="I206" s="27"/>
      <c r="J206" s="8"/>
      <c r="K206" s="9"/>
      <c r="L206" s="10"/>
      <c r="M206" s="59"/>
      <c r="O206" s="11"/>
      <c r="P206" s="68" t="str">
        <f>IF(O206="","",IFERROR( _xll.IMDP("BND",$O206,P$6,$C$7,"Fill=false,DtFmt=1"),""))</f>
        <v/>
      </c>
      <c r="Q206" s="27" t="str">
        <f>IF($P206="","",SUBSTITUTE(INDEX(code_list!$O:$O,MATCH(O206,통안_code,0)),"통안",""))</f>
        <v/>
      </c>
      <c r="R206" s="8" t="str">
        <f t="shared" si="10"/>
        <v/>
      </c>
      <c r="S206" s="25" t="str">
        <f>IF($P206="","", _xll.IMDP("BND",$O206,S$6,$C$7,"Fill=false"))</f>
        <v/>
      </c>
      <c r="T206" s="26" t="str">
        <f>IF($P206="","", IFERROR( ( _xll.IMDP("BND",$O206,S$6,$C$7,"Fill=false")-_xll.IMDP("BND",$O206,S$6,$C$5,"Fill=false"))*100, ""))</f>
        <v/>
      </c>
      <c r="U206" s="59" t="str">
        <f>IF($P206="","", _xll.IMDP("BND",$O206,U$6,$C$7,"Fill=false,DtFmt=1"))</f>
        <v/>
      </c>
      <c r="AD206" s="27"/>
      <c r="AE206" s="75" t="str">
        <f>IF(AD206="","",_xll.IMDP("BND",$AD206,AE$6,$C$7,"Fill=false"))</f>
        <v/>
      </c>
      <c r="AF206" s="27" t="str">
        <f t="shared" si="11"/>
        <v/>
      </c>
      <c r="AG206" s="9" t="str">
        <f>IF($AE206="","",_xll.IMDP("BND",$AD206,AG$6,$C$7,"Fill=false"))</f>
        <v/>
      </c>
      <c r="AH206" s="80" t="str">
        <f>IF($AE206="","", IFERROR( ( _xll.IMDP("BND",$AD206,AG$6,$C$7,"Fill=false")-_xll.IMDP("BND",$AD206,AG$6,$C$5,"Fill=false"))*100, ""))</f>
        <v/>
      </c>
      <c r="AI206" s="59" t="str">
        <f>IF($AE206="","",_xll.IMDP("BND",$AD206,AI$6,$C$7,"Fill=false,DtFmt=1"))</f>
        <v/>
      </c>
    </row>
    <row r="207" spans="7:35">
      <c r="G207" s="12"/>
      <c r="H207" s="13"/>
      <c r="I207" s="33"/>
      <c r="J207" s="14"/>
      <c r="K207" s="15"/>
      <c r="L207" s="16"/>
      <c r="M207" s="60"/>
      <c r="O207" s="12"/>
      <c r="P207" s="69" t="str">
        <f>IF(O207="","",IFERROR( _xll.IMDP("BND",$O207,P$6,$C$7,"Fill=false,DtFmt=1"),""))</f>
        <v/>
      </c>
      <c r="Q207" s="33" t="str">
        <f>IF($P207="","",SUBSTITUTE(INDEX(code_list!$O:$O,MATCH(O207,통안_code,0)),"통안",""))</f>
        <v/>
      </c>
      <c r="R207" s="14" t="str">
        <f t="shared" si="10"/>
        <v/>
      </c>
      <c r="S207" s="28" t="str">
        <f>IF($P207="","", _xll.IMDP("BND",$O207,S$6,$C$7,"Fill=false"))</f>
        <v/>
      </c>
      <c r="T207" s="29" t="str">
        <f>IF($P207="","", IFERROR( ( _xll.IMDP("BND",$O207,S$6,$C$7,"Fill=false")-_xll.IMDP("BND",$O207,S$6,$C$5,"Fill=false"))*100, ""))</f>
        <v/>
      </c>
      <c r="U207" s="60" t="str">
        <f>IF($P207="","", _xll.IMDP("BND",$O207,U$6,$C$7,"Fill=false,DtFmt=1"))</f>
        <v/>
      </c>
      <c r="AD207" s="33"/>
      <c r="AE207" s="76" t="str">
        <f>IF(AD207="","",_xll.IMDP("BND",$AD207,AE$6,$C$7,"Fill=false"))</f>
        <v/>
      </c>
      <c r="AF207" s="33" t="str">
        <f t="shared" si="11"/>
        <v/>
      </c>
      <c r="AG207" s="15" t="str">
        <f>IF($AE207="","",_xll.IMDP("BND",$AD207,AG$6,$C$7,"Fill=false"))</f>
        <v/>
      </c>
      <c r="AH207" s="16" t="str">
        <f>IF($AE207="","", IFERROR( ( _xll.IMDP("BND",$AD207,AG$6,$C$7,"Fill=false")-_xll.IMDP("BND",$AD207,AG$6,$C$5,"Fill=false"))*100, ""))</f>
        <v/>
      </c>
      <c r="AI207" s="60" t="str">
        <f>IF($AE207="","",_xll.IMDP("BND",$AD207,AI$6,$C$7,"Fill=false,DtFmt=1"))</f>
        <v/>
      </c>
    </row>
    <row r="208" spans="7:35"/>
    <row r="209"/>
  </sheetData>
  <mergeCells count="5">
    <mergeCell ref="I5:M5"/>
    <mergeCell ref="Q5:U5"/>
    <mergeCell ref="Y5:AB5"/>
    <mergeCell ref="AF5:AI5"/>
    <mergeCell ref="B2:M3"/>
  </mergeCells>
  <phoneticPr fontId="1" type="noConversion"/>
  <conditionalFormatting sqref="G8:M207">
    <cfRule type="expression" dxfId="1" priority="4">
      <formula>LEFT($G8,2)="국고"</formula>
    </cfRule>
  </conditionalFormatting>
  <conditionalFormatting sqref="O8:U207">
    <cfRule type="expression" dxfId="0" priority="3">
      <formula>(LEFT($O8,2)="통안")</formula>
    </cfRule>
  </conditionalFormatting>
  <pageMargins left="0.7" right="0.7" top="0.75" bottom="0.75" header="0.3" footer="0.3"/>
  <pageSetup paperSize="9" scale="38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AI200"/>
  <sheetViews>
    <sheetView workbookViewId="0">
      <selection activeCell="B12" sqref="B12"/>
    </sheetView>
  </sheetViews>
  <sheetFormatPr defaultRowHeight="16.5"/>
  <cols>
    <col min="1" max="1" width="9" customWidth="1"/>
    <col min="3" max="4" width="9" customWidth="1"/>
    <col min="16" max="16" width="15" customWidth="1"/>
  </cols>
  <sheetData>
    <row r="1" spans="1:35">
      <c r="D1">
        <v>0</v>
      </c>
      <c r="E1">
        <f t="shared" ref="E1" si="0">IFERROR(MATCH(ROW()-1,D:D,0),MATCH(ROW()-1,D:D,1))</f>
        <v>1</v>
      </c>
      <c r="F1" t="str">
        <f>INDEX(C:C, E1+1)</f>
        <v>국고50Y</v>
      </c>
      <c r="G1" t="str">
        <f ca="1">IF(F1=0,"",INDEX(data!$8:$1048576, ROW()-INDEX(code_list!D:D,code_list!E1), INDEX(code_list!A:A, code_list!E1+1)))</f>
        <v>표준코드</v>
      </c>
      <c r="H1" t="str">
        <f ca="1">IFERROR(IF(G1="표준코드",F1,G1),"")</f>
        <v>국고50Y</v>
      </c>
      <c r="M1">
        <v>0</v>
      </c>
      <c r="N1">
        <f>IFERROR(MATCH(ROW()-1,M:M,0),MATCH(ROW()-1,M:M,1))</f>
        <v>1</v>
      </c>
      <c r="O1" t="str">
        <f>INDEX(L:L, N1+1)</f>
        <v>통안3.0Y</v>
      </c>
      <c r="P1" t="str">
        <f ca="1">IF(O1=0,"",INDEX(data!$8:$1048576, ROW()-INDEX(code_list!M:M,code_list!N1), INDEX(code_list!J:J, code_list!N1+1)))</f>
        <v>표준코드</v>
      </c>
      <c r="Q1" t="str">
        <f ca="1">IFERROR(IF(P1="표준코드",O1,P1),"")</f>
        <v>통안3.0Y</v>
      </c>
      <c r="V1">
        <v>0</v>
      </c>
      <c r="W1">
        <f t="shared" ref="W1" si="1">IFERROR(MATCH(ROW()-1,V:V,0),MATCH(ROW()-1,V:V,1))</f>
        <v>1</v>
      </c>
      <c r="X1" t="str">
        <f>INDEX(U:U, W1+1)</f>
        <v>물가연동국채</v>
      </c>
      <c r="Y1" t="str">
        <f ca="1">IF(X1=0,"",INDEX(data!$9:$1048576, ROW()-INDEX(code_list!V:V,code_list!W1), INDEX(code_list!S:S, code_list!W1+1)))</f>
        <v>KR103503GE62</v>
      </c>
      <c r="Z1" t="str">
        <f ca="1">IFERROR(IF(Y1="표준코드",X1,Y1),"")</f>
        <v>KR103503GE62</v>
      </c>
      <c r="AE1">
        <v>0</v>
      </c>
      <c r="AF1">
        <f t="shared" ref="AF1" si="2">IFERROR(MATCH(ROW()-1,AE:AE,0),MATCH(ROW()-1,AE:AE,1))</f>
        <v>1</v>
      </c>
      <c r="AG1" t="str">
        <f>INDEX(AD:AD, AF1+1)</f>
        <v>국민주택1종</v>
      </c>
      <c r="AH1" t="str">
        <f ca="1">IF(AG1=0,"",INDEX(data!$9:$1048576, ROW()-INDEX(code_list!AE:AE,code_list!AF1), INDEX(code_list!AB:AB, code_list!AF1+1)))</f>
        <v>KR101501DE87</v>
      </c>
      <c r="AI1" t="str">
        <f t="shared" ref="AI1" ca="1" si="3">IFERROR(IF(AH1="표준코드",AG1,AH1),"")</f>
        <v>KR101501DE87</v>
      </c>
    </row>
    <row r="2" spans="1:35">
      <c r="A2">
        <f ca="1">MATCH(C2, data!$7:$7, 0)</f>
        <v>1</v>
      </c>
      <c r="B2">
        <f ca="1">COUNTA( OFFSET(data!$A$9, 0, A2-1, 1000) )</f>
        <v>4</v>
      </c>
      <c r="C2" t="s">
        <v>199</v>
      </c>
      <c r="D2">
        <f ca="1">SUM(B$2:B2)+ROW()-1</f>
        <v>5</v>
      </c>
      <c r="E2">
        <f t="shared" ref="E2:E65" ca="1" si="4">IFERROR(MATCH(ROW()-1,D:D,0),MATCH(ROW()-1,D:D,1))</f>
        <v>1</v>
      </c>
      <c r="F2" t="str">
        <f t="shared" ref="F2:F65" ca="1" si="5">INDEX(C:C, E2+1)</f>
        <v>국고50Y</v>
      </c>
      <c r="G2" t="str">
        <f ca="1">IF(F2=0,"",INDEX(data!$8:$1048576, ROW()-INDEX(code_list!D:D,code_list!E2), INDEX(code_list!A:A, code_list!E2+1)))</f>
        <v>KR103505GC96</v>
      </c>
      <c r="H2" t="str">
        <f t="shared" ref="H2:H65" ca="1" si="6">IFERROR(IF(G2="표준코드",F2,G2),"")</f>
        <v>KR103505GC96</v>
      </c>
      <c r="J2">
        <f ca="1">MATCH(L2, data!$7:$7, 0)</f>
        <v>29</v>
      </c>
      <c r="K2">
        <f ca="1">COUNTA( OFFSET(data!$A$9, 0, J2-1, 1000) )</f>
        <v>6</v>
      </c>
      <c r="L2" t="s">
        <v>289</v>
      </c>
      <c r="M2">
        <f ca="1">SUM(K2:K$2)+ROW()-1</f>
        <v>7</v>
      </c>
      <c r="N2">
        <f t="shared" ref="N2:N65" ca="1" si="7">IFERROR(MATCH(ROW()-1,M:M,0),MATCH(ROW()-1,M:M,1))</f>
        <v>1</v>
      </c>
      <c r="O2" t="str">
        <f t="shared" ref="O2:O65" ca="1" si="8">INDEX(L:L, N2+1)</f>
        <v>통안3.0Y</v>
      </c>
      <c r="P2" t="str">
        <f ca="1">IF(O2=0,"",INDEX(data!$8:$1048576, ROW()-INDEX(code_list!M:M,code_list!N2), INDEX(code_list!J:J, code_list!N2+1)))</f>
        <v>KR310102GE35</v>
      </c>
      <c r="Q2" t="str">
        <f t="shared" ref="Q2:Q65" ca="1" si="9">IFERROR(IF(P2="표준코드",O2,P2),"")</f>
        <v>KR310102GE35</v>
      </c>
      <c r="S2">
        <f ca="1">MATCH(U2, data!$7:$7, 0)</f>
        <v>53</v>
      </c>
      <c r="T2">
        <f ca="1">COUNTA( OFFSET(data!$A$9, 0, S2-1, 1000) )</f>
        <v>6</v>
      </c>
      <c r="U2" t="s">
        <v>195</v>
      </c>
      <c r="V2">
        <f ca="1">SUM(T$2:T2)</f>
        <v>6</v>
      </c>
      <c r="W2">
        <f t="shared" ref="W2:W50" ca="1" si="10">IFERROR(MATCH(ROW()-1,V:V,0),MATCH(ROW()-1,V:V,1))</f>
        <v>1</v>
      </c>
      <c r="X2" t="str">
        <f t="shared" ref="X2:X50" ca="1" si="11">INDEX(U:U, W2+1)</f>
        <v>물가연동국채</v>
      </c>
      <c r="Y2" t="str">
        <f ca="1">IF(X2=0,"",INDEX(data!$9:$1048576, ROW()-INDEX(code_list!V:V,code_list!W2), INDEX(code_list!S:S, code_list!W2+1)))</f>
        <v>KR103503GC64</v>
      </c>
      <c r="Z2" t="str">
        <f t="shared" ref="Z2:Z50" ca="1" si="12">IFERROR(IF(Y2="표준코드",X2,Y2),"")</f>
        <v>KR103503GC64</v>
      </c>
      <c r="AB2">
        <f ca="1">MATCH(AD2, data!$7:$7, 0)</f>
        <v>57</v>
      </c>
      <c r="AC2">
        <f ca="1">COUNTA( OFFSET(data!$A$9, 0, AB2-1, 1000) )</f>
        <v>62</v>
      </c>
      <c r="AD2" t="s">
        <v>196</v>
      </c>
      <c r="AE2">
        <f ca="1">SUM(AC$2:AC2)</f>
        <v>62</v>
      </c>
      <c r="AF2">
        <f t="shared" ref="AF2:AF65" ca="1" si="13">IFERROR(MATCH(ROW()-1,AE:AE,0),MATCH(ROW()-1,AE:AE,1))</f>
        <v>1</v>
      </c>
      <c r="AG2" t="str">
        <f t="shared" ref="AG2:AG65" ca="1" si="14">INDEX(AD:AD, AF2+1)</f>
        <v>국민주택1종</v>
      </c>
      <c r="AH2" t="str">
        <f ca="1">IF(AG2=0,"",INDEX(data!$9:$1048576, ROW()-INDEX(code_list!AE:AE,code_list!AF2), INDEX(code_list!AB:AB, code_list!AF2+1)))</f>
        <v>KR101501DE79</v>
      </c>
      <c r="AI2" t="str">
        <f t="shared" ref="AI2:AI65" ca="1" si="15">IFERROR(IF(AH2="표준코드",AG2,AH2),"")</f>
        <v>KR101501DE79</v>
      </c>
    </row>
    <row r="3" spans="1:35">
      <c r="A3">
        <f ca="1">MATCH(C3, data!$7:$7, 0)</f>
        <v>5</v>
      </c>
      <c r="B3">
        <f ca="1">COUNTA( OFFSET(data!$A$9, 0, A3-1, 1000) )</f>
        <v>14</v>
      </c>
      <c r="C3" t="s">
        <v>200</v>
      </c>
      <c r="D3">
        <f ca="1">SUM(B$2:B3)+ROW()-1</f>
        <v>20</v>
      </c>
      <c r="E3">
        <f t="shared" ca="1" si="4"/>
        <v>1</v>
      </c>
      <c r="F3" t="str">
        <f t="shared" ca="1" si="5"/>
        <v>국고50Y</v>
      </c>
      <c r="G3" t="str">
        <f ca="1">IF(F3=0,"",INDEX(data!$8:$1048576, ROW()-INDEX(code_list!D:D,code_list!E3), INDEX(code_list!A:A, code_list!E3+1)))</f>
        <v>KR103503GA90</v>
      </c>
      <c r="H3" t="str">
        <f t="shared" ca="1" si="6"/>
        <v>KR103503GA90</v>
      </c>
      <c r="J3">
        <f ca="1">MATCH(L3, data!$7:$7, 0)</f>
        <v>33</v>
      </c>
      <c r="K3">
        <f ca="1">COUNTA( OFFSET(data!$A$9, 0, J3-1, 1000) )</f>
        <v>8</v>
      </c>
      <c r="L3" t="s">
        <v>206</v>
      </c>
      <c r="M3">
        <f ca="1">SUM(K$2:K3)+ROW()-1</f>
        <v>16</v>
      </c>
      <c r="N3">
        <f t="shared" ca="1" si="7"/>
        <v>1</v>
      </c>
      <c r="O3" t="str">
        <f t="shared" ca="1" si="8"/>
        <v>통안3.0Y</v>
      </c>
      <c r="P3" t="str">
        <f ca="1">IF(O3=0,"",INDEX(data!$8:$1048576, ROW()-INDEX(code_list!M:M,code_list!N3), INDEX(code_list!J:J, code_list!N3+1)))</f>
        <v>KR310102GD93</v>
      </c>
      <c r="Q3" t="str">
        <f t="shared" ca="1" si="9"/>
        <v>KR310102GD93</v>
      </c>
      <c r="W3">
        <f t="shared" ca="1" si="10"/>
        <v>1</v>
      </c>
      <c r="X3" t="str">
        <f t="shared" ca="1" si="11"/>
        <v>물가연동국채</v>
      </c>
      <c r="Y3" t="str">
        <f ca="1">IF(X3=0,"",INDEX(data!$9:$1048576, ROW()-INDEX(code_list!V:V,code_list!W3), INDEX(code_list!S:S, code_list!W3+1)))</f>
        <v>KR103503GA66</v>
      </c>
      <c r="Z3" t="str">
        <f t="shared" ca="1" si="12"/>
        <v>KR103503GA66</v>
      </c>
      <c r="AF3">
        <f t="shared" ca="1" si="13"/>
        <v>1</v>
      </c>
      <c r="AG3" t="str">
        <f t="shared" ca="1" si="14"/>
        <v>국민주택1종</v>
      </c>
      <c r="AH3" t="str">
        <f ca="1">IF(AG3=0,"",INDEX(data!$9:$1048576, ROW()-INDEX(code_list!AE:AE,code_list!AF3), INDEX(code_list!AB:AB, code_list!AF3+1)))</f>
        <v>KR101501DE61</v>
      </c>
      <c r="AI3" t="str">
        <f t="shared" ca="1" si="15"/>
        <v>KR101501DE61</v>
      </c>
    </row>
    <row r="4" spans="1:35">
      <c r="A4">
        <f ca="1">MATCH(C4, data!$7:$7, 0)</f>
        <v>9</v>
      </c>
      <c r="B4">
        <f ca="1">COUNTA( OFFSET(data!$A$9, 0, A4-1, 1000) )</f>
        <v>16</v>
      </c>
      <c r="C4" t="s">
        <v>201</v>
      </c>
      <c r="D4">
        <f ca="1">SUM(B$2:B4)+ROW()-1</f>
        <v>37</v>
      </c>
      <c r="E4">
        <f t="shared" ca="1" si="4"/>
        <v>1</v>
      </c>
      <c r="F4" t="str">
        <f t="shared" ca="1" si="5"/>
        <v>국고50Y</v>
      </c>
      <c r="G4" t="str">
        <f ca="1">IF(F4=0,"",INDEX(data!$8:$1048576, ROW()-INDEX(code_list!D:D,code_list!E4), INDEX(code_list!A:A, code_list!E4+1)))</f>
        <v>KR103503G899</v>
      </c>
      <c r="H4" t="str">
        <f t="shared" ca="1" si="6"/>
        <v>KR103503G899</v>
      </c>
      <c r="J4">
        <f ca="1">MATCH(L4, data!$7:$7, 0)</f>
        <v>37</v>
      </c>
      <c r="K4">
        <f ca="1">COUNTA( OFFSET(data!$A$9, 0, J4-1, 1000) )</f>
        <v>0</v>
      </c>
      <c r="L4" t="s">
        <v>207</v>
      </c>
      <c r="M4">
        <f ca="1">SUM(K$2:K4)+ROW()-1</f>
        <v>17</v>
      </c>
      <c r="N4">
        <f t="shared" ca="1" si="7"/>
        <v>1</v>
      </c>
      <c r="O4" t="str">
        <f t="shared" ca="1" si="8"/>
        <v>통안3.0Y</v>
      </c>
      <c r="P4" t="str">
        <f ca="1">IF(O4=0,"",INDEX(data!$8:$1048576, ROW()-INDEX(code_list!M:M,code_list!N4), INDEX(code_list!J:J, code_list!N4+1)))</f>
        <v>KR310102GD36</v>
      </c>
      <c r="Q4" t="str">
        <f t="shared" ca="1" si="9"/>
        <v>KR310102GD36</v>
      </c>
      <c r="W4">
        <f t="shared" ca="1" si="10"/>
        <v>1</v>
      </c>
      <c r="X4" t="str">
        <f t="shared" ca="1" si="11"/>
        <v>물가연동국채</v>
      </c>
      <c r="Y4" t="str">
        <f ca="1">IF(X4=0,"",INDEX(data!$9:$1048576, ROW()-INDEX(code_list!V:V,code_list!W4), INDEX(code_list!S:S, code_list!W4+1)))</f>
        <v>KR103503G865</v>
      </c>
      <c r="Z4" t="str">
        <f t="shared" ca="1" si="12"/>
        <v>KR103503G865</v>
      </c>
      <c r="AF4">
        <f t="shared" ca="1" si="13"/>
        <v>1</v>
      </c>
      <c r="AG4" t="str">
        <f t="shared" ca="1" si="14"/>
        <v>국민주택1종</v>
      </c>
      <c r="AH4" t="str">
        <f ca="1">IF(AG4=0,"",INDEX(data!$9:$1048576, ROW()-INDEX(code_list!AE:AE,code_list!AF4), INDEX(code_list!AB:AB, code_list!AF4+1)))</f>
        <v>KR101501DE53</v>
      </c>
      <c r="AI4" t="str">
        <f t="shared" ca="1" si="15"/>
        <v>KR101501DE53</v>
      </c>
    </row>
    <row r="5" spans="1:35">
      <c r="A5">
        <f ca="1">MATCH(C5, data!$7:$7, 0)</f>
        <v>13</v>
      </c>
      <c r="B5">
        <f ca="1">COUNTA( OFFSET(data!$A$9, 0, A5-1, 1000) )</f>
        <v>20</v>
      </c>
      <c r="C5" t="s">
        <v>202</v>
      </c>
      <c r="D5">
        <f ca="1">SUM(B$2:B5)+ROW()-1</f>
        <v>58</v>
      </c>
      <c r="E5">
        <f t="shared" ca="1" si="4"/>
        <v>1</v>
      </c>
      <c r="F5" t="str">
        <f t="shared" ca="1" si="5"/>
        <v>국고50Y</v>
      </c>
      <c r="G5" t="str">
        <f ca="1">IF(F5=0,"",INDEX(data!$8:$1048576, ROW()-INDEX(code_list!D:D,code_list!E5), INDEX(code_list!A:A, code_list!E5+1)))</f>
        <v>KR103503G691</v>
      </c>
      <c r="H5" t="str">
        <f t="shared" ca="1" si="6"/>
        <v>KR103503G691</v>
      </c>
      <c r="J5">
        <f ca="1">MATCH(L5, data!$7:$7, 0)</f>
        <v>41</v>
      </c>
      <c r="K5">
        <f ca="1">COUNTA( OFFSET(data!$A$9, 0, J5-1, 1000) )</f>
        <v>6</v>
      </c>
      <c r="L5" t="s">
        <v>208</v>
      </c>
      <c r="M5">
        <f ca="1">SUM(K$2:K5)+ROW()-1</f>
        <v>24</v>
      </c>
      <c r="N5">
        <f t="shared" ca="1" si="7"/>
        <v>1</v>
      </c>
      <c r="O5" t="str">
        <f t="shared" ca="1" si="8"/>
        <v>통안3.0Y</v>
      </c>
      <c r="P5" t="str">
        <f ca="1">IF(O5=0,"",INDEX(data!$8:$1048576, ROW()-INDEX(code_list!M:M,code_list!N5), INDEX(code_list!J:J, code_list!N5+1)))</f>
        <v>KR310102GC94</v>
      </c>
      <c r="Q5" t="str">
        <f t="shared" ca="1" si="9"/>
        <v>KR310102GC94</v>
      </c>
      <c r="W5">
        <f t="shared" ca="1" si="10"/>
        <v>1</v>
      </c>
      <c r="X5" t="str">
        <f t="shared" ca="1" si="11"/>
        <v>물가연동국채</v>
      </c>
      <c r="Y5" t="str">
        <f ca="1">IF(X5=0,"",INDEX(data!$9:$1048576, ROW()-INDEX(code_list!V:V,code_list!W5), INDEX(code_list!S:S, code_list!W5+1)))</f>
        <v>KR103503G667</v>
      </c>
      <c r="Z5" t="str">
        <f t="shared" ca="1" si="12"/>
        <v>KR103503G667</v>
      </c>
      <c r="AF5">
        <f t="shared" ca="1" si="13"/>
        <v>1</v>
      </c>
      <c r="AG5" t="str">
        <f t="shared" ca="1" si="14"/>
        <v>국민주택1종</v>
      </c>
      <c r="AH5" t="str">
        <f ca="1">IF(AG5=0,"",INDEX(data!$9:$1048576, ROW()-INDEX(code_list!AE:AE,code_list!AF5), INDEX(code_list!AB:AB, code_list!AF5+1)))</f>
        <v>KR101501DE46</v>
      </c>
      <c r="AI5" t="str">
        <f t="shared" ca="1" si="15"/>
        <v>KR101501DE46</v>
      </c>
    </row>
    <row r="6" spans="1:35">
      <c r="A6">
        <f ca="1">MATCH(C6, data!$7:$7, 0)</f>
        <v>17</v>
      </c>
      <c r="B6">
        <f ca="1">COUNTA( OFFSET(data!$A$9, 0, A6-1, 1000) )</f>
        <v>11</v>
      </c>
      <c r="C6" t="s">
        <v>203</v>
      </c>
      <c r="D6">
        <f ca="1">SUM(B$2:B6)+ROW()-1</f>
        <v>70</v>
      </c>
      <c r="E6">
        <f t="shared" ca="1" si="4"/>
        <v>2</v>
      </c>
      <c r="F6" t="str">
        <f t="shared" ca="1" si="5"/>
        <v>국고30Y</v>
      </c>
      <c r="G6" t="str">
        <f ca="1">IF(F6=0,"",INDEX(data!$8:$1048576, ROW()-INDEX(code_list!D:D,code_list!E6), INDEX(code_list!A:A, code_list!E6+1)))</f>
        <v>표준코드</v>
      </c>
      <c r="H6" t="str">
        <f t="shared" ca="1" si="6"/>
        <v>국고30Y</v>
      </c>
      <c r="J6">
        <f ca="1">MATCH(L6, data!$7:$7, 0)</f>
        <v>45</v>
      </c>
      <c r="K6">
        <f ca="1">COUNTA( OFFSET(data!$A$9, 0, J6-1, 1000) )</f>
        <v>13</v>
      </c>
      <c r="L6" t="s">
        <v>209</v>
      </c>
      <c r="M6">
        <f ca="1">SUM(K$2:K6)+ROW()-1</f>
        <v>38</v>
      </c>
      <c r="N6">
        <f t="shared" ca="1" si="7"/>
        <v>1</v>
      </c>
      <c r="O6" t="str">
        <f t="shared" ca="1" si="8"/>
        <v>통안3.0Y</v>
      </c>
      <c r="P6" t="str">
        <f ca="1">IF(O6=0,"",INDEX(data!$8:$1048576, ROW()-INDEX(code_list!M:M,code_list!N6), INDEX(code_list!J:J, code_list!N6+1)))</f>
        <v>KR310102GC37</v>
      </c>
      <c r="Q6" t="str">
        <f t="shared" ca="1" si="9"/>
        <v>KR310102GC37</v>
      </c>
      <c r="W6">
        <f t="shared" ca="1" si="10"/>
        <v>1</v>
      </c>
      <c r="X6" t="str">
        <f t="shared" ca="1" si="11"/>
        <v>물가연동국채</v>
      </c>
      <c r="Y6" t="str">
        <f ca="1">IF(X6=0,"",INDEX(data!$9:$1048576, ROW()-INDEX(code_list!V:V,code_list!W6), INDEX(code_list!S:S, code_list!W6+1)))</f>
        <v>KR103503G568</v>
      </c>
      <c r="Z6" t="str">
        <f t="shared" ca="1" si="12"/>
        <v>KR103503G568</v>
      </c>
      <c r="AF6">
        <f t="shared" ca="1" si="13"/>
        <v>1</v>
      </c>
      <c r="AG6" t="str">
        <f t="shared" ca="1" si="14"/>
        <v>국민주택1종</v>
      </c>
      <c r="AH6" t="str">
        <f ca="1">IF(AG6=0,"",INDEX(data!$9:$1048576, ROW()-INDEX(code_list!AE:AE,code_list!AF6), INDEX(code_list!AB:AB, code_list!AF6+1)))</f>
        <v>KR101501DE38</v>
      </c>
      <c r="AI6" t="str">
        <f t="shared" ca="1" si="15"/>
        <v>KR101501DE38</v>
      </c>
    </row>
    <row r="7" spans="1:35">
      <c r="A7">
        <f ca="1">MATCH(C7, data!$7:$7, 0)</f>
        <v>21</v>
      </c>
      <c r="B7">
        <f ca="1">COUNTA( OFFSET(data!$A$9, 0, A7-1, 1000) )</f>
        <v>6</v>
      </c>
      <c r="C7" t="s">
        <v>204</v>
      </c>
      <c r="D7">
        <f ca="1">SUM(B$2:B7)+ROW()-1</f>
        <v>77</v>
      </c>
      <c r="E7">
        <f t="shared" ca="1" si="4"/>
        <v>2</v>
      </c>
      <c r="F7" t="str">
        <f t="shared" ca="1" si="5"/>
        <v>국고30Y</v>
      </c>
      <c r="G7" t="str">
        <f ca="1">IF(F7=0,"",INDEX(data!$8:$1048576, ROW()-INDEX(code_list!D:D,code_list!E7), INDEX(code_list!A:A, code_list!E7+1)))</f>
        <v>KR103502GE97</v>
      </c>
      <c r="H7" t="str">
        <f t="shared" ca="1" si="6"/>
        <v>KR103502GE97</v>
      </c>
      <c r="J7">
        <f ca="1">MATCH(L7, data!$7:$7, 0)</f>
        <v>49</v>
      </c>
      <c r="K7">
        <f ca="1">COUNTA( OFFSET(data!$A$9, 0, J7-1, 1000) )</f>
        <v>0</v>
      </c>
      <c r="L7" t="s">
        <v>194</v>
      </c>
      <c r="M7">
        <f ca="1">SUM(K$2:K7)+ROW()-1</f>
        <v>39</v>
      </c>
      <c r="N7">
        <f t="shared" ca="1" si="7"/>
        <v>1</v>
      </c>
      <c r="O7" t="str">
        <f t="shared" ca="1" si="8"/>
        <v>통안3.0Y</v>
      </c>
      <c r="P7" t="str">
        <f ca="1">IF(O7=0,"",INDEX(data!$8:$1048576, ROW()-INDEX(code_list!M:M,code_list!N7), INDEX(code_list!J:J, code_list!N7+1)))</f>
        <v>KR310102GB95</v>
      </c>
      <c r="Q7" t="str">
        <f t="shared" ca="1" si="9"/>
        <v>KR310102GB95</v>
      </c>
      <c r="W7">
        <f t="shared" ca="1" si="10"/>
        <v>2</v>
      </c>
      <c r="X7">
        <f t="shared" ca="1" si="11"/>
        <v>0</v>
      </c>
      <c r="Y7" t="str">
        <f ca="1">IF(X7=0,"",INDEX(data!$9:$1048576, ROW()-INDEX(code_list!V:V,code_list!W7), INDEX(code_list!S:S, code_list!W7+1)))</f>
        <v/>
      </c>
      <c r="Z7" t="str">
        <f t="shared" ca="1" si="12"/>
        <v/>
      </c>
      <c r="AF7">
        <f t="shared" ca="1" si="13"/>
        <v>1</v>
      </c>
      <c r="AG7" t="str">
        <f t="shared" ca="1" si="14"/>
        <v>국민주택1종</v>
      </c>
      <c r="AH7" t="str">
        <f ca="1">IF(AG7=0,"",INDEX(data!$9:$1048576, ROW()-INDEX(code_list!AE:AE,code_list!AF7), INDEX(code_list!AB:AB, code_list!AF7+1)))</f>
        <v>KR101501DE20</v>
      </c>
      <c r="AI7" t="str">
        <f t="shared" ca="1" si="15"/>
        <v>KR101501DE20</v>
      </c>
    </row>
    <row r="8" spans="1:35">
      <c r="A8">
        <f ca="1">MATCH(C8, data!$7:$7, 0)</f>
        <v>25</v>
      </c>
      <c r="B8">
        <f ca="1">COUNTA( OFFSET(data!$A$9, 0, A8-1, 1000) )</f>
        <v>5</v>
      </c>
      <c r="C8" t="s">
        <v>205</v>
      </c>
      <c r="D8">
        <f ca="1">SUM(B$2:B8)+ROW()-1</f>
        <v>83</v>
      </c>
      <c r="E8">
        <f t="shared" ca="1" si="4"/>
        <v>2</v>
      </c>
      <c r="F8" t="str">
        <f t="shared" ca="1" si="5"/>
        <v>국고30Y</v>
      </c>
      <c r="G8" t="str">
        <f ca="1">IF(F8=0,"",INDEX(data!$8:$1048576, ROW()-INDEX(code_list!D:D,code_list!E8), INDEX(code_list!A:A, code_list!E8+1)))</f>
        <v>KR103502GE30</v>
      </c>
      <c r="H8" t="str">
        <f t="shared" ca="1" si="6"/>
        <v>KR103502GE30</v>
      </c>
      <c r="N8">
        <f t="shared" ca="1" si="7"/>
        <v>2</v>
      </c>
      <c r="O8" t="str">
        <f t="shared" ca="1" si="8"/>
        <v>통안2.0Y</v>
      </c>
      <c r="P8" t="str">
        <f ca="1">IF(O8=0,"",INDEX(data!$8:$1048576, ROW()-INDEX(code_list!M:M,code_list!N8), INDEX(code_list!J:J, code_list!N8+1)))</f>
        <v>표준코드</v>
      </c>
      <c r="Q8" t="str">
        <f t="shared" ca="1" si="9"/>
        <v>통안2.0Y</v>
      </c>
      <c r="W8">
        <f t="shared" ca="1" si="10"/>
        <v>2</v>
      </c>
      <c r="X8">
        <f t="shared" ca="1" si="11"/>
        <v>0</v>
      </c>
      <c r="Y8" t="str">
        <f ca="1">IF(X8=0,"",INDEX(data!$9:$1048576, ROW()-INDEX(code_list!V:V,code_list!W8), INDEX(code_list!S:S, code_list!W8+1)))</f>
        <v/>
      </c>
      <c r="Z8" t="str">
        <f t="shared" ca="1" si="12"/>
        <v/>
      </c>
      <c r="AF8">
        <f t="shared" ca="1" si="13"/>
        <v>1</v>
      </c>
      <c r="AG8" t="str">
        <f t="shared" ca="1" si="14"/>
        <v>국민주택1종</v>
      </c>
      <c r="AH8" t="str">
        <f ca="1">IF(AG8=0,"",INDEX(data!$9:$1048576, ROW()-INDEX(code_list!AE:AE,code_list!AF8), INDEX(code_list!AB:AB, code_list!AF8+1)))</f>
        <v>KR101501DE12</v>
      </c>
      <c r="AI8" t="str">
        <f t="shared" ca="1" si="15"/>
        <v>KR101501DE12</v>
      </c>
    </row>
    <row r="9" spans="1:35">
      <c r="E9">
        <f t="shared" ca="1" si="4"/>
        <v>2</v>
      </c>
      <c r="F9" t="str">
        <f t="shared" ca="1" si="5"/>
        <v>국고30Y</v>
      </c>
      <c r="G9" t="str">
        <f ca="1">IF(F9=0,"",INDEX(data!$8:$1048576, ROW()-INDEX(code_list!D:D,code_list!E9), INDEX(code_list!A:A, code_list!E9+1)))</f>
        <v>KR103502GD98</v>
      </c>
      <c r="H9" t="str">
        <f t="shared" ca="1" si="6"/>
        <v>KR103502GD98</v>
      </c>
      <c r="N9">
        <f t="shared" ca="1" si="7"/>
        <v>2</v>
      </c>
      <c r="O9" t="str">
        <f t="shared" ca="1" si="8"/>
        <v>통안2.0Y</v>
      </c>
      <c r="P9" t="str">
        <f ca="1">IF(O9=0,"",INDEX(data!$8:$1048576, ROW()-INDEX(code_list!M:M,code_list!N9), INDEX(code_list!J:J, code_list!N9+1)))</f>
        <v>KR310101GE77</v>
      </c>
      <c r="Q9" t="str">
        <f t="shared" ca="1" si="9"/>
        <v>KR310101GE77</v>
      </c>
      <c r="W9">
        <f t="shared" ca="1" si="10"/>
        <v>2</v>
      </c>
      <c r="X9">
        <f t="shared" ca="1" si="11"/>
        <v>0</v>
      </c>
      <c r="Y9" t="str">
        <f ca="1">IF(X9=0,"",INDEX(data!$9:$1048576, ROW()-INDEX(code_list!V:V,code_list!W9), INDEX(code_list!S:S, code_list!W9+1)))</f>
        <v/>
      </c>
      <c r="Z9" t="str">
        <f t="shared" ca="1" si="12"/>
        <v/>
      </c>
      <c r="AF9">
        <f t="shared" ca="1" si="13"/>
        <v>1</v>
      </c>
      <c r="AG9" t="str">
        <f t="shared" ca="1" si="14"/>
        <v>국민주택1종</v>
      </c>
      <c r="AH9" t="str">
        <f ca="1">IF(AG9=0,"",INDEX(data!$9:$1048576, ROW()-INDEX(code_list!AE:AE,code_list!AF9), INDEX(code_list!AB:AB, code_list!AF9+1)))</f>
        <v>KR101501DDC7</v>
      </c>
      <c r="AI9" t="str">
        <f t="shared" ca="1" si="15"/>
        <v>KR101501DDC7</v>
      </c>
    </row>
    <row r="10" spans="1:35">
      <c r="E10">
        <f t="shared" ca="1" si="4"/>
        <v>2</v>
      </c>
      <c r="F10" t="str">
        <f t="shared" ca="1" si="5"/>
        <v>국고30Y</v>
      </c>
      <c r="G10" t="str">
        <f ca="1">IF(F10=0,"",INDEX(data!$8:$1048576, ROW()-INDEX(code_list!D:D,code_list!E10), INDEX(code_list!A:A, code_list!E10+1)))</f>
        <v>KR103502GD31</v>
      </c>
      <c r="H10" t="str">
        <f t="shared" ca="1" si="6"/>
        <v>KR103502GD31</v>
      </c>
      <c r="N10">
        <f t="shared" ca="1" si="7"/>
        <v>2</v>
      </c>
      <c r="O10" t="str">
        <f t="shared" ca="1" si="8"/>
        <v>통안2.0Y</v>
      </c>
      <c r="P10" t="str">
        <f ca="1">IF(O10=0,"",INDEX(data!$8:$1048576, ROW()-INDEX(code_list!M:M,code_list!N10), INDEX(code_list!J:J, code_list!N10+1)))</f>
        <v>KR310101GE44</v>
      </c>
      <c r="Q10" t="str">
        <f t="shared" ca="1" si="9"/>
        <v>KR310101GE44</v>
      </c>
      <c r="W10">
        <f t="shared" ca="1" si="10"/>
        <v>2</v>
      </c>
      <c r="X10">
        <f t="shared" ca="1" si="11"/>
        <v>0</v>
      </c>
      <c r="Y10" t="str">
        <f ca="1">IF(X10=0,"",INDEX(data!$9:$1048576, ROW()-INDEX(code_list!V:V,code_list!W10), INDEX(code_list!S:S, code_list!W10+1)))</f>
        <v/>
      </c>
      <c r="Z10" t="str">
        <f t="shared" ca="1" si="12"/>
        <v/>
      </c>
      <c r="AF10">
        <f t="shared" ca="1" si="13"/>
        <v>1</v>
      </c>
      <c r="AG10" t="str">
        <f t="shared" ca="1" si="14"/>
        <v>국민주택1종</v>
      </c>
      <c r="AH10" t="str">
        <f ca="1">IF(AG10=0,"",INDEX(data!$9:$1048576, ROW()-INDEX(code_list!AE:AE,code_list!AF10), INDEX(code_list!AB:AB, code_list!AF10+1)))</f>
        <v>KR101501DDB9</v>
      </c>
      <c r="AI10" t="str">
        <f t="shared" ca="1" si="15"/>
        <v>KR101501DDB9</v>
      </c>
    </row>
    <row r="11" spans="1:35">
      <c r="A11" t="b">
        <v>0</v>
      </c>
      <c r="E11">
        <f t="shared" ca="1" si="4"/>
        <v>2</v>
      </c>
      <c r="F11" t="str">
        <f t="shared" ca="1" si="5"/>
        <v>국고30Y</v>
      </c>
      <c r="G11" t="str">
        <f ca="1">IF(F11=0,"",INDEX(data!$8:$1048576, ROW()-INDEX(code_list!D:D,code_list!E11), INDEX(code_list!A:A, code_list!E11+1)))</f>
        <v>KR103502GC99</v>
      </c>
      <c r="H11" t="str">
        <f t="shared" ca="1" si="6"/>
        <v>KR103502GC99</v>
      </c>
      <c r="N11">
        <f t="shared" ca="1" si="7"/>
        <v>2</v>
      </c>
      <c r="O11" t="str">
        <f t="shared" ca="1" si="8"/>
        <v>통안2.0Y</v>
      </c>
      <c r="P11" t="str">
        <f ca="1">IF(O11=0,"",INDEX(data!$8:$1048576, ROW()-INDEX(code_list!M:M,code_list!N11), INDEX(code_list!J:J, code_list!N11+1)))</f>
        <v>KR310101GE10</v>
      </c>
      <c r="Q11" t="str">
        <f t="shared" ca="1" si="9"/>
        <v>KR310101GE10</v>
      </c>
      <c r="W11">
        <f t="shared" ca="1" si="10"/>
        <v>2</v>
      </c>
      <c r="X11">
        <f t="shared" ca="1" si="11"/>
        <v>0</v>
      </c>
      <c r="Y11" t="str">
        <f ca="1">IF(X11=0,"",INDEX(data!$9:$1048576, ROW()-INDEX(code_list!V:V,code_list!W11), INDEX(code_list!S:S, code_list!W11+1)))</f>
        <v/>
      </c>
      <c r="Z11" t="str">
        <f t="shared" ca="1" si="12"/>
        <v/>
      </c>
      <c r="AF11">
        <f t="shared" ca="1" si="13"/>
        <v>1</v>
      </c>
      <c r="AG11" t="str">
        <f t="shared" ca="1" si="14"/>
        <v>국민주택1종</v>
      </c>
      <c r="AH11" t="str">
        <f ca="1">IF(AG11=0,"",INDEX(data!$9:$1048576, ROW()-INDEX(code_list!AE:AE,code_list!AF11), INDEX(code_list!AB:AB, code_list!AF11+1)))</f>
        <v>KR101501DDA1</v>
      </c>
      <c r="AI11" t="str">
        <f t="shared" ca="1" si="15"/>
        <v>KR101501DDA1</v>
      </c>
    </row>
    <row r="12" spans="1:35">
      <c r="A12" t="s">
        <v>210</v>
      </c>
      <c r="B12" t="str">
        <f>INDEX($A$12:$A$13,$A$14)&amp;" 수익률(산출일)"&amp;CHOOSE($B$14,""," 당일")</f>
        <v>민평4사 수익률(산출일)</v>
      </c>
      <c r="E12">
        <f t="shared" ca="1" si="4"/>
        <v>2</v>
      </c>
      <c r="F12" t="str">
        <f t="shared" ca="1" si="5"/>
        <v>국고30Y</v>
      </c>
      <c r="G12" t="str">
        <f ca="1">IF(F12=0,"",INDEX(data!$8:$1048576, ROW()-INDEX(code_list!D:D,code_list!E12), INDEX(code_list!A:A, code_list!E12+1)))</f>
        <v>KR103502GC32</v>
      </c>
      <c r="H12" t="str">
        <f t="shared" ca="1" si="6"/>
        <v>KR103502GC32</v>
      </c>
      <c r="N12">
        <f t="shared" ca="1" si="7"/>
        <v>2</v>
      </c>
      <c r="O12" t="str">
        <f t="shared" ca="1" si="8"/>
        <v>통안2.0Y</v>
      </c>
      <c r="P12" t="str">
        <f ca="1">IF(O12=0,"",INDEX(data!$8:$1048576, ROW()-INDEX(code_list!M:M,code_list!N12), INDEX(code_list!J:J, code_list!N12+1)))</f>
        <v>KR310101GDA0</v>
      </c>
      <c r="Q12" t="str">
        <f t="shared" ca="1" si="9"/>
        <v>KR310101GDA0</v>
      </c>
      <c r="W12">
        <f t="shared" ca="1" si="10"/>
        <v>2</v>
      </c>
      <c r="X12">
        <f t="shared" ca="1" si="11"/>
        <v>0</v>
      </c>
      <c r="Y12" t="str">
        <f ca="1">IF(X12=0,"",INDEX(data!$9:$1048576, ROW()-INDEX(code_list!V:V,code_list!W12), INDEX(code_list!S:S, code_list!W12+1)))</f>
        <v/>
      </c>
      <c r="Z12" t="str">
        <f t="shared" ca="1" si="12"/>
        <v/>
      </c>
      <c r="AF12">
        <f t="shared" ca="1" si="13"/>
        <v>1</v>
      </c>
      <c r="AG12" t="str">
        <f t="shared" ca="1" si="14"/>
        <v>국민주택1종</v>
      </c>
      <c r="AH12" t="str">
        <f ca="1">IF(AG12=0,"",INDEX(data!$9:$1048576, ROW()-INDEX(code_list!AE:AE,code_list!AF12), INDEX(code_list!AB:AB, code_list!AF12+1)))</f>
        <v>KR101501DD96</v>
      </c>
      <c r="AI12" t="str">
        <f t="shared" ca="1" si="15"/>
        <v>KR101501DD96</v>
      </c>
    </row>
    <row r="13" spans="1:35">
      <c r="A13" t="s">
        <v>211</v>
      </c>
      <c r="B13" t="str">
        <f>INDEX($A$12:$A$13,$A$14)&amp;" 수익률(전일대비)"&amp;CHOOSE($B$14,""," 당일")</f>
        <v>민평4사 수익률(전일대비)</v>
      </c>
      <c r="E13">
        <f t="shared" ca="1" si="4"/>
        <v>2</v>
      </c>
      <c r="F13" t="str">
        <f t="shared" ca="1" si="5"/>
        <v>국고30Y</v>
      </c>
      <c r="G13" t="str">
        <f ca="1">IF(F13=0,"",INDEX(data!$8:$1048576, ROW()-INDEX(code_list!D:D,code_list!E13), INDEX(code_list!A:A, code_list!E13+1)))</f>
        <v>KR103502GB33</v>
      </c>
      <c r="H13" t="str">
        <f t="shared" ca="1" si="6"/>
        <v>KR103502GB33</v>
      </c>
      <c r="N13">
        <f t="shared" ca="1" si="7"/>
        <v>2</v>
      </c>
      <c r="O13" t="str">
        <f t="shared" ca="1" si="8"/>
        <v>통안2.0Y</v>
      </c>
      <c r="P13" t="str">
        <f ca="1">IF(O13=0,"",INDEX(data!$8:$1048576, ROW()-INDEX(code_list!M:M,code_list!N13), INDEX(code_list!J:J, code_list!N13+1)))</f>
        <v>KR310101GD78</v>
      </c>
      <c r="Q13" t="str">
        <f t="shared" ca="1" si="9"/>
        <v>KR310101GD78</v>
      </c>
      <c r="W13">
        <f t="shared" ca="1" si="10"/>
        <v>2</v>
      </c>
      <c r="X13">
        <f t="shared" ca="1" si="11"/>
        <v>0</v>
      </c>
      <c r="Y13" t="str">
        <f ca="1">IF(X13=0,"",INDEX(data!$9:$1048576, ROW()-INDEX(code_list!V:V,code_list!W13), INDEX(code_list!S:S, code_list!W13+1)))</f>
        <v/>
      </c>
      <c r="Z13" t="str">
        <f t="shared" ca="1" si="12"/>
        <v/>
      </c>
      <c r="AF13">
        <f t="shared" ca="1" si="13"/>
        <v>1</v>
      </c>
      <c r="AG13" t="str">
        <f t="shared" ca="1" si="14"/>
        <v>국민주택1종</v>
      </c>
      <c r="AH13" t="str">
        <f ca="1">IF(AG13=0,"",INDEX(data!$9:$1048576, ROW()-INDEX(code_list!AE:AE,code_list!AF13), INDEX(code_list!AB:AB, code_list!AF13+1)))</f>
        <v>KR101501DD88</v>
      </c>
      <c r="AI13" t="str">
        <f t="shared" ca="1" si="15"/>
        <v>KR101501DD88</v>
      </c>
    </row>
    <row r="14" spans="1:35">
      <c r="A14">
        <v>2</v>
      </c>
      <c r="B14">
        <v>1</v>
      </c>
      <c r="E14">
        <f t="shared" ca="1" si="4"/>
        <v>2</v>
      </c>
      <c r="F14" t="str">
        <f t="shared" ca="1" si="5"/>
        <v>국고30Y</v>
      </c>
      <c r="G14" t="str">
        <f ca="1">IF(F14=0,"",INDEX(data!$8:$1048576, ROW()-INDEX(code_list!D:D,code_list!E14), INDEX(code_list!A:A, code_list!E14+1)))</f>
        <v>KR103502GA34</v>
      </c>
      <c r="H14" t="str">
        <f t="shared" ca="1" si="6"/>
        <v>KR103502GA34</v>
      </c>
      <c r="N14">
        <f t="shared" ca="1" si="7"/>
        <v>2</v>
      </c>
      <c r="O14" t="str">
        <f t="shared" ca="1" si="8"/>
        <v>통안2.0Y</v>
      </c>
      <c r="P14" t="str">
        <f ca="1">IF(O14=0,"",INDEX(data!$8:$1048576, ROW()-INDEX(code_list!M:M,code_list!N14), INDEX(code_list!J:J, code_list!N14+1)))</f>
        <v>KR310101GD45</v>
      </c>
      <c r="Q14" t="str">
        <f t="shared" ca="1" si="9"/>
        <v>KR310101GD45</v>
      </c>
      <c r="W14">
        <f t="shared" ca="1" si="10"/>
        <v>2</v>
      </c>
      <c r="X14">
        <f t="shared" ca="1" si="11"/>
        <v>0</v>
      </c>
      <c r="Y14" t="str">
        <f ca="1">IF(X14=0,"",INDEX(data!$9:$1048576, ROW()-INDEX(code_list!V:V,code_list!W14), INDEX(code_list!S:S, code_list!W14+1)))</f>
        <v/>
      </c>
      <c r="Z14" t="str">
        <f t="shared" ca="1" si="12"/>
        <v/>
      </c>
      <c r="AF14">
        <f t="shared" ca="1" si="13"/>
        <v>1</v>
      </c>
      <c r="AG14" t="str">
        <f t="shared" ca="1" si="14"/>
        <v>국민주택1종</v>
      </c>
      <c r="AH14" t="str">
        <f ca="1">IF(AG14=0,"",INDEX(data!$9:$1048576, ROW()-INDEX(code_list!AE:AE,code_list!AF14), INDEX(code_list!AB:AB, code_list!AF14+1)))</f>
        <v>KR101501DD70</v>
      </c>
      <c r="AI14" t="str">
        <f t="shared" ca="1" si="15"/>
        <v>KR101501DD70</v>
      </c>
    </row>
    <row r="15" spans="1:35">
      <c r="E15">
        <f t="shared" ca="1" si="4"/>
        <v>2</v>
      </c>
      <c r="F15" t="str">
        <f t="shared" ca="1" si="5"/>
        <v>국고30Y</v>
      </c>
      <c r="G15" t="str">
        <f ca="1">IF(F15=0,"",INDEX(data!$8:$1048576, ROW()-INDEX(code_list!D:D,code_list!E15), INDEX(code_list!A:A, code_list!E15+1)))</f>
        <v>KR103502G933</v>
      </c>
      <c r="H15" t="str">
        <f t="shared" ca="1" si="6"/>
        <v>KR103502G933</v>
      </c>
      <c r="N15">
        <f t="shared" ca="1" si="7"/>
        <v>2</v>
      </c>
      <c r="O15" t="str">
        <f t="shared" ca="1" si="8"/>
        <v>통안2.0Y</v>
      </c>
      <c r="P15" t="str">
        <f ca="1">IF(O15=0,"",INDEX(data!$8:$1048576, ROW()-INDEX(code_list!M:M,code_list!N15), INDEX(code_list!J:J, code_list!N15+1)))</f>
        <v>KR310101GD11</v>
      </c>
      <c r="Q15" t="str">
        <f t="shared" ca="1" si="9"/>
        <v>KR310101GD11</v>
      </c>
      <c r="W15">
        <f t="shared" ca="1" si="10"/>
        <v>2</v>
      </c>
      <c r="X15">
        <f t="shared" ca="1" si="11"/>
        <v>0</v>
      </c>
      <c r="Y15" t="str">
        <f ca="1">IF(X15=0,"",INDEX(data!$9:$1048576, ROW()-INDEX(code_list!V:V,code_list!W15), INDEX(code_list!S:S, code_list!W15+1)))</f>
        <v/>
      </c>
      <c r="Z15" t="str">
        <f t="shared" ca="1" si="12"/>
        <v/>
      </c>
      <c r="AF15">
        <f t="shared" ca="1" si="13"/>
        <v>1</v>
      </c>
      <c r="AG15" t="str">
        <f t="shared" ca="1" si="14"/>
        <v>국민주택1종</v>
      </c>
      <c r="AH15" t="str">
        <f ca="1">IF(AG15=0,"",INDEX(data!$9:$1048576, ROW()-INDEX(code_list!AE:AE,code_list!AF15), INDEX(code_list!AB:AB, code_list!AF15+1)))</f>
        <v>KR101501DD62</v>
      </c>
      <c r="AI15" t="str">
        <f t="shared" ca="1" si="15"/>
        <v>KR101501DD62</v>
      </c>
    </row>
    <row r="16" spans="1:35">
      <c r="E16">
        <f t="shared" ca="1" si="4"/>
        <v>2</v>
      </c>
      <c r="F16" t="str">
        <f t="shared" ca="1" si="5"/>
        <v>국고30Y</v>
      </c>
      <c r="G16" t="str">
        <f ca="1">IF(F16=0,"",INDEX(data!$8:$1048576, ROW()-INDEX(code_list!D:D,code_list!E16), INDEX(code_list!A:A, code_list!E16+1)))</f>
        <v>KR103502G834</v>
      </c>
      <c r="H16" t="str">
        <f t="shared" ca="1" si="6"/>
        <v>KR103502G834</v>
      </c>
      <c r="N16">
        <f t="shared" ca="1" si="7"/>
        <v>2</v>
      </c>
      <c r="O16" t="str">
        <f t="shared" ca="1" si="8"/>
        <v>통안2.0Y</v>
      </c>
      <c r="P16" t="str">
        <f ca="1">IF(O16=0,"",INDEX(data!$8:$1048576, ROW()-INDEX(code_list!M:M,code_list!N16), INDEX(code_list!J:J, code_list!N16+1)))</f>
        <v>KR310101GCA2</v>
      </c>
      <c r="Q16" t="str">
        <f t="shared" ca="1" si="9"/>
        <v>KR310101GCA2</v>
      </c>
      <c r="W16">
        <f t="shared" ca="1" si="10"/>
        <v>2</v>
      </c>
      <c r="X16">
        <f t="shared" ca="1" si="11"/>
        <v>0</v>
      </c>
      <c r="Y16" t="str">
        <f ca="1">IF(X16=0,"",INDEX(data!$9:$1048576, ROW()-INDEX(code_list!V:V,code_list!W16), INDEX(code_list!S:S, code_list!W16+1)))</f>
        <v/>
      </c>
      <c r="Z16" t="str">
        <f t="shared" ca="1" si="12"/>
        <v/>
      </c>
      <c r="AF16">
        <f t="shared" ca="1" si="13"/>
        <v>1</v>
      </c>
      <c r="AG16" t="str">
        <f t="shared" ca="1" si="14"/>
        <v>국민주택1종</v>
      </c>
      <c r="AH16" t="str">
        <f ca="1">IF(AG16=0,"",INDEX(data!$9:$1048576, ROW()-INDEX(code_list!AE:AE,code_list!AF16), INDEX(code_list!AB:AB, code_list!AF16+1)))</f>
        <v>KR101501DD54</v>
      </c>
      <c r="AI16" t="str">
        <f t="shared" ca="1" si="15"/>
        <v>KR101501DD54</v>
      </c>
    </row>
    <row r="17" spans="5:35">
      <c r="E17">
        <f t="shared" ca="1" si="4"/>
        <v>2</v>
      </c>
      <c r="F17" t="str">
        <f t="shared" ca="1" si="5"/>
        <v>국고30Y</v>
      </c>
      <c r="G17" t="str">
        <f ca="1">IF(F17=0,"",INDEX(data!$8:$1048576, ROW()-INDEX(code_list!D:D,code_list!E17), INDEX(code_list!A:A, code_list!E17+1)))</f>
        <v>KR103502G735</v>
      </c>
      <c r="H17" t="str">
        <f t="shared" ca="1" si="6"/>
        <v>KR103502G735</v>
      </c>
      <c r="N17">
        <f t="shared" ca="1" si="7"/>
        <v>3</v>
      </c>
      <c r="O17" t="str">
        <f t="shared" ca="1" si="8"/>
        <v>통안1.5Y</v>
      </c>
      <c r="P17" t="str">
        <f ca="1">IF(O17=0,"",INDEX(data!$8:$1048576, ROW()-INDEX(code_list!M:M,code_list!N17), INDEX(code_list!J:J, code_list!N17+1)))</f>
        <v>표준코드</v>
      </c>
      <c r="Q17" t="str">
        <f t="shared" ca="1" si="9"/>
        <v>통안1.5Y</v>
      </c>
      <c r="W17">
        <f t="shared" ca="1" si="10"/>
        <v>2</v>
      </c>
      <c r="X17">
        <f t="shared" ca="1" si="11"/>
        <v>0</v>
      </c>
      <c r="Y17" t="str">
        <f ca="1">IF(X17=0,"",INDEX(data!$9:$1048576, ROW()-INDEX(code_list!V:V,code_list!W17), INDEX(code_list!S:S, code_list!W17+1)))</f>
        <v/>
      </c>
      <c r="Z17" t="str">
        <f t="shared" ca="1" si="12"/>
        <v/>
      </c>
      <c r="AF17">
        <f t="shared" ca="1" si="13"/>
        <v>1</v>
      </c>
      <c r="AG17" t="str">
        <f t="shared" ca="1" si="14"/>
        <v>국민주택1종</v>
      </c>
      <c r="AH17" t="str">
        <f ca="1">IF(AG17=0,"",INDEX(data!$9:$1048576, ROW()-INDEX(code_list!AE:AE,code_list!AF17), INDEX(code_list!AB:AB, code_list!AF17+1)))</f>
        <v>KR101501DD47</v>
      </c>
      <c r="AI17" t="str">
        <f t="shared" ca="1" si="15"/>
        <v>KR101501DD47</v>
      </c>
    </row>
    <row r="18" spans="5:35">
      <c r="E18">
        <f t="shared" ca="1" si="4"/>
        <v>2</v>
      </c>
      <c r="F18" t="str">
        <f t="shared" ca="1" si="5"/>
        <v>국고30Y</v>
      </c>
      <c r="G18" t="str">
        <f ca="1">IF(F18=0,"",INDEX(data!$8:$1048576, ROW()-INDEX(code_list!D:D,code_list!E18), INDEX(code_list!A:A, code_list!E18+1)))</f>
        <v>KR103502G636</v>
      </c>
      <c r="H18" t="str">
        <f t="shared" ca="1" si="6"/>
        <v>KR103502G636</v>
      </c>
      <c r="N18">
        <f t="shared" ca="1" si="7"/>
        <v>4</v>
      </c>
      <c r="O18" t="str">
        <f t="shared" ca="1" si="8"/>
        <v>통안1.0Y</v>
      </c>
      <c r="P18" t="str">
        <f ca="1">IF(O18=0,"",INDEX(data!$8:$1048576, ROW()-INDEX(code_list!M:M,code_list!N18), INDEX(code_list!J:J, code_list!N18+1)))</f>
        <v>표준코드</v>
      </c>
      <c r="Q18" t="str">
        <f t="shared" ca="1" si="9"/>
        <v>통안1.0Y</v>
      </c>
      <c r="W18">
        <f t="shared" ca="1" si="10"/>
        <v>2</v>
      </c>
      <c r="X18">
        <f t="shared" ca="1" si="11"/>
        <v>0</v>
      </c>
      <c r="Y18" t="str">
        <f ca="1">IF(X18=0,"",INDEX(data!$9:$1048576, ROW()-INDEX(code_list!V:V,code_list!W18), INDEX(code_list!S:S, code_list!W18+1)))</f>
        <v/>
      </c>
      <c r="Z18" t="str">
        <f t="shared" ca="1" si="12"/>
        <v/>
      </c>
      <c r="AF18">
        <f t="shared" ca="1" si="13"/>
        <v>1</v>
      </c>
      <c r="AG18" t="str">
        <f t="shared" ca="1" si="14"/>
        <v>국민주택1종</v>
      </c>
      <c r="AH18" t="str">
        <f ca="1">IF(AG18=0,"",INDEX(data!$9:$1048576, ROW()-INDEX(code_list!AE:AE,code_list!AF18), INDEX(code_list!AB:AB, code_list!AF18+1)))</f>
        <v>KR101501DD39</v>
      </c>
      <c r="AI18" t="str">
        <f t="shared" ca="1" si="15"/>
        <v>KR101501DD39</v>
      </c>
    </row>
    <row r="19" spans="5:35">
      <c r="E19">
        <f t="shared" ca="1" si="4"/>
        <v>2</v>
      </c>
      <c r="F19" t="str">
        <f t="shared" ca="1" si="5"/>
        <v>국고30Y</v>
      </c>
      <c r="G19" t="str">
        <f ca="1">IF(F19=0,"",INDEX(data!$8:$1048576, ROW()-INDEX(code_list!D:D,code_list!E19), INDEX(code_list!A:A, code_list!E19+1)))</f>
        <v>KR103502G4C9</v>
      </c>
      <c r="H19" t="str">
        <f t="shared" ca="1" si="6"/>
        <v>KR103502G4C9</v>
      </c>
      <c r="N19">
        <f t="shared" ca="1" si="7"/>
        <v>4</v>
      </c>
      <c r="O19" t="str">
        <f t="shared" ca="1" si="8"/>
        <v>통안1.0Y</v>
      </c>
      <c r="P19" t="str">
        <f ca="1">IF(O19=0,"",INDEX(data!$8:$1048576, ROW()-INDEX(code_list!M:M,code_list!N19), INDEX(code_list!J:J, code_list!N19+1)))</f>
        <v>KR310102GE76</v>
      </c>
      <c r="Q19" t="str">
        <f t="shared" ca="1" si="9"/>
        <v>KR310102GE76</v>
      </c>
      <c r="W19">
        <f t="shared" ca="1" si="10"/>
        <v>2</v>
      </c>
      <c r="X19">
        <f t="shared" ca="1" si="11"/>
        <v>0</v>
      </c>
      <c r="Y19" t="str">
        <f ca="1">IF(X19=0,"",INDEX(data!$9:$1048576, ROW()-INDEX(code_list!V:V,code_list!W19), INDEX(code_list!S:S, code_list!W19+1)))</f>
        <v/>
      </c>
      <c r="Z19" t="str">
        <f t="shared" ca="1" si="12"/>
        <v/>
      </c>
      <c r="AF19">
        <f t="shared" ca="1" si="13"/>
        <v>1</v>
      </c>
      <c r="AG19" t="str">
        <f t="shared" ca="1" si="14"/>
        <v>국민주택1종</v>
      </c>
      <c r="AH19" t="str">
        <f ca="1">IF(AG19=0,"",INDEX(data!$9:$1048576, ROW()-INDEX(code_list!AE:AE,code_list!AF19), INDEX(code_list!AB:AB, code_list!AF19+1)))</f>
        <v>KR101501DD21</v>
      </c>
      <c r="AI19" t="str">
        <f t="shared" ca="1" si="15"/>
        <v>KR101501DD21</v>
      </c>
    </row>
    <row r="20" spans="5:35">
      <c r="E20">
        <f t="shared" ca="1" si="4"/>
        <v>2</v>
      </c>
      <c r="F20" t="str">
        <f t="shared" ca="1" si="5"/>
        <v>국고30Y</v>
      </c>
      <c r="G20" t="str">
        <f ca="1">IF(F20=0,"",INDEX(data!$8:$1048576, ROW()-INDEX(code_list!D:D,code_list!E20), INDEX(code_list!A:A, code_list!E20+1)))</f>
        <v>KR10350172C8</v>
      </c>
      <c r="H20" t="str">
        <f t="shared" ca="1" si="6"/>
        <v>KR10350172C8</v>
      </c>
      <c r="N20">
        <f t="shared" ca="1" si="7"/>
        <v>4</v>
      </c>
      <c r="O20" t="str">
        <f t="shared" ca="1" si="8"/>
        <v>통안1.0Y</v>
      </c>
      <c r="P20" t="str">
        <f ca="1">IF(O20=0,"",INDEX(data!$8:$1048576, ROW()-INDEX(code_list!M:M,code_list!N20), INDEX(code_list!J:J, code_list!N20+1)))</f>
        <v>KR310101GE51</v>
      </c>
      <c r="Q20" t="str">
        <f t="shared" ca="1" si="9"/>
        <v>KR310101GE51</v>
      </c>
      <c r="W20">
        <f t="shared" ca="1" si="10"/>
        <v>2</v>
      </c>
      <c r="X20">
        <f t="shared" ca="1" si="11"/>
        <v>0</v>
      </c>
      <c r="Y20" t="str">
        <f ca="1">IF(X20=0,"",INDEX(data!$9:$1048576, ROW()-INDEX(code_list!V:V,code_list!W20), INDEX(code_list!S:S, code_list!W20+1)))</f>
        <v/>
      </c>
      <c r="Z20" t="str">
        <f t="shared" ca="1" si="12"/>
        <v/>
      </c>
      <c r="AF20">
        <f t="shared" ca="1" si="13"/>
        <v>1</v>
      </c>
      <c r="AG20" t="str">
        <f t="shared" ca="1" si="14"/>
        <v>국민주택1종</v>
      </c>
      <c r="AH20" t="str">
        <f ca="1">IF(AG20=0,"",INDEX(data!$9:$1048576, ROW()-INDEX(code_list!AE:AE,code_list!AF20), INDEX(code_list!AB:AB, code_list!AF20+1)))</f>
        <v>KR101501DD13</v>
      </c>
      <c r="AI20" t="str">
        <f t="shared" ca="1" si="15"/>
        <v>KR101501DD13</v>
      </c>
    </row>
    <row r="21" spans="5:35">
      <c r="E21">
        <f t="shared" ca="1" si="4"/>
        <v>3</v>
      </c>
      <c r="F21" t="str">
        <f t="shared" ca="1" si="5"/>
        <v>국고20Y</v>
      </c>
      <c r="G21" t="str">
        <f ca="1">IF(F21=0,"",INDEX(data!$8:$1048576, ROW()-INDEX(code_list!D:D,code_list!E21), INDEX(code_list!A:A, code_list!E21+1)))</f>
        <v>표준코드</v>
      </c>
      <c r="H21" t="str">
        <f t="shared" ca="1" si="6"/>
        <v>국고20Y</v>
      </c>
      <c r="N21">
        <f t="shared" ca="1" si="7"/>
        <v>4</v>
      </c>
      <c r="O21" t="str">
        <f t="shared" ca="1" si="8"/>
        <v>통안1.0Y</v>
      </c>
      <c r="P21" t="str">
        <f ca="1">IF(O21=0,"",INDEX(data!$8:$1048576, ROW()-INDEX(code_list!M:M,code_list!N21), INDEX(code_list!J:J, code_list!N21+1)))</f>
        <v>KR310101GE36</v>
      </c>
      <c r="Q21" t="str">
        <f t="shared" ca="1" si="9"/>
        <v>KR310101GE36</v>
      </c>
      <c r="W21">
        <f t="shared" ca="1" si="10"/>
        <v>2</v>
      </c>
      <c r="X21">
        <f t="shared" ca="1" si="11"/>
        <v>0</v>
      </c>
      <c r="Y21" t="str">
        <f ca="1">IF(X21=0,"",INDEX(data!$9:$1048576, ROW()-INDEX(code_list!V:V,code_list!W21), INDEX(code_list!S:S, code_list!W21+1)))</f>
        <v/>
      </c>
      <c r="Z21" t="str">
        <f t="shared" ca="1" si="12"/>
        <v/>
      </c>
      <c r="AF21">
        <f t="shared" ca="1" si="13"/>
        <v>1</v>
      </c>
      <c r="AG21" t="str">
        <f t="shared" ca="1" si="14"/>
        <v>국민주택1종</v>
      </c>
      <c r="AH21" t="str">
        <f ca="1">IF(AG21=0,"",INDEX(data!$9:$1048576, ROW()-INDEX(code_list!AE:AE,code_list!AF21), INDEX(code_list!AB:AB, code_list!AF21+1)))</f>
        <v>KR101501DCC9</v>
      </c>
      <c r="AI21" t="str">
        <f t="shared" ca="1" si="15"/>
        <v>KR101501DCC9</v>
      </c>
    </row>
    <row r="22" spans="5:35">
      <c r="E22">
        <f t="shared" ca="1" si="4"/>
        <v>3</v>
      </c>
      <c r="F22" t="str">
        <f t="shared" ca="1" si="5"/>
        <v>국고20Y</v>
      </c>
      <c r="G22" t="str">
        <f ca="1">IF(F22=0,"",INDEX(data!$8:$1048576, ROW()-INDEX(code_list!D:D,code_list!E22), INDEX(code_list!A:A, code_list!E22+1)))</f>
        <v>KR103504GD96</v>
      </c>
      <c r="H22" t="str">
        <f t="shared" ca="1" si="6"/>
        <v>KR103504GD96</v>
      </c>
      <c r="N22">
        <f t="shared" ca="1" si="7"/>
        <v>4</v>
      </c>
      <c r="O22" t="str">
        <f t="shared" ca="1" si="8"/>
        <v>통안1.0Y</v>
      </c>
      <c r="P22" t="str">
        <f ca="1">IF(O22=0,"",INDEX(data!$8:$1048576, ROW()-INDEX(code_list!M:M,code_list!N22), INDEX(code_list!J:J, code_list!N22+1)))</f>
        <v>KR310102GE19</v>
      </c>
      <c r="Q22" t="str">
        <f t="shared" ca="1" si="9"/>
        <v>KR310102GE19</v>
      </c>
      <c r="W22">
        <f t="shared" ca="1" si="10"/>
        <v>2</v>
      </c>
      <c r="X22">
        <f t="shared" ca="1" si="11"/>
        <v>0</v>
      </c>
      <c r="Y22" t="str">
        <f ca="1">IF(X22=0,"",INDEX(data!$9:$1048576, ROW()-INDEX(code_list!V:V,code_list!W22), INDEX(code_list!S:S, code_list!W22+1)))</f>
        <v/>
      </c>
      <c r="Z22" t="str">
        <f t="shared" ca="1" si="12"/>
        <v/>
      </c>
      <c r="AF22">
        <f t="shared" ca="1" si="13"/>
        <v>1</v>
      </c>
      <c r="AG22" t="str">
        <f t="shared" ca="1" si="14"/>
        <v>국민주택1종</v>
      </c>
      <c r="AH22" t="str">
        <f ca="1">IF(AG22=0,"",INDEX(data!$9:$1048576, ROW()-INDEX(code_list!AE:AE,code_list!AF22), INDEX(code_list!AB:AB, code_list!AF22+1)))</f>
        <v>KR101501DCB1</v>
      </c>
      <c r="AI22" t="str">
        <f t="shared" ca="1" si="15"/>
        <v>KR101501DCB1</v>
      </c>
    </row>
    <row r="23" spans="5:35">
      <c r="E23">
        <f t="shared" ca="1" si="4"/>
        <v>3</v>
      </c>
      <c r="F23" t="str">
        <f t="shared" ca="1" si="5"/>
        <v>국고20Y</v>
      </c>
      <c r="G23" t="str">
        <f ca="1">IF(F23=0,"",INDEX(data!$8:$1048576, ROW()-INDEX(code_list!D:D,code_list!E23), INDEX(code_list!A:A, code_list!E23+1)))</f>
        <v>KR103504GC97</v>
      </c>
      <c r="H23" t="str">
        <f t="shared" ca="1" si="6"/>
        <v>KR103504GC97</v>
      </c>
      <c r="N23">
        <f t="shared" ca="1" si="7"/>
        <v>4</v>
      </c>
      <c r="O23" t="str">
        <f t="shared" ca="1" si="8"/>
        <v>통안1.0Y</v>
      </c>
      <c r="P23" t="str">
        <f ca="1">IF(O23=0,"",INDEX(data!$8:$1048576, ROW()-INDEX(code_list!M:M,code_list!N23), INDEX(code_list!J:J, code_list!N23+1)))</f>
        <v>KR310101GDB8</v>
      </c>
      <c r="Q23" t="str">
        <f t="shared" ca="1" si="9"/>
        <v>KR310101GDB8</v>
      </c>
      <c r="W23">
        <f t="shared" ca="1" si="10"/>
        <v>2</v>
      </c>
      <c r="X23">
        <f t="shared" ca="1" si="11"/>
        <v>0</v>
      </c>
      <c r="Y23" t="str">
        <f ca="1">IF(X23=0,"",INDEX(data!$9:$1048576, ROW()-INDEX(code_list!V:V,code_list!W23), INDEX(code_list!S:S, code_list!W23+1)))</f>
        <v/>
      </c>
      <c r="Z23" t="str">
        <f t="shared" ca="1" si="12"/>
        <v/>
      </c>
      <c r="AF23">
        <f t="shared" ca="1" si="13"/>
        <v>1</v>
      </c>
      <c r="AG23" t="str">
        <f t="shared" ca="1" si="14"/>
        <v>국민주택1종</v>
      </c>
      <c r="AH23" t="str">
        <f ca="1">IF(AG23=0,"",INDEX(data!$9:$1048576, ROW()-INDEX(code_list!AE:AE,code_list!AF23), INDEX(code_list!AB:AB, code_list!AF23+1)))</f>
        <v>KR101501DCA3</v>
      </c>
      <c r="AI23" t="str">
        <f t="shared" ca="1" si="15"/>
        <v>KR101501DCA3</v>
      </c>
    </row>
    <row r="24" spans="5:35">
      <c r="E24">
        <f t="shared" ca="1" si="4"/>
        <v>3</v>
      </c>
      <c r="F24" t="str">
        <f t="shared" ca="1" si="5"/>
        <v>국고20Y</v>
      </c>
      <c r="G24" t="str">
        <f ca="1">IF(F24=0,"",INDEX(data!$8:$1048576, ROW()-INDEX(code_list!D:D,code_list!E24), INDEX(code_list!A:A, code_list!E24+1)))</f>
        <v>KR103503GB99</v>
      </c>
      <c r="H24" t="str">
        <f t="shared" ca="1" si="6"/>
        <v>KR103503GB99</v>
      </c>
      <c r="N24">
        <f t="shared" ca="1" si="7"/>
        <v>4</v>
      </c>
      <c r="O24" t="str">
        <f t="shared" ca="1" si="8"/>
        <v>통안1.0Y</v>
      </c>
      <c r="P24" t="str">
        <f ca="1">IF(O24=0,"",INDEX(data!$8:$1048576, ROW()-INDEX(code_list!M:M,code_list!N24), INDEX(code_list!J:J, code_list!N24+1)))</f>
        <v>KR310101GD94</v>
      </c>
      <c r="Q24" t="str">
        <f t="shared" ca="1" si="9"/>
        <v>KR310101GD94</v>
      </c>
      <c r="W24">
        <f t="shared" ca="1" si="10"/>
        <v>2</v>
      </c>
      <c r="X24">
        <f t="shared" ca="1" si="11"/>
        <v>0</v>
      </c>
      <c r="Y24" t="str">
        <f ca="1">IF(X24=0,"",INDEX(data!$9:$1048576, ROW()-INDEX(code_list!V:V,code_list!W24), INDEX(code_list!S:S, code_list!W24+1)))</f>
        <v/>
      </c>
      <c r="Z24" t="str">
        <f t="shared" ca="1" si="12"/>
        <v/>
      </c>
      <c r="AF24">
        <f t="shared" ca="1" si="13"/>
        <v>1</v>
      </c>
      <c r="AG24" t="str">
        <f t="shared" ca="1" si="14"/>
        <v>국민주택1종</v>
      </c>
      <c r="AH24" t="str">
        <f ca="1">IF(AG24=0,"",INDEX(data!$9:$1048576, ROW()-INDEX(code_list!AE:AE,code_list!AF24), INDEX(code_list!AB:AB, code_list!AF24+1)))</f>
        <v>KR101501DC97</v>
      </c>
      <c r="AI24" t="str">
        <f t="shared" ca="1" si="15"/>
        <v>KR101501DC97</v>
      </c>
    </row>
    <row r="25" spans="5:35">
      <c r="E25">
        <f t="shared" ca="1" si="4"/>
        <v>3</v>
      </c>
      <c r="F25" t="str">
        <f t="shared" ca="1" si="5"/>
        <v>국고20Y</v>
      </c>
      <c r="G25" t="str">
        <f ca="1">IF(F25=0,"",INDEX(data!$8:$1048576, ROW()-INDEX(code_list!D:D,code_list!E25), INDEX(code_list!A:A, code_list!E25+1)))</f>
        <v>KR103502GA91</v>
      </c>
      <c r="H25" t="str">
        <f t="shared" ca="1" si="6"/>
        <v>KR103502GA91</v>
      </c>
      <c r="N25">
        <f t="shared" ca="1" si="7"/>
        <v>5</v>
      </c>
      <c r="O25" t="str">
        <f t="shared" ca="1" si="8"/>
        <v>통안0.5Y</v>
      </c>
      <c r="P25" t="str">
        <f ca="1">IF(O25=0,"",INDEX(data!$8:$1048576, ROW()-INDEX(code_list!M:M,code_list!N25), INDEX(code_list!J:J, code_list!N25+1)))</f>
        <v>표준코드</v>
      </c>
      <c r="Q25" t="str">
        <f t="shared" ca="1" si="9"/>
        <v>통안0.5Y</v>
      </c>
      <c r="W25">
        <f t="shared" ca="1" si="10"/>
        <v>2</v>
      </c>
      <c r="X25">
        <f t="shared" ca="1" si="11"/>
        <v>0</v>
      </c>
      <c r="Y25" t="str">
        <f ca="1">IF(X25=0,"",INDEX(data!$9:$1048576, ROW()-INDEX(code_list!V:V,code_list!W25), INDEX(code_list!S:S, code_list!W25+1)))</f>
        <v/>
      </c>
      <c r="Z25" t="str">
        <f t="shared" ca="1" si="12"/>
        <v/>
      </c>
      <c r="AF25">
        <f t="shared" ca="1" si="13"/>
        <v>1</v>
      </c>
      <c r="AG25" t="str">
        <f t="shared" ca="1" si="14"/>
        <v>국민주택1종</v>
      </c>
      <c r="AH25" t="str">
        <f ca="1">IF(AG25=0,"",INDEX(data!$9:$1048576, ROW()-INDEX(code_list!AE:AE,code_list!AF25), INDEX(code_list!AB:AB, code_list!AF25+1)))</f>
        <v>KR101501DC89</v>
      </c>
      <c r="AI25" t="str">
        <f t="shared" ca="1" si="15"/>
        <v>KR101501DC89</v>
      </c>
    </row>
    <row r="26" spans="5:35">
      <c r="E26">
        <f t="shared" ca="1" si="4"/>
        <v>3</v>
      </c>
      <c r="F26" t="str">
        <f t="shared" ca="1" si="5"/>
        <v>국고20Y</v>
      </c>
      <c r="G26" t="str">
        <f ca="1">IF(F26=0,"",INDEX(data!$8:$1048576, ROW()-INDEX(code_list!D:D,code_list!E26), INDEX(code_list!A:A, code_list!E26+1)))</f>
        <v>KR103502G990</v>
      </c>
      <c r="H26" t="str">
        <f t="shared" ca="1" si="6"/>
        <v>KR103502G990</v>
      </c>
      <c r="N26">
        <f t="shared" ca="1" si="7"/>
        <v>5</v>
      </c>
      <c r="O26" t="str">
        <f t="shared" ca="1" si="8"/>
        <v>통안0.5Y</v>
      </c>
      <c r="P26" t="str">
        <f ca="1">IF(O26=0,"",INDEX(data!$8:$1048576, ROW()-INDEX(code_list!M:M,code_list!N26), INDEX(code_list!J:J, code_list!N26+1)))</f>
        <v>KR310105AE79</v>
      </c>
      <c r="Q26" t="str">
        <f t="shared" ca="1" si="9"/>
        <v>KR310105AE79</v>
      </c>
      <c r="W26">
        <f t="shared" ca="1" si="10"/>
        <v>2</v>
      </c>
      <c r="X26">
        <f t="shared" ca="1" si="11"/>
        <v>0</v>
      </c>
      <c r="Y26" t="str">
        <f ca="1">IF(X26=0,"",INDEX(data!$9:$1048576, ROW()-INDEX(code_list!V:V,code_list!W26), INDEX(code_list!S:S, code_list!W26+1)))</f>
        <v/>
      </c>
      <c r="Z26" t="str">
        <f t="shared" ca="1" si="12"/>
        <v/>
      </c>
      <c r="AF26">
        <f t="shared" ca="1" si="13"/>
        <v>1</v>
      </c>
      <c r="AG26" t="str">
        <f t="shared" ca="1" si="14"/>
        <v>국민주택1종</v>
      </c>
      <c r="AH26" t="str">
        <f ca="1">IF(AG26=0,"",INDEX(data!$9:$1048576, ROW()-INDEX(code_list!AE:AE,code_list!AF26), INDEX(code_list!AB:AB, code_list!AF26+1)))</f>
        <v>KR101501DC71</v>
      </c>
      <c r="AI26" t="str">
        <f t="shared" ca="1" si="15"/>
        <v>KR101501DC71</v>
      </c>
    </row>
    <row r="27" spans="5:35">
      <c r="E27">
        <f t="shared" ca="1" si="4"/>
        <v>3</v>
      </c>
      <c r="F27" t="str">
        <f t="shared" ca="1" si="5"/>
        <v>국고20Y</v>
      </c>
      <c r="G27" t="str">
        <f ca="1">IF(F27=0,"",INDEX(data!$8:$1048576, ROW()-INDEX(code_list!D:D,code_list!E27), INDEX(code_list!A:A, code_list!E27+1)))</f>
        <v>KR103502G891</v>
      </c>
      <c r="H27" t="str">
        <f t="shared" ca="1" si="6"/>
        <v>KR103502G891</v>
      </c>
      <c r="N27">
        <f t="shared" ca="1" si="7"/>
        <v>5</v>
      </c>
      <c r="O27" t="str">
        <f t="shared" ca="1" si="8"/>
        <v>통안0.5Y</v>
      </c>
      <c r="P27" t="str">
        <f ca="1">IF(O27=0,"",INDEX(data!$8:$1048576, ROW()-INDEX(code_list!M:M,code_list!N27), INDEX(code_list!J:J, code_list!N27+1)))</f>
        <v>KR310104AE70</v>
      </c>
      <c r="Q27" t="str">
        <f t="shared" ca="1" si="9"/>
        <v>KR310104AE70</v>
      </c>
      <c r="W27">
        <f t="shared" ca="1" si="10"/>
        <v>2</v>
      </c>
      <c r="X27">
        <f t="shared" ca="1" si="11"/>
        <v>0</v>
      </c>
      <c r="Y27" t="str">
        <f ca="1">IF(X27=0,"",INDEX(data!$9:$1048576, ROW()-INDEX(code_list!V:V,code_list!W27), INDEX(code_list!S:S, code_list!W27+1)))</f>
        <v/>
      </c>
      <c r="Z27" t="str">
        <f t="shared" ca="1" si="12"/>
        <v/>
      </c>
      <c r="AF27">
        <f t="shared" ca="1" si="13"/>
        <v>1</v>
      </c>
      <c r="AG27" t="str">
        <f t="shared" ca="1" si="14"/>
        <v>국민주택1종</v>
      </c>
      <c r="AH27" t="str">
        <f ca="1">IF(AG27=0,"",INDEX(data!$9:$1048576, ROW()-INDEX(code_list!AE:AE,code_list!AF27), INDEX(code_list!AB:AB, code_list!AF27+1)))</f>
        <v>KR101501DC63</v>
      </c>
      <c r="AI27" t="str">
        <f t="shared" ca="1" si="15"/>
        <v>KR101501DC63</v>
      </c>
    </row>
    <row r="28" spans="5:35">
      <c r="E28">
        <f t="shared" ca="1" si="4"/>
        <v>3</v>
      </c>
      <c r="F28" t="str">
        <f t="shared" ca="1" si="5"/>
        <v>국고20Y</v>
      </c>
      <c r="G28" t="str">
        <f ca="1">IF(F28=0,"",INDEX(data!$8:$1048576, ROW()-INDEX(code_list!D:D,code_list!E28), INDEX(code_list!A:A, code_list!E28+1)))</f>
        <v>KR103502G792</v>
      </c>
      <c r="H28" t="str">
        <f t="shared" ca="1" si="6"/>
        <v>KR103502G792</v>
      </c>
      <c r="N28">
        <f t="shared" ca="1" si="7"/>
        <v>5</v>
      </c>
      <c r="O28" t="str">
        <f t="shared" ca="1" si="8"/>
        <v>통안0.5Y</v>
      </c>
      <c r="P28" t="str">
        <f ca="1">IF(O28=0,"",INDEX(data!$8:$1048576, ROW()-INDEX(code_list!M:M,code_list!N28), INDEX(code_list!J:J, code_list!N28+1)))</f>
        <v>KR310103AE71</v>
      </c>
      <c r="Q28" t="str">
        <f t="shared" ca="1" si="9"/>
        <v>KR310103AE71</v>
      </c>
      <c r="W28">
        <f t="shared" ca="1" si="10"/>
        <v>2</v>
      </c>
      <c r="X28">
        <f t="shared" ca="1" si="11"/>
        <v>0</v>
      </c>
      <c r="Y28" t="str">
        <f ca="1">IF(X28=0,"",INDEX(data!$9:$1048576, ROW()-INDEX(code_list!V:V,code_list!W28), INDEX(code_list!S:S, code_list!W28+1)))</f>
        <v/>
      </c>
      <c r="Z28" t="str">
        <f t="shared" ca="1" si="12"/>
        <v/>
      </c>
      <c r="AF28">
        <f t="shared" ca="1" si="13"/>
        <v>1</v>
      </c>
      <c r="AG28" t="str">
        <f t="shared" ca="1" si="14"/>
        <v>국민주택1종</v>
      </c>
      <c r="AH28" t="str">
        <f ca="1">IF(AG28=0,"",INDEX(data!$9:$1048576, ROW()-INDEX(code_list!AE:AE,code_list!AF28), INDEX(code_list!AB:AB, code_list!AF28+1)))</f>
        <v>KR101501DC55</v>
      </c>
      <c r="AI28" t="str">
        <f t="shared" ca="1" si="15"/>
        <v>KR101501DC55</v>
      </c>
    </row>
    <row r="29" spans="5:35">
      <c r="E29">
        <f t="shared" ca="1" si="4"/>
        <v>3</v>
      </c>
      <c r="F29" t="str">
        <f t="shared" ca="1" si="5"/>
        <v>국고20Y</v>
      </c>
      <c r="G29" t="str">
        <f ca="1">IF(F29=0,"",INDEX(data!$8:$1048576, ROW()-INDEX(code_list!D:D,code_list!E29), INDEX(code_list!A:A, code_list!E29+1)))</f>
        <v>KR103502G693</v>
      </c>
      <c r="H29" t="str">
        <f t="shared" ca="1" si="6"/>
        <v>KR103502G693</v>
      </c>
      <c r="N29">
        <f t="shared" ca="1" si="7"/>
        <v>5</v>
      </c>
      <c r="O29" t="str">
        <f t="shared" ca="1" si="8"/>
        <v>통안0.5Y</v>
      </c>
      <c r="P29" t="str">
        <f ca="1">IF(O29=0,"",INDEX(data!$8:$1048576, ROW()-INDEX(code_list!M:M,code_list!N29), INDEX(code_list!J:J, code_list!N29+1)))</f>
        <v>KR310102AE72</v>
      </c>
      <c r="Q29" t="str">
        <f t="shared" ca="1" si="9"/>
        <v>KR310102AE72</v>
      </c>
      <c r="W29">
        <f t="shared" ca="1" si="10"/>
        <v>2</v>
      </c>
      <c r="X29">
        <f t="shared" ca="1" si="11"/>
        <v>0</v>
      </c>
      <c r="Y29" t="str">
        <f ca="1">IF(X29=0,"",INDEX(data!$9:$1048576, ROW()-INDEX(code_list!V:V,code_list!W29), INDEX(code_list!S:S, code_list!W29+1)))</f>
        <v/>
      </c>
      <c r="Z29" t="str">
        <f t="shared" ca="1" si="12"/>
        <v/>
      </c>
      <c r="AF29">
        <f t="shared" ca="1" si="13"/>
        <v>1</v>
      </c>
      <c r="AG29" t="str">
        <f t="shared" ca="1" si="14"/>
        <v>국민주택1종</v>
      </c>
      <c r="AH29" t="str">
        <f ca="1">IF(AG29=0,"",INDEX(data!$9:$1048576, ROW()-INDEX(code_list!AE:AE,code_list!AF29), INDEX(code_list!AB:AB, code_list!AF29+1)))</f>
        <v>KR101501DC48</v>
      </c>
      <c r="AI29" t="str">
        <f t="shared" ca="1" si="15"/>
        <v>KR101501DC48</v>
      </c>
    </row>
    <row r="30" spans="5:35">
      <c r="E30">
        <f t="shared" ca="1" si="4"/>
        <v>3</v>
      </c>
      <c r="F30" t="str">
        <f t="shared" ca="1" si="5"/>
        <v>국고20Y</v>
      </c>
      <c r="G30" t="str">
        <f ca="1">IF(F30=0,"",INDEX(data!$8:$1048576, ROW()-INDEX(code_list!D:D,code_list!E30), INDEX(code_list!A:A, code_list!E30+1)))</f>
        <v>KR103502G594</v>
      </c>
      <c r="H30" t="str">
        <f t="shared" ca="1" si="6"/>
        <v>KR103502G594</v>
      </c>
      <c r="N30">
        <f t="shared" ca="1" si="7"/>
        <v>5</v>
      </c>
      <c r="O30" t="str">
        <f t="shared" ca="1" si="8"/>
        <v>통안0.5Y</v>
      </c>
      <c r="P30" t="str">
        <f ca="1">IF(O30=0,"",INDEX(data!$8:$1048576, ROW()-INDEX(code_list!M:M,code_list!N30), INDEX(code_list!J:J, code_list!N30+1)))</f>
        <v>KR310101AE73</v>
      </c>
      <c r="Q30" t="str">
        <f t="shared" ca="1" si="9"/>
        <v>KR310101AE73</v>
      </c>
      <c r="W30">
        <f t="shared" ca="1" si="10"/>
        <v>2</v>
      </c>
      <c r="X30">
        <f t="shared" ca="1" si="11"/>
        <v>0</v>
      </c>
      <c r="Y30" t="str">
        <f ca="1">IF(X30=0,"",INDEX(data!$9:$1048576, ROW()-INDEX(code_list!V:V,code_list!W30), INDEX(code_list!S:S, code_list!W30+1)))</f>
        <v/>
      </c>
      <c r="Z30" t="str">
        <f t="shared" ca="1" si="12"/>
        <v/>
      </c>
      <c r="AF30">
        <f t="shared" ca="1" si="13"/>
        <v>1</v>
      </c>
      <c r="AG30" t="str">
        <f t="shared" ca="1" si="14"/>
        <v>국민주택1종</v>
      </c>
      <c r="AH30" t="str">
        <f ca="1">IF(AG30=0,"",INDEX(data!$9:$1048576, ROW()-INDEX(code_list!AE:AE,code_list!AF30), INDEX(code_list!AB:AB, code_list!AF30+1)))</f>
        <v>KR101501DC30</v>
      </c>
      <c r="AI30" t="str">
        <f t="shared" ca="1" si="15"/>
        <v>KR101501DC30</v>
      </c>
    </row>
    <row r="31" spans="5:35">
      <c r="E31">
        <f t="shared" ca="1" si="4"/>
        <v>3</v>
      </c>
      <c r="F31" t="str">
        <f t="shared" ca="1" si="5"/>
        <v>국고20Y</v>
      </c>
      <c r="G31" t="str">
        <f ca="1">IF(F31=0,"",INDEX(data!$8:$1048576, ROW()-INDEX(code_list!D:D,code_list!E31), INDEX(code_list!A:A, code_list!E31+1)))</f>
        <v>KR103502G3C1</v>
      </c>
      <c r="H31" t="str">
        <f t="shared" ca="1" si="6"/>
        <v>KR103502G3C1</v>
      </c>
      <c r="N31">
        <f t="shared" ca="1" si="7"/>
        <v>5</v>
      </c>
      <c r="O31" t="str">
        <f t="shared" ca="1" si="8"/>
        <v>통안0.5Y</v>
      </c>
      <c r="P31" t="str">
        <f ca="1">IF(O31=0,"",INDEX(data!$8:$1048576, ROW()-INDEX(code_list!M:M,code_list!N31), INDEX(code_list!J:J, code_list!N31+1)))</f>
        <v>KR310104AE62</v>
      </c>
      <c r="Q31" t="str">
        <f t="shared" ca="1" si="9"/>
        <v>KR310104AE62</v>
      </c>
      <c r="W31">
        <f t="shared" ca="1" si="10"/>
        <v>2</v>
      </c>
      <c r="X31">
        <f t="shared" ca="1" si="11"/>
        <v>0</v>
      </c>
      <c r="Y31" t="str">
        <f ca="1">IF(X31=0,"",INDEX(data!$9:$1048576, ROW()-INDEX(code_list!V:V,code_list!W31), INDEX(code_list!S:S, code_list!W31+1)))</f>
        <v/>
      </c>
      <c r="Z31" t="str">
        <f t="shared" ca="1" si="12"/>
        <v/>
      </c>
      <c r="AF31">
        <f t="shared" ca="1" si="13"/>
        <v>1</v>
      </c>
      <c r="AG31" t="str">
        <f t="shared" ca="1" si="14"/>
        <v>국민주택1종</v>
      </c>
      <c r="AH31" t="str">
        <f ca="1">IF(AG31=0,"",INDEX(data!$9:$1048576, ROW()-INDEX(code_list!AE:AE,code_list!AF31), INDEX(code_list!AB:AB, code_list!AF31+1)))</f>
        <v>KR101501DC22</v>
      </c>
      <c r="AI31" t="str">
        <f t="shared" ca="1" si="15"/>
        <v>KR101501DC22</v>
      </c>
    </row>
    <row r="32" spans="5:35">
      <c r="E32">
        <f t="shared" ca="1" si="4"/>
        <v>3</v>
      </c>
      <c r="F32" t="str">
        <f t="shared" ca="1" si="5"/>
        <v>국고20Y</v>
      </c>
      <c r="G32" t="str">
        <f ca="1">IF(F32=0,"",INDEX(data!$8:$1048576, ROW()-INDEX(code_list!D:D,code_list!E32), INDEX(code_list!A:A, code_list!E32+1)))</f>
        <v>KR10350271C8</v>
      </c>
      <c r="H32" t="str">
        <f t="shared" ca="1" si="6"/>
        <v>KR10350271C8</v>
      </c>
      <c r="N32">
        <f t="shared" ca="1" si="7"/>
        <v>5</v>
      </c>
      <c r="O32" t="str">
        <f t="shared" ca="1" si="8"/>
        <v>통안0.5Y</v>
      </c>
      <c r="P32" t="str">
        <f ca="1">IF(O32=0,"",INDEX(data!$8:$1048576, ROW()-INDEX(code_list!M:M,code_list!N32), INDEX(code_list!J:J, code_list!N32+1)))</f>
        <v>KR310103AE63</v>
      </c>
      <c r="Q32" t="str">
        <f t="shared" ca="1" si="9"/>
        <v>KR310103AE63</v>
      </c>
      <c r="W32">
        <f t="shared" ca="1" si="10"/>
        <v>2</v>
      </c>
      <c r="X32">
        <f t="shared" ca="1" si="11"/>
        <v>0</v>
      </c>
      <c r="Y32" t="str">
        <f ca="1">IF(X32=0,"",INDEX(data!$9:$1048576, ROW()-INDEX(code_list!V:V,code_list!W32), INDEX(code_list!S:S, code_list!W32+1)))</f>
        <v/>
      </c>
      <c r="Z32" t="str">
        <f t="shared" ca="1" si="12"/>
        <v/>
      </c>
      <c r="AF32">
        <f t="shared" ca="1" si="13"/>
        <v>1</v>
      </c>
      <c r="AG32" t="str">
        <f t="shared" ca="1" si="14"/>
        <v>국민주택1종</v>
      </c>
      <c r="AH32" t="str">
        <f ca="1">IF(AG32=0,"",INDEX(data!$9:$1048576, ROW()-INDEX(code_list!AE:AE,code_list!AF32), INDEX(code_list!AB:AB, code_list!AF32+1)))</f>
        <v>KR101501DC14</v>
      </c>
      <c r="AI32" t="str">
        <f t="shared" ca="1" si="15"/>
        <v>KR101501DC14</v>
      </c>
    </row>
    <row r="33" spans="5:35">
      <c r="E33">
        <f t="shared" ca="1" si="4"/>
        <v>3</v>
      </c>
      <c r="F33" t="str">
        <f t="shared" ca="1" si="5"/>
        <v>국고20Y</v>
      </c>
      <c r="G33" t="str">
        <f ca="1">IF(F33=0,"",INDEX(data!$8:$1048576, ROW()-INDEX(code_list!D:D,code_list!E33), INDEX(code_list!A:A, code_list!E33+1)))</f>
        <v>KR10350270C0</v>
      </c>
      <c r="H33" t="str">
        <f t="shared" ca="1" si="6"/>
        <v>KR10350270C0</v>
      </c>
      <c r="N33">
        <f t="shared" ca="1" si="7"/>
        <v>5</v>
      </c>
      <c r="O33" t="str">
        <f t="shared" ca="1" si="8"/>
        <v>통안0.5Y</v>
      </c>
      <c r="P33" t="str">
        <f ca="1">IF(O33=0,"",INDEX(data!$8:$1048576, ROW()-INDEX(code_list!M:M,code_list!N33), INDEX(code_list!J:J, code_list!N33+1)))</f>
        <v>KR310102AE64</v>
      </c>
      <c r="Q33" t="str">
        <f t="shared" ca="1" si="9"/>
        <v>KR310102AE64</v>
      </c>
      <c r="W33">
        <f t="shared" ca="1" si="10"/>
        <v>2</v>
      </c>
      <c r="X33">
        <f t="shared" ca="1" si="11"/>
        <v>0</v>
      </c>
      <c r="Y33" t="str">
        <f ca="1">IF(X33=0,"",INDEX(data!$9:$1048576, ROW()-INDEX(code_list!V:V,code_list!W33), INDEX(code_list!S:S, code_list!W33+1)))</f>
        <v/>
      </c>
      <c r="Z33" t="str">
        <f t="shared" ca="1" si="12"/>
        <v/>
      </c>
      <c r="AF33">
        <f t="shared" ca="1" si="13"/>
        <v>1</v>
      </c>
      <c r="AG33" t="str">
        <f t="shared" ca="1" si="14"/>
        <v>국민주택1종</v>
      </c>
      <c r="AH33" t="str">
        <f ca="1">IF(AG33=0,"",INDEX(data!$9:$1048576, ROW()-INDEX(code_list!AE:AE,code_list!AF33), INDEX(code_list!AB:AB, code_list!AF33+1)))</f>
        <v>KR101501DBC1</v>
      </c>
      <c r="AI33" t="str">
        <f t="shared" ca="1" si="15"/>
        <v>KR101501DBC1</v>
      </c>
    </row>
    <row r="34" spans="5:35">
      <c r="E34">
        <f t="shared" ca="1" si="4"/>
        <v>3</v>
      </c>
      <c r="F34" t="str">
        <f t="shared" ca="1" si="5"/>
        <v>국고20Y</v>
      </c>
      <c r="G34" t="str">
        <f ca="1">IF(F34=0,"",INDEX(data!$8:$1048576, ROW()-INDEX(code_list!D:D,code_list!E34), INDEX(code_list!A:A, code_list!E34+1)))</f>
        <v>KR1035027WC3</v>
      </c>
      <c r="H34" t="str">
        <f t="shared" ca="1" si="6"/>
        <v>KR1035027WC3</v>
      </c>
      <c r="N34">
        <f t="shared" ca="1" si="7"/>
        <v>5</v>
      </c>
      <c r="O34" t="str">
        <f t="shared" ca="1" si="8"/>
        <v>통안0.5Y</v>
      </c>
      <c r="P34" t="str">
        <f ca="1">IF(O34=0,"",INDEX(data!$8:$1048576, ROW()-INDEX(code_list!M:M,code_list!N34), INDEX(code_list!J:J, code_list!N34+1)))</f>
        <v>KR310101AE65</v>
      </c>
      <c r="Q34" t="str">
        <f t="shared" ca="1" si="9"/>
        <v>KR310101AE65</v>
      </c>
      <c r="W34">
        <f t="shared" ca="1" si="10"/>
        <v>2</v>
      </c>
      <c r="X34">
        <f t="shared" ca="1" si="11"/>
        <v>0</v>
      </c>
      <c r="Y34" t="str">
        <f ca="1">IF(X34=0,"",INDEX(data!$9:$1048576, ROW()-INDEX(code_list!V:V,code_list!W34), INDEX(code_list!S:S, code_list!W34+1)))</f>
        <v/>
      </c>
      <c r="Z34" t="str">
        <f t="shared" ca="1" si="12"/>
        <v/>
      </c>
      <c r="AF34">
        <f t="shared" ca="1" si="13"/>
        <v>1</v>
      </c>
      <c r="AG34" t="str">
        <f t="shared" ca="1" si="14"/>
        <v>국민주택1종</v>
      </c>
      <c r="AH34" t="str">
        <f ca="1">IF(AG34=0,"",INDEX(data!$9:$1048576, ROW()-INDEX(code_list!AE:AE,code_list!AF34), INDEX(code_list!AB:AB, code_list!AF34+1)))</f>
        <v>KR101501DBB3</v>
      </c>
      <c r="AI34" t="str">
        <f t="shared" ca="1" si="15"/>
        <v>KR101501DBB3</v>
      </c>
    </row>
    <row r="35" spans="5:35">
      <c r="E35">
        <f t="shared" ca="1" si="4"/>
        <v>3</v>
      </c>
      <c r="F35" t="str">
        <f t="shared" ca="1" si="5"/>
        <v>국고20Y</v>
      </c>
      <c r="G35" t="str">
        <f ca="1">IF(F35=0,"",INDEX(data!$8:$1048576, ROW()-INDEX(code_list!D:D,code_list!E35), INDEX(code_list!A:A, code_list!E35+1)))</f>
        <v>KR1035027V32</v>
      </c>
      <c r="H35" t="str">
        <f t="shared" ca="1" si="6"/>
        <v>KR1035027V32</v>
      </c>
      <c r="N35">
        <f t="shared" ca="1" si="7"/>
        <v>5</v>
      </c>
      <c r="O35" t="str">
        <f t="shared" ca="1" si="8"/>
        <v>통안0.5Y</v>
      </c>
      <c r="P35" t="str">
        <f ca="1">IF(O35=0,"",INDEX(data!$8:$1048576, ROW()-INDEX(code_list!M:M,code_list!N35), INDEX(code_list!J:J, code_list!N35+1)))</f>
        <v>KR310104AE54</v>
      </c>
      <c r="Q35" t="str">
        <f t="shared" ca="1" si="9"/>
        <v>KR310104AE54</v>
      </c>
      <c r="W35">
        <f t="shared" ca="1" si="10"/>
        <v>2</v>
      </c>
      <c r="X35">
        <f t="shared" ca="1" si="11"/>
        <v>0</v>
      </c>
      <c r="Y35" t="str">
        <f ca="1">IF(X35=0,"",INDEX(data!$9:$1048576, ROW()-INDEX(code_list!V:V,code_list!W35), INDEX(code_list!S:S, code_list!W35+1)))</f>
        <v/>
      </c>
      <c r="Z35" t="str">
        <f t="shared" ca="1" si="12"/>
        <v/>
      </c>
      <c r="AF35">
        <f t="shared" ca="1" si="13"/>
        <v>1</v>
      </c>
      <c r="AG35" t="str">
        <f t="shared" ca="1" si="14"/>
        <v>국민주택1종</v>
      </c>
      <c r="AH35" t="str">
        <f ca="1">IF(AG35=0,"",INDEX(data!$9:$1048576, ROW()-INDEX(code_list!AE:AE,code_list!AF35), INDEX(code_list!AB:AB, code_list!AF35+1)))</f>
        <v>KR101501DBA5</v>
      </c>
      <c r="AI35" t="str">
        <f t="shared" ca="1" si="15"/>
        <v>KR101501DBA5</v>
      </c>
    </row>
    <row r="36" spans="5:35">
      <c r="E36">
        <f t="shared" ca="1" si="4"/>
        <v>3</v>
      </c>
      <c r="F36" t="str">
        <f t="shared" ca="1" si="5"/>
        <v>국고20Y</v>
      </c>
      <c r="G36" t="str">
        <f ca="1">IF(F36=0,"",INDEX(data!$8:$1048576, ROW()-INDEX(code_list!D:D,code_list!E36), INDEX(code_list!A:A, code_list!E36+1)))</f>
        <v>KR1035037T34</v>
      </c>
      <c r="H36" t="str">
        <f t="shared" ca="1" si="6"/>
        <v>KR1035037T34</v>
      </c>
      <c r="N36">
        <f t="shared" ca="1" si="7"/>
        <v>5</v>
      </c>
      <c r="O36" t="str">
        <f t="shared" ca="1" si="8"/>
        <v>통안0.5Y</v>
      </c>
      <c r="P36" t="str">
        <f ca="1">IF(O36=0,"",INDEX(data!$8:$1048576, ROW()-INDEX(code_list!M:M,code_list!N36), INDEX(code_list!J:J, code_list!N36+1)))</f>
        <v>KR310103AE55</v>
      </c>
      <c r="Q36" t="str">
        <f t="shared" ca="1" si="9"/>
        <v>KR310103AE55</v>
      </c>
      <c r="W36">
        <f t="shared" ca="1" si="10"/>
        <v>2</v>
      </c>
      <c r="X36">
        <f t="shared" ca="1" si="11"/>
        <v>0</v>
      </c>
      <c r="Y36" t="str">
        <f ca="1">IF(X36=0,"",INDEX(data!$9:$1048576, ROW()-INDEX(code_list!V:V,code_list!W36), INDEX(code_list!S:S, code_list!W36+1)))</f>
        <v/>
      </c>
      <c r="Z36" t="str">
        <f t="shared" ca="1" si="12"/>
        <v/>
      </c>
      <c r="AF36">
        <f t="shared" ca="1" si="13"/>
        <v>1</v>
      </c>
      <c r="AG36" t="str">
        <f t="shared" ca="1" si="14"/>
        <v>국민주택1종</v>
      </c>
      <c r="AH36" t="str">
        <f ca="1">IF(AG36=0,"",INDEX(data!$9:$1048576, ROW()-INDEX(code_list!AE:AE,code_list!AF36), INDEX(code_list!AB:AB, code_list!AF36+1)))</f>
        <v>KR101501DB98</v>
      </c>
      <c r="AI36" t="str">
        <f t="shared" ca="1" si="15"/>
        <v>KR101501DB98</v>
      </c>
    </row>
    <row r="37" spans="5:35">
      <c r="E37">
        <f t="shared" ca="1" si="4"/>
        <v>3</v>
      </c>
      <c r="F37" t="str">
        <f t="shared" ca="1" si="5"/>
        <v>국고20Y</v>
      </c>
      <c r="G37" t="str">
        <f ca="1">IF(F37=0,"",INDEX(data!$8:$1048576, ROW()-INDEX(code_list!D:D,code_list!E37), INDEX(code_list!A:A, code_list!E37+1)))</f>
        <v>KR1035017S39</v>
      </c>
      <c r="H37" t="str">
        <f t="shared" ca="1" si="6"/>
        <v>KR1035017S39</v>
      </c>
      <c r="N37">
        <f t="shared" ca="1" si="7"/>
        <v>5</v>
      </c>
      <c r="O37" t="str">
        <f t="shared" ca="1" si="8"/>
        <v>통안0.5Y</v>
      </c>
      <c r="P37" t="str">
        <f ca="1">IF(O37=0,"",INDEX(data!$8:$1048576, ROW()-INDEX(code_list!M:M,code_list!N37), INDEX(code_list!J:J, code_list!N37+1)))</f>
        <v>KR310102AE56</v>
      </c>
      <c r="Q37" t="str">
        <f t="shared" ca="1" si="9"/>
        <v>KR310102AE56</v>
      </c>
      <c r="W37">
        <f t="shared" ca="1" si="10"/>
        <v>2</v>
      </c>
      <c r="X37">
        <f t="shared" ca="1" si="11"/>
        <v>0</v>
      </c>
      <c r="Y37" t="str">
        <f ca="1">IF(X37=0,"",INDEX(data!$9:$1048576, ROW()-INDEX(code_list!V:V,code_list!W37), INDEX(code_list!S:S, code_list!W37+1)))</f>
        <v/>
      </c>
      <c r="Z37" t="str">
        <f t="shared" ca="1" si="12"/>
        <v/>
      </c>
      <c r="AF37">
        <f t="shared" ca="1" si="13"/>
        <v>1</v>
      </c>
      <c r="AG37" t="str">
        <f t="shared" ca="1" si="14"/>
        <v>국민주택1종</v>
      </c>
      <c r="AH37" t="str">
        <f ca="1">IF(AG37=0,"",INDEX(data!$9:$1048576, ROW()-INDEX(code_list!AE:AE,code_list!AF37), INDEX(code_list!AB:AB, code_list!AF37+1)))</f>
        <v>KR101501DB80</v>
      </c>
      <c r="AI37" t="str">
        <f t="shared" ca="1" si="15"/>
        <v>KR101501DB80</v>
      </c>
    </row>
    <row r="38" spans="5:35">
      <c r="E38">
        <f t="shared" ca="1" si="4"/>
        <v>4</v>
      </c>
      <c r="F38" t="str">
        <f t="shared" ca="1" si="5"/>
        <v>국고10Y</v>
      </c>
      <c r="G38" t="str">
        <f ca="1">IF(F38=0,"",INDEX(data!$8:$1048576, ROW()-INDEX(code_list!D:D,code_list!E38), INDEX(code_list!A:A, code_list!E38+1)))</f>
        <v>표준코드</v>
      </c>
      <c r="H38" t="str">
        <f t="shared" ca="1" si="6"/>
        <v>국고10Y</v>
      </c>
      <c r="N38">
        <f t="shared" ca="1" si="7"/>
        <v>5</v>
      </c>
      <c r="O38" t="str">
        <f t="shared" ca="1" si="8"/>
        <v>통안0.5Y</v>
      </c>
      <c r="P38" t="str">
        <f ca="1">IF(O38=0,"",INDEX(data!$8:$1048576, ROW()-INDEX(code_list!M:M,code_list!N38), INDEX(code_list!J:J, code_list!N38+1)))</f>
        <v>KR310101AE57</v>
      </c>
      <c r="Q38" t="str">
        <f t="shared" ca="1" si="9"/>
        <v>KR310101AE57</v>
      </c>
      <c r="W38">
        <f t="shared" ca="1" si="10"/>
        <v>2</v>
      </c>
      <c r="X38">
        <f t="shared" ca="1" si="11"/>
        <v>0</v>
      </c>
      <c r="Y38" t="str">
        <f ca="1">IF(X38=0,"",INDEX(data!$9:$1048576, ROW()-INDEX(code_list!V:V,code_list!W38), INDEX(code_list!S:S, code_list!W38+1)))</f>
        <v/>
      </c>
      <c r="Z38" t="str">
        <f t="shared" ca="1" si="12"/>
        <v/>
      </c>
      <c r="AF38">
        <f t="shared" ca="1" si="13"/>
        <v>1</v>
      </c>
      <c r="AG38" t="str">
        <f t="shared" ca="1" si="14"/>
        <v>국민주택1종</v>
      </c>
      <c r="AH38" t="str">
        <f ca="1">IF(AG38=0,"",INDEX(data!$9:$1048576, ROW()-INDEX(code_list!AE:AE,code_list!AF38), INDEX(code_list!AB:AB, code_list!AF38+1)))</f>
        <v>KR101501DB72</v>
      </c>
      <c r="AI38" t="str">
        <f t="shared" ca="1" si="15"/>
        <v>KR101501DB72</v>
      </c>
    </row>
    <row r="39" spans="5:35">
      <c r="E39">
        <f t="shared" ca="1" si="4"/>
        <v>4</v>
      </c>
      <c r="F39" t="str">
        <f t="shared" ca="1" si="5"/>
        <v>국고10Y</v>
      </c>
      <c r="G39" t="str">
        <f ca="1">IF(F39=0,"",INDEX(data!$8:$1048576, ROW()-INDEX(code_list!D:D,code_list!E39), INDEX(code_list!A:A, code_list!E39+1)))</f>
        <v>KR103502GE63</v>
      </c>
      <c r="H39" t="str">
        <f t="shared" ca="1" si="6"/>
        <v>KR103502GE63</v>
      </c>
      <c r="N39">
        <f t="shared" ca="1" si="7"/>
        <v>6</v>
      </c>
      <c r="O39" t="str">
        <f t="shared" ca="1" si="8"/>
        <v>통안기타</v>
      </c>
      <c r="P39" t="str">
        <f ca="1">IF(O39=0,"",INDEX(data!$8:$1048576, ROW()-INDEX(code_list!M:M,code_list!N39), INDEX(code_list!J:J, code_list!N39+1)))</f>
        <v>표준코드</v>
      </c>
      <c r="Q39" t="str">
        <f t="shared" ca="1" si="9"/>
        <v>통안기타</v>
      </c>
      <c r="W39">
        <f t="shared" ca="1" si="10"/>
        <v>2</v>
      </c>
      <c r="X39">
        <f t="shared" ca="1" si="11"/>
        <v>0</v>
      </c>
      <c r="Y39" t="str">
        <f ca="1">IF(X39=0,"",INDEX(data!$9:$1048576, ROW()-INDEX(code_list!V:V,code_list!W39), INDEX(code_list!S:S, code_list!W39+1)))</f>
        <v/>
      </c>
      <c r="Z39" t="str">
        <f t="shared" ca="1" si="12"/>
        <v/>
      </c>
      <c r="AF39">
        <f t="shared" ca="1" si="13"/>
        <v>1</v>
      </c>
      <c r="AG39" t="str">
        <f t="shared" ca="1" si="14"/>
        <v>국민주택1종</v>
      </c>
      <c r="AH39" t="str">
        <f ca="1">IF(AG39=0,"",INDEX(data!$9:$1048576, ROW()-INDEX(code_list!AE:AE,code_list!AF39), INDEX(code_list!AB:AB, code_list!AF39+1)))</f>
        <v>KR101501DB64</v>
      </c>
      <c r="AI39" t="str">
        <f t="shared" ca="1" si="15"/>
        <v>KR101501DB64</v>
      </c>
    </row>
    <row r="40" spans="5:35">
      <c r="E40">
        <f t="shared" ca="1" si="4"/>
        <v>4</v>
      </c>
      <c r="F40" t="str">
        <f t="shared" ca="1" si="5"/>
        <v>국고10Y</v>
      </c>
      <c r="G40" t="str">
        <f ca="1">IF(F40=0,"",INDEX(data!$8:$1048576, ROW()-INDEX(code_list!D:D,code_list!E40), INDEX(code_list!A:A, code_list!E40+1)))</f>
        <v>KR103502GDC6</v>
      </c>
      <c r="H40" t="str">
        <f t="shared" ca="1" si="6"/>
        <v>KR103502GDC6</v>
      </c>
      <c r="N40">
        <f t="shared" ca="1" si="7"/>
        <v>7</v>
      </c>
      <c r="O40">
        <f t="shared" ca="1" si="8"/>
        <v>0</v>
      </c>
      <c r="P40" t="str">
        <f ca="1">IF(O40=0,"",INDEX(data!$8:$1048576, ROW()-INDEX(code_list!M:M,code_list!N40), INDEX(code_list!J:J, code_list!N40+1)))</f>
        <v/>
      </c>
      <c r="Q40" t="str">
        <f t="shared" ca="1" si="9"/>
        <v/>
      </c>
      <c r="W40">
        <f t="shared" ca="1" si="10"/>
        <v>2</v>
      </c>
      <c r="X40">
        <f t="shared" ca="1" si="11"/>
        <v>0</v>
      </c>
      <c r="Y40" t="str">
        <f ca="1">IF(X40=0,"",INDEX(data!$9:$1048576, ROW()-INDEX(code_list!V:V,code_list!W40), INDEX(code_list!S:S, code_list!W40+1)))</f>
        <v/>
      </c>
      <c r="Z40" t="str">
        <f t="shared" ca="1" si="12"/>
        <v/>
      </c>
      <c r="AF40">
        <f t="shared" ca="1" si="13"/>
        <v>1</v>
      </c>
      <c r="AG40" t="str">
        <f t="shared" ca="1" si="14"/>
        <v>국민주택1종</v>
      </c>
      <c r="AH40" t="str">
        <f ca="1">IF(AG40=0,"",INDEX(data!$9:$1048576, ROW()-INDEX(code_list!AE:AE,code_list!AF40), INDEX(code_list!AB:AB, code_list!AF40+1)))</f>
        <v>KR101501DB56</v>
      </c>
      <c r="AI40" t="str">
        <f t="shared" ca="1" si="15"/>
        <v>KR101501DB56</v>
      </c>
    </row>
    <row r="41" spans="5:35">
      <c r="E41">
        <f t="shared" ca="1" si="4"/>
        <v>4</v>
      </c>
      <c r="F41" t="str">
        <f t="shared" ca="1" si="5"/>
        <v>국고10Y</v>
      </c>
      <c r="G41" t="str">
        <f ca="1">IF(F41=0,"",INDEX(data!$8:$1048576, ROW()-INDEX(code_list!D:D,code_list!E41), INDEX(code_list!A:A, code_list!E41+1)))</f>
        <v>KR103502GD64</v>
      </c>
      <c r="H41" t="str">
        <f t="shared" ca="1" si="6"/>
        <v>KR103502GD64</v>
      </c>
      <c r="N41">
        <f t="shared" ca="1" si="7"/>
        <v>7</v>
      </c>
      <c r="O41">
        <f t="shared" ca="1" si="8"/>
        <v>0</v>
      </c>
      <c r="P41" t="str">
        <f ca="1">IF(O41=0,"",INDEX(data!$8:$1048576, ROW()-INDEX(code_list!M:M,code_list!N41), INDEX(code_list!J:J, code_list!N41+1)))</f>
        <v/>
      </c>
      <c r="Q41" t="str">
        <f t="shared" ca="1" si="9"/>
        <v/>
      </c>
      <c r="W41">
        <f t="shared" ca="1" si="10"/>
        <v>2</v>
      </c>
      <c r="X41">
        <f t="shared" ca="1" si="11"/>
        <v>0</v>
      </c>
      <c r="Y41" t="str">
        <f ca="1">IF(X41=0,"",INDEX(data!$9:$1048576, ROW()-INDEX(code_list!V:V,code_list!W41), INDEX(code_list!S:S, code_list!W41+1)))</f>
        <v/>
      </c>
      <c r="Z41" t="str">
        <f t="shared" ca="1" si="12"/>
        <v/>
      </c>
      <c r="AF41">
        <f t="shared" ca="1" si="13"/>
        <v>1</v>
      </c>
      <c r="AG41" t="str">
        <f t="shared" ca="1" si="14"/>
        <v>국민주택1종</v>
      </c>
      <c r="AH41" t="str">
        <f ca="1">IF(AG41=0,"",INDEX(data!$9:$1048576, ROW()-INDEX(code_list!AE:AE,code_list!AF41), INDEX(code_list!AB:AB, code_list!AF41+1)))</f>
        <v>KR101501DB49</v>
      </c>
      <c r="AI41" t="str">
        <f t="shared" ca="1" si="15"/>
        <v>KR101501DB49</v>
      </c>
    </row>
    <row r="42" spans="5:35">
      <c r="E42">
        <f t="shared" ca="1" si="4"/>
        <v>4</v>
      </c>
      <c r="F42" t="str">
        <f t="shared" ca="1" si="5"/>
        <v>국고10Y</v>
      </c>
      <c r="G42" t="str">
        <f ca="1">IF(F42=0,"",INDEX(data!$8:$1048576, ROW()-INDEX(code_list!D:D,code_list!E42), INDEX(code_list!A:A, code_list!E42+1)))</f>
        <v>KR103502GCC8</v>
      </c>
      <c r="H42" t="str">
        <f t="shared" ca="1" si="6"/>
        <v>KR103502GCC8</v>
      </c>
      <c r="N42">
        <f t="shared" ca="1" si="7"/>
        <v>7</v>
      </c>
      <c r="O42">
        <f t="shared" ca="1" si="8"/>
        <v>0</v>
      </c>
      <c r="P42" t="str">
        <f ca="1">IF(O42=0,"",INDEX(data!$8:$1048576, ROW()-INDEX(code_list!M:M,code_list!N42), INDEX(code_list!J:J, code_list!N42+1)))</f>
        <v/>
      </c>
      <c r="Q42" t="str">
        <f t="shared" ca="1" si="9"/>
        <v/>
      </c>
      <c r="W42">
        <f t="shared" ca="1" si="10"/>
        <v>2</v>
      </c>
      <c r="X42">
        <f t="shared" ca="1" si="11"/>
        <v>0</v>
      </c>
      <c r="Y42" t="str">
        <f ca="1">IF(X42=0,"",INDEX(data!$9:$1048576, ROW()-INDEX(code_list!V:V,code_list!W42), INDEX(code_list!S:S, code_list!W42+1)))</f>
        <v/>
      </c>
      <c r="Z42" t="str">
        <f t="shared" ca="1" si="12"/>
        <v/>
      </c>
      <c r="AF42">
        <f t="shared" ca="1" si="13"/>
        <v>1</v>
      </c>
      <c r="AG42" t="str">
        <f t="shared" ca="1" si="14"/>
        <v>국민주택1종</v>
      </c>
      <c r="AH42" t="str">
        <f ca="1">IF(AG42=0,"",INDEX(data!$9:$1048576, ROW()-INDEX(code_list!AE:AE,code_list!AF42), INDEX(code_list!AB:AB, code_list!AF42+1)))</f>
        <v>KR101501DB31</v>
      </c>
      <c r="AI42" t="str">
        <f t="shared" ca="1" si="15"/>
        <v>KR101501DB31</v>
      </c>
    </row>
    <row r="43" spans="5:35">
      <c r="E43">
        <f t="shared" ca="1" si="4"/>
        <v>4</v>
      </c>
      <c r="F43" t="str">
        <f t="shared" ca="1" si="5"/>
        <v>국고10Y</v>
      </c>
      <c r="G43" t="str">
        <f ca="1">IF(F43=0,"",INDEX(data!$8:$1048576, ROW()-INDEX(code_list!D:D,code_list!E43), INDEX(code_list!A:A, code_list!E43+1)))</f>
        <v>KR103502GC65</v>
      </c>
      <c r="H43" t="str">
        <f t="shared" ca="1" si="6"/>
        <v>KR103502GC65</v>
      </c>
      <c r="N43">
        <f t="shared" ca="1" si="7"/>
        <v>7</v>
      </c>
      <c r="O43">
        <f t="shared" ca="1" si="8"/>
        <v>0</v>
      </c>
      <c r="P43" t="str">
        <f ca="1">IF(O43=0,"",INDEX(data!$8:$1048576, ROW()-INDEX(code_list!M:M,code_list!N43), INDEX(code_list!J:J, code_list!N43+1)))</f>
        <v/>
      </c>
      <c r="Q43" t="str">
        <f t="shared" ca="1" si="9"/>
        <v/>
      </c>
      <c r="W43">
        <f t="shared" ca="1" si="10"/>
        <v>2</v>
      </c>
      <c r="X43">
        <f t="shared" ca="1" si="11"/>
        <v>0</v>
      </c>
      <c r="Y43" t="str">
        <f ca="1">IF(X43=0,"",INDEX(data!$9:$1048576, ROW()-INDEX(code_list!V:V,code_list!W43), INDEX(code_list!S:S, code_list!W43+1)))</f>
        <v/>
      </c>
      <c r="Z43" t="str">
        <f t="shared" ca="1" si="12"/>
        <v/>
      </c>
      <c r="AF43">
        <f t="shared" ca="1" si="13"/>
        <v>1</v>
      </c>
      <c r="AG43" t="str">
        <f t="shared" ca="1" si="14"/>
        <v>국민주택1종</v>
      </c>
      <c r="AH43" t="str">
        <f ca="1">IF(AG43=0,"",INDEX(data!$9:$1048576, ROW()-INDEX(code_list!AE:AE,code_list!AF43), INDEX(code_list!AB:AB, code_list!AF43+1)))</f>
        <v>KR101501DB23</v>
      </c>
      <c r="AI43" t="str">
        <f t="shared" ca="1" si="15"/>
        <v>KR101501DB23</v>
      </c>
    </row>
    <row r="44" spans="5:35">
      <c r="E44">
        <f t="shared" ca="1" si="4"/>
        <v>4</v>
      </c>
      <c r="F44" t="str">
        <f t="shared" ca="1" si="5"/>
        <v>국고10Y</v>
      </c>
      <c r="G44" t="str">
        <f ca="1">IF(F44=0,"",INDEX(data!$8:$1048576, ROW()-INDEX(code_list!D:D,code_list!E44), INDEX(code_list!A:A, code_list!E44+1)))</f>
        <v>KR103502GBC0</v>
      </c>
      <c r="H44" t="str">
        <f t="shared" ca="1" si="6"/>
        <v>KR103502GBC0</v>
      </c>
      <c r="N44">
        <f t="shared" ca="1" si="7"/>
        <v>7</v>
      </c>
      <c r="O44">
        <f t="shared" ca="1" si="8"/>
        <v>0</v>
      </c>
      <c r="P44" t="str">
        <f ca="1">IF(O44=0,"",INDEX(data!$8:$1048576, ROW()-INDEX(code_list!M:M,code_list!N44), INDEX(code_list!J:J, code_list!N44+1)))</f>
        <v/>
      </c>
      <c r="Q44" t="str">
        <f t="shared" ca="1" si="9"/>
        <v/>
      </c>
      <c r="W44">
        <f t="shared" ca="1" si="10"/>
        <v>2</v>
      </c>
      <c r="X44">
        <f t="shared" ca="1" si="11"/>
        <v>0</v>
      </c>
      <c r="Y44" t="str">
        <f ca="1">IF(X44=0,"",INDEX(data!$9:$1048576, ROW()-INDEX(code_list!V:V,code_list!W44), INDEX(code_list!S:S, code_list!W44+1)))</f>
        <v/>
      </c>
      <c r="Z44" t="str">
        <f t="shared" ca="1" si="12"/>
        <v/>
      </c>
      <c r="AF44">
        <f t="shared" ca="1" si="13"/>
        <v>1</v>
      </c>
      <c r="AG44" t="str">
        <f t="shared" ca="1" si="14"/>
        <v>국민주택1종</v>
      </c>
      <c r="AH44" t="str">
        <f ca="1">IF(AG44=0,"",INDEX(data!$9:$1048576, ROW()-INDEX(code_list!AE:AE,code_list!AF44), INDEX(code_list!AB:AB, code_list!AF44+1)))</f>
        <v>KR101501DB15</v>
      </c>
      <c r="AI44" t="str">
        <f t="shared" ca="1" si="15"/>
        <v>KR101501DB15</v>
      </c>
    </row>
    <row r="45" spans="5:35">
      <c r="E45">
        <f t="shared" ca="1" si="4"/>
        <v>4</v>
      </c>
      <c r="F45" t="str">
        <f t="shared" ca="1" si="5"/>
        <v>국고10Y</v>
      </c>
      <c r="G45" t="str">
        <f ca="1">IF(F45=0,"",INDEX(data!$8:$1048576, ROW()-INDEX(code_list!D:D,code_list!E45), INDEX(code_list!A:A, code_list!E45+1)))</f>
        <v>KR103502GB66</v>
      </c>
      <c r="H45" t="str">
        <f t="shared" ca="1" si="6"/>
        <v>KR103502GB66</v>
      </c>
      <c r="N45">
        <f t="shared" ca="1" si="7"/>
        <v>7</v>
      </c>
      <c r="O45">
        <f t="shared" ca="1" si="8"/>
        <v>0</v>
      </c>
      <c r="P45" t="str">
        <f ca="1">IF(O45=0,"",INDEX(data!$8:$1048576, ROW()-INDEX(code_list!M:M,code_list!N45), INDEX(code_list!J:J, code_list!N45+1)))</f>
        <v/>
      </c>
      <c r="Q45" t="str">
        <f t="shared" ca="1" si="9"/>
        <v/>
      </c>
      <c r="W45">
        <f t="shared" ca="1" si="10"/>
        <v>2</v>
      </c>
      <c r="X45">
        <f t="shared" ca="1" si="11"/>
        <v>0</v>
      </c>
      <c r="Y45" t="str">
        <f ca="1">IF(X45=0,"",INDEX(data!$9:$1048576, ROW()-INDEX(code_list!V:V,code_list!W45), INDEX(code_list!S:S, code_list!W45+1)))</f>
        <v/>
      </c>
      <c r="Z45" t="str">
        <f t="shared" ca="1" si="12"/>
        <v/>
      </c>
      <c r="AF45">
        <f t="shared" ca="1" si="13"/>
        <v>1</v>
      </c>
      <c r="AG45" t="str">
        <f t="shared" ca="1" si="14"/>
        <v>국민주택1종</v>
      </c>
      <c r="AH45" t="str">
        <f ca="1">IF(AG45=0,"",INDEX(data!$9:$1048576, ROW()-INDEX(code_list!AE:AE,code_list!AF45), INDEX(code_list!AB:AB, code_list!AF45+1)))</f>
        <v>KR101501DAC3</v>
      </c>
      <c r="AI45" t="str">
        <f t="shared" ca="1" si="15"/>
        <v>KR101501DAC3</v>
      </c>
    </row>
    <row r="46" spans="5:35">
      <c r="E46">
        <f t="shared" ca="1" si="4"/>
        <v>4</v>
      </c>
      <c r="F46" t="str">
        <f t="shared" ca="1" si="5"/>
        <v>국고10Y</v>
      </c>
      <c r="G46" t="str">
        <f ca="1">IF(F46=0,"",INDEX(data!$8:$1048576, ROW()-INDEX(code_list!D:D,code_list!E46), INDEX(code_list!A:A, code_list!E46+1)))</f>
        <v>KR103502GAC2</v>
      </c>
      <c r="H46" t="str">
        <f t="shared" ca="1" si="6"/>
        <v>KR103502GAC2</v>
      </c>
      <c r="N46">
        <f t="shared" ca="1" si="7"/>
        <v>7</v>
      </c>
      <c r="O46">
        <f t="shared" ca="1" si="8"/>
        <v>0</v>
      </c>
      <c r="P46" t="str">
        <f ca="1">IF(O46=0,"",INDEX(data!$8:$1048576, ROW()-INDEX(code_list!M:M,code_list!N46), INDEX(code_list!J:J, code_list!N46+1)))</f>
        <v/>
      </c>
      <c r="Q46" t="str">
        <f t="shared" ca="1" si="9"/>
        <v/>
      </c>
      <c r="W46">
        <f t="shared" ca="1" si="10"/>
        <v>2</v>
      </c>
      <c r="X46">
        <f t="shared" ca="1" si="11"/>
        <v>0</v>
      </c>
      <c r="Y46" t="str">
        <f ca="1">IF(X46=0,"",INDEX(data!$9:$1048576, ROW()-INDEX(code_list!V:V,code_list!W46), INDEX(code_list!S:S, code_list!W46+1)))</f>
        <v/>
      </c>
      <c r="Z46" t="str">
        <f t="shared" ca="1" si="12"/>
        <v/>
      </c>
      <c r="AF46">
        <f t="shared" ca="1" si="13"/>
        <v>1</v>
      </c>
      <c r="AG46" t="str">
        <f t="shared" ca="1" si="14"/>
        <v>국민주택1종</v>
      </c>
      <c r="AH46" t="str">
        <f ca="1">IF(AG46=0,"",INDEX(data!$9:$1048576, ROW()-INDEX(code_list!AE:AE,code_list!AF46), INDEX(code_list!AB:AB, code_list!AF46+1)))</f>
        <v>KR101501DAB5</v>
      </c>
      <c r="AI46" t="str">
        <f t="shared" ca="1" si="15"/>
        <v>KR101501DAB5</v>
      </c>
    </row>
    <row r="47" spans="5:35">
      <c r="E47">
        <f t="shared" ca="1" si="4"/>
        <v>4</v>
      </c>
      <c r="F47" t="str">
        <f t="shared" ca="1" si="5"/>
        <v>국고10Y</v>
      </c>
      <c r="G47" t="str">
        <f ca="1">IF(F47=0,"",INDEX(data!$8:$1048576, ROW()-INDEX(code_list!D:D,code_list!E47), INDEX(code_list!A:A, code_list!E47+1)))</f>
        <v>KR103502GA67</v>
      </c>
      <c r="H47" t="str">
        <f t="shared" ca="1" si="6"/>
        <v>KR103502GA67</v>
      </c>
      <c r="N47">
        <f t="shared" ca="1" si="7"/>
        <v>7</v>
      </c>
      <c r="O47">
        <f t="shared" ca="1" si="8"/>
        <v>0</v>
      </c>
      <c r="P47" t="str">
        <f ca="1">IF(O47=0,"",INDEX(data!$8:$1048576, ROW()-INDEX(code_list!M:M,code_list!N47), INDEX(code_list!J:J, code_list!N47+1)))</f>
        <v/>
      </c>
      <c r="Q47" t="str">
        <f t="shared" ca="1" si="9"/>
        <v/>
      </c>
      <c r="W47">
        <f t="shared" ca="1" si="10"/>
        <v>2</v>
      </c>
      <c r="X47">
        <f t="shared" ca="1" si="11"/>
        <v>0</v>
      </c>
      <c r="Y47" t="str">
        <f ca="1">IF(X47=0,"",INDEX(data!$9:$1048576, ROW()-INDEX(code_list!V:V,code_list!W47), INDEX(code_list!S:S, code_list!W47+1)))</f>
        <v/>
      </c>
      <c r="Z47" t="str">
        <f t="shared" ca="1" si="12"/>
        <v/>
      </c>
      <c r="AF47">
        <f t="shared" ca="1" si="13"/>
        <v>1</v>
      </c>
      <c r="AG47" t="str">
        <f t="shared" ca="1" si="14"/>
        <v>국민주택1종</v>
      </c>
      <c r="AH47" t="str">
        <f ca="1">IF(AG47=0,"",INDEX(data!$9:$1048576, ROW()-INDEX(code_list!AE:AE,code_list!AF47), INDEX(code_list!AB:AB, code_list!AF47+1)))</f>
        <v>KR101501DAA7</v>
      </c>
      <c r="AI47" t="str">
        <f t="shared" ca="1" si="15"/>
        <v>KR101501DAA7</v>
      </c>
    </row>
    <row r="48" spans="5:35">
      <c r="E48">
        <f t="shared" ca="1" si="4"/>
        <v>4</v>
      </c>
      <c r="F48" t="str">
        <f t="shared" ca="1" si="5"/>
        <v>국고10Y</v>
      </c>
      <c r="G48" t="str">
        <f ca="1">IF(F48=0,"",INDEX(data!$8:$1048576, ROW()-INDEX(code_list!D:D,code_list!E48), INDEX(code_list!A:A, code_list!E48+1)))</f>
        <v>KR103502G9C8</v>
      </c>
      <c r="H48" t="str">
        <f t="shared" ca="1" si="6"/>
        <v>KR103502G9C8</v>
      </c>
      <c r="N48">
        <f t="shared" ca="1" si="7"/>
        <v>7</v>
      </c>
      <c r="O48">
        <f t="shared" ca="1" si="8"/>
        <v>0</v>
      </c>
      <c r="P48" t="str">
        <f ca="1">IF(O48=0,"",INDEX(data!$8:$1048576, ROW()-INDEX(code_list!M:M,code_list!N48), INDEX(code_list!J:J, code_list!N48+1)))</f>
        <v/>
      </c>
      <c r="Q48" t="str">
        <f t="shared" ca="1" si="9"/>
        <v/>
      </c>
      <c r="W48">
        <f t="shared" ca="1" si="10"/>
        <v>2</v>
      </c>
      <c r="X48">
        <f t="shared" ca="1" si="11"/>
        <v>0</v>
      </c>
      <c r="Y48" t="str">
        <f ca="1">IF(X48=0,"",INDEX(data!$9:$1048576, ROW()-INDEX(code_list!V:V,code_list!W48), INDEX(code_list!S:S, code_list!W48+1)))</f>
        <v/>
      </c>
      <c r="Z48" t="str">
        <f t="shared" ca="1" si="12"/>
        <v/>
      </c>
      <c r="AF48">
        <f t="shared" ca="1" si="13"/>
        <v>1</v>
      </c>
      <c r="AG48" t="str">
        <f t="shared" ca="1" si="14"/>
        <v>국민주택1종</v>
      </c>
      <c r="AH48" t="str">
        <f ca="1">IF(AG48=0,"",INDEX(data!$9:$1048576, ROW()-INDEX(code_list!AE:AE,code_list!AF48), INDEX(code_list!AB:AB, code_list!AF48+1)))</f>
        <v>KR101501DA99</v>
      </c>
      <c r="AI48" t="str">
        <f t="shared" ca="1" si="15"/>
        <v>KR101501DA99</v>
      </c>
    </row>
    <row r="49" spans="5:35">
      <c r="E49">
        <f t="shared" ca="1" si="4"/>
        <v>4</v>
      </c>
      <c r="F49" t="str">
        <f t="shared" ca="1" si="5"/>
        <v>국고10Y</v>
      </c>
      <c r="G49" t="str">
        <f ca="1">IF(F49=0,"",INDEX(data!$8:$1048576, ROW()-INDEX(code_list!D:D,code_list!E49), INDEX(code_list!A:A, code_list!E49+1)))</f>
        <v>KR103502G966</v>
      </c>
      <c r="H49" t="str">
        <f t="shared" ca="1" si="6"/>
        <v>KR103502G966</v>
      </c>
      <c r="N49">
        <f t="shared" ca="1" si="7"/>
        <v>7</v>
      </c>
      <c r="O49">
        <f t="shared" ca="1" si="8"/>
        <v>0</v>
      </c>
      <c r="P49" t="str">
        <f ca="1">IF(O49=0,"",INDEX(data!$8:$1048576, ROW()-INDEX(code_list!M:M,code_list!N49), INDEX(code_list!J:J, code_list!N49+1)))</f>
        <v/>
      </c>
      <c r="Q49" t="str">
        <f t="shared" ca="1" si="9"/>
        <v/>
      </c>
      <c r="W49">
        <f t="shared" ca="1" si="10"/>
        <v>2</v>
      </c>
      <c r="X49">
        <f t="shared" ca="1" si="11"/>
        <v>0</v>
      </c>
      <c r="Y49" t="str">
        <f ca="1">IF(X49=0,"",INDEX(data!$9:$1048576, ROW()-INDEX(code_list!V:V,code_list!W49), INDEX(code_list!S:S, code_list!W49+1)))</f>
        <v/>
      </c>
      <c r="Z49" t="str">
        <f t="shared" ca="1" si="12"/>
        <v/>
      </c>
      <c r="AF49">
        <f t="shared" ca="1" si="13"/>
        <v>1</v>
      </c>
      <c r="AG49" t="str">
        <f t="shared" ca="1" si="14"/>
        <v>국민주택1종</v>
      </c>
      <c r="AH49" t="str">
        <f ca="1">IF(AG49=0,"",INDEX(data!$9:$1048576, ROW()-INDEX(code_list!AE:AE,code_list!AF49), INDEX(code_list!AB:AB, code_list!AF49+1)))</f>
        <v>KR101501DA81</v>
      </c>
      <c r="AI49" t="str">
        <f t="shared" ca="1" si="15"/>
        <v>KR101501DA81</v>
      </c>
    </row>
    <row r="50" spans="5:35">
      <c r="E50">
        <f t="shared" ca="1" si="4"/>
        <v>4</v>
      </c>
      <c r="F50" t="str">
        <f t="shared" ca="1" si="5"/>
        <v>국고10Y</v>
      </c>
      <c r="G50" t="str">
        <f ca="1">IF(F50=0,"",INDEX(data!$8:$1048576, ROW()-INDEX(code_list!D:D,code_list!E50), INDEX(code_list!A:A, code_list!E50+1)))</f>
        <v>KR103502G8C0</v>
      </c>
      <c r="H50" t="str">
        <f t="shared" ca="1" si="6"/>
        <v>KR103502G8C0</v>
      </c>
      <c r="N50">
        <f t="shared" ca="1" si="7"/>
        <v>7</v>
      </c>
      <c r="O50">
        <f t="shared" ca="1" si="8"/>
        <v>0</v>
      </c>
      <c r="P50" t="str">
        <f ca="1">IF(O50=0,"",INDEX(data!$8:$1048576, ROW()-INDEX(code_list!M:M,code_list!N50), INDEX(code_list!J:J, code_list!N50+1)))</f>
        <v/>
      </c>
      <c r="Q50" t="str">
        <f t="shared" ca="1" si="9"/>
        <v/>
      </c>
      <c r="W50">
        <f t="shared" ca="1" si="10"/>
        <v>2</v>
      </c>
      <c r="X50">
        <f t="shared" ca="1" si="11"/>
        <v>0</v>
      </c>
      <c r="Y50" t="str">
        <f ca="1">IF(X50=0,"",INDEX(data!$9:$1048576, ROW()-INDEX(code_list!V:V,code_list!W50), INDEX(code_list!S:S, code_list!W50+1)))</f>
        <v/>
      </c>
      <c r="Z50" t="str">
        <f t="shared" ca="1" si="12"/>
        <v/>
      </c>
      <c r="AF50">
        <f t="shared" ca="1" si="13"/>
        <v>1</v>
      </c>
      <c r="AG50" t="str">
        <f t="shared" ca="1" si="14"/>
        <v>국민주택1종</v>
      </c>
      <c r="AH50" t="str">
        <f ca="1">IF(AG50=0,"",INDEX(data!$9:$1048576, ROW()-INDEX(code_list!AE:AE,code_list!AF50), INDEX(code_list!AB:AB, code_list!AF50+1)))</f>
        <v>KR101501DA73</v>
      </c>
      <c r="AI50" t="str">
        <f t="shared" ca="1" si="15"/>
        <v>KR101501DA73</v>
      </c>
    </row>
    <row r="51" spans="5:35">
      <c r="E51">
        <f t="shared" ca="1" si="4"/>
        <v>4</v>
      </c>
      <c r="F51" t="str">
        <f t="shared" ca="1" si="5"/>
        <v>국고10Y</v>
      </c>
      <c r="G51" t="str">
        <f ca="1">IF(F51=0,"",INDEX(data!$8:$1048576, ROW()-INDEX(code_list!D:D,code_list!E51), INDEX(code_list!A:A, code_list!E51+1)))</f>
        <v>KR103502G867</v>
      </c>
      <c r="H51" t="str">
        <f t="shared" ca="1" si="6"/>
        <v>KR103502G867</v>
      </c>
      <c r="N51">
        <f t="shared" ca="1" si="7"/>
        <v>7</v>
      </c>
      <c r="O51">
        <f t="shared" ca="1" si="8"/>
        <v>0</v>
      </c>
      <c r="P51" t="str">
        <f ca="1">IF(O51=0,"",INDEX(data!$8:$1048576, ROW()-INDEX(code_list!M:M,code_list!N51), INDEX(code_list!J:J, code_list!N51+1)))</f>
        <v/>
      </c>
      <c r="Q51" t="str">
        <f t="shared" ca="1" si="9"/>
        <v/>
      </c>
      <c r="AF51">
        <f t="shared" ca="1" si="13"/>
        <v>1</v>
      </c>
      <c r="AG51" t="str">
        <f t="shared" ca="1" si="14"/>
        <v>국민주택1종</v>
      </c>
      <c r="AH51" t="str">
        <f ca="1">IF(AG51=0,"",INDEX(data!$9:$1048576, ROW()-INDEX(code_list!AE:AE,code_list!AF51), INDEX(code_list!AB:AB, code_list!AF51+1)))</f>
        <v>KR101501DA65</v>
      </c>
      <c r="AI51" t="str">
        <f t="shared" ca="1" si="15"/>
        <v>KR101501DA65</v>
      </c>
    </row>
    <row r="52" spans="5:35">
      <c r="E52">
        <f t="shared" ca="1" si="4"/>
        <v>4</v>
      </c>
      <c r="F52" t="str">
        <f t="shared" ca="1" si="5"/>
        <v>국고10Y</v>
      </c>
      <c r="G52" t="str">
        <f ca="1">IF(F52=0,"",INDEX(data!$8:$1048576, ROW()-INDEX(code_list!D:D,code_list!E52), INDEX(code_list!A:A, code_list!E52+1)))</f>
        <v>KR103502G7C2</v>
      </c>
      <c r="H52" t="str">
        <f t="shared" ca="1" si="6"/>
        <v>KR103502G7C2</v>
      </c>
      <c r="N52">
        <f t="shared" ca="1" si="7"/>
        <v>7</v>
      </c>
      <c r="O52">
        <f t="shared" ca="1" si="8"/>
        <v>0</v>
      </c>
      <c r="P52" t="str">
        <f ca="1">IF(O52=0,"",INDEX(data!$8:$1048576, ROW()-INDEX(code_list!M:M,code_list!N52), INDEX(code_list!J:J, code_list!N52+1)))</f>
        <v/>
      </c>
      <c r="Q52" t="str">
        <f t="shared" ca="1" si="9"/>
        <v/>
      </c>
      <c r="AF52">
        <f t="shared" ca="1" si="13"/>
        <v>1</v>
      </c>
      <c r="AG52" t="str">
        <f t="shared" ca="1" si="14"/>
        <v>국민주택1종</v>
      </c>
      <c r="AH52" t="str">
        <f ca="1">IF(AG52=0,"",INDEX(data!$9:$1048576, ROW()-INDEX(code_list!AE:AE,code_list!AF52), INDEX(code_list!AB:AB, code_list!AF52+1)))</f>
        <v>KR101501DA57</v>
      </c>
      <c r="AI52" t="str">
        <f t="shared" ca="1" si="15"/>
        <v>KR101501DA57</v>
      </c>
    </row>
    <row r="53" spans="5:35">
      <c r="E53">
        <f t="shared" ca="1" si="4"/>
        <v>4</v>
      </c>
      <c r="F53" t="str">
        <f t="shared" ca="1" si="5"/>
        <v>국고10Y</v>
      </c>
      <c r="G53" t="str">
        <f ca="1">IF(F53=0,"",INDEX(data!$8:$1048576, ROW()-INDEX(code_list!D:D,code_list!E53), INDEX(code_list!A:A, code_list!E53+1)))</f>
        <v>KR103502G768</v>
      </c>
      <c r="H53" t="str">
        <f t="shared" ca="1" si="6"/>
        <v>KR103502G768</v>
      </c>
      <c r="N53">
        <f t="shared" ca="1" si="7"/>
        <v>7</v>
      </c>
      <c r="O53">
        <f t="shared" ca="1" si="8"/>
        <v>0</v>
      </c>
      <c r="P53" t="str">
        <f ca="1">IF(O53=0,"",INDEX(data!$8:$1048576, ROW()-INDEX(code_list!M:M,code_list!N53), INDEX(code_list!J:J, code_list!N53+1)))</f>
        <v/>
      </c>
      <c r="Q53" t="str">
        <f t="shared" ca="1" si="9"/>
        <v/>
      </c>
      <c r="AF53">
        <f t="shared" ca="1" si="13"/>
        <v>1</v>
      </c>
      <c r="AG53" t="str">
        <f t="shared" ca="1" si="14"/>
        <v>국민주택1종</v>
      </c>
      <c r="AH53" t="str">
        <f ca="1">IF(AG53=0,"",INDEX(data!$9:$1048576, ROW()-INDEX(code_list!AE:AE,code_list!AF53), INDEX(code_list!AB:AB, code_list!AF53+1)))</f>
        <v>KR101501DA40</v>
      </c>
      <c r="AI53" t="str">
        <f t="shared" ca="1" si="15"/>
        <v>KR101501DA40</v>
      </c>
    </row>
    <row r="54" spans="5:35">
      <c r="E54">
        <f t="shared" ca="1" si="4"/>
        <v>4</v>
      </c>
      <c r="F54" t="str">
        <f t="shared" ca="1" si="5"/>
        <v>국고10Y</v>
      </c>
      <c r="G54" t="str">
        <f ca="1">IF(F54=0,"",INDEX(data!$8:$1048576, ROW()-INDEX(code_list!D:D,code_list!E54), INDEX(code_list!A:A, code_list!E54+1)))</f>
        <v>KR103502G6C4</v>
      </c>
      <c r="H54" t="str">
        <f t="shared" ca="1" si="6"/>
        <v>KR103502G6C4</v>
      </c>
      <c r="N54">
        <f t="shared" ca="1" si="7"/>
        <v>7</v>
      </c>
      <c r="O54">
        <f t="shared" ca="1" si="8"/>
        <v>0</v>
      </c>
      <c r="P54" t="str">
        <f ca="1">IF(O54=0,"",INDEX(data!$8:$1048576, ROW()-INDEX(code_list!M:M,code_list!N54), INDEX(code_list!J:J, code_list!N54+1)))</f>
        <v/>
      </c>
      <c r="Q54" t="str">
        <f t="shared" ca="1" si="9"/>
        <v/>
      </c>
      <c r="AF54">
        <f t="shared" ca="1" si="13"/>
        <v>1</v>
      </c>
      <c r="AG54" t="str">
        <f t="shared" ca="1" si="14"/>
        <v>국민주택1종</v>
      </c>
      <c r="AH54" t="str">
        <f ca="1">IF(AG54=0,"",INDEX(data!$9:$1048576, ROW()-INDEX(code_list!AE:AE,code_list!AF54), INDEX(code_list!AB:AB, code_list!AF54+1)))</f>
        <v>KR101501DA32</v>
      </c>
      <c r="AI54" t="str">
        <f t="shared" ca="1" si="15"/>
        <v>KR101501DA32</v>
      </c>
    </row>
    <row r="55" spans="5:35">
      <c r="E55">
        <f t="shared" ca="1" si="4"/>
        <v>4</v>
      </c>
      <c r="F55" t="str">
        <f t="shared" ca="1" si="5"/>
        <v>국고10Y</v>
      </c>
      <c r="G55" t="str">
        <f ca="1">IF(F55=0,"",INDEX(data!$8:$1048576, ROW()-INDEX(code_list!D:D,code_list!E55), INDEX(code_list!A:A, code_list!E55+1)))</f>
        <v>KR103502G669</v>
      </c>
      <c r="H55" t="str">
        <f t="shared" ca="1" si="6"/>
        <v>KR103502G669</v>
      </c>
      <c r="N55">
        <f t="shared" ca="1" si="7"/>
        <v>7</v>
      </c>
      <c r="O55">
        <f t="shared" ca="1" si="8"/>
        <v>0</v>
      </c>
      <c r="P55" t="str">
        <f ca="1">IF(O55=0,"",INDEX(data!$8:$1048576, ROW()-INDEX(code_list!M:M,code_list!N55), INDEX(code_list!J:J, code_list!N55+1)))</f>
        <v/>
      </c>
      <c r="Q55" t="str">
        <f t="shared" ca="1" si="9"/>
        <v/>
      </c>
      <c r="AF55">
        <f t="shared" ca="1" si="13"/>
        <v>1</v>
      </c>
      <c r="AG55" t="str">
        <f t="shared" ca="1" si="14"/>
        <v>국민주택1종</v>
      </c>
      <c r="AH55" t="str">
        <f ca="1">IF(AG55=0,"",INDEX(data!$9:$1048576, ROW()-INDEX(code_list!AE:AE,code_list!AF55), INDEX(code_list!AB:AB, code_list!AF55+1)))</f>
        <v>KR101501DA24</v>
      </c>
      <c r="AI55" t="str">
        <f t="shared" ca="1" si="15"/>
        <v>KR101501DA24</v>
      </c>
    </row>
    <row r="56" spans="5:35">
      <c r="E56">
        <f t="shared" ca="1" si="4"/>
        <v>4</v>
      </c>
      <c r="F56" t="str">
        <f t="shared" ca="1" si="5"/>
        <v>국고10Y</v>
      </c>
      <c r="G56" t="str">
        <f ca="1">IF(F56=0,"",INDEX(data!$8:$1048576, ROW()-INDEX(code_list!D:D,code_list!E56), INDEX(code_list!A:A, code_list!E56+1)))</f>
        <v>KR103502G5C6</v>
      </c>
      <c r="H56" t="str">
        <f t="shared" ca="1" si="6"/>
        <v>KR103502G5C6</v>
      </c>
      <c r="N56">
        <f t="shared" ca="1" si="7"/>
        <v>7</v>
      </c>
      <c r="O56">
        <f t="shared" ca="1" si="8"/>
        <v>0</v>
      </c>
      <c r="P56" t="str">
        <f ca="1">IF(O56=0,"",INDEX(data!$8:$1048576, ROW()-INDEX(code_list!M:M,code_list!N56), INDEX(code_list!J:J, code_list!N56+1)))</f>
        <v/>
      </c>
      <c r="Q56" t="str">
        <f t="shared" ca="1" si="9"/>
        <v/>
      </c>
      <c r="AF56">
        <f t="shared" ca="1" si="13"/>
        <v>1</v>
      </c>
      <c r="AG56" t="str">
        <f t="shared" ca="1" si="14"/>
        <v>국민주택1종</v>
      </c>
      <c r="AH56" t="str">
        <f ca="1">IF(AG56=0,"",INDEX(data!$9:$1048576, ROW()-INDEX(code_list!AE:AE,code_list!AF56), INDEX(code_list!AB:AB, code_list!AF56+1)))</f>
        <v>KR101501DA16</v>
      </c>
      <c r="AI56" t="str">
        <f t="shared" ca="1" si="15"/>
        <v>KR101501DA16</v>
      </c>
    </row>
    <row r="57" spans="5:35">
      <c r="E57">
        <f t="shared" ca="1" si="4"/>
        <v>4</v>
      </c>
      <c r="F57" t="str">
        <f t="shared" ca="1" si="5"/>
        <v>국고10Y</v>
      </c>
      <c r="G57" t="str">
        <f ca="1">IF(F57=0,"",INDEX(data!$8:$1048576, ROW()-INDEX(code_list!D:D,code_list!E57), INDEX(code_list!A:A, code_list!E57+1)))</f>
        <v>KR103501G562</v>
      </c>
      <c r="H57" t="str">
        <f t="shared" ca="1" si="6"/>
        <v>KR103501G562</v>
      </c>
      <c r="N57">
        <f t="shared" ca="1" si="7"/>
        <v>7</v>
      </c>
      <c r="O57">
        <f t="shared" ca="1" si="8"/>
        <v>0</v>
      </c>
      <c r="P57" t="str">
        <f ca="1">IF(O57=0,"",INDEX(data!$8:$1048576, ROW()-INDEX(code_list!M:M,code_list!N57), INDEX(code_list!J:J, code_list!N57+1)))</f>
        <v/>
      </c>
      <c r="Q57" t="str">
        <f t="shared" ca="1" si="9"/>
        <v/>
      </c>
      <c r="AF57">
        <f t="shared" ca="1" si="13"/>
        <v>1</v>
      </c>
      <c r="AG57" t="str">
        <f t="shared" ca="1" si="14"/>
        <v>국민주택1종</v>
      </c>
      <c r="AH57" t="str">
        <f ca="1">IF(AG57=0,"",INDEX(data!$9:$1048576, ROW()-INDEX(code_list!AE:AE,code_list!AF57), INDEX(code_list!AB:AB, code_list!AF57+1)))</f>
        <v>KR101501D9C6</v>
      </c>
      <c r="AI57" t="str">
        <f t="shared" ca="1" si="15"/>
        <v>KR101501D9C6</v>
      </c>
    </row>
    <row r="58" spans="5:35">
      <c r="E58">
        <f t="shared" ca="1" si="4"/>
        <v>4</v>
      </c>
      <c r="F58" t="str">
        <f t="shared" ca="1" si="5"/>
        <v>국고10Y</v>
      </c>
      <c r="G58" t="str">
        <f ca="1">IF(F58=0,"",INDEX(data!$8:$1048576, ROW()-INDEX(code_list!D:D,code_list!E58), INDEX(code_list!A:A, code_list!E58+1)))</f>
        <v>KR103502G495</v>
      </c>
      <c r="H58" t="str">
        <f t="shared" ca="1" si="6"/>
        <v>KR103502G495</v>
      </c>
      <c r="N58">
        <f t="shared" ca="1" si="7"/>
        <v>7</v>
      </c>
      <c r="O58">
        <f t="shared" ca="1" si="8"/>
        <v>0</v>
      </c>
      <c r="P58" t="str">
        <f ca="1">IF(O58=0,"",INDEX(data!$8:$1048576, ROW()-INDEX(code_list!M:M,code_list!N58), INDEX(code_list!J:J, code_list!N58+1)))</f>
        <v/>
      </c>
      <c r="Q58" t="str">
        <f t="shared" ca="1" si="9"/>
        <v/>
      </c>
      <c r="AF58">
        <f t="shared" ca="1" si="13"/>
        <v>1</v>
      </c>
      <c r="AG58" t="str">
        <f t="shared" ca="1" si="14"/>
        <v>국민주택1종</v>
      </c>
      <c r="AH58" t="str">
        <f ca="1">IF(AG58=0,"",INDEX(data!$9:$1048576, ROW()-INDEX(code_list!AE:AE,code_list!AF58), INDEX(code_list!AB:AB, code_list!AF58+1)))</f>
        <v>KR101501D9B8</v>
      </c>
      <c r="AI58" t="str">
        <f t="shared" ca="1" si="15"/>
        <v>KR101501D9B8</v>
      </c>
    </row>
    <row r="59" spans="5:35">
      <c r="E59">
        <f t="shared" ca="1" si="4"/>
        <v>5</v>
      </c>
      <c r="F59" t="str">
        <f t="shared" ca="1" si="5"/>
        <v>국고5Y</v>
      </c>
      <c r="G59" t="str">
        <f ca="1">IF(F59=0,"",INDEX(data!$8:$1048576, ROW()-INDEX(code_list!D:D,code_list!E59), INDEX(code_list!A:A, code_list!E59+1)))</f>
        <v>표준코드</v>
      </c>
      <c r="H59" t="str">
        <f t="shared" ca="1" si="6"/>
        <v>국고5Y</v>
      </c>
      <c r="N59">
        <f t="shared" ca="1" si="7"/>
        <v>7</v>
      </c>
      <c r="O59">
        <f t="shared" ca="1" si="8"/>
        <v>0</v>
      </c>
      <c r="P59" t="str">
        <f ca="1">IF(O59=0,"",INDEX(data!$8:$1048576, ROW()-INDEX(code_list!M:M,code_list!N59), INDEX(code_list!J:J, code_list!N59+1)))</f>
        <v/>
      </c>
      <c r="Q59" t="str">
        <f t="shared" ca="1" si="9"/>
        <v/>
      </c>
      <c r="AF59">
        <f t="shared" ca="1" si="13"/>
        <v>1</v>
      </c>
      <c r="AG59" t="str">
        <f t="shared" ca="1" si="14"/>
        <v>국민주택1종</v>
      </c>
      <c r="AH59" t="str">
        <f ca="1">IF(AG59=0,"",INDEX(data!$9:$1048576, ROW()-INDEX(code_list!AE:AE,code_list!AF59), INDEX(code_list!AB:AB, code_list!AF59+1)))</f>
        <v>KR101501D9A0</v>
      </c>
      <c r="AI59" t="str">
        <f t="shared" ca="1" si="15"/>
        <v>KR101501D9A0</v>
      </c>
    </row>
    <row r="60" spans="5:35">
      <c r="E60">
        <f t="shared" ca="1" si="4"/>
        <v>5</v>
      </c>
      <c r="F60" t="str">
        <f t="shared" ca="1" si="5"/>
        <v>국고5Y</v>
      </c>
      <c r="G60" t="str">
        <f ca="1">IF(F60=0,"",INDEX(data!$8:$1048576, ROW()-INDEX(code_list!D:D,code_list!E60), INDEX(code_list!A:A, code_list!E60+1)))</f>
        <v>KR103501GE98</v>
      </c>
      <c r="H60" t="str">
        <f t="shared" ca="1" si="6"/>
        <v>KR103501GE98</v>
      </c>
      <c r="N60">
        <f t="shared" ca="1" si="7"/>
        <v>7</v>
      </c>
      <c r="O60">
        <f t="shared" ca="1" si="8"/>
        <v>0</v>
      </c>
      <c r="P60" t="str">
        <f ca="1">IF(O60=0,"",INDEX(data!$8:$1048576, ROW()-INDEX(code_list!M:M,code_list!N60), INDEX(code_list!J:J, code_list!N60+1)))</f>
        <v/>
      </c>
      <c r="Q60" t="str">
        <f t="shared" ca="1" si="9"/>
        <v/>
      </c>
      <c r="AF60">
        <f t="shared" ca="1" si="13"/>
        <v>1</v>
      </c>
      <c r="AG60" t="str">
        <f t="shared" ca="1" si="14"/>
        <v>국민주택1종</v>
      </c>
      <c r="AH60" t="str">
        <f ca="1">IF(AG60=0,"",INDEX(data!$9:$1048576, ROW()-INDEX(code_list!AE:AE,code_list!AF60), INDEX(code_list!AB:AB, code_list!AF60+1)))</f>
        <v>KR101501D991</v>
      </c>
      <c r="AI60" t="str">
        <f t="shared" ca="1" si="15"/>
        <v>KR101501D991</v>
      </c>
    </row>
    <row r="61" spans="5:35">
      <c r="E61">
        <f t="shared" ca="1" si="4"/>
        <v>5</v>
      </c>
      <c r="F61" t="str">
        <f t="shared" ca="1" si="5"/>
        <v>국고5Y</v>
      </c>
      <c r="G61" t="str">
        <f ca="1">IF(F61=0,"",INDEX(data!$8:$1048576, ROW()-INDEX(code_list!D:D,code_list!E61), INDEX(code_list!A:A, code_list!E61+1)))</f>
        <v>KR103501GE31</v>
      </c>
      <c r="H61" t="str">
        <f t="shared" ca="1" si="6"/>
        <v>KR103501GE31</v>
      </c>
      <c r="N61">
        <f t="shared" ca="1" si="7"/>
        <v>7</v>
      </c>
      <c r="O61">
        <f t="shared" ca="1" si="8"/>
        <v>0</v>
      </c>
      <c r="P61" t="str">
        <f ca="1">IF(O61=0,"",INDEX(data!$8:$1048576, ROW()-INDEX(code_list!M:M,code_list!N61), INDEX(code_list!J:J, code_list!N61+1)))</f>
        <v/>
      </c>
      <c r="Q61" t="str">
        <f t="shared" ca="1" si="9"/>
        <v/>
      </c>
      <c r="AF61">
        <f t="shared" ca="1" si="13"/>
        <v>1</v>
      </c>
      <c r="AG61" t="str">
        <f t="shared" ca="1" si="14"/>
        <v>국민주택1종</v>
      </c>
      <c r="AH61" t="str">
        <f ca="1">IF(AG61=0,"",INDEX(data!$9:$1048576, ROW()-INDEX(code_list!AE:AE,code_list!AF61), INDEX(code_list!AB:AB, code_list!AF61+1)))</f>
        <v>KR101501D983</v>
      </c>
      <c r="AI61" t="str">
        <f t="shared" ca="1" si="15"/>
        <v>KR101501D983</v>
      </c>
    </row>
    <row r="62" spans="5:35">
      <c r="E62">
        <f t="shared" ca="1" si="4"/>
        <v>5</v>
      </c>
      <c r="F62" t="str">
        <f t="shared" ca="1" si="5"/>
        <v>국고5Y</v>
      </c>
      <c r="G62" t="str">
        <f ca="1">IF(F62=0,"",INDEX(data!$8:$1048576, ROW()-INDEX(code_list!D:D,code_list!E62), INDEX(code_list!A:A, code_list!E62+1)))</f>
        <v>KR103501GD99</v>
      </c>
      <c r="H62" t="str">
        <f t="shared" ca="1" si="6"/>
        <v>KR103501GD99</v>
      </c>
      <c r="N62">
        <f t="shared" ca="1" si="7"/>
        <v>7</v>
      </c>
      <c r="O62">
        <f t="shared" ca="1" si="8"/>
        <v>0</v>
      </c>
      <c r="P62" t="str">
        <f ca="1">IF(O62=0,"",INDEX(data!$8:$1048576, ROW()-INDEX(code_list!M:M,code_list!N62), INDEX(code_list!J:J, code_list!N62+1)))</f>
        <v/>
      </c>
      <c r="Q62" t="str">
        <f t="shared" ca="1" si="9"/>
        <v/>
      </c>
      <c r="AF62">
        <f t="shared" ca="1" si="13"/>
        <v>1</v>
      </c>
      <c r="AG62" t="str">
        <f t="shared" ca="1" si="14"/>
        <v>국민주택1종</v>
      </c>
      <c r="AH62" t="str">
        <f ca="1">IF(AG62=0,"",INDEX(data!$9:$1048576, ROW()-INDEX(code_list!AE:AE,code_list!AF62), INDEX(code_list!AB:AB, code_list!AF62+1)))</f>
        <v>KR101502D981</v>
      </c>
      <c r="AI62" t="str">
        <f t="shared" ca="1" si="15"/>
        <v>KR101502D981</v>
      </c>
    </row>
    <row r="63" spans="5:35">
      <c r="E63">
        <f t="shared" ca="1" si="4"/>
        <v>5</v>
      </c>
      <c r="F63" t="str">
        <f t="shared" ca="1" si="5"/>
        <v>국고5Y</v>
      </c>
      <c r="G63" t="str">
        <f ca="1">IF(F63=0,"",INDEX(data!$8:$1048576, ROW()-INDEX(code_list!D:D,code_list!E63), INDEX(code_list!A:A, code_list!E63+1)))</f>
        <v>KR103501GD32</v>
      </c>
      <c r="H63" t="str">
        <f t="shared" ca="1" si="6"/>
        <v>KR103501GD32</v>
      </c>
      <c r="N63">
        <f t="shared" ca="1" si="7"/>
        <v>7</v>
      </c>
      <c r="O63">
        <f t="shared" ca="1" si="8"/>
        <v>0</v>
      </c>
      <c r="P63" t="str">
        <f ca="1">IF(O63=0,"",INDEX(data!$8:$1048576, ROW()-INDEX(code_list!M:M,code_list!N63), INDEX(code_list!J:J, code_list!N63+1)))</f>
        <v/>
      </c>
      <c r="Q63" t="str">
        <f t="shared" ca="1" si="9"/>
        <v/>
      </c>
      <c r="AF63">
        <f t="shared" ca="1" si="13"/>
        <v>2</v>
      </c>
      <c r="AG63">
        <f t="shared" ca="1" si="14"/>
        <v>0</v>
      </c>
      <c r="AH63" t="str">
        <f ca="1">IF(AG63=0,"",INDEX(data!$9:$1048576, ROW()-INDEX(code_list!AE:AE,code_list!AF63), INDEX(code_list!AB:AB, code_list!AF63+1)))</f>
        <v/>
      </c>
      <c r="AI63" t="str">
        <f t="shared" ca="1" si="15"/>
        <v/>
      </c>
    </row>
    <row r="64" spans="5:35">
      <c r="E64">
        <f t="shared" ca="1" si="4"/>
        <v>5</v>
      </c>
      <c r="F64" t="str">
        <f t="shared" ca="1" si="5"/>
        <v>국고5Y</v>
      </c>
      <c r="G64" t="str">
        <f ca="1">IF(F64=0,"",INDEX(data!$8:$1048576, ROW()-INDEX(code_list!D:D,code_list!E64), INDEX(code_list!A:A, code_list!E64+1)))</f>
        <v>KR103501GC90</v>
      </c>
      <c r="H64" t="str">
        <f t="shared" ca="1" si="6"/>
        <v>KR103501GC90</v>
      </c>
      <c r="N64">
        <f t="shared" ca="1" si="7"/>
        <v>7</v>
      </c>
      <c r="O64">
        <f t="shared" ca="1" si="8"/>
        <v>0</v>
      </c>
      <c r="P64" t="str">
        <f ca="1">IF(O64=0,"",INDEX(data!$8:$1048576, ROW()-INDEX(code_list!M:M,code_list!N64), INDEX(code_list!J:J, code_list!N64+1)))</f>
        <v/>
      </c>
      <c r="Q64" t="str">
        <f t="shared" ca="1" si="9"/>
        <v/>
      </c>
      <c r="AF64">
        <f t="shared" ca="1" si="13"/>
        <v>2</v>
      </c>
      <c r="AG64">
        <f t="shared" ca="1" si="14"/>
        <v>0</v>
      </c>
      <c r="AH64" t="str">
        <f ca="1">IF(AG64=0,"",INDEX(data!$9:$1048576, ROW()-INDEX(code_list!AE:AE,code_list!AF64), INDEX(code_list!AB:AB, code_list!AF64+1)))</f>
        <v/>
      </c>
      <c r="AI64" t="str">
        <f t="shared" ca="1" si="15"/>
        <v/>
      </c>
    </row>
    <row r="65" spans="5:35">
      <c r="E65">
        <f t="shared" ca="1" si="4"/>
        <v>5</v>
      </c>
      <c r="F65" t="str">
        <f t="shared" ca="1" si="5"/>
        <v>국고5Y</v>
      </c>
      <c r="G65" t="str">
        <f ca="1">IF(F65=0,"",INDEX(data!$8:$1048576, ROW()-INDEX(code_list!D:D,code_list!E65), INDEX(code_list!A:A, code_list!E65+1)))</f>
        <v>KR103501GC33</v>
      </c>
      <c r="H65" t="str">
        <f t="shared" ca="1" si="6"/>
        <v>KR103501GC33</v>
      </c>
      <c r="N65">
        <f t="shared" ca="1" si="7"/>
        <v>7</v>
      </c>
      <c r="O65">
        <f t="shared" ca="1" si="8"/>
        <v>0</v>
      </c>
      <c r="P65" t="str">
        <f ca="1">IF(O65=0,"",INDEX(data!$8:$1048576, ROW()-INDEX(code_list!M:M,code_list!N65), INDEX(code_list!J:J, code_list!N65+1)))</f>
        <v/>
      </c>
      <c r="Q65" t="str">
        <f t="shared" ca="1" si="9"/>
        <v/>
      </c>
      <c r="AF65">
        <f t="shared" ca="1" si="13"/>
        <v>2</v>
      </c>
      <c r="AG65">
        <f t="shared" ca="1" si="14"/>
        <v>0</v>
      </c>
      <c r="AH65" t="str">
        <f ca="1">IF(AG65=0,"",INDEX(data!$9:$1048576, ROW()-INDEX(code_list!AE:AE,code_list!AF65), INDEX(code_list!AB:AB, code_list!AF65+1)))</f>
        <v/>
      </c>
      <c r="AI65" t="str">
        <f t="shared" ca="1" si="15"/>
        <v/>
      </c>
    </row>
    <row r="66" spans="5:35">
      <c r="E66">
        <f t="shared" ref="E66:E129" ca="1" si="16">IFERROR(MATCH(ROW()-1,D:D,0),MATCH(ROW()-1,D:D,1))</f>
        <v>5</v>
      </c>
      <c r="F66" t="str">
        <f t="shared" ref="F66:F129" ca="1" si="17">INDEX(C:C, E66+1)</f>
        <v>국고5Y</v>
      </c>
      <c r="G66" t="str">
        <f ca="1">IF(F66=0,"",INDEX(data!$8:$1048576, ROW()-INDEX(code_list!D:D,code_list!E66), INDEX(code_list!A:A, code_list!E66+1)))</f>
        <v>KR103501GB91</v>
      </c>
      <c r="H66" t="str">
        <f t="shared" ref="H66:H129" ca="1" si="18">IFERROR(IF(G66="표준코드",F66,G66),"")</f>
        <v>KR103501GB91</v>
      </c>
      <c r="N66">
        <f t="shared" ref="N66:N129" ca="1" si="19">IFERROR(MATCH(ROW()-1,M:M,0),MATCH(ROW()-1,M:M,1))</f>
        <v>7</v>
      </c>
      <c r="O66">
        <f t="shared" ref="O66:O78" ca="1" si="20">INDEX(L:L, N66+1)</f>
        <v>0</v>
      </c>
      <c r="P66" t="str">
        <f ca="1">IF(O66=0,"",INDEX(data!$8:$1048576, ROW()-INDEX(code_list!M:M,code_list!N66), INDEX(code_list!J:J, code_list!N66+1)))</f>
        <v/>
      </c>
      <c r="Q66" t="str">
        <f t="shared" ref="Q66:Q78" ca="1" si="21">IFERROR(IF(P66="표준코드",O66,P66),"")</f>
        <v/>
      </c>
      <c r="AF66">
        <f t="shared" ref="AF66:AF129" ca="1" si="22">IFERROR(MATCH(ROW()-1,AE:AE,0),MATCH(ROW()-1,AE:AE,1))</f>
        <v>2</v>
      </c>
      <c r="AG66">
        <f t="shared" ref="AG66:AG129" ca="1" si="23">INDEX(AD:AD, AF66+1)</f>
        <v>0</v>
      </c>
      <c r="AH66" t="str">
        <f ca="1">IF(AG66=0,"",INDEX(data!$9:$1048576, ROW()-INDEX(code_list!AE:AE,code_list!AF66), INDEX(code_list!AB:AB, code_list!AF66+1)))</f>
        <v/>
      </c>
      <c r="AI66" t="str">
        <f t="shared" ref="AI66:AI129" ca="1" si="24">IFERROR(IF(AH66="표준코드",AG66,AH66),"")</f>
        <v/>
      </c>
    </row>
    <row r="67" spans="5:35">
      <c r="E67">
        <f t="shared" ca="1" si="16"/>
        <v>5</v>
      </c>
      <c r="F67" t="str">
        <f t="shared" ca="1" si="17"/>
        <v>국고5Y</v>
      </c>
      <c r="G67" t="str">
        <f ca="1">IF(F67=0,"",INDEX(data!$8:$1048576, ROW()-INDEX(code_list!D:D,code_list!E67), INDEX(code_list!A:A, code_list!E67+1)))</f>
        <v>KR103501GB34</v>
      </c>
      <c r="H67" t="str">
        <f t="shared" ca="1" si="18"/>
        <v>KR103501GB34</v>
      </c>
      <c r="N67">
        <f t="shared" ca="1" si="19"/>
        <v>7</v>
      </c>
      <c r="O67">
        <f t="shared" ca="1" si="20"/>
        <v>0</v>
      </c>
      <c r="P67" t="str">
        <f ca="1">IF(O67=0,"",INDEX(data!$8:$1048576, ROW()-INDEX(code_list!M:M,code_list!N67), INDEX(code_list!J:J, code_list!N67+1)))</f>
        <v/>
      </c>
      <c r="Q67" t="str">
        <f t="shared" ca="1" si="21"/>
        <v/>
      </c>
      <c r="AF67">
        <f t="shared" ca="1" si="22"/>
        <v>2</v>
      </c>
      <c r="AG67">
        <f t="shared" ca="1" si="23"/>
        <v>0</v>
      </c>
      <c r="AH67" t="str">
        <f ca="1">IF(AG67=0,"",INDEX(data!$9:$1048576, ROW()-INDEX(code_list!AE:AE,code_list!AF67), INDEX(code_list!AB:AB, code_list!AF67+1)))</f>
        <v/>
      </c>
      <c r="AI67" t="str">
        <f t="shared" ca="1" si="24"/>
        <v/>
      </c>
    </row>
    <row r="68" spans="5:35">
      <c r="E68">
        <f t="shared" ca="1" si="16"/>
        <v>5</v>
      </c>
      <c r="F68" t="str">
        <f t="shared" ca="1" si="17"/>
        <v>국고5Y</v>
      </c>
      <c r="G68" t="str">
        <f ca="1">IF(F68=0,"",INDEX(data!$8:$1048576, ROW()-INDEX(code_list!D:D,code_list!E68), INDEX(code_list!A:A, code_list!E68+1)))</f>
        <v>KR103501GA92</v>
      </c>
      <c r="H68" t="str">
        <f t="shared" ca="1" si="18"/>
        <v>KR103501GA92</v>
      </c>
      <c r="N68">
        <f t="shared" ca="1" si="19"/>
        <v>7</v>
      </c>
      <c r="O68">
        <f t="shared" ca="1" si="20"/>
        <v>0</v>
      </c>
      <c r="P68" t="str">
        <f ca="1">IF(O68=0,"",INDEX(data!$8:$1048576, ROW()-INDEX(code_list!M:M,code_list!N68), INDEX(code_list!J:J, code_list!N68+1)))</f>
        <v/>
      </c>
      <c r="Q68" t="str">
        <f t="shared" ca="1" si="21"/>
        <v/>
      </c>
      <c r="AF68">
        <f t="shared" ca="1" si="22"/>
        <v>2</v>
      </c>
      <c r="AG68">
        <f t="shared" ca="1" si="23"/>
        <v>0</v>
      </c>
      <c r="AH68" t="str">
        <f ca="1">IF(AG68=0,"",INDEX(data!$9:$1048576, ROW()-INDEX(code_list!AE:AE,code_list!AF68), INDEX(code_list!AB:AB, code_list!AF68+1)))</f>
        <v/>
      </c>
      <c r="AI68" t="str">
        <f t="shared" ca="1" si="24"/>
        <v/>
      </c>
    </row>
    <row r="69" spans="5:35">
      <c r="E69">
        <f t="shared" ca="1" si="16"/>
        <v>5</v>
      </c>
      <c r="F69" t="str">
        <f t="shared" ca="1" si="17"/>
        <v>국고5Y</v>
      </c>
      <c r="G69" t="str">
        <f ca="1">IF(F69=0,"",INDEX(data!$8:$1048576, ROW()-INDEX(code_list!D:D,code_list!E69), INDEX(code_list!A:A, code_list!E69+1)))</f>
        <v>KR103501GA35</v>
      </c>
      <c r="H69" t="str">
        <f t="shared" ca="1" si="18"/>
        <v>KR103501GA35</v>
      </c>
      <c r="N69">
        <f t="shared" ca="1" si="19"/>
        <v>7</v>
      </c>
      <c r="O69">
        <f t="shared" ca="1" si="20"/>
        <v>0</v>
      </c>
      <c r="P69" t="str">
        <f ca="1">IF(O69=0,"",INDEX(data!$8:$1048576, ROW()-INDEX(code_list!M:M,code_list!N69), INDEX(code_list!J:J, code_list!N69+1)))</f>
        <v/>
      </c>
      <c r="Q69" t="str">
        <f t="shared" ca="1" si="21"/>
        <v/>
      </c>
      <c r="AF69">
        <f t="shared" ca="1" si="22"/>
        <v>2</v>
      </c>
      <c r="AG69">
        <f t="shared" ca="1" si="23"/>
        <v>0</v>
      </c>
      <c r="AH69" t="str">
        <f ca="1">IF(AG69=0,"",INDEX(data!$9:$1048576, ROW()-INDEX(code_list!AE:AE,code_list!AF69), INDEX(code_list!AB:AB, code_list!AF69+1)))</f>
        <v/>
      </c>
      <c r="AI69" t="str">
        <f t="shared" ca="1" si="24"/>
        <v/>
      </c>
    </row>
    <row r="70" spans="5:35">
      <c r="E70">
        <f t="shared" ca="1" si="16"/>
        <v>5</v>
      </c>
      <c r="F70" t="str">
        <f t="shared" ca="1" si="17"/>
        <v>국고5Y</v>
      </c>
      <c r="G70" t="str">
        <f ca="1">IF(F70=0,"",INDEX(data!$8:$1048576, ROW()-INDEX(code_list!D:D,code_list!E70), INDEX(code_list!A:A, code_list!E70+1)))</f>
        <v>KR103501G992</v>
      </c>
      <c r="H70" t="str">
        <f t="shared" ca="1" si="18"/>
        <v>KR103501G992</v>
      </c>
      <c r="N70">
        <f t="shared" ca="1" si="19"/>
        <v>7</v>
      </c>
      <c r="O70">
        <f t="shared" ca="1" si="20"/>
        <v>0</v>
      </c>
      <c r="P70" t="str">
        <f ca="1">IF(O70=0,"",INDEX(data!$8:$1048576, ROW()-INDEX(code_list!M:M,code_list!N70), INDEX(code_list!J:J, code_list!N70+1)))</f>
        <v/>
      </c>
      <c r="Q70" t="str">
        <f t="shared" ca="1" si="21"/>
        <v/>
      </c>
      <c r="AF70">
        <f t="shared" ca="1" si="22"/>
        <v>2</v>
      </c>
      <c r="AG70">
        <f t="shared" ca="1" si="23"/>
        <v>0</v>
      </c>
      <c r="AH70" t="str">
        <f ca="1">IF(AG70=0,"",INDEX(data!$9:$1048576, ROW()-INDEX(code_list!AE:AE,code_list!AF70), INDEX(code_list!AB:AB, code_list!AF70+1)))</f>
        <v/>
      </c>
      <c r="AI70" t="str">
        <f t="shared" ca="1" si="24"/>
        <v/>
      </c>
    </row>
    <row r="71" spans="5:35">
      <c r="E71">
        <f t="shared" ca="1" si="16"/>
        <v>6</v>
      </c>
      <c r="F71" t="str">
        <f t="shared" ca="1" si="17"/>
        <v>국고3Y</v>
      </c>
      <c r="G71" t="str">
        <f ca="1">IF(F71=0,"",INDEX(data!$8:$1048576, ROW()-INDEX(code_list!D:D,code_list!E71), INDEX(code_list!A:A, code_list!E71+1)))</f>
        <v>표준코드</v>
      </c>
      <c r="H71" t="str">
        <f t="shared" ca="1" si="18"/>
        <v>국고3Y</v>
      </c>
      <c r="N71">
        <f t="shared" ca="1" si="19"/>
        <v>7</v>
      </c>
      <c r="O71">
        <f t="shared" ca="1" si="20"/>
        <v>0</v>
      </c>
      <c r="P71" t="str">
        <f ca="1">IF(O71=0,"",INDEX(data!$8:$1048576, ROW()-INDEX(code_list!M:M,code_list!N71), INDEX(code_list!J:J, code_list!N71+1)))</f>
        <v/>
      </c>
      <c r="Q71" t="str">
        <f t="shared" ca="1" si="21"/>
        <v/>
      </c>
      <c r="AF71">
        <f t="shared" ca="1" si="22"/>
        <v>2</v>
      </c>
      <c r="AG71">
        <f t="shared" ca="1" si="23"/>
        <v>0</v>
      </c>
      <c r="AH71" t="str">
        <f ca="1">IF(AG71=0,"",INDEX(data!$9:$1048576, ROW()-INDEX(code_list!AE:AE,code_list!AF71), INDEX(code_list!AB:AB, code_list!AF71+1)))</f>
        <v/>
      </c>
      <c r="AI71" t="str">
        <f t="shared" ca="1" si="24"/>
        <v/>
      </c>
    </row>
    <row r="72" spans="5:35">
      <c r="E72">
        <f t="shared" ca="1" si="16"/>
        <v>6</v>
      </c>
      <c r="F72" t="str">
        <f t="shared" ca="1" si="17"/>
        <v>국고3Y</v>
      </c>
      <c r="G72" t="str">
        <f ca="1">IF(F72=0,"",INDEX(data!$8:$1048576, ROW()-INDEX(code_list!D:D,code_list!E72), INDEX(code_list!A:A, code_list!E72+1)))</f>
        <v>KR103501GE64</v>
      </c>
      <c r="H72" t="str">
        <f t="shared" ca="1" si="18"/>
        <v>KR103501GE64</v>
      </c>
      <c r="N72">
        <f t="shared" ca="1" si="19"/>
        <v>7</v>
      </c>
      <c r="O72">
        <f t="shared" ca="1" si="20"/>
        <v>0</v>
      </c>
      <c r="P72" t="str">
        <f ca="1">IF(O72=0,"",INDEX(data!$8:$1048576, ROW()-INDEX(code_list!M:M,code_list!N72), INDEX(code_list!J:J, code_list!N72+1)))</f>
        <v/>
      </c>
      <c r="Q72" t="str">
        <f t="shared" ca="1" si="21"/>
        <v/>
      </c>
      <c r="AF72">
        <f t="shared" ca="1" si="22"/>
        <v>2</v>
      </c>
      <c r="AG72">
        <f t="shared" ca="1" si="23"/>
        <v>0</v>
      </c>
      <c r="AH72" t="str">
        <f ca="1">IF(AG72=0,"",INDEX(data!$9:$1048576, ROW()-INDEX(code_list!AE:AE,code_list!AF72), INDEX(code_list!AB:AB, code_list!AF72+1)))</f>
        <v/>
      </c>
      <c r="AI72" t="str">
        <f t="shared" ca="1" si="24"/>
        <v/>
      </c>
    </row>
    <row r="73" spans="5:35">
      <c r="E73">
        <f t="shared" ca="1" si="16"/>
        <v>6</v>
      </c>
      <c r="F73" t="str">
        <f t="shared" ca="1" si="17"/>
        <v>국고3Y</v>
      </c>
      <c r="G73" t="str">
        <f ca="1">IF(F73=0,"",INDEX(data!$8:$1048576, ROW()-INDEX(code_list!D:D,code_list!E73), INDEX(code_list!A:A, code_list!E73+1)))</f>
        <v>KR103501GDC8</v>
      </c>
      <c r="H73" t="str">
        <f t="shared" ca="1" si="18"/>
        <v>KR103501GDC8</v>
      </c>
      <c r="N73">
        <f t="shared" ca="1" si="19"/>
        <v>7</v>
      </c>
      <c r="O73">
        <f t="shared" ca="1" si="20"/>
        <v>0</v>
      </c>
      <c r="P73" t="str">
        <f ca="1">IF(O73=0,"",INDEX(data!$8:$1048576, ROW()-INDEX(code_list!M:M,code_list!N73), INDEX(code_list!J:J, code_list!N73+1)))</f>
        <v/>
      </c>
      <c r="Q73" t="str">
        <f t="shared" ca="1" si="21"/>
        <v/>
      </c>
      <c r="AF73">
        <f t="shared" ca="1" si="22"/>
        <v>2</v>
      </c>
      <c r="AG73">
        <f t="shared" ca="1" si="23"/>
        <v>0</v>
      </c>
      <c r="AH73" t="str">
        <f ca="1">IF(AG73=0,"",INDEX(data!$9:$1048576, ROW()-INDEX(code_list!AE:AE,code_list!AF73), INDEX(code_list!AB:AB, code_list!AF73+1)))</f>
        <v/>
      </c>
      <c r="AI73" t="str">
        <f t="shared" ca="1" si="24"/>
        <v/>
      </c>
    </row>
    <row r="74" spans="5:35">
      <c r="E74">
        <f t="shared" ca="1" si="16"/>
        <v>6</v>
      </c>
      <c r="F74" t="str">
        <f t="shared" ca="1" si="17"/>
        <v>국고3Y</v>
      </c>
      <c r="G74" t="str">
        <f ca="1">IF(F74=0,"",INDEX(data!$8:$1048576, ROW()-INDEX(code_list!D:D,code_list!E74), INDEX(code_list!A:A, code_list!E74+1)))</f>
        <v>KR103501GD65</v>
      </c>
      <c r="H74" t="str">
        <f t="shared" ca="1" si="18"/>
        <v>KR103501GD65</v>
      </c>
      <c r="N74">
        <f t="shared" ca="1" si="19"/>
        <v>7</v>
      </c>
      <c r="O74">
        <f t="shared" ca="1" si="20"/>
        <v>0</v>
      </c>
      <c r="P74" t="str">
        <f ca="1">IF(O74=0,"",INDEX(data!$8:$1048576, ROW()-INDEX(code_list!M:M,code_list!N74), INDEX(code_list!J:J, code_list!N74+1)))</f>
        <v/>
      </c>
      <c r="Q74" t="str">
        <f t="shared" ca="1" si="21"/>
        <v/>
      </c>
      <c r="AF74">
        <f t="shared" ca="1" si="22"/>
        <v>2</v>
      </c>
      <c r="AG74">
        <f t="shared" ca="1" si="23"/>
        <v>0</v>
      </c>
      <c r="AH74" t="str">
        <f ca="1">IF(AG74=0,"",INDEX(data!$9:$1048576, ROW()-INDEX(code_list!AE:AE,code_list!AF74), INDEX(code_list!AB:AB, code_list!AF74+1)))</f>
        <v/>
      </c>
      <c r="AI74" t="str">
        <f t="shared" ca="1" si="24"/>
        <v/>
      </c>
    </row>
    <row r="75" spans="5:35">
      <c r="E75">
        <f t="shared" ca="1" si="16"/>
        <v>6</v>
      </c>
      <c r="F75" t="str">
        <f t="shared" ca="1" si="17"/>
        <v>국고3Y</v>
      </c>
      <c r="G75" t="str">
        <f ca="1">IF(F75=0,"",INDEX(data!$8:$1048576, ROW()-INDEX(code_list!D:D,code_list!E75), INDEX(code_list!A:A, code_list!E75+1)))</f>
        <v>KR103501GCC0</v>
      </c>
      <c r="H75" t="str">
        <f t="shared" ca="1" si="18"/>
        <v>KR103501GCC0</v>
      </c>
      <c r="N75">
        <f t="shared" ca="1" si="19"/>
        <v>7</v>
      </c>
      <c r="O75">
        <f t="shared" ca="1" si="20"/>
        <v>0</v>
      </c>
      <c r="P75" t="str">
        <f ca="1">IF(O75=0,"",INDEX(data!$8:$1048576, ROW()-INDEX(code_list!M:M,code_list!N75), INDEX(code_list!J:J, code_list!N75+1)))</f>
        <v/>
      </c>
      <c r="Q75" t="str">
        <f t="shared" ca="1" si="21"/>
        <v/>
      </c>
      <c r="AF75">
        <f t="shared" ca="1" si="22"/>
        <v>2</v>
      </c>
      <c r="AG75">
        <f t="shared" ca="1" si="23"/>
        <v>0</v>
      </c>
      <c r="AH75" t="str">
        <f ca="1">IF(AG75=0,"",INDEX(data!$9:$1048576, ROW()-INDEX(code_list!AE:AE,code_list!AF75), INDEX(code_list!AB:AB, code_list!AF75+1)))</f>
        <v/>
      </c>
      <c r="AI75" t="str">
        <f t="shared" ca="1" si="24"/>
        <v/>
      </c>
    </row>
    <row r="76" spans="5:35">
      <c r="E76">
        <f t="shared" ca="1" si="16"/>
        <v>6</v>
      </c>
      <c r="F76" t="str">
        <f t="shared" ca="1" si="17"/>
        <v>국고3Y</v>
      </c>
      <c r="G76" t="str">
        <f ca="1">IF(F76=0,"",INDEX(data!$8:$1048576, ROW()-INDEX(code_list!D:D,code_list!E76), INDEX(code_list!A:A, code_list!E76+1)))</f>
        <v>KR103501GC66</v>
      </c>
      <c r="H76" t="str">
        <f t="shared" ca="1" si="18"/>
        <v>KR103501GC66</v>
      </c>
      <c r="N76">
        <f t="shared" ca="1" si="19"/>
        <v>7</v>
      </c>
      <c r="O76">
        <f t="shared" ca="1" si="20"/>
        <v>0</v>
      </c>
      <c r="P76" t="str">
        <f ca="1">IF(O76=0,"",INDEX(data!$8:$1048576, ROW()-INDEX(code_list!M:M,code_list!N76), INDEX(code_list!J:J, code_list!N76+1)))</f>
        <v/>
      </c>
      <c r="Q76" t="str">
        <f t="shared" ca="1" si="21"/>
        <v/>
      </c>
      <c r="AF76">
        <f t="shared" ca="1" si="22"/>
        <v>2</v>
      </c>
      <c r="AG76">
        <f t="shared" ca="1" si="23"/>
        <v>0</v>
      </c>
      <c r="AH76" t="str">
        <f ca="1">IF(AG76=0,"",INDEX(data!$9:$1048576, ROW()-INDEX(code_list!AE:AE,code_list!AF76), INDEX(code_list!AB:AB, code_list!AF76+1)))</f>
        <v/>
      </c>
      <c r="AI76" t="str">
        <f t="shared" ca="1" si="24"/>
        <v/>
      </c>
    </row>
    <row r="77" spans="5:35">
      <c r="E77">
        <f t="shared" ca="1" si="16"/>
        <v>6</v>
      </c>
      <c r="F77" t="str">
        <f t="shared" ca="1" si="17"/>
        <v>국고3Y</v>
      </c>
      <c r="G77" t="str">
        <f ca="1">IF(F77=0,"",INDEX(data!$8:$1048576, ROW()-INDEX(code_list!D:D,code_list!E77), INDEX(code_list!A:A, code_list!E77+1)))</f>
        <v>KR103501GBC2</v>
      </c>
      <c r="H77" t="str">
        <f t="shared" ca="1" si="18"/>
        <v>KR103501GBC2</v>
      </c>
      <c r="N77">
        <f t="shared" ca="1" si="19"/>
        <v>7</v>
      </c>
      <c r="O77">
        <f t="shared" ca="1" si="20"/>
        <v>0</v>
      </c>
      <c r="P77" t="str">
        <f ca="1">IF(O77=0,"",INDEX(data!$8:$1048576, ROW()-INDEX(code_list!M:M,code_list!N77), INDEX(code_list!J:J, code_list!N77+1)))</f>
        <v/>
      </c>
      <c r="Q77" t="str">
        <f t="shared" ca="1" si="21"/>
        <v/>
      </c>
      <c r="AF77">
        <f t="shared" ca="1" si="22"/>
        <v>2</v>
      </c>
      <c r="AG77">
        <f t="shared" ca="1" si="23"/>
        <v>0</v>
      </c>
      <c r="AH77" t="str">
        <f ca="1">IF(AG77=0,"",INDEX(data!$9:$1048576, ROW()-INDEX(code_list!AE:AE,code_list!AF77), INDEX(code_list!AB:AB, code_list!AF77+1)))</f>
        <v/>
      </c>
      <c r="AI77" t="str">
        <f t="shared" ca="1" si="24"/>
        <v/>
      </c>
    </row>
    <row r="78" spans="5:35">
      <c r="E78">
        <f t="shared" ca="1" si="16"/>
        <v>7</v>
      </c>
      <c r="F78" t="str">
        <f t="shared" ca="1" si="17"/>
        <v>국고2Y</v>
      </c>
      <c r="G78" t="str">
        <f ca="1">IF(F78=0,"",INDEX(data!$8:$1048576, ROW()-INDEX(code_list!D:D,code_list!E78), INDEX(code_list!A:A, code_list!E78+1)))</f>
        <v>표준코드</v>
      </c>
      <c r="H78" t="str">
        <f t="shared" ca="1" si="18"/>
        <v>국고2Y</v>
      </c>
      <c r="N78">
        <f t="shared" ca="1" si="19"/>
        <v>7</v>
      </c>
      <c r="O78">
        <f t="shared" ca="1" si="20"/>
        <v>0</v>
      </c>
      <c r="P78" t="str">
        <f ca="1">IF(O78=0,"",INDEX(data!$8:$1048576, ROW()-INDEX(code_list!M:M,code_list!N78), INDEX(code_list!J:J, code_list!N78+1)))</f>
        <v/>
      </c>
      <c r="Q78" t="str">
        <f t="shared" ca="1" si="21"/>
        <v/>
      </c>
      <c r="AF78">
        <f t="shared" ca="1" si="22"/>
        <v>2</v>
      </c>
      <c r="AG78">
        <f t="shared" ca="1" si="23"/>
        <v>0</v>
      </c>
      <c r="AH78" t="str">
        <f ca="1">IF(AG78=0,"",INDEX(data!$9:$1048576, ROW()-INDEX(code_list!AE:AE,code_list!AF78), INDEX(code_list!AB:AB, code_list!AF78+1)))</f>
        <v/>
      </c>
      <c r="AI78" t="str">
        <f t="shared" ca="1" si="24"/>
        <v/>
      </c>
    </row>
    <row r="79" spans="5:35">
      <c r="E79">
        <f t="shared" ca="1" si="16"/>
        <v>7</v>
      </c>
      <c r="F79" t="str">
        <f t="shared" ca="1" si="17"/>
        <v>국고2Y</v>
      </c>
      <c r="G79" t="str">
        <f ca="1">IF(F79=0,"",INDEX(data!$8:$1048576, ROW()-INDEX(code_list!D:D,code_list!E79), INDEX(code_list!A:A, code_list!E79+1)))</f>
        <v>KR103503GE39</v>
      </c>
      <c r="H79" t="str">
        <f t="shared" ca="1" si="18"/>
        <v>KR103503GE39</v>
      </c>
      <c r="N79">
        <f t="shared" ca="1" si="19"/>
        <v>7</v>
      </c>
      <c r="O79">
        <f t="shared" ref="O79:O142" ca="1" si="25">INDEX(L:L, N79+1)</f>
        <v>0</v>
      </c>
      <c r="P79" t="str">
        <f ca="1">IF(O79=0,"",INDEX(data!$8:$1048576, ROW()-INDEX(code_list!M:M,code_list!N79), INDEX(code_list!J:J, code_list!N79+1)))</f>
        <v/>
      </c>
      <c r="Q79" t="str">
        <f t="shared" ref="Q79:Q142" ca="1" si="26">IFERROR(IF(P79="표준코드",O79,P79),"")</f>
        <v/>
      </c>
      <c r="AF79">
        <f t="shared" ca="1" si="22"/>
        <v>2</v>
      </c>
      <c r="AG79">
        <f t="shared" ca="1" si="23"/>
        <v>0</v>
      </c>
      <c r="AH79" t="str">
        <f ca="1">IF(AG79=0,"",INDEX(data!$9:$1048576, ROW()-INDEX(code_list!AE:AE,code_list!AF79), INDEX(code_list!AB:AB, code_list!AF79+1)))</f>
        <v/>
      </c>
      <c r="AI79" t="str">
        <f t="shared" ca="1" si="24"/>
        <v/>
      </c>
    </row>
    <row r="80" spans="5:35">
      <c r="E80">
        <f t="shared" ca="1" si="16"/>
        <v>7</v>
      </c>
      <c r="F80" t="str">
        <f t="shared" ca="1" si="17"/>
        <v>국고2Y</v>
      </c>
      <c r="G80" t="str">
        <f ca="1">IF(F80=0,"",INDEX(data!$8:$1048576, ROW()-INDEX(code_list!D:D,code_list!E80), INDEX(code_list!A:A, code_list!E80+1)))</f>
        <v>KR103503GD97</v>
      </c>
      <c r="H80" t="str">
        <f t="shared" ca="1" si="18"/>
        <v>KR103503GD97</v>
      </c>
      <c r="N80">
        <f t="shared" ca="1" si="19"/>
        <v>7</v>
      </c>
      <c r="O80">
        <f t="shared" ca="1" si="25"/>
        <v>0</v>
      </c>
      <c r="P80" t="str">
        <f ca="1">IF(O80=0,"",INDEX(data!$8:$1048576, ROW()-INDEX(code_list!M:M,code_list!N80), INDEX(code_list!J:J, code_list!N80+1)))</f>
        <v/>
      </c>
      <c r="Q80" t="str">
        <f t="shared" ca="1" si="26"/>
        <v/>
      </c>
      <c r="AF80">
        <f t="shared" ca="1" si="22"/>
        <v>2</v>
      </c>
      <c r="AG80">
        <f t="shared" ca="1" si="23"/>
        <v>0</v>
      </c>
      <c r="AH80" t="str">
        <f ca="1">IF(AG80=0,"",INDEX(data!$9:$1048576, ROW()-INDEX(code_list!AE:AE,code_list!AF80), INDEX(code_list!AB:AB, code_list!AF80+1)))</f>
        <v/>
      </c>
      <c r="AI80" t="str">
        <f t="shared" ca="1" si="24"/>
        <v/>
      </c>
    </row>
    <row r="81" spans="5:35">
      <c r="E81">
        <f t="shared" ca="1" si="16"/>
        <v>7</v>
      </c>
      <c r="F81" t="str">
        <f t="shared" ca="1" si="17"/>
        <v>국고2Y</v>
      </c>
      <c r="G81" t="str">
        <f ca="1">IF(F81=0,"",INDEX(data!$8:$1048576, ROW()-INDEX(code_list!D:D,code_list!E81), INDEX(code_list!A:A, code_list!E81+1)))</f>
        <v>KR103503GD30</v>
      </c>
      <c r="H81" t="str">
        <f t="shared" ca="1" si="18"/>
        <v>KR103503GD30</v>
      </c>
      <c r="N81">
        <f t="shared" ca="1" si="19"/>
        <v>7</v>
      </c>
      <c r="O81">
        <f t="shared" ca="1" si="25"/>
        <v>0</v>
      </c>
      <c r="P81" t="str">
        <f ca="1">IF(O81=0,"",INDEX(data!$8:$1048576, ROW()-INDEX(code_list!M:M,code_list!N81), INDEX(code_list!J:J, code_list!N81+1)))</f>
        <v/>
      </c>
      <c r="Q81" t="str">
        <f t="shared" ca="1" si="26"/>
        <v/>
      </c>
      <c r="AF81">
        <f t="shared" ca="1" si="22"/>
        <v>2</v>
      </c>
      <c r="AG81">
        <f t="shared" ca="1" si="23"/>
        <v>0</v>
      </c>
      <c r="AH81" t="str">
        <f ca="1">IF(AG81=0,"",INDEX(data!$9:$1048576, ROW()-INDEX(code_list!AE:AE,code_list!AF81), INDEX(code_list!AB:AB, code_list!AF81+1)))</f>
        <v/>
      </c>
      <c r="AI81" t="str">
        <f t="shared" ca="1" si="24"/>
        <v/>
      </c>
    </row>
    <row r="82" spans="5:35">
      <c r="E82">
        <f t="shared" ca="1" si="16"/>
        <v>7</v>
      </c>
      <c r="F82" t="str">
        <f t="shared" ca="1" si="17"/>
        <v>국고2Y</v>
      </c>
      <c r="G82" t="str">
        <f ca="1">IF(F82=0,"",INDEX(data!$8:$1048576, ROW()-INDEX(code_list!D:D,code_list!E82), INDEX(code_list!A:A, code_list!E82+1)))</f>
        <v>KR103503GCC6</v>
      </c>
      <c r="H82" t="str">
        <f t="shared" ca="1" si="18"/>
        <v>KR103503GCC6</v>
      </c>
      <c r="N82">
        <f t="shared" ca="1" si="19"/>
        <v>7</v>
      </c>
      <c r="O82">
        <f t="shared" ca="1" si="25"/>
        <v>0</v>
      </c>
      <c r="P82" t="str">
        <f ca="1">IF(O82=0,"",INDEX(data!$8:$1048576, ROW()-INDEX(code_list!M:M,code_list!N82), INDEX(code_list!J:J, code_list!N82+1)))</f>
        <v/>
      </c>
      <c r="Q82" t="str">
        <f t="shared" ca="1" si="26"/>
        <v/>
      </c>
      <c r="AF82">
        <f t="shared" ca="1" si="22"/>
        <v>2</v>
      </c>
      <c r="AG82">
        <f t="shared" ca="1" si="23"/>
        <v>0</v>
      </c>
      <c r="AH82" t="str">
        <f ca="1">IF(AG82=0,"",INDEX(data!$9:$1048576, ROW()-INDEX(code_list!AE:AE,code_list!AF82), INDEX(code_list!AB:AB, code_list!AF82+1)))</f>
        <v/>
      </c>
      <c r="AI82" t="str">
        <f t="shared" ca="1" si="24"/>
        <v/>
      </c>
    </row>
    <row r="83" spans="5:35">
      <c r="E83">
        <f t="shared" ca="1" si="16"/>
        <v>7</v>
      </c>
      <c r="F83" t="str">
        <f t="shared" ca="1" si="17"/>
        <v>국고2Y</v>
      </c>
      <c r="G83" t="str">
        <f ca="1">IF(F83=0,"",INDEX(data!$8:$1048576, ROW()-INDEX(code_list!D:D,code_list!E83), INDEX(code_list!A:A, code_list!E83+1)))</f>
        <v>KR103503GC98</v>
      </c>
      <c r="H83" t="str">
        <f t="shared" ca="1" si="18"/>
        <v>KR103503GC98</v>
      </c>
      <c r="N83">
        <f t="shared" ca="1" si="19"/>
        <v>7</v>
      </c>
      <c r="O83">
        <f t="shared" ca="1" si="25"/>
        <v>0</v>
      </c>
      <c r="P83" t="str">
        <f ca="1">IF(O83=0,"",INDEX(data!$8:$1048576, ROW()-INDEX(code_list!M:M,code_list!N83), INDEX(code_list!J:J, code_list!N83+1)))</f>
        <v/>
      </c>
      <c r="Q83" t="str">
        <f t="shared" ca="1" si="26"/>
        <v/>
      </c>
      <c r="AF83">
        <f t="shared" ca="1" si="22"/>
        <v>2</v>
      </c>
      <c r="AG83">
        <f t="shared" ca="1" si="23"/>
        <v>0</v>
      </c>
      <c r="AH83" t="str">
        <f ca="1">IF(AG83=0,"",INDEX(data!$9:$1048576, ROW()-INDEX(code_list!AE:AE,code_list!AF83), INDEX(code_list!AB:AB, code_list!AF83+1)))</f>
        <v/>
      </c>
      <c r="AI83" t="str">
        <f t="shared" ca="1" si="24"/>
        <v/>
      </c>
    </row>
    <row r="84" spans="5:35">
      <c r="E84">
        <f t="shared" ca="1" si="16"/>
        <v>8</v>
      </c>
      <c r="F84">
        <f t="shared" ca="1" si="17"/>
        <v>0</v>
      </c>
      <c r="G84" t="str">
        <f ca="1">IF(F84=0,"",INDEX(data!$8:$1048576, ROW()-INDEX(code_list!D:D,code_list!E84), INDEX(code_list!A:A, code_list!E84+1)))</f>
        <v/>
      </c>
      <c r="H84" t="str">
        <f t="shared" ca="1" si="18"/>
        <v/>
      </c>
      <c r="N84">
        <f t="shared" ca="1" si="19"/>
        <v>7</v>
      </c>
      <c r="O84">
        <f t="shared" ca="1" si="25"/>
        <v>0</v>
      </c>
      <c r="P84" t="str">
        <f ca="1">IF(O84=0,"",INDEX(data!$8:$1048576, ROW()-INDEX(code_list!M:M,code_list!N84), INDEX(code_list!J:J, code_list!N84+1)))</f>
        <v/>
      </c>
      <c r="Q84" t="str">
        <f t="shared" ca="1" si="26"/>
        <v/>
      </c>
      <c r="AF84">
        <f t="shared" ca="1" si="22"/>
        <v>2</v>
      </c>
      <c r="AG84">
        <f t="shared" ca="1" si="23"/>
        <v>0</v>
      </c>
      <c r="AH84" t="str">
        <f ca="1">IF(AG84=0,"",INDEX(data!$9:$1048576, ROW()-INDEX(code_list!AE:AE,code_list!AF84), INDEX(code_list!AB:AB, code_list!AF84+1)))</f>
        <v/>
      </c>
      <c r="AI84" t="str">
        <f t="shared" ca="1" si="24"/>
        <v/>
      </c>
    </row>
    <row r="85" spans="5:35">
      <c r="E85">
        <f t="shared" ca="1" si="16"/>
        <v>8</v>
      </c>
      <c r="F85">
        <f t="shared" ca="1" si="17"/>
        <v>0</v>
      </c>
      <c r="G85" t="str">
        <f ca="1">IF(F85=0,"",INDEX(data!$8:$1048576, ROW()-INDEX(code_list!D:D,code_list!E85), INDEX(code_list!A:A, code_list!E85+1)))</f>
        <v/>
      </c>
      <c r="H85" t="str">
        <f t="shared" ca="1" si="18"/>
        <v/>
      </c>
      <c r="N85">
        <f t="shared" ca="1" si="19"/>
        <v>7</v>
      </c>
      <c r="O85">
        <f t="shared" ca="1" si="25"/>
        <v>0</v>
      </c>
      <c r="P85" t="str">
        <f ca="1">IF(O85=0,"",INDEX(data!$8:$1048576, ROW()-INDEX(code_list!M:M,code_list!N85), INDEX(code_list!J:J, code_list!N85+1)))</f>
        <v/>
      </c>
      <c r="Q85" t="str">
        <f t="shared" ca="1" si="26"/>
        <v/>
      </c>
      <c r="AF85">
        <f t="shared" ca="1" si="22"/>
        <v>2</v>
      </c>
      <c r="AG85">
        <f t="shared" ca="1" si="23"/>
        <v>0</v>
      </c>
      <c r="AH85" t="str">
        <f ca="1">IF(AG85=0,"",INDEX(data!$9:$1048576, ROW()-INDEX(code_list!AE:AE,code_list!AF85), INDEX(code_list!AB:AB, code_list!AF85+1)))</f>
        <v/>
      </c>
      <c r="AI85" t="str">
        <f t="shared" ca="1" si="24"/>
        <v/>
      </c>
    </row>
    <row r="86" spans="5:35">
      <c r="E86">
        <f t="shared" ca="1" si="16"/>
        <v>8</v>
      </c>
      <c r="F86">
        <f t="shared" ca="1" si="17"/>
        <v>0</v>
      </c>
      <c r="G86" t="str">
        <f ca="1">IF(F86=0,"",INDEX(data!$8:$1048576, ROW()-INDEX(code_list!D:D,code_list!E86), INDEX(code_list!A:A, code_list!E86+1)))</f>
        <v/>
      </c>
      <c r="H86" t="str">
        <f t="shared" ca="1" si="18"/>
        <v/>
      </c>
      <c r="N86">
        <f t="shared" ca="1" si="19"/>
        <v>7</v>
      </c>
      <c r="O86">
        <f t="shared" ca="1" si="25"/>
        <v>0</v>
      </c>
      <c r="P86" t="str">
        <f ca="1">IF(O86=0,"",INDEX(data!$8:$1048576, ROW()-INDEX(code_list!M:M,code_list!N86), INDEX(code_list!J:J, code_list!N86+1)))</f>
        <v/>
      </c>
      <c r="Q86" t="str">
        <f t="shared" ca="1" si="26"/>
        <v/>
      </c>
      <c r="AF86">
        <f t="shared" ca="1" si="22"/>
        <v>2</v>
      </c>
      <c r="AG86">
        <f t="shared" ca="1" si="23"/>
        <v>0</v>
      </c>
      <c r="AH86" t="str">
        <f ca="1">IF(AG86=0,"",INDEX(data!$9:$1048576, ROW()-INDEX(code_list!AE:AE,code_list!AF86), INDEX(code_list!AB:AB, code_list!AF86+1)))</f>
        <v/>
      </c>
      <c r="AI86" t="str">
        <f t="shared" ca="1" si="24"/>
        <v/>
      </c>
    </row>
    <row r="87" spans="5:35">
      <c r="E87">
        <f t="shared" ca="1" si="16"/>
        <v>8</v>
      </c>
      <c r="F87">
        <f t="shared" ca="1" si="17"/>
        <v>0</v>
      </c>
      <c r="G87" t="str">
        <f ca="1">IF(F87=0,"",INDEX(data!$8:$1048576, ROW()-INDEX(code_list!D:D,code_list!E87), INDEX(code_list!A:A, code_list!E87+1)))</f>
        <v/>
      </c>
      <c r="H87" t="str">
        <f t="shared" ca="1" si="18"/>
        <v/>
      </c>
      <c r="N87">
        <f t="shared" ca="1" si="19"/>
        <v>7</v>
      </c>
      <c r="O87">
        <f t="shared" ca="1" si="25"/>
        <v>0</v>
      </c>
      <c r="P87" t="str">
        <f ca="1">IF(O87=0,"",INDEX(data!$8:$1048576, ROW()-INDEX(code_list!M:M,code_list!N87), INDEX(code_list!J:J, code_list!N87+1)))</f>
        <v/>
      </c>
      <c r="Q87" t="str">
        <f t="shared" ca="1" si="26"/>
        <v/>
      </c>
      <c r="AF87">
        <f t="shared" ca="1" si="22"/>
        <v>2</v>
      </c>
      <c r="AG87">
        <f t="shared" ca="1" si="23"/>
        <v>0</v>
      </c>
      <c r="AH87" t="str">
        <f ca="1">IF(AG87=0,"",INDEX(data!$9:$1048576, ROW()-INDEX(code_list!AE:AE,code_list!AF87), INDEX(code_list!AB:AB, code_list!AF87+1)))</f>
        <v/>
      </c>
      <c r="AI87" t="str">
        <f t="shared" ca="1" si="24"/>
        <v/>
      </c>
    </row>
    <row r="88" spans="5:35">
      <c r="E88">
        <f t="shared" ca="1" si="16"/>
        <v>8</v>
      </c>
      <c r="F88">
        <f t="shared" ca="1" si="17"/>
        <v>0</v>
      </c>
      <c r="G88" t="str">
        <f ca="1">IF(F88=0,"",INDEX(data!$8:$1048576, ROW()-INDEX(code_list!D:D,code_list!E88), INDEX(code_list!A:A, code_list!E88+1)))</f>
        <v/>
      </c>
      <c r="H88" t="str">
        <f t="shared" ca="1" si="18"/>
        <v/>
      </c>
      <c r="N88">
        <f t="shared" ca="1" si="19"/>
        <v>7</v>
      </c>
      <c r="O88">
        <f t="shared" ca="1" si="25"/>
        <v>0</v>
      </c>
      <c r="P88" t="str">
        <f ca="1">IF(O88=0,"",INDEX(data!$8:$1048576, ROW()-INDEX(code_list!M:M,code_list!N88), INDEX(code_list!J:J, code_list!N88+1)))</f>
        <v/>
      </c>
      <c r="Q88" t="str">
        <f t="shared" ca="1" si="26"/>
        <v/>
      </c>
      <c r="AF88">
        <f t="shared" ca="1" si="22"/>
        <v>2</v>
      </c>
      <c r="AG88">
        <f t="shared" ca="1" si="23"/>
        <v>0</v>
      </c>
      <c r="AH88" t="str">
        <f ca="1">IF(AG88=0,"",INDEX(data!$9:$1048576, ROW()-INDEX(code_list!AE:AE,code_list!AF88), INDEX(code_list!AB:AB, code_list!AF88+1)))</f>
        <v/>
      </c>
      <c r="AI88" t="str">
        <f t="shared" ca="1" si="24"/>
        <v/>
      </c>
    </row>
    <row r="89" spans="5:35">
      <c r="E89">
        <f t="shared" ca="1" si="16"/>
        <v>8</v>
      </c>
      <c r="F89">
        <f t="shared" ca="1" si="17"/>
        <v>0</v>
      </c>
      <c r="G89" t="str">
        <f ca="1">IF(F89=0,"",INDEX(data!$8:$1048576, ROW()-INDEX(code_list!D:D,code_list!E89), INDEX(code_list!A:A, code_list!E89+1)))</f>
        <v/>
      </c>
      <c r="H89" t="str">
        <f t="shared" ca="1" si="18"/>
        <v/>
      </c>
      <c r="N89">
        <f t="shared" ca="1" si="19"/>
        <v>7</v>
      </c>
      <c r="O89">
        <f t="shared" ca="1" si="25"/>
        <v>0</v>
      </c>
      <c r="P89" t="str">
        <f ca="1">IF(O89=0,"",INDEX(data!$8:$1048576, ROW()-INDEX(code_list!M:M,code_list!N89), INDEX(code_list!J:J, code_list!N89+1)))</f>
        <v/>
      </c>
      <c r="Q89" t="str">
        <f t="shared" ca="1" si="26"/>
        <v/>
      </c>
      <c r="AF89">
        <f t="shared" ca="1" si="22"/>
        <v>2</v>
      </c>
      <c r="AG89">
        <f t="shared" ca="1" si="23"/>
        <v>0</v>
      </c>
      <c r="AH89" t="str">
        <f ca="1">IF(AG89=0,"",INDEX(data!$9:$1048576, ROW()-INDEX(code_list!AE:AE,code_list!AF89), INDEX(code_list!AB:AB, code_list!AF89+1)))</f>
        <v/>
      </c>
      <c r="AI89" t="str">
        <f t="shared" ca="1" si="24"/>
        <v/>
      </c>
    </row>
    <row r="90" spans="5:35">
      <c r="E90">
        <f t="shared" ca="1" si="16"/>
        <v>8</v>
      </c>
      <c r="F90">
        <f t="shared" ca="1" si="17"/>
        <v>0</v>
      </c>
      <c r="G90" t="str">
        <f ca="1">IF(F90=0,"",INDEX(data!$8:$1048576, ROW()-INDEX(code_list!D:D,code_list!E90), INDEX(code_list!A:A, code_list!E90+1)))</f>
        <v/>
      </c>
      <c r="H90" t="str">
        <f t="shared" ca="1" si="18"/>
        <v/>
      </c>
      <c r="N90">
        <f t="shared" ca="1" si="19"/>
        <v>7</v>
      </c>
      <c r="O90">
        <f t="shared" ca="1" si="25"/>
        <v>0</v>
      </c>
      <c r="P90" t="str">
        <f ca="1">IF(O90=0,"",INDEX(data!$8:$1048576, ROW()-INDEX(code_list!M:M,code_list!N90), INDEX(code_list!J:J, code_list!N90+1)))</f>
        <v/>
      </c>
      <c r="Q90" t="str">
        <f t="shared" ca="1" si="26"/>
        <v/>
      </c>
      <c r="AF90">
        <f t="shared" ca="1" si="22"/>
        <v>2</v>
      </c>
      <c r="AG90">
        <f t="shared" ca="1" si="23"/>
        <v>0</v>
      </c>
      <c r="AH90" t="str">
        <f ca="1">IF(AG90=0,"",INDEX(data!$9:$1048576, ROW()-INDEX(code_list!AE:AE,code_list!AF90), INDEX(code_list!AB:AB, code_list!AF90+1)))</f>
        <v/>
      </c>
      <c r="AI90" t="str">
        <f t="shared" ca="1" si="24"/>
        <v/>
      </c>
    </row>
    <row r="91" spans="5:35">
      <c r="E91">
        <f t="shared" ca="1" si="16"/>
        <v>8</v>
      </c>
      <c r="F91">
        <f t="shared" ca="1" si="17"/>
        <v>0</v>
      </c>
      <c r="G91" t="str">
        <f ca="1">IF(F91=0,"",INDEX(data!$8:$1048576, ROW()-INDEX(code_list!D:D,code_list!E91), INDEX(code_list!A:A, code_list!E91+1)))</f>
        <v/>
      </c>
      <c r="H91" t="str">
        <f t="shared" ca="1" si="18"/>
        <v/>
      </c>
      <c r="N91">
        <f t="shared" ca="1" si="19"/>
        <v>7</v>
      </c>
      <c r="O91">
        <f t="shared" ca="1" si="25"/>
        <v>0</v>
      </c>
      <c r="P91" t="str">
        <f ca="1">IF(O91=0,"",INDEX(data!$8:$1048576, ROW()-INDEX(code_list!M:M,code_list!N91), INDEX(code_list!J:J, code_list!N91+1)))</f>
        <v/>
      </c>
      <c r="Q91" t="str">
        <f t="shared" ca="1" si="26"/>
        <v/>
      </c>
      <c r="AF91">
        <f t="shared" ca="1" si="22"/>
        <v>2</v>
      </c>
      <c r="AG91">
        <f t="shared" ca="1" si="23"/>
        <v>0</v>
      </c>
      <c r="AH91" t="str">
        <f ca="1">IF(AG91=0,"",INDEX(data!$9:$1048576, ROW()-INDEX(code_list!AE:AE,code_list!AF91), INDEX(code_list!AB:AB, code_list!AF91+1)))</f>
        <v/>
      </c>
      <c r="AI91" t="str">
        <f t="shared" ca="1" si="24"/>
        <v/>
      </c>
    </row>
    <row r="92" spans="5:35">
      <c r="E92">
        <f t="shared" ca="1" si="16"/>
        <v>8</v>
      </c>
      <c r="F92">
        <f t="shared" ca="1" si="17"/>
        <v>0</v>
      </c>
      <c r="G92" t="str">
        <f ca="1">IF(F92=0,"",INDEX(data!$8:$1048576, ROW()-INDEX(code_list!D:D,code_list!E92), INDEX(code_list!A:A, code_list!E92+1)))</f>
        <v/>
      </c>
      <c r="H92" t="str">
        <f t="shared" ca="1" si="18"/>
        <v/>
      </c>
      <c r="N92">
        <f t="shared" ca="1" si="19"/>
        <v>7</v>
      </c>
      <c r="O92">
        <f t="shared" ca="1" si="25"/>
        <v>0</v>
      </c>
      <c r="P92" t="str">
        <f ca="1">IF(O92=0,"",INDEX(data!$8:$1048576, ROW()-INDEX(code_list!M:M,code_list!N92), INDEX(code_list!J:J, code_list!N92+1)))</f>
        <v/>
      </c>
      <c r="Q92" t="str">
        <f t="shared" ca="1" si="26"/>
        <v/>
      </c>
      <c r="AF92">
        <f t="shared" ca="1" si="22"/>
        <v>2</v>
      </c>
      <c r="AG92">
        <f t="shared" ca="1" si="23"/>
        <v>0</v>
      </c>
      <c r="AH92" t="str">
        <f ca="1">IF(AG92=0,"",INDEX(data!$9:$1048576, ROW()-INDEX(code_list!AE:AE,code_list!AF92), INDEX(code_list!AB:AB, code_list!AF92+1)))</f>
        <v/>
      </c>
      <c r="AI92" t="str">
        <f t="shared" ca="1" si="24"/>
        <v/>
      </c>
    </row>
    <row r="93" spans="5:35">
      <c r="E93">
        <f t="shared" ca="1" si="16"/>
        <v>8</v>
      </c>
      <c r="F93">
        <f t="shared" ca="1" si="17"/>
        <v>0</v>
      </c>
      <c r="G93" t="str">
        <f ca="1">IF(F93=0,"",INDEX(data!$8:$1048576, ROW()-INDEX(code_list!D:D,code_list!E93), INDEX(code_list!A:A, code_list!E93+1)))</f>
        <v/>
      </c>
      <c r="H93" t="str">
        <f t="shared" ca="1" si="18"/>
        <v/>
      </c>
      <c r="N93">
        <f t="shared" ca="1" si="19"/>
        <v>7</v>
      </c>
      <c r="O93">
        <f t="shared" ca="1" si="25"/>
        <v>0</v>
      </c>
      <c r="P93" t="str">
        <f ca="1">IF(O93=0,"",INDEX(data!$8:$1048576, ROW()-INDEX(code_list!M:M,code_list!N93), INDEX(code_list!J:J, code_list!N93+1)))</f>
        <v/>
      </c>
      <c r="Q93" t="str">
        <f t="shared" ca="1" si="26"/>
        <v/>
      </c>
      <c r="AF93">
        <f t="shared" ca="1" si="22"/>
        <v>2</v>
      </c>
      <c r="AG93">
        <f t="shared" ca="1" si="23"/>
        <v>0</v>
      </c>
      <c r="AH93" t="str">
        <f ca="1">IF(AG93=0,"",INDEX(data!$9:$1048576, ROW()-INDEX(code_list!AE:AE,code_list!AF93), INDEX(code_list!AB:AB, code_list!AF93+1)))</f>
        <v/>
      </c>
      <c r="AI93" t="str">
        <f t="shared" ca="1" si="24"/>
        <v/>
      </c>
    </row>
    <row r="94" spans="5:35">
      <c r="E94">
        <f t="shared" ca="1" si="16"/>
        <v>8</v>
      </c>
      <c r="F94">
        <f t="shared" ca="1" si="17"/>
        <v>0</v>
      </c>
      <c r="G94" t="str">
        <f ca="1">IF(F94=0,"",INDEX(data!$8:$1048576, ROW()-INDEX(code_list!D:D,code_list!E94), INDEX(code_list!A:A, code_list!E94+1)))</f>
        <v/>
      </c>
      <c r="H94" t="str">
        <f t="shared" ca="1" si="18"/>
        <v/>
      </c>
      <c r="N94">
        <f t="shared" ca="1" si="19"/>
        <v>7</v>
      </c>
      <c r="O94">
        <f t="shared" ca="1" si="25"/>
        <v>0</v>
      </c>
      <c r="P94" t="str">
        <f ca="1">IF(O94=0,"",INDEX(data!$8:$1048576, ROW()-INDEX(code_list!M:M,code_list!N94), INDEX(code_list!J:J, code_list!N94+1)))</f>
        <v/>
      </c>
      <c r="Q94" t="str">
        <f t="shared" ca="1" si="26"/>
        <v/>
      </c>
      <c r="AF94">
        <f t="shared" ca="1" si="22"/>
        <v>2</v>
      </c>
      <c r="AG94">
        <f t="shared" ca="1" si="23"/>
        <v>0</v>
      </c>
      <c r="AH94" t="str">
        <f ca="1">IF(AG94=0,"",INDEX(data!$9:$1048576, ROW()-INDEX(code_list!AE:AE,code_list!AF94), INDEX(code_list!AB:AB, code_list!AF94+1)))</f>
        <v/>
      </c>
      <c r="AI94" t="str">
        <f t="shared" ca="1" si="24"/>
        <v/>
      </c>
    </row>
    <row r="95" spans="5:35">
      <c r="E95">
        <f t="shared" ca="1" si="16"/>
        <v>8</v>
      </c>
      <c r="F95">
        <f t="shared" ca="1" si="17"/>
        <v>0</v>
      </c>
      <c r="G95" t="str">
        <f ca="1">IF(F95=0,"",INDEX(data!$8:$1048576, ROW()-INDEX(code_list!D:D,code_list!E95), INDEX(code_list!A:A, code_list!E95+1)))</f>
        <v/>
      </c>
      <c r="H95" t="str">
        <f t="shared" ca="1" si="18"/>
        <v/>
      </c>
      <c r="N95">
        <f t="shared" ca="1" si="19"/>
        <v>7</v>
      </c>
      <c r="O95">
        <f t="shared" ca="1" si="25"/>
        <v>0</v>
      </c>
      <c r="P95" t="str">
        <f ca="1">IF(O95=0,"",INDEX(data!$8:$1048576, ROW()-INDEX(code_list!M:M,code_list!N95), INDEX(code_list!J:J, code_list!N95+1)))</f>
        <v/>
      </c>
      <c r="Q95" t="str">
        <f t="shared" ca="1" si="26"/>
        <v/>
      </c>
      <c r="AF95">
        <f t="shared" ca="1" si="22"/>
        <v>2</v>
      </c>
      <c r="AG95">
        <f t="shared" ca="1" si="23"/>
        <v>0</v>
      </c>
      <c r="AH95" t="str">
        <f ca="1">IF(AG95=0,"",INDEX(data!$9:$1048576, ROW()-INDEX(code_list!AE:AE,code_list!AF95), INDEX(code_list!AB:AB, code_list!AF95+1)))</f>
        <v/>
      </c>
      <c r="AI95" t="str">
        <f t="shared" ca="1" si="24"/>
        <v/>
      </c>
    </row>
    <row r="96" spans="5:35">
      <c r="E96">
        <f t="shared" ca="1" si="16"/>
        <v>8</v>
      </c>
      <c r="F96">
        <f t="shared" ca="1" si="17"/>
        <v>0</v>
      </c>
      <c r="G96" t="str">
        <f ca="1">IF(F96=0,"",INDEX(data!$8:$1048576, ROW()-INDEX(code_list!D:D,code_list!E96), INDEX(code_list!A:A, code_list!E96+1)))</f>
        <v/>
      </c>
      <c r="H96" t="str">
        <f t="shared" ca="1" si="18"/>
        <v/>
      </c>
      <c r="N96">
        <f t="shared" ca="1" si="19"/>
        <v>7</v>
      </c>
      <c r="O96">
        <f t="shared" ca="1" si="25"/>
        <v>0</v>
      </c>
      <c r="P96" t="str">
        <f ca="1">IF(O96=0,"",INDEX(data!$8:$1048576, ROW()-INDEX(code_list!M:M,code_list!N96), INDEX(code_list!J:J, code_list!N96+1)))</f>
        <v/>
      </c>
      <c r="Q96" t="str">
        <f t="shared" ca="1" si="26"/>
        <v/>
      </c>
      <c r="AF96">
        <f t="shared" ca="1" si="22"/>
        <v>2</v>
      </c>
      <c r="AG96">
        <f t="shared" ca="1" si="23"/>
        <v>0</v>
      </c>
      <c r="AH96" t="str">
        <f ca="1">IF(AG96=0,"",INDEX(data!$9:$1048576, ROW()-INDEX(code_list!AE:AE,code_list!AF96), INDEX(code_list!AB:AB, code_list!AF96+1)))</f>
        <v/>
      </c>
      <c r="AI96" t="str">
        <f t="shared" ca="1" si="24"/>
        <v/>
      </c>
    </row>
    <row r="97" spans="5:35">
      <c r="E97">
        <f t="shared" ca="1" si="16"/>
        <v>8</v>
      </c>
      <c r="F97">
        <f t="shared" ca="1" si="17"/>
        <v>0</v>
      </c>
      <c r="G97" t="str">
        <f ca="1">IF(F97=0,"",INDEX(data!$8:$1048576, ROW()-INDEX(code_list!D:D,code_list!E97), INDEX(code_list!A:A, code_list!E97+1)))</f>
        <v/>
      </c>
      <c r="H97" t="str">
        <f t="shared" ca="1" si="18"/>
        <v/>
      </c>
      <c r="N97">
        <f t="shared" ca="1" si="19"/>
        <v>7</v>
      </c>
      <c r="O97">
        <f t="shared" ca="1" si="25"/>
        <v>0</v>
      </c>
      <c r="P97" t="str">
        <f ca="1">IF(O97=0,"",INDEX(data!$8:$1048576, ROW()-INDEX(code_list!M:M,code_list!N97), INDEX(code_list!J:J, code_list!N97+1)))</f>
        <v/>
      </c>
      <c r="Q97" t="str">
        <f t="shared" ca="1" si="26"/>
        <v/>
      </c>
      <c r="AF97">
        <f t="shared" ca="1" si="22"/>
        <v>2</v>
      </c>
      <c r="AG97">
        <f t="shared" ca="1" si="23"/>
        <v>0</v>
      </c>
      <c r="AH97" t="str">
        <f ca="1">IF(AG97=0,"",INDEX(data!$9:$1048576, ROW()-INDEX(code_list!AE:AE,code_list!AF97), INDEX(code_list!AB:AB, code_list!AF97+1)))</f>
        <v/>
      </c>
      <c r="AI97" t="str">
        <f t="shared" ca="1" si="24"/>
        <v/>
      </c>
    </row>
    <row r="98" spans="5:35">
      <c r="E98">
        <f t="shared" ca="1" si="16"/>
        <v>8</v>
      </c>
      <c r="F98">
        <f t="shared" ca="1" si="17"/>
        <v>0</v>
      </c>
      <c r="G98" t="str">
        <f ca="1">IF(F98=0,"",INDEX(data!$8:$1048576, ROW()-INDEX(code_list!D:D,code_list!E98), INDEX(code_list!A:A, code_list!E98+1)))</f>
        <v/>
      </c>
      <c r="H98" t="str">
        <f t="shared" ca="1" si="18"/>
        <v/>
      </c>
      <c r="N98">
        <f t="shared" ca="1" si="19"/>
        <v>7</v>
      </c>
      <c r="O98">
        <f t="shared" ca="1" si="25"/>
        <v>0</v>
      </c>
      <c r="P98" t="str">
        <f ca="1">IF(O98=0,"",INDEX(data!$8:$1048576, ROW()-INDEX(code_list!M:M,code_list!N98), INDEX(code_list!J:J, code_list!N98+1)))</f>
        <v/>
      </c>
      <c r="Q98" t="str">
        <f t="shared" ca="1" si="26"/>
        <v/>
      </c>
      <c r="AF98">
        <f t="shared" ca="1" si="22"/>
        <v>2</v>
      </c>
      <c r="AG98">
        <f t="shared" ca="1" si="23"/>
        <v>0</v>
      </c>
      <c r="AH98" t="str">
        <f ca="1">IF(AG98=0,"",INDEX(data!$9:$1048576, ROW()-INDEX(code_list!AE:AE,code_list!AF98), INDEX(code_list!AB:AB, code_list!AF98+1)))</f>
        <v/>
      </c>
      <c r="AI98" t="str">
        <f t="shared" ca="1" si="24"/>
        <v/>
      </c>
    </row>
    <row r="99" spans="5:35">
      <c r="E99">
        <f t="shared" ca="1" si="16"/>
        <v>8</v>
      </c>
      <c r="F99">
        <f t="shared" ca="1" si="17"/>
        <v>0</v>
      </c>
      <c r="G99" t="str">
        <f ca="1">IF(F99=0,"",INDEX(data!$8:$1048576, ROW()-INDEX(code_list!D:D,code_list!E99), INDEX(code_list!A:A, code_list!E99+1)))</f>
        <v/>
      </c>
      <c r="H99" t="str">
        <f t="shared" ca="1" si="18"/>
        <v/>
      </c>
      <c r="N99">
        <f t="shared" ca="1" si="19"/>
        <v>7</v>
      </c>
      <c r="O99">
        <f t="shared" ca="1" si="25"/>
        <v>0</v>
      </c>
      <c r="P99" t="str">
        <f ca="1">IF(O99=0,"",INDEX(data!$8:$1048576, ROW()-INDEX(code_list!M:M,code_list!N99), INDEX(code_list!J:J, code_list!N99+1)))</f>
        <v/>
      </c>
      <c r="Q99" t="str">
        <f t="shared" ca="1" si="26"/>
        <v/>
      </c>
      <c r="AF99">
        <f t="shared" ca="1" si="22"/>
        <v>2</v>
      </c>
      <c r="AG99">
        <f t="shared" ca="1" si="23"/>
        <v>0</v>
      </c>
      <c r="AH99" t="str">
        <f ca="1">IF(AG99=0,"",INDEX(data!$9:$1048576, ROW()-INDEX(code_list!AE:AE,code_list!AF99), INDEX(code_list!AB:AB, code_list!AF99+1)))</f>
        <v/>
      </c>
      <c r="AI99" t="str">
        <f t="shared" ca="1" si="24"/>
        <v/>
      </c>
    </row>
    <row r="100" spans="5:35">
      <c r="E100">
        <f t="shared" ca="1" si="16"/>
        <v>8</v>
      </c>
      <c r="F100">
        <f t="shared" ca="1" si="17"/>
        <v>0</v>
      </c>
      <c r="G100" t="str">
        <f ca="1">IF(F100=0,"",INDEX(data!$8:$1048576, ROW()-INDEX(code_list!D:D,code_list!E100), INDEX(code_list!A:A, code_list!E100+1)))</f>
        <v/>
      </c>
      <c r="H100" t="str">
        <f t="shared" ca="1" si="18"/>
        <v/>
      </c>
      <c r="N100">
        <f t="shared" ca="1" si="19"/>
        <v>7</v>
      </c>
      <c r="O100">
        <f t="shared" ca="1" si="25"/>
        <v>0</v>
      </c>
      <c r="P100" t="str">
        <f ca="1">IF(O100=0,"",INDEX(data!$8:$1048576, ROW()-INDEX(code_list!M:M,code_list!N100), INDEX(code_list!J:J, code_list!N100+1)))</f>
        <v/>
      </c>
      <c r="Q100" t="str">
        <f t="shared" ca="1" si="26"/>
        <v/>
      </c>
      <c r="AF100">
        <f t="shared" ca="1" si="22"/>
        <v>2</v>
      </c>
      <c r="AG100">
        <f t="shared" ca="1" si="23"/>
        <v>0</v>
      </c>
      <c r="AH100" t="str">
        <f ca="1">IF(AG100=0,"",INDEX(data!$9:$1048576, ROW()-INDEX(code_list!AE:AE,code_list!AF100), INDEX(code_list!AB:AB, code_list!AF100+1)))</f>
        <v/>
      </c>
      <c r="AI100" t="str">
        <f t="shared" ca="1" si="24"/>
        <v/>
      </c>
    </row>
    <row r="101" spans="5:35">
      <c r="E101">
        <f t="shared" ca="1" si="16"/>
        <v>8</v>
      </c>
      <c r="F101">
        <f t="shared" ca="1" si="17"/>
        <v>0</v>
      </c>
      <c r="G101" t="str">
        <f ca="1">IF(F101=0,"",INDEX(data!$8:$1048576, ROW()-INDEX(code_list!D:D,code_list!E101), INDEX(code_list!A:A, code_list!E101+1)))</f>
        <v/>
      </c>
      <c r="H101" t="str">
        <f t="shared" ca="1" si="18"/>
        <v/>
      </c>
      <c r="N101">
        <f t="shared" ca="1" si="19"/>
        <v>7</v>
      </c>
      <c r="O101">
        <f t="shared" ca="1" si="25"/>
        <v>0</v>
      </c>
      <c r="P101" t="str">
        <f ca="1">IF(O101=0,"",INDEX(data!$8:$1048576, ROW()-INDEX(code_list!M:M,code_list!N101), INDEX(code_list!J:J, code_list!N101+1)))</f>
        <v/>
      </c>
      <c r="Q101" t="str">
        <f t="shared" ca="1" si="26"/>
        <v/>
      </c>
      <c r="AF101">
        <f t="shared" ca="1" si="22"/>
        <v>2</v>
      </c>
      <c r="AG101">
        <f t="shared" ca="1" si="23"/>
        <v>0</v>
      </c>
      <c r="AH101" t="str">
        <f ca="1">IF(AG101=0,"",INDEX(data!$9:$1048576, ROW()-INDEX(code_list!AE:AE,code_list!AF101), INDEX(code_list!AB:AB, code_list!AF101+1)))</f>
        <v/>
      </c>
      <c r="AI101" t="str">
        <f t="shared" ca="1" si="24"/>
        <v/>
      </c>
    </row>
    <row r="102" spans="5:35">
      <c r="E102">
        <f t="shared" ca="1" si="16"/>
        <v>8</v>
      </c>
      <c r="F102">
        <f t="shared" ca="1" si="17"/>
        <v>0</v>
      </c>
      <c r="G102" t="str">
        <f ca="1">IF(F102=0,"",INDEX(data!$8:$1048576, ROW()-INDEX(code_list!D:D,code_list!E102), INDEX(code_list!A:A, code_list!E102+1)))</f>
        <v/>
      </c>
      <c r="H102" t="str">
        <f t="shared" ca="1" si="18"/>
        <v/>
      </c>
      <c r="N102">
        <f t="shared" ca="1" si="19"/>
        <v>7</v>
      </c>
      <c r="O102">
        <f t="shared" ca="1" si="25"/>
        <v>0</v>
      </c>
      <c r="P102" t="str">
        <f ca="1">IF(O102=0,"",INDEX(data!$8:$1048576, ROW()-INDEX(code_list!M:M,code_list!N102), INDEX(code_list!J:J, code_list!N102+1)))</f>
        <v/>
      </c>
      <c r="Q102" t="str">
        <f t="shared" ca="1" si="26"/>
        <v/>
      </c>
      <c r="AF102">
        <f t="shared" ca="1" si="22"/>
        <v>2</v>
      </c>
      <c r="AG102">
        <f t="shared" ca="1" si="23"/>
        <v>0</v>
      </c>
      <c r="AH102" t="str">
        <f ca="1">IF(AG102=0,"",INDEX(data!$9:$1048576, ROW()-INDEX(code_list!AE:AE,code_list!AF102), INDEX(code_list!AB:AB, code_list!AF102+1)))</f>
        <v/>
      </c>
      <c r="AI102" t="str">
        <f t="shared" ca="1" si="24"/>
        <v/>
      </c>
    </row>
    <row r="103" spans="5:35">
      <c r="E103">
        <f t="shared" ca="1" si="16"/>
        <v>8</v>
      </c>
      <c r="F103">
        <f t="shared" ca="1" si="17"/>
        <v>0</v>
      </c>
      <c r="G103" t="str">
        <f ca="1">IF(F103=0,"",INDEX(data!$8:$1048576, ROW()-INDEX(code_list!D:D,code_list!E103), INDEX(code_list!A:A, code_list!E103+1)))</f>
        <v/>
      </c>
      <c r="H103" t="str">
        <f t="shared" ca="1" si="18"/>
        <v/>
      </c>
      <c r="N103">
        <f t="shared" ca="1" si="19"/>
        <v>7</v>
      </c>
      <c r="O103">
        <f t="shared" ca="1" si="25"/>
        <v>0</v>
      </c>
      <c r="P103" t="str">
        <f ca="1">IF(O103=0,"",INDEX(data!$8:$1048576, ROW()-INDEX(code_list!M:M,code_list!N103), INDEX(code_list!J:J, code_list!N103+1)))</f>
        <v/>
      </c>
      <c r="Q103" t="str">
        <f t="shared" ca="1" si="26"/>
        <v/>
      </c>
      <c r="AF103">
        <f t="shared" ca="1" si="22"/>
        <v>2</v>
      </c>
      <c r="AG103">
        <f t="shared" ca="1" si="23"/>
        <v>0</v>
      </c>
      <c r="AH103" t="str">
        <f ca="1">IF(AG103=0,"",INDEX(data!$9:$1048576, ROW()-INDEX(code_list!AE:AE,code_list!AF103), INDEX(code_list!AB:AB, code_list!AF103+1)))</f>
        <v/>
      </c>
      <c r="AI103" t="str">
        <f t="shared" ca="1" si="24"/>
        <v/>
      </c>
    </row>
    <row r="104" spans="5:35">
      <c r="E104">
        <f t="shared" ca="1" si="16"/>
        <v>8</v>
      </c>
      <c r="F104">
        <f t="shared" ca="1" si="17"/>
        <v>0</v>
      </c>
      <c r="G104" t="str">
        <f ca="1">IF(F104=0,"",INDEX(data!$8:$1048576, ROW()-INDEX(code_list!D:D,code_list!E104), INDEX(code_list!A:A, code_list!E104+1)))</f>
        <v/>
      </c>
      <c r="H104" t="str">
        <f t="shared" ca="1" si="18"/>
        <v/>
      </c>
      <c r="N104">
        <f t="shared" ca="1" si="19"/>
        <v>7</v>
      </c>
      <c r="O104">
        <f t="shared" ca="1" si="25"/>
        <v>0</v>
      </c>
      <c r="P104" t="str">
        <f ca="1">IF(O104=0,"",INDEX(data!$8:$1048576, ROW()-INDEX(code_list!M:M,code_list!N104), INDEX(code_list!J:J, code_list!N104+1)))</f>
        <v/>
      </c>
      <c r="Q104" t="str">
        <f t="shared" ca="1" si="26"/>
        <v/>
      </c>
      <c r="AF104">
        <f t="shared" ca="1" si="22"/>
        <v>2</v>
      </c>
      <c r="AG104">
        <f t="shared" ca="1" si="23"/>
        <v>0</v>
      </c>
      <c r="AH104" t="str">
        <f ca="1">IF(AG104=0,"",INDEX(data!$9:$1048576, ROW()-INDEX(code_list!AE:AE,code_list!AF104), INDEX(code_list!AB:AB, code_list!AF104+1)))</f>
        <v/>
      </c>
      <c r="AI104" t="str">
        <f t="shared" ca="1" si="24"/>
        <v/>
      </c>
    </row>
    <row r="105" spans="5:35">
      <c r="E105">
        <f t="shared" ca="1" si="16"/>
        <v>8</v>
      </c>
      <c r="F105">
        <f t="shared" ca="1" si="17"/>
        <v>0</v>
      </c>
      <c r="G105" t="str">
        <f ca="1">IF(F105=0,"",INDEX(data!$8:$1048576, ROW()-INDEX(code_list!D:D,code_list!E105), INDEX(code_list!A:A, code_list!E105+1)))</f>
        <v/>
      </c>
      <c r="H105" t="str">
        <f t="shared" ca="1" si="18"/>
        <v/>
      </c>
      <c r="N105">
        <f t="shared" ca="1" si="19"/>
        <v>7</v>
      </c>
      <c r="O105">
        <f t="shared" ca="1" si="25"/>
        <v>0</v>
      </c>
      <c r="P105" t="str">
        <f ca="1">IF(O105=0,"",INDEX(data!$8:$1048576, ROW()-INDEX(code_list!M:M,code_list!N105), INDEX(code_list!J:J, code_list!N105+1)))</f>
        <v/>
      </c>
      <c r="Q105" t="str">
        <f t="shared" ca="1" si="26"/>
        <v/>
      </c>
      <c r="AF105">
        <f t="shared" ca="1" si="22"/>
        <v>2</v>
      </c>
      <c r="AG105">
        <f t="shared" ca="1" si="23"/>
        <v>0</v>
      </c>
      <c r="AH105" t="str">
        <f ca="1">IF(AG105=0,"",INDEX(data!$9:$1048576, ROW()-INDEX(code_list!AE:AE,code_list!AF105), INDEX(code_list!AB:AB, code_list!AF105+1)))</f>
        <v/>
      </c>
      <c r="AI105" t="str">
        <f t="shared" ca="1" si="24"/>
        <v/>
      </c>
    </row>
    <row r="106" spans="5:35">
      <c r="E106">
        <f t="shared" ca="1" si="16"/>
        <v>8</v>
      </c>
      <c r="F106">
        <f t="shared" ca="1" si="17"/>
        <v>0</v>
      </c>
      <c r="G106" t="str">
        <f ca="1">IF(F106=0,"",INDEX(data!$8:$1048576, ROW()-INDEX(code_list!D:D,code_list!E106), INDEX(code_list!A:A, code_list!E106+1)))</f>
        <v/>
      </c>
      <c r="H106" t="str">
        <f t="shared" ca="1" si="18"/>
        <v/>
      </c>
      <c r="N106">
        <f t="shared" ca="1" si="19"/>
        <v>7</v>
      </c>
      <c r="O106">
        <f t="shared" ca="1" si="25"/>
        <v>0</v>
      </c>
      <c r="P106" t="str">
        <f ca="1">IF(O106=0,"",INDEX(data!$8:$1048576, ROW()-INDEX(code_list!M:M,code_list!N106), INDEX(code_list!J:J, code_list!N106+1)))</f>
        <v/>
      </c>
      <c r="Q106" t="str">
        <f t="shared" ca="1" si="26"/>
        <v/>
      </c>
      <c r="AF106">
        <f t="shared" ca="1" si="22"/>
        <v>2</v>
      </c>
      <c r="AG106">
        <f t="shared" ca="1" si="23"/>
        <v>0</v>
      </c>
      <c r="AH106" t="str">
        <f ca="1">IF(AG106=0,"",INDEX(data!$9:$1048576, ROW()-INDEX(code_list!AE:AE,code_list!AF106), INDEX(code_list!AB:AB, code_list!AF106+1)))</f>
        <v/>
      </c>
      <c r="AI106" t="str">
        <f t="shared" ca="1" si="24"/>
        <v/>
      </c>
    </row>
    <row r="107" spans="5:35">
      <c r="E107">
        <f t="shared" ca="1" si="16"/>
        <v>8</v>
      </c>
      <c r="F107">
        <f t="shared" ca="1" si="17"/>
        <v>0</v>
      </c>
      <c r="G107" t="str">
        <f ca="1">IF(F107=0,"",INDEX(data!$8:$1048576, ROW()-INDEX(code_list!D:D,code_list!E107), INDEX(code_list!A:A, code_list!E107+1)))</f>
        <v/>
      </c>
      <c r="H107" t="str">
        <f t="shared" ca="1" si="18"/>
        <v/>
      </c>
      <c r="N107">
        <f t="shared" ca="1" si="19"/>
        <v>7</v>
      </c>
      <c r="O107">
        <f t="shared" ca="1" si="25"/>
        <v>0</v>
      </c>
      <c r="P107" t="str">
        <f ca="1">IF(O107=0,"",INDEX(data!$8:$1048576, ROW()-INDEX(code_list!M:M,code_list!N107), INDEX(code_list!J:J, code_list!N107+1)))</f>
        <v/>
      </c>
      <c r="Q107" t="str">
        <f t="shared" ca="1" si="26"/>
        <v/>
      </c>
      <c r="AF107">
        <f t="shared" ca="1" si="22"/>
        <v>2</v>
      </c>
      <c r="AG107">
        <f t="shared" ca="1" si="23"/>
        <v>0</v>
      </c>
      <c r="AH107" t="str">
        <f ca="1">IF(AG107=0,"",INDEX(data!$9:$1048576, ROW()-INDEX(code_list!AE:AE,code_list!AF107), INDEX(code_list!AB:AB, code_list!AF107+1)))</f>
        <v/>
      </c>
      <c r="AI107" t="str">
        <f t="shared" ca="1" si="24"/>
        <v/>
      </c>
    </row>
    <row r="108" spans="5:35">
      <c r="E108">
        <f t="shared" ca="1" si="16"/>
        <v>8</v>
      </c>
      <c r="F108">
        <f t="shared" ca="1" si="17"/>
        <v>0</v>
      </c>
      <c r="G108" t="str">
        <f ca="1">IF(F108=0,"",INDEX(data!$8:$1048576, ROW()-INDEX(code_list!D:D,code_list!E108), INDEX(code_list!A:A, code_list!E108+1)))</f>
        <v/>
      </c>
      <c r="H108" t="str">
        <f t="shared" ca="1" si="18"/>
        <v/>
      </c>
      <c r="N108">
        <f t="shared" ca="1" si="19"/>
        <v>7</v>
      </c>
      <c r="O108">
        <f t="shared" ca="1" si="25"/>
        <v>0</v>
      </c>
      <c r="P108" t="str">
        <f ca="1">IF(O108=0,"",INDEX(data!$8:$1048576, ROW()-INDEX(code_list!M:M,code_list!N108), INDEX(code_list!J:J, code_list!N108+1)))</f>
        <v/>
      </c>
      <c r="Q108" t="str">
        <f t="shared" ca="1" si="26"/>
        <v/>
      </c>
      <c r="AF108">
        <f t="shared" ca="1" si="22"/>
        <v>2</v>
      </c>
      <c r="AG108">
        <f t="shared" ca="1" si="23"/>
        <v>0</v>
      </c>
      <c r="AH108" t="str">
        <f ca="1">IF(AG108=0,"",INDEX(data!$9:$1048576, ROW()-INDEX(code_list!AE:AE,code_list!AF108), INDEX(code_list!AB:AB, code_list!AF108+1)))</f>
        <v/>
      </c>
      <c r="AI108" t="str">
        <f t="shared" ca="1" si="24"/>
        <v/>
      </c>
    </row>
    <row r="109" spans="5:35">
      <c r="E109">
        <f t="shared" ca="1" si="16"/>
        <v>8</v>
      </c>
      <c r="F109">
        <f t="shared" ca="1" si="17"/>
        <v>0</v>
      </c>
      <c r="G109" t="str">
        <f ca="1">IF(F109=0,"",INDEX(data!$8:$1048576, ROW()-INDEX(code_list!D:D,code_list!E109), INDEX(code_list!A:A, code_list!E109+1)))</f>
        <v/>
      </c>
      <c r="H109" t="str">
        <f t="shared" ca="1" si="18"/>
        <v/>
      </c>
      <c r="N109">
        <f t="shared" ca="1" si="19"/>
        <v>7</v>
      </c>
      <c r="O109">
        <f t="shared" ca="1" si="25"/>
        <v>0</v>
      </c>
      <c r="P109" t="str">
        <f ca="1">IF(O109=0,"",INDEX(data!$8:$1048576, ROW()-INDEX(code_list!M:M,code_list!N109), INDEX(code_list!J:J, code_list!N109+1)))</f>
        <v/>
      </c>
      <c r="Q109" t="str">
        <f t="shared" ca="1" si="26"/>
        <v/>
      </c>
      <c r="AF109">
        <f t="shared" ca="1" si="22"/>
        <v>2</v>
      </c>
      <c r="AG109">
        <f t="shared" ca="1" si="23"/>
        <v>0</v>
      </c>
      <c r="AH109" t="str">
        <f ca="1">IF(AG109=0,"",INDEX(data!$9:$1048576, ROW()-INDEX(code_list!AE:AE,code_list!AF109), INDEX(code_list!AB:AB, code_list!AF109+1)))</f>
        <v/>
      </c>
      <c r="AI109" t="str">
        <f t="shared" ca="1" si="24"/>
        <v/>
      </c>
    </row>
    <row r="110" spans="5:35">
      <c r="E110">
        <f t="shared" ca="1" si="16"/>
        <v>8</v>
      </c>
      <c r="F110">
        <f t="shared" ca="1" si="17"/>
        <v>0</v>
      </c>
      <c r="G110" t="str">
        <f ca="1">IF(F110=0,"",INDEX(data!$8:$1048576, ROW()-INDEX(code_list!D:D,code_list!E110), INDEX(code_list!A:A, code_list!E110+1)))</f>
        <v/>
      </c>
      <c r="H110" t="str">
        <f t="shared" ca="1" si="18"/>
        <v/>
      </c>
      <c r="N110">
        <f t="shared" ca="1" si="19"/>
        <v>7</v>
      </c>
      <c r="O110">
        <f t="shared" ca="1" si="25"/>
        <v>0</v>
      </c>
      <c r="P110" t="str">
        <f ca="1">IF(O110=0,"",INDEX(data!$8:$1048576, ROW()-INDEX(code_list!M:M,code_list!N110), INDEX(code_list!J:J, code_list!N110+1)))</f>
        <v/>
      </c>
      <c r="Q110" t="str">
        <f t="shared" ca="1" si="26"/>
        <v/>
      </c>
      <c r="AF110">
        <f t="shared" ca="1" si="22"/>
        <v>2</v>
      </c>
      <c r="AG110">
        <f t="shared" ca="1" si="23"/>
        <v>0</v>
      </c>
      <c r="AH110" t="str">
        <f ca="1">IF(AG110=0,"",INDEX(data!$9:$1048576, ROW()-INDEX(code_list!AE:AE,code_list!AF110), INDEX(code_list!AB:AB, code_list!AF110+1)))</f>
        <v/>
      </c>
      <c r="AI110" t="str">
        <f t="shared" ca="1" si="24"/>
        <v/>
      </c>
    </row>
    <row r="111" spans="5:35">
      <c r="E111">
        <f t="shared" ca="1" si="16"/>
        <v>8</v>
      </c>
      <c r="F111">
        <f t="shared" ca="1" si="17"/>
        <v>0</v>
      </c>
      <c r="G111" t="str">
        <f ca="1">IF(F111=0,"",INDEX(data!$8:$1048576, ROW()-INDEX(code_list!D:D,code_list!E111), INDEX(code_list!A:A, code_list!E111+1)))</f>
        <v/>
      </c>
      <c r="H111" t="str">
        <f t="shared" ca="1" si="18"/>
        <v/>
      </c>
      <c r="N111">
        <f t="shared" ca="1" si="19"/>
        <v>7</v>
      </c>
      <c r="O111">
        <f t="shared" ca="1" si="25"/>
        <v>0</v>
      </c>
      <c r="P111" t="str">
        <f ca="1">IF(O111=0,"",INDEX(data!$8:$1048576, ROW()-INDEX(code_list!M:M,code_list!N111), INDEX(code_list!J:J, code_list!N111+1)))</f>
        <v/>
      </c>
      <c r="Q111" t="str">
        <f t="shared" ca="1" si="26"/>
        <v/>
      </c>
      <c r="AF111">
        <f t="shared" ca="1" si="22"/>
        <v>2</v>
      </c>
      <c r="AG111">
        <f t="shared" ca="1" si="23"/>
        <v>0</v>
      </c>
      <c r="AH111" t="str">
        <f ca="1">IF(AG111=0,"",INDEX(data!$9:$1048576, ROW()-INDEX(code_list!AE:AE,code_list!AF111), INDEX(code_list!AB:AB, code_list!AF111+1)))</f>
        <v/>
      </c>
      <c r="AI111" t="str">
        <f t="shared" ca="1" si="24"/>
        <v/>
      </c>
    </row>
    <row r="112" spans="5:35">
      <c r="E112">
        <f t="shared" ca="1" si="16"/>
        <v>8</v>
      </c>
      <c r="F112">
        <f t="shared" ca="1" si="17"/>
        <v>0</v>
      </c>
      <c r="G112" t="str">
        <f ca="1">IF(F112=0,"",INDEX(data!$8:$1048576, ROW()-INDEX(code_list!D:D,code_list!E112), INDEX(code_list!A:A, code_list!E112+1)))</f>
        <v/>
      </c>
      <c r="H112" t="str">
        <f t="shared" ca="1" si="18"/>
        <v/>
      </c>
      <c r="N112">
        <f t="shared" ca="1" si="19"/>
        <v>7</v>
      </c>
      <c r="O112">
        <f t="shared" ca="1" si="25"/>
        <v>0</v>
      </c>
      <c r="P112" t="str">
        <f ca="1">IF(O112=0,"",INDEX(data!$8:$1048576, ROW()-INDEX(code_list!M:M,code_list!N112), INDEX(code_list!J:J, code_list!N112+1)))</f>
        <v/>
      </c>
      <c r="Q112" t="str">
        <f t="shared" ca="1" si="26"/>
        <v/>
      </c>
      <c r="AF112">
        <f t="shared" ca="1" si="22"/>
        <v>2</v>
      </c>
      <c r="AG112">
        <f t="shared" ca="1" si="23"/>
        <v>0</v>
      </c>
      <c r="AH112" t="str">
        <f ca="1">IF(AG112=0,"",INDEX(data!$9:$1048576, ROW()-INDEX(code_list!AE:AE,code_list!AF112), INDEX(code_list!AB:AB, code_list!AF112+1)))</f>
        <v/>
      </c>
      <c r="AI112" t="str">
        <f t="shared" ca="1" si="24"/>
        <v/>
      </c>
    </row>
    <row r="113" spans="5:35">
      <c r="E113">
        <f t="shared" ca="1" si="16"/>
        <v>8</v>
      </c>
      <c r="F113">
        <f t="shared" ca="1" si="17"/>
        <v>0</v>
      </c>
      <c r="G113" t="str">
        <f ca="1">IF(F113=0,"",INDEX(data!$8:$1048576, ROW()-INDEX(code_list!D:D,code_list!E113), INDEX(code_list!A:A, code_list!E113+1)))</f>
        <v/>
      </c>
      <c r="H113" t="str">
        <f t="shared" ca="1" si="18"/>
        <v/>
      </c>
      <c r="N113">
        <f t="shared" ca="1" si="19"/>
        <v>7</v>
      </c>
      <c r="O113">
        <f t="shared" ca="1" si="25"/>
        <v>0</v>
      </c>
      <c r="P113" t="str">
        <f ca="1">IF(O113=0,"",INDEX(data!$8:$1048576, ROW()-INDEX(code_list!M:M,code_list!N113), INDEX(code_list!J:J, code_list!N113+1)))</f>
        <v/>
      </c>
      <c r="Q113" t="str">
        <f t="shared" ca="1" si="26"/>
        <v/>
      </c>
      <c r="AF113">
        <f t="shared" ca="1" si="22"/>
        <v>2</v>
      </c>
      <c r="AG113">
        <f t="shared" ca="1" si="23"/>
        <v>0</v>
      </c>
      <c r="AH113" t="str">
        <f ca="1">IF(AG113=0,"",INDEX(data!$9:$1048576, ROW()-INDEX(code_list!AE:AE,code_list!AF113), INDEX(code_list!AB:AB, code_list!AF113+1)))</f>
        <v/>
      </c>
      <c r="AI113" t="str">
        <f t="shared" ca="1" si="24"/>
        <v/>
      </c>
    </row>
    <row r="114" spans="5:35">
      <c r="E114">
        <f t="shared" ca="1" si="16"/>
        <v>8</v>
      </c>
      <c r="F114">
        <f t="shared" ca="1" si="17"/>
        <v>0</v>
      </c>
      <c r="G114" t="str">
        <f ca="1">IF(F114=0,"",INDEX(data!$8:$1048576, ROW()-INDEX(code_list!D:D,code_list!E114), INDEX(code_list!A:A, code_list!E114+1)))</f>
        <v/>
      </c>
      <c r="H114" t="str">
        <f t="shared" ca="1" si="18"/>
        <v/>
      </c>
      <c r="N114">
        <f t="shared" ca="1" si="19"/>
        <v>7</v>
      </c>
      <c r="O114">
        <f t="shared" ca="1" si="25"/>
        <v>0</v>
      </c>
      <c r="P114" t="str">
        <f ca="1">IF(O114=0,"",INDEX(data!$8:$1048576, ROW()-INDEX(code_list!M:M,code_list!N114), INDEX(code_list!J:J, code_list!N114+1)))</f>
        <v/>
      </c>
      <c r="Q114" t="str">
        <f t="shared" ca="1" si="26"/>
        <v/>
      </c>
      <c r="AF114">
        <f t="shared" ca="1" si="22"/>
        <v>2</v>
      </c>
      <c r="AG114">
        <f t="shared" ca="1" si="23"/>
        <v>0</v>
      </c>
      <c r="AH114" t="str">
        <f ca="1">IF(AG114=0,"",INDEX(data!$9:$1048576, ROW()-INDEX(code_list!AE:AE,code_list!AF114), INDEX(code_list!AB:AB, code_list!AF114+1)))</f>
        <v/>
      </c>
      <c r="AI114" t="str">
        <f t="shared" ca="1" si="24"/>
        <v/>
      </c>
    </row>
    <row r="115" spans="5:35">
      <c r="E115">
        <f t="shared" ca="1" si="16"/>
        <v>8</v>
      </c>
      <c r="F115">
        <f t="shared" ca="1" si="17"/>
        <v>0</v>
      </c>
      <c r="G115" t="str">
        <f ca="1">IF(F115=0,"",INDEX(data!$8:$1048576, ROW()-INDEX(code_list!D:D,code_list!E115), INDEX(code_list!A:A, code_list!E115+1)))</f>
        <v/>
      </c>
      <c r="H115" t="str">
        <f t="shared" ca="1" si="18"/>
        <v/>
      </c>
      <c r="N115">
        <f t="shared" ca="1" si="19"/>
        <v>7</v>
      </c>
      <c r="O115">
        <f t="shared" ca="1" si="25"/>
        <v>0</v>
      </c>
      <c r="P115" t="str">
        <f ca="1">IF(O115=0,"",INDEX(data!$8:$1048576, ROW()-INDEX(code_list!M:M,code_list!N115), INDEX(code_list!J:J, code_list!N115+1)))</f>
        <v/>
      </c>
      <c r="Q115" t="str">
        <f t="shared" ca="1" si="26"/>
        <v/>
      </c>
      <c r="AF115">
        <f t="shared" ca="1" si="22"/>
        <v>2</v>
      </c>
      <c r="AG115">
        <f t="shared" ca="1" si="23"/>
        <v>0</v>
      </c>
      <c r="AH115" t="str">
        <f ca="1">IF(AG115=0,"",INDEX(data!$9:$1048576, ROW()-INDEX(code_list!AE:AE,code_list!AF115), INDEX(code_list!AB:AB, code_list!AF115+1)))</f>
        <v/>
      </c>
      <c r="AI115" t="str">
        <f t="shared" ca="1" si="24"/>
        <v/>
      </c>
    </row>
    <row r="116" spans="5:35">
      <c r="E116">
        <f t="shared" ca="1" si="16"/>
        <v>8</v>
      </c>
      <c r="F116">
        <f t="shared" ca="1" si="17"/>
        <v>0</v>
      </c>
      <c r="G116" t="str">
        <f ca="1">IF(F116=0,"",INDEX(data!$8:$1048576, ROW()-INDEX(code_list!D:D,code_list!E116), INDEX(code_list!A:A, code_list!E116+1)))</f>
        <v/>
      </c>
      <c r="H116" t="str">
        <f t="shared" ca="1" si="18"/>
        <v/>
      </c>
      <c r="N116">
        <f t="shared" ca="1" si="19"/>
        <v>7</v>
      </c>
      <c r="O116">
        <f t="shared" ca="1" si="25"/>
        <v>0</v>
      </c>
      <c r="P116" t="str">
        <f ca="1">IF(O116=0,"",INDEX(data!$8:$1048576, ROW()-INDEX(code_list!M:M,code_list!N116), INDEX(code_list!J:J, code_list!N116+1)))</f>
        <v/>
      </c>
      <c r="Q116" t="str">
        <f t="shared" ca="1" si="26"/>
        <v/>
      </c>
      <c r="AF116">
        <f t="shared" ca="1" si="22"/>
        <v>2</v>
      </c>
      <c r="AG116">
        <f t="shared" ca="1" si="23"/>
        <v>0</v>
      </c>
      <c r="AH116" t="str">
        <f ca="1">IF(AG116=0,"",INDEX(data!$9:$1048576, ROW()-INDEX(code_list!AE:AE,code_list!AF116), INDEX(code_list!AB:AB, code_list!AF116+1)))</f>
        <v/>
      </c>
      <c r="AI116" t="str">
        <f t="shared" ca="1" si="24"/>
        <v/>
      </c>
    </row>
    <row r="117" spans="5:35">
      <c r="E117">
        <f t="shared" ca="1" si="16"/>
        <v>8</v>
      </c>
      <c r="F117">
        <f t="shared" ca="1" si="17"/>
        <v>0</v>
      </c>
      <c r="G117" t="str">
        <f ca="1">IF(F117=0,"",INDEX(data!$8:$1048576, ROW()-INDEX(code_list!D:D,code_list!E117), INDEX(code_list!A:A, code_list!E117+1)))</f>
        <v/>
      </c>
      <c r="H117" t="str">
        <f t="shared" ca="1" si="18"/>
        <v/>
      </c>
      <c r="N117">
        <f t="shared" ca="1" si="19"/>
        <v>7</v>
      </c>
      <c r="O117">
        <f t="shared" ca="1" si="25"/>
        <v>0</v>
      </c>
      <c r="P117" t="str">
        <f ca="1">IF(O117=0,"",INDEX(data!$8:$1048576, ROW()-INDEX(code_list!M:M,code_list!N117), INDEX(code_list!J:J, code_list!N117+1)))</f>
        <v/>
      </c>
      <c r="Q117" t="str">
        <f t="shared" ca="1" si="26"/>
        <v/>
      </c>
      <c r="AF117">
        <f t="shared" ca="1" si="22"/>
        <v>2</v>
      </c>
      <c r="AG117">
        <f t="shared" ca="1" si="23"/>
        <v>0</v>
      </c>
      <c r="AH117" t="str">
        <f ca="1">IF(AG117=0,"",INDEX(data!$9:$1048576, ROW()-INDEX(code_list!AE:AE,code_list!AF117), INDEX(code_list!AB:AB, code_list!AF117+1)))</f>
        <v/>
      </c>
      <c r="AI117" t="str">
        <f t="shared" ca="1" si="24"/>
        <v/>
      </c>
    </row>
    <row r="118" spans="5:35">
      <c r="E118">
        <f t="shared" ca="1" si="16"/>
        <v>8</v>
      </c>
      <c r="F118">
        <f t="shared" ca="1" si="17"/>
        <v>0</v>
      </c>
      <c r="G118" t="str">
        <f ca="1">IF(F118=0,"",INDEX(data!$8:$1048576, ROW()-INDEX(code_list!D:D,code_list!E118), INDEX(code_list!A:A, code_list!E118+1)))</f>
        <v/>
      </c>
      <c r="H118" t="str">
        <f t="shared" ca="1" si="18"/>
        <v/>
      </c>
      <c r="N118">
        <f t="shared" ca="1" si="19"/>
        <v>7</v>
      </c>
      <c r="O118">
        <f t="shared" ca="1" si="25"/>
        <v>0</v>
      </c>
      <c r="P118" t="str">
        <f ca="1">IF(O118=0,"",INDEX(data!$8:$1048576, ROW()-INDEX(code_list!M:M,code_list!N118), INDEX(code_list!J:J, code_list!N118+1)))</f>
        <v/>
      </c>
      <c r="Q118" t="str">
        <f t="shared" ca="1" si="26"/>
        <v/>
      </c>
      <c r="AF118">
        <f t="shared" ca="1" si="22"/>
        <v>2</v>
      </c>
      <c r="AG118">
        <f t="shared" ca="1" si="23"/>
        <v>0</v>
      </c>
      <c r="AH118" t="str">
        <f ca="1">IF(AG118=0,"",INDEX(data!$9:$1048576, ROW()-INDEX(code_list!AE:AE,code_list!AF118), INDEX(code_list!AB:AB, code_list!AF118+1)))</f>
        <v/>
      </c>
      <c r="AI118" t="str">
        <f t="shared" ca="1" si="24"/>
        <v/>
      </c>
    </row>
    <row r="119" spans="5:35">
      <c r="E119">
        <f t="shared" ca="1" si="16"/>
        <v>8</v>
      </c>
      <c r="F119">
        <f t="shared" ca="1" si="17"/>
        <v>0</v>
      </c>
      <c r="G119" t="str">
        <f ca="1">IF(F119=0,"",INDEX(data!$8:$1048576, ROW()-INDEX(code_list!D:D,code_list!E119), INDEX(code_list!A:A, code_list!E119+1)))</f>
        <v/>
      </c>
      <c r="H119" t="str">
        <f t="shared" ca="1" si="18"/>
        <v/>
      </c>
      <c r="N119">
        <f t="shared" ca="1" si="19"/>
        <v>7</v>
      </c>
      <c r="O119">
        <f t="shared" ca="1" si="25"/>
        <v>0</v>
      </c>
      <c r="P119" t="str">
        <f ca="1">IF(O119=0,"",INDEX(data!$8:$1048576, ROW()-INDEX(code_list!M:M,code_list!N119), INDEX(code_list!J:J, code_list!N119+1)))</f>
        <v/>
      </c>
      <c r="Q119" t="str">
        <f t="shared" ca="1" si="26"/>
        <v/>
      </c>
      <c r="AF119">
        <f t="shared" ca="1" si="22"/>
        <v>2</v>
      </c>
      <c r="AG119">
        <f t="shared" ca="1" si="23"/>
        <v>0</v>
      </c>
      <c r="AH119" t="str">
        <f ca="1">IF(AG119=0,"",INDEX(data!$9:$1048576, ROW()-INDEX(code_list!AE:AE,code_list!AF119), INDEX(code_list!AB:AB, code_list!AF119+1)))</f>
        <v/>
      </c>
      <c r="AI119" t="str">
        <f t="shared" ca="1" si="24"/>
        <v/>
      </c>
    </row>
    <row r="120" spans="5:35">
      <c r="E120">
        <f t="shared" ca="1" si="16"/>
        <v>8</v>
      </c>
      <c r="F120">
        <f t="shared" ca="1" si="17"/>
        <v>0</v>
      </c>
      <c r="G120" t="str">
        <f ca="1">IF(F120=0,"",INDEX(data!$8:$1048576, ROW()-INDEX(code_list!D:D,code_list!E120), INDEX(code_list!A:A, code_list!E120+1)))</f>
        <v/>
      </c>
      <c r="H120" t="str">
        <f t="shared" ca="1" si="18"/>
        <v/>
      </c>
      <c r="N120">
        <f t="shared" ca="1" si="19"/>
        <v>7</v>
      </c>
      <c r="O120">
        <f t="shared" ca="1" si="25"/>
        <v>0</v>
      </c>
      <c r="P120" t="str">
        <f ca="1">IF(O120=0,"",INDEX(data!$8:$1048576, ROW()-INDEX(code_list!M:M,code_list!N120), INDEX(code_list!J:J, code_list!N120+1)))</f>
        <v/>
      </c>
      <c r="Q120" t="str">
        <f t="shared" ca="1" si="26"/>
        <v/>
      </c>
      <c r="AF120">
        <f t="shared" ca="1" si="22"/>
        <v>2</v>
      </c>
      <c r="AG120">
        <f t="shared" ca="1" si="23"/>
        <v>0</v>
      </c>
      <c r="AH120" t="str">
        <f ca="1">IF(AG120=0,"",INDEX(data!$9:$1048576, ROW()-INDEX(code_list!AE:AE,code_list!AF120), INDEX(code_list!AB:AB, code_list!AF120+1)))</f>
        <v/>
      </c>
      <c r="AI120" t="str">
        <f t="shared" ca="1" si="24"/>
        <v/>
      </c>
    </row>
    <row r="121" spans="5:35">
      <c r="E121">
        <f t="shared" ca="1" si="16"/>
        <v>8</v>
      </c>
      <c r="F121">
        <f t="shared" ca="1" si="17"/>
        <v>0</v>
      </c>
      <c r="G121" t="str">
        <f ca="1">IF(F121=0,"",INDEX(data!$8:$1048576, ROW()-INDEX(code_list!D:D,code_list!E121), INDEX(code_list!A:A, code_list!E121+1)))</f>
        <v/>
      </c>
      <c r="H121" t="str">
        <f t="shared" ca="1" si="18"/>
        <v/>
      </c>
      <c r="N121">
        <f t="shared" ca="1" si="19"/>
        <v>7</v>
      </c>
      <c r="O121">
        <f t="shared" ca="1" si="25"/>
        <v>0</v>
      </c>
      <c r="P121" t="str">
        <f ca="1">IF(O121=0,"",INDEX(data!$8:$1048576, ROW()-INDEX(code_list!M:M,code_list!N121), INDEX(code_list!J:J, code_list!N121+1)))</f>
        <v/>
      </c>
      <c r="Q121" t="str">
        <f t="shared" ca="1" si="26"/>
        <v/>
      </c>
      <c r="AF121">
        <f t="shared" ca="1" si="22"/>
        <v>2</v>
      </c>
      <c r="AG121">
        <f t="shared" ca="1" si="23"/>
        <v>0</v>
      </c>
      <c r="AH121" t="str">
        <f ca="1">IF(AG121=0,"",INDEX(data!$9:$1048576, ROW()-INDEX(code_list!AE:AE,code_list!AF121), INDEX(code_list!AB:AB, code_list!AF121+1)))</f>
        <v/>
      </c>
      <c r="AI121" t="str">
        <f t="shared" ca="1" si="24"/>
        <v/>
      </c>
    </row>
    <row r="122" spans="5:35">
      <c r="E122">
        <f t="shared" ca="1" si="16"/>
        <v>8</v>
      </c>
      <c r="F122">
        <f t="shared" ca="1" si="17"/>
        <v>0</v>
      </c>
      <c r="G122" t="str">
        <f ca="1">IF(F122=0,"",INDEX(data!$8:$1048576, ROW()-INDEX(code_list!D:D,code_list!E122), INDEX(code_list!A:A, code_list!E122+1)))</f>
        <v/>
      </c>
      <c r="H122" t="str">
        <f t="shared" ca="1" si="18"/>
        <v/>
      </c>
      <c r="N122">
        <f t="shared" ca="1" si="19"/>
        <v>7</v>
      </c>
      <c r="O122">
        <f t="shared" ca="1" si="25"/>
        <v>0</v>
      </c>
      <c r="P122" t="str">
        <f ca="1">IF(O122=0,"",INDEX(data!$8:$1048576, ROW()-INDEX(code_list!M:M,code_list!N122), INDEX(code_list!J:J, code_list!N122+1)))</f>
        <v/>
      </c>
      <c r="Q122" t="str">
        <f t="shared" ca="1" si="26"/>
        <v/>
      </c>
      <c r="AF122">
        <f t="shared" ca="1" si="22"/>
        <v>2</v>
      </c>
      <c r="AG122">
        <f t="shared" ca="1" si="23"/>
        <v>0</v>
      </c>
      <c r="AH122" t="str">
        <f ca="1">IF(AG122=0,"",INDEX(data!$9:$1048576, ROW()-INDEX(code_list!AE:AE,code_list!AF122), INDEX(code_list!AB:AB, code_list!AF122+1)))</f>
        <v/>
      </c>
      <c r="AI122" t="str">
        <f t="shared" ca="1" si="24"/>
        <v/>
      </c>
    </row>
    <row r="123" spans="5:35">
      <c r="E123">
        <f t="shared" ca="1" si="16"/>
        <v>8</v>
      </c>
      <c r="F123">
        <f t="shared" ca="1" si="17"/>
        <v>0</v>
      </c>
      <c r="G123" t="str">
        <f ca="1">IF(F123=0,"",INDEX(data!$8:$1048576, ROW()-INDEX(code_list!D:D,code_list!E123), INDEX(code_list!A:A, code_list!E123+1)))</f>
        <v/>
      </c>
      <c r="H123" t="str">
        <f t="shared" ca="1" si="18"/>
        <v/>
      </c>
      <c r="N123">
        <f t="shared" ca="1" si="19"/>
        <v>7</v>
      </c>
      <c r="O123">
        <f t="shared" ca="1" si="25"/>
        <v>0</v>
      </c>
      <c r="P123" t="str">
        <f ca="1">IF(O123=0,"",INDEX(data!$8:$1048576, ROW()-INDEX(code_list!M:M,code_list!N123), INDEX(code_list!J:J, code_list!N123+1)))</f>
        <v/>
      </c>
      <c r="Q123" t="str">
        <f t="shared" ca="1" si="26"/>
        <v/>
      </c>
      <c r="AF123">
        <f t="shared" ca="1" si="22"/>
        <v>2</v>
      </c>
      <c r="AG123">
        <f t="shared" ca="1" si="23"/>
        <v>0</v>
      </c>
      <c r="AH123" t="str">
        <f ca="1">IF(AG123=0,"",INDEX(data!$9:$1048576, ROW()-INDEX(code_list!AE:AE,code_list!AF123), INDEX(code_list!AB:AB, code_list!AF123+1)))</f>
        <v/>
      </c>
      <c r="AI123" t="str">
        <f t="shared" ca="1" si="24"/>
        <v/>
      </c>
    </row>
    <row r="124" spans="5:35">
      <c r="E124">
        <f t="shared" ca="1" si="16"/>
        <v>8</v>
      </c>
      <c r="F124">
        <f t="shared" ca="1" si="17"/>
        <v>0</v>
      </c>
      <c r="G124" t="str">
        <f ca="1">IF(F124=0,"",INDEX(data!$8:$1048576, ROW()-INDEX(code_list!D:D,code_list!E124), INDEX(code_list!A:A, code_list!E124+1)))</f>
        <v/>
      </c>
      <c r="H124" t="str">
        <f t="shared" ca="1" si="18"/>
        <v/>
      </c>
      <c r="N124">
        <f t="shared" ca="1" si="19"/>
        <v>7</v>
      </c>
      <c r="O124">
        <f t="shared" ca="1" si="25"/>
        <v>0</v>
      </c>
      <c r="P124" t="str">
        <f ca="1">IF(O124=0,"",INDEX(data!$8:$1048576, ROW()-INDEX(code_list!M:M,code_list!N124), INDEX(code_list!J:J, code_list!N124+1)))</f>
        <v/>
      </c>
      <c r="Q124" t="str">
        <f t="shared" ca="1" si="26"/>
        <v/>
      </c>
      <c r="AF124">
        <f t="shared" ca="1" si="22"/>
        <v>2</v>
      </c>
      <c r="AG124">
        <f t="shared" ca="1" si="23"/>
        <v>0</v>
      </c>
      <c r="AH124" t="str">
        <f ca="1">IF(AG124=0,"",INDEX(data!$9:$1048576, ROW()-INDEX(code_list!AE:AE,code_list!AF124), INDEX(code_list!AB:AB, code_list!AF124+1)))</f>
        <v/>
      </c>
      <c r="AI124" t="str">
        <f t="shared" ca="1" si="24"/>
        <v/>
      </c>
    </row>
    <row r="125" spans="5:35">
      <c r="E125">
        <f t="shared" ca="1" si="16"/>
        <v>8</v>
      </c>
      <c r="F125">
        <f t="shared" ca="1" si="17"/>
        <v>0</v>
      </c>
      <c r="G125" t="str">
        <f ca="1">IF(F125=0,"",INDEX(data!$8:$1048576, ROW()-INDEX(code_list!D:D,code_list!E125), INDEX(code_list!A:A, code_list!E125+1)))</f>
        <v/>
      </c>
      <c r="H125" t="str">
        <f t="shared" ca="1" si="18"/>
        <v/>
      </c>
      <c r="N125">
        <f t="shared" ca="1" si="19"/>
        <v>7</v>
      </c>
      <c r="O125">
        <f t="shared" ca="1" si="25"/>
        <v>0</v>
      </c>
      <c r="P125" t="str">
        <f ca="1">IF(O125=0,"",INDEX(data!$8:$1048576, ROW()-INDEX(code_list!M:M,code_list!N125), INDEX(code_list!J:J, code_list!N125+1)))</f>
        <v/>
      </c>
      <c r="Q125" t="str">
        <f t="shared" ca="1" si="26"/>
        <v/>
      </c>
      <c r="AF125">
        <f t="shared" ca="1" si="22"/>
        <v>2</v>
      </c>
      <c r="AG125">
        <f t="shared" ca="1" si="23"/>
        <v>0</v>
      </c>
      <c r="AH125" t="str">
        <f ca="1">IF(AG125=0,"",INDEX(data!$9:$1048576, ROW()-INDEX(code_list!AE:AE,code_list!AF125), INDEX(code_list!AB:AB, code_list!AF125+1)))</f>
        <v/>
      </c>
      <c r="AI125" t="str">
        <f t="shared" ca="1" si="24"/>
        <v/>
      </c>
    </row>
    <row r="126" spans="5:35">
      <c r="E126">
        <f t="shared" ca="1" si="16"/>
        <v>8</v>
      </c>
      <c r="F126">
        <f t="shared" ca="1" si="17"/>
        <v>0</v>
      </c>
      <c r="G126" t="str">
        <f ca="1">IF(F126=0,"",INDEX(data!$8:$1048576, ROW()-INDEX(code_list!D:D,code_list!E126), INDEX(code_list!A:A, code_list!E126+1)))</f>
        <v/>
      </c>
      <c r="H126" t="str">
        <f t="shared" ca="1" si="18"/>
        <v/>
      </c>
      <c r="N126">
        <f t="shared" ca="1" si="19"/>
        <v>7</v>
      </c>
      <c r="O126">
        <f t="shared" ca="1" si="25"/>
        <v>0</v>
      </c>
      <c r="P126" t="str">
        <f ca="1">IF(O126=0,"",INDEX(data!$8:$1048576, ROW()-INDEX(code_list!M:M,code_list!N126), INDEX(code_list!J:J, code_list!N126+1)))</f>
        <v/>
      </c>
      <c r="Q126" t="str">
        <f t="shared" ca="1" si="26"/>
        <v/>
      </c>
      <c r="AF126">
        <f t="shared" ca="1" si="22"/>
        <v>2</v>
      </c>
      <c r="AG126">
        <f t="shared" ca="1" si="23"/>
        <v>0</v>
      </c>
      <c r="AH126" t="str">
        <f ca="1">IF(AG126=0,"",INDEX(data!$9:$1048576, ROW()-INDEX(code_list!AE:AE,code_list!AF126), INDEX(code_list!AB:AB, code_list!AF126+1)))</f>
        <v/>
      </c>
      <c r="AI126" t="str">
        <f t="shared" ca="1" si="24"/>
        <v/>
      </c>
    </row>
    <row r="127" spans="5:35">
      <c r="E127">
        <f t="shared" ca="1" si="16"/>
        <v>8</v>
      </c>
      <c r="F127">
        <f t="shared" ca="1" si="17"/>
        <v>0</v>
      </c>
      <c r="G127" t="str">
        <f ca="1">IF(F127=0,"",INDEX(data!$8:$1048576, ROW()-INDEX(code_list!D:D,code_list!E127), INDEX(code_list!A:A, code_list!E127+1)))</f>
        <v/>
      </c>
      <c r="H127" t="str">
        <f t="shared" ca="1" si="18"/>
        <v/>
      </c>
      <c r="N127">
        <f t="shared" ca="1" si="19"/>
        <v>7</v>
      </c>
      <c r="O127">
        <f t="shared" ca="1" si="25"/>
        <v>0</v>
      </c>
      <c r="P127" t="str">
        <f ca="1">IF(O127=0,"",INDEX(data!$8:$1048576, ROW()-INDEX(code_list!M:M,code_list!N127), INDEX(code_list!J:J, code_list!N127+1)))</f>
        <v/>
      </c>
      <c r="Q127" t="str">
        <f t="shared" ca="1" si="26"/>
        <v/>
      </c>
      <c r="AF127">
        <f t="shared" ca="1" si="22"/>
        <v>2</v>
      </c>
      <c r="AG127">
        <f t="shared" ca="1" si="23"/>
        <v>0</v>
      </c>
      <c r="AH127" t="str">
        <f ca="1">IF(AG127=0,"",INDEX(data!$9:$1048576, ROW()-INDEX(code_list!AE:AE,code_list!AF127), INDEX(code_list!AB:AB, code_list!AF127+1)))</f>
        <v/>
      </c>
      <c r="AI127" t="str">
        <f t="shared" ca="1" si="24"/>
        <v/>
      </c>
    </row>
    <row r="128" spans="5:35">
      <c r="E128">
        <f t="shared" ca="1" si="16"/>
        <v>8</v>
      </c>
      <c r="F128">
        <f t="shared" ca="1" si="17"/>
        <v>0</v>
      </c>
      <c r="G128" t="str">
        <f ca="1">IF(F128=0,"",INDEX(data!$8:$1048576, ROW()-INDEX(code_list!D:D,code_list!E128), INDEX(code_list!A:A, code_list!E128+1)))</f>
        <v/>
      </c>
      <c r="H128" t="str">
        <f t="shared" ca="1" si="18"/>
        <v/>
      </c>
      <c r="N128">
        <f t="shared" ca="1" si="19"/>
        <v>7</v>
      </c>
      <c r="O128">
        <f t="shared" ca="1" si="25"/>
        <v>0</v>
      </c>
      <c r="P128" t="str">
        <f ca="1">IF(O128=0,"",INDEX(data!$8:$1048576, ROW()-INDEX(code_list!M:M,code_list!N128), INDEX(code_list!J:J, code_list!N128+1)))</f>
        <v/>
      </c>
      <c r="Q128" t="str">
        <f t="shared" ca="1" si="26"/>
        <v/>
      </c>
      <c r="AF128">
        <f t="shared" ca="1" si="22"/>
        <v>2</v>
      </c>
      <c r="AG128">
        <f t="shared" ca="1" si="23"/>
        <v>0</v>
      </c>
      <c r="AH128" t="str">
        <f ca="1">IF(AG128=0,"",INDEX(data!$9:$1048576, ROW()-INDEX(code_list!AE:AE,code_list!AF128), INDEX(code_list!AB:AB, code_list!AF128+1)))</f>
        <v/>
      </c>
      <c r="AI128" t="str">
        <f t="shared" ca="1" si="24"/>
        <v/>
      </c>
    </row>
    <row r="129" spans="5:35">
      <c r="E129">
        <f t="shared" ca="1" si="16"/>
        <v>8</v>
      </c>
      <c r="F129">
        <f t="shared" ca="1" si="17"/>
        <v>0</v>
      </c>
      <c r="G129" t="str">
        <f ca="1">IF(F129=0,"",INDEX(data!$8:$1048576, ROW()-INDEX(code_list!D:D,code_list!E129), INDEX(code_list!A:A, code_list!E129+1)))</f>
        <v/>
      </c>
      <c r="H129" t="str">
        <f t="shared" ca="1" si="18"/>
        <v/>
      </c>
      <c r="N129">
        <f t="shared" ca="1" si="19"/>
        <v>7</v>
      </c>
      <c r="O129">
        <f t="shared" ca="1" si="25"/>
        <v>0</v>
      </c>
      <c r="P129" t="str">
        <f ca="1">IF(O129=0,"",INDEX(data!$8:$1048576, ROW()-INDEX(code_list!M:M,code_list!N129), INDEX(code_list!J:J, code_list!N129+1)))</f>
        <v/>
      </c>
      <c r="Q129" t="str">
        <f t="shared" ca="1" si="26"/>
        <v/>
      </c>
      <c r="AF129">
        <f t="shared" ca="1" si="22"/>
        <v>2</v>
      </c>
      <c r="AG129">
        <f t="shared" ca="1" si="23"/>
        <v>0</v>
      </c>
      <c r="AH129" t="str">
        <f ca="1">IF(AG129=0,"",INDEX(data!$9:$1048576, ROW()-INDEX(code_list!AE:AE,code_list!AF129), INDEX(code_list!AB:AB, code_list!AF129+1)))</f>
        <v/>
      </c>
      <c r="AI129" t="str">
        <f t="shared" ca="1" si="24"/>
        <v/>
      </c>
    </row>
    <row r="130" spans="5:35">
      <c r="E130">
        <f t="shared" ref="E130:E193" ca="1" si="27">IFERROR(MATCH(ROW()-1,D:D,0),MATCH(ROW()-1,D:D,1))</f>
        <v>8</v>
      </c>
      <c r="F130">
        <f t="shared" ref="F130:F193" ca="1" si="28">INDEX(C:C, E130+1)</f>
        <v>0</v>
      </c>
      <c r="G130" t="str">
        <f ca="1">IF(F130=0,"",INDEX(data!$8:$1048576, ROW()-INDEX(code_list!D:D,code_list!E130), INDEX(code_list!A:A, code_list!E130+1)))</f>
        <v/>
      </c>
      <c r="H130" t="str">
        <f t="shared" ref="H130:H193" ca="1" si="29">IFERROR(IF(G130="표준코드",F130,G130),"")</f>
        <v/>
      </c>
      <c r="N130">
        <f t="shared" ref="N130:N193" ca="1" si="30">IFERROR(MATCH(ROW()-1,M:M,0),MATCH(ROW()-1,M:M,1))</f>
        <v>7</v>
      </c>
      <c r="O130">
        <f t="shared" ca="1" si="25"/>
        <v>0</v>
      </c>
      <c r="P130" t="str">
        <f ca="1">IF(O130=0,"",INDEX(data!$8:$1048576, ROW()-INDEX(code_list!M:M,code_list!N130), INDEX(code_list!J:J, code_list!N130+1)))</f>
        <v/>
      </c>
      <c r="Q130" t="str">
        <f t="shared" ca="1" si="26"/>
        <v/>
      </c>
      <c r="AF130">
        <f t="shared" ref="AF130:AF193" ca="1" si="31">IFERROR(MATCH(ROW()-1,AE:AE,0),MATCH(ROW()-1,AE:AE,1))</f>
        <v>2</v>
      </c>
      <c r="AG130">
        <f t="shared" ref="AG130:AG193" ca="1" si="32">INDEX(AD:AD, AF130+1)</f>
        <v>0</v>
      </c>
      <c r="AH130" t="str">
        <f ca="1">IF(AG130=0,"",INDEX(data!$9:$1048576, ROW()-INDEX(code_list!AE:AE,code_list!AF130), INDEX(code_list!AB:AB, code_list!AF130+1)))</f>
        <v/>
      </c>
      <c r="AI130" t="str">
        <f t="shared" ref="AI130:AI193" ca="1" si="33">IFERROR(IF(AH130="표준코드",AG130,AH130),"")</f>
        <v/>
      </c>
    </row>
    <row r="131" spans="5:35">
      <c r="E131">
        <f t="shared" ca="1" si="27"/>
        <v>8</v>
      </c>
      <c r="F131">
        <f t="shared" ca="1" si="28"/>
        <v>0</v>
      </c>
      <c r="G131" t="str">
        <f ca="1">IF(F131=0,"",INDEX(data!$8:$1048576, ROW()-INDEX(code_list!D:D,code_list!E131), INDEX(code_list!A:A, code_list!E131+1)))</f>
        <v/>
      </c>
      <c r="H131" t="str">
        <f t="shared" ca="1" si="29"/>
        <v/>
      </c>
      <c r="N131">
        <f t="shared" ca="1" si="30"/>
        <v>7</v>
      </c>
      <c r="O131">
        <f t="shared" ca="1" si="25"/>
        <v>0</v>
      </c>
      <c r="P131" t="str">
        <f ca="1">IF(O131=0,"",INDEX(data!$8:$1048576, ROW()-INDEX(code_list!M:M,code_list!N131), INDEX(code_list!J:J, code_list!N131+1)))</f>
        <v/>
      </c>
      <c r="Q131" t="str">
        <f t="shared" ca="1" si="26"/>
        <v/>
      </c>
      <c r="AF131">
        <f t="shared" ca="1" si="31"/>
        <v>2</v>
      </c>
      <c r="AG131">
        <f t="shared" ca="1" si="32"/>
        <v>0</v>
      </c>
      <c r="AH131" t="str">
        <f ca="1">IF(AG131=0,"",INDEX(data!$9:$1048576, ROW()-INDEX(code_list!AE:AE,code_list!AF131), INDEX(code_list!AB:AB, code_list!AF131+1)))</f>
        <v/>
      </c>
      <c r="AI131" t="str">
        <f t="shared" ca="1" si="33"/>
        <v/>
      </c>
    </row>
    <row r="132" spans="5:35">
      <c r="E132">
        <f t="shared" ca="1" si="27"/>
        <v>8</v>
      </c>
      <c r="F132">
        <f t="shared" ca="1" si="28"/>
        <v>0</v>
      </c>
      <c r="G132" t="str">
        <f ca="1">IF(F132=0,"",INDEX(data!$8:$1048576, ROW()-INDEX(code_list!D:D,code_list!E132), INDEX(code_list!A:A, code_list!E132+1)))</f>
        <v/>
      </c>
      <c r="H132" t="str">
        <f t="shared" ca="1" si="29"/>
        <v/>
      </c>
      <c r="N132">
        <f t="shared" ca="1" si="30"/>
        <v>7</v>
      </c>
      <c r="O132">
        <f t="shared" ca="1" si="25"/>
        <v>0</v>
      </c>
      <c r="P132" t="str">
        <f ca="1">IF(O132=0,"",INDEX(data!$8:$1048576, ROW()-INDEX(code_list!M:M,code_list!N132), INDEX(code_list!J:J, code_list!N132+1)))</f>
        <v/>
      </c>
      <c r="Q132" t="str">
        <f t="shared" ca="1" si="26"/>
        <v/>
      </c>
      <c r="AF132">
        <f t="shared" ca="1" si="31"/>
        <v>2</v>
      </c>
      <c r="AG132">
        <f t="shared" ca="1" si="32"/>
        <v>0</v>
      </c>
      <c r="AH132" t="str">
        <f ca="1">IF(AG132=0,"",INDEX(data!$9:$1048576, ROW()-INDEX(code_list!AE:AE,code_list!AF132), INDEX(code_list!AB:AB, code_list!AF132+1)))</f>
        <v/>
      </c>
      <c r="AI132" t="str">
        <f t="shared" ca="1" si="33"/>
        <v/>
      </c>
    </row>
    <row r="133" spans="5:35">
      <c r="E133">
        <f t="shared" ca="1" si="27"/>
        <v>8</v>
      </c>
      <c r="F133">
        <f t="shared" ca="1" si="28"/>
        <v>0</v>
      </c>
      <c r="G133" t="str">
        <f ca="1">IF(F133=0,"",INDEX(data!$8:$1048576, ROW()-INDEX(code_list!D:D,code_list!E133), INDEX(code_list!A:A, code_list!E133+1)))</f>
        <v/>
      </c>
      <c r="H133" t="str">
        <f t="shared" ca="1" si="29"/>
        <v/>
      </c>
      <c r="N133">
        <f t="shared" ca="1" si="30"/>
        <v>7</v>
      </c>
      <c r="O133">
        <f t="shared" ca="1" si="25"/>
        <v>0</v>
      </c>
      <c r="P133" t="str">
        <f ca="1">IF(O133=0,"",INDEX(data!$8:$1048576, ROW()-INDEX(code_list!M:M,code_list!N133), INDEX(code_list!J:J, code_list!N133+1)))</f>
        <v/>
      </c>
      <c r="Q133" t="str">
        <f t="shared" ca="1" si="26"/>
        <v/>
      </c>
      <c r="AF133">
        <f t="shared" ca="1" si="31"/>
        <v>2</v>
      </c>
      <c r="AG133">
        <f t="shared" ca="1" si="32"/>
        <v>0</v>
      </c>
      <c r="AH133" t="str">
        <f ca="1">IF(AG133=0,"",INDEX(data!$9:$1048576, ROW()-INDEX(code_list!AE:AE,code_list!AF133), INDEX(code_list!AB:AB, code_list!AF133+1)))</f>
        <v/>
      </c>
      <c r="AI133" t="str">
        <f t="shared" ca="1" si="33"/>
        <v/>
      </c>
    </row>
    <row r="134" spans="5:35">
      <c r="E134">
        <f t="shared" ca="1" si="27"/>
        <v>8</v>
      </c>
      <c r="F134">
        <f t="shared" ca="1" si="28"/>
        <v>0</v>
      </c>
      <c r="G134" t="str">
        <f ca="1">IF(F134=0,"",INDEX(data!$8:$1048576, ROW()-INDEX(code_list!D:D,code_list!E134), INDEX(code_list!A:A, code_list!E134+1)))</f>
        <v/>
      </c>
      <c r="H134" t="str">
        <f t="shared" ca="1" si="29"/>
        <v/>
      </c>
      <c r="N134">
        <f t="shared" ca="1" si="30"/>
        <v>7</v>
      </c>
      <c r="O134">
        <f t="shared" ca="1" si="25"/>
        <v>0</v>
      </c>
      <c r="P134" t="str">
        <f ca="1">IF(O134=0,"",INDEX(data!$8:$1048576, ROW()-INDEX(code_list!M:M,code_list!N134), INDEX(code_list!J:J, code_list!N134+1)))</f>
        <v/>
      </c>
      <c r="Q134" t="str">
        <f t="shared" ca="1" si="26"/>
        <v/>
      </c>
      <c r="AF134">
        <f t="shared" ca="1" si="31"/>
        <v>2</v>
      </c>
      <c r="AG134">
        <f t="shared" ca="1" si="32"/>
        <v>0</v>
      </c>
      <c r="AH134" t="str">
        <f ca="1">IF(AG134=0,"",INDEX(data!$9:$1048576, ROW()-INDEX(code_list!AE:AE,code_list!AF134), INDEX(code_list!AB:AB, code_list!AF134+1)))</f>
        <v/>
      </c>
      <c r="AI134" t="str">
        <f t="shared" ca="1" si="33"/>
        <v/>
      </c>
    </row>
    <row r="135" spans="5:35">
      <c r="E135">
        <f t="shared" ca="1" si="27"/>
        <v>8</v>
      </c>
      <c r="F135">
        <f t="shared" ca="1" si="28"/>
        <v>0</v>
      </c>
      <c r="G135" t="str">
        <f ca="1">IF(F135=0,"",INDEX(data!$8:$1048576, ROW()-INDEX(code_list!D:D,code_list!E135), INDEX(code_list!A:A, code_list!E135+1)))</f>
        <v/>
      </c>
      <c r="H135" t="str">
        <f t="shared" ca="1" si="29"/>
        <v/>
      </c>
      <c r="N135">
        <f t="shared" ca="1" si="30"/>
        <v>7</v>
      </c>
      <c r="O135">
        <f t="shared" ca="1" si="25"/>
        <v>0</v>
      </c>
      <c r="P135" t="str">
        <f ca="1">IF(O135=0,"",INDEX(data!$8:$1048576, ROW()-INDEX(code_list!M:M,code_list!N135), INDEX(code_list!J:J, code_list!N135+1)))</f>
        <v/>
      </c>
      <c r="Q135" t="str">
        <f t="shared" ca="1" si="26"/>
        <v/>
      </c>
      <c r="AF135">
        <f t="shared" ca="1" si="31"/>
        <v>2</v>
      </c>
      <c r="AG135">
        <f t="shared" ca="1" si="32"/>
        <v>0</v>
      </c>
      <c r="AH135" t="str">
        <f ca="1">IF(AG135=0,"",INDEX(data!$9:$1048576, ROW()-INDEX(code_list!AE:AE,code_list!AF135), INDEX(code_list!AB:AB, code_list!AF135+1)))</f>
        <v/>
      </c>
      <c r="AI135" t="str">
        <f t="shared" ca="1" si="33"/>
        <v/>
      </c>
    </row>
    <row r="136" spans="5:35">
      <c r="E136">
        <f t="shared" ca="1" si="27"/>
        <v>8</v>
      </c>
      <c r="F136">
        <f t="shared" ca="1" si="28"/>
        <v>0</v>
      </c>
      <c r="G136" t="str">
        <f ca="1">IF(F136=0,"",INDEX(data!$8:$1048576, ROW()-INDEX(code_list!D:D,code_list!E136), INDEX(code_list!A:A, code_list!E136+1)))</f>
        <v/>
      </c>
      <c r="H136" t="str">
        <f t="shared" ca="1" si="29"/>
        <v/>
      </c>
      <c r="N136">
        <f t="shared" ca="1" si="30"/>
        <v>7</v>
      </c>
      <c r="O136">
        <f t="shared" ca="1" si="25"/>
        <v>0</v>
      </c>
      <c r="P136" t="str">
        <f ca="1">IF(O136=0,"",INDEX(data!$8:$1048576, ROW()-INDEX(code_list!M:M,code_list!N136), INDEX(code_list!J:J, code_list!N136+1)))</f>
        <v/>
      </c>
      <c r="Q136" t="str">
        <f t="shared" ca="1" si="26"/>
        <v/>
      </c>
      <c r="AF136">
        <f t="shared" ca="1" si="31"/>
        <v>2</v>
      </c>
      <c r="AG136">
        <f t="shared" ca="1" si="32"/>
        <v>0</v>
      </c>
      <c r="AH136" t="str">
        <f ca="1">IF(AG136=0,"",INDEX(data!$9:$1048576, ROW()-INDEX(code_list!AE:AE,code_list!AF136), INDEX(code_list!AB:AB, code_list!AF136+1)))</f>
        <v/>
      </c>
      <c r="AI136" t="str">
        <f t="shared" ca="1" si="33"/>
        <v/>
      </c>
    </row>
    <row r="137" spans="5:35">
      <c r="E137">
        <f t="shared" ca="1" si="27"/>
        <v>8</v>
      </c>
      <c r="F137">
        <f t="shared" ca="1" si="28"/>
        <v>0</v>
      </c>
      <c r="G137" t="str">
        <f ca="1">IF(F137=0,"",INDEX(data!$8:$1048576, ROW()-INDEX(code_list!D:D,code_list!E137), INDEX(code_list!A:A, code_list!E137+1)))</f>
        <v/>
      </c>
      <c r="H137" t="str">
        <f t="shared" ca="1" si="29"/>
        <v/>
      </c>
      <c r="N137">
        <f t="shared" ca="1" si="30"/>
        <v>7</v>
      </c>
      <c r="O137">
        <f t="shared" ca="1" si="25"/>
        <v>0</v>
      </c>
      <c r="P137" t="str">
        <f ca="1">IF(O137=0,"",INDEX(data!$8:$1048576, ROW()-INDEX(code_list!M:M,code_list!N137), INDEX(code_list!J:J, code_list!N137+1)))</f>
        <v/>
      </c>
      <c r="Q137" t="str">
        <f t="shared" ca="1" si="26"/>
        <v/>
      </c>
      <c r="AF137">
        <f t="shared" ca="1" si="31"/>
        <v>2</v>
      </c>
      <c r="AG137">
        <f t="shared" ca="1" si="32"/>
        <v>0</v>
      </c>
      <c r="AH137" t="str">
        <f ca="1">IF(AG137=0,"",INDEX(data!$9:$1048576, ROW()-INDEX(code_list!AE:AE,code_list!AF137), INDEX(code_list!AB:AB, code_list!AF137+1)))</f>
        <v/>
      </c>
      <c r="AI137" t="str">
        <f t="shared" ca="1" si="33"/>
        <v/>
      </c>
    </row>
    <row r="138" spans="5:35">
      <c r="E138">
        <f t="shared" ca="1" si="27"/>
        <v>8</v>
      </c>
      <c r="F138">
        <f t="shared" ca="1" si="28"/>
        <v>0</v>
      </c>
      <c r="G138" t="str">
        <f ca="1">IF(F138=0,"",INDEX(data!$8:$1048576, ROW()-INDEX(code_list!D:D,code_list!E138), INDEX(code_list!A:A, code_list!E138+1)))</f>
        <v/>
      </c>
      <c r="H138" t="str">
        <f t="shared" ca="1" si="29"/>
        <v/>
      </c>
      <c r="N138">
        <f t="shared" ca="1" si="30"/>
        <v>7</v>
      </c>
      <c r="O138">
        <f t="shared" ca="1" si="25"/>
        <v>0</v>
      </c>
      <c r="P138" t="str">
        <f ca="1">IF(O138=0,"",INDEX(data!$8:$1048576, ROW()-INDEX(code_list!M:M,code_list!N138), INDEX(code_list!J:J, code_list!N138+1)))</f>
        <v/>
      </c>
      <c r="Q138" t="str">
        <f t="shared" ca="1" si="26"/>
        <v/>
      </c>
      <c r="AF138">
        <f t="shared" ca="1" si="31"/>
        <v>2</v>
      </c>
      <c r="AG138">
        <f t="shared" ca="1" si="32"/>
        <v>0</v>
      </c>
      <c r="AH138" t="str">
        <f ca="1">IF(AG138=0,"",INDEX(data!$9:$1048576, ROW()-INDEX(code_list!AE:AE,code_list!AF138), INDEX(code_list!AB:AB, code_list!AF138+1)))</f>
        <v/>
      </c>
      <c r="AI138" t="str">
        <f t="shared" ca="1" si="33"/>
        <v/>
      </c>
    </row>
    <row r="139" spans="5:35">
      <c r="E139">
        <f t="shared" ca="1" si="27"/>
        <v>8</v>
      </c>
      <c r="F139">
        <f t="shared" ca="1" si="28"/>
        <v>0</v>
      </c>
      <c r="G139" t="str">
        <f ca="1">IF(F139=0,"",INDEX(data!$8:$1048576, ROW()-INDEX(code_list!D:D,code_list!E139), INDEX(code_list!A:A, code_list!E139+1)))</f>
        <v/>
      </c>
      <c r="H139" t="str">
        <f t="shared" ca="1" si="29"/>
        <v/>
      </c>
      <c r="N139">
        <f t="shared" ca="1" si="30"/>
        <v>7</v>
      </c>
      <c r="O139">
        <f t="shared" ca="1" si="25"/>
        <v>0</v>
      </c>
      <c r="P139" t="str">
        <f ca="1">IF(O139=0,"",INDEX(data!$8:$1048576, ROW()-INDEX(code_list!M:M,code_list!N139), INDEX(code_list!J:J, code_list!N139+1)))</f>
        <v/>
      </c>
      <c r="Q139" t="str">
        <f t="shared" ca="1" si="26"/>
        <v/>
      </c>
      <c r="AF139">
        <f t="shared" ca="1" si="31"/>
        <v>2</v>
      </c>
      <c r="AG139">
        <f t="shared" ca="1" si="32"/>
        <v>0</v>
      </c>
      <c r="AH139" t="str">
        <f ca="1">IF(AG139=0,"",INDEX(data!$9:$1048576, ROW()-INDEX(code_list!AE:AE,code_list!AF139), INDEX(code_list!AB:AB, code_list!AF139+1)))</f>
        <v/>
      </c>
      <c r="AI139" t="str">
        <f t="shared" ca="1" si="33"/>
        <v/>
      </c>
    </row>
    <row r="140" spans="5:35">
      <c r="E140">
        <f t="shared" ca="1" si="27"/>
        <v>8</v>
      </c>
      <c r="F140">
        <f t="shared" ca="1" si="28"/>
        <v>0</v>
      </c>
      <c r="G140" t="str">
        <f ca="1">IF(F140=0,"",INDEX(data!$8:$1048576, ROW()-INDEX(code_list!D:D,code_list!E140), INDEX(code_list!A:A, code_list!E140+1)))</f>
        <v/>
      </c>
      <c r="H140" t="str">
        <f t="shared" ca="1" si="29"/>
        <v/>
      </c>
      <c r="N140">
        <f t="shared" ca="1" si="30"/>
        <v>7</v>
      </c>
      <c r="O140">
        <f t="shared" ca="1" si="25"/>
        <v>0</v>
      </c>
      <c r="P140" t="str">
        <f ca="1">IF(O140=0,"",INDEX(data!$8:$1048576, ROW()-INDEX(code_list!M:M,code_list!N140), INDEX(code_list!J:J, code_list!N140+1)))</f>
        <v/>
      </c>
      <c r="Q140" t="str">
        <f t="shared" ca="1" si="26"/>
        <v/>
      </c>
      <c r="AF140">
        <f t="shared" ca="1" si="31"/>
        <v>2</v>
      </c>
      <c r="AG140">
        <f t="shared" ca="1" si="32"/>
        <v>0</v>
      </c>
      <c r="AH140" t="str">
        <f ca="1">IF(AG140=0,"",INDEX(data!$9:$1048576, ROW()-INDEX(code_list!AE:AE,code_list!AF140), INDEX(code_list!AB:AB, code_list!AF140+1)))</f>
        <v/>
      </c>
      <c r="AI140" t="str">
        <f t="shared" ca="1" si="33"/>
        <v/>
      </c>
    </row>
    <row r="141" spans="5:35">
      <c r="E141">
        <f t="shared" ca="1" si="27"/>
        <v>8</v>
      </c>
      <c r="F141">
        <f t="shared" ca="1" si="28"/>
        <v>0</v>
      </c>
      <c r="G141" t="str">
        <f ca="1">IF(F141=0,"",INDEX(data!$8:$1048576, ROW()-INDEX(code_list!D:D,code_list!E141), INDEX(code_list!A:A, code_list!E141+1)))</f>
        <v/>
      </c>
      <c r="H141" t="str">
        <f t="shared" ca="1" si="29"/>
        <v/>
      </c>
      <c r="N141">
        <f t="shared" ca="1" si="30"/>
        <v>7</v>
      </c>
      <c r="O141">
        <f t="shared" ca="1" si="25"/>
        <v>0</v>
      </c>
      <c r="P141" t="str">
        <f ca="1">IF(O141=0,"",INDEX(data!$8:$1048576, ROW()-INDEX(code_list!M:M,code_list!N141), INDEX(code_list!J:J, code_list!N141+1)))</f>
        <v/>
      </c>
      <c r="Q141" t="str">
        <f t="shared" ca="1" si="26"/>
        <v/>
      </c>
      <c r="AF141">
        <f t="shared" ca="1" si="31"/>
        <v>2</v>
      </c>
      <c r="AG141">
        <f t="shared" ca="1" si="32"/>
        <v>0</v>
      </c>
      <c r="AH141" t="str">
        <f ca="1">IF(AG141=0,"",INDEX(data!$9:$1048576, ROW()-INDEX(code_list!AE:AE,code_list!AF141), INDEX(code_list!AB:AB, code_list!AF141+1)))</f>
        <v/>
      </c>
      <c r="AI141" t="str">
        <f t="shared" ca="1" si="33"/>
        <v/>
      </c>
    </row>
    <row r="142" spans="5:35">
      <c r="E142">
        <f t="shared" ca="1" si="27"/>
        <v>8</v>
      </c>
      <c r="F142">
        <f t="shared" ca="1" si="28"/>
        <v>0</v>
      </c>
      <c r="G142" t="str">
        <f ca="1">IF(F142=0,"",INDEX(data!$8:$1048576, ROW()-INDEX(code_list!D:D,code_list!E142), INDEX(code_list!A:A, code_list!E142+1)))</f>
        <v/>
      </c>
      <c r="H142" t="str">
        <f t="shared" ca="1" si="29"/>
        <v/>
      </c>
      <c r="N142">
        <f t="shared" ca="1" si="30"/>
        <v>7</v>
      </c>
      <c r="O142">
        <f t="shared" ca="1" si="25"/>
        <v>0</v>
      </c>
      <c r="P142" t="str">
        <f ca="1">IF(O142=0,"",INDEX(data!$8:$1048576, ROW()-INDEX(code_list!M:M,code_list!N142), INDEX(code_list!J:J, code_list!N142+1)))</f>
        <v/>
      </c>
      <c r="Q142" t="str">
        <f t="shared" ca="1" si="26"/>
        <v/>
      </c>
      <c r="AF142">
        <f t="shared" ca="1" si="31"/>
        <v>2</v>
      </c>
      <c r="AG142">
        <f t="shared" ca="1" si="32"/>
        <v>0</v>
      </c>
      <c r="AH142" t="str">
        <f ca="1">IF(AG142=0,"",INDEX(data!$9:$1048576, ROW()-INDEX(code_list!AE:AE,code_list!AF142), INDEX(code_list!AB:AB, code_list!AF142+1)))</f>
        <v/>
      </c>
      <c r="AI142" t="str">
        <f t="shared" ca="1" si="33"/>
        <v/>
      </c>
    </row>
    <row r="143" spans="5:35">
      <c r="E143">
        <f t="shared" ca="1" si="27"/>
        <v>8</v>
      </c>
      <c r="F143">
        <f t="shared" ca="1" si="28"/>
        <v>0</v>
      </c>
      <c r="G143" t="str">
        <f ca="1">IF(F143=0,"",INDEX(data!$8:$1048576, ROW()-INDEX(code_list!D:D,code_list!E143), INDEX(code_list!A:A, code_list!E143+1)))</f>
        <v/>
      </c>
      <c r="H143" t="str">
        <f t="shared" ca="1" si="29"/>
        <v/>
      </c>
      <c r="N143">
        <f t="shared" ca="1" si="30"/>
        <v>7</v>
      </c>
      <c r="O143">
        <f t="shared" ref="O143:O200" ca="1" si="34">INDEX(L:L, N143+1)</f>
        <v>0</v>
      </c>
      <c r="P143" t="str">
        <f ca="1">IF(O143=0,"",INDEX(data!$8:$1048576, ROW()-INDEX(code_list!M:M,code_list!N143), INDEX(code_list!J:J, code_list!N143+1)))</f>
        <v/>
      </c>
      <c r="Q143" t="str">
        <f t="shared" ref="Q143:Q200" ca="1" si="35">IFERROR(IF(P143="표준코드",O143,P143),"")</f>
        <v/>
      </c>
      <c r="AF143">
        <f t="shared" ca="1" si="31"/>
        <v>2</v>
      </c>
      <c r="AG143">
        <f t="shared" ca="1" si="32"/>
        <v>0</v>
      </c>
      <c r="AH143" t="str">
        <f ca="1">IF(AG143=0,"",INDEX(data!$9:$1048576, ROW()-INDEX(code_list!AE:AE,code_list!AF143), INDEX(code_list!AB:AB, code_list!AF143+1)))</f>
        <v/>
      </c>
      <c r="AI143" t="str">
        <f t="shared" ca="1" si="33"/>
        <v/>
      </c>
    </row>
    <row r="144" spans="5:35">
      <c r="E144">
        <f t="shared" ca="1" si="27"/>
        <v>8</v>
      </c>
      <c r="F144">
        <f t="shared" ca="1" si="28"/>
        <v>0</v>
      </c>
      <c r="G144" t="str">
        <f ca="1">IF(F144=0,"",INDEX(data!$8:$1048576, ROW()-INDEX(code_list!D:D,code_list!E144), INDEX(code_list!A:A, code_list!E144+1)))</f>
        <v/>
      </c>
      <c r="H144" t="str">
        <f t="shared" ca="1" si="29"/>
        <v/>
      </c>
      <c r="N144">
        <f t="shared" ca="1" si="30"/>
        <v>7</v>
      </c>
      <c r="O144">
        <f t="shared" ca="1" si="34"/>
        <v>0</v>
      </c>
      <c r="P144" t="str">
        <f ca="1">IF(O144=0,"",INDEX(data!$8:$1048576, ROW()-INDEX(code_list!M:M,code_list!N144), INDEX(code_list!J:J, code_list!N144+1)))</f>
        <v/>
      </c>
      <c r="Q144" t="str">
        <f t="shared" ca="1" si="35"/>
        <v/>
      </c>
      <c r="AF144">
        <f t="shared" ca="1" si="31"/>
        <v>2</v>
      </c>
      <c r="AG144">
        <f t="shared" ca="1" si="32"/>
        <v>0</v>
      </c>
      <c r="AH144" t="str">
        <f ca="1">IF(AG144=0,"",INDEX(data!$9:$1048576, ROW()-INDEX(code_list!AE:AE,code_list!AF144), INDEX(code_list!AB:AB, code_list!AF144+1)))</f>
        <v/>
      </c>
      <c r="AI144" t="str">
        <f t="shared" ca="1" si="33"/>
        <v/>
      </c>
    </row>
    <row r="145" spans="5:35">
      <c r="E145">
        <f t="shared" ca="1" si="27"/>
        <v>8</v>
      </c>
      <c r="F145">
        <f t="shared" ca="1" si="28"/>
        <v>0</v>
      </c>
      <c r="G145" t="str">
        <f ca="1">IF(F145=0,"",INDEX(data!$8:$1048576, ROW()-INDEX(code_list!D:D,code_list!E145), INDEX(code_list!A:A, code_list!E145+1)))</f>
        <v/>
      </c>
      <c r="H145" t="str">
        <f t="shared" ca="1" si="29"/>
        <v/>
      </c>
      <c r="N145">
        <f t="shared" ca="1" si="30"/>
        <v>7</v>
      </c>
      <c r="O145">
        <f t="shared" ca="1" si="34"/>
        <v>0</v>
      </c>
      <c r="P145" t="str">
        <f ca="1">IF(O145=0,"",INDEX(data!$8:$1048576, ROW()-INDEX(code_list!M:M,code_list!N145), INDEX(code_list!J:J, code_list!N145+1)))</f>
        <v/>
      </c>
      <c r="Q145" t="str">
        <f t="shared" ca="1" si="35"/>
        <v/>
      </c>
      <c r="AF145">
        <f t="shared" ca="1" si="31"/>
        <v>2</v>
      </c>
      <c r="AG145">
        <f t="shared" ca="1" si="32"/>
        <v>0</v>
      </c>
      <c r="AH145" t="str">
        <f ca="1">IF(AG145=0,"",INDEX(data!$9:$1048576, ROW()-INDEX(code_list!AE:AE,code_list!AF145), INDEX(code_list!AB:AB, code_list!AF145+1)))</f>
        <v/>
      </c>
      <c r="AI145" t="str">
        <f t="shared" ca="1" si="33"/>
        <v/>
      </c>
    </row>
    <row r="146" spans="5:35">
      <c r="E146">
        <f t="shared" ca="1" si="27"/>
        <v>8</v>
      </c>
      <c r="F146">
        <f t="shared" ca="1" si="28"/>
        <v>0</v>
      </c>
      <c r="G146" t="str">
        <f ca="1">IF(F146=0,"",INDEX(data!$8:$1048576, ROW()-INDEX(code_list!D:D,code_list!E146), INDEX(code_list!A:A, code_list!E146+1)))</f>
        <v/>
      </c>
      <c r="H146" t="str">
        <f t="shared" ca="1" si="29"/>
        <v/>
      </c>
      <c r="N146">
        <f t="shared" ca="1" si="30"/>
        <v>7</v>
      </c>
      <c r="O146">
        <f t="shared" ca="1" si="34"/>
        <v>0</v>
      </c>
      <c r="P146" t="str">
        <f ca="1">IF(O146=0,"",INDEX(data!$8:$1048576, ROW()-INDEX(code_list!M:M,code_list!N146), INDEX(code_list!J:J, code_list!N146+1)))</f>
        <v/>
      </c>
      <c r="Q146" t="str">
        <f t="shared" ca="1" si="35"/>
        <v/>
      </c>
      <c r="AF146">
        <f t="shared" ca="1" si="31"/>
        <v>2</v>
      </c>
      <c r="AG146">
        <f t="shared" ca="1" si="32"/>
        <v>0</v>
      </c>
      <c r="AH146" t="str">
        <f ca="1">IF(AG146=0,"",INDEX(data!$9:$1048576, ROW()-INDEX(code_list!AE:AE,code_list!AF146), INDEX(code_list!AB:AB, code_list!AF146+1)))</f>
        <v/>
      </c>
      <c r="AI146" t="str">
        <f t="shared" ca="1" si="33"/>
        <v/>
      </c>
    </row>
    <row r="147" spans="5:35">
      <c r="E147">
        <f t="shared" ca="1" si="27"/>
        <v>8</v>
      </c>
      <c r="F147">
        <f t="shared" ca="1" si="28"/>
        <v>0</v>
      </c>
      <c r="G147" t="str">
        <f ca="1">IF(F147=0,"",INDEX(data!$8:$1048576, ROW()-INDEX(code_list!D:D,code_list!E147), INDEX(code_list!A:A, code_list!E147+1)))</f>
        <v/>
      </c>
      <c r="H147" t="str">
        <f t="shared" ca="1" si="29"/>
        <v/>
      </c>
      <c r="N147">
        <f t="shared" ca="1" si="30"/>
        <v>7</v>
      </c>
      <c r="O147">
        <f t="shared" ca="1" si="34"/>
        <v>0</v>
      </c>
      <c r="P147" t="str">
        <f ca="1">IF(O147=0,"",INDEX(data!$8:$1048576, ROW()-INDEX(code_list!M:M,code_list!N147), INDEX(code_list!J:J, code_list!N147+1)))</f>
        <v/>
      </c>
      <c r="Q147" t="str">
        <f t="shared" ca="1" si="35"/>
        <v/>
      </c>
      <c r="AF147">
        <f t="shared" ca="1" si="31"/>
        <v>2</v>
      </c>
      <c r="AG147">
        <f t="shared" ca="1" si="32"/>
        <v>0</v>
      </c>
      <c r="AH147" t="str">
        <f ca="1">IF(AG147=0,"",INDEX(data!$9:$1048576, ROW()-INDEX(code_list!AE:AE,code_list!AF147), INDEX(code_list!AB:AB, code_list!AF147+1)))</f>
        <v/>
      </c>
      <c r="AI147" t="str">
        <f t="shared" ca="1" si="33"/>
        <v/>
      </c>
    </row>
    <row r="148" spans="5:35">
      <c r="E148">
        <f t="shared" ca="1" si="27"/>
        <v>8</v>
      </c>
      <c r="F148">
        <f t="shared" ca="1" si="28"/>
        <v>0</v>
      </c>
      <c r="G148" t="str">
        <f ca="1">IF(F148=0,"",INDEX(data!$8:$1048576, ROW()-INDEX(code_list!D:D,code_list!E148), INDEX(code_list!A:A, code_list!E148+1)))</f>
        <v/>
      </c>
      <c r="H148" t="str">
        <f t="shared" ca="1" si="29"/>
        <v/>
      </c>
      <c r="N148">
        <f t="shared" ca="1" si="30"/>
        <v>7</v>
      </c>
      <c r="O148">
        <f t="shared" ca="1" si="34"/>
        <v>0</v>
      </c>
      <c r="P148" t="str">
        <f ca="1">IF(O148=0,"",INDEX(data!$8:$1048576, ROW()-INDEX(code_list!M:M,code_list!N148), INDEX(code_list!J:J, code_list!N148+1)))</f>
        <v/>
      </c>
      <c r="Q148" t="str">
        <f t="shared" ca="1" si="35"/>
        <v/>
      </c>
      <c r="AF148">
        <f t="shared" ca="1" si="31"/>
        <v>2</v>
      </c>
      <c r="AG148">
        <f t="shared" ca="1" si="32"/>
        <v>0</v>
      </c>
      <c r="AH148" t="str">
        <f ca="1">IF(AG148=0,"",INDEX(data!$9:$1048576, ROW()-INDEX(code_list!AE:AE,code_list!AF148), INDEX(code_list!AB:AB, code_list!AF148+1)))</f>
        <v/>
      </c>
      <c r="AI148" t="str">
        <f t="shared" ca="1" si="33"/>
        <v/>
      </c>
    </row>
    <row r="149" spans="5:35">
      <c r="E149">
        <f t="shared" ca="1" si="27"/>
        <v>8</v>
      </c>
      <c r="F149">
        <f t="shared" ca="1" si="28"/>
        <v>0</v>
      </c>
      <c r="G149" t="str">
        <f ca="1">IF(F149=0,"",INDEX(data!$8:$1048576, ROW()-INDEX(code_list!D:D,code_list!E149), INDEX(code_list!A:A, code_list!E149+1)))</f>
        <v/>
      </c>
      <c r="H149" t="str">
        <f t="shared" ca="1" si="29"/>
        <v/>
      </c>
      <c r="N149">
        <f t="shared" ca="1" si="30"/>
        <v>7</v>
      </c>
      <c r="O149">
        <f t="shared" ca="1" si="34"/>
        <v>0</v>
      </c>
      <c r="P149" t="str">
        <f ca="1">IF(O149=0,"",INDEX(data!$8:$1048576, ROW()-INDEX(code_list!M:M,code_list!N149), INDEX(code_list!J:J, code_list!N149+1)))</f>
        <v/>
      </c>
      <c r="Q149" t="str">
        <f t="shared" ca="1" si="35"/>
        <v/>
      </c>
      <c r="AF149">
        <f t="shared" ca="1" si="31"/>
        <v>2</v>
      </c>
      <c r="AG149">
        <f t="shared" ca="1" si="32"/>
        <v>0</v>
      </c>
      <c r="AH149" t="str">
        <f ca="1">IF(AG149=0,"",INDEX(data!$9:$1048576, ROW()-INDEX(code_list!AE:AE,code_list!AF149), INDEX(code_list!AB:AB, code_list!AF149+1)))</f>
        <v/>
      </c>
      <c r="AI149" t="str">
        <f t="shared" ca="1" si="33"/>
        <v/>
      </c>
    </row>
    <row r="150" spans="5:35">
      <c r="E150">
        <f t="shared" ca="1" si="27"/>
        <v>8</v>
      </c>
      <c r="F150">
        <f t="shared" ca="1" si="28"/>
        <v>0</v>
      </c>
      <c r="G150" t="str">
        <f ca="1">IF(F150=0,"",INDEX(data!$8:$1048576, ROW()-INDEX(code_list!D:D,code_list!E150), INDEX(code_list!A:A, code_list!E150+1)))</f>
        <v/>
      </c>
      <c r="H150" t="str">
        <f t="shared" ca="1" si="29"/>
        <v/>
      </c>
      <c r="N150">
        <f t="shared" ca="1" si="30"/>
        <v>7</v>
      </c>
      <c r="O150">
        <f t="shared" ca="1" si="34"/>
        <v>0</v>
      </c>
      <c r="P150" t="str">
        <f ca="1">IF(O150=0,"",INDEX(data!$8:$1048576, ROW()-INDEX(code_list!M:M,code_list!N150), INDEX(code_list!J:J, code_list!N150+1)))</f>
        <v/>
      </c>
      <c r="Q150" t="str">
        <f t="shared" ca="1" si="35"/>
        <v/>
      </c>
      <c r="AF150">
        <f t="shared" ca="1" si="31"/>
        <v>2</v>
      </c>
      <c r="AG150">
        <f t="shared" ca="1" si="32"/>
        <v>0</v>
      </c>
      <c r="AH150" t="str">
        <f ca="1">IF(AG150=0,"",INDEX(data!$9:$1048576, ROW()-INDEX(code_list!AE:AE,code_list!AF150), INDEX(code_list!AB:AB, code_list!AF150+1)))</f>
        <v/>
      </c>
      <c r="AI150" t="str">
        <f t="shared" ca="1" si="33"/>
        <v/>
      </c>
    </row>
    <row r="151" spans="5:35">
      <c r="E151">
        <f t="shared" ca="1" si="27"/>
        <v>8</v>
      </c>
      <c r="F151">
        <f t="shared" ca="1" si="28"/>
        <v>0</v>
      </c>
      <c r="G151" t="str">
        <f ca="1">IF(F151=0,"",INDEX(data!$8:$1048576, ROW()-INDEX(code_list!D:D,code_list!E151), INDEX(code_list!A:A, code_list!E151+1)))</f>
        <v/>
      </c>
      <c r="H151" t="str">
        <f t="shared" ca="1" si="29"/>
        <v/>
      </c>
      <c r="N151">
        <f t="shared" ca="1" si="30"/>
        <v>7</v>
      </c>
      <c r="O151">
        <f t="shared" ca="1" si="34"/>
        <v>0</v>
      </c>
      <c r="P151" t="str">
        <f ca="1">IF(O151=0,"",INDEX(data!$8:$1048576, ROW()-INDEX(code_list!M:M,code_list!N151), INDEX(code_list!J:J, code_list!N151+1)))</f>
        <v/>
      </c>
      <c r="Q151" t="str">
        <f t="shared" ca="1" si="35"/>
        <v/>
      </c>
      <c r="AF151">
        <f t="shared" ca="1" si="31"/>
        <v>2</v>
      </c>
      <c r="AG151">
        <f t="shared" ca="1" si="32"/>
        <v>0</v>
      </c>
      <c r="AH151" t="str">
        <f ca="1">IF(AG151=0,"",INDEX(data!$9:$1048576, ROW()-INDEX(code_list!AE:AE,code_list!AF151), INDEX(code_list!AB:AB, code_list!AF151+1)))</f>
        <v/>
      </c>
      <c r="AI151" t="str">
        <f t="shared" ca="1" si="33"/>
        <v/>
      </c>
    </row>
    <row r="152" spans="5:35">
      <c r="E152">
        <f t="shared" ca="1" si="27"/>
        <v>8</v>
      </c>
      <c r="F152">
        <f t="shared" ca="1" si="28"/>
        <v>0</v>
      </c>
      <c r="G152" t="str">
        <f ca="1">IF(F152=0,"",INDEX(data!$8:$1048576, ROW()-INDEX(code_list!D:D,code_list!E152), INDEX(code_list!A:A, code_list!E152+1)))</f>
        <v/>
      </c>
      <c r="H152" t="str">
        <f t="shared" ca="1" si="29"/>
        <v/>
      </c>
      <c r="N152">
        <f t="shared" ca="1" si="30"/>
        <v>7</v>
      </c>
      <c r="O152">
        <f t="shared" ca="1" si="34"/>
        <v>0</v>
      </c>
      <c r="P152" t="str">
        <f ca="1">IF(O152=0,"",INDEX(data!$8:$1048576, ROW()-INDEX(code_list!M:M,code_list!N152), INDEX(code_list!J:J, code_list!N152+1)))</f>
        <v/>
      </c>
      <c r="Q152" t="str">
        <f t="shared" ca="1" si="35"/>
        <v/>
      </c>
      <c r="AF152">
        <f t="shared" ca="1" si="31"/>
        <v>2</v>
      </c>
      <c r="AG152">
        <f t="shared" ca="1" si="32"/>
        <v>0</v>
      </c>
      <c r="AH152" t="str">
        <f ca="1">IF(AG152=0,"",INDEX(data!$9:$1048576, ROW()-INDEX(code_list!AE:AE,code_list!AF152), INDEX(code_list!AB:AB, code_list!AF152+1)))</f>
        <v/>
      </c>
      <c r="AI152" t="str">
        <f t="shared" ca="1" si="33"/>
        <v/>
      </c>
    </row>
    <row r="153" spans="5:35">
      <c r="E153">
        <f t="shared" ca="1" si="27"/>
        <v>8</v>
      </c>
      <c r="F153">
        <f t="shared" ca="1" si="28"/>
        <v>0</v>
      </c>
      <c r="G153" t="str">
        <f ca="1">IF(F153=0,"",INDEX(data!$8:$1048576, ROW()-INDEX(code_list!D:D,code_list!E153), INDEX(code_list!A:A, code_list!E153+1)))</f>
        <v/>
      </c>
      <c r="H153" t="str">
        <f t="shared" ca="1" si="29"/>
        <v/>
      </c>
      <c r="N153">
        <f t="shared" ca="1" si="30"/>
        <v>7</v>
      </c>
      <c r="O153">
        <f t="shared" ca="1" si="34"/>
        <v>0</v>
      </c>
      <c r="P153" t="str">
        <f ca="1">IF(O153=0,"",INDEX(data!$8:$1048576, ROW()-INDEX(code_list!M:M,code_list!N153), INDEX(code_list!J:J, code_list!N153+1)))</f>
        <v/>
      </c>
      <c r="Q153" t="str">
        <f t="shared" ca="1" si="35"/>
        <v/>
      </c>
      <c r="AF153">
        <f t="shared" ca="1" si="31"/>
        <v>2</v>
      </c>
      <c r="AG153">
        <f t="shared" ca="1" si="32"/>
        <v>0</v>
      </c>
      <c r="AH153" t="str">
        <f ca="1">IF(AG153=0,"",INDEX(data!$9:$1048576, ROW()-INDEX(code_list!AE:AE,code_list!AF153), INDEX(code_list!AB:AB, code_list!AF153+1)))</f>
        <v/>
      </c>
      <c r="AI153" t="str">
        <f t="shared" ca="1" si="33"/>
        <v/>
      </c>
    </row>
    <row r="154" spans="5:35">
      <c r="E154">
        <f t="shared" ca="1" si="27"/>
        <v>8</v>
      </c>
      <c r="F154">
        <f t="shared" ca="1" si="28"/>
        <v>0</v>
      </c>
      <c r="G154" t="str">
        <f ca="1">IF(F154=0,"",INDEX(data!$8:$1048576, ROW()-INDEX(code_list!D:D,code_list!E154), INDEX(code_list!A:A, code_list!E154+1)))</f>
        <v/>
      </c>
      <c r="H154" t="str">
        <f t="shared" ca="1" si="29"/>
        <v/>
      </c>
      <c r="N154">
        <f t="shared" ca="1" si="30"/>
        <v>7</v>
      </c>
      <c r="O154">
        <f t="shared" ca="1" si="34"/>
        <v>0</v>
      </c>
      <c r="P154" t="str">
        <f ca="1">IF(O154=0,"",INDEX(data!$8:$1048576, ROW()-INDEX(code_list!M:M,code_list!N154), INDEX(code_list!J:J, code_list!N154+1)))</f>
        <v/>
      </c>
      <c r="Q154" t="str">
        <f t="shared" ca="1" si="35"/>
        <v/>
      </c>
      <c r="AF154">
        <f t="shared" ca="1" si="31"/>
        <v>2</v>
      </c>
      <c r="AG154">
        <f t="shared" ca="1" si="32"/>
        <v>0</v>
      </c>
      <c r="AH154" t="str">
        <f ca="1">IF(AG154=0,"",INDEX(data!$9:$1048576, ROW()-INDEX(code_list!AE:AE,code_list!AF154), INDEX(code_list!AB:AB, code_list!AF154+1)))</f>
        <v/>
      </c>
      <c r="AI154" t="str">
        <f t="shared" ca="1" si="33"/>
        <v/>
      </c>
    </row>
    <row r="155" spans="5:35">
      <c r="E155">
        <f t="shared" ca="1" si="27"/>
        <v>8</v>
      </c>
      <c r="F155">
        <f t="shared" ca="1" si="28"/>
        <v>0</v>
      </c>
      <c r="G155" t="str">
        <f ca="1">IF(F155=0,"",INDEX(data!$8:$1048576, ROW()-INDEX(code_list!D:D,code_list!E155), INDEX(code_list!A:A, code_list!E155+1)))</f>
        <v/>
      </c>
      <c r="H155" t="str">
        <f t="shared" ca="1" si="29"/>
        <v/>
      </c>
      <c r="N155">
        <f t="shared" ca="1" si="30"/>
        <v>7</v>
      </c>
      <c r="O155">
        <f t="shared" ca="1" si="34"/>
        <v>0</v>
      </c>
      <c r="P155" t="str">
        <f ca="1">IF(O155=0,"",INDEX(data!$8:$1048576, ROW()-INDEX(code_list!M:M,code_list!N155), INDEX(code_list!J:J, code_list!N155+1)))</f>
        <v/>
      </c>
      <c r="Q155" t="str">
        <f t="shared" ca="1" si="35"/>
        <v/>
      </c>
      <c r="AF155">
        <f t="shared" ca="1" si="31"/>
        <v>2</v>
      </c>
      <c r="AG155">
        <f t="shared" ca="1" si="32"/>
        <v>0</v>
      </c>
      <c r="AH155" t="str">
        <f ca="1">IF(AG155=0,"",INDEX(data!$9:$1048576, ROW()-INDEX(code_list!AE:AE,code_list!AF155), INDEX(code_list!AB:AB, code_list!AF155+1)))</f>
        <v/>
      </c>
      <c r="AI155" t="str">
        <f t="shared" ca="1" si="33"/>
        <v/>
      </c>
    </row>
    <row r="156" spans="5:35">
      <c r="E156">
        <f t="shared" ca="1" si="27"/>
        <v>8</v>
      </c>
      <c r="F156">
        <f t="shared" ca="1" si="28"/>
        <v>0</v>
      </c>
      <c r="G156" t="str">
        <f ca="1">IF(F156=0,"",INDEX(data!$8:$1048576, ROW()-INDEX(code_list!D:D,code_list!E156), INDEX(code_list!A:A, code_list!E156+1)))</f>
        <v/>
      </c>
      <c r="H156" t="str">
        <f t="shared" ca="1" si="29"/>
        <v/>
      </c>
      <c r="N156">
        <f t="shared" ca="1" si="30"/>
        <v>7</v>
      </c>
      <c r="O156">
        <f t="shared" ca="1" si="34"/>
        <v>0</v>
      </c>
      <c r="P156" t="str">
        <f ca="1">IF(O156=0,"",INDEX(data!$8:$1048576, ROW()-INDEX(code_list!M:M,code_list!N156), INDEX(code_list!J:J, code_list!N156+1)))</f>
        <v/>
      </c>
      <c r="Q156" t="str">
        <f t="shared" ca="1" si="35"/>
        <v/>
      </c>
      <c r="AF156">
        <f t="shared" ca="1" si="31"/>
        <v>2</v>
      </c>
      <c r="AG156">
        <f t="shared" ca="1" si="32"/>
        <v>0</v>
      </c>
      <c r="AH156" t="str">
        <f ca="1">IF(AG156=0,"",INDEX(data!$9:$1048576, ROW()-INDEX(code_list!AE:AE,code_list!AF156), INDEX(code_list!AB:AB, code_list!AF156+1)))</f>
        <v/>
      </c>
      <c r="AI156" t="str">
        <f t="shared" ca="1" si="33"/>
        <v/>
      </c>
    </row>
    <row r="157" spans="5:35">
      <c r="E157">
        <f t="shared" ca="1" si="27"/>
        <v>8</v>
      </c>
      <c r="F157">
        <f t="shared" ca="1" si="28"/>
        <v>0</v>
      </c>
      <c r="G157" t="str">
        <f ca="1">IF(F157=0,"",INDEX(data!$8:$1048576, ROW()-INDEX(code_list!D:D,code_list!E157), INDEX(code_list!A:A, code_list!E157+1)))</f>
        <v/>
      </c>
      <c r="H157" t="str">
        <f t="shared" ca="1" si="29"/>
        <v/>
      </c>
      <c r="N157">
        <f t="shared" ca="1" si="30"/>
        <v>7</v>
      </c>
      <c r="O157">
        <f t="shared" ca="1" si="34"/>
        <v>0</v>
      </c>
      <c r="P157" t="str">
        <f ca="1">IF(O157=0,"",INDEX(data!$8:$1048576, ROW()-INDEX(code_list!M:M,code_list!N157), INDEX(code_list!J:J, code_list!N157+1)))</f>
        <v/>
      </c>
      <c r="Q157" t="str">
        <f t="shared" ca="1" si="35"/>
        <v/>
      </c>
      <c r="AF157">
        <f t="shared" ca="1" si="31"/>
        <v>2</v>
      </c>
      <c r="AG157">
        <f t="shared" ca="1" si="32"/>
        <v>0</v>
      </c>
      <c r="AH157" t="str">
        <f ca="1">IF(AG157=0,"",INDEX(data!$9:$1048576, ROW()-INDEX(code_list!AE:AE,code_list!AF157), INDEX(code_list!AB:AB, code_list!AF157+1)))</f>
        <v/>
      </c>
      <c r="AI157" t="str">
        <f t="shared" ca="1" si="33"/>
        <v/>
      </c>
    </row>
    <row r="158" spans="5:35">
      <c r="E158">
        <f t="shared" ca="1" si="27"/>
        <v>8</v>
      </c>
      <c r="F158">
        <f t="shared" ca="1" si="28"/>
        <v>0</v>
      </c>
      <c r="G158" t="str">
        <f ca="1">IF(F158=0,"",INDEX(data!$8:$1048576, ROW()-INDEX(code_list!D:D,code_list!E158), INDEX(code_list!A:A, code_list!E158+1)))</f>
        <v/>
      </c>
      <c r="H158" t="str">
        <f t="shared" ca="1" si="29"/>
        <v/>
      </c>
      <c r="N158">
        <f t="shared" ca="1" si="30"/>
        <v>7</v>
      </c>
      <c r="O158">
        <f t="shared" ca="1" si="34"/>
        <v>0</v>
      </c>
      <c r="P158" t="str">
        <f ca="1">IF(O158=0,"",INDEX(data!$8:$1048576, ROW()-INDEX(code_list!M:M,code_list!N158), INDEX(code_list!J:J, code_list!N158+1)))</f>
        <v/>
      </c>
      <c r="Q158" t="str">
        <f t="shared" ca="1" si="35"/>
        <v/>
      </c>
      <c r="AF158">
        <f t="shared" ca="1" si="31"/>
        <v>2</v>
      </c>
      <c r="AG158">
        <f t="shared" ca="1" si="32"/>
        <v>0</v>
      </c>
      <c r="AH158" t="str">
        <f ca="1">IF(AG158=0,"",INDEX(data!$9:$1048576, ROW()-INDEX(code_list!AE:AE,code_list!AF158), INDEX(code_list!AB:AB, code_list!AF158+1)))</f>
        <v/>
      </c>
      <c r="AI158" t="str">
        <f t="shared" ca="1" si="33"/>
        <v/>
      </c>
    </row>
    <row r="159" spans="5:35">
      <c r="E159">
        <f t="shared" ca="1" si="27"/>
        <v>8</v>
      </c>
      <c r="F159">
        <f t="shared" ca="1" si="28"/>
        <v>0</v>
      </c>
      <c r="G159" t="str">
        <f ca="1">IF(F159=0,"",INDEX(data!$8:$1048576, ROW()-INDEX(code_list!D:D,code_list!E159), INDEX(code_list!A:A, code_list!E159+1)))</f>
        <v/>
      </c>
      <c r="H159" t="str">
        <f t="shared" ca="1" si="29"/>
        <v/>
      </c>
      <c r="N159">
        <f t="shared" ca="1" si="30"/>
        <v>7</v>
      </c>
      <c r="O159">
        <f t="shared" ca="1" si="34"/>
        <v>0</v>
      </c>
      <c r="P159" t="str">
        <f ca="1">IF(O159=0,"",INDEX(data!$8:$1048576, ROW()-INDEX(code_list!M:M,code_list!N159), INDEX(code_list!J:J, code_list!N159+1)))</f>
        <v/>
      </c>
      <c r="Q159" t="str">
        <f t="shared" ca="1" si="35"/>
        <v/>
      </c>
      <c r="AF159">
        <f t="shared" ca="1" si="31"/>
        <v>2</v>
      </c>
      <c r="AG159">
        <f t="shared" ca="1" si="32"/>
        <v>0</v>
      </c>
      <c r="AH159" t="str">
        <f ca="1">IF(AG159=0,"",INDEX(data!$9:$1048576, ROW()-INDEX(code_list!AE:AE,code_list!AF159), INDEX(code_list!AB:AB, code_list!AF159+1)))</f>
        <v/>
      </c>
      <c r="AI159" t="str">
        <f t="shared" ca="1" si="33"/>
        <v/>
      </c>
    </row>
    <row r="160" spans="5:35">
      <c r="E160">
        <f t="shared" ca="1" si="27"/>
        <v>8</v>
      </c>
      <c r="F160">
        <f t="shared" ca="1" si="28"/>
        <v>0</v>
      </c>
      <c r="G160" t="str">
        <f ca="1">IF(F160=0,"",INDEX(data!$8:$1048576, ROW()-INDEX(code_list!D:D,code_list!E160), INDEX(code_list!A:A, code_list!E160+1)))</f>
        <v/>
      </c>
      <c r="H160" t="str">
        <f t="shared" ca="1" si="29"/>
        <v/>
      </c>
      <c r="N160">
        <f t="shared" ca="1" si="30"/>
        <v>7</v>
      </c>
      <c r="O160">
        <f t="shared" ca="1" si="34"/>
        <v>0</v>
      </c>
      <c r="P160" t="str">
        <f ca="1">IF(O160=0,"",INDEX(data!$8:$1048576, ROW()-INDEX(code_list!M:M,code_list!N160), INDEX(code_list!J:J, code_list!N160+1)))</f>
        <v/>
      </c>
      <c r="Q160" t="str">
        <f t="shared" ca="1" si="35"/>
        <v/>
      </c>
      <c r="AF160">
        <f t="shared" ca="1" si="31"/>
        <v>2</v>
      </c>
      <c r="AG160">
        <f t="shared" ca="1" si="32"/>
        <v>0</v>
      </c>
      <c r="AH160" t="str">
        <f ca="1">IF(AG160=0,"",INDEX(data!$9:$1048576, ROW()-INDEX(code_list!AE:AE,code_list!AF160), INDEX(code_list!AB:AB, code_list!AF160+1)))</f>
        <v/>
      </c>
      <c r="AI160" t="str">
        <f t="shared" ca="1" si="33"/>
        <v/>
      </c>
    </row>
    <row r="161" spans="5:35">
      <c r="E161">
        <f t="shared" ca="1" si="27"/>
        <v>8</v>
      </c>
      <c r="F161">
        <f t="shared" ca="1" si="28"/>
        <v>0</v>
      </c>
      <c r="G161" t="str">
        <f ca="1">IF(F161=0,"",INDEX(data!$8:$1048576, ROW()-INDEX(code_list!D:D,code_list!E161), INDEX(code_list!A:A, code_list!E161+1)))</f>
        <v/>
      </c>
      <c r="H161" t="str">
        <f t="shared" ca="1" si="29"/>
        <v/>
      </c>
      <c r="N161">
        <f t="shared" ca="1" si="30"/>
        <v>7</v>
      </c>
      <c r="O161">
        <f t="shared" ca="1" si="34"/>
        <v>0</v>
      </c>
      <c r="P161" t="str">
        <f ca="1">IF(O161=0,"",INDEX(data!$8:$1048576, ROW()-INDEX(code_list!M:M,code_list!N161), INDEX(code_list!J:J, code_list!N161+1)))</f>
        <v/>
      </c>
      <c r="Q161" t="str">
        <f t="shared" ca="1" si="35"/>
        <v/>
      </c>
      <c r="AF161">
        <f t="shared" ca="1" si="31"/>
        <v>2</v>
      </c>
      <c r="AG161">
        <f t="shared" ca="1" si="32"/>
        <v>0</v>
      </c>
      <c r="AH161" t="str">
        <f ca="1">IF(AG161=0,"",INDEX(data!$9:$1048576, ROW()-INDEX(code_list!AE:AE,code_list!AF161), INDEX(code_list!AB:AB, code_list!AF161+1)))</f>
        <v/>
      </c>
      <c r="AI161" t="str">
        <f t="shared" ca="1" si="33"/>
        <v/>
      </c>
    </row>
    <row r="162" spans="5:35">
      <c r="E162">
        <f t="shared" ca="1" si="27"/>
        <v>8</v>
      </c>
      <c r="F162">
        <f t="shared" ca="1" si="28"/>
        <v>0</v>
      </c>
      <c r="G162" t="str">
        <f ca="1">IF(F162=0,"",INDEX(data!$8:$1048576, ROW()-INDEX(code_list!D:D,code_list!E162), INDEX(code_list!A:A, code_list!E162+1)))</f>
        <v/>
      </c>
      <c r="H162" t="str">
        <f t="shared" ca="1" si="29"/>
        <v/>
      </c>
      <c r="N162">
        <f t="shared" ca="1" si="30"/>
        <v>7</v>
      </c>
      <c r="O162">
        <f t="shared" ca="1" si="34"/>
        <v>0</v>
      </c>
      <c r="P162" t="str">
        <f ca="1">IF(O162=0,"",INDEX(data!$8:$1048576, ROW()-INDEX(code_list!M:M,code_list!N162), INDEX(code_list!J:J, code_list!N162+1)))</f>
        <v/>
      </c>
      <c r="Q162" t="str">
        <f t="shared" ca="1" si="35"/>
        <v/>
      </c>
      <c r="AF162">
        <f t="shared" ca="1" si="31"/>
        <v>2</v>
      </c>
      <c r="AG162">
        <f t="shared" ca="1" si="32"/>
        <v>0</v>
      </c>
      <c r="AH162" t="str">
        <f ca="1">IF(AG162=0,"",INDEX(data!$9:$1048576, ROW()-INDEX(code_list!AE:AE,code_list!AF162), INDEX(code_list!AB:AB, code_list!AF162+1)))</f>
        <v/>
      </c>
      <c r="AI162" t="str">
        <f t="shared" ca="1" si="33"/>
        <v/>
      </c>
    </row>
    <row r="163" spans="5:35">
      <c r="E163">
        <f t="shared" ca="1" si="27"/>
        <v>8</v>
      </c>
      <c r="F163">
        <f t="shared" ca="1" si="28"/>
        <v>0</v>
      </c>
      <c r="G163" t="str">
        <f ca="1">IF(F163=0,"",INDEX(data!$8:$1048576, ROW()-INDEX(code_list!D:D,code_list!E163), INDEX(code_list!A:A, code_list!E163+1)))</f>
        <v/>
      </c>
      <c r="H163" t="str">
        <f t="shared" ca="1" si="29"/>
        <v/>
      </c>
      <c r="N163">
        <f t="shared" ca="1" si="30"/>
        <v>7</v>
      </c>
      <c r="O163">
        <f t="shared" ca="1" si="34"/>
        <v>0</v>
      </c>
      <c r="P163" t="str">
        <f ca="1">IF(O163=0,"",INDEX(data!$8:$1048576, ROW()-INDEX(code_list!M:M,code_list!N163), INDEX(code_list!J:J, code_list!N163+1)))</f>
        <v/>
      </c>
      <c r="Q163" t="str">
        <f t="shared" ca="1" si="35"/>
        <v/>
      </c>
      <c r="AF163">
        <f t="shared" ca="1" si="31"/>
        <v>2</v>
      </c>
      <c r="AG163">
        <f t="shared" ca="1" si="32"/>
        <v>0</v>
      </c>
      <c r="AH163" t="str">
        <f ca="1">IF(AG163=0,"",INDEX(data!$9:$1048576, ROW()-INDEX(code_list!AE:AE,code_list!AF163), INDEX(code_list!AB:AB, code_list!AF163+1)))</f>
        <v/>
      </c>
      <c r="AI163" t="str">
        <f t="shared" ca="1" si="33"/>
        <v/>
      </c>
    </row>
    <row r="164" spans="5:35">
      <c r="E164">
        <f t="shared" ca="1" si="27"/>
        <v>8</v>
      </c>
      <c r="F164">
        <f t="shared" ca="1" si="28"/>
        <v>0</v>
      </c>
      <c r="G164" t="str">
        <f ca="1">IF(F164=0,"",INDEX(data!$8:$1048576, ROW()-INDEX(code_list!D:D,code_list!E164), INDEX(code_list!A:A, code_list!E164+1)))</f>
        <v/>
      </c>
      <c r="H164" t="str">
        <f t="shared" ca="1" si="29"/>
        <v/>
      </c>
      <c r="N164">
        <f t="shared" ca="1" si="30"/>
        <v>7</v>
      </c>
      <c r="O164">
        <f t="shared" ca="1" si="34"/>
        <v>0</v>
      </c>
      <c r="P164" t="str">
        <f ca="1">IF(O164=0,"",INDEX(data!$8:$1048576, ROW()-INDEX(code_list!M:M,code_list!N164), INDEX(code_list!J:J, code_list!N164+1)))</f>
        <v/>
      </c>
      <c r="Q164" t="str">
        <f t="shared" ca="1" si="35"/>
        <v/>
      </c>
      <c r="AF164">
        <f t="shared" ca="1" si="31"/>
        <v>2</v>
      </c>
      <c r="AG164">
        <f t="shared" ca="1" si="32"/>
        <v>0</v>
      </c>
      <c r="AH164" t="str">
        <f ca="1">IF(AG164=0,"",INDEX(data!$9:$1048576, ROW()-INDEX(code_list!AE:AE,code_list!AF164), INDEX(code_list!AB:AB, code_list!AF164+1)))</f>
        <v/>
      </c>
      <c r="AI164" t="str">
        <f t="shared" ca="1" si="33"/>
        <v/>
      </c>
    </row>
    <row r="165" spans="5:35">
      <c r="E165">
        <f t="shared" ca="1" si="27"/>
        <v>8</v>
      </c>
      <c r="F165">
        <f t="shared" ca="1" si="28"/>
        <v>0</v>
      </c>
      <c r="G165" t="str">
        <f ca="1">IF(F165=0,"",INDEX(data!$8:$1048576, ROW()-INDEX(code_list!D:D,code_list!E165), INDEX(code_list!A:A, code_list!E165+1)))</f>
        <v/>
      </c>
      <c r="H165" t="str">
        <f t="shared" ca="1" si="29"/>
        <v/>
      </c>
      <c r="N165">
        <f t="shared" ca="1" si="30"/>
        <v>7</v>
      </c>
      <c r="O165">
        <f t="shared" ca="1" si="34"/>
        <v>0</v>
      </c>
      <c r="P165" t="str">
        <f ca="1">IF(O165=0,"",INDEX(data!$8:$1048576, ROW()-INDEX(code_list!M:M,code_list!N165), INDEX(code_list!J:J, code_list!N165+1)))</f>
        <v/>
      </c>
      <c r="Q165" t="str">
        <f t="shared" ca="1" si="35"/>
        <v/>
      </c>
      <c r="AF165">
        <f t="shared" ca="1" si="31"/>
        <v>2</v>
      </c>
      <c r="AG165">
        <f t="shared" ca="1" si="32"/>
        <v>0</v>
      </c>
      <c r="AH165" t="str">
        <f ca="1">IF(AG165=0,"",INDEX(data!$9:$1048576, ROW()-INDEX(code_list!AE:AE,code_list!AF165), INDEX(code_list!AB:AB, code_list!AF165+1)))</f>
        <v/>
      </c>
      <c r="AI165" t="str">
        <f t="shared" ca="1" si="33"/>
        <v/>
      </c>
    </row>
    <row r="166" spans="5:35">
      <c r="E166">
        <f t="shared" ca="1" si="27"/>
        <v>8</v>
      </c>
      <c r="F166">
        <f t="shared" ca="1" si="28"/>
        <v>0</v>
      </c>
      <c r="G166" t="str">
        <f ca="1">IF(F166=0,"",INDEX(data!$8:$1048576, ROW()-INDEX(code_list!D:D,code_list!E166), INDEX(code_list!A:A, code_list!E166+1)))</f>
        <v/>
      </c>
      <c r="H166" t="str">
        <f t="shared" ca="1" si="29"/>
        <v/>
      </c>
      <c r="N166">
        <f t="shared" ca="1" si="30"/>
        <v>7</v>
      </c>
      <c r="O166">
        <f t="shared" ca="1" si="34"/>
        <v>0</v>
      </c>
      <c r="P166" t="str">
        <f ca="1">IF(O166=0,"",INDEX(data!$8:$1048576, ROW()-INDEX(code_list!M:M,code_list!N166), INDEX(code_list!J:J, code_list!N166+1)))</f>
        <v/>
      </c>
      <c r="Q166" t="str">
        <f t="shared" ca="1" si="35"/>
        <v/>
      </c>
      <c r="AF166">
        <f t="shared" ca="1" si="31"/>
        <v>2</v>
      </c>
      <c r="AG166">
        <f t="shared" ca="1" si="32"/>
        <v>0</v>
      </c>
      <c r="AH166" t="str">
        <f ca="1">IF(AG166=0,"",INDEX(data!$9:$1048576, ROW()-INDEX(code_list!AE:AE,code_list!AF166), INDEX(code_list!AB:AB, code_list!AF166+1)))</f>
        <v/>
      </c>
      <c r="AI166" t="str">
        <f t="shared" ca="1" si="33"/>
        <v/>
      </c>
    </row>
    <row r="167" spans="5:35">
      <c r="E167">
        <f t="shared" ca="1" si="27"/>
        <v>8</v>
      </c>
      <c r="F167">
        <f t="shared" ca="1" si="28"/>
        <v>0</v>
      </c>
      <c r="G167" t="str">
        <f ca="1">IF(F167=0,"",INDEX(data!$8:$1048576, ROW()-INDEX(code_list!D:D,code_list!E167), INDEX(code_list!A:A, code_list!E167+1)))</f>
        <v/>
      </c>
      <c r="H167" t="str">
        <f t="shared" ca="1" si="29"/>
        <v/>
      </c>
      <c r="N167">
        <f t="shared" ca="1" si="30"/>
        <v>7</v>
      </c>
      <c r="O167">
        <f t="shared" ca="1" si="34"/>
        <v>0</v>
      </c>
      <c r="P167" t="str">
        <f ca="1">IF(O167=0,"",INDEX(data!$8:$1048576, ROW()-INDEX(code_list!M:M,code_list!N167), INDEX(code_list!J:J, code_list!N167+1)))</f>
        <v/>
      </c>
      <c r="Q167" t="str">
        <f t="shared" ca="1" si="35"/>
        <v/>
      </c>
      <c r="AF167">
        <f t="shared" ca="1" si="31"/>
        <v>2</v>
      </c>
      <c r="AG167">
        <f t="shared" ca="1" si="32"/>
        <v>0</v>
      </c>
      <c r="AH167" t="str">
        <f ca="1">IF(AG167=0,"",INDEX(data!$9:$1048576, ROW()-INDEX(code_list!AE:AE,code_list!AF167), INDEX(code_list!AB:AB, code_list!AF167+1)))</f>
        <v/>
      </c>
      <c r="AI167" t="str">
        <f t="shared" ca="1" si="33"/>
        <v/>
      </c>
    </row>
    <row r="168" spans="5:35">
      <c r="E168">
        <f t="shared" ca="1" si="27"/>
        <v>8</v>
      </c>
      <c r="F168">
        <f t="shared" ca="1" si="28"/>
        <v>0</v>
      </c>
      <c r="G168" t="str">
        <f ca="1">IF(F168=0,"",INDEX(data!$8:$1048576, ROW()-INDEX(code_list!D:D,code_list!E168), INDEX(code_list!A:A, code_list!E168+1)))</f>
        <v/>
      </c>
      <c r="H168" t="str">
        <f t="shared" ca="1" si="29"/>
        <v/>
      </c>
      <c r="N168">
        <f t="shared" ca="1" si="30"/>
        <v>7</v>
      </c>
      <c r="O168">
        <f t="shared" ca="1" si="34"/>
        <v>0</v>
      </c>
      <c r="P168" t="str">
        <f ca="1">IF(O168=0,"",INDEX(data!$8:$1048576, ROW()-INDEX(code_list!M:M,code_list!N168), INDEX(code_list!J:J, code_list!N168+1)))</f>
        <v/>
      </c>
      <c r="Q168" t="str">
        <f t="shared" ca="1" si="35"/>
        <v/>
      </c>
      <c r="AF168">
        <f t="shared" ca="1" si="31"/>
        <v>2</v>
      </c>
      <c r="AG168">
        <f t="shared" ca="1" si="32"/>
        <v>0</v>
      </c>
      <c r="AH168" t="str">
        <f ca="1">IF(AG168=0,"",INDEX(data!$9:$1048576, ROW()-INDEX(code_list!AE:AE,code_list!AF168), INDEX(code_list!AB:AB, code_list!AF168+1)))</f>
        <v/>
      </c>
      <c r="AI168" t="str">
        <f t="shared" ca="1" si="33"/>
        <v/>
      </c>
    </row>
    <row r="169" spans="5:35">
      <c r="E169">
        <f t="shared" ca="1" si="27"/>
        <v>8</v>
      </c>
      <c r="F169">
        <f t="shared" ca="1" si="28"/>
        <v>0</v>
      </c>
      <c r="G169" t="str">
        <f ca="1">IF(F169=0,"",INDEX(data!$8:$1048576, ROW()-INDEX(code_list!D:D,code_list!E169), INDEX(code_list!A:A, code_list!E169+1)))</f>
        <v/>
      </c>
      <c r="H169" t="str">
        <f t="shared" ca="1" si="29"/>
        <v/>
      </c>
      <c r="N169">
        <f t="shared" ca="1" si="30"/>
        <v>7</v>
      </c>
      <c r="O169">
        <f t="shared" ca="1" si="34"/>
        <v>0</v>
      </c>
      <c r="P169" t="str">
        <f ca="1">IF(O169=0,"",INDEX(data!$8:$1048576, ROW()-INDEX(code_list!M:M,code_list!N169), INDEX(code_list!J:J, code_list!N169+1)))</f>
        <v/>
      </c>
      <c r="Q169" t="str">
        <f t="shared" ca="1" si="35"/>
        <v/>
      </c>
      <c r="AF169">
        <f t="shared" ca="1" si="31"/>
        <v>2</v>
      </c>
      <c r="AG169">
        <f t="shared" ca="1" si="32"/>
        <v>0</v>
      </c>
      <c r="AH169" t="str">
        <f ca="1">IF(AG169=0,"",INDEX(data!$9:$1048576, ROW()-INDEX(code_list!AE:AE,code_list!AF169), INDEX(code_list!AB:AB, code_list!AF169+1)))</f>
        <v/>
      </c>
      <c r="AI169" t="str">
        <f t="shared" ca="1" si="33"/>
        <v/>
      </c>
    </row>
    <row r="170" spans="5:35">
      <c r="E170">
        <f t="shared" ca="1" si="27"/>
        <v>8</v>
      </c>
      <c r="F170">
        <f t="shared" ca="1" si="28"/>
        <v>0</v>
      </c>
      <c r="G170" t="str">
        <f ca="1">IF(F170=0,"",INDEX(data!$8:$1048576, ROW()-INDEX(code_list!D:D,code_list!E170), INDEX(code_list!A:A, code_list!E170+1)))</f>
        <v/>
      </c>
      <c r="H170" t="str">
        <f t="shared" ca="1" si="29"/>
        <v/>
      </c>
      <c r="N170">
        <f t="shared" ca="1" si="30"/>
        <v>7</v>
      </c>
      <c r="O170">
        <f t="shared" ca="1" si="34"/>
        <v>0</v>
      </c>
      <c r="P170" t="str">
        <f ca="1">IF(O170=0,"",INDEX(data!$8:$1048576, ROW()-INDEX(code_list!M:M,code_list!N170), INDEX(code_list!J:J, code_list!N170+1)))</f>
        <v/>
      </c>
      <c r="Q170" t="str">
        <f t="shared" ca="1" si="35"/>
        <v/>
      </c>
      <c r="AF170">
        <f t="shared" ca="1" si="31"/>
        <v>2</v>
      </c>
      <c r="AG170">
        <f t="shared" ca="1" si="32"/>
        <v>0</v>
      </c>
      <c r="AH170" t="str">
        <f ca="1">IF(AG170=0,"",INDEX(data!$9:$1048576, ROW()-INDEX(code_list!AE:AE,code_list!AF170), INDEX(code_list!AB:AB, code_list!AF170+1)))</f>
        <v/>
      </c>
      <c r="AI170" t="str">
        <f t="shared" ca="1" si="33"/>
        <v/>
      </c>
    </row>
    <row r="171" spans="5:35">
      <c r="E171">
        <f t="shared" ca="1" si="27"/>
        <v>8</v>
      </c>
      <c r="F171">
        <f t="shared" ca="1" si="28"/>
        <v>0</v>
      </c>
      <c r="G171" t="str">
        <f ca="1">IF(F171=0,"",INDEX(data!$8:$1048576, ROW()-INDEX(code_list!D:D,code_list!E171), INDEX(code_list!A:A, code_list!E171+1)))</f>
        <v/>
      </c>
      <c r="H171" t="str">
        <f t="shared" ca="1" si="29"/>
        <v/>
      </c>
      <c r="N171">
        <f t="shared" ca="1" si="30"/>
        <v>7</v>
      </c>
      <c r="O171">
        <f t="shared" ca="1" si="34"/>
        <v>0</v>
      </c>
      <c r="P171" t="str">
        <f ca="1">IF(O171=0,"",INDEX(data!$8:$1048576, ROW()-INDEX(code_list!M:M,code_list!N171), INDEX(code_list!J:J, code_list!N171+1)))</f>
        <v/>
      </c>
      <c r="Q171" t="str">
        <f t="shared" ca="1" si="35"/>
        <v/>
      </c>
      <c r="AF171">
        <f t="shared" ca="1" si="31"/>
        <v>2</v>
      </c>
      <c r="AG171">
        <f t="shared" ca="1" si="32"/>
        <v>0</v>
      </c>
      <c r="AH171" t="str">
        <f ca="1">IF(AG171=0,"",INDEX(data!$9:$1048576, ROW()-INDEX(code_list!AE:AE,code_list!AF171), INDEX(code_list!AB:AB, code_list!AF171+1)))</f>
        <v/>
      </c>
      <c r="AI171" t="str">
        <f t="shared" ca="1" si="33"/>
        <v/>
      </c>
    </row>
    <row r="172" spans="5:35">
      <c r="E172">
        <f t="shared" ca="1" si="27"/>
        <v>8</v>
      </c>
      <c r="F172">
        <f t="shared" ca="1" si="28"/>
        <v>0</v>
      </c>
      <c r="G172" t="str">
        <f ca="1">IF(F172=0,"",INDEX(data!$8:$1048576, ROW()-INDEX(code_list!D:D,code_list!E172), INDEX(code_list!A:A, code_list!E172+1)))</f>
        <v/>
      </c>
      <c r="H172" t="str">
        <f t="shared" ca="1" si="29"/>
        <v/>
      </c>
      <c r="N172">
        <f t="shared" ca="1" si="30"/>
        <v>7</v>
      </c>
      <c r="O172">
        <f t="shared" ca="1" si="34"/>
        <v>0</v>
      </c>
      <c r="P172" t="str">
        <f ca="1">IF(O172=0,"",INDEX(data!$8:$1048576, ROW()-INDEX(code_list!M:M,code_list!N172), INDEX(code_list!J:J, code_list!N172+1)))</f>
        <v/>
      </c>
      <c r="Q172" t="str">
        <f t="shared" ca="1" si="35"/>
        <v/>
      </c>
      <c r="AF172">
        <f t="shared" ca="1" si="31"/>
        <v>2</v>
      </c>
      <c r="AG172">
        <f t="shared" ca="1" si="32"/>
        <v>0</v>
      </c>
      <c r="AH172" t="str">
        <f ca="1">IF(AG172=0,"",INDEX(data!$9:$1048576, ROW()-INDEX(code_list!AE:AE,code_list!AF172), INDEX(code_list!AB:AB, code_list!AF172+1)))</f>
        <v/>
      </c>
      <c r="AI172" t="str">
        <f t="shared" ca="1" si="33"/>
        <v/>
      </c>
    </row>
    <row r="173" spans="5:35">
      <c r="E173">
        <f t="shared" ca="1" si="27"/>
        <v>8</v>
      </c>
      <c r="F173">
        <f t="shared" ca="1" si="28"/>
        <v>0</v>
      </c>
      <c r="G173" t="str">
        <f ca="1">IF(F173=0,"",INDEX(data!$8:$1048576, ROW()-INDEX(code_list!D:D,code_list!E173), INDEX(code_list!A:A, code_list!E173+1)))</f>
        <v/>
      </c>
      <c r="H173" t="str">
        <f t="shared" ca="1" si="29"/>
        <v/>
      </c>
      <c r="N173">
        <f t="shared" ca="1" si="30"/>
        <v>7</v>
      </c>
      <c r="O173">
        <f t="shared" ca="1" si="34"/>
        <v>0</v>
      </c>
      <c r="P173" t="str">
        <f ca="1">IF(O173=0,"",INDEX(data!$8:$1048576, ROW()-INDEX(code_list!M:M,code_list!N173), INDEX(code_list!J:J, code_list!N173+1)))</f>
        <v/>
      </c>
      <c r="Q173" t="str">
        <f t="shared" ca="1" si="35"/>
        <v/>
      </c>
      <c r="AF173">
        <f t="shared" ca="1" si="31"/>
        <v>2</v>
      </c>
      <c r="AG173">
        <f t="shared" ca="1" si="32"/>
        <v>0</v>
      </c>
      <c r="AH173" t="str">
        <f ca="1">IF(AG173=0,"",INDEX(data!$9:$1048576, ROW()-INDEX(code_list!AE:AE,code_list!AF173), INDEX(code_list!AB:AB, code_list!AF173+1)))</f>
        <v/>
      </c>
      <c r="AI173" t="str">
        <f t="shared" ca="1" si="33"/>
        <v/>
      </c>
    </row>
    <row r="174" spans="5:35">
      <c r="E174">
        <f t="shared" ca="1" si="27"/>
        <v>8</v>
      </c>
      <c r="F174">
        <f t="shared" ca="1" si="28"/>
        <v>0</v>
      </c>
      <c r="G174" t="str">
        <f ca="1">IF(F174=0,"",INDEX(data!$8:$1048576, ROW()-INDEX(code_list!D:D,code_list!E174), INDEX(code_list!A:A, code_list!E174+1)))</f>
        <v/>
      </c>
      <c r="H174" t="str">
        <f t="shared" ca="1" si="29"/>
        <v/>
      </c>
      <c r="N174">
        <f t="shared" ca="1" si="30"/>
        <v>7</v>
      </c>
      <c r="O174">
        <f t="shared" ca="1" si="34"/>
        <v>0</v>
      </c>
      <c r="P174" t="str">
        <f ca="1">IF(O174=0,"",INDEX(data!$8:$1048576, ROW()-INDEX(code_list!M:M,code_list!N174), INDEX(code_list!J:J, code_list!N174+1)))</f>
        <v/>
      </c>
      <c r="Q174" t="str">
        <f t="shared" ca="1" si="35"/>
        <v/>
      </c>
      <c r="AF174">
        <f t="shared" ca="1" si="31"/>
        <v>2</v>
      </c>
      <c r="AG174">
        <f t="shared" ca="1" si="32"/>
        <v>0</v>
      </c>
      <c r="AH174" t="str">
        <f ca="1">IF(AG174=0,"",INDEX(data!$9:$1048576, ROW()-INDEX(code_list!AE:AE,code_list!AF174), INDEX(code_list!AB:AB, code_list!AF174+1)))</f>
        <v/>
      </c>
      <c r="AI174" t="str">
        <f t="shared" ca="1" si="33"/>
        <v/>
      </c>
    </row>
    <row r="175" spans="5:35">
      <c r="E175">
        <f t="shared" ca="1" si="27"/>
        <v>8</v>
      </c>
      <c r="F175">
        <f t="shared" ca="1" si="28"/>
        <v>0</v>
      </c>
      <c r="G175" t="str">
        <f ca="1">IF(F175=0,"",INDEX(data!$8:$1048576, ROW()-INDEX(code_list!D:D,code_list!E175), INDEX(code_list!A:A, code_list!E175+1)))</f>
        <v/>
      </c>
      <c r="H175" t="str">
        <f t="shared" ca="1" si="29"/>
        <v/>
      </c>
      <c r="N175">
        <f t="shared" ca="1" si="30"/>
        <v>7</v>
      </c>
      <c r="O175">
        <f t="shared" ca="1" si="34"/>
        <v>0</v>
      </c>
      <c r="P175" t="str">
        <f ca="1">IF(O175=0,"",INDEX(data!$8:$1048576, ROW()-INDEX(code_list!M:M,code_list!N175), INDEX(code_list!J:J, code_list!N175+1)))</f>
        <v/>
      </c>
      <c r="Q175" t="str">
        <f t="shared" ca="1" si="35"/>
        <v/>
      </c>
      <c r="AF175">
        <f t="shared" ca="1" si="31"/>
        <v>2</v>
      </c>
      <c r="AG175">
        <f t="shared" ca="1" si="32"/>
        <v>0</v>
      </c>
      <c r="AH175" t="str">
        <f ca="1">IF(AG175=0,"",INDEX(data!$9:$1048576, ROW()-INDEX(code_list!AE:AE,code_list!AF175), INDEX(code_list!AB:AB, code_list!AF175+1)))</f>
        <v/>
      </c>
      <c r="AI175" t="str">
        <f t="shared" ca="1" si="33"/>
        <v/>
      </c>
    </row>
    <row r="176" spans="5:35">
      <c r="E176">
        <f t="shared" ca="1" si="27"/>
        <v>8</v>
      </c>
      <c r="F176">
        <f t="shared" ca="1" si="28"/>
        <v>0</v>
      </c>
      <c r="G176" t="str">
        <f ca="1">IF(F176=0,"",INDEX(data!$8:$1048576, ROW()-INDEX(code_list!D:D,code_list!E176), INDEX(code_list!A:A, code_list!E176+1)))</f>
        <v/>
      </c>
      <c r="H176" t="str">
        <f t="shared" ca="1" si="29"/>
        <v/>
      </c>
      <c r="N176">
        <f t="shared" ca="1" si="30"/>
        <v>7</v>
      </c>
      <c r="O176">
        <f t="shared" ca="1" si="34"/>
        <v>0</v>
      </c>
      <c r="P176" t="str">
        <f ca="1">IF(O176=0,"",INDEX(data!$8:$1048576, ROW()-INDEX(code_list!M:M,code_list!N176), INDEX(code_list!J:J, code_list!N176+1)))</f>
        <v/>
      </c>
      <c r="Q176" t="str">
        <f t="shared" ca="1" si="35"/>
        <v/>
      </c>
      <c r="AF176">
        <f t="shared" ca="1" si="31"/>
        <v>2</v>
      </c>
      <c r="AG176">
        <f t="shared" ca="1" si="32"/>
        <v>0</v>
      </c>
      <c r="AH176" t="str">
        <f ca="1">IF(AG176=0,"",INDEX(data!$9:$1048576, ROW()-INDEX(code_list!AE:AE,code_list!AF176), INDEX(code_list!AB:AB, code_list!AF176+1)))</f>
        <v/>
      </c>
      <c r="AI176" t="str">
        <f t="shared" ca="1" si="33"/>
        <v/>
      </c>
    </row>
    <row r="177" spans="5:35">
      <c r="E177">
        <f t="shared" ca="1" si="27"/>
        <v>8</v>
      </c>
      <c r="F177">
        <f t="shared" ca="1" si="28"/>
        <v>0</v>
      </c>
      <c r="G177" t="str">
        <f ca="1">IF(F177=0,"",INDEX(data!$8:$1048576, ROW()-INDEX(code_list!D:D,code_list!E177), INDEX(code_list!A:A, code_list!E177+1)))</f>
        <v/>
      </c>
      <c r="H177" t="str">
        <f t="shared" ca="1" si="29"/>
        <v/>
      </c>
      <c r="N177">
        <f t="shared" ca="1" si="30"/>
        <v>7</v>
      </c>
      <c r="O177">
        <f t="shared" ca="1" si="34"/>
        <v>0</v>
      </c>
      <c r="P177" t="str">
        <f ca="1">IF(O177=0,"",INDEX(data!$8:$1048576, ROW()-INDEX(code_list!M:M,code_list!N177), INDEX(code_list!J:J, code_list!N177+1)))</f>
        <v/>
      </c>
      <c r="Q177" t="str">
        <f t="shared" ca="1" si="35"/>
        <v/>
      </c>
      <c r="AF177">
        <f t="shared" ca="1" si="31"/>
        <v>2</v>
      </c>
      <c r="AG177">
        <f t="shared" ca="1" si="32"/>
        <v>0</v>
      </c>
      <c r="AH177" t="str">
        <f ca="1">IF(AG177=0,"",INDEX(data!$9:$1048576, ROW()-INDEX(code_list!AE:AE,code_list!AF177), INDEX(code_list!AB:AB, code_list!AF177+1)))</f>
        <v/>
      </c>
      <c r="AI177" t="str">
        <f t="shared" ca="1" si="33"/>
        <v/>
      </c>
    </row>
    <row r="178" spans="5:35">
      <c r="E178">
        <f t="shared" ca="1" si="27"/>
        <v>8</v>
      </c>
      <c r="F178">
        <f t="shared" ca="1" si="28"/>
        <v>0</v>
      </c>
      <c r="G178" t="str">
        <f ca="1">IF(F178=0,"",INDEX(data!$8:$1048576, ROW()-INDEX(code_list!D:D,code_list!E178), INDEX(code_list!A:A, code_list!E178+1)))</f>
        <v/>
      </c>
      <c r="H178" t="str">
        <f t="shared" ca="1" si="29"/>
        <v/>
      </c>
      <c r="N178">
        <f t="shared" ca="1" si="30"/>
        <v>7</v>
      </c>
      <c r="O178">
        <f t="shared" ca="1" si="34"/>
        <v>0</v>
      </c>
      <c r="P178" t="str">
        <f ca="1">IF(O178=0,"",INDEX(data!$8:$1048576, ROW()-INDEX(code_list!M:M,code_list!N178), INDEX(code_list!J:J, code_list!N178+1)))</f>
        <v/>
      </c>
      <c r="Q178" t="str">
        <f t="shared" ca="1" si="35"/>
        <v/>
      </c>
      <c r="AF178">
        <f t="shared" ca="1" si="31"/>
        <v>2</v>
      </c>
      <c r="AG178">
        <f t="shared" ca="1" si="32"/>
        <v>0</v>
      </c>
      <c r="AH178" t="str">
        <f ca="1">IF(AG178=0,"",INDEX(data!$9:$1048576, ROW()-INDEX(code_list!AE:AE,code_list!AF178), INDEX(code_list!AB:AB, code_list!AF178+1)))</f>
        <v/>
      </c>
      <c r="AI178" t="str">
        <f t="shared" ca="1" si="33"/>
        <v/>
      </c>
    </row>
    <row r="179" spans="5:35">
      <c r="E179">
        <f t="shared" ca="1" si="27"/>
        <v>8</v>
      </c>
      <c r="F179">
        <f t="shared" ca="1" si="28"/>
        <v>0</v>
      </c>
      <c r="G179" t="str">
        <f ca="1">IF(F179=0,"",INDEX(data!$8:$1048576, ROW()-INDEX(code_list!D:D,code_list!E179), INDEX(code_list!A:A, code_list!E179+1)))</f>
        <v/>
      </c>
      <c r="H179" t="str">
        <f t="shared" ca="1" si="29"/>
        <v/>
      </c>
      <c r="N179">
        <f t="shared" ca="1" si="30"/>
        <v>7</v>
      </c>
      <c r="O179">
        <f t="shared" ca="1" si="34"/>
        <v>0</v>
      </c>
      <c r="P179" t="str">
        <f ca="1">IF(O179=0,"",INDEX(data!$8:$1048576, ROW()-INDEX(code_list!M:M,code_list!N179), INDEX(code_list!J:J, code_list!N179+1)))</f>
        <v/>
      </c>
      <c r="Q179" t="str">
        <f t="shared" ca="1" si="35"/>
        <v/>
      </c>
      <c r="AF179">
        <f t="shared" ca="1" si="31"/>
        <v>2</v>
      </c>
      <c r="AG179">
        <f t="shared" ca="1" si="32"/>
        <v>0</v>
      </c>
      <c r="AH179" t="str">
        <f ca="1">IF(AG179=0,"",INDEX(data!$9:$1048576, ROW()-INDEX(code_list!AE:AE,code_list!AF179), INDEX(code_list!AB:AB, code_list!AF179+1)))</f>
        <v/>
      </c>
      <c r="AI179" t="str">
        <f t="shared" ca="1" si="33"/>
        <v/>
      </c>
    </row>
    <row r="180" spans="5:35">
      <c r="E180">
        <f t="shared" ca="1" si="27"/>
        <v>8</v>
      </c>
      <c r="F180">
        <f t="shared" ca="1" si="28"/>
        <v>0</v>
      </c>
      <c r="G180" t="str">
        <f ca="1">IF(F180=0,"",INDEX(data!$8:$1048576, ROW()-INDEX(code_list!D:D,code_list!E180), INDEX(code_list!A:A, code_list!E180+1)))</f>
        <v/>
      </c>
      <c r="H180" t="str">
        <f t="shared" ca="1" si="29"/>
        <v/>
      </c>
      <c r="N180">
        <f t="shared" ca="1" si="30"/>
        <v>7</v>
      </c>
      <c r="O180">
        <f t="shared" ca="1" si="34"/>
        <v>0</v>
      </c>
      <c r="P180" t="str">
        <f ca="1">IF(O180=0,"",INDEX(data!$8:$1048576, ROW()-INDEX(code_list!M:M,code_list!N180), INDEX(code_list!J:J, code_list!N180+1)))</f>
        <v/>
      </c>
      <c r="Q180" t="str">
        <f t="shared" ca="1" si="35"/>
        <v/>
      </c>
      <c r="AF180">
        <f t="shared" ca="1" si="31"/>
        <v>2</v>
      </c>
      <c r="AG180">
        <f t="shared" ca="1" si="32"/>
        <v>0</v>
      </c>
      <c r="AH180" t="str">
        <f ca="1">IF(AG180=0,"",INDEX(data!$9:$1048576, ROW()-INDEX(code_list!AE:AE,code_list!AF180), INDEX(code_list!AB:AB, code_list!AF180+1)))</f>
        <v/>
      </c>
      <c r="AI180" t="str">
        <f t="shared" ca="1" si="33"/>
        <v/>
      </c>
    </row>
    <row r="181" spans="5:35">
      <c r="E181">
        <f t="shared" ca="1" si="27"/>
        <v>8</v>
      </c>
      <c r="F181">
        <f t="shared" ca="1" si="28"/>
        <v>0</v>
      </c>
      <c r="G181" t="str">
        <f ca="1">IF(F181=0,"",INDEX(data!$8:$1048576, ROW()-INDEX(code_list!D:D,code_list!E181), INDEX(code_list!A:A, code_list!E181+1)))</f>
        <v/>
      </c>
      <c r="H181" t="str">
        <f t="shared" ca="1" si="29"/>
        <v/>
      </c>
      <c r="N181">
        <f t="shared" ca="1" si="30"/>
        <v>7</v>
      </c>
      <c r="O181">
        <f t="shared" ca="1" si="34"/>
        <v>0</v>
      </c>
      <c r="P181" t="str">
        <f ca="1">IF(O181=0,"",INDEX(data!$8:$1048576, ROW()-INDEX(code_list!M:M,code_list!N181), INDEX(code_list!J:J, code_list!N181+1)))</f>
        <v/>
      </c>
      <c r="Q181" t="str">
        <f t="shared" ca="1" si="35"/>
        <v/>
      </c>
      <c r="AF181">
        <f t="shared" ca="1" si="31"/>
        <v>2</v>
      </c>
      <c r="AG181">
        <f t="shared" ca="1" si="32"/>
        <v>0</v>
      </c>
      <c r="AH181" t="str">
        <f ca="1">IF(AG181=0,"",INDEX(data!$9:$1048576, ROW()-INDEX(code_list!AE:AE,code_list!AF181), INDEX(code_list!AB:AB, code_list!AF181+1)))</f>
        <v/>
      </c>
      <c r="AI181" t="str">
        <f t="shared" ca="1" si="33"/>
        <v/>
      </c>
    </row>
    <row r="182" spans="5:35">
      <c r="E182">
        <f t="shared" ca="1" si="27"/>
        <v>8</v>
      </c>
      <c r="F182">
        <f t="shared" ca="1" si="28"/>
        <v>0</v>
      </c>
      <c r="G182" t="str">
        <f ca="1">IF(F182=0,"",INDEX(data!$8:$1048576, ROW()-INDEX(code_list!D:D,code_list!E182), INDEX(code_list!A:A, code_list!E182+1)))</f>
        <v/>
      </c>
      <c r="H182" t="str">
        <f t="shared" ca="1" si="29"/>
        <v/>
      </c>
      <c r="N182">
        <f t="shared" ca="1" si="30"/>
        <v>7</v>
      </c>
      <c r="O182">
        <f t="shared" ca="1" si="34"/>
        <v>0</v>
      </c>
      <c r="P182" t="str">
        <f ca="1">IF(O182=0,"",INDEX(data!$8:$1048576, ROW()-INDEX(code_list!M:M,code_list!N182), INDEX(code_list!J:J, code_list!N182+1)))</f>
        <v/>
      </c>
      <c r="Q182" t="str">
        <f t="shared" ca="1" si="35"/>
        <v/>
      </c>
      <c r="AF182">
        <f t="shared" ca="1" si="31"/>
        <v>2</v>
      </c>
      <c r="AG182">
        <f t="shared" ca="1" si="32"/>
        <v>0</v>
      </c>
      <c r="AH182" t="str">
        <f ca="1">IF(AG182=0,"",INDEX(data!$9:$1048576, ROW()-INDEX(code_list!AE:AE,code_list!AF182), INDEX(code_list!AB:AB, code_list!AF182+1)))</f>
        <v/>
      </c>
      <c r="AI182" t="str">
        <f t="shared" ca="1" si="33"/>
        <v/>
      </c>
    </row>
    <row r="183" spans="5:35">
      <c r="E183">
        <f t="shared" ca="1" si="27"/>
        <v>8</v>
      </c>
      <c r="F183">
        <f t="shared" ca="1" si="28"/>
        <v>0</v>
      </c>
      <c r="G183" t="str">
        <f ca="1">IF(F183=0,"",INDEX(data!$8:$1048576, ROW()-INDEX(code_list!D:D,code_list!E183), INDEX(code_list!A:A, code_list!E183+1)))</f>
        <v/>
      </c>
      <c r="H183" t="str">
        <f t="shared" ca="1" si="29"/>
        <v/>
      </c>
      <c r="N183">
        <f t="shared" ca="1" si="30"/>
        <v>7</v>
      </c>
      <c r="O183">
        <f t="shared" ca="1" si="34"/>
        <v>0</v>
      </c>
      <c r="P183" t="str">
        <f ca="1">IF(O183=0,"",INDEX(data!$8:$1048576, ROW()-INDEX(code_list!M:M,code_list!N183), INDEX(code_list!J:J, code_list!N183+1)))</f>
        <v/>
      </c>
      <c r="Q183" t="str">
        <f t="shared" ca="1" si="35"/>
        <v/>
      </c>
      <c r="AF183">
        <f t="shared" ca="1" si="31"/>
        <v>2</v>
      </c>
      <c r="AG183">
        <f t="shared" ca="1" si="32"/>
        <v>0</v>
      </c>
      <c r="AH183" t="str">
        <f ca="1">IF(AG183=0,"",INDEX(data!$9:$1048576, ROW()-INDEX(code_list!AE:AE,code_list!AF183), INDEX(code_list!AB:AB, code_list!AF183+1)))</f>
        <v/>
      </c>
      <c r="AI183" t="str">
        <f t="shared" ca="1" si="33"/>
        <v/>
      </c>
    </row>
    <row r="184" spans="5:35">
      <c r="E184">
        <f t="shared" ca="1" si="27"/>
        <v>8</v>
      </c>
      <c r="F184">
        <f t="shared" ca="1" si="28"/>
        <v>0</v>
      </c>
      <c r="G184" t="str">
        <f ca="1">IF(F184=0,"",INDEX(data!$8:$1048576, ROW()-INDEX(code_list!D:D,code_list!E184), INDEX(code_list!A:A, code_list!E184+1)))</f>
        <v/>
      </c>
      <c r="H184" t="str">
        <f t="shared" ca="1" si="29"/>
        <v/>
      </c>
      <c r="N184">
        <f t="shared" ca="1" si="30"/>
        <v>7</v>
      </c>
      <c r="O184">
        <f t="shared" ca="1" si="34"/>
        <v>0</v>
      </c>
      <c r="P184" t="str">
        <f ca="1">IF(O184=0,"",INDEX(data!$8:$1048576, ROW()-INDEX(code_list!M:M,code_list!N184), INDEX(code_list!J:J, code_list!N184+1)))</f>
        <v/>
      </c>
      <c r="Q184" t="str">
        <f t="shared" ca="1" si="35"/>
        <v/>
      </c>
      <c r="AF184">
        <f t="shared" ca="1" si="31"/>
        <v>2</v>
      </c>
      <c r="AG184">
        <f t="shared" ca="1" si="32"/>
        <v>0</v>
      </c>
      <c r="AH184" t="str">
        <f ca="1">IF(AG184=0,"",INDEX(data!$9:$1048576, ROW()-INDEX(code_list!AE:AE,code_list!AF184), INDEX(code_list!AB:AB, code_list!AF184+1)))</f>
        <v/>
      </c>
      <c r="AI184" t="str">
        <f t="shared" ca="1" si="33"/>
        <v/>
      </c>
    </row>
    <row r="185" spans="5:35">
      <c r="E185">
        <f t="shared" ca="1" si="27"/>
        <v>8</v>
      </c>
      <c r="F185">
        <f t="shared" ca="1" si="28"/>
        <v>0</v>
      </c>
      <c r="G185" t="str">
        <f ca="1">IF(F185=0,"",INDEX(data!$8:$1048576, ROW()-INDEX(code_list!D:D,code_list!E185), INDEX(code_list!A:A, code_list!E185+1)))</f>
        <v/>
      </c>
      <c r="H185" t="str">
        <f t="shared" ca="1" si="29"/>
        <v/>
      </c>
      <c r="N185">
        <f t="shared" ca="1" si="30"/>
        <v>7</v>
      </c>
      <c r="O185">
        <f t="shared" ca="1" si="34"/>
        <v>0</v>
      </c>
      <c r="P185" t="str">
        <f ca="1">IF(O185=0,"",INDEX(data!$8:$1048576, ROW()-INDEX(code_list!M:M,code_list!N185), INDEX(code_list!J:J, code_list!N185+1)))</f>
        <v/>
      </c>
      <c r="Q185" t="str">
        <f t="shared" ca="1" si="35"/>
        <v/>
      </c>
      <c r="AF185">
        <f t="shared" ca="1" si="31"/>
        <v>2</v>
      </c>
      <c r="AG185">
        <f t="shared" ca="1" si="32"/>
        <v>0</v>
      </c>
      <c r="AH185" t="str">
        <f ca="1">IF(AG185=0,"",INDEX(data!$9:$1048576, ROW()-INDEX(code_list!AE:AE,code_list!AF185), INDEX(code_list!AB:AB, code_list!AF185+1)))</f>
        <v/>
      </c>
      <c r="AI185" t="str">
        <f t="shared" ca="1" si="33"/>
        <v/>
      </c>
    </row>
    <row r="186" spans="5:35">
      <c r="E186">
        <f t="shared" ca="1" si="27"/>
        <v>8</v>
      </c>
      <c r="F186">
        <f t="shared" ca="1" si="28"/>
        <v>0</v>
      </c>
      <c r="G186" t="str">
        <f ca="1">IF(F186=0,"",INDEX(data!$8:$1048576, ROW()-INDEX(code_list!D:D,code_list!E186), INDEX(code_list!A:A, code_list!E186+1)))</f>
        <v/>
      </c>
      <c r="H186" t="str">
        <f t="shared" ca="1" si="29"/>
        <v/>
      </c>
      <c r="N186">
        <f t="shared" ca="1" si="30"/>
        <v>7</v>
      </c>
      <c r="O186">
        <f t="shared" ca="1" si="34"/>
        <v>0</v>
      </c>
      <c r="P186" t="str">
        <f ca="1">IF(O186=0,"",INDEX(data!$8:$1048576, ROW()-INDEX(code_list!M:M,code_list!N186), INDEX(code_list!J:J, code_list!N186+1)))</f>
        <v/>
      </c>
      <c r="Q186" t="str">
        <f t="shared" ca="1" si="35"/>
        <v/>
      </c>
      <c r="AF186">
        <f t="shared" ca="1" si="31"/>
        <v>2</v>
      </c>
      <c r="AG186">
        <f t="shared" ca="1" si="32"/>
        <v>0</v>
      </c>
      <c r="AH186" t="str">
        <f ca="1">IF(AG186=0,"",INDEX(data!$9:$1048576, ROW()-INDEX(code_list!AE:AE,code_list!AF186), INDEX(code_list!AB:AB, code_list!AF186+1)))</f>
        <v/>
      </c>
      <c r="AI186" t="str">
        <f t="shared" ca="1" si="33"/>
        <v/>
      </c>
    </row>
    <row r="187" spans="5:35">
      <c r="E187">
        <f t="shared" ca="1" si="27"/>
        <v>8</v>
      </c>
      <c r="F187">
        <f t="shared" ca="1" si="28"/>
        <v>0</v>
      </c>
      <c r="G187" t="str">
        <f ca="1">IF(F187=0,"",INDEX(data!$8:$1048576, ROW()-INDEX(code_list!D:D,code_list!E187), INDEX(code_list!A:A, code_list!E187+1)))</f>
        <v/>
      </c>
      <c r="H187" t="str">
        <f t="shared" ca="1" si="29"/>
        <v/>
      </c>
      <c r="N187">
        <f t="shared" ca="1" si="30"/>
        <v>7</v>
      </c>
      <c r="O187">
        <f t="shared" ca="1" si="34"/>
        <v>0</v>
      </c>
      <c r="P187" t="str">
        <f ca="1">IF(O187=0,"",INDEX(data!$8:$1048576, ROW()-INDEX(code_list!M:M,code_list!N187), INDEX(code_list!J:J, code_list!N187+1)))</f>
        <v/>
      </c>
      <c r="Q187" t="str">
        <f t="shared" ca="1" si="35"/>
        <v/>
      </c>
      <c r="AF187">
        <f t="shared" ca="1" si="31"/>
        <v>2</v>
      </c>
      <c r="AG187">
        <f t="shared" ca="1" si="32"/>
        <v>0</v>
      </c>
      <c r="AH187" t="str">
        <f ca="1">IF(AG187=0,"",INDEX(data!$9:$1048576, ROW()-INDEX(code_list!AE:AE,code_list!AF187), INDEX(code_list!AB:AB, code_list!AF187+1)))</f>
        <v/>
      </c>
      <c r="AI187" t="str">
        <f t="shared" ca="1" si="33"/>
        <v/>
      </c>
    </row>
    <row r="188" spans="5:35">
      <c r="E188">
        <f t="shared" ca="1" si="27"/>
        <v>8</v>
      </c>
      <c r="F188">
        <f t="shared" ca="1" si="28"/>
        <v>0</v>
      </c>
      <c r="G188" t="str">
        <f ca="1">IF(F188=0,"",INDEX(data!$8:$1048576, ROW()-INDEX(code_list!D:D,code_list!E188), INDEX(code_list!A:A, code_list!E188+1)))</f>
        <v/>
      </c>
      <c r="H188" t="str">
        <f t="shared" ca="1" si="29"/>
        <v/>
      </c>
      <c r="N188">
        <f t="shared" ca="1" si="30"/>
        <v>7</v>
      </c>
      <c r="O188">
        <f t="shared" ca="1" si="34"/>
        <v>0</v>
      </c>
      <c r="P188" t="str">
        <f ca="1">IF(O188=0,"",INDEX(data!$8:$1048576, ROW()-INDEX(code_list!M:M,code_list!N188), INDEX(code_list!J:J, code_list!N188+1)))</f>
        <v/>
      </c>
      <c r="Q188" t="str">
        <f t="shared" ca="1" si="35"/>
        <v/>
      </c>
      <c r="AF188">
        <f t="shared" ca="1" si="31"/>
        <v>2</v>
      </c>
      <c r="AG188">
        <f t="shared" ca="1" si="32"/>
        <v>0</v>
      </c>
      <c r="AH188" t="str">
        <f ca="1">IF(AG188=0,"",INDEX(data!$9:$1048576, ROW()-INDEX(code_list!AE:AE,code_list!AF188), INDEX(code_list!AB:AB, code_list!AF188+1)))</f>
        <v/>
      </c>
      <c r="AI188" t="str">
        <f t="shared" ca="1" si="33"/>
        <v/>
      </c>
    </row>
    <row r="189" spans="5:35">
      <c r="E189">
        <f t="shared" ca="1" si="27"/>
        <v>8</v>
      </c>
      <c r="F189">
        <f t="shared" ca="1" si="28"/>
        <v>0</v>
      </c>
      <c r="G189" t="str">
        <f ca="1">IF(F189=0,"",INDEX(data!$8:$1048576, ROW()-INDEX(code_list!D:D,code_list!E189), INDEX(code_list!A:A, code_list!E189+1)))</f>
        <v/>
      </c>
      <c r="H189" t="str">
        <f t="shared" ca="1" si="29"/>
        <v/>
      </c>
      <c r="N189">
        <f t="shared" ca="1" si="30"/>
        <v>7</v>
      </c>
      <c r="O189">
        <f t="shared" ca="1" si="34"/>
        <v>0</v>
      </c>
      <c r="P189" t="str">
        <f ca="1">IF(O189=0,"",INDEX(data!$8:$1048576, ROW()-INDEX(code_list!M:M,code_list!N189), INDEX(code_list!J:J, code_list!N189+1)))</f>
        <v/>
      </c>
      <c r="Q189" t="str">
        <f t="shared" ca="1" si="35"/>
        <v/>
      </c>
      <c r="AF189">
        <f t="shared" ca="1" si="31"/>
        <v>2</v>
      </c>
      <c r="AG189">
        <f t="shared" ca="1" si="32"/>
        <v>0</v>
      </c>
      <c r="AH189" t="str">
        <f ca="1">IF(AG189=0,"",INDEX(data!$9:$1048576, ROW()-INDEX(code_list!AE:AE,code_list!AF189), INDEX(code_list!AB:AB, code_list!AF189+1)))</f>
        <v/>
      </c>
      <c r="AI189" t="str">
        <f t="shared" ca="1" si="33"/>
        <v/>
      </c>
    </row>
    <row r="190" spans="5:35">
      <c r="E190">
        <f t="shared" ca="1" si="27"/>
        <v>8</v>
      </c>
      <c r="F190">
        <f t="shared" ca="1" si="28"/>
        <v>0</v>
      </c>
      <c r="G190" t="str">
        <f ca="1">IF(F190=0,"",INDEX(data!$8:$1048576, ROW()-INDEX(code_list!D:D,code_list!E190), INDEX(code_list!A:A, code_list!E190+1)))</f>
        <v/>
      </c>
      <c r="H190" t="str">
        <f t="shared" ca="1" si="29"/>
        <v/>
      </c>
      <c r="N190">
        <f t="shared" ca="1" si="30"/>
        <v>7</v>
      </c>
      <c r="O190">
        <f t="shared" ca="1" si="34"/>
        <v>0</v>
      </c>
      <c r="P190" t="str">
        <f ca="1">IF(O190=0,"",INDEX(data!$8:$1048576, ROW()-INDEX(code_list!M:M,code_list!N190), INDEX(code_list!J:J, code_list!N190+1)))</f>
        <v/>
      </c>
      <c r="Q190" t="str">
        <f t="shared" ca="1" si="35"/>
        <v/>
      </c>
      <c r="AF190">
        <f t="shared" ca="1" si="31"/>
        <v>2</v>
      </c>
      <c r="AG190">
        <f t="shared" ca="1" si="32"/>
        <v>0</v>
      </c>
      <c r="AH190" t="str">
        <f ca="1">IF(AG190=0,"",INDEX(data!$9:$1048576, ROW()-INDEX(code_list!AE:AE,code_list!AF190), INDEX(code_list!AB:AB, code_list!AF190+1)))</f>
        <v/>
      </c>
      <c r="AI190" t="str">
        <f t="shared" ca="1" si="33"/>
        <v/>
      </c>
    </row>
    <row r="191" spans="5:35">
      <c r="E191">
        <f t="shared" ca="1" si="27"/>
        <v>8</v>
      </c>
      <c r="F191">
        <f t="shared" ca="1" si="28"/>
        <v>0</v>
      </c>
      <c r="G191" t="str">
        <f ca="1">IF(F191=0,"",INDEX(data!$8:$1048576, ROW()-INDEX(code_list!D:D,code_list!E191), INDEX(code_list!A:A, code_list!E191+1)))</f>
        <v/>
      </c>
      <c r="H191" t="str">
        <f t="shared" ca="1" si="29"/>
        <v/>
      </c>
      <c r="N191">
        <f t="shared" ca="1" si="30"/>
        <v>7</v>
      </c>
      <c r="O191">
        <f t="shared" ca="1" si="34"/>
        <v>0</v>
      </c>
      <c r="P191" t="str">
        <f ca="1">IF(O191=0,"",INDEX(data!$8:$1048576, ROW()-INDEX(code_list!M:M,code_list!N191), INDEX(code_list!J:J, code_list!N191+1)))</f>
        <v/>
      </c>
      <c r="Q191" t="str">
        <f t="shared" ca="1" si="35"/>
        <v/>
      </c>
      <c r="AF191">
        <f t="shared" ca="1" si="31"/>
        <v>2</v>
      </c>
      <c r="AG191">
        <f t="shared" ca="1" si="32"/>
        <v>0</v>
      </c>
      <c r="AH191" t="str">
        <f ca="1">IF(AG191=0,"",INDEX(data!$9:$1048576, ROW()-INDEX(code_list!AE:AE,code_list!AF191), INDEX(code_list!AB:AB, code_list!AF191+1)))</f>
        <v/>
      </c>
      <c r="AI191" t="str">
        <f t="shared" ca="1" si="33"/>
        <v/>
      </c>
    </row>
    <row r="192" spans="5:35">
      <c r="E192">
        <f t="shared" ca="1" si="27"/>
        <v>8</v>
      </c>
      <c r="F192">
        <f t="shared" ca="1" si="28"/>
        <v>0</v>
      </c>
      <c r="G192" t="str">
        <f ca="1">IF(F192=0,"",INDEX(data!$8:$1048576, ROW()-INDEX(code_list!D:D,code_list!E192), INDEX(code_list!A:A, code_list!E192+1)))</f>
        <v/>
      </c>
      <c r="H192" t="str">
        <f t="shared" ca="1" si="29"/>
        <v/>
      </c>
      <c r="N192">
        <f t="shared" ca="1" si="30"/>
        <v>7</v>
      </c>
      <c r="O192">
        <f t="shared" ca="1" si="34"/>
        <v>0</v>
      </c>
      <c r="P192" t="str">
        <f ca="1">IF(O192=0,"",INDEX(data!$8:$1048576, ROW()-INDEX(code_list!M:M,code_list!N192), INDEX(code_list!J:J, code_list!N192+1)))</f>
        <v/>
      </c>
      <c r="Q192" t="str">
        <f t="shared" ca="1" si="35"/>
        <v/>
      </c>
      <c r="AF192">
        <f t="shared" ca="1" si="31"/>
        <v>2</v>
      </c>
      <c r="AG192">
        <f t="shared" ca="1" si="32"/>
        <v>0</v>
      </c>
      <c r="AH192" t="str">
        <f ca="1">IF(AG192=0,"",INDEX(data!$9:$1048576, ROW()-INDEX(code_list!AE:AE,code_list!AF192), INDEX(code_list!AB:AB, code_list!AF192+1)))</f>
        <v/>
      </c>
      <c r="AI192" t="str">
        <f t="shared" ca="1" si="33"/>
        <v/>
      </c>
    </row>
    <row r="193" spans="5:35">
      <c r="E193">
        <f t="shared" ca="1" si="27"/>
        <v>8</v>
      </c>
      <c r="F193">
        <f t="shared" ca="1" si="28"/>
        <v>0</v>
      </c>
      <c r="G193" t="str">
        <f ca="1">IF(F193=0,"",INDEX(data!$8:$1048576, ROW()-INDEX(code_list!D:D,code_list!E193), INDEX(code_list!A:A, code_list!E193+1)))</f>
        <v/>
      </c>
      <c r="H193" t="str">
        <f t="shared" ca="1" si="29"/>
        <v/>
      </c>
      <c r="N193">
        <f t="shared" ca="1" si="30"/>
        <v>7</v>
      </c>
      <c r="O193">
        <f t="shared" ca="1" si="34"/>
        <v>0</v>
      </c>
      <c r="P193" t="str">
        <f ca="1">IF(O193=0,"",INDEX(data!$8:$1048576, ROW()-INDEX(code_list!M:M,code_list!N193), INDEX(code_list!J:J, code_list!N193+1)))</f>
        <v/>
      </c>
      <c r="Q193" t="str">
        <f t="shared" ca="1" si="35"/>
        <v/>
      </c>
      <c r="AF193">
        <f t="shared" ca="1" si="31"/>
        <v>2</v>
      </c>
      <c r="AG193">
        <f t="shared" ca="1" si="32"/>
        <v>0</v>
      </c>
      <c r="AH193" t="str">
        <f ca="1">IF(AG193=0,"",INDEX(data!$9:$1048576, ROW()-INDEX(code_list!AE:AE,code_list!AF193), INDEX(code_list!AB:AB, code_list!AF193+1)))</f>
        <v/>
      </c>
      <c r="AI193" t="str">
        <f t="shared" ca="1" si="33"/>
        <v/>
      </c>
    </row>
    <row r="194" spans="5:35">
      <c r="E194">
        <f t="shared" ref="E194:E200" ca="1" si="36">IFERROR(MATCH(ROW()-1,D:D,0),MATCH(ROW()-1,D:D,1))</f>
        <v>8</v>
      </c>
      <c r="F194">
        <f t="shared" ref="F194:F200" ca="1" si="37">INDEX(C:C, E194+1)</f>
        <v>0</v>
      </c>
      <c r="G194" t="str">
        <f ca="1">IF(F194=0,"",INDEX(data!$8:$1048576, ROW()-INDEX(code_list!D:D,code_list!E194), INDEX(code_list!A:A, code_list!E194+1)))</f>
        <v/>
      </c>
      <c r="H194" t="str">
        <f t="shared" ref="H194:H200" ca="1" si="38">IFERROR(IF(G194="표준코드",F194,G194),"")</f>
        <v/>
      </c>
      <c r="N194">
        <f t="shared" ref="N194:N200" ca="1" si="39">IFERROR(MATCH(ROW()-1,M:M,0),MATCH(ROW()-1,M:M,1))</f>
        <v>7</v>
      </c>
      <c r="O194">
        <f t="shared" ca="1" si="34"/>
        <v>0</v>
      </c>
      <c r="P194" t="str">
        <f ca="1">IF(O194=0,"",INDEX(data!$8:$1048576, ROW()-INDEX(code_list!M:M,code_list!N194), INDEX(code_list!J:J, code_list!N194+1)))</f>
        <v/>
      </c>
      <c r="Q194" t="str">
        <f t="shared" ca="1" si="35"/>
        <v/>
      </c>
      <c r="AF194">
        <f t="shared" ref="AF194:AF200" ca="1" si="40">IFERROR(MATCH(ROW()-1,AE:AE,0),MATCH(ROW()-1,AE:AE,1))</f>
        <v>2</v>
      </c>
      <c r="AG194">
        <f t="shared" ref="AG194:AG200" ca="1" si="41">INDEX(AD:AD, AF194+1)</f>
        <v>0</v>
      </c>
      <c r="AH194" t="str">
        <f ca="1">IF(AG194=0,"",INDEX(data!$9:$1048576, ROW()-INDEX(code_list!AE:AE,code_list!AF194), INDEX(code_list!AB:AB, code_list!AF194+1)))</f>
        <v/>
      </c>
      <c r="AI194" t="str">
        <f t="shared" ref="AI194:AI200" ca="1" si="42">IFERROR(IF(AH194="표준코드",AG194,AH194),"")</f>
        <v/>
      </c>
    </row>
    <row r="195" spans="5:35">
      <c r="E195">
        <f t="shared" ca="1" si="36"/>
        <v>8</v>
      </c>
      <c r="F195">
        <f t="shared" ca="1" si="37"/>
        <v>0</v>
      </c>
      <c r="G195" t="str">
        <f ca="1">IF(F195=0,"",INDEX(data!$8:$1048576, ROW()-INDEX(code_list!D:D,code_list!E195), INDEX(code_list!A:A, code_list!E195+1)))</f>
        <v/>
      </c>
      <c r="H195" t="str">
        <f t="shared" ca="1" si="38"/>
        <v/>
      </c>
      <c r="N195">
        <f t="shared" ca="1" si="39"/>
        <v>7</v>
      </c>
      <c r="O195">
        <f t="shared" ca="1" si="34"/>
        <v>0</v>
      </c>
      <c r="P195" t="str">
        <f ca="1">IF(O195=0,"",INDEX(data!$8:$1048576, ROW()-INDEX(code_list!M:M,code_list!N195), INDEX(code_list!J:J, code_list!N195+1)))</f>
        <v/>
      </c>
      <c r="Q195" t="str">
        <f t="shared" ca="1" si="35"/>
        <v/>
      </c>
      <c r="AF195">
        <f t="shared" ca="1" si="40"/>
        <v>2</v>
      </c>
      <c r="AG195">
        <f t="shared" ca="1" si="41"/>
        <v>0</v>
      </c>
      <c r="AH195" t="str">
        <f ca="1">IF(AG195=0,"",INDEX(data!$9:$1048576, ROW()-INDEX(code_list!AE:AE,code_list!AF195), INDEX(code_list!AB:AB, code_list!AF195+1)))</f>
        <v/>
      </c>
      <c r="AI195" t="str">
        <f t="shared" ca="1" si="42"/>
        <v/>
      </c>
    </row>
    <row r="196" spans="5:35">
      <c r="E196">
        <f t="shared" ca="1" si="36"/>
        <v>8</v>
      </c>
      <c r="F196">
        <f t="shared" ca="1" si="37"/>
        <v>0</v>
      </c>
      <c r="G196" t="str">
        <f ca="1">IF(F196=0,"",INDEX(data!$8:$1048576, ROW()-INDEX(code_list!D:D,code_list!E196), INDEX(code_list!A:A, code_list!E196+1)))</f>
        <v/>
      </c>
      <c r="H196" t="str">
        <f t="shared" ca="1" si="38"/>
        <v/>
      </c>
      <c r="N196">
        <f t="shared" ca="1" si="39"/>
        <v>7</v>
      </c>
      <c r="O196">
        <f t="shared" ca="1" si="34"/>
        <v>0</v>
      </c>
      <c r="P196" t="str">
        <f ca="1">IF(O196=0,"",INDEX(data!$8:$1048576, ROW()-INDEX(code_list!M:M,code_list!N196), INDEX(code_list!J:J, code_list!N196+1)))</f>
        <v/>
      </c>
      <c r="Q196" t="str">
        <f t="shared" ca="1" si="35"/>
        <v/>
      </c>
      <c r="AF196">
        <f t="shared" ca="1" si="40"/>
        <v>2</v>
      </c>
      <c r="AG196">
        <f t="shared" ca="1" si="41"/>
        <v>0</v>
      </c>
      <c r="AH196" t="str">
        <f ca="1">IF(AG196=0,"",INDEX(data!$9:$1048576, ROW()-INDEX(code_list!AE:AE,code_list!AF196), INDEX(code_list!AB:AB, code_list!AF196+1)))</f>
        <v/>
      </c>
      <c r="AI196" t="str">
        <f t="shared" ca="1" si="42"/>
        <v/>
      </c>
    </row>
    <row r="197" spans="5:35">
      <c r="E197">
        <f t="shared" ca="1" si="36"/>
        <v>8</v>
      </c>
      <c r="F197">
        <f t="shared" ca="1" si="37"/>
        <v>0</v>
      </c>
      <c r="G197" t="str">
        <f ca="1">IF(F197=0,"",INDEX(data!$8:$1048576, ROW()-INDEX(code_list!D:D,code_list!E197), INDEX(code_list!A:A, code_list!E197+1)))</f>
        <v/>
      </c>
      <c r="H197" t="str">
        <f t="shared" ca="1" si="38"/>
        <v/>
      </c>
      <c r="N197">
        <f t="shared" ca="1" si="39"/>
        <v>7</v>
      </c>
      <c r="O197">
        <f t="shared" ca="1" si="34"/>
        <v>0</v>
      </c>
      <c r="P197" t="str">
        <f ca="1">IF(O197=0,"",INDEX(data!$8:$1048576, ROW()-INDEX(code_list!M:M,code_list!N197), INDEX(code_list!J:J, code_list!N197+1)))</f>
        <v/>
      </c>
      <c r="Q197" t="str">
        <f t="shared" ca="1" si="35"/>
        <v/>
      </c>
      <c r="AF197">
        <f t="shared" ca="1" si="40"/>
        <v>2</v>
      </c>
      <c r="AG197">
        <f t="shared" ca="1" si="41"/>
        <v>0</v>
      </c>
      <c r="AH197" t="str">
        <f ca="1">IF(AG197=0,"",INDEX(data!$9:$1048576, ROW()-INDEX(code_list!AE:AE,code_list!AF197), INDEX(code_list!AB:AB, code_list!AF197+1)))</f>
        <v/>
      </c>
      <c r="AI197" t="str">
        <f t="shared" ca="1" si="42"/>
        <v/>
      </c>
    </row>
    <row r="198" spans="5:35">
      <c r="E198">
        <f t="shared" ca="1" si="36"/>
        <v>8</v>
      </c>
      <c r="F198">
        <f t="shared" ca="1" si="37"/>
        <v>0</v>
      </c>
      <c r="G198" t="str">
        <f ca="1">IF(F198=0,"",INDEX(data!$8:$1048576, ROW()-INDEX(code_list!D:D,code_list!E198), INDEX(code_list!A:A, code_list!E198+1)))</f>
        <v/>
      </c>
      <c r="H198" t="str">
        <f t="shared" ca="1" si="38"/>
        <v/>
      </c>
      <c r="N198">
        <f t="shared" ca="1" si="39"/>
        <v>7</v>
      </c>
      <c r="O198">
        <f t="shared" ca="1" si="34"/>
        <v>0</v>
      </c>
      <c r="P198" t="str">
        <f ca="1">IF(O198=0,"",INDEX(data!$8:$1048576, ROW()-INDEX(code_list!M:M,code_list!N198), INDEX(code_list!J:J, code_list!N198+1)))</f>
        <v/>
      </c>
      <c r="Q198" t="str">
        <f t="shared" ca="1" si="35"/>
        <v/>
      </c>
      <c r="AF198">
        <f t="shared" ca="1" si="40"/>
        <v>2</v>
      </c>
      <c r="AG198">
        <f t="shared" ca="1" si="41"/>
        <v>0</v>
      </c>
      <c r="AH198" t="str">
        <f ca="1">IF(AG198=0,"",INDEX(data!$9:$1048576, ROW()-INDEX(code_list!AE:AE,code_list!AF198), INDEX(code_list!AB:AB, code_list!AF198+1)))</f>
        <v/>
      </c>
      <c r="AI198" t="str">
        <f t="shared" ca="1" si="42"/>
        <v/>
      </c>
    </row>
    <row r="199" spans="5:35">
      <c r="E199">
        <f t="shared" ca="1" si="36"/>
        <v>8</v>
      </c>
      <c r="F199">
        <f t="shared" ca="1" si="37"/>
        <v>0</v>
      </c>
      <c r="G199" t="str">
        <f ca="1">IF(F199=0,"",INDEX(data!$8:$1048576, ROW()-INDEX(code_list!D:D,code_list!E199), INDEX(code_list!A:A, code_list!E199+1)))</f>
        <v/>
      </c>
      <c r="H199" t="str">
        <f t="shared" ca="1" si="38"/>
        <v/>
      </c>
      <c r="N199">
        <f t="shared" ca="1" si="39"/>
        <v>7</v>
      </c>
      <c r="O199">
        <f t="shared" ca="1" si="34"/>
        <v>0</v>
      </c>
      <c r="P199" t="str">
        <f ca="1">IF(O199=0,"",INDEX(data!$8:$1048576, ROW()-INDEX(code_list!M:M,code_list!N199), INDEX(code_list!J:J, code_list!N199+1)))</f>
        <v/>
      </c>
      <c r="Q199" t="str">
        <f t="shared" ca="1" si="35"/>
        <v/>
      </c>
      <c r="AF199">
        <f t="shared" ca="1" si="40"/>
        <v>2</v>
      </c>
      <c r="AG199">
        <f t="shared" ca="1" si="41"/>
        <v>0</v>
      </c>
      <c r="AH199" t="str">
        <f ca="1">IF(AG199=0,"",INDEX(data!$9:$1048576, ROW()-INDEX(code_list!AE:AE,code_list!AF199), INDEX(code_list!AB:AB, code_list!AF199+1)))</f>
        <v/>
      </c>
      <c r="AI199" t="str">
        <f t="shared" ca="1" si="42"/>
        <v/>
      </c>
    </row>
    <row r="200" spans="5:35">
      <c r="E200">
        <f t="shared" ca="1" si="36"/>
        <v>8</v>
      </c>
      <c r="F200">
        <f t="shared" ca="1" si="37"/>
        <v>0</v>
      </c>
      <c r="G200" t="str">
        <f ca="1">IF(F200=0,"",INDEX(data!$8:$1048576, ROW()-INDEX(code_list!D:D,code_list!E200), INDEX(code_list!A:A, code_list!E200+1)))</f>
        <v/>
      </c>
      <c r="H200" t="str">
        <f t="shared" ca="1" si="38"/>
        <v/>
      </c>
      <c r="N200">
        <f t="shared" ca="1" si="39"/>
        <v>7</v>
      </c>
      <c r="O200">
        <f t="shared" ca="1" si="34"/>
        <v>0</v>
      </c>
      <c r="P200" t="str">
        <f ca="1">IF(O200=0,"",INDEX(data!$8:$1048576, ROW()-INDEX(code_list!M:M,code_list!N200), INDEX(code_list!J:J, code_list!N200+1)))</f>
        <v/>
      </c>
      <c r="Q200" t="str">
        <f t="shared" ca="1" si="35"/>
        <v/>
      </c>
      <c r="AF200">
        <f t="shared" ca="1" si="40"/>
        <v>2</v>
      </c>
      <c r="AG200">
        <f t="shared" ca="1" si="41"/>
        <v>0</v>
      </c>
      <c r="AH200" t="str">
        <f ca="1">IF(AG200=0,"",INDEX(data!$9:$1048576, ROW()-INDEX(code_list!AE:AE,code_list!AF200), INDEX(code_list!AB:AB, code_list!AF200+1)))</f>
        <v/>
      </c>
      <c r="AI200" t="str">
        <f t="shared" ca="1" si="42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H1008"/>
  <sheetViews>
    <sheetView topLeftCell="T1" workbookViewId="0">
      <selection activeCell="B12" sqref="B12"/>
    </sheetView>
  </sheetViews>
  <sheetFormatPr defaultRowHeight="16.5"/>
  <cols>
    <col min="1" max="1" width="14.625" customWidth="1"/>
    <col min="2" max="2" width="18.625" customWidth="1"/>
    <col min="3" max="4" width="10.625" customWidth="1"/>
    <col min="5" max="5" width="14.625" customWidth="1"/>
    <col min="6" max="6" width="18.625" customWidth="1"/>
    <col min="7" max="8" width="10.625" customWidth="1"/>
    <col min="9" max="9" width="14.625" customWidth="1"/>
    <col min="10" max="10" width="18.625" customWidth="1"/>
    <col min="11" max="12" width="10.625" customWidth="1"/>
    <col min="13" max="13" width="14.625" customWidth="1"/>
    <col min="14" max="14" width="18.625" customWidth="1"/>
    <col min="15" max="16" width="10.625" customWidth="1"/>
    <col min="17" max="17" width="14.625" customWidth="1"/>
    <col min="18" max="18" width="18.625" customWidth="1"/>
    <col min="19" max="20" width="10.625" customWidth="1"/>
    <col min="21" max="21" width="14.625" customWidth="1"/>
    <col min="22" max="22" width="18.625" customWidth="1"/>
    <col min="23" max="28" width="10.625" customWidth="1"/>
    <col min="29" max="29" width="14.875" bestFit="1" customWidth="1"/>
    <col min="30" max="32" width="10.625" customWidth="1"/>
    <col min="33" max="33" width="14.625" customWidth="1"/>
    <col min="34" max="34" width="18.625" customWidth="1"/>
    <col min="35" max="36" width="10.625" customWidth="1"/>
    <col min="37" max="37" width="14.625" customWidth="1"/>
    <col min="38" max="38" width="18.625" customWidth="1"/>
    <col min="39" max="40" width="10.625" customWidth="1"/>
    <col min="41" max="41" width="14.625" customWidth="1"/>
    <col min="42" max="42" width="18.625" customWidth="1"/>
    <col min="43" max="44" width="10.625" customWidth="1"/>
    <col min="45" max="45" width="14.625" customWidth="1"/>
    <col min="46" max="46" width="18.625" customWidth="1"/>
    <col min="47" max="48" width="10.625" customWidth="1"/>
    <col min="49" max="49" width="14.625" customWidth="1"/>
    <col min="50" max="50" width="18.625" customWidth="1"/>
    <col min="51" max="52" width="10.625" customWidth="1"/>
    <col min="53" max="53" width="14.625" customWidth="1"/>
    <col min="54" max="54" width="18.625" customWidth="1"/>
    <col min="55" max="56" width="10.625" customWidth="1"/>
    <col min="57" max="57" width="14.625" customWidth="1"/>
    <col min="58" max="58" width="18.625" customWidth="1"/>
    <col min="59" max="60" width="10.625" customWidth="1"/>
  </cols>
  <sheetData>
    <row r="1" spans="1:60">
      <c r="A1" s="77" t="s">
        <v>3</v>
      </c>
      <c r="B1" s="1" t="s">
        <v>198</v>
      </c>
      <c r="E1" s="77" t="s">
        <v>3</v>
      </c>
      <c r="F1" s="1" t="s">
        <v>193</v>
      </c>
      <c r="I1" s="77" t="s">
        <v>3</v>
      </c>
      <c r="J1" s="1" t="s">
        <v>192</v>
      </c>
      <c r="M1" s="77" t="s">
        <v>3</v>
      </c>
      <c r="N1" s="1" t="s">
        <v>191</v>
      </c>
      <c r="Q1" s="77" t="s">
        <v>3</v>
      </c>
      <c r="R1" s="1" t="s">
        <v>190</v>
      </c>
      <c r="U1" s="77" t="s">
        <v>3</v>
      </c>
      <c r="V1" s="1" t="s">
        <v>189</v>
      </c>
      <c r="Y1" s="77" t="s">
        <v>3</v>
      </c>
      <c r="Z1" s="1" t="s">
        <v>197</v>
      </c>
      <c r="AC1" s="77" t="s">
        <v>3</v>
      </c>
      <c r="AD1" s="1" t="s">
        <v>290</v>
      </c>
      <c r="AG1" s="77" t="s">
        <v>3</v>
      </c>
      <c r="AH1" s="1" t="s">
        <v>188</v>
      </c>
      <c r="AK1" s="77" t="s">
        <v>3</v>
      </c>
      <c r="AL1" s="1" t="s">
        <v>187</v>
      </c>
      <c r="AO1" s="77" t="s">
        <v>3</v>
      </c>
      <c r="AP1" s="1" t="s">
        <v>186</v>
      </c>
      <c r="AS1" s="77" t="s">
        <v>3</v>
      </c>
      <c r="AT1" s="1" t="s">
        <v>185</v>
      </c>
      <c r="AW1" s="77" t="s">
        <v>3</v>
      </c>
      <c r="AX1" s="1" t="s">
        <v>184</v>
      </c>
      <c r="BA1" s="77" t="s">
        <v>3</v>
      </c>
      <c r="BB1" s="1" t="s">
        <v>183</v>
      </c>
      <c r="BE1" s="77" t="s">
        <v>3</v>
      </c>
      <c r="BF1" s="1" t="s">
        <v>182</v>
      </c>
    </row>
    <row r="2" spans="1:60">
      <c r="A2" s="77" t="s">
        <v>181</v>
      </c>
      <c r="B2" s="1" t="s">
        <v>180</v>
      </c>
      <c r="E2" s="77" t="s">
        <v>181</v>
      </c>
      <c r="F2" s="1" t="s">
        <v>180</v>
      </c>
      <c r="I2" s="77" t="s">
        <v>181</v>
      </c>
      <c r="J2" s="1" t="s">
        <v>180</v>
      </c>
      <c r="M2" s="77" t="s">
        <v>181</v>
      </c>
      <c r="N2" s="1" t="s">
        <v>180</v>
      </c>
      <c r="Q2" s="77" t="s">
        <v>181</v>
      </c>
      <c r="R2" s="1" t="s">
        <v>180</v>
      </c>
      <c r="U2" s="77" t="s">
        <v>181</v>
      </c>
      <c r="V2" s="1" t="s">
        <v>180</v>
      </c>
      <c r="Y2" s="77" t="s">
        <v>181</v>
      </c>
      <c r="Z2" s="1" t="s">
        <v>180</v>
      </c>
      <c r="AC2" s="77" t="s">
        <v>181</v>
      </c>
      <c r="AD2" s="1" t="s">
        <v>180</v>
      </c>
      <c r="AG2" s="77" t="s">
        <v>181</v>
      </c>
      <c r="AH2" s="1" t="s">
        <v>180</v>
      </c>
      <c r="AK2" s="77" t="s">
        <v>181</v>
      </c>
      <c r="AL2" s="1" t="s">
        <v>180</v>
      </c>
      <c r="AO2" s="77" t="s">
        <v>181</v>
      </c>
      <c r="AP2" s="1" t="s">
        <v>180</v>
      </c>
      <c r="AS2" s="77" t="s">
        <v>181</v>
      </c>
      <c r="AT2" s="1" t="s">
        <v>180</v>
      </c>
      <c r="AW2" s="77" t="s">
        <v>181</v>
      </c>
      <c r="AX2" s="1" t="s">
        <v>180</v>
      </c>
      <c r="BA2" s="77" t="s">
        <v>181</v>
      </c>
      <c r="BB2" s="1" t="s">
        <v>180</v>
      </c>
      <c r="BE2" s="77" t="s">
        <v>181</v>
      </c>
      <c r="BF2" s="1" t="s">
        <v>180</v>
      </c>
    </row>
    <row r="3" spans="1:60">
      <c r="A3" s="77" t="s">
        <v>179</v>
      </c>
      <c r="B3" s="78">
        <f ca="1">TODAY()</f>
        <v>45509</v>
      </c>
      <c r="E3" s="77" t="s">
        <v>179</v>
      </c>
      <c r="F3" s="78">
        <f ca="1">TODAY()</f>
        <v>45509</v>
      </c>
      <c r="I3" s="77" t="s">
        <v>179</v>
      </c>
      <c r="J3" s="78">
        <f ca="1">TODAY()</f>
        <v>45509</v>
      </c>
      <c r="M3" s="77" t="s">
        <v>179</v>
      </c>
      <c r="N3" s="78">
        <f ca="1">TODAY()</f>
        <v>45509</v>
      </c>
      <c r="Q3" s="77" t="s">
        <v>179</v>
      </c>
      <c r="R3" s="78">
        <f ca="1">TODAY()</f>
        <v>45509</v>
      </c>
      <c r="U3" s="77" t="s">
        <v>179</v>
      </c>
      <c r="V3" s="78">
        <f ca="1">TODAY()</f>
        <v>45509</v>
      </c>
      <c r="Y3" s="77" t="s">
        <v>179</v>
      </c>
      <c r="Z3" s="78">
        <f ca="1">TODAY()</f>
        <v>45509</v>
      </c>
      <c r="AC3" s="77" t="s">
        <v>179</v>
      </c>
      <c r="AD3" s="78">
        <f ca="1">TODAY()</f>
        <v>45509</v>
      </c>
      <c r="AG3" s="77" t="s">
        <v>179</v>
      </c>
      <c r="AH3" s="78">
        <f ca="1">TODAY()</f>
        <v>45509</v>
      </c>
      <c r="AK3" s="77" t="s">
        <v>179</v>
      </c>
      <c r="AL3" s="78">
        <f ca="1">TODAY()</f>
        <v>45509</v>
      </c>
      <c r="AO3" s="77" t="s">
        <v>179</v>
      </c>
      <c r="AP3" s="78">
        <f ca="1">TODAY()</f>
        <v>45509</v>
      </c>
      <c r="AS3" s="77" t="s">
        <v>179</v>
      </c>
      <c r="AT3" s="78">
        <f ca="1">TODAY()</f>
        <v>45509</v>
      </c>
      <c r="AW3" s="77" t="s">
        <v>179</v>
      </c>
      <c r="AX3" s="78">
        <f ca="1">TODAY()</f>
        <v>45509</v>
      </c>
      <c r="BA3" s="77" t="s">
        <v>179</v>
      </c>
      <c r="BB3" s="78">
        <f ca="1">TODAY()</f>
        <v>45509</v>
      </c>
      <c r="BE3" s="77" t="s">
        <v>179</v>
      </c>
      <c r="BF3" s="78">
        <f ca="1">TODAY()</f>
        <v>45509</v>
      </c>
    </row>
    <row r="4" spans="1:60">
      <c r="A4" s="77" t="s">
        <v>178</v>
      </c>
      <c r="B4" s="1" t="s">
        <v>2</v>
      </c>
      <c r="E4" s="77" t="s">
        <v>178</v>
      </c>
      <c r="F4" s="1" t="s">
        <v>2</v>
      </c>
      <c r="I4" s="77" t="s">
        <v>178</v>
      </c>
      <c r="J4" s="1" t="s">
        <v>2</v>
      </c>
      <c r="M4" s="77" t="s">
        <v>178</v>
      </c>
      <c r="N4" s="1" t="s">
        <v>2</v>
      </c>
      <c r="Q4" s="77" t="s">
        <v>178</v>
      </c>
      <c r="R4" s="1" t="s">
        <v>2</v>
      </c>
      <c r="U4" s="77" t="s">
        <v>178</v>
      </c>
      <c r="V4" s="1" t="s">
        <v>2</v>
      </c>
      <c r="Y4" s="77" t="s">
        <v>178</v>
      </c>
      <c r="Z4" s="1" t="s">
        <v>2</v>
      </c>
      <c r="AC4" s="77" t="s">
        <v>178</v>
      </c>
      <c r="AD4" s="1" t="s">
        <v>2</v>
      </c>
      <c r="AG4" s="77" t="s">
        <v>178</v>
      </c>
      <c r="AH4" s="1" t="s">
        <v>2</v>
      </c>
      <c r="AK4" s="77" t="s">
        <v>178</v>
      </c>
      <c r="AL4" s="1" t="s">
        <v>2</v>
      </c>
      <c r="AO4" s="77" t="s">
        <v>178</v>
      </c>
      <c r="AP4" s="1" t="s">
        <v>2</v>
      </c>
      <c r="AS4" s="77" t="s">
        <v>178</v>
      </c>
      <c r="AT4" s="1" t="s">
        <v>2</v>
      </c>
      <c r="AW4" s="77" t="s">
        <v>178</v>
      </c>
      <c r="AX4" s="1" t="s">
        <v>2</v>
      </c>
      <c r="BA4" s="77" t="s">
        <v>178</v>
      </c>
      <c r="BB4" s="1" t="s">
        <v>2</v>
      </c>
      <c r="BE4" s="77" t="s">
        <v>178</v>
      </c>
      <c r="BF4" s="1" t="s">
        <v>2</v>
      </c>
    </row>
    <row r="5" spans="1:60">
      <c r="A5" s="77" t="s">
        <v>176</v>
      </c>
      <c r="B5" s="1" t="s">
        <v>177</v>
      </c>
      <c r="E5" s="77" t="s">
        <v>176</v>
      </c>
      <c r="F5" s="1" t="s">
        <v>2</v>
      </c>
      <c r="I5" s="77" t="s">
        <v>176</v>
      </c>
      <c r="J5" s="1" t="s">
        <v>2</v>
      </c>
      <c r="M5" s="77" t="s">
        <v>176</v>
      </c>
      <c r="N5" s="1" t="s">
        <v>2</v>
      </c>
      <c r="Q5" s="77" t="s">
        <v>176</v>
      </c>
      <c r="R5" s="1" t="s">
        <v>2</v>
      </c>
      <c r="U5" s="77" t="s">
        <v>176</v>
      </c>
      <c r="V5" s="1" t="s">
        <v>2</v>
      </c>
      <c r="Y5" s="77" t="s">
        <v>176</v>
      </c>
      <c r="Z5" s="1" t="s">
        <v>2</v>
      </c>
      <c r="AC5" s="77" t="s">
        <v>176</v>
      </c>
      <c r="AD5" s="1" t="s">
        <v>2</v>
      </c>
      <c r="AG5" s="77" t="s">
        <v>176</v>
      </c>
      <c r="AH5" s="1" t="s">
        <v>2</v>
      </c>
      <c r="AK5" s="77" t="s">
        <v>176</v>
      </c>
      <c r="AL5" s="1" t="s">
        <v>2</v>
      </c>
      <c r="AO5" s="77" t="s">
        <v>176</v>
      </c>
      <c r="AP5" s="1" t="s">
        <v>2</v>
      </c>
      <c r="AS5" s="77" t="s">
        <v>176</v>
      </c>
      <c r="AT5" s="1" t="s">
        <v>2</v>
      </c>
      <c r="AW5" s="77" t="s">
        <v>176</v>
      </c>
      <c r="AX5" s="1" t="s">
        <v>2</v>
      </c>
      <c r="BA5" s="77" t="s">
        <v>176</v>
      </c>
      <c r="BB5" s="1" t="s">
        <v>2</v>
      </c>
      <c r="BE5" s="77" t="s">
        <v>176</v>
      </c>
      <c r="BF5" s="1" t="s">
        <v>2</v>
      </c>
    </row>
    <row r="6" spans="1:60">
      <c r="A6" s="77" t="s">
        <v>175</v>
      </c>
      <c r="B6" s="1" t="s">
        <v>174</v>
      </c>
      <c r="E6" s="77" t="s">
        <v>175</v>
      </c>
      <c r="F6" s="1" t="s">
        <v>174</v>
      </c>
      <c r="I6" s="77" t="s">
        <v>175</v>
      </c>
      <c r="J6" s="1" t="s">
        <v>174</v>
      </c>
      <c r="M6" s="77" t="s">
        <v>175</v>
      </c>
      <c r="N6" s="1" t="s">
        <v>174</v>
      </c>
      <c r="Q6" s="77" t="s">
        <v>175</v>
      </c>
      <c r="R6" s="1" t="s">
        <v>174</v>
      </c>
      <c r="U6" s="77" t="s">
        <v>175</v>
      </c>
      <c r="V6" s="1" t="s">
        <v>174</v>
      </c>
      <c r="Y6" s="77" t="s">
        <v>175</v>
      </c>
      <c r="Z6" s="1" t="s">
        <v>174</v>
      </c>
      <c r="AC6" s="77" t="s">
        <v>175</v>
      </c>
      <c r="AD6" s="1" t="s">
        <v>174</v>
      </c>
      <c r="AG6" s="77" t="s">
        <v>175</v>
      </c>
      <c r="AH6" s="1" t="s">
        <v>174</v>
      </c>
      <c r="AK6" s="77" t="s">
        <v>175</v>
      </c>
      <c r="AL6" s="1" t="s">
        <v>174</v>
      </c>
      <c r="AO6" s="77" t="s">
        <v>175</v>
      </c>
      <c r="AP6" s="1" t="s">
        <v>174</v>
      </c>
      <c r="AS6" s="77" t="s">
        <v>175</v>
      </c>
      <c r="AT6" s="1" t="s">
        <v>174</v>
      </c>
      <c r="AW6" s="77" t="s">
        <v>175</v>
      </c>
      <c r="AX6" s="1" t="s">
        <v>174</v>
      </c>
      <c r="BA6" s="77" t="s">
        <v>175</v>
      </c>
      <c r="BB6" s="1" t="s">
        <v>174</v>
      </c>
      <c r="BE6" s="77" t="s">
        <v>175</v>
      </c>
      <c r="BF6" s="1" t="s">
        <v>174</v>
      </c>
    </row>
    <row r="7" spans="1:60">
      <c r="A7" t="str">
        <f ca="1">_xll.IMDT("채권발행",B1,A8:D8,B2,B3,B4,B5,"sort="&amp;B6&amp;",DtFmt=1,TmFmt=1,Pos=20,Orient=V,Title=국고50Y")</f>
        <v>국고50Y</v>
      </c>
      <c r="E7" t="str">
        <f ca="1">_xll.IMDT("채권발행",F1,E8:H8,F2,F3,F4,F5,"sort="&amp;F6&amp;",DtFmt=1,TmFmt=1,Pos=20,Orient=V,Title=국고30Y")</f>
        <v>국고30Y</v>
      </c>
      <c r="I7" t="str">
        <f ca="1">_xll.IMDT("채권발행",J1,I8:L8,J2,J3,J4,J5,"sort="&amp;J6&amp;",DtFmt=1,TmFmt=1,Pos=20,Orient=V,Title=국고20Y")</f>
        <v>국고20Y</v>
      </c>
      <c r="M7" t="str">
        <f ca="1">_xll.IMDT("채권발행",N1,M8:P8,N2,N3,N4,N5,"sort="&amp;N6&amp;",DtFmt=1,TmFmt=1,Pos=20,Orient=V,Title=국고10Y")</f>
        <v>국고10Y</v>
      </c>
      <c r="Q7" t="str">
        <f ca="1">_xll.IMDT("채권발행",R1,Q8:T8,R2,R3,R4,R5,"sort="&amp;R6&amp;",DtFmt=1,TmFmt=1,Pos=20,Orient=V,Title=국고5Y")</f>
        <v>국고5Y</v>
      </c>
      <c r="U7" t="str">
        <f ca="1">_xll.IMDT("채권발행",V1,U8:X8,V2,V3,V4,V5,"sort="&amp;V6&amp;",DtFmt=1,TmFmt=1,Pos=20,Orient=V,Title=국고3Y")</f>
        <v>국고3Y</v>
      </c>
      <c r="Y7" t="str">
        <f ca="1">_xll.IMDT("채권발행",Z1,Y8:AB8,Z2,Z3,Z4,Z5,"sort="&amp;Z6&amp;",DtFmt=1,TmFmt=1,Pos=20,Orient=V,Title=국고2Y")</f>
        <v>국고2Y</v>
      </c>
      <c r="AC7" t="str">
        <f ca="1">_xll.IMDT("채권발행",AD1,AC8:AF8,AD2,AD3,AD4,AD5,"sort="&amp;AD6&amp;",DtFmt=1,TmFmt=1,Pos=20,Orient=V,Title=통안3.0Y")</f>
        <v>통안3.0Y</v>
      </c>
      <c r="AG7" t="str">
        <f ca="1">_xll.IMDT("채권발행",AH1,AG8:AJ8,AH2,AH3,AH4,AH5,"sort="&amp;AH6&amp;",DtFmt=1,TmFmt=1,Pos=20,Orient=V,Title=통안2.0Y")</f>
        <v>통안2.0Y</v>
      </c>
      <c r="AK7" t="str">
        <f ca="1">_xll.IMDT("채권발행",AL1,AK8:AN8,AL2,AL3,AL4,AL5,"sort="&amp;AL6&amp;",DtFmt=1,TmFmt=1,Pos=20,Orient=V,Title=통안1.5Y")</f>
        <v>통안1.5Y</v>
      </c>
      <c r="AO7" t="str">
        <f ca="1">_xll.IMDT("채권발행",AP1,AO8:AR8,AP2,AP3,AP4,AP5,"sort="&amp;AP6&amp;",DtFmt=1,TmFmt=1,Pos=20,Orient=V,Title=통안1.0Y")</f>
        <v>통안1.0Y</v>
      </c>
      <c r="AS7" t="str">
        <f ca="1">_xll.IMDT("채권발행",AT1,AS8:AV8,AT2,AT3,AT4,AT5,"sort="&amp;AT6&amp;",DtFmt=1,TmFmt=1,Pos=20,Orient=V,Title=통안0.5Y")</f>
        <v>통안0.5Y</v>
      </c>
      <c r="AW7" t="str">
        <f ca="1">_xll.IMDT("채권발행",AX1,AW8:AZ8,AX2,AX3,AX4,AX5,"sort="&amp;AX6&amp;",DtFmt=1,TmFmt=1,Pos=20,Orient=V,Title=통안기타")</f>
        <v>통안기타</v>
      </c>
      <c r="BA7" t="str">
        <f ca="1">_xll.IMDT("채권발행",BB1,BA8:BD8,BB2,BB3,BB4,BB5,"sort="&amp;BB6&amp;",DtFmt=1,TmFmt=1,Pos=20,Orient=V,Title=물가연동국채")</f>
        <v>물가연동국채</v>
      </c>
      <c r="BE7" t="str">
        <f ca="1">_xll.IMDT("채권발행",BF1,BE8:BH8,BF2,BF3,BF4,BF5,"sort="&amp;BF6&amp;",DtFmt=1,TmFmt=1,Pos=20,Orient=V,Title=국민주택1종")</f>
        <v>국민주택1종</v>
      </c>
    </row>
    <row r="8" spans="1:60">
      <c r="A8" s="77" t="s">
        <v>172</v>
      </c>
      <c r="B8" s="1" t="s">
        <v>171</v>
      </c>
      <c r="C8" s="1" t="s">
        <v>173</v>
      </c>
      <c r="D8" s="1" t="s">
        <v>2</v>
      </c>
      <c r="E8" s="77" t="s">
        <v>172</v>
      </c>
      <c r="F8" s="1" t="s">
        <v>171</v>
      </c>
      <c r="G8" s="1" t="s">
        <v>1</v>
      </c>
      <c r="H8" s="1" t="s">
        <v>2</v>
      </c>
      <c r="I8" s="77" t="s">
        <v>172</v>
      </c>
      <c r="J8" s="1" t="s">
        <v>171</v>
      </c>
      <c r="K8" s="1" t="s">
        <v>1</v>
      </c>
      <c r="L8" s="1" t="s">
        <v>2</v>
      </c>
      <c r="M8" s="77" t="s">
        <v>172</v>
      </c>
      <c r="N8" s="1" t="s">
        <v>171</v>
      </c>
      <c r="O8" s="1" t="s">
        <v>1</v>
      </c>
      <c r="P8" s="1" t="s">
        <v>2</v>
      </c>
      <c r="Q8" s="77" t="s">
        <v>172</v>
      </c>
      <c r="R8" s="1" t="s">
        <v>171</v>
      </c>
      <c r="S8" s="1" t="s">
        <v>1</v>
      </c>
      <c r="T8" s="1" t="s">
        <v>2</v>
      </c>
      <c r="U8" s="77" t="s">
        <v>172</v>
      </c>
      <c r="V8" s="1" t="s">
        <v>171</v>
      </c>
      <c r="W8" s="1" t="s">
        <v>1</v>
      </c>
      <c r="X8" s="1" t="s">
        <v>2</v>
      </c>
      <c r="Y8" s="77" t="s">
        <v>172</v>
      </c>
      <c r="Z8" s="1" t="s">
        <v>171</v>
      </c>
      <c r="AA8" s="1" t="s">
        <v>1</v>
      </c>
      <c r="AB8" s="1" t="s">
        <v>2</v>
      </c>
      <c r="AC8" s="77" t="s">
        <v>172</v>
      </c>
      <c r="AD8" s="1" t="s">
        <v>171</v>
      </c>
      <c r="AE8" s="1" t="s">
        <v>1</v>
      </c>
      <c r="AF8" s="1" t="s">
        <v>2</v>
      </c>
      <c r="AG8" s="77" t="s">
        <v>172</v>
      </c>
      <c r="AH8" s="1" t="s">
        <v>171</v>
      </c>
      <c r="AI8" s="1" t="s">
        <v>1</v>
      </c>
      <c r="AJ8" s="1" t="s">
        <v>2</v>
      </c>
      <c r="AK8" s="77" t="s">
        <v>172</v>
      </c>
      <c r="AL8" s="1" t="s">
        <v>171</v>
      </c>
      <c r="AM8" s="1" t="s">
        <v>1</v>
      </c>
      <c r="AN8" s="1" t="s">
        <v>2</v>
      </c>
      <c r="AO8" s="77" t="s">
        <v>172</v>
      </c>
      <c r="AP8" s="1" t="s">
        <v>171</v>
      </c>
      <c r="AQ8" s="1" t="s">
        <v>1</v>
      </c>
      <c r="AR8" s="1" t="s">
        <v>2</v>
      </c>
      <c r="AS8" s="77" t="s">
        <v>172</v>
      </c>
      <c r="AT8" s="1" t="s">
        <v>171</v>
      </c>
      <c r="AU8" s="1" t="s">
        <v>1</v>
      </c>
      <c r="AV8" s="1" t="s">
        <v>2</v>
      </c>
      <c r="AW8" s="77" t="s">
        <v>172</v>
      </c>
      <c r="AX8" s="1" t="s">
        <v>171</v>
      </c>
      <c r="AY8" s="1" t="s">
        <v>1</v>
      </c>
      <c r="AZ8" s="1" t="s">
        <v>2</v>
      </c>
      <c r="BA8" s="77" t="s">
        <v>172</v>
      </c>
      <c r="BB8" s="1" t="s">
        <v>171</v>
      </c>
      <c r="BC8" s="1" t="s">
        <v>1</v>
      </c>
      <c r="BD8" s="1" t="s">
        <v>2</v>
      </c>
      <c r="BE8" s="77" t="s">
        <v>172</v>
      </c>
      <c r="BF8" s="1" t="s">
        <v>171</v>
      </c>
      <c r="BG8" s="1" t="s">
        <v>1</v>
      </c>
      <c r="BH8" s="1" t="s">
        <v>2</v>
      </c>
    </row>
    <row r="9" spans="1:60">
      <c r="A9" t="s">
        <v>218</v>
      </c>
      <c r="B9" t="s">
        <v>219</v>
      </c>
      <c r="C9" s="4">
        <v>44814</v>
      </c>
      <c r="D9" s="4">
        <v>63077</v>
      </c>
      <c r="E9" t="s">
        <v>434</v>
      </c>
      <c r="F9" t="s">
        <v>435</v>
      </c>
      <c r="G9" s="4">
        <v>45545</v>
      </c>
      <c r="H9" s="4">
        <v>56502</v>
      </c>
      <c r="I9" t="s">
        <v>340</v>
      </c>
      <c r="J9" t="s">
        <v>341</v>
      </c>
      <c r="K9" s="4">
        <v>45179</v>
      </c>
      <c r="L9" s="4">
        <v>52484</v>
      </c>
      <c r="M9" t="s">
        <v>388</v>
      </c>
      <c r="N9" t="s">
        <v>389</v>
      </c>
      <c r="O9" s="4">
        <v>45453</v>
      </c>
      <c r="P9" s="4">
        <v>49105</v>
      </c>
      <c r="Q9" t="s">
        <v>426</v>
      </c>
      <c r="R9" t="s">
        <v>427</v>
      </c>
      <c r="S9" s="4">
        <v>45545</v>
      </c>
      <c r="T9" s="4">
        <v>47371</v>
      </c>
      <c r="U9" t="s">
        <v>384</v>
      </c>
      <c r="V9" t="s">
        <v>387</v>
      </c>
      <c r="W9" s="4">
        <v>45453</v>
      </c>
      <c r="X9" s="4">
        <v>46548</v>
      </c>
      <c r="Y9" t="s">
        <v>374</v>
      </c>
      <c r="Z9" t="s">
        <v>375</v>
      </c>
      <c r="AA9" s="4">
        <v>45361</v>
      </c>
      <c r="AB9" s="4">
        <v>46091</v>
      </c>
      <c r="AC9" t="s">
        <v>380</v>
      </c>
      <c r="AD9" t="s">
        <v>381</v>
      </c>
      <c r="AE9" s="4">
        <v>45354</v>
      </c>
      <c r="AF9" s="4">
        <v>46449</v>
      </c>
      <c r="AG9" t="s">
        <v>418</v>
      </c>
      <c r="AH9" t="s">
        <v>419</v>
      </c>
      <c r="AI9" s="4">
        <v>45475</v>
      </c>
      <c r="AJ9" s="4">
        <v>46205</v>
      </c>
      <c r="AM9" s="4"/>
      <c r="AN9" s="4"/>
      <c r="AO9" t="s">
        <v>422</v>
      </c>
      <c r="AP9" t="s">
        <v>423</v>
      </c>
      <c r="AQ9" s="4">
        <v>45482</v>
      </c>
      <c r="AR9" s="4">
        <v>45847</v>
      </c>
      <c r="AS9" t="s">
        <v>430</v>
      </c>
      <c r="AT9" t="s">
        <v>431</v>
      </c>
      <c r="AU9" s="4">
        <v>45503</v>
      </c>
      <c r="AV9" s="4">
        <v>45594</v>
      </c>
      <c r="AY9" s="4"/>
      <c r="AZ9" s="4"/>
      <c r="BA9" t="s">
        <v>392</v>
      </c>
      <c r="BB9" t="s">
        <v>393</v>
      </c>
      <c r="BC9" s="4">
        <v>45453</v>
      </c>
      <c r="BD9" s="4">
        <v>49105</v>
      </c>
      <c r="BE9" t="s">
        <v>432</v>
      </c>
      <c r="BF9" t="s">
        <v>433</v>
      </c>
      <c r="BG9" s="4">
        <v>45535</v>
      </c>
      <c r="BH9" s="4">
        <v>47361</v>
      </c>
    </row>
    <row r="10" spans="1:60">
      <c r="A10" t="s">
        <v>89</v>
      </c>
      <c r="B10" t="s">
        <v>170</v>
      </c>
      <c r="C10" s="4">
        <v>44084</v>
      </c>
      <c r="D10" s="4">
        <v>62346</v>
      </c>
      <c r="E10" t="s">
        <v>370</v>
      </c>
      <c r="F10" t="s">
        <v>371</v>
      </c>
      <c r="G10" s="4">
        <v>45361</v>
      </c>
      <c r="H10" s="4">
        <v>56318</v>
      </c>
      <c r="I10" t="s">
        <v>277</v>
      </c>
      <c r="J10" t="s">
        <v>278</v>
      </c>
      <c r="K10" s="4">
        <v>44814</v>
      </c>
      <c r="L10" s="4">
        <v>52119</v>
      </c>
      <c r="M10" t="s">
        <v>354</v>
      </c>
      <c r="N10" t="s">
        <v>355</v>
      </c>
      <c r="O10" s="4">
        <v>45270</v>
      </c>
      <c r="P10" s="4">
        <v>48923</v>
      </c>
      <c r="Q10" t="s">
        <v>368</v>
      </c>
      <c r="R10" t="s">
        <v>369</v>
      </c>
      <c r="S10" s="4">
        <v>45361</v>
      </c>
      <c r="T10" s="4">
        <v>47187</v>
      </c>
      <c r="U10" t="s">
        <v>348</v>
      </c>
      <c r="V10" t="s">
        <v>353</v>
      </c>
      <c r="W10" s="4">
        <v>45270</v>
      </c>
      <c r="X10" s="4">
        <v>46366</v>
      </c>
      <c r="Y10" t="s">
        <v>338</v>
      </c>
      <c r="Z10" t="s">
        <v>339</v>
      </c>
      <c r="AA10" s="4">
        <v>45179</v>
      </c>
      <c r="AB10" s="4">
        <v>45910</v>
      </c>
      <c r="AC10" t="s">
        <v>346</v>
      </c>
      <c r="AD10" t="s">
        <v>347</v>
      </c>
      <c r="AE10" s="4">
        <v>45172</v>
      </c>
      <c r="AF10" s="4">
        <v>46268</v>
      </c>
      <c r="AG10" t="s">
        <v>385</v>
      </c>
      <c r="AH10" t="s">
        <v>386</v>
      </c>
      <c r="AI10" s="4">
        <v>45384</v>
      </c>
      <c r="AJ10" s="4">
        <v>46114</v>
      </c>
      <c r="AM10" s="4"/>
      <c r="AN10" s="4"/>
      <c r="AO10" t="s">
        <v>396</v>
      </c>
      <c r="AP10" t="s">
        <v>397</v>
      </c>
      <c r="AQ10" s="4">
        <v>45421</v>
      </c>
      <c r="AR10" s="4">
        <v>45786</v>
      </c>
      <c r="AS10" t="s">
        <v>428</v>
      </c>
      <c r="AT10" t="s">
        <v>429</v>
      </c>
      <c r="AU10" s="4">
        <v>45496</v>
      </c>
      <c r="AV10" s="4">
        <v>45587</v>
      </c>
      <c r="AY10" s="4"/>
      <c r="AZ10" s="4"/>
      <c r="BA10" t="s">
        <v>275</v>
      </c>
      <c r="BB10" t="s">
        <v>276</v>
      </c>
      <c r="BC10" s="4">
        <v>44722</v>
      </c>
      <c r="BD10" s="4">
        <v>48375</v>
      </c>
      <c r="BE10" t="s">
        <v>414</v>
      </c>
      <c r="BF10" t="s">
        <v>415</v>
      </c>
      <c r="BG10" s="4">
        <v>45504</v>
      </c>
      <c r="BH10" s="4">
        <v>47330</v>
      </c>
    </row>
    <row r="11" spans="1:60">
      <c r="A11" t="s">
        <v>4</v>
      </c>
      <c r="B11" t="s">
        <v>163</v>
      </c>
      <c r="C11" s="4">
        <v>43353</v>
      </c>
      <c r="D11" s="4">
        <v>61616</v>
      </c>
      <c r="E11" t="s">
        <v>334</v>
      </c>
      <c r="F11" t="s">
        <v>335</v>
      </c>
      <c r="G11" s="4">
        <v>45179</v>
      </c>
      <c r="H11" s="4">
        <v>56137</v>
      </c>
      <c r="I11" t="s">
        <v>279</v>
      </c>
      <c r="J11" t="s">
        <v>280</v>
      </c>
      <c r="K11" s="4">
        <v>44449</v>
      </c>
      <c r="L11" s="4">
        <v>51754</v>
      </c>
      <c r="M11" t="s">
        <v>322</v>
      </c>
      <c r="N11" t="s">
        <v>323</v>
      </c>
      <c r="O11" s="4">
        <v>45087</v>
      </c>
      <c r="P11" s="4">
        <v>48740</v>
      </c>
      <c r="Q11" t="s">
        <v>332</v>
      </c>
      <c r="R11" t="s">
        <v>333</v>
      </c>
      <c r="S11" s="4">
        <v>45179</v>
      </c>
      <c r="T11" s="4">
        <v>47006</v>
      </c>
      <c r="U11" t="s">
        <v>320</v>
      </c>
      <c r="V11" t="s">
        <v>321</v>
      </c>
      <c r="W11" s="4">
        <v>45087</v>
      </c>
      <c r="X11" s="4">
        <v>46183</v>
      </c>
      <c r="Y11" t="s">
        <v>310</v>
      </c>
      <c r="Z11" t="s">
        <v>311</v>
      </c>
      <c r="AA11" s="4">
        <v>44995</v>
      </c>
      <c r="AB11" s="4">
        <v>45726</v>
      </c>
      <c r="AC11" t="s">
        <v>314</v>
      </c>
      <c r="AD11" t="s">
        <v>315</v>
      </c>
      <c r="AE11" s="4">
        <v>44988</v>
      </c>
      <c r="AF11" s="4">
        <v>46084</v>
      </c>
      <c r="AG11" t="s">
        <v>364</v>
      </c>
      <c r="AH11" t="s">
        <v>365</v>
      </c>
      <c r="AI11" s="4">
        <v>45293</v>
      </c>
      <c r="AJ11" s="4">
        <v>46024</v>
      </c>
      <c r="AM11" s="4"/>
      <c r="AN11" s="4"/>
      <c r="AO11" t="s">
        <v>378</v>
      </c>
      <c r="AP11" t="s">
        <v>379</v>
      </c>
      <c r="AQ11" s="4">
        <v>45360</v>
      </c>
      <c r="AR11" s="4">
        <v>45725</v>
      </c>
      <c r="AS11" t="s">
        <v>424</v>
      </c>
      <c r="AT11" t="s">
        <v>425</v>
      </c>
      <c r="AU11" s="4">
        <v>45489</v>
      </c>
      <c r="AV11" s="4">
        <v>45580</v>
      </c>
      <c r="AY11" s="4"/>
      <c r="AZ11" s="4"/>
      <c r="BA11" t="s">
        <v>97</v>
      </c>
      <c r="BB11" t="s">
        <v>165</v>
      </c>
      <c r="BC11" s="4">
        <v>43992</v>
      </c>
      <c r="BD11" s="4">
        <v>47644</v>
      </c>
      <c r="BE11" t="s">
        <v>404</v>
      </c>
      <c r="BF11" t="s">
        <v>405</v>
      </c>
      <c r="BG11" s="4">
        <v>45473</v>
      </c>
      <c r="BH11" s="4">
        <v>47299</v>
      </c>
    </row>
    <row r="12" spans="1:60">
      <c r="A12" t="s">
        <v>5</v>
      </c>
      <c r="B12" t="s">
        <v>156</v>
      </c>
      <c r="C12" s="4">
        <v>42623</v>
      </c>
      <c r="D12" s="4">
        <v>60885</v>
      </c>
      <c r="E12" t="s">
        <v>308</v>
      </c>
      <c r="F12" t="s">
        <v>309</v>
      </c>
      <c r="G12" s="4">
        <v>44995</v>
      </c>
      <c r="H12" s="4">
        <v>55953</v>
      </c>
      <c r="I12" t="s">
        <v>88</v>
      </c>
      <c r="J12" t="s">
        <v>168</v>
      </c>
      <c r="K12" s="4">
        <v>44084</v>
      </c>
      <c r="L12" s="4">
        <v>51389</v>
      </c>
      <c r="M12" t="s">
        <v>281</v>
      </c>
      <c r="N12" t="s">
        <v>282</v>
      </c>
      <c r="O12" s="4">
        <v>44905</v>
      </c>
      <c r="P12" s="4">
        <v>48558</v>
      </c>
      <c r="Q12" t="s">
        <v>304</v>
      </c>
      <c r="R12" t="s">
        <v>305</v>
      </c>
      <c r="S12" s="4">
        <v>44995</v>
      </c>
      <c r="T12" s="4">
        <v>46822</v>
      </c>
      <c r="U12" t="s">
        <v>212</v>
      </c>
      <c r="V12" t="s">
        <v>213</v>
      </c>
      <c r="W12" s="4">
        <v>44905</v>
      </c>
      <c r="X12" s="4">
        <v>46001</v>
      </c>
      <c r="Y12" t="s">
        <v>220</v>
      </c>
      <c r="Z12" t="s">
        <v>297</v>
      </c>
      <c r="AA12" s="4">
        <v>44905</v>
      </c>
      <c r="AB12" s="4">
        <v>45636</v>
      </c>
      <c r="AC12" t="s">
        <v>291</v>
      </c>
      <c r="AD12" t="s">
        <v>292</v>
      </c>
      <c r="AE12" s="4">
        <v>44807</v>
      </c>
      <c r="AF12" s="4">
        <v>45903</v>
      </c>
      <c r="AG12" t="s">
        <v>351</v>
      </c>
      <c r="AH12" t="s">
        <v>352</v>
      </c>
      <c r="AI12" s="4">
        <v>45201</v>
      </c>
      <c r="AJ12" s="4">
        <v>45932</v>
      </c>
      <c r="AM12" s="4"/>
      <c r="AN12" s="4"/>
      <c r="AO12" t="s">
        <v>366</v>
      </c>
      <c r="AP12" t="s">
        <v>367</v>
      </c>
      <c r="AQ12" s="4">
        <v>45300</v>
      </c>
      <c r="AR12" s="4">
        <v>45666</v>
      </c>
      <c r="AS12" t="s">
        <v>420</v>
      </c>
      <c r="AT12" t="s">
        <v>421</v>
      </c>
      <c r="AU12" s="4">
        <v>45482</v>
      </c>
      <c r="AV12" s="4">
        <v>45573</v>
      </c>
      <c r="AY12" s="4"/>
      <c r="AZ12" s="4"/>
      <c r="BA12" t="s">
        <v>41</v>
      </c>
      <c r="BB12" t="s">
        <v>158</v>
      </c>
      <c r="BC12" s="4">
        <v>43261</v>
      </c>
      <c r="BD12" s="4">
        <v>46914</v>
      </c>
      <c r="BE12" t="s">
        <v>390</v>
      </c>
      <c r="BF12" t="s">
        <v>391</v>
      </c>
      <c r="BG12" s="4">
        <v>45443</v>
      </c>
      <c r="BH12" s="4">
        <v>47269</v>
      </c>
    </row>
    <row r="13" spans="1:60">
      <c r="C13" s="4"/>
      <c r="D13" s="4"/>
      <c r="E13" t="s">
        <v>223</v>
      </c>
      <c r="F13" t="s">
        <v>224</v>
      </c>
      <c r="G13" s="4">
        <v>44814</v>
      </c>
      <c r="H13" s="4">
        <v>55772</v>
      </c>
      <c r="I13" t="s">
        <v>13</v>
      </c>
      <c r="J13" t="s">
        <v>161</v>
      </c>
      <c r="K13" s="4">
        <v>43718</v>
      </c>
      <c r="L13" s="4">
        <v>51023</v>
      </c>
      <c r="M13" t="s">
        <v>283</v>
      </c>
      <c r="N13" t="s">
        <v>284</v>
      </c>
      <c r="O13" s="4">
        <v>44722</v>
      </c>
      <c r="P13" s="4">
        <v>48375</v>
      </c>
      <c r="Q13" t="s">
        <v>227</v>
      </c>
      <c r="R13" t="s">
        <v>228</v>
      </c>
      <c r="S13" s="4">
        <v>44814</v>
      </c>
      <c r="T13" s="4">
        <v>46640</v>
      </c>
      <c r="U13" t="s">
        <v>214</v>
      </c>
      <c r="V13" t="s">
        <v>215</v>
      </c>
      <c r="W13" s="4">
        <v>44722</v>
      </c>
      <c r="X13" s="4">
        <v>45818</v>
      </c>
      <c r="Y13" t="s">
        <v>221</v>
      </c>
      <c r="Z13" t="s">
        <v>222</v>
      </c>
      <c r="AA13" s="4">
        <v>44814</v>
      </c>
      <c r="AB13" s="4">
        <v>45545</v>
      </c>
      <c r="AC13" t="s">
        <v>293</v>
      </c>
      <c r="AD13" t="s">
        <v>294</v>
      </c>
      <c r="AE13" s="4">
        <v>44623</v>
      </c>
      <c r="AF13" s="4">
        <v>45719</v>
      </c>
      <c r="AG13" t="s">
        <v>330</v>
      </c>
      <c r="AH13" t="s">
        <v>331</v>
      </c>
      <c r="AI13" s="4">
        <v>45109</v>
      </c>
      <c r="AJ13" s="4">
        <v>45840</v>
      </c>
      <c r="AM13" s="4"/>
      <c r="AN13" s="4"/>
      <c r="AO13" t="s">
        <v>358</v>
      </c>
      <c r="AP13" t="s">
        <v>359</v>
      </c>
      <c r="AQ13" s="4">
        <v>45239</v>
      </c>
      <c r="AR13" s="4">
        <v>45605</v>
      </c>
      <c r="AS13" t="s">
        <v>416</v>
      </c>
      <c r="AT13" t="s">
        <v>417</v>
      </c>
      <c r="AU13" s="4">
        <v>45475</v>
      </c>
      <c r="AV13" s="4">
        <v>45566</v>
      </c>
      <c r="AY13" s="4"/>
      <c r="AZ13" s="4"/>
      <c r="BA13" t="s">
        <v>42</v>
      </c>
      <c r="BB13" t="s">
        <v>151</v>
      </c>
      <c r="BC13" s="4">
        <v>42531</v>
      </c>
      <c r="BD13" s="4">
        <v>46183</v>
      </c>
      <c r="BE13" t="s">
        <v>382</v>
      </c>
      <c r="BF13" t="s">
        <v>383</v>
      </c>
      <c r="BG13" s="4">
        <v>45412</v>
      </c>
      <c r="BH13" s="4">
        <v>47238</v>
      </c>
    </row>
    <row r="14" spans="1:60">
      <c r="C14" s="4"/>
      <c r="D14" s="4"/>
      <c r="E14" t="s">
        <v>225</v>
      </c>
      <c r="F14" t="s">
        <v>226</v>
      </c>
      <c r="G14" s="4">
        <v>44630</v>
      </c>
      <c r="H14" s="4">
        <v>55588</v>
      </c>
      <c r="I14" t="s">
        <v>14</v>
      </c>
      <c r="J14" t="s">
        <v>154</v>
      </c>
      <c r="K14" s="4">
        <v>43353</v>
      </c>
      <c r="L14" s="4">
        <v>50658</v>
      </c>
      <c r="M14" t="s">
        <v>285</v>
      </c>
      <c r="N14" t="s">
        <v>286</v>
      </c>
      <c r="O14" s="4">
        <v>44540</v>
      </c>
      <c r="P14" s="4">
        <v>48192</v>
      </c>
      <c r="Q14" t="s">
        <v>229</v>
      </c>
      <c r="R14" t="s">
        <v>230</v>
      </c>
      <c r="S14" s="4">
        <v>44630</v>
      </c>
      <c r="T14" s="4">
        <v>46456</v>
      </c>
      <c r="U14" t="s">
        <v>216</v>
      </c>
      <c r="V14" t="s">
        <v>217</v>
      </c>
      <c r="W14" s="4">
        <v>44540</v>
      </c>
      <c r="X14" s="4">
        <v>45636</v>
      </c>
      <c r="AA14" s="4"/>
      <c r="AB14" s="4"/>
      <c r="AC14" t="s">
        <v>295</v>
      </c>
      <c r="AD14" t="s">
        <v>296</v>
      </c>
      <c r="AE14" s="4">
        <v>44442</v>
      </c>
      <c r="AF14" s="4">
        <v>45538</v>
      </c>
      <c r="AG14" t="s">
        <v>318</v>
      </c>
      <c r="AH14" t="s">
        <v>319</v>
      </c>
      <c r="AI14" s="4">
        <v>45018</v>
      </c>
      <c r="AJ14" s="4">
        <v>45749</v>
      </c>
      <c r="AM14" s="4"/>
      <c r="AN14" s="4"/>
      <c r="AO14" t="s">
        <v>344</v>
      </c>
      <c r="AP14" t="s">
        <v>345</v>
      </c>
      <c r="AQ14" s="4">
        <v>45178</v>
      </c>
      <c r="AR14" s="4">
        <v>45544</v>
      </c>
      <c r="AS14" t="s">
        <v>412</v>
      </c>
      <c r="AT14" t="s">
        <v>413</v>
      </c>
      <c r="AU14" s="4">
        <v>45468</v>
      </c>
      <c r="AV14" s="4">
        <v>45559</v>
      </c>
      <c r="AY14" s="4"/>
      <c r="AZ14" s="4"/>
      <c r="BA14" t="s">
        <v>43</v>
      </c>
      <c r="BB14" t="s">
        <v>145</v>
      </c>
      <c r="BC14" s="4">
        <v>42165</v>
      </c>
      <c r="BD14" s="4">
        <v>45818</v>
      </c>
      <c r="BE14" t="s">
        <v>376</v>
      </c>
      <c r="BF14" t="s">
        <v>377</v>
      </c>
      <c r="BG14" s="4">
        <v>45382</v>
      </c>
      <c r="BH14" s="4">
        <v>47208</v>
      </c>
    </row>
    <row r="15" spans="1:60">
      <c r="C15" s="4"/>
      <c r="D15" s="4"/>
      <c r="E15" t="s">
        <v>100</v>
      </c>
      <c r="F15" t="s">
        <v>169</v>
      </c>
      <c r="G15" s="4">
        <v>44265</v>
      </c>
      <c r="H15" s="4">
        <v>55222</v>
      </c>
      <c r="I15" t="s">
        <v>15</v>
      </c>
      <c r="J15" t="s">
        <v>148</v>
      </c>
      <c r="K15" s="4">
        <v>42988</v>
      </c>
      <c r="L15" s="4">
        <v>50293</v>
      </c>
      <c r="M15" t="s">
        <v>287</v>
      </c>
      <c r="N15" t="s">
        <v>288</v>
      </c>
      <c r="O15" s="4">
        <v>44357</v>
      </c>
      <c r="P15" s="4">
        <v>48009</v>
      </c>
      <c r="Q15" t="s">
        <v>231</v>
      </c>
      <c r="R15" t="s">
        <v>232</v>
      </c>
      <c r="S15" s="4">
        <v>44449</v>
      </c>
      <c r="T15" s="4">
        <v>46275</v>
      </c>
      <c r="W15" s="4"/>
      <c r="X15" s="4"/>
      <c r="Y15" s="4"/>
      <c r="Z15" s="4"/>
      <c r="AA15" s="4"/>
      <c r="AB15" s="4"/>
      <c r="AE15" s="4"/>
      <c r="AF15" s="4"/>
      <c r="AG15" t="s">
        <v>298</v>
      </c>
      <c r="AH15" t="s">
        <v>299</v>
      </c>
      <c r="AI15" s="4">
        <v>44928</v>
      </c>
      <c r="AJ15" s="4">
        <v>45659</v>
      </c>
      <c r="AM15" s="4"/>
      <c r="AN15" s="4"/>
      <c r="AQ15" s="4"/>
      <c r="AR15" s="4"/>
      <c r="AS15" t="s">
        <v>410</v>
      </c>
      <c r="AT15" t="s">
        <v>411</v>
      </c>
      <c r="AU15" s="4">
        <v>45463</v>
      </c>
      <c r="AV15" s="4">
        <v>45554</v>
      </c>
      <c r="AY15" s="4"/>
      <c r="AZ15" s="4"/>
      <c r="BC15" s="4"/>
      <c r="BD15" s="4"/>
      <c r="BE15" t="s">
        <v>372</v>
      </c>
      <c r="BF15" t="s">
        <v>373</v>
      </c>
      <c r="BG15" s="4">
        <v>45351</v>
      </c>
      <c r="BH15" s="4">
        <v>47177</v>
      </c>
    </row>
    <row r="16" spans="1:60">
      <c r="C16" s="4"/>
      <c r="D16" s="4"/>
      <c r="E16" t="s">
        <v>6</v>
      </c>
      <c r="F16" t="s">
        <v>162</v>
      </c>
      <c r="G16" s="4">
        <v>43900</v>
      </c>
      <c r="H16" s="4">
        <v>54857</v>
      </c>
      <c r="I16" t="s">
        <v>16</v>
      </c>
      <c r="J16" t="s">
        <v>142</v>
      </c>
      <c r="K16" s="4">
        <v>42623</v>
      </c>
      <c r="L16" s="4">
        <v>49928</v>
      </c>
      <c r="M16" t="s">
        <v>87</v>
      </c>
      <c r="N16" t="s">
        <v>167</v>
      </c>
      <c r="O16" s="4">
        <v>44175</v>
      </c>
      <c r="P16" s="4">
        <v>47827</v>
      </c>
      <c r="Q16" t="s">
        <v>99</v>
      </c>
      <c r="R16" t="s">
        <v>166</v>
      </c>
      <c r="S16" s="4">
        <v>44265</v>
      </c>
      <c r="T16" s="4">
        <v>46091</v>
      </c>
      <c r="W16" s="4"/>
      <c r="X16" s="4"/>
      <c r="Y16" s="4"/>
      <c r="Z16" s="4"/>
      <c r="AA16" s="4"/>
      <c r="AB16" s="4"/>
      <c r="AE16" s="4"/>
      <c r="AF16" s="4"/>
      <c r="AG16" t="s">
        <v>273</v>
      </c>
      <c r="AH16" t="s">
        <v>274</v>
      </c>
      <c r="AI16" s="4">
        <v>44836</v>
      </c>
      <c r="AJ16" s="4">
        <v>45567</v>
      </c>
      <c r="AM16" s="4"/>
      <c r="AN16" s="4"/>
      <c r="AQ16" s="4"/>
      <c r="AR16" s="4"/>
      <c r="AS16" t="s">
        <v>408</v>
      </c>
      <c r="AT16" t="s">
        <v>409</v>
      </c>
      <c r="AU16" s="4">
        <v>45454</v>
      </c>
      <c r="AV16" s="4">
        <v>45545</v>
      </c>
      <c r="AY16" s="4"/>
      <c r="AZ16" s="4"/>
      <c r="BC16" s="4"/>
      <c r="BD16" s="4"/>
      <c r="BE16" t="s">
        <v>362</v>
      </c>
      <c r="BF16" t="s">
        <v>363</v>
      </c>
      <c r="BG16" s="4">
        <v>45322</v>
      </c>
      <c r="BH16" s="4">
        <v>47149</v>
      </c>
    </row>
    <row r="17" spans="3:60">
      <c r="C17" s="4"/>
      <c r="D17" s="4"/>
      <c r="E17" t="s">
        <v>7</v>
      </c>
      <c r="F17" t="s">
        <v>155</v>
      </c>
      <c r="G17" s="4">
        <v>43534</v>
      </c>
      <c r="H17" s="4">
        <v>54492</v>
      </c>
      <c r="I17" t="s">
        <v>17</v>
      </c>
      <c r="J17" t="s">
        <v>138</v>
      </c>
      <c r="K17" s="4">
        <v>42257</v>
      </c>
      <c r="L17" s="4">
        <v>49562</v>
      </c>
      <c r="M17" t="s">
        <v>83</v>
      </c>
      <c r="N17" t="s">
        <v>160</v>
      </c>
      <c r="O17" s="4">
        <v>43992</v>
      </c>
      <c r="P17" s="4">
        <v>47644</v>
      </c>
      <c r="Q17" t="s">
        <v>86</v>
      </c>
      <c r="R17" t="s">
        <v>159</v>
      </c>
      <c r="S17" s="4">
        <v>44084</v>
      </c>
      <c r="T17" s="4">
        <v>45910</v>
      </c>
      <c r="W17" s="4"/>
      <c r="X17" s="4"/>
      <c r="Y17" s="4"/>
      <c r="Z17" s="4"/>
      <c r="AA17" s="4"/>
      <c r="AB17" s="4"/>
      <c r="AE17" s="4"/>
      <c r="AF17" s="4"/>
      <c r="AI17" s="4"/>
      <c r="AJ17" s="4"/>
      <c r="AM17" s="4"/>
      <c r="AN17" s="4"/>
      <c r="AQ17" s="4"/>
      <c r="AR17" s="4"/>
      <c r="AS17" t="s">
        <v>406</v>
      </c>
      <c r="AT17" t="s">
        <v>407</v>
      </c>
      <c r="AU17" s="4">
        <v>45447</v>
      </c>
      <c r="AV17" s="4">
        <v>45538</v>
      </c>
      <c r="AY17" s="4"/>
      <c r="AZ17" s="4"/>
      <c r="BC17" s="4"/>
      <c r="BD17" s="4"/>
      <c r="BE17" t="s">
        <v>360</v>
      </c>
      <c r="BF17" t="s">
        <v>361</v>
      </c>
      <c r="BG17" s="4">
        <v>45291</v>
      </c>
      <c r="BH17" s="4">
        <v>47118</v>
      </c>
    </row>
    <row r="18" spans="3:60">
      <c r="C18" s="4"/>
      <c r="D18" s="4"/>
      <c r="E18" t="s">
        <v>8</v>
      </c>
      <c r="F18" t="s">
        <v>149</v>
      </c>
      <c r="G18" s="4">
        <v>43169</v>
      </c>
      <c r="H18" s="4">
        <v>54127</v>
      </c>
      <c r="I18" t="s">
        <v>18</v>
      </c>
      <c r="J18" t="s">
        <v>134</v>
      </c>
      <c r="K18" s="4">
        <v>41618</v>
      </c>
      <c r="L18" s="4">
        <v>48923</v>
      </c>
      <c r="M18" t="s">
        <v>25</v>
      </c>
      <c r="N18" t="s">
        <v>153</v>
      </c>
      <c r="O18" s="4">
        <v>43809</v>
      </c>
      <c r="P18" s="4">
        <v>47462</v>
      </c>
      <c r="Q18" t="s">
        <v>36</v>
      </c>
      <c r="R18" t="s">
        <v>152</v>
      </c>
      <c r="S18" s="4">
        <v>43900</v>
      </c>
      <c r="T18" s="4">
        <v>45726</v>
      </c>
      <c r="W18" s="4"/>
      <c r="X18" s="4"/>
      <c r="Y18" s="4"/>
      <c r="Z18" s="4"/>
      <c r="AA18" s="4"/>
      <c r="AB18" s="4"/>
      <c r="AE18" s="4"/>
      <c r="AF18" s="4"/>
      <c r="AI18" s="4"/>
      <c r="AJ18" s="4"/>
      <c r="AM18" s="4"/>
      <c r="AN18" s="4"/>
      <c r="AQ18" s="4"/>
      <c r="AR18" s="4"/>
      <c r="AS18" t="s">
        <v>402</v>
      </c>
      <c r="AT18" t="s">
        <v>403</v>
      </c>
      <c r="AU18" s="4">
        <v>45440</v>
      </c>
      <c r="AV18" s="4">
        <v>45531</v>
      </c>
      <c r="AY18" s="4"/>
      <c r="AZ18" s="4"/>
      <c r="BC18" s="4"/>
      <c r="BD18" s="4"/>
      <c r="BE18" t="s">
        <v>356</v>
      </c>
      <c r="BF18" t="s">
        <v>357</v>
      </c>
      <c r="BG18" s="4">
        <v>45260</v>
      </c>
      <c r="BH18" s="4">
        <v>47087</v>
      </c>
    </row>
    <row r="19" spans="3:60">
      <c r="C19" s="4"/>
      <c r="D19" s="4"/>
      <c r="E19" t="s">
        <v>9</v>
      </c>
      <c r="F19" t="s">
        <v>143</v>
      </c>
      <c r="G19" s="4">
        <v>42804</v>
      </c>
      <c r="H19" s="4">
        <v>53761</v>
      </c>
      <c r="I19" t="s">
        <v>19</v>
      </c>
      <c r="J19" t="s">
        <v>130</v>
      </c>
      <c r="K19" s="4">
        <v>40887</v>
      </c>
      <c r="L19" s="4">
        <v>48192</v>
      </c>
      <c r="M19" t="s">
        <v>26</v>
      </c>
      <c r="N19" t="s">
        <v>147</v>
      </c>
      <c r="O19" s="4">
        <v>43626</v>
      </c>
      <c r="P19" s="4">
        <v>47279</v>
      </c>
      <c r="Q19" t="s">
        <v>37</v>
      </c>
      <c r="R19" t="s">
        <v>146</v>
      </c>
      <c r="S19" s="4">
        <v>43718</v>
      </c>
      <c r="T19" s="4">
        <v>45545</v>
      </c>
      <c r="W19" s="4"/>
      <c r="X19" s="4"/>
      <c r="Y19" s="4"/>
      <c r="Z19" s="4"/>
      <c r="AA19" s="4"/>
      <c r="AB19" s="4"/>
      <c r="AC19" s="4"/>
      <c r="AD19" s="4"/>
      <c r="AE19" s="4"/>
      <c r="AF19" s="4"/>
      <c r="AI19" s="4"/>
      <c r="AJ19" s="4"/>
      <c r="AM19" s="4"/>
      <c r="AN19" s="4"/>
      <c r="AQ19" s="4"/>
      <c r="AR19" s="4"/>
      <c r="AS19" t="s">
        <v>400</v>
      </c>
      <c r="AT19" t="s">
        <v>401</v>
      </c>
      <c r="AU19" s="4">
        <v>45433</v>
      </c>
      <c r="AV19" s="4">
        <v>45524</v>
      </c>
      <c r="AY19" s="4"/>
      <c r="AZ19" s="4"/>
      <c r="BC19" s="4"/>
      <c r="BD19" s="4"/>
      <c r="BE19" t="s">
        <v>349</v>
      </c>
      <c r="BF19" t="s">
        <v>350</v>
      </c>
      <c r="BG19" s="4">
        <v>45230</v>
      </c>
      <c r="BH19" s="4">
        <v>47057</v>
      </c>
    </row>
    <row r="20" spans="3:60">
      <c r="C20" s="4"/>
      <c r="D20" s="4"/>
      <c r="E20" t="s">
        <v>10</v>
      </c>
      <c r="F20" t="s">
        <v>139</v>
      </c>
      <c r="G20" s="4">
        <v>42439</v>
      </c>
      <c r="H20" s="4">
        <v>53396</v>
      </c>
      <c r="I20" t="s">
        <v>20</v>
      </c>
      <c r="J20" t="s">
        <v>127</v>
      </c>
      <c r="K20" s="4">
        <v>40522</v>
      </c>
      <c r="L20" s="4">
        <v>47827</v>
      </c>
      <c r="M20" t="s">
        <v>27</v>
      </c>
      <c r="N20" t="s">
        <v>141</v>
      </c>
      <c r="O20" s="4">
        <v>43444</v>
      </c>
      <c r="P20" s="4">
        <v>47097</v>
      </c>
      <c r="S20" s="4"/>
      <c r="T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I20" s="4"/>
      <c r="AJ20" s="4"/>
      <c r="AM20" s="4"/>
      <c r="AN20" s="4"/>
      <c r="AQ20" s="4"/>
      <c r="AR20" s="4"/>
      <c r="AS20" t="s">
        <v>398</v>
      </c>
      <c r="AT20" t="s">
        <v>399</v>
      </c>
      <c r="AU20" s="4">
        <v>45426</v>
      </c>
      <c r="AV20" s="4">
        <v>45517</v>
      </c>
      <c r="AY20" s="4"/>
      <c r="AZ20" s="4"/>
      <c r="BC20" s="4"/>
      <c r="BD20" s="4"/>
      <c r="BE20" t="s">
        <v>342</v>
      </c>
      <c r="BF20" t="s">
        <v>343</v>
      </c>
      <c r="BG20" s="4">
        <v>45199</v>
      </c>
      <c r="BH20" s="4">
        <v>47026</v>
      </c>
    </row>
    <row r="21" spans="3:60">
      <c r="C21" s="4"/>
      <c r="D21" s="4"/>
      <c r="E21" t="s">
        <v>11</v>
      </c>
      <c r="F21" t="s">
        <v>135</v>
      </c>
      <c r="G21" s="4">
        <v>41983</v>
      </c>
      <c r="H21" s="4">
        <v>52941</v>
      </c>
      <c r="I21" t="s">
        <v>21</v>
      </c>
      <c r="J21" t="s">
        <v>124</v>
      </c>
      <c r="K21" s="4">
        <v>40157</v>
      </c>
      <c r="L21" s="4">
        <v>47462</v>
      </c>
      <c r="M21" t="s">
        <v>28</v>
      </c>
      <c r="N21" t="s">
        <v>137</v>
      </c>
      <c r="O21" s="4">
        <v>43261</v>
      </c>
      <c r="P21" s="4">
        <v>46914</v>
      </c>
      <c r="S21" s="4"/>
      <c r="T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I21" s="4"/>
      <c r="AJ21" s="4"/>
      <c r="AM21" s="4"/>
      <c r="AN21" s="4"/>
      <c r="AQ21" s="4"/>
      <c r="AR21" s="4"/>
      <c r="AS21" t="s">
        <v>394</v>
      </c>
      <c r="AT21" t="s">
        <v>395</v>
      </c>
      <c r="AU21" s="4">
        <v>45419</v>
      </c>
      <c r="AV21" s="4">
        <v>45510</v>
      </c>
      <c r="AY21" s="4"/>
      <c r="AZ21" s="4"/>
      <c r="BC21" s="4"/>
      <c r="BD21" s="4"/>
      <c r="BE21" t="s">
        <v>336</v>
      </c>
      <c r="BF21" t="s">
        <v>337</v>
      </c>
      <c r="BG21" s="4">
        <v>45169</v>
      </c>
      <c r="BH21" s="4">
        <v>46996</v>
      </c>
    </row>
    <row r="22" spans="3:60">
      <c r="C22" s="4"/>
      <c r="D22" s="4"/>
      <c r="E22" t="s">
        <v>12</v>
      </c>
      <c r="F22" t="s">
        <v>131</v>
      </c>
      <c r="G22" s="4">
        <v>41253</v>
      </c>
      <c r="H22" s="4">
        <v>52210</v>
      </c>
      <c r="I22" t="s">
        <v>22</v>
      </c>
      <c r="J22" t="s">
        <v>121</v>
      </c>
      <c r="K22" s="4">
        <v>39517</v>
      </c>
      <c r="L22" s="4">
        <v>46822</v>
      </c>
      <c r="M22" t="s">
        <v>29</v>
      </c>
      <c r="N22" t="s">
        <v>133</v>
      </c>
      <c r="O22" s="4">
        <v>43079</v>
      </c>
      <c r="P22" s="4">
        <v>46731</v>
      </c>
      <c r="S22" s="4"/>
      <c r="T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I22" s="4"/>
      <c r="AJ22" s="4"/>
      <c r="AM22" s="4"/>
      <c r="AN22" s="4"/>
      <c r="AQ22" s="4"/>
      <c r="AR22" s="4"/>
      <c r="AU22" s="4"/>
      <c r="AV22" s="4"/>
      <c r="AY22" s="4"/>
      <c r="AZ22" s="4"/>
      <c r="BC22" s="4"/>
      <c r="BD22" s="4"/>
      <c r="BE22" t="s">
        <v>328</v>
      </c>
      <c r="BF22" t="s">
        <v>329</v>
      </c>
      <c r="BG22" s="4">
        <v>45138</v>
      </c>
      <c r="BH22" s="4">
        <v>46965</v>
      </c>
    </row>
    <row r="23" spans="3:60">
      <c r="C23" s="4"/>
      <c r="D23" s="4"/>
      <c r="G23" s="4"/>
      <c r="H23" s="4"/>
      <c r="I23" t="s">
        <v>23</v>
      </c>
      <c r="J23" t="s">
        <v>118</v>
      </c>
      <c r="K23" s="4">
        <v>39151</v>
      </c>
      <c r="L23" s="4">
        <v>46456</v>
      </c>
      <c r="M23" t="s">
        <v>30</v>
      </c>
      <c r="N23" t="s">
        <v>129</v>
      </c>
      <c r="O23" s="4">
        <v>42896</v>
      </c>
      <c r="P23" s="4">
        <v>46548</v>
      </c>
      <c r="S23" s="4"/>
      <c r="T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I23" s="4"/>
      <c r="AJ23" s="4"/>
      <c r="AM23" s="4"/>
      <c r="AN23" s="4"/>
      <c r="AQ23" s="4"/>
      <c r="AR23" s="4"/>
      <c r="AU23" s="4"/>
      <c r="AV23" s="4"/>
      <c r="AY23" s="4"/>
      <c r="AZ23" s="4"/>
      <c r="BC23" s="4"/>
      <c r="BD23" s="4"/>
      <c r="BE23" t="s">
        <v>326</v>
      </c>
      <c r="BF23" t="s">
        <v>327</v>
      </c>
      <c r="BG23" s="4">
        <v>45107</v>
      </c>
      <c r="BH23" s="4">
        <v>46934</v>
      </c>
    </row>
    <row r="24" spans="3:60">
      <c r="C24" s="4"/>
      <c r="D24" s="4"/>
      <c r="G24" s="4"/>
      <c r="H24" s="4"/>
      <c r="I24" t="s">
        <v>24</v>
      </c>
      <c r="J24" t="s">
        <v>115</v>
      </c>
      <c r="K24" s="4">
        <v>38786</v>
      </c>
      <c r="L24" s="4">
        <v>46091</v>
      </c>
      <c r="M24" t="s">
        <v>31</v>
      </c>
      <c r="N24" t="s">
        <v>126</v>
      </c>
      <c r="O24" s="4">
        <v>42714</v>
      </c>
      <c r="P24" s="4">
        <v>46366</v>
      </c>
      <c r="S24" s="4"/>
      <c r="T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I24" s="4"/>
      <c r="AJ24" s="4"/>
      <c r="AM24" s="4"/>
      <c r="AN24" s="4"/>
      <c r="AQ24" s="4"/>
      <c r="AR24" s="4"/>
      <c r="AU24" s="4"/>
      <c r="AV24" s="4"/>
      <c r="AY24" s="4"/>
      <c r="AZ24" s="4"/>
      <c r="BC24" s="4"/>
      <c r="BD24" s="4"/>
      <c r="BE24" t="s">
        <v>324</v>
      </c>
      <c r="BF24" t="s">
        <v>325</v>
      </c>
      <c r="BG24" s="4">
        <v>45077</v>
      </c>
      <c r="BH24" s="4">
        <v>46904</v>
      </c>
    </row>
    <row r="25" spans="3:60">
      <c r="C25" s="4"/>
      <c r="D25" s="4"/>
      <c r="G25" s="4"/>
      <c r="H25" s="4"/>
      <c r="K25" s="4"/>
      <c r="L25" s="4"/>
      <c r="M25" t="s">
        <v>32</v>
      </c>
      <c r="N25" t="s">
        <v>123</v>
      </c>
      <c r="O25" s="4">
        <v>42531</v>
      </c>
      <c r="P25" s="4">
        <v>46183</v>
      </c>
      <c r="S25" s="4"/>
      <c r="T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I25" s="4"/>
      <c r="AJ25" s="4"/>
      <c r="AM25" s="4"/>
      <c r="AN25" s="4"/>
      <c r="AQ25" s="4"/>
      <c r="AR25" s="4"/>
      <c r="AU25" s="4"/>
      <c r="AV25" s="4"/>
      <c r="AY25" s="4"/>
      <c r="AZ25" s="4"/>
      <c r="BC25" s="4"/>
      <c r="BD25" s="4"/>
      <c r="BE25" t="s">
        <v>316</v>
      </c>
      <c r="BF25" t="s">
        <v>317</v>
      </c>
      <c r="BG25" s="4">
        <v>45046</v>
      </c>
      <c r="BH25" s="4">
        <v>46873</v>
      </c>
    </row>
    <row r="26" spans="3:60">
      <c r="C26" s="4"/>
      <c r="D26" s="4"/>
      <c r="G26" s="4"/>
      <c r="H26" s="4"/>
      <c r="K26" s="4"/>
      <c r="L26" s="4"/>
      <c r="M26" t="s">
        <v>33</v>
      </c>
      <c r="N26" t="s">
        <v>120</v>
      </c>
      <c r="O26" s="4">
        <v>42348</v>
      </c>
      <c r="P26" s="4">
        <v>46001</v>
      </c>
      <c r="S26" s="4"/>
      <c r="T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I26" s="4"/>
      <c r="AJ26" s="4"/>
      <c r="AM26" s="4"/>
      <c r="AN26" s="4"/>
      <c r="AQ26" s="4"/>
      <c r="AR26" s="4"/>
      <c r="AU26" s="4"/>
      <c r="AV26" s="4"/>
      <c r="AY26" s="4"/>
      <c r="AZ26" s="4"/>
      <c r="BC26" s="4"/>
      <c r="BD26" s="4"/>
      <c r="BE26" t="s">
        <v>312</v>
      </c>
      <c r="BF26" t="s">
        <v>313</v>
      </c>
      <c r="BG26" s="4">
        <v>45016</v>
      </c>
      <c r="BH26" s="4">
        <v>46843</v>
      </c>
    </row>
    <row r="27" spans="3:60">
      <c r="C27" s="4"/>
      <c r="D27" s="4"/>
      <c r="G27" s="4"/>
      <c r="H27" s="4"/>
      <c r="K27" s="4"/>
      <c r="L27" s="4"/>
      <c r="M27" t="s">
        <v>34</v>
      </c>
      <c r="N27" t="s">
        <v>117</v>
      </c>
      <c r="O27" s="4">
        <v>42165</v>
      </c>
      <c r="P27" s="4">
        <v>45818</v>
      </c>
      <c r="S27" s="4"/>
      <c r="T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I27" s="4"/>
      <c r="AJ27" s="4"/>
      <c r="AM27" s="4"/>
      <c r="AN27" s="4"/>
      <c r="AQ27" s="4"/>
      <c r="AR27" s="4"/>
      <c r="AU27" s="4"/>
      <c r="AV27" s="4"/>
      <c r="AY27" s="4"/>
      <c r="AZ27" s="4"/>
      <c r="BC27" s="4"/>
      <c r="BD27" s="4"/>
      <c r="BE27" t="s">
        <v>306</v>
      </c>
      <c r="BF27" t="s">
        <v>307</v>
      </c>
      <c r="BG27" s="4">
        <v>44985</v>
      </c>
      <c r="BH27" s="4">
        <v>46812</v>
      </c>
    </row>
    <row r="28" spans="3:60">
      <c r="C28" s="4"/>
      <c r="D28" s="4"/>
      <c r="G28" s="4"/>
      <c r="H28" s="4"/>
      <c r="K28" s="4"/>
      <c r="L28" s="4"/>
      <c r="M28" t="s">
        <v>35</v>
      </c>
      <c r="N28" t="s">
        <v>114</v>
      </c>
      <c r="O28" s="4">
        <v>41892</v>
      </c>
      <c r="P28" s="4">
        <v>45545</v>
      </c>
      <c r="S28" s="4"/>
      <c r="T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I28" s="4"/>
      <c r="AJ28" s="4"/>
      <c r="AM28" s="4"/>
      <c r="AN28" s="4"/>
      <c r="AQ28" s="4"/>
      <c r="AR28" s="4"/>
      <c r="AU28" s="4"/>
      <c r="AV28" s="4"/>
      <c r="AY28" s="4"/>
      <c r="AZ28" s="4"/>
      <c r="BC28" s="4"/>
      <c r="BD28" s="4"/>
      <c r="BE28" t="s">
        <v>300</v>
      </c>
      <c r="BF28" t="s">
        <v>301</v>
      </c>
      <c r="BG28" s="4">
        <v>44957</v>
      </c>
      <c r="BH28" s="4">
        <v>46783</v>
      </c>
    </row>
    <row r="29" spans="3:60">
      <c r="C29" s="4"/>
      <c r="D29" s="4"/>
      <c r="G29" s="4"/>
      <c r="H29" s="4"/>
      <c r="K29" s="4"/>
      <c r="L29" s="4"/>
      <c r="O29" s="4"/>
      <c r="P29" s="4"/>
      <c r="S29" s="4"/>
      <c r="T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I29" s="4"/>
      <c r="AJ29" s="4"/>
      <c r="AM29" s="4"/>
      <c r="AN29" s="4"/>
      <c r="AQ29" s="4"/>
      <c r="AR29" s="4"/>
      <c r="AU29" s="4"/>
      <c r="AV29" s="4"/>
      <c r="AY29" s="4"/>
      <c r="AZ29" s="4"/>
      <c r="BC29" s="4"/>
      <c r="BD29" s="4"/>
      <c r="BE29" t="s">
        <v>302</v>
      </c>
      <c r="BF29" t="s">
        <v>303</v>
      </c>
      <c r="BG29" s="4">
        <v>44926</v>
      </c>
      <c r="BH29" s="4">
        <v>46752</v>
      </c>
    </row>
    <row r="30" spans="3:60">
      <c r="C30" s="4"/>
      <c r="D30" s="4"/>
      <c r="G30" s="4"/>
      <c r="H30" s="4"/>
      <c r="K30" s="4"/>
      <c r="L30" s="4"/>
      <c r="O30" s="4"/>
      <c r="P30" s="4"/>
      <c r="S30" s="4"/>
      <c r="T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I30" s="4"/>
      <c r="AJ30" s="4"/>
      <c r="AM30" s="4"/>
      <c r="AN30" s="4"/>
      <c r="AQ30" s="4"/>
      <c r="AR30" s="4"/>
      <c r="AU30" s="4"/>
      <c r="AV30" s="4"/>
      <c r="AY30" s="4"/>
      <c r="AZ30" s="4"/>
      <c r="BC30" s="4"/>
      <c r="BD30" s="4"/>
      <c r="BE30" t="s">
        <v>233</v>
      </c>
      <c r="BF30" t="s">
        <v>234</v>
      </c>
      <c r="BG30" s="4">
        <v>44895</v>
      </c>
      <c r="BH30" s="4">
        <v>46721</v>
      </c>
    </row>
    <row r="31" spans="3:60">
      <c r="C31" s="4"/>
      <c r="D31" s="4"/>
      <c r="G31" s="4"/>
      <c r="H31" s="4"/>
      <c r="K31" s="4"/>
      <c r="L31" s="4"/>
      <c r="O31" s="4"/>
      <c r="P31" s="4"/>
      <c r="S31" s="4"/>
      <c r="T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I31" s="4"/>
      <c r="AJ31" s="4"/>
      <c r="AM31" s="4"/>
      <c r="AN31" s="4"/>
      <c r="AQ31" s="4"/>
      <c r="AR31" s="4"/>
      <c r="AU31" s="4"/>
      <c r="AV31" s="4"/>
      <c r="AY31" s="4"/>
      <c r="AZ31" s="4"/>
      <c r="BC31" s="4"/>
      <c r="BD31" s="4"/>
      <c r="BE31" t="s">
        <v>235</v>
      </c>
      <c r="BF31" t="s">
        <v>236</v>
      </c>
      <c r="BG31" s="4">
        <v>44865</v>
      </c>
      <c r="BH31" s="4">
        <v>46691</v>
      </c>
    </row>
    <row r="32" spans="3:60">
      <c r="C32" s="4"/>
      <c r="D32" s="4"/>
      <c r="G32" s="4"/>
      <c r="H32" s="4"/>
      <c r="K32" s="4"/>
      <c r="L32" s="4"/>
      <c r="O32" s="4"/>
      <c r="P32" s="4"/>
      <c r="S32" s="4"/>
      <c r="T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I32" s="4"/>
      <c r="AJ32" s="4"/>
      <c r="AM32" s="4"/>
      <c r="AN32" s="4"/>
      <c r="AQ32" s="4"/>
      <c r="AR32" s="4"/>
      <c r="AU32" s="4"/>
      <c r="AV32" s="4"/>
      <c r="AY32" s="4"/>
      <c r="AZ32" s="4"/>
      <c r="BC32" s="4"/>
      <c r="BD32" s="4"/>
      <c r="BE32" t="s">
        <v>237</v>
      </c>
      <c r="BF32" t="s">
        <v>238</v>
      </c>
      <c r="BG32" s="4">
        <v>44834</v>
      </c>
      <c r="BH32" s="4">
        <v>46660</v>
      </c>
    </row>
    <row r="33" spans="3:60">
      <c r="C33" s="4"/>
      <c r="D33" s="4"/>
      <c r="G33" s="4"/>
      <c r="H33" s="4"/>
      <c r="K33" s="4"/>
      <c r="L33" s="4"/>
      <c r="O33" s="4"/>
      <c r="P33" s="4"/>
      <c r="S33" s="4"/>
      <c r="T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I33" s="4"/>
      <c r="AJ33" s="4"/>
      <c r="AM33" s="4"/>
      <c r="AN33" s="4"/>
      <c r="AQ33" s="4"/>
      <c r="AR33" s="4"/>
      <c r="AU33" s="4"/>
      <c r="AV33" s="4"/>
      <c r="AY33" s="4"/>
      <c r="AZ33" s="4"/>
      <c r="BC33" s="4"/>
      <c r="BD33" s="4"/>
      <c r="BE33" t="s">
        <v>239</v>
      </c>
      <c r="BF33" t="s">
        <v>240</v>
      </c>
      <c r="BG33" s="4">
        <v>44804</v>
      </c>
      <c r="BH33" s="4">
        <v>46630</v>
      </c>
    </row>
    <row r="34" spans="3:60">
      <c r="C34" s="4"/>
      <c r="D34" s="4"/>
      <c r="G34" s="4"/>
      <c r="H34" s="4"/>
      <c r="K34" s="4"/>
      <c r="L34" s="4"/>
      <c r="O34" s="4"/>
      <c r="P34" s="4"/>
      <c r="S34" s="4"/>
      <c r="T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I34" s="4"/>
      <c r="AJ34" s="4"/>
      <c r="AM34" s="4"/>
      <c r="AN34" s="4"/>
      <c r="AQ34" s="4"/>
      <c r="AR34" s="4"/>
      <c r="AU34" s="4"/>
      <c r="AV34" s="4"/>
      <c r="AY34" s="4"/>
      <c r="AZ34" s="4"/>
      <c r="BC34" s="4"/>
      <c r="BD34" s="4"/>
      <c r="BE34" t="s">
        <v>241</v>
      </c>
      <c r="BF34" t="s">
        <v>242</v>
      </c>
      <c r="BG34" s="4">
        <v>44773</v>
      </c>
      <c r="BH34" s="4">
        <v>46599</v>
      </c>
    </row>
    <row r="35" spans="3:60">
      <c r="C35" s="4"/>
      <c r="D35" s="4"/>
      <c r="G35" s="4"/>
      <c r="H35" s="4"/>
      <c r="K35" s="4"/>
      <c r="L35" s="4"/>
      <c r="O35" s="4"/>
      <c r="P35" s="4"/>
      <c r="S35" s="4"/>
      <c r="T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I35" s="4"/>
      <c r="AJ35" s="4"/>
      <c r="AM35" s="4"/>
      <c r="AN35" s="4"/>
      <c r="AQ35" s="4"/>
      <c r="AR35" s="4"/>
      <c r="AU35" s="4"/>
      <c r="AV35" s="4"/>
      <c r="AY35" s="4"/>
      <c r="AZ35" s="4"/>
      <c r="BC35" s="4"/>
      <c r="BD35" s="4"/>
      <c r="BE35" t="s">
        <v>243</v>
      </c>
      <c r="BF35" t="s">
        <v>244</v>
      </c>
      <c r="BG35" s="4">
        <v>44742</v>
      </c>
      <c r="BH35" s="4">
        <v>46568</v>
      </c>
    </row>
    <row r="36" spans="3:60">
      <c r="C36" s="4"/>
      <c r="D36" s="4"/>
      <c r="G36" s="4"/>
      <c r="H36" s="4"/>
      <c r="K36" s="4"/>
      <c r="L36" s="4"/>
      <c r="O36" s="4"/>
      <c r="P36" s="4"/>
      <c r="S36" s="4"/>
      <c r="T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I36" s="4"/>
      <c r="AJ36" s="4"/>
      <c r="AM36" s="4"/>
      <c r="AN36" s="4"/>
      <c r="AQ36" s="4"/>
      <c r="AR36" s="4"/>
      <c r="AU36" s="4"/>
      <c r="AV36" s="4"/>
      <c r="AY36" s="4"/>
      <c r="AZ36" s="4"/>
      <c r="BC36" s="4"/>
      <c r="BD36" s="4"/>
      <c r="BE36" t="s">
        <v>245</v>
      </c>
      <c r="BF36" t="s">
        <v>246</v>
      </c>
      <c r="BG36" s="4">
        <v>44712</v>
      </c>
      <c r="BH36" s="4">
        <v>46538</v>
      </c>
    </row>
    <row r="37" spans="3:60">
      <c r="C37" s="4"/>
      <c r="D37" s="4"/>
      <c r="G37" s="4"/>
      <c r="H37" s="4"/>
      <c r="K37" s="4"/>
      <c r="L37" s="4"/>
      <c r="O37" s="4"/>
      <c r="P37" s="4"/>
      <c r="S37" s="4"/>
      <c r="T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I37" s="4"/>
      <c r="AJ37" s="4"/>
      <c r="AM37" s="4"/>
      <c r="AN37" s="4"/>
      <c r="AQ37" s="4"/>
      <c r="AR37" s="4"/>
      <c r="AU37" s="4"/>
      <c r="AV37" s="4"/>
      <c r="AY37" s="4"/>
      <c r="AZ37" s="4"/>
      <c r="BC37" s="4"/>
      <c r="BD37" s="4"/>
      <c r="BE37" t="s">
        <v>247</v>
      </c>
      <c r="BF37" t="s">
        <v>248</v>
      </c>
      <c r="BG37" s="4">
        <v>44681</v>
      </c>
      <c r="BH37" s="4">
        <v>46507</v>
      </c>
    </row>
    <row r="38" spans="3:60">
      <c r="C38" s="4"/>
      <c r="D38" s="4"/>
      <c r="G38" s="4"/>
      <c r="H38" s="4"/>
      <c r="K38" s="4"/>
      <c r="L38" s="4"/>
      <c r="O38" s="4"/>
      <c r="P38" s="4"/>
      <c r="S38" s="4"/>
      <c r="T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I38" s="4"/>
      <c r="AJ38" s="4"/>
      <c r="AM38" s="4"/>
      <c r="AN38" s="4"/>
      <c r="AQ38" s="4"/>
      <c r="AR38" s="4"/>
      <c r="AU38" s="4"/>
      <c r="AV38" s="4"/>
      <c r="AY38" s="4"/>
      <c r="AZ38" s="4"/>
      <c r="BC38" s="4"/>
      <c r="BD38" s="4"/>
      <c r="BE38" t="s">
        <v>249</v>
      </c>
      <c r="BF38" t="s">
        <v>250</v>
      </c>
      <c r="BG38" s="4">
        <v>44651</v>
      </c>
      <c r="BH38" s="4">
        <v>46477</v>
      </c>
    </row>
    <row r="39" spans="3:60">
      <c r="C39" s="4"/>
      <c r="D39" s="4"/>
      <c r="G39" s="4"/>
      <c r="H39" s="4"/>
      <c r="K39" s="4"/>
      <c r="L39" s="4"/>
      <c r="O39" s="4"/>
      <c r="P39" s="4"/>
      <c r="S39" s="4"/>
      <c r="T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I39" s="4"/>
      <c r="AJ39" s="4"/>
      <c r="AM39" s="4"/>
      <c r="AN39" s="4"/>
      <c r="AQ39" s="4"/>
      <c r="AR39" s="4"/>
      <c r="AU39" s="4"/>
      <c r="AV39" s="4"/>
      <c r="AY39" s="4"/>
      <c r="AZ39" s="4"/>
      <c r="BC39" s="4"/>
      <c r="BD39" s="4"/>
      <c r="BE39" t="s">
        <v>251</v>
      </c>
      <c r="BF39" t="s">
        <v>252</v>
      </c>
      <c r="BG39" s="4">
        <v>44620</v>
      </c>
      <c r="BH39" s="4">
        <v>46446</v>
      </c>
    </row>
    <row r="40" spans="3:60">
      <c r="C40" s="4"/>
      <c r="D40" s="4"/>
      <c r="G40" s="4"/>
      <c r="H40" s="4"/>
      <c r="K40" s="4"/>
      <c r="L40" s="4"/>
      <c r="O40" s="4"/>
      <c r="P40" s="4"/>
      <c r="S40" s="4"/>
      <c r="T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I40" s="4"/>
      <c r="AJ40" s="4"/>
      <c r="AM40" s="4"/>
      <c r="AN40" s="4"/>
      <c r="AQ40" s="4"/>
      <c r="AR40" s="4"/>
      <c r="AU40" s="4"/>
      <c r="AV40" s="4"/>
      <c r="AY40" s="4"/>
      <c r="AZ40" s="4"/>
      <c r="BC40" s="4"/>
      <c r="BD40" s="4"/>
      <c r="BE40" t="s">
        <v>253</v>
      </c>
      <c r="BF40" t="s">
        <v>254</v>
      </c>
      <c r="BG40" s="4">
        <v>44592</v>
      </c>
      <c r="BH40" s="4">
        <v>46418</v>
      </c>
    </row>
    <row r="41" spans="3:60">
      <c r="C41" s="4"/>
      <c r="D41" s="4"/>
      <c r="G41" s="4"/>
      <c r="H41" s="4"/>
      <c r="K41" s="4"/>
      <c r="L41" s="4"/>
      <c r="O41" s="4"/>
      <c r="P41" s="4"/>
      <c r="S41" s="4"/>
      <c r="T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I41" s="4"/>
      <c r="AJ41" s="4"/>
      <c r="AM41" s="4"/>
      <c r="AN41" s="4"/>
      <c r="AQ41" s="4"/>
      <c r="AR41" s="4"/>
      <c r="AU41" s="4"/>
      <c r="AV41" s="4"/>
      <c r="AY41" s="4"/>
      <c r="AZ41" s="4"/>
      <c r="BC41" s="4"/>
      <c r="BD41" s="4"/>
      <c r="BE41" t="s">
        <v>255</v>
      </c>
      <c r="BF41" t="s">
        <v>256</v>
      </c>
      <c r="BG41" s="4">
        <v>44561</v>
      </c>
      <c r="BH41" s="4">
        <v>46387</v>
      </c>
    </row>
    <row r="42" spans="3:60">
      <c r="C42" s="4"/>
      <c r="D42" s="4"/>
      <c r="G42" s="4"/>
      <c r="H42" s="4"/>
      <c r="K42" s="4"/>
      <c r="L42" s="4"/>
      <c r="O42" s="4"/>
      <c r="P42" s="4"/>
      <c r="S42" s="4"/>
      <c r="T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I42" s="4"/>
      <c r="AJ42" s="4"/>
      <c r="AM42" s="4"/>
      <c r="AN42" s="4"/>
      <c r="AQ42" s="4"/>
      <c r="AR42" s="4"/>
      <c r="AU42" s="4"/>
      <c r="AV42" s="4"/>
      <c r="AY42" s="4"/>
      <c r="AZ42" s="4"/>
      <c r="BC42" s="4"/>
      <c r="BD42" s="4"/>
      <c r="BE42" t="s">
        <v>257</v>
      </c>
      <c r="BF42" t="s">
        <v>258</v>
      </c>
      <c r="BG42" s="4">
        <v>44530</v>
      </c>
      <c r="BH42" s="4">
        <v>46356</v>
      </c>
    </row>
    <row r="43" spans="3:60">
      <c r="C43" s="4"/>
      <c r="D43" s="4"/>
      <c r="G43" s="4"/>
      <c r="H43" s="4"/>
      <c r="K43" s="4"/>
      <c r="L43" s="4"/>
      <c r="O43" s="4"/>
      <c r="P43" s="4"/>
      <c r="S43" s="4"/>
      <c r="T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I43" s="4"/>
      <c r="AJ43" s="4"/>
      <c r="AM43" s="4"/>
      <c r="AN43" s="4"/>
      <c r="AQ43" s="4"/>
      <c r="AR43" s="4"/>
      <c r="AU43" s="4"/>
      <c r="AV43" s="4"/>
      <c r="AY43" s="4"/>
      <c r="AZ43" s="4"/>
      <c r="BC43" s="4"/>
      <c r="BD43" s="4"/>
      <c r="BE43" t="s">
        <v>259</v>
      </c>
      <c r="BF43" t="s">
        <v>260</v>
      </c>
      <c r="BG43" s="4">
        <v>44500</v>
      </c>
      <c r="BH43" s="4">
        <v>46326</v>
      </c>
    </row>
    <row r="44" spans="3:60">
      <c r="C44" s="4"/>
      <c r="D44" s="4"/>
      <c r="G44" s="4"/>
      <c r="H44" s="4"/>
      <c r="K44" s="4"/>
      <c r="L44" s="4"/>
      <c r="O44" s="4"/>
      <c r="P44" s="4"/>
      <c r="S44" s="4"/>
      <c r="T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I44" s="4"/>
      <c r="AJ44" s="4"/>
      <c r="AM44" s="4"/>
      <c r="AN44" s="4"/>
      <c r="AQ44" s="4"/>
      <c r="AR44" s="4"/>
      <c r="AU44" s="4"/>
      <c r="AV44" s="4"/>
      <c r="AY44" s="4"/>
      <c r="AZ44" s="4"/>
      <c r="BC44" s="4"/>
      <c r="BD44" s="4"/>
      <c r="BE44" t="s">
        <v>261</v>
      </c>
      <c r="BF44" t="s">
        <v>262</v>
      </c>
      <c r="BG44" s="4">
        <v>44469</v>
      </c>
      <c r="BH44" s="4">
        <v>46295</v>
      </c>
    </row>
    <row r="45" spans="3:60">
      <c r="C45" s="4"/>
      <c r="D45" s="4"/>
      <c r="G45" s="4"/>
      <c r="H45" s="4"/>
      <c r="K45" s="4"/>
      <c r="L45" s="4"/>
      <c r="O45" s="4"/>
      <c r="P45" s="4"/>
      <c r="S45" s="4"/>
      <c r="T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I45" s="4"/>
      <c r="AJ45" s="4"/>
      <c r="AM45" s="4"/>
      <c r="AN45" s="4"/>
      <c r="AQ45" s="4"/>
      <c r="AR45" s="4"/>
      <c r="AU45" s="4"/>
      <c r="AV45" s="4"/>
      <c r="AY45" s="4"/>
      <c r="AZ45" s="4"/>
      <c r="BC45" s="4"/>
      <c r="BD45" s="4"/>
      <c r="BE45" t="s">
        <v>263</v>
      </c>
      <c r="BF45" t="s">
        <v>264</v>
      </c>
      <c r="BG45" s="4">
        <v>44439</v>
      </c>
      <c r="BH45" s="4">
        <v>46265</v>
      </c>
    </row>
    <row r="46" spans="3:60">
      <c r="C46" s="4"/>
      <c r="D46" s="4"/>
      <c r="G46" s="4"/>
      <c r="H46" s="4"/>
      <c r="K46" s="4"/>
      <c r="L46" s="4"/>
      <c r="O46" s="4"/>
      <c r="P46" s="4"/>
      <c r="S46" s="4"/>
      <c r="T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I46" s="4"/>
      <c r="AJ46" s="4"/>
      <c r="AM46" s="4"/>
      <c r="AN46" s="4"/>
      <c r="AQ46" s="4"/>
      <c r="AR46" s="4"/>
      <c r="AU46" s="4"/>
      <c r="AV46" s="4"/>
      <c r="AY46" s="4"/>
      <c r="AZ46" s="4"/>
      <c r="BC46" s="4"/>
      <c r="BD46" s="4"/>
      <c r="BE46" t="s">
        <v>265</v>
      </c>
      <c r="BF46" t="s">
        <v>266</v>
      </c>
      <c r="BG46" s="4">
        <v>44408</v>
      </c>
      <c r="BH46" s="4">
        <v>46234</v>
      </c>
    </row>
    <row r="47" spans="3:60">
      <c r="C47" s="4"/>
      <c r="D47" s="4"/>
      <c r="G47" s="4"/>
      <c r="H47" s="4"/>
      <c r="K47" s="4"/>
      <c r="L47" s="4"/>
      <c r="O47" s="4"/>
      <c r="P47" s="4"/>
      <c r="S47" s="4"/>
      <c r="T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I47" s="4"/>
      <c r="AJ47" s="4"/>
      <c r="AM47" s="4"/>
      <c r="AN47" s="4"/>
      <c r="AQ47" s="4"/>
      <c r="AR47" s="4"/>
      <c r="AU47" s="4"/>
      <c r="AV47" s="4"/>
      <c r="AY47" s="4"/>
      <c r="AZ47" s="4"/>
      <c r="BC47" s="4"/>
      <c r="BD47" s="4"/>
      <c r="BE47" t="s">
        <v>267</v>
      </c>
      <c r="BF47" t="s">
        <v>268</v>
      </c>
      <c r="BG47" s="4">
        <v>44377</v>
      </c>
      <c r="BH47" s="4">
        <v>46203</v>
      </c>
    </row>
    <row r="48" spans="3:60">
      <c r="C48" s="4"/>
      <c r="D48" s="4"/>
      <c r="G48" s="4"/>
      <c r="H48" s="4"/>
      <c r="K48" s="4"/>
      <c r="L48" s="4"/>
      <c r="O48" s="4"/>
      <c r="P48" s="4"/>
      <c r="S48" s="4"/>
      <c r="T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I48" s="4"/>
      <c r="AJ48" s="4"/>
      <c r="AM48" s="4"/>
      <c r="AN48" s="4"/>
      <c r="AQ48" s="4"/>
      <c r="AR48" s="4"/>
      <c r="AU48" s="4"/>
      <c r="AV48" s="4"/>
      <c r="AY48" s="4"/>
      <c r="AZ48" s="4"/>
      <c r="BC48" s="4"/>
      <c r="BD48" s="4"/>
      <c r="BE48" t="s">
        <v>269</v>
      </c>
      <c r="BF48" t="s">
        <v>270</v>
      </c>
      <c r="BG48" s="4">
        <v>44347</v>
      </c>
      <c r="BH48" s="4">
        <v>46173</v>
      </c>
    </row>
    <row r="49" spans="3:60">
      <c r="C49" s="4"/>
      <c r="D49" s="4"/>
      <c r="G49" s="4"/>
      <c r="H49" s="4"/>
      <c r="K49" s="4"/>
      <c r="L49" s="4"/>
      <c r="O49" s="4"/>
      <c r="P49" s="4"/>
      <c r="S49" s="4"/>
      <c r="T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I49" s="4"/>
      <c r="AJ49" s="4"/>
      <c r="AM49" s="4"/>
      <c r="AN49" s="4"/>
      <c r="AQ49" s="4"/>
      <c r="AR49" s="4"/>
      <c r="AU49" s="4"/>
      <c r="AV49" s="4"/>
      <c r="AY49" s="4"/>
      <c r="AZ49" s="4"/>
      <c r="BC49" s="4"/>
      <c r="BD49" s="4"/>
      <c r="BE49" t="s">
        <v>271</v>
      </c>
      <c r="BF49" t="s">
        <v>272</v>
      </c>
      <c r="BG49" s="4">
        <v>44316</v>
      </c>
      <c r="BH49" s="4">
        <v>46142</v>
      </c>
    </row>
    <row r="50" spans="3:60">
      <c r="C50" s="4"/>
      <c r="D50" s="4"/>
      <c r="G50" s="4"/>
      <c r="H50" s="4"/>
      <c r="K50" s="4"/>
      <c r="L50" s="4"/>
      <c r="O50" s="4"/>
      <c r="P50" s="4"/>
      <c r="S50" s="4"/>
      <c r="T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I50" s="4"/>
      <c r="AJ50" s="4"/>
      <c r="AM50" s="4"/>
      <c r="AN50" s="4"/>
      <c r="AQ50" s="4"/>
      <c r="AR50" s="4"/>
      <c r="AU50" s="4"/>
      <c r="AV50" s="4"/>
      <c r="AY50" s="4"/>
      <c r="AZ50" s="4"/>
      <c r="BC50" s="4"/>
      <c r="BD50" s="4"/>
      <c r="BE50" t="s">
        <v>104</v>
      </c>
      <c r="BF50" t="s">
        <v>164</v>
      </c>
      <c r="BG50" s="4">
        <v>44286</v>
      </c>
      <c r="BH50" s="4">
        <v>46112</v>
      </c>
    </row>
    <row r="51" spans="3:60">
      <c r="C51" s="4"/>
      <c r="D51" s="4"/>
      <c r="G51" s="4"/>
      <c r="H51" s="4"/>
      <c r="K51" s="4"/>
      <c r="L51" s="4"/>
      <c r="O51" s="4"/>
      <c r="P51" s="4"/>
      <c r="S51" s="4"/>
      <c r="T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I51" s="4"/>
      <c r="AJ51" s="4"/>
      <c r="AM51" s="4"/>
      <c r="AN51" s="4"/>
      <c r="AQ51" s="4"/>
      <c r="AR51" s="4"/>
      <c r="AU51" s="4"/>
      <c r="AV51" s="4"/>
      <c r="AY51" s="4"/>
      <c r="AZ51" s="4"/>
      <c r="BC51" s="4"/>
      <c r="BD51" s="4"/>
      <c r="BE51" t="s">
        <v>103</v>
      </c>
      <c r="BF51" t="s">
        <v>157</v>
      </c>
      <c r="BG51" s="4">
        <v>44255</v>
      </c>
      <c r="BH51" s="4">
        <v>46081</v>
      </c>
    </row>
    <row r="52" spans="3:60">
      <c r="C52" s="4"/>
      <c r="D52" s="4"/>
      <c r="G52" s="4"/>
      <c r="H52" s="4"/>
      <c r="K52" s="4"/>
      <c r="L52" s="4"/>
      <c r="O52" s="4"/>
      <c r="P52" s="4"/>
      <c r="S52" s="4"/>
      <c r="T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I52" s="4"/>
      <c r="AJ52" s="4"/>
      <c r="AM52" s="4"/>
      <c r="AN52" s="4"/>
      <c r="AQ52" s="4"/>
      <c r="AR52" s="4"/>
      <c r="AU52" s="4"/>
      <c r="AV52" s="4"/>
      <c r="AY52" s="4"/>
      <c r="AZ52" s="4"/>
      <c r="BC52" s="4"/>
      <c r="BD52" s="4"/>
      <c r="BE52" t="s">
        <v>102</v>
      </c>
      <c r="BF52" t="s">
        <v>150</v>
      </c>
      <c r="BG52" s="4">
        <v>44227</v>
      </c>
      <c r="BH52" s="4">
        <v>46053</v>
      </c>
    </row>
    <row r="53" spans="3:60">
      <c r="C53" s="4"/>
      <c r="D53" s="4"/>
      <c r="G53" s="4"/>
      <c r="H53" s="4"/>
      <c r="K53" s="4"/>
      <c r="L53" s="4"/>
      <c r="O53" s="4"/>
      <c r="P53" s="4"/>
      <c r="S53" s="4"/>
      <c r="T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I53" s="4"/>
      <c r="AJ53" s="4"/>
      <c r="AM53" s="4"/>
      <c r="AN53" s="4"/>
      <c r="AQ53" s="4"/>
      <c r="AR53" s="4"/>
      <c r="AU53" s="4"/>
      <c r="AV53" s="4"/>
      <c r="AY53" s="4"/>
      <c r="AZ53" s="4"/>
      <c r="BC53" s="4"/>
      <c r="BD53" s="4"/>
      <c r="BE53" t="s">
        <v>101</v>
      </c>
      <c r="BF53" t="s">
        <v>144</v>
      </c>
      <c r="BG53" s="4">
        <v>44196</v>
      </c>
      <c r="BH53" s="4">
        <v>46022</v>
      </c>
    </row>
    <row r="54" spans="3:60">
      <c r="C54" s="4"/>
      <c r="D54" s="4"/>
      <c r="G54" s="4"/>
      <c r="H54" s="4"/>
      <c r="K54" s="4"/>
      <c r="L54" s="4"/>
      <c r="O54" s="4"/>
      <c r="P54" s="4"/>
      <c r="S54" s="4"/>
      <c r="T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I54" s="4"/>
      <c r="AJ54" s="4"/>
      <c r="AM54" s="4"/>
      <c r="AN54" s="4"/>
      <c r="AQ54" s="4"/>
      <c r="AR54" s="4"/>
      <c r="AU54" s="4"/>
      <c r="AV54" s="4"/>
      <c r="AY54" s="4"/>
      <c r="AZ54" s="4"/>
      <c r="BC54" s="4"/>
      <c r="BD54" s="4"/>
      <c r="BE54" t="s">
        <v>96</v>
      </c>
      <c r="BF54" t="s">
        <v>140</v>
      </c>
      <c r="BG54" s="4">
        <v>44165</v>
      </c>
      <c r="BH54" s="4">
        <v>45991</v>
      </c>
    </row>
    <row r="55" spans="3:60">
      <c r="C55" s="4"/>
      <c r="D55" s="4"/>
      <c r="G55" s="4"/>
      <c r="H55" s="4"/>
      <c r="K55" s="4"/>
      <c r="L55" s="4"/>
      <c r="O55" s="4"/>
      <c r="P55" s="4"/>
      <c r="S55" s="4"/>
      <c r="T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I55" s="4"/>
      <c r="AJ55" s="4"/>
      <c r="AM55" s="4"/>
      <c r="AN55" s="4"/>
      <c r="AQ55" s="4"/>
      <c r="AR55" s="4"/>
      <c r="AU55" s="4"/>
      <c r="AV55" s="4"/>
      <c r="AY55" s="4"/>
      <c r="AZ55" s="4"/>
      <c r="BC55" s="4"/>
      <c r="BD55" s="4"/>
      <c r="BE55" t="s">
        <v>95</v>
      </c>
      <c r="BF55" t="s">
        <v>136</v>
      </c>
      <c r="BG55" s="4">
        <v>44135</v>
      </c>
      <c r="BH55" s="4">
        <v>45961</v>
      </c>
    </row>
    <row r="56" spans="3:60">
      <c r="C56" s="4"/>
      <c r="D56" s="4"/>
      <c r="G56" s="4"/>
      <c r="H56" s="4"/>
      <c r="K56" s="4"/>
      <c r="L56" s="4"/>
      <c r="O56" s="4"/>
      <c r="P56" s="4"/>
      <c r="S56" s="4"/>
      <c r="T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I56" s="4"/>
      <c r="AJ56" s="4"/>
      <c r="AM56" s="4"/>
      <c r="AN56" s="4"/>
      <c r="AQ56" s="4"/>
      <c r="AR56" s="4"/>
      <c r="AU56" s="4"/>
      <c r="AV56" s="4"/>
      <c r="AY56" s="4"/>
      <c r="AZ56" s="4"/>
      <c r="BC56" s="4"/>
      <c r="BD56" s="4"/>
      <c r="BE56" t="s">
        <v>94</v>
      </c>
      <c r="BF56" t="s">
        <v>132</v>
      </c>
      <c r="BG56" s="4">
        <v>44104</v>
      </c>
      <c r="BH56" s="4">
        <v>45930</v>
      </c>
    </row>
    <row r="57" spans="3:60">
      <c r="C57" s="4"/>
      <c r="D57" s="4"/>
      <c r="G57" s="4"/>
      <c r="H57" s="4"/>
      <c r="K57" s="4"/>
      <c r="L57" s="4"/>
      <c r="O57" s="4"/>
      <c r="P57" s="4"/>
      <c r="S57" s="4"/>
      <c r="T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I57" s="4"/>
      <c r="AJ57" s="4"/>
      <c r="AM57" s="4"/>
      <c r="AN57" s="4"/>
      <c r="AQ57" s="4"/>
      <c r="AR57" s="4"/>
      <c r="AU57" s="4"/>
      <c r="AV57" s="4"/>
      <c r="AY57" s="4"/>
      <c r="AZ57" s="4"/>
      <c r="BC57" s="4"/>
      <c r="BD57" s="4"/>
      <c r="BE57" t="s">
        <v>93</v>
      </c>
      <c r="BF57" t="s">
        <v>128</v>
      </c>
      <c r="BG57" s="4">
        <v>44074</v>
      </c>
      <c r="BH57" s="4">
        <v>45900</v>
      </c>
    </row>
    <row r="58" spans="3:60">
      <c r="C58" s="4"/>
      <c r="D58" s="4"/>
      <c r="G58" s="4"/>
      <c r="H58" s="4"/>
      <c r="K58" s="4"/>
      <c r="L58" s="4"/>
      <c r="O58" s="4"/>
      <c r="P58" s="4"/>
      <c r="S58" s="4"/>
      <c r="T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I58" s="4"/>
      <c r="AJ58" s="4"/>
      <c r="AM58" s="4"/>
      <c r="AN58" s="4"/>
      <c r="AQ58" s="4"/>
      <c r="AR58" s="4"/>
      <c r="AU58" s="4"/>
      <c r="AV58" s="4"/>
      <c r="AY58" s="4"/>
      <c r="AZ58" s="4"/>
      <c r="BC58" s="4"/>
      <c r="BD58" s="4"/>
      <c r="BE58" t="s">
        <v>92</v>
      </c>
      <c r="BF58" t="s">
        <v>125</v>
      </c>
      <c r="BG58" s="4">
        <v>44043</v>
      </c>
      <c r="BH58" s="4">
        <v>45869</v>
      </c>
    </row>
    <row r="59" spans="3:60">
      <c r="C59" s="4"/>
      <c r="D59" s="4"/>
      <c r="G59" s="4"/>
      <c r="H59" s="4"/>
      <c r="K59" s="4"/>
      <c r="L59" s="4"/>
      <c r="O59" s="4"/>
      <c r="P59" s="4"/>
      <c r="S59" s="4"/>
      <c r="T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I59" s="4"/>
      <c r="AJ59" s="4"/>
      <c r="AM59" s="4"/>
      <c r="AN59" s="4"/>
      <c r="AQ59" s="4"/>
      <c r="AR59" s="4"/>
      <c r="AU59" s="4"/>
      <c r="AV59" s="4"/>
      <c r="AY59" s="4"/>
      <c r="AZ59" s="4"/>
      <c r="BC59" s="4"/>
      <c r="BD59" s="4"/>
      <c r="BE59" t="s">
        <v>91</v>
      </c>
      <c r="BF59" t="s">
        <v>122</v>
      </c>
      <c r="BG59" s="4">
        <v>44012</v>
      </c>
      <c r="BH59" s="4">
        <v>45838</v>
      </c>
    </row>
    <row r="60" spans="3:60">
      <c r="C60" s="4"/>
      <c r="D60" s="4"/>
      <c r="G60" s="4"/>
      <c r="H60" s="4"/>
      <c r="K60" s="4"/>
      <c r="L60" s="4"/>
      <c r="O60" s="4"/>
      <c r="P60" s="4"/>
      <c r="S60" s="4"/>
      <c r="T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I60" s="4"/>
      <c r="AJ60" s="4"/>
      <c r="AM60" s="4"/>
      <c r="AN60" s="4"/>
      <c r="AQ60" s="4"/>
      <c r="AR60" s="4"/>
      <c r="AU60" s="4"/>
      <c r="AV60" s="4"/>
      <c r="AY60" s="4"/>
      <c r="AZ60" s="4"/>
      <c r="BC60" s="4"/>
      <c r="BD60" s="4"/>
      <c r="BE60" t="s">
        <v>90</v>
      </c>
      <c r="BF60" t="s">
        <v>119</v>
      </c>
      <c r="BG60" s="4">
        <v>43982</v>
      </c>
      <c r="BH60" s="4">
        <v>45808</v>
      </c>
    </row>
    <row r="61" spans="3:60">
      <c r="C61" s="4"/>
      <c r="D61" s="4"/>
      <c r="G61" s="4"/>
      <c r="H61" s="4"/>
      <c r="K61" s="4"/>
      <c r="L61" s="4"/>
      <c r="O61" s="4"/>
      <c r="P61" s="4"/>
      <c r="S61" s="4"/>
      <c r="T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I61" s="4"/>
      <c r="AJ61" s="4"/>
      <c r="AM61" s="4"/>
      <c r="AN61" s="4"/>
      <c r="AQ61" s="4"/>
      <c r="AR61" s="4"/>
      <c r="AU61" s="4"/>
      <c r="AV61" s="4"/>
      <c r="AY61" s="4"/>
      <c r="AZ61" s="4"/>
      <c r="BC61" s="4"/>
      <c r="BD61" s="4"/>
      <c r="BE61" t="s">
        <v>84</v>
      </c>
      <c r="BF61" t="s">
        <v>116</v>
      </c>
      <c r="BG61" s="4">
        <v>43951</v>
      </c>
      <c r="BH61" s="4">
        <v>45777</v>
      </c>
    </row>
    <row r="62" spans="3:60">
      <c r="C62" s="4"/>
      <c r="D62" s="4"/>
      <c r="G62" s="4"/>
      <c r="H62" s="4"/>
      <c r="K62" s="4"/>
      <c r="L62" s="4"/>
      <c r="O62" s="4"/>
      <c r="P62" s="4"/>
      <c r="S62" s="4"/>
      <c r="T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I62" s="4"/>
      <c r="AJ62" s="4"/>
      <c r="AM62" s="4"/>
      <c r="AN62" s="4"/>
      <c r="AQ62" s="4"/>
      <c r="AR62" s="4"/>
      <c r="AU62" s="4"/>
      <c r="AV62" s="4"/>
      <c r="AY62" s="4"/>
      <c r="AZ62" s="4"/>
      <c r="BC62" s="4"/>
      <c r="BD62" s="4"/>
      <c r="BE62" t="s">
        <v>54</v>
      </c>
      <c r="BF62" t="s">
        <v>113</v>
      </c>
      <c r="BG62" s="4">
        <v>43921</v>
      </c>
      <c r="BH62" s="4">
        <v>45747</v>
      </c>
    </row>
    <row r="63" spans="3:60">
      <c r="C63" s="4"/>
      <c r="D63" s="4"/>
      <c r="G63" s="4"/>
      <c r="H63" s="4"/>
      <c r="K63" s="4"/>
      <c r="L63" s="4"/>
      <c r="O63" s="4"/>
      <c r="P63" s="4"/>
      <c r="S63" s="4"/>
      <c r="T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I63" s="4"/>
      <c r="AJ63" s="4"/>
      <c r="AM63" s="4"/>
      <c r="AN63" s="4"/>
      <c r="AQ63" s="4"/>
      <c r="AR63" s="4"/>
      <c r="AU63" s="4"/>
      <c r="AV63" s="4"/>
      <c r="AY63" s="4"/>
      <c r="AZ63" s="4"/>
      <c r="BC63" s="4"/>
      <c r="BD63" s="4"/>
      <c r="BE63" t="s">
        <v>53</v>
      </c>
      <c r="BF63" t="s">
        <v>112</v>
      </c>
      <c r="BG63" s="4">
        <v>43890</v>
      </c>
      <c r="BH63" s="4">
        <v>45716</v>
      </c>
    </row>
    <row r="64" spans="3:60">
      <c r="C64" s="4"/>
      <c r="D64" s="4"/>
      <c r="G64" s="4"/>
      <c r="H64" s="4"/>
      <c r="K64" s="4"/>
      <c r="L64" s="4"/>
      <c r="O64" s="4"/>
      <c r="P64" s="4"/>
      <c r="S64" s="4"/>
      <c r="T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I64" s="4"/>
      <c r="AJ64" s="4"/>
      <c r="AM64" s="4"/>
      <c r="AN64" s="4"/>
      <c r="AQ64" s="4"/>
      <c r="AR64" s="4"/>
      <c r="AU64" s="4"/>
      <c r="AV64" s="4"/>
      <c r="AY64" s="4"/>
      <c r="AZ64" s="4"/>
      <c r="BC64" s="4"/>
      <c r="BD64" s="4"/>
      <c r="BE64" t="s">
        <v>52</v>
      </c>
      <c r="BF64" t="s">
        <v>111</v>
      </c>
      <c r="BG64" s="4">
        <v>43861</v>
      </c>
      <c r="BH64" s="4">
        <v>45688</v>
      </c>
    </row>
    <row r="65" spans="3:60">
      <c r="C65" s="4"/>
      <c r="D65" s="4"/>
      <c r="G65" s="4"/>
      <c r="H65" s="4"/>
      <c r="K65" s="4"/>
      <c r="L65" s="4"/>
      <c r="O65" s="4"/>
      <c r="P65" s="4"/>
      <c r="S65" s="4"/>
      <c r="T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I65" s="4"/>
      <c r="AJ65" s="4"/>
      <c r="AM65" s="4"/>
      <c r="AN65" s="4"/>
      <c r="AQ65" s="4"/>
      <c r="AR65" s="4"/>
      <c r="AU65" s="4"/>
      <c r="AV65" s="4"/>
      <c r="AY65" s="4"/>
      <c r="AZ65" s="4"/>
      <c r="BC65" s="4"/>
      <c r="BD65" s="4"/>
      <c r="BE65" t="s">
        <v>51</v>
      </c>
      <c r="BF65" t="s">
        <v>110</v>
      </c>
      <c r="BG65" s="4">
        <v>43830</v>
      </c>
      <c r="BH65" s="4">
        <v>45657</v>
      </c>
    </row>
    <row r="66" spans="3:60">
      <c r="C66" s="4"/>
      <c r="D66" s="4"/>
      <c r="G66" s="4"/>
      <c r="H66" s="4"/>
      <c r="K66" s="4"/>
      <c r="L66" s="4"/>
      <c r="O66" s="4"/>
      <c r="P66" s="4"/>
      <c r="S66" s="4"/>
      <c r="T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I66" s="4"/>
      <c r="AJ66" s="4"/>
      <c r="AM66" s="4"/>
      <c r="AN66" s="4"/>
      <c r="AQ66" s="4"/>
      <c r="AR66" s="4"/>
      <c r="AU66" s="4"/>
      <c r="AV66" s="4"/>
      <c r="AY66" s="4"/>
      <c r="AZ66" s="4"/>
      <c r="BC66" s="4"/>
      <c r="BD66" s="4"/>
      <c r="BE66" t="s">
        <v>50</v>
      </c>
      <c r="BF66" t="s">
        <v>109</v>
      </c>
      <c r="BG66" s="4">
        <v>43799</v>
      </c>
      <c r="BH66" s="4">
        <v>45626</v>
      </c>
    </row>
    <row r="67" spans="3:60">
      <c r="C67" s="4"/>
      <c r="D67" s="4"/>
      <c r="G67" s="4"/>
      <c r="H67" s="4"/>
      <c r="K67" s="4"/>
      <c r="L67" s="4"/>
      <c r="O67" s="4"/>
      <c r="P67" s="4"/>
      <c r="S67" s="4"/>
      <c r="T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I67" s="4"/>
      <c r="AJ67" s="4"/>
      <c r="AM67" s="4"/>
      <c r="AN67" s="4"/>
      <c r="AQ67" s="4"/>
      <c r="AR67" s="4"/>
      <c r="AU67" s="4"/>
      <c r="AV67" s="4"/>
      <c r="AY67" s="4"/>
      <c r="AZ67" s="4"/>
      <c r="BC67" s="4"/>
      <c r="BD67" s="4"/>
      <c r="BE67" t="s">
        <v>49</v>
      </c>
      <c r="BF67" t="s">
        <v>108</v>
      </c>
      <c r="BG67" s="4">
        <v>43769</v>
      </c>
      <c r="BH67" s="4">
        <v>45596</v>
      </c>
    </row>
    <row r="68" spans="3:60">
      <c r="C68" s="4"/>
      <c r="D68" s="4"/>
      <c r="G68" s="4"/>
      <c r="H68" s="4"/>
      <c r="K68" s="4"/>
      <c r="L68" s="4"/>
      <c r="O68" s="4"/>
      <c r="P68" s="4"/>
      <c r="S68" s="4"/>
      <c r="T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I68" s="4"/>
      <c r="AJ68" s="4"/>
      <c r="AM68" s="4"/>
      <c r="AN68" s="4"/>
      <c r="AQ68" s="4"/>
      <c r="AR68" s="4"/>
      <c r="AU68" s="4"/>
      <c r="AV68" s="4"/>
      <c r="AY68" s="4"/>
      <c r="AZ68" s="4"/>
      <c r="BC68" s="4"/>
      <c r="BD68" s="4"/>
      <c r="BE68" t="s">
        <v>48</v>
      </c>
      <c r="BF68" t="s">
        <v>107</v>
      </c>
      <c r="BG68" s="4">
        <v>43738</v>
      </c>
      <c r="BH68" s="4">
        <v>45565</v>
      </c>
    </row>
    <row r="69" spans="3:60">
      <c r="C69" s="4"/>
      <c r="D69" s="4"/>
      <c r="G69" s="4"/>
      <c r="H69" s="4"/>
      <c r="K69" s="4"/>
      <c r="L69" s="4"/>
      <c r="O69" s="4"/>
      <c r="P69" s="4"/>
      <c r="S69" s="4"/>
      <c r="T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I69" s="4"/>
      <c r="AJ69" s="4"/>
      <c r="AM69" s="4"/>
      <c r="AN69" s="4"/>
      <c r="AQ69" s="4"/>
      <c r="AR69" s="4"/>
      <c r="AU69" s="4"/>
      <c r="AV69" s="4"/>
      <c r="AY69" s="4"/>
      <c r="AZ69" s="4"/>
      <c r="BC69" s="4"/>
      <c r="BD69" s="4"/>
      <c r="BE69" t="s">
        <v>46</v>
      </c>
      <c r="BF69" t="s">
        <v>106</v>
      </c>
      <c r="BG69" s="4">
        <v>43708</v>
      </c>
      <c r="BH69" s="4">
        <v>45535</v>
      </c>
    </row>
    <row r="70" spans="3:60">
      <c r="C70" s="4"/>
      <c r="D70" s="4"/>
      <c r="G70" s="4"/>
      <c r="H70" s="4"/>
      <c r="K70" s="4"/>
      <c r="L70" s="4"/>
      <c r="O70" s="4"/>
      <c r="P70" s="4"/>
      <c r="S70" s="4"/>
      <c r="T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I70" s="4"/>
      <c r="AJ70" s="4"/>
      <c r="AM70" s="4"/>
      <c r="AN70" s="4"/>
      <c r="AQ70" s="4"/>
      <c r="AR70" s="4"/>
      <c r="AU70" s="4"/>
      <c r="AV70" s="4"/>
      <c r="AY70" s="4"/>
      <c r="AZ70" s="4"/>
      <c r="BC70" s="4"/>
      <c r="BD70" s="4"/>
      <c r="BE70" t="s">
        <v>47</v>
      </c>
      <c r="BF70" t="s">
        <v>105</v>
      </c>
      <c r="BG70" s="4">
        <v>43708</v>
      </c>
      <c r="BH70" s="4">
        <v>45535</v>
      </c>
    </row>
    <row r="71" spans="3:60">
      <c r="C71" s="4"/>
      <c r="D71" s="4"/>
      <c r="G71" s="4"/>
      <c r="H71" s="4"/>
      <c r="K71" s="4"/>
      <c r="L71" s="4"/>
      <c r="O71" s="4"/>
      <c r="P71" s="4"/>
      <c r="S71" s="4"/>
      <c r="T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I71" s="4"/>
      <c r="AJ71" s="4"/>
      <c r="AM71" s="4"/>
      <c r="AN71" s="4"/>
      <c r="AQ71" s="4"/>
      <c r="AR71" s="4"/>
      <c r="AU71" s="4"/>
      <c r="AV71" s="4"/>
      <c r="AY71" s="4"/>
      <c r="AZ71" s="4"/>
      <c r="BC71" s="4"/>
      <c r="BD71" s="4"/>
      <c r="BG71" s="4"/>
      <c r="BH71" s="4"/>
    </row>
    <row r="72" spans="3:60">
      <c r="C72" s="4"/>
      <c r="D72" s="4"/>
      <c r="G72" s="4"/>
      <c r="H72" s="4"/>
      <c r="K72" s="4"/>
      <c r="L72" s="4"/>
      <c r="O72" s="4"/>
      <c r="P72" s="4"/>
      <c r="S72" s="4"/>
      <c r="T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I72" s="4"/>
      <c r="AJ72" s="4"/>
      <c r="AM72" s="4"/>
      <c r="AN72" s="4"/>
      <c r="AQ72" s="4"/>
      <c r="AR72" s="4"/>
      <c r="AU72" s="4"/>
      <c r="AV72" s="4"/>
      <c r="AY72" s="4"/>
      <c r="AZ72" s="4"/>
      <c r="BC72" s="4"/>
      <c r="BD72" s="4"/>
      <c r="BG72" s="4"/>
      <c r="BH72" s="4"/>
    </row>
    <row r="73" spans="3:60">
      <c r="C73" s="4"/>
      <c r="D73" s="4"/>
      <c r="G73" s="4"/>
      <c r="H73" s="4"/>
      <c r="K73" s="4"/>
      <c r="L73" s="4"/>
      <c r="O73" s="4"/>
      <c r="P73" s="4"/>
      <c r="S73" s="4"/>
      <c r="T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I73" s="4"/>
      <c r="AJ73" s="4"/>
      <c r="AM73" s="4"/>
      <c r="AN73" s="4"/>
      <c r="AQ73" s="4"/>
      <c r="AR73" s="4"/>
      <c r="AU73" s="4"/>
      <c r="AV73" s="4"/>
      <c r="AY73" s="4"/>
      <c r="AZ73" s="4"/>
      <c r="BC73" s="4"/>
      <c r="BD73" s="4"/>
      <c r="BG73" s="4"/>
      <c r="BH73" s="4"/>
    </row>
    <row r="74" spans="3:60">
      <c r="C74" s="4"/>
      <c r="D74" s="4"/>
      <c r="G74" s="4"/>
      <c r="H74" s="4"/>
      <c r="K74" s="4"/>
      <c r="L74" s="4"/>
      <c r="O74" s="4"/>
      <c r="P74" s="4"/>
      <c r="S74" s="4"/>
      <c r="T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I74" s="4"/>
      <c r="AJ74" s="4"/>
      <c r="AM74" s="4"/>
      <c r="AN74" s="4"/>
      <c r="AQ74" s="4"/>
      <c r="AR74" s="4"/>
      <c r="AU74" s="4"/>
      <c r="AV74" s="4"/>
      <c r="AY74" s="4"/>
      <c r="AZ74" s="4"/>
      <c r="BC74" s="4"/>
      <c r="BD74" s="4"/>
      <c r="BG74" s="4"/>
      <c r="BH74" s="4"/>
    </row>
    <row r="75" spans="3:60">
      <c r="C75" s="4"/>
      <c r="D75" s="4"/>
      <c r="G75" s="4"/>
      <c r="H75" s="4"/>
      <c r="K75" s="4"/>
      <c r="L75" s="4"/>
      <c r="O75" s="4"/>
      <c r="P75" s="4"/>
      <c r="S75" s="4"/>
      <c r="T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I75" s="4"/>
      <c r="AJ75" s="4"/>
      <c r="AM75" s="4"/>
      <c r="AN75" s="4"/>
      <c r="AQ75" s="4"/>
      <c r="AR75" s="4"/>
      <c r="AU75" s="4"/>
      <c r="AV75" s="4"/>
      <c r="AY75" s="4"/>
      <c r="AZ75" s="4"/>
      <c r="BC75" s="4"/>
      <c r="BD75" s="4"/>
      <c r="BG75" s="4"/>
      <c r="BH75" s="4"/>
    </row>
    <row r="76" spans="3:60">
      <c r="C76" s="4"/>
      <c r="D76" s="4"/>
      <c r="G76" s="4"/>
      <c r="H76" s="4"/>
      <c r="K76" s="4"/>
      <c r="L76" s="4"/>
      <c r="O76" s="4"/>
      <c r="P76" s="4"/>
      <c r="S76" s="4"/>
      <c r="T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I76" s="4"/>
      <c r="AJ76" s="4"/>
      <c r="AM76" s="4"/>
      <c r="AN76" s="4"/>
      <c r="AQ76" s="4"/>
      <c r="AR76" s="4"/>
      <c r="AU76" s="4"/>
      <c r="AV76" s="4"/>
      <c r="AY76" s="4"/>
      <c r="AZ76" s="4"/>
      <c r="BC76" s="4"/>
      <c r="BD76" s="4"/>
      <c r="BG76" s="4"/>
      <c r="BH76" s="4"/>
    </row>
    <row r="77" spans="3:60">
      <c r="C77" s="4"/>
      <c r="D77" s="4"/>
      <c r="G77" s="4"/>
      <c r="H77" s="4"/>
      <c r="K77" s="4"/>
      <c r="L77" s="4"/>
      <c r="O77" s="4"/>
      <c r="P77" s="4"/>
      <c r="S77" s="4"/>
      <c r="T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I77" s="4"/>
      <c r="AJ77" s="4"/>
      <c r="AM77" s="4"/>
      <c r="AN77" s="4"/>
      <c r="AQ77" s="4"/>
      <c r="AR77" s="4"/>
      <c r="AU77" s="4"/>
      <c r="AV77" s="4"/>
      <c r="AY77" s="4"/>
      <c r="AZ77" s="4"/>
      <c r="BC77" s="4"/>
      <c r="BD77" s="4"/>
      <c r="BG77" s="4"/>
      <c r="BH77" s="4"/>
    </row>
    <row r="78" spans="3:60">
      <c r="C78" s="4"/>
      <c r="D78" s="4"/>
      <c r="G78" s="4"/>
      <c r="H78" s="4"/>
      <c r="K78" s="4"/>
      <c r="L78" s="4"/>
      <c r="O78" s="4"/>
      <c r="P78" s="4"/>
      <c r="S78" s="4"/>
      <c r="T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I78" s="4"/>
      <c r="AJ78" s="4"/>
      <c r="AM78" s="4"/>
      <c r="AN78" s="4"/>
      <c r="AQ78" s="4"/>
      <c r="AR78" s="4"/>
      <c r="AU78" s="4"/>
      <c r="AV78" s="4"/>
      <c r="AY78" s="4"/>
      <c r="AZ78" s="4"/>
      <c r="BC78" s="4"/>
      <c r="BD78" s="4"/>
      <c r="BG78" s="4"/>
      <c r="BH78" s="4"/>
    </row>
    <row r="79" spans="3:60">
      <c r="C79" s="4"/>
      <c r="D79" s="4"/>
      <c r="G79" s="4"/>
      <c r="H79" s="4"/>
      <c r="K79" s="4"/>
      <c r="L79" s="4"/>
      <c r="O79" s="4"/>
      <c r="P79" s="4"/>
      <c r="S79" s="4"/>
      <c r="T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I79" s="4"/>
      <c r="AJ79" s="4"/>
      <c r="AM79" s="4"/>
      <c r="AN79" s="4"/>
      <c r="AQ79" s="4"/>
      <c r="AR79" s="4"/>
      <c r="AU79" s="4"/>
      <c r="AV79" s="4"/>
      <c r="AY79" s="4"/>
      <c r="AZ79" s="4"/>
      <c r="BC79" s="4"/>
      <c r="BD79" s="4"/>
      <c r="BG79" s="4"/>
      <c r="BH79" s="4"/>
    </row>
    <row r="80" spans="3:60">
      <c r="C80" s="4"/>
      <c r="D80" s="4"/>
      <c r="G80" s="4"/>
      <c r="H80" s="4"/>
      <c r="K80" s="4"/>
      <c r="L80" s="4"/>
      <c r="O80" s="4"/>
      <c r="P80" s="4"/>
      <c r="S80" s="4"/>
      <c r="T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I80" s="4"/>
      <c r="AJ80" s="4"/>
      <c r="AM80" s="4"/>
      <c r="AN80" s="4"/>
      <c r="AQ80" s="4"/>
      <c r="AR80" s="4"/>
      <c r="AU80" s="4"/>
      <c r="AV80" s="4"/>
      <c r="AY80" s="4"/>
      <c r="AZ80" s="4"/>
      <c r="BC80" s="4"/>
      <c r="BD80" s="4"/>
      <c r="BG80" s="4"/>
      <c r="BH80" s="4"/>
    </row>
    <row r="81" spans="3:60">
      <c r="C81" s="4"/>
      <c r="D81" s="4"/>
      <c r="G81" s="4"/>
      <c r="H81" s="4"/>
      <c r="K81" s="4"/>
      <c r="L81" s="4"/>
      <c r="O81" s="4"/>
      <c r="P81" s="4"/>
      <c r="S81" s="4"/>
      <c r="T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I81" s="4"/>
      <c r="AJ81" s="4"/>
      <c r="AM81" s="4"/>
      <c r="AN81" s="4"/>
      <c r="AQ81" s="4"/>
      <c r="AR81" s="4"/>
      <c r="AU81" s="4"/>
      <c r="AV81" s="4"/>
      <c r="AY81" s="4"/>
      <c r="AZ81" s="4"/>
      <c r="BC81" s="4"/>
      <c r="BD81" s="4"/>
      <c r="BG81" s="4"/>
      <c r="BH81" s="4"/>
    </row>
    <row r="82" spans="3:60">
      <c r="C82" s="4"/>
      <c r="D82" s="4"/>
      <c r="G82" s="4"/>
      <c r="H82" s="4"/>
      <c r="K82" s="4"/>
      <c r="L82" s="4"/>
      <c r="O82" s="4"/>
      <c r="P82" s="4"/>
      <c r="S82" s="4"/>
      <c r="T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I82" s="4"/>
      <c r="AJ82" s="4"/>
      <c r="AM82" s="4"/>
      <c r="AN82" s="4"/>
      <c r="AQ82" s="4"/>
      <c r="AR82" s="4"/>
      <c r="AU82" s="4"/>
      <c r="AV82" s="4"/>
      <c r="AY82" s="4"/>
      <c r="AZ82" s="4"/>
      <c r="BC82" s="4"/>
      <c r="BD82" s="4"/>
      <c r="BG82" s="4"/>
      <c r="BH82" s="4"/>
    </row>
    <row r="83" spans="3:60">
      <c r="C83" s="4"/>
      <c r="D83" s="4"/>
      <c r="G83" s="4"/>
      <c r="H83" s="4"/>
      <c r="K83" s="4"/>
      <c r="L83" s="4"/>
      <c r="O83" s="4"/>
      <c r="P83" s="4"/>
      <c r="S83" s="4"/>
      <c r="T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I83" s="4"/>
      <c r="AJ83" s="4"/>
      <c r="AM83" s="4"/>
      <c r="AN83" s="4"/>
      <c r="AQ83" s="4"/>
      <c r="AR83" s="4"/>
      <c r="AU83" s="4"/>
      <c r="AV83" s="4"/>
      <c r="AY83" s="4"/>
      <c r="AZ83" s="4"/>
      <c r="BC83" s="4"/>
      <c r="BD83" s="4"/>
      <c r="BG83" s="4"/>
      <c r="BH83" s="4"/>
    </row>
    <row r="84" spans="3:60">
      <c r="C84" s="4"/>
      <c r="D84" s="4"/>
      <c r="G84" s="4"/>
      <c r="H84" s="4"/>
      <c r="K84" s="4"/>
      <c r="L84" s="4"/>
      <c r="O84" s="4"/>
      <c r="P84" s="4"/>
      <c r="S84" s="4"/>
      <c r="T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I84" s="4"/>
      <c r="AJ84" s="4"/>
      <c r="AM84" s="4"/>
      <c r="AN84" s="4"/>
      <c r="AQ84" s="4"/>
      <c r="AR84" s="4"/>
      <c r="AU84" s="4"/>
      <c r="AV84" s="4"/>
      <c r="AY84" s="4"/>
      <c r="AZ84" s="4"/>
      <c r="BC84" s="4"/>
      <c r="BD84" s="4"/>
      <c r="BG84" s="4"/>
      <c r="BH84" s="4"/>
    </row>
    <row r="85" spans="3:60">
      <c r="C85" s="4"/>
      <c r="D85" s="4"/>
      <c r="G85" s="4"/>
      <c r="H85" s="4"/>
      <c r="K85" s="4"/>
      <c r="L85" s="4"/>
      <c r="O85" s="4"/>
      <c r="P85" s="4"/>
      <c r="S85" s="4"/>
      <c r="T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I85" s="4"/>
      <c r="AJ85" s="4"/>
      <c r="AM85" s="4"/>
      <c r="AN85" s="4"/>
      <c r="AQ85" s="4"/>
      <c r="AR85" s="4"/>
      <c r="AU85" s="4"/>
      <c r="AV85" s="4"/>
      <c r="AY85" s="4"/>
      <c r="AZ85" s="4"/>
      <c r="BC85" s="4"/>
      <c r="BD85" s="4"/>
      <c r="BG85" s="4"/>
      <c r="BH85" s="4"/>
    </row>
    <row r="86" spans="3:60">
      <c r="C86" s="4"/>
      <c r="D86" s="4"/>
      <c r="G86" s="4"/>
      <c r="H86" s="4"/>
      <c r="K86" s="4"/>
      <c r="L86" s="4"/>
      <c r="O86" s="4"/>
      <c r="P86" s="4"/>
      <c r="S86" s="4"/>
      <c r="T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I86" s="4"/>
      <c r="AJ86" s="4"/>
      <c r="AM86" s="4"/>
      <c r="AN86" s="4"/>
      <c r="AQ86" s="4"/>
      <c r="AR86" s="4"/>
      <c r="AU86" s="4"/>
      <c r="AV86" s="4"/>
      <c r="AY86" s="4"/>
      <c r="AZ86" s="4"/>
      <c r="BC86" s="4"/>
      <c r="BD86" s="4"/>
      <c r="BG86" s="4"/>
      <c r="BH86" s="4"/>
    </row>
    <row r="87" spans="3:60">
      <c r="C87" s="4"/>
      <c r="D87" s="4"/>
      <c r="G87" s="4"/>
      <c r="H87" s="4"/>
      <c r="K87" s="4"/>
      <c r="L87" s="4"/>
      <c r="O87" s="4"/>
      <c r="P87" s="4"/>
      <c r="S87" s="4"/>
      <c r="T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I87" s="4"/>
      <c r="AJ87" s="4"/>
      <c r="AM87" s="4"/>
      <c r="AN87" s="4"/>
      <c r="AQ87" s="4"/>
      <c r="AR87" s="4"/>
      <c r="AU87" s="4"/>
      <c r="AV87" s="4"/>
      <c r="AY87" s="4"/>
      <c r="AZ87" s="4"/>
      <c r="BC87" s="4"/>
      <c r="BD87" s="4"/>
      <c r="BG87" s="4"/>
      <c r="BH87" s="4"/>
    </row>
    <row r="88" spans="3:60">
      <c r="C88" s="4"/>
      <c r="D88" s="4"/>
      <c r="G88" s="4"/>
      <c r="H88" s="4"/>
      <c r="K88" s="4"/>
      <c r="L88" s="4"/>
      <c r="O88" s="4"/>
      <c r="P88" s="4"/>
      <c r="S88" s="4"/>
      <c r="T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I88" s="4"/>
      <c r="AJ88" s="4"/>
      <c r="AM88" s="4"/>
      <c r="AN88" s="4"/>
      <c r="AQ88" s="4"/>
      <c r="AR88" s="4"/>
      <c r="AU88" s="4"/>
      <c r="AV88" s="4"/>
      <c r="AY88" s="4"/>
      <c r="AZ88" s="4"/>
      <c r="BC88" s="4"/>
      <c r="BD88" s="4"/>
      <c r="BG88" s="4"/>
      <c r="BH88" s="4"/>
    </row>
    <row r="89" spans="3:60">
      <c r="C89" s="4"/>
      <c r="D89" s="4"/>
      <c r="G89" s="4"/>
      <c r="H89" s="4"/>
      <c r="K89" s="4"/>
      <c r="L89" s="4"/>
      <c r="O89" s="4"/>
      <c r="P89" s="4"/>
      <c r="S89" s="4"/>
      <c r="T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I89" s="4"/>
      <c r="AJ89" s="4"/>
      <c r="AM89" s="4"/>
      <c r="AN89" s="4"/>
      <c r="AQ89" s="4"/>
      <c r="AR89" s="4"/>
      <c r="AU89" s="4"/>
      <c r="AV89" s="4"/>
      <c r="AY89" s="4"/>
      <c r="AZ89" s="4"/>
      <c r="BC89" s="4"/>
      <c r="BD89" s="4"/>
      <c r="BG89" s="4"/>
      <c r="BH89" s="4"/>
    </row>
    <row r="90" spans="3:60">
      <c r="C90" s="4"/>
      <c r="D90" s="4"/>
      <c r="G90" s="4"/>
      <c r="H90" s="4"/>
      <c r="K90" s="4"/>
      <c r="L90" s="4"/>
      <c r="O90" s="4"/>
      <c r="P90" s="4"/>
      <c r="S90" s="4"/>
      <c r="T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I90" s="4"/>
      <c r="AJ90" s="4"/>
      <c r="AM90" s="4"/>
      <c r="AN90" s="4"/>
      <c r="AQ90" s="4"/>
      <c r="AR90" s="4"/>
      <c r="AU90" s="4"/>
      <c r="AV90" s="4"/>
      <c r="AY90" s="4"/>
      <c r="AZ90" s="4"/>
      <c r="BC90" s="4"/>
      <c r="BD90" s="4"/>
      <c r="BG90" s="4"/>
      <c r="BH90" s="4"/>
    </row>
    <row r="91" spans="3:60">
      <c r="C91" s="4"/>
      <c r="D91" s="4"/>
      <c r="G91" s="4"/>
      <c r="H91" s="4"/>
      <c r="K91" s="4"/>
      <c r="L91" s="4"/>
      <c r="O91" s="4"/>
      <c r="P91" s="4"/>
      <c r="S91" s="4"/>
      <c r="T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I91" s="4"/>
      <c r="AJ91" s="4"/>
      <c r="AM91" s="4"/>
      <c r="AN91" s="4"/>
      <c r="AQ91" s="4"/>
      <c r="AR91" s="4"/>
      <c r="AU91" s="4"/>
      <c r="AV91" s="4"/>
      <c r="AY91" s="4"/>
      <c r="AZ91" s="4"/>
      <c r="BC91" s="4"/>
      <c r="BD91" s="4"/>
      <c r="BG91" s="4"/>
      <c r="BH91" s="4"/>
    </row>
    <row r="92" spans="3:60">
      <c r="C92" s="4"/>
      <c r="D92" s="4"/>
      <c r="G92" s="4"/>
      <c r="H92" s="4"/>
      <c r="K92" s="4"/>
      <c r="L92" s="4"/>
      <c r="O92" s="4"/>
      <c r="P92" s="4"/>
      <c r="S92" s="4"/>
      <c r="T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I92" s="4"/>
      <c r="AJ92" s="4"/>
      <c r="AM92" s="4"/>
      <c r="AN92" s="4"/>
      <c r="AQ92" s="4"/>
      <c r="AR92" s="4"/>
      <c r="AU92" s="4"/>
      <c r="AV92" s="4"/>
      <c r="AY92" s="4"/>
      <c r="AZ92" s="4"/>
      <c r="BC92" s="4"/>
      <c r="BD92" s="4"/>
      <c r="BG92" s="4"/>
      <c r="BH92" s="4"/>
    </row>
    <row r="93" spans="3:60">
      <c r="C93" s="4"/>
      <c r="D93" s="4"/>
      <c r="G93" s="4"/>
      <c r="H93" s="4"/>
      <c r="K93" s="4"/>
      <c r="L93" s="4"/>
      <c r="O93" s="4"/>
      <c r="P93" s="4"/>
      <c r="S93" s="4"/>
      <c r="T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I93" s="4"/>
      <c r="AJ93" s="4"/>
      <c r="AM93" s="4"/>
      <c r="AN93" s="4"/>
      <c r="AQ93" s="4"/>
      <c r="AR93" s="4"/>
      <c r="AU93" s="4"/>
      <c r="AV93" s="4"/>
      <c r="AY93" s="4"/>
      <c r="AZ93" s="4"/>
      <c r="BC93" s="4"/>
      <c r="BD93" s="4"/>
      <c r="BG93" s="4"/>
      <c r="BH93" s="4"/>
    </row>
    <row r="94" spans="3:60">
      <c r="C94" s="4"/>
      <c r="D94" s="4"/>
      <c r="G94" s="4"/>
      <c r="H94" s="4"/>
      <c r="K94" s="4"/>
      <c r="L94" s="4"/>
      <c r="O94" s="4"/>
      <c r="P94" s="4"/>
      <c r="S94" s="4"/>
      <c r="T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I94" s="4"/>
      <c r="AJ94" s="4"/>
      <c r="AM94" s="4"/>
      <c r="AN94" s="4"/>
      <c r="AQ94" s="4"/>
      <c r="AR94" s="4"/>
      <c r="AU94" s="4"/>
      <c r="AV94" s="4"/>
      <c r="AY94" s="4"/>
      <c r="AZ94" s="4"/>
      <c r="BC94" s="4"/>
      <c r="BD94" s="4"/>
      <c r="BG94" s="4"/>
      <c r="BH94" s="4"/>
    </row>
    <row r="95" spans="3:60">
      <c r="C95" s="4"/>
      <c r="D95" s="4"/>
      <c r="G95" s="4"/>
      <c r="H95" s="4"/>
      <c r="K95" s="4"/>
      <c r="L95" s="4"/>
      <c r="O95" s="4"/>
      <c r="P95" s="4"/>
      <c r="S95" s="4"/>
      <c r="T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I95" s="4"/>
      <c r="AJ95" s="4"/>
      <c r="AM95" s="4"/>
      <c r="AN95" s="4"/>
      <c r="AQ95" s="4"/>
      <c r="AR95" s="4"/>
      <c r="AU95" s="4"/>
      <c r="AV95" s="4"/>
      <c r="AY95" s="4"/>
      <c r="AZ95" s="4"/>
      <c r="BC95" s="4"/>
      <c r="BD95" s="4"/>
      <c r="BG95" s="4"/>
      <c r="BH95" s="4"/>
    </row>
    <row r="96" spans="3:60">
      <c r="C96" s="4"/>
      <c r="D96" s="4"/>
      <c r="G96" s="4"/>
      <c r="H96" s="4"/>
      <c r="K96" s="4"/>
      <c r="L96" s="4"/>
      <c r="O96" s="4"/>
      <c r="P96" s="4"/>
      <c r="S96" s="4"/>
      <c r="T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I96" s="4"/>
      <c r="AJ96" s="4"/>
      <c r="AM96" s="4"/>
      <c r="AN96" s="4"/>
      <c r="AQ96" s="4"/>
      <c r="AR96" s="4"/>
      <c r="AU96" s="4"/>
      <c r="AV96" s="4"/>
      <c r="AY96" s="4"/>
      <c r="AZ96" s="4"/>
      <c r="BC96" s="4"/>
      <c r="BD96" s="4"/>
      <c r="BG96" s="4"/>
      <c r="BH96" s="4"/>
    </row>
    <row r="97" spans="3:60">
      <c r="C97" s="4"/>
      <c r="D97" s="4"/>
      <c r="G97" s="4"/>
      <c r="H97" s="4"/>
      <c r="K97" s="4"/>
      <c r="L97" s="4"/>
      <c r="O97" s="4"/>
      <c r="P97" s="4"/>
      <c r="S97" s="4"/>
      <c r="T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I97" s="4"/>
      <c r="AJ97" s="4"/>
      <c r="AM97" s="4"/>
      <c r="AN97" s="4"/>
      <c r="AQ97" s="4"/>
      <c r="AR97" s="4"/>
      <c r="AU97" s="4"/>
      <c r="AV97" s="4"/>
      <c r="AY97" s="4"/>
      <c r="AZ97" s="4"/>
      <c r="BC97" s="4"/>
      <c r="BD97" s="4"/>
      <c r="BG97" s="4"/>
      <c r="BH97" s="4"/>
    </row>
    <row r="98" spans="3:60">
      <c r="C98" s="4"/>
      <c r="D98" s="4"/>
      <c r="G98" s="4"/>
      <c r="H98" s="4"/>
      <c r="K98" s="4"/>
      <c r="L98" s="4"/>
      <c r="O98" s="4"/>
      <c r="P98" s="4"/>
      <c r="S98" s="4"/>
      <c r="T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I98" s="4"/>
      <c r="AJ98" s="4"/>
      <c r="AM98" s="4"/>
      <c r="AN98" s="4"/>
      <c r="AQ98" s="4"/>
      <c r="AR98" s="4"/>
      <c r="AU98" s="4"/>
      <c r="AV98" s="4"/>
      <c r="AY98" s="4"/>
      <c r="AZ98" s="4"/>
      <c r="BC98" s="4"/>
      <c r="BD98" s="4"/>
      <c r="BG98" s="4"/>
      <c r="BH98" s="4"/>
    </row>
    <row r="99" spans="3:60">
      <c r="C99" s="4"/>
      <c r="D99" s="4"/>
      <c r="G99" s="4"/>
      <c r="H99" s="4"/>
      <c r="K99" s="4"/>
      <c r="L99" s="4"/>
      <c r="O99" s="4"/>
      <c r="P99" s="4"/>
      <c r="S99" s="4"/>
      <c r="T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I99" s="4"/>
      <c r="AJ99" s="4"/>
      <c r="AM99" s="4"/>
      <c r="AN99" s="4"/>
      <c r="AQ99" s="4"/>
      <c r="AR99" s="4"/>
      <c r="AU99" s="4"/>
      <c r="AV99" s="4"/>
      <c r="AY99" s="4"/>
      <c r="AZ99" s="4"/>
      <c r="BC99" s="4"/>
      <c r="BD99" s="4"/>
      <c r="BG99" s="4"/>
      <c r="BH99" s="4"/>
    </row>
    <row r="100" spans="3:60">
      <c r="C100" s="4"/>
      <c r="D100" s="4"/>
      <c r="G100" s="4"/>
      <c r="H100" s="4"/>
      <c r="K100" s="4"/>
      <c r="L100" s="4"/>
      <c r="O100" s="4"/>
      <c r="P100" s="4"/>
      <c r="S100" s="4"/>
      <c r="T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I100" s="4"/>
      <c r="AJ100" s="4"/>
      <c r="AM100" s="4"/>
      <c r="AN100" s="4"/>
      <c r="AQ100" s="4"/>
      <c r="AR100" s="4"/>
      <c r="AU100" s="4"/>
      <c r="AV100" s="4"/>
      <c r="AY100" s="4"/>
      <c r="AZ100" s="4"/>
      <c r="BC100" s="4"/>
      <c r="BD100" s="4"/>
      <c r="BG100" s="4"/>
      <c r="BH100" s="4"/>
    </row>
    <row r="101" spans="3:60">
      <c r="C101" s="4"/>
      <c r="D101" s="4"/>
      <c r="G101" s="4"/>
      <c r="H101" s="4"/>
      <c r="K101" s="4"/>
      <c r="L101" s="4"/>
      <c r="O101" s="4"/>
      <c r="P101" s="4"/>
      <c r="S101" s="4"/>
      <c r="T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I101" s="4"/>
      <c r="AJ101" s="4"/>
      <c r="AM101" s="4"/>
      <c r="AN101" s="4"/>
      <c r="AQ101" s="4"/>
      <c r="AR101" s="4"/>
      <c r="AU101" s="4"/>
      <c r="AV101" s="4"/>
      <c r="AY101" s="4"/>
      <c r="AZ101" s="4"/>
      <c r="BC101" s="4"/>
      <c r="BD101" s="4"/>
      <c r="BG101" s="4"/>
      <c r="BH101" s="4"/>
    </row>
    <row r="102" spans="3:60">
      <c r="C102" s="4"/>
      <c r="D102" s="4"/>
      <c r="G102" s="4"/>
      <c r="H102" s="4"/>
      <c r="K102" s="4"/>
      <c r="L102" s="4"/>
      <c r="O102" s="4"/>
      <c r="P102" s="4"/>
      <c r="S102" s="4"/>
      <c r="T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I102" s="4"/>
      <c r="AJ102" s="4"/>
      <c r="AM102" s="4"/>
      <c r="AN102" s="4"/>
      <c r="AQ102" s="4"/>
      <c r="AR102" s="4"/>
      <c r="AU102" s="4"/>
      <c r="AV102" s="4"/>
      <c r="AY102" s="4"/>
      <c r="AZ102" s="4"/>
      <c r="BC102" s="4"/>
      <c r="BD102" s="4"/>
      <c r="BG102" s="4"/>
      <c r="BH102" s="4"/>
    </row>
    <row r="103" spans="3:60">
      <c r="C103" s="4"/>
      <c r="D103" s="4"/>
      <c r="G103" s="4"/>
      <c r="H103" s="4"/>
      <c r="K103" s="4"/>
      <c r="L103" s="4"/>
      <c r="O103" s="4"/>
      <c r="P103" s="4"/>
      <c r="S103" s="4"/>
      <c r="T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I103" s="4"/>
      <c r="AJ103" s="4"/>
      <c r="AM103" s="4"/>
      <c r="AN103" s="4"/>
      <c r="AQ103" s="4"/>
      <c r="AR103" s="4"/>
      <c r="AU103" s="4"/>
      <c r="AV103" s="4"/>
      <c r="AY103" s="4"/>
      <c r="AZ103" s="4"/>
      <c r="BC103" s="4"/>
      <c r="BD103" s="4"/>
      <c r="BG103" s="4"/>
      <c r="BH103" s="4"/>
    </row>
    <row r="104" spans="3:60">
      <c r="C104" s="4"/>
      <c r="D104" s="4"/>
      <c r="G104" s="4"/>
      <c r="H104" s="4"/>
      <c r="K104" s="4"/>
      <c r="L104" s="4"/>
      <c r="O104" s="4"/>
      <c r="P104" s="4"/>
      <c r="S104" s="4"/>
      <c r="T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I104" s="4"/>
      <c r="AJ104" s="4"/>
      <c r="AM104" s="4"/>
      <c r="AN104" s="4"/>
      <c r="AQ104" s="4"/>
      <c r="AR104" s="4"/>
      <c r="AU104" s="4"/>
      <c r="AV104" s="4"/>
      <c r="AY104" s="4"/>
      <c r="AZ104" s="4"/>
      <c r="BC104" s="4"/>
      <c r="BD104" s="4"/>
      <c r="BG104" s="4"/>
      <c r="BH104" s="4"/>
    </row>
    <row r="105" spans="3:60">
      <c r="C105" s="4"/>
      <c r="D105" s="4"/>
      <c r="G105" s="4"/>
      <c r="H105" s="4"/>
      <c r="K105" s="4"/>
      <c r="L105" s="4"/>
      <c r="O105" s="4"/>
      <c r="P105" s="4"/>
      <c r="S105" s="4"/>
      <c r="T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I105" s="4"/>
      <c r="AJ105" s="4"/>
      <c r="AM105" s="4"/>
      <c r="AN105" s="4"/>
      <c r="AQ105" s="4"/>
      <c r="AR105" s="4"/>
      <c r="AU105" s="4"/>
      <c r="AV105" s="4"/>
      <c r="AY105" s="4"/>
      <c r="AZ105" s="4"/>
      <c r="BC105" s="4"/>
      <c r="BD105" s="4"/>
      <c r="BG105" s="4"/>
      <c r="BH105" s="4"/>
    </row>
    <row r="106" spans="3:60">
      <c r="C106" s="4"/>
      <c r="D106" s="4"/>
      <c r="G106" s="4"/>
      <c r="H106" s="4"/>
      <c r="K106" s="4"/>
      <c r="L106" s="4"/>
      <c r="O106" s="4"/>
      <c r="P106" s="4"/>
      <c r="S106" s="4"/>
      <c r="T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I106" s="4"/>
      <c r="AJ106" s="4"/>
      <c r="AM106" s="4"/>
      <c r="AN106" s="4"/>
      <c r="AQ106" s="4"/>
      <c r="AR106" s="4"/>
      <c r="AU106" s="4"/>
      <c r="AV106" s="4"/>
      <c r="AY106" s="4"/>
      <c r="AZ106" s="4"/>
      <c r="BC106" s="4"/>
      <c r="BD106" s="4"/>
      <c r="BG106" s="4"/>
      <c r="BH106" s="4"/>
    </row>
    <row r="107" spans="3:60">
      <c r="C107" s="4"/>
      <c r="D107" s="4"/>
      <c r="G107" s="4"/>
      <c r="H107" s="4"/>
      <c r="K107" s="4"/>
      <c r="L107" s="4"/>
      <c r="O107" s="4"/>
      <c r="P107" s="4"/>
      <c r="S107" s="4"/>
      <c r="T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I107" s="4"/>
      <c r="AJ107" s="4"/>
      <c r="AM107" s="4"/>
      <c r="AN107" s="4"/>
      <c r="AQ107" s="4"/>
      <c r="AR107" s="4"/>
      <c r="AU107" s="4"/>
      <c r="AV107" s="4"/>
      <c r="AY107" s="4"/>
      <c r="AZ107" s="4"/>
      <c r="BC107" s="4"/>
      <c r="BD107" s="4"/>
      <c r="BG107" s="4"/>
      <c r="BH107" s="4"/>
    </row>
    <row r="108" spans="3:60">
      <c r="C108" s="4"/>
      <c r="D108" s="4"/>
      <c r="G108" s="4"/>
      <c r="H108" s="4"/>
      <c r="K108" s="4"/>
      <c r="L108" s="4"/>
      <c r="O108" s="4"/>
      <c r="P108" s="4"/>
      <c r="S108" s="4"/>
      <c r="T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I108" s="4"/>
      <c r="AJ108" s="4"/>
      <c r="AM108" s="4"/>
      <c r="AN108" s="4"/>
      <c r="AQ108" s="4"/>
      <c r="AR108" s="4"/>
      <c r="AU108" s="4"/>
      <c r="AV108" s="4"/>
      <c r="AY108" s="4"/>
      <c r="AZ108" s="4"/>
      <c r="BC108" s="4"/>
      <c r="BD108" s="4"/>
      <c r="BG108" s="4"/>
      <c r="BH108" s="4"/>
    </row>
    <row r="109" spans="3:60">
      <c r="C109" s="4"/>
      <c r="D109" s="4"/>
      <c r="G109" s="4"/>
      <c r="H109" s="4"/>
      <c r="K109" s="4"/>
      <c r="L109" s="4"/>
      <c r="O109" s="4"/>
      <c r="P109" s="4"/>
      <c r="S109" s="4"/>
      <c r="T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I109" s="4"/>
      <c r="AJ109" s="4"/>
      <c r="AM109" s="4"/>
      <c r="AN109" s="4"/>
      <c r="AQ109" s="4"/>
      <c r="AR109" s="4"/>
      <c r="AU109" s="4"/>
      <c r="AV109" s="4"/>
      <c r="AY109" s="4"/>
      <c r="AZ109" s="4"/>
      <c r="BC109" s="4"/>
      <c r="BD109" s="4"/>
      <c r="BG109" s="4"/>
      <c r="BH109" s="4"/>
    </row>
    <row r="110" spans="3:60">
      <c r="C110" s="4"/>
      <c r="D110" s="4"/>
      <c r="G110" s="4"/>
      <c r="H110" s="4"/>
      <c r="K110" s="4"/>
      <c r="L110" s="4"/>
      <c r="O110" s="4"/>
      <c r="P110" s="4"/>
      <c r="S110" s="4"/>
      <c r="T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I110" s="4"/>
      <c r="AJ110" s="4"/>
      <c r="AM110" s="4"/>
      <c r="AN110" s="4"/>
      <c r="AQ110" s="4"/>
      <c r="AR110" s="4"/>
      <c r="AU110" s="4"/>
      <c r="AV110" s="4"/>
      <c r="AY110" s="4"/>
      <c r="AZ110" s="4"/>
      <c r="BC110" s="4"/>
      <c r="BD110" s="4"/>
      <c r="BG110" s="4"/>
      <c r="BH110" s="4"/>
    </row>
    <row r="111" spans="3:60">
      <c r="C111" s="4"/>
      <c r="D111" s="4"/>
      <c r="G111" s="4"/>
      <c r="H111" s="4"/>
      <c r="K111" s="4"/>
      <c r="L111" s="4"/>
      <c r="O111" s="4"/>
      <c r="P111" s="4"/>
      <c r="S111" s="4"/>
      <c r="T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I111" s="4"/>
      <c r="AJ111" s="4"/>
      <c r="AM111" s="4"/>
      <c r="AN111" s="4"/>
      <c r="AQ111" s="4"/>
      <c r="AR111" s="4"/>
      <c r="AU111" s="4"/>
      <c r="AV111" s="4"/>
      <c r="AY111" s="4"/>
      <c r="AZ111" s="4"/>
      <c r="BC111" s="4"/>
      <c r="BD111" s="4"/>
      <c r="BG111" s="4"/>
      <c r="BH111" s="4"/>
    </row>
    <row r="112" spans="3:60">
      <c r="C112" s="4"/>
      <c r="D112" s="4"/>
      <c r="G112" s="4"/>
      <c r="H112" s="4"/>
      <c r="K112" s="4"/>
      <c r="L112" s="4"/>
      <c r="O112" s="4"/>
      <c r="P112" s="4"/>
      <c r="S112" s="4"/>
      <c r="T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I112" s="4"/>
      <c r="AJ112" s="4"/>
      <c r="AM112" s="4"/>
      <c r="AN112" s="4"/>
      <c r="AQ112" s="4"/>
      <c r="AR112" s="4"/>
      <c r="AU112" s="4"/>
      <c r="AV112" s="4"/>
      <c r="AY112" s="4"/>
      <c r="AZ112" s="4"/>
      <c r="BC112" s="4"/>
      <c r="BD112" s="4"/>
      <c r="BG112" s="4"/>
      <c r="BH112" s="4"/>
    </row>
    <row r="113" spans="3:60">
      <c r="C113" s="4"/>
      <c r="D113" s="4"/>
      <c r="G113" s="4"/>
      <c r="H113" s="4"/>
      <c r="K113" s="4"/>
      <c r="L113" s="4"/>
      <c r="O113" s="4"/>
      <c r="P113" s="4"/>
      <c r="S113" s="4"/>
      <c r="T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I113" s="4"/>
      <c r="AJ113" s="4"/>
      <c r="AM113" s="4"/>
      <c r="AN113" s="4"/>
      <c r="AQ113" s="4"/>
      <c r="AR113" s="4"/>
      <c r="AU113" s="4"/>
      <c r="AV113" s="4"/>
      <c r="AY113" s="4"/>
      <c r="AZ113" s="4"/>
      <c r="BC113" s="4"/>
      <c r="BD113" s="4"/>
      <c r="BG113" s="4"/>
      <c r="BH113" s="4"/>
    </row>
    <row r="114" spans="3:60">
      <c r="C114" s="4"/>
      <c r="D114" s="4"/>
      <c r="G114" s="4"/>
      <c r="H114" s="4"/>
      <c r="K114" s="4"/>
      <c r="L114" s="4"/>
      <c r="O114" s="4"/>
      <c r="P114" s="4"/>
      <c r="S114" s="4"/>
      <c r="T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I114" s="4"/>
      <c r="AJ114" s="4"/>
      <c r="AM114" s="4"/>
      <c r="AN114" s="4"/>
      <c r="AQ114" s="4"/>
      <c r="AR114" s="4"/>
      <c r="AU114" s="4"/>
      <c r="AV114" s="4"/>
      <c r="AY114" s="4"/>
      <c r="AZ114" s="4"/>
      <c r="BC114" s="4"/>
      <c r="BD114" s="4"/>
      <c r="BG114" s="4"/>
      <c r="BH114" s="4"/>
    </row>
    <row r="115" spans="3:60">
      <c r="C115" s="4"/>
      <c r="D115" s="4"/>
      <c r="G115" s="4"/>
      <c r="H115" s="4"/>
      <c r="K115" s="4"/>
      <c r="L115" s="4"/>
      <c r="O115" s="4"/>
      <c r="P115" s="4"/>
      <c r="S115" s="4"/>
      <c r="T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I115" s="4"/>
      <c r="AJ115" s="4"/>
      <c r="AM115" s="4"/>
      <c r="AN115" s="4"/>
      <c r="AQ115" s="4"/>
      <c r="AR115" s="4"/>
      <c r="AU115" s="4"/>
      <c r="AV115" s="4"/>
      <c r="AY115" s="4"/>
      <c r="AZ115" s="4"/>
      <c r="BC115" s="4"/>
      <c r="BD115" s="4"/>
      <c r="BG115" s="4"/>
      <c r="BH115" s="4"/>
    </row>
    <row r="116" spans="3:60">
      <c r="C116" s="4"/>
      <c r="D116" s="4"/>
      <c r="G116" s="4"/>
      <c r="H116" s="4"/>
      <c r="K116" s="4"/>
      <c r="L116" s="4"/>
      <c r="O116" s="4"/>
      <c r="P116" s="4"/>
      <c r="S116" s="4"/>
      <c r="T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I116" s="4"/>
      <c r="AJ116" s="4"/>
      <c r="AM116" s="4"/>
      <c r="AN116" s="4"/>
      <c r="AQ116" s="4"/>
      <c r="AR116" s="4"/>
      <c r="AU116" s="4"/>
      <c r="AV116" s="4"/>
      <c r="AY116" s="4"/>
      <c r="AZ116" s="4"/>
      <c r="BC116" s="4"/>
      <c r="BD116" s="4"/>
      <c r="BG116" s="4"/>
      <c r="BH116" s="4"/>
    </row>
    <row r="117" spans="3:60">
      <c r="C117" s="4"/>
      <c r="D117" s="4"/>
      <c r="G117" s="4"/>
      <c r="H117" s="4"/>
      <c r="K117" s="4"/>
      <c r="L117" s="4"/>
      <c r="O117" s="4"/>
      <c r="P117" s="4"/>
      <c r="S117" s="4"/>
      <c r="T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I117" s="4"/>
      <c r="AJ117" s="4"/>
      <c r="AM117" s="4"/>
      <c r="AN117" s="4"/>
      <c r="AQ117" s="4"/>
      <c r="AR117" s="4"/>
      <c r="AU117" s="4"/>
      <c r="AV117" s="4"/>
      <c r="AY117" s="4"/>
      <c r="AZ117" s="4"/>
      <c r="BC117" s="4"/>
      <c r="BD117" s="4"/>
      <c r="BG117" s="4"/>
      <c r="BH117" s="4"/>
    </row>
    <row r="118" spans="3:60">
      <c r="C118" s="4"/>
      <c r="D118" s="4"/>
      <c r="G118" s="4"/>
      <c r="H118" s="4"/>
      <c r="K118" s="4"/>
      <c r="L118" s="4"/>
      <c r="O118" s="4"/>
      <c r="P118" s="4"/>
      <c r="S118" s="4"/>
      <c r="T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I118" s="4"/>
      <c r="AJ118" s="4"/>
      <c r="AM118" s="4"/>
      <c r="AN118" s="4"/>
      <c r="AQ118" s="4"/>
      <c r="AR118" s="4"/>
      <c r="AU118" s="4"/>
      <c r="AV118" s="4"/>
      <c r="AY118" s="4"/>
      <c r="AZ118" s="4"/>
      <c r="BC118" s="4"/>
      <c r="BD118" s="4"/>
      <c r="BG118" s="4"/>
      <c r="BH118" s="4"/>
    </row>
    <row r="119" spans="3:60">
      <c r="C119" s="4"/>
      <c r="D119" s="4"/>
      <c r="G119" s="4"/>
      <c r="H119" s="4"/>
      <c r="K119" s="4"/>
      <c r="L119" s="4"/>
      <c r="O119" s="4"/>
      <c r="P119" s="4"/>
      <c r="S119" s="4"/>
      <c r="T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I119" s="4"/>
      <c r="AJ119" s="4"/>
      <c r="AM119" s="4"/>
      <c r="AN119" s="4"/>
      <c r="AQ119" s="4"/>
      <c r="AR119" s="4"/>
      <c r="AU119" s="4"/>
      <c r="AV119" s="4"/>
      <c r="AY119" s="4"/>
      <c r="AZ119" s="4"/>
      <c r="BC119" s="4"/>
      <c r="BD119" s="4"/>
      <c r="BG119" s="4"/>
      <c r="BH119" s="4"/>
    </row>
    <row r="120" spans="3:60">
      <c r="C120" s="4"/>
      <c r="D120" s="4"/>
      <c r="G120" s="4"/>
      <c r="H120" s="4"/>
      <c r="K120" s="4"/>
      <c r="L120" s="4"/>
      <c r="O120" s="4"/>
      <c r="P120" s="4"/>
      <c r="S120" s="4"/>
      <c r="T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I120" s="4"/>
      <c r="AJ120" s="4"/>
      <c r="AM120" s="4"/>
      <c r="AN120" s="4"/>
      <c r="AQ120" s="4"/>
      <c r="AR120" s="4"/>
      <c r="AU120" s="4"/>
      <c r="AV120" s="4"/>
      <c r="AY120" s="4"/>
      <c r="AZ120" s="4"/>
      <c r="BC120" s="4"/>
      <c r="BD120" s="4"/>
      <c r="BG120" s="4"/>
      <c r="BH120" s="4"/>
    </row>
    <row r="121" spans="3:60">
      <c r="C121" s="4"/>
      <c r="D121" s="4"/>
      <c r="G121" s="4"/>
      <c r="H121" s="4"/>
      <c r="K121" s="4"/>
      <c r="L121" s="4"/>
      <c r="O121" s="4"/>
      <c r="P121" s="4"/>
      <c r="S121" s="4"/>
      <c r="T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I121" s="4"/>
      <c r="AJ121" s="4"/>
      <c r="AM121" s="4"/>
      <c r="AN121" s="4"/>
      <c r="AQ121" s="4"/>
      <c r="AR121" s="4"/>
      <c r="AU121" s="4"/>
      <c r="AV121" s="4"/>
      <c r="AY121" s="4"/>
      <c r="AZ121" s="4"/>
      <c r="BC121" s="4"/>
      <c r="BD121" s="4"/>
      <c r="BG121" s="4"/>
      <c r="BH121" s="4"/>
    </row>
    <row r="122" spans="3:60">
      <c r="C122" s="4"/>
      <c r="D122" s="4"/>
      <c r="G122" s="4"/>
      <c r="H122" s="4"/>
      <c r="K122" s="4"/>
      <c r="L122" s="4"/>
      <c r="O122" s="4"/>
      <c r="P122" s="4"/>
      <c r="S122" s="4"/>
      <c r="T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I122" s="4"/>
      <c r="AJ122" s="4"/>
      <c r="AM122" s="4"/>
      <c r="AN122" s="4"/>
      <c r="AQ122" s="4"/>
      <c r="AR122" s="4"/>
      <c r="AU122" s="4"/>
      <c r="AV122" s="4"/>
      <c r="AY122" s="4"/>
      <c r="AZ122" s="4"/>
      <c r="BC122" s="4"/>
      <c r="BD122" s="4"/>
      <c r="BG122" s="4"/>
      <c r="BH122" s="4"/>
    </row>
    <row r="123" spans="3:60">
      <c r="C123" s="4"/>
      <c r="D123" s="4"/>
      <c r="G123" s="4"/>
      <c r="H123" s="4"/>
      <c r="K123" s="4"/>
      <c r="L123" s="4"/>
      <c r="O123" s="4"/>
      <c r="P123" s="4"/>
      <c r="S123" s="4"/>
      <c r="T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I123" s="4"/>
      <c r="AJ123" s="4"/>
      <c r="AM123" s="4"/>
      <c r="AN123" s="4"/>
      <c r="AQ123" s="4"/>
      <c r="AR123" s="4"/>
      <c r="AU123" s="4"/>
      <c r="AV123" s="4"/>
      <c r="AY123" s="4"/>
      <c r="AZ123" s="4"/>
      <c r="BC123" s="4"/>
      <c r="BD123" s="4"/>
      <c r="BG123" s="4"/>
      <c r="BH123" s="4"/>
    </row>
    <row r="124" spans="3:60">
      <c r="C124" s="4"/>
      <c r="D124" s="4"/>
      <c r="G124" s="4"/>
      <c r="H124" s="4"/>
      <c r="K124" s="4"/>
      <c r="L124" s="4"/>
      <c r="O124" s="4"/>
      <c r="P124" s="4"/>
      <c r="S124" s="4"/>
      <c r="T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I124" s="4"/>
      <c r="AJ124" s="4"/>
      <c r="AM124" s="4"/>
      <c r="AN124" s="4"/>
      <c r="AQ124" s="4"/>
      <c r="AR124" s="4"/>
      <c r="AU124" s="4"/>
      <c r="AV124" s="4"/>
      <c r="AY124" s="4"/>
      <c r="AZ124" s="4"/>
      <c r="BC124" s="4"/>
      <c r="BD124" s="4"/>
      <c r="BG124" s="4"/>
      <c r="BH124" s="4"/>
    </row>
    <row r="125" spans="3:60">
      <c r="C125" s="4"/>
      <c r="D125" s="4"/>
      <c r="G125" s="4"/>
      <c r="H125" s="4"/>
      <c r="K125" s="4"/>
      <c r="L125" s="4"/>
      <c r="O125" s="4"/>
      <c r="P125" s="4"/>
      <c r="S125" s="4"/>
      <c r="T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I125" s="4"/>
      <c r="AJ125" s="4"/>
      <c r="AM125" s="4"/>
      <c r="AN125" s="4"/>
      <c r="AQ125" s="4"/>
      <c r="AR125" s="4"/>
      <c r="AU125" s="4"/>
      <c r="AV125" s="4"/>
      <c r="AY125" s="4"/>
      <c r="AZ125" s="4"/>
      <c r="BC125" s="4"/>
      <c r="BD125" s="4"/>
      <c r="BG125" s="4"/>
      <c r="BH125" s="4"/>
    </row>
    <row r="126" spans="3:60">
      <c r="C126" s="4"/>
      <c r="D126" s="4"/>
      <c r="G126" s="4"/>
      <c r="H126" s="4"/>
      <c r="K126" s="4"/>
      <c r="L126" s="4"/>
      <c r="O126" s="4"/>
      <c r="P126" s="4"/>
      <c r="S126" s="4"/>
      <c r="T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I126" s="4"/>
      <c r="AJ126" s="4"/>
      <c r="AM126" s="4"/>
      <c r="AN126" s="4"/>
      <c r="AQ126" s="4"/>
      <c r="AR126" s="4"/>
      <c r="AU126" s="4"/>
      <c r="AV126" s="4"/>
      <c r="AY126" s="4"/>
      <c r="AZ126" s="4"/>
      <c r="BC126" s="4"/>
      <c r="BD126" s="4"/>
      <c r="BG126" s="4"/>
      <c r="BH126" s="4"/>
    </row>
    <row r="127" spans="3:60">
      <c r="C127" s="4"/>
      <c r="D127" s="4"/>
      <c r="G127" s="4"/>
      <c r="H127" s="4"/>
      <c r="K127" s="4"/>
      <c r="L127" s="4"/>
      <c r="O127" s="4"/>
      <c r="P127" s="4"/>
      <c r="S127" s="4"/>
      <c r="T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I127" s="4"/>
      <c r="AJ127" s="4"/>
      <c r="AM127" s="4"/>
      <c r="AN127" s="4"/>
      <c r="AQ127" s="4"/>
      <c r="AR127" s="4"/>
      <c r="AU127" s="4"/>
      <c r="AV127" s="4"/>
      <c r="AY127" s="4"/>
      <c r="AZ127" s="4"/>
      <c r="BC127" s="4"/>
      <c r="BD127" s="4"/>
      <c r="BG127" s="4"/>
      <c r="BH127" s="4"/>
    </row>
    <row r="128" spans="3:60">
      <c r="C128" s="4"/>
      <c r="D128" s="4"/>
      <c r="G128" s="4"/>
      <c r="H128" s="4"/>
      <c r="K128" s="4"/>
      <c r="L128" s="4"/>
      <c r="O128" s="4"/>
      <c r="P128" s="4"/>
      <c r="S128" s="4"/>
      <c r="T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I128" s="4"/>
      <c r="AJ128" s="4"/>
      <c r="AM128" s="4"/>
      <c r="AN128" s="4"/>
      <c r="AQ128" s="4"/>
      <c r="AR128" s="4"/>
      <c r="AU128" s="4"/>
      <c r="AV128" s="4"/>
      <c r="AY128" s="4"/>
      <c r="AZ128" s="4"/>
      <c r="BC128" s="4"/>
      <c r="BD128" s="4"/>
      <c r="BG128" s="4"/>
      <c r="BH128" s="4"/>
    </row>
    <row r="129" spans="3:60">
      <c r="C129" s="4"/>
      <c r="D129" s="4"/>
      <c r="G129" s="4"/>
      <c r="H129" s="4"/>
      <c r="K129" s="4"/>
      <c r="L129" s="4"/>
      <c r="O129" s="4"/>
      <c r="P129" s="4"/>
      <c r="S129" s="4"/>
      <c r="T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I129" s="4"/>
      <c r="AJ129" s="4"/>
      <c r="AM129" s="4"/>
      <c r="AN129" s="4"/>
      <c r="AQ129" s="4"/>
      <c r="AR129" s="4"/>
      <c r="AU129" s="4"/>
      <c r="AV129" s="4"/>
      <c r="AY129" s="4"/>
      <c r="AZ129" s="4"/>
      <c r="BC129" s="4"/>
      <c r="BD129" s="4"/>
      <c r="BG129" s="4"/>
      <c r="BH129" s="4"/>
    </row>
    <row r="130" spans="3:60">
      <c r="C130" s="4"/>
      <c r="D130" s="4"/>
      <c r="G130" s="4"/>
      <c r="H130" s="4"/>
      <c r="K130" s="4"/>
      <c r="L130" s="4"/>
      <c r="O130" s="4"/>
      <c r="P130" s="4"/>
      <c r="S130" s="4"/>
      <c r="T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I130" s="4"/>
      <c r="AJ130" s="4"/>
      <c r="AM130" s="4"/>
      <c r="AN130" s="4"/>
      <c r="AQ130" s="4"/>
      <c r="AR130" s="4"/>
      <c r="AU130" s="4"/>
      <c r="AV130" s="4"/>
      <c r="AY130" s="4"/>
      <c r="AZ130" s="4"/>
      <c r="BC130" s="4"/>
      <c r="BD130" s="4"/>
      <c r="BG130" s="4"/>
      <c r="BH130" s="4"/>
    </row>
    <row r="131" spans="3:60">
      <c r="C131" s="4"/>
      <c r="D131" s="4"/>
      <c r="G131" s="4"/>
      <c r="H131" s="4"/>
      <c r="K131" s="4"/>
      <c r="L131" s="4"/>
      <c r="O131" s="4"/>
      <c r="P131" s="4"/>
      <c r="S131" s="4"/>
      <c r="T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I131" s="4"/>
      <c r="AJ131" s="4"/>
      <c r="AM131" s="4"/>
      <c r="AN131" s="4"/>
      <c r="AQ131" s="4"/>
      <c r="AR131" s="4"/>
      <c r="AU131" s="4"/>
      <c r="AV131" s="4"/>
      <c r="AY131" s="4"/>
      <c r="AZ131" s="4"/>
      <c r="BC131" s="4"/>
      <c r="BD131" s="4"/>
      <c r="BG131" s="4"/>
      <c r="BH131" s="4"/>
    </row>
    <row r="132" spans="3:60">
      <c r="C132" s="4"/>
      <c r="D132" s="4"/>
      <c r="G132" s="4"/>
      <c r="H132" s="4"/>
      <c r="K132" s="4"/>
      <c r="L132" s="4"/>
      <c r="O132" s="4"/>
      <c r="P132" s="4"/>
      <c r="S132" s="4"/>
      <c r="T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I132" s="4"/>
      <c r="AJ132" s="4"/>
      <c r="AM132" s="4"/>
      <c r="AN132" s="4"/>
      <c r="AQ132" s="4"/>
      <c r="AR132" s="4"/>
      <c r="AU132" s="4"/>
      <c r="AV132" s="4"/>
      <c r="AY132" s="4"/>
      <c r="AZ132" s="4"/>
      <c r="BC132" s="4"/>
      <c r="BD132" s="4"/>
      <c r="BG132" s="4"/>
      <c r="BH132" s="4"/>
    </row>
    <row r="133" spans="3:60">
      <c r="C133" s="4"/>
      <c r="D133" s="4"/>
      <c r="G133" s="4"/>
      <c r="H133" s="4"/>
      <c r="K133" s="4"/>
      <c r="L133" s="4"/>
      <c r="O133" s="4"/>
      <c r="P133" s="4"/>
      <c r="S133" s="4"/>
      <c r="T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I133" s="4"/>
      <c r="AJ133" s="4"/>
      <c r="AM133" s="4"/>
      <c r="AN133" s="4"/>
      <c r="AQ133" s="4"/>
      <c r="AR133" s="4"/>
      <c r="AU133" s="4"/>
      <c r="AV133" s="4"/>
      <c r="AY133" s="4"/>
      <c r="AZ133" s="4"/>
      <c r="BC133" s="4"/>
      <c r="BD133" s="4"/>
      <c r="BG133" s="4"/>
      <c r="BH133" s="4"/>
    </row>
    <row r="134" spans="3:60">
      <c r="C134" s="4"/>
      <c r="D134" s="4"/>
      <c r="G134" s="4"/>
      <c r="H134" s="4"/>
      <c r="K134" s="4"/>
      <c r="L134" s="4"/>
      <c r="O134" s="4"/>
      <c r="P134" s="4"/>
      <c r="S134" s="4"/>
      <c r="T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I134" s="4"/>
      <c r="AJ134" s="4"/>
      <c r="AM134" s="4"/>
      <c r="AN134" s="4"/>
      <c r="AQ134" s="4"/>
      <c r="AR134" s="4"/>
      <c r="AU134" s="4"/>
      <c r="AV134" s="4"/>
      <c r="AY134" s="4"/>
      <c r="AZ134" s="4"/>
      <c r="BC134" s="4"/>
      <c r="BD134" s="4"/>
      <c r="BG134" s="4"/>
      <c r="BH134" s="4"/>
    </row>
    <row r="135" spans="3:60">
      <c r="C135" s="4"/>
      <c r="D135" s="4"/>
      <c r="G135" s="4"/>
      <c r="H135" s="4"/>
      <c r="K135" s="4"/>
      <c r="L135" s="4"/>
      <c r="O135" s="4"/>
      <c r="P135" s="4"/>
      <c r="S135" s="4"/>
      <c r="T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I135" s="4"/>
      <c r="AJ135" s="4"/>
      <c r="AM135" s="4"/>
      <c r="AN135" s="4"/>
      <c r="AQ135" s="4"/>
      <c r="AR135" s="4"/>
      <c r="AU135" s="4"/>
      <c r="AV135" s="4"/>
      <c r="AY135" s="4"/>
      <c r="AZ135" s="4"/>
      <c r="BC135" s="4"/>
      <c r="BD135" s="4"/>
      <c r="BG135" s="4"/>
      <c r="BH135" s="4"/>
    </row>
    <row r="136" spans="3:60">
      <c r="C136" s="4"/>
      <c r="D136" s="4"/>
      <c r="G136" s="4"/>
      <c r="H136" s="4"/>
      <c r="K136" s="4"/>
      <c r="L136" s="4"/>
      <c r="O136" s="4"/>
      <c r="P136" s="4"/>
      <c r="S136" s="4"/>
      <c r="T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I136" s="4"/>
      <c r="AJ136" s="4"/>
      <c r="AM136" s="4"/>
      <c r="AN136" s="4"/>
      <c r="AQ136" s="4"/>
      <c r="AR136" s="4"/>
      <c r="AU136" s="4"/>
      <c r="AV136" s="4"/>
      <c r="AY136" s="4"/>
      <c r="AZ136" s="4"/>
      <c r="BC136" s="4"/>
      <c r="BD136" s="4"/>
      <c r="BG136" s="4"/>
      <c r="BH136" s="4"/>
    </row>
    <row r="137" spans="3:60">
      <c r="C137" s="4"/>
      <c r="D137" s="4"/>
      <c r="G137" s="4"/>
      <c r="H137" s="4"/>
      <c r="K137" s="4"/>
      <c r="L137" s="4"/>
      <c r="O137" s="4"/>
      <c r="P137" s="4"/>
      <c r="S137" s="4"/>
      <c r="T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I137" s="4"/>
      <c r="AJ137" s="4"/>
      <c r="AM137" s="4"/>
      <c r="AN137" s="4"/>
      <c r="AQ137" s="4"/>
      <c r="AR137" s="4"/>
      <c r="AU137" s="4"/>
      <c r="AV137" s="4"/>
      <c r="AY137" s="4"/>
      <c r="AZ137" s="4"/>
      <c r="BC137" s="4"/>
      <c r="BD137" s="4"/>
      <c r="BG137" s="4"/>
      <c r="BH137" s="4"/>
    </row>
    <row r="138" spans="3:60">
      <c r="C138" s="4"/>
      <c r="D138" s="4"/>
      <c r="G138" s="4"/>
      <c r="H138" s="4"/>
      <c r="K138" s="4"/>
      <c r="L138" s="4"/>
      <c r="O138" s="4"/>
      <c r="P138" s="4"/>
      <c r="S138" s="4"/>
      <c r="T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I138" s="4"/>
      <c r="AJ138" s="4"/>
      <c r="AM138" s="4"/>
      <c r="AN138" s="4"/>
      <c r="AQ138" s="4"/>
      <c r="AR138" s="4"/>
      <c r="AU138" s="4"/>
      <c r="AV138" s="4"/>
      <c r="AY138" s="4"/>
      <c r="AZ138" s="4"/>
      <c r="BC138" s="4"/>
      <c r="BD138" s="4"/>
      <c r="BG138" s="4"/>
      <c r="BH138" s="4"/>
    </row>
    <row r="139" spans="3:60">
      <c r="C139" s="4"/>
      <c r="D139" s="4"/>
      <c r="G139" s="4"/>
      <c r="H139" s="4"/>
      <c r="K139" s="4"/>
      <c r="L139" s="4"/>
      <c r="O139" s="4"/>
      <c r="P139" s="4"/>
      <c r="S139" s="4"/>
      <c r="T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I139" s="4"/>
      <c r="AJ139" s="4"/>
      <c r="AM139" s="4"/>
      <c r="AN139" s="4"/>
      <c r="AQ139" s="4"/>
      <c r="AR139" s="4"/>
      <c r="AU139" s="4"/>
      <c r="AV139" s="4"/>
      <c r="AY139" s="4"/>
      <c r="AZ139" s="4"/>
      <c r="BC139" s="4"/>
      <c r="BD139" s="4"/>
      <c r="BG139" s="4"/>
      <c r="BH139" s="4"/>
    </row>
    <row r="140" spans="3:60">
      <c r="C140" s="4"/>
      <c r="D140" s="4"/>
      <c r="G140" s="4"/>
      <c r="H140" s="4"/>
      <c r="K140" s="4"/>
      <c r="L140" s="4"/>
      <c r="O140" s="4"/>
      <c r="P140" s="4"/>
      <c r="S140" s="4"/>
      <c r="T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I140" s="4"/>
      <c r="AJ140" s="4"/>
      <c r="AM140" s="4"/>
      <c r="AN140" s="4"/>
      <c r="AQ140" s="4"/>
      <c r="AR140" s="4"/>
      <c r="AU140" s="4"/>
      <c r="AV140" s="4"/>
      <c r="AY140" s="4"/>
      <c r="AZ140" s="4"/>
      <c r="BC140" s="4"/>
      <c r="BD140" s="4"/>
      <c r="BG140" s="4"/>
      <c r="BH140" s="4"/>
    </row>
    <row r="141" spans="3:60">
      <c r="C141" s="4"/>
      <c r="D141" s="4"/>
      <c r="G141" s="4"/>
      <c r="H141" s="4"/>
      <c r="K141" s="4"/>
      <c r="L141" s="4"/>
      <c r="O141" s="4"/>
      <c r="P141" s="4"/>
      <c r="S141" s="4"/>
      <c r="T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I141" s="4"/>
      <c r="AJ141" s="4"/>
      <c r="AM141" s="4"/>
      <c r="AN141" s="4"/>
      <c r="AQ141" s="4"/>
      <c r="AR141" s="4"/>
      <c r="AU141" s="4"/>
      <c r="AV141" s="4"/>
      <c r="AY141" s="4"/>
      <c r="AZ141" s="4"/>
      <c r="BC141" s="4"/>
      <c r="BD141" s="4"/>
      <c r="BG141" s="4"/>
      <c r="BH141" s="4"/>
    </row>
    <row r="142" spans="3:60">
      <c r="C142" s="4"/>
      <c r="D142" s="4"/>
      <c r="G142" s="4"/>
      <c r="H142" s="4"/>
      <c r="K142" s="4"/>
      <c r="L142" s="4"/>
      <c r="O142" s="4"/>
      <c r="P142" s="4"/>
      <c r="S142" s="4"/>
      <c r="T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I142" s="4"/>
      <c r="AJ142" s="4"/>
      <c r="AM142" s="4"/>
      <c r="AN142" s="4"/>
      <c r="AQ142" s="4"/>
      <c r="AR142" s="4"/>
      <c r="AU142" s="4"/>
      <c r="AV142" s="4"/>
      <c r="AY142" s="4"/>
      <c r="AZ142" s="4"/>
      <c r="BC142" s="4"/>
      <c r="BD142" s="4"/>
      <c r="BG142" s="4"/>
      <c r="BH142" s="4"/>
    </row>
    <row r="143" spans="3:60">
      <c r="C143" s="4"/>
      <c r="D143" s="4"/>
      <c r="G143" s="4"/>
      <c r="H143" s="4"/>
      <c r="K143" s="4"/>
      <c r="L143" s="4"/>
      <c r="O143" s="4"/>
      <c r="P143" s="4"/>
      <c r="S143" s="4"/>
      <c r="T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I143" s="4"/>
      <c r="AJ143" s="4"/>
      <c r="AM143" s="4"/>
      <c r="AN143" s="4"/>
      <c r="AQ143" s="4"/>
      <c r="AR143" s="4"/>
      <c r="AU143" s="4"/>
      <c r="AV143" s="4"/>
      <c r="AY143" s="4"/>
      <c r="AZ143" s="4"/>
      <c r="BC143" s="4"/>
      <c r="BD143" s="4"/>
      <c r="BG143" s="4"/>
      <c r="BH143" s="4"/>
    </row>
    <row r="144" spans="3:60">
      <c r="C144" s="4"/>
      <c r="D144" s="4"/>
      <c r="G144" s="4"/>
      <c r="H144" s="4"/>
      <c r="K144" s="4"/>
      <c r="L144" s="4"/>
      <c r="O144" s="4"/>
      <c r="P144" s="4"/>
      <c r="S144" s="4"/>
      <c r="T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I144" s="4"/>
      <c r="AJ144" s="4"/>
      <c r="AM144" s="4"/>
      <c r="AN144" s="4"/>
      <c r="AQ144" s="4"/>
      <c r="AR144" s="4"/>
      <c r="AU144" s="4"/>
      <c r="AV144" s="4"/>
      <c r="AY144" s="4"/>
      <c r="AZ144" s="4"/>
      <c r="BC144" s="4"/>
      <c r="BD144" s="4"/>
      <c r="BG144" s="4"/>
      <c r="BH144" s="4"/>
    </row>
    <row r="145" spans="3:60">
      <c r="C145" s="4"/>
      <c r="D145" s="4"/>
      <c r="G145" s="4"/>
      <c r="H145" s="4"/>
      <c r="K145" s="4"/>
      <c r="L145" s="4"/>
      <c r="O145" s="4"/>
      <c r="P145" s="4"/>
      <c r="S145" s="4"/>
      <c r="T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I145" s="4"/>
      <c r="AJ145" s="4"/>
      <c r="AM145" s="4"/>
      <c r="AN145" s="4"/>
      <c r="AQ145" s="4"/>
      <c r="AR145" s="4"/>
      <c r="AU145" s="4"/>
      <c r="AV145" s="4"/>
      <c r="AY145" s="4"/>
      <c r="AZ145" s="4"/>
      <c r="BC145" s="4"/>
      <c r="BD145" s="4"/>
      <c r="BG145" s="4"/>
      <c r="BH145" s="4"/>
    </row>
    <row r="146" spans="3:60">
      <c r="C146" s="4"/>
      <c r="D146" s="4"/>
      <c r="G146" s="4"/>
      <c r="H146" s="4"/>
      <c r="K146" s="4"/>
      <c r="L146" s="4"/>
      <c r="O146" s="4"/>
      <c r="P146" s="4"/>
      <c r="S146" s="4"/>
      <c r="T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I146" s="4"/>
      <c r="AJ146" s="4"/>
      <c r="AM146" s="4"/>
      <c r="AN146" s="4"/>
      <c r="AQ146" s="4"/>
      <c r="AR146" s="4"/>
      <c r="AU146" s="4"/>
      <c r="AV146" s="4"/>
      <c r="AY146" s="4"/>
      <c r="AZ146" s="4"/>
      <c r="BC146" s="4"/>
      <c r="BD146" s="4"/>
      <c r="BG146" s="4"/>
      <c r="BH146" s="4"/>
    </row>
    <row r="147" spans="3:60">
      <c r="C147" s="4"/>
      <c r="D147" s="4"/>
      <c r="G147" s="4"/>
      <c r="H147" s="4"/>
      <c r="K147" s="4"/>
      <c r="L147" s="4"/>
      <c r="O147" s="4"/>
      <c r="P147" s="4"/>
      <c r="S147" s="4"/>
      <c r="T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I147" s="4"/>
      <c r="AJ147" s="4"/>
      <c r="AM147" s="4"/>
      <c r="AN147" s="4"/>
      <c r="AQ147" s="4"/>
      <c r="AR147" s="4"/>
      <c r="AU147" s="4"/>
      <c r="AV147" s="4"/>
      <c r="AY147" s="4"/>
      <c r="AZ147" s="4"/>
      <c r="BC147" s="4"/>
      <c r="BD147" s="4"/>
      <c r="BG147" s="4"/>
      <c r="BH147" s="4"/>
    </row>
    <row r="148" spans="3:60">
      <c r="C148" s="4"/>
      <c r="D148" s="4"/>
      <c r="G148" s="4"/>
      <c r="H148" s="4"/>
      <c r="K148" s="4"/>
      <c r="L148" s="4"/>
      <c r="O148" s="4"/>
      <c r="P148" s="4"/>
      <c r="S148" s="4"/>
      <c r="T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I148" s="4"/>
      <c r="AJ148" s="4"/>
      <c r="AM148" s="4"/>
      <c r="AN148" s="4"/>
      <c r="AQ148" s="4"/>
      <c r="AR148" s="4"/>
      <c r="AU148" s="4"/>
      <c r="AV148" s="4"/>
      <c r="AY148" s="4"/>
      <c r="AZ148" s="4"/>
      <c r="BC148" s="4"/>
      <c r="BD148" s="4"/>
      <c r="BG148" s="4"/>
      <c r="BH148" s="4"/>
    </row>
    <row r="149" spans="3:60">
      <c r="C149" s="4"/>
      <c r="D149" s="4"/>
      <c r="G149" s="4"/>
      <c r="H149" s="4"/>
      <c r="K149" s="4"/>
      <c r="L149" s="4"/>
      <c r="O149" s="4"/>
      <c r="P149" s="4"/>
      <c r="S149" s="4"/>
      <c r="T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I149" s="4"/>
      <c r="AJ149" s="4"/>
      <c r="AM149" s="4"/>
      <c r="AN149" s="4"/>
      <c r="AQ149" s="4"/>
      <c r="AR149" s="4"/>
      <c r="AU149" s="4"/>
      <c r="AV149" s="4"/>
      <c r="AY149" s="4"/>
      <c r="AZ149" s="4"/>
      <c r="BC149" s="4"/>
      <c r="BD149" s="4"/>
      <c r="BG149" s="4"/>
      <c r="BH149" s="4"/>
    </row>
    <row r="150" spans="3:60">
      <c r="C150" s="4"/>
      <c r="D150" s="4"/>
      <c r="G150" s="4"/>
      <c r="H150" s="4"/>
      <c r="K150" s="4"/>
      <c r="L150" s="4"/>
      <c r="O150" s="4"/>
      <c r="P150" s="4"/>
      <c r="S150" s="4"/>
      <c r="T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I150" s="4"/>
      <c r="AJ150" s="4"/>
      <c r="AM150" s="4"/>
      <c r="AN150" s="4"/>
      <c r="AQ150" s="4"/>
      <c r="AR150" s="4"/>
      <c r="AU150" s="4"/>
      <c r="AV150" s="4"/>
      <c r="AY150" s="4"/>
      <c r="AZ150" s="4"/>
      <c r="BC150" s="4"/>
      <c r="BD150" s="4"/>
      <c r="BG150" s="4"/>
      <c r="BH150" s="4"/>
    </row>
    <row r="151" spans="3:60">
      <c r="C151" s="4"/>
      <c r="D151" s="4"/>
      <c r="G151" s="4"/>
      <c r="H151" s="4"/>
      <c r="K151" s="4"/>
      <c r="L151" s="4"/>
      <c r="O151" s="4"/>
      <c r="P151" s="4"/>
      <c r="S151" s="4"/>
      <c r="T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I151" s="4"/>
      <c r="AJ151" s="4"/>
      <c r="AM151" s="4"/>
      <c r="AN151" s="4"/>
      <c r="AQ151" s="4"/>
      <c r="AR151" s="4"/>
      <c r="AU151" s="4"/>
      <c r="AV151" s="4"/>
      <c r="AY151" s="4"/>
      <c r="AZ151" s="4"/>
      <c r="BC151" s="4"/>
      <c r="BD151" s="4"/>
      <c r="BG151" s="4"/>
      <c r="BH151" s="4"/>
    </row>
    <row r="152" spans="3:60">
      <c r="C152" s="4"/>
      <c r="D152" s="4"/>
      <c r="G152" s="4"/>
      <c r="H152" s="4"/>
      <c r="K152" s="4"/>
      <c r="L152" s="4"/>
      <c r="O152" s="4"/>
      <c r="P152" s="4"/>
      <c r="S152" s="4"/>
      <c r="T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I152" s="4"/>
      <c r="AJ152" s="4"/>
      <c r="AM152" s="4"/>
      <c r="AN152" s="4"/>
      <c r="AQ152" s="4"/>
      <c r="AR152" s="4"/>
      <c r="AU152" s="4"/>
      <c r="AV152" s="4"/>
      <c r="AY152" s="4"/>
      <c r="AZ152" s="4"/>
      <c r="BC152" s="4"/>
      <c r="BD152" s="4"/>
      <c r="BG152" s="4"/>
      <c r="BH152" s="4"/>
    </row>
    <row r="153" spans="3:60">
      <c r="C153" s="4"/>
      <c r="D153" s="4"/>
      <c r="G153" s="4"/>
      <c r="H153" s="4"/>
      <c r="K153" s="4"/>
      <c r="L153" s="4"/>
      <c r="O153" s="4"/>
      <c r="P153" s="4"/>
      <c r="S153" s="4"/>
      <c r="T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I153" s="4"/>
      <c r="AJ153" s="4"/>
      <c r="AM153" s="4"/>
      <c r="AN153" s="4"/>
      <c r="AQ153" s="4"/>
      <c r="AR153" s="4"/>
      <c r="AU153" s="4"/>
      <c r="AV153" s="4"/>
      <c r="AY153" s="4"/>
      <c r="AZ153" s="4"/>
      <c r="BC153" s="4"/>
      <c r="BD153" s="4"/>
      <c r="BG153" s="4"/>
      <c r="BH153" s="4"/>
    </row>
    <row r="154" spans="3:60">
      <c r="C154" s="4"/>
      <c r="D154" s="4"/>
      <c r="G154" s="4"/>
      <c r="H154" s="4"/>
      <c r="K154" s="4"/>
      <c r="L154" s="4"/>
      <c r="O154" s="4"/>
      <c r="P154" s="4"/>
      <c r="S154" s="4"/>
      <c r="T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I154" s="4"/>
      <c r="AJ154" s="4"/>
      <c r="AM154" s="4"/>
      <c r="AN154" s="4"/>
      <c r="AQ154" s="4"/>
      <c r="AR154" s="4"/>
      <c r="AU154" s="4"/>
      <c r="AV154" s="4"/>
      <c r="AY154" s="4"/>
      <c r="AZ154" s="4"/>
      <c r="BC154" s="4"/>
      <c r="BD154" s="4"/>
      <c r="BG154" s="4"/>
      <c r="BH154" s="4"/>
    </row>
    <row r="155" spans="3:60">
      <c r="C155" s="4"/>
      <c r="D155" s="4"/>
      <c r="G155" s="4"/>
      <c r="H155" s="4"/>
      <c r="K155" s="4"/>
      <c r="L155" s="4"/>
      <c r="O155" s="4"/>
      <c r="P155" s="4"/>
      <c r="S155" s="4"/>
      <c r="T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I155" s="4"/>
      <c r="AJ155" s="4"/>
      <c r="AM155" s="4"/>
      <c r="AN155" s="4"/>
      <c r="AQ155" s="4"/>
      <c r="AR155" s="4"/>
      <c r="AU155" s="4"/>
      <c r="AV155" s="4"/>
      <c r="AY155" s="4"/>
      <c r="AZ155" s="4"/>
      <c r="BC155" s="4"/>
      <c r="BD155" s="4"/>
      <c r="BG155" s="4"/>
      <c r="BH155" s="4"/>
    </row>
    <row r="156" spans="3:60">
      <c r="C156" s="4"/>
      <c r="D156" s="4"/>
      <c r="G156" s="4"/>
      <c r="H156" s="4"/>
      <c r="K156" s="4"/>
      <c r="L156" s="4"/>
      <c r="O156" s="4"/>
      <c r="P156" s="4"/>
      <c r="S156" s="4"/>
      <c r="T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I156" s="4"/>
      <c r="AJ156" s="4"/>
      <c r="AM156" s="4"/>
      <c r="AN156" s="4"/>
      <c r="AQ156" s="4"/>
      <c r="AR156" s="4"/>
      <c r="AU156" s="4"/>
      <c r="AV156" s="4"/>
      <c r="AY156" s="4"/>
      <c r="AZ156" s="4"/>
      <c r="BC156" s="4"/>
      <c r="BD156" s="4"/>
      <c r="BG156" s="4"/>
      <c r="BH156" s="4"/>
    </row>
    <row r="157" spans="3:60">
      <c r="C157" s="4"/>
      <c r="D157" s="4"/>
      <c r="G157" s="4"/>
      <c r="H157" s="4"/>
      <c r="K157" s="4"/>
      <c r="L157" s="4"/>
      <c r="O157" s="4"/>
      <c r="P157" s="4"/>
      <c r="S157" s="4"/>
      <c r="T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I157" s="4"/>
      <c r="AJ157" s="4"/>
      <c r="AM157" s="4"/>
      <c r="AN157" s="4"/>
      <c r="AQ157" s="4"/>
      <c r="AR157" s="4"/>
      <c r="AU157" s="4"/>
      <c r="AV157" s="4"/>
      <c r="AY157" s="4"/>
      <c r="AZ157" s="4"/>
      <c r="BC157" s="4"/>
      <c r="BD157" s="4"/>
      <c r="BG157" s="4"/>
      <c r="BH157" s="4"/>
    </row>
    <row r="158" spans="3:60">
      <c r="C158" s="4"/>
      <c r="D158" s="4"/>
      <c r="G158" s="4"/>
      <c r="H158" s="4"/>
      <c r="K158" s="4"/>
      <c r="L158" s="4"/>
      <c r="O158" s="4"/>
      <c r="P158" s="4"/>
      <c r="S158" s="4"/>
      <c r="T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I158" s="4"/>
      <c r="AJ158" s="4"/>
      <c r="AM158" s="4"/>
      <c r="AN158" s="4"/>
      <c r="AQ158" s="4"/>
      <c r="AR158" s="4"/>
      <c r="AU158" s="4"/>
      <c r="AV158" s="4"/>
      <c r="AY158" s="4"/>
      <c r="AZ158" s="4"/>
      <c r="BC158" s="4"/>
      <c r="BD158" s="4"/>
      <c r="BG158" s="4"/>
      <c r="BH158" s="4"/>
    </row>
    <row r="159" spans="3:60">
      <c r="C159" s="4"/>
      <c r="D159" s="4"/>
      <c r="G159" s="4"/>
      <c r="H159" s="4"/>
      <c r="K159" s="4"/>
      <c r="L159" s="4"/>
      <c r="O159" s="4"/>
      <c r="P159" s="4"/>
      <c r="S159" s="4"/>
      <c r="T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I159" s="4"/>
      <c r="AJ159" s="4"/>
      <c r="AM159" s="4"/>
      <c r="AN159" s="4"/>
      <c r="AQ159" s="4"/>
      <c r="AR159" s="4"/>
      <c r="AU159" s="4"/>
      <c r="AV159" s="4"/>
      <c r="AY159" s="4"/>
      <c r="AZ159" s="4"/>
      <c r="BC159" s="4"/>
      <c r="BD159" s="4"/>
      <c r="BG159" s="4"/>
      <c r="BH159" s="4"/>
    </row>
    <row r="160" spans="3:60">
      <c r="C160" s="4"/>
      <c r="D160" s="4"/>
      <c r="G160" s="4"/>
      <c r="H160" s="4"/>
      <c r="K160" s="4"/>
      <c r="L160" s="4"/>
      <c r="O160" s="4"/>
      <c r="P160" s="4"/>
      <c r="S160" s="4"/>
      <c r="T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I160" s="4"/>
      <c r="AJ160" s="4"/>
      <c r="AM160" s="4"/>
      <c r="AN160" s="4"/>
      <c r="AQ160" s="4"/>
      <c r="AR160" s="4"/>
      <c r="AU160" s="4"/>
      <c r="AV160" s="4"/>
      <c r="AY160" s="4"/>
      <c r="AZ160" s="4"/>
      <c r="BC160" s="4"/>
      <c r="BD160" s="4"/>
      <c r="BG160" s="4"/>
      <c r="BH160" s="4"/>
    </row>
    <row r="161" spans="3:60">
      <c r="C161" s="4"/>
      <c r="D161" s="4"/>
      <c r="G161" s="4"/>
      <c r="H161" s="4"/>
      <c r="K161" s="4"/>
      <c r="L161" s="4"/>
      <c r="O161" s="4"/>
      <c r="P161" s="4"/>
      <c r="S161" s="4"/>
      <c r="T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I161" s="4"/>
      <c r="AJ161" s="4"/>
      <c r="AM161" s="4"/>
      <c r="AN161" s="4"/>
      <c r="AQ161" s="4"/>
      <c r="AR161" s="4"/>
      <c r="AU161" s="4"/>
      <c r="AV161" s="4"/>
      <c r="AY161" s="4"/>
      <c r="AZ161" s="4"/>
      <c r="BC161" s="4"/>
      <c r="BD161" s="4"/>
      <c r="BG161" s="4"/>
      <c r="BH161" s="4"/>
    </row>
    <row r="162" spans="3:60">
      <c r="C162" s="4"/>
      <c r="D162" s="4"/>
      <c r="G162" s="4"/>
      <c r="H162" s="4"/>
      <c r="K162" s="4"/>
      <c r="L162" s="4"/>
      <c r="O162" s="4"/>
      <c r="P162" s="4"/>
      <c r="S162" s="4"/>
      <c r="T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I162" s="4"/>
      <c r="AJ162" s="4"/>
      <c r="AM162" s="4"/>
      <c r="AN162" s="4"/>
      <c r="AQ162" s="4"/>
      <c r="AR162" s="4"/>
      <c r="AU162" s="4"/>
      <c r="AV162" s="4"/>
      <c r="AY162" s="4"/>
      <c r="AZ162" s="4"/>
      <c r="BC162" s="4"/>
      <c r="BD162" s="4"/>
      <c r="BG162" s="4"/>
      <c r="BH162" s="4"/>
    </row>
    <row r="163" spans="3:60">
      <c r="C163" s="4"/>
      <c r="D163" s="4"/>
      <c r="G163" s="4"/>
      <c r="H163" s="4"/>
      <c r="K163" s="4"/>
      <c r="L163" s="4"/>
      <c r="O163" s="4"/>
      <c r="P163" s="4"/>
      <c r="S163" s="4"/>
      <c r="T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I163" s="4"/>
      <c r="AJ163" s="4"/>
      <c r="AM163" s="4"/>
      <c r="AN163" s="4"/>
      <c r="AQ163" s="4"/>
      <c r="AR163" s="4"/>
      <c r="AU163" s="4"/>
      <c r="AV163" s="4"/>
      <c r="AY163" s="4"/>
      <c r="AZ163" s="4"/>
      <c r="BC163" s="4"/>
      <c r="BD163" s="4"/>
      <c r="BG163" s="4"/>
      <c r="BH163" s="4"/>
    </row>
    <row r="164" spans="3:60">
      <c r="C164" s="4"/>
      <c r="D164" s="4"/>
      <c r="G164" s="4"/>
      <c r="H164" s="4"/>
      <c r="K164" s="4"/>
      <c r="L164" s="4"/>
      <c r="O164" s="4"/>
      <c r="P164" s="4"/>
      <c r="S164" s="4"/>
      <c r="T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I164" s="4"/>
      <c r="AJ164" s="4"/>
      <c r="AM164" s="4"/>
      <c r="AN164" s="4"/>
      <c r="AQ164" s="4"/>
      <c r="AR164" s="4"/>
      <c r="AU164" s="4"/>
      <c r="AV164" s="4"/>
      <c r="AY164" s="4"/>
      <c r="AZ164" s="4"/>
      <c r="BC164" s="4"/>
      <c r="BD164" s="4"/>
      <c r="BG164" s="4"/>
      <c r="BH164" s="4"/>
    </row>
    <row r="165" spans="3:60">
      <c r="C165" s="4"/>
      <c r="D165" s="4"/>
      <c r="G165" s="4"/>
      <c r="H165" s="4"/>
      <c r="K165" s="4"/>
      <c r="L165" s="4"/>
      <c r="O165" s="4"/>
      <c r="P165" s="4"/>
      <c r="S165" s="4"/>
      <c r="T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I165" s="4"/>
      <c r="AJ165" s="4"/>
      <c r="AM165" s="4"/>
      <c r="AN165" s="4"/>
      <c r="AQ165" s="4"/>
      <c r="AR165" s="4"/>
      <c r="AU165" s="4"/>
      <c r="AV165" s="4"/>
      <c r="AY165" s="4"/>
      <c r="AZ165" s="4"/>
      <c r="BC165" s="4"/>
      <c r="BD165" s="4"/>
      <c r="BG165" s="4"/>
      <c r="BH165" s="4"/>
    </row>
    <row r="166" spans="3:60">
      <c r="C166" s="4"/>
      <c r="D166" s="4"/>
      <c r="G166" s="4"/>
      <c r="H166" s="4"/>
      <c r="K166" s="4"/>
      <c r="L166" s="4"/>
      <c r="O166" s="4"/>
      <c r="P166" s="4"/>
      <c r="S166" s="4"/>
      <c r="T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I166" s="4"/>
      <c r="AJ166" s="4"/>
      <c r="AM166" s="4"/>
      <c r="AN166" s="4"/>
      <c r="AQ166" s="4"/>
      <c r="AR166" s="4"/>
      <c r="AU166" s="4"/>
      <c r="AV166" s="4"/>
      <c r="AY166" s="4"/>
      <c r="AZ166" s="4"/>
      <c r="BC166" s="4"/>
      <c r="BD166" s="4"/>
      <c r="BG166" s="4"/>
      <c r="BH166" s="4"/>
    </row>
    <row r="167" spans="3:60">
      <c r="C167" s="4"/>
      <c r="D167" s="4"/>
      <c r="G167" s="4"/>
      <c r="H167" s="4"/>
      <c r="K167" s="4"/>
      <c r="L167" s="4"/>
      <c r="O167" s="4"/>
      <c r="P167" s="4"/>
      <c r="S167" s="4"/>
      <c r="T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I167" s="4"/>
      <c r="AJ167" s="4"/>
      <c r="AM167" s="4"/>
      <c r="AN167" s="4"/>
      <c r="AQ167" s="4"/>
      <c r="AR167" s="4"/>
      <c r="AU167" s="4"/>
      <c r="AV167" s="4"/>
      <c r="AY167" s="4"/>
      <c r="AZ167" s="4"/>
      <c r="BC167" s="4"/>
      <c r="BD167" s="4"/>
      <c r="BG167" s="4"/>
      <c r="BH167" s="4"/>
    </row>
    <row r="168" spans="3:60">
      <c r="C168" s="4"/>
      <c r="D168" s="4"/>
      <c r="G168" s="4"/>
      <c r="H168" s="4"/>
      <c r="K168" s="4"/>
      <c r="L168" s="4"/>
      <c r="O168" s="4"/>
      <c r="P168" s="4"/>
      <c r="S168" s="4"/>
      <c r="T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I168" s="4"/>
      <c r="AJ168" s="4"/>
      <c r="AM168" s="4"/>
      <c r="AN168" s="4"/>
      <c r="AQ168" s="4"/>
      <c r="AR168" s="4"/>
      <c r="AU168" s="4"/>
      <c r="AV168" s="4"/>
      <c r="AY168" s="4"/>
      <c r="AZ168" s="4"/>
      <c r="BC168" s="4"/>
      <c r="BD168" s="4"/>
      <c r="BG168" s="4"/>
      <c r="BH168" s="4"/>
    </row>
    <row r="169" spans="3:60">
      <c r="C169" s="4"/>
      <c r="D169" s="4"/>
      <c r="G169" s="4"/>
      <c r="H169" s="4"/>
      <c r="K169" s="4"/>
      <c r="L169" s="4"/>
      <c r="O169" s="4"/>
      <c r="P169" s="4"/>
      <c r="S169" s="4"/>
      <c r="T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I169" s="4"/>
      <c r="AJ169" s="4"/>
      <c r="AM169" s="4"/>
      <c r="AN169" s="4"/>
      <c r="AQ169" s="4"/>
      <c r="AR169" s="4"/>
      <c r="AU169" s="4"/>
      <c r="AV169" s="4"/>
      <c r="AY169" s="4"/>
      <c r="AZ169" s="4"/>
      <c r="BC169" s="4"/>
      <c r="BD169" s="4"/>
      <c r="BG169" s="4"/>
      <c r="BH169" s="4"/>
    </row>
    <row r="170" spans="3:60">
      <c r="C170" s="4"/>
      <c r="D170" s="4"/>
      <c r="G170" s="4"/>
      <c r="H170" s="4"/>
      <c r="K170" s="4"/>
      <c r="L170" s="4"/>
      <c r="O170" s="4"/>
      <c r="P170" s="4"/>
      <c r="S170" s="4"/>
      <c r="T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I170" s="4"/>
      <c r="AJ170" s="4"/>
      <c r="AM170" s="4"/>
      <c r="AN170" s="4"/>
      <c r="AQ170" s="4"/>
      <c r="AR170" s="4"/>
      <c r="AU170" s="4"/>
      <c r="AV170" s="4"/>
      <c r="AY170" s="4"/>
      <c r="AZ170" s="4"/>
      <c r="BC170" s="4"/>
      <c r="BD170" s="4"/>
      <c r="BG170" s="4"/>
      <c r="BH170" s="4"/>
    </row>
    <row r="171" spans="3:60">
      <c r="C171" s="4"/>
      <c r="D171" s="4"/>
      <c r="G171" s="4"/>
      <c r="H171" s="4"/>
      <c r="K171" s="4"/>
      <c r="L171" s="4"/>
      <c r="O171" s="4"/>
      <c r="P171" s="4"/>
      <c r="S171" s="4"/>
      <c r="T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I171" s="4"/>
      <c r="AJ171" s="4"/>
      <c r="AM171" s="4"/>
      <c r="AN171" s="4"/>
      <c r="AQ171" s="4"/>
      <c r="AR171" s="4"/>
      <c r="AU171" s="4"/>
      <c r="AV171" s="4"/>
      <c r="AY171" s="4"/>
      <c r="AZ171" s="4"/>
      <c r="BC171" s="4"/>
      <c r="BD171" s="4"/>
      <c r="BG171" s="4"/>
      <c r="BH171" s="4"/>
    </row>
    <row r="172" spans="3:60">
      <c r="C172" s="4"/>
      <c r="D172" s="4"/>
      <c r="G172" s="4"/>
      <c r="H172" s="4"/>
      <c r="K172" s="4"/>
      <c r="L172" s="4"/>
      <c r="O172" s="4"/>
      <c r="P172" s="4"/>
      <c r="S172" s="4"/>
      <c r="T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I172" s="4"/>
      <c r="AJ172" s="4"/>
      <c r="AM172" s="4"/>
      <c r="AN172" s="4"/>
      <c r="AQ172" s="4"/>
      <c r="AR172" s="4"/>
      <c r="AU172" s="4"/>
      <c r="AV172" s="4"/>
      <c r="AY172" s="4"/>
      <c r="AZ172" s="4"/>
      <c r="BC172" s="4"/>
      <c r="BD172" s="4"/>
      <c r="BG172" s="4"/>
      <c r="BH172" s="4"/>
    </row>
    <row r="173" spans="3:60">
      <c r="C173" s="4"/>
      <c r="D173" s="4"/>
      <c r="G173" s="4"/>
      <c r="H173" s="4"/>
      <c r="K173" s="4"/>
      <c r="L173" s="4"/>
      <c r="O173" s="4"/>
      <c r="P173" s="4"/>
      <c r="S173" s="4"/>
      <c r="T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I173" s="4"/>
      <c r="AJ173" s="4"/>
      <c r="AM173" s="4"/>
      <c r="AN173" s="4"/>
      <c r="AQ173" s="4"/>
      <c r="AR173" s="4"/>
      <c r="AU173" s="4"/>
      <c r="AV173" s="4"/>
      <c r="AY173" s="4"/>
      <c r="AZ173" s="4"/>
      <c r="BC173" s="4"/>
      <c r="BD173" s="4"/>
      <c r="BG173" s="4"/>
      <c r="BH173" s="4"/>
    </row>
    <row r="174" spans="3:60">
      <c r="C174" s="4"/>
      <c r="D174" s="4"/>
      <c r="G174" s="4"/>
      <c r="H174" s="4"/>
      <c r="K174" s="4"/>
      <c r="L174" s="4"/>
      <c r="O174" s="4"/>
      <c r="P174" s="4"/>
      <c r="S174" s="4"/>
      <c r="T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I174" s="4"/>
      <c r="AJ174" s="4"/>
      <c r="AM174" s="4"/>
      <c r="AN174" s="4"/>
      <c r="AQ174" s="4"/>
      <c r="AR174" s="4"/>
      <c r="AU174" s="4"/>
      <c r="AV174" s="4"/>
      <c r="AY174" s="4"/>
      <c r="AZ174" s="4"/>
      <c r="BC174" s="4"/>
      <c r="BD174" s="4"/>
      <c r="BG174" s="4"/>
      <c r="BH174" s="4"/>
    </row>
    <row r="175" spans="3:60">
      <c r="C175" s="4"/>
      <c r="D175" s="4"/>
      <c r="G175" s="4"/>
      <c r="H175" s="4"/>
      <c r="K175" s="4"/>
      <c r="L175" s="4"/>
      <c r="O175" s="4"/>
      <c r="P175" s="4"/>
      <c r="S175" s="4"/>
      <c r="T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I175" s="4"/>
      <c r="AJ175" s="4"/>
      <c r="AM175" s="4"/>
      <c r="AN175" s="4"/>
      <c r="AQ175" s="4"/>
      <c r="AR175" s="4"/>
      <c r="AU175" s="4"/>
      <c r="AV175" s="4"/>
      <c r="AY175" s="4"/>
      <c r="AZ175" s="4"/>
      <c r="BC175" s="4"/>
      <c r="BD175" s="4"/>
      <c r="BG175" s="4"/>
      <c r="BH175" s="4"/>
    </row>
    <row r="176" spans="3:60">
      <c r="C176" s="4"/>
      <c r="D176" s="4"/>
      <c r="G176" s="4"/>
      <c r="H176" s="4"/>
      <c r="K176" s="4"/>
      <c r="L176" s="4"/>
      <c r="O176" s="4"/>
      <c r="P176" s="4"/>
      <c r="S176" s="4"/>
      <c r="T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I176" s="4"/>
      <c r="AJ176" s="4"/>
      <c r="AM176" s="4"/>
      <c r="AN176" s="4"/>
      <c r="AQ176" s="4"/>
      <c r="AR176" s="4"/>
      <c r="AU176" s="4"/>
      <c r="AV176" s="4"/>
      <c r="AY176" s="4"/>
      <c r="AZ176" s="4"/>
      <c r="BC176" s="4"/>
      <c r="BD176" s="4"/>
      <c r="BG176" s="4"/>
      <c r="BH176" s="4"/>
    </row>
    <row r="177" spans="3:60">
      <c r="C177" s="4"/>
      <c r="D177" s="4"/>
      <c r="G177" s="4"/>
      <c r="H177" s="4"/>
      <c r="K177" s="4"/>
      <c r="L177" s="4"/>
      <c r="O177" s="4"/>
      <c r="P177" s="4"/>
      <c r="S177" s="4"/>
      <c r="T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I177" s="4"/>
      <c r="AJ177" s="4"/>
      <c r="AM177" s="4"/>
      <c r="AN177" s="4"/>
      <c r="AQ177" s="4"/>
      <c r="AR177" s="4"/>
      <c r="AU177" s="4"/>
      <c r="AV177" s="4"/>
      <c r="AY177" s="4"/>
      <c r="AZ177" s="4"/>
      <c r="BC177" s="4"/>
      <c r="BD177" s="4"/>
      <c r="BG177" s="4"/>
      <c r="BH177" s="4"/>
    </row>
    <row r="178" spans="3:60">
      <c r="C178" s="4"/>
      <c r="D178" s="4"/>
      <c r="G178" s="4"/>
      <c r="H178" s="4"/>
      <c r="K178" s="4"/>
      <c r="L178" s="4"/>
      <c r="O178" s="4"/>
      <c r="P178" s="4"/>
      <c r="S178" s="4"/>
      <c r="T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I178" s="4"/>
      <c r="AJ178" s="4"/>
      <c r="AM178" s="4"/>
      <c r="AN178" s="4"/>
      <c r="AQ178" s="4"/>
      <c r="AR178" s="4"/>
      <c r="AU178" s="4"/>
      <c r="AV178" s="4"/>
      <c r="AY178" s="4"/>
      <c r="AZ178" s="4"/>
      <c r="BC178" s="4"/>
      <c r="BD178" s="4"/>
      <c r="BG178" s="4"/>
      <c r="BH178" s="4"/>
    </row>
    <row r="179" spans="3:60">
      <c r="C179" s="4"/>
      <c r="D179" s="4"/>
      <c r="G179" s="4"/>
      <c r="H179" s="4"/>
      <c r="K179" s="4"/>
      <c r="L179" s="4"/>
      <c r="O179" s="4"/>
      <c r="P179" s="4"/>
      <c r="S179" s="4"/>
      <c r="T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I179" s="4"/>
      <c r="AJ179" s="4"/>
      <c r="AM179" s="4"/>
      <c r="AN179" s="4"/>
      <c r="AQ179" s="4"/>
      <c r="AR179" s="4"/>
      <c r="AU179" s="4"/>
      <c r="AV179" s="4"/>
      <c r="AY179" s="4"/>
      <c r="AZ179" s="4"/>
      <c r="BC179" s="4"/>
      <c r="BD179" s="4"/>
      <c r="BG179" s="4"/>
      <c r="BH179" s="4"/>
    </row>
    <row r="180" spans="3:60">
      <c r="C180" s="4"/>
      <c r="D180" s="4"/>
      <c r="G180" s="4"/>
      <c r="H180" s="4"/>
      <c r="K180" s="4"/>
      <c r="L180" s="4"/>
      <c r="O180" s="4"/>
      <c r="P180" s="4"/>
      <c r="S180" s="4"/>
      <c r="T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I180" s="4"/>
      <c r="AJ180" s="4"/>
      <c r="AM180" s="4"/>
      <c r="AN180" s="4"/>
      <c r="AQ180" s="4"/>
      <c r="AR180" s="4"/>
      <c r="AU180" s="4"/>
      <c r="AV180" s="4"/>
      <c r="AY180" s="4"/>
      <c r="AZ180" s="4"/>
      <c r="BC180" s="4"/>
      <c r="BD180" s="4"/>
      <c r="BG180" s="4"/>
      <c r="BH180" s="4"/>
    </row>
    <row r="181" spans="3:60">
      <c r="C181" s="4"/>
      <c r="D181" s="4"/>
      <c r="G181" s="4"/>
      <c r="H181" s="4"/>
      <c r="K181" s="4"/>
      <c r="L181" s="4"/>
      <c r="O181" s="4"/>
      <c r="P181" s="4"/>
      <c r="S181" s="4"/>
      <c r="T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I181" s="4"/>
      <c r="AJ181" s="4"/>
      <c r="AM181" s="4"/>
      <c r="AN181" s="4"/>
      <c r="AQ181" s="4"/>
      <c r="AR181" s="4"/>
      <c r="AU181" s="4"/>
      <c r="AV181" s="4"/>
      <c r="AY181" s="4"/>
      <c r="AZ181" s="4"/>
      <c r="BC181" s="4"/>
      <c r="BD181" s="4"/>
      <c r="BG181" s="4"/>
      <c r="BH181" s="4"/>
    </row>
    <row r="182" spans="3:60">
      <c r="C182" s="4"/>
      <c r="D182" s="4"/>
      <c r="G182" s="4"/>
      <c r="H182" s="4"/>
      <c r="K182" s="4"/>
      <c r="L182" s="4"/>
      <c r="O182" s="4"/>
      <c r="P182" s="4"/>
      <c r="S182" s="4"/>
      <c r="T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I182" s="4"/>
      <c r="AJ182" s="4"/>
      <c r="AM182" s="4"/>
      <c r="AN182" s="4"/>
      <c r="AQ182" s="4"/>
      <c r="AR182" s="4"/>
      <c r="AU182" s="4"/>
      <c r="AV182" s="4"/>
      <c r="AY182" s="4"/>
      <c r="AZ182" s="4"/>
      <c r="BC182" s="4"/>
      <c r="BD182" s="4"/>
      <c r="BG182" s="4"/>
      <c r="BH182" s="4"/>
    </row>
    <row r="183" spans="3:60">
      <c r="C183" s="4"/>
      <c r="D183" s="4"/>
      <c r="G183" s="4"/>
      <c r="H183" s="4"/>
      <c r="K183" s="4"/>
      <c r="L183" s="4"/>
      <c r="O183" s="4"/>
      <c r="P183" s="4"/>
      <c r="S183" s="4"/>
      <c r="T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I183" s="4"/>
      <c r="AJ183" s="4"/>
      <c r="AM183" s="4"/>
      <c r="AN183" s="4"/>
      <c r="AQ183" s="4"/>
      <c r="AR183" s="4"/>
      <c r="AU183" s="4"/>
      <c r="AV183" s="4"/>
      <c r="AY183" s="4"/>
      <c r="AZ183" s="4"/>
      <c r="BC183" s="4"/>
      <c r="BD183" s="4"/>
      <c r="BG183" s="4"/>
      <c r="BH183" s="4"/>
    </row>
    <row r="184" spans="3:60">
      <c r="C184" s="4"/>
      <c r="D184" s="4"/>
      <c r="G184" s="4"/>
      <c r="H184" s="4"/>
      <c r="K184" s="4"/>
      <c r="L184" s="4"/>
      <c r="O184" s="4"/>
      <c r="P184" s="4"/>
      <c r="S184" s="4"/>
      <c r="T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I184" s="4"/>
      <c r="AJ184" s="4"/>
      <c r="AM184" s="4"/>
      <c r="AN184" s="4"/>
      <c r="AQ184" s="4"/>
      <c r="AR184" s="4"/>
      <c r="AU184" s="4"/>
      <c r="AV184" s="4"/>
      <c r="AY184" s="4"/>
      <c r="AZ184" s="4"/>
      <c r="BC184" s="4"/>
      <c r="BD184" s="4"/>
      <c r="BG184" s="4"/>
      <c r="BH184" s="4"/>
    </row>
    <row r="185" spans="3:60">
      <c r="C185" s="4"/>
      <c r="D185" s="4"/>
      <c r="G185" s="4"/>
      <c r="H185" s="4"/>
      <c r="K185" s="4"/>
      <c r="L185" s="4"/>
      <c r="O185" s="4"/>
      <c r="P185" s="4"/>
      <c r="S185" s="4"/>
      <c r="T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I185" s="4"/>
      <c r="AJ185" s="4"/>
      <c r="AM185" s="4"/>
      <c r="AN185" s="4"/>
      <c r="AQ185" s="4"/>
      <c r="AR185" s="4"/>
      <c r="AU185" s="4"/>
      <c r="AV185" s="4"/>
      <c r="AY185" s="4"/>
      <c r="AZ185" s="4"/>
      <c r="BC185" s="4"/>
      <c r="BD185" s="4"/>
      <c r="BG185" s="4"/>
      <c r="BH185" s="4"/>
    </row>
    <row r="186" spans="3:60">
      <c r="C186" s="4"/>
      <c r="D186" s="4"/>
      <c r="G186" s="4"/>
      <c r="H186" s="4"/>
      <c r="K186" s="4"/>
      <c r="L186" s="4"/>
      <c r="O186" s="4"/>
      <c r="P186" s="4"/>
      <c r="S186" s="4"/>
      <c r="T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I186" s="4"/>
      <c r="AJ186" s="4"/>
      <c r="AM186" s="4"/>
      <c r="AN186" s="4"/>
      <c r="AQ186" s="4"/>
      <c r="AR186" s="4"/>
      <c r="AU186" s="4"/>
      <c r="AV186" s="4"/>
      <c r="AY186" s="4"/>
      <c r="AZ186" s="4"/>
      <c r="BC186" s="4"/>
      <c r="BD186" s="4"/>
      <c r="BG186" s="4"/>
      <c r="BH186" s="4"/>
    </row>
    <row r="187" spans="3:60">
      <c r="C187" s="4"/>
      <c r="D187" s="4"/>
      <c r="G187" s="4"/>
      <c r="H187" s="4"/>
      <c r="K187" s="4"/>
      <c r="L187" s="4"/>
      <c r="O187" s="4"/>
      <c r="P187" s="4"/>
      <c r="S187" s="4"/>
      <c r="T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I187" s="4"/>
      <c r="AJ187" s="4"/>
      <c r="AM187" s="4"/>
      <c r="AN187" s="4"/>
      <c r="AQ187" s="4"/>
      <c r="AR187" s="4"/>
      <c r="AU187" s="4"/>
      <c r="AV187" s="4"/>
      <c r="AY187" s="4"/>
      <c r="AZ187" s="4"/>
      <c r="BC187" s="4"/>
      <c r="BD187" s="4"/>
      <c r="BG187" s="4"/>
      <c r="BH187" s="4"/>
    </row>
    <row r="188" spans="3:60">
      <c r="C188" s="4"/>
      <c r="D188" s="4"/>
      <c r="G188" s="4"/>
      <c r="H188" s="4"/>
      <c r="K188" s="4"/>
      <c r="L188" s="4"/>
      <c r="O188" s="4"/>
      <c r="P188" s="4"/>
      <c r="S188" s="4"/>
      <c r="T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I188" s="4"/>
      <c r="AJ188" s="4"/>
      <c r="AM188" s="4"/>
      <c r="AN188" s="4"/>
      <c r="AQ188" s="4"/>
      <c r="AR188" s="4"/>
      <c r="AU188" s="4"/>
      <c r="AV188" s="4"/>
      <c r="AY188" s="4"/>
      <c r="AZ188" s="4"/>
      <c r="BC188" s="4"/>
      <c r="BD188" s="4"/>
      <c r="BG188" s="4"/>
      <c r="BH188" s="4"/>
    </row>
    <row r="189" spans="3:60">
      <c r="C189" s="4"/>
      <c r="D189" s="4"/>
      <c r="G189" s="4"/>
      <c r="H189" s="4"/>
      <c r="K189" s="4"/>
      <c r="L189" s="4"/>
      <c r="O189" s="4"/>
      <c r="P189" s="4"/>
      <c r="S189" s="4"/>
      <c r="T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I189" s="4"/>
      <c r="AJ189" s="4"/>
      <c r="AM189" s="4"/>
      <c r="AN189" s="4"/>
      <c r="AQ189" s="4"/>
      <c r="AR189" s="4"/>
      <c r="AU189" s="4"/>
      <c r="AV189" s="4"/>
      <c r="AY189" s="4"/>
      <c r="AZ189" s="4"/>
      <c r="BC189" s="4"/>
      <c r="BD189" s="4"/>
      <c r="BG189" s="4"/>
      <c r="BH189" s="4"/>
    </row>
    <row r="190" spans="3:60">
      <c r="C190" s="4"/>
      <c r="D190" s="4"/>
      <c r="G190" s="4"/>
      <c r="H190" s="4"/>
      <c r="K190" s="4"/>
      <c r="L190" s="4"/>
      <c r="O190" s="4"/>
      <c r="P190" s="4"/>
      <c r="S190" s="4"/>
      <c r="T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I190" s="4"/>
      <c r="AJ190" s="4"/>
      <c r="AM190" s="4"/>
      <c r="AN190" s="4"/>
      <c r="AQ190" s="4"/>
      <c r="AR190" s="4"/>
      <c r="AU190" s="4"/>
      <c r="AV190" s="4"/>
      <c r="AY190" s="4"/>
      <c r="AZ190" s="4"/>
      <c r="BC190" s="4"/>
      <c r="BD190" s="4"/>
      <c r="BG190" s="4"/>
      <c r="BH190" s="4"/>
    </row>
    <row r="191" spans="3:60">
      <c r="C191" s="4"/>
      <c r="D191" s="4"/>
      <c r="G191" s="4"/>
      <c r="H191" s="4"/>
      <c r="K191" s="4"/>
      <c r="L191" s="4"/>
      <c r="O191" s="4"/>
      <c r="P191" s="4"/>
      <c r="S191" s="4"/>
      <c r="T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I191" s="4"/>
      <c r="AJ191" s="4"/>
      <c r="AM191" s="4"/>
      <c r="AN191" s="4"/>
      <c r="AQ191" s="4"/>
      <c r="AR191" s="4"/>
      <c r="AU191" s="4"/>
      <c r="AV191" s="4"/>
      <c r="AY191" s="4"/>
      <c r="AZ191" s="4"/>
      <c r="BC191" s="4"/>
      <c r="BD191" s="4"/>
      <c r="BG191" s="4"/>
      <c r="BH191" s="4"/>
    </row>
    <row r="192" spans="3:60">
      <c r="C192" s="4"/>
      <c r="D192" s="4"/>
      <c r="G192" s="4"/>
      <c r="H192" s="4"/>
      <c r="K192" s="4"/>
      <c r="L192" s="4"/>
      <c r="O192" s="4"/>
      <c r="P192" s="4"/>
      <c r="S192" s="4"/>
      <c r="T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I192" s="4"/>
      <c r="AJ192" s="4"/>
      <c r="AM192" s="4"/>
      <c r="AN192" s="4"/>
      <c r="AQ192" s="4"/>
      <c r="AR192" s="4"/>
      <c r="AU192" s="4"/>
      <c r="AV192" s="4"/>
      <c r="AY192" s="4"/>
      <c r="AZ192" s="4"/>
      <c r="BC192" s="4"/>
      <c r="BD192" s="4"/>
      <c r="BG192" s="4"/>
      <c r="BH192" s="4"/>
    </row>
    <row r="193" spans="3:60">
      <c r="C193" s="4"/>
      <c r="D193" s="4"/>
      <c r="G193" s="4"/>
      <c r="H193" s="4"/>
      <c r="K193" s="4"/>
      <c r="L193" s="4"/>
      <c r="O193" s="4"/>
      <c r="P193" s="4"/>
      <c r="S193" s="4"/>
      <c r="T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I193" s="4"/>
      <c r="AJ193" s="4"/>
      <c r="AM193" s="4"/>
      <c r="AN193" s="4"/>
      <c r="AQ193" s="4"/>
      <c r="AR193" s="4"/>
      <c r="AU193" s="4"/>
      <c r="AV193" s="4"/>
      <c r="AY193" s="4"/>
      <c r="AZ193" s="4"/>
      <c r="BC193" s="4"/>
      <c r="BD193" s="4"/>
      <c r="BG193" s="4"/>
      <c r="BH193" s="4"/>
    </row>
    <row r="194" spans="3:60">
      <c r="C194" s="4"/>
      <c r="D194" s="4"/>
      <c r="G194" s="4"/>
      <c r="H194" s="4"/>
      <c r="K194" s="4"/>
      <c r="L194" s="4"/>
      <c r="O194" s="4"/>
      <c r="P194" s="4"/>
      <c r="S194" s="4"/>
      <c r="T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I194" s="4"/>
      <c r="AJ194" s="4"/>
      <c r="AM194" s="4"/>
      <c r="AN194" s="4"/>
      <c r="AQ194" s="4"/>
      <c r="AR194" s="4"/>
      <c r="AU194" s="4"/>
      <c r="AV194" s="4"/>
      <c r="AY194" s="4"/>
      <c r="AZ194" s="4"/>
      <c r="BC194" s="4"/>
      <c r="BD194" s="4"/>
      <c r="BG194" s="4"/>
      <c r="BH194" s="4"/>
    </row>
    <row r="195" spans="3:60">
      <c r="C195" s="4"/>
      <c r="D195" s="4"/>
      <c r="G195" s="4"/>
      <c r="H195" s="4"/>
      <c r="K195" s="4"/>
      <c r="L195" s="4"/>
      <c r="O195" s="4"/>
      <c r="P195" s="4"/>
      <c r="S195" s="4"/>
      <c r="T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I195" s="4"/>
      <c r="AJ195" s="4"/>
      <c r="AM195" s="4"/>
      <c r="AN195" s="4"/>
      <c r="AQ195" s="4"/>
      <c r="AR195" s="4"/>
      <c r="AU195" s="4"/>
      <c r="AV195" s="4"/>
      <c r="AY195" s="4"/>
      <c r="AZ195" s="4"/>
      <c r="BC195" s="4"/>
      <c r="BD195" s="4"/>
      <c r="BG195" s="4"/>
      <c r="BH195" s="4"/>
    </row>
    <row r="196" spans="3:60">
      <c r="C196" s="4"/>
      <c r="D196" s="4"/>
      <c r="G196" s="4"/>
      <c r="H196" s="4"/>
      <c r="K196" s="4"/>
      <c r="L196" s="4"/>
      <c r="O196" s="4"/>
      <c r="P196" s="4"/>
      <c r="S196" s="4"/>
      <c r="T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I196" s="4"/>
      <c r="AJ196" s="4"/>
      <c r="AM196" s="4"/>
      <c r="AN196" s="4"/>
      <c r="AQ196" s="4"/>
      <c r="AR196" s="4"/>
      <c r="AU196" s="4"/>
      <c r="AV196" s="4"/>
      <c r="AY196" s="4"/>
      <c r="AZ196" s="4"/>
      <c r="BC196" s="4"/>
      <c r="BD196" s="4"/>
      <c r="BG196" s="4"/>
      <c r="BH196" s="4"/>
    </row>
    <row r="197" spans="3:60">
      <c r="C197" s="4"/>
      <c r="D197" s="4"/>
      <c r="G197" s="4"/>
      <c r="H197" s="4"/>
      <c r="K197" s="4"/>
      <c r="L197" s="4"/>
      <c r="O197" s="4"/>
      <c r="P197" s="4"/>
      <c r="S197" s="4"/>
      <c r="T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I197" s="4"/>
      <c r="AJ197" s="4"/>
      <c r="AM197" s="4"/>
      <c r="AN197" s="4"/>
      <c r="AQ197" s="4"/>
      <c r="AR197" s="4"/>
      <c r="AU197" s="4"/>
      <c r="AV197" s="4"/>
      <c r="AY197" s="4"/>
      <c r="AZ197" s="4"/>
      <c r="BC197" s="4"/>
      <c r="BD197" s="4"/>
      <c r="BG197" s="4"/>
      <c r="BH197" s="4"/>
    </row>
    <row r="198" spans="3:60">
      <c r="C198" s="4"/>
      <c r="D198" s="4"/>
      <c r="G198" s="4"/>
      <c r="H198" s="4"/>
      <c r="K198" s="4"/>
      <c r="L198" s="4"/>
      <c r="O198" s="4"/>
      <c r="P198" s="4"/>
      <c r="S198" s="4"/>
      <c r="T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I198" s="4"/>
      <c r="AJ198" s="4"/>
      <c r="AM198" s="4"/>
      <c r="AN198" s="4"/>
      <c r="AQ198" s="4"/>
      <c r="AR198" s="4"/>
      <c r="AU198" s="4"/>
      <c r="AV198" s="4"/>
      <c r="AY198" s="4"/>
      <c r="AZ198" s="4"/>
      <c r="BC198" s="4"/>
      <c r="BD198" s="4"/>
      <c r="BG198" s="4"/>
      <c r="BH198" s="4"/>
    </row>
    <row r="199" spans="3:60">
      <c r="C199" s="4"/>
      <c r="D199" s="4"/>
      <c r="G199" s="4"/>
      <c r="H199" s="4"/>
      <c r="K199" s="4"/>
      <c r="L199" s="4"/>
      <c r="O199" s="4"/>
      <c r="P199" s="4"/>
      <c r="S199" s="4"/>
      <c r="T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I199" s="4"/>
      <c r="AJ199" s="4"/>
      <c r="AM199" s="4"/>
      <c r="AN199" s="4"/>
      <c r="AQ199" s="4"/>
      <c r="AR199" s="4"/>
      <c r="AU199" s="4"/>
      <c r="AV199" s="4"/>
      <c r="AY199" s="4"/>
      <c r="AZ199" s="4"/>
      <c r="BC199" s="4"/>
      <c r="BD199" s="4"/>
      <c r="BG199" s="4"/>
      <c r="BH199" s="4"/>
    </row>
    <row r="200" spans="3:60">
      <c r="C200" s="4"/>
      <c r="D200" s="4"/>
      <c r="G200" s="4"/>
      <c r="H200" s="4"/>
      <c r="K200" s="4"/>
      <c r="L200" s="4"/>
      <c r="O200" s="4"/>
      <c r="P200" s="4"/>
      <c r="S200" s="4"/>
      <c r="T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I200" s="4"/>
      <c r="AJ200" s="4"/>
      <c r="AM200" s="4"/>
      <c r="AN200" s="4"/>
      <c r="AQ200" s="4"/>
      <c r="AR200" s="4"/>
      <c r="AU200" s="4"/>
      <c r="AV200" s="4"/>
      <c r="AY200" s="4"/>
      <c r="AZ200" s="4"/>
      <c r="BC200" s="4"/>
      <c r="BD200" s="4"/>
      <c r="BG200" s="4"/>
      <c r="BH200" s="4"/>
    </row>
    <row r="201" spans="3:60">
      <c r="C201" s="4"/>
      <c r="D201" s="4"/>
      <c r="G201" s="4"/>
      <c r="H201" s="4"/>
      <c r="K201" s="4"/>
      <c r="L201" s="4"/>
      <c r="O201" s="4"/>
      <c r="P201" s="4"/>
      <c r="S201" s="4"/>
      <c r="T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I201" s="4"/>
      <c r="AJ201" s="4"/>
      <c r="AM201" s="4"/>
      <c r="AN201" s="4"/>
      <c r="AQ201" s="4"/>
      <c r="AR201" s="4"/>
      <c r="AU201" s="4"/>
      <c r="AV201" s="4"/>
      <c r="AY201" s="4"/>
      <c r="AZ201" s="4"/>
      <c r="BC201" s="4"/>
      <c r="BD201" s="4"/>
      <c r="BG201" s="4"/>
      <c r="BH201" s="4"/>
    </row>
    <row r="202" spans="3:60">
      <c r="C202" s="4"/>
      <c r="D202" s="4"/>
      <c r="G202" s="4"/>
      <c r="H202" s="4"/>
      <c r="K202" s="4"/>
      <c r="L202" s="4"/>
      <c r="O202" s="4"/>
      <c r="P202" s="4"/>
      <c r="S202" s="4"/>
      <c r="T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I202" s="4"/>
      <c r="AJ202" s="4"/>
      <c r="AM202" s="4"/>
      <c r="AN202" s="4"/>
      <c r="AQ202" s="4"/>
      <c r="AR202" s="4"/>
      <c r="AU202" s="4"/>
      <c r="AV202" s="4"/>
      <c r="AY202" s="4"/>
      <c r="AZ202" s="4"/>
      <c r="BC202" s="4"/>
      <c r="BD202" s="4"/>
      <c r="BG202" s="4"/>
      <c r="BH202" s="4"/>
    </row>
    <row r="203" spans="3:60">
      <c r="C203" s="4"/>
      <c r="D203" s="4"/>
      <c r="G203" s="4"/>
      <c r="H203" s="4"/>
      <c r="K203" s="4"/>
      <c r="L203" s="4"/>
      <c r="O203" s="4"/>
      <c r="P203" s="4"/>
      <c r="S203" s="4"/>
      <c r="T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I203" s="4"/>
      <c r="AJ203" s="4"/>
      <c r="AM203" s="4"/>
      <c r="AN203" s="4"/>
      <c r="AQ203" s="4"/>
      <c r="AR203" s="4"/>
      <c r="AU203" s="4"/>
      <c r="AV203" s="4"/>
      <c r="AY203" s="4"/>
      <c r="AZ203" s="4"/>
      <c r="BC203" s="4"/>
      <c r="BD203" s="4"/>
      <c r="BG203" s="4"/>
      <c r="BH203" s="4"/>
    </row>
    <row r="204" spans="3:60">
      <c r="C204" s="4"/>
      <c r="D204" s="4"/>
      <c r="G204" s="4"/>
      <c r="H204" s="4"/>
      <c r="K204" s="4"/>
      <c r="L204" s="4"/>
      <c r="O204" s="4"/>
      <c r="P204" s="4"/>
      <c r="S204" s="4"/>
      <c r="T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I204" s="4"/>
      <c r="AJ204" s="4"/>
      <c r="AM204" s="4"/>
      <c r="AN204" s="4"/>
      <c r="AQ204" s="4"/>
      <c r="AR204" s="4"/>
      <c r="AU204" s="4"/>
      <c r="AV204" s="4"/>
      <c r="AY204" s="4"/>
      <c r="AZ204" s="4"/>
      <c r="BC204" s="4"/>
      <c r="BD204" s="4"/>
      <c r="BG204" s="4"/>
      <c r="BH204" s="4"/>
    </row>
    <row r="205" spans="3:60">
      <c r="C205" s="4"/>
      <c r="D205" s="4"/>
      <c r="G205" s="4"/>
      <c r="H205" s="4"/>
      <c r="K205" s="4"/>
      <c r="L205" s="4"/>
      <c r="O205" s="4"/>
      <c r="P205" s="4"/>
      <c r="S205" s="4"/>
      <c r="T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I205" s="4"/>
      <c r="AJ205" s="4"/>
      <c r="AM205" s="4"/>
      <c r="AN205" s="4"/>
      <c r="AQ205" s="4"/>
      <c r="AR205" s="4"/>
      <c r="AU205" s="4"/>
      <c r="AV205" s="4"/>
      <c r="AY205" s="4"/>
      <c r="AZ205" s="4"/>
      <c r="BC205" s="4"/>
      <c r="BD205" s="4"/>
      <c r="BG205" s="4"/>
      <c r="BH205" s="4"/>
    </row>
    <row r="206" spans="3:60">
      <c r="C206" s="4"/>
      <c r="D206" s="4"/>
      <c r="G206" s="4"/>
      <c r="H206" s="4"/>
      <c r="K206" s="4"/>
      <c r="L206" s="4"/>
      <c r="O206" s="4"/>
      <c r="P206" s="4"/>
      <c r="S206" s="4"/>
      <c r="T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I206" s="4"/>
      <c r="AJ206" s="4"/>
      <c r="AM206" s="4"/>
      <c r="AN206" s="4"/>
      <c r="AQ206" s="4"/>
      <c r="AR206" s="4"/>
      <c r="AU206" s="4"/>
      <c r="AV206" s="4"/>
      <c r="AY206" s="4"/>
      <c r="AZ206" s="4"/>
      <c r="BC206" s="4"/>
      <c r="BD206" s="4"/>
      <c r="BG206" s="4"/>
      <c r="BH206" s="4"/>
    </row>
    <row r="207" spans="3:60">
      <c r="C207" s="4"/>
      <c r="D207" s="4"/>
      <c r="G207" s="4"/>
      <c r="H207" s="4"/>
      <c r="K207" s="4"/>
      <c r="L207" s="4"/>
      <c r="O207" s="4"/>
      <c r="P207" s="4"/>
      <c r="S207" s="4"/>
      <c r="T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I207" s="4"/>
      <c r="AJ207" s="4"/>
      <c r="AM207" s="4"/>
      <c r="AN207" s="4"/>
      <c r="AQ207" s="4"/>
      <c r="AR207" s="4"/>
      <c r="AU207" s="4"/>
      <c r="AV207" s="4"/>
      <c r="AY207" s="4"/>
      <c r="AZ207" s="4"/>
      <c r="BC207" s="4"/>
      <c r="BD207" s="4"/>
      <c r="BG207" s="4"/>
      <c r="BH207" s="4"/>
    </row>
    <row r="208" spans="3:60">
      <c r="C208" s="4"/>
      <c r="D208" s="4"/>
      <c r="G208" s="4"/>
      <c r="H208" s="4"/>
      <c r="K208" s="4"/>
      <c r="L208" s="4"/>
      <c r="O208" s="4"/>
      <c r="P208" s="4"/>
      <c r="S208" s="4"/>
      <c r="T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I208" s="4"/>
      <c r="AJ208" s="4"/>
      <c r="AM208" s="4"/>
      <c r="AN208" s="4"/>
      <c r="AQ208" s="4"/>
      <c r="AR208" s="4"/>
      <c r="AU208" s="4"/>
      <c r="AV208" s="4"/>
      <c r="AY208" s="4"/>
      <c r="AZ208" s="4"/>
      <c r="BC208" s="4"/>
      <c r="BD208" s="4"/>
      <c r="BG208" s="4"/>
      <c r="BH208" s="4"/>
    </row>
    <row r="209" spans="3:60">
      <c r="C209" s="4"/>
      <c r="D209" s="4"/>
      <c r="G209" s="4"/>
      <c r="H209" s="4"/>
      <c r="K209" s="4"/>
      <c r="L209" s="4"/>
      <c r="O209" s="4"/>
      <c r="P209" s="4"/>
      <c r="S209" s="4"/>
      <c r="T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I209" s="4"/>
      <c r="AJ209" s="4"/>
      <c r="AM209" s="4"/>
      <c r="AN209" s="4"/>
      <c r="AQ209" s="4"/>
      <c r="AR209" s="4"/>
      <c r="AU209" s="4"/>
      <c r="AV209" s="4"/>
      <c r="AY209" s="4"/>
      <c r="AZ209" s="4"/>
      <c r="BC209" s="4"/>
      <c r="BD209" s="4"/>
      <c r="BG209" s="4"/>
      <c r="BH209" s="4"/>
    </row>
    <row r="210" spans="3:60">
      <c r="C210" s="4"/>
      <c r="D210" s="4"/>
      <c r="G210" s="4"/>
      <c r="H210" s="4"/>
      <c r="K210" s="4"/>
      <c r="L210" s="4"/>
      <c r="O210" s="4"/>
      <c r="P210" s="4"/>
      <c r="S210" s="4"/>
      <c r="T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I210" s="4"/>
      <c r="AJ210" s="4"/>
      <c r="AM210" s="4"/>
      <c r="AN210" s="4"/>
      <c r="AQ210" s="4"/>
      <c r="AR210" s="4"/>
      <c r="AU210" s="4"/>
      <c r="AV210" s="4"/>
      <c r="AY210" s="4"/>
      <c r="AZ210" s="4"/>
      <c r="BC210" s="4"/>
      <c r="BD210" s="4"/>
      <c r="BG210" s="4"/>
      <c r="BH210" s="4"/>
    </row>
    <row r="211" spans="3:60">
      <c r="C211" s="4"/>
      <c r="D211" s="4"/>
      <c r="G211" s="4"/>
      <c r="H211" s="4"/>
      <c r="K211" s="4"/>
      <c r="L211" s="4"/>
      <c r="O211" s="4"/>
      <c r="P211" s="4"/>
      <c r="S211" s="4"/>
      <c r="T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I211" s="4"/>
      <c r="AJ211" s="4"/>
      <c r="AM211" s="4"/>
      <c r="AN211" s="4"/>
      <c r="AQ211" s="4"/>
      <c r="AR211" s="4"/>
      <c r="AU211" s="4"/>
      <c r="AV211" s="4"/>
      <c r="AY211" s="4"/>
      <c r="AZ211" s="4"/>
      <c r="BC211" s="4"/>
      <c r="BD211" s="4"/>
      <c r="BG211" s="4"/>
      <c r="BH211" s="4"/>
    </row>
    <row r="212" spans="3:60">
      <c r="C212" s="4"/>
      <c r="D212" s="4"/>
      <c r="G212" s="4"/>
      <c r="H212" s="4"/>
      <c r="K212" s="4"/>
      <c r="L212" s="4"/>
      <c r="O212" s="4"/>
      <c r="P212" s="4"/>
      <c r="S212" s="4"/>
      <c r="T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I212" s="4"/>
      <c r="AJ212" s="4"/>
      <c r="AM212" s="4"/>
      <c r="AN212" s="4"/>
      <c r="AQ212" s="4"/>
      <c r="AR212" s="4"/>
      <c r="AU212" s="4"/>
      <c r="AV212" s="4"/>
      <c r="AY212" s="4"/>
      <c r="AZ212" s="4"/>
      <c r="BC212" s="4"/>
      <c r="BD212" s="4"/>
      <c r="BG212" s="4"/>
      <c r="BH212" s="4"/>
    </row>
    <row r="213" spans="3:60">
      <c r="C213" s="4"/>
      <c r="D213" s="4"/>
      <c r="G213" s="4"/>
      <c r="H213" s="4"/>
      <c r="K213" s="4"/>
      <c r="L213" s="4"/>
      <c r="O213" s="4"/>
      <c r="P213" s="4"/>
      <c r="S213" s="4"/>
      <c r="T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I213" s="4"/>
      <c r="AJ213" s="4"/>
      <c r="AM213" s="4"/>
      <c r="AN213" s="4"/>
      <c r="AQ213" s="4"/>
      <c r="AR213" s="4"/>
      <c r="AU213" s="4"/>
      <c r="AV213" s="4"/>
      <c r="AY213" s="4"/>
      <c r="AZ213" s="4"/>
      <c r="BC213" s="4"/>
      <c r="BD213" s="4"/>
      <c r="BG213" s="4"/>
      <c r="BH213" s="4"/>
    </row>
    <row r="214" spans="3:60">
      <c r="C214" s="4"/>
      <c r="D214" s="4"/>
      <c r="G214" s="4"/>
      <c r="H214" s="4"/>
      <c r="K214" s="4"/>
      <c r="L214" s="4"/>
      <c r="O214" s="4"/>
      <c r="P214" s="4"/>
      <c r="S214" s="4"/>
      <c r="T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I214" s="4"/>
      <c r="AJ214" s="4"/>
      <c r="AM214" s="4"/>
      <c r="AN214" s="4"/>
      <c r="AQ214" s="4"/>
      <c r="AR214" s="4"/>
      <c r="AU214" s="4"/>
      <c r="AV214" s="4"/>
      <c r="AY214" s="4"/>
      <c r="AZ214" s="4"/>
      <c r="BC214" s="4"/>
      <c r="BD214" s="4"/>
      <c r="BG214" s="4"/>
      <c r="BH214" s="4"/>
    </row>
    <row r="215" spans="3:60">
      <c r="C215" s="4"/>
      <c r="D215" s="4"/>
      <c r="G215" s="4"/>
      <c r="H215" s="4"/>
      <c r="K215" s="4"/>
      <c r="L215" s="4"/>
      <c r="O215" s="4"/>
      <c r="P215" s="4"/>
      <c r="S215" s="4"/>
      <c r="T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I215" s="4"/>
      <c r="AJ215" s="4"/>
      <c r="AM215" s="4"/>
      <c r="AN215" s="4"/>
      <c r="AQ215" s="4"/>
      <c r="AR215" s="4"/>
      <c r="AU215" s="4"/>
      <c r="AV215" s="4"/>
      <c r="AY215" s="4"/>
      <c r="AZ215" s="4"/>
      <c r="BC215" s="4"/>
      <c r="BD215" s="4"/>
      <c r="BG215" s="4"/>
      <c r="BH215" s="4"/>
    </row>
    <row r="216" spans="3:60">
      <c r="C216" s="4"/>
      <c r="D216" s="4"/>
      <c r="G216" s="4"/>
      <c r="H216" s="4"/>
      <c r="K216" s="4"/>
      <c r="L216" s="4"/>
      <c r="O216" s="4"/>
      <c r="P216" s="4"/>
      <c r="S216" s="4"/>
      <c r="T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I216" s="4"/>
      <c r="AJ216" s="4"/>
      <c r="AM216" s="4"/>
      <c r="AN216" s="4"/>
      <c r="AQ216" s="4"/>
      <c r="AR216" s="4"/>
      <c r="AU216" s="4"/>
      <c r="AV216" s="4"/>
      <c r="AY216" s="4"/>
      <c r="AZ216" s="4"/>
      <c r="BC216" s="4"/>
      <c r="BD216" s="4"/>
      <c r="BG216" s="4"/>
      <c r="BH216" s="4"/>
    </row>
    <row r="217" spans="3:60">
      <c r="C217" s="4"/>
      <c r="D217" s="4"/>
      <c r="G217" s="4"/>
      <c r="H217" s="4"/>
      <c r="K217" s="4"/>
      <c r="L217" s="4"/>
      <c r="O217" s="4"/>
      <c r="P217" s="4"/>
      <c r="S217" s="4"/>
      <c r="T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I217" s="4"/>
      <c r="AJ217" s="4"/>
      <c r="AM217" s="4"/>
      <c r="AN217" s="4"/>
      <c r="AQ217" s="4"/>
      <c r="AR217" s="4"/>
      <c r="AU217" s="4"/>
      <c r="AV217" s="4"/>
      <c r="AY217" s="4"/>
      <c r="AZ217" s="4"/>
      <c r="BC217" s="4"/>
      <c r="BD217" s="4"/>
      <c r="BG217" s="4"/>
      <c r="BH217" s="4"/>
    </row>
    <row r="218" spans="3:60">
      <c r="C218" s="4"/>
      <c r="D218" s="4"/>
      <c r="G218" s="4"/>
      <c r="H218" s="4"/>
      <c r="K218" s="4"/>
      <c r="L218" s="4"/>
      <c r="O218" s="4"/>
      <c r="P218" s="4"/>
      <c r="S218" s="4"/>
      <c r="T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I218" s="4"/>
      <c r="AJ218" s="4"/>
      <c r="AM218" s="4"/>
      <c r="AN218" s="4"/>
      <c r="AQ218" s="4"/>
      <c r="AR218" s="4"/>
      <c r="AU218" s="4"/>
      <c r="AV218" s="4"/>
      <c r="AY218" s="4"/>
      <c r="AZ218" s="4"/>
      <c r="BC218" s="4"/>
      <c r="BD218" s="4"/>
      <c r="BG218" s="4"/>
      <c r="BH218" s="4"/>
    </row>
    <row r="219" spans="3:60">
      <c r="C219" s="4"/>
      <c r="D219" s="4"/>
      <c r="G219" s="4"/>
      <c r="H219" s="4"/>
      <c r="K219" s="4"/>
      <c r="L219" s="4"/>
      <c r="O219" s="4"/>
      <c r="P219" s="4"/>
      <c r="S219" s="4"/>
      <c r="T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I219" s="4"/>
      <c r="AJ219" s="4"/>
      <c r="AM219" s="4"/>
      <c r="AN219" s="4"/>
      <c r="AQ219" s="4"/>
      <c r="AR219" s="4"/>
      <c r="AU219" s="4"/>
      <c r="AV219" s="4"/>
      <c r="AY219" s="4"/>
      <c r="AZ219" s="4"/>
      <c r="BC219" s="4"/>
      <c r="BD219" s="4"/>
      <c r="BG219" s="4"/>
      <c r="BH219" s="4"/>
    </row>
    <row r="220" spans="3:60">
      <c r="C220" s="4"/>
      <c r="D220" s="4"/>
      <c r="G220" s="4"/>
      <c r="H220" s="4"/>
      <c r="K220" s="4"/>
      <c r="L220" s="4"/>
      <c r="O220" s="4"/>
      <c r="P220" s="4"/>
      <c r="S220" s="4"/>
      <c r="T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I220" s="4"/>
      <c r="AJ220" s="4"/>
      <c r="AM220" s="4"/>
      <c r="AN220" s="4"/>
      <c r="AQ220" s="4"/>
      <c r="AR220" s="4"/>
      <c r="AU220" s="4"/>
      <c r="AV220" s="4"/>
      <c r="AY220" s="4"/>
      <c r="AZ220" s="4"/>
      <c r="BC220" s="4"/>
      <c r="BD220" s="4"/>
      <c r="BG220" s="4"/>
      <c r="BH220" s="4"/>
    </row>
    <row r="221" spans="3:60">
      <c r="C221" s="4"/>
      <c r="D221" s="4"/>
      <c r="G221" s="4"/>
      <c r="H221" s="4"/>
      <c r="K221" s="4"/>
      <c r="L221" s="4"/>
      <c r="O221" s="4"/>
      <c r="P221" s="4"/>
      <c r="S221" s="4"/>
      <c r="T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I221" s="4"/>
      <c r="AJ221" s="4"/>
      <c r="AM221" s="4"/>
      <c r="AN221" s="4"/>
      <c r="AQ221" s="4"/>
      <c r="AR221" s="4"/>
      <c r="AU221" s="4"/>
      <c r="AV221" s="4"/>
      <c r="AY221" s="4"/>
      <c r="AZ221" s="4"/>
      <c r="BC221" s="4"/>
      <c r="BD221" s="4"/>
      <c r="BG221" s="4"/>
      <c r="BH221" s="4"/>
    </row>
    <row r="222" spans="3:60">
      <c r="C222" s="4"/>
      <c r="D222" s="4"/>
      <c r="G222" s="4"/>
      <c r="H222" s="4"/>
      <c r="K222" s="4"/>
      <c r="L222" s="4"/>
      <c r="O222" s="4"/>
      <c r="P222" s="4"/>
      <c r="S222" s="4"/>
      <c r="T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I222" s="4"/>
      <c r="AJ222" s="4"/>
      <c r="AM222" s="4"/>
      <c r="AN222" s="4"/>
      <c r="AQ222" s="4"/>
      <c r="AR222" s="4"/>
      <c r="AU222" s="4"/>
      <c r="AV222" s="4"/>
      <c r="AY222" s="4"/>
      <c r="AZ222" s="4"/>
      <c r="BC222" s="4"/>
      <c r="BD222" s="4"/>
      <c r="BG222" s="4"/>
      <c r="BH222" s="4"/>
    </row>
    <row r="223" spans="3:60">
      <c r="C223" s="4"/>
      <c r="D223" s="4"/>
      <c r="G223" s="4"/>
      <c r="H223" s="4"/>
      <c r="K223" s="4"/>
      <c r="L223" s="4"/>
      <c r="O223" s="4"/>
      <c r="P223" s="4"/>
      <c r="S223" s="4"/>
      <c r="T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I223" s="4"/>
      <c r="AJ223" s="4"/>
      <c r="AM223" s="4"/>
      <c r="AN223" s="4"/>
      <c r="AQ223" s="4"/>
      <c r="AR223" s="4"/>
      <c r="AU223" s="4"/>
      <c r="AV223" s="4"/>
      <c r="AY223" s="4"/>
      <c r="AZ223" s="4"/>
      <c r="BC223" s="4"/>
      <c r="BD223" s="4"/>
      <c r="BG223" s="4"/>
      <c r="BH223" s="4"/>
    </row>
    <row r="224" spans="3:60">
      <c r="C224" s="4"/>
      <c r="D224" s="4"/>
      <c r="G224" s="4"/>
      <c r="H224" s="4"/>
      <c r="K224" s="4"/>
      <c r="L224" s="4"/>
      <c r="O224" s="4"/>
      <c r="P224" s="4"/>
      <c r="S224" s="4"/>
      <c r="T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I224" s="4"/>
      <c r="AJ224" s="4"/>
      <c r="AM224" s="4"/>
      <c r="AN224" s="4"/>
      <c r="AQ224" s="4"/>
      <c r="AR224" s="4"/>
      <c r="AU224" s="4"/>
      <c r="AV224" s="4"/>
      <c r="AY224" s="4"/>
      <c r="AZ224" s="4"/>
      <c r="BC224" s="4"/>
      <c r="BD224" s="4"/>
      <c r="BG224" s="4"/>
      <c r="BH224" s="4"/>
    </row>
    <row r="225" spans="3:60">
      <c r="C225" s="4"/>
      <c r="D225" s="4"/>
      <c r="G225" s="4"/>
      <c r="H225" s="4"/>
      <c r="K225" s="4"/>
      <c r="L225" s="4"/>
      <c r="O225" s="4"/>
      <c r="P225" s="4"/>
      <c r="S225" s="4"/>
      <c r="T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I225" s="4"/>
      <c r="AJ225" s="4"/>
      <c r="AM225" s="4"/>
      <c r="AN225" s="4"/>
      <c r="AQ225" s="4"/>
      <c r="AR225" s="4"/>
      <c r="AU225" s="4"/>
      <c r="AV225" s="4"/>
      <c r="AY225" s="4"/>
      <c r="AZ225" s="4"/>
      <c r="BC225" s="4"/>
      <c r="BD225" s="4"/>
      <c r="BG225" s="4"/>
      <c r="BH225" s="4"/>
    </row>
    <row r="226" spans="3:60">
      <c r="C226" s="4"/>
      <c r="D226" s="4"/>
      <c r="G226" s="4"/>
      <c r="H226" s="4"/>
      <c r="K226" s="4"/>
      <c r="L226" s="4"/>
      <c r="O226" s="4"/>
      <c r="P226" s="4"/>
      <c r="S226" s="4"/>
      <c r="T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I226" s="4"/>
      <c r="AJ226" s="4"/>
      <c r="AM226" s="4"/>
      <c r="AN226" s="4"/>
      <c r="AQ226" s="4"/>
      <c r="AR226" s="4"/>
      <c r="AU226" s="4"/>
      <c r="AV226" s="4"/>
      <c r="AY226" s="4"/>
      <c r="AZ226" s="4"/>
      <c r="BC226" s="4"/>
      <c r="BD226" s="4"/>
      <c r="BG226" s="4"/>
      <c r="BH226" s="4"/>
    </row>
    <row r="227" spans="3:60">
      <c r="C227" s="4"/>
      <c r="D227" s="4"/>
      <c r="G227" s="4"/>
      <c r="H227" s="4"/>
      <c r="K227" s="4"/>
      <c r="L227" s="4"/>
      <c r="O227" s="4"/>
      <c r="P227" s="4"/>
      <c r="S227" s="4"/>
      <c r="T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I227" s="4"/>
      <c r="AJ227" s="4"/>
      <c r="AM227" s="4"/>
      <c r="AN227" s="4"/>
      <c r="AQ227" s="4"/>
      <c r="AR227" s="4"/>
      <c r="AU227" s="4"/>
      <c r="AV227" s="4"/>
      <c r="AY227" s="4"/>
      <c r="AZ227" s="4"/>
      <c r="BC227" s="4"/>
      <c r="BD227" s="4"/>
      <c r="BG227" s="4"/>
      <c r="BH227" s="4"/>
    </row>
    <row r="228" spans="3:60">
      <c r="C228" s="4"/>
      <c r="D228" s="4"/>
      <c r="G228" s="4"/>
      <c r="H228" s="4"/>
      <c r="K228" s="4"/>
      <c r="L228" s="4"/>
      <c r="O228" s="4"/>
      <c r="P228" s="4"/>
      <c r="S228" s="4"/>
      <c r="T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I228" s="4"/>
      <c r="AJ228" s="4"/>
      <c r="AM228" s="4"/>
      <c r="AN228" s="4"/>
      <c r="AQ228" s="4"/>
      <c r="AR228" s="4"/>
      <c r="AU228" s="4"/>
      <c r="AV228" s="4"/>
      <c r="AY228" s="4"/>
      <c r="AZ228" s="4"/>
      <c r="BC228" s="4"/>
      <c r="BD228" s="4"/>
      <c r="BG228" s="4"/>
      <c r="BH228" s="4"/>
    </row>
    <row r="229" spans="3:60">
      <c r="C229" s="4"/>
      <c r="D229" s="4"/>
      <c r="G229" s="4"/>
      <c r="H229" s="4"/>
      <c r="K229" s="4"/>
      <c r="L229" s="4"/>
      <c r="O229" s="4"/>
      <c r="P229" s="4"/>
      <c r="S229" s="4"/>
      <c r="T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I229" s="4"/>
      <c r="AJ229" s="4"/>
      <c r="AM229" s="4"/>
      <c r="AN229" s="4"/>
      <c r="AQ229" s="4"/>
      <c r="AR229" s="4"/>
      <c r="AU229" s="4"/>
      <c r="AV229" s="4"/>
      <c r="AY229" s="4"/>
      <c r="AZ229" s="4"/>
      <c r="BC229" s="4"/>
      <c r="BD229" s="4"/>
      <c r="BG229" s="4"/>
      <c r="BH229" s="4"/>
    </row>
    <row r="230" spans="3:60">
      <c r="C230" s="4"/>
      <c r="D230" s="4"/>
      <c r="G230" s="4"/>
      <c r="H230" s="4"/>
      <c r="K230" s="4"/>
      <c r="L230" s="4"/>
      <c r="O230" s="4"/>
      <c r="P230" s="4"/>
      <c r="S230" s="4"/>
      <c r="T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I230" s="4"/>
      <c r="AJ230" s="4"/>
      <c r="AM230" s="4"/>
      <c r="AN230" s="4"/>
      <c r="AQ230" s="4"/>
      <c r="AR230" s="4"/>
      <c r="AU230" s="4"/>
      <c r="AV230" s="4"/>
      <c r="AY230" s="4"/>
      <c r="AZ230" s="4"/>
      <c r="BC230" s="4"/>
      <c r="BD230" s="4"/>
      <c r="BG230" s="4"/>
      <c r="BH230" s="4"/>
    </row>
    <row r="231" spans="3:60">
      <c r="C231" s="4"/>
      <c r="D231" s="4"/>
      <c r="G231" s="4"/>
      <c r="H231" s="4"/>
      <c r="K231" s="4"/>
      <c r="L231" s="4"/>
      <c r="O231" s="4"/>
      <c r="P231" s="4"/>
      <c r="S231" s="4"/>
      <c r="T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I231" s="4"/>
      <c r="AJ231" s="4"/>
      <c r="AM231" s="4"/>
      <c r="AN231" s="4"/>
      <c r="AQ231" s="4"/>
      <c r="AR231" s="4"/>
      <c r="AU231" s="4"/>
      <c r="AV231" s="4"/>
      <c r="AY231" s="4"/>
      <c r="AZ231" s="4"/>
      <c r="BC231" s="4"/>
      <c r="BD231" s="4"/>
      <c r="BG231" s="4"/>
      <c r="BH231" s="4"/>
    </row>
    <row r="232" spans="3:60">
      <c r="C232" s="4"/>
      <c r="D232" s="4"/>
      <c r="G232" s="4"/>
      <c r="H232" s="4"/>
      <c r="K232" s="4"/>
      <c r="L232" s="4"/>
      <c r="O232" s="4"/>
      <c r="P232" s="4"/>
      <c r="S232" s="4"/>
      <c r="T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I232" s="4"/>
      <c r="AJ232" s="4"/>
      <c r="AM232" s="4"/>
      <c r="AN232" s="4"/>
      <c r="AQ232" s="4"/>
      <c r="AR232" s="4"/>
      <c r="AU232" s="4"/>
      <c r="AV232" s="4"/>
      <c r="AY232" s="4"/>
      <c r="AZ232" s="4"/>
      <c r="BC232" s="4"/>
      <c r="BD232" s="4"/>
      <c r="BG232" s="4"/>
      <c r="BH232" s="4"/>
    </row>
    <row r="233" spans="3:60">
      <c r="C233" s="4"/>
      <c r="D233" s="4"/>
      <c r="G233" s="4"/>
      <c r="H233" s="4"/>
      <c r="K233" s="4"/>
      <c r="L233" s="4"/>
      <c r="O233" s="4"/>
      <c r="P233" s="4"/>
      <c r="S233" s="4"/>
      <c r="T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I233" s="4"/>
      <c r="AJ233" s="4"/>
      <c r="AM233" s="4"/>
      <c r="AN233" s="4"/>
      <c r="AQ233" s="4"/>
      <c r="AR233" s="4"/>
      <c r="AU233" s="4"/>
      <c r="AV233" s="4"/>
      <c r="AY233" s="4"/>
      <c r="AZ233" s="4"/>
      <c r="BC233" s="4"/>
      <c r="BD233" s="4"/>
      <c r="BG233" s="4"/>
      <c r="BH233" s="4"/>
    </row>
    <row r="234" spans="3:60">
      <c r="C234" s="4"/>
      <c r="D234" s="4"/>
      <c r="G234" s="4"/>
      <c r="H234" s="4"/>
      <c r="K234" s="4"/>
      <c r="L234" s="4"/>
      <c r="O234" s="4"/>
      <c r="P234" s="4"/>
      <c r="S234" s="4"/>
      <c r="T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I234" s="4"/>
      <c r="AJ234" s="4"/>
      <c r="AM234" s="4"/>
      <c r="AN234" s="4"/>
      <c r="AQ234" s="4"/>
      <c r="AR234" s="4"/>
      <c r="AU234" s="4"/>
      <c r="AV234" s="4"/>
      <c r="AY234" s="4"/>
      <c r="AZ234" s="4"/>
      <c r="BC234" s="4"/>
      <c r="BD234" s="4"/>
      <c r="BG234" s="4"/>
      <c r="BH234" s="4"/>
    </row>
    <row r="235" spans="3:60">
      <c r="C235" s="4"/>
      <c r="D235" s="4"/>
      <c r="G235" s="4"/>
      <c r="H235" s="4"/>
      <c r="K235" s="4"/>
      <c r="L235" s="4"/>
      <c r="O235" s="4"/>
      <c r="P235" s="4"/>
      <c r="S235" s="4"/>
      <c r="T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I235" s="4"/>
      <c r="AJ235" s="4"/>
      <c r="AM235" s="4"/>
      <c r="AN235" s="4"/>
      <c r="AQ235" s="4"/>
      <c r="AR235" s="4"/>
      <c r="AU235" s="4"/>
      <c r="AV235" s="4"/>
      <c r="AY235" s="4"/>
      <c r="AZ235" s="4"/>
      <c r="BC235" s="4"/>
      <c r="BD235" s="4"/>
      <c r="BG235" s="4"/>
      <c r="BH235" s="4"/>
    </row>
    <row r="236" spans="3:60">
      <c r="C236" s="4"/>
      <c r="D236" s="4"/>
      <c r="G236" s="4"/>
      <c r="H236" s="4"/>
      <c r="K236" s="4"/>
      <c r="L236" s="4"/>
      <c r="O236" s="4"/>
      <c r="P236" s="4"/>
      <c r="S236" s="4"/>
      <c r="T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I236" s="4"/>
      <c r="AJ236" s="4"/>
      <c r="AM236" s="4"/>
      <c r="AN236" s="4"/>
      <c r="AQ236" s="4"/>
      <c r="AR236" s="4"/>
      <c r="AU236" s="4"/>
      <c r="AV236" s="4"/>
      <c r="AY236" s="4"/>
      <c r="AZ236" s="4"/>
      <c r="BC236" s="4"/>
      <c r="BD236" s="4"/>
      <c r="BG236" s="4"/>
      <c r="BH236" s="4"/>
    </row>
    <row r="237" spans="3:60">
      <c r="C237" s="4"/>
      <c r="D237" s="4"/>
      <c r="G237" s="4"/>
      <c r="H237" s="4"/>
      <c r="K237" s="4"/>
      <c r="L237" s="4"/>
      <c r="O237" s="4"/>
      <c r="P237" s="4"/>
      <c r="S237" s="4"/>
      <c r="T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I237" s="4"/>
      <c r="AJ237" s="4"/>
      <c r="AM237" s="4"/>
      <c r="AN237" s="4"/>
      <c r="AQ237" s="4"/>
      <c r="AR237" s="4"/>
      <c r="AU237" s="4"/>
      <c r="AV237" s="4"/>
      <c r="AY237" s="4"/>
      <c r="AZ237" s="4"/>
      <c r="BC237" s="4"/>
      <c r="BD237" s="4"/>
      <c r="BG237" s="4"/>
      <c r="BH237" s="4"/>
    </row>
    <row r="238" spans="3:60">
      <c r="C238" s="4"/>
      <c r="D238" s="4"/>
      <c r="G238" s="4"/>
      <c r="H238" s="4"/>
      <c r="K238" s="4"/>
      <c r="L238" s="4"/>
      <c r="O238" s="4"/>
      <c r="P238" s="4"/>
      <c r="S238" s="4"/>
      <c r="T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I238" s="4"/>
      <c r="AJ238" s="4"/>
      <c r="AM238" s="4"/>
      <c r="AN238" s="4"/>
      <c r="AQ238" s="4"/>
      <c r="AR238" s="4"/>
      <c r="AU238" s="4"/>
      <c r="AV238" s="4"/>
      <c r="AY238" s="4"/>
      <c r="AZ238" s="4"/>
      <c r="BC238" s="4"/>
      <c r="BD238" s="4"/>
      <c r="BG238" s="4"/>
      <c r="BH238" s="4"/>
    </row>
    <row r="239" spans="3:60">
      <c r="C239" s="4"/>
      <c r="D239" s="4"/>
      <c r="G239" s="4"/>
      <c r="H239" s="4"/>
      <c r="K239" s="4"/>
      <c r="L239" s="4"/>
      <c r="O239" s="4"/>
      <c r="P239" s="4"/>
      <c r="S239" s="4"/>
      <c r="T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I239" s="4"/>
      <c r="AJ239" s="4"/>
      <c r="AM239" s="4"/>
      <c r="AN239" s="4"/>
      <c r="AQ239" s="4"/>
      <c r="AR239" s="4"/>
      <c r="AU239" s="4"/>
      <c r="AV239" s="4"/>
      <c r="AY239" s="4"/>
      <c r="AZ239" s="4"/>
      <c r="BC239" s="4"/>
      <c r="BD239" s="4"/>
      <c r="BG239" s="4"/>
      <c r="BH239" s="4"/>
    </row>
    <row r="240" spans="3:60">
      <c r="C240" s="4"/>
      <c r="D240" s="4"/>
      <c r="G240" s="4"/>
      <c r="H240" s="4"/>
      <c r="K240" s="4"/>
      <c r="L240" s="4"/>
      <c r="O240" s="4"/>
      <c r="P240" s="4"/>
      <c r="S240" s="4"/>
      <c r="T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I240" s="4"/>
      <c r="AJ240" s="4"/>
      <c r="AM240" s="4"/>
      <c r="AN240" s="4"/>
      <c r="AQ240" s="4"/>
      <c r="AR240" s="4"/>
      <c r="AU240" s="4"/>
      <c r="AV240" s="4"/>
      <c r="AY240" s="4"/>
      <c r="AZ240" s="4"/>
      <c r="BC240" s="4"/>
      <c r="BD240" s="4"/>
      <c r="BG240" s="4"/>
      <c r="BH240" s="4"/>
    </row>
    <row r="241" spans="3:60">
      <c r="C241" s="4"/>
      <c r="D241" s="4"/>
      <c r="G241" s="4"/>
      <c r="H241" s="4"/>
      <c r="K241" s="4"/>
      <c r="L241" s="4"/>
      <c r="O241" s="4"/>
      <c r="P241" s="4"/>
      <c r="S241" s="4"/>
      <c r="T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I241" s="4"/>
      <c r="AJ241" s="4"/>
      <c r="AM241" s="4"/>
      <c r="AN241" s="4"/>
      <c r="AQ241" s="4"/>
      <c r="AR241" s="4"/>
      <c r="AU241" s="4"/>
      <c r="AV241" s="4"/>
      <c r="AY241" s="4"/>
      <c r="AZ241" s="4"/>
      <c r="BC241" s="4"/>
      <c r="BD241" s="4"/>
      <c r="BG241" s="4"/>
      <c r="BH241" s="4"/>
    </row>
    <row r="242" spans="3:60">
      <c r="C242" s="4"/>
      <c r="D242" s="4"/>
      <c r="G242" s="4"/>
      <c r="H242" s="4"/>
      <c r="K242" s="4"/>
      <c r="L242" s="4"/>
      <c r="O242" s="4"/>
      <c r="P242" s="4"/>
      <c r="S242" s="4"/>
      <c r="T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I242" s="4"/>
      <c r="AJ242" s="4"/>
      <c r="AM242" s="4"/>
      <c r="AN242" s="4"/>
      <c r="AQ242" s="4"/>
      <c r="AR242" s="4"/>
      <c r="AU242" s="4"/>
      <c r="AV242" s="4"/>
      <c r="AY242" s="4"/>
      <c r="AZ242" s="4"/>
      <c r="BC242" s="4"/>
      <c r="BD242" s="4"/>
      <c r="BG242" s="4"/>
      <c r="BH242" s="4"/>
    </row>
    <row r="243" spans="3:60">
      <c r="C243" s="4"/>
      <c r="D243" s="4"/>
      <c r="G243" s="4"/>
      <c r="H243" s="4"/>
      <c r="K243" s="4"/>
      <c r="L243" s="4"/>
      <c r="O243" s="4"/>
      <c r="P243" s="4"/>
      <c r="S243" s="4"/>
      <c r="T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I243" s="4"/>
      <c r="AJ243" s="4"/>
      <c r="AM243" s="4"/>
      <c r="AN243" s="4"/>
      <c r="AQ243" s="4"/>
      <c r="AR243" s="4"/>
      <c r="AU243" s="4"/>
      <c r="AV243" s="4"/>
      <c r="AY243" s="4"/>
      <c r="AZ243" s="4"/>
      <c r="BC243" s="4"/>
      <c r="BD243" s="4"/>
      <c r="BG243" s="4"/>
      <c r="BH243" s="4"/>
    </row>
    <row r="244" spans="3:60">
      <c r="C244" s="4"/>
      <c r="D244" s="4"/>
      <c r="G244" s="4"/>
      <c r="H244" s="4"/>
      <c r="K244" s="4"/>
      <c r="L244" s="4"/>
      <c r="O244" s="4"/>
      <c r="P244" s="4"/>
      <c r="S244" s="4"/>
      <c r="T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I244" s="4"/>
      <c r="AJ244" s="4"/>
      <c r="AM244" s="4"/>
      <c r="AN244" s="4"/>
      <c r="AQ244" s="4"/>
      <c r="AR244" s="4"/>
      <c r="AU244" s="4"/>
      <c r="AV244" s="4"/>
      <c r="AY244" s="4"/>
      <c r="AZ244" s="4"/>
      <c r="BC244" s="4"/>
      <c r="BD244" s="4"/>
      <c r="BG244" s="4"/>
      <c r="BH244" s="4"/>
    </row>
    <row r="245" spans="3:60">
      <c r="C245" s="4"/>
      <c r="D245" s="4"/>
      <c r="G245" s="4"/>
      <c r="H245" s="4"/>
      <c r="K245" s="4"/>
      <c r="L245" s="4"/>
      <c r="O245" s="4"/>
      <c r="P245" s="4"/>
      <c r="S245" s="4"/>
      <c r="T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I245" s="4"/>
      <c r="AJ245" s="4"/>
      <c r="AM245" s="4"/>
      <c r="AN245" s="4"/>
      <c r="AQ245" s="4"/>
      <c r="AR245" s="4"/>
      <c r="AU245" s="4"/>
      <c r="AV245" s="4"/>
      <c r="AY245" s="4"/>
      <c r="AZ245" s="4"/>
      <c r="BC245" s="4"/>
      <c r="BD245" s="4"/>
      <c r="BG245" s="4"/>
      <c r="BH245" s="4"/>
    </row>
    <row r="246" spans="3:60">
      <c r="C246" s="4"/>
      <c r="D246" s="4"/>
      <c r="G246" s="4"/>
      <c r="H246" s="4"/>
      <c r="K246" s="4"/>
      <c r="L246" s="4"/>
      <c r="O246" s="4"/>
      <c r="P246" s="4"/>
      <c r="S246" s="4"/>
      <c r="T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I246" s="4"/>
      <c r="AJ246" s="4"/>
      <c r="AM246" s="4"/>
      <c r="AN246" s="4"/>
      <c r="AQ246" s="4"/>
      <c r="AR246" s="4"/>
      <c r="AU246" s="4"/>
      <c r="AV246" s="4"/>
      <c r="AY246" s="4"/>
      <c r="AZ246" s="4"/>
      <c r="BC246" s="4"/>
      <c r="BD246" s="4"/>
      <c r="BG246" s="4"/>
      <c r="BH246" s="4"/>
    </row>
    <row r="247" spans="3:60">
      <c r="C247" s="4"/>
      <c r="D247" s="4"/>
      <c r="G247" s="4"/>
      <c r="H247" s="4"/>
      <c r="K247" s="4"/>
      <c r="L247" s="4"/>
      <c r="O247" s="4"/>
      <c r="P247" s="4"/>
      <c r="S247" s="4"/>
      <c r="T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I247" s="4"/>
      <c r="AJ247" s="4"/>
      <c r="AM247" s="4"/>
      <c r="AN247" s="4"/>
      <c r="AQ247" s="4"/>
      <c r="AR247" s="4"/>
      <c r="AU247" s="4"/>
      <c r="AV247" s="4"/>
      <c r="AY247" s="4"/>
      <c r="AZ247" s="4"/>
      <c r="BC247" s="4"/>
      <c r="BD247" s="4"/>
      <c r="BG247" s="4"/>
      <c r="BH247" s="4"/>
    </row>
    <row r="248" spans="3:60">
      <c r="C248" s="4"/>
      <c r="D248" s="4"/>
      <c r="G248" s="4"/>
      <c r="H248" s="4"/>
      <c r="K248" s="4"/>
      <c r="L248" s="4"/>
      <c r="O248" s="4"/>
      <c r="P248" s="4"/>
      <c r="S248" s="4"/>
      <c r="T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I248" s="4"/>
      <c r="AJ248" s="4"/>
      <c r="AM248" s="4"/>
      <c r="AN248" s="4"/>
      <c r="AQ248" s="4"/>
      <c r="AR248" s="4"/>
      <c r="AU248" s="4"/>
      <c r="AV248" s="4"/>
      <c r="AY248" s="4"/>
      <c r="AZ248" s="4"/>
      <c r="BC248" s="4"/>
      <c r="BD248" s="4"/>
      <c r="BG248" s="4"/>
      <c r="BH248" s="4"/>
    </row>
    <row r="249" spans="3:60">
      <c r="C249" s="4"/>
      <c r="D249" s="4"/>
      <c r="G249" s="4"/>
      <c r="H249" s="4"/>
      <c r="K249" s="4"/>
      <c r="L249" s="4"/>
      <c r="O249" s="4"/>
      <c r="P249" s="4"/>
      <c r="S249" s="4"/>
      <c r="T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I249" s="4"/>
      <c r="AJ249" s="4"/>
      <c r="AM249" s="4"/>
      <c r="AN249" s="4"/>
      <c r="AQ249" s="4"/>
      <c r="AR249" s="4"/>
      <c r="AU249" s="4"/>
      <c r="AV249" s="4"/>
      <c r="AY249" s="4"/>
      <c r="AZ249" s="4"/>
      <c r="BC249" s="4"/>
      <c r="BD249" s="4"/>
      <c r="BG249" s="4"/>
      <c r="BH249" s="4"/>
    </row>
    <row r="250" spans="3:60">
      <c r="C250" s="4"/>
      <c r="D250" s="4"/>
      <c r="G250" s="4"/>
      <c r="H250" s="4"/>
      <c r="K250" s="4"/>
      <c r="L250" s="4"/>
      <c r="O250" s="4"/>
      <c r="P250" s="4"/>
      <c r="S250" s="4"/>
      <c r="T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I250" s="4"/>
      <c r="AJ250" s="4"/>
      <c r="AM250" s="4"/>
      <c r="AN250" s="4"/>
      <c r="AQ250" s="4"/>
      <c r="AR250" s="4"/>
      <c r="AU250" s="4"/>
      <c r="AV250" s="4"/>
      <c r="AY250" s="4"/>
      <c r="AZ250" s="4"/>
      <c r="BC250" s="4"/>
      <c r="BD250" s="4"/>
      <c r="BG250" s="4"/>
      <c r="BH250" s="4"/>
    </row>
    <row r="251" spans="3:60">
      <c r="C251" s="4"/>
      <c r="D251" s="4"/>
      <c r="G251" s="4"/>
      <c r="H251" s="4"/>
      <c r="K251" s="4"/>
      <c r="L251" s="4"/>
      <c r="O251" s="4"/>
      <c r="P251" s="4"/>
      <c r="S251" s="4"/>
      <c r="T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I251" s="4"/>
      <c r="AJ251" s="4"/>
      <c r="AM251" s="4"/>
      <c r="AN251" s="4"/>
      <c r="AQ251" s="4"/>
      <c r="AR251" s="4"/>
      <c r="AU251" s="4"/>
      <c r="AV251" s="4"/>
      <c r="AY251" s="4"/>
      <c r="AZ251" s="4"/>
      <c r="BC251" s="4"/>
      <c r="BD251" s="4"/>
      <c r="BG251" s="4"/>
      <c r="BH251" s="4"/>
    </row>
    <row r="252" spans="3:60">
      <c r="C252" s="4"/>
      <c r="D252" s="4"/>
      <c r="G252" s="4"/>
      <c r="H252" s="4"/>
      <c r="K252" s="4"/>
      <c r="L252" s="4"/>
      <c r="O252" s="4"/>
      <c r="P252" s="4"/>
      <c r="S252" s="4"/>
      <c r="T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I252" s="4"/>
      <c r="AJ252" s="4"/>
      <c r="AM252" s="4"/>
      <c r="AN252" s="4"/>
      <c r="AQ252" s="4"/>
      <c r="AR252" s="4"/>
      <c r="AU252" s="4"/>
      <c r="AV252" s="4"/>
      <c r="AY252" s="4"/>
      <c r="AZ252" s="4"/>
      <c r="BC252" s="4"/>
      <c r="BD252" s="4"/>
      <c r="BG252" s="4"/>
      <c r="BH252" s="4"/>
    </row>
    <row r="253" spans="3:60">
      <c r="C253" s="4"/>
      <c r="D253" s="4"/>
      <c r="G253" s="4"/>
      <c r="H253" s="4"/>
      <c r="K253" s="4"/>
      <c r="L253" s="4"/>
      <c r="O253" s="4"/>
      <c r="P253" s="4"/>
      <c r="S253" s="4"/>
      <c r="T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I253" s="4"/>
      <c r="AJ253" s="4"/>
      <c r="AM253" s="4"/>
      <c r="AN253" s="4"/>
      <c r="AQ253" s="4"/>
      <c r="AR253" s="4"/>
      <c r="AU253" s="4"/>
      <c r="AV253" s="4"/>
      <c r="AY253" s="4"/>
      <c r="AZ253" s="4"/>
      <c r="BC253" s="4"/>
      <c r="BD253" s="4"/>
      <c r="BG253" s="4"/>
      <c r="BH253" s="4"/>
    </row>
    <row r="254" spans="3:60">
      <c r="C254" s="4"/>
      <c r="D254" s="4"/>
      <c r="G254" s="4"/>
      <c r="H254" s="4"/>
      <c r="K254" s="4"/>
      <c r="L254" s="4"/>
      <c r="O254" s="4"/>
      <c r="P254" s="4"/>
      <c r="S254" s="4"/>
      <c r="T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I254" s="4"/>
      <c r="AJ254" s="4"/>
      <c r="AM254" s="4"/>
      <c r="AN254" s="4"/>
      <c r="AQ254" s="4"/>
      <c r="AR254" s="4"/>
      <c r="AU254" s="4"/>
      <c r="AV254" s="4"/>
      <c r="AY254" s="4"/>
      <c r="AZ254" s="4"/>
      <c r="BC254" s="4"/>
      <c r="BD254" s="4"/>
      <c r="BG254" s="4"/>
      <c r="BH254" s="4"/>
    </row>
    <row r="255" spans="3:60">
      <c r="C255" s="4"/>
      <c r="D255" s="4"/>
      <c r="G255" s="4"/>
      <c r="H255" s="4"/>
      <c r="K255" s="4"/>
      <c r="L255" s="4"/>
      <c r="O255" s="4"/>
      <c r="P255" s="4"/>
      <c r="S255" s="4"/>
      <c r="T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I255" s="4"/>
      <c r="AJ255" s="4"/>
      <c r="AM255" s="4"/>
      <c r="AN255" s="4"/>
      <c r="AQ255" s="4"/>
      <c r="AR255" s="4"/>
      <c r="AU255" s="4"/>
      <c r="AV255" s="4"/>
      <c r="AY255" s="4"/>
      <c r="AZ255" s="4"/>
      <c r="BC255" s="4"/>
      <c r="BD255" s="4"/>
      <c r="BG255" s="4"/>
      <c r="BH255" s="4"/>
    </row>
    <row r="256" spans="3:60">
      <c r="C256" s="4"/>
      <c r="D256" s="4"/>
      <c r="G256" s="4"/>
      <c r="H256" s="4"/>
      <c r="K256" s="4"/>
      <c r="L256" s="4"/>
      <c r="O256" s="4"/>
      <c r="P256" s="4"/>
      <c r="S256" s="4"/>
      <c r="T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I256" s="4"/>
      <c r="AJ256" s="4"/>
      <c r="AM256" s="4"/>
      <c r="AN256" s="4"/>
      <c r="AQ256" s="4"/>
      <c r="AR256" s="4"/>
      <c r="AU256" s="4"/>
      <c r="AV256" s="4"/>
      <c r="AY256" s="4"/>
      <c r="AZ256" s="4"/>
      <c r="BC256" s="4"/>
      <c r="BD256" s="4"/>
      <c r="BG256" s="4"/>
      <c r="BH256" s="4"/>
    </row>
    <row r="257" spans="3:60">
      <c r="C257" s="4"/>
      <c r="D257" s="4"/>
      <c r="G257" s="4"/>
      <c r="H257" s="4"/>
      <c r="K257" s="4"/>
      <c r="L257" s="4"/>
      <c r="O257" s="4"/>
      <c r="P257" s="4"/>
      <c r="S257" s="4"/>
      <c r="T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I257" s="4"/>
      <c r="AJ257" s="4"/>
      <c r="AM257" s="4"/>
      <c r="AN257" s="4"/>
      <c r="AQ257" s="4"/>
      <c r="AR257" s="4"/>
      <c r="AU257" s="4"/>
      <c r="AV257" s="4"/>
      <c r="AY257" s="4"/>
      <c r="AZ257" s="4"/>
      <c r="BC257" s="4"/>
      <c r="BD257" s="4"/>
      <c r="BG257" s="4"/>
      <c r="BH257" s="4"/>
    </row>
    <row r="258" spans="3:60">
      <c r="C258" s="4"/>
      <c r="D258" s="4"/>
      <c r="G258" s="4"/>
      <c r="H258" s="4"/>
      <c r="K258" s="4"/>
      <c r="L258" s="4"/>
      <c r="O258" s="4"/>
      <c r="P258" s="4"/>
      <c r="S258" s="4"/>
      <c r="T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I258" s="4"/>
      <c r="AJ258" s="4"/>
      <c r="AM258" s="4"/>
      <c r="AN258" s="4"/>
      <c r="AQ258" s="4"/>
      <c r="AR258" s="4"/>
      <c r="AU258" s="4"/>
      <c r="AV258" s="4"/>
      <c r="AY258" s="4"/>
      <c r="AZ258" s="4"/>
      <c r="BC258" s="4"/>
      <c r="BD258" s="4"/>
      <c r="BG258" s="4"/>
      <c r="BH258" s="4"/>
    </row>
    <row r="259" spans="3:60">
      <c r="C259" s="4"/>
      <c r="D259" s="4"/>
      <c r="G259" s="4"/>
      <c r="H259" s="4"/>
      <c r="K259" s="4"/>
      <c r="L259" s="4"/>
      <c r="O259" s="4"/>
      <c r="P259" s="4"/>
      <c r="S259" s="4"/>
      <c r="T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I259" s="4"/>
      <c r="AJ259" s="4"/>
      <c r="AM259" s="4"/>
      <c r="AN259" s="4"/>
      <c r="AQ259" s="4"/>
      <c r="AR259" s="4"/>
      <c r="AU259" s="4"/>
      <c r="AV259" s="4"/>
      <c r="AY259" s="4"/>
      <c r="AZ259" s="4"/>
      <c r="BC259" s="4"/>
      <c r="BD259" s="4"/>
      <c r="BG259" s="4"/>
      <c r="BH259" s="4"/>
    </row>
    <row r="260" spans="3:60">
      <c r="C260" s="4"/>
      <c r="D260" s="4"/>
      <c r="G260" s="4"/>
      <c r="H260" s="4"/>
      <c r="K260" s="4"/>
      <c r="L260" s="4"/>
      <c r="O260" s="4"/>
      <c r="P260" s="4"/>
      <c r="S260" s="4"/>
      <c r="T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I260" s="4"/>
      <c r="AJ260" s="4"/>
      <c r="AM260" s="4"/>
      <c r="AN260" s="4"/>
      <c r="AQ260" s="4"/>
      <c r="AR260" s="4"/>
      <c r="AU260" s="4"/>
      <c r="AV260" s="4"/>
      <c r="AY260" s="4"/>
      <c r="AZ260" s="4"/>
      <c r="BC260" s="4"/>
      <c r="BD260" s="4"/>
      <c r="BG260" s="4"/>
      <c r="BH260" s="4"/>
    </row>
    <row r="261" spans="3:60">
      <c r="C261" s="4"/>
      <c r="D261" s="4"/>
      <c r="G261" s="4"/>
      <c r="H261" s="4"/>
      <c r="K261" s="4"/>
      <c r="L261" s="4"/>
      <c r="O261" s="4"/>
      <c r="P261" s="4"/>
      <c r="S261" s="4"/>
      <c r="T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I261" s="4"/>
      <c r="AJ261" s="4"/>
      <c r="AM261" s="4"/>
      <c r="AN261" s="4"/>
      <c r="AQ261" s="4"/>
      <c r="AR261" s="4"/>
      <c r="AU261" s="4"/>
      <c r="AV261" s="4"/>
      <c r="AY261" s="4"/>
      <c r="AZ261" s="4"/>
      <c r="BC261" s="4"/>
      <c r="BD261" s="4"/>
      <c r="BG261" s="4"/>
      <c r="BH261" s="4"/>
    </row>
    <row r="262" spans="3:60">
      <c r="C262" s="4"/>
      <c r="D262" s="4"/>
      <c r="G262" s="4"/>
      <c r="H262" s="4"/>
      <c r="K262" s="4"/>
      <c r="L262" s="4"/>
      <c r="O262" s="4"/>
      <c r="P262" s="4"/>
      <c r="S262" s="4"/>
      <c r="T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I262" s="4"/>
      <c r="AJ262" s="4"/>
      <c r="AM262" s="4"/>
      <c r="AN262" s="4"/>
      <c r="AQ262" s="4"/>
      <c r="AR262" s="4"/>
      <c r="AU262" s="4"/>
      <c r="AV262" s="4"/>
      <c r="AY262" s="4"/>
      <c r="AZ262" s="4"/>
      <c r="BC262" s="4"/>
      <c r="BD262" s="4"/>
      <c r="BG262" s="4"/>
      <c r="BH262" s="4"/>
    </row>
    <row r="263" spans="3:60">
      <c r="C263" s="4"/>
      <c r="D263" s="4"/>
      <c r="G263" s="4"/>
      <c r="H263" s="4"/>
      <c r="K263" s="4"/>
      <c r="L263" s="4"/>
      <c r="O263" s="4"/>
      <c r="P263" s="4"/>
      <c r="S263" s="4"/>
      <c r="T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I263" s="4"/>
      <c r="AJ263" s="4"/>
      <c r="AM263" s="4"/>
      <c r="AN263" s="4"/>
      <c r="AQ263" s="4"/>
      <c r="AR263" s="4"/>
      <c r="AU263" s="4"/>
      <c r="AV263" s="4"/>
      <c r="AY263" s="4"/>
      <c r="AZ263" s="4"/>
      <c r="BC263" s="4"/>
      <c r="BD263" s="4"/>
      <c r="BG263" s="4"/>
      <c r="BH263" s="4"/>
    </row>
    <row r="264" spans="3:60">
      <c r="C264" s="4"/>
      <c r="D264" s="4"/>
      <c r="G264" s="4"/>
      <c r="H264" s="4"/>
      <c r="K264" s="4"/>
      <c r="L264" s="4"/>
      <c r="O264" s="4"/>
      <c r="P264" s="4"/>
      <c r="S264" s="4"/>
      <c r="T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I264" s="4"/>
      <c r="AJ264" s="4"/>
      <c r="AM264" s="4"/>
      <c r="AN264" s="4"/>
      <c r="AQ264" s="4"/>
      <c r="AR264" s="4"/>
      <c r="AU264" s="4"/>
      <c r="AV264" s="4"/>
      <c r="AY264" s="4"/>
      <c r="AZ264" s="4"/>
      <c r="BC264" s="4"/>
      <c r="BD264" s="4"/>
      <c r="BG264" s="4"/>
      <c r="BH264" s="4"/>
    </row>
    <row r="265" spans="3:60">
      <c r="C265" s="4"/>
      <c r="D265" s="4"/>
      <c r="G265" s="4"/>
      <c r="H265" s="4"/>
      <c r="K265" s="4"/>
      <c r="L265" s="4"/>
      <c r="O265" s="4"/>
      <c r="P265" s="4"/>
      <c r="S265" s="4"/>
      <c r="T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I265" s="4"/>
      <c r="AJ265" s="4"/>
      <c r="AM265" s="4"/>
      <c r="AN265" s="4"/>
      <c r="AQ265" s="4"/>
      <c r="AR265" s="4"/>
      <c r="AU265" s="4"/>
      <c r="AV265" s="4"/>
      <c r="AY265" s="4"/>
      <c r="AZ265" s="4"/>
      <c r="BC265" s="4"/>
      <c r="BD265" s="4"/>
      <c r="BG265" s="4"/>
      <c r="BH265" s="4"/>
    </row>
    <row r="266" spans="3:60">
      <c r="C266" s="4"/>
      <c r="D266" s="4"/>
      <c r="G266" s="4"/>
      <c r="H266" s="4"/>
      <c r="K266" s="4"/>
      <c r="L266" s="4"/>
      <c r="O266" s="4"/>
      <c r="P266" s="4"/>
      <c r="S266" s="4"/>
      <c r="T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I266" s="4"/>
      <c r="AJ266" s="4"/>
      <c r="AM266" s="4"/>
      <c r="AN266" s="4"/>
      <c r="AQ266" s="4"/>
      <c r="AR266" s="4"/>
      <c r="AU266" s="4"/>
      <c r="AV266" s="4"/>
      <c r="AY266" s="4"/>
      <c r="AZ266" s="4"/>
      <c r="BC266" s="4"/>
      <c r="BD266" s="4"/>
      <c r="BG266" s="4"/>
      <c r="BH266" s="4"/>
    </row>
    <row r="267" spans="3:60">
      <c r="C267" s="4"/>
      <c r="D267" s="4"/>
      <c r="G267" s="4"/>
      <c r="H267" s="4"/>
      <c r="K267" s="4"/>
      <c r="L267" s="4"/>
      <c r="O267" s="4"/>
      <c r="P267" s="4"/>
      <c r="S267" s="4"/>
      <c r="T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I267" s="4"/>
      <c r="AJ267" s="4"/>
      <c r="AM267" s="4"/>
      <c r="AN267" s="4"/>
      <c r="AQ267" s="4"/>
      <c r="AR267" s="4"/>
      <c r="AU267" s="4"/>
      <c r="AV267" s="4"/>
      <c r="AY267" s="4"/>
      <c r="AZ267" s="4"/>
      <c r="BC267" s="4"/>
      <c r="BD267" s="4"/>
      <c r="BG267" s="4"/>
      <c r="BH267" s="4"/>
    </row>
    <row r="268" spans="3:60">
      <c r="C268" s="4"/>
      <c r="D268" s="4"/>
      <c r="G268" s="4"/>
      <c r="H268" s="4"/>
      <c r="K268" s="4"/>
      <c r="L268" s="4"/>
      <c r="O268" s="4"/>
      <c r="P268" s="4"/>
      <c r="S268" s="4"/>
      <c r="T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I268" s="4"/>
      <c r="AJ268" s="4"/>
      <c r="AM268" s="4"/>
      <c r="AN268" s="4"/>
      <c r="AQ268" s="4"/>
      <c r="AR268" s="4"/>
      <c r="AU268" s="4"/>
      <c r="AV268" s="4"/>
      <c r="AY268" s="4"/>
      <c r="AZ268" s="4"/>
      <c r="BC268" s="4"/>
      <c r="BD268" s="4"/>
      <c r="BG268" s="4"/>
      <c r="BH268" s="4"/>
    </row>
    <row r="269" spans="3:60">
      <c r="C269" s="4"/>
      <c r="D269" s="4"/>
      <c r="G269" s="4"/>
      <c r="H269" s="4"/>
      <c r="K269" s="4"/>
      <c r="L269" s="4"/>
      <c r="O269" s="4"/>
      <c r="P269" s="4"/>
      <c r="S269" s="4"/>
      <c r="T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I269" s="4"/>
      <c r="AJ269" s="4"/>
      <c r="AM269" s="4"/>
      <c r="AN269" s="4"/>
      <c r="AQ269" s="4"/>
      <c r="AR269" s="4"/>
      <c r="AU269" s="4"/>
      <c r="AV269" s="4"/>
      <c r="AY269" s="4"/>
      <c r="AZ269" s="4"/>
      <c r="BC269" s="4"/>
      <c r="BD269" s="4"/>
      <c r="BG269" s="4"/>
      <c r="BH269" s="4"/>
    </row>
    <row r="270" spans="3:60">
      <c r="C270" s="4"/>
      <c r="D270" s="4"/>
      <c r="G270" s="4"/>
      <c r="H270" s="4"/>
      <c r="K270" s="4"/>
      <c r="L270" s="4"/>
      <c r="O270" s="4"/>
      <c r="P270" s="4"/>
      <c r="S270" s="4"/>
      <c r="T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I270" s="4"/>
      <c r="AJ270" s="4"/>
      <c r="AM270" s="4"/>
      <c r="AN270" s="4"/>
      <c r="AQ270" s="4"/>
      <c r="AR270" s="4"/>
      <c r="AU270" s="4"/>
      <c r="AV270" s="4"/>
      <c r="AY270" s="4"/>
      <c r="AZ270" s="4"/>
      <c r="BC270" s="4"/>
      <c r="BD270" s="4"/>
      <c r="BG270" s="4"/>
      <c r="BH270" s="4"/>
    </row>
    <row r="271" spans="3:60">
      <c r="C271" s="4"/>
      <c r="D271" s="4"/>
      <c r="G271" s="4"/>
      <c r="H271" s="4"/>
      <c r="K271" s="4"/>
      <c r="L271" s="4"/>
      <c r="O271" s="4"/>
      <c r="P271" s="4"/>
      <c r="S271" s="4"/>
      <c r="T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I271" s="4"/>
      <c r="AJ271" s="4"/>
      <c r="AM271" s="4"/>
      <c r="AN271" s="4"/>
      <c r="AQ271" s="4"/>
      <c r="AR271" s="4"/>
      <c r="AU271" s="4"/>
      <c r="AV271" s="4"/>
      <c r="AY271" s="4"/>
      <c r="AZ271" s="4"/>
      <c r="BC271" s="4"/>
      <c r="BD271" s="4"/>
      <c r="BG271" s="4"/>
      <c r="BH271" s="4"/>
    </row>
    <row r="272" spans="3:60">
      <c r="C272" s="4"/>
      <c r="D272" s="4"/>
      <c r="G272" s="4"/>
      <c r="H272" s="4"/>
      <c r="K272" s="4"/>
      <c r="L272" s="4"/>
      <c r="O272" s="4"/>
      <c r="P272" s="4"/>
      <c r="S272" s="4"/>
      <c r="T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I272" s="4"/>
      <c r="AJ272" s="4"/>
      <c r="AM272" s="4"/>
      <c r="AN272" s="4"/>
      <c r="AQ272" s="4"/>
      <c r="AR272" s="4"/>
      <c r="AU272" s="4"/>
      <c r="AV272" s="4"/>
      <c r="AY272" s="4"/>
      <c r="AZ272" s="4"/>
      <c r="BC272" s="4"/>
      <c r="BD272" s="4"/>
      <c r="BG272" s="4"/>
      <c r="BH272" s="4"/>
    </row>
    <row r="273" spans="3:60">
      <c r="C273" s="4"/>
      <c r="D273" s="4"/>
      <c r="G273" s="4"/>
      <c r="H273" s="4"/>
      <c r="K273" s="4"/>
      <c r="L273" s="4"/>
      <c r="O273" s="4"/>
      <c r="P273" s="4"/>
      <c r="S273" s="4"/>
      <c r="T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I273" s="4"/>
      <c r="AJ273" s="4"/>
      <c r="AM273" s="4"/>
      <c r="AN273" s="4"/>
      <c r="AQ273" s="4"/>
      <c r="AR273" s="4"/>
      <c r="AU273" s="4"/>
      <c r="AV273" s="4"/>
      <c r="AY273" s="4"/>
      <c r="AZ273" s="4"/>
      <c r="BC273" s="4"/>
      <c r="BD273" s="4"/>
      <c r="BG273" s="4"/>
      <c r="BH273" s="4"/>
    </row>
    <row r="274" spans="3:60">
      <c r="C274" s="4"/>
      <c r="D274" s="4"/>
      <c r="G274" s="4"/>
      <c r="H274" s="4"/>
      <c r="K274" s="4"/>
      <c r="L274" s="4"/>
      <c r="O274" s="4"/>
      <c r="P274" s="4"/>
      <c r="S274" s="4"/>
      <c r="T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I274" s="4"/>
      <c r="AJ274" s="4"/>
      <c r="AM274" s="4"/>
      <c r="AN274" s="4"/>
      <c r="AQ274" s="4"/>
      <c r="AR274" s="4"/>
      <c r="AU274" s="4"/>
      <c r="AV274" s="4"/>
      <c r="AY274" s="4"/>
      <c r="AZ274" s="4"/>
      <c r="BC274" s="4"/>
      <c r="BD274" s="4"/>
      <c r="BG274" s="4"/>
      <c r="BH274" s="4"/>
    </row>
    <row r="275" spans="3:60">
      <c r="C275" s="4"/>
      <c r="D275" s="4"/>
      <c r="G275" s="4"/>
      <c r="H275" s="4"/>
      <c r="K275" s="4"/>
      <c r="L275" s="4"/>
      <c r="O275" s="4"/>
      <c r="P275" s="4"/>
      <c r="S275" s="4"/>
      <c r="T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I275" s="4"/>
      <c r="AJ275" s="4"/>
      <c r="AM275" s="4"/>
      <c r="AN275" s="4"/>
      <c r="AQ275" s="4"/>
      <c r="AR275" s="4"/>
      <c r="AU275" s="4"/>
      <c r="AV275" s="4"/>
      <c r="AY275" s="4"/>
      <c r="AZ275" s="4"/>
      <c r="BC275" s="4"/>
      <c r="BD275" s="4"/>
      <c r="BG275" s="4"/>
      <c r="BH275" s="4"/>
    </row>
    <row r="276" spans="3:60">
      <c r="C276" s="4"/>
      <c r="D276" s="4"/>
      <c r="G276" s="4"/>
      <c r="H276" s="4"/>
      <c r="K276" s="4"/>
      <c r="L276" s="4"/>
      <c r="O276" s="4"/>
      <c r="P276" s="4"/>
      <c r="S276" s="4"/>
      <c r="T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I276" s="4"/>
      <c r="AJ276" s="4"/>
      <c r="AM276" s="4"/>
      <c r="AN276" s="4"/>
      <c r="AQ276" s="4"/>
      <c r="AR276" s="4"/>
      <c r="AU276" s="4"/>
      <c r="AV276" s="4"/>
      <c r="AY276" s="4"/>
      <c r="AZ276" s="4"/>
      <c r="BC276" s="4"/>
      <c r="BD276" s="4"/>
      <c r="BG276" s="4"/>
      <c r="BH276" s="4"/>
    </row>
    <row r="277" spans="3:60">
      <c r="C277" s="4"/>
      <c r="D277" s="4"/>
      <c r="G277" s="4"/>
      <c r="H277" s="4"/>
      <c r="K277" s="4"/>
      <c r="L277" s="4"/>
      <c r="O277" s="4"/>
      <c r="P277" s="4"/>
      <c r="S277" s="4"/>
      <c r="T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I277" s="4"/>
      <c r="AJ277" s="4"/>
      <c r="AM277" s="4"/>
      <c r="AN277" s="4"/>
      <c r="AQ277" s="4"/>
      <c r="AR277" s="4"/>
      <c r="AU277" s="4"/>
      <c r="AV277" s="4"/>
      <c r="AY277" s="4"/>
      <c r="AZ277" s="4"/>
      <c r="BC277" s="4"/>
      <c r="BD277" s="4"/>
      <c r="BG277" s="4"/>
      <c r="BH277" s="4"/>
    </row>
    <row r="278" spans="3:60">
      <c r="C278" s="4"/>
      <c r="D278" s="4"/>
      <c r="G278" s="4"/>
      <c r="H278" s="4"/>
      <c r="K278" s="4"/>
      <c r="L278" s="4"/>
      <c r="O278" s="4"/>
      <c r="P278" s="4"/>
      <c r="S278" s="4"/>
      <c r="T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I278" s="4"/>
      <c r="AJ278" s="4"/>
      <c r="AM278" s="4"/>
      <c r="AN278" s="4"/>
      <c r="AQ278" s="4"/>
      <c r="AR278" s="4"/>
      <c r="AU278" s="4"/>
      <c r="AV278" s="4"/>
      <c r="AY278" s="4"/>
      <c r="AZ278" s="4"/>
      <c r="BC278" s="4"/>
      <c r="BD278" s="4"/>
      <c r="BG278" s="4"/>
      <c r="BH278" s="4"/>
    </row>
    <row r="279" spans="3:60">
      <c r="C279" s="4"/>
      <c r="D279" s="4"/>
      <c r="G279" s="4"/>
      <c r="H279" s="4"/>
      <c r="K279" s="4"/>
      <c r="L279" s="4"/>
      <c r="O279" s="4"/>
      <c r="P279" s="4"/>
      <c r="S279" s="4"/>
      <c r="T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I279" s="4"/>
      <c r="AJ279" s="4"/>
      <c r="AM279" s="4"/>
      <c r="AN279" s="4"/>
      <c r="AQ279" s="4"/>
      <c r="AR279" s="4"/>
      <c r="AU279" s="4"/>
      <c r="AV279" s="4"/>
      <c r="AY279" s="4"/>
      <c r="AZ279" s="4"/>
      <c r="BC279" s="4"/>
      <c r="BD279" s="4"/>
      <c r="BG279" s="4"/>
      <c r="BH279" s="4"/>
    </row>
    <row r="280" spans="3:60">
      <c r="C280" s="4"/>
      <c r="D280" s="4"/>
      <c r="G280" s="4"/>
      <c r="H280" s="4"/>
      <c r="K280" s="4"/>
      <c r="L280" s="4"/>
      <c r="O280" s="4"/>
      <c r="P280" s="4"/>
      <c r="S280" s="4"/>
      <c r="T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I280" s="4"/>
      <c r="AJ280" s="4"/>
      <c r="AM280" s="4"/>
      <c r="AN280" s="4"/>
      <c r="AQ280" s="4"/>
      <c r="AR280" s="4"/>
      <c r="AU280" s="4"/>
      <c r="AV280" s="4"/>
      <c r="AY280" s="4"/>
      <c r="AZ280" s="4"/>
      <c r="BC280" s="4"/>
      <c r="BD280" s="4"/>
      <c r="BG280" s="4"/>
      <c r="BH280" s="4"/>
    </row>
    <row r="281" spans="3:60">
      <c r="C281" s="4"/>
      <c r="D281" s="4"/>
      <c r="G281" s="4"/>
      <c r="H281" s="4"/>
      <c r="K281" s="4"/>
      <c r="L281" s="4"/>
      <c r="O281" s="4"/>
      <c r="P281" s="4"/>
      <c r="S281" s="4"/>
      <c r="T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I281" s="4"/>
      <c r="AJ281" s="4"/>
      <c r="AM281" s="4"/>
      <c r="AN281" s="4"/>
      <c r="AQ281" s="4"/>
      <c r="AR281" s="4"/>
      <c r="AU281" s="4"/>
      <c r="AV281" s="4"/>
      <c r="AY281" s="4"/>
      <c r="AZ281" s="4"/>
      <c r="BC281" s="4"/>
      <c r="BD281" s="4"/>
      <c r="BG281" s="4"/>
      <c r="BH281" s="4"/>
    </row>
    <row r="282" spans="3:60">
      <c r="C282" s="4"/>
      <c r="D282" s="4"/>
      <c r="G282" s="4"/>
      <c r="H282" s="4"/>
      <c r="K282" s="4"/>
      <c r="L282" s="4"/>
      <c r="O282" s="4"/>
      <c r="P282" s="4"/>
      <c r="S282" s="4"/>
      <c r="T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I282" s="4"/>
      <c r="AJ282" s="4"/>
      <c r="AM282" s="4"/>
      <c r="AN282" s="4"/>
      <c r="AQ282" s="4"/>
      <c r="AR282" s="4"/>
      <c r="AU282" s="4"/>
      <c r="AV282" s="4"/>
      <c r="AY282" s="4"/>
      <c r="AZ282" s="4"/>
      <c r="BC282" s="4"/>
      <c r="BD282" s="4"/>
      <c r="BG282" s="4"/>
      <c r="BH282" s="4"/>
    </row>
    <row r="283" spans="3:60">
      <c r="C283" s="4"/>
      <c r="D283" s="4"/>
      <c r="G283" s="4"/>
      <c r="H283" s="4"/>
      <c r="K283" s="4"/>
      <c r="L283" s="4"/>
      <c r="O283" s="4"/>
      <c r="P283" s="4"/>
      <c r="S283" s="4"/>
      <c r="T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I283" s="4"/>
      <c r="AJ283" s="4"/>
      <c r="AM283" s="4"/>
      <c r="AN283" s="4"/>
      <c r="AQ283" s="4"/>
      <c r="AR283" s="4"/>
      <c r="AU283" s="4"/>
      <c r="AV283" s="4"/>
      <c r="AY283" s="4"/>
      <c r="AZ283" s="4"/>
      <c r="BC283" s="4"/>
      <c r="BD283" s="4"/>
      <c r="BG283" s="4"/>
      <c r="BH283" s="4"/>
    </row>
    <row r="284" spans="3:60">
      <c r="C284" s="4"/>
      <c r="D284" s="4"/>
      <c r="G284" s="4"/>
      <c r="H284" s="4"/>
      <c r="K284" s="4"/>
      <c r="L284" s="4"/>
      <c r="O284" s="4"/>
      <c r="P284" s="4"/>
      <c r="S284" s="4"/>
      <c r="T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I284" s="4"/>
      <c r="AJ284" s="4"/>
      <c r="AM284" s="4"/>
      <c r="AN284" s="4"/>
      <c r="AQ284" s="4"/>
      <c r="AR284" s="4"/>
      <c r="AU284" s="4"/>
      <c r="AV284" s="4"/>
      <c r="AY284" s="4"/>
      <c r="AZ284" s="4"/>
      <c r="BC284" s="4"/>
      <c r="BD284" s="4"/>
      <c r="BG284" s="4"/>
      <c r="BH284" s="4"/>
    </row>
    <row r="285" spans="3:60">
      <c r="C285" s="4"/>
      <c r="D285" s="4"/>
      <c r="G285" s="4"/>
      <c r="H285" s="4"/>
      <c r="K285" s="4"/>
      <c r="L285" s="4"/>
      <c r="O285" s="4"/>
      <c r="P285" s="4"/>
      <c r="S285" s="4"/>
      <c r="T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I285" s="4"/>
      <c r="AJ285" s="4"/>
      <c r="AM285" s="4"/>
      <c r="AN285" s="4"/>
      <c r="AQ285" s="4"/>
      <c r="AR285" s="4"/>
      <c r="AU285" s="4"/>
      <c r="AV285" s="4"/>
      <c r="AY285" s="4"/>
      <c r="AZ285" s="4"/>
      <c r="BC285" s="4"/>
      <c r="BD285" s="4"/>
      <c r="BG285" s="4"/>
      <c r="BH285" s="4"/>
    </row>
    <row r="286" spans="3:60">
      <c r="C286" s="4"/>
      <c r="D286" s="4"/>
      <c r="G286" s="4"/>
      <c r="H286" s="4"/>
      <c r="K286" s="4"/>
      <c r="L286" s="4"/>
      <c r="O286" s="4"/>
      <c r="P286" s="4"/>
      <c r="S286" s="4"/>
      <c r="T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I286" s="4"/>
      <c r="AJ286" s="4"/>
      <c r="AM286" s="4"/>
      <c r="AN286" s="4"/>
      <c r="AQ286" s="4"/>
      <c r="AR286" s="4"/>
      <c r="AU286" s="4"/>
      <c r="AV286" s="4"/>
      <c r="AY286" s="4"/>
      <c r="AZ286" s="4"/>
      <c r="BC286" s="4"/>
      <c r="BD286" s="4"/>
      <c r="BG286" s="4"/>
      <c r="BH286" s="4"/>
    </row>
    <row r="287" spans="3:60">
      <c r="C287" s="4"/>
      <c r="D287" s="4"/>
      <c r="G287" s="4"/>
      <c r="H287" s="4"/>
      <c r="K287" s="4"/>
      <c r="L287" s="4"/>
      <c r="O287" s="4"/>
      <c r="P287" s="4"/>
      <c r="S287" s="4"/>
      <c r="T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I287" s="4"/>
      <c r="AJ287" s="4"/>
      <c r="AM287" s="4"/>
      <c r="AN287" s="4"/>
      <c r="AQ287" s="4"/>
      <c r="AR287" s="4"/>
      <c r="AU287" s="4"/>
      <c r="AV287" s="4"/>
      <c r="AY287" s="4"/>
      <c r="AZ287" s="4"/>
      <c r="BC287" s="4"/>
      <c r="BD287" s="4"/>
      <c r="BG287" s="4"/>
      <c r="BH287" s="4"/>
    </row>
    <row r="288" spans="3:60">
      <c r="C288" s="4"/>
      <c r="D288" s="4"/>
      <c r="G288" s="4"/>
      <c r="H288" s="4"/>
      <c r="K288" s="4"/>
      <c r="L288" s="4"/>
      <c r="O288" s="4"/>
      <c r="P288" s="4"/>
      <c r="S288" s="4"/>
      <c r="T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I288" s="4"/>
      <c r="AJ288" s="4"/>
      <c r="AM288" s="4"/>
      <c r="AN288" s="4"/>
      <c r="AQ288" s="4"/>
      <c r="AR288" s="4"/>
      <c r="AU288" s="4"/>
      <c r="AV288" s="4"/>
      <c r="AY288" s="4"/>
      <c r="AZ288" s="4"/>
      <c r="BC288" s="4"/>
      <c r="BD288" s="4"/>
      <c r="BG288" s="4"/>
      <c r="BH288" s="4"/>
    </row>
    <row r="289" spans="3:60">
      <c r="C289" s="4"/>
      <c r="D289" s="4"/>
      <c r="G289" s="4"/>
      <c r="H289" s="4"/>
      <c r="K289" s="4"/>
      <c r="L289" s="4"/>
      <c r="O289" s="4"/>
      <c r="P289" s="4"/>
      <c r="S289" s="4"/>
      <c r="T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I289" s="4"/>
      <c r="AJ289" s="4"/>
      <c r="AM289" s="4"/>
      <c r="AN289" s="4"/>
      <c r="AQ289" s="4"/>
      <c r="AR289" s="4"/>
      <c r="AU289" s="4"/>
      <c r="AV289" s="4"/>
      <c r="AY289" s="4"/>
      <c r="AZ289" s="4"/>
      <c r="BC289" s="4"/>
      <c r="BD289" s="4"/>
      <c r="BG289" s="4"/>
      <c r="BH289" s="4"/>
    </row>
    <row r="290" spans="3:60">
      <c r="C290" s="4"/>
      <c r="D290" s="4"/>
      <c r="G290" s="4"/>
      <c r="H290" s="4"/>
      <c r="K290" s="4"/>
      <c r="L290" s="4"/>
      <c r="O290" s="4"/>
      <c r="P290" s="4"/>
      <c r="S290" s="4"/>
      <c r="T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I290" s="4"/>
      <c r="AJ290" s="4"/>
      <c r="AM290" s="4"/>
      <c r="AN290" s="4"/>
      <c r="AQ290" s="4"/>
      <c r="AR290" s="4"/>
      <c r="AU290" s="4"/>
      <c r="AV290" s="4"/>
      <c r="AY290" s="4"/>
      <c r="AZ290" s="4"/>
      <c r="BC290" s="4"/>
      <c r="BD290" s="4"/>
      <c r="BG290" s="4"/>
      <c r="BH290" s="4"/>
    </row>
    <row r="291" spans="3:60">
      <c r="C291" s="4"/>
      <c r="D291" s="4"/>
      <c r="G291" s="4"/>
      <c r="H291" s="4"/>
      <c r="K291" s="4"/>
      <c r="L291" s="4"/>
      <c r="O291" s="4"/>
      <c r="P291" s="4"/>
      <c r="S291" s="4"/>
      <c r="T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I291" s="4"/>
      <c r="AJ291" s="4"/>
      <c r="AM291" s="4"/>
      <c r="AN291" s="4"/>
      <c r="AQ291" s="4"/>
      <c r="AR291" s="4"/>
      <c r="AU291" s="4"/>
      <c r="AV291" s="4"/>
      <c r="AY291" s="4"/>
      <c r="AZ291" s="4"/>
      <c r="BC291" s="4"/>
      <c r="BD291" s="4"/>
      <c r="BG291" s="4"/>
      <c r="BH291" s="4"/>
    </row>
    <row r="292" spans="3:60">
      <c r="C292" s="4"/>
      <c r="D292" s="4"/>
      <c r="G292" s="4"/>
      <c r="H292" s="4"/>
      <c r="K292" s="4"/>
      <c r="L292" s="4"/>
      <c r="O292" s="4"/>
      <c r="P292" s="4"/>
      <c r="S292" s="4"/>
      <c r="T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I292" s="4"/>
      <c r="AJ292" s="4"/>
      <c r="AM292" s="4"/>
      <c r="AN292" s="4"/>
      <c r="AQ292" s="4"/>
      <c r="AR292" s="4"/>
      <c r="AU292" s="4"/>
      <c r="AV292" s="4"/>
      <c r="AY292" s="4"/>
      <c r="AZ292" s="4"/>
      <c r="BC292" s="4"/>
      <c r="BD292" s="4"/>
      <c r="BG292" s="4"/>
      <c r="BH292" s="4"/>
    </row>
    <row r="293" spans="3:60">
      <c r="C293" s="4"/>
      <c r="D293" s="4"/>
      <c r="G293" s="4"/>
      <c r="H293" s="4"/>
      <c r="K293" s="4"/>
      <c r="L293" s="4"/>
      <c r="O293" s="4"/>
      <c r="P293" s="4"/>
      <c r="S293" s="4"/>
      <c r="T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I293" s="4"/>
      <c r="AJ293" s="4"/>
      <c r="AM293" s="4"/>
      <c r="AN293" s="4"/>
      <c r="AQ293" s="4"/>
      <c r="AR293" s="4"/>
      <c r="AU293" s="4"/>
      <c r="AV293" s="4"/>
      <c r="AY293" s="4"/>
      <c r="AZ293" s="4"/>
      <c r="BC293" s="4"/>
      <c r="BD293" s="4"/>
      <c r="BG293" s="4"/>
      <c r="BH293" s="4"/>
    </row>
    <row r="294" spans="3:60">
      <c r="C294" s="4"/>
      <c r="D294" s="4"/>
      <c r="G294" s="4"/>
      <c r="H294" s="4"/>
      <c r="K294" s="4"/>
      <c r="L294" s="4"/>
      <c r="O294" s="4"/>
      <c r="P294" s="4"/>
      <c r="S294" s="4"/>
      <c r="T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I294" s="4"/>
      <c r="AJ294" s="4"/>
      <c r="AM294" s="4"/>
      <c r="AN294" s="4"/>
      <c r="AQ294" s="4"/>
      <c r="AR294" s="4"/>
      <c r="AU294" s="4"/>
      <c r="AV294" s="4"/>
      <c r="AY294" s="4"/>
      <c r="AZ294" s="4"/>
      <c r="BC294" s="4"/>
      <c r="BD294" s="4"/>
      <c r="BG294" s="4"/>
      <c r="BH294" s="4"/>
    </row>
    <row r="295" spans="3:60">
      <c r="C295" s="4"/>
      <c r="D295" s="4"/>
      <c r="G295" s="4"/>
      <c r="H295" s="4"/>
      <c r="K295" s="4"/>
      <c r="L295" s="4"/>
      <c r="O295" s="4"/>
      <c r="P295" s="4"/>
      <c r="S295" s="4"/>
      <c r="T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I295" s="4"/>
      <c r="AJ295" s="4"/>
      <c r="AM295" s="4"/>
      <c r="AN295" s="4"/>
      <c r="AQ295" s="4"/>
      <c r="AR295" s="4"/>
      <c r="AU295" s="4"/>
      <c r="AV295" s="4"/>
      <c r="AY295" s="4"/>
      <c r="AZ295" s="4"/>
      <c r="BC295" s="4"/>
      <c r="BD295" s="4"/>
      <c r="BG295" s="4"/>
      <c r="BH295" s="4"/>
    </row>
    <row r="296" spans="3:60">
      <c r="C296" s="4"/>
      <c r="D296" s="4"/>
      <c r="G296" s="4"/>
      <c r="H296" s="4"/>
      <c r="K296" s="4"/>
      <c r="L296" s="4"/>
      <c r="O296" s="4"/>
      <c r="P296" s="4"/>
      <c r="S296" s="4"/>
      <c r="T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I296" s="4"/>
      <c r="AJ296" s="4"/>
      <c r="AM296" s="4"/>
      <c r="AN296" s="4"/>
      <c r="AQ296" s="4"/>
      <c r="AR296" s="4"/>
      <c r="AU296" s="4"/>
      <c r="AV296" s="4"/>
      <c r="AY296" s="4"/>
      <c r="AZ296" s="4"/>
      <c r="BC296" s="4"/>
      <c r="BD296" s="4"/>
      <c r="BG296" s="4"/>
      <c r="BH296" s="4"/>
    </row>
    <row r="297" spans="3:60">
      <c r="C297" s="4"/>
      <c r="D297" s="4"/>
      <c r="G297" s="4"/>
      <c r="H297" s="4"/>
      <c r="K297" s="4"/>
      <c r="L297" s="4"/>
      <c r="O297" s="4"/>
      <c r="P297" s="4"/>
      <c r="S297" s="4"/>
      <c r="T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I297" s="4"/>
      <c r="AJ297" s="4"/>
      <c r="AM297" s="4"/>
      <c r="AN297" s="4"/>
      <c r="AQ297" s="4"/>
      <c r="AR297" s="4"/>
      <c r="AU297" s="4"/>
      <c r="AV297" s="4"/>
      <c r="AY297" s="4"/>
      <c r="AZ297" s="4"/>
      <c r="BC297" s="4"/>
      <c r="BD297" s="4"/>
      <c r="BG297" s="4"/>
      <c r="BH297" s="4"/>
    </row>
    <row r="298" spans="3:60">
      <c r="C298" s="4"/>
      <c r="D298" s="4"/>
      <c r="G298" s="4"/>
      <c r="H298" s="4"/>
      <c r="K298" s="4"/>
      <c r="L298" s="4"/>
      <c r="O298" s="4"/>
      <c r="P298" s="4"/>
      <c r="S298" s="4"/>
      <c r="T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I298" s="4"/>
      <c r="AJ298" s="4"/>
      <c r="AM298" s="4"/>
      <c r="AN298" s="4"/>
      <c r="AQ298" s="4"/>
      <c r="AR298" s="4"/>
      <c r="AU298" s="4"/>
      <c r="AV298" s="4"/>
      <c r="AY298" s="4"/>
      <c r="AZ298" s="4"/>
      <c r="BC298" s="4"/>
      <c r="BD298" s="4"/>
      <c r="BG298" s="4"/>
      <c r="BH298" s="4"/>
    </row>
    <row r="299" spans="3:60">
      <c r="C299" s="4"/>
      <c r="D299" s="4"/>
      <c r="G299" s="4"/>
      <c r="H299" s="4"/>
      <c r="K299" s="4"/>
      <c r="L299" s="4"/>
      <c r="O299" s="4"/>
      <c r="P299" s="4"/>
      <c r="S299" s="4"/>
      <c r="T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I299" s="4"/>
      <c r="AJ299" s="4"/>
      <c r="AM299" s="4"/>
      <c r="AN299" s="4"/>
      <c r="AQ299" s="4"/>
      <c r="AR299" s="4"/>
      <c r="AU299" s="4"/>
      <c r="AV299" s="4"/>
      <c r="AY299" s="4"/>
      <c r="AZ299" s="4"/>
      <c r="BC299" s="4"/>
      <c r="BD299" s="4"/>
      <c r="BG299" s="4"/>
      <c r="BH299" s="4"/>
    </row>
    <row r="300" spans="3:60">
      <c r="C300" s="4"/>
      <c r="D300" s="4"/>
      <c r="G300" s="4"/>
      <c r="H300" s="4"/>
      <c r="K300" s="4"/>
      <c r="L300" s="4"/>
      <c r="O300" s="4"/>
      <c r="P300" s="4"/>
      <c r="S300" s="4"/>
      <c r="T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I300" s="4"/>
      <c r="AJ300" s="4"/>
      <c r="AM300" s="4"/>
      <c r="AN300" s="4"/>
      <c r="AQ300" s="4"/>
      <c r="AR300" s="4"/>
      <c r="AU300" s="4"/>
      <c r="AV300" s="4"/>
      <c r="AY300" s="4"/>
      <c r="AZ300" s="4"/>
      <c r="BC300" s="4"/>
      <c r="BD300" s="4"/>
      <c r="BG300" s="4"/>
      <c r="BH300" s="4"/>
    </row>
    <row r="301" spans="3:60">
      <c r="C301" s="4"/>
      <c r="D301" s="4"/>
      <c r="G301" s="4"/>
      <c r="H301" s="4"/>
      <c r="K301" s="4"/>
      <c r="L301" s="4"/>
      <c r="O301" s="4"/>
      <c r="P301" s="4"/>
      <c r="S301" s="4"/>
      <c r="T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I301" s="4"/>
      <c r="AJ301" s="4"/>
      <c r="AM301" s="4"/>
      <c r="AN301" s="4"/>
      <c r="AQ301" s="4"/>
      <c r="AR301" s="4"/>
      <c r="AU301" s="4"/>
      <c r="AV301" s="4"/>
      <c r="AY301" s="4"/>
      <c r="AZ301" s="4"/>
      <c r="BC301" s="4"/>
      <c r="BD301" s="4"/>
      <c r="BG301" s="4"/>
      <c r="BH301" s="4"/>
    </row>
    <row r="302" spans="3:60">
      <c r="C302" s="4"/>
      <c r="D302" s="4"/>
      <c r="G302" s="4"/>
      <c r="H302" s="4"/>
      <c r="K302" s="4"/>
      <c r="L302" s="4"/>
      <c r="O302" s="4"/>
      <c r="P302" s="4"/>
      <c r="S302" s="4"/>
      <c r="T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I302" s="4"/>
      <c r="AJ302" s="4"/>
      <c r="AM302" s="4"/>
      <c r="AN302" s="4"/>
      <c r="AQ302" s="4"/>
      <c r="AR302" s="4"/>
      <c r="AU302" s="4"/>
      <c r="AV302" s="4"/>
      <c r="AY302" s="4"/>
      <c r="AZ302" s="4"/>
      <c r="BC302" s="4"/>
      <c r="BD302" s="4"/>
      <c r="BG302" s="4"/>
      <c r="BH302" s="4"/>
    </row>
    <row r="303" spans="3:60">
      <c r="C303" s="4"/>
      <c r="D303" s="4"/>
      <c r="G303" s="4"/>
      <c r="H303" s="4"/>
      <c r="K303" s="4"/>
      <c r="L303" s="4"/>
      <c r="O303" s="4"/>
      <c r="P303" s="4"/>
      <c r="S303" s="4"/>
      <c r="T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I303" s="4"/>
      <c r="AJ303" s="4"/>
      <c r="AM303" s="4"/>
      <c r="AN303" s="4"/>
      <c r="AQ303" s="4"/>
      <c r="AR303" s="4"/>
      <c r="AU303" s="4"/>
      <c r="AV303" s="4"/>
      <c r="AY303" s="4"/>
      <c r="AZ303" s="4"/>
      <c r="BC303" s="4"/>
      <c r="BD303" s="4"/>
      <c r="BG303" s="4"/>
      <c r="BH303" s="4"/>
    </row>
    <row r="304" spans="3:60">
      <c r="C304" s="4"/>
      <c r="D304" s="4"/>
      <c r="G304" s="4"/>
      <c r="H304" s="4"/>
      <c r="K304" s="4"/>
      <c r="L304" s="4"/>
      <c r="O304" s="4"/>
      <c r="P304" s="4"/>
      <c r="S304" s="4"/>
      <c r="T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I304" s="4"/>
      <c r="AJ304" s="4"/>
      <c r="AM304" s="4"/>
      <c r="AN304" s="4"/>
      <c r="AQ304" s="4"/>
      <c r="AR304" s="4"/>
      <c r="AU304" s="4"/>
      <c r="AV304" s="4"/>
      <c r="AY304" s="4"/>
      <c r="AZ304" s="4"/>
      <c r="BC304" s="4"/>
      <c r="BD304" s="4"/>
      <c r="BG304" s="4"/>
      <c r="BH304" s="4"/>
    </row>
    <row r="305" spans="3:60">
      <c r="C305" s="4"/>
      <c r="D305" s="4"/>
      <c r="G305" s="4"/>
      <c r="H305" s="4"/>
      <c r="K305" s="4"/>
      <c r="L305" s="4"/>
      <c r="O305" s="4"/>
      <c r="P305" s="4"/>
      <c r="S305" s="4"/>
      <c r="T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I305" s="4"/>
      <c r="AJ305" s="4"/>
      <c r="AM305" s="4"/>
      <c r="AN305" s="4"/>
      <c r="AQ305" s="4"/>
      <c r="AR305" s="4"/>
      <c r="AU305" s="4"/>
      <c r="AV305" s="4"/>
      <c r="AY305" s="4"/>
      <c r="AZ305" s="4"/>
      <c r="BC305" s="4"/>
      <c r="BD305" s="4"/>
      <c r="BG305" s="4"/>
      <c r="BH305" s="4"/>
    </row>
    <row r="306" spans="3:60">
      <c r="C306" s="4"/>
      <c r="D306" s="4"/>
      <c r="G306" s="4"/>
      <c r="H306" s="4"/>
      <c r="K306" s="4"/>
      <c r="L306" s="4"/>
      <c r="O306" s="4"/>
      <c r="P306" s="4"/>
      <c r="S306" s="4"/>
      <c r="T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I306" s="4"/>
      <c r="AJ306" s="4"/>
      <c r="AM306" s="4"/>
      <c r="AN306" s="4"/>
      <c r="AQ306" s="4"/>
      <c r="AR306" s="4"/>
      <c r="AU306" s="4"/>
      <c r="AV306" s="4"/>
      <c r="AY306" s="4"/>
      <c r="AZ306" s="4"/>
      <c r="BC306" s="4"/>
      <c r="BD306" s="4"/>
      <c r="BG306" s="4"/>
      <c r="BH306" s="4"/>
    </row>
    <row r="307" spans="3:60">
      <c r="C307" s="4"/>
      <c r="D307" s="4"/>
      <c r="G307" s="4"/>
      <c r="H307" s="4"/>
      <c r="K307" s="4"/>
      <c r="L307" s="4"/>
      <c r="O307" s="4"/>
      <c r="P307" s="4"/>
      <c r="S307" s="4"/>
      <c r="T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I307" s="4"/>
      <c r="AJ307" s="4"/>
      <c r="AM307" s="4"/>
      <c r="AN307" s="4"/>
      <c r="AQ307" s="4"/>
      <c r="AR307" s="4"/>
      <c r="AU307" s="4"/>
      <c r="AV307" s="4"/>
      <c r="AY307" s="4"/>
      <c r="AZ307" s="4"/>
      <c r="BC307" s="4"/>
      <c r="BD307" s="4"/>
      <c r="BG307" s="4"/>
      <c r="BH307" s="4"/>
    </row>
    <row r="308" spans="3:60">
      <c r="C308" s="4"/>
      <c r="D308" s="4"/>
      <c r="G308" s="4"/>
      <c r="H308" s="4"/>
      <c r="K308" s="4"/>
      <c r="L308" s="4"/>
      <c r="O308" s="4"/>
      <c r="P308" s="4"/>
      <c r="S308" s="4"/>
      <c r="T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I308" s="4"/>
      <c r="AJ308" s="4"/>
      <c r="AM308" s="4"/>
      <c r="AN308" s="4"/>
      <c r="AQ308" s="4"/>
      <c r="AR308" s="4"/>
      <c r="AU308" s="4"/>
      <c r="AV308" s="4"/>
      <c r="AY308" s="4"/>
      <c r="AZ308" s="4"/>
      <c r="BC308" s="4"/>
      <c r="BD308" s="4"/>
      <c r="BG308" s="4"/>
      <c r="BH308" s="4"/>
    </row>
    <row r="309" spans="3:60">
      <c r="C309" s="4"/>
      <c r="D309" s="4"/>
      <c r="G309" s="4"/>
      <c r="H309" s="4"/>
      <c r="K309" s="4"/>
      <c r="L309" s="4"/>
      <c r="O309" s="4"/>
      <c r="P309" s="4"/>
      <c r="S309" s="4"/>
      <c r="T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I309" s="4"/>
      <c r="AJ309" s="4"/>
      <c r="AM309" s="4"/>
      <c r="AN309" s="4"/>
      <c r="AQ309" s="4"/>
      <c r="AR309" s="4"/>
      <c r="AU309" s="4"/>
      <c r="AV309" s="4"/>
      <c r="AY309" s="4"/>
      <c r="AZ309" s="4"/>
      <c r="BC309" s="4"/>
      <c r="BD309" s="4"/>
      <c r="BG309" s="4"/>
      <c r="BH309" s="4"/>
    </row>
    <row r="310" spans="3:60">
      <c r="C310" s="4"/>
      <c r="D310" s="4"/>
      <c r="G310" s="4"/>
      <c r="H310" s="4"/>
      <c r="K310" s="4"/>
      <c r="L310" s="4"/>
      <c r="O310" s="4"/>
      <c r="P310" s="4"/>
      <c r="S310" s="4"/>
      <c r="T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I310" s="4"/>
      <c r="AJ310" s="4"/>
      <c r="AM310" s="4"/>
      <c r="AN310" s="4"/>
      <c r="AQ310" s="4"/>
      <c r="AR310" s="4"/>
      <c r="AU310" s="4"/>
      <c r="AV310" s="4"/>
      <c r="AY310" s="4"/>
      <c r="AZ310" s="4"/>
      <c r="BC310" s="4"/>
      <c r="BD310" s="4"/>
      <c r="BG310" s="4"/>
      <c r="BH310" s="4"/>
    </row>
    <row r="311" spans="3:60">
      <c r="C311" s="4"/>
      <c r="D311" s="4"/>
      <c r="G311" s="4"/>
      <c r="H311" s="4"/>
      <c r="K311" s="4"/>
      <c r="L311" s="4"/>
      <c r="O311" s="4"/>
      <c r="P311" s="4"/>
      <c r="S311" s="4"/>
      <c r="T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I311" s="4"/>
      <c r="AJ311" s="4"/>
      <c r="AM311" s="4"/>
      <c r="AN311" s="4"/>
      <c r="AQ311" s="4"/>
      <c r="AR311" s="4"/>
      <c r="AU311" s="4"/>
      <c r="AV311" s="4"/>
      <c r="AY311" s="4"/>
      <c r="AZ311" s="4"/>
      <c r="BC311" s="4"/>
      <c r="BD311" s="4"/>
      <c r="BG311" s="4"/>
      <c r="BH311" s="4"/>
    </row>
    <row r="312" spans="3:60">
      <c r="C312" s="4"/>
      <c r="D312" s="4"/>
      <c r="G312" s="4"/>
      <c r="H312" s="4"/>
      <c r="K312" s="4"/>
      <c r="L312" s="4"/>
      <c r="O312" s="4"/>
      <c r="P312" s="4"/>
      <c r="S312" s="4"/>
      <c r="T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I312" s="4"/>
      <c r="AJ312" s="4"/>
      <c r="AM312" s="4"/>
      <c r="AN312" s="4"/>
      <c r="AQ312" s="4"/>
      <c r="AR312" s="4"/>
      <c r="AU312" s="4"/>
      <c r="AV312" s="4"/>
      <c r="AY312" s="4"/>
      <c r="AZ312" s="4"/>
      <c r="BC312" s="4"/>
      <c r="BD312" s="4"/>
      <c r="BG312" s="4"/>
      <c r="BH312" s="4"/>
    </row>
    <row r="313" spans="3:60">
      <c r="C313" s="4"/>
      <c r="D313" s="4"/>
      <c r="G313" s="4"/>
      <c r="H313" s="4"/>
      <c r="K313" s="4"/>
      <c r="L313" s="4"/>
      <c r="O313" s="4"/>
      <c r="P313" s="4"/>
      <c r="S313" s="4"/>
      <c r="T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I313" s="4"/>
      <c r="AJ313" s="4"/>
      <c r="AM313" s="4"/>
      <c r="AN313" s="4"/>
      <c r="AQ313" s="4"/>
      <c r="AR313" s="4"/>
      <c r="AU313" s="4"/>
      <c r="AV313" s="4"/>
      <c r="AY313" s="4"/>
      <c r="AZ313" s="4"/>
      <c r="BC313" s="4"/>
      <c r="BD313" s="4"/>
      <c r="BG313" s="4"/>
      <c r="BH313" s="4"/>
    </row>
    <row r="314" spans="3:60">
      <c r="C314" s="4"/>
      <c r="D314" s="4"/>
      <c r="G314" s="4"/>
      <c r="H314" s="4"/>
      <c r="K314" s="4"/>
      <c r="L314" s="4"/>
      <c r="O314" s="4"/>
      <c r="P314" s="4"/>
      <c r="S314" s="4"/>
      <c r="T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I314" s="4"/>
      <c r="AJ314" s="4"/>
      <c r="AM314" s="4"/>
      <c r="AN314" s="4"/>
      <c r="AQ314" s="4"/>
      <c r="AR314" s="4"/>
      <c r="AU314" s="4"/>
      <c r="AV314" s="4"/>
      <c r="AY314" s="4"/>
      <c r="AZ314" s="4"/>
      <c r="BC314" s="4"/>
      <c r="BD314" s="4"/>
      <c r="BG314" s="4"/>
      <c r="BH314" s="4"/>
    </row>
    <row r="315" spans="3:60">
      <c r="C315" s="4"/>
      <c r="D315" s="4"/>
      <c r="G315" s="4"/>
      <c r="H315" s="4"/>
      <c r="K315" s="4"/>
      <c r="L315" s="4"/>
      <c r="O315" s="4"/>
      <c r="P315" s="4"/>
      <c r="S315" s="4"/>
      <c r="T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I315" s="4"/>
      <c r="AJ315" s="4"/>
      <c r="AM315" s="4"/>
      <c r="AN315" s="4"/>
      <c r="AQ315" s="4"/>
      <c r="AR315" s="4"/>
      <c r="AU315" s="4"/>
      <c r="AV315" s="4"/>
      <c r="AY315" s="4"/>
      <c r="AZ315" s="4"/>
      <c r="BC315" s="4"/>
      <c r="BD315" s="4"/>
      <c r="BG315" s="4"/>
      <c r="BH315" s="4"/>
    </row>
    <row r="316" spans="3:60">
      <c r="C316" s="4"/>
      <c r="D316" s="4"/>
      <c r="G316" s="4"/>
      <c r="H316" s="4"/>
      <c r="K316" s="4"/>
      <c r="L316" s="4"/>
      <c r="O316" s="4"/>
      <c r="P316" s="4"/>
      <c r="S316" s="4"/>
      <c r="T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I316" s="4"/>
      <c r="AJ316" s="4"/>
      <c r="AM316" s="4"/>
      <c r="AN316" s="4"/>
      <c r="AQ316" s="4"/>
      <c r="AR316" s="4"/>
      <c r="AU316" s="4"/>
      <c r="AV316" s="4"/>
      <c r="AY316" s="4"/>
      <c r="AZ316" s="4"/>
      <c r="BC316" s="4"/>
      <c r="BD316" s="4"/>
      <c r="BG316" s="4"/>
      <c r="BH316" s="4"/>
    </row>
    <row r="317" spans="3:60">
      <c r="C317" s="4"/>
      <c r="D317" s="4"/>
      <c r="G317" s="4"/>
      <c r="H317" s="4"/>
      <c r="K317" s="4"/>
      <c r="L317" s="4"/>
      <c r="O317" s="4"/>
      <c r="P317" s="4"/>
      <c r="S317" s="4"/>
      <c r="T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I317" s="4"/>
      <c r="AJ317" s="4"/>
      <c r="AM317" s="4"/>
      <c r="AN317" s="4"/>
      <c r="AQ317" s="4"/>
      <c r="AR317" s="4"/>
      <c r="AU317" s="4"/>
      <c r="AV317" s="4"/>
      <c r="AY317" s="4"/>
      <c r="AZ317" s="4"/>
      <c r="BC317" s="4"/>
      <c r="BD317" s="4"/>
      <c r="BG317" s="4"/>
      <c r="BH317" s="4"/>
    </row>
    <row r="318" spans="3:60">
      <c r="C318" s="4"/>
      <c r="D318" s="4"/>
      <c r="G318" s="4"/>
      <c r="H318" s="4"/>
      <c r="K318" s="4"/>
      <c r="L318" s="4"/>
      <c r="O318" s="4"/>
      <c r="P318" s="4"/>
      <c r="S318" s="4"/>
      <c r="T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I318" s="4"/>
      <c r="AJ318" s="4"/>
      <c r="AM318" s="4"/>
      <c r="AN318" s="4"/>
      <c r="AQ318" s="4"/>
      <c r="AR318" s="4"/>
      <c r="AU318" s="4"/>
      <c r="AV318" s="4"/>
      <c r="AY318" s="4"/>
      <c r="AZ318" s="4"/>
      <c r="BC318" s="4"/>
      <c r="BD318" s="4"/>
      <c r="BG318" s="4"/>
      <c r="BH318" s="4"/>
    </row>
    <row r="319" spans="3:60">
      <c r="C319" s="4"/>
      <c r="D319" s="4"/>
      <c r="G319" s="4"/>
      <c r="H319" s="4"/>
      <c r="K319" s="4"/>
      <c r="L319" s="4"/>
      <c r="O319" s="4"/>
      <c r="P319" s="4"/>
      <c r="S319" s="4"/>
      <c r="T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I319" s="4"/>
      <c r="AJ319" s="4"/>
      <c r="AM319" s="4"/>
      <c r="AN319" s="4"/>
      <c r="AQ319" s="4"/>
      <c r="AR319" s="4"/>
      <c r="AU319" s="4"/>
      <c r="AV319" s="4"/>
      <c r="AY319" s="4"/>
      <c r="AZ319" s="4"/>
      <c r="BC319" s="4"/>
      <c r="BD319" s="4"/>
      <c r="BG319" s="4"/>
      <c r="BH319" s="4"/>
    </row>
    <row r="320" spans="3:60">
      <c r="C320" s="4"/>
      <c r="D320" s="4"/>
      <c r="G320" s="4"/>
      <c r="H320" s="4"/>
      <c r="K320" s="4"/>
      <c r="L320" s="4"/>
      <c r="O320" s="4"/>
      <c r="P320" s="4"/>
      <c r="S320" s="4"/>
      <c r="T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I320" s="4"/>
      <c r="AJ320" s="4"/>
      <c r="AM320" s="4"/>
      <c r="AN320" s="4"/>
      <c r="AQ320" s="4"/>
      <c r="AR320" s="4"/>
      <c r="AU320" s="4"/>
      <c r="AV320" s="4"/>
      <c r="AY320" s="4"/>
      <c r="AZ320" s="4"/>
      <c r="BC320" s="4"/>
      <c r="BD320" s="4"/>
      <c r="BG320" s="4"/>
      <c r="BH320" s="4"/>
    </row>
    <row r="321" spans="3:60">
      <c r="C321" s="4"/>
      <c r="D321" s="4"/>
      <c r="G321" s="4"/>
      <c r="H321" s="4"/>
      <c r="K321" s="4"/>
      <c r="L321" s="4"/>
      <c r="O321" s="4"/>
      <c r="P321" s="4"/>
      <c r="S321" s="4"/>
      <c r="T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I321" s="4"/>
      <c r="AJ321" s="4"/>
      <c r="AM321" s="4"/>
      <c r="AN321" s="4"/>
      <c r="AQ321" s="4"/>
      <c r="AR321" s="4"/>
      <c r="AU321" s="4"/>
      <c r="AV321" s="4"/>
      <c r="AY321" s="4"/>
      <c r="AZ321" s="4"/>
      <c r="BC321" s="4"/>
      <c r="BD321" s="4"/>
      <c r="BG321" s="4"/>
      <c r="BH321" s="4"/>
    </row>
    <row r="322" spans="3:60">
      <c r="C322" s="4"/>
      <c r="D322" s="4"/>
      <c r="G322" s="4"/>
      <c r="H322" s="4"/>
      <c r="K322" s="4"/>
      <c r="L322" s="4"/>
      <c r="O322" s="4"/>
      <c r="P322" s="4"/>
      <c r="S322" s="4"/>
      <c r="T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I322" s="4"/>
      <c r="AJ322" s="4"/>
      <c r="AM322" s="4"/>
      <c r="AN322" s="4"/>
      <c r="AQ322" s="4"/>
      <c r="AR322" s="4"/>
      <c r="AU322" s="4"/>
      <c r="AV322" s="4"/>
      <c r="AY322" s="4"/>
      <c r="AZ322" s="4"/>
      <c r="BC322" s="4"/>
      <c r="BD322" s="4"/>
      <c r="BG322" s="4"/>
      <c r="BH322" s="4"/>
    </row>
    <row r="323" spans="3:60">
      <c r="C323" s="4"/>
      <c r="D323" s="4"/>
      <c r="G323" s="4"/>
      <c r="H323" s="4"/>
      <c r="K323" s="4"/>
      <c r="L323" s="4"/>
      <c r="O323" s="4"/>
      <c r="P323" s="4"/>
      <c r="S323" s="4"/>
      <c r="T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I323" s="4"/>
      <c r="AJ323" s="4"/>
      <c r="AM323" s="4"/>
      <c r="AN323" s="4"/>
      <c r="AQ323" s="4"/>
      <c r="AR323" s="4"/>
      <c r="AU323" s="4"/>
      <c r="AV323" s="4"/>
      <c r="AY323" s="4"/>
      <c r="AZ323" s="4"/>
      <c r="BC323" s="4"/>
      <c r="BD323" s="4"/>
      <c r="BG323" s="4"/>
      <c r="BH323" s="4"/>
    </row>
    <row r="324" spans="3:60">
      <c r="C324" s="4"/>
      <c r="D324" s="4"/>
      <c r="G324" s="4"/>
      <c r="H324" s="4"/>
      <c r="K324" s="4"/>
      <c r="L324" s="4"/>
      <c r="O324" s="4"/>
      <c r="P324" s="4"/>
      <c r="S324" s="4"/>
      <c r="T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I324" s="4"/>
      <c r="AJ324" s="4"/>
      <c r="AM324" s="4"/>
      <c r="AN324" s="4"/>
      <c r="AQ324" s="4"/>
      <c r="AR324" s="4"/>
      <c r="AU324" s="4"/>
      <c r="AV324" s="4"/>
      <c r="AY324" s="4"/>
      <c r="AZ324" s="4"/>
      <c r="BC324" s="4"/>
      <c r="BD324" s="4"/>
      <c r="BG324" s="4"/>
      <c r="BH324" s="4"/>
    </row>
    <row r="325" spans="3:60">
      <c r="C325" s="4"/>
      <c r="D325" s="4"/>
      <c r="G325" s="4"/>
      <c r="H325" s="4"/>
      <c r="K325" s="4"/>
      <c r="L325" s="4"/>
      <c r="O325" s="4"/>
      <c r="P325" s="4"/>
      <c r="S325" s="4"/>
      <c r="T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I325" s="4"/>
      <c r="AJ325" s="4"/>
      <c r="AM325" s="4"/>
      <c r="AN325" s="4"/>
      <c r="AQ325" s="4"/>
      <c r="AR325" s="4"/>
      <c r="AU325" s="4"/>
      <c r="AV325" s="4"/>
      <c r="AY325" s="4"/>
      <c r="AZ325" s="4"/>
      <c r="BC325" s="4"/>
      <c r="BD325" s="4"/>
      <c r="BG325" s="4"/>
      <c r="BH325" s="4"/>
    </row>
    <row r="326" spans="3:60">
      <c r="C326" s="4"/>
      <c r="D326" s="4"/>
      <c r="G326" s="4"/>
      <c r="H326" s="4"/>
      <c r="K326" s="4"/>
      <c r="L326" s="4"/>
      <c r="O326" s="4"/>
      <c r="P326" s="4"/>
      <c r="S326" s="4"/>
      <c r="T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I326" s="4"/>
      <c r="AJ326" s="4"/>
      <c r="AM326" s="4"/>
      <c r="AN326" s="4"/>
      <c r="AQ326" s="4"/>
      <c r="AR326" s="4"/>
      <c r="AU326" s="4"/>
      <c r="AV326" s="4"/>
      <c r="AY326" s="4"/>
      <c r="AZ326" s="4"/>
      <c r="BC326" s="4"/>
      <c r="BD326" s="4"/>
      <c r="BG326" s="4"/>
      <c r="BH326" s="4"/>
    </row>
    <row r="327" spans="3:60">
      <c r="C327" s="4"/>
      <c r="D327" s="4"/>
      <c r="G327" s="4"/>
      <c r="H327" s="4"/>
      <c r="K327" s="4"/>
      <c r="L327" s="4"/>
      <c r="O327" s="4"/>
      <c r="P327" s="4"/>
      <c r="S327" s="4"/>
      <c r="T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I327" s="4"/>
      <c r="AJ327" s="4"/>
      <c r="AM327" s="4"/>
      <c r="AN327" s="4"/>
      <c r="AQ327" s="4"/>
      <c r="AR327" s="4"/>
      <c r="AU327" s="4"/>
      <c r="AV327" s="4"/>
      <c r="AY327" s="4"/>
      <c r="AZ327" s="4"/>
      <c r="BC327" s="4"/>
      <c r="BD327" s="4"/>
      <c r="BG327" s="4"/>
      <c r="BH327" s="4"/>
    </row>
    <row r="328" spans="3:60">
      <c r="C328" s="4"/>
      <c r="D328" s="4"/>
      <c r="G328" s="4"/>
      <c r="H328" s="4"/>
      <c r="K328" s="4"/>
      <c r="L328" s="4"/>
      <c r="O328" s="4"/>
      <c r="P328" s="4"/>
      <c r="S328" s="4"/>
      <c r="T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I328" s="4"/>
      <c r="AJ328" s="4"/>
      <c r="AM328" s="4"/>
      <c r="AN328" s="4"/>
      <c r="AQ328" s="4"/>
      <c r="AR328" s="4"/>
      <c r="AU328" s="4"/>
      <c r="AV328" s="4"/>
      <c r="AY328" s="4"/>
      <c r="AZ328" s="4"/>
      <c r="BC328" s="4"/>
      <c r="BD328" s="4"/>
      <c r="BG328" s="4"/>
      <c r="BH328" s="4"/>
    </row>
    <row r="329" spans="3:60">
      <c r="C329" s="4"/>
      <c r="D329" s="4"/>
      <c r="G329" s="4"/>
      <c r="H329" s="4"/>
      <c r="K329" s="4"/>
      <c r="L329" s="4"/>
      <c r="O329" s="4"/>
      <c r="P329" s="4"/>
      <c r="S329" s="4"/>
      <c r="T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I329" s="4"/>
      <c r="AJ329" s="4"/>
      <c r="AM329" s="4"/>
      <c r="AN329" s="4"/>
      <c r="AQ329" s="4"/>
      <c r="AR329" s="4"/>
      <c r="AU329" s="4"/>
      <c r="AV329" s="4"/>
      <c r="AY329" s="4"/>
      <c r="AZ329" s="4"/>
      <c r="BC329" s="4"/>
      <c r="BD329" s="4"/>
      <c r="BG329" s="4"/>
      <c r="BH329" s="4"/>
    </row>
    <row r="330" spans="3:60">
      <c r="C330" s="4"/>
      <c r="D330" s="4"/>
      <c r="G330" s="4"/>
      <c r="H330" s="4"/>
      <c r="K330" s="4"/>
      <c r="L330" s="4"/>
      <c r="O330" s="4"/>
      <c r="P330" s="4"/>
      <c r="S330" s="4"/>
      <c r="T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I330" s="4"/>
      <c r="AJ330" s="4"/>
      <c r="AM330" s="4"/>
      <c r="AN330" s="4"/>
      <c r="AQ330" s="4"/>
      <c r="AR330" s="4"/>
      <c r="AU330" s="4"/>
      <c r="AV330" s="4"/>
      <c r="AY330" s="4"/>
      <c r="AZ330" s="4"/>
      <c r="BC330" s="4"/>
      <c r="BD330" s="4"/>
      <c r="BG330" s="4"/>
      <c r="BH330" s="4"/>
    </row>
    <row r="331" spans="3:60">
      <c r="C331" s="4"/>
      <c r="D331" s="4"/>
      <c r="G331" s="4"/>
      <c r="H331" s="4"/>
      <c r="K331" s="4"/>
      <c r="L331" s="4"/>
      <c r="O331" s="4"/>
      <c r="P331" s="4"/>
      <c r="S331" s="4"/>
      <c r="T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I331" s="4"/>
      <c r="AJ331" s="4"/>
      <c r="AM331" s="4"/>
      <c r="AN331" s="4"/>
      <c r="AQ331" s="4"/>
      <c r="AR331" s="4"/>
      <c r="AU331" s="4"/>
      <c r="AV331" s="4"/>
      <c r="AY331" s="4"/>
      <c r="AZ331" s="4"/>
      <c r="BC331" s="4"/>
      <c r="BD331" s="4"/>
      <c r="BG331" s="4"/>
      <c r="BH331" s="4"/>
    </row>
    <row r="332" spans="3:60">
      <c r="C332" s="4"/>
      <c r="D332" s="4"/>
      <c r="G332" s="4"/>
      <c r="H332" s="4"/>
      <c r="K332" s="4"/>
      <c r="L332" s="4"/>
      <c r="O332" s="4"/>
      <c r="P332" s="4"/>
      <c r="S332" s="4"/>
      <c r="T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I332" s="4"/>
      <c r="AJ332" s="4"/>
      <c r="AM332" s="4"/>
      <c r="AN332" s="4"/>
      <c r="AQ332" s="4"/>
      <c r="AR332" s="4"/>
      <c r="AU332" s="4"/>
      <c r="AV332" s="4"/>
      <c r="AY332" s="4"/>
      <c r="AZ332" s="4"/>
      <c r="BC332" s="4"/>
      <c r="BD332" s="4"/>
      <c r="BG332" s="4"/>
      <c r="BH332" s="4"/>
    </row>
    <row r="333" spans="3:60">
      <c r="C333" s="4"/>
      <c r="D333" s="4"/>
      <c r="G333" s="4"/>
      <c r="H333" s="4"/>
      <c r="K333" s="4"/>
      <c r="L333" s="4"/>
      <c r="O333" s="4"/>
      <c r="P333" s="4"/>
      <c r="S333" s="4"/>
      <c r="T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I333" s="4"/>
      <c r="AJ333" s="4"/>
      <c r="AM333" s="4"/>
      <c r="AN333" s="4"/>
      <c r="AQ333" s="4"/>
      <c r="AR333" s="4"/>
      <c r="AU333" s="4"/>
      <c r="AV333" s="4"/>
      <c r="AY333" s="4"/>
      <c r="AZ333" s="4"/>
      <c r="BC333" s="4"/>
      <c r="BD333" s="4"/>
      <c r="BG333" s="4"/>
      <c r="BH333" s="4"/>
    </row>
    <row r="334" spans="3:60">
      <c r="C334" s="4"/>
      <c r="D334" s="4"/>
      <c r="G334" s="4"/>
      <c r="H334" s="4"/>
      <c r="K334" s="4"/>
      <c r="L334" s="4"/>
      <c r="O334" s="4"/>
      <c r="P334" s="4"/>
      <c r="S334" s="4"/>
      <c r="T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I334" s="4"/>
      <c r="AJ334" s="4"/>
      <c r="AM334" s="4"/>
      <c r="AN334" s="4"/>
      <c r="AQ334" s="4"/>
      <c r="AR334" s="4"/>
      <c r="AU334" s="4"/>
      <c r="AV334" s="4"/>
      <c r="AY334" s="4"/>
      <c r="AZ334" s="4"/>
      <c r="BC334" s="4"/>
      <c r="BD334" s="4"/>
      <c r="BG334" s="4"/>
      <c r="BH334" s="4"/>
    </row>
    <row r="335" spans="3:60">
      <c r="C335" s="4"/>
      <c r="D335" s="4"/>
      <c r="G335" s="4"/>
      <c r="H335" s="4"/>
      <c r="K335" s="4"/>
      <c r="L335" s="4"/>
      <c r="O335" s="4"/>
      <c r="P335" s="4"/>
      <c r="S335" s="4"/>
      <c r="T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I335" s="4"/>
      <c r="AJ335" s="4"/>
      <c r="AM335" s="4"/>
      <c r="AN335" s="4"/>
      <c r="AQ335" s="4"/>
      <c r="AR335" s="4"/>
      <c r="AU335" s="4"/>
      <c r="AV335" s="4"/>
      <c r="AY335" s="4"/>
      <c r="AZ335" s="4"/>
      <c r="BC335" s="4"/>
      <c r="BD335" s="4"/>
      <c r="BG335" s="4"/>
      <c r="BH335" s="4"/>
    </row>
    <row r="336" spans="3:60">
      <c r="C336" s="4"/>
      <c r="D336" s="4"/>
      <c r="G336" s="4"/>
      <c r="H336" s="4"/>
      <c r="K336" s="4"/>
      <c r="L336" s="4"/>
      <c r="O336" s="4"/>
      <c r="P336" s="4"/>
      <c r="S336" s="4"/>
      <c r="T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I336" s="4"/>
      <c r="AJ336" s="4"/>
      <c r="AM336" s="4"/>
      <c r="AN336" s="4"/>
      <c r="AQ336" s="4"/>
      <c r="AR336" s="4"/>
      <c r="AU336" s="4"/>
      <c r="AV336" s="4"/>
      <c r="AY336" s="4"/>
      <c r="AZ336" s="4"/>
      <c r="BC336" s="4"/>
      <c r="BD336" s="4"/>
      <c r="BG336" s="4"/>
      <c r="BH336" s="4"/>
    </row>
    <row r="337" spans="3:60">
      <c r="C337" s="4"/>
      <c r="D337" s="4"/>
      <c r="G337" s="4"/>
      <c r="H337" s="4"/>
      <c r="K337" s="4"/>
      <c r="L337" s="4"/>
      <c r="O337" s="4"/>
      <c r="P337" s="4"/>
      <c r="S337" s="4"/>
      <c r="T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I337" s="4"/>
      <c r="AJ337" s="4"/>
      <c r="AM337" s="4"/>
      <c r="AN337" s="4"/>
      <c r="AQ337" s="4"/>
      <c r="AR337" s="4"/>
      <c r="AU337" s="4"/>
      <c r="AV337" s="4"/>
      <c r="AY337" s="4"/>
      <c r="AZ337" s="4"/>
      <c r="BC337" s="4"/>
      <c r="BD337" s="4"/>
      <c r="BG337" s="4"/>
      <c r="BH337" s="4"/>
    </row>
    <row r="338" spans="3:60">
      <c r="C338" s="4"/>
      <c r="D338" s="4"/>
      <c r="G338" s="4"/>
      <c r="H338" s="4"/>
      <c r="K338" s="4"/>
      <c r="L338" s="4"/>
      <c r="O338" s="4"/>
      <c r="P338" s="4"/>
      <c r="S338" s="4"/>
      <c r="T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I338" s="4"/>
      <c r="AJ338" s="4"/>
      <c r="AM338" s="4"/>
      <c r="AN338" s="4"/>
      <c r="AQ338" s="4"/>
      <c r="AR338" s="4"/>
      <c r="AU338" s="4"/>
      <c r="AV338" s="4"/>
      <c r="AY338" s="4"/>
      <c r="AZ338" s="4"/>
      <c r="BC338" s="4"/>
      <c r="BD338" s="4"/>
      <c r="BG338" s="4"/>
      <c r="BH338" s="4"/>
    </row>
    <row r="339" spans="3:60">
      <c r="C339" s="4"/>
      <c r="D339" s="4"/>
      <c r="G339" s="4"/>
      <c r="H339" s="4"/>
      <c r="K339" s="4"/>
      <c r="L339" s="4"/>
      <c r="O339" s="4"/>
      <c r="P339" s="4"/>
      <c r="S339" s="4"/>
      <c r="T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I339" s="4"/>
      <c r="AJ339" s="4"/>
      <c r="AM339" s="4"/>
      <c r="AN339" s="4"/>
      <c r="AQ339" s="4"/>
      <c r="AR339" s="4"/>
      <c r="AU339" s="4"/>
      <c r="AV339" s="4"/>
      <c r="AY339" s="4"/>
      <c r="AZ339" s="4"/>
      <c r="BC339" s="4"/>
      <c r="BD339" s="4"/>
      <c r="BG339" s="4"/>
      <c r="BH339" s="4"/>
    </row>
    <row r="340" spans="3:60">
      <c r="C340" s="4"/>
      <c r="D340" s="4"/>
      <c r="G340" s="4"/>
      <c r="H340" s="4"/>
      <c r="K340" s="4"/>
      <c r="L340" s="4"/>
      <c r="O340" s="4"/>
      <c r="P340" s="4"/>
      <c r="S340" s="4"/>
      <c r="T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I340" s="4"/>
      <c r="AJ340" s="4"/>
      <c r="AM340" s="4"/>
      <c r="AN340" s="4"/>
      <c r="AQ340" s="4"/>
      <c r="AR340" s="4"/>
      <c r="AU340" s="4"/>
      <c r="AV340" s="4"/>
      <c r="AY340" s="4"/>
      <c r="AZ340" s="4"/>
      <c r="BC340" s="4"/>
      <c r="BD340" s="4"/>
      <c r="BG340" s="4"/>
      <c r="BH340" s="4"/>
    </row>
    <row r="341" spans="3:60">
      <c r="C341" s="4"/>
      <c r="D341" s="4"/>
      <c r="G341" s="4"/>
      <c r="H341" s="4"/>
      <c r="K341" s="4"/>
      <c r="L341" s="4"/>
      <c r="O341" s="4"/>
      <c r="P341" s="4"/>
      <c r="S341" s="4"/>
      <c r="T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I341" s="4"/>
      <c r="AJ341" s="4"/>
      <c r="AM341" s="4"/>
      <c r="AN341" s="4"/>
      <c r="AQ341" s="4"/>
      <c r="AR341" s="4"/>
      <c r="AU341" s="4"/>
      <c r="AV341" s="4"/>
      <c r="AY341" s="4"/>
      <c r="AZ341" s="4"/>
      <c r="BC341" s="4"/>
      <c r="BD341" s="4"/>
      <c r="BG341" s="4"/>
      <c r="BH341" s="4"/>
    </row>
    <row r="342" spans="3:60">
      <c r="C342" s="4"/>
      <c r="D342" s="4"/>
      <c r="G342" s="4"/>
      <c r="H342" s="4"/>
      <c r="K342" s="4"/>
      <c r="L342" s="4"/>
      <c r="O342" s="4"/>
      <c r="P342" s="4"/>
      <c r="S342" s="4"/>
      <c r="T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I342" s="4"/>
      <c r="AJ342" s="4"/>
      <c r="AM342" s="4"/>
      <c r="AN342" s="4"/>
      <c r="AQ342" s="4"/>
      <c r="AR342" s="4"/>
      <c r="AU342" s="4"/>
      <c r="AV342" s="4"/>
      <c r="AY342" s="4"/>
      <c r="AZ342" s="4"/>
      <c r="BC342" s="4"/>
      <c r="BD342" s="4"/>
      <c r="BG342" s="4"/>
      <c r="BH342" s="4"/>
    </row>
    <row r="343" spans="3:60">
      <c r="C343" s="4"/>
      <c r="D343" s="4"/>
      <c r="G343" s="4"/>
      <c r="H343" s="4"/>
      <c r="K343" s="4"/>
      <c r="L343" s="4"/>
      <c r="O343" s="4"/>
      <c r="P343" s="4"/>
      <c r="S343" s="4"/>
      <c r="T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I343" s="4"/>
      <c r="AJ343" s="4"/>
      <c r="AM343" s="4"/>
      <c r="AN343" s="4"/>
      <c r="AQ343" s="4"/>
      <c r="AR343" s="4"/>
      <c r="AU343" s="4"/>
      <c r="AV343" s="4"/>
      <c r="AY343" s="4"/>
      <c r="AZ343" s="4"/>
      <c r="BC343" s="4"/>
      <c r="BD343" s="4"/>
      <c r="BG343" s="4"/>
      <c r="BH343" s="4"/>
    </row>
    <row r="344" spans="3:60">
      <c r="C344" s="4"/>
      <c r="D344" s="4"/>
      <c r="G344" s="4"/>
      <c r="H344" s="4"/>
      <c r="K344" s="4"/>
      <c r="L344" s="4"/>
      <c r="O344" s="4"/>
      <c r="P344" s="4"/>
      <c r="S344" s="4"/>
      <c r="T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I344" s="4"/>
      <c r="AJ344" s="4"/>
      <c r="AM344" s="4"/>
      <c r="AN344" s="4"/>
      <c r="AQ344" s="4"/>
      <c r="AR344" s="4"/>
      <c r="AU344" s="4"/>
      <c r="AV344" s="4"/>
      <c r="AY344" s="4"/>
      <c r="AZ344" s="4"/>
      <c r="BC344" s="4"/>
      <c r="BD344" s="4"/>
      <c r="BG344" s="4"/>
      <c r="BH344" s="4"/>
    </row>
    <row r="345" spans="3:60">
      <c r="C345" s="4"/>
      <c r="D345" s="4"/>
      <c r="G345" s="4"/>
      <c r="H345" s="4"/>
      <c r="K345" s="4"/>
      <c r="L345" s="4"/>
      <c r="O345" s="4"/>
      <c r="P345" s="4"/>
      <c r="S345" s="4"/>
      <c r="T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I345" s="4"/>
      <c r="AJ345" s="4"/>
      <c r="AM345" s="4"/>
      <c r="AN345" s="4"/>
      <c r="AQ345" s="4"/>
      <c r="AR345" s="4"/>
      <c r="AU345" s="4"/>
      <c r="AV345" s="4"/>
      <c r="AY345" s="4"/>
      <c r="AZ345" s="4"/>
      <c r="BC345" s="4"/>
      <c r="BD345" s="4"/>
      <c r="BG345" s="4"/>
      <c r="BH345" s="4"/>
    </row>
    <row r="346" spans="3:60">
      <c r="C346" s="4"/>
      <c r="D346" s="4"/>
      <c r="G346" s="4"/>
      <c r="H346" s="4"/>
      <c r="K346" s="4"/>
      <c r="L346" s="4"/>
      <c r="O346" s="4"/>
      <c r="P346" s="4"/>
      <c r="S346" s="4"/>
      <c r="T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I346" s="4"/>
      <c r="AJ346" s="4"/>
      <c r="AM346" s="4"/>
      <c r="AN346" s="4"/>
      <c r="AQ346" s="4"/>
      <c r="AR346" s="4"/>
      <c r="AU346" s="4"/>
      <c r="AV346" s="4"/>
      <c r="AY346" s="4"/>
      <c r="AZ346" s="4"/>
      <c r="BC346" s="4"/>
      <c r="BD346" s="4"/>
      <c r="BG346" s="4"/>
      <c r="BH346" s="4"/>
    </row>
    <row r="347" spans="3:60">
      <c r="C347" s="4"/>
      <c r="D347" s="4"/>
      <c r="G347" s="4"/>
      <c r="H347" s="4"/>
      <c r="K347" s="4"/>
      <c r="L347" s="4"/>
      <c r="O347" s="4"/>
      <c r="P347" s="4"/>
      <c r="S347" s="4"/>
      <c r="T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I347" s="4"/>
      <c r="AJ347" s="4"/>
      <c r="AM347" s="4"/>
      <c r="AN347" s="4"/>
      <c r="AQ347" s="4"/>
      <c r="AR347" s="4"/>
      <c r="AU347" s="4"/>
      <c r="AV347" s="4"/>
      <c r="AY347" s="4"/>
      <c r="AZ347" s="4"/>
      <c r="BC347" s="4"/>
      <c r="BD347" s="4"/>
      <c r="BG347" s="4"/>
      <c r="BH347" s="4"/>
    </row>
    <row r="348" spans="3:60">
      <c r="C348" s="4"/>
      <c r="D348" s="4"/>
      <c r="G348" s="4"/>
      <c r="H348" s="4"/>
      <c r="K348" s="4"/>
      <c r="L348" s="4"/>
      <c r="O348" s="4"/>
      <c r="P348" s="4"/>
      <c r="S348" s="4"/>
      <c r="T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I348" s="4"/>
      <c r="AJ348" s="4"/>
      <c r="AM348" s="4"/>
      <c r="AN348" s="4"/>
      <c r="AQ348" s="4"/>
      <c r="AR348" s="4"/>
      <c r="AU348" s="4"/>
      <c r="AV348" s="4"/>
      <c r="AY348" s="4"/>
      <c r="AZ348" s="4"/>
      <c r="BC348" s="4"/>
      <c r="BD348" s="4"/>
      <c r="BG348" s="4"/>
      <c r="BH348" s="4"/>
    </row>
    <row r="349" spans="3:60">
      <c r="C349" s="4"/>
      <c r="D349" s="4"/>
      <c r="G349" s="4"/>
      <c r="H349" s="4"/>
      <c r="K349" s="4"/>
      <c r="L349" s="4"/>
      <c r="O349" s="4"/>
      <c r="P349" s="4"/>
      <c r="S349" s="4"/>
      <c r="T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I349" s="4"/>
      <c r="AJ349" s="4"/>
      <c r="AM349" s="4"/>
      <c r="AN349" s="4"/>
      <c r="AQ349" s="4"/>
      <c r="AR349" s="4"/>
      <c r="AU349" s="4"/>
      <c r="AV349" s="4"/>
      <c r="AY349" s="4"/>
      <c r="AZ349" s="4"/>
      <c r="BC349" s="4"/>
      <c r="BD349" s="4"/>
      <c r="BG349" s="4"/>
      <c r="BH349" s="4"/>
    </row>
    <row r="350" spans="3:60">
      <c r="C350" s="4"/>
      <c r="D350" s="4"/>
      <c r="G350" s="4"/>
      <c r="H350" s="4"/>
      <c r="K350" s="4"/>
      <c r="L350" s="4"/>
      <c r="O350" s="4"/>
      <c r="P350" s="4"/>
      <c r="S350" s="4"/>
      <c r="T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I350" s="4"/>
      <c r="AJ350" s="4"/>
      <c r="AM350" s="4"/>
      <c r="AN350" s="4"/>
      <c r="AQ350" s="4"/>
      <c r="AR350" s="4"/>
      <c r="AU350" s="4"/>
      <c r="AV350" s="4"/>
      <c r="AY350" s="4"/>
      <c r="AZ350" s="4"/>
      <c r="BC350" s="4"/>
      <c r="BD350" s="4"/>
      <c r="BG350" s="4"/>
      <c r="BH350" s="4"/>
    </row>
    <row r="351" spans="3:60">
      <c r="C351" s="4"/>
      <c r="D351" s="4"/>
      <c r="G351" s="4"/>
      <c r="H351" s="4"/>
      <c r="K351" s="4"/>
      <c r="L351" s="4"/>
      <c r="O351" s="4"/>
      <c r="P351" s="4"/>
      <c r="S351" s="4"/>
      <c r="T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I351" s="4"/>
      <c r="AJ351" s="4"/>
      <c r="AM351" s="4"/>
      <c r="AN351" s="4"/>
      <c r="AQ351" s="4"/>
      <c r="AR351" s="4"/>
      <c r="AU351" s="4"/>
      <c r="AV351" s="4"/>
      <c r="AY351" s="4"/>
      <c r="AZ351" s="4"/>
      <c r="BC351" s="4"/>
      <c r="BD351" s="4"/>
      <c r="BG351" s="4"/>
      <c r="BH351" s="4"/>
    </row>
    <row r="352" spans="3:60">
      <c r="C352" s="4"/>
      <c r="D352" s="4"/>
      <c r="G352" s="4"/>
      <c r="H352" s="4"/>
      <c r="K352" s="4"/>
      <c r="L352" s="4"/>
      <c r="O352" s="4"/>
      <c r="P352" s="4"/>
      <c r="S352" s="4"/>
      <c r="T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I352" s="4"/>
      <c r="AJ352" s="4"/>
      <c r="AM352" s="4"/>
      <c r="AN352" s="4"/>
      <c r="AQ352" s="4"/>
      <c r="AR352" s="4"/>
      <c r="AU352" s="4"/>
      <c r="AV352" s="4"/>
      <c r="AY352" s="4"/>
      <c r="AZ352" s="4"/>
      <c r="BC352" s="4"/>
      <c r="BD352" s="4"/>
      <c r="BG352" s="4"/>
      <c r="BH352" s="4"/>
    </row>
    <row r="353" spans="3:60">
      <c r="C353" s="4"/>
      <c r="D353" s="4"/>
      <c r="G353" s="4"/>
      <c r="H353" s="4"/>
      <c r="K353" s="4"/>
      <c r="L353" s="4"/>
      <c r="O353" s="4"/>
      <c r="P353" s="4"/>
      <c r="S353" s="4"/>
      <c r="T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I353" s="4"/>
      <c r="AJ353" s="4"/>
      <c r="AM353" s="4"/>
      <c r="AN353" s="4"/>
      <c r="AQ353" s="4"/>
      <c r="AR353" s="4"/>
      <c r="AU353" s="4"/>
      <c r="AV353" s="4"/>
      <c r="AY353" s="4"/>
      <c r="AZ353" s="4"/>
      <c r="BC353" s="4"/>
      <c r="BD353" s="4"/>
      <c r="BG353" s="4"/>
      <c r="BH353" s="4"/>
    </row>
    <row r="354" spans="3:60">
      <c r="C354" s="4"/>
      <c r="D354" s="4"/>
      <c r="G354" s="4"/>
      <c r="H354" s="4"/>
      <c r="K354" s="4"/>
      <c r="L354" s="4"/>
      <c r="O354" s="4"/>
      <c r="P354" s="4"/>
      <c r="S354" s="4"/>
      <c r="T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I354" s="4"/>
      <c r="AJ354" s="4"/>
      <c r="AM354" s="4"/>
      <c r="AN354" s="4"/>
      <c r="AQ354" s="4"/>
      <c r="AR354" s="4"/>
      <c r="AU354" s="4"/>
      <c r="AV354" s="4"/>
      <c r="AY354" s="4"/>
      <c r="AZ354" s="4"/>
      <c r="BC354" s="4"/>
      <c r="BD354" s="4"/>
      <c r="BG354" s="4"/>
      <c r="BH354" s="4"/>
    </row>
    <row r="355" spans="3:60">
      <c r="C355" s="4"/>
      <c r="D355" s="4"/>
      <c r="G355" s="4"/>
      <c r="H355" s="4"/>
      <c r="K355" s="4"/>
      <c r="L355" s="4"/>
      <c r="O355" s="4"/>
      <c r="P355" s="4"/>
      <c r="S355" s="4"/>
      <c r="T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I355" s="4"/>
      <c r="AJ355" s="4"/>
      <c r="AM355" s="4"/>
      <c r="AN355" s="4"/>
      <c r="AQ355" s="4"/>
      <c r="AR355" s="4"/>
      <c r="AU355" s="4"/>
      <c r="AV355" s="4"/>
      <c r="AY355" s="4"/>
      <c r="AZ355" s="4"/>
      <c r="BC355" s="4"/>
      <c r="BD355" s="4"/>
      <c r="BG355" s="4"/>
      <c r="BH355" s="4"/>
    </row>
    <row r="356" spans="3:60">
      <c r="C356" s="4"/>
      <c r="D356" s="4"/>
      <c r="G356" s="4"/>
      <c r="H356" s="4"/>
      <c r="K356" s="4"/>
      <c r="L356" s="4"/>
      <c r="O356" s="4"/>
      <c r="P356" s="4"/>
      <c r="S356" s="4"/>
      <c r="T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I356" s="4"/>
      <c r="AJ356" s="4"/>
      <c r="AM356" s="4"/>
      <c r="AN356" s="4"/>
      <c r="AQ356" s="4"/>
      <c r="AR356" s="4"/>
      <c r="AU356" s="4"/>
      <c r="AV356" s="4"/>
      <c r="AY356" s="4"/>
      <c r="AZ356" s="4"/>
      <c r="BC356" s="4"/>
      <c r="BD356" s="4"/>
      <c r="BG356" s="4"/>
      <c r="BH356" s="4"/>
    </row>
    <row r="357" spans="3:60">
      <c r="C357" s="4"/>
      <c r="D357" s="4"/>
      <c r="G357" s="4"/>
      <c r="H357" s="4"/>
      <c r="K357" s="4"/>
      <c r="L357" s="4"/>
      <c r="O357" s="4"/>
      <c r="P357" s="4"/>
      <c r="S357" s="4"/>
      <c r="T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I357" s="4"/>
      <c r="AJ357" s="4"/>
      <c r="AM357" s="4"/>
      <c r="AN357" s="4"/>
      <c r="AQ357" s="4"/>
      <c r="AR357" s="4"/>
      <c r="AU357" s="4"/>
      <c r="AV357" s="4"/>
      <c r="AY357" s="4"/>
      <c r="AZ357" s="4"/>
      <c r="BC357" s="4"/>
      <c r="BD357" s="4"/>
      <c r="BG357" s="4"/>
      <c r="BH357" s="4"/>
    </row>
    <row r="358" spans="3:60">
      <c r="C358" s="4"/>
      <c r="D358" s="4"/>
      <c r="G358" s="4"/>
      <c r="H358" s="4"/>
      <c r="K358" s="4"/>
      <c r="L358" s="4"/>
      <c r="O358" s="4"/>
      <c r="P358" s="4"/>
      <c r="S358" s="4"/>
      <c r="T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I358" s="4"/>
      <c r="AJ358" s="4"/>
      <c r="AM358" s="4"/>
      <c r="AN358" s="4"/>
      <c r="AQ358" s="4"/>
      <c r="AR358" s="4"/>
      <c r="AU358" s="4"/>
      <c r="AV358" s="4"/>
      <c r="AY358" s="4"/>
      <c r="AZ358" s="4"/>
      <c r="BC358" s="4"/>
      <c r="BD358" s="4"/>
      <c r="BG358" s="4"/>
      <c r="BH358" s="4"/>
    </row>
    <row r="359" spans="3:60">
      <c r="C359" s="4"/>
      <c r="D359" s="4"/>
      <c r="G359" s="4"/>
      <c r="H359" s="4"/>
      <c r="K359" s="4"/>
      <c r="L359" s="4"/>
      <c r="O359" s="4"/>
      <c r="P359" s="4"/>
      <c r="S359" s="4"/>
      <c r="T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I359" s="4"/>
      <c r="AJ359" s="4"/>
      <c r="AM359" s="4"/>
      <c r="AN359" s="4"/>
      <c r="AQ359" s="4"/>
      <c r="AR359" s="4"/>
      <c r="AU359" s="4"/>
      <c r="AV359" s="4"/>
      <c r="AY359" s="4"/>
      <c r="AZ359" s="4"/>
      <c r="BC359" s="4"/>
      <c r="BD359" s="4"/>
      <c r="BG359" s="4"/>
      <c r="BH359" s="4"/>
    </row>
    <row r="360" spans="3:60">
      <c r="C360" s="4"/>
      <c r="D360" s="4"/>
      <c r="G360" s="4"/>
      <c r="H360" s="4"/>
      <c r="K360" s="4"/>
      <c r="L360" s="4"/>
      <c r="O360" s="4"/>
      <c r="P360" s="4"/>
      <c r="S360" s="4"/>
      <c r="T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I360" s="4"/>
      <c r="AJ360" s="4"/>
      <c r="AM360" s="4"/>
      <c r="AN360" s="4"/>
      <c r="AQ360" s="4"/>
      <c r="AR360" s="4"/>
      <c r="AU360" s="4"/>
      <c r="AV360" s="4"/>
      <c r="AY360" s="4"/>
      <c r="AZ360" s="4"/>
      <c r="BC360" s="4"/>
      <c r="BD360" s="4"/>
      <c r="BG360" s="4"/>
      <c r="BH360" s="4"/>
    </row>
    <row r="361" spans="3:60">
      <c r="C361" s="4"/>
      <c r="D361" s="4"/>
      <c r="G361" s="4"/>
      <c r="H361" s="4"/>
      <c r="K361" s="4"/>
      <c r="L361" s="4"/>
      <c r="O361" s="4"/>
      <c r="P361" s="4"/>
      <c r="S361" s="4"/>
      <c r="T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I361" s="4"/>
      <c r="AJ361" s="4"/>
      <c r="AM361" s="4"/>
      <c r="AN361" s="4"/>
      <c r="AQ361" s="4"/>
      <c r="AR361" s="4"/>
      <c r="AU361" s="4"/>
      <c r="AV361" s="4"/>
      <c r="AY361" s="4"/>
      <c r="AZ361" s="4"/>
      <c r="BC361" s="4"/>
      <c r="BD361" s="4"/>
      <c r="BG361" s="4"/>
      <c r="BH361" s="4"/>
    </row>
    <row r="362" spans="3:60">
      <c r="C362" s="4"/>
      <c r="D362" s="4"/>
      <c r="G362" s="4"/>
      <c r="H362" s="4"/>
      <c r="K362" s="4"/>
      <c r="L362" s="4"/>
      <c r="O362" s="4"/>
      <c r="P362" s="4"/>
      <c r="S362" s="4"/>
      <c r="T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I362" s="4"/>
      <c r="AJ362" s="4"/>
      <c r="AM362" s="4"/>
      <c r="AN362" s="4"/>
      <c r="AQ362" s="4"/>
      <c r="AR362" s="4"/>
      <c r="AU362" s="4"/>
      <c r="AV362" s="4"/>
      <c r="AY362" s="4"/>
      <c r="AZ362" s="4"/>
      <c r="BC362" s="4"/>
      <c r="BD362" s="4"/>
      <c r="BG362" s="4"/>
      <c r="BH362" s="4"/>
    </row>
    <row r="363" spans="3:60">
      <c r="C363" s="4"/>
      <c r="D363" s="4"/>
      <c r="G363" s="4"/>
      <c r="H363" s="4"/>
      <c r="K363" s="4"/>
      <c r="L363" s="4"/>
      <c r="O363" s="4"/>
      <c r="P363" s="4"/>
      <c r="S363" s="4"/>
      <c r="T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I363" s="4"/>
      <c r="AJ363" s="4"/>
      <c r="AM363" s="4"/>
      <c r="AN363" s="4"/>
      <c r="AQ363" s="4"/>
      <c r="AR363" s="4"/>
      <c r="AU363" s="4"/>
      <c r="AV363" s="4"/>
      <c r="AY363" s="4"/>
      <c r="AZ363" s="4"/>
      <c r="BC363" s="4"/>
      <c r="BD363" s="4"/>
      <c r="BG363" s="4"/>
      <c r="BH363" s="4"/>
    </row>
    <row r="364" spans="3:60">
      <c r="C364" s="4"/>
      <c r="D364" s="4"/>
      <c r="G364" s="4"/>
      <c r="H364" s="4"/>
      <c r="K364" s="4"/>
      <c r="L364" s="4"/>
      <c r="O364" s="4"/>
      <c r="P364" s="4"/>
      <c r="S364" s="4"/>
      <c r="T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I364" s="4"/>
      <c r="AJ364" s="4"/>
      <c r="AM364" s="4"/>
      <c r="AN364" s="4"/>
      <c r="AQ364" s="4"/>
      <c r="AR364" s="4"/>
      <c r="AU364" s="4"/>
      <c r="AV364" s="4"/>
      <c r="AY364" s="4"/>
      <c r="AZ364" s="4"/>
      <c r="BC364" s="4"/>
      <c r="BD364" s="4"/>
      <c r="BG364" s="4"/>
      <c r="BH364" s="4"/>
    </row>
    <row r="365" spans="3:60">
      <c r="C365" s="4"/>
      <c r="D365" s="4"/>
      <c r="G365" s="4"/>
      <c r="H365" s="4"/>
      <c r="K365" s="4"/>
      <c r="L365" s="4"/>
      <c r="O365" s="4"/>
      <c r="P365" s="4"/>
      <c r="S365" s="4"/>
      <c r="T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I365" s="4"/>
      <c r="AJ365" s="4"/>
      <c r="AM365" s="4"/>
      <c r="AN365" s="4"/>
      <c r="AQ365" s="4"/>
      <c r="AR365" s="4"/>
      <c r="AU365" s="4"/>
      <c r="AV365" s="4"/>
      <c r="AY365" s="4"/>
      <c r="AZ365" s="4"/>
      <c r="BC365" s="4"/>
      <c r="BD365" s="4"/>
      <c r="BG365" s="4"/>
      <c r="BH365" s="4"/>
    </row>
    <row r="366" spans="3:60">
      <c r="C366" s="4"/>
      <c r="D366" s="4"/>
      <c r="G366" s="4"/>
      <c r="H366" s="4"/>
      <c r="K366" s="4"/>
      <c r="L366" s="4"/>
      <c r="O366" s="4"/>
      <c r="P366" s="4"/>
      <c r="S366" s="4"/>
      <c r="T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I366" s="4"/>
      <c r="AJ366" s="4"/>
      <c r="AM366" s="4"/>
      <c r="AN366" s="4"/>
      <c r="AQ366" s="4"/>
      <c r="AR366" s="4"/>
      <c r="AU366" s="4"/>
      <c r="AV366" s="4"/>
      <c r="AY366" s="4"/>
      <c r="AZ366" s="4"/>
      <c r="BC366" s="4"/>
      <c r="BD366" s="4"/>
      <c r="BG366" s="4"/>
      <c r="BH366" s="4"/>
    </row>
    <row r="367" spans="3:60">
      <c r="C367" s="4"/>
      <c r="D367" s="4"/>
      <c r="G367" s="4"/>
      <c r="H367" s="4"/>
      <c r="K367" s="4"/>
      <c r="L367" s="4"/>
      <c r="O367" s="4"/>
      <c r="P367" s="4"/>
      <c r="S367" s="4"/>
      <c r="T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I367" s="4"/>
      <c r="AJ367" s="4"/>
      <c r="AM367" s="4"/>
      <c r="AN367" s="4"/>
      <c r="AQ367" s="4"/>
      <c r="AR367" s="4"/>
      <c r="AU367" s="4"/>
      <c r="AV367" s="4"/>
      <c r="AY367" s="4"/>
      <c r="AZ367" s="4"/>
      <c r="BC367" s="4"/>
      <c r="BD367" s="4"/>
      <c r="BG367" s="4"/>
      <c r="BH367" s="4"/>
    </row>
    <row r="368" spans="3:60">
      <c r="C368" s="4"/>
      <c r="D368" s="4"/>
      <c r="G368" s="4"/>
      <c r="H368" s="4"/>
      <c r="K368" s="4"/>
      <c r="L368" s="4"/>
      <c r="O368" s="4"/>
      <c r="P368" s="4"/>
      <c r="S368" s="4"/>
      <c r="T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I368" s="4"/>
      <c r="AJ368" s="4"/>
      <c r="AM368" s="4"/>
      <c r="AN368" s="4"/>
      <c r="AQ368" s="4"/>
      <c r="AR368" s="4"/>
      <c r="AU368" s="4"/>
      <c r="AV368" s="4"/>
      <c r="AY368" s="4"/>
      <c r="AZ368" s="4"/>
      <c r="BC368" s="4"/>
      <c r="BD368" s="4"/>
      <c r="BG368" s="4"/>
      <c r="BH368" s="4"/>
    </row>
    <row r="369" spans="3:60">
      <c r="C369" s="4"/>
      <c r="D369" s="4"/>
      <c r="G369" s="4"/>
      <c r="H369" s="4"/>
      <c r="K369" s="4"/>
      <c r="L369" s="4"/>
      <c r="O369" s="4"/>
      <c r="P369" s="4"/>
      <c r="S369" s="4"/>
      <c r="T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I369" s="4"/>
      <c r="AJ369" s="4"/>
      <c r="AM369" s="4"/>
      <c r="AN369" s="4"/>
      <c r="AQ369" s="4"/>
      <c r="AR369" s="4"/>
      <c r="AU369" s="4"/>
      <c r="AV369" s="4"/>
      <c r="AY369" s="4"/>
      <c r="AZ369" s="4"/>
      <c r="BC369" s="4"/>
      <c r="BD369" s="4"/>
      <c r="BG369" s="4"/>
      <c r="BH369" s="4"/>
    </row>
    <row r="370" spans="3:60">
      <c r="C370" s="4"/>
      <c r="D370" s="4"/>
      <c r="G370" s="4"/>
      <c r="H370" s="4"/>
      <c r="K370" s="4"/>
      <c r="L370" s="4"/>
      <c r="O370" s="4"/>
      <c r="P370" s="4"/>
      <c r="S370" s="4"/>
      <c r="T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I370" s="4"/>
      <c r="AJ370" s="4"/>
      <c r="AM370" s="4"/>
      <c r="AN370" s="4"/>
      <c r="AQ370" s="4"/>
      <c r="AR370" s="4"/>
      <c r="AU370" s="4"/>
      <c r="AV370" s="4"/>
      <c r="AY370" s="4"/>
      <c r="AZ370" s="4"/>
      <c r="BC370" s="4"/>
      <c r="BD370" s="4"/>
      <c r="BG370" s="4"/>
      <c r="BH370" s="4"/>
    </row>
    <row r="371" spans="3:60">
      <c r="C371" s="4"/>
      <c r="D371" s="4"/>
      <c r="G371" s="4"/>
      <c r="H371" s="4"/>
      <c r="K371" s="4"/>
      <c r="L371" s="4"/>
      <c r="O371" s="4"/>
      <c r="P371" s="4"/>
      <c r="S371" s="4"/>
      <c r="T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I371" s="4"/>
      <c r="AJ371" s="4"/>
      <c r="AM371" s="4"/>
      <c r="AN371" s="4"/>
      <c r="AQ371" s="4"/>
      <c r="AR371" s="4"/>
      <c r="AU371" s="4"/>
      <c r="AV371" s="4"/>
      <c r="AY371" s="4"/>
      <c r="AZ371" s="4"/>
      <c r="BC371" s="4"/>
      <c r="BD371" s="4"/>
      <c r="BG371" s="4"/>
      <c r="BH371" s="4"/>
    </row>
    <row r="372" spans="3:60">
      <c r="C372" s="4"/>
      <c r="D372" s="4"/>
      <c r="G372" s="4"/>
      <c r="H372" s="4"/>
      <c r="K372" s="4"/>
      <c r="L372" s="4"/>
      <c r="O372" s="4"/>
      <c r="P372" s="4"/>
      <c r="S372" s="4"/>
      <c r="T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I372" s="4"/>
      <c r="AJ372" s="4"/>
      <c r="AM372" s="4"/>
      <c r="AN372" s="4"/>
      <c r="AQ372" s="4"/>
      <c r="AR372" s="4"/>
      <c r="AU372" s="4"/>
      <c r="AV372" s="4"/>
      <c r="AY372" s="4"/>
      <c r="AZ372" s="4"/>
      <c r="BC372" s="4"/>
      <c r="BD372" s="4"/>
      <c r="BG372" s="4"/>
      <c r="BH372" s="4"/>
    </row>
    <row r="373" spans="3:60">
      <c r="C373" s="4"/>
      <c r="D373" s="4"/>
      <c r="G373" s="4"/>
      <c r="H373" s="4"/>
      <c r="K373" s="4"/>
      <c r="L373" s="4"/>
      <c r="O373" s="4"/>
      <c r="P373" s="4"/>
      <c r="S373" s="4"/>
      <c r="T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I373" s="4"/>
      <c r="AJ373" s="4"/>
      <c r="AM373" s="4"/>
      <c r="AN373" s="4"/>
      <c r="AQ373" s="4"/>
      <c r="AR373" s="4"/>
      <c r="AU373" s="4"/>
      <c r="AV373" s="4"/>
      <c r="AY373" s="4"/>
      <c r="AZ373" s="4"/>
      <c r="BC373" s="4"/>
      <c r="BD373" s="4"/>
      <c r="BG373" s="4"/>
      <c r="BH373" s="4"/>
    </row>
    <row r="374" spans="3:60">
      <c r="C374" s="4"/>
      <c r="D374" s="4"/>
      <c r="G374" s="4"/>
      <c r="H374" s="4"/>
      <c r="K374" s="4"/>
      <c r="L374" s="4"/>
      <c r="O374" s="4"/>
      <c r="P374" s="4"/>
      <c r="S374" s="4"/>
      <c r="T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I374" s="4"/>
      <c r="AJ374" s="4"/>
      <c r="AM374" s="4"/>
      <c r="AN374" s="4"/>
      <c r="AQ374" s="4"/>
      <c r="AR374" s="4"/>
      <c r="AU374" s="4"/>
      <c r="AV374" s="4"/>
      <c r="AY374" s="4"/>
      <c r="AZ374" s="4"/>
      <c r="BC374" s="4"/>
      <c r="BD374" s="4"/>
      <c r="BG374" s="4"/>
      <c r="BH374" s="4"/>
    </row>
    <row r="375" spans="3:60">
      <c r="C375" s="4"/>
      <c r="D375" s="4"/>
      <c r="G375" s="4"/>
      <c r="H375" s="4"/>
      <c r="K375" s="4"/>
      <c r="L375" s="4"/>
      <c r="O375" s="4"/>
      <c r="P375" s="4"/>
      <c r="S375" s="4"/>
      <c r="T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I375" s="4"/>
      <c r="AJ375" s="4"/>
      <c r="AM375" s="4"/>
      <c r="AN375" s="4"/>
      <c r="AQ375" s="4"/>
      <c r="AR375" s="4"/>
      <c r="AU375" s="4"/>
      <c r="AV375" s="4"/>
      <c r="AY375" s="4"/>
      <c r="AZ375" s="4"/>
      <c r="BC375" s="4"/>
      <c r="BD375" s="4"/>
      <c r="BG375" s="4"/>
      <c r="BH375" s="4"/>
    </row>
    <row r="376" spans="3:60">
      <c r="C376" s="4"/>
      <c r="D376" s="4"/>
      <c r="G376" s="4"/>
      <c r="H376" s="4"/>
      <c r="K376" s="4"/>
      <c r="L376" s="4"/>
      <c r="O376" s="4"/>
      <c r="P376" s="4"/>
      <c r="S376" s="4"/>
      <c r="T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I376" s="4"/>
      <c r="AJ376" s="4"/>
      <c r="AM376" s="4"/>
      <c r="AN376" s="4"/>
      <c r="AQ376" s="4"/>
      <c r="AR376" s="4"/>
      <c r="AU376" s="4"/>
      <c r="AV376" s="4"/>
      <c r="AY376" s="4"/>
      <c r="AZ376" s="4"/>
      <c r="BC376" s="4"/>
      <c r="BD376" s="4"/>
      <c r="BG376" s="4"/>
      <c r="BH376" s="4"/>
    </row>
    <row r="377" spans="3:60">
      <c r="C377" s="4"/>
      <c r="D377" s="4"/>
      <c r="G377" s="4"/>
      <c r="H377" s="4"/>
      <c r="K377" s="4"/>
      <c r="L377" s="4"/>
      <c r="O377" s="4"/>
      <c r="P377" s="4"/>
      <c r="S377" s="4"/>
      <c r="T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I377" s="4"/>
      <c r="AJ377" s="4"/>
      <c r="AM377" s="4"/>
      <c r="AN377" s="4"/>
      <c r="AQ377" s="4"/>
      <c r="AR377" s="4"/>
      <c r="AU377" s="4"/>
      <c r="AV377" s="4"/>
      <c r="AY377" s="4"/>
      <c r="AZ377" s="4"/>
      <c r="BC377" s="4"/>
      <c r="BD377" s="4"/>
      <c r="BG377" s="4"/>
      <c r="BH377" s="4"/>
    </row>
    <row r="378" spans="3:60">
      <c r="C378" s="4"/>
      <c r="D378" s="4"/>
      <c r="G378" s="4"/>
      <c r="H378" s="4"/>
      <c r="K378" s="4"/>
      <c r="L378" s="4"/>
      <c r="O378" s="4"/>
      <c r="P378" s="4"/>
      <c r="S378" s="4"/>
      <c r="T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I378" s="4"/>
      <c r="AJ378" s="4"/>
      <c r="AM378" s="4"/>
      <c r="AN378" s="4"/>
      <c r="AQ378" s="4"/>
      <c r="AR378" s="4"/>
      <c r="AU378" s="4"/>
      <c r="AV378" s="4"/>
      <c r="AY378" s="4"/>
      <c r="AZ378" s="4"/>
      <c r="BC378" s="4"/>
      <c r="BD378" s="4"/>
      <c r="BG378" s="4"/>
      <c r="BH378" s="4"/>
    </row>
    <row r="379" spans="3:60">
      <c r="C379" s="4"/>
      <c r="D379" s="4"/>
      <c r="G379" s="4"/>
      <c r="H379" s="4"/>
      <c r="K379" s="4"/>
      <c r="L379" s="4"/>
      <c r="O379" s="4"/>
      <c r="P379" s="4"/>
      <c r="S379" s="4"/>
      <c r="T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I379" s="4"/>
      <c r="AJ379" s="4"/>
      <c r="AM379" s="4"/>
      <c r="AN379" s="4"/>
      <c r="AQ379" s="4"/>
      <c r="AR379" s="4"/>
      <c r="AU379" s="4"/>
      <c r="AV379" s="4"/>
      <c r="AY379" s="4"/>
      <c r="AZ379" s="4"/>
      <c r="BC379" s="4"/>
      <c r="BD379" s="4"/>
      <c r="BG379" s="4"/>
      <c r="BH379" s="4"/>
    </row>
    <row r="380" spans="3:60">
      <c r="C380" s="4"/>
      <c r="D380" s="4"/>
      <c r="G380" s="4"/>
      <c r="H380" s="4"/>
      <c r="K380" s="4"/>
      <c r="L380" s="4"/>
      <c r="O380" s="4"/>
      <c r="P380" s="4"/>
      <c r="S380" s="4"/>
      <c r="T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I380" s="4"/>
      <c r="AJ380" s="4"/>
      <c r="AM380" s="4"/>
      <c r="AN380" s="4"/>
      <c r="AQ380" s="4"/>
      <c r="AR380" s="4"/>
      <c r="AU380" s="4"/>
      <c r="AV380" s="4"/>
      <c r="AY380" s="4"/>
      <c r="AZ380" s="4"/>
      <c r="BC380" s="4"/>
      <c r="BD380" s="4"/>
      <c r="BG380" s="4"/>
      <c r="BH380" s="4"/>
    </row>
    <row r="381" spans="3:60">
      <c r="C381" s="4"/>
      <c r="D381" s="4"/>
      <c r="G381" s="4"/>
      <c r="H381" s="4"/>
      <c r="K381" s="4"/>
      <c r="L381" s="4"/>
      <c r="O381" s="4"/>
      <c r="P381" s="4"/>
      <c r="S381" s="4"/>
      <c r="T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I381" s="4"/>
      <c r="AJ381" s="4"/>
      <c r="AM381" s="4"/>
      <c r="AN381" s="4"/>
      <c r="AQ381" s="4"/>
      <c r="AR381" s="4"/>
      <c r="AU381" s="4"/>
      <c r="AV381" s="4"/>
      <c r="AY381" s="4"/>
      <c r="AZ381" s="4"/>
      <c r="BC381" s="4"/>
      <c r="BD381" s="4"/>
      <c r="BG381" s="4"/>
      <c r="BH381" s="4"/>
    </row>
    <row r="382" spans="3:60">
      <c r="C382" s="4"/>
      <c r="D382" s="4"/>
      <c r="G382" s="4"/>
      <c r="H382" s="4"/>
      <c r="K382" s="4"/>
      <c r="L382" s="4"/>
      <c r="O382" s="4"/>
      <c r="P382" s="4"/>
      <c r="S382" s="4"/>
      <c r="T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I382" s="4"/>
      <c r="AJ382" s="4"/>
      <c r="AM382" s="4"/>
      <c r="AN382" s="4"/>
      <c r="AQ382" s="4"/>
      <c r="AR382" s="4"/>
      <c r="AU382" s="4"/>
      <c r="AV382" s="4"/>
      <c r="AY382" s="4"/>
      <c r="AZ382" s="4"/>
      <c r="BC382" s="4"/>
      <c r="BD382" s="4"/>
      <c r="BG382" s="4"/>
      <c r="BH382" s="4"/>
    </row>
    <row r="383" spans="3:60">
      <c r="C383" s="4"/>
      <c r="D383" s="4"/>
      <c r="G383" s="4"/>
      <c r="H383" s="4"/>
      <c r="K383" s="4"/>
      <c r="L383" s="4"/>
      <c r="O383" s="4"/>
      <c r="P383" s="4"/>
      <c r="S383" s="4"/>
      <c r="T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I383" s="4"/>
      <c r="AJ383" s="4"/>
      <c r="AM383" s="4"/>
      <c r="AN383" s="4"/>
      <c r="AQ383" s="4"/>
      <c r="AR383" s="4"/>
      <c r="AU383" s="4"/>
      <c r="AV383" s="4"/>
      <c r="AY383" s="4"/>
      <c r="AZ383" s="4"/>
      <c r="BC383" s="4"/>
      <c r="BD383" s="4"/>
      <c r="BG383" s="4"/>
      <c r="BH383" s="4"/>
    </row>
    <row r="384" spans="3:60">
      <c r="C384" s="4"/>
      <c r="D384" s="4"/>
      <c r="G384" s="4"/>
      <c r="H384" s="4"/>
      <c r="K384" s="4"/>
      <c r="L384" s="4"/>
      <c r="O384" s="4"/>
      <c r="P384" s="4"/>
      <c r="S384" s="4"/>
      <c r="T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I384" s="4"/>
      <c r="AJ384" s="4"/>
      <c r="AM384" s="4"/>
      <c r="AN384" s="4"/>
      <c r="AQ384" s="4"/>
      <c r="AR384" s="4"/>
      <c r="AU384" s="4"/>
      <c r="AV384" s="4"/>
      <c r="AY384" s="4"/>
      <c r="AZ384" s="4"/>
      <c r="BC384" s="4"/>
      <c r="BD384" s="4"/>
      <c r="BG384" s="4"/>
      <c r="BH384" s="4"/>
    </row>
    <row r="385" spans="3:60">
      <c r="C385" s="4"/>
      <c r="D385" s="4"/>
      <c r="G385" s="4"/>
      <c r="H385" s="4"/>
      <c r="K385" s="4"/>
      <c r="L385" s="4"/>
      <c r="O385" s="4"/>
      <c r="P385" s="4"/>
      <c r="S385" s="4"/>
      <c r="T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I385" s="4"/>
      <c r="AJ385" s="4"/>
      <c r="AM385" s="4"/>
      <c r="AN385" s="4"/>
      <c r="AQ385" s="4"/>
      <c r="AR385" s="4"/>
      <c r="AU385" s="4"/>
      <c r="AV385" s="4"/>
      <c r="AY385" s="4"/>
      <c r="AZ385" s="4"/>
      <c r="BC385" s="4"/>
      <c r="BD385" s="4"/>
      <c r="BG385" s="4"/>
      <c r="BH385" s="4"/>
    </row>
    <row r="386" spans="3:60">
      <c r="C386" s="4"/>
      <c r="D386" s="4"/>
      <c r="G386" s="4"/>
      <c r="H386" s="4"/>
      <c r="K386" s="4"/>
      <c r="L386" s="4"/>
      <c r="O386" s="4"/>
      <c r="P386" s="4"/>
      <c r="S386" s="4"/>
      <c r="T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I386" s="4"/>
      <c r="AJ386" s="4"/>
      <c r="AM386" s="4"/>
      <c r="AN386" s="4"/>
      <c r="AQ386" s="4"/>
      <c r="AR386" s="4"/>
      <c r="AU386" s="4"/>
      <c r="AV386" s="4"/>
      <c r="AY386" s="4"/>
      <c r="AZ386" s="4"/>
      <c r="BC386" s="4"/>
      <c r="BD386" s="4"/>
      <c r="BG386" s="4"/>
      <c r="BH386" s="4"/>
    </row>
    <row r="387" spans="3:60">
      <c r="C387" s="4"/>
      <c r="D387" s="4"/>
      <c r="G387" s="4"/>
      <c r="H387" s="4"/>
      <c r="K387" s="4"/>
      <c r="L387" s="4"/>
      <c r="O387" s="4"/>
      <c r="P387" s="4"/>
      <c r="S387" s="4"/>
      <c r="T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I387" s="4"/>
      <c r="AJ387" s="4"/>
      <c r="AM387" s="4"/>
      <c r="AN387" s="4"/>
      <c r="AQ387" s="4"/>
      <c r="AR387" s="4"/>
      <c r="AU387" s="4"/>
      <c r="AV387" s="4"/>
      <c r="AY387" s="4"/>
      <c r="AZ387" s="4"/>
      <c r="BC387" s="4"/>
      <c r="BD387" s="4"/>
      <c r="BG387" s="4"/>
      <c r="BH387" s="4"/>
    </row>
    <row r="388" spans="3:60">
      <c r="C388" s="4"/>
      <c r="D388" s="4"/>
      <c r="G388" s="4"/>
      <c r="H388" s="4"/>
      <c r="K388" s="4"/>
      <c r="L388" s="4"/>
      <c r="O388" s="4"/>
      <c r="P388" s="4"/>
      <c r="S388" s="4"/>
      <c r="T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I388" s="4"/>
      <c r="AJ388" s="4"/>
      <c r="AM388" s="4"/>
      <c r="AN388" s="4"/>
      <c r="AQ388" s="4"/>
      <c r="AR388" s="4"/>
      <c r="AU388" s="4"/>
      <c r="AV388" s="4"/>
      <c r="AY388" s="4"/>
      <c r="AZ388" s="4"/>
      <c r="BC388" s="4"/>
      <c r="BD388" s="4"/>
      <c r="BG388" s="4"/>
      <c r="BH388" s="4"/>
    </row>
    <row r="389" spans="3:60">
      <c r="C389" s="4"/>
      <c r="D389" s="4"/>
      <c r="G389" s="4"/>
      <c r="H389" s="4"/>
      <c r="K389" s="4"/>
      <c r="L389" s="4"/>
      <c r="O389" s="4"/>
      <c r="P389" s="4"/>
      <c r="S389" s="4"/>
      <c r="T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I389" s="4"/>
      <c r="AJ389" s="4"/>
      <c r="AM389" s="4"/>
      <c r="AN389" s="4"/>
      <c r="AQ389" s="4"/>
      <c r="AR389" s="4"/>
      <c r="AU389" s="4"/>
      <c r="AV389" s="4"/>
      <c r="AY389" s="4"/>
      <c r="AZ389" s="4"/>
      <c r="BC389" s="4"/>
      <c r="BD389" s="4"/>
      <c r="BG389" s="4"/>
      <c r="BH389" s="4"/>
    </row>
    <row r="390" spans="3:60">
      <c r="C390" s="4"/>
      <c r="D390" s="4"/>
      <c r="G390" s="4"/>
      <c r="H390" s="4"/>
      <c r="K390" s="4"/>
      <c r="L390" s="4"/>
      <c r="O390" s="4"/>
      <c r="P390" s="4"/>
      <c r="S390" s="4"/>
      <c r="T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I390" s="4"/>
      <c r="AJ390" s="4"/>
      <c r="AM390" s="4"/>
      <c r="AN390" s="4"/>
      <c r="AQ390" s="4"/>
      <c r="AR390" s="4"/>
      <c r="AU390" s="4"/>
      <c r="AV390" s="4"/>
      <c r="AY390" s="4"/>
      <c r="AZ390" s="4"/>
      <c r="BC390" s="4"/>
      <c r="BD390" s="4"/>
      <c r="BG390" s="4"/>
      <c r="BH390" s="4"/>
    </row>
    <row r="391" spans="3:60">
      <c r="C391" s="4"/>
      <c r="D391" s="4"/>
      <c r="G391" s="4"/>
      <c r="H391" s="4"/>
      <c r="K391" s="4"/>
      <c r="L391" s="4"/>
      <c r="O391" s="4"/>
      <c r="P391" s="4"/>
      <c r="S391" s="4"/>
      <c r="T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I391" s="4"/>
      <c r="AJ391" s="4"/>
      <c r="AM391" s="4"/>
      <c r="AN391" s="4"/>
      <c r="AQ391" s="4"/>
      <c r="AR391" s="4"/>
      <c r="AU391" s="4"/>
      <c r="AV391" s="4"/>
      <c r="AY391" s="4"/>
      <c r="AZ391" s="4"/>
      <c r="BC391" s="4"/>
      <c r="BD391" s="4"/>
      <c r="BG391" s="4"/>
      <c r="BH391" s="4"/>
    </row>
    <row r="392" spans="3:60">
      <c r="C392" s="4"/>
      <c r="D392" s="4"/>
      <c r="G392" s="4"/>
      <c r="H392" s="4"/>
      <c r="K392" s="4"/>
      <c r="L392" s="4"/>
      <c r="O392" s="4"/>
      <c r="P392" s="4"/>
      <c r="S392" s="4"/>
      <c r="T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I392" s="4"/>
      <c r="AJ392" s="4"/>
      <c r="AM392" s="4"/>
      <c r="AN392" s="4"/>
      <c r="AQ392" s="4"/>
      <c r="AR392" s="4"/>
      <c r="AU392" s="4"/>
      <c r="AV392" s="4"/>
      <c r="AY392" s="4"/>
      <c r="AZ392" s="4"/>
      <c r="BC392" s="4"/>
      <c r="BD392" s="4"/>
      <c r="BG392" s="4"/>
      <c r="BH392" s="4"/>
    </row>
    <row r="393" spans="3:60">
      <c r="C393" s="4"/>
      <c r="D393" s="4"/>
      <c r="G393" s="4"/>
      <c r="H393" s="4"/>
      <c r="K393" s="4"/>
      <c r="L393" s="4"/>
      <c r="O393" s="4"/>
      <c r="P393" s="4"/>
      <c r="S393" s="4"/>
      <c r="T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I393" s="4"/>
      <c r="AJ393" s="4"/>
      <c r="AM393" s="4"/>
      <c r="AN393" s="4"/>
      <c r="AQ393" s="4"/>
      <c r="AR393" s="4"/>
      <c r="AU393" s="4"/>
      <c r="AV393" s="4"/>
      <c r="AY393" s="4"/>
      <c r="AZ393" s="4"/>
      <c r="BC393" s="4"/>
      <c r="BD393" s="4"/>
      <c r="BG393" s="4"/>
      <c r="BH393" s="4"/>
    </row>
    <row r="394" spans="3:60">
      <c r="C394" s="4"/>
      <c r="D394" s="4"/>
      <c r="G394" s="4"/>
      <c r="H394" s="4"/>
      <c r="K394" s="4"/>
      <c r="L394" s="4"/>
      <c r="O394" s="4"/>
      <c r="P394" s="4"/>
      <c r="S394" s="4"/>
      <c r="T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I394" s="4"/>
      <c r="AJ394" s="4"/>
      <c r="AM394" s="4"/>
      <c r="AN394" s="4"/>
      <c r="AQ394" s="4"/>
      <c r="AR394" s="4"/>
      <c r="AU394" s="4"/>
      <c r="AV394" s="4"/>
      <c r="AY394" s="4"/>
      <c r="AZ394" s="4"/>
      <c r="BC394" s="4"/>
      <c r="BD394" s="4"/>
      <c r="BG394" s="4"/>
      <c r="BH394" s="4"/>
    </row>
    <row r="395" spans="3:60">
      <c r="C395" s="4"/>
      <c r="D395" s="4"/>
      <c r="G395" s="4"/>
      <c r="H395" s="4"/>
      <c r="K395" s="4"/>
      <c r="L395" s="4"/>
      <c r="O395" s="4"/>
      <c r="P395" s="4"/>
      <c r="S395" s="4"/>
      <c r="T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I395" s="4"/>
      <c r="AJ395" s="4"/>
      <c r="AM395" s="4"/>
      <c r="AN395" s="4"/>
      <c r="AQ395" s="4"/>
      <c r="AR395" s="4"/>
      <c r="AU395" s="4"/>
      <c r="AV395" s="4"/>
      <c r="AY395" s="4"/>
      <c r="AZ395" s="4"/>
      <c r="BC395" s="4"/>
      <c r="BD395" s="4"/>
      <c r="BG395" s="4"/>
      <c r="BH395" s="4"/>
    </row>
    <row r="396" spans="3:60">
      <c r="C396" s="4"/>
      <c r="D396" s="4"/>
      <c r="G396" s="4"/>
      <c r="H396" s="4"/>
      <c r="K396" s="4"/>
      <c r="L396" s="4"/>
      <c r="O396" s="4"/>
      <c r="P396" s="4"/>
      <c r="S396" s="4"/>
      <c r="T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I396" s="4"/>
      <c r="AJ396" s="4"/>
      <c r="AM396" s="4"/>
      <c r="AN396" s="4"/>
      <c r="AQ396" s="4"/>
      <c r="AR396" s="4"/>
      <c r="AU396" s="4"/>
      <c r="AV396" s="4"/>
      <c r="AY396" s="4"/>
      <c r="AZ396" s="4"/>
      <c r="BC396" s="4"/>
      <c r="BD396" s="4"/>
      <c r="BG396" s="4"/>
      <c r="BH396" s="4"/>
    </row>
    <row r="397" spans="3:60">
      <c r="C397" s="4"/>
      <c r="D397" s="4"/>
      <c r="G397" s="4"/>
      <c r="H397" s="4"/>
      <c r="K397" s="4"/>
      <c r="L397" s="4"/>
      <c r="O397" s="4"/>
      <c r="P397" s="4"/>
      <c r="S397" s="4"/>
      <c r="T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I397" s="4"/>
      <c r="AJ397" s="4"/>
      <c r="AM397" s="4"/>
      <c r="AN397" s="4"/>
      <c r="AQ397" s="4"/>
      <c r="AR397" s="4"/>
      <c r="AU397" s="4"/>
      <c r="AV397" s="4"/>
      <c r="AY397" s="4"/>
      <c r="AZ397" s="4"/>
      <c r="BC397" s="4"/>
      <c r="BD397" s="4"/>
      <c r="BG397" s="4"/>
      <c r="BH397" s="4"/>
    </row>
    <row r="398" spans="3:60">
      <c r="C398" s="4"/>
      <c r="D398" s="4"/>
      <c r="G398" s="4"/>
      <c r="H398" s="4"/>
      <c r="K398" s="4"/>
      <c r="L398" s="4"/>
      <c r="O398" s="4"/>
      <c r="P398" s="4"/>
      <c r="S398" s="4"/>
      <c r="T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I398" s="4"/>
      <c r="AJ398" s="4"/>
      <c r="AM398" s="4"/>
      <c r="AN398" s="4"/>
      <c r="AQ398" s="4"/>
      <c r="AR398" s="4"/>
      <c r="AU398" s="4"/>
      <c r="AV398" s="4"/>
      <c r="AY398" s="4"/>
      <c r="AZ398" s="4"/>
      <c r="BC398" s="4"/>
      <c r="BD398" s="4"/>
      <c r="BG398" s="4"/>
      <c r="BH398" s="4"/>
    </row>
    <row r="399" spans="3:60">
      <c r="C399" s="4"/>
      <c r="D399" s="4"/>
      <c r="G399" s="4"/>
      <c r="H399" s="4"/>
      <c r="K399" s="4"/>
      <c r="L399" s="4"/>
      <c r="O399" s="4"/>
      <c r="P399" s="4"/>
      <c r="S399" s="4"/>
      <c r="T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I399" s="4"/>
      <c r="AJ399" s="4"/>
      <c r="AM399" s="4"/>
      <c r="AN399" s="4"/>
      <c r="AQ399" s="4"/>
      <c r="AR399" s="4"/>
      <c r="AU399" s="4"/>
      <c r="AV399" s="4"/>
      <c r="AY399" s="4"/>
      <c r="AZ399" s="4"/>
      <c r="BC399" s="4"/>
      <c r="BD399" s="4"/>
      <c r="BG399" s="4"/>
      <c r="BH399" s="4"/>
    </row>
    <row r="400" spans="3:60">
      <c r="C400" s="4"/>
      <c r="D400" s="4"/>
      <c r="G400" s="4"/>
      <c r="H400" s="4"/>
      <c r="K400" s="4"/>
      <c r="L400" s="4"/>
      <c r="O400" s="4"/>
      <c r="P400" s="4"/>
      <c r="S400" s="4"/>
      <c r="T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I400" s="4"/>
      <c r="AJ400" s="4"/>
      <c r="AM400" s="4"/>
      <c r="AN400" s="4"/>
      <c r="AQ400" s="4"/>
      <c r="AR400" s="4"/>
      <c r="AU400" s="4"/>
      <c r="AV400" s="4"/>
      <c r="AY400" s="4"/>
      <c r="AZ400" s="4"/>
      <c r="BC400" s="4"/>
      <c r="BD400" s="4"/>
      <c r="BG400" s="4"/>
      <c r="BH400" s="4"/>
    </row>
    <row r="401" spans="3:60">
      <c r="C401" s="4"/>
      <c r="D401" s="4"/>
      <c r="G401" s="4"/>
      <c r="H401" s="4"/>
      <c r="K401" s="4"/>
      <c r="L401" s="4"/>
      <c r="O401" s="4"/>
      <c r="P401" s="4"/>
      <c r="S401" s="4"/>
      <c r="T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I401" s="4"/>
      <c r="AJ401" s="4"/>
      <c r="AM401" s="4"/>
      <c r="AN401" s="4"/>
      <c r="AQ401" s="4"/>
      <c r="AR401" s="4"/>
      <c r="AU401" s="4"/>
      <c r="AV401" s="4"/>
      <c r="AY401" s="4"/>
      <c r="AZ401" s="4"/>
      <c r="BC401" s="4"/>
      <c r="BD401" s="4"/>
      <c r="BG401" s="4"/>
      <c r="BH401" s="4"/>
    </row>
    <row r="402" spans="3:60">
      <c r="C402" s="4"/>
      <c r="D402" s="4"/>
      <c r="G402" s="4"/>
      <c r="H402" s="4"/>
      <c r="K402" s="4"/>
      <c r="L402" s="4"/>
      <c r="O402" s="4"/>
      <c r="P402" s="4"/>
      <c r="S402" s="4"/>
      <c r="T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I402" s="4"/>
      <c r="AJ402" s="4"/>
      <c r="AM402" s="4"/>
      <c r="AN402" s="4"/>
      <c r="AQ402" s="4"/>
      <c r="AR402" s="4"/>
      <c r="AU402" s="4"/>
      <c r="AV402" s="4"/>
      <c r="AY402" s="4"/>
      <c r="AZ402" s="4"/>
      <c r="BC402" s="4"/>
      <c r="BD402" s="4"/>
      <c r="BG402" s="4"/>
      <c r="BH402" s="4"/>
    </row>
    <row r="403" spans="3:60">
      <c r="C403" s="4"/>
      <c r="D403" s="4"/>
      <c r="G403" s="4"/>
      <c r="H403" s="4"/>
      <c r="K403" s="4"/>
      <c r="L403" s="4"/>
      <c r="O403" s="4"/>
      <c r="P403" s="4"/>
      <c r="S403" s="4"/>
      <c r="T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I403" s="4"/>
      <c r="AJ403" s="4"/>
      <c r="AM403" s="4"/>
      <c r="AN403" s="4"/>
      <c r="AQ403" s="4"/>
      <c r="AR403" s="4"/>
      <c r="AU403" s="4"/>
      <c r="AV403" s="4"/>
      <c r="AY403" s="4"/>
      <c r="AZ403" s="4"/>
      <c r="BC403" s="4"/>
      <c r="BD403" s="4"/>
      <c r="BG403" s="4"/>
      <c r="BH403" s="4"/>
    </row>
    <row r="404" spans="3:60">
      <c r="C404" s="4"/>
      <c r="D404" s="4"/>
      <c r="G404" s="4"/>
      <c r="H404" s="4"/>
      <c r="K404" s="4"/>
      <c r="L404" s="4"/>
      <c r="O404" s="4"/>
      <c r="P404" s="4"/>
      <c r="S404" s="4"/>
      <c r="T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I404" s="4"/>
      <c r="AJ404" s="4"/>
      <c r="AM404" s="4"/>
      <c r="AN404" s="4"/>
      <c r="AQ404" s="4"/>
      <c r="AR404" s="4"/>
      <c r="AU404" s="4"/>
      <c r="AV404" s="4"/>
      <c r="AY404" s="4"/>
      <c r="AZ404" s="4"/>
      <c r="BC404" s="4"/>
      <c r="BD404" s="4"/>
      <c r="BG404" s="4"/>
      <c r="BH404" s="4"/>
    </row>
    <row r="405" spans="3:60">
      <c r="C405" s="4"/>
      <c r="D405" s="4"/>
      <c r="G405" s="4"/>
      <c r="H405" s="4"/>
      <c r="K405" s="4"/>
      <c r="L405" s="4"/>
      <c r="O405" s="4"/>
      <c r="P405" s="4"/>
      <c r="S405" s="4"/>
      <c r="T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I405" s="4"/>
      <c r="AJ405" s="4"/>
      <c r="AM405" s="4"/>
      <c r="AN405" s="4"/>
      <c r="AQ405" s="4"/>
      <c r="AR405" s="4"/>
      <c r="AU405" s="4"/>
      <c r="AV405" s="4"/>
      <c r="AY405" s="4"/>
      <c r="AZ405" s="4"/>
      <c r="BC405" s="4"/>
      <c r="BD405" s="4"/>
      <c r="BG405" s="4"/>
      <c r="BH405" s="4"/>
    </row>
    <row r="406" spans="3:60">
      <c r="C406" s="4"/>
      <c r="D406" s="4"/>
      <c r="G406" s="4"/>
      <c r="H406" s="4"/>
      <c r="K406" s="4"/>
      <c r="L406" s="4"/>
      <c r="O406" s="4"/>
      <c r="P406" s="4"/>
      <c r="S406" s="4"/>
      <c r="T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I406" s="4"/>
      <c r="AJ406" s="4"/>
      <c r="AM406" s="4"/>
      <c r="AN406" s="4"/>
      <c r="AQ406" s="4"/>
      <c r="AR406" s="4"/>
      <c r="AU406" s="4"/>
      <c r="AV406" s="4"/>
      <c r="AY406" s="4"/>
      <c r="AZ406" s="4"/>
      <c r="BC406" s="4"/>
      <c r="BD406" s="4"/>
      <c r="BG406" s="4"/>
      <c r="BH406" s="4"/>
    </row>
    <row r="407" spans="3:60">
      <c r="C407" s="4"/>
      <c r="D407" s="4"/>
      <c r="G407" s="4"/>
      <c r="H407" s="4"/>
      <c r="K407" s="4"/>
      <c r="L407" s="4"/>
      <c r="O407" s="4"/>
      <c r="P407" s="4"/>
      <c r="S407" s="4"/>
      <c r="T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I407" s="4"/>
      <c r="AJ407" s="4"/>
      <c r="AM407" s="4"/>
      <c r="AN407" s="4"/>
      <c r="AQ407" s="4"/>
      <c r="AR407" s="4"/>
      <c r="AU407" s="4"/>
      <c r="AV407" s="4"/>
      <c r="AY407" s="4"/>
      <c r="AZ407" s="4"/>
      <c r="BC407" s="4"/>
      <c r="BD407" s="4"/>
      <c r="BG407" s="4"/>
      <c r="BH407" s="4"/>
    </row>
    <row r="408" spans="3:60">
      <c r="C408" s="4"/>
      <c r="D408" s="4"/>
      <c r="G408" s="4"/>
      <c r="H408" s="4"/>
      <c r="K408" s="4"/>
      <c r="L408" s="4"/>
      <c r="O408" s="4"/>
      <c r="P408" s="4"/>
      <c r="S408" s="4"/>
      <c r="T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I408" s="4"/>
      <c r="AJ408" s="4"/>
      <c r="AM408" s="4"/>
      <c r="AN408" s="4"/>
      <c r="AQ408" s="4"/>
      <c r="AR408" s="4"/>
      <c r="AU408" s="4"/>
      <c r="AV408" s="4"/>
      <c r="AY408" s="4"/>
      <c r="AZ408" s="4"/>
      <c r="BC408" s="4"/>
      <c r="BD408" s="4"/>
      <c r="BG408" s="4"/>
      <c r="BH408" s="4"/>
    </row>
    <row r="409" spans="3:60">
      <c r="C409" s="4"/>
      <c r="D409" s="4"/>
      <c r="G409" s="4"/>
      <c r="H409" s="4"/>
      <c r="K409" s="4"/>
      <c r="L409" s="4"/>
      <c r="O409" s="4"/>
      <c r="P409" s="4"/>
      <c r="S409" s="4"/>
      <c r="T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I409" s="4"/>
      <c r="AJ409" s="4"/>
      <c r="AM409" s="4"/>
      <c r="AN409" s="4"/>
      <c r="AQ409" s="4"/>
      <c r="AR409" s="4"/>
      <c r="AU409" s="4"/>
      <c r="AV409" s="4"/>
      <c r="AY409" s="4"/>
      <c r="AZ409" s="4"/>
      <c r="BC409" s="4"/>
      <c r="BD409" s="4"/>
      <c r="BG409" s="4"/>
      <c r="BH409" s="4"/>
    </row>
    <row r="410" spans="3:60">
      <c r="C410" s="4"/>
      <c r="D410" s="4"/>
      <c r="G410" s="4"/>
      <c r="H410" s="4"/>
      <c r="K410" s="4"/>
      <c r="L410" s="4"/>
      <c r="O410" s="4"/>
      <c r="P410" s="4"/>
      <c r="S410" s="4"/>
      <c r="T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I410" s="4"/>
      <c r="AJ410" s="4"/>
      <c r="AM410" s="4"/>
      <c r="AN410" s="4"/>
      <c r="AQ410" s="4"/>
      <c r="AR410" s="4"/>
      <c r="AU410" s="4"/>
      <c r="AV410" s="4"/>
      <c r="AY410" s="4"/>
      <c r="AZ410" s="4"/>
      <c r="BC410" s="4"/>
      <c r="BD410" s="4"/>
      <c r="BG410" s="4"/>
      <c r="BH410" s="4"/>
    </row>
    <row r="411" spans="3:60">
      <c r="C411" s="4"/>
      <c r="D411" s="4"/>
      <c r="G411" s="4"/>
      <c r="H411" s="4"/>
      <c r="K411" s="4"/>
      <c r="L411" s="4"/>
      <c r="O411" s="4"/>
      <c r="P411" s="4"/>
      <c r="S411" s="4"/>
      <c r="T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I411" s="4"/>
      <c r="AJ411" s="4"/>
      <c r="AM411" s="4"/>
      <c r="AN411" s="4"/>
      <c r="AQ411" s="4"/>
      <c r="AR411" s="4"/>
      <c r="AU411" s="4"/>
      <c r="AV411" s="4"/>
      <c r="AY411" s="4"/>
      <c r="AZ411" s="4"/>
      <c r="BC411" s="4"/>
      <c r="BD411" s="4"/>
      <c r="BG411" s="4"/>
      <c r="BH411" s="4"/>
    </row>
    <row r="412" spans="3:60">
      <c r="C412" s="4"/>
      <c r="D412" s="4"/>
      <c r="G412" s="4"/>
      <c r="H412" s="4"/>
      <c r="K412" s="4"/>
      <c r="L412" s="4"/>
      <c r="O412" s="4"/>
      <c r="P412" s="4"/>
      <c r="S412" s="4"/>
      <c r="T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I412" s="4"/>
      <c r="AJ412" s="4"/>
      <c r="AM412" s="4"/>
      <c r="AN412" s="4"/>
      <c r="AQ412" s="4"/>
      <c r="AR412" s="4"/>
      <c r="AU412" s="4"/>
      <c r="AV412" s="4"/>
      <c r="AY412" s="4"/>
      <c r="AZ412" s="4"/>
      <c r="BC412" s="4"/>
      <c r="BD412" s="4"/>
      <c r="BG412" s="4"/>
      <c r="BH412" s="4"/>
    </row>
    <row r="413" spans="3:60">
      <c r="C413" s="4"/>
      <c r="D413" s="4"/>
      <c r="G413" s="4"/>
      <c r="H413" s="4"/>
      <c r="K413" s="4"/>
      <c r="L413" s="4"/>
      <c r="O413" s="4"/>
      <c r="P413" s="4"/>
      <c r="S413" s="4"/>
      <c r="T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I413" s="4"/>
      <c r="AJ413" s="4"/>
      <c r="AM413" s="4"/>
      <c r="AN413" s="4"/>
      <c r="AQ413" s="4"/>
      <c r="AR413" s="4"/>
      <c r="AU413" s="4"/>
      <c r="AV413" s="4"/>
      <c r="AY413" s="4"/>
      <c r="AZ413" s="4"/>
      <c r="BC413" s="4"/>
      <c r="BD413" s="4"/>
      <c r="BG413" s="4"/>
      <c r="BH413" s="4"/>
    </row>
    <row r="414" spans="3:60">
      <c r="C414" s="4"/>
      <c r="D414" s="4"/>
      <c r="G414" s="4"/>
      <c r="H414" s="4"/>
      <c r="K414" s="4"/>
      <c r="L414" s="4"/>
      <c r="O414" s="4"/>
      <c r="P414" s="4"/>
      <c r="S414" s="4"/>
      <c r="T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I414" s="4"/>
      <c r="AJ414" s="4"/>
      <c r="AM414" s="4"/>
      <c r="AN414" s="4"/>
      <c r="AQ414" s="4"/>
      <c r="AR414" s="4"/>
      <c r="AU414" s="4"/>
      <c r="AV414" s="4"/>
      <c r="AY414" s="4"/>
      <c r="AZ414" s="4"/>
      <c r="BC414" s="4"/>
      <c r="BD414" s="4"/>
      <c r="BG414" s="4"/>
      <c r="BH414" s="4"/>
    </row>
    <row r="415" spans="3:60">
      <c r="C415" s="4"/>
      <c r="D415" s="4"/>
      <c r="G415" s="4"/>
      <c r="H415" s="4"/>
      <c r="K415" s="4"/>
      <c r="L415" s="4"/>
      <c r="O415" s="4"/>
      <c r="P415" s="4"/>
      <c r="S415" s="4"/>
      <c r="T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I415" s="4"/>
      <c r="AJ415" s="4"/>
      <c r="AM415" s="4"/>
      <c r="AN415" s="4"/>
      <c r="AQ415" s="4"/>
      <c r="AR415" s="4"/>
      <c r="AU415" s="4"/>
      <c r="AV415" s="4"/>
      <c r="AY415" s="4"/>
      <c r="AZ415" s="4"/>
      <c r="BC415" s="4"/>
      <c r="BD415" s="4"/>
      <c r="BG415" s="4"/>
      <c r="BH415" s="4"/>
    </row>
    <row r="416" spans="3:60">
      <c r="C416" s="4"/>
      <c r="D416" s="4"/>
      <c r="G416" s="4"/>
      <c r="H416" s="4"/>
      <c r="K416" s="4"/>
      <c r="L416" s="4"/>
      <c r="O416" s="4"/>
      <c r="P416" s="4"/>
      <c r="S416" s="4"/>
      <c r="T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I416" s="4"/>
      <c r="AJ416" s="4"/>
      <c r="AM416" s="4"/>
      <c r="AN416" s="4"/>
      <c r="AQ416" s="4"/>
      <c r="AR416" s="4"/>
      <c r="AU416" s="4"/>
      <c r="AV416" s="4"/>
      <c r="AY416" s="4"/>
      <c r="AZ416" s="4"/>
      <c r="BC416" s="4"/>
      <c r="BD416" s="4"/>
      <c r="BG416" s="4"/>
      <c r="BH416" s="4"/>
    </row>
    <row r="417" spans="3:60">
      <c r="C417" s="4"/>
      <c r="D417" s="4"/>
      <c r="G417" s="4"/>
      <c r="H417" s="4"/>
      <c r="K417" s="4"/>
      <c r="L417" s="4"/>
      <c r="O417" s="4"/>
      <c r="P417" s="4"/>
      <c r="S417" s="4"/>
      <c r="T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I417" s="4"/>
      <c r="AJ417" s="4"/>
      <c r="AM417" s="4"/>
      <c r="AN417" s="4"/>
      <c r="AQ417" s="4"/>
      <c r="AR417" s="4"/>
      <c r="AU417" s="4"/>
      <c r="AV417" s="4"/>
      <c r="AY417" s="4"/>
      <c r="AZ417" s="4"/>
      <c r="BC417" s="4"/>
      <c r="BD417" s="4"/>
      <c r="BG417" s="4"/>
      <c r="BH417" s="4"/>
    </row>
    <row r="418" spans="3:60">
      <c r="C418" s="4"/>
      <c r="D418" s="4"/>
      <c r="G418" s="4"/>
      <c r="H418" s="4"/>
      <c r="K418" s="4"/>
      <c r="L418" s="4"/>
      <c r="O418" s="4"/>
      <c r="P418" s="4"/>
      <c r="S418" s="4"/>
      <c r="T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I418" s="4"/>
      <c r="AJ418" s="4"/>
      <c r="AM418" s="4"/>
      <c r="AN418" s="4"/>
      <c r="AQ418" s="4"/>
      <c r="AR418" s="4"/>
      <c r="AU418" s="4"/>
      <c r="AV418" s="4"/>
      <c r="AY418" s="4"/>
      <c r="AZ418" s="4"/>
      <c r="BC418" s="4"/>
      <c r="BD418" s="4"/>
      <c r="BG418" s="4"/>
      <c r="BH418" s="4"/>
    </row>
    <row r="419" spans="3:60">
      <c r="C419" s="4"/>
      <c r="D419" s="4"/>
      <c r="G419" s="4"/>
      <c r="H419" s="4"/>
      <c r="K419" s="4"/>
      <c r="L419" s="4"/>
      <c r="O419" s="4"/>
      <c r="P419" s="4"/>
      <c r="S419" s="4"/>
      <c r="T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I419" s="4"/>
      <c r="AJ419" s="4"/>
      <c r="AM419" s="4"/>
      <c r="AN419" s="4"/>
      <c r="AQ419" s="4"/>
      <c r="AR419" s="4"/>
      <c r="AU419" s="4"/>
      <c r="AV419" s="4"/>
      <c r="AY419" s="4"/>
      <c r="AZ419" s="4"/>
      <c r="BC419" s="4"/>
      <c r="BD419" s="4"/>
      <c r="BG419" s="4"/>
      <c r="BH419" s="4"/>
    </row>
    <row r="420" spans="3:60">
      <c r="C420" s="4"/>
      <c r="D420" s="4"/>
      <c r="G420" s="4"/>
      <c r="H420" s="4"/>
      <c r="K420" s="4"/>
      <c r="L420" s="4"/>
      <c r="O420" s="4"/>
      <c r="P420" s="4"/>
      <c r="S420" s="4"/>
      <c r="T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I420" s="4"/>
      <c r="AJ420" s="4"/>
      <c r="AM420" s="4"/>
      <c r="AN420" s="4"/>
      <c r="AQ420" s="4"/>
      <c r="AR420" s="4"/>
      <c r="AU420" s="4"/>
      <c r="AV420" s="4"/>
      <c r="AY420" s="4"/>
      <c r="AZ420" s="4"/>
      <c r="BC420" s="4"/>
      <c r="BD420" s="4"/>
      <c r="BG420" s="4"/>
      <c r="BH420" s="4"/>
    </row>
    <row r="421" spans="3:60">
      <c r="C421" s="4"/>
      <c r="D421" s="4"/>
      <c r="G421" s="4"/>
      <c r="H421" s="4"/>
      <c r="K421" s="4"/>
      <c r="L421" s="4"/>
      <c r="O421" s="4"/>
      <c r="P421" s="4"/>
      <c r="S421" s="4"/>
      <c r="T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I421" s="4"/>
      <c r="AJ421" s="4"/>
      <c r="AM421" s="4"/>
      <c r="AN421" s="4"/>
      <c r="AQ421" s="4"/>
      <c r="AR421" s="4"/>
      <c r="AU421" s="4"/>
      <c r="AV421" s="4"/>
      <c r="AY421" s="4"/>
      <c r="AZ421" s="4"/>
      <c r="BC421" s="4"/>
      <c r="BD421" s="4"/>
      <c r="BG421" s="4"/>
      <c r="BH421" s="4"/>
    </row>
    <row r="422" spans="3:60">
      <c r="C422" s="4"/>
      <c r="D422" s="4"/>
      <c r="G422" s="4"/>
      <c r="H422" s="4"/>
      <c r="K422" s="4"/>
      <c r="L422" s="4"/>
      <c r="O422" s="4"/>
      <c r="P422" s="4"/>
      <c r="S422" s="4"/>
      <c r="T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I422" s="4"/>
      <c r="AJ422" s="4"/>
      <c r="AM422" s="4"/>
      <c r="AN422" s="4"/>
      <c r="AQ422" s="4"/>
      <c r="AR422" s="4"/>
      <c r="AU422" s="4"/>
      <c r="AV422" s="4"/>
      <c r="AY422" s="4"/>
      <c r="AZ422" s="4"/>
      <c r="BC422" s="4"/>
      <c r="BD422" s="4"/>
      <c r="BG422" s="4"/>
      <c r="BH422" s="4"/>
    </row>
    <row r="423" spans="3:60">
      <c r="C423" s="4"/>
      <c r="D423" s="4"/>
      <c r="G423" s="4"/>
      <c r="H423" s="4"/>
      <c r="K423" s="4"/>
      <c r="L423" s="4"/>
      <c r="O423" s="4"/>
      <c r="P423" s="4"/>
      <c r="S423" s="4"/>
      <c r="T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I423" s="4"/>
      <c r="AJ423" s="4"/>
      <c r="AM423" s="4"/>
      <c r="AN423" s="4"/>
      <c r="AQ423" s="4"/>
      <c r="AR423" s="4"/>
      <c r="AU423" s="4"/>
      <c r="AV423" s="4"/>
      <c r="AY423" s="4"/>
      <c r="AZ423" s="4"/>
      <c r="BC423" s="4"/>
      <c r="BD423" s="4"/>
      <c r="BG423" s="4"/>
      <c r="BH423" s="4"/>
    </row>
    <row r="424" spans="3:60">
      <c r="C424" s="4"/>
      <c r="D424" s="4"/>
      <c r="G424" s="4"/>
      <c r="H424" s="4"/>
      <c r="K424" s="4"/>
      <c r="L424" s="4"/>
      <c r="O424" s="4"/>
      <c r="P424" s="4"/>
      <c r="S424" s="4"/>
      <c r="T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I424" s="4"/>
      <c r="AJ424" s="4"/>
      <c r="AM424" s="4"/>
      <c r="AN424" s="4"/>
      <c r="AQ424" s="4"/>
      <c r="AR424" s="4"/>
      <c r="AU424" s="4"/>
      <c r="AV424" s="4"/>
      <c r="AY424" s="4"/>
      <c r="AZ424" s="4"/>
      <c r="BC424" s="4"/>
      <c r="BD424" s="4"/>
      <c r="BG424" s="4"/>
      <c r="BH424" s="4"/>
    </row>
    <row r="425" spans="3:60">
      <c r="C425" s="4"/>
      <c r="D425" s="4"/>
      <c r="G425" s="4"/>
      <c r="H425" s="4"/>
      <c r="K425" s="4"/>
      <c r="L425" s="4"/>
      <c r="O425" s="4"/>
      <c r="P425" s="4"/>
      <c r="S425" s="4"/>
      <c r="T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I425" s="4"/>
      <c r="AJ425" s="4"/>
      <c r="AM425" s="4"/>
      <c r="AN425" s="4"/>
      <c r="AQ425" s="4"/>
      <c r="AR425" s="4"/>
      <c r="AU425" s="4"/>
      <c r="AV425" s="4"/>
      <c r="AY425" s="4"/>
      <c r="AZ425" s="4"/>
      <c r="BC425" s="4"/>
      <c r="BD425" s="4"/>
      <c r="BG425" s="4"/>
      <c r="BH425" s="4"/>
    </row>
    <row r="426" spans="3:60">
      <c r="C426" s="4"/>
      <c r="D426" s="4"/>
      <c r="G426" s="4"/>
      <c r="H426" s="4"/>
      <c r="K426" s="4"/>
      <c r="L426" s="4"/>
      <c r="O426" s="4"/>
      <c r="P426" s="4"/>
      <c r="S426" s="4"/>
      <c r="T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I426" s="4"/>
      <c r="AJ426" s="4"/>
      <c r="AM426" s="4"/>
      <c r="AN426" s="4"/>
      <c r="AQ426" s="4"/>
      <c r="AR426" s="4"/>
      <c r="AU426" s="4"/>
      <c r="AV426" s="4"/>
      <c r="AY426" s="4"/>
      <c r="AZ426" s="4"/>
      <c r="BC426" s="4"/>
      <c r="BD426" s="4"/>
      <c r="BG426" s="4"/>
      <c r="BH426" s="4"/>
    </row>
    <row r="427" spans="3:60">
      <c r="C427" s="4"/>
      <c r="D427" s="4"/>
      <c r="G427" s="4"/>
      <c r="H427" s="4"/>
      <c r="K427" s="4"/>
      <c r="L427" s="4"/>
      <c r="O427" s="4"/>
      <c r="P427" s="4"/>
      <c r="S427" s="4"/>
      <c r="T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I427" s="4"/>
      <c r="AJ427" s="4"/>
      <c r="AM427" s="4"/>
      <c r="AN427" s="4"/>
      <c r="AQ427" s="4"/>
      <c r="AR427" s="4"/>
      <c r="AU427" s="4"/>
      <c r="AV427" s="4"/>
      <c r="AY427" s="4"/>
      <c r="AZ427" s="4"/>
      <c r="BC427" s="4"/>
      <c r="BD427" s="4"/>
      <c r="BG427" s="4"/>
      <c r="BH427" s="4"/>
    </row>
    <row r="428" spans="3:60">
      <c r="C428" s="4"/>
      <c r="D428" s="4"/>
      <c r="G428" s="4"/>
      <c r="H428" s="4"/>
      <c r="K428" s="4"/>
      <c r="L428" s="4"/>
      <c r="O428" s="4"/>
      <c r="P428" s="4"/>
      <c r="S428" s="4"/>
      <c r="T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I428" s="4"/>
      <c r="AJ428" s="4"/>
      <c r="AM428" s="4"/>
      <c r="AN428" s="4"/>
      <c r="AQ428" s="4"/>
      <c r="AR428" s="4"/>
      <c r="AU428" s="4"/>
      <c r="AV428" s="4"/>
      <c r="AY428" s="4"/>
      <c r="AZ428" s="4"/>
      <c r="BC428" s="4"/>
      <c r="BD428" s="4"/>
      <c r="BG428" s="4"/>
      <c r="BH428" s="4"/>
    </row>
    <row r="429" spans="3:60">
      <c r="C429" s="4"/>
      <c r="D429" s="4"/>
      <c r="G429" s="4"/>
      <c r="H429" s="4"/>
      <c r="K429" s="4"/>
      <c r="L429" s="4"/>
      <c r="O429" s="4"/>
      <c r="P429" s="4"/>
      <c r="S429" s="4"/>
      <c r="T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I429" s="4"/>
      <c r="AJ429" s="4"/>
      <c r="AM429" s="4"/>
      <c r="AN429" s="4"/>
      <c r="AQ429" s="4"/>
      <c r="AR429" s="4"/>
      <c r="AU429" s="4"/>
      <c r="AV429" s="4"/>
      <c r="AY429" s="4"/>
      <c r="AZ429" s="4"/>
      <c r="BC429" s="4"/>
      <c r="BD429" s="4"/>
      <c r="BG429" s="4"/>
      <c r="BH429" s="4"/>
    </row>
    <row r="430" spans="3:60">
      <c r="C430" s="4"/>
      <c r="D430" s="4"/>
      <c r="G430" s="4"/>
      <c r="H430" s="4"/>
      <c r="K430" s="4"/>
      <c r="L430" s="4"/>
      <c r="O430" s="4"/>
      <c r="P430" s="4"/>
      <c r="S430" s="4"/>
      <c r="T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I430" s="4"/>
      <c r="AJ430" s="4"/>
      <c r="AM430" s="4"/>
      <c r="AN430" s="4"/>
      <c r="AQ430" s="4"/>
      <c r="AR430" s="4"/>
      <c r="AU430" s="4"/>
      <c r="AV430" s="4"/>
      <c r="AY430" s="4"/>
      <c r="AZ430" s="4"/>
      <c r="BC430" s="4"/>
      <c r="BD430" s="4"/>
      <c r="BG430" s="4"/>
      <c r="BH430" s="4"/>
    </row>
    <row r="431" spans="3:60">
      <c r="C431" s="4"/>
      <c r="D431" s="4"/>
      <c r="G431" s="4"/>
      <c r="H431" s="4"/>
      <c r="K431" s="4"/>
      <c r="L431" s="4"/>
      <c r="O431" s="4"/>
      <c r="P431" s="4"/>
      <c r="S431" s="4"/>
      <c r="T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I431" s="4"/>
      <c r="AJ431" s="4"/>
      <c r="AM431" s="4"/>
      <c r="AN431" s="4"/>
      <c r="AQ431" s="4"/>
      <c r="AR431" s="4"/>
      <c r="AU431" s="4"/>
      <c r="AV431" s="4"/>
      <c r="AY431" s="4"/>
      <c r="AZ431" s="4"/>
      <c r="BC431" s="4"/>
      <c r="BD431" s="4"/>
      <c r="BG431" s="4"/>
      <c r="BH431" s="4"/>
    </row>
    <row r="432" spans="3:60">
      <c r="C432" s="4"/>
      <c r="D432" s="4"/>
      <c r="G432" s="4"/>
      <c r="H432" s="4"/>
      <c r="K432" s="4"/>
      <c r="L432" s="4"/>
      <c r="O432" s="4"/>
      <c r="P432" s="4"/>
      <c r="S432" s="4"/>
      <c r="T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I432" s="4"/>
      <c r="AJ432" s="4"/>
      <c r="AM432" s="4"/>
      <c r="AN432" s="4"/>
      <c r="AQ432" s="4"/>
      <c r="AR432" s="4"/>
      <c r="AU432" s="4"/>
      <c r="AV432" s="4"/>
      <c r="AY432" s="4"/>
      <c r="AZ432" s="4"/>
      <c r="BC432" s="4"/>
      <c r="BD432" s="4"/>
      <c r="BG432" s="4"/>
      <c r="BH432" s="4"/>
    </row>
    <row r="433" spans="3:60">
      <c r="C433" s="4"/>
      <c r="D433" s="4"/>
      <c r="G433" s="4"/>
      <c r="H433" s="4"/>
      <c r="K433" s="4"/>
      <c r="L433" s="4"/>
      <c r="O433" s="4"/>
      <c r="P433" s="4"/>
      <c r="S433" s="4"/>
      <c r="T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I433" s="4"/>
      <c r="AJ433" s="4"/>
      <c r="AM433" s="4"/>
      <c r="AN433" s="4"/>
      <c r="AQ433" s="4"/>
      <c r="AR433" s="4"/>
      <c r="AU433" s="4"/>
      <c r="AV433" s="4"/>
      <c r="AY433" s="4"/>
      <c r="AZ433" s="4"/>
      <c r="BC433" s="4"/>
      <c r="BD433" s="4"/>
      <c r="BG433" s="4"/>
      <c r="BH433" s="4"/>
    </row>
    <row r="434" spans="3:60">
      <c r="C434" s="4"/>
      <c r="D434" s="4"/>
      <c r="G434" s="4"/>
      <c r="H434" s="4"/>
      <c r="K434" s="4"/>
      <c r="L434" s="4"/>
      <c r="O434" s="4"/>
      <c r="P434" s="4"/>
      <c r="S434" s="4"/>
      <c r="T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I434" s="4"/>
      <c r="AJ434" s="4"/>
      <c r="AM434" s="4"/>
      <c r="AN434" s="4"/>
      <c r="AQ434" s="4"/>
      <c r="AR434" s="4"/>
      <c r="AU434" s="4"/>
      <c r="AV434" s="4"/>
      <c r="AY434" s="4"/>
      <c r="AZ434" s="4"/>
      <c r="BC434" s="4"/>
      <c r="BD434" s="4"/>
      <c r="BG434" s="4"/>
      <c r="BH434" s="4"/>
    </row>
    <row r="435" spans="3:60">
      <c r="C435" s="4"/>
      <c r="D435" s="4"/>
      <c r="G435" s="4"/>
      <c r="H435" s="4"/>
      <c r="K435" s="4"/>
      <c r="L435" s="4"/>
      <c r="O435" s="4"/>
      <c r="P435" s="4"/>
      <c r="S435" s="4"/>
      <c r="T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I435" s="4"/>
      <c r="AJ435" s="4"/>
      <c r="AM435" s="4"/>
      <c r="AN435" s="4"/>
      <c r="AQ435" s="4"/>
      <c r="AR435" s="4"/>
      <c r="AU435" s="4"/>
      <c r="AV435" s="4"/>
      <c r="AY435" s="4"/>
      <c r="AZ435" s="4"/>
      <c r="BC435" s="4"/>
      <c r="BD435" s="4"/>
      <c r="BG435" s="4"/>
      <c r="BH435" s="4"/>
    </row>
    <row r="436" spans="3:60">
      <c r="C436" s="4"/>
      <c r="D436" s="4"/>
      <c r="G436" s="4"/>
      <c r="H436" s="4"/>
      <c r="K436" s="4"/>
      <c r="L436" s="4"/>
      <c r="O436" s="4"/>
      <c r="P436" s="4"/>
      <c r="S436" s="4"/>
      <c r="T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I436" s="4"/>
      <c r="AJ436" s="4"/>
      <c r="AM436" s="4"/>
      <c r="AN436" s="4"/>
      <c r="AQ436" s="4"/>
      <c r="AR436" s="4"/>
      <c r="AU436" s="4"/>
      <c r="AV436" s="4"/>
      <c r="AY436" s="4"/>
      <c r="AZ436" s="4"/>
      <c r="BC436" s="4"/>
      <c r="BD436" s="4"/>
      <c r="BG436" s="4"/>
      <c r="BH436" s="4"/>
    </row>
    <row r="437" spans="3:60">
      <c r="C437" s="4"/>
      <c r="D437" s="4"/>
      <c r="G437" s="4"/>
      <c r="H437" s="4"/>
      <c r="K437" s="4"/>
      <c r="L437" s="4"/>
      <c r="O437" s="4"/>
      <c r="P437" s="4"/>
      <c r="S437" s="4"/>
      <c r="T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I437" s="4"/>
      <c r="AJ437" s="4"/>
      <c r="AM437" s="4"/>
      <c r="AN437" s="4"/>
      <c r="AQ437" s="4"/>
      <c r="AR437" s="4"/>
      <c r="AU437" s="4"/>
      <c r="AV437" s="4"/>
      <c r="AY437" s="4"/>
      <c r="AZ437" s="4"/>
      <c r="BC437" s="4"/>
      <c r="BD437" s="4"/>
      <c r="BG437" s="4"/>
      <c r="BH437" s="4"/>
    </row>
    <row r="438" spans="3:60">
      <c r="C438" s="4"/>
      <c r="D438" s="4"/>
      <c r="G438" s="4"/>
      <c r="H438" s="4"/>
      <c r="K438" s="4"/>
      <c r="L438" s="4"/>
      <c r="O438" s="4"/>
      <c r="P438" s="4"/>
      <c r="S438" s="4"/>
      <c r="T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I438" s="4"/>
      <c r="AJ438" s="4"/>
      <c r="AM438" s="4"/>
      <c r="AN438" s="4"/>
      <c r="AQ438" s="4"/>
      <c r="AR438" s="4"/>
      <c r="AU438" s="4"/>
      <c r="AV438" s="4"/>
      <c r="AY438" s="4"/>
      <c r="AZ438" s="4"/>
      <c r="BC438" s="4"/>
      <c r="BD438" s="4"/>
      <c r="BG438" s="4"/>
      <c r="BH438" s="4"/>
    </row>
    <row r="439" spans="3:60">
      <c r="C439" s="4"/>
      <c r="D439" s="4"/>
      <c r="G439" s="4"/>
      <c r="H439" s="4"/>
      <c r="K439" s="4"/>
      <c r="L439" s="4"/>
      <c r="O439" s="4"/>
      <c r="P439" s="4"/>
      <c r="S439" s="4"/>
      <c r="T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I439" s="4"/>
      <c r="AJ439" s="4"/>
      <c r="AM439" s="4"/>
      <c r="AN439" s="4"/>
      <c r="AQ439" s="4"/>
      <c r="AR439" s="4"/>
      <c r="AU439" s="4"/>
      <c r="AV439" s="4"/>
      <c r="AY439" s="4"/>
      <c r="AZ439" s="4"/>
      <c r="BC439" s="4"/>
      <c r="BD439" s="4"/>
      <c r="BG439" s="4"/>
      <c r="BH439" s="4"/>
    </row>
    <row r="440" spans="3:60">
      <c r="C440" s="4"/>
      <c r="D440" s="4"/>
      <c r="G440" s="4"/>
      <c r="H440" s="4"/>
      <c r="K440" s="4"/>
      <c r="L440" s="4"/>
      <c r="O440" s="4"/>
      <c r="P440" s="4"/>
      <c r="S440" s="4"/>
      <c r="T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I440" s="4"/>
      <c r="AJ440" s="4"/>
      <c r="AM440" s="4"/>
      <c r="AN440" s="4"/>
      <c r="AQ440" s="4"/>
      <c r="AR440" s="4"/>
      <c r="AU440" s="4"/>
      <c r="AV440" s="4"/>
      <c r="AY440" s="4"/>
      <c r="AZ440" s="4"/>
      <c r="BC440" s="4"/>
      <c r="BD440" s="4"/>
      <c r="BG440" s="4"/>
      <c r="BH440" s="4"/>
    </row>
    <row r="441" spans="3:60">
      <c r="C441" s="4"/>
      <c r="D441" s="4"/>
      <c r="G441" s="4"/>
      <c r="H441" s="4"/>
      <c r="K441" s="4"/>
      <c r="L441" s="4"/>
      <c r="O441" s="4"/>
      <c r="P441" s="4"/>
      <c r="S441" s="4"/>
      <c r="T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I441" s="4"/>
      <c r="AJ441" s="4"/>
      <c r="AM441" s="4"/>
      <c r="AN441" s="4"/>
      <c r="AQ441" s="4"/>
      <c r="AR441" s="4"/>
      <c r="AU441" s="4"/>
      <c r="AV441" s="4"/>
      <c r="AY441" s="4"/>
      <c r="AZ441" s="4"/>
      <c r="BC441" s="4"/>
      <c r="BD441" s="4"/>
      <c r="BG441" s="4"/>
      <c r="BH441" s="4"/>
    </row>
    <row r="442" spans="3:60">
      <c r="C442" s="4"/>
      <c r="D442" s="4"/>
      <c r="G442" s="4"/>
      <c r="H442" s="4"/>
      <c r="K442" s="4"/>
      <c r="L442" s="4"/>
      <c r="O442" s="4"/>
      <c r="P442" s="4"/>
      <c r="S442" s="4"/>
      <c r="T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I442" s="4"/>
      <c r="AJ442" s="4"/>
      <c r="AM442" s="4"/>
      <c r="AN442" s="4"/>
      <c r="AQ442" s="4"/>
      <c r="AR442" s="4"/>
      <c r="AU442" s="4"/>
      <c r="AV442" s="4"/>
      <c r="AY442" s="4"/>
      <c r="AZ442" s="4"/>
      <c r="BC442" s="4"/>
      <c r="BD442" s="4"/>
      <c r="BG442" s="4"/>
      <c r="BH442" s="4"/>
    </row>
    <row r="443" spans="3:60">
      <c r="C443" s="4"/>
      <c r="D443" s="4"/>
      <c r="G443" s="4"/>
      <c r="H443" s="4"/>
      <c r="K443" s="4"/>
      <c r="L443" s="4"/>
      <c r="O443" s="4"/>
      <c r="P443" s="4"/>
      <c r="S443" s="4"/>
      <c r="T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I443" s="4"/>
      <c r="AJ443" s="4"/>
      <c r="AM443" s="4"/>
      <c r="AN443" s="4"/>
      <c r="AQ443" s="4"/>
      <c r="AR443" s="4"/>
      <c r="AU443" s="4"/>
      <c r="AV443" s="4"/>
      <c r="AY443" s="4"/>
      <c r="AZ443" s="4"/>
      <c r="BC443" s="4"/>
      <c r="BD443" s="4"/>
      <c r="BG443" s="4"/>
      <c r="BH443" s="4"/>
    </row>
    <row r="444" spans="3:60">
      <c r="C444" s="4"/>
      <c r="D444" s="4"/>
      <c r="G444" s="4"/>
      <c r="H444" s="4"/>
      <c r="K444" s="4"/>
      <c r="L444" s="4"/>
      <c r="O444" s="4"/>
      <c r="P444" s="4"/>
      <c r="S444" s="4"/>
      <c r="T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I444" s="4"/>
      <c r="AJ444" s="4"/>
      <c r="AM444" s="4"/>
      <c r="AN444" s="4"/>
      <c r="AQ444" s="4"/>
      <c r="AR444" s="4"/>
      <c r="AU444" s="4"/>
      <c r="AV444" s="4"/>
      <c r="AY444" s="4"/>
      <c r="AZ444" s="4"/>
      <c r="BC444" s="4"/>
      <c r="BD444" s="4"/>
      <c r="BG444" s="4"/>
      <c r="BH444" s="4"/>
    </row>
    <row r="445" spans="3:60">
      <c r="C445" s="4"/>
      <c r="D445" s="4"/>
      <c r="G445" s="4"/>
      <c r="H445" s="4"/>
      <c r="K445" s="4"/>
      <c r="L445" s="4"/>
      <c r="O445" s="4"/>
      <c r="P445" s="4"/>
      <c r="S445" s="4"/>
      <c r="T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I445" s="4"/>
      <c r="AJ445" s="4"/>
      <c r="AM445" s="4"/>
      <c r="AN445" s="4"/>
      <c r="AQ445" s="4"/>
      <c r="AR445" s="4"/>
      <c r="AU445" s="4"/>
      <c r="AV445" s="4"/>
      <c r="AY445" s="4"/>
      <c r="AZ445" s="4"/>
      <c r="BC445" s="4"/>
      <c r="BD445" s="4"/>
      <c r="BG445" s="4"/>
      <c r="BH445" s="4"/>
    </row>
    <row r="446" spans="3:60">
      <c r="C446" s="4"/>
      <c r="D446" s="4"/>
      <c r="G446" s="4"/>
      <c r="H446" s="4"/>
      <c r="K446" s="4"/>
      <c r="L446" s="4"/>
      <c r="O446" s="4"/>
      <c r="P446" s="4"/>
      <c r="S446" s="4"/>
      <c r="T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I446" s="4"/>
      <c r="AJ446" s="4"/>
      <c r="AM446" s="4"/>
      <c r="AN446" s="4"/>
      <c r="AQ446" s="4"/>
      <c r="AR446" s="4"/>
      <c r="AU446" s="4"/>
      <c r="AV446" s="4"/>
      <c r="AY446" s="4"/>
      <c r="AZ446" s="4"/>
      <c r="BC446" s="4"/>
      <c r="BD446" s="4"/>
      <c r="BG446" s="4"/>
      <c r="BH446" s="4"/>
    </row>
    <row r="447" spans="3:60">
      <c r="C447" s="4"/>
      <c r="D447" s="4"/>
      <c r="G447" s="4"/>
      <c r="H447" s="4"/>
      <c r="K447" s="4"/>
      <c r="L447" s="4"/>
      <c r="O447" s="4"/>
      <c r="P447" s="4"/>
      <c r="S447" s="4"/>
      <c r="T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I447" s="4"/>
      <c r="AJ447" s="4"/>
      <c r="AM447" s="4"/>
      <c r="AN447" s="4"/>
      <c r="AQ447" s="4"/>
      <c r="AR447" s="4"/>
      <c r="AU447" s="4"/>
      <c r="AV447" s="4"/>
      <c r="AY447" s="4"/>
      <c r="AZ447" s="4"/>
      <c r="BC447" s="4"/>
      <c r="BD447" s="4"/>
      <c r="BG447" s="4"/>
      <c r="BH447" s="4"/>
    </row>
    <row r="448" spans="3:60">
      <c r="C448" s="4"/>
      <c r="D448" s="4"/>
      <c r="G448" s="4"/>
      <c r="H448" s="4"/>
      <c r="K448" s="4"/>
      <c r="L448" s="4"/>
      <c r="O448" s="4"/>
      <c r="P448" s="4"/>
      <c r="S448" s="4"/>
      <c r="T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I448" s="4"/>
      <c r="AJ448" s="4"/>
      <c r="AM448" s="4"/>
      <c r="AN448" s="4"/>
      <c r="AQ448" s="4"/>
      <c r="AR448" s="4"/>
      <c r="AU448" s="4"/>
      <c r="AV448" s="4"/>
      <c r="AY448" s="4"/>
      <c r="AZ448" s="4"/>
      <c r="BC448" s="4"/>
      <c r="BD448" s="4"/>
      <c r="BG448" s="4"/>
      <c r="BH448" s="4"/>
    </row>
    <row r="449" spans="3:60">
      <c r="C449" s="4"/>
      <c r="D449" s="4"/>
      <c r="G449" s="4"/>
      <c r="H449" s="4"/>
      <c r="K449" s="4"/>
      <c r="L449" s="4"/>
      <c r="O449" s="4"/>
      <c r="P449" s="4"/>
      <c r="S449" s="4"/>
      <c r="T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I449" s="4"/>
      <c r="AJ449" s="4"/>
      <c r="AM449" s="4"/>
      <c r="AN449" s="4"/>
      <c r="AQ449" s="4"/>
      <c r="AR449" s="4"/>
      <c r="AU449" s="4"/>
      <c r="AV449" s="4"/>
      <c r="AY449" s="4"/>
      <c r="AZ449" s="4"/>
      <c r="BC449" s="4"/>
      <c r="BD449" s="4"/>
      <c r="BG449" s="4"/>
      <c r="BH449" s="4"/>
    </row>
    <row r="450" spans="3:60">
      <c r="C450" s="4"/>
      <c r="D450" s="4"/>
      <c r="G450" s="4"/>
      <c r="H450" s="4"/>
      <c r="K450" s="4"/>
      <c r="L450" s="4"/>
      <c r="O450" s="4"/>
      <c r="P450" s="4"/>
      <c r="S450" s="4"/>
      <c r="T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I450" s="4"/>
      <c r="AJ450" s="4"/>
      <c r="AM450" s="4"/>
      <c r="AN450" s="4"/>
      <c r="AQ450" s="4"/>
      <c r="AR450" s="4"/>
      <c r="AU450" s="4"/>
      <c r="AV450" s="4"/>
      <c r="AY450" s="4"/>
      <c r="AZ450" s="4"/>
      <c r="BC450" s="4"/>
      <c r="BD450" s="4"/>
      <c r="BG450" s="4"/>
      <c r="BH450" s="4"/>
    </row>
    <row r="451" spans="3:60">
      <c r="C451" s="4"/>
      <c r="D451" s="4"/>
      <c r="G451" s="4"/>
      <c r="H451" s="4"/>
      <c r="K451" s="4"/>
      <c r="L451" s="4"/>
      <c r="O451" s="4"/>
      <c r="P451" s="4"/>
      <c r="S451" s="4"/>
      <c r="T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I451" s="4"/>
      <c r="AJ451" s="4"/>
      <c r="AM451" s="4"/>
      <c r="AN451" s="4"/>
      <c r="AQ451" s="4"/>
      <c r="AR451" s="4"/>
      <c r="AU451" s="4"/>
      <c r="AV451" s="4"/>
      <c r="AY451" s="4"/>
      <c r="AZ451" s="4"/>
      <c r="BC451" s="4"/>
      <c r="BD451" s="4"/>
      <c r="BG451" s="4"/>
      <c r="BH451" s="4"/>
    </row>
    <row r="452" spans="3:60">
      <c r="C452" s="4"/>
      <c r="D452" s="4"/>
      <c r="G452" s="4"/>
      <c r="H452" s="4"/>
      <c r="K452" s="4"/>
      <c r="L452" s="4"/>
      <c r="O452" s="4"/>
      <c r="P452" s="4"/>
      <c r="S452" s="4"/>
      <c r="T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I452" s="4"/>
      <c r="AJ452" s="4"/>
      <c r="AM452" s="4"/>
      <c r="AN452" s="4"/>
      <c r="AQ452" s="4"/>
      <c r="AR452" s="4"/>
      <c r="AU452" s="4"/>
      <c r="AV452" s="4"/>
      <c r="AY452" s="4"/>
      <c r="AZ452" s="4"/>
      <c r="BC452" s="4"/>
      <c r="BD452" s="4"/>
      <c r="BG452" s="4"/>
      <c r="BH452" s="4"/>
    </row>
    <row r="453" spans="3:60">
      <c r="C453" s="4"/>
      <c r="D453" s="4"/>
      <c r="G453" s="4"/>
      <c r="H453" s="4"/>
      <c r="K453" s="4"/>
      <c r="L453" s="4"/>
      <c r="O453" s="4"/>
      <c r="P453" s="4"/>
      <c r="S453" s="4"/>
      <c r="T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I453" s="4"/>
      <c r="AJ453" s="4"/>
      <c r="AM453" s="4"/>
      <c r="AN453" s="4"/>
      <c r="AQ453" s="4"/>
      <c r="AR453" s="4"/>
      <c r="AU453" s="4"/>
      <c r="AV453" s="4"/>
      <c r="AY453" s="4"/>
      <c r="AZ453" s="4"/>
      <c r="BC453" s="4"/>
      <c r="BD453" s="4"/>
      <c r="BG453" s="4"/>
      <c r="BH453" s="4"/>
    </row>
    <row r="454" spans="3:60">
      <c r="C454" s="4"/>
      <c r="D454" s="4"/>
      <c r="G454" s="4"/>
      <c r="H454" s="4"/>
      <c r="K454" s="4"/>
      <c r="L454" s="4"/>
      <c r="O454" s="4"/>
      <c r="P454" s="4"/>
      <c r="S454" s="4"/>
      <c r="T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I454" s="4"/>
      <c r="AJ454" s="4"/>
      <c r="AM454" s="4"/>
      <c r="AN454" s="4"/>
      <c r="AQ454" s="4"/>
      <c r="AR454" s="4"/>
      <c r="AU454" s="4"/>
      <c r="AV454" s="4"/>
      <c r="AY454" s="4"/>
      <c r="AZ454" s="4"/>
      <c r="BC454" s="4"/>
      <c r="BD454" s="4"/>
      <c r="BG454" s="4"/>
      <c r="BH454" s="4"/>
    </row>
    <row r="455" spans="3:60">
      <c r="C455" s="4"/>
      <c r="D455" s="4"/>
      <c r="G455" s="4"/>
      <c r="H455" s="4"/>
      <c r="K455" s="4"/>
      <c r="L455" s="4"/>
      <c r="O455" s="4"/>
      <c r="P455" s="4"/>
      <c r="S455" s="4"/>
      <c r="T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I455" s="4"/>
      <c r="AJ455" s="4"/>
      <c r="AM455" s="4"/>
      <c r="AN455" s="4"/>
      <c r="AQ455" s="4"/>
      <c r="AR455" s="4"/>
      <c r="AU455" s="4"/>
      <c r="AV455" s="4"/>
      <c r="AY455" s="4"/>
      <c r="AZ455" s="4"/>
      <c r="BC455" s="4"/>
      <c r="BD455" s="4"/>
      <c r="BG455" s="4"/>
      <c r="BH455" s="4"/>
    </row>
    <row r="456" spans="3:60">
      <c r="C456" s="4"/>
      <c r="D456" s="4"/>
      <c r="G456" s="4"/>
      <c r="H456" s="4"/>
      <c r="K456" s="4"/>
      <c r="L456" s="4"/>
      <c r="O456" s="4"/>
      <c r="P456" s="4"/>
      <c r="S456" s="4"/>
      <c r="T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I456" s="4"/>
      <c r="AJ456" s="4"/>
      <c r="AM456" s="4"/>
      <c r="AN456" s="4"/>
      <c r="AQ456" s="4"/>
      <c r="AR456" s="4"/>
      <c r="AU456" s="4"/>
      <c r="AV456" s="4"/>
      <c r="AY456" s="4"/>
      <c r="AZ456" s="4"/>
      <c r="BC456" s="4"/>
      <c r="BD456" s="4"/>
      <c r="BG456" s="4"/>
      <c r="BH456" s="4"/>
    </row>
    <row r="457" spans="3:60">
      <c r="C457" s="4"/>
      <c r="D457" s="4"/>
      <c r="G457" s="4"/>
      <c r="H457" s="4"/>
      <c r="K457" s="4"/>
      <c r="L457" s="4"/>
      <c r="O457" s="4"/>
      <c r="P457" s="4"/>
      <c r="S457" s="4"/>
      <c r="T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I457" s="4"/>
      <c r="AJ457" s="4"/>
      <c r="AM457" s="4"/>
      <c r="AN457" s="4"/>
      <c r="AQ457" s="4"/>
      <c r="AR457" s="4"/>
      <c r="AU457" s="4"/>
      <c r="AV457" s="4"/>
      <c r="AY457" s="4"/>
      <c r="AZ457" s="4"/>
      <c r="BC457" s="4"/>
      <c r="BD457" s="4"/>
      <c r="BG457" s="4"/>
      <c r="BH457" s="4"/>
    </row>
    <row r="458" spans="3:60">
      <c r="C458" s="4"/>
      <c r="D458" s="4"/>
      <c r="G458" s="4"/>
      <c r="H458" s="4"/>
      <c r="K458" s="4"/>
      <c r="L458" s="4"/>
      <c r="O458" s="4"/>
      <c r="P458" s="4"/>
      <c r="S458" s="4"/>
      <c r="T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I458" s="4"/>
      <c r="AJ458" s="4"/>
      <c r="AM458" s="4"/>
      <c r="AN458" s="4"/>
      <c r="AQ458" s="4"/>
      <c r="AR458" s="4"/>
      <c r="AU458" s="4"/>
      <c r="AV458" s="4"/>
      <c r="AY458" s="4"/>
      <c r="AZ458" s="4"/>
      <c r="BC458" s="4"/>
      <c r="BD458" s="4"/>
      <c r="BG458" s="4"/>
      <c r="BH458" s="4"/>
    </row>
    <row r="459" spans="3:60">
      <c r="C459" s="4"/>
      <c r="D459" s="4"/>
      <c r="G459" s="4"/>
      <c r="H459" s="4"/>
      <c r="K459" s="4"/>
      <c r="L459" s="4"/>
      <c r="O459" s="4"/>
      <c r="P459" s="4"/>
      <c r="S459" s="4"/>
      <c r="T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I459" s="4"/>
      <c r="AJ459" s="4"/>
      <c r="AM459" s="4"/>
      <c r="AN459" s="4"/>
      <c r="AQ459" s="4"/>
      <c r="AR459" s="4"/>
      <c r="AU459" s="4"/>
      <c r="AV459" s="4"/>
      <c r="AY459" s="4"/>
      <c r="AZ459" s="4"/>
      <c r="BC459" s="4"/>
      <c r="BD459" s="4"/>
      <c r="BG459" s="4"/>
      <c r="BH459" s="4"/>
    </row>
    <row r="460" spans="3:60">
      <c r="C460" s="4"/>
      <c r="D460" s="4"/>
      <c r="G460" s="4"/>
      <c r="H460" s="4"/>
      <c r="K460" s="4"/>
      <c r="L460" s="4"/>
      <c r="O460" s="4"/>
      <c r="P460" s="4"/>
      <c r="S460" s="4"/>
      <c r="T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I460" s="4"/>
      <c r="AJ460" s="4"/>
      <c r="AM460" s="4"/>
      <c r="AN460" s="4"/>
      <c r="AQ460" s="4"/>
      <c r="AR460" s="4"/>
      <c r="AU460" s="4"/>
      <c r="AV460" s="4"/>
      <c r="AY460" s="4"/>
      <c r="AZ460" s="4"/>
      <c r="BC460" s="4"/>
      <c r="BD460" s="4"/>
      <c r="BG460" s="4"/>
      <c r="BH460" s="4"/>
    </row>
    <row r="461" spans="3:60">
      <c r="C461" s="4"/>
      <c r="D461" s="4"/>
      <c r="G461" s="4"/>
      <c r="H461" s="4"/>
      <c r="K461" s="4"/>
      <c r="L461" s="4"/>
      <c r="O461" s="4"/>
      <c r="P461" s="4"/>
      <c r="S461" s="4"/>
      <c r="T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I461" s="4"/>
      <c r="AJ461" s="4"/>
      <c r="AM461" s="4"/>
      <c r="AN461" s="4"/>
      <c r="AQ461" s="4"/>
      <c r="AR461" s="4"/>
      <c r="AU461" s="4"/>
      <c r="AV461" s="4"/>
      <c r="AY461" s="4"/>
      <c r="AZ461" s="4"/>
      <c r="BC461" s="4"/>
      <c r="BD461" s="4"/>
      <c r="BG461" s="4"/>
      <c r="BH461" s="4"/>
    </row>
    <row r="462" spans="3:60">
      <c r="C462" s="4"/>
      <c r="D462" s="4"/>
      <c r="G462" s="4"/>
      <c r="H462" s="4"/>
      <c r="K462" s="4"/>
      <c r="L462" s="4"/>
      <c r="O462" s="4"/>
      <c r="P462" s="4"/>
      <c r="S462" s="4"/>
      <c r="T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I462" s="4"/>
      <c r="AJ462" s="4"/>
      <c r="AM462" s="4"/>
      <c r="AN462" s="4"/>
      <c r="AQ462" s="4"/>
      <c r="AR462" s="4"/>
      <c r="AU462" s="4"/>
      <c r="AV462" s="4"/>
      <c r="AY462" s="4"/>
      <c r="AZ462" s="4"/>
      <c r="BC462" s="4"/>
      <c r="BD462" s="4"/>
      <c r="BG462" s="4"/>
      <c r="BH462" s="4"/>
    </row>
    <row r="463" spans="3:60">
      <c r="C463" s="4"/>
      <c r="D463" s="4"/>
      <c r="G463" s="4"/>
      <c r="H463" s="4"/>
      <c r="K463" s="4"/>
      <c r="L463" s="4"/>
      <c r="O463" s="4"/>
      <c r="P463" s="4"/>
      <c r="S463" s="4"/>
      <c r="T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I463" s="4"/>
      <c r="AJ463" s="4"/>
      <c r="AM463" s="4"/>
      <c r="AN463" s="4"/>
      <c r="AQ463" s="4"/>
      <c r="AR463" s="4"/>
      <c r="AU463" s="4"/>
      <c r="AV463" s="4"/>
      <c r="AY463" s="4"/>
      <c r="AZ463" s="4"/>
      <c r="BC463" s="4"/>
      <c r="BD463" s="4"/>
      <c r="BG463" s="4"/>
      <c r="BH463" s="4"/>
    </row>
    <row r="464" spans="3:60">
      <c r="C464" s="4"/>
      <c r="D464" s="4"/>
      <c r="G464" s="4"/>
      <c r="H464" s="4"/>
      <c r="K464" s="4"/>
      <c r="L464" s="4"/>
      <c r="O464" s="4"/>
      <c r="P464" s="4"/>
      <c r="S464" s="4"/>
      <c r="T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I464" s="4"/>
      <c r="AJ464" s="4"/>
      <c r="AM464" s="4"/>
      <c r="AN464" s="4"/>
      <c r="AQ464" s="4"/>
      <c r="AR464" s="4"/>
      <c r="AU464" s="4"/>
      <c r="AV464" s="4"/>
      <c r="AY464" s="4"/>
      <c r="AZ464" s="4"/>
      <c r="BC464" s="4"/>
      <c r="BD464" s="4"/>
      <c r="BG464" s="4"/>
      <c r="BH464" s="4"/>
    </row>
    <row r="465" spans="3:60">
      <c r="C465" s="4"/>
      <c r="D465" s="4"/>
      <c r="G465" s="4"/>
      <c r="H465" s="4"/>
      <c r="K465" s="4"/>
      <c r="L465" s="4"/>
      <c r="O465" s="4"/>
      <c r="P465" s="4"/>
      <c r="S465" s="4"/>
      <c r="T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I465" s="4"/>
      <c r="AJ465" s="4"/>
      <c r="AM465" s="4"/>
      <c r="AN465" s="4"/>
      <c r="AQ465" s="4"/>
      <c r="AR465" s="4"/>
      <c r="AU465" s="4"/>
      <c r="AV465" s="4"/>
      <c r="AY465" s="4"/>
      <c r="AZ465" s="4"/>
      <c r="BC465" s="4"/>
      <c r="BD465" s="4"/>
      <c r="BG465" s="4"/>
      <c r="BH465" s="4"/>
    </row>
    <row r="466" spans="3:60">
      <c r="C466" s="4"/>
      <c r="D466" s="4"/>
      <c r="G466" s="4"/>
      <c r="H466" s="4"/>
      <c r="K466" s="4"/>
      <c r="L466" s="4"/>
      <c r="O466" s="4"/>
      <c r="P466" s="4"/>
      <c r="S466" s="4"/>
      <c r="T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I466" s="4"/>
      <c r="AJ466" s="4"/>
      <c r="AM466" s="4"/>
      <c r="AN466" s="4"/>
      <c r="AQ466" s="4"/>
      <c r="AR466" s="4"/>
      <c r="AU466" s="4"/>
      <c r="AV466" s="4"/>
      <c r="AY466" s="4"/>
      <c r="AZ466" s="4"/>
      <c r="BC466" s="4"/>
      <c r="BD466" s="4"/>
      <c r="BG466" s="4"/>
      <c r="BH466" s="4"/>
    </row>
    <row r="467" spans="3:60">
      <c r="C467" s="4"/>
      <c r="D467" s="4"/>
      <c r="G467" s="4"/>
      <c r="H467" s="4"/>
      <c r="K467" s="4"/>
      <c r="L467" s="4"/>
      <c r="O467" s="4"/>
      <c r="P467" s="4"/>
      <c r="S467" s="4"/>
      <c r="T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I467" s="4"/>
      <c r="AJ467" s="4"/>
      <c r="AM467" s="4"/>
      <c r="AN467" s="4"/>
      <c r="AQ467" s="4"/>
      <c r="AR467" s="4"/>
      <c r="AU467" s="4"/>
      <c r="AV467" s="4"/>
      <c r="AY467" s="4"/>
      <c r="AZ467" s="4"/>
      <c r="BC467" s="4"/>
      <c r="BD467" s="4"/>
      <c r="BG467" s="4"/>
      <c r="BH467" s="4"/>
    </row>
    <row r="468" spans="3:60">
      <c r="C468" s="4"/>
      <c r="D468" s="4"/>
      <c r="G468" s="4"/>
      <c r="H468" s="4"/>
      <c r="K468" s="4"/>
      <c r="L468" s="4"/>
      <c r="O468" s="4"/>
      <c r="P468" s="4"/>
      <c r="S468" s="4"/>
      <c r="T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I468" s="4"/>
      <c r="AJ468" s="4"/>
      <c r="AM468" s="4"/>
      <c r="AN468" s="4"/>
      <c r="AQ468" s="4"/>
      <c r="AR468" s="4"/>
      <c r="AU468" s="4"/>
      <c r="AV468" s="4"/>
      <c r="AY468" s="4"/>
      <c r="AZ468" s="4"/>
      <c r="BC468" s="4"/>
      <c r="BD468" s="4"/>
      <c r="BG468" s="4"/>
      <c r="BH468" s="4"/>
    </row>
    <row r="469" spans="3:60">
      <c r="C469" s="4"/>
      <c r="D469" s="4"/>
      <c r="G469" s="4"/>
      <c r="H469" s="4"/>
      <c r="K469" s="4"/>
      <c r="L469" s="4"/>
      <c r="O469" s="4"/>
      <c r="P469" s="4"/>
      <c r="S469" s="4"/>
      <c r="T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I469" s="4"/>
      <c r="AJ469" s="4"/>
      <c r="AM469" s="4"/>
      <c r="AN469" s="4"/>
      <c r="AQ469" s="4"/>
      <c r="AR469" s="4"/>
      <c r="AU469" s="4"/>
      <c r="AV469" s="4"/>
      <c r="AY469" s="4"/>
      <c r="AZ469" s="4"/>
      <c r="BC469" s="4"/>
      <c r="BD469" s="4"/>
      <c r="BG469" s="4"/>
      <c r="BH469" s="4"/>
    </row>
    <row r="470" spans="3:60">
      <c r="C470" s="4"/>
      <c r="D470" s="4"/>
      <c r="G470" s="4"/>
      <c r="H470" s="4"/>
      <c r="K470" s="4"/>
      <c r="L470" s="4"/>
      <c r="O470" s="4"/>
      <c r="P470" s="4"/>
      <c r="S470" s="4"/>
      <c r="T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I470" s="4"/>
      <c r="AJ470" s="4"/>
      <c r="AM470" s="4"/>
      <c r="AN470" s="4"/>
      <c r="AQ470" s="4"/>
      <c r="AR470" s="4"/>
      <c r="AU470" s="4"/>
      <c r="AV470" s="4"/>
      <c r="AY470" s="4"/>
      <c r="AZ470" s="4"/>
      <c r="BC470" s="4"/>
      <c r="BD470" s="4"/>
      <c r="BG470" s="4"/>
      <c r="BH470" s="4"/>
    </row>
    <row r="471" spans="3:60">
      <c r="C471" s="4"/>
      <c r="D471" s="4"/>
      <c r="G471" s="4"/>
      <c r="H471" s="4"/>
      <c r="K471" s="4"/>
      <c r="L471" s="4"/>
      <c r="O471" s="4"/>
      <c r="P471" s="4"/>
      <c r="S471" s="4"/>
      <c r="T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I471" s="4"/>
      <c r="AJ471" s="4"/>
      <c r="AM471" s="4"/>
      <c r="AN471" s="4"/>
      <c r="AQ471" s="4"/>
      <c r="AR471" s="4"/>
      <c r="AU471" s="4"/>
      <c r="AV471" s="4"/>
      <c r="AY471" s="4"/>
      <c r="AZ471" s="4"/>
      <c r="BC471" s="4"/>
      <c r="BD471" s="4"/>
      <c r="BG471" s="4"/>
      <c r="BH471" s="4"/>
    </row>
    <row r="472" spans="3:60">
      <c r="C472" s="4"/>
      <c r="D472" s="4"/>
      <c r="G472" s="4"/>
      <c r="H472" s="4"/>
      <c r="K472" s="4"/>
      <c r="L472" s="4"/>
      <c r="O472" s="4"/>
      <c r="P472" s="4"/>
      <c r="S472" s="4"/>
      <c r="T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I472" s="4"/>
      <c r="AJ472" s="4"/>
      <c r="AM472" s="4"/>
      <c r="AN472" s="4"/>
      <c r="AQ472" s="4"/>
      <c r="AR472" s="4"/>
      <c r="AU472" s="4"/>
      <c r="AV472" s="4"/>
      <c r="AY472" s="4"/>
      <c r="AZ472" s="4"/>
      <c r="BC472" s="4"/>
      <c r="BD472" s="4"/>
      <c r="BG472" s="4"/>
      <c r="BH472" s="4"/>
    </row>
    <row r="473" spans="3:60">
      <c r="C473" s="4"/>
      <c r="D473" s="4"/>
      <c r="G473" s="4"/>
      <c r="H473" s="4"/>
      <c r="K473" s="4"/>
      <c r="L473" s="4"/>
      <c r="O473" s="4"/>
      <c r="P473" s="4"/>
      <c r="S473" s="4"/>
      <c r="T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I473" s="4"/>
      <c r="AJ473" s="4"/>
      <c r="AM473" s="4"/>
      <c r="AN473" s="4"/>
      <c r="AQ473" s="4"/>
      <c r="AR473" s="4"/>
      <c r="AU473" s="4"/>
      <c r="AV473" s="4"/>
      <c r="AY473" s="4"/>
      <c r="AZ473" s="4"/>
      <c r="BC473" s="4"/>
      <c r="BD473" s="4"/>
      <c r="BG473" s="4"/>
      <c r="BH473" s="4"/>
    </row>
    <row r="474" spans="3:60">
      <c r="C474" s="4"/>
      <c r="D474" s="4"/>
      <c r="G474" s="4"/>
      <c r="H474" s="4"/>
      <c r="K474" s="4"/>
      <c r="L474" s="4"/>
      <c r="O474" s="4"/>
      <c r="P474" s="4"/>
      <c r="S474" s="4"/>
      <c r="T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I474" s="4"/>
      <c r="AJ474" s="4"/>
      <c r="AM474" s="4"/>
      <c r="AN474" s="4"/>
      <c r="AQ474" s="4"/>
      <c r="AR474" s="4"/>
      <c r="AU474" s="4"/>
      <c r="AV474" s="4"/>
      <c r="AY474" s="4"/>
      <c r="AZ474" s="4"/>
      <c r="BC474" s="4"/>
      <c r="BD474" s="4"/>
      <c r="BG474" s="4"/>
      <c r="BH474" s="4"/>
    </row>
    <row r="475" spans="3:60">
      <c r="C475" s="4"/>
      <c r="D475" s="4"/>
      <c r="G475" s="4"/>
      <c r="H475" s="4"/>
      <c r="K475" s="4"/>
      <c r="L475" s="4"/>
      <c r="O475" s="4"/>
      <c r="P475" s="4"/>
      <c r="S475" s="4"/>
      <c r="T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I475" s="4"/>
      <c r="AJ475" s="4"/>
      <c r="AM475" s="4"/>
      <c r="AN475" s="4"/>
      <c r="AQ475" s="4"/>
      <c r="AR475" s="4"/>
      <c r="AU475" s="4"/>
      <c r="AV475" s="4"/>
      <c r="AY475" s="4"/>
      <c r="AZ475" s="4"/>
      <c r="BC475" s="4"/>
      <c r="BD475" s="4"/>
      <c r="BG475" s="4"/>
      <c r="BH475" s="4"/>
    </row>
    <row r="476" spans="3:60">
      <c r="C476" s="4"/>
      <c r="D476" s="4"/>
      <c r="G476" s="4"/>
      <c r="H476" s="4"/>
      <c r="K476" s="4"/>
      <c r="L476" s="4"/>
      <c r="O476" s="4"/>
      <c r="P476" s="4"/>
      <c r="S476" s="4"/>
      <c r="T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I476" s="4"/>
      <c r="AJ476" s="4"/>
      <c r="AM476" s="4"/>
      <c r="AN476" s="4"/>
      <c r="AQ476" s="4"/>
      <c r="AR476" s="4"/>
      <c r="AU476" s="4"/>
      <c r="AV476" s="4"/>
      <c r="AY476" s="4"/>
      <c r="AZ476" s="4"/>
      <c r="BC476" s="4"/>
      <c r="BD476" s="4"/>
      <c r="BG476" s="4"/>
      <c r="BH476" s="4"/>
    </row>
    <row r="477" spans="3:60">
      <c r="C477" s="4"/>
      <c r="D477" s="4"/>
      <c r="G477" s="4"/>
      <c r="H477" s="4"/>
      <c r="K477" s="4"/>
      <c r="L477" s="4"/>
      <c r="O477" s="4"/>
      <c r="P477" s="4"/>
      <c r="S477" s="4"/>
      <c r="T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I477" s="4"/>
      <c r="AJ477" s="4"/>
      <c r="AM477" s="4"/>
      <c r="AN477" s="4"/>
      <c r="AQ477" s="4"/>
      <c r="AR477" s="4"/>
      <c r="AU477" s="4"/>
      <c r="AV477" s="4"/>
      <c r="AY477" s="4"/>
      <c r="AZ477" s="4"/>
      <c r="BC477" s="4"/>
      <c r="BD477" s="4"/>
      <c r="BG477" s="4"/>
      <c r="BH477" s="4"/>
    </row>
    <row r="478" spans="3:60">
      <c r="C478" s="4"/>
      <c r="D478" s="4"/>
      <c r="G478" s="4"/>
      <c r="H478" s="4"/>
      <c r="K478" s="4"/>
      <c r="L478" s="4"/>
      <c r="O478" s="4"/>
      <c r="P478" s="4"/>
      <c r="S478" s="4"/>
      <c r="T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I478" s="4"/>
      <c r="AJ478" s="4"/>
      <c r="AM478" s="4"/>
      <c r="AN478" s="4"/>
      <c r="AQ478" s="4"/>
      <c r="AR478" s="4"/>
      <c r="AU478" s="4"/>
      <c r="AV478" s="4"/>
      <c r="AY478" s="4"/>
      <c r="AZ478" s="4"/>
      <c r="BC478" s="4"/>
      <c r="BD478" s="4"/>
      <c r="BG478" s="4"/>
      <c r="BH478" s="4"/>
    </row>
    <row r="479" spans="3:60">
      <c r="C479" s="4"/>
      <c r="D479" s="4"/>
      <c r="G479" s="4"/>
      <c r="H479" s="4"/>
      <c r="K479" s="4"/>
      <c r="L479" s="4"/>
      <c r="O479" s="4"/>
      <c r="P479" s="4"/>
      <c r="S479" s="4"/>
      <c r="T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I479" s="4"/>
      <c r="AJ479" s="4"/>
      <c r="AM479" s="4"/>
      <c r="AN479" s="4"/>
      <c r="AQ479" s="4"/>
      <c r="AR479" s="4"/>
      <c r="AU479" s="4"/>
      <c r="AV479" s="4"/>
      <c r="AY479" s="4"/>
      <c r="AZ479" s="4"/>
      <c r="BC479" s="4"/>
      <c r="BD479" s="4"/>
      <c r="BG479" s="4"/>
      <c r="BH479" s="4"/>
    </row>
    <row r="480" spans="3:60">
      <c r="C480" s="4"/>
      <c r="D480" s="4"/>
      <c r="G480" s="4"/>
      <c r="H480" s="4"/>
      <c r="K480" s="4"/>
      <c r="L480" s="4"/>
      <c r="O480" s="4"/>
      <c r="P480" s="4"/>
      <c r="S480" s="4"/>
      <c r="T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I480" s="4"/>
      <c r="AJ480" s="4"/>
      <c r="AM480" s="4"/>
      <c r="AN480" s="4"/>
      <c r="AQ480" s="4"/>
      <c r="AR480" s="4"/>
      <c r="AU480" s="4"/>
      <c r="AV480" s="4"/>
      <c r="AY480" s="4"/>
      <c r="AZ480" s="4"/>
      <c r="BC480" s="4"/>
      <c r="BD480" s="4"/>
      <c r="BG480" s="4"/>
      <c r="BH480" s="4"/>
    </row>
    <row r="481" spans="3:60">
      <c r="C481" s="4"/>
      <c r="D481" s="4"/>
      <c r="G481" s="4"/>
      <c r="H481" s="4"/>
      <c r="K481" s="4"/>
      <c r="L481" s="4"/>
      <c r="O481" s="4"/>
      <c r="P481" s="4"/>
      <c r="S481" s="4"/>
      <c r="T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I481" s="4"/>
      <c r="AJ481" s="4"/>
      <c r="AM481" s="4"/>
      <c r="AN481" s="4"/>
      <c r="AQ481" s="4"/>
      <c r="AR481" s="4"/>
      <c r="AU481" s="4"/>
      <c r="AV481" s="4"/>
      <c r="AY481" s="4"/>
      <c r="AZ481" s="4"/>
      <c r="BC481" s="4"/>
      <c r="BD481" s="4"/>
      <c r="BG481" s="4"/>
      <c r="BH481" s="4"/>
    </row>
    <row r="482" spans="3:60">
      <c r="C482" s="4"/>
      <c r="D482" s="4"/>
      <c r="G482" s="4"/>
      <c r="H482" s="4"/>
      <c r="K482" s="4"/>
      <c r="L482" s="4"/>
      <c r="O482" s="4"/>
      <c r="P482" s="4"/>
      <c r="S482" s="4"/>
      <c r="T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I482" s="4"/>
      <c r="AJ482" s="4"/>
      <c r="AM482" s="4"/>
      <c r="AN482" s="4"/>
      <c r="AQ482" s="4"/>
      <c r="AR482" s="4"/>
      <c r="AU482" s="4"/>
      <c r="AV482" s="4"/>
      <c r="AY482" s="4"/>
      <c r="AZ482" s="4"/>
      <c r="BC482" s="4"/>
      <c r="BD482" s="4"/>
      <c r="BG482" s="4"/>
      <c r="BH482" s="4"/>
    </row>
    <row r="483" spans="3:60">
      <c r="C483" s="4"/>
      <c r="D483" s="4"/>
      <c r="G483" s="4"/>
      <c r="H483" s="4"/>
      <c r="K483" s="4"/>
      <c r="L483" s="4"/>
      <c r="O483" s="4"/>
      <c r="P483" s="4"/>
      <c r="S483" s="4"/>
      <c r="T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I483" s="4"/>
      <c r="AJ483" s="4"/>
      <c r="AM483" s="4"/>
      <c r="AN483" s="4"/>
      <c r="AQ483" s="4"/>
      <c r="AR483" s="4"/>
      <c r="AU483" s="4"/>
      <c r="AV483" s="4"/>
      <c r="AY483" s="4"/>
      <c r="AZ483" s="4"/>
      <c r="BC483" s="4"/>
      <c r="BD483" s="4"/>
      <c r="BG483" s="4"/>
      <c r="BH483" s="4"/>
    </row>
    <row r="484" spans="3:60">
      <c r="C484" s="4"/>
      <c r="D484" s="4"/>
      <c r="G484" s="4"/>
      <c r="H484" s="4"/>
      <c r="K484" s="4"/>
      <c r="L484" s="4"/>
      <c r="O484" s="4"/>
      <c r="P484" s="4"/>
      <c r="S484" s="4"/>
      <c r="T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I484" s="4"/>
      <c r="AJ484" s="4"/>
      <c r="AM484" s="4"/>
      <c r="AN484" s="4"/>
      <c r="AQ484" s="4"/>
      <c r="AR484" s="4"/>
      <c r="AU484" s="4"/>
      <c r="AV484" s="4"/>
      <c r="AY484" s="4"/>
      <c r="AZ484" s="4"/>
      <c r="BC484" s="4"/>
      <c r="BD484" s="4"/>
      <c r="BG484" s="4"/>
      <c r="BH484" s="4"/>
    </row>
    <row r="485" spans="3:60">
      <c r="C485" s="4"/>
      <c r="D485" s="4"/>
      <c r="G485" s="4"/>
      <c r="H485" s="4"/>
      <c r="K485" s="4"/>
      <c r="L485" s="4"/>
      <c r="O485" s="4"/>
      <c r="P485" s="4"/>
      <c r="S485" s="4"/>
      <c r="T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I485" s="4"/>
      <c r="AJ485" s="4"/>
      <c r="AM485" s="4"/>
      <c r="AN485" s="4"/>
      <c r="AQ485" s="4"/>
      <c r="AR485" s="4"/>
      <c r="AU485" s="4"/>
      <c r="AV485" s="4"/>
      <c r="AY485" s="4"/>
      <c r="AZ485" s="4"/>
      <c r="BC485" s="4"/>
      <c r="BD485" s="4"/>
      <c r="BG485" s="4"/>
      <c r="BH485" s="4"/>
    </row>
    <row r="486" spans="3:60">
      <c r="C486" s="4"/>
      <c r="D486" s="4"/>
      <c r="G486" s="4"/>
      <c r="H486" s="4"/>
      <c r="K486" s="4"/>
      <c r="L486" s="4"/>
      <c r="O486" s="4"/>
      <c r="P486" s="4"/>
      <c r="S486" s="4"/>
      <c r="T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I486" s="4"/>
      <c r="AJ486" s="4"/>
      <c r="AM486" s="4"/>
      <c r="AN486" s="4"/>
      <c r="AQ486" s="4"/>
      <c r="AR486" s="4"/>
      <c r="AU486" s="4"/>
      <c r="AV486" s="4"/>
      <c r="AY486" s="4"/>
      <c r="AZ486" s="4"/>
      <c r="BC486" s="4"/>
      <c r="BD486" s="4"/>
      <c r="BG486" s="4"/>
      <c r="BH486" s="4"/>
    </row>
    <row r="487" spans="3:60">
      <c r="C487" s="4"/>
      <c r="D487" s="4"/>
      <c r="G487" s="4"/>
      <c r="H487" s="4"/>
      <c r="K487" s="4"/>
      <c r="L487" s="4"/>
      <c r="O487" s="4"/>
      <c r="P487" s="4"/>
      <c r="S487" s="4"/>
      <c r="T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I487" s="4"/>
      <c r="AJ487" s="4"/>
      <c r="AM487" s="4"/>
      <c r="AN487" s="4"/>
      <c r="AQ487" s="4"/>
      <c r="AR487" s="4"/>
      <c r="AU487" s="4"/>
      <c r="AV487" s="4"/>
      <c r="AY487" s="4"/>
      <c r="AZ487" s="4"/>
      <c r="BC487" s="4"/>
      <c r="BD487" s="4"/>
      <c r="BG487" s="4"/>
      <c r="BH487" s="4"/>
    </row>
    <row r="488" spans="3:60">
      <c r="C488" s="4"/>
      <c r="D488" s="4"/>
      <c r="G488" s="4"/>
      <c r="H488" s="4"/>
      <c r="K488" s="4"/>
      <c r="L488" s="4"/>
      <c r="O488" s="4"/>
      <c r="P488" s="4"/>
      <c r="S488" s="4"/>
      <c r="T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I488" s="4"/>
      <c r="AJ488" s="4"/>
      <c r="AM488" s="4"/>
      <c r="AN488" s="4"/>
      <c r="AQ488" s="4"/>
      <c r="AR488" s="4"/>
      <c r="AU488" s="4"/>
      <c r="AV488" s="4"/>
      <c r="AY488" s="4"/>
      <c r="AZ488" s="4"/>
      <c r="BC488" s="4"/>
      <c r="BD488" s="4"/>
      <c r="BG488" s="4"/>
      <c r="BH488" s="4"/>
    </row>
    <row r="489" spans="3:60">
      <c r="C489" s="4"/>
      <c r="D489" s="4"/>
      <c r="G489" s="4"/>
      <c r="H489" s="4"/>
      <c r="K489" s="4"/>
      <c r="L489" s="4"/>
      <c r="O489" s="4"/>
      <c r="P489" s="4"/>
      <c r="S489" s="4"/>
      <c r="T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I489" s="4"/>
      <c r="AJ489" s="4"/>
      <c r="AM489" s="4"/>
      <c r="AN489" s="4"/>
      <c r="AQ489" s="4"/>
      <c r="AR489" s="4"/>
      <c r="AU489" s="4"/>
      <c r="AV489" s="4"/>
      <c r="AY489" s="4"/>
      <c r="AZ489" s="4"/>
      <c r="BC489" s="4"/>
      <c r="BD489" s="4"/>
      <c r="BG489" s="4"/>
      <c r="BH489" s="4"/>
    </row>
    <row r="490" spans="3:60">
      <c r="C490" s="4"/>
      <c r="D490" s="4"/>
      <c r="G490" s="4"/>
      <c r="H490" s="4"/>
      <c r="K490" s="4"/>
      <c r="L490" s="4"/>
      <c r="O490" s="4"/>
      <c r="P490" s="4"/>
      <c r="S490" s="4"/>
      <c r="T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I490" s="4"/>
      <c r="AJ490" s="4"/>
      <c r="AM490" s="4"/>
      <c r="AN490" s="4"/>
      <c r="AQ490" s="4"/>
      <c r="AR490" s="4"/>
      <c r="AU490" s="4"/>
      <c r="AV490" s="4"/>
      <c r="AY490" s="4"/>
      <c r="AZ490" s="4"/>
      <c r="BC490" s="4"/>
      <c r="BD490" s="4"/>
      <c r="BG490" s="4"/>
      <c r="BH490" s="4"/>
    </row>
    <row r="491" spans="3:60">
      <c r="C491" s="4"/>
      <c r="D491" s="4"/>
      <c r="G491" s="4"/>
      <c r="H491" s="4"/>
      <c r="K491" s="4"/>
      <c r="L491" s="4"/>
      <c r="O491" s="4"/>
      <c r="P491" s="4"/>
      <c r="S491" s="4"/>
      <c r="T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I491" s="4"/>
      <c r="AJ491" s="4"/>
      <c r="AM491" s="4"/>
      <c r="AN491" s="4"/>
      <c r="AQ491" s="4"/>
      <c r="AR491" s="4"/>
      <c r="AU491" s="4"/>
      <c r="AV491" s="4"/>
      <c r="AY491" s="4"/>
      <c r="AZ491" s="4"/>
      <c r="BC491" s="4"/>
      <c r="BD491" s="4"/>
      <c r="BG491" s="4"/>
      <c r="BH491" s="4"/>
    </row>
    <row r="492" spans="3:60">
      <c r="C492" s="4"/>
      <c r="D492" s="4"/>
      <c r="G492" s="4"/>
      <c r="H492" s="4"/>
      <c r="K492" s="4"/>
      <c r="L492" s="4"/>
      <c r="O492" s="4"/>
      <c r="P492" s="4"/>
      <c r="S492" s="4"/>
      <c r="T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I492" s="4"/>
      <c r="AJ492" s="4"/>
      <c r="AM492" s="4"/>
      <c r="AN492" s="4"/>
      <c r="AQ492" s="4"/>
      <c r="AR492" s="4"/>
      <c r="AU492" s="4"/>
      <c r="AV492" s="4"/>
      <c r="AY492" s="4"/>
      <c r="AZ492" s="4"/>
      <c r="BC492" s="4"/>
      <c r="BD492" s="4"/>
      <c r="BG492" s="4"/>
      <c r="BH492" s="4"/>
    </row>
    <row r="493" spans="3:60">
      <c r="C493" s="4"/>
      <c r="D493" s="4"/>
      <c r="G493" s="4"/>
      <c r="H493" s="4"/>
      <c r="K493" s="4"/>
      <c r="L493" s="4"/>
      <c r="O493" s="4"/>
      <c r="P493" s="4"/>
      <c r="S493" s="4"/>
      <c r="T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I493" s="4"/>
      <c r="AJ493" s="4"/>
      <c r="AM493" s="4"/>
      <c r="AN493" s="4"/>
      <c r="AQ493" s="4"/>
      <c r="AR493" s="4"/>
      <c r="AU493" s="4"/>
      <c r="AV493" s="4"/>
      <c r="AY493" s="4"/>
      <c r="AZ493" s="4"/>
      <c r="BC493" s="4"/>
      <c r="BD493" s="4"/>
      <c r="BG493" s="4"/>
      <c r="BH493" s="4"/>
    </row>
    <row r="494" spans="3:60">
      <c r="C494" s="4"/>
      <c r="D494" s="4"/>
      <c r="G494" s="4"/>
      <c r="H494" s="4"/>
      <c r="K494" s="4"/>
      <c r="L494" s="4"/>
      <c r="O494" s="4"/>
      <c r="P494" s="4"/>
      <c r="S494" s="4"/>
      <c r="T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I494" s="4"/>
      <c r="AJ494" s="4"/>
      <c r="AM494" s="4"/>
      <c r="AN494" s="4"/>
      <c r="AQ494" s="4"/>
      <c r="AR494" s="4"/>
      <c r="AU494" s="4"/>
      <c r="AV494" s="4"/>
      <c r="AY494" s="4"/>
      <c r="AZ494" s="4"/>
      <c r="BC494" s="4"/>
      <c r="BD494" s="4"/>
      <c r="BG494" s="4"/>
      <c r="BH494" s="4"/>
    </row>
    <row r="495" spans="3:60">
      <c r="C495" s="4"/>
      <c r="D495" s="4"/>
      <c r="G495" s="4"/>
      <c r="H495" s="4"/>
      <c r="K495" s="4"/>
      <c r="L495" s="4"/>
      <c r="O495" s="4"/>
      <c r="P495" s="4"/>
      <c r="S495" s="4"/>
      <c r="T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I495" s="4"/>
      <c r="AJ495" s="4"/>
      <c r="AM495" s="4"/>
      <c r="AN495" s="4"/>
      <c r="AQ495" s="4"/>
      <c r="AR495" s="4"/>
      <c r="AU495" s="4"/>
      <c r="AV495" s="4"/>
      <c r="AY495" s="4"/>
      <c r="AZ495" s="4"/>
      <c r="BC495" s="4"/>
      <c r="BD495" s="4"/>
      <c r="BG495" s="4"/>
      <c r="BH495" s="4"/>
    </row>
    <row r="496" spans="3:60">
      <c r="C496" s="4"/>
      <c r="D496" s="4"/>
      <c r="G496" s="4"/>
      <c r="H496" s="4"/>
      <c r="K496" s="4"/>
      <c r="L496" s="4"/>
      <c r="O496" s="4"/>
      <c r="P496" s="4"/>
      <c r="S496" s="4"/>
      <c r="T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I496" s="4"/>
      <c r="AJ496" s="4"/>
      <c r="AM496" s="4"/>
      <c r="AN496" s="4"/>
      <c r="AQ496" s="4"/>
      <c r="AR496" s="4"/>
      <c r="AU496" s="4"/>
      <c r="AV496" s="4"/>
      <c r="AY496" s="4"/>
      <c r="AZ496" s="4"/>
      <c r="BC496" s="4"/>
      <c r="BD496" s="4"/>
      <c r="BG496" s="4"/>
      <c r="BH496" s="4"/>
    </row>
    <row r="497" spans="3:60">
      <c r="C497" s="4"/>
      <c r="D497" s="4"/>
      <c r="G497" s="4"/>
      <c r="H497" s="4"/>
      <c r="K497" s="4"/>
      <c r="L497" s="4"/>
      <c r="O497" s="4"/>
      <c r="P497" s="4"/>
      <c r="S497" s="4"/>
      <c r="T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I497" s="4"/>
      <c r="AJ497" s="4"/>
      <c r="AM497" s="4"/>
      <c r="AN497" s="4"/>
      <c r="AQ497" s="4"/>
      <c r="AR497" s="4"/>
      <c r="AU497" s="4"/>
      <c r="AV497" s="4"/>
      <c r="AY497" s="4"/>
      <c r="AZ497" s="4"/>
      <c r="BC497" s="4"/>
      <c r="BD497" s="4"/>
      <c r="BG497" s="4"/>
      <c r="BH497" s="4"/>
    </row>
    <row r="498" spans="3:60">
      <c r="C498" s="4"/>
      <c r="D498" s="4"/>
      <c r="G498" s="4"/>
      <c r="H498" s="4"/>
      <c r="K498" s="4"/>
      <c r="L498" s="4"/>
      <c r="O498" s="4"/>
      <c r="P498" s="4"/>
      <c r="S498" s="4"/>
      <c r="T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I498" s="4"/>
      <c r="AJ498" s="4"/>
      <c r="AM498" s="4"/>
      <c r="AN498" s="4"/>
      <c r="AQ498" s="4"/>
      <c r="AR498" s="4"/>
      <c r="AU498" s="4"/>
      <c r="AV498" s="4"/>
      <c r="AY498" s="4"/>
      <c r="AZ498" s="4"/>
      <c r="BC498" s="4"/>
      <c r="BD498" s="4"/>
      <c r="BG498" s="4"/>
      <c r="BH498" s="4"/>
    </row>
    <row r="499" spans="3:60">
      <c r="C499" s="4"/>
      <c r="D499" s="4"/>
      <c r="G499" s="4"/>
      <c r="H499" s="4"/>
      <c r="K499" s="4"/>
      <c r="L499" s="4"/>
      <c r="O499" s="4"/>
      <c r="P499" s="4"/>
      <c r="S499" s="4"/>
      <c r="T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I499" s="4"/>
      <c r="AJ499" s="4"/>
      <c r="AM499" s="4"/>
      <c r="AN499" s="4"/>
      <c r="AQ499" s="4"/>
      <c r="AR499" s="4"/>
      <c r="AU499" s="4"/>
      <c r="AV499" s="4"/>
      <c r="AY499" s="4"/>
      <c r="AZ499" s="4"/>
      <c r="BC499" s="4"/>
      <c r="BD499" s="4"/>
      <c r="BG499" s="4"/>
      <c r="BH499" s="4"/>
    </row>
    <row r="500" spans="3:60">
      <c r="C500" s="4"/>
      <c r="D500" s="4"/>
      <c r="G500" s="4"/>
      <c r="H500" s="4"/>
      <c r="K500" s="4"/>
      <c r="L500" s="4"/>
      <c r="O500" s="4"/>
      <c r="P500" s="4"/>
      <c r="S500" s="4"/>
      <c r="T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I500" s="4"/>
      <c r="AJ500" s="4"/>
      <c r="AM500" s="4"/>
      <c r="AN500" s="4"/>
      <c r="AQ500" s="4"/>
      <c r="AR500" s="4"/>
      <c r="AU500" s="4"/>
      <c r="AV500" s="4"/>
      <c r="AY500" s="4"/>
      <c r="AZ500" s="4"/>
      <c r="BC500" s="4"/>
      <c r="BD500" s="4"/>
      <c r="BG500" s="4"/>
      <c r="BH500" s="4"/>
    </row>
    <row r="501" spans="3:60">
      <c r="C501" s="4"/>
      <c r="D501" s="4"/>
      <c r="G501" s="4"/>
      <c r="H501" s="4"/>
      <c r="K501" s="4"/>
      <c r="L501" s="4"/>
      <c r="O501" s="4"/>
      <c r="P501" s="4"/>
      <c r="S501" s="4"/>
      <c r="T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I501" s="4"/>
      <c r="AJ501" s="4"/>
      <c r="AM501" s="4"/>
      <c r="AN501" s="4"/>
      <c r="AQ501" s="4"/>
      <c r="AR501" s="4"/>
      <c r="AU501" s="4"/>
      <c r="AV501" s="4"/>
      <c r="AY501" s="4"/>
      <c r="AZ501" s="4"/>
      <c r="BC501" s="4"/>
      <c r="BD501" s="4"/>
      <c r="BG501" s="4"/>
      <c r="BH501" s="4"/>
    </row>
    <row r="502" spans="3:60">
      <c r="C502" s="4"/>
      <c r="D502" s="4"/>
      <c r="G502" s="4"/>
      <c r="H502" s="4"/>
      <c r="K502" s="4"/>
      <c r="L502" s="4"/>
      <c r="O502" s="4"/>
      <c r="P502" s="4"/>
      <c r="S502" s="4"/>
      <c r="T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I502" s="4"/>
      <c r="AJ502" s="4"/>
      <c r="AM502" s="4"/>
      <c r="AN502" s="4"/>
      <c r="AQ502" s="4"/>
      <c r="AR502" s="4"/>
      <c r="AU502" s="4"/>
      <c r="AV502" s="4"/>
      <c r="AY502" s="4"/>
      <c r="AZ502" s="4"/>
      <c r="BC502" s="4"/>
      <c r="BD502" s="4"/>
      <c r="BG502" s="4"/>
      <c r="BH502" s="4"/>
    </row>
    <row r="503" spans="3:60">
      <c r="C503" s="4"/>
      <c r="D503" s="4"/>
      <c r="G503" s="4"/>
      <c r="H503" s="4"/>
      <c r="K503" s="4"/>
      <c r="L503" s="4"/>
      <c r="O503" s="4"/>
      <c r="P503" s="4"/>
      <c r="S503" s="4"/>
      <c r="T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I503" s="4"/>
      <c r="AJ503" s="4"/>
      <c r="AM503" s="4"/>
      <c r="AN503" s="4"/>
      <c r="AQ503" s="4"/>
      <c r="AR503" s="4"/>
      <c r="AU503" s="4"/>
      <c r="AV503" s="4"/>
      <c r="AY503" s="4"/>
      <c r="AZ503" s="4"/>
      <c r="BC503" s="4"/>
      <c r="BD503" s="4"/>
      <c r="BG503" s="4"/>
      <c r="BH503" s="4"/>
    </row>
    <row r="504" spans="3:60">
      <c r="C504" s="4"/>
      <c r="D504" s="4"/>
      <c r="G504" s="4"/>
      <c r="H504" s="4"/>
      <c r="K504" s="4"/>
      <c r="L504" s="4"/>
      <c r="O504" s="4"/>
      <c r="P504" s="4"/>
      <c r="S504" s="4"/>
      <c r="T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I504" s="4"/>
      <c r="AJ504" s="4"/>
      <c r="AM504" s="4"/>
      <c r="AN504" s="4"/>
      <c r="AQ504" s="4"/>
      <c r="AR504" s="4"/>
      <c r="AU504" s="4"/>
      <c r="AV504" s="4"/>
      <c r="AY504" s="4"/>
      <c r="AZ504" s="4"/>
      <c r="BC504" s="4"/>
      <c r="BD504" s="4"/>
      <c r="BG504" s="4"/>
      <c r="BH504" s="4"/>
    </row>
    <row r="505" spans="3:60">
      <c r="C505" s="4"/>
      <c r="D505" s="4"/>
      <c r="G505" s="4"/>
      <c r="H505" s="4"/>
      <c r="K505" s="4"/>
      <c r="L505" s="4"/>
      <c r="O505" s="4"/>
      <c r="P505" s="4"/>
      <c r="S505" s="4"/>
      <c r="T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I505" s="4"/>
      <c r="AJ505" s="4"/>
      <c r="AM505" s="4"/>
      <c r="AN505" s="4"/>
      <c r="AQ505" s="4"/>
      <c r="AR505" s="4"/>
      <c r="AU505" s="4"/>
      <c r="AV505" s="4"/>
      <c r="AY505" s="4"/>
      <c r="AZ505" s="4"/>
      <c r="BC505" s="4"/>
      <c r="BD505" s="4"/>
      <c r="BG505" s="4"/>
      <c r="BH505" s="4"/>
    </row>
    <row r="506" spans="3:60">
      <c r="C506" s="4"/>
      <c r="D506" s="4"/>
      <c r="G506" s="4"/>
      <c r="H506" s="4"/>
      <c r="K506" s="4"/>
      <c r="L506" s="4"/>
      <c r="O506" s="4"/>
      <c r="P506" s="4"/>
      <c r="S506" s="4"/>
      <c r="T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I506" s="4"/>
      <c r="AJ506" s="4"/>
      <c r="AM506" s="4"/>
      <c r="AN506" s="4"/>
      <c r="AQ506" s="4"/>
      <c r="AR506" s="4"/>
      <c r="AU506" s="4"/>
      <c r="AV506" s="4"/>
      <c r="AY506" s="4"/>
      <c r="AZ506" s="4"/>
      <c r="BC506" s="4"/>
      <c r="BD506" s="4"/>
      <c r="BG506" s="4"/>
      <c r="BH506" s="4"/>
    </row>
    <row r="507" spans="3:60">
      <c r="C507" s="4"/>
      <c r="D507" s="4"/>
      <c r="G507" s="4"/>
      <c r="H507" s="4"/>
      <c r="K507" s="4"/>
      <c r="L507" s="4"/>
      <c r="O507" s="4"/>
      <c r="P507" s="4"/>
      <c r="S507" s="4"/>
      <c r="T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I507" s="4"/>
      <c r="AJ507" s="4"/>
      <c r="AM507" s="4"/>
      <c r="AN507" s="4"/>
      <c r="AQ507" s="4"/>
      <c r="AR507" s="4"/>
      <c r="AU507" s="4"/>
      <c r="AV507" s="4"/>
      <c r="AY507" s="4"/>
      <c r="AZ507" s="4"/>
      <c r="BC507" s="4"/>
      <c r="BD507" s="4"/>
      <c r="BG507" s="4"/>
      <c r="BH507" s="4"/>
    </row>
    <row r="508" spans="3:60">
      <c r="C508" s="4"/>
      <c r="D508" s="4"/>
      <c r="G508" s="4"/>
      <c r="H508" s="4"/>
      <c r="K508" s="4"/>
      <c r="L508" s="4"/>
      <c r="O508" s="4"/>
      <c r="P508" s="4"/>
      <c r="S508" s="4"/>
      <c r="T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I508" s="4"/>
      <c r="AJ508" s="4"/>
      <c r="AM508" s="4"/>
      <c r="AN508" s="4"/>
      <c r="AQ508" s="4"/>
      <c r="AR508" s="4"/>
      <c r="AU508" s="4"/>
      <c r="AV508" s="4"/>
      <c r="AY508" s="4"/>
      <c r="AZ508" s="4"/>
      <c r="BC508" s="4"/>
      <c r="BD508" s="4"/>
      <c r="BG508" s="4"/>
      <c r="BH508" s="4"/>
    </row>
    <row r="509" spans="3:60">
      <c r="C509" s="4"/>
      <c r="D509" s="4"/>
      <c r="G509" s="4"/>
      <c r="H509" s="4"/>
      <c r="K509" s="4"/>
      <c r="L509" s="4"/>
      <c r="O509" s="4"/>
      <c r="P509" s="4"/>
      <c r="S509" s="4"/>
      <c r="T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I509" s="4"/>
      <c r="AJ509" s="4"/>
      <c r="AM509" s="4"/>
      <c r="AN509" s="4"/>
      <c r="AQ509" s="4"/>
      <c r="AR509" s="4"/>
      <c r="AU509" s="4"/>
      <c r="AV509" s="4"/>
      <c r="AY509" s="4"/>
      <c r="AZ509" s="4"/>
      <c r="BC509" s="4"/>
      <c r="BD509" s="4"/>
      <c r="BG509" s="4"/>
      <c r="BH509" s="4"/>
    </row>
    <row r="510" spans="3:60">
      <c r="C510" s="4"/>
      <c r="D510" s="4"/>
      <c r="G510" s="4"/>
      <c r="H510" s="4"/>
      <c r="K510" s="4"/>
      <c r="L510" s="4"/>
      <c r="O510" s="4"/>
      <c r="P510" s="4"/>
      <c r="S510" s="4"/>
      <c r="T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I510" s="4"/>
      <c r="AJ510" s="4"/>
      <c r="AM510" s="4"/>
      <c r="AN510" s="4"/>
      <c r="AQ510" s="4"/>
      <c r="AR510" s="4"/>
      <c r="AU510" s="4"/>
      <c r="AV510" s="4"/>
      <c r="AY510" s="4"/>
      <c r="AZ510" s="4"/>
      <c r="BC510" s="4"/>
      <c r="BD510" s="4"/>
      <c r="BG510" s="4"/>
      <c r="BH510" s="4"/>
    </row>
    <row r="511" spans="3:60">
      <c r="C511" s="4"/>
      <c r="D511" s="4"/>
      <c r="G511" s="4"/>
      <c r="H511" s="4"/>
      <c r="K511" s="4"/>
      <c r="L511" s="4"/>
      <c r="O511" s="4"/>
      <c r="P511" s="4"/>
      <c r="S511" s="4"/>
      <c r="T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I511" s="4"/>
      <c r="AJ511" s="4"/>
      <c r="AM511" s="4"/>
      <c r="AN511" s="4"/>
      <c r="AQ511" s="4"/>
      <c r="AR511" s="4"/>
      <c r="AU511" s="4"/>
      <c r="AV511" s="4"/>
      <c r="AY511" s="4"/>
      <c r="AZ511" s="4"/>
      <c r="BC511" s="4"/>
      <c r="BD511" s="4"/>
      <c r="BG511" s="4"/>
      <c r="BH511" s="4"/>
    </row>
    <row r="512" spans="3:60">
      <c r="C512" s="4"/>
      <c r="D512" s="4"/>
      <c r="G512" s="4"/>
      <c r="H512" s="4"/>
      <c r="K512" s="4"/>
      <c r="L512" s="4"/>
      <c r="O512" s="4"/>
      <c r="P512" s="4"/>
      <c r="S512" s="4"/>
      <c r="T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I512" s="4"/>
      <c r="AJ512" s="4"/>
      <c r="AM512" s="4"/>
      <c r="AN512" s="4"/>
      <c r="AQ512" s="4"/>
      <c r="AR512" s="4"/>
      <c r="AU512" s="4"/>
      <c r="AV512" s="4"/>
      <c r="AY512" s="4"/>
      <c r="AZ512" s="4"/>
      <c r="BC512" s="4"/>
      <c r="BD512" s="4"/>
      <c r="BG512" s="4"/>
      <c r="BH512" s="4"/>
    </row>
    <row r="513" spans="3:60">
      <c r="C513" s="4"/>
      <c r="D513" s="4"/>
      <c r="G513" s="4"/>
      <c r="H513" s="4"/>
      <c r="K513" s="4"/>
      <c r="L513" s="4"/>
      <c r="O513" s="4"/>
      <c r="P513" s="4"/>
      <c r="S513" s="4"/>
      <c r="T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I513" s="4"/>
      <c r="AJ513" s="4"/>
      <c r="AM513" s="4"/>
      <c r="AN513" s="4"/>
      <c r="AQ513" s="4"/>
      <c r="AR513" s="4"/>
      <c r="AU513" s="4"/>
      <c r="AV513" s="4"/>
      <c r="AY513" s="4"/>
      <c r="AZ513" s="4"/>
      <c r="BC513" s="4"/>
      <c r="BD513" s="4"/>
      <c r="BG513" s="4"/>
      <c r="BH513" s="4"/>
    </row>
    <row r="514" spans="3:60">
      <c r="C514" s="4"/>
      <c r="D514" s="4"/>
      <c r="G514" s="4"/>
      <c r="H514" s="4"/>
      <c r="K514" s="4"/>
      <c r="L514" s="4"/>
      <c r="O514" s="4"/>
      <c r="P514" s="4"/>
      <c r="S514" s="4"/>
      <c r="T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I514" s="4"/>
      <c r="AJ514" s="4"/>
      <c r="AM514" s="4"/>
      <c r="AN514" s="4"/>
      <c r="AQ514" s="4"/>
      <c r="AR514" s="4"/>
      <c r="AU514" s="4"/>
      <c r="AV514" s="4"/>
      <c r="AY514" s="4"/>
      <c r="AZ514" s="4"/>
      <c r="BC514" s="4"/>
      <c r="BD514" s="4"/>
      <c r="BG514" s="4"/>
      <c r="BH514" s="4"/>
    </row>
    <row r="515" spans="3:60">
      <c r="C515" s="4"/>
      <c r="D515" s="4"/>
      <c r="G515" s="4"/>
      <c r="H515" s="4"/>
      <c r="K515" s="4"/>
      <c r="L515" s="4"/>
      <c r="O515" s="4"/>
      <c r="P515" s="4"/>
      <c r="S515" s="4"/>
      <c r="T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I515" s="4"/>
      <c r="AJ515" s="4"/>
      <c r="AM515" s="4"/>
      <c r="AN515" s="4"/>
      <c r="AQ515" s="4"/>
      <c r="AR515" s="4"/>
      <c r="AU515" s="4"/>
      <c r="AV515" s="4"/>
      <c r="AY515" s="4"/>
      <c r="AZ515" s="4"/>
      <c r="BC515" s="4"/>
      <c r="BD515" s="4"/>
      <c r="BG515" s="4"/>
      <c r="BH515" s="4"/>
    </row>
    <row r="516" spans="3:60">
      <c r="C516" s="4"/>
      <c r="D516" s="4"/>
      <c r="G516" s="4"/>
      <c r="H516" s="4"/>
      <c r="K516" s="4"/>
      <c r="L516" s="4"/>
      <c r="O516" s="4"/>
      <c r="P516" s="4"/>
      <c r="S516" s="4"/>
      <c r="T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I516" s="4"/>
      <c r="AJ516" s="4"/>
      <c r="AM516" s="4"/>
      <c r="AN516" s="4"/>
      <c r="AQ516" s="4"/>
      <c r="AR516" s="4"/>
      <c r="AU516" s="4"/>
      <c r="AV516" s="4"/>
      <c r="AY516" s="4"/>
      <c r="AZ516" s="4"/>
      <c r="BC516" s="4"/>
      <c r="BD516" s="4"/>
      <c r="BG516" s="4"/>
      <c r="BH516" s="4"/>
    </row>
    <row r="517" spans="3:60">
      <c r="C517" s="4"/>
      <c r="D517" s="4"/>
      <c r="G517" s="4"/>
      <c r="H517" s="4"/>
      <c r="K517" s="4"/>
      <c r="L517" s="4"/>
      <c r="O517" s="4"/>
      <c r="P517" s="4"/>
      <c r="S517" s="4"/>
      <c r="T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I517" s="4"/>
      <c r="AJ517" s="4"/>
      <c r="AM517" s="4"/>
      <c r="AN517" s="4"/>
      <c r="AQ517" s="4"/>
      <c r="AR517" s="4"/>
      <c r="AU517" s="4"/>
      <c r="AV517" s="4"/>
      <c r="AY517" s="4"/>
      <c r="AZ517" s="4"/>
      <c r="BC517" s="4"/>
      <c r="BD517" s="4"/>
      <c r="BG517" s="4"/>
      <c r="BH517" s="4"/>
    </row>
    <row r="518" spans="3:60">
      <c r="C518" s="4"/>
      <c r="D518" s="4"/>
      <c r="G518" s="4"/>
      <c r="H518" s="4"/>
      <c r="K518" s="4"/>
      <c r="L518" s="4"/>
      <c r="O518" s="4"/>
      <c r="P518" s="4"/>
      <c r="S518" s="4"/>
      <c r="T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I518" s="4"/>
      <c r="AJ518" s="4"/>
      <c r="AM518" s="4"/>
      <c r="AN518" s="4"/>
      <c r="AQ518" s="4"/>
      <c r="AR518" s="4"/>
      <c r="AU518" s="4"/>
      <c r="AV518" s="4"/>
      <c r="AY518" s="4"/>
      <c r="AZ518" s="4"/>
      <c r="BC518" s="4"/>
      <c r="BD518" s="4"/>
      <c r="BG518" s="4"/>
      <c r="BH518" s="4"/>
    </row>
    <row r="519" spans="3:60">
      <c r="C519" s="4"/>
      <c r="D519" s="4"/>
      <c r="G519" s="4"/>
      <c r="H519" s="4"/>
      <c r="K519" s="4"/>
      <c r="L519" s="4"/>
      <c r="O519" s="4"/>
      <c r="P519" s="4"/>
      <c r="S519" s="4"/>
      <c r="T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I519" s="4"/>
      <c r="AJ519" s="4"/>
      <c r="AM519" s="4"/>
      <c r="AN519" s="4"/>
      <c r="AQ519" s="4"/>
      <c r="AR519" s="4"/>
      <c r="AU519" s="4"/>
      <c r="AV519" s="4"/>
      <c r="AY519" s="4"/>
      <c r="AZ519" s="4"/>
      <c r="BC519" s="4"/>
      <c r="BD519" s="4"/>
      <c r="BG519" s="4"/>
      <c r="BH519" s="4"/>
    </row>
    <row r="520" spans="3:60">
      <c r="C520" s="4"/>
      <c r="D520" s="4"/>
      <c r="G520" s="4"/>
      <c r="H520" s="4"/>
      <c r="K520" s="4"/>
      <c r="L520" s="4"/>
      <c r="O520" s="4"/>
      <c r="P520" s="4"/>
      <c r="S520" s="4"/>
      <c r="T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I520" s="4"/>
      <c r="AJ520" s="4"/>
      <c r="AM520" s="4"/>
      <c r="AN520" s="4"/>
      <c r="AQ520" s="4"/>
      <c r="AR520" s="4"/>
      <c r="AU520" s="4"/>
      <c r="AV520" s="4"/>
      <c r="AY520" s="4"/>
      <c r="AZ520" s="4"/>
      <c r="BC520" s="4"/>
      <c r="BD520" s="4"/>
      <c r="BG520" s="4"/>
      <c r="BH520" s="4"/>
    </row>
    <row r="521" spans="3:60">
      <c r="C521" s="4"/>
      <c r="D521" s="4"/>
      <c r="G521" s="4"/>
      <c r="H521" s="4"/>
      <c r="K521" s="4"/>
      <c r="L521" s="4"/>
      <c r="O521" s="4"/>
      <c r="P521" s="4"/>
      <c r="S521" s="4"/>
      <c r="T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I521" s="4"/>
      <c r="AJ521" s="4"/>
      <c r="AM521" s="4"/>
      <c r="AN521" s="4"/>
      <c r="AQ521" s="4"/>
      <c r="AR521" s="4"/>
      <c r="AU521" s="4"/>
      <c r="AV521" s="4"/>
      <c r="AY521" s="4"/>
      <c r="AZ521" s="4"/>
      <c r="BC521" s="4"/>
      <c r="BD521" s="4"/>
      <c r="BG521" s="4"/>
      <c r="BH521" s="4"/>
    </row>
    <row r="522" spans="3:60">
      <c r="C522" s="4"/>
      <c r="D522" s="4"/>
      <c r="G522" s="4"/>
      <c r="H522" s="4"/>
      <c r="K522" s="4"/>
      <c r="L522" s="4"/>
      <c r="O522" s="4"/>
      <c r="P522" s="4"/>
      <c r="S522" s="4"/>
      <c r="T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I522" s="4"/>
      <c r="AJ522" s="4"/>
      <c r="AM522" s="4"/>
      <c r="AN522" s="4"/>
      <c r="AQ522" s="4"/>
      <c r="AR522" s="4"/>
      <c r="AU522" s="4"/>
      <c r="AV522" s="4"/>
      <c r="AY522" s="4"/>
      <c r="AZ522" s="4"/>
      <c r="BC522" s="4"/>
      <c r="BD522" s="4"/>
      <c r="BG522" s="4"/>
      <c r="BH522" s="4"/>
    </row>
    <row r="523" spans="3:60">
      <c r="C523" s="4"/>
      <c r="D523" s="4"/>
      <c r="G523" s="4"/>
      <c r="H523" s="4"/>
      <c r="K523" s="4"/>
      <c r="L523" s="4"/>
      <c r="O523" s="4"/>
      <c r="P523" s="4"/>
      <c r="S523" s="4"/>
      <c r="T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I523" s="4"/>
      <c r="AJ523" s="4"/>
      <c r="AM523" s="4"/>
      <c r="AN523" s="4"/>
      <c r="AQ523" s="4"/>
      <c r="AR523" s="4"/>
      <c r="AU523" s="4"/>
      <c r="AV523" s="4"/>
      <c r="AY523" s="4"/>
      <c r="AZ523" s="4"/>
      <c r="BC523" s="4"/>
      <c r="BD523" s="4"/>
      <c r="BG523" s="4"/>
      <c r="BH523" s="4"/>
    </row>
    <row r="524" spans="3:60">
      <c r="C524" s="4"/>
      <c r="D524" s="4"/>
      <c r="G524" s="4"/>
      <c r="H524" s="4"/>
      <c r="K524" s="4"/>
      <c r="L524" s="4"/>
      <c r="O524" s="4"/>
      <c r="P524" s="4"/>
      <c r="S524" s="4"/>
      <c r="T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I524" s="4"/>
      <c r="AJ524" s="4"/>
      <c r="AM524" s="4"/>
      <c r="AN524" s="4"/>
      <c r="AQ524" s="4"/>
      <c r="AR524" s="4"/>
      <c r="AU524" s="4"/>
      <c r="AV524" s="4"/>
      <c r="AY524" s="4"/>
      <c r="AZ524" s="4"/>
      <c r="BC524" s="4"/>
      <c r="BD524" s="4"/>
      <c r="BG524" s="4"/>
      <c r="BH524" s="4"/>
    </row>
    <row r="525" spans="3:60">
      <c r="C525" s="4"/>
      <c r="D525" s="4"/>
      <c r="G525" s="4"/>
      <c r="H525" s="4"/>
      <c r="K525" s="4"/>
      <c r="L525" s="4"/>
      <c r="O525" s="4"/>
      <c r="P525" s="4"/>
      <c r="S525" s="4"/>
      <c r="T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I525" s="4"/>
      <c r="AJ525" s="4"/>
      <c r="AM525" s="4"/>
      <c r="AN525" s="4"/>
      <c r="AQ525" s="4"/>
      <c r="AR525" s="4"/>
      <c r="AU525" s="4"/>
      <c r="AV525" s="4"/>
      <c r="AY525" s="4"/>
      <c r="AZ525" s="4"/>
      <c r="BC525" s="4"/>
      <c r="BD525" s="4"/>
      <c r="BG525" s="4"/>
      <c r="BH525" s="4"/>
    </row>
    <row r="526" spans="3:60">
      <c r="C526" s="4"/>
      <c r="D526" s="4"/>
      <c r="G526" s="4"/>
      <c r="H526" s="4"/>
      <c r="K526" s="4"/>
      <c r="L526" s="4"/>
      <c r="O526" s="4"/>
      <c r="P526" s="4"/>
      <c r="S526" s="4"/>
      <c r="T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I526" s="4"/>
      <c r="AJ526" s="4"/>
      <c r="AM526" s="4"/>
      <c r="AN526" s="4"/>
      <c r="AQ526" s="4"/>
      <c r="AR526" s="4"/>
      <c r="AU526" s="4"/>
      <c r="AV526" s="4"/>
      <c r="AY526" s="4"/>
      <c r="AZ526" s="4"/>
      <c r="BC526" s="4"/>
      <c r="BD526" s="4"/>
      <c r="BG526" s="4"/>
      <c r="BH526" s="4"/>
    </row>
    <row r="527" spans="3:60">
      <c r="C527" s="4"/>
      <c r="D527" s="4"/>
      <c r="G527" s="4"/>
      <c r="H527" s="4"/>
      <c r="K527" s="4"/>
      <c r="L527" s="4"/>
      <c r="O527" s="4"/>
      <c r="P527" s="4"/>
      <c r="S527" s="4"/>
      <c r="T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I527" s="4"/>
      <c r="AJ527" s="4"/>
      <c r="AM527" s="4"/>
      <c r="AN527" s="4"/>
      <c r="AQ527" s="4"/>
      <c r="AR527" s="4"/>
      <c r="AU527" s="4"/>
      <c r="AV527" s="4"/>
      <c r="AY527" s="4"/>
      <c r="AZ527" s="4"/>
      <c r="BC527" s="4"/>
      <c r="BD527" s="4"/>
      <c r="BG527" s="4"/>
      <c r="BH527" s="4"/>
    </row>
    <row r="528" spans="3:60">
      <c r="C528" s="4"/>
      <c r="D528" s="4"/>
      <c r="G528" s="4"/>
      <c r="H528" s="4"/>
      <c r="K528" s="4"/>
      <c r="L528" s="4"/>
      <c r="O528" s="4"/>
      <c r="P528" s="4"/>
      <c r="S528" s="4"/>
      <c r="T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I528" s="4"/>
      <c r="AJ528" s="4"/>
      <c r="AM528" s="4"/>
      <c r="AN528" s="4"/>
      <c r="AQ528" s="4"/>
      <c r="AR528" s="4"/>
      <c r="AU528" s="4"/>
      <c r="AV528" s="4"/>
      <c r="AY528" s="4"/>
      <c r="AZ528" s="4"/>
      <c r="BC528" s="4"/>
      <c r="BD528" s="4"/>
      <c r="BG528" s="4"/>
      <c r="BH528" s="4"/>
    </row>
    <row r="529" spans="3:60">
      <c r="C529" s="4"/>
      <c r="D529" s="4"/>
      <c r="G529" s="4"/>
      <c r="H529" s="4"/>
      <c r="K529" s="4"/>
      <c r="L529" s="4"/>
      <c r="O529" s="4"/>
      <c r="P529" s="4"/>
      <c r="S529" s="4"/>
      <c r="T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I529" s="4"/>
      <c r="AJ529" s="4"/>
      <c r="AM529" s="4"/>
      <c r="AN529" s="4"/>
      <c r="AQ529" s="4"/>
      <c r="AR529" s="4"/>
      <c r="AU529" s="4"/>
      <c r="AV529" s="4"/>
      <c r="AY529" s="4"/>
      <c r="AZ529" s="4"/>
      <c r="BC529" s="4"/>
      <c r="BD529" s="4"/>
      <c r="BG529" s="4"/>
      <c r="BH529" s="4"/>
    </row>
    <row r="530" spans="3:60">
      <c r="C530" s="4"/>
      <c r="D530" s="4"/>
      <c r="G530" s="4"/>
      <c r="H530" s="4"/>
      <c r="K530" s="4"/>
      <c r="L530" s="4"/>
      <c r="O530" s="4"/>
      <c r="P530" s="4"/>
      <c r="S530" s="4"/>
      <c r="T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I530" s="4"/>
      <c r="AJ530" s="4"/>
      <c r="AM530" s="4"/>
      <c r="AN530" s="4"/>
      <c r="AQ530" s="4"/>
      <c r="AR530" s="4"/>
      <c r="AU530" s="4"/>
      <c r="AV530" s="4"/>
      <c r="AY530" s="4"/>
      <c r="AZ530" s="4"/>
      <c r="BC530" s="4"/>
      <c r="BD530" s="4"/>
      <c r="BG530" s="4"/>
      <c r="BH530" s="4"/>
    </row>
    <row r="531" spans="3:60">
      <c r="C531" s="4"/>
      <c r="D531" s="4"/>
      <c r="G531" s="4"/>
      <c r="H531" s="4"/>
      <c r="K531" s="4"/>
      <c r="L531" s="4"/>
      <c r="O531" s="4"/>
      <c r="P531" s="4"/>
      <c r="S531" s="4"/>
      <c r="T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I531" s="4"/>
      <c r="AJ531" s="4"/>
      <c r="AM531" s="4"/>
      <c r="AN531" s="4"/>
      <c r="AQ531" s="4"/>
      <c r="AR531" s="4"/>
      <c r="AU531" s="4"/>
      <c r="AV531" s="4"/>
      <c r="AY531" s="4"/>
      <c r="AZ531" s="4"/>
      <c r="BC531" s="4"/>
      <c r="BD531" s="4"/>
      <c r="BG531" s="4"/>
      <c r="BH531" s="4"/>
    </row>
    <row r="532" spans="3:60">
      <c r="C532" s="4"/>
      <c r="D532" s="4"/>
      <c r="G532" s="4"/>
      <c r="H532" s="4"/>
      <c r="K532" s="4"/>
      <c r="L532" s="4"/>
      <c r="O532" s="4"/>
      <c r="P532" s="4"/>
      <c r="S532" s="4"/>
      <c r="T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I532" s="4"/>
      <c r="AJ532" s="4"/>
      <c r="AM532" s="4"/>
      <c r="AN532" s="4"/>
      <c r="AQ532" s="4"/>
      <c r="AR532" s="4"/>
      <c r="AU532" s="4"/>
      <c r="AV532" s="4"/>
      <c r="AY532" s="4"/>
      <c r="AZ532" s="4"/>
      <c r="BC532" s="4"/>
      <c r="BD532" s="4"/>
      <c r="BG532" s="4"/>
      <c r="BH532" s="4"/>
    </row>
    <row r="533" spans="3:60">
      <c r="C533" s="4"/>
      <c r="D533" s="4"/>
      <c r="G533" s="4"/>
      <c r="H533" s="4"/>
      <c r="K533" s="4"/>
      <c r="L533" s="4"/>
      <c r="O533" s="4"/>
      <c r="P533" s="4"/>
      <c r="S533" s="4"/>
      <c r="T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I533" s="4"/>
      <c r="AJ533" s="4"/>
      <c r="AM533" s="4"/>
      <c r="AN533" s="4"/>
      <c r="AQ533" s="4"/>
      <c r="AR533" s="4"/>
      <c r="AU533" s="4"/>
      <c r="AV533" s="4"/>
      <c r="AY533" s="4"/>
      <c r="AZ533" s="4"/>
      <c r="BC533" s="4"/>
      <c r="BD533" s="4"/>
      <c r="BG533" s="4"/>
      <c r="BH533" s="4"/>
    </row>
    <row r="534" spans="3:60">
      <c r="C534" s="4"/>
      <c r="D534" s="4"/>
      <c r="G534" s="4"/>
      <c r="H534" s="4"/>
      <c r="K534" s="4"/>
      <c r="L534" s="4"/>
      <c r="O534" s="4"/>
      <c r="P534" s="4"/>
      <c r="S534" s="4"/>
      <c r="T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I534" s="4"/>
      <c r="AJ534" s="4"/>
      <c r="AM534" s="4"/>
      <c r="AN534" s="4"/>
      <c r="AQ534" s="4"/>
      <c r="AR534" s="4"/>
      <c r="AU534" s="4"/>
      <c r="AV534" s="4"/>
      <c r="AY534" s="4"/>
      <c r="AZ534" s="4"/>
      <c r="BC534" s="4"/>
      <c r="BD534" s="4"/>
      <c r="BG534" s="4"/>
      <c r="BH534" s="4"/>
    </row>
    <row r="535" spans="3:60">
      <c r="C535" s="4"/>
      <c r="D535" s="4"/>
      <c r="G535" s="4"/>
      <c r="H535" s="4"/>
      <c r="K535" s="4"/>
      <c r="L535" s="4"/>
      <c r="O535" s="4"/>
      <c r="P535" s="4"/>
      <c r="S535" s="4"/>
      <c r="T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I535" s="4"/>
      <c r="AJ535" s="4"/>
      <c r="AM535" s="4"/>
      <c r="AN535" s="4"/>
      <c r="AQ535" s="4"/>
      <c r="AR535" s="4"/>
      <c r="AU535" s="4"/>
      <c r="AV535" s="4"/>
      <c r="AY535" s="4"/>
      <c r="AZ535" s="4"/>
      <c r="BC535" s="4"/>
      <c r="BD535" s="4"/>
      <c r="BG535" s="4"/>
      <c r="BH535" s="4"/>
    </row>
    <row r="536" spans="3:60">
      <c r="C536" s="4"/>
      <c r="D536" s="4"/>
      <c r="G536" s="4"/>
      <c r="H536" s="4"/>
      <c r="K536" s="4"/>
      <c r="L536" s="4"/>
      <c r="O536" s="4"/>
      <c r="P536" s="4"/>
      <c r="S536" s="4"/>
      <c r="T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I536" s="4"/>
      <c r="AJ536" s="4"/>
      <c r="AM536" s="4"/>
      <c r="AN536" s="4"/>
      <c r="AQ536" s="4"/>
      <c r="AR536" s="4"/>
      <c r="AU536" s="4"/>
      <c r="AV536" s="4"/>
      <c r="AY536" s="4"/>
      <c r="AZ536" s="4"/>
      <c r="BC536" s="4"/>
      <c r="BD536" s="4"/>
      <c r="BG536" s="4"/>
      <c r="BH536" s="4"/>
    </row>
    <row r="537" spans="3:60">
      <c r="C537" s="4"/>
      <c r="D537" s="4"/>
      <c r="G537" s="4"/>
      <c r="H537" s="4"/>
      <c r="K537" s="4"/>
      <c r="L537" s="4"/>
      <c r="O537" s="4"/>
      <c r="P537" s="4"/>
      <c r="S537" s="4"/>
      <c r="T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I537" s="4"/>
      <c r="AJ537" s="4"/>
      <c r="AM537" s="4"/>
      <c r="AN537" s="4"/>
      <c r="AQ537" s="4"/>
      <c r="AR537" s="4"/>
      <c r="AU537" s="4"/>
      <c r="AV537" s="4"/>
      <c r="AY537" s="4"/>
      <c r="AZ537" s="4"/>
      <c r="BC537" s="4"/>
      <c r="BD537" s="4"/>
      <c r="BG537" s="4"/>
      <c r="BH537" s="4"/>
    </row>
    <row r="538" spans="3:60">
      <c r="C538" s="4"/>
      <c r="D538" s="4"/>
      <c r="G538" s="4"/>
      <c r="H538" s="4"/>
      <c r="K538" s="4"/>
      <c r="L538" s="4"/>
      <c r="O538" s="4"/>
      <c r="P538" s="4"/>
      <c r="S538" s="4"/>
      <c r="T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I538" s="4"/>
      <c r="AJ538" s="4"/>
      <c r="AM538" s="4"/>
      <c r="AN538" s="4"/>
      <c r="AQ538" s="4"/>
      <c r="AR538" s="4"/>
      <c r="AU538" s="4"/>
      <c r="AV538" s="4"/>
      <c r="AY538" s="4"/>
      <c r="AZ538" s="4"/>
      <c r="BC538" s="4"/>
      <c r="BD538" s="4"/>
      <c r="BG538" s="4"/>
      <c r="BH538" s="4"/>
    </row>
    <row r="539" spans="3:60">
      <c r="C539" s="4"/>
      <c r="D539" s="4"/>
      <c r="G539" s="4"/>
      <c r="H539" s="4"/>
      <c r="K539" s="4"/>
      <c r="L539" s="4"/>
      <c r="O539" s="4"/>
      <c r="P539" s="4"/>
      <c r="S539" s="4"/>
      <c r="T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I539" s="4"/>
      <c r="AJ539" s="4"/>
      <c r="AM539" s="4"/>
      <c r="AN539" s="4"/>
      <c r="AQ539" s="4"/>
      <c r="AR539" s="4"/>
      <c r="AU539" s="4"/>
      <c r="AV539" s="4"/>
      <c r="AY539" s="4"/>
      <c r="AZ539" s="4"/>
      <c r="BC539" s="4"/>
      <c r="BD539" s="4"/>
      <c r="BG539" s="4"/>
      <c r="BH539" s="4"/>
    </row>
    <row r="540" spans="3:60">
      <c r="C540" s="4"/>
      <c r="D540" s="4"/>
      <c r="G540" s="4"/>
      <c r="H540" s="4"/>
      <c r="K540" s="4"/>
      <c r="L540" s="4"/>
      <c r="O540" s="4"/>
      <c r="P540" s="4"/>
      <c r="S540" s="4"/>
      <c r="T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I540" s="4"/>
      <c r="AJ540" s="4"/>
      <c r="AM540" s="4"/>
      <c r="AN540" s="4"/>
      <c r="AQ540" s="4"/>
      <c r="AR540" s="4"/>
      <c r="AU540" s="4"/>
      <c r="AV540" s="4"/>
      <c r="AY540" s="4"/>
      <c r="AZ540" s="4"/>
      <c r="BC540" s="4"/>
      <c r="BD540" s="4"/>
      <c r="BG540" s="4"/>
      <c r="BH540" s="4"/>
    </row>
    <row r="541" spans="3:60">
      <c r="C541" s="4"/>
      <c r="D541" s="4"/>
      <c r="G541" s="4"/>
      <c r="H541" s="4"/>
      <c r="K541" s="4"/>
      <c r="L541" s="4"/>
      <c r="O541" s="4"/>
      <c r="P541" s="4"/>
      <c r="S541" s="4"/>
      <c r="T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I541" s="4"/>
      <c r="AJ541" s="4"/>
      <c r="AM541" s="4"/>
      <c r="AN541" s="4"/>
      <c r="AQ541" s="4"/>
      <c r="AR541" s="4"/>
      <c r="AU541" s="4"/>
      <c r="AV541" s="4"/>
      <c r="AY541" s="4"/>
      <c r="AZ541" s="4"/>
      <c r="BC541" s="4"/>
      <c r="BD541" s="4"/>
      <c r="BG541" s="4"/>
      <c r="BH541" s="4"/>
    </row>
    <row r="542" spans="3:60">
      <c r="C542" s="4"/>
      <c r="D542" s="4"/>
      <c r="G542" s="4"/>
      <c r="H542" s="4"/>
      <c r="K542" s="4"/>
      <c r="L542" s="4"/>
      <c r="O542" s="4"/>
      <c r="P542" s="4"/>
      <c r="S542" s="4"/>
      <c r="T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I542" s="4"/>
      <c r="AJ542" s="4"/>
      <c r="AM542" s="4"/>
      <c r="AN542" s="4"/>
      <c r="AQ542" s="4"/>
      <c r="AR542" s="4"/>
      <c r="AU542" s="4"/>
      <c r="AV542" s="4"/>
      <c r="AY542" s="4"/>
      <c r="AZ542" s="4"/>
      <c r="BC542" s="4"/>
      <c r="BD542" s="4"/>
      <c r="BG542" s="4"/>
      <c r="BH542" s="4"/>
    </row>
    <row r="543" spans="3:60">
      <c r="C543" s="4"/>
      <c r="D543" s="4"/>
      <c r="G543" s="4"/>
      <c r="H543" s="4"/>
      <c r="K543" s="4"/>
      <c r="L543" s="4"/>
      <c r="O543" s="4"/>
      <c r="P543" s="4"/>
      <c r="S543" s="4"/>
      <c r="T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I543" s="4"/>
      <c r="AJ543" s="4"/>
      <c r="AM543" s="4"/>
      <c r="AN543" s="4"/>
      <c r="AQ543" s="4"/>
      <c r="AR543" s="4"/>
      <c r="AU543" s="4"/>
      <c r="AV543" s="4"/>
      <c r="AY543" s="4"/>
      <c r="AZ543" s="4"/>
      <c r="BC543" s="4"/>
      <c r="BD543" s="4"/>
      <c r="BG543" s="4"/>
      <c r="BH543" s="4"/>
    </row>
    <row r="544" spans="3:60">
      <c r="C544" s="4"/>
      <c r="D544" s="4"/>
      <c r="G544" s="4"/>
      <c r="H544" s="4"/>
      <c r="K544" s="4"/>
      <c r="L544" s="4"/>
      <c r="O544" s="4"/>
      <c r="P544" s="4"/>
      <c r="S544" s="4"/>
      <c r="T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I544" s="4"/>
      <c r="AJ544" s="4"/>
      <c r="AM544" s="4"/>
      <c r="AN544" s="4"/>
      <c r="AQ544" s="4"/>
      <c r="AR544" s="4"/>
      <c r="AU544" s="4"/>
      <c r="AV544" s="4"/>
      <c r="AY544" s="4"/>
      <c r="AZ544" s="4"/>
      <c r="BC544" s="4"/>
      <c r="BD544" s="4"/>
      <c r="BG544" s="4"/>
      <c r="BH544" s="4"/>
    </row>
    <row r="545" spans="3:60">
      <c r="C545" s="4"/>
      <c r="D545" s="4"/>
      <c r="G545" s="4"/>
      <c r="H545" s="4"/>
      <c r="K545" s="4"/>
      <c r="L545" s="4"/>
      <c r="O545" s="4"/>
      <c r="P545" s="4"/>
      <c r="S545" s="4"/>
      <c r="T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I545" s="4"/>
      <c r="AJ545" s="4"/>
      <c r="AM545" s="4"/>
      <c r="AN545" s="4"/>
      <c r="AQ545" s="4"/>
      <c r="AR545" s="4"/>
      <c r="AU545" s="4"/>
      <c r="AV545" s="4"/>
      <c r="AY545" s="4"/>
      <c r="AZ545" s="4"/>
      <c r="BC545" s="4"/>
      <c r="BD545" s="4"/>
      <c r="BG545" s="4"/>
      <c r="BH545" s="4"/>
    </row>
    <row r="546" spans="3:60">
      <c r="C546" s="4"/>
      <c r="D546" s="4"/>
      <c r="G546" s="4"/>
      <c r="H546" s="4"/>
      <c r="K546" s="4"/>
      <c r="L546" s="4"/>
      <c r="O546" s="4"/>
      <c r="P546" s="4"/>
      <c r="S546" s="4"/>
      <c r="T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I546" s="4"/>
      <c r="AJ546" s="4"/>
      <c r="AM546" s="4"/>
      <c r="AN546" s="4"/>
      <c r="AQ546" s="4"/>
      <c r="AR546" s="4"/>
      <c r="AU546" s="4"/>
      <c r="AV546" s="4"/>
      <c r="AY546" s="4"/>
      <c r="AZ546" s="4"/>
      <c r="BC546" s="4"/>
      <c r="BD546" s="4"/>
      <c r="BG546" s="4"/>
      <c r="BH546" s="4"/>
    </row>
    <row r="547" spans="3:60">
      <c r="C547" s="4"/>
      <c r="D547" s="4"/>
      <c r="G547" s="4"/>
      <c r="H547" s="4"/>
      <c r="K547" s="4"/>
      <c r="L547" s="4"/>
      <c r="O547" s="4"/>
      <c r="P547" s="4"/>
      <c r="S547" s="4"/>
      <c r="T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I547" s="4"/>
      <c r="AJ547" s="4"/>
      <c r="AM547" s="4"/>
      <c r="AN547" s="4"/>
      <c r="AQ547" s="4"/>
      <c r="AR547" s="4"/>
      <c r="AU547" s="4"/>
      <c r="AV547" s="4"/>
      <c r="AY547" s="4"/>
      <c r="AZ547" s="4"/>
      <c r="BC547" s="4"/>
      <c r="BD547" s="4"/>
      <c r="BG547" s="4"/>
      <c r="BH547" s="4"/>
    </row>
    <row r="548" spans="3:60">
      <c r="C548" s="4"/>
      <c r="D548" s="4"/>
      <c r="G548" s="4"/>
      <c r="H548" s="4"/>
      <c r="K548" s="4"/>
      <c r="L548" s="4"/>
      <c r="O548" s="4"/>
      <c r="P548" s="4"/>
      <c r="S548" s="4"/>
      <c r="T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I548" s="4"/>
      <c r="AJ548" s="4"/>
      <c r="AM548" s="4"/>
      <c r="AN548" s="4"/>
      <c r="AQ548" s="4"/>
      <c r="AR548" s="4"/>
      <c r="AU548" s="4"/>
      <c r="AV548" s="4"/>
      <c r="AY548" s="4"/>
      <c r="AZ548" s="4"/>
      <c r="BC548" s="4"/>
      <c r="BD548" s="4"/>
      <c r="BG548" s="4"/>
      <c r="BH548" s="4"/>
    </row>
    <row r="549" spans="3:60">
      <c r="C549" s="4"/>
      <c r="D549" s="4"/>
      <c r="G549" s="4"/>
      <c r="H549" s="4"/>
      <c r="K549" s="4"/>
      <c r="L549" s="4"/>
      <c r="O549" s="4"/>
      <c r="P549" s="4"/>
      <c r="S549" s="4"/>
      <c r="T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I549" s="4"/>
      <c r="AJ549" s="4"/>
      <c r="AM549" s="4"/>
      <c r="AN549" s="4"/>
      <c r="AQ549" s="4"/>
      <c r="AR549" s="4"/>
      <c r="AU549" s="4"/>
      <c r="AV549" s="4"/>
      <c r="AY549" s="4"/>
      <c r="AZ549" s="4"/>
      <c r="BC549" s="4"/>
      <c r="BD549" s="4"/>
      <c r="BG549" s="4"/>
      <c r="BH549" s="4"/>
    </row>
    <row r="550" spans="3:60">
      <c r="C550" s="4"/>
      <c r="D550" s="4"/>
      <c r="G550" s="4"/>
      <c r="H550" s="4"/>
      <c r="K550" s="4"/>
      <c r="L550" s="4"/>
      <c r="O550" s="4"/>
      <c r="P550" s="4"/>
      <c r="S550" s="4"/>
      <c r="T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I550" s="4"/>
      <c r="AJ550" s="4"/>
      <c r="AM550" s="4"/>
      <c r="AN550" s="4"/>
      <c r="AQ550" s="4"/>
      <c r="AR550" s="4"/>
      <c r="AU550" s="4"/>
      <c r="AV550" s="4"/>
      <c r="AY550" s="4"/>
      <c r="AZ550" s="4"/>
      <c r="BC550" s="4"/>
      <c r="BD550" s="4"/>
      <c r="BG550" s="4"/>
      <c r="BH550" s="4"/>
    </row>
    <row r="551" spans="3:60">
      <c r="C551" s="4"/>
      <c r="D551" s="4"/>
      <c r="G551" s="4"/>
      <c r="H551" s="4"/>
      <c r="K551" s="4"/>
      <c r="L551" s="4"/>
      <c r="O551" s="4"/>
      <c r="P551" s="4"/>
      <c r="S551" s="4"/>
      <c r="T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I551" s="4"/>
      <c r="AJ551" s="4"/>
      <c r="AM551" s="4"/>
      <c r="AN551" s="4"/>
      <c r="AQ551" s="4"/>
      <c r="AR551" s="4"/>
      <c r="AU551" s="4"/>
      <c r="AV551" s="4"/>
      <c r="AY551" s="4"/>
      <c r="AZ551" s="4"/>
      <c r="BC551" s="4"/>
      <c r="BD551" s="4"/>
      <c r="BG551" s="4"/>
      <c r="BH551" s="4"/>
    </row>
    <row r="552" spans="3:60">
      <c r="C552" s="4"/>
      <c r="D552" s="4"/>
      <c r="G552" s="4"/>
      <c r="H552" s="4"/>
      <c r="K552" s="4"/>
      <c r="L552" s="4"/>
      <c r="O552" s="4"/>
      <c r="P552" s="4"/>
      <c r="S552" s="4"/>
      <c r="T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I552" s="4"/>
      <c r="AJ552" s="4"/>
      <c r="AM552" s="4"/>
      <c r="AN552" s="4"/>
      <c r="AQ552" s="4"/>
      <c r="AR552" s="4"/>
      <c r="AU552" s="4"/>
      <c r="AV552" s="4"/>
      <c r="AY552" s="4"/>
      <c r="AZ552" s="4"/>
      <c r="BC552" s="4"/>
      <c r="BD552" s="4"/>
      <c r="BG552" s="4"/>
      <c r="BH552" s="4"/>
    </row>
    <row r="553" spans="3:60">
      <c r="C553" s="4"/>
      <c r="D553" s="4"/>
      <c r="G553" s="4"/>
      <c r="H553" s="4"/>
      <c r="K553" s="4"/>
      <c r="L553" s="4"/>
      <c r="O553" s="4"/>
      <c r="P553" s="4"/>
      <c r="S553" s="4"/>
      <c r="T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I553" s="4"/>
      <c r="AJ553" s="4"/>
      <c r="AM553" s="4"/>
      <c r="AN553" s="4"/>
      <c r="AQ553" s="4"/>
      <c r="AR553" s="4"/>
      <c r="AU553" s="4"/>
      <c r="AV553" s="4"/>
      <c r="AY553" s="4"/>
      <c r="AZ553" s="4"/>
      <c r="BC553" s="4"/>
      <c r="BD553" s="4"/>
      <c r="BG553" s="4"/>
      <c r="BH553" s="4"/>
    </row>
    <row r="554" spans="3:60">
      <c r="C554" s="4"/>
      <c r="D554" s="4"/>
      <c r="G554" s="4"/>
      <c r="H554" s="4"/>
      <c r="K554" s="4"/>
      <c r="L554" s="4"/>
      <c r="O554" s="4"/>
      <c r="P554" s="4"/>
      <c r="S554" s="4"/>
      <c r="T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I554" s="4"/>
      <c r="AJ554" s="4"/>
      <c r="AM554" s="4"/>
      <c r="AN554" s="4"/>
      <c r="AQ554" s="4"/>
      <c r="AR554" s="4"/>
      <c r="AU554" s="4"/>
      <c r="AV554" s="4"/>
      <c r="AY554" s="4"/>
      <c r="AZ554" s="4"/>
      <c r="BC554" s="4"/>
      <c r="BD554" s="4"/>
      <c r="BG554" s="4"/>
      <c r="BH554" s="4"/>
    </row>
    <row r="555" spans="3:60">
      <c r="C555" s="4"/>
      <c r="D555" s="4"/>
      <c r="G555" s="4"/>
      <c r="H555" s="4"/>
      <c r="K555" s="4"/>
      <c r="L555" s="4"/>
      <c r="O555" s="4"/>
      <c r="P555" s="4"/>
      <c r="S555" s="4"/>
      <c r="T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I555" s="4"/>
      <c r="AJ555" s="4"/>
      <c r="AM555" s="4"/>
      <c r="AN555" s="4"/>
      <c r="AQ555" s="4"/>
      <c r="AR555" s="4"/>
      <c r="AU555" s="4"/>
      <c r="AV555" s="4"/>
      <c r="AY555" s="4"/>
      <c r="AZ555" s="4"/>
      <c r="BC555" s="4"/>
      <c r="BD555" s="4"/>
      <c r="BG555" s="4"/>
      <c r="BH555" s="4"/>
    </row>
    <row r="556" spans="3:60">
      <c r="C556" s="4"/>
      <c r="D556" s="4"/>
      <c r="G556" s="4"/>
      <c r="H556" s="4"/>
      <c r="K556" s="4"/>
      <c r="L556" s="4"/>
      <c r="O556" s="4"/>
      <c r="P556" s="4"/>
      <c r="S556" s="4"/>
      <c r="T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I556" s="4"/>
      <c r="AJ556" s="4"/>
      <c r="AM556" s="4"/>
      <c r="AN556" s="4"/>
      <c r="AQ556" s="4"/>
      <c r="AR556" s="4"/>
      <c r="AU556" s="4"/>
      <c r="AV556" s="4"/>
      <c r="AY556" s="4"/>
      <c r="AZ556" s="4"/>
      <c r="BC556" s="4"/>
      <c r="BD556" s="4"/>
      <c r="BG556" s="4"/>
      <c r="BH556" s="4"/>
    </row>
    <row r="557" spans="3:60">
      <c r="C557" s="4"/>
      <c r="D557" s="4"/>
      <c r="G557" s="4"/>
      <c r="H557" s="4"/>
      <c r="K557" s="4"/>
      <c r="L557" s="4"/>
      <c r="O557" s="4"/>
      <c r="P557" s="4"/>
      <c r="S557" s="4"/>
      <c r="T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I557" s="4"/>
      <c r="AJ557" s="4"/>
      <c r="AM557" s="4"/>
      <c r="AN557" s="4"/>
      <c r="AQ557" s="4"/>
      <c r="AR557" s="4"/>
      <c r="AU557" s="4"/>
      <c r="AV557" s="4"/>
      <c r="AY557" s="4"/>
      <c r="AZ557" s="4"/>
      <c r="BC557" s="4"/>
      <c r="BD557" s="4"/>
      <c r="BG557" s="4"/>
      <c r="BH557" s="4"/>
    </row>
    <row r="558" spans="3:60">
      <c r="C558" s="4"/>
      <c r="D558" s="4"/>
      <c r="G558" s="4"/>
      <c r="H558" s="4"/>
      <c r="K558" s="4"/>
      <c r="L558" s="4"/>
      <c r="O558" s="4"/>
      <c r="P558" s="4"/>
      <c r="S558" s="4"/>
      <c r="T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I558" s="4"/>
      <c r="AJ558" s="4"/>
      <c r="AM558" s="4"/>
      <c r="AN558" s="4"/>
      <c r="AQ558" s="4"/>
      <c r="AR558" s="4"/>
      <c r="AU558" s="4"/>
      <c r="AV558" s="4"/>
      <c r="AY558" s="4"/>
      <c r="AZ558" s="4"/>
      <c r="BC558" s="4"/>
      <c r="BD558" s="4"/>
      <c r="BG558" s="4"/>
      <c r="BH558" s="4"/>
    </row>
    <row r="559" spans="3:60">
      <c r="C559" s="4"/>
      <c r="D559" s="4"/>
      <c r="G559" s="4"/>
      <c r="H559" s="4"/>
      <c r="K559" s="4"/>
      <c r="L559" s="4"/>
      <c r="O559" s="4"/>
      <c r="P559" s="4"/>
      <c r="S559" s="4"/>
      <c r="T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I559" s="4"/>
      <c r="AJ559" s="4"/>
      <c r="AM559" s="4"/>
      <c r="AN559" s="4"/>
      <c r="AQ559" s="4"/>
      <c r="AR559" s="4"/>
      <c r="AU559" s="4"/>
      <c r="AV559" s="4"/>
      <c r="AY559" s="4"/>
      <c r="AZ559" s="4"/>
      <c r="BC559" s="4"/>
      <c r="BD559" s="4"/>
      <c r="BG559" s="4"/>
      <c r="BH559" s="4"/>
    </row>
    <row r="560" spans="3:60">
      <c r="C560" s="4"/>
      <c r="D560" s="4"/>
      <c r="G560" s="4"/>
      <c r="H560" s="4"/>
      <c r="K560" s="4"/>
      <c r="L560" s="4"/>
      <c r="O560" s="4"/>
      <c r="P560" s="4"/>
      <c r="S560" s="4"/>
      <c r="T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I560" s="4"/>
      <c r="AJ560" s="4"/>
      <c r="AM560" s="4"/>
      <c r="AN560" s="4"/>
      <c r="AQ560" s="4"/>
      <c r="AR560" s="4"/>
      <c r="AU560" s="4"/>
      <c r="AV560" s="4"/>
      <c r="AY560" s="4"/>
      <c r="AZ560" s="4"/>
      <c r="BC560" s="4"/>
      <c r="BD560" s="4"/>
      <c r="BG560" s="4"/>
      <c r="BH560" s="4"/>
    </row>
    <row r="561" spans="3:60">
      <c r="C561" s="4"/>
      <c r="D561" s="4"/>
      <c r="G561" s="4"/>
      <c r="H561" s="4"/>
      <c r="K561" s="4"/>
      <c r="L561" s="4"/>
      <c r="O561" s="4"/>
      <c r="P561" s="4"/>
      <c r="S561" s="4"/>
      <c r="T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I561" s="4"/>
      <c r="AJ561" s="4"/>
      <c r="AM561" s="4"/>
      <c r="AN561" s="4"/>
      <c r="AQ561" s="4"/>
      <c r="AR561" s="4"/>
      <c r="AU561" s="4"/>
      <c r="AV561" s="4"/>
      <c r="AY561" s="4"/>
      <c r="AZ561" s="4"/>
      <c r="BC561" s="4"/>
      <c r="BD561" s="4"/>
      <c r="BG561" s="4"/>
      <c r="BH561" s="4"/>
    </row>
    <row r="562" spans="3:60">
      <c r="C562" s="4"/>
      <c r="D562" s="4"/>
      <c r="G562" s="4"/>
      <c r="H562" s="4"/>
      <c r="K562" s="4"/>
      <c r="L562" s="4"/>
      <c r="O562" s="4"/>
      <c r="P562" s="4"/>
      <c r="S562" s="4"/>
      <c r="T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I562" s="4"/>
      <c r="AJ562" s="4"/>
      <c r="AM562" s="4"/>
      <c r="AN562" s="4"/>
      <c r="AQ562" s="4"/>
      <c r="AR562" s="4"/>
      <c r="AU562" s="4"/>
      <c r="AV562" s="4"/>
      <c r="AY562" s="4"/>
      <c r="AZ562" s="4"/>
      <c r="BC562" s="4"/>
      <c r="BD562" s="4"/>
      <c r="BG562" s="4"/>
      <c r="BH562" s="4"/>
    </row>
    <row r="563" spans="3:60">
      <c r="C563" s="4"/>
      <c r="D563" s="4"/>
      <c r="G563" s="4"/>
      <c r="H563" s="4"/>
      <c r="K563" s="4"/>
      <c r="L563" s="4"/>
      <c r="O563" s="4"/>
      <c r="P563" s="4"/>
      <c r="S563" s="4"/>
      <c r="T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I563" s="4"/>
      <c r="AJ563" s="4"/>
      <c r="AM563" s="4"/>
      <c r="AN563" s="4"/>
      <c r="AQ563" s="4"/>
      <c r="AR563" s="4"/>
      <c r="AU563" s="4"/>
      <c r="AV563" s="4"/>
      <c r="AY563" s="4"/>
      <c r="AZ563" s="4"/>
      <c r="BC563" s="4"/>
      <c r="BD563" s="4"/>
      <c r="BG563" s="4"/>
      <c r="BH563" s="4"/>
    </row>
    <row r="564" spans="3:60">
      <c r="C564" s="4"/>
      <c r="D564" s="4"/>
      <c r="G564" s="4"/>
      <c r="H564" s="4"/>
      <c r="K564" s="4"/>
      <c r="L564" s="4"/>
      <c r="O564" s="4"/>
      <c r="P564" s="4"/>
      <c r="S564" s="4"/>
      <c r="T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I564" s="4"/>
      <c r="AJ564" s="4"/>
      <c r="AM564" s="4"/>
      <c r="AN564" s="4"/>
      <c r="AQ564" s="4"/>
      <c r="AR564" s="4"/>
      <c r="AU564" s="4"/>
      <c r="AV564" s="4"/>
      <c r="AY564" s="4"/>
      <c r="AZ564" s="4"/>
      <c r="BC564" s="4"/>
      <c r="BD564" s="4"/>
      <c r="BG564" s="4"/>
      <c r="BH564" s="4"/>
    </row>
    <row r="565" spans="3:60">
      <c r="C565" s="4"/>
      <c r="D565" s="4"/>
      <c r="G565" s="4"/>
      <c r="H565" s="4"/>
      <c r="K565" s="4"/>
      <c r="L565" s="4"/>
      <c r="O565" s="4"/>
      <c r="P565" s="4"/>
      <c r="S565" s="4"/>
      <c r="T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I565" s="4"/>
      <c r="AJ565" s="4"/>
      <c r="AM565" s="4"/>
      <c r="AN565" s="4"/>
      <c r="AQ565" s="4"/>
      <c r="AR565" s="4"/>
      <c r="AU565" s="4"/>
      <c r="AV565" s="4"/>
      <c r="AY565" s="4"/>
      <c r="AZ565" s="4"/>
      <c r="BC565" s="4"/>
      <c r="BD565" s="4"/>
      <c r="BG565" s="4"/>
      <c r="BH565" s="4"/>
    </row>
    <row r="566" spans="3:60">
      <c r="C566" s="4"/>
      <c r="D566" s="4"/>
      <c r="G566" s="4"/>
      <c r="H566" s="4"/>
      <c r="K566" s="4"/>
      <c r="L566" s="4"/>
      <c r="O566" s="4"/>
      <c r="P566" s="4"/>
      <c r="S566" s="4"/>
      <c r="T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I566" s="4"/>
      <c r="AJ566" s="4"/>
      <c r="AM566" s="4"/>
      <c r="AN566" s="4"/>
      <c r="AQ566" s="4"/>
      <c r="AR566" s="4"/>
      <c r="AU566" s="4"/>
      <c r="AV566" s="4"/>
      <c r="AY566" s="4"/>
      <c r="AZ566" s="4"/>
      <c r="BC566" s="4"/>
      <c r="BD566" s="4"/>
      <c r="BG566" s="4"/>
      <c r="BH566" s="4"/>
    </row>
    <row r="567" spans="3:60">
      <c r="C567" s="4"/>
      <c r="D567" s="4"/>
      <c r="G567" s="4"/>
      <c r="H567" s="4"/>
      <c r="K567" s="4"/>
      <c r="L567" s="4"/>
      <c r="O567" s="4"/>
      <c r="P567" s="4"/>
      <c r="S567" s="4"/>
      <c r="T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I567" s="4"/>
      <c r="AJ567" s="4"/>
      <c r="AM567" s="4"/>
      <c r="AN567" s="4"/>
      <c r="AQ567" s="4"/>
      <c r="AR567" s="4"/>
      <c r="AU567" s="4"/>
      <c r="AV567" s="4"/>
      <c r="AY567" s="4"/>
      <c r="AZ567" s="4"/>
      <c r="BC567" s="4"/>
      <c r="BD567" s="4"/>
      <c r="BG567" s="4"/>
      <c r="BH567" s="4"/>
    </row>
    <row r="568" spans="3:60">
      <c r="C568" s="4"/>
      <c r="D568" s="4"/>
      <c r="G568" s="4"/>
      <c r="H568" s="4"/>
      <c r="K568" s="4"/>
      <c r="L568" s="4"/>
      <c r="O568" s="4"/>
      <c r="P568" s="4"/>
      <c r="S568" s="4"/>
      <c r="T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I568" s="4"/>
      <c r="AJ568" s="4"/>
      <c r="AM568" s="4"/>
      <c r="AN568" s="4"/>
      <c r="AQ568" s="4"/>
      <c r="AR568" s="4"/>
      <c r="AU568" s="4"/>
      <c r="AV568" s="4"/>
      <c r="AY568" s="4"/>
      <c r="AZ568" s="4"/>
      <c r="BC568" s="4"/>
      <c r="BD568" s="4"/>
      <c r="BG568" s="4"/>
      <c r="BH568" s="4"/>
    </row>
    <row r="569" spans="3:60">
      <c r="C569" s="4"/>
      <c r="D569" s="4"/>
      <c r="G569" s="4"/>
      <c r="H569" s="4"/>
      <c r="K569" s="4"/>
      <c r="L569" s="4"/>
      <c r="O569" s="4"/>
      <c r="P569" s="4"/>
      <c r="S569" s="4"/>
      <c r="T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I569" s="4"/>
      <c r="AJ569" s="4"/>
      <c r="AM569" s="4"/>
      <c r="AN569" s="4"/>
      <c r="AQ569" s="4"/>
      <c r="AR569" s="4"/>
      <c r="AU569" s="4"/>
      <c r="AV569" s="4"/>
      <c r="AY569" s="4"/>
      <c r="AZ569" s="4"/>
      <c r="BC569" s="4"/>
      <c r="BD569" s="4"/>
      <c r="BG569" s="4"/>
      <c r="BH569" s="4"/>
    </row>
    <row r="570" spans="3:60">
      <c r="C570" s="4"/>
      <c r="D570" s="4"/>
      <c r="G570" s="4"/>
      <c r="H570" s="4"/>
      <c r="K570" s="4"/>
      <c r="L570" s="4"/>
      <c r="O570" s="4"/>
      <c r="P570" s="4"/>
      <c r="S570" s="4"/>
      <c r="T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I570" s="4"/>
      <c r="AJ570" s="4"/>
      <c r="AM570" s="4"/>
      <c r="AN570" s="4"/>
      <c r="AQ570" s="4"/>
      <c r="AR570" s="4"/>
      <c r="AU570" s="4"/>
      <c r="AV570" s="4"/>
      <c r="AY570" s="4"/>
      <c r="AZ570" s="4"/>
      <c r="BC570" s="4"/>
      <c r="BD570" s="4"/>
      <c r="BG570" s="4"/>
      <c r="BH570" s="4"/>
    </row>
    <row r="571" spans="3:60">
      <c r="C571" s="4"/>
      <c r="D571" s="4"/>
      <c r="G571" s="4"/>
      <c r="H571" s="4"/>
      <c r="K571" s="4"/>
      <c r="L571" s="4"/>
      <c r="O571" s="4"/>
      <c r="P571" s="4"/>
      <c r="S571" s="4"/>
      <c r="T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I571" s="4"/>
      <c r="AJ571" s="4"/>
      <c r="AM571" s="4"/>
      <c r="AN571" s="4"/>
      <c r="AQ571" s="4"/>
      <c r="AR571" s="4"/>
      <c r="AU571" s="4"/>
      <c r="AV571" s="4"/>
      <c r="AY571" s="4"/>
      <c r="AZ571" s="4"/>
      <c r="BC571" s="4"/>
      <c r="BD571" s="4"/>
      <c r="BG571" s="4"/>
      <c r="BH571" s="4"/>
    </row>
    <row r="572" spans="3:60">
      <c r="C572" s="4"/>
      <c r="D572" s="4"/>
      <c r="G572" s="4"/>
      <c r="H572" s="4"/>
      <c r="K572" s="4"/>
      <c r="L572" s="4"/>
      <c r="O572" s="4"/>
      <c r="P572" s="4"/>
      <c r="S572" s="4"/>
      <c r="T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I572" s="4"/>
      <c r="AJ572" s="4"/>
      <c r="AM572" s="4"/>
      <c r="AN572" s="4"/>
      <c r="AQ572" s="4"/>
      <c r="AR572" s="4"/>
      <c r="AU572" s="4"/>
      <c r="AV572" s="4"/>
      <c r="AY572" s="4"/>
      <c r="AZ572" s="4"/>
      <c r="BC572" s="4"/>
      <c r="BD572" s="4"/>
      <c r="BG572" s="4"/>
      <c r="BH572" s="4"/>
    </row>
    <row r="573" spans="3:60">
      <c r="C573" s="4"/>
      <c r="D573" s="4"/>
      <c r="G573" s="4"/>
      <c r="H573" s="4"/>
      <c r="K573" s="4"/>
      <c r="L573" s="4"/>
      <c r="O573" s="4"/>
      <c r="P573" s="4"/>
      <c r="S573" s="4"/>
      <c r="T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I573" s="4"/>
      <c r="AJ573" s="4"/>
      <c r="AM573" s="4"/>
      <c r="AN573" s="4"/>
      <c r="AQ573" s="4"/>
      <c r="AR573" s="4"/>
      <c r="AU573" s="4"/>
      <c r="AV573" s="4"/>
      <c r="AY573" s="4"/>
      <c r="AZ573" s="4"/>
      <c r="BC573" s="4"/>
      <c r="BD573" s="4"/>
      <c r="BG573" s="4"/>
      <c r="BH573" s="4"/>
    </row>
    <row r="574" spans="3:60">
      <c r="C574" s="4"/>
      <c r="D574" s="4"/>
      <c r="G574" s="4"/>
      <c r="H574" s="4"/>
      <c r="K574" s="4"/>
      <c r="L574" s="4"/>
      <c r="O574" s="4"/>
      <c r="P574" s="4"/>
      <c r="S574" s="4"/>
      <c r="T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I574" s="4"/>
      <c r="AJ574" s="4"/>
      <c r="AM574" s="4"/>
      <c r="AN574" s="4"/>
      <c r="AQ574" s="4"/>
      <c r="AR574" s="4"/>
      <c r="AU574" s="4"/>
      <c r="AV574" s="4"/>
      <c r="AY574" s="4"/>
      <c r="AZ574" s="4"/>
      <c r="BC574" s="4"/>
      <c r="BD574" s="4"/>
      <c r="BG574" s="4"/>
      <c r="BH574" s="4"/>
    </row>
    <row r="575" spans="3:60">
      <c r="C575" s="4"/>
      <c r="D575" s="4"/>
      <c r="G575" s="4"/>
      <c r="H575" s="4"/>
      <c r="K575" s="4"/>
      <c r="L575" s="4"/>
      <c r="O575" s="4"/>
      <c r="P575" s="4"/>
      <c r="S575" s="4"/>
      <c r="T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I575" s="4"/>
      <c r="AJ575" s="4"/>
      <c r="AM575" s="4"/>
      <c r="AN575" s="4"/>
      <c r="AQ575" s="4"/>
      <c r="AR575" s="4"/>
      <c r="AU575" s="4"/>
      <c r="AV575" s="4"/>
      <c r="AY575" s="4"/>
      <c r="AZ575" s="4"/>
      <c r="BC575" s="4"/>
      <c r="BD575" s="4"/>
      <c r="BG575" s="4"/>
      <c r="BH575" s="4"/>
    </row>
    <row r="576" spans="3:60">
      <c r="C576" s="4"/>
      <c r="D576" s="4"/>
      <c r="G576" s="4"/>
      <c r="H576" s="4"/>
      <c r="K576" s="4"/>
      <c r="L576" s="4"/>
      <c r="O576" s="4"/>
      <c r="P576" s="4"/>
      <c r="S576" s="4"/>
      <c r="T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I576" s="4"/>
      <c r="AJ576" s="4"/>
      <c r="AM576" s="4"/>
      <c r="AN576" s="4"/>
      <c r="AQ576" s="4"/>
      <c r="AR576" s="4"/>
      <c r="AU576" s="4"/>
      <c r="AV576" s="4"/>
      <c r="AY576" s="4"/>
      <c r="AZ576" s="4"/>
      <c r="BC576" s="4"/>
      <c r="BD576" s="4"/>
      <c r="BG576" s="4"/>
      <c r="BH576" s="4"/>
    </row>
    <row r="577" spans="3:60">
      <c r="C577" s="4"/>
      <c r="D577" s="4"/>
      <c r="G577" s="4"/>
      <c r="H577" s="4"/>
      <c r="K577" s="4"/>
      <c r="L577" s="4"/>
      <c r="O577" s="4"/>
      <c r="P577" s="4"/>
      <c r="S577" s="4"/>
      <c r="T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I577" s="4"/>
      <c r="AJ577" s="4"/>
      <c r="AM577" s="4"/>
      <c r="AN577" s="4"/>
      <c r="AQ577" s="4"/>
      <c r="AR577" s="4"/>
      <c r="AU577" s="4"/>
      <c r="AV577" s="4"/>
      <c r="AY577" s="4"/>
      <c r="AZ577" s="4"/>
      <c r="BC577" s="4"/>
      <c r="BD577" s="4"/>
      <c r="BG577" s="4"/>
      <c r="BH577" s="4"/>
    </row>
    <row r="578" spans="3:60">
      <c r="C578" s="4"/>
      <c r="D578" s="4"/>
      <c r="G578" s="4"/>
      <c r="H578" s="4"/>
      <c r="K578" s="4"/>
      <c r="L578" s="4"/>
      <c r="O578" s="4"/>
      <c r="P578" s="4"/>
      <c r="S578" s="4"/>
      <c r="T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I578" s="4"/>
      <c r="AJ578" s="4"/>
      <c r="AM578" s="4"/>
      <c r="AN578" s="4"/>
      <c r="AQ578" s="4"/>
      <c r="AR578" s="4"/>
      <c r="AU578" s="4"/>
      <c r="AV578" s="4"/>
      <c r="AY578" s="4"/>
      <c r="AZ578" s="4"/>
      <c r="BC578" s="4"/>
      <c r="BD578" s="4"/>
      <c r="BG578" s="4"/>
      <c r="BH578" s="4"/>
    </row>
    <row r="579" spans="3:60">
      <c r="C579" s="4"/>
      <c r="D579" s="4"/>
      <c r="G579" s="4"/>
      <c r="H579" s="4"/>
      <c r="K579" s="4"/>
      <c r="L579" s="4"/>
      <c r="O579" s="4"/>
      <c r="P579" s="4"/>
      <c r="S579" s="4"/>
      <c r="T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I579" s="4"/>
      <c r="AJ579" s="4"/>
      <c r="AM579" s="4"/>
      <c r="AN579" s="4"/>
      <c r="AQ579" s="4"/>
      <c r="AR579" s="4"/>
      <c r="AU579" s="4"/>
      <c r="AV579" s="4"/>
      <c r="AY579" s="4"/>
      <c r="AZ579" s="4"/>
      <c r="BC579" s="4"/>
      <c r="BD579" s="4"/>
      <c r="BG579" s="4"/>
      <c r="BH579" s="4"/>
    </row>
    <row r="580" spans="3:60">
      <c r="C580" s="4"/>
      <c r="D580" s="4"/>
      <c r="G580" s="4"/>
      <c r="H580" s="4"/>
      <c r="K580" s="4"/>
      <c r="L580" s="4"/>
      <c r="O580" s="4"/>
      <c r="P580" s="4"/>
      <c r="S580" s="4"/>
      <c r="T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I580" s="4"/>
      <c r="AJ580" s="4"/>
      <c r="AM580" s="4"/>
      <c r="AN580" s="4"/>
      <c r="AQ580" s="4"/>
      <c r="AR580" s="4"/>
      <c r="AU580" s="4"/>
      <c r="AV580" s="4"/>
      <c r="AY580" s="4"/>
      <c r="AZ580" s="4"/>
      <c r="BC580" s="4"/>
      <c r="BD580" s="4"/>
      <c r="BG580" s="4"/>
      <c r="BH580" s="4"/>
    </row>
    <row r="581" spans="3:60">
      <c r="C581" s="4"/>
      <c r="D581" s="4"/>
      <c r="G581" s="4"/>
      <c r="H581" s="4"/>
      <c r="K581" s="4"/>
      <c r="L581" s="4"/>
      <c r="O581" s="4"/>
      <c r="P581" s="4"/>
      <c r="S581" s="4"/>
      <c r="T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I581" s="4"/>
      <c r="AJ581" s="4"/>
      <c r="AM581" s="4"/>
      <c r="AN581" s="4"/>
      <c r="AQ581" s="4"/>
      <c r="AR581" s="4"/>
      <c r="AU581" s="4"/>
      <c r="AV581" s="4"/>
      <c r="AY581" s="4"/>
      <c r="AZ581" s="4"/>
      <c r="BC581" s="4"/>
      <c r="BD581" s="4"/>
      <c r="BG581" s="4"/>
      <c r="BH581" s="4"/>
    </row>
    <row r="582" spans="3:60">
      <c r="C582" s="4"/>
      <c r="D582" s="4"/>
      <c r="G582" s="4"/>
      <c r="H582" s="4"/>
      <c r="K582" s="4"/>
      <c r="L582" s="4"/>
      <c r="O582" s="4"/>
      <c r="P582" s="4"/>
      <c r="S582" s="4"/>
      <c r="T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I582" s="4"/>
      <c r="AJ582" s="4"/>
      <c r="AM582" s="4"/>
      <c r="AN582" s="4"/>
      <c r="AQ582" s="4"/>
      <c r="AR582" s="4"/>
      <c r="AU582" s="4"/>
      <c r="AV582" s="4"/>
      <c r="AY582" s="4"/>
      <c r="AZ582" s="4"/>
      <c r="BC582" s="4"/>
      <c r="BD582" s="4"/>
      <c r="BG582" s="4"/>
      <c r="BH582" s="4"/>
    </row>
    <row r="583" spans="3:60">
      <c r="C583" s="4"/>
      <c r="D583" s="4"/>
      <c r="G583" s="4"/>
      <c r="H583" s="4"/>
      <c r="K583" s="4"/>
      <c r="L583" s="4"/>
      <c r="O583" s="4"/>
      <c r="P583" s="4"/>
      <c r="S583" s="4"/>
      <c r="T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I583" s="4"/>
      <c r="AJ583" s="4"/>
      <c r="AM583" s="4"/>
      <c r="AN583" s="4"/>
      <c r="AQ583" s="4"/>
      <c r="AR583" s="4"/>
      <c r="AU583" s="4"/>
      <c r="AV583" s="4"/>
      <c r="AY583" s="4"/>
      <c r="AZ583" s="4"/>
      <c r="BC583" s="4"/>
      <c r="BD583" s="4"/>
      <c r="BG583" s="4"/>
      <c r="BH583" s="4"/>
    </row>
    <row r="584" spans="3:60">
      <c r="C584" s="4"/>
      <c r="D584" s="4"/>
      <c r="G584" s="4"/>
      <c r="H584" s="4"/>
      <c r="K584" s="4"/>
      <c r="L584" s="4"/>
      <c r="O584" s="4"/>
      <c r="P584" s="4"/>
      <c r="S584" s="4"/>
      <c r="T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I584" s="4"/>
      <c r="AJ584" s="4"/>
      <c r="AM584" s="4"/>
      <c r="AN584" s="4"/>
      <c r="AQ584" s="4"/>
      <c r="AR584" s="4"/>
      <c r="AU584" s="4"/>
      <c r="AV584" s="4"/>
      <c r="AY584" s="4"/>
      <c r="AZ584" s="4"/>
      <c r="BC584" s="4"/>
      <c r="BD584" s="4"/>
      <c r="BG584" s="4"/>
      <c r="BH584" s="4"/>
    </row>
    <row r="585" spans="3:60">
      <c r="C585" s="4"/>
      <c r="D585" s="4"/>
      <c r="G585" s="4"/>
      <c r="H585" s="4"/>
      <c r="K585" s="4"/>
      <c r="L585" s="4"/>
      <c r="O585" s="4"/>
      <c r="P585" s="4"/>
      <c r="S585" s="4"/>
      <c r="T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I585" s="4"/>
      <c r="AJ585" s="4"/>
      <c r="AM585" s="4"/>
      <c r="AN585" s="4"/>
      <c r="AQ585" s="4"/>
      <c r="AR585" s="4"/>
      <c r="AU585" s="4"/>
      <c r="AV585" s="4"/>
      <c r="AY585" s="4"/>
      <c r="AZ585" s="4"/>
      <c r="BC585" s="4"/>
      <c r="BD585" s="4"/>
      <c r="BG585" s="4"/>
      <c r="BH585" s="4"/>
    </row>
    <row r="586" spans="3:60">
      <c r="C586" s="4"/>
      <c r="D586" s="4"/>
      <c r="G586" s="4"/>
      <c r="H586" s="4"/>
      <c r="K586" s="4"/>
      <c r="L586" s="4"/>
      <c r="O586" s="4"/>
      <c r="P586" s="4"/>
      <c r="S586" s="4"/>
      <c r="T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I586" s="4"/>
      <c r="AJ586" s="4"/>
      <c r="AM586" s="4"/>
      <c r="AN586" s="4"/>
      <c r="AQ586" s="4"/>
      <c r="AR586" s="4"/>
      <c r="AU586" s="4"/>
      <c r="AV586" s="4"/>
      <c r="AY586" s="4"/>
      <c r="AZ586" s="4"/>
      <c r="BC586" s="4"/>
      <c r="BD586" s="4"/>
      <c r="BG586" s="4"/>
      <c r="BH586" s="4"/>
    </row>
    <row r="587" spans="3:60">
      <c r="C587" s="4"/>
      <c r="D587" s="4"/>
      <c r="G587" s="4"/>
      <c r="H587" s="4"/>
      <c r="K587" s="4"/>
      <c r="L587" s="4"/>
      <c r="O587" s="4"/>
      <c r="P587" s="4"/>
      <c r="S587" s="4"/>
      <c r="T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I587" s="4"/>
      <c r="AJ587" s="4"/>
      <c r="AM587" s="4"/>
      <c r="AN587" s="4"/>
      <c r="AQ587" s="4"/>
      <c r="AR587" s="4"/>
      <c r="AU587" s="4"/>
      <c r="AV587" s="4"/>
      <c r="AY587" s="4"/>
      <c r="AZ587" s="4"/>
      <c r="BC587" s="4"/>
      <c r="BD587" s="4"/>
      <c r="BG587" s="4"/>
      <c r="BH587" s="4"/>
    </row>
    <row r="588" spans="3:60">
      <c r="C588" s="4"/>
      <c r="D588" s="4"/>
      <c r="G588" s="4"/>
      <c r="H588" s="4"/>
      <c r="K588" s="4"/>
      <c r="L588" s="4"/>
      <c r="O588" s="4"/>
      <c r="P588" s="4"/>
      <c r="S588" s="4"/>
      <c r="T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I588" s="4"/>
      <c r="AJ588" s="4"/>
      <c r="AM588" s="4"/>
      <c r="AN588" s="4"/>
      <c r="AQ588" s="4"/>
      <c r="AR588" s="4"/>
      <c r="AU588" s="4"/>
      <c r="AV588" s="4"/>
      <c r="AY588" s="4"/>
      <c r="AZ588" s="4"/>
      <c r="BC588" s="4"/>
      <c r="BD588" s="4"/>
      <c r="BG588" s="4"/>
      <c r="BH588" s="4"/>
    </row>
    <row r="589" spans="3:60">
      <c r="C589" s="4"/>
      <c r="D589" s="4"/>
      <c r="G589" s="4"/>
      <c r="H589" s="4"/>
      <c r="K589" s="4"/>
      <c r="L589" s="4"/>
      <c r="O589" s="4"/>
      <c r="P589" s="4"/>
      <c r="S589" s="4"/>
      <c r="T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I589" s="4"/>
      <c r="AJ589" s="4"/>
      <c r="AM589" s="4"/>
      <c r="AN589" s="4"/>
      <c r="AQ589" s="4"/>
      <c r="AR589" s="4"/>
      <c r="AU589" s="4"/>
      <c r="AV589" s="4"/>
      <c r="AY589" s="4"/>
      <c r="AZ589" s="4"/>
      <c r="BC589" s="4"/>
      <c r="BD589" s="4"/>
      <c r="BG589" s="4"/>
      <c r="BH589" s="4"/>
    </row>
    <row r="590" spans="3:60">
      <c r="C590" s="4"/>
      <c r="D590" s="4"/>
      <c r="G590" s="4"/>
      <c r="H590" s="4"/>
      <c r="K590" s="4"/>
      <c r="L590" s="4"/>
      <c r="O590" s="4"/>
      <c r="P590" s="4"/>
      <c r="S590" s="4"/>
      <c r="T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I590" s="4"/>
      <c r="AJ590" s="4"/>
      <c r="AM590" s="4"/>
      <c r="AN590" s="4"/>
      <c r="AQ590" s="4"/>
      <c r="AR590" s="4"/>
      <c r="AU590" s="4"/>
      <c r="AV590" s="4"/>
      <c r="AY590" s="4"/>
      <c r="AZ590" s="4"/>
      <c r="BC590" s="4"/>
      <c r="BD590" s="4"/>
      <c r="BG590" s="4"/>
      <c r="BH590" s="4"/>
    </row>
    <row r="591" spans="3:60">
      <c r="C591" s="4"/>
      <c r="D591" s="4"/>
      <c r="G591" s="4"/>
      <c r="H591" s="4"/>
      <c r="K591" s="4"/>
      <c r="L591" s="4"/>
      <c r="O591" s="4"/>
      <c r="P591" s="4"/>
      <c r="S591" s="4"/>
      <c r="T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I591" s="4"/>
      <c r="AJ591" s="4"/>
      <c r="AM591" s="4"/>
      <c r="AN591" s="4"/>
      <c r="AQ591" s="4"/>
      <c r="AR591" s="4"/>
      <c r="AU591" s="4"/>
      <c r="AV591" s="4"/>
      <c r="AY591" s="4"/>
      <c r="AZ591" s="4"/>
      <c r="BC591" s="4"/>
      <c r="BD591" s="4"/>
      <c r="BG591" s="4"/>
      <c r="BH591" s="4"/>
    </row>
    <row r="592" spans="3:60">
      <c r="C592" s="4"/>
      <c r="D592" s="4"/>
      <c r="G592" s="4"/>
      <c r="H592" s="4"/>
      <c r="K592" s="4"/>
      <c r="L592" s="4"/>
      <c r="O592" s="4"/>
      <c r="P592" s="4"/>
      <c r="S592" s="4"/>
      <c r="T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I592" s="4"/>
      <c r="AJ592" s="4"/>
      <c r="AM592" s="4"/>
      <c r="AN592" s="4"/>
      <c r="AQ592" s="4"/>
      <c r="AR592" s="4"/>
      <c r="AU592" s="4"/>
      <c r="AV592" s="4"/>
      <c r="AY592" s="4"/>
      <c r="AZ592" s="4"/>
      <c r="BC592" s="4"/>
      <c r="BD592" s="4"/>
      <c r="BG592" s="4"/>
      <c r="BH592" s="4"/>
    </row>
    <row r="593" spans="3:60">
      <c r="C593" s="4"/>
      <c r="D593" s="4"/>
      <c r="G593" s="4"/>
      <c r="H593" s="4"/>
      <c r="K593" s="4"/>
      <c r="L593" s="4"/>
      <c r="O593" s="4"/>
      <c r="P593" s="4"/>
      <c r="S593" s="4"/>
      <c r="T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I593" s="4"/>
      <c r="AJ593" s="4"/>
      <c r="AM593" s="4"/>
      <c r="AN593" s="4"/>
      <c r="AQ593" s="4"/>
      <c r="AR593" s="4"/>
      <c r="AU593" s="4"/>
      <c r="AV593" s="4"/>
      <c r="AY593" s="4"/>
      <c r="AZ593" s="4"/>
      <c r="BC593" s="4"/>
      <c r="BD593" s="4"/>
      <c r="BG593" s="4"/>
      <c r="BH593" s="4"/>
    </row>
    <row r="594" spans="3:60">
      <c r="C594" s="4"/>
      <c r="D594" s="4"/>
      <c r="G594" s="4"/>
      <c r="H594" s="4"/>
      <c r="K594" s="4"/>
      <c r="L594" s="4"/>
      <c r="O594" s="4"/>
      <c r="P594" s="4"/>
      <c r="S594" s="4"/>
      <c r="T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I594" s="4"/>
      <c r="AJ594" s="4"/>
      <c r="AM594" s="4"/>
      <c r="AN594" s="4"/>
      <c r="AQ594" s="4"/>
      <c r="AR594" s="4"/>
      <c r="AU594" s="4"/>
      <c r="AV594" s="4"/>
      <c r="AY594" s="4"/>
      <c r="AZ594" s="4"/>
      <c r="BC594" s="4"/>
      <c r="BD594" s="4"/>
      <c r="BG594" s="4"/>
      <c r="BH594" s="4"/>
    </row>
    <row r="595" spans="3:60">
      <c r="C595" s="4"/>
      <c r="D595" s="4"/>
      <c r="G595" s="4"/>
      <c r="H595" s="4"/>
      <c r="K595" s="4"/>
      <c r="L595" s="4"/>
      <c r="O595" s="4"/>
      <c r="P595" s="4"/>
      <c r="S595" s="4"/>
      <c r="T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I595" s="4"/>
      <c r="AJ595" s="4"/>
      <c r="AM595" s="4"/>
      <c r="AN595" s="4"/>
      <c r="AQ595" s="4"/>
      <c r="AR595" s="4"/>
      <c r="AU595" s="4"/>
      <c r="AV595" s="4"/>
      <c r="AY595" s="4"/>
      <c r="AZ595" s="4"/>
      <c r="BC595" s="4"/>
      <c r="BD595" s="4"/>
      <c r="BG595" s="4"/>
      <c r="BH595" s="4"/>
    </row>
    <row r="596" spans="3:60">
      <c r="C596" s="4"/>
      <c r="D596" s="4"/>
      <c r="G596" s="4"/>
      <c r="H596" s="4"/>
      <c r="K596" s="4"/>
      <c r="L596" s="4"/>
      <c r="O596" s="4"/>
      <c r="P596" s="4"/>
      <c r="S596" s="4"/>
      <c r="T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I596" s="4"/>
      <c r="AJ596" s="4"/>
      <c r="AM596" s="4"/>
      <c r="AN596" s="4"/>
      <c r="AQ596" s="4"/>
      <c r="AR596" s="4"/>
      <c r="AU596" s="4"/>
      <c r="AV596" s="4"/>
      <c r="AY596" s="4"/>
      <c r="AZ596" s="4"/>
      <c r="BC596" s="4"/>
      <c r="BD596" s="4"/>
      <c r="BG596" s="4"/>
      <c r="BH596" s="4"/>
    </row>
    <row r="597" spans="3:60">
      <c r="C597" s="4"/>
      <c r="D597" s="4"/>
      <c r="G597" s="4"/>
      <c r="H597" s="4"/>
      <c r="K597" s="4"/>
      <c r="L597" s="4"/>
      <c r="O597" s="4"/>
      <c r="P597" s="4"/>
      <c r="S597" s="4"/>
      <c r="T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I597" s="4"/>
      <c r="AJ597" s="4"/>
      <c r="AM597" s="4"/>
      <c r="AN597" s="4"/>
      <c r="AQ597" s="4"/>
      <c r="AR597" s="4"/>
      <c r="AU597" s="4"/>
      <c r="AV597" s="4"/>
      <c r="AY597" s="4"/>
      <c r="AZ597" s="4"/>
      <c r="BC597" s="4"/>
      <c r="BD597" s="4"/>
      <c r="BG597" s="4"/>
      <c r="BH597" s="4"/>
    </row>
    <row r="598" spans="3:60">
      <c r="C598" s="4"/>
      <c r="D598" s="4"/>
      <c r="G598" s="4"/>
      <c r="H598" s="4"/>
      <c r="K598" s="4"/>
      <c r="L598" s="4"/>
      <c r="O598" s="4"/>
      <c r="P598" s="4"/>
      <c r="S598" s="4"/>
      <c r="T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I598" s="4"/>
      <c r="AJ598" s="4"/>
      <c r="AM598" s="4"/>
      <c r="AN598" s="4"/>
      <c r="AQ598" s="4"/>
      <c r="AR598" s="4"/>
      <c r="AU598" s="4"/>
      <c r="AV598" s="4"/>
      <c r="AY598" s="4"/>
      <c r="AZ598" s="4"/>
      <c r="BC598" s="4"/>
      <c r="BD598" s="4"/>
      <c r="BG598" s="4"/>
      <c r="BH598" s="4"/>
    </row>
    <row r="599" spans="3:60">
      <c r="C599" s="4"/>
      <c r="D599" s="4"/>
      <c r="G599" s="4"/>
      <c r="H599" s="4"/>
      <c r="K599" s="4"/>
      <c r="L599" s="4"/>
      <c r="O599" s="4"/>
      <c r="P599" s="4"/>
      <c r="S599" s="4"/>
      <c r="T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I599" s="4"/>
      <c r="AJ599" s="4"/>
      <c r="AM599" s="4"/>
      <c r="AN599" s="4"/>
      <c r="AQ599" s="4"/>
      <c r="AR599" s="4"/>
      <c r="AU599" s="4"/>
      <c r="AV599" s="4"/>
      <c r="AY599" s="4"/>
      <c r="AZ599" s="4"/>
      <c r="BC599" s="4"/>
      <c r="BD599" s="4"/>
      <c r="BG599" s="4"/>
      <c r="BH599" s="4"/>
    </row>
    <row r="600" spans="3:60">
      <c r="C600" s="4"/>
      <c r="D600" s="4"/>
      <c r="G600" s="4"/>
      <c r="H600" s="4"/>
      <c r="K600" s="4"/>
      <c r="L600" s="4"/>
      <c r="O600" s="4"/>
      <c r="P600" s="4"/>
      <c r="S600" s="4"/>
      <c r="T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I600" s="4"/>
      <c r="AJ600" s="4"/>
      <c r="AM600" s="4"/>
      <c r="AN600" s="4"/>
      <c r="AQ600" s="4"/>
      <c r="AR600" s="4"/>
      <c r="AU600" s="4"/>
      <c r="AV600" s="4"/>
      <c r="AY600" s="4"/>
      <c r="AZ600" s="4"/>
      <c r="BC600" s="4"/>
      <c r="BD600" s="4"/>
      <c r="BG600" s="4"/>
      <c r="BH600" s="4"/>
    </row>
    <row r="601" spans="3:60">
      <c r="C601" s="4"/>
      <c r="D601" s="4"/>
      <c r="G601" s="4"/>
      <c r="H601" s="4"/>
      <c r="K601" s="4"/>
      <c r="L601" s="4"/>
      <c r="O601" s="4"/>
      <c r="P601" s="4"/>
      <c r="S601" s="4"/>
      <c r="T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I601" s="4"/>
      <c r="AJ601" s="4"/>
      <c r="AM601" s="4"/>
      <c r="AN601" s="4"/>
      <c r="AQ601" s="4"/>
      <c r="AR601" s="4"/>
      <c r="AU601" s="4"/>
      <c r="AV601" s="4"/>
      <c r="AY601" s="4"/>
      <c r="AZ601" s="4"/>
      <c r="BC601" s="4"/>
      <c r="BD601" s="4"/>
      <c r="BG601" s="4"/>
      <c r="BH601" s="4"/>
    </row>
    <row r="602" spans="3:60">
      <c r="C602" s="4"/>
      <c r="D602" s="4"/>
      <c r="G602" s="4"/>
      <c r="H602" s="4"/>
      <c r="K602" s="4"/>
      <c r="L602" s="4"/>
      <c r="O602" s="4"/>
      <c r="P602" s="4"/>
      <c r="S602" s="4"/>
      <c r="T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I602" s="4"/>
      <c r="AJ602" s="4"/>
      <c r="AM602" s="4"/>
      <c r="AN602" s="4"/>
      <c r="AQ602" s="4"/>
      <c r="AR602" s="4"/>
      <c r="AU602" s="4"/>
      <c r="AV602" s="4"/>
      <c r="AY602" s="4"/>
      <c r="AZ602" s="4"/>
      <c r="BC602" s="4"/>
      <c r="BD602" s="4"/>
      <c r="BG602" s="4"/>
      <c r="BH602" s="4"/>
    </row>
    <row r="603" spans="3:60">
      <c r="C603" s="4"/>
      <c r="D603" s="4"/>
      <c r="G603" s="4"/>
      <c r="H603" s="4"/>
      <c r="K603" s="4"/>
      <c r="L603" s="4"/>
      <c r="O603" s="4"/>
      <c r="P603" s="4"/>
      <c r="S603" s="4"/>
      <c r="T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I603" s="4"/>
      <c r="AJ603" s="4"/>
      <c r="AM603" s="4"/>
      <c r="AN603" s="4"/>
      <c r="AQ603" s="4"/>
      <c r="AR603" s="4"/>
      <c r="AU603" s="4"/>
      <c r="AV603" s="4"/>
      <c r="AY603" s="4"/>
      <c r="AZ603" s="4"/>
      <c r="BC603" s="4"/>
      <c r="BD603" s="4"/>
      <c r="BG603" s="4"/>
      <c r="BH603" s="4"/>
    </row>
    <row r="604" spans="3:60">
      <c r="C604" s="4"/>
      <c r="D604" s="4"/>
      <c r="G604" s="4"/>
      <c r="H604" s="4"/>
      <c r="K604" s="4"/>
      <c r="L604" s="4"/>
      <c r="O604" s="4"/>
      <c r="P604" s="4"/>
      <c r="S604" s="4"/>
      <c r="T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I604" s="4"/>
      <c r="AJ604" s="4"/>
      <c r="AM604" s="4"/>
      <c r="AN604" s="4"/>
      <c r="AQ604" s="4"/>
      <c r="AR604" s="4"/>
      <c r="AU604" s="4"/>
      <c r="AV604" s="4"/>
      <c r="AY604" s="4"/>
      <c r="AZ604" s="4"/>
      <c r="BC604" s="4"/>
      <c r="BD604" s="4"/>
      <c r="BG604" s="4"/>
      <c r="BH604" s="4"/>
    </row>
    <row r="605" spans="3:60">
      <c r="C605" s="4"/>
      <c r="D605" s="4"/>
      <c r="G605" s="4"/>
      <c r="H605" s="4"/>
      <c r="K605" s="4"/>
      <c r="L605" s="4"/>
      <c r="O605" s="4"/>
      <c r="P605" s="4"/>
      <c r="S605" s="4"/>
      <c r="T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I605" s="4"/>
      <c r="AJ605" s="4"/>
      <c r="AM605" s="4"/>
      <c r="AN605" s="4"/>
      <c r="AQ605" s="4"/>
      <c r="AR605" s="4"/>
      <c r="AU605" s="4"/>
      <c r="AV605" s="4"/>
      <c r="AY605" s="4"/>
      <c r="AZ605" s="4"/>
      <c r="BC605" s="4"/>
      <c r="BD605" s="4"/>
      <c r="BG605" s="4"/>
      <c r="BH605" s="4"/>
    </row>
    <row r="606" spans="3:60">
      <c r="C606" s="4"/>
      <c r="D606" s="4"/>
      <c r="G606" s="4"/>
      <c r="H606" s="4"/>
      <c r="K606" s="4"/>
      <c r="L606" s="4"/>
      <c r="O606" s="4"/>
      <c r="P606" s="4"/>
      <c r="S606" s="4"/>
      <c r="T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I606" s="4"/>
      <c r="AJ606" s="4"/>
      <c r="AM606" s="4"/>
      <c r="AN606" s="4"/>
      <c r="AQ606" s="4"/>
      <c r="AR606" s="4"/>
      <c r="AU606" s="4"/>
      <c r="AV606" s="4"/>
      <c r="AY606" s="4"/>
      <c r="AZ606" s="4"/>
      <c r="BC606" s="4"/>
      <c r="BD606" s="4"/>
      <c r="BG606" s="4"/>
      <c r="BH606" s="4"/>
    </row>
    <row r="607" spans="3:60">
      <c r="C607" s="4"/>
      <c r="D607" s="4"/>
      <c r="G607" s="4"/>
      <c r="H607" s="4"/>
      <c r="K607" s="4"/>
      <c r="L607" s="4"/>
      <c r="O607" s="4"/>
      <c r="P607" s="4"/>
      <c r="S607" s="4"/>
      <c r="T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I607" s="4"/>
      <c r="AJ607" s="4"/>
      <c r="AM607" s="4"/>
      <c r="AN607" s="4"/>
      <c r="AQ607" s="4"/>
      <c r="AR607" s="4"/>
      <c r="AU607" s="4"/>
      <c r="AV607" s="4"/>
      <c r="AY607" s="4"/>
      <c r="AZ607" s="4"/>
      <c r="BC607" s="4"/>
      <c r="BD607" s="4"/>
      <c r="BG607" s="4"/>
      <c r="BH607" s="4"/>
    </row>
    <row r="608" spans="3:60">
      <c r="C608" s="4"/>
      <c r="D608" s="4"/>
      <c r="G608" s="4"/>
      <c r="H608" s="4"/>
      <c r="K608" s="4"/>
      <c r="L608" s="4"/>
      <c r="O608" s="4"/>
      <c r="P608" s="4"/>
      <c r="S608" s="4"/>
      <c r="T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I608" s="4"/>
      <c r="AJ608" s="4"/>
      <c r="AM608" s="4"/>
      <c r="AN608" s="4"/>
      <c r="AQ608" s="4"/>
      <c r="AR608" s="4"/>
      <c r="AU608" s="4"/>
      <c r="AV608" s="4"/>
      <c r="AY608" s="4"/>
      <c r="AZ608" s="4"/>
      <c r="BC608" s="4"/>
      <c r="BD608" s="4"/>
      <c r="BG608" s="4"/>
      <c r="BH608" s="4"/>
    </row>
    <row r="609" spans="3:60">
      <c r="C609" s="4"/>
      <c r="D609" s="4"/>
      <c r="G609" s="4"/>
      <c r="H609" s="4"/>
      <c r="K609" s="4"/>
      <c r="L609" s="4"/>
      <c r="O609" s="4"/>
      <c r="P609" s="4"/>
      <c r="S609" s="4"/>
      <c r="T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I609" s="4"/>
      <c r="AJ609" s="4"/>
      <c r="AM609" s="4"/>
      <c r="AN609" s="4"/>
      <c r="AQ609" s="4"/>
      <c r="AR609" s="4"/>
      <c r="AU609" s="4"/>
      <c r="AV609" s="4"/>
      <c r="AY609" s="4"/>
      <c r="AZ609" s="4"/>
      <c r="BC609" s="4"/>
      <c r="BD609" s="4"/>
      <c r="BG609" s="4"/>
      <c r="BH609" s="4"/>
    </row>
    <row r="610" spans="3:60">
      <c r="C610" s="4"/>
      <c r="D610" s="4"/>
      <c r="G610" s="4"/>
      <c r="H610" s="4"/>
      <c r="K610" s="4"/>
      <c r="L610" s="4"/>
      <c r="O610" s="4"/>
      <c r="P610" s="4"/>
      <c r="S610" s="4"/>
      <c r="T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I610" s="4"/>
      <c r="AJ610" s="4"/>
      <c r="AM610" s="4"/>
      <c r="AN610" s="4"/>
      <c r="AQ610" s="4"/>
      <c r="AR610" s="4"/>
      <c r="AU610" s="4"/>
      <c r="AV610" s="4"/>
      <c r="AY610" s="4"/>
      <c r="AZ610" s="4"/>
      <c r="BC610" s="4"/>
      <c r="BD610" s="4"/>
      <c r="BG610" s="4"/>
      <c r="BH610" s="4"/>
    </row>
    <row r="611" spans="3:60">
      <c r="C611" s="4"/>
      <c r="D611" s="4"/>
      <c r="G611" s="4"/>
      <c r="H611" s="4"/>
      <c r="K611" s="4"/>
      <c r="L611" s="4"/>
      <c r="O611" s="4"/>
      <c r="P611" s="4"/>
      <c r="S611" s="4"/>
      <c r="T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I611" s="4"/>
      <c r="AJ611" s="4"/>
      <c r="AM611" s="4"/>
      <c r="AN611" s="4"/>
      <c r="AQ611" s="4"/>
      <c r="AR611" s="4"/>
      <c r="AU611" s="4"/>
      <c r="AV611" s="4"/>
      <c r="AY611" s="4"/>
      <c r="AZ611" s="4"/>
      <c r="BC611" s="4"/>
      <c r="BD611" s="4"/>
      <c r="BG611" s="4"/>
      <c r="BH611" s="4"/>
    </row>
    <row r="612" spans="3:60">
      <c r="C612" s="4"/>
      <c r="D612" s="4"/>
      <c r="G612" s="4"/>
      <c r="H612" s="4"/>
      <c r="K612" s="4"/>
      <c r="L612" s="4"/>
      <c r="O612" s="4"/>
      <c r="P612" s="4"/>
      <c r="S612" s="4"/>
      <c r="T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I612" s="4"/>
      <c r="AJ612" s="4"/>
      <c r="AM612" s="4"/>
      <c r="AN612" s="4"/>
      <c r="AQ612" s="4"/>
      <c r="AR612" s="4"/>
      <c r="AU612" s="4"/>
      <c r="AV612" s="4"/>
      <c r="AY612" s="4"/>
      <c r="AZ612" s="4"/>
      <c r="BC612" s="4"/>
      <c r="BD612" s="4"/>
      <c r="BG612" s="4"/>
      <c r="BH612" s="4"/>
    </row>
    <row r="613" spans="3:60">
      <c r="C613" s="4"/>
      <c r="D613" s="4"/>
      <c r="G613" s="4"/>
      <c r="H613" s="4"/>
      <c r="K613" s="4"/>
      <c r="L613" s="4"/>
      <c r="O613" s="4"/>
      <c r="P613" s="4"/>
      <c r="S613" s="4"/>
      <c r="T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I613" s="4"/>
      <c r="AJ613" s="4"/>
      <c r="AM613" s="4"/>
      <c r="AN613" s="4"/>
      <c r="AQ613" s="4"/>
      <c r="AR613" s="4"/>
      <c r="AU613" s="4"/>
      <c r="AV613" s="4"/>
      <c r="AY613" s="4"/>
      <c r="AZ613" s="4"/>
      <c r="BC613" s="4"/>
      <c r="BD613" s="4"/>
      <c r="BG613" s="4"/>
      <c r="BH613" s="4"/>
    </row>
    <row r="614" spans="3:60">
      <c r="C614" s="4"/>
      <c r="D614" s="4"/>
      <c r="G614" s="4"/>
      <c r="H614" s="4"/>
      <c r="K614" s="4"/>
      <c r="L614" s="4"/>
      <c r="O614" s="4"/>
      <c r="P614" s="4"/>
      <c r="S614" s="4"/>
      <c r="T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I614" s="4"/>
      <c r="AJ614" s="4"/>
      <c r="AM614" s="4"/>
      <c r="AN614" s="4"/>
      <c r="AQ614" s="4"/>
      <c r="AR614" s="4"/>
      <c r="AU614" s="4"/>
      <c r="AV614" s="4"/>
      <c r="AY614" s="4"/>
      <c r="AZ614" s="4"/>
      <c r="BC614" s="4"/>
      <c r="BD614" s="4"/>
      <c r="BG614" s="4"/>
      <c r="BH614" s="4"/>
    </row>
    <row r="615" spans="3:60">
      <c r="C615" s="4"/>
      <c r="D615" s="4"/>
      <c r="G615" s="4"/>
      <c r="H615" s="4"/>
      <c r="K615" s="4"/>
      <c r="L615" s="4"/>
      <c r="O615" s="4"/>
      <c r="P615" s="4"/>
      <c r="S615" s="4"/>
      <c r="T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I615" s="4"/>
      <c r="AJ615" s="4"/>
      <c r="AM615" s="4"/>
      <c r="AN615" s="4"/>
      <c r="AQ615" s="4"/>
      <c r="AR615" s="4"/>
      <c r="AU615" s="4"/>
      <c r="AV615" s="4"/>
      <c r="AY615" s="4"/>
      <c r="AZ615" s="4"/>
      <c r="BC615" s="4"/>
      <c r="BD615" s="4"/>
      <c r="BG615" s="4"/>
      <c r="BH615" s="4"/>
    </row>
    <row r="616" spans="3:60">
      <c r="C616" s="4"/>
      <c r="D616" s="4"/>
      <c r="G616" s="4"/>
      <c r="H616" s="4"/>
      <c r="K616" s="4"/>
      <c r="L616" s="4"/>
      <c r="O616" s="4"/>
      <c r="P616" s="4"/>
      <c r="S616" s="4"/>
      <c r="T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I616" s="4"/>
      <c r="AJ616" s="4"/>
      <c r="AM616" s="4"/>
      <c r="AN616" s="4"/>
      <c r="AQ616" s="4"/>
      <c r="AR616" s="4"/>
      <c r="AU616" s="4"/>
      <c r="AV616" s="4"/>
      <c r="AY616" s="4"/>
      <c r="AZ616" s="4"/>
      <c r="BC616" s="4"/>
      <c r="BD616" s="4"/>
      <c r="BG616" s="4"/>
      <c r="BH616" s="4"/>
    </row>
    <row r="617" spans="3:60">
      <c r="C617" s="4"/>
      <c r="D617" s="4"/>
      <c r="G617" s="4"/>
      <c r="H617" s="4"/>
      <c r="K617" s="4"/>
      <c r="L617" s="4"/>
      <c r="O617" s="4"/>
      <c r="P617" s="4"/>
      <c r="S617" s="4"/>
      <c r="T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I617" s="4"/>
      <c r="AJ617" s="4"/>
      <c r="AM617" s="4"/>
      <c r="AN617" s="4"/>
      <c r="AQ617" s="4"/>
      <c r="AR617" s="4"/>
      <c r="AU617" s="4"/>
      <c r="AV617" s="4"/>
      <c r="AY617" s="4"/>
      <c r="AZ617" s="4"/>
      <c r="BC617" s="4"/>
      <c r="BD617" s="4"/>
      <c r="BG617" s="4"/>
      <c r="BH617" s="4"/>
    </row>
    <row r="618" spans="3:60">
      <c r="C618" s="4"/>
      <c r="D618" s="4"/>
      <c r="G618" s="4"/>
      <c r="H618" s="4"/>
      <c r="K618" s="4"/>
      <c r="L618" s="4"/>
      <c r="O618" s="4"/>
      <c r="P618" s="4"/>
      <c r="S618" s="4"/>
      <c r="T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I618" s="4"/>
      <c r="AJ618" s="4"/>
      <c r="AM618" s="4"/>
      <c r="AN618" s="4"/>
      <c r="AQ618" s="4"/>
      <c r="AR618" s="4"/>
      <c r="AU618" s="4"/>
      <c r="AV618" s="4"/>
      <c r="AY618" s="4"/>
      <c r="AZ618" s="4"/>
      <c r="BC618" s="4"/>
      <c r="BD618" s="4"/>
      <c r="BG618" s="4"/>
      <c r="BH618" s="4"/>
    </row>
    <row r="619" spans="3:60">
      <c r="C619" s="4"/>
      <c r="D619" s="4"/>
      <c r="G619" s="4"/>
      <c r="H619" s="4"/>
      <c r="K619" s="4"/>
      <c r="L619" s="4"/>
      <c r="O619" s="4"/>
      <c r="P619" s="4"/>
      <c r="S619" s="4"/>
      <c r="T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I619" s="4"/>
      <c r="AJ619" s="4"/>
      <c r="AM619" s="4"/>
      <c r="AN619" s="4"/>
      <c r="AQ619" s="4"/>
      <c r="AR619" s="4"/>
      <c r="AU619" s="4"/>
      <c r="AV619" s="4"/>
      <c r="AY619" s="4"/>
      <c r="AZ619" s="4"/>
      <c r="BC619" s="4"/>
      <c r="BD619" s="4"/>
      <c r="BG619" s="4"/>
      <c r="BH619" s="4"/>
    </row>
    <row r="620" spans="3:60">
      <c r="C620" s="4"/>
      <c r="D620" s="4"/>
      <c r="G620" s="4"/>
      <c r="H620" s="4"/>
      <c r="K620" s="4"/>
      <c r="L620" s="4"/>
      <c r="O620" s="4"/>
      <c r="P620" s="4"/>
      <c r="S620" s="4"/>
      <c r="T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I620" s="4"/>
      <c r="AJ620" s="4"/>
      <c r="AM620" s="4"/>
      <c r="AN620" s="4"/>
      <c r="AQ620" s="4"/>
      <c r="AR620" s="4"/>
      <c r="AU620" s="4"/>
      <c r="AV620" s="4"/>
      <c r="AY620" s="4"/>
      <c r="AZ620" s="4"/>
      <c r="BC620" s="4"/>
      <c r="BD620" s="4"/>
      <c r="BG620" s="4"/>
      <c r="BH620" s="4"/>
    </row>
    <row r="621" spans="3:60">
      <c r="C621" s="4"/>
      <c r="D621" s="4"/>
      <c r="G621" s="4"/>
      <c r="H621" s="4"/>
      <c r="K621" s="4"/>
      <c r="L621" s="4"/>
      <c r="O621" s="4"/>
      <c r="P621" s="4"/>
      <c r="S621" s="4"/>
      <c r="T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I621" s="4"/>
      <c r="AJ621" s="4"/>
      <c r="AM621" s="4"/>
      <c r="AN621" s="4"/>
      <c r="AQ621" s="4"/>
      <c r="AR621" s="4"/>
      <c r="AU621" s="4"/>
      <c r="AV621" s="4"/>
      <c r="AY621" s="4"/>
      <c r="AZ621" s="4"/>
      <c r="BC621" s="4"/>
      <c r="BD621" s="4"/>
      <c r="BG621" s="4"/>
      <c r="BH621" s="4"/>
    </row>
    <row r="622" spans="3:60">
      <c r="C622" s="4"/>
      <c r="D622" s="4"/>
      <c r="G622" s="4"/>
      <c r="H622" s="4"/>
      <c r="K622" s="4"/>
      <c r="L622" s="4"/>
      <c r="O622" s="4"/>
      <c r="P622" s="4"/>
      <c r="S622" s="4"/>
      <c r="T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I622" s="4"/>
      <c r="AJ622" s="4"/>
      <c r="AM622" s="4"/>
      <c r="AN622" s="4"/>
      <c r="AQ622" s="4"/>
      <c r="AR622" s="4"/>
      <c r="AU622" s="4"/>
      <c r="AV622" s="4"/>
      <c r="AY622" s="4"/>
      <c r="AZ622" s="4"/>
      <c r="BC622" s="4"/>
      <c r="BD622" s="4"/>
      <c r="BG622" s="4"/>
      <c r="BH622" s="4"/>
    </row>
    <row r="623" spans="3:60">
      <c r="C623" s="4"/>
      <c r="D623" s="4"/>
      <c r="G623" s="4"/>
      <c r="H623" s="4"/>
      <c r="K623" s="4"/>
      <c r="L623" s="4"/>
      <c r="O623" s="4"/>
      <c r="P623" s="4"/>
      <c r="S623" s="4"/>
      <c r="T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I623" s="4"/>
      <c r="AJ623" s="4"/>
      <c r="AM623" s="4"/>
      <c r="AN623" s="4"/>
      <c r="AQ623" s="4"/>
      <c r="AR623" s="4"/>
      <c r="AU623" s="4"/>
      <c r="AV623" s="4"/>
      <c r="AY623" s="4"/>
      <c r="AZ623" s="4"/>
      <c r="BC623" s="4"/>
      <c r="BD623" s="4"/>
      <c r="BG623" s="4"/>
      <c r="BH623" s="4"/>
    </row>
    <row r="624" spans="3:60">
      <c r="C624" s="4"/>
      <c r="D624" s="4"/>
      <c r="G624" s="4"/>
      <c r="H624" s="4"/>
      <c r="K624" s="4"/>
      <c r="L624" s="4"/>
      <c r="O624" s="4"/>
      <c r="P624" s="4"/>
      <c r="S624" s="4"/>
      <c r="T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I624" s="4"/>
      <c r="AJ624" s="4"/>
      <c r="AM624" s="4"/>
      <c r="AN624" s="4"/>
      <c r="AQ624" s="4"/>
      <c r="AR624" s="4"/>
      <c r="AU624" s="4"/>
      <c r="AV624" s="4"/>
      <c r="AY624" s="4"/>
      <c r="AZ624" s="4"/>
      <c r="BC624" s="4"/>
      <c r="BD624" s="4"/>
      <c r="BG624" s="4"/>
      <c r="BH624" s="4"/>
    </row>
    <row r="625" spans="3:60">
      <c r="C625" s="4"/>
      <c r="D625" s="4"/>
      <c r="G625" s="4"/>
      <c r="H625" s="4"/>
      <c r="K625" s="4"/>
      <c r="L625" s="4"/>
      <c r="O625" s="4"/>
      <c r="P625" s="4"/>
      <c r="S625" s="4"/>
      <c r="T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I625" s="4"/>
      <c r="AJ625" s="4"/>
      <c r="AM625" s="4"/>
      <c r="AN625" s="4"/>
      <c r="AQ625" s="4"/>
      <c r="AR625" s="4"/>
      <c r="AU625" s="4"/>
      <c r="AV625" s="4"/>
      <c r="AY625" s="4"/>
      <c r="AZ625" s="4"/>
      <c r="BC625" s="4"/>
      <c r="BD625" s="4"/>
      <c r="BG625" s="4"/>
      <c r="BH625" s="4"/>
    </row>
    <row r="626" spans="3:60">
      <c r="C626" s="4"/>
      <c r="D626" s="4"/>
      <c r="G626" s="4"/>
      <c r="H626" s="4"/>
      <c r="K626" s="4"/>
      <c r="L626" s="4"/>
      <c r="O626" s="4"/>
      <c r="P626" s="4"/>
      <c r="S626" s="4"/>
      <c r="T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I626" s="4"/>
      <c r="AJ626" s="4"/>
      <c r="AM626" s="4"/>
      <c r="AN626" s="4"/>
      <c r="AQ626" s="4"/>
      <c r="AR626" s="4"/>
      <c r="AU626" s="4"/>
      <c r="AV626" s="4"/>
      <c r="AY626" s="4"/>
      <c r="AZ626" s="4"/>
      <c r="BC626" s="4"/>
      <c r="BD626" s="4"/>
      <c r="BG626" s="4"/>
      <c r="BH626" s="4"/>
    </row>
    <row r="627" spans="3:60">
      <c r="C627" s="4"/>
      <c r="D627" s="4"/>
      <c r="G627" s="4"/>
      <c r="H627" s="4"/>
      <c r="K627" s="4"/>
      <c r="L627" s="4"/>
      <c r="O627" s="4"/>
      <c r="P627" s="4"/>
      <c r="S627" s="4"/>
      <c r="T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I627" s="4"/>
      <c r="AJ627" s="4"/>
      <c r="AM627" s="4"/>
      <c r="AN627" s="4"/>
      <c r="AQ627" s="4"/>
      <c r="AR627" s="4"/>
      <c r="AU627" s="4"/>
      <c r="AV627" s="4"/>
      <c r="AY627" s="4"/>
      <c r="AZ627" s="4"/>
      <c r="BC627" s="4"/>
      <c r="BD627" s="4"/>
      <c r="BG627" s="4"/>
      <c r="BH627" s="4"/>
    </row>
    <row r="628" spans="3:60">
      <c r="C628" s="4"/>
      <c r="D628" s="4"/>
      <c r="G628" s="4"/>
      <c r="H628" s="4"/>
      <c r="K628" s="4"/>
      <c r="L628" s="4"/>
      <c r="O628" s="4"/>
      <c r="P628" s="4"/>
      <c r="S628" s="4"/>
      <c r="T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I628" s="4"/>
      <c r="AJ628" s="4"/>
      <c r="AM628" s="4"/>
      <c r="AN628" s="4"/>
      <c r="AQ628" s="4"/>
      <c r="AR628" s="4"/>
      <c r="AU628" s="4"/>
      <c r="AV628" s="4"/>
      <c r="AY628" s="4"/>
      <c r="AZ628" s="4"/>
      <c r="BC628" s="4"/>
      <c r="BD628" s="4"/>
      <c r="BG628" s="4"/>
      <c r="BH628" s="4"/>
    </row>
    <row r="629" spans="3:60">
      <c r="C629" s="4"/>
      <c r="D629" s="4"/>
      <c r="G629" s="4"/>
      <c r="H629" s="4"/>
      <c r="K629" s="4"/>
      <c r="L629" s="4"/>
      <c r="O629" s="4"/>
      <c r="P629" s="4"/>
      <c r="S629" s="4"/>
      <c r="T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I629" s="4"/>
      <c r="AJ629" s="4"/>
      <c r="AM629" s="4"/>
      <c r="AN629" s="4"/>
      <c r="AQ629" s="4"/>
      <c r="AR629" s="4"/>
      <c r="AU629" s="4"/>
      <c r="AV629" s="4"/>
      <c r="AY629" s="4"/>
      <c r="AZ629" s="4"/>
      <c r="BC629" s="4"/>
      <c r="BD629" s="4"/>
      <c r="BG629" s="4"/>
      <c r="BH629" s="4"/>
    </row>
    <row r="630" spans="3:60">
      <c r="C630" s="4"/>
      <c r="D630" s="4"/>
      <c r="G630" s="4"/>
      <c r="H630" s="4"/>
      <c r="K630" s="4"/>
      <c r="L630" s="4"/>
      <c r="O630" s="4"/>
      <c r="P630" s="4"/>
      <c r="S630" s="4"/>
      <c r="T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I630" s="4"/>
      <c r="AJ630" s="4"/>
      <c r="AM630" s="4"/>
      <c r="AN630" s="4"/>
      <c r="AQ630" s="4"/>
      <c r="AR630" s="4"/>
      <c r="AU630" s="4"/>
      <c r="AV630" s="4"/>
      <c r="AY630" s="4"/>
      <c r="AZ630" s="4"/>
      <c r="BC630" s="4"/>
      <c r="BD630" s="4"/>
      <c r="BG630" s="4"/>
      <c r="BH630" s="4"/>
    </row>
    <row r="631" spans="3:60">
      <c r="C631" s="4"/>
      <c r="D631" s="4"/>
      <c r="G631" s="4"/>
      <c r="H631" s="4"/>
      <c r="K631" s="4"/>
      <c r="L631" s="4"/>
      <c r="O631" s="4"/>
      <c r="P631" s="4"/>
      <c r="S631" s="4"/>
      <c r="T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I631" s="4"/>
      <c r="AJ631" s="4"/>
      <c r="AM631" s="4"/>
      <c r="AN631" s="4"/>
      <c r="AQ631" s="4"/>
      <c r="AR631" s="4"/>
      <c r="AU631" s="4"/>
      <c r="AV631" s="4"/>
      <c r="AY631" s="4"/>
      <c r="AZ631" s="4"/>
      <c r="BC631" s="4"/>
      <c r="BD631" s="4"/>
      <c r="BG631" s="4"/>
      <c r="BH631" s="4"/>
    </row>
    <row r="632" spans="3:60">
      <c r="C632" s="4"/>
      <c r="D632" s="4"/>
      <c r="G632" s="4"/>
      <c r="H632" s="4"/>
      <c r="K632" s="4"/>
      <c r="L632" s="4"/>
      <c r="O632" s="4"/>
      <c r="P632" s="4"/>
      <c r="S632" s="4"/>
      <c r="T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I632" s="4"/>
      <c r="AJ632" s="4"/>
      <c r="AM632" s="4"/>
      <c r="AN632" s="4"/>
      <c r="AQ632" s="4"/>
      <c r="AR632" s="4"/>
      <c r="AU632" s="4"/>
      <c r="AV632" s="4"/>
      <c r="AY632" s="4"/>
      <c r="AZ632" s="4"/>
      <c r="BC632" s="4"/>
      <c r="BD632" s="4"/>
      <c r="BG632" s="4"/>
      <c r="BH632" s="4"/>
    </row>
    <row r="633" spans="3:60">
      <c r="C633" s="4"/>
      <c r="D633" s="4"/>
      <c r="G633" s="4"/>
      <c r="H633" s="4"/>
      <c r="K633" s="4"/>
      <c r="L633" s="4"/>
      <c r="O633" s="4"/>
      <c r="P633" s="4"/>
      <c r="S633" s="4"/>
      <c r="T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I633" s="4"/>
      <c r="AJ633" s="4"/>
      <c r="AM633" s="4"/>
      <c r="AN633" s="4"/>
      <c r="AQ633" s="4"/>
      <c r="AR633" s="4"/>
      <c r="AU633" s="4"/>
      <c r="AV633" s="4"/>
      <c r="AY633" s="4"/>
      <c r="AZ633" s="4"/>
      <c r="BC633" s="4"/>
      <c r="BD633" s="4"/>
      <c r="BG633" s="4"/>
      <c r="BH633" s="4"/>
    </row>
    <row r="634" spans="3:60">
      <c r="C634" s="4"/>
      <c r="D634" s="4"/>
      <c r="G634" s="4"/>
      <c r="H634" s="4"/>
      <c r="K634" s="4"/>
      <c r="L634" s="4"/>
      <c r="O634" s="4"/>
      <c r="P634" s="4"/>
      <c r="S634" s="4"/>
      <c r="T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I634" s="4"/>
      <c r="AJ634" s="4"/>
      <c r="AM634" s="4"/>
      <c r="AN634" s="4"/>
      <c r="AQ634" s="4"/>
      <c r="AR634" s="4"/>
      <c r="AU634" s="4"/>
      <c r="AV634" s="4"/>
      <c r="AY634" s="4"/>
      <c r="AZ634" s="4"/>
      <c r="BC634" s="4"/>
      <c r="BD634" s="4"/>
      <c r="BG634" s="4"/>
      <c r="BH634" s="4"/>
    </row>
    <row r="635" spans="3:60">
      <c r="C635" s="4"/>
      <c r="D635" s="4"/>
      <c r="G635" s="4"/>
      <c r="H635" s="4"/>
      <c r="K635" s="4"/>
      <c r="L635" s="4"/>
      <c r="O635" s="4"/>
      <c r="P635" s="4"/>
      <c r="S635" s="4"/>
      <c r="T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I635" s="4"/>
      <c r="AJ635" s="4"/>
      <c r="AM635" s="4"/>
      <c r="AN635" s="4"/>
      <c r="AQ635" s="4"/>
      <c r="AR635" s="4"/>
      <c r="AU635" s="4"/>
      <c r="AV635" s="4"/>
      <c r="AY635" s="4"/>
      <c r="AZ635" s="4"/>
      <c r="BC635" s="4"/>
      <c r="BD635" s="4"/>
      <c r="BG635" s="4"/>
      <c r="BH635" s="4"/>
    </row>
    <row r="636" spans="3:60">
      <c r="C636" s="4"/>
      <c r="D636" s="4"/>
      <c r="G636" s="4"/>
      <c r="H636" s="4"/>
      <c r="K636" s="4"/>
      <c r="L636" s="4"/>
      <c r="O636" s="4"/>
      <c r="P636" s="4"/>
      <c r="S636" s="4"/>
      <c r="T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I636" s="4"/>
      <c r="AJ636" s="4"/>
      <c r="AM636" s="4"/>
      <c r="AN636" s="4"/>
      <c r="AQ636" s="4"/>
      <c r="AR636" s="4"/>
      <c r="AU636" s="4"/>
      <c r="AV636" s="4"/>
      <c r="AY636" s="4"/>
      <c r="AZ636" s="4"/>
      <c r="BC636" s="4"/>
      <c r="BD636" s="4"/>
      <c r="BG636" s="4"/>
      <c r="BH636" s="4"/>
    </row>
    <row r="637" spans="3:60">
      <c r="C637" s="4"/>
      <c r="D637" s="4"/>
      <c r="G637" s="4"/>
      <c r="H637" s="4"/>
      <c r="K637" s="4"/>
      <c r="L637" s="4"/>
      <c r="O637" s="4"/>
      <c r="P637" s="4"/>
      <c r="S637" s="4"/>
      <c r="T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I637" s="4"/>
      <c r="AJ637" s="4"/>
      <c r="AM637" s="4"/>
      <c r="AN637" s="4"/>
      <c r="AQ637" s="4"/>
      <c r="AR637" s="4"/>
      <c r="AU637" s="4"/>
      <c r="AV637" s="4"/>
      <c r="AY637" s="4"/>
      <c r="AZ637" s="4"/>
      <c r="BC637" s="4"/>
      <c r="BD637" s="4"/>
      <c r="BG637" s="4"/>
      <c r="BH637" s="4"/>
    </row>
    <row r="638" spans="3:60">
      <c r="C638" s="4"/>
      <c r="D638" s="4"/>
      <c r="G638" s="4"/>
      <c r="H638" s="4"/>
      <c r="K638" s="4"/>
      <c r="L638" s="4"/>
      <c r="O638" s="4"/>
      <c r="P638" s="4"/>
      <c r="S638" s="4"/>
      <c r="T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I638" s="4"/>
      <c r="AJ638" s="4"/>
      <c r="AM638" s="4"/>
      <c r="AN638" s="4"/>
      <c r="AQ638" s="4"/>
      <c r="AR638" s="4"/>
      <c r="AU638" s="4"/>
      <c r="AV638" s="4"/>
      <c r="AY638" s="4"/>
      <c r="AZ638" s="4"/>
      <c r="BC638" s="4"/>
      <c r="BD638" s="4"/>
      <c r="BG638" s="4"/>
      <c r="BH638" s="4"/>
    </row>
    <row r="639" spans="3:60">
      <c r="C639" s="4"/>
      <c r="D639" s="4"/>
      <c r="G639" s="4"/>
      <c r="H639" s="4"/>
      <c r="K639" s="4"/>
      <c r="L639" s="4"/>
      <c r="O639" s="4"/>
      <c r="P639" s="4"/>
      <c r="S639" s="4"/>
      <c r="T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I639" s="4"/>
      <c r="AJ639" s="4"/>
      <c r="AM639" s="4"/>
      <c r="AN639" s="4"/>
      <c r="AQ639" s="4"/>
      <c r="AR639" s="4"/>
      <c r="AU639" s="4"/>
      <c r="AV639" s="4"/>
      <c r="AY639" s="4"/>
      <c r="AZ639" s="4"/>
      <c r="BC639" s="4"/>
      <c r="BD639" s="4"/>
      <c r="BG639" s="4"/>
      <c r="BH639" s="4"/>
    </row>
    <row r="640" spans="3:60">
      <c r="C640" s="4"/>
      <c r="D640" s="4"/>
      <c r="G640" s="4"/>
      <c r="H640" s="4"/>
      <c r="K640" s="4"/>
      <c r="L640" s="4"/>
      <c r="O640" s="4"/>
      <c r="P640" s="4"/>
      <c r="S640" s="4"/>
      <c r="T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I640" s="4"/>
      <c r="AJ640" s="4"/>
      <c r="AM640" s="4"/>
      <c r="AN640" s="4"/>
      <c r="AQ640" s="4"/>
      <c r="AR640" s="4"/>
      <c r="AU640" s="4"/>
      <c r="AV640" s="4"/>
      <c r="AY640" s="4"/>
      <c r="AZ640" s="4"/>
      <c r="BC640" s="4"/>
      <c r="BD640" s="4"/>
      <c r="BG640" s="4"/>
      <c r="BH640" s="4"/>
    </row>
    <row r="641" spans="3:60">
      <c r="C641" s="4"/>
      <c r="D641" s="4"/>
      <c r="G641" s="4"/>
      <c r="H641" s="4"/>
      <c r="K641" s="4"/>
      <c r="L641" s="4"/>
      <c r="O641" s="4"/>
      <c r="P641" s="4"/>
      <c r="S641" s="4"/>
      <c r="T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I641" s="4"/>
      <c r="AJ641" s="4"/>
      <c r="AM641" s="4"/>
      <c r="AN641" s="4"/>
      <c r="AQ641" s="4"/>
      <c r="AR641" s="4"/>
      <c r="AU641" s="4"/>
      <c r="AV641" s="4"/>
      <c r="AY641" s="4"/>
      <c r="AZ641" s="4"/>
      <c r="BC641" s="4"/>
      <c r="BD641" s="4"/>
      <c r="BG641" s="4"/>
      <c r="BH641" s="4"/>
    </row>
    <row r="642" spans="3:60">
      <c r="C642" s="4"/>
      <c r="D642" s="4"/>
      <c r="G642" s="4"/>
      <c r="H642" s="4"/>
      <c r="K642" s="4"/>
      <c r="L642" s="4"/>
      <c r="O642" s="4"/>
      <c r="P642" s="4"/>
      <c r="S642" s="4"/>
      <c r="T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I642" s="4"/>
      <c r="AJ642" s="4"/>
      <c r="AM642" s="4"/>
      <c r="AN642" s="4"/>
      <c r="AQ642" s="4"/>
      <c r="AR642" s="4"/>
      <c r="AU642" s="4"/>
      <c r="AV642" s="4"/>
      <c r="AY642" s="4"/>
      <c r="AZ642" s="4"/>
      <c r="BC642" s="4"/>
      <c r="BD642" s="4"/>
      <c r="BG642" s="4"/>
      <c r="BH642" s="4"/>
    </row>
    <row r="643" spans="3:60">
      <c r="C643" s="4"/>
      <c r="D643" s="4"/>
      <c r="G643" s="4"/>
      <c r="H643" s="4"/>
      <c r="K643" s="4"/>
      <c r="L643" s="4"/>
      <c r="O643" s="4"/>
      <c r="P643" s="4"/>
      <c r="S643" s="4"/>
      <c r="T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I643" s="4"/>
      <c r="AJ643" s="4"/>
      <c r="AM643" s="4"/>
      <c r="AN643" s="4"/>
      <c r="AQ643" s="4"/>
      <c r="AR643" s="4"/>
      <c r="AU643" s="4"/>
      <c r="AV643" s="4"/>
      <c r="AY643" s="4"/>
      <c r="AZ643" s="4"/>
      <c r="BC643" s="4"/>
      <c r="BD643" s="4"/>
      <c r="BG643" s="4"/>
      <c r="BH643" s="4"/>
    </row>
    <row r="644" spans="3:60">
      <c r="C644" s="4"/>
      <c r="D644" s="4"/>
      <c r="G644" s="4"/>
      <c r="H644" s="4"/>
      <c r="K644" s="4"/>
      <c r="L644" s="4"/>
      <c r="O644" s="4"/>
      <c r="P644" s="4"/>
      <c r="S644" s="4"/>
      <c r="T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I644" s="4"/>
      <c r="AJ644" s="4"/>
      <c r="AM644" s="4"/>
      <c r="AN644" s="4"/>
      <c r="AQ644" s="4"/>
      <c r="AR644" s="4"/>
      <c r="AU644" s="4"/>
      <c r="AV644" s="4"/>
      <c r="AY644" s="4"/>
      <c r="AZ644" s="4"/>
      <c r="BC644" s="4"/>
      <c r="BD644" s="4"/>
      <c r="BG644" s="4"/>
      <c r="BH644" s="4"/>
    </row>
    <row r="645" spans="3:60">
      <c r="C645" s="4"/>
      <c r="D645" s="4"/>
      <c r="G645" s="4"/>
      <c r="H645" s="4"/>
      <c r="K645" s="4"/>
      <c r="L645" s="4"/>
      <c r="O645" s="4"/>
      <c r="P645" s="4"/>
      <c r="S645" s="4"/>
      <c r="T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I645" s="4"/>
      <c r="AJ645" s="4"/>
      <c r="AM645" s="4"/>
      <c r="AN645" s="4"/>
      <c r="AQ645" s="4"/>
      <c r="AR645" s="4"/>
      <c r="AU645" s="4"/>
      <c r="AV645" s="4"/>
      <c r="AY645" s="4"/>
      <c r="AZ645" s="4"/>
      <c r="BC645" s="4"/>
      <c r="BD645" s="4"/>
      <c r="BG645" s="4"/>
      <c r="BH645" s="4"/>
    </row>
    <row r="646" spans="3:60">
      <c r="C646" s="4"/>
      <c r="D646" s="4"/>
      <c r="G646" s="4"/>
      <c r="H646" s="4"/>
      <c r="K646" s="4"/>
      <c r="L646" s="4"/>
      <c r="O646" s="4"/>
      <c r="P646" s="4"/>
      <c r="S646" s="4"/>
      <c r="T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I646" s="4"/>
      <c r="AJ646" s="4"/>
      <c r="AM646" s="4"/>
      <c r="AN646" s="4"/>
      <c r="AQ646" s="4"/>
      <c r="AR646" s="4"/>
      <c r="AU646" s="4"/>
      <c r="AV646" s="4"/>
      <c r="AY646" s="4"/>
      <c r="AZ646" s="4"/>
      <c r="BC646" s="4"/>
      <c r="BD646" s="4"/>
      <c r="BG646" s="4"/>
      <c r="BH646" s="4"/>
    </row>
    <row r="647" spans="3:60">
      <c r="C647" s="4"/>
      <c r="D647" s="4"/>
      <c r="G647" s="4"/>
      <c r="H647" s="4"/>
      <c r="K647" s="4"/>
      <c r="L647" s="4"/>
      <c r="O647" s="4"/>
      <c r="P647" s="4"/>
      <c r="S647" s="4"/>
      <c r="T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I647" s="4"/>
      <c r="AJ647" s="4"/>
      <c r="AM647" s="4"/>
      <c r="AN647" s="4"/>
      <c r="AQ647" s="4"/>
      <c r="AR647" s="4"/>
      <c r="AU647" s="4"/>
      <c r="AV647" s="4"/>
      <c r="AY647" s="4"/>
      <c r="AZ647" s="4"/>
      <c r="BC647" s="4"/>
      <c r="BD647" s="4"/>
      <c r="BG647" s="4"/>
      <c r="BH647" s="4"/>
    </row>
    <row r="648" spans="3:60">
      <c r="C648" s="4"/>
      <c r="D648" s="4"/>
      <c r="G648" s="4"/>
      <c r="H648" s="4"/>
      <c r="K648" s="4"/>
      <c r="L648" s="4"/>
      <c r="O648" s="4"/>
      <c r="P648" s="4"/>
      <c r="S648" s="4"/>
      <c r="T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I648" s="4"/>
      <c r="AJ648" s="4"/>
      <c r="AM648" s="4"/>
      <c r="AN648" s="4"/>
      <c r="AQ648" s="4"/>
      <c r="AR648" s="4"/>
      <c r="AU648" s="4"/>
      <c r="AV648" s="4"/>
      <c r="AY648" s="4"/>
      <c r="AZ648" s="4"/>
      <c r="BC648" s="4"/>
      <c r="BD648" s="4"/>
      <c r="BG648" s="4"/>
      <c r="BH648" s="4"/>
    </row>
    <row r="649" spans="3:60">
      <c r="C649" s="4"/>
      <c r="D649" s="4"/>
      <c r="G649" s="4"/>
      <c r="H649" s="4"/>
      <c r="K649" s="4"/>
      <c r="L649" s="4"/>
      <c r="O649" s="4"/>
      <c r="P649" s="4"/>
      <c r="S649" s="4"/>
      <c r="T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I649" s="4"/>
      <c r="AJ649" s="4"/>
      <c r="AM649" s="4"/>
      <c r="AN649" s="4"/>
      <c r="AQ649" s="4"/>
      <c r="AR649" s="4"/>
      <c r="AU649" s="4"/>
      <c r="AV649" s="4"/>
      <c r="AY649" s="4"/>
      <c r="AZ649" s="4"/>
      <c r="BC649" s="4"/>
      <c r="BD649" s="4"/>
      <c r="BG649" s="4"/>
      <c r="BH649" s="4"/>
    </row>
    <row r="650" spans="3:60">
      <c r="C650" s="4"/>
      <c r="D650" s="4"/>
      <c r="G650" s="4"/>
      <c r="H650" s="4"/>
      <c r="K650" s="4"/>
      <c r="L650" s="4"/>
      <c r="O650" s="4"/>
      <c r="P650" s="4"/>
      <c r="S650" s="4"/>
      <c r="T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I650" s="4"/>
      <c r="AJ650" s="4"/>
      <c r="AM650" s="4"/>
      <c r="AN650" s="4"/>
      <c r="AQ650" s="4"/>
      <c r="AR650" s="4"/>
      <c r="AU650" s="4"/>
      <c r="AV650" s="4"/>
      <c r="AY650" s="4"/>
      <c r="AZ650" s="4"/>
      <c r="BC650" s="4"/>
      <c r="BD650" s="4"/>
      <c r="BG650" s="4"/>
      <c r="BH650" s="4"/>
    </row>
    <row r="651" spans="3:60">
      <c r="C651" s="4"/>
      <c r="D651" s="4"/>
      <c r="G651" s="4"/>
      <c r="H651" s="4"/>
      <c r="K651" s="4"/>
      <c r="L651" s="4"/>
      <c r="O651" s="4"/>
      <c r="P651" s="4"/>
      <c r="S651" s="4"/>
      <c r="T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I651" s="4"/>
      <c r="AJ651" s="4"/>
      <c r="AM651" s="4"/>
      <c r="AN651" s="4"/>
      <c r="AQ651" s="4"/>
      <c r="AR651" s="4"/>
      <c r="AU651" s="4"/>
      <c r="AV651" s="4"/>
      <c r="AY651" s="4"/>
      <c r="AZ651" s="4"/>
      <c r="BC651" s="4"/>
      <c r="BD651" s="4"/>
      <c r="BG651" s="4"/>
      <c r="BH651" s="4"/>
    </row>
    <row r="652" spans="3:60">
      <c r="C652" s="4"/>
      <c r="D652" s="4"/>
      <c r="G652" s="4"/>
      <c r="H652" s="4"/>
      <c r="K652" s="4"/>
      <c r="L652" s="4"/>
      <c r="O652" s="4"/>
      <c r="P652" s="4"/>
      <c r="S652" s="4"/>
      <c r="T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I652" s="4"/>
      <c r="AJ652" s="4"/>
      <c r="AM652" s="4"/>
      <c r="AN652" s="4"/>
      <c r="AQ652" s="4"/>
      <c r="AR652" s="4"/>
      <c r="AU652" s="4"/>
      <c r="AV652" s="4"/>
      <c r="AY652" s="4"/>
      <c r="AZ652" s="4"/>
      <c r="BC652" s="4"/>
      <c r="BD652" s="4"/>
      <c r="BG652" s="4"/>
      <c r="BH652" s="4"/>
    </row>
    <row r="653" spans="3:60">
      <c r="C653" s="4"/>
      <c r="D653" s="4"/>
      <c r="G653" s="4"/>
      <c r="H653" s="4"/>
      <c r="K653" s="4"/>
      <c r="L653" s="4"/>
      <c r="O653" s="4"/>
      <c r="P653" s="4"/>
      <c r="S653" s="4"/>
      <c r="T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I653" s="4"/>
      <c r="AJ653" s="4"/>
      <c r="AM653" s="4"/>
      <c r="AN653" s="4"/>
      <c r="AQ653" s="4"/>
      <c r="AR653" s="4"/>
      <c r="AU653" s="4"/>
      <c r="AV653" s="4"/>
      <c r="AY653" s="4"/>
      <c r="AZ653" s="4"/>
      <c r="BC653" s="4"/>
      <c r="BD653" s="4"/>
      <c r="BG653" s="4"/>
      <c r="BH653" s="4"/>
    </row>
    <row r="654" spans="3:60">
      <c r="C654" s="4"/>
      <c r="D654" s="4"/>
      <c r="G654" s="4"/>
      <c r="H654" s="4"/>
      <c r="K654" s="4"/>
      <c r="L654" s="4"/>
      <c r="O654" s="4"/>
      <c r="P654" s="4"/>
      <c r="S654" s="4"/>
      <c r="T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I654" s="4"/>
      <c r="AJ654" s="4"/>
      <c r="AM654" s="4"/>
      <c r="AN654" s="4"/>
      <c r="AQ654" s="4"/>
      <c r="AR654" s="4"/>
      <c r="AU654" s="4"/>
      <c r="AV654" s="4"/>
      <c r="AY654" s="4"/>
      <c r="AZ654" s="4"/>
      <c r="BC654" s="4"/>
      <c r="BD654" s="4"/>
      <c r="BG654" s="4"/>
      <c r="BH654" s="4"/>
    </row>
    <row r="655" spans="3:60">
      <c r="C655" s="4"/>
      <c r="D655" s="4"/>
      <c r="G655" s="4"/>
      <c r="H655" s="4"/>
      <c r="K655" s="4"/>
      <c r="L655" s="4"/>
      <c r="O655" s="4"/>
      <c r="P655" s="4"/>
      <c r="S655" s="4"/>
      <c r="T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I655" s="4"/>
      <c r="AJ655" s="4"/>
      <c r="AM655" s="4"/>
      <c r="AN655" s="4"/>
      <c r="AQ655" s="4"/>
      <c r="AR655" s="4"/>
      <c r="AU655" s="4"/>
      <c r="AV655" s="4"/>
      <c r="AY655" s="4"/>
      <c r="AZ655" s="4"/>
      <c r="BC655" s="4"/>
      <c r="BD655" s="4"/>
      <c r="BG655" s="4"/>
      <c r="BH655" s="4"/>
    </row>
    <row r="656" spans="3:60">
      <c r="C656" s="4"/>
      <c r="D656" s="4"/>
      <c r="G656" s="4"/>
      <c r="H656" s="4"/>
      <c r="K656" s="4"/>
      <c r="L656" s="4"/>
      <c r="O656" s="4"/>
      <c r="P656" s="4"/>
      <c r="S656" s="4"/>
      <c r="T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I656" s="4"/>
      <c r="AJ656" s="4"/>
      <c r="AM656" s="4"/>
      <c r="AN656" s="4"/>
      <c r="AQ656" s="4"/>
      <c r="AR656" s="4"/>
      <c r="AU656" s="4"/>
      <c r="AV656" s="4"/>
      <c r="AY656" s="4"/>
      <c r="AZ656" s="4"/>
      <c r="BC656" s="4"/>
      <c r="BD656" s="4"/>
      <c r="BG656" s="4"/>
      <c r="BH656" s="4"/>
    </row>
    <row r="657" spans="3:60">
      <c r="C657" s="4"/>
      <c r="D657" s="4"/>
      <c r="G657" s="4"/>
      <c r="H657" s="4"/>
      <c r="K657" s="4"/>
      <c r="L657" s="4"/>
      <c r="O657" s="4"/>
      <c r="P657" s="4"/>
      <c r="S657" s="4"/>
      <c r="T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I657" s="4"/>
      <c r="AJ657" s="4"/>
      <c r="AM657" s="4"/>
      <c r="AN657" s="4"/>
      <c r="AQ657" s="4"/>
      <c r="AR657" s="4"/>
      <c r="AU657" s="4"/>
      <c r="AV657" s="4"/>
      <c r="AY657" s="4"/>
      <c r="AZ657" s="4"/>
      <c r="BC657" s="4"/>
      <c r="BD657" s="4"/>
      <c r="BG657" s="4"/>
      <c r="BH657" s="4"/>
    </row>
    <row r="658" spans="3:60">
      <c r="C658" s="4"/>
      <c r="D658" s="4"/>
      <c r="G658" s="4"/>
      <c r="H658" s="4"/>
      <c r="K658" s="4"/>
      <c r="L658" s="4"/>
      <c r="O658" s="4"/>
      <c r="P658" s="4"/>
      <c r="S658" s="4"/>
      <c r="T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I658" s="4"/>
      <c r="AJ658" s="4"/>
      <c r="AM658" s="4"/>
      <c r="AN658" s="4"/>
      <c r="AQ658" s="4"/>
      <c r="AR658" s="4"/>
      <c r="AU658" s="4"/>
      <c r="AV658" s="4"/>
      <c r="AY658" s="4"/>
      <c r="AZ658" s="4"/>
      <c r="BC658" s="4"/>
      <c r="BD658" s="4"/>
      <c r="BG658" s="4"/>
      <c r="BH658" s="4"/>
    </row>
    <row r="659" spans="3:60">
      <c r="C659" s="4"/>
      <c r="D659" s="4"/>
      <c r="G659" s="4"/>
      <c r="H659" s="4"/>
      <c r="K659" s="4"/>
      <c r="L659" s="4"/>
      <c r="O659" s="4"/>
      <c r="P659" s="4"/>
      <c r="S659" s="4"/>
      <c r="T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I659" s="4"/>
      <c r="AJ659" s="4"/>
      <c r="AM659" s="4"/>
      <c r="AN659" s="4"/>
      <c r="AQ659" s="4"/>
      <c r="AR659" s="4"/>
      <c r="AU659" s="4"/>
      <c r="AV659" s="4"/>
      <c r="AY659" s="4"/>
      <c r="AZ659" s="4"/>
      <c r="BC659" s="4"/>
      <c r="BD659" s="4"/>
      <c r="BG659" s="4"/>
      <c r="BH659" s="4"/>
    </row>
    <row r="660" spans="3:60">
      <c r="C660" s="4"/>
      <c r="D660" s="4"/>
      <c r="G660" s="4"/>
      <c r="H660" s="4"/>
      <c r="K660" s="4"/>
      <c r="L660" s="4"/>
      <c r="O660" s="4"/>
      <c r="P660" s="4"/>
      <c r="S660" s="4"/>
      <c r="T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I660" s="4"/>
      <c r="AJ660" s="4"/>
      <c r="AM660" s="4"/>
      <c r="AN660" s="4"/>
      <c r="AQ660" s="4"/>
      <c r="AR660" s="4"/>
      <c r="AU660" s="4"/>
      <c r="AV660" s="4"/>
      <c r="AY660" s="4"/>
      <c r="AZ660" s="4"/>
      <c r="BC660" s="4"/>
      <c r="BD660" s="4"/>
      <c r="BG660" s="4"/>
      <c r="BH660" s="4"/>
    </row>
    <row r="661" spans="3:60">
      <c r="C661" s="4"/>
      <c r="D661" s="4"/>
      <c r="G661" s="4"/>
      <c r="H661" s="4"/>
      <c r="K661" s="4"/>
      <c r="L661" s="4"/>
      <c r="O661" s="4"/>
      <c r="P661" s="4"/>
      <c r="S661" s="4"/>
      <c r="T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I661" s="4"/>
      <c r="AJ661" s="4"/>
      <c r="AM661" s="4"/>
      <c r="AN661" s="4"/>
      <c r="AQ661" s="4"/>
      <c r="AR661" s="4"/>
      <c r="AU661" s="4"/>
      <c r="AV661" s="4"/>
      <c r="AY661" s="4"/>
      <c r="AZ661" s="4"/>
      <c r="BC661" s="4"/>
      <c r="BD661" s="4"/>
      <c r="BG661" s="4"/>
      <c r="BH661" s="4"/>
    </row>
    <row r="662" spans="3:60">
      <c r="C662" s="4"/>
      <c r="D662" s="4"/>
      <c r="G662" s="4"/>
      <c r="H662" s="4"/>
      <c r="K662" s="4"/>
      <c r="L662" s="4"/>
      <c r="O662" s="4"/>
      <c r="P662" s="4"/>
      <c r="S662" s="4"/>
      <c r="T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I662" s="4"/>
      <c r="AJ662" s="4"/>
      <c r="AM662" s="4"/>
      <c r="AN662" s="4"/>
      <c r="AQ662" s="4"/>
      <c r="AR662" s="4"/>
      <c r="AU662" s="4"/>
      <c r="AV662" s="4"/>
      <c r="AY662" s="4"/>
      <c r="AZ662" s="4"/>
      <c r="BC662" s="4"/>
      <c r="BD662" s="4"/>
      <c r="BG662" s="4"/>
      <c r="BH662" s="4"/>
    </row>
    <row r="663" spans="3:60">
      <c r="C663" s="4"/>
      <c r="D663" s="4"/>
      <c r="G663" s="4"/>
      <c r="H663" s="4"/>
      <c r="K663" s="4"/>
      <c r="L663" s="4"/>
      <c r="O663" s="4"/>
      <c r="P663" s="4"/>
      <c r="S663" s="4"/>
      <c r="T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I663" s="4"/>
      <c r="AJ663" s="4"/>
      <c r="AM663" s="4"/>
      <c r="AN663" s="4"/>
      <c r="AQ663" s="4"/>
      <c r="AR663" s="4"/>
      <c r="AU663" s="4"/>
      <c r="AV663" s="4"/>
      <c r="AY663" s="4"/>
      <c r="AZ663" s="4"/>
      <c r="BC663" s="4"/>
      <c r="BD663" s="4"/>
      <c r="BG663" s="4"/>
      <c r="BH663" s="4"/>
    </row>
    <row r="664" spans="3:60">
      <c r="C664" s="4"/>
      <c r="D664" s="4"/>
      <c r="G664" s="4"/>
      <c r="H664" s="4"/>
      <c r="K664" s="4"/>
      <c r="L664" s="4"/>
      <c r="O664" s="4"/>
      <c r="P664" s="4"/>
      <c r="S664" s="4"/>
      <c r="T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I664" s="4"/>
      <c r="AJ664" s="4"/>
      <c r="AM664" s="4"/>
      <c r="AN664" s="4"/>
      <c r="AQ664" s="4"/>
      <c r="AR664" s="4"/>
      <c r="AU664" s="4"/>
      <c r="AV664" s="4"/>
      <c r="AY664" s="4"/>
      <c r="AZ664" s="4"/>
      <c r="BC664" s="4"/>
      <c r="BD664" s="4"/>
      <c r="BG664" s="4"/>
      <c r="BH664" s="4"/>
    </row>
    <row r="665" spans="3:60">
      <c r="C665" s="4"/>
      <c r="D665" s="4"/>
      <c r="G665" s="4"/>
      <c r="H665" s="4"/>
      <c r="K665" s="4"/>
      <c r="L665" s="4"/>
      <c r="O665" s="4"/>
      <c r="P665" s="4"/>
      <c r="S665" s="4"/>
      <c r="T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I665" s="4"/>
      <c r="AJ665" s="4"/>
      <c r="AM665" s="4"/>
      <c r="AN665" s="4"/>
      <c r="AQ665" s="4"/>
      <c r="AR665" s="4"/>
      <c r="AU665" s="4"/>
      <c r="AV665" s="4"/>
      <c r="AY665" s="4"/>
      <c r="AZ665" s="4"/>
      <c r="BC665" s="4"/>
      <c r="BD665" s="4"/>
      <c r="BG665" s="4"/>
      <c r="BH665" s="4"/>
    </row>
    <row r="666" spans="3:60">
      <c r="C666" s="4"/>
      <c r="D666" s="4"/>
      <c r="G666" s="4"/>
      <c r="H666" s="4"/>
      <c r="K666" s="4"/>
      <c r="L666" s="4"/>
      <c r="O666" s="4"/>
      <c r="P666" s="4"/>
      <c r="S666" s="4"/>
      <c r="T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I666" s="4"/>
      <c r="AJ666" s="4"/>
      <c r="AM666" s="4"/>
      <c r="AN666" s="4"/>
      <c r="AQ666" s="4"/>
      <c r="AR666" s="4"/>
      <c r="AU666" s="4"/>
      <c r="AV666" s="4"/>
      <c r="AY666" s="4"/>
      <c r="AZ666" s="4"/>
      <c r="BC666" s="4"/>
      <c r="BD666" s="4"/>
      <c r="BG666" s="4"/>
      <c r="BH666" s="4"/>
    </row>
    <row r="667" spans="3:60">
      <c r="C667" s="4"/>
      <c r="D667" s="4"/>
      <c r="G667" s="4"/>
      <c r="H667" s="4"/>
      <c r="K667" s="4"/>
      <c r="L667" s="4"/>
      <c r="O667" s="4"/>
      <c r="P667" s="4"/>
      <c r="S667" s="4"/>
      <c r="T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I667" s="4"/>
      <c r="AJ667" s="4"/>
      <c r="AM667" s="4"/>
      <c r="AN667" s="4"/>
      <c r="AQ667" s="4"/>
      <c r="AR667" s="4"/>
      <c r="AU667" s="4"/>
      <c r="AV667" s="4"/>
      <c r="AY667" s="4"/>
      <c r="AZ667" s="4"/>
      <c r="BC667" s="4"/>
      <c r="BD667" s="4"/>
      <c r="BG667" s="4"/>
      <c r="BH667" s="4"/>
    </row>
    <row r="668" spans="3:60">
      <c r="C668" s="4"/>
      <c r="D668" s="4"/>
      <c r="G668" s="4"/>
      <c r="H668" s="4"/>
      <c r="K668" s="4"/>
      <c r="L668" s="4"/>
      <c r="O668" s="4"/>
      <c r="P668" s="4"/>
      <c r="S668" s="4"/>
      <c r="T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I668" s="4"/>
      <c r="AJ668" s="4"/>
      <c r="AM668" s="4"/>
      <c r="AN668" s="4"/>
      <c r="AQ668" s="4"/>
      <c r="AR668" s="4"/>
      <c r="AU668" s="4"/>
      <c r="AV668" s="4"/>
      <c r="AY668" s="4"/>
      <c r="AZ668" s="4"/>
      <c r="BC668" s="4"/>
      <c r="BD668" s="4"/>
      <c r="BG668" s="4"/>
      <c r="BH668" s="4"/>
    </row>
    <row r="669" spans="3:60">
      <c r="C669" s="4"/>
      <c r="D669" s="4"/>
      <c r="G669" s="4"/>
      <c r="H669" s="4"/>
      <c r="K669" s="4"/>
      <c r="L669" s="4"/>
      <c r="O669" s="4"/>
      <c r="P669" s="4"/>
      <c r="S669" s="4"/>
      <c r="T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I669" s="4"/>
      <c r="AJ669" s="4"/>
      <c r="AM669" s="4"/>
      <c r="AN669" s="4"/>
      <c r="AQ669" s="4"/>
      <c r="AR669" s="4"/>
      <c r="AU669" s="4"/>
      <c r="AV669" s="4"/>
      <c r="AY669" s="4"/>
      <c r="AZ669" s="4"/>
      <c r="BC669" s="4"/>
      <c r="BD669" s="4"/>
      <c r="BG669" s="4"/>
      <c r="BH669" s="4"/>
    </row>
    <row r="670" spans="3:60">
      <c r="C670" s="4"/>
      <c r="D670" s="4"/>
      <c r="G670" s="4"/>
      <c r="H670" s="4"/>
      <c r="K670" s="4"/>
      <c r="L670" s="4"/>
      <c r="O670" s="4"/>
      <c r="P670" s="4"/>
      <c r="S670" s="4"/>
      <c r="T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I670" s="4"/>
      <c r="AJ670" s="4"/>
      <c r="AM670" s="4"/>
      <c r="AN670" s="4"/>
      <c r="AQ670" s="4"/>
      <c r="AR670" s="4"/>
      <c r="AU670" s="4"/>
      <c r="AV670" s="4"/>
      <c r="AY670" s="4"/>
      <c r="AZ670" s="4"/>
      <c r="BC670" s="4"/>
      <c r="BD670" s="4"/>
      <c r="BG670" s="4"/>
      <c r="BH670" s="4"/>
    </row>
    <row r="671" spans="3:60">
      <c r="C671" s="4"/>
      <c r="D671" s="4"/>
      <c r="G671" s="4"/>
      <c r="H671" s="4"/>
      <c r="K671" s="4"/>
      <c r="L671" s="4"/>
      <c r="O671" s="4"/>
      <c r="P671" s="4"/>
      <c r="S671" s="4"/>
      <c r="T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I671" s="4"/>
      <c r="AJ671" s="4"/>
      <c r="AM671" s="4"/>
      <c r="AN671" s="4"/>
      <c r="AQ671" s="4"/>
      <c r="AR671" s="4"/>
      <c r="AU671" s="4"/>
      <c r="AV671" s="4"/>
      <c r="AY671" s="4"/>
      <c r="AZ671" s="4"/>
      <c r="BC671" s="4"/>
      <c r="BD671" s="4"/>
      <c r="BG671" s="4"/>
      <c r="BH671" s="4"/>
    </row>
    <row r="672" spans="3:60">
      <c r="C672" s="4"/>
      <c r="D672" s="4"/>
      <c r="G672" s="4"/>
      <c r="H672" s="4"/>
      <c r="K672" s="4"/>
      <c r="L672" s="4"/>
      <c r="O672" s="4"/>
      <c r="P672" s="4"/>
      <c r="S672" s="4"/>
      <c r="T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I672" s="4"/>
      <c r="AJ672" s="4"/>
      <c r="AM672" s="4"/>
      <c r="AN672" s="4"/>
      <c r="AQ672" s="4"/>
      <c r="AR672" s="4"/>
      <c r="AU672" s="4"/>
      <c r="AV672" s="4"/>
      <c r="AY672" s="4"/>
      <c r="AZ672" s="4"/>
      <c r="BC672" s="4"/>
      <c r="BD672" s="4"/>
      <c r="BG672" s="4"/>
      <c r="BH672" s="4"/>
    </row>
    <row r="673" spans="3:60">
      <c r="C673" s="4"/>
      <c r="D673" s="4"/>
      <c r="G673" s="4"/>
      <c r="H673" s="4"/>
      <c r="K673" s="4"/>
      <c r="L673" s="4"/>
      <c r="O673" s="4"/>
      <c r="P673" s="4"/>
      <c r="S673" s="4"/>
      <c r="T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I673" s="4"/>
      <c r="AJ673" s="4"/>
      <c r="AM673" s="4"/>
      <c r="AN673" s="4"/>
      <c r="AQ673" s="4"/>
      <c r="AR673" s="4"/>
      <c r="AU673" s="4"/>
      <c r="AV673" s="4"/>
      <c r="AY673" s="4"/>
      <c r="AZ673" s="4"/>
      <c r="BC673" s="4"/>
      <c r="BD673" s="4"/>
      <c r="BG673" s="4"/>
      <c r="BH673" s="4"/>
    </row>
    <row r="674" spans="3:60">
      <c r="C674" s="4"/>
      <c r="D674" s="4"/>
      <c r="G674" s="4"/>
      <c r="H674" s="4"/>
      <c r="K674" s="4"/>
      <c r="L674" s="4"/>
      <c r="O674" s="4"/>
      <c r="P674" s="4"/>
      <c r="S674" s="4"/>
      <c r="T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I674" s="4"/>
      <c r="AJ674" s="4"/>
      <c r="AM674" s="4"/>
      <c r="AN674" s="4"/>
      <c r="AQ674" s="4"/>
      <c r="AR674" s="4"/>
      <c r="AU674" s="4"/>
      <c r="AV674" s="4"/>
      <c r="AY674" s="4"/>
      <c r="AZ674" s="4"/>
      <c r="BC674" s="4"/>
      <c r="BD674" s="4"/>
      <c r="BG674" s="4"/>
      <c r="BH674" s="4"/>
    </row>
    <row r="675" spans="3:60">
      <c r="C675" s="4"/>
      <c r="D675" s="4"/>
      <c r="G675" s="4"/>
      <c r="H675" s="4"/>
      <c r="K675" s="4"/>
      <c r="L675" s="4"/>
      <c r="O675" s="4"/>
      <c r="P675" s="4"/>
      <c r="S675" s="4"/>
      <c r="T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I675" s="4"/>
      <c r="AJ675" s="4"/>
      <c r="AM675" s="4"/>
      <c r="AN675" s="4"/>
      <c r="AQ675" s="4"/>
      <c r="AR675" s="4"/>
      <c r="AU675" s="4"/>
      <c r="AV675" s="4"/>
      <c r="AY675" s="4"/>
      <c r="AZ675" s="4"/>
      <c r="BC675" s="4"/>
      <c r="BD675" s="4"/>
      <c r="BG675" s="4"/>
      <c r="BH675" s="4"/>
    </row>
    <row r="676" spans="3:60">
      <c r="C676" s="4"/>
      <c r="D676" s="4"/>
      <c r="G676" s="4"/>
      <c r="H676" s="4"/>
      <c r="K676" s="4"/>
      <c r="L676" s="4"/>
      <c r="O676" s="4"/>
      <c r="P676" s="4"/>
      <c r="S676" s="4"/>
      <c r="T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I676" s="4"/>
      <c r="AJ676" s="4"/>
      <c r="AM676" s="4"/>
      <c r="AN676" s="4"/>
      <c r="AQ676" s="4"/>
      <c r="AR676" s="4"/>
      <c r="AU676" s="4"/>
      <c r="AV676" s="4"/>
      <c r="AY676" s="4"/>
      <c r="AZ676" s="4"/>
      <c r="BC676" s="4"/>
      <c r="BD676" s="4"/>
      <c r="BG676" s="4"/>
      <c r="BH676" s="4"/>
    </row>
    <row r="677" spans="3:60">
      <c r="C677" s="4"/>
      <c r="D677" s="4"/>
      <c r="G677" s="4"/>
      <c r="H677" s="4"/>
      <c r="K677" s="4"/>
      <c r="L677" s="4"/>
      <c r="O677" s="4"/>
      <c r="P677" s="4"/>
      <c r="S677" s="4"/>
      <c r="T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I677" s="4"/>
      <c r="AJ677" s="4"/>
      <c r="AM677" s="4"/>
      <c r="AN677" s="4"/>
      <c r="AQ677" s="4"/>
      <c r="AR677" s="4"/>
      <c r="AU677" s="4"/>
      <c r="AV677" s="4"/>
      <c r="AY677" s="4"/>
      <c r="AZ677" s="4"/>
      <c r="BC677" s="4"/>
      <c r="BD677" s="4"/>
      <c r="BG677" s="4"/>
      <c r="BH677" s="4"/>
    </row>
    <row r="678" spans="3:60">
      <c r="C678" s="4"/>
      <c r="D678" s="4"/>
      <c r="G678" s="4"/>
      <c r="H678" s="4"/>
      <c r="K678" s="4"/>
      <c r="L678" s="4"/>
      <c r="O678" s="4"/>
      <c r="P678" s="4"/>
      <c r="S678" s="4"/>
      <c r="T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I678" s="4"/>
      <c r="AJ678" s="4"/>
      <c r="AM678" s="4"/>
      <c r="AN678" s="4"/>
      <c r="AQ678" s="4"/>
      <c r="AR678" s="4"/>
      <c r="AU678" s="4"/>
      <c r="AV678" s="4"/>
      <c r="AY678" s="4"/>
      <c r="AZ678" s="4"/>
      <c r="BC678" s="4"/>
      <c r="BD678" s="4"/>
      <c r="BG678" s="4"/>
      <c r="BH678" s="4"/>
    </row>
    <row r="679" spans="3:60">
      <c r="C679" s="4"/>
      <c r="D679" s="4"/>
      <c r="G679" s="4"/>
      <c r="H679" s="4"/>
      <c r="K679" s="4"/>
      <c r="L679" s="4"/>
      <c r="O679" s="4"/>
      <c r="P679" s="4"/>
      <c r="S679" s="4"/>
      <c r="T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I679" s="4"/>
      <c r="AJ679" s="4"/>
      <c r="AM679" s="4"/>
      <c r="AN679" s="4"/>
      <c r="AQ679" s="4"/>
      <c r="AR679" s="4"/>
      <c r="AU679" s="4"/>
      <c r="AV679" s="4"/>
      <c r="AY679" s="4"/>
      <c r="AZ679" s="4"/>
      <c r="BC679" s="4"/>
      <c r="BD679" s="4"/>
      <c r="BG679" s="4"/>
      <c r="BH679" s="4"/>
    </row>
    <row r="680" spans="3:60">
      <c r="C680" s="4"/>
      <c r="D680" s="4"/>
      <c r="G680" s="4"/>
      <c r="H680" s="4"/>
      <c r="K680" s="4"/>
      <c r="L680" s="4"/>
      <c r="O680" s="4"/>
      <c r="P680" s="4"/>
      <c r="S680" s="4"/>
      <c r="T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I680" s="4"/>
      <c r="AJ680" s="4"/>
      <c r="AM680" s="4"/>
      <c r="AN680" s="4"/>
      <c r="AQ680" s="4"/>
      <c r="AR680" s="4"/>
      <c r="AU680" s="4"/>
      <c r="AV680" s="4"/>
      <c r="AY680" s="4"/>
      <c r="AZ680" s="4"/>
      <c r="BC680" s="4"/>
      <c r="BD680" s="4"/>
      <c r="BG680" s="4"/>
      <c r="BH680" s="4"/>
    </row>
    <row r="681" spans="3:60">
      <c r="C681" s="4"/>
      <c r="D681" s="4"/>
      <c r="G681" s="4"/>
      <c r="H681" s="4"/>
      <c r="K681" s="4"/>
      <c r="L681" s="4"/>
      <c r="O681" s="4"/>
      <c r="P681" s="4"/>
      <c r="S681" s="4"/>
      <c r="T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I681" s="4"/>
      <c r="AJ681" s="4"/>
      <c r="AM681" s="4"/>
      <c r="AN681" s="4"/>
      <c r="AQ681" s="4"/>
      <c r="AR681" s="4"/>
      <c r="AU681" s="4"/>
      <c r="AV681" s="4"/>
      <c r="AY681" s="4"/>
      <c r="AZ681" s="4"/>
      <c r="BC681" s="4"/>
      <c r="BD681" s="4"/>
      <c r="BG681" s="4"/>
      <c r="BH681" s="4"/>
    </row>
    <row r="682" spans="3:60">
      <c r="C682" s="4"/>
      <c r="D682" s="4"/>
      <c r="G682" s="4"/>
      <c r="H682" s="4"/>
      <c r="K682" s="4"/>
      <c r="L682" s="4"/>
      <c r="O682" s="4"/>
      <c r="P682" s="4"/>
      <c r="S682" s="4"/>
      <c r="T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I682" s="4"/>
      <c r="AJ682" s="4"/>
      <c r="AM682" s="4"/>
      <c r="AN682" s="4"/>
      <c r="AQ682" s="4"/>
      <c r="AR682" s="4"/>
      <c r="AU682" s="4"/>
      <c r="AV682" s="4"/>
      <c r="AY682" s="4"/>
      <c r="AZ682" s="4"/>
      <c r="BC682" s="4"/>
      <c r="BD682" s="4"/>
      <c r="BG682" s="4"/>
      <c r="BH682" s="4"/>
    </row>
    <row r="683" spans="3:60">
      <c r="C683" s="4"/>
      <c r="D683" s="4"/>
      <c r="G683" s="4"/>
      <c r="H683" s="4"/>
      <c r="K683" s="4"/>
      <c r="L683" s="4"/>
      <c r="O683" s="4"/>
      <c r="P683" s="4"/>
      <c r="S683" s="4"/>
      <c r="T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I683" s="4"/>
      <c r="AJ683" s="4"/>
      <c r="AM683" s="4"/>
      <c r="AN683" s="4"/>
      <c r="AQ683" s="4"/>
      <c r="AR683" s="4"/>
      <c r="AU683" s="4"/>
      <c r="AV683" s="4"/>
      <c r="AY683" s="4"/>
      <c r="AZ683" s="4"/>
      <c r="BC683" s="4"/>
      <c r="BD683" s="4"/>
      <c r="BG683" s="4"/>
      <c r="BH683" s="4"/>
    </row>
    <row r="684" spans="3:60">
      <c r="C684" s="4"/>
      <c r="D684" s="4"/>
      <c r="G684" s="4"/>
      <c r="H684" s="4"/>
      <c r="K684" s="4"/>
      <c r="L684" s="4"/>
      <c r="O684" s="4"/>
      <c r="P684" s="4"/>
      <c r="S684" s="4"/>
      <c r="T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I684" s="4"/>
      <c r="AJ684" s="4"/>
      <c r="AM684" s="4"/>
      <c r="AN684" s="4"/>
      <c r="AQ684" s="4"/>
      <c r="AR684" s="4"/>
      <c r="AU684" s="4"/>
      <c r="AV684" s="4"/>
      <c r="AY684" s="4"/>
      <c r="AZ684" s="4"/>
      <c r="BC684" s="4"/>
      <c r="BD684" s="4"/>
      <c r="BG684" s="4"/>
      <c r="BH684" s="4"/>
    </row>
    <row r="685" spans="3:60">
      <c r="C685" s="4"/>
      <c r="D685" s="4"/>
      <c r="G685" s="4"/>
      <c r="H685" s="4"/>
      <c r="K685" s="4"/>
      <c r="L685" s="4"/>
      <c r="O685" s="4"/>
      <c r="P685" s="4"/>
      <c r="S685" s="4"/>
      <c r="T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I685" s="4"/>
      <c r="AJ685" s="4"/>
      <c r="AM685" s="4"/>
      <c r="AN685" s="4"/>
      <c r="AQ685" s="4"/>
      <c r="AR685" s="4"/>
      <c r="AU685" s="4"/>
      <c r="AV685" s="4"/>
      <c r="AY685" s="4"/>
      <c r="AZ685" s="4"/>
      <c r="BC685" s="4"/>
      <c r="BD685" s="4"/>
      <c r="BG685" s="4"/>
      <c r="BH685" s="4"/>
    </row>
    <row r="686" spans="3:60">
      <c r="C686" s="4"/>
      <c r="D686" s="4"/>
      <c r="G686" s="4"/>
      <c r="H686" s="4"/>
      <c r="K686" s="4"/>
      <c r="L686" s="4"/>
      <c r="O686" s="4"/>
      <c r="P686" s="4"/>
      <c r="S686" s="4"/>
      <c r="T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I686" s="4"/>
      <c r="AJ686" s="4"/>
      <c r="AM686" s="4"/>
      <c r="AN686" s="4"/>
      <c r="AQ686" s="4"/>
      <c r="AR686" s="4"/>
      <c r="AU686" s="4"/>
      <c r="AV686" s="4"/>
      <c r="AY686" s="4"/>
      <c r="AZ686" s="4"/>
      <c r="BC686" s="4"/>
      <c r="BD686" s="4"/>
      <c r="BG686" s="4"/>
      <c r="BH686" s="4"/>
    </row>
    <row r="687" spans="3:60">
      <c r="C687" s="4"/>
      <c r="D687" s="4"/>
      <c r="G687" s="4"/>
      <c r="H687" s="4"/>
      <c r="K687" s="4"/>
      <c r="L687" s="4"/>
      <c r="O687" s="4"/>
      <c r="P687" s="4"/>
      <c r="S687" s="4"/>
      <c r="T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I687" s="4"/>
      <c r="AJ687" s="4"/>
      <c r="AM687" s="4"/>
      <c r="AN687" s="4"/>
      <c r="AQ687" s="4"/>
      <c r="AR687" s="4"/>
      <c r="AU687" s="4"/>
      <c r="AV687" s="4"/>
      <c r="AY687" s="4"/>
      <c r="AZ687" s="4"/>
      <c r="BC687" s="4"/>
      <c r="BD687" s="4"/>
      <c r="BG687" s="4"/>
      <c r="BH687" s="4"/>
    </row>
    <row r="688" spans="3:60">
      <c r="C688" s="4"/>
      <c r="D688" s="4"/>
      <c r="G688" s="4"/>
      <c r="H688" s="4"/>
      <c r="K688" s="4"/>
      <c r="L688" s="4"/>
      <c r="O688" s="4"/>
      <c r="P688" s="4"/>
      <c r="S688" s="4"/>
      <c r="T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I688" s="4"/>
      <c r="AJ688" s="4"/>
      <c r="AM688" s="4"/>
      <c r="AN688" s="4"/>
      <c r="AQ688" s="4"/>
      <c r="AR688" s="4"/>
      <c r="AU688" s="4"/>
      <c r="AV688" s="4"/>
      <c r="AY688" s="4"/>
      <c r="AZ688" s="4"/>
      <c r="BC688" s="4"/>
      <c r="BD688" s="4"/>
      <c r="BG688" s="4"/>
      <c r="BH688" s="4"/>
    </row>
    <row r="689" spans="3:60">
      <c r="C689" s="4"/>
      <c r="D689" s="4"/>
      <c r="G689" s="4"/>
      <c r="H689" s="4"/>
      <c r="K689" s="4"/>
      <c r="L689" s="4"/>
      <c r="O689" s="4"/>
      <c r="P689" s="4"/>
      <c r="S689" s="4"/>
      <c r="T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I689" s="4"/>
      <c r="AJ689" s="4"/>
      <c r="AM689" s="4"/>
      <c r="AN689" s="4"/>
      <c r="AQ689" s="4"/>
      <c r="AR689" s="4"/>
      <c r="AU689" s="4"/>
      <c r="AV689" s="4"/>
      <c r="AY689" s="4"/>
      <c r="AZ689" s="4"/>
      <c r="BC689" s="4"/>
      <c r="BD689" s="4"/>
      <c r="BG689" s="4"/>
      <c r="BH689" s="4"/>
    </row>
    <row r="690" spans="3:60">
      <c r="C690" s="4"/>
      <c r="D690" s="4"/>
      <c r="G690" s="4"/>
      <c r="H690" s="4"/>
      <c r="K690" s="4"/>
      <c r="L690" s="4"/>
      <c r="O690" s="4"/>
      <c r="P690" s="4"/>
      <c r="S690" s="4"/>
      <c r="T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I690" s="4"/>
      <c r="AJ690" s="4"/>
      <c r="AM690" s="4"/>
      <c r="AN690" s="4"/>
      <c r="AQ690" s="4"/>
      <c r="AR690" s="4"/>
      <c r="AU690" s="4"/>
      <c r="AV690" s="4"/>
      <c r="AY690" s="4"/>
      <c r="AZ690" s="4"/>
      <c r="BC690" s="4"/>
      <c r="BD690" s="4"/>
      <c r="BG690" s="4"/>
      <c r="BH690" s="4"/>
    </row>
    <row r="691" spans="3:60">
      <c r="C691" s="4"/>
      <c r="D691" s="4"/>
      <c r="G691" s="4"/>
      <c r="H691" s="4"/>
      <c r="K691" s="4"/>
      <c r="L691" s="4"/>
      <c r="O691" s="4"/>
      <c r="P691" s="4"/>
      <c r="S691" s="4"/>
      <c r="T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I691" s="4"/>
      <c r="AJ691" s="4"/>
      <c r="AM691" s="4"/>
      <c r="AN691" s="4"/>
      <c r="AQ691" s="4"/>
      <c r="AR691" s="4"/>
      <c r="AU691" s="4"/>
      <c r="AV691" s="4"/>
      <c r="AY691" s="4"/>
      <c r="AZ691" s="4"/>
      <c r="BC691" s="4"/>
      <c r="BD691" s="4"/>
      <c r="BG691" s="4"/>
      <c r="BH691" s="4"/>
    </row>
    <row r="692" spans="3:60">
      <c r="C692" s="4"/>
      <c r="D692" s="4"/>
      <c r="G692" s="4"/>
      <c r="H692" s="4"/>
      <c r="K692" s="4"/>
      <c r="L692" s="4"/>
      <c r="O692" s="4"/>
      <c r="P692" s="4"/>
      <c r="S692" s="4"/>
      <c r="T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I692" s="4"/>
      <c r="AJ692" s="4"/>
      <c r="AM692" s="4"/>
      <c r="AN692" s="4"/>
      <c r="AQ692" s="4"/>
      <c r="AR692" s="4"/>
      <c r="AU692" s="4"/>
      <c r="AV692" s="4"/>
      <c r="AY692" s="4"/>
      <c r="AZ692" s="4"/>
      <c r="BC692" s="4"/>
      <c r="BD692" s="4"/>
      <c r="BG692" s="4"/>
      <c r="BH692" s="4"/>
    </row>
    <row r="693" spans="3:60">
      <c r="C693" s="4"/>
      <c r="D693" s="4"/>
      <c r="G693" s="4"/>
      <c r="H693" s="4"/>
      <c r="K693" s="4"/>
      <c r="L693" s="4"/>
      <c r="O693" s="4"/>
      <c r="P693" s="4"/>
      <c r="S693" s="4"/>
      <c r="T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I693" s="4"/>
      <c r="AJ693" s="4"/>
      <c r="AM693" s="4"/>
      <c r="AN693" s="4"/>
      <c r="AQ693" s="4"/>
      <c r="AR693" s="4"/>
      <c r="AU693" s="4"/>
      <c r="AV693" s="4"/>
      <c r="AY693" s="4"/>
      <c r="AZ693" s="4"/>
      <c r="BC693" s="4"/>
      <c r="BD693" s="4"/>
      <c r="BG693" s="4"/>
      <c r="BH693" s="4"/>
    </row>
    <row r="694" spans="3:60">
      <c r="C694" s="4"/>
      <c r="D694" s="4"/>
      <c r="G694" s="4"/>
      <c r="H694" s="4"/>
      <c r="K694" s="4"/>
      <c r="L694" s="4"/>
      <c r="O694" s="4"/>
      <c r="P694" s="4"/>
      <c r="S694" s="4"/>
      <c r="T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I694" s="4"/>
      <c r="AJ694" s="4"/>
      <c r="AM694" s="4"/>
      <c r="AN694" s="4"/>
      <c r="AQ694" s="4"/>
      <c r="AR694" s="4"/>
      <c r="AU694" s="4"/>
      <c r="AV694" s="4"/>
      <c r="AY694" s="4"/>
      <c r="AZ694" s="4"/>
      <c r="BC694" s="4"/>
      <c r="BD694" s="4"/>
      <c r="BG694" s="4"/>
      <c r="BH694" s="4"/>
    </row>
    <row r="695" spans="3:60">
      <c r="C695" s="4"/>
      <c r="D695" s="4"/>
      <c r="G695" s="4"/>
      <c r="H695" s="4"/>
      <c r="K695" s="4"/>
      <c r="L695" s="4"/>
      <c r="O695" s="4"/>
      <c r="P695" s="4"/>
      <c r="S695" s="4"/>
      <c r="T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I695" s="4"/>
      <c r="AJ695" s="4"/>
      <c r="AM695" s="4"/>
      <c r="AN695" s="4"/>
      <c r="AQ695" s="4"/>
      <c r="AR695" s="4"/>
      <c r="AU695" s="4"/>
      <c r="AV695" s="4"/>
      <c r="AY695" s="4"/>
      <c r="AZ695" s="4"/>
      <c r="BC695" s="4"/>
      <c r="BD695" s="4"/>
      <c r="BG695" s="4"/>
      <c r="BH695" s="4"/>
    </row>
    <row r="696" spans="3:60">
      <c r="C696" s="4"/>
      <c r="D696" s="4"/>
      <c r="G696" s="4"/>
      <c r="H696" s="4"/>
      <c r="K696" s="4"/>
      <c r="L696" s="4"/>
      <c r="O696" s="4"/>
      <c r="P696" s="4"/>
      <c r="S696" s="4"/>
      <c r="T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I696" s="4"/>
      <c r="AJ696" s="4"/>
      <c r="AM696" s="4"/>
      <c r="AN696" s="4"/>
      <c r="AQ696" s="4"/>
      <c r="AR696" s="4"/>
      <c r="AU696" s="4"/>
      <c r="AV696" s="4"/>
      <c r="AY696" s="4"/>
      <c r="AZ696" s="4"/>
      <c r="BC696" s="4"/>
      <c r="BD696" s="4"/>
      <c r="BG696" s="4"/>
      <c r="BH696" s="4"/>
    </row>
    <row r="697" spans="3:60">
      <c r="C697" s="4"/>
      <c r="D697" s="4"/>
      <c r="G697" s="4"/>
      <c r="H697" s="4"/>
      <c r="K697" s="4"/>
      <c r="L697" s="4"/>
      <c r="O697" s="4"/>
      <c r="P697" s="4"/>
      <c r="S697" s="4"/>
      <c r="T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I697" s="4"/>
      <c r="AJ697" s="4"/>
      <c r="AM697" s="4"/>
      <c r="AN697" s="4"/>
      <c r="AQ697" s="4"/>
      <c r="AR697" s="4"/>
      <c r="AU697" s="4"/>
      <c r="AV697" s="4"/>
      <c r="AY697" s="4"/>
      <c r="AZ697" s="4"/>
      <c r="BC697" s="4"/>
      <c r="BD697" s="4"/>
      <c r="BG697" s="4"/>
      <c r="BH697" s="4"/>
    </row>
    <row r="698" spans="3:60">
      <c r="C698" s="4"/>
      <c r="D698" s="4"/>
      <c r="G698" s="4"/>
      <c r="H698" s="4"/>
      <c r="K698" s="4"/>
      <c r="L698" s="4"/>
      <c r="O698" s="4"/>
      <c r="P698" s="4"/>
      <c r="S698" s="4"/>
      <c r="T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I698" s="4"/>
      <c r="AJ698" s="4"/>
      <c r="AM698" s="4"/>
      <c r="AN698" s="4"/>
      <c r="AQ698" s="4"/>
      <c r="AR698" s="4"/>
      <c r="AU698" s="4"/>
      <c r="AV698" s="4"/>
      <c r="AY698" s="4"/>
      <c r="AZ698" s="4"/>
      <c r="BC698" s="4"/>
      <c r="BD698" s="4"/>
      <c r="BG698" s="4"/>
      <c r="BH698" s="4"/>
    </row>
    <row r="699" spans="3:60">
      <c r="C699" s="4"/>
      <c r="D699" s="4"/>
      <c r="G699" s="4"/>
      <c r="H699" s="4"/>
      <c r="K699" s="4"/>
      <c r="L699" s="4"/>
      <c r="O699" s="4"/>
      <c r="P699" s="4"/>
      <c r="S699" s="4"/>
      <c r="T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I699" s="4"/>
      <c r="AJ699" s="4"/>
      <c r="AM699" s="4"/>
      <c r="AN699" s="4"/>
      <c r="AQ699" s="4"/>
      <c r="AR699" s="4"/>
      <c r="AU699" s="4"/>
      <c r="AV699" s="4"/>
      <c r="AY699" s="4"/>
      <c r="AZ699" s="4"/>
      <c r="BC699" s="4"/>
      <c r="BD699" s="4"/>
      <c r="BG699" s="4"/>
      <c r="BH699" s="4"/>
    </row>
    <row r="700" spans="3:60">
      <c r="C700" s="4"/>
      <c r="D700" s="4"/>
      <c r="G700" s="4"/>
      <c r="H700" s="4"/>
      <c r="K700" s="4"/>
      <c r="L700" s="4"/>
      <c r="O700" s="4"/>
      <c r="P700" s="4"/>
      <c r="S700" s="4"/>
      <c r="T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I700" s="4"/>
      <c r="AJ700" s="4"/>
      <c r="AM700" s="4"/>
      <c r="AN700" s="4"/>
      <c r="AQ700" s="4"/>
      <c r="AR700" s="4"/>
      <c r="AU700" s="4"/>
      <c r="AV700" s="4"/>
      <c r="AY700" s="4"/>
      <c r="AZ700" s="4"/>
      <c r="BC700" s="4"/>
      <c r="BD700" s="4"/>
      <c r="BG700" s="4"/>
      <c r="BH700" s="4"/>
    </row>
    <row r="701" spans="3:60">
      <c r="C701" s="4"/>
      <c r="D701" s="4"/>
      <c r="G701" s="4"/>
      <c r="H701" s="4"/>
      <c r="K701" s="4"/>
      <c r="L701" s="4"/>
      <c r="O701" s="4"/>
      <c r="P701" s="4"/>
      <c r="S701" s="4"/>
      <c r="T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I701" s="4"/>
      <c r="AJ701" s="4"/>
      <c r="AM701" s="4"/>
      <c r="AN701" s="4"/>
      <c r="AQ701" s="4"/>
      <c r="AR701" s="4"/>
      <c r="AU701" s="4"/>
      <c r="AV701" s="4"/>
      <c r="AY701" s="4"/>
      <c r="AZ701" s="4"/>
      <c r="BC701" s="4"/>
      <c r="BD701" s="4"/>
      <c r="BG701" s="4"/>
      <c r="BH701" s="4"/>
    </row>
    <row r="702" spans="3:60">
      <c r="C702" s="4"/>
      <c r="D702" s="4"/>
      <c r="G702" s="4"/>
      <c r="H702" s="4"/>
      <c r="K702" s="4"/>
      <c r="L702" s="4"/>
      <c r="O702" s="4"/>
      <c r="P702" s="4"/>
      <c r="S702" s="4"/>
      <c r="T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I702" s="4"/>
      <c r="AJ702" s="4"/>
      <c r="AM702" s="4"/>
      <c r="AN702" s="4"/>
      <c r="AQ702" s="4"/>
      <c r="AR702" s="4"/>
      <c r="AU702" s="4"/>
      <c r="AV702" s="4"/>
      <c r="AY702" s="4"/>
      <c r="AZ702" s="4"/>
      <c r="BC702" s="4"/>
      <c r="BD702" s="4"/>
      <c r="BG702" s="4"/>
      <c r="BH702" s="4"/>
    </row>
    <row r="703" spans="3:60">
      <c r="C703" s="4"/>
      <c r="D703" s="4"/>
      <c r="G703" s="4"/>
      <c r="H703" s="4"/>
      <c r="K703" s="4"/>
      <c r="L703" s="4"/>
      <c r="O703" s="4"/>
      <c r="P703" s="4"/>
      <c r="S703" s="4"/>
      <c r="T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I703" s="4"/>
      <c r="AJ703" s="4"/>
      <c r="AM703" s="4"/>
      <c r="AN703" s="4"/>
      <c r="AQ703" s="4"/>
      <c r="AR703" s="4"/>
      <c r="AU703" s="4"/>
      <c r="AV703" s="4"/>
      <c r="AY703" s="4"/>
      <c r="AZ703" s="4"/>
      <c r="BC703" s="4"/>
      <c r="BD703" s="4"/>
      <c r="BG703" s="4"/>
      <c r="BH703" s="4"/>
    </row>
    <row r="704" spans="3:60">
      <c r="C704" s="4"/>
      <c r="D704" s="4"/>
      <c r="G704" s="4"/>
      <c r="H704" s="4"/>
      <c r="K704" s="4"/>
      <c r="L704" s="4"/>
      <c r="O704" s="4"/>
      <c r="P704" s="4"/>
      <c r="S704" s="4"/>
      <c r="T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I704" s="4"/>
      <c r="AJ704" s="4"/>
      <c r="AM704" s="4"/>
      <c r="AN704" s="4"/>
      <c r="AQ704" s="4"/>
      <c r="AR704" s="4"/>
      <c r="AU704" s="4"/>
      <c r="AV704" s="4"/>
      <c r="AY704" s="4"/>
      <c r="AZ704" s="4"/>
      <c r="BC704" s="4"/>
      <c r="BD704" s="4"/>
      <c r="BG704" s="4"/>
      <c r="BH704" s="4"/>
    </row>
    <row r="705" spans="3:60">
      <c r="C705" s="4"/>
      <c r="D705" s="4"/>
      <c r="G705" s="4"/>
      <c r="H705" s="4"/>
      <c r="K705" s="4"/>
      <c r="L705" s="4"/>
      <c r="O705" s="4"/>
      <c r="P705" s="4"/>
      <c r="S705" s="4"/>
      <c r="T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I705" s="4"/>
      <c r="AJ705" s="4"/>
      <c r="AM705" s="4"/>
      <c r="AN705" s="4"/>
      <c r="AQ705" s="4"/>
      <c r="AR705" s="4"/>
      <c r="AU705" s="4"/>
      <c r="AV705" s="4"/>
      <c r="AY705" s="4"/>
      <c r="AZ705" s="4"/>
      <c r="BC705" s="4"/>
      <c r="BD705" s="4"/>
      <c r="BG705" s="4"/>
      <c r="BH705" s="4"/>
    </row>
    <row r="706" spans="3:60">
      <c r="C706" s="4"/>
      <c r="D706" s="4"/>
      <c r="G706" s="4"/>
      <c r="H706" s="4"/>
      <c r="K706" s="4"/>
      <c r="L706" s="4"/>
      <c r="O706" s="4"/>
      <c r="P706" s="4"/>
      <c r="S706" s="4"/>
      <c r="T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I706" s="4"/>
      <c r="AJ706" s="4"/>
      <c r="AM706" s="4"/>
      <c r="AN706" s="4"/>
      <c r="AQ706" s="4"/>
      <c r="AR706" s="4"/>
      <c r="AU706" s="4"/>
      <c r="AV706" s="4"/>
      <c r="AY706" s="4"/>
      <c r="AZ706" s="4"/>
      <c r="BC706" s="4"/>
      <c r="BD706" s="4"/>
      <c r="BG706" s="4"/>
      <c r="BH706" s="4"/>
    </row>
    <row r="707" spans="3:60">
      <c r="C707" s="4"/>
      <c r="D707" s="4"/>
      <c r="G707" s="4"/>
      <c r="H707" s="4"/>
      <c r="K707" s="4"/>
      <c r="L707" s="4"/>
      <c r="O707" s="4"/>
      <c r="P707" s="4"/>
      <c r="S707" s="4"/>
      <c r="T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I707" s="4"/>
      <c r="AJ707" s="4"/>
      <c r="AM707" s="4"/>
      <c r="AN707" s="4"/>
      <c r="AQ707" s="4"/>
      <c r="AR707" s="4"/>
      <c r="AU707" s="4"/>
      <c r="AV707" s="4"/>
      <c r="AY707" s="4"/>
      <c r="AZ707" s="4"/>
      <c r="BC707" s="4"/>
      <c r="BD707" s="4"/>
      <c r="BG707" s="4"/>
      <c r="BH707" s="4"/>
    </row>
    <row r="708" spans="3:60">
      <c r="C708" s="4"/>
      <c r="D708" s="4"/>
      <c r="G708" s="4"/>
      <c r="H708" s="4"/>
      <c r="K708" s="4"/>
      <c r="L708" s="4"/>
      <c r="O708" s="4"/>
      <c r="P708" s="4"/>
      <c r="S708" s="4"/>
      <c r="T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I708" s="4"/>
      <c r="AJ708" s="4"/>
      <c r="AM708" s="4"/>
      <c r="AN708" s="4"/>
      <c r="AQ708" s="4"/>
      <c r="AR708" s="4"/>
      <c r="AU708" s="4"/>
      <c r="AV708" s="4"/>
      <c r="AY708" s="4"/>
      <c r="AZ708" s="4"/>
      <c r="BC708" s="4"/>
      <c r="BD708" s="4"/>
      <c r="BG708" s="4"/>
      <c r="BH708" s="4"/>
    </row>
    <row r="709" spans="3:60">
      <c r="C709" s="4"/>
      <c r="D709" s="4"/>
      <c r="G709" s="4"/>
      <c r="H709" s="4"/>
      <c r="K709" s="4"/>
      <c r="L709" s="4"/>
      <c r="O709" s="4"/>
      <c r="P709" s="4"/>
      <c r="S709" s="4"/>
      <c r="T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I709" s="4"/>
      <c r="AJ709" s="4"/>
      <c r="AM709" s="4"/>
      <c r="AN709" s="4"/>
      <c r="AQ709" s="4"/>
      <c r="AR709" s="4"/>
      <c r="AU709" s="4"/>
      <c r="AV709" s="4"/>
      <c r="AY709" s="4"/>
      <c r="AZ709" s="4"/>
      <c r="BC709" s="4"/>
      <c r="BD709" s="4"/>
      <c r="BG709" s="4"/>
      <c r="BH709" s="4"/>
    </row>
    <row r="710" spans="3:60">
      <c r="C710" s="4"/>
      <c r="D710" s="4"/>
      <c r="G710" s="4"/>
      <c r="H710" s="4"/>
      <c r="K710" s="4"/>
      <c r="L710" s="4"/>
      <c r="O710" s="4"/>
      <c r="P710" s="4"/>
      <c r="S710" s="4"/>
      <c r="T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I710" s="4"/>
      <c r="AJ710" s="4"/>
      <c r="AM710" s="4"/>
      <c r="AN710" s="4"/>
      <c r="AQ710" s="4"/>
      <c r="AR710" s="4"/>
      <c r="AU710" s="4"/>
      <c r="AV710" s="4"/>
      <c r="AY710" s="4"/>
      <c r="AZ710" s="4"/>
      <c r="BC710" s="4"/>
      <c r="BD710" s="4"/>
      <c r="BG710" s="4"/>
      <c r="BH710" s="4"/>
    </row>
    <row r="711" spans="3:60">
      <c r="C711" s="4"/>
      <c r="D711" s="4"/>
      <c r="G711" s="4"/>
      <c r="H711" s="4"/>
      <c r="K711" s="4"/>
      <c r="L711" s="4"/>
      <c r="O711" s="4"/>
      <c r="P711" s="4"/>
      <c r="S711" s="4"/>
      <c r="T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I711" s="4"/>
      <c r="AJ711" s="4"/>
      <c r="AM711" s="4"/>
      <c r="AN711" s="4"/>
      <c r="AQ711" s="4"/>
      <c r="AR711" s="4"/>
      <c r="AU711" s="4"/>
      <c r="AV711" s="4"/>
      <c r="AY711" s="4"/>
      <c r="AZ711" s="4"/>
      <c r="BC711" s="4"/>
      <c r="BD711" s="4"/>
      <c r="BG711" s="4"/>
      <c r="BH711" s="4"/>
    </row>
    <row r="712" spans="3:60">
      <c r="C712" s="4"/>
      <c r="D712" s="4"/>
      <c r="G712" s="4"/>
      <c r="H712" s="4"/>
      <c r="K712" s="4"/>
      <c r="L712" s="4"/>
      <c r="O712" s="4"/>
      <c r="P712" s="4"/>
      <c r="S712" s="4"/>
      <c r="T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I712" s="4"/>
      <c r="AJ712" s="4"/>
      <c r="AM712" s="4"/>
      <c r="AN712" s="4"/>
      <c r="AQ712" s="4"/>
      <c r="AR712" s="4"/>
      <c r="AU712" s="4"/>
      <c r="AV712" s="4"/>
      <c r="AY712" s="4"/>
      <c r="AZ712" s="4"/>
      <c r="BC712" s="4"/>
      <c r="BD712" s="4"/>
      <c r="BG712" s="4"/>
      <c r="BH712" s="4"/>
    </row>
    <row r="713" spans="3:60">
      <c r="C713" s="4"/>
      <c r="D713" s="4"/>
      <c r="G713" s="4"/>
      <c r="H713" s="4"/>
      <c r="K713" s="4"/>
      <c r="L713" s="4"/>
      <c r="O713" s="4"/>
      <c r="P713" s="4"/>
      <c r="S713" s="4"/>
      <c r="T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I713" s="4"/>
      <c r="AJ713" s="4"/>
      <c r="AM713" s="4"/>
      <c r="AN713" s="4"/>
      <c r="AQ713" s="4"/>
      <c r="AR713" s="4"/>
      <c r="AU713" s="4"/>
      <c r="AV713" s="4"/>
      <c r="AY713" s="4"/>
      <c r="AZ713" s="4"/>
      <c r="BC713" s="4"/>
      <c r="BD713" s="4"/>
      <c r="BG713" s="4"/>
      <c r="BH713" s="4"/>
    </row>
    <row r="714" spans="3:60">
      <c r="C714" s="4"/>
      <c r="D714" s="4"/>
      <c r="G714" s="4"/>
      <c r="H714" s="4"/>
      <c r="K714" s="4"/>
      <c r="L714" s="4"/>
      <c r="O714" s="4"/>
      <c r="P714" s="4"/>
      <c r="S714" s="4"/>
      <c r="T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I714" s="4"/>
      <c r="AJ714" s="4"/>
      <c r="AM714" s="4"/>
      <c r="AN714" s="4"/>
      <c r="AQ714" s="4"/>
      <c r="AR714" s="4"/>
      <c r="AU714" s="4"/>
      <c r="AV714" s="4"/>
      <c r="AY714" s="4"/>
      <c r="AZ714" s="4"/>
      <c r="BC714" s="4"/>
      <c r="BD714" s="4"/>
      <c r="BG714" s="4"/>
      <c r="BH714" s="4"/>
    </row>
    <row r="715" spans="3:60">
      <c r="C715" s="4"/>
      <c r="D715" s="4"/>
      <c r="G715" s="4"/>
      <c r="H715" s="4"/>
      <c r="K715" s="4"/>
      <c r="L715" s="4"/>
      <c r="O715" s="4"/>
      <c r="P715" s="4"/>
      <c r="S715" s="4"/>
      <c r="T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I715" s="4"/>
      <c r="AJ715" s="4"/>
      <c r="AM715" s="4"/>
      <c r="AN715" s="4"/>
      <c r="AQ715" s="4"/>
      <c r="AR715" s="4"/>
      <c r="AU715" s="4"/>
      <c r="AV715" s="4"/>
      <c r="AY715" s="4"/>
      <c r="AZ715" s="4"/>
      <c r="BC715" s="4"/>
      <c r="BD715" s="4"/>
      <c r="BG715" s="4"/>
      <c r="BH715" s="4"/>
    </row>
    <row r="716" spans="3:60">
      <c r="C716" s="4"/>
      <c r="D716" s="4"/>
      <c r="G716" s="4"/>
      <c r="H716" s="4"/>
      <c r="K716" s="4"/>
      <c r="L716" s="4"/>
      <c r="O716" s="4"/>
      <c r="P716" s="4"/>
      <c r="S716" s="4"/>
      <c r="T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I716" s="4"/>
      <c r="AJ716" s="4"/>
      <c r="AM716" s="4"/>
      <c r="AN716" s="4"/>
      <c r="AQ716" s="4"/>
      <c r="AR716" s="4"/>
      <c r="AU716" s="4"/>
      <c r="AV716" s="4"/>
      <c r="AY716" s="4"/>
      <c r="AZ716" s="4"/>
      <c r="BC716" s="4"/>
      <c r="BD716" s="4"/>
      <c r="BG716" s="4"/>
      <c r="BH716" s="4"/>
    </row>
    <row r="717" spans="3:60">
      <c r="C717" s="4"/>
      <c r="D717" s="4"/>
      <c r="G717" s="4"/>
      <c r="H717" s="4"/>
      <c r="K717" s="4"/>
      <c r="L717" s="4"/>
      <c r="O717" s="4"/>
      <c r="P717" s="4"/>
      <c r="S717" s="4"/>
      <c r="T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I717" s="4"/>
      <c r="AJ717" s="4"/>
      <c r="AM717" s="4"/>
      <c r="AN717" s="4"/>
      <c r="AQ717" s="4"/>
      <c r="AR717" s="4"/>
      <c r="AU717" s="4"/>
      <c r="AV717" s="4"/>
      <c r="AY717" s="4"/>
      <c r="AZ717" s="4"/>
      <c r="BC717" s="4"/>
      <c r="BD717" s="4"/>
      <c r="BG717" s="4"/>
      <c r="BH717" s="4"/>
    </row>
    <row r="718" spans="3:60">
      <c r="C718" s="4"/>
      <c r="D718" s="4"/>
      <c r="G718" s="4"/>
      <c r="H718" s="4"/>
      <c r="K718" s="4"/>
      <c r="L718" s="4"/>
      <c r="O718" s="4"/>
      <c r="P718" s="4"/>
      <c r="S718" s="4"/>
      <c r="T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I718" s="4"/>
      <c r="AJ718" s="4"/>
      <c r="AM718" s="4"/>
      <c r="AN718" s="4"/>
      <c r="AQ718" s="4"/>
      <c r="AR718" s="4"/>
      <c r="AU718" s="4"/>
      <c r="AV718" s="4"/>
      <c r="AY718" s="4"/>
      <c r="AZ718" s="4"/>
      <c r="BC718" s="4"/>
      <c r="BD718" s="4"/>
      <c r="BG718" s="4"/>
      <c r="BH718" s="4"/>
    </row>
    <row r="719" spans="3:60">
      <c r="C719" s="4"/>
      <c r="D719" s="4"/>
      <c r="G719" s="4"/>
      <c r="H719" s="4"/>
      <c r="K719" s="4"/>
      <c r="L719" s="4"/>
      <c r="O719" s="4"/>
      <c r="P719" s="4"/>
      <c r="S719" s="4"/>
      <c r="T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I719" s="4"/>
      <c r="AJ719" s="4"/>
      <c r="AM719" s="4"/>
      <c r="AN719" s="4"/>
      <c r="AQ719" s="4"/>
      <c r="AR719" s="4"/>
      <c r="AU719" s="4"/>
      <c r="AV719" s="4"/>
      <c r="AY719" s="4"/>
      <c r="AZ719" s="4"/>
      <c r="BC719" s="4"/>
      <c r="BD719" s="4"/>
      <c r="BG719" s="4"/>
      <c r="BH719" s="4"/>
    </row>
    <row r="720" spans="3:60">
      <c r="C720" s="4"/>
      <c r="D720" s="4"/>
      <c r="G720" s="4"/>
      <c r="H720" s="4"/>
      <c r="K720" s="4"/>
      <c r="L720" s="4"/>
      <c r="O720" s="4"/>
      <c r="P720" s="4"/>
      <c r="S720" s="4"/>
      <c r="T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I720" s="4"/>
      <c r="AJ720" s="4"/>
      <c r="AM720" s="4"/>
      <c r="AN720" s="4"/>
      <c r="AQ720" s="4"/>
      <c r="AR720" s="4"/>
      <c r="AU720" s="4"/>
      <c r="AV720" s="4"/>
      <c r="AY720" s="4"/>
      <c r="AZ720" s="4"/>
      <c r="BC720" s="4"/>
      <c r="BD720" s="4"/>
      <c r="BG720" s="4"/>
      <c r="BH720" s="4"/>
    </row>
    <row r="721" spans="3:60">
      <c r="C721" s="4"/>
      <c r="D721" s="4"/>
      <c r="G721" s="4"/>
      <c r="H721" s="4"/>
      <c r="K721" s="4"/>
      <c r="L721" s="4"/>
      <c r="O721" s="4"/>
      <c r="P721" s="4"/>
      <c r="S721" s="4"/>
      <c r="T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I721" s="4"/>
      <c r="AJ721" s="4"/>
      <c r="AM721" s="4"/>
      <c r="AN721" s="4"/>
      <c r="AQ721" s="4"/>
      <c r="AR721" s="4"/>
      <c r="AU721" s="4"/>
      <c r="AV721" s="4"/>
      <c r="AY721" s="4"/>
      <c r="AZ721" s="4"/>
      <c r="BC721" s="4"/>
      <c r="BD721" s="4"/>
      <c r="BG721" s="4"/>
      <c r="BH721" s="4"/>
    </row>
    <row r="722" spans="3:60">
      <c r="C722" s="4"/>
      <c r="D722" s="4"/>
      <c r="G722" s="4"/>
      <c r="H722" s="4"/>
      <c r="K722" s="4"/>
      <c r="L722" s="4"/>
      <c r="O722" s="4"/>
      <c r="P722" s="4"/>
      <c r="S722" s="4"/>
      <c r="T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I722" s="4"/>
      <c r="AJ722" s="4"/>
      <c r="AM722" s="4"/>
      <c r="AN722" s="4"/>
      <c r="AQ722" s="4"/>
      <c r="AR722" s="4"/>
      <c r="AU722" s="4"/>
      <c r="AV722" s="4"/>
      <c r="AY722" s="4"/>
      <c r="AZ722" s="4"/>
      <c r="BC722" s="4"/>
      <c r="BD722" s="4"/>
      <c r="BG722" s="4"/>
      <c r="BH722" s="4"/>
    </row>
    <row r="723" spans="3:60">
      <c r="C723" s="4"/>
      <c r="D723" s="4"/>
      <c r="G723" s="4"/>
      <c r="H723" s="4"/>
      <c r="K723" s="4"/>
      <c r="L723" s="4"/>
      <c r="O723" s="4"/>
      <c r="P723" s="4"/>
      <c r="S723" s="4"/>
      <c r="T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I723" s="4"/>
      <c r="AJ723" s="4"/>
      <c r="AM723" s="4"/>
      <c r="AN723" s="4"/>
      <c r="AQ723" s="4"/>
      <c r="AR723" s="4"/>
      <c r="AU723" s="4"/>
      <c r="AV723" s="4"/>
      <c r="AY723" s="4"/>
      <c r="AZ723" s="4"/>
      <c r="BC723" s="4"/>
      <c r="BD723" s="4"/>
      <c r="BG723" s="4"/>
      <c r="BH723" s="4"/>
    </row>
    <row r="724" spans="3:60">
      <c r="C724" s="4"/>
      <c r="D724" s="4"/>
      <c r="G724" s="4"/>
      <c r="H724" s="4"/>
      <c r="K724" s="4"/>
      <c r="L724" s="4"/>
      <c r="O724" s="4"/>
      <c r="P724" s="4"/>
      <c r="S724" s="4"/>
      <c r="T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I724" s="4"/>
      <c r="AJ724" s="4"/>
      <c r="AM724" s="4"/>
      <c r="AN724" s="4"/>
      <c r="AQ724" s="4"/>
      <c r="AR724" s="4"/>
      <c r="AU724" s="4"/>
      <c r="AV724" s="4"/>
      <c r="AY724" s="4"/>
      <c r="AZ724" s="4"/>
      <c r="BC724" s="4"/>
      <c r="BD724" s="4"/>
      <c r="BG724" s="4"/>
      <c r="BH724" s="4"/>
    </row>
    <row r="725" spans="3:60">
      <c r="C725" s="4"/>
      <c r="D725" s="4"/>
      <c r="G725" s="4"/>
      <c r="H725" s="4"/>
      <c r="K725" s="4"/>
      <c r="L725" s="4"/>
      <c r="O725" s="4"/>
      <c r="P725" s="4"/>
      <c r="S725" s="4"/>
      <c r="T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I725" s="4"/>
      <c r="AJ725" s="4"/>
      <c r="AM725" s="4"/>
      <c r="AN725" s="4"/>
      <c r="AQ725" s="4"/>
      <c r="AR725" s="4"/>
      <c r="AU725" s="4"/>
      <c r="AV725" s="4"/>
      <c r="AY725" s="4"/>
      <c r="AZ725" s="4"/>
      <c r="BC725" s="4"/>
      <c r="BD725" s="4"/>
      <c r="BG725" s="4"/>
      <c r="BH725" s="4"/>
    </row>
    <row r="726" spans="3:60">
      <c r="C726" s="4"/>
      <c r="D726" s="4"/>
      <c r="G726" s="4"/>
      <c r="H726" s="4"/>
      <c r="K726" s="4"/>
      <c r="L726" s="4"/>
      <c r="O726" s="4"/>
      <c r="P726" s="4"/>
      <c r="S726" s="4"/>
      <c r="T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I726" s="4"/>
      <c r="AJ726" s="4"/>
      <c r="AM726" s="4"/>
      <c r="AN726" s="4"/>
      <c r="AQ726" s="4"/>
      <c r="AR726" s="4"/>
      <c r="AU726" s="4"/>
      <c r="AV726" s="4"/>
      <c r="AY726" s="4"/>
      <c r="AZ726" s="4"/>
      <c r="BC726" s="4"/>
      <c r="BD726" s="4"/>
      <c r="BG726" s="4"/>
      <c r="BH726" s="4"/>
    </row>
    <row r="727" spans="3:60">
      <c r="C727" s="4"/>
      <c r="D727" s="4"/>
      <c r="G727" s="4"/>
      <c r="H727" s="4"/>
      <c r="K727" s="4"/>
      <c r="L727" s="4"/>
      <c r="O727" s="4"/>
      <c r="P727" s="4"/>
      <c r="S727" s="4"/>
      <c r="T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I727" s="4"/>
      <c r="AJ727" s="4"/>
      <c r="AM727" s="4"/>
      <c r="AN727" s="4"/>
      <c r="AQ727" s="4"/>
      <c r="AR727" s="4"/>
      <c r="AU727" s="4"/>
      <c r="AV727" s="4"/>
      <c r="AY727" s="4"/>
      <c r="AZ727" s="4"/>
      <c r="BC727" s="4"/>
      <c r="BD727" s="4"/>
      <c r="BG727" s="4"/>
      <c r="BH727" s="4"/>
    </row>
    <row r="728" spans="3:60">
      <c r="C728" s="4"/>
      <c r="D728" s="4"/>
      <c r="G728" s="4"/>
      <c r="H728" s="4"/>
      <c r="K728" s="4"/>
      <c r="L728" s="4"/>
      <c r="O728" s="4"/>
      <c r="P728" s="4"/>
      <c r="S728" s="4"/>
      <c r="T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I728" s="4"/>
      <c r="AJ728" s="4"/>
      <c r="AM728" s="4"/>
      <c r="AN728" s="4"/>
      <c r="AQ728" s="4"/>
      <c r="AR728" s="4"/>
      <c r="AU728" s="4"/>
      <c r="AV728" s="4"/>
      <c r="AY728" s="4"/>
      <c r="AZ728" s="4"/>
      <c r="BC728" s="4"/>
      <c r="BD728" s="4"/>
      <c r="BG728" s="4"/>
      <c r="BH728" s="4"/>
    </row>
    <row r="729" spans="3:60">
      <c r="C729" s="4"/>
      <c r="D729" s="4"/>
      <c r="G729" s="4"/>
      <c r="H729" s="4"/>
      <c r="K729" s="4"/>
      <c r="L729" s="4"/>
      <c r="O729" s="4"/>
      <c r="P729" s="4"/>
      <c r="S729" s="4"/>
      <c r="T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I729" s="4"/>
      <c r="AJ729" s="4"/>
      <c r="AM729" s="4"/>
      <c r="AN729" s="4"/>
      <c r="AQ729" s="4"/>
      <c r="AR729" s="4"/>
      <c r="AU729" s="4"/>
      <c r="AV729" s="4"/>
      <c r="AY729" s="4"/>
      <c r="AZ729" s="4"/>
      <c r="BC729" s="4"/>
      <c r="BD729" s="4"/>
      <c r="BG729" s="4"/>
      <c r="BH729" s="4"/>
    </row>
    <row r="730" spans="3:60">
      <c r="C730" s="4"/>
      <c r="D730" s="4"/>
      <c r="G730" s="4"/>
      <c r="H730" s="4"/>
      <c r="K730" s="4"/>
      <c r="L730" s="4"/>
      <c r="O730" s="4"/>
      <c r="P730" s="4"/>
      <c r="S730" s="4"/>
      <c r="T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I730" s="4"/>
      <c r="AJ730" s="4"/>
      <c r="AM730" s="4"/>
      <c r="AN730" s="4"/>
      <c r="AQ730" s="4"/>
      <c r="AR730" s="4"/>
      <c r="AU730" s="4"/>
      <c r="AV730" s="4"/>
      <c r="AY730" s="4"/>
      <c r="AZ730" s="4"/>
      <c r="BC730" s="4"/>
      <c r="BD730" s="4"/>
      <c r="BG730" s="4"/>
      <c r="BH730" s="4"/>
    </row>
    <row r="731" spans="3:60">
      <c r="C731" s="4"/>
      <c r="D731" s="4"/>
      <c r="G731" s="4"/>
      <c r="H731" s="4"/>
      <c r="K731" s="4"/>
      <c r="L731" s="4"/>
      <c r="O731" s="4"/>
      <c r="P731" s="4"/>
      <c r="S731" s="4"/>
      <c r="T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I731" s="4"/>
      <c r="AJ731" s="4"/>
      <c r="AM731" s="4"/>
      <c r="AN731" s="4"/>
      <c r="AQ731" s="4"/>
      <c r="AR731" s="4"/>
      <c r="AU731" s="4"/>
      <c r="AV731" s="4"/>
      <c r="AY731" s="4"/>
      <c r="AZ731" s="4"/>
      <c r="BC731" s="4"/>
      <c r="BD731" s="4"/>
      <c r="BG731" s="4"/>
      <c r="BH731" s="4"/>
    </row>
    <row r="732" spans="3:60">
      <c r="C732" s="4"/>
      <c r="D732" s="4"/>
      <c r="G732" s="4"/>
      <c r="H732" s="4"/>
      <c r="K732" s="4"/>
      <c r="L732" s="4"/>
      <c r="O732" s="4"/>
      <c r="P732" s="4"/>
      <c r="S732" s="4"/>
      <c r="T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I732" s="4"/>
      <c r="AJ732" s="4"/>
      <c r="AM732" s="4"/>
      <c r="AN732" s="4"/>
      <c r="AQ732" s="4"/>
      <c r="AR732" s="4"/>
      <c r="AU732" s="4"/>
      <c r="AV732" s="4"/>
      <c r="AY732" s="4"/>
      <c r="AZ732" s="4"/>
      <c r="BC732" s="4"/>
      <c r="BD732" s="4"/>
      <c r="BG732" s="4"/>
      <c r="BH732" s="4"/>
    </row>
    <row r="733" spans="3:60">
      <c r="C733" s="4"/>
      <c r="D733" s="4"/>
      <c r="G733" s="4"/>
      <c r="H733" s="4"/>
      <c r="K733" s="4"/>
      <c r="L733" s="4"/>
      <c r="O733" s="4"/>
      <c r="P733" s="4"/>
      <c r="S733" s="4"/>
      <c r="T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I733" s="4"/>
      <c r="AJ733" s="4"/>
      <c r="AM733" s="4"/>
      <c r="AN733" s="4"/>
      <c r="AQ733" s="4"/>
      <c r="AR733" s="4"/>
      <c r="AU733" s="4"/>
      <c r="AV733" s="4"/>
      <c r="AY733" s="4"/>
      <c r="AZ733" s="4"/>
      <c r="BC733" s="4"/>
      <c r="BD733" s="4"/>
      <c r="BG733" s="4"/>
      <c r="BH733" s="4"/>
    </row>
    <row r="734" spans="3:60">
      <c r="C734" s="4"/>
      <c r="D734" s="4"/>
      <c r="G734" s="4"/>
      <c r="H734" s="4"/>
      <c r="K734" s="4"/>
      <c r="L734" s="4"/>
      <c r="O734" s="4"/>
      <c r="P734" s="4"/>
      <c r="S734" s="4"/>
      <c r="T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I734" s="4"/>
      <c r="AJ734" s="4"/>
      <c r="AM734" s="4"/>
      <c r="AN734" s="4"/>
      <c r="AQ734" s="4"/>
      <c r="AR734" s="4"/>
      <c r="AU734" s="4"/>
      <c r="AV734" s="4"/>
      <c r="AY734" s="4"/>
      <c r="AZ734" s="4"/>
      <c r="BC734" s="4"/>
      <c r="BD734" s="4"/>
      <c r="BG734" s="4"/>
      <c r="BH734" s="4"/>
    </row>
    <row r="735" spans="3:60">
      <c r="C735" s="4"/>
      <c r="D735" s="4"/>
      <c r="G735" s="4"/>
      <c r="H735" s="4"/>
      <c r="K735" s="4"/>
      <c r="L735" s="4"/>
      <c r="O735" s="4"/>
      <c r="P735" s="4"/>
      <c r="S735" s="4"/>
      <c r="T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I735" s="4"/>
      <c r="AJ735" s="4"/>
      <c r="AM735" s="4"/>
      <c r="AN735" s="4"/>
      <c r="AQ735" s="4"/>
      <c r="AR735" s="4"/>
      <c r="AU735" s="4"/>
      <c r="AV735" s="4"/>
      <c r="AY735" s="4"/>
      <c r="AZ735" s="4"/>
      <c r="BC735" s="4"/>
      <c r="BD735" s="4"/>
      <c r="BG735" s="4"/>
      <c r="BH735" s="4"/>
    </row>
    <row r="736" spans="3:60">
      <c r="C736" s="4"/>
      <c r="D736" s="4"/>
      <c r="G736" s="4"/>
      <c r="H736" s="4"/>
      <c r="K736" s="4"/>
      <c r="L736" s="4"/>
      <c r="O736" s="4"/>
      <c r="P736" s="4"/>
      <c r="S736" s="4"/>
      <c r="T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I736" s="4"/>
      <c r="AJ736" s="4"/>
      <c r="AM736" s="4"/>
      <c r="AN736" s="4"/>
      <c r="AQ736" s="4"/>
      <c r="AR736" s="4"/>
      <c r="AU736" s="4"/>
      <c r="AV736" s="4"/>
      <c r="AY736" s="4"/>
      <c r="AZ736" s="4"/>
      <c r="BC736" s="4"/>
      <c r="BD736" s="4"/>
      <c r="BG736" s="4"/>
      <c r="BH736" s="4"/>
    </row>
    <row r="737" spans="3:60">
      <c r="C737" s="4"/>
      <c r="D737" s="4"/>
      <c r="G737" s="4"/>
      <c r="H737" s="4"/>
      <c r="K737" s="4"/>
      <c r="L737" s="4"/>
      <c r="O737" s="4"/>
      <c r="P737" s="4"/>
      <c r="S737" s="4"/>
      <c r="T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I737" s="4"/>
      <c r="AJ737" s="4"/>
      <c r="AM737" s="4"/>
      <c r="AN737" s="4"/>
      <c r="AQ737" s="4"/>
      <c r="AR737" s="4"/>
      <c r="AU737" s="4"/>
      <c r="AV737" s="4"/>
      <c r="AY737" s="4"/>
      <c r="AZ737" s="4"/>
      <c r="BC737" s="4"/>
      <c r="BD737" s="4"/>
      <c r="BG737" s="4"/>
      <c r="BH737" s="4"/>
    </row>
    <row r="738" spans="3:60">
      <c r="C738" s="4"/>
      <c r="D738" s="4"/>
      <c r="G738" s="4"/>
      <c r="H738" s="4"/>
      <c r="K738" s="4"/>
      <c r="L738" s="4"/>
      <c r="O738" s="4"/>
      <c r="P738" s="4"/>
      <c r="S738" s="4"/>
      <c r="T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I738" s="4"/>
      <c r="AJ738" s="4"/>
      <c r="AM738" s="4"/>
      <c r="AN738" s="4"/>
      <c r="AQ738" s="4"/>
      <c r="AR738" s="4"/>
      <c r="AU738" s="4"/>
      <c r="AV738" s="4"/>
      <c r="AY738" s="4"/>
      <c r="AZ738" s="4"/>
      <c r="BC738" s="4"/>
      <c r="BD738" s="4"/>
      <c r="BG738" s="4"/>
      <c r="BH738" s="4"/>
    </row>
    <row r="739" spans="3:60">
      <c r="C739" s="4"/>
      <c r="D739" s="4"/>
      <c r="G739" s="4"/>
      <c r="H739" s="4"/>
      <c r="K739" s="4"/>
      <c r="L739" s="4"/>
      <c r="O739" s="4"/>
      <c r="P739" s="4"/>
      <c r="S739" s="4"/>
      <c r="T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I739" s="4"/>
      <c r="AJ739" s="4"/>
      <c r="AM739" s="4"/>
      <c r="AN739" s="4"/>
      <c r="AQ739" s="4"/>
      <c r="AR739" s="4"/>
      <c r="AU739" s="4"/>
      <c r="AV739" s="4"/>
      <c r="AY739" s="4"/>
      <c r="AZ739" s="4"/>
      <c r="BC739" s="4"/>
      <c r="BD739" s="4"/>
      <c r="BG739" s="4"/>
      <c r="BH739" s="4"/>
    </row>
    <row r="740" spans="3:60">
      <c r="C740" s="4"/>
      <c r="D740" s="4"/>
      <c r="G740" s="4"/>
      <c r="H740" s="4"/>
      <c r="K740" s="4"/>
      <c r="L740" s="4"/>
      <c r="O740" s="4"/>
      <c r="P740" s="4"/>
      <c r="S740" s="4"/>
      <c r="T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I740" s="4"/>
      <c r="AJ740" s="4"/>
      <c r="AM740" s="4"/>
      <c r="AN740" s="4"/>
      <c r="AQ740" s="4"/>
      <c r="AR740" s="4"/>
      <c r="AU740" s="4"/>
      <c r="AV740" s="4"/>
      <c r="AY740" s="4"/>
      <c r="AZ740" s="4"/>
      <c r="BC740" s="4"/>
      <c r="BD740" s="4"/>
      <c r="BG740" s="4"/>
      <c r="BH740" s="4"/>
    </row>
    <row r="741" spans="3:60">
      <c r="C741" s="4"/>
      <c r="D741" s="4"/>
      <c r="G741" s="4"/>
      <c r="H741" s="4"/>
      <c r="K741" s="4"/>
      <c r="L741" s="4"/>
      <c r="O741" s="4"/>
      <c r="P741" s="4"/>
      <c r="S741" s="4"/>
      <c r="T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I741" s="4"/>
      <c r="AJ741" s="4"/>
      <c r="AM741" s="4"/>
      <c r="AN741" s="4"/>
      <c r="AQ741" s="4"/>
      <c r="AR741" s="4"/>
      <c r="AU741" s="4"/>
      <c r="AV741" s="4"/>
      <c r="AY741" s="4"/>
      <c r="AZ741" s="4"/>
      <c r="BC741" s="4"/>
      <c r="BD741" s="4"/>
      <c r="BG741" s="4"/>
      <c r="BH741" s="4"/>
    </row>
    <row r="742" spans="3:60">
      <c r="C742" s="4"/>
      <c r="D742" s="4"/>
      <c r="G742" s="4"/>
      <c r="H742" s="4"/>
      <c r="K742" s="4"/>
      <c r="L742" s="4"/>
      <c r="O742" s="4"/>
      <c r="P742" s="4"/>
      <c r="S742" s="4"/>
      <c r="T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I742" s="4"/>
      <c r="AJ742" s="4"/>
      <c r="AM742" s="4"/>
      <c r="AN742" s="4"/>
      <c r="AQ742" s="4"/>
      <c r="AR742" s="4"/>
      <c r="AU742" s="4"/>
      <c r="AV742" s="4"/>
      <c r="AY742" s="4"/>
      <c r="AZ742" s="4"/>
      <c r="BC742" s="4"/>
      <c r="BD742" s="4"/>
      <c r="BG742" s="4"/>
      <c r="BH742" s="4"/>
    </row>
    <row r="743" spans="3:60">
      <c r="C743" s="4"/>
      <c r="D743" s="4"/>
      <c r="G743" s="4"/>
      <c r="H743" s="4"/>
      <c r="K743" s="4"/>
      <c r="L743" s="4"/>
      <c r="O743" s="4"/>
      <c r="P743" s="4"/>
      <c r="S743" s="4"/>
      <c r="T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I743" s="4"/>
      <c r="AJ743" s="4"/>
      <c r="AM743" s="4"/>
      <c r="AN743" s="4"/>
      <c r="AQ743" s="4"/>
      <c r="AR743" s="4"/>
      <c r="AU743" s="4"/>
      <c r="AV743" s="4"/>
      <c r="AY743" s="4"/>
      <c r="AZ743" s="4"/>
      <c r="BC743" s="4"/>
      <c r="BD743" s="4"/>
      <c r="BG743" s="4"/>
      <c r="BH743" s="4"/>
    </row>
    <row r="744" spans="3:60">
      <c r="C744" s="4"/>
      <c r="D744" s="4"/>
      <c r="G744" s="4"/>
      <c r="H744" s="4"/>
      <c r="K744" s="4"/>
      <c r="L744" s="4"/>
      <c r="O744" s="4"/>
      <c r="P744" s="4"/>
      <c r="S744" s="4"/>
      <c r="T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I744" s="4"/>
      <c r="AJ744" s="4"/>
      <c r="AM744" s="4"/>
      <c r="AN744" s="4"/>
      <c r="AQ744" s="4"/>
      <c r="AR744" s="4"/>
      <c r="AU744" s="4"/>
      <c r="AV744" s="4"/>
      <c r="AY744" s="4"/>
      <c r="AZ744" s="4"/>
      <c r="BC744" s="4"/>
      <c r="BD744" s="4"/>
      <c r="BG744" s="4"/>
      <c r="BH744" s="4"/>
    </row>
    <row r="745" spans="3:60">
      <c r="C745" s="4"/>
      <c r="D745" s="4"/>
      <c r="G745" s="4"/>
      <c r="H745" s="4"/>
      <c r="K745" s="4"/>
      <c r="L745" s="4"/>
      <c r="O745" s="4"/>
      <c r="P745" s="4"/>
      <c r="S745" s="4"/>
      <c r="T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I745" s="4"/>
      <c r="AJ745" s="4"/>
      <c r="AM745" s="4"/>
      <c r="AN745" s="4"/>
      <c r="AQ745" s="4"/>
      <c r="AR745" s="4"/>
      <c r="AU745" s="4"/>
      <c r="AV745" s="4"/>
      <c r="AY745" s="4"/>
      <c r="AZ745" s="4"/>
      <c r="BC745" s="4"/>
      <c r="BD745" s="4"/>
      <c r="BG745" s="4"/>
      <c r="BH745" s="4"/>
    </row>
    <row r="746" spans="3:60">
      <c r="C746" s="4"/>
      <c r="D746" s="4"/>
      <c r="G746" s="4"/>
      <c r="H746" s="4"/>
      <c r="K746" s="4"/>
      <c r="L746" s="4"/>
      <c r="O746" s="4"/>
      <c r="P746" s="4"/>
      <c r="S746" s="4"/>
      <c r="T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I746" s="4"/>
      <c r="AJ746" s="4"/>
      <c r="AM746" s="4"/>
      <c r="AN746" s="4"/>
      <c r="AQ746" s="4"/>
      <c r="AR746" s="4"/>
      <c r="AU746" s="4"/>
      <c r="AV746" s="4"/>
      <c r="AY746" s="4"/>
      <c r="AZ746" s="4"/>
      <c r="BC746" s="4"/>
      <c r="BD746" s="4"/>
      <c r="BG746" s="4"/>
      <c r="BH746" s="4"/>
    </row>
    <row r="747" spans="3:60">
      <c r="C747" s="4"/>
      <c r="D747" s="4"/>
      <c r="G747" s="4"/>
      <c r="H747" s="4"/>
      <c r="K747" s="4"/>
      <c r="L747" s="4"/>
      <c r="O747" s="4"/>
      <c r="P747" s="4"/>
      <c r="S747" s="4"/>
      <c r="T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I747" s="4"/>
      <c r="AJ747" s="4"/>
      <c r="AM747" s="4"/>
      <c r="AN747" s="4"/>
      <c r="AQ747" s="4"/>
      <c r="AR747" s="4"/>
      <c r="AU747" s="4"/>
      <c r="AV747" s="4"/>
      <c r="AY747" s="4"/>
      <c r="AZ747" s="4"/>
      <c r="BC747" s="4"/>
      <c r="BD747" s="4"/>
      <c r="BG747" s="4"/>
      <c r="BH747" s="4"/>
    </row>
    <row r="748" spans="3:60">
      <c r="C748" s="4"/>
      <c r="D748" s="4"/>
      <c r="G748" s="4"/>
      <c r="H748" s="4"/>
      <c r="K748" s="4"/>
      <c r="L748" s="4"/>
      <c r="O748" s="4"/>
      <c r="P748" s="4"/>
      <c r="S748" s="4"/>
      <c r="T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I748" s="4"/>
      <c r="AJ748" s="4"/>
      <c r="AM748" s="4"/>
      <c r="AN748" s="4"/>
      <c r="AQ748" s="4"/>
      <c r="AR748" s="4"/>
      <c r="AU748" s="4"/>
      <c r="AV748" s="4"/>
      <c r="AY748" s="4"/>
      <c r="AZ748" s="4"/>
      <c r="BC748" s="4"/>
      <c r="BD748" s="4"/>
      <c r="BG748" s="4"/>
      <c r="BH748" s="4"/>
    </row>
    <row r="749" spans="3:60">
      <c r="C749" s="4"/>
      <c r="D749" s="4"/>
      <c r="G749" s="4"/>
      <c r="H749" s="4"/>
      <c r="K749" s="4"/>
      <c r="L749" s="4"/>
      <c r="O749" s="4"/>
      <c r="P749" s="4"/>
      <c r="S749" s="4"/>
      <c r="T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I749" s="4"/>
      <c r="AJ749" s="4"/>
      <c r="AM749" s="4"/>
      <c r="AN749" s="4"/>
      <c r="AQ749" s="4"/>
      <c r="AR749" s="4"/>
      <c r="AU749" s="4"/>
      <c r="AV749" s="4"/>
      <c r="AY749" s="4"/>
      <c r="AZ749" s="4"/>
      <c r="BC749" s="4"/>
      <c r="BD749" s="4"/>
      <c r="BG749" s="4"/>
      <c r="BH749" s="4"/>
    </row>
    <row r="750" spans="3:60">
      <c r="C750" s="4"/>
      <c r="D750" s="4"/>
      <c r="G750" s="4"/>
      <c r="H750" s="4"/>
      <c r="K750" s="4"/>
      <c r="L750" s="4"/>
      <c r="O750" s="4"/>
      <c r="P750" s="4"/>
      <c r="S750" s="4"/>
      <c r="T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I750" s="4"/>
      <c r="AJ750" s="4"/>
      <c r="AM750" s="4"/>
      <c r="AN750" s="4"/>
      <c r="AQ750" s="4"/>
      <c r="AR750" s="4"/>
      <c r="AU750" s="4"/>
      <c r="AV750" s="4"/>
      <c r="AY750" s="4"/>
      <c r="AZ750" s="4"/>
      <c r="BC750" s="4"/>
      <c r="BD750" s="4"/>
      <c r="BG750" s="4"/>
      <c r="BH750" s="4"/>
    </row>
    <row r="751" spans="3:60">
      <c r="C751" s="4"/>
      <c r="D751" s="4"/>
      <c r="G751" s="4"/>
      <c r="H751" s="4"/>
      <c r="K751" s="4"/>
      <c r="L751" s="4"/>
      <c r="O751" s="4"/>
      <c r="P751" s="4"/>
      <c r="S751" s="4"/>
      <c r="T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I751" s="4"/>
      <c r="AJ751" s="4"/>
      <c r="AM751" s="4"/>
      <c r="AN751" s="4"/>
      <c r="AQ751" s="4"/>
      <c r="AR751" s="4"/>
      <c r="AU751" s="4"/>
      <c r="AV751" s="4"/>
      <c r="AY751" s="4"/>
      <c r="AZ751" s="4"/>
      <c r="BC751" s="4"/>
      <c r="BD751" s="4"/>
      <c r="BG751" s="4"/>
      <c r="BH751" s="4"/>
    </row>
    <row r="752" spans="3:60">
      <c r="C752" s="4"/>
      <c r="D752" s="4"/>
      <c r="G752" s="4"/>
      <c r="H752" s="4"/>
      <c r="K752" s="4"/>
      <c r="L752" s="4"/>
      <c r="O752" s="4"/>
      <c r="P752" s="4"/>
      <c r="S752" s="4"/>
      <c r="T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I752" s="4"/>
      <c r="AJ752" s="4"/>
      <c r="AM752" s="4"/>
      <c r="AN752" s="4"/>
      <c r="AQ752" s="4"/>
      <c r="AR752" s="4"/>
      <c r="AU752" s="4"/>
      <c r="AV752" s="4"/>
      <c r="AY752" s="4"/>
      <c r="AZ752" s="4"/>
      <c r="BC752" s="4"/>
      <c r="BD752" s="4"/>
      <c r="BG752" s="4"/>
      <c r="BH752" s="4"/>
    </row>
    <row r="753" spans="3:60">
      <c r="C753" s="4"/>
      <c r="D753" s="4"/>
      <c r="G753" s="4"/>
      <c r="H753" s="4"/>
      <c r="K753" s="4"/>
      <c r="L753" s="4"/>
      <c r="O753" s="4"/>
      <c r="P753" s="4"/>
      <c r="S753" s="4"/>
      <c r="T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I753" s="4"/>
      <c r="AJ753" s="4"/>
      <c r="AM753" s="4"/>
      <c r="AN753" s="4"/>
      <c r="AQ753" s="4"/>
      <c r="AR753" s="4"/>
      <c r="AU753" s="4"/>
      <c r="AV753" s="4"/>
      <c r="AY753" s="4"/>
      <c r="AZ753" s="4"/>
      <c r="BC753" s="4"/>
      <c r="BD753" s="4"/>
      <c r="BG753" s="4"/>
      <c r="BH753" s="4"/>
    </row>
    <row r="754" spans="3:60">
      <c r="C754" s="4"/>
      <c r="D754" s="4"/>
      <c r="G754" s="4"/>
      <c r="H754" s="4"/>
      <c r="K754" s="4"/>
      <c r="L754" s="4"/>
      <c r="O754" s="4"/>
      <c r="P754" s="4"/>
      <c r="S754" s="4"/>
      <c r="T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I754" s="4"/>
      <c r="AJ754" s="4"/>
      <c r="AM754" s="4"/>
      <c r="AN754" s="4"/>
      <c r="AQ754" s="4"/>
      <c r="AR754" s="4"/>
      <c r="AU754" s="4"/>
      <c r="AV754" s="4"/>
      <c r="AY754" s="4"/>
      <c r="AZ754" s="4"/>
      <c r="BC754" s="4"/>
      <c r="BD754" s="4"/>
      <c r="BG754" s="4"/>
      <c r="BH754" s="4"/>
    </row>
    <row r="755" spans="3:60">
      <c r="C755" s="4"/>
      <c r="D755" s="4"/>
      <c r="G755" s="4"/>
      <c r="H755" s="4"/>
      <c r="K755" s="4"/>
      <c r="L755" s="4"/>
      <c r="O755" s="4"/>
      <c r="P755" s="4"/>
      <c r="S755" s="4"/>
      <c r="T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I755" s="4"/>
      <c r="AJ755" s="4"/>
      <c r="AM755" s="4"/>
      <c r="AN755" s="4"/>
      <c r="AQ755" s="4"/>
      <c r="AR755" s="4"/>
      <c r="AU755" s="4"/>
      <c r="AV755" s="4"/>
      <c r="AY755" s="4"/>
      <c r="AZ755" s="4"/>
      <c r="BC755" s="4"/>
      <c r="BD755" s="4"/>
      <c r="BG755" s="4"/>
      <c r="BH755" s="4"/>
    </row>
    <row r="756" spans="3:60">
      <c r="C756" s="4"/>
      <c r="D756" s="4"/>
      <c r="G756" s="4"/>
      <c r="H756" s="4"/>
      <c r="K756" s="4"/>
      <c r="L756" s="4"/>
      <c r="O756" s="4"/>
      <c r="P756" s="4"/>
      <c r="S756" s="4"/>
      <c r="T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I756" s="4"/>
      <c r="AJ756" s="4"/>
      <c r="AM756" s="4"/>
      <c r="AN756" s="4"/>
      <c r="AQ756" s="4"/>
      <c r="AR756" s="4"/>
      <c r="AU756" s="4"/>
      <c r="AV756" s="4"/>
      <c r="AY756" s="4"/>
      <c r="AZ756" s="4"/>
      <c r="BC756" s="4"/>
      <c r="BD756" s="4"/>
      <c r="BG756" s="4"/>
      <c r="BH756" s="4"/>
    </row>
    <row r="757" spans="3:60">
      <c r="C757" s="4"/>
      <c r="D757" s="4"/>
      <c r="G757" s="4"/>
      <c r="H757" s="4"/>
      <c r="K757" s="4"/>
      <c r="L757" s="4"/>
      <c r="O757" s="4"/>
      <c r="P757" s="4"/>
      <c r="S757" s="4"/>
      <c r="T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I757" s="4"/>
      <c r="AJ757" s="4"/>
      <c r="AM757" s="4"/>
      <c r="AN757" s="4"/>
      <c r="AQ757" s="4"/>
      <c r="AR757" s="4"/>
      <c r="AU757" s="4"/>
      <c r="AV757" s="4"/>
      <c r="AY757" s="4"/>
      <c r="AZ757" s="4"/>
      <c r="BC757" s="4"/>
      <c r="BD757" s="4"/>
      <c r="BG757" s="4"/>
      <c r="BH757" s="4"/>
    </row>
    <row r="758" spans="3:60">
      <c r="C758" s="4"/>
      <c r="D758" s="4"/>
      <c r="G758" s="4"/>
      <c r="H758" s="4"/>
      <c r="K758" s="4"/>
      <c r="L758" s="4"/>
      <c r="O758" s="4"/>
      <c r="P758" s="4"/>
      <c r="S758" s="4"/>
      <c r="T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I758" s="4"/>
      <c r="AJ758" s="4"/>
      <c r="AM758" s="4"/>
      <c r="AN758" s="4"/>
      <c r="AQ758" s="4"/>
      <c r="AR758" s="4"/>
      <c r="AU758" s="4"/>
      <c r="AV758" s="4"/>
      <c r="AY758" s="4"/>
      <c r="AZ758" s="4"/>
      <c r="BC758" s="4"/>
      <c r="BD758" s="4"/>
      <c r="BG758" s="4"/>
      <c r="BH758" s="4"/>
    </row>
    <row r="759" spans="3:60">
      <c r="C759" s="4"/>
      <c r="D759" s="4"/>
      <c r="G759" s="4"/>
      <c r="H759" s="4"/>
      <c r="K759" s="4"/>
      <c r="L759" s="4"/>
      <c r="O759" s="4"/>
      <c r="P759" s="4"/>
      <c r="S759" s="4"/>
      <c r="T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I759" s="4"/>
      <c r="AJ759" s="4"/>
      <c r="AM759" s="4"/>
      <c r="AN759" s="4"/>
      <c r="AQ759" s="4"/>
      <c r="AR759" s="4"/>
      <c r="AU759" s="4"/>
      <c r="AV759" s="4"/>
      <c r="AY759" s="4"/>
      <c r="AZ759" s="4"/>
      <c r="BC759" s="4"/>
      <c r="BD759" s="4"/>
      <c r="BG759" s="4"/>
      <c r="BH759" s="4"/>
    </row>
    <row r="760" spans="3:60">
      <c r="C760" s="4"/>
      <c r="D760" s="4"/>
      <c r="G760" s="4"/>
      <c r="H760" s="4"/>
      <c r="K760" s="4"/>
      <c r="L760" s="4"/>
      <c r="O760" s="4"/>
      <c r="P760" s="4"/>
      <c r="S760" s="4"/>
      <c r="T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I760" s="4"/>
      <c r="AJ760" s="4"/>
      <c r="AM760" s="4"/>
      <c r="AN760" s="4"/>
      <c r="AQ760" s="4"/>
      <c r="AR760" s="4"/>
      <c r="AU760" s="4"/>
      <c r="AV760" s="4"/>
      <c r="AY760" s="4"/>
      <c r="AZ760" s="4"/>
      <c r="BC760" s="4"/>
      <c r="BD760" s="4"/>
      <c r="BG760" s="4"/>
      <c r="BH760" s="4"/>
    </row>
    <row r="761" spans="3:60">
      <c r="C761" s="4"/>
      <c r="D761" s="4"/>
      <c r="G761" s="4"/>
      <c r="H761" s="4"/>
      <c r="K761" s="4"/>
      <c r="L761" s="4"/>
      <c r="O761" s="4"/>
      <c r="P761" s="4"/>
      <c r="S761" s="4"/>
      <c r="T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I761" s="4"/>
      <c r="AJ761" s="4"/>
      <c r="AM761" s="4"/>
      <c r="AN761" s="4"/>
      <c r="AQ761" s="4"/>
      <c r="AR761" s="4"/>
      <c r="AU761" s="4"/>
      <c r="AV761" s="4"/>
      <c r="AY761" s="4"/>
      <c r="AZ761" s="4"/>
      <c r="BC761" s="4"/>
      <c r="BD761" s="4"/>
      <c r="BG761" s="4"/>
      <c r="BH761" s="4"/>
    </row>
    <row r="762" spans="3:60">
      <c r="C762" s="4"/>
      <c r="D762" s="4"/>
      <c r="G762" s="4"/>
      <c r="H762" s="4"/>
      <c r="K762" s="4"/>
      <c r="L762" s="4"/>
      <c r="O762" s="4"/>
      <c r="P762" s="4"/>
      <c r="S762" s="4"/>
      <c r="T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I762" s="4"/>
      <c r="AJ762" s="4"/>
      <c r="AM762" s="4"/>
      <c r="AN762" s="4"/>
      <c r="AQ762" s="4"/>
      <c r="AR762" s="4"/>
      <c r="AU762" s="4"/>
      <c r="AV762" s="4"/>
      <c r="AY762" s="4"/>
      <c r="AZ762" s="4"/>
      <c r="BC762" s="4"/>
      <c r="BD762" s="4"/>
      <c r="BG762" s="4"/>
      <c r="BH762" s="4"/>
    </row>
    <row r="763" spans="3:60">
      <c r="C763" s="4"/>
      <c r="D763" s="4"/>
      <c r="G763" s="4"/>
      <c r="H763" s="4"/>
      <c r="K763" s="4"/>
      <c r="L763" s="4"/>
      <c r="O763" s="4"/>
      <c r="P763" s="4"/>
      <c r="S763" s="4"/>
      <c r="T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I763" s="4"/>
      <c r="AJ763" s="4"/>
      <c r="AM763" s="4"/>
      <c r="AN763" s="4"/>
      <c r="AQ763" s="4"/>
      <c r="AR763" s="4"/>
      <c r="AU763" s="4"/>
      <c r="AV763" s="4"/>
      <c r="AY763" s="4"/>
      <c r="AZ763" s="4"/>
      <c r="BC763" s="4"/>
      <c r="BD763" s="4"/>
      <c r="BG763" s="4"/>
      <c r="BH763" s="4"/>
    </row>
    <row r="764" spans="3:60">
      <c r="C764" s="4"/>
      <c r="D764" s="4"/>
      <c r="G764" s="4"/>
      <c r="H764" s="4"/>
      <c r="K764" s="4"/>
      <c r="L764" s="4"/>
      <c r="O764" s="4"/>
      <c r="P764" s="4"/>
      <c r="S764" s="4"/>
      <c r="T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I764" s="4"/>
      <c r="AJ764" s="4"/>
      <c r="AM764" s="4"/>
      <c r="AN764" s="4"/>
      <c r="AQ764" s="4"/>
      <c r="AR764" s="4"/>
      <c r="AU764" s="4"/>
      <c r="AV764" s="4"/>
      <c r="AY764" s="4"/>
      <c r="AZ764" s="4"/>
      <c r="BC764" s="4"/>
      <c r="BD764" s="4"/>
      <c r="BG764" s="4"/>
      <c r="BH764" s="4"/>
    </row>
    <row r="765" spans="3:60">
      <c r="C765" s="4"/>
      <c r="D765" s="4"/>
      <c r="G765" s="4"/>
      <c r="H765" s="4"/>
      <c r="K765" s="4"/>
      <c r="L765" s="4"/>
      <c r="O765" s="4"/>
      <c r="P765" s="4"/>
      <c r="S765" s="4"/>
      <c r="T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I765" s="4"/>
      <c r="AJ765" s="4"/>
      <c r="AM765" s="4"/>
      <c r="AN765" s="4"/>
      <c r="AQ765" s="4"/>
      <c r="AR765" s="4"/>
      <c r="AU765" s="4"/>
      <c r="AV765" s="4"/>
      <c r="AY765" s="4"/>
      <c r="AZ765" s="4"/>
      <c r="BC765" s="4"/>
      <c r="BD765" s="4"/>
      <c r="BG765" s="4"/>
      <c r="BH765" s="4"/>
    </row>
    <row r="766" spans="3:60">
      <c r="C766" s="4"/>
      <c r="D766" s="4"/>
      <c r="G766" s="4"/>
      <c r="H766" s="4"/>
      <c r="K766" s="4"/>
      <c r="L766" s="4"/>
      <c r="O766" s="4"/>
      <c r="P766" s="4"/>
      <c r="S766" s="4"/>
      <c r="T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I766" s="4"/>
      <c r="AJ766" s="4"/>
      <c r="AM766" s="4"/>
      <c r="AN766" s="4"/>
      <c r="AQ766" s="4"/>
      <c r="AR766" s="4"/>
      <c r="AU766" s="4"/>
      <c r="AV766" s="4"/>
      <c r="AY766" s="4"/>
      <c r="AZ766" s="4"/>
      <c r="BC766" s="4"/>
      <c r="BD766" s="4"/>
      <c r="BG766" s="4"/>
      <c r="BH766" s="4"/>
    </row>
    <row r="767" spans="3:60">
      <c r="C767" s="4"/>
      <c r="D767" s="4"/>
      <c r="G767" s="4"/>
      <c r="H767" s="4"/>
      <c r="K767" s="4"/>
      <c r="L767" s="4"/>
      <c r="O767" s="4"/>
      <c r="P767" s="4"/>
      <c r="S767" s="4"/>
      <c r="T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I767" s="4"/>
      <c r="AJ767" s="4"/>
      <c r="AM767" s="4"/>
      <c r="AN767" s="4"/>
      <c r="AQ767" s="4"/>
      <c r="AR767" s="4"/>
      <c r="AU767" s="4"/>
      <c r="AV767" s="4"/>
      <c r="AY767" s="4"/>
      <c r="AZ767" s="4"/>
      <c r="BC767" s="4"/>
      <c r="BD767" s="4"/>
      <c r="BG767" s="4"/>
      <c r="BH767" s="4"/>
    </row>
    <row r="768" spans="3:60">
      <c r="C768" s="4"/>
      <c r="D768" s="4"/>
      <c r="G768" s="4"/>
      <c r="H768" s="4"/>
      <c r="K768" s="4"/>
      <c r="L768" s="4"/>
      <c r="O768" s="4"/>
      <c r="P768" s="4"/>
      <c r="S768" s="4"/>
      <c r="T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I768" s="4"/>
      <c r="AJ768" s="4"/>
      <c r="AM768" s="4"/>
      <c r="AN768" s="4"/>
      <c r="AQ768" s="4"/>
      <c r="AR768" s="4"/>
      <c r="AU768" s="4"/>
      <c r="AV768" s="4"/>
      <c r="AY768" s="4"/>
      <c r="AZ768" s="4"/>
      <c r="BC768" s="4"/>
      <c r="BD768" s="4"/>
      <c r="BG768" s="4"/>
      <c r="BH768" s="4"/>
    </row>
    <row r="769" spans="3:60">
      <c r="C769" s="4"/>
      <c r="D769" s="4"/>
      <c r="G769" s="4"/>
      <c r="H769" s="4"/>
      <c r="K769" s="4"/>
      <c r="L769" s="4"/>
      <c r="O769" s="4"/>
      <c r="P769" s="4"/>
      <c r="S769" s="4"/>
      <c r="T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I769" s="4"/>
      <c r="AJ769" s="4"/>
      <c r="AM769" s="4"/>
      <c r="AN769" s="4"/>
      <c r="AQ769" s="4"/>
      <c r="AR769" s="4"/>
      <c r="AU769" s="4"/>
      <c r="AV769" s="4"/>
      <c r="AY769" s="4"/>
      <c r="AZ769" s="4"/>
      <c r="BC769" s="4"/>
      <c r="BD769" s="4"/>
      <c r="BG769" s="4"/>
      <c r="BH769" s="4"/>
    </row>
    <row r="770" spans="3:60">
      <c r="C770" s="4"/>
      <c r="D770" s="4"/>
      <c r="G770" s="4"/>
      <c r="H770" s="4"/>
      <c r="K770" s="4"/>
      <c r="L770" s="4"/>
      <c r="O770" s="4"/>
      <c r="P770" s="4"/>
      <c r="S770" s="4"/>
      <c r="T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I770" s="4"/>
      <c r="AJ770" s="4"/>
      <c r="AM770" s="4"/>
      <c r="AN770" s="4"/>
      <c r="AQ770" s="4"/>
      <c r="AR770" s="4"/>
      <c r="AU770" s="4"/>
      <c r="AV770" s="4"/>
      <c r="AY770" s="4"/>
      <c r="AZ770" s="4"/>
      <c r="BC770" s="4"/>
      <c r="BD770" s="4"/>
      <c r="BG770" s="4"/>
      <c r="BH770" s="4"/>
    </row>
    <row r="771" spans="3:60">
      <c r="C771" s="4"/>
      <c r="D771" s="4"/>
      <c r="G771" s="4"/>
      <c r="H771" s="4"/>
      <c r="K771" s="4"/>
      <c r="L771" s="4"/>
      <c r="O771" s="4"/>
      <c r="P771" s="4"/>
      <c r="S771" s="4"/>
      <c r="T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I771" s="4"/>
      <c r="AJ771" s="4"/>
      <c r="AM771" s="4"/>
      <c r="AN771" s="4"/>
      <c r="AQ771" s="4"/>
      <c r="AR771" s="4"/>
      <c r="AU771" s="4"/>
      <c r="AV771" s="4"/>
      <c r="AY771" s="4"/>
      <c r="AZ771" s="4"/>
      <c r="BC771" s="4"/>
      <c r="BD771" s="4"/>
      <c r="BG771" s="4"/>
      <c r="BH771" s="4"/>
    </row>
    <row r="772" spans="3:60">
      <c r="C772" s="4"/>
      <c r="D772" s="4"/>
      <c r="G772" s="4"/>
      <c r="H772" s="4"/>
      <c r="K772" s="4"/>
      <c r="L772" s="4"/>
      <c r="O772" s="4"/>
      <c r="P772" s="4"/>
      <c r="S772" s="4"/>
      <c r="T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I772" s="4"/>
      <c r="AJ772" s="4"/>
      <c r="AM772" s="4"/>
      <c r="AN772" s="4"/>
      <c r="AQ772" s="4"/>
      <c r="AR772" s="4"/>
      <c r="AU772" s="4"/>
      <c r="AV772" s="4"/>
      <c r="AY772" s="4"/>
      <c r="AZ772" s="4"/>
      <c r="BC772" s="4"/>
      <c r="BD772" s="4"/>
      <c r="BG772" s="4"/>
      <c r="BH772" s="4"/>
    </row>
    <row r="773" spans="3:60">
      <c r="C773" s="4"/>
      <c r="D773" s="4"/>
      <c r="G773" s="4"/>
      <c r="H773" s="4"/>
      <c r="K773" s="4"/>
      <c r="L773" s="4"/>
      <c r="O773" s="4"/>
      <c r="P773" s="4"/>
      <c r="S773" s="4"/>
      <c r="T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I773" s="4"/>
      <c r="AJ773" s="4"/>
      <c r="AM773" s="4"/>
      <c r="AN773" s="4"/>
      <c r="AQ773" s="4"/>
      <c r="AR773" s="4"/>
      <c r="AU773" s="4"/>
      <c r="AV773" s="4"/>
      <c r="AY773" s="4"/>
      <c r="AZ773" s="4"/>
      <c r="BC773" s="4"/>
      <c r="BD773" s="4"/>
      <c r="BG773" s="4"/>
      <c r="BH773" s="4"/>
    </row>
    <row r="774" spans="3:60">
      <c r="C774" s="4"/>
      <c r="D774" s="4"/>
      <c r="G774" s="4"/>
      <c r="H774" s="4"/>
      <c r="K774" s="4"/>
      <c r="L774" s="4"/>
      <c r="O774" s="4"/>
      <c r="P774" s="4"/>
      <c r="S774" s="4"/>
      <c r="T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I774" s="4"/>
      <c r="AJ774" s="4"/>
      <c r="AM774" s="4"/>
      <c r="AN774" s="4"/>
      <c r="AQ774" s="4"/>
      <c r="AR774" s="4"/>
      <c r="AU774" s="4"/>
      <c r="AV774" s="4"/>
      <c r="AY774" s="4"/>
      <c r="AZ774" s="4"/>
      <c r="BC774" s="4"/>
      <c r="BD774" s="4"/>
      <c r="BG774" s="4"/>
      <c r="BH774" s="4"/>
    </row>
    <row r="775" spans="3:60">
      <c r="C775" s="4"/>
      <c r="D775" s="4"/>
      <c r="G775" s="4"/>
      <c r="H775" s="4"/>
      <c r="K775" s="4"/>
      <c r="L775" s="4"/>
      <c r="O775" s="4"/>
      <c r="P775" s="4"/>
      <c r="S775" s="4"/>
      <c r="T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I775" s="4"/>
      <c r="AJ775" s="4"/>
      <c r="AM775" s="4"/>
      <c r="AN775" s="4"/>
      <c r="AQ775" s="4"/>
      <c r="AR775" s="4"/>
      <c r="AU775" s="4"/>
      <c r="AV775" s="4"/>
      <c r="AY775" s="4"/>
      <c r="AZ775" s="4"/>
      <c r="BC775" s="4"/>
      <c r="BD775" s="4"/>
      <c r="BG775" s="4"/>
      <c r="BH775" s="4"/>
    </row>
    <row r="776" spans="3:60">
      <c r="C776" s="4"/>
      <c r="D776" s="4"/>
      <c r="G776" s="4"/>
      <c r="H776" s="4"/>
      <c r="K776" s="4"/>
      <c r="L776" s="4"/>
      <c r="O776" s="4"/>
      <c r="P776" s="4"/>
      <c r="S776" s="4"/>
      <c r="T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I776" s="4"/>
      <c r="AJ776" s="4"/>
      <c r="AM776" s="4"/>
      <c r="AN776" s="4"/>
      <c r="AQ776" s="4"/>
      <c r="AR776" s="4"/>
      <c r="AU776" s="4"/>
      <c r="AV776" s="4"/>
      <c r="AY776" s="4"/>
      <c r="AZ776" s="4"/>
      <c r="BC776" s="4"/>
      <c r="BD776" s="4"/>
      <c r="BG776" s="4"/>
      <c r="BH776" s="4"/>
    </row>
    <row r="777" spans="3:60">
      <c r="C777" s="4"/>
      <c r="D777" s="4"/>
      <c r="G777" s="4"/>
      <c r="H777" s="4"/>
      <c r="K777" s="4"/>
      <c r="L777" s="4"/>
      <c r="O777" s="4"/>
      <c r="P777" s="4"/>
      <c r="S777" s="4"/>
      <c r="T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I777" s="4"/>
      <c r="AJ777" s="4"/>
      <c r="AM777" s="4"/>
      <c r="AN777" s="4"/>
      <c r="AQ777" s="4"/>
      <c r="AR777" s="4"/>
      <c r="AU777" s="4"/>
      <c r="AV777" s="4"/>
      <c r="AY777" s="4"/>
      <c r="AZ777" s="4"/>
      <c r="BC777" s="4"/>
      <c r="BD777" s="4"/>
      <c r="BG777" s="4"/>
      <c r="BH777" s="4"/>
    </row>
    <row r="778" spans="3:60">
      <c r="C778" s="4"/>
      <c r="D778" s="4"/>
      <c r="G778" s="4"/>
      <c r="H778" s="4"/>
      <c r="K778" s="4"/>
      <c r="L778" s="4"/>
      <c r="O778" s="4"/>
      <c r="P778" s="4"/>
      <c r="S778" s="4"/>
      <c r="T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I778" s="4"/>
      <c r="AJ778" s="4"/>
      <c r="AM778" s="4"/>
      <c r="AN778" s="4"/>
      <c r="AQ778" s="4"/>
      <c r="AR778" s="4"/>
      <c r="AU778" s="4"/>
      <c r="AV778" s="4"/>
      <c r="AY778" s="4"/>
      <c r="AZ778" s="4"/>
      <c r="BC778" s="4"/>
      <c r="BD778" s="4"/>
      <c r="BG778" s="4"/>
      <c r="BH778" s="4"/>
    </row>
    <row r="779" spans="3:60">
      <c r="C779" s="4"/>
      <c r="D779" s="4"/>
      <c r="G779" s="4"/>
      <c r="H779" s="4"/>
      <c r="K779" s="4"/>
      <c r="L779" s="4"/>
      <c r="O779" s="4"/>
      <c r="P779" s="4"/>
      <c r="S779" s="4"/>
      <c r="T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I779" s="4"/>
      <c r="AJ779" s="4"/>
      <c r="AM779" s="4"/>
      <c r="AN779" s="4"/>
      <c r="AQ779" s="4"/>
      <c r="AR779" s="4"/>
      <c r="AU779" s="4"/>
      <c r="AV779" s="4"/>
      <c r="AY779" s="4"/>
      <c r="AZ779" s="4"/>
      <c r="BC779" s="4"/>
      <c r="BD779" s="4"/>
      <c r="BG779" s="4"/>
      <c r="BH779" s="4"/>
    </row>
    <row r="780" spans="3:60">
      <c r="C780" s="4"/>
      <c r="D780" s="4"/>
      <c r="G780" s="4"/>
      <c r="H780" s="4"/>
      <c r="K780" s="4"/>
      <c r="L780" s="4"/>
      <c r="O780" s="4"/>
      <c r="P780" s="4"/>
      <c r="S780" s="4"/>
      <c r="T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I780" s="4"/>
      <c r="AJ780" s="4"/>
      <c r="AM780" s="4"/>
      <c r="AN780" s="4"/>
      <c r="AQ780" s="4"/>
      <c r="AR780" s="4"/>
      <c r="AU780" s="4"/>
      <c r="AV780" s="4"/>
      <c r="AY780" s="4"/>
      <c r="AZ780" s="4"/>
      <c r="BC780" s="4"/>
      <c r="BD780" s="4"/>
      <c r="BG780" s="4"/>
      <c r="BH780" s="4"/>
    </row>
    <row r="781" spans="3:60">
      <c r="C781" s="4"/>
      <c r="D781" s="4"/>
      <c r="G781" s="4"/>
      <c r="H781" s="4"/>
      <c r="K781" s="4"/>
      <c r="L781" s="4"/>
      <c r="O781" s="4"/>
      <c r="P781" s="4"/>
      <c r="S781" s="4"/>
      <c r="T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I781" s="4"/>
      <c r="AJ781" s="4"/>
      <c r="AM781" s="4"/>
      <c r="AN781" s="4"/>
      <c r="AQ781" s="4"/>
      <c r="AR781" s="4"/>
      <c r="AU781" s="4"/>
      <c r="AV781" s="4"/>
      <c r="AY781" s="4"/>
      <c r="AZ781" s="4"/>
      <c r="BC781" s="4"/>
      <c r="BD781" s="4"/>
      <c r="BG781" s="4"/>
      <c r="BH781" s="4"/>
    </row>
    <row r="782" spans="3:60">
      <c r="C782" s="4"/>
      <c r="D782" s="4"/>
      <c r="G782" s="4"/>
      <c r="H782" s="4"/>
      <c r="K782" s="4"/>
      <c r="L782" s="4"/>
      <c r="O782" s="4"/>
      <c r="P782" s="4"/>
      <c r="S782" s="4"/>
      <c r="T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I782" s="4"/>
      <c r="AJ782" s="4"/>
      <c r="AM782" s="4"/>
      <c r="AN782" s="4"/>
      <c r="AQ782" s="4"/>
      <c r="AR782" s="4"/>
      <c r="AU782" s="4"/>
      <c r="AV782" s="4"/>
      <c r="AY782" s="4"/>
      <c r="AZ782" s="4"/>
      <c r="BC782" s="4"/>
      <c r="BD782" s="4"/>
      <c r="BG782" s="4"/>
      <c r="BH782" s="4"/>
    </row>
    <row r="783" spans="3:60">
      <c r="C783" s="4"/>
      <c r="D783" s="4"/>
      <c r="G783" s="4"/>
      <c r="H783" s="4"/>
      <c r="K783" s="4"/>
      <c r="L783" s="4"/>
      <c r="O783" s="4"/>
      <c r="P783" s="4"/>
      <c r="S783" s="4"/>
      <c r="T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I783" s="4"/>
      <c r="AJ783" s="4"/>
      <c r="AM783" s="4"/>
      <c r="AN783" s="4"/>
      <c r="AQ783" s="4"/>
      <c r="AR783" s="4"/>
      <c r="AU783" s="4"/>
      <c r="AV783" s="4"/>
      <c r="AY783" s="4"/>
      <c r="AZ783" s="4"/>
      <c r="BC783" s="4"/>
      <c r="BD783" s="4"/>
      <c r="BG783" s="4"/>
      <c r="BH783" s="4"/>
    </row>
    <row r="784" spans="3:60">
      <c r="C784" s="4"/>
      <c r="D784" s="4"/>
      <c r="G784" s="4"/>
      <c r="H784" s="4"/>
      <c r="K784" s="4"/>
      <c r="L784" s="4"/>
      <c r="O784" s="4"/>
      <c r="P784" s="4"/>
      <c r="S784" s="4"/>
      <c r="T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I784" s="4"/>
      <c r="AJ784" s="4"/>
      <c r="AM784" s="4"/>
      <c r="AN784" s="4"/>
      <c r="AQ784" s="4"/>
      <c r="AR784" s="4"/>
      <c r="AU784" s="4"/>
      <c r="AV784" s="4"/>
      <c r="AY784" s="4"/>
      <c r="AZ784" s="4"/>
      <c r="BC784" s="4"/>
      <c r="BD784" s="4"/>
      <c r="BG784" s="4"/>
      <c r="BH784" s="4"/>
    </row>
    <row r="785" spans="3:60">
      <c r="C785" s="4"/>
      <c r="D785" s="4"/>
      <c r="G785" s="4"/>
      <c r="H785" s="4"/>
      <c r="K785" s="4"/>
      <c r="L785" s="4"/>
      <c r="O785" s="4"/>
      <c r="P785" s="4"/>
      <c r="S785" s="4"/>
      <c r="T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I785" s="4"/>
      <c r="AJ785" s="4"/>
      <c r="AM785" s="4"/>
      <c r="AN785" s="4"/>
      <c r="AQ785" s="4"/>
      <c r="AR785" s="4"/>
      <c r="AU785" s="4"/>
      <c r="AV785" s="4"/>
      <c r="AY785" s="4"/>
      <c r="AZ785" s="4"/>
      <c r="BC785" s="4"/>
      <c r="BD785" s="4"/>
      <c r="BG785" s="4"/>
      <c r="BH785" s="4"/>
    </row>
    <row r="786" spans="3:60">
      <c r="C786" s="4"/>
      <c r="D786" s="4"/>
      <c r="G786" s="4"/>
      <c r="H786" s="4"/>
      <c r="K786" s="4"/>
      <c r="L786" s="4"/>
      <c r="O786" s="4"/>
      <c r="P786" s="4"/>
      <c r="S786" s="4"/>
      <c r="T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I786" s="4"/>
      <c r="AJ786" s="4"/>
      <c r="AM786" s="4"/>
      <c r="AN786" s="4"/>
      <c r="AQ786" s="4"/>
      <c r="AR786" s="4"/>
      <c r="AU786" s="4"/>
      <c r="AV786" s="4"/>
      <c r="AY786" s="4"/>
      <c r="AZ786" s="4"/>
      <c r="BC786" s="4"/>
      <c r="BD786" s="4"/>
      <c r="BG786" s="4"/>
      <c r="BH786" s="4"/>
    </row>
    <row r="787" spans="3:60">
      <c r="C787" s="4"/>
      <c r="D787" s="4"/>
      <c r="G787" s="4"/>
      <c r="H787" s="4"/>
      <c r="K787" s="4"/>
      <c r="L787" s="4"/>
      <c r="O787" s="4"/>
      <c r="P787" s="4"/>
      <c r="S787" s="4"/>
      <c r="T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I787" s="4"/>
      <c r="AJ787" s="4"/>
      <c r="AM787" s="4"/>
      <c r="AN787" s="4"/>
      <c r="AQ787" s="4"/>
      <c r="AR787" s="4"/>
      <c r="AU787" s="4"/>
      <c r="AV787" s="4"/>
      <c r="AY787" s="4"/>
      <c r="AZ787" s="4"/>
      <c r="BC787" s="4"/>
      <c r="BD787" s="4"/>
      <c r="BG787" s="4"/>
      <c r="BH787" s="4"/>
    </row>
    <row r="788" spans="3:60">
      <c r="C788" s="4"/>
      <c r="D788" s="4"/>
      <c r="G788" s="4"/>
      <c r="H788" s="4"/>
      <c r="K788" s="4"/>
      <c r="L788" s="4"/>
      <c r="O788" s="4"/>
      <c r="P788" s="4"/>
      <c r="S788" s="4"/>
      <c r="T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I788" s="4"/>
      <c r="AJ788" s="4"/>
      <c r="AM788" s="4"/>
      <c r="AN788" s="4"/>
      <c r="AQ788" s="4"/>
      <c r="AR788" s="4"/>
      <c r="AU788" s="4"/>
      <c r="AV788" s="4"/>
      <c r="AY788" s="4"/>
      <c r="AZ788" s="4"/>
      <c r="BC788" s="4"/>
      <c r="BD788" s="4"/>
      <c r="BG788" s="4"/>
      <c r="BH788" s="4"/>
    </row>
    <row r="789" spans="3:60">
      <c r="C789" s="4"/>
      <c r="D789" s="4"/>
      <c r="G789" s="4"/>
      <c r="H789" s="4"/>
      <c r="K789" s="4"/>
      <c r="L789" s="4"/>
      <c r="O789" s="4"/>
      <c r="P789" s="4"/>
      <c r="S789" s="4"/>
      <c r="T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I789" s="4"/>
      <c r="AJ789" s="4"/>
      <c r="AM789" s="4"/>
      <c r="AN789" s="4"/>
      <c r="AQ789" s="4"/>
      <c r="AR789" s="4"/>
      <c r="AU789" s="4"/>
      <c r="AV789" s="4"/>
      <c r="AY789" s="4"/>
      <c r="AZ789" s="4"/>
      <c r="BC789" s="4"/>
      <c r="BD789" s="4"/>
      <c r="BG789" s="4"/>
      <c r="BH789" s="4"/>
    </row>
    <row r="790" spans="3:60">
      <c r="C790" s="4"/>
      <c r="D790" s="4"/>
      <c r="G790" s="4"/>
      <c r="H790" s="4"/>
      <c r="K790" s="4"/>
      <c r="L790" s="4"/>
      <c r="O790" s="4"/>
      <c r="P790" s="4"/>
      <c r="S790" s="4"/>
      <c r="T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I790" s="4"/>
      <c r="AJ790" s="4"/>
      <c r="AM790" s="4"/>
      <c r="AN790" s="4"/>
      <c r="AQ790" s="4"/>
      <c r="AR790" s="4"/>
      <c r="AU790" s="4"/>
      <c r="AV790" s="4"/>
      <c r="AY790" s="4"/>
      <c r="AZ790" s="4"/>
      <c r="BC790" s="4"/>
      <c r="BD790" s="4"/>
      <c r="BG790" s="4"/>
      <c r="BH790" s="4"/>
    </row>
    <row r="791" spans="3:60">
      <c r="C791" s="4"/>
      <c r="D791" s="4"/>
      <c r="G791" s="4"/>
      <c r="H791" s="4"/>
      <c r="K791" s="4"/>
      <c r="L791" s="4"/>
      <c r="O791" s="4"/>
      <c r="P791" s="4"/>
      <c r="S791" s="4"/>
      <c r="T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I791" s="4"/>
      <c r="AJ791" s="4"/>
      <c r="AM791" s="4"/>
      <c r="AN791" s="4"/>
      <c r="AQ791" s="4"/>
      <c r="AR791" s="4"/>
      <c r="AU791" s="4"/>
      <c r="AV791" s="4"/>
      <c r="AY791" s="4"/>
      <c r="AZ791" s="4"/>
      <c r="BC791" s="4"/>
      <c r="BD791" s="4"/>
      <c r="BG791" s="4"/>
      <c r="BH791" s="4"/>
    </row>
    <row r="792" spans="3:60">
      <c r="C792" s="4"/>
      <c r="D792" s="4"/>
      <c r="G792" s="4"/>
      <c r="H792" s="4"/>
      <c r="K792" s="4"/>
      <c r="L792" s="4"/>
      <c r="O792" s="4"/>
      <c r="P792" s="4"/>
      <c r="S792" s="4"/>
      <c r="T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I792" s="4"/>
      <c r="AJ792" s="4"/>
      <c r="AM792" s="4"/>
      <c r="AN792" s="4"/>
      <c r="AQ792" s="4"/>
      <c r="AR792" s="4"/>
      <c r="AU792" s="4"/>
      <c r="AV792" s="4"/>
      <c r="AY792" s="4"/>
      <c r="AZ792" s="4"/>
      <c r="BC792" s="4"/>
      <c r="BD792" s="4"/>
      <c r="BG792" s="4"/>
      <c r="BH792" s="4"/>
    </row>
    <row r="793" spans="3:60">
      <c r="C793" s="4"/>
      <c r="D793" s="4"/>
      <c r="G793" s="4"/>
      <c r="H793" s="4"/>
      <c r="K793" s="4"/>
      <c r="L793" s="4"/>
      <c r="O793" s="4"/>
      <c r="P793" s="4"/>
      <c r="S793" s="4"/>
      <c r="T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I793" s="4"/>
      <c r="AJ793" s="4"/>
      <c r="AM793" s="4"/>
      <c r="AN793" s="4"/>
      <c r="AQ793" s="4"/>
      <c r="AR793" s="4"/>
      <c r="AU793" s="4"/>
      <c r="AV793" s="4"/>
      <c r="AY793" s="4"/>
      <c r="AZ793" s="4"/>
      <c r="BC793" s="4"/>
      <c r="BD793" s="4"/>
      <c r="BG793" s="4"/>
      <c r="BH793" s="4"/>
    </row>
    <row r="794" spans="3:60">
      <c r="C794" s="4"/>
      <c r="D794" s="4"/>
      <c r="G794" s="4"/>
      <c r="H794" s="4"/>
      <c r="K794" s="4"/>
      <c r="L794" s="4"/>
      <c r="O794" s="4"/>
      <c r="P794" s="4"/>
      <c r="S794" s="4"/>
      <c r="T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I794" s="4"/>
      <c r="AJ794" s="4"/>
      <c r="AM794" s="4"/>
      <c r="AN794" s="4"/>
      <c r="AQ794" s="4"/>
      <c r="AR794" s="4"/>
      <c r="AU794" s="4"/>
      <c r="AV794" s="4"/>
      <c r="AY794" s="4"/>
      <c r="AZ794" s="4"/>
      <c r="BC794" s="4"/>
      <c r="BD794" s="4"/>
      <c r="BG794" s="4"/>
      <c r="BH794" s="4"/>
    </row>
    <row r="795" spans="3:60">
      <c r="C795" s="4"/>
      <c r="D795" s="4"/>
      <c r="G795" s="4"/>
      <c r="H795" s="4"/>
      <c r="K795" s="4"/>
      <c r="L795" s="4"/>
      <c r="O795" s="4"/>
      <c r="P795" s="4"/>
      <c r="S795" s="4"/>
      <c r="T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I795" s="4"/>
      <c r="AJ795" s="4"/>
      <c r="AM795" s="4"/>
      <c r="AN795" s="4"/>
      <c r="AQ795" s="4"/>
      <c r="AR795" s="4"/>
      <c r="AU795" s="4"/>
      <c r="AV795" s="4"/>
      <c r="AY795" s="4"/>
      <c r="AZ795" s="4"/>
      <c r="BC795" s="4"/>
      <c r="BD795" s="4"/>
      <c r="BG795" s="4"/>
      <c r="BH795" s="4"/>
    </row>
    <row r="796" spans="3:60">
      <c r="C796" s="4"/>
      <c r="D796" s="4"/>
      <c r="G796" s="4"/>
      <c r="H796" s="4"/>
      <c r="K796" s="4"/>
      <c r="L796" s="4"/>
      <c r="O796" s="4"/>
      <c r="P796" s="4"/>
      <c r="S796" s="4"/>
      <c r="T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I796" s="4"/>
      <c r="AJ796" s="4"/>
      <c r="AM796" s="4"/>
      <c r="AN796" s="4"/>
      <c r="AQ796" s="4"/>
      <c r="AR796" s="4"/>
      <c r="AU796" s="4"/>
      <c r="AV796" s="4"/>
      <c r="AY796" s="4"/>
      <c r="AZ796" s="4"/>
      <c r="BC796" s="4"/>
      <c r="BD796" s="4"/>
      <c r="BG796" s="4"/>
      <c r="BH796" s="4"/>
    </row>
    <row r="797" spans="3:60">
      <c r="C797" s="4"/>
      <c r="D797" s="4"/>
      <c r="G797" s="4"/>
      <c r="H797" s="4"/>
      <c r="K797" s="4"/>
      <c r="L797" s="4"/>
      <c r="O797" s="4"/>
      <c r="P797" s="4"/>
      <c r="S797" s="4"/>
      <c r="T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I797" s="4"/>
      <c r="AJ797" s="4"/>
      <c r="AM797" s="4"/>
      <c r="AN797" s="4"/>
      <c r="AQ797" s="4"/>
      <c r="AR797" s="4"/>
      <c r="AU797" s="4"/>
      <c r="AV797" s="4"/>
      <c r="AY797" s="4"/>
      <c r="AZ797" s="4"/>
      <c r="BC797" s="4"/>
      <c r="BD797" s="4"/>
      <c r="BG797" s="4"/>
      <c r="BH797" s="4"/>
    </row>
    <row r="798" spans="3:60">
      <c r="C798" s="4"/>
      <c r="D798" s="4"/>
      <c r="G798" s="4"/>
      <c r="H798" s="4"/>
      <c r="K798" s="4"/>
      <c r="L798" s="4"/>
      <c r="O798" s="4"/>
      <c r="P798" s="4"/>
      <c r="S798" s="4"/>
      <c r="T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I798" s="4"/>
      <c r="AJ798" s="4"/>
      <c r="AM798" s="4"/>
      <c r="AN798" s="4"/>
      <c r="AQ798" s="4"/>
      <c r="AR798" s="4"/>
      <c r="AU798" s="4"/>
      <c r="AV798" s="4"/>
      <c r="AY798" s="4"/>
      <c r="AZ798" s="4"/>
      <c r="BC798" s="4"/>
      <c r="BD798" s="4"/>
      <c r="BG798" s="4"/>
      <c r="BH798" s="4"/>
    </row>
    <row r="799" spans="3:60">
      <c r="C799" s="4"/>
      <c r="D799" s="4"/>
      <c r="G799" s="4"/>
      <c r="H799" s="4"/>
      <c r="K799" s="4"/>
      <c r="L799" s="4"/>
      <c r="O799" s="4"/>
      <c r="P799" s="4"/>
      <c r="S799" s="4"/>
      <c r="T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I799" s="4"/>
      <c r="AJ799" s="4"/>
      <c r="AM799" s="4"/>
      <c r="AN799" s="4"/>
      <c r="AQ799" s="4"/>
      <c r="AR799" s="4"/>
      <c r="AU799" s="4"/>
      <c r="AV799" s="4"/>
      <c r="AY799" s="4"/>
      <c r="AZ799" s="4"/>
      <c r="BC799" s="4"/>
      <c r="BD799" s="4"/>
      <c r="BG799" s="4"/>
      <c r="BH799" s="4"/>
    </row>
    <row r="800" spans="3:60">
      <c r="C800" s="4"/>
      <c r="D800" s="4"/>
      <c r="G800" s="4"/>
      <c r="H800" s="4"/>
      <c r="K800" s="4"/>
      <c r="L800" s="4"/>
      <c r="O800" s="4"/>
      <c r="P800" s="4"/>
      <c r="S800" s="4"/>
      <c r="T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I800" s="4"/>
      <c r="AJ800" s="4"/>
      <c r="AM800" s="4"/>
      <c r="AN800" s="4"/>
      <c r="AQ800" s="4"/>
      <c r="AR800" s="4"/>
      <c r="AU800" s="4"/>
      <c r="AV800" s="4"/>
      <c r="AY800" s="4"/>
      <c r="AZ800" s="4"/>
      <c r="BC800" s="4"/>
      <c r="BD800" s="4"/>
      <c r="BG800" s="4"/>
      <c r="BH800" s="4"/>
    </row>
    <row r="801" spans="3:60">
      <c r="C801" s="4"/>
      <c r="D801" s="4"/>
      <c r="G801" s="4"/>
      <c r="H801" s="4"/>
      <c r="K801" s="4"/>
      <c r="L801" s="4"/>
      <c r="O801" s="4"/>
      <c r="P801" s="4"/>
      <c r="S801" s="4"/>
      <c r="T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I801" s="4"/>
      <c r="AJ801" s="4"/>
      <c r="AM801" s="4"/>
      <c r="AN801" s="4"/>
      <c r="AQ801" s="4"/>
      <c r="AR801" s="4"/>
      <c r="AU801" s="4"/>
      <c r="AV801" s="4"/>
      <c r="AY801" s="4"/>
      <c r="AZ801" s="4"/>
      <c r="BC801" s="4"/>
      <c r="BD801" s="4"/>
      <c r="BG801" s="4"/>
      <c r="BH801" s="4"/>
    </row>
    <row r="802" spans="3:60">
      <c r="C802" s="4"/>
      <c r="D802" s="4"/>
      <c r="G802" s="4"/>
      <c r="H802" s="4"/>
      <c r="K802" s="4"/>
      <c r="L802" s="4"/>
      <c r="O802" s="4"/>
      <c r="P802" s="4"/>
      <c r="S802" s="4"/>
      <c r="T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I802" s="4"/>
      <c r="AJ802" s="4"/>
      <c r="AM802" s="4"/>
      <c r="AN802" s="4"/>
      <c r="AQ802" s="4"/>
      <c r="AR802" s="4"/>
      <c r="AU802" s="4"/>
      <c r="AV802" s="4"/>
      <c r="AY802" s="4"/>
      <c r="AZ802" s="4"/>
      <c r="BC802" s="4"/>
      <c r="BD802" s="4"/>
      <c r="BG802" s="4"/>
      <c r="BH802" s="4"/>
    </row>
    <row r="803" spans="3:60">
      <c r="C803" s="4"/>
      <c r="D803" s="4"/>
      <c r="G803" s="4"/>
      <c r="H803" s="4"/>
      <c r="K803" s="4"/>
      <c r="L803" s="4"/>
      <c r="O803" s="4"/>
      <c r="P803" s="4"/>
      <c r="S803" s="4"/>
      <c r="T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I803" s="4"/>
      <c r="AJ803" s="4"/>
      <c r="AM803" s="4"/>
      <c r="AN803" s="4"/>
      <c r="AQ803" s="4"/>
      <c r="AR803" s="4"/>
      <c r="AU803" s="4"/>
      <c r="AV803" s="4"/>
      <c r="AY803" s="4"/>
      <c r="AZ803" s="4"/>
      <c r="BC803" s="4"/>
      <c r="BD803" s="4"/>
      <c r="BG803" s="4"/>
      <c r="BH803" s="4"/>
    </row>
    <row r="804" spans="3:60">
      <c r="C804" s="4"/>
      <c r="D804" s="4"/>
      <c r="G804" s="4"/>
      <c r="H804" s="4"/>
      <c r="K804" s="4"/>
      <c r="L804" s="4"/>
      <c r="O804" s="4"/>
      <c r="P804" s="4"/>
      <c r="S804" s="4"/>
      <c r="T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I804" s="4"/>
      <c r="AJ804" s="4"/>
      <c r="AM804" s="4"/>
      <c r="AN804" s="4"/>
      <c r="AQ804" s="4"/>
      <c r="AR804" s="4"/>
      <c r="AU804" s="4"/>
      <c r="AV804" s="4"/>
      <c r="AY804" s="4"/>
      <c r="AZ804" s="4"/>
      <c r="BC804" s="4"/>
      <c r="BD804" s="4"/>
      <c r="BG804" s="4"/>
      <c r="BH804" s="4"/>
    </row>
    <row r="805" spans="3:60">
      <c r="C805" s="4"/>
      <c r="D805" s="4"/>
      <c r="G805" s="4"/>
      <c r="H805" s="4"/>
      <c r="K805" s="4"/>
      <c r="L805" s="4"/>
      <c r="O805" s="4"/>
      <c r="P805" s="4"/>
      <c r="S805" s="4"/>
      <c r="T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I805" s="4"/>
      <c r="AJ805" s="4"/>
      <c r="AM805" s="4"/>
      <c r="AN805" s="4"/>
      <c r="AQ805" s="4"/>
      <c r="AR805" s="4"/>
      <c r="AU805" s="4"/>
      <c r="AV805" s="4"/>
      <c r="AY805" s="4"/>
      <c r="AZ805" s="4"/>
      <c r="BC805" s="4"/>
      <c r="BD805" s="4"/>
      <c r="BG805" s="4"/>
      <c r="BH805" s="4"/>
    </row>
    <row r="806" spans="3:60">
      <c r="C806" s="4"/>
      <c r="D806" s="4"/>
      <c r="G806" s="4"/>
      <c r="H806" s="4"/>
      <c r="K806" s="4"/>
      <c r="L806" s="4"/>
      <c r="O806" s="4"/>
      <c r="P806" s="4"/>
      <c r="S806" s="4"/>
      <c r="T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I806" s="4"/>
      <c r="AJ806" s="4"/>
      <c r="AM806" s="4"/>
      <c r="AN806" s="4"/>
      <c r="AQ806" s="4"/>
      <c r="AR806" s="4"/>
      <c r="AU806" s="4"/>
      <c r="AV806" s="4"/>
      <c r="AY806" s="4"/>
      <c r="AZ806" s="4"/>
      <c r="BC806" s="4"/>
      <c r="BD806" s="4"/>
      <c r="BG806" s="4"/>
      <c r="BH806" s="4"/>
    </row>
    <row r="807" spans="3:60">
      <c r="C807" s="4"/>
      <c r="D807" s="4"/>
      <c r="G807" s="4"/>
      <c r="H807" s="4"/>
      <c r="K807" s="4"/>
      <c r="L807" s="4"/>
      <c r="O807" s="4"/>
      <c r="P807" s="4"/>
      <c r="S807" s="4"/>
      <c r="T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I807" s="4"/>
      <c r="AJ807" s="4"/>
      <c r="AM807" s="4"/>
      <c r="AN807" s="4"/>
      <c r="AQ807" s="4"/>
      <c r="AR807" s="4"/>
      <c r="AU807" s="4"/>
      <c r="AV807" s="4"/>
      <c r="AY807" s="4"/>
      <c r="AZ807" s="4"/>
      <c r="BC807" s="4"/>
      <c r="BD807" s="4"/>
      <c r="BG807" s="4"/>
      <c r="BH807" s="4"/>
    </row>
    <row r="808" spans="3:60">
      <c r="C808" s="4"/>
      <c r="D808" s="4"/>
      <c r="G808" s="4"/>
      <c r="H808" s="4"/>
      <c r="K808" s="4"/>
      <c r="L808" s="4"/>
      <c r="O808" s="4"/>
      <c r="P808" s="4"/>
      <c r="S808" s="4"/>
      <c r="T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I808" s="4"/>
      <c r="AJ808" s="4"/>
      <c r="AM808" s="4"/>
      <c r="AN808" s="4"/>
      <c r="AQ808" s="4"/>
      <c r="AR808" s="4"/>
      <c r="AU808" s="4"/>
      <c r="AV808" s="4"/>
      <c r="AY808" s="4"/>
      <c r="AZ808" s="4"/>
      <c r="BC808" s="4"/>
      <c r="BD808" s="4"/>
      <c r="BG808" s="4"/>
      <c r="BH808" s="4"/>
    </row>
    <row r="809" spans="3:60">
      <c r="C809" s="4"/>
      <c r="D809" s="4"/>
      <c r="G809" s="4"/>
      <c r="H809" s="4"/>
      <c r="K809" s="4"/>
      <c r="L809" s="4"/>
      <c r="O809" s="4"/>
      <c r="P809" s="4"/>
      <c r="S809" s="4"/>
      <c r="T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I809" s="4"/>
      <c r="AJ809" s="4"/>
      <c r="AM809" s="4"/>
      <c r="AN809" s="4"/>
      <c r="AQ809" s="4"/>
      <c r="AR809" s="4"/>
      <c r="AU809" s="4"/>
      <c r="AV809" s="4"/>
      <c r="AY809" s="4"/>
      <c r="AZ809" s="4"/>
      <c r="BC809" s="4"/>
      <c r="BD809" s="4"/>
      <c r="BG809" s="4"/>
      <c r="BH809" s="4"/>
    </row>
    <row r="810" spans="3:60">
      <c r="C810" s="4"/>
      <c r="D810" s="4"/>
      <c r="G810" s="4"/>
      <c r="H810" s="4"/>
      <c r="K810" s="4"/>
      <c r="L810" s="4"/>
      <c r="O810" s="4"/>
      <c r="P810" s="4"/>
      <c r="S810" s="4"/>
      <c r="T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I810" s="4"/>
      <c r="AJ810" s="4"/>
      <c r="AM810" s="4"/>
      <c r="AN810" s="4"/>
      <c r="AQ810" s="4"/>
      <c r="AR810" s="4"/>
      <c r="AU810" s="4"/>
      <c r="AV810" s="4"/>
      <c r="AY810" s="4"/>
      <c r="AZ810" s="4"/>
      <c r="BC810" s="4"/>
      <c r="BD810" s="4"/>
      <c r="BG810" s="4"/>
      <c r="BH810" s="4"/>
    </row>
    <row r="811" spans="3:60">
      <c r="C811" s="4"/>
      <c r="D811" s="4"/>
      <c r="G811" s="4"/>
      <c r="H811" s="4"/>
      <c r="K811" s="4"/>
      <c r="L811" s="4"/>
      <c r="O811" s="4"/>
      <c r="P811" s="4"/>
      <c r="S811" s="4"/>
      <c r="T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I811" s="4"/>
      <c r="AJ811" s="4"/>
      <c r="AM811" s="4"/>
      <c r="AN811" s="4"/>
      <c r="AQ811" s="4"/>
      <c r="AR811" s="4"/>
      <c r="AU811" s="4"/>
      <c r="AV811" s="4"/>
      <c r="AY811" s="4"/>
      <c r="AZ811" s="4"/>
      <c r="BC811" s="4"/>
      <c r="BD811" s="4"/>
      <c r="BG811" s="4"/>
      <c r="BH811" s="4"/>
    </row>
    <row r="812" spans="3:60">
      <c r="C812" s="4"/>
      <c r="D812" s="4"/>
      <c r="G812" s="4"/>
      <c r="H812" s="4"/>
      <c r="K812" s="4"/>
      <c r="L812" s="4"/>
      <c r="O812" s="4"/>
      <c r="P812" s="4"/>
      <c r="S812" s="4"/>
      <c r="T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I812" s="4"/>
      <c r="AJ812" s="4"/>
      <c r="AM812" s="4"/>
      <c r="AN812" s="4"/>
      <c r="AQ812" s="4"/>
      <c r="AR812" s="4"/>
      <c r="AU812" s="4"/>
      <c r="AV812" s="4"/>
      <c r="AY812" s="4"/>
      <c r="AZ812" s="4"/>
      <c r="BC812" s="4"/>
      <c r="BD812" s="4"/>
      <c r="BG812" s="4"/>
      <c r="BH812" s="4"/>
    </row>
    <row r="813" spans="3:60">
      <c r="C813" s="4"/>
      <c r="D813" s="4"/>
      <c r="G813" s="4"/>
      <c r="H813" s="4"/>
      <c r="K813" s="4"/>
      <c r="L813" s="4"/>
      <c r="O813" s="4"/>
      <c r="P813" s="4"/>
      <c r="S813" s="4"/>
      <c r="T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I813" s="4"/>
      <c r="AJ813" s="4"/>
      <c r="AM813" s="4"/>
      <c r="AN813" s="4"/>
      <c r="AQ813" s="4"/>
      <c r="AR813" s="4"/>
      <c r="AU813" s="4"/>
      <c r="AV813" s="4"/>
      <c r="AY813" s="4"/>
      <c r="AZ813" s="4"/>
      <c r="BC813" s="4"/>
      <c r="BD813" s="4"/>
      <c r="BG813" s="4"/>
      <c r="BH813" s="4"/>
    </row>
    <row r="814" spans="3:60">
      <c r="C814" s="4"/>
      <c r="D814" s="4"/>
      <c r="G814" s="4"/>
      <c r="H814" s="4"/>
      <c r="K814" s="4"/>
      <c r="L814" s="4"/>
      <c r="O814" s="4"/>
      <c r="P814" s="4"/>
      <c r="S814" s="4"/>
      <c r="T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I814" s="4"/>
      <c r="AJ814" s="4"/>
      <c r="AM814" s="4"/>
      <c r="AN814" s="4"/>
      <c r="AQ814" s="4"/>
      <c r="AR814" s="4"/>
      <c r="AU814" s="4"/>
      <c r="AV814" s="4"/>
      <c r="AY814" s="4"/>
      <c r="AZ814" s="4"/>
      <c r="BC814" s="4"/>
      <c r="BD814" s="4"/>
      <c r="BG814" s="4"/>
      <c r="BH814" s="4"/>
    </row>
    <row r="815" spans="3:60">
      <c r="C815" s="4"/>
      <c r="D815" s="4"/>
      <c r="G815" s="4"/>
      <c r="H815" s="4"/>
      <c r="K815" s="4"/>
      <c r="L815" s="4"/>
      <c r="O815" s="4"/>
      <c r="P815" s="4"/>
      <c r="S815" s="4"/>
      <c r="T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I815" s="4"/>
      <c r="AJ815" s="4"/>
      <c r="AM815" s="4"/>
      <c r="AN815" s="4"/>
      <c r="AQ815" s="4"/>
      <c r="AR815" s="4"/>
      <c r="AU815" s="4"/>
      <c r="AV815" s="4"/>
      <c r="AY815" s="4"/>
      <c r="AZ815" s="4"/>
      <c r="BC815" s="4"/>
      <c r="BD815" s="4"/>
      <c r="BG815" s="4"/>
      <c r="BH815" s="4"/>
    </row>
    <row r="816" spans="3:60">
      <c r="C816" s="4"/>
      <c r="D816" s="4"/>
      <c r="G816" s="4"/>
      <c r="H816" s="4"/>
      <c r="K816" s="4"/>
      <c r="L816" s="4"/>
      <c r="O816" s="4"/>
      <c r="P816" s="4"/>
      <c r="S816" s="4"/>
      <c r="T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I816" s="4"/>
      <c r="AJ816" s="4"/>
      <c r="AM816" s="4"/>
      <c r="AN816" s="4"/>
      <c r="AQ816" s="4"/>
      <c r="AR816" s="4"/>
      <c r="AU816" s="4"/>
      <c r="AV816" s="4"/>
      <c r="AY816" s="4"/>
      <c r="AZ816" s="4"/>
      <c r="BC816" s="4"/>
      <c r="BD816" s="4"/>
      <c r="BG816" s="4"/>
      <c r="BH816" s="4"/>
    </row>
    <row r="817" spans="3:60">
      <c r="C817" s="4"/>
      <c r="D817" s="4"/>
      <c r="G817" s="4"/>
      <c r="H817" s="4"/>
      <c r="K817" s="4"/>
      <c r="L817" s="4"/>
      <c r="O817" s="4"/>
      <c r="P817" s="4"/>
      <c r="S817" s="4"/>
      <c r="T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I817" s="4"/>
      <c r="AJ817" s="4"/>
      <c r="AM817" s="4"/>
      <c r="AN817" s="4"/>
      <c r="AQ817" s="4"/>
      <c r="AR817" s="4"/>
      <c r="AU817" s="4"/>
      <c r="AV817" s="4"/>
      <c r="AY817" s="4"/>
      <c r="AZ817" s="4"/>
      <c r="BC817" s="4"/>
      <c r="BD817" s="4"/>
      <c r="BG817" s="4"/>
      <c r="BH817" s="4"/>
    </row>
    <row r="818" spans="3:60">
      <c r="C818" s="4"/>
      <c r="D818" s="4"/>
      <c r="G818" s="4"/>
      <c r="H818" s="4"/>
      <c r="K818" s="4"/>
      <c r="L818" s="4"/>
      <c r="O818" s="4"/>
      <c r="P818" s="4"/>
      <c r="S818" s="4"/>
      <c r="T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I818" s="4"/>
      <c r="AJ818" s="4"/>
      <c r="AM818" s="4"/>
      <c r="AN818" s="4"/>
      <c r="AQ818" s="4"/>
      <c r="AR818" s="4"/>
      <c r="AU818" s="4"/>
      <c r="AV818" s="4"/>
      <c r="AY818" s="4"/>
      <c r="AZ818" s="4"/>
      <c r="BC818" s="4"/>
      <c r="BD818" s="4"/>
      <c r="BG818" s="4"/>
      <c r="BH818" s="4"/>
    </row>
    <row r="819" spans="3:60">
      <c r="C819" s="4"/>
      <c r="D819" s="4"/>
      <c r="G819" s="4"/>
      <c r="H819" s="4"/>
      <c r="K819" s="4"/>
      <c r="L819" s="4"/>
      <c r="O819" s="4"/>
      <c r="P819" s="4"/>
      <c r="S819" s="4"/>
      <c r="T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I819" s="4"/>
      <c r="AJ819" s="4"/>
      <c r="AM819" s="4"/>
      <c r="AN819" s="4"/>
      <c r="AQ819" s="4"/>
      <c r="AR819" s="4"/>
      <c r="AU819" s="4"/>
      <c r="AV819" s="4"/>
      <c r="AY819" s="4"/>
      <c r="AZ819" s="4"/>
      <c r="BC819" s="4"/>
      <c r="BD819" s="4"/>
      <c r="BG819" s="4"/>
      <c r="BH819" s="4"/>
    </row>
    <row r="820" spans="3:60">
      <c r="C820" s="4"/>
      <c r="D820" s="4"/>
      <c r="G820" s="4"/>
      <c r="H820" s="4"/>
      <c r="K820" s="4"/>
      <c r="L820" s="4"/>
      <c r="O820" s="4"/>
      <c r="P820" s="4"/>
      <c r="S820" s="4"/>
      <c r="T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I820" s="4"/>
      <c r="AJ820" s="4"/>
      <c r="AM820" s="4"/>
      <c r="AN820" s="4"/>
      <c r="AQ820" s="4"/>
      <c r="AR820" s="4"/>
      <c r="AU820" s="4"/>
      <c r="AV820" s="4"/>
      <c r="AY820" s="4"/>
      <c r="AZ820" s="4"/>
      <c r="BC820" s="4"/>
      <c r="BD820" s="4"/>
      <c r="BG820" s="4"/>
      <c r="BH820" s="4"/>
    </row>
    <row r="821" spans="3:60">
      <c r="C821" s="4"/>
      <c r="D821" s="4"/>
      <c r="G821" s="4"/>
      <c r="H821" s="4"/>
      <c r="K821" s="4"/>
      <c r="L821" s="4"/>
      <c r="O821" s="4"/>
      <c r="P821" s="4"/>
      <c r="S821" s="4"/>
      <c r="T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I821" s="4"/>
      <c r="AJ821" s="4"/>
      <c r="AM821" s="4"/>
      <c r="AN821" s="4"/>
      <c r="AQ821" s="4"/>
      <c r="AR821" s="4"/>
      <c r="AU821" s="4"/>
      <c r="AV821" s="4"/>
      <c r="AY821" s="4"/>
      <c r="AZ821" s="4"/>
      <c r="BC821" s="4"/>
      <c r="BD821" s="4"/>
      <c r="BG821" s="4"/>
      <c r="BH821" s="4"/>
    </row>
    <row r="822" spans="3:60">
      <c r="C822" s="4"/>
      <c r="D822" s="4"/>
      <c r="G822" s="4"/>
      <c r="H822" s="4"/>
      <c r="K822" s="4"/>
      <c r="L822" s="4"/>
      <c r="O822" s="4"/>
      <c r="P822" s="4"/>
      <c r="S822" s="4"/>
      <c r="T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I822" s="4"/>
      <c r="AJ822" s="4"/>
      <c r="AM822" s="4"/>
      <c r="AN822" s="4"/>
      <c r="AQ822" s="4"/>
      <c r="AR822" s="4"/>
      <c r="AU822" s="4"/>
      <c r="AV822" s="4"/>
      <c r="AY822" s="4"/>
      <c r="AZ822" s="4"/>
      <c r="BC822" s="4"/>
      <c r="BD822" s="4"/>
      <c r="BG822" s="4"/>
      <c r="BH822" s="4"/>
    </row>
    <row r="823" spans="3:60">
      <c r="C823" s="4"/>
      <c r="D823" s="4"/>
      <c r="G823" s="4"/>
      <c r="H823" s="4"/>
      <c r="K823" s="4"/>
      <c r="L823" s="4"/>
      <c r="O823" s="4"/>
      <c r="P823" s="4"/>
      <c r="S823" s="4"/>
      <c r="T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I823" s="4"/>
      <c r="AJ823" s="4"/>
      <c r="AM823" s="4"/>
      <c r="AN823" s="4"/>
      <c r="AQ823" s="4"/>
      <c r="AR823" s="4"/>
      <c r="AU823" s="4"/>
      <c r="AV823" s="4"/>
      <c r="AY823" s="4"/>
      <c r="AZ823" s="4"/>
      <c r="BC823" s="4"/>
      <c r="BD823" s="4"/>
      <c r="BG823" s="4"/>
      <c r="BH823" s="4"/>
    </row>
    <row r="824" spans="3:60">
      <c r="C824" s="4"/>
      <c r="D824" s="4"/>
      <c r="G824" s="4"/>
      <c r="H824" s="4"/>
      <c r="K824" s="4"/>
      <c r="L824" s="4"/>
      <c r="O824" s="4"/>
      <c r="P824" s="4"/>
      <c r="S824" s="4"/>
      <c r="T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I824" s="4"/>
      <c r="AJ824" s="4"/>
      <c r="AM824" s="4"/>
      <c r="AN824" s="4"/>
      <c r="AQ824" s="4"/>
      <c r="AR824" s="4"/>
      <c r="AU824" s="4"/>
      <c r="AV824" s="4"/>
      <c r="AY824" s="4"/>
      <c r="AZ824" s="4"/>
      <c r="BC824" s="4"/>
      <c r="BD824" s="4"/>
      <c r="BG824" s="4"/>
      <c r="BH824" s="4"/>
    </row>
    <row r="825" spans="3:60">
      <c r="C825" s="4"/>
      <c r="D825" s="4"/>
      <c r="G825" s="4"/>
      <c r="H825" s="4"/>
      <c r="K825" s="4"/>
      <c r="L825" s="4"/>
      <c r="O825" s="4"/>
      <c r="P825" s="4"/>
      <c r="S825" s="4"/>
      <c r="T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I825" s="4"/>
      <c r="AJ825" s="4"/>
      <c r="AM825" s="4"/>
      <c r="AN825" s="4"/>
      <c r="AQ825" s="4"/>
      <c r="AR825" s="4"/>
      <c r="AU825" s="4"/>
      <c r="AV825" s="4"/>
      <c r="AY825" s="4"/>
      <c r="AZ825" s="4"/>
      <c r="BC825" s="4"/>
      <c r="BD825" s="4"/>
      <c r="BG825" s="4"/>
      <c r="BH825" s="4"/>
    </row>
    <row r="826" spans="3:60">
      <c r="C826" s="4"/>
      <c r="D826" s="4"/>
      <c r="G826" s="4"/>
      <c r="H826" s="4"/>
      <c r="K826" s="4"/>
      <c r="L826" s="4"/>
      <c r="O826" s="4"/>
      <c r="P826" s="4"/>
      <c r="S826" s="4"/>
      <c r="T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I826" s="4"/>
      <c r="AJ826" s="4"/>
      <c r="AM826" s="4"/>
      <c r="AN826" s="4"/>
      <c r="AQ826" s="4"/>
      <c r="AR826" s="4"/>
      <c r="AU826" s="4"/>
      <c r="AV826" s="4"/>
      <c r="AY826" s="4"/>
      <c r="AZ826" s="4"/>
      <c r="BC826" s="4"/>
      <c r="BD826" s="4"/>
      <c r="BG826" s="4"/>
      <c r="BH826" s="4"/>
    </row>
    <row r="827" spans="3:60">
      <c r="C827" s="4"/>
      <c r="D827" s="4"/>
      <c r="G827" s="4"/>
      <c r="H827" s="4"/>
      <c r="K827" s="4"/>
      <c r="L827" s="4"/>
      <c r="O827" s="4"/>
      <c r="P827" s="4"/>
      <c r="S827" s="4"/>
      <c r="T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I827" s="4"/>
      <c r="AJ827" s="4"/>
      <c r="AM827" s="4"/>
      <c r="AN827" s="4"/>
      <c r="AQ827" s="4"/>
      <c r="AR827" s="4"/>
      <c r="AU827" s="4"/>
      <c r="AV827" s="4"/>
      <c r="AY827" s="4"/>
      <c r="AZ827" s="4"/>
      <c r="BC827" s="4"/>
      <c r="BD827" s="4"/>
      <c r="BG827" s="4"/>
      <c r="BH827" s="4"/>
    </row>
    <row r="828" spans="3:60">
      <c r="C828" s="4"/>
      <c r="D828" s="4"/>
      <c r="G828" s="4"/>
      <c r="H828" s="4"/>
      <c r="K828" s="4"/>
      <c r="L828" s="4"/>
      <c r="O828" s="4"/>
      <c r="P828" s="4"/>
      <c r="S828" s="4"/>
      <c r="T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I828" s="4"/>
      <c r="AJ828" s="4"/>
      <c r="AM828" s="4"/>
      <c r="AN828" s="4"/>
      <c r="AQ828" s="4"/>
      <c r="AR828" s="4"/>
      <c r="AU828" s="4"/>
      <c r="AV828" s="4"/>
      <c r="AY828" s="4"/>
      <c r="AZ828" s="4"/>
      <c r="BC828" s="4"/>
      <c r="BD828" s="4"/>
      <c r="BG828" s="4"/>
      <c r="BH828" s="4"/>
    </row>
    <row r="829" spans="3:60">
      <c r="C829" s="4"/>
      <c r="D829" s="4"/>
      <c r="G829" s="4"/>
      <c r="H829" s="4"/>
      <c r="K829" s="4"/>
      <c r="L829" s="4"/>
      <c r="O829" s="4"/>
      <c r="P829" s="4"/>
      <c r="S829" s="4"/>
      <c r="T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I829" s="4"/>
      <c r="AJ829" s="4"/>
      <c r="AM829" s="4"/>
      <c r="AN829" s="4"/>
      <c r="AQ829" s="4"/>
      <c r="AR829" s="4"/>
      <c r="AU829" s="4"/>
      <c r="AV829" s="4"/>
      <c r="AY829" s="4"/>
      <c r="AZ829" s="4"/>
      <c r="BC829" s="4"/>
      <c r="BD829" s="4"/>
      <c r="BG829" s="4"/>
      <c r="BH829" s="4"/>
    </row>
    <row r="830" spans="3:60">
      <c r="C830" s="4"/>
      <c r="D830" s="4"/>
      <c r="G830" s="4"/>
      <c r="H830" s="4"/>
      <c r="K830" s="4"/>
      <c r="L830" s="4"/>
      <c r="O830" s="4"/>
      <c r="P830" s="4"/>
      <c r="S830" s="4"/>
      <c r="T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I830" s="4"/>
      <c r="AJ830" s="4"/>
      <c r="AM830" s="4"/>
      <c r="AN830" s="4"/>
      <c r="AQ830" s="4"/>
      <c r="AR830" s="4"/>
      <c r="AU830" s="4"/>
      <c r="AV830" s="4"/>
      <c r="AY830" s="4"/>
      <c r="AZ830" s="4"/>
      <c r="BC830" s="4"/>
      <c r="BD830" s="4"/>
      <c r="BG830" s="4"/>
      <c r="BH830" s="4"/>
    </row>
    <row r="831" spans="3:60">
      <c r="C831" s="4"/>
      <c r="D831" s="4"/>
      <c r="G831" s="4"/>
      <c r="H831" s="4"/>
      <c r="K831" s="4"/>
      <c r="L831" s="4"/>
      <c r="O831" s="4"/>
      <c r="P831" s="4"/>
      <c r="S831" s="4"/>
      <c r="T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I831" s="4"/>
      <c r="AJ831" s="4"/>
      <c r="AM831" s="4"/>
      <c r="AN831" s="4"/>
      <c r="AQ831" s="4"/>
      <c r="AR831" s="4"/>
      <c r="AU831" s="4"/>
      <c r="AV831" s="4"/>
      <c r="AY831" s="4"/>
      <c r="AZ831" s="4"/>
      <c r="BC831" s="4"/>
      <c r="BD831" s="4"/>
      <c r="BG831" s="4"/>
      <c r="BH831" s="4"/>
    </row>
    <row r="832" spans="3:60">
      <c r="C832" s="4"/>
      <c r="D832" s="4"/>
      <c r="G832" s="4"/>
      <c r="H832" s="4"/>
      <c r="K832" s="4"/>
      <c r="L832" s="4"/>
      <c r="O832" s="4"/>
      <c r="P832" s="4"/>
      <c r="S832" s="4"/>
      <c r="T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I832" s="4"/>
      <c r="AJ832" s="4"/>
      <c r="AM832" s="4"/>
      <c r="AN832" s="4"/>
      <c r="AQ832" s="4"/>
      <c r="AR832" s="4"/>
      <c r="AU832" s="4"/>
      <c r="AV832" s="4"/>
      <c r="AY832" s="4"/>
      <c r="AZ832" s="4"/>
      <c r="BC832" s="4"/>
      <c r="BD832" s="4"/>
      <c r="BG832" s="4"/>
      <c r="BH832" s="4"/>
    </row>
    <row r="833" spans="3:60">
      <c r="C833" s="4"/>
      <c r="D833" s="4"/>
      <c r="G833" s="4"/>
      <c r="H833" s="4"/>
      <c r="K833" s="4"/>
      <c r="L833" s="4"/>
      <c r="O833" s="4"/>
      <c r="P833" s="4"/>
      <c r="S833" s="4"/>
      <c r="T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I833" s="4"/>
      <c r="AJ833" s="4"/>
      <c r="AM833" s="4"/>
      <c r="AN833" s="4"/>
      <c r="AQ833" s="4"/>
      <c r="AR833" s="4"/>
      <c r="AU833" s="4"/>
      <c r="AV833" s="4"/>
      <c r="AY833" s="4"/>
      <c r="AZ833" s="4"/>
      <c r="BC833" s="4"/>
      <c r="BD833" s="4"/>
      <c r="BG833" s="4"/>
      <c r="BH833" s="4"/>
    </row>
    <row r="834" spans="3:60">
      <c r="C834" s="4"/>
      <c r="D834" s="4"/>
      <c r="G834" s="4"/>
      <c r="H834" s="4"/>
      <c r="K834" s="4"/>
      <c r="L834" s="4"/>
      <c r="O834" s="4"/>
      <c r="P834" s="4"/>
      <c r="S834" s="4"/>
      <c r="T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I834" s="4"/>
      <c r="AJ834" s="4"/>
      <c r="AM834" s="4"/>
      <c r="AN834" s="4"/>
      <c r="AQ834" s="4"/>
      <c r="AR834" s="4"/>
      <c r="AU834" s="4"/>
      <c r="AV834" s="4"/>
      <c r="AY834" s="4"/>
      <c r="AZ834" s="4"/>
      <c r="BC834" s="4"/>
      <c r="BD834" s="4"/>
      <c r="BG834" s="4"/>
      <c r="BH834" s="4"/>
    </row>
    <row r="835" spans="3:60">
      <c r="C835" s="4"/>
      <c r="D835" s="4"/>
      <c r="G835" s="4"/>
      <c r="H835" s="4"/>
      <c r="K835" s="4"/>
      <c r="L835" s="4"/>
      <c r="O835" s="4"/>
      <c r="P835" s="4"/>
      <c r="S835" s="4"/>
      <c r="T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I835" s="4"/>
      <c r="AJ835" s="4"/>
      <c r="AM835" s="4"/>
      <c r="AN835" s="4"/>
      <c r="AQ835" s="4"/>
      <c r="AR835" s="4"/>
      <c r="AU835" s="4"/>
      <c r="AV835" s="4"/>
      <c r="AY835" s="4"/>
      <c r="AZ835" s="4"/>
      <c r="BC835" s="4"/>
      <c r="BD835" s="4"/>
      <c r="BG835" s="4"/>
      <c r="BH835" s="4"/>
    </row>
    <row r="836" spans="3:60">
      <c r="C836" s="4"/>
      <c r="D836" s="4"/>
      <c r="G836" s="4"/>
      <c r="H836" s="4"/>
      <c r="K836" s="4"/>
      <c r="L836" s="4"/>
      <c r="O836" s="4"/>
      <c r="P836" s="4"/>
      <c r="S836" s="4"/>
      <c r="T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I836" s="4"/>
      <c r="AJ836" s="4"/>
      <c r="AM836" s="4"/>
      <c r="AN836" s="4"/>
      <c r="AQ836" s="4"/>
      <c r="AR836" s="4"/>
      <c r="AU836" s="4"/>
      <c r="AV836" s="4"/>
      <c r="AY836" s="4"/>
      <c r="AZ836" s="4"/>
      <c r="BC836" s="4"/>
      <c r="BD836" s="4"/>
      <c r="BG836" s="4"/>
      <c r="BH836" s="4"/>
    </row>
    <row r="837" spans="3:60">
      <c r="C837" s="4"/>
      <c r="D837" s="4"/>
      <c r="G837" s="4"/>
      <c r="H837" s="4"/>
      <c r="K837" s="4"/>
      <c r="L837" s="4"/>
      <c r="O837" s="4"/>
      <c r="P837" s="4"/>
      <c r="S837" s="4"/>
      <c r="T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I837" s="4"/>
      <c r="AJ837" s="4"/>
      <c r="AM837" s="4"/>
      <c r="AN837" s="4"/>
      <c r="AQ837" s="4"/>
      <c r="AR837" s="4"/>
      <c r="AU837" s="4"/>
      <c r="AV837" s="4"/>
      <c r="AY837" s="4"/>
      <c r="AZ837" s="4"/>
      <c r="BC837" s="4"/>
      <c r="BD837" s="4"/>
      <c r="BG837" s="4"/>
      <c r="BH837" s="4"/>
    </row>
    <row r="838" spans="3:60">
      <c r="C838" s="4"/>
      <c r="D838" s="4"/>
      <c r="G838" s="4"/>
      <c r="H838" s="4"/>
      <c r="K838" s="4"/>
      <c r="L838" s="4"/>
      <c r="O838" s="4"/>
      <c r="P838" s="4"/>
      <c r="S838" s="4"/>
      <c r="T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I838" s="4"/>
      <c r="AJ838" s="4"/>
      <c r="AM838" s="4"/>
      <c r="AN838" s="4"/>
      <c r="AQ838" s="4"/>
      <c r="AR838" s="4"/>
      <c r="AU838" s="4"/>
      <c r="AV838" s="4"/>
      <c r="AY838" s="4"/>
      <c r="AZ838" s="4"/>
      <c r="BC838" s="4"/>
      <c r="BD838" s="4"/>
      <c r="BG838" s="4"/>
      <c r="BH838" s="4"/>
    </row>
    <row r="839" spans="3:60">
      <c r="C839" s="4"/>
      <c r="D839" s="4"/>
      <c r="G839" s="4"/>
      <c r="H839" s="4"/>
      <c r="K839" s="4"/>
      <c r="L839" s="4"/>
      <c r="O839" s="4"/>
      <c r="P839" s="4"/>
      <c r="S839" s="4"/>
      <c r="T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I839" s="4"/>
      <c r="AJ839" s="4"/>
      <c r="AM839" s="4"/>
      <c r="AN839" s="4"/>
      <c r="AQ839" s="4"/>
      <c r="AR839" s="4"/>
      <c r="AU839" s="4"/>
      <c r="AV839" s="4"/>
      <c r="AY839" s="4"/>
      <c r="AZ839" s="4"/>
      <c r="BC839" s="4"/>
      <c r="BD839" s="4"/>
      <c r="BG839" s="4"/>
      <c r="BH839" s="4"/>
    </row>
    <row r="840" spans="3:60">
      <c r="C840" s="4"/>
      <c r="D840" s="4"/>
      <c r="G840" s="4"/>
      <c r="H840" s="4"/>
      <c r="K840" s="4"/>
      <c r="L840" s="4"/>
      <c r="O840" s="4"/>
      <c r="P840" s="4"/>
      <c r="S840" s="4"/>
      <c r="T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I840" s="4"/>
      <c r="AJ840" s="4"/>
      <c r="AM840" s="4"/>
      <c r="AN840" s="4"/>
      <c r="AQ840" s="4"/>
      <c r="AR840" s="4"/>
      <c r="AU840" s="4"/>
      <c r="AV840" s="4"/>
      <c r="AY840" s="4"/>
      <c r="AZ840" s="4"/>
      <c r="BC840" s="4"/>
      <c r="BD840" s="4"/>
      <c r="BG840" s="4"/>
      <c r="BH840" s="4"/>
    </row>
    <row r="841" spans="3:60">
      <c r="C841" s="4"/>
      <c r="D841" s="4"/>
      <c r="G841" s="4"/>
      <c r="H841" s="4"/>
      <c r="K841" s="4"/>
      <c r="L841" s="4"/>
      <c r="O841" s="4"/>
      <c r="P841" s="4"/>
      <c r="S841" s="4"/>
      <c r="T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I841" s="4"/>
      <c r="AJ841" s="4"/>
      <c r="AM841" s="4"/>
      <c r="AN841" s="4"/>
      <c r="AQ841" s="4"/>
      <c r="AR841" s="4"/>
      <c r="AU841" s="4"/>
      <c r="AV841" s="4"/>
      <c r="AY841" s="4"/>
      <c r="AZ841" s="4"/>
      <c r="BC841" s="4"/>
      <c r="BD841" s="4"/>
      <c r="BG841" s="4"/>
      <c r="BH841" s="4"/>
    </row>
    <row r="842" spans="3:60">
      <c r="C842" s="4"/>
      <c r="D842" s="4"/>
      <c r="G842" s="4"/>
      <c r="H842" s="4"/>
      <c r="K842" s="4"/>
      <c r="L842" s="4"/>
      <c r="O842" s="4"/>
      <c r="P842" s="4"/>
      <c r="S842" s="4"/>
      <c r="T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I842" s="4"/>
      <c r="AJ842" s="4"/>
      <c r="AM842" s="4"/>
      <c r="AN842" s="4"/>
      <c r="AQ842" s="4"/>
      <c r="AR842" s="4"/>
      <c r="AU842" s="4"/>
      <c r="AV842" s="4"/>
      <c r="AY842" s="4"/>
      <c r="AZ842" s="4"/>
      <c r="BC842" s="4"/>
      <c r="BD842" s="4"/>
      <c r="BG842" s="4"/>
      <c r="BH842" s="4"/>
    </row>
    <row r="843" spans="3:60">
      <c r="C843" s="4"/>
      <c r="D843" s="4"/>
      <c r="G843" s="4"/>
      <c r="H843" s="4"/>
      <c r="K843" s="4"/>
      <c r="L843" s="4"/>
      <c r="O843" s="4"/>
      <c r="P843" s="4"/>
      <c r="S843" s="4"/>
      <c r="T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I843" s="4"/>
      <c r="AJ843" s="4"/>
      <c r="AM843" s="4"/>
      <c r="AN843" s="4"/>
      <c r="AQ843" s="4"/>
      <c r="AR843" s="4"/>
      <c r="AU843" s="4"/>
      <c r="AV843" s="4"/>
      <c r="AY843" s="4"/>
      <c r="AZ843" s="4"/>
      <c r="BC843" s="4"/>
      <c r="BD843" s="4"/>
      <c r="BG843" s="4"/>
      <c r="BH843" s="4"/>
    </row>
    <row r="844" spans="3:60">
      <c r="C844" s="4"/>
      <c r="D844" s="4"/>
      <c r="G844" s="4"/>
      <c r="H844" s="4"/>
      <c r="K844" s="4"/>
      <c r="L844" s="4"/>
      <c r="O844" s="4"/>
      <c r="P844" s="4"/>
      <c r="S844" s="4"/>
      <c r="T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I844" s="4"/>
      <c r="AJ844" s="4"/>
      <c r="AM844" s="4"/>
      <c r="AN844" s="4"/>
      <c r="AQ844" s="4"/>
      <c r="AR844" s="4"/>
      <c r="AU844" s="4"/>
      <c r="AV844" s="4"/>
      <c r="AY844" s="4"/>
      <c r="AZ844" s="4"/>
      <c r="BC844" s="4"/>
      <c r="BD844" s="4"/>
      <c r="BG844" s="4"/>
      <c r="BH844" s="4"/>
    </row>
    <row r="845" spans="3:60">
      <c r="C845" s="4"/>
      <c r="D845" s="4"/>
      <c r="G845" s="4"/>
      <c r="H845" s="4"/>
      <c r="K845" s="4"/>
      <c r="L845" s="4"/>
      <c r="O845" s="4"/>
      <c r="P845" s="4"/>
      <c r="S845" s="4"/>
      <c r="T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I845" s="4"/>
      <c r="AJ845" s="4"/>
      <c r="AM845" s="4"/>
      <c r="AN845" s="4"/>
      <c r="AQ845" s="4"/>
      <c r="AR845" s="4"/>
      <c r="AU845" s="4"/>
      <c r="AV845" s="4"/>
      <c r="AY845" s="4"/>
      <c r="AZ845" s="4"/>
      <c r="BC845" s="4"/>
      <c r="BD845" s="4"/>
      <c r="BG845" s="4"/>
      <c r="BH845" s="4"/>
    </row>
    <row r="846" spans="3:60">
      <c r="C846" s="4"/>
      <c r="D846" s="4"/>
      <c r="G846" s="4"/>
      <c r="H846" s="4"/>
      <c r="K846" s="4"/>
      <c r="L846" s="4"/>
      <c r="O846" s="4"/>
      <c r="P846" s="4"/>
      <c r="S846" s="4"/>
      <c r="T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I846" s="4"/>
      <c r="AJ846" s="4"/>
      <c r="AM846" s="4"/>
      <c r="AN846" s="4"/>
      <c r="AQ846" s="4"/>
      <c r="AR846" s="4"/>
      <c r="AU846" s="4"/>
      <c r="AV846" s="4"/>
      <c r="AY846" s="4"/>
      <c r="AZ846" s="4"/>
      <c r="BC846" s="4"/>
      <c r="BD846" s="4"/>
      <c r="BG846" s="4"/>
      <c r="BH846" s="4"/>
    </row>
    <row r="847" spans="3:60">
      <c r="C847" s="4"/>
      <c r="D847" s="4"/>
      <c r="G847" s="4"/>
      <c r="H847" s="4"/>
      <c r="K847" s="4"/>
      <c r="L847" s="4"/>
      <c r="O847" s="4"/>
      <c r="P847" s="4"/>
      <c r="S847" s="4"/>
      <c r="T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I847" s="4"/>
      <c r="AJ847" s="4"/>
      <c r="AM847" s="4"/>
      <c r="AN847" s="4"/>
      <c r="AQ847" s="4"/>
      <c r="AR847" s="4"/>
      <c r="AU847" s="4"/>
      <c r="AV847" s="4"/>
      <c r="AY847" s="4"/>
      <c r="AZ847" s="4"/>
      <c r="BC847" s="4"/>
      <c r="BD847" s="4"/>
      <c r="BG847" s="4"/>
      <c r="BH847" s="4"/>
    </row>
    <row r="848" spans="3:60">
      <c r="C848" s="4"/>
      <c r="D848" s="4"/>
      <c r="G848" s="4"/>
      <c r="H848" s="4"/>
      <c r="K848" s="4"/>
      <c r="L848" s="4"/>
      <c r="O848" s="4"/>
      <c r="P848" s="4"/>
      <c r="S848" s="4"/>
      <c r="T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I848" s="4"/>
      <c r="AJ848" s="4"/>
      <c r="AM848" s="4"/>
      <c r="AN848" s="4"/>
      <c r="AQ848" s="4"/>
      <c r="AR848" s="4"/>
      <c r="AU848" s="4"/>
      <c r="AV848" s="4"/>
      <c r="AY848" s="4"/>
      <c r="AZ848" s="4"/>
      <c r="BC848" s="4"/>
      <c r="BD848" s="4"/>
      <c r="BG848" s="4"/>
      <c r="BH848" s="4"/>
    </row>
    <row r="849" spans="3:60">
      <c r="C849" s="4"/>
      <c r="D849" s="4"/>
      <c r="G849" s="4"/>
      <c r="H849" s="4"/>
      <c r="K849" s="4"/>
      <c r="L849" s="4"/>
      <c r="O849" s="4"/>
      <c r="P849" s="4"/>
      <c r="S849" s="4"/>
      <c r="T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I849" s="4"/>
      <c r="AJ849" s="4"/>
      <c r="AM849" s="4"/>
      <c r="AN849" s="4"/>
      <c r="AQ849" s="4"/>
      <c r="AR849" s="4"/>
      <c r="AU849" s="4"/>
      <c r="AV849" s="4"/>
      <c r="AY849" s="4"/>
      <c r="AZ849" s="4"/>
      <c r="BC849" s="4"/>
      <c r="BD849" s="4"/>
      <c r="BG849" s="4"/>
      <c r="BH849" s="4"/>
    </row>
    <row r="850" spans="3:60">
      <c r="C850" s="4"/>
      <c r="D850" s="4"/>
      <c r="G850" s="4"/>
      <c r="H850" s="4"/>
      <c r="K850" s="4"/>
      <c r="L850" s="4"/>
      <c r="O850" s="4"/>
      <c r="P850" s="4"/>
      <c r="S850" s="4"/>
      <c r="T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I850" s="4"/>
      <c r="AJ850" s="4"/>
      <c r="AM850" s="4"/>
      <c r="AN850" s="4"/>
      <c r="AQ850" s="4"/>
      <c r="AR850" s="4"/>
      <c r="AU850" s="4"/>
      <c r="AV850" s="4"/>
      <c r="AY850" s="4"/>
      <c r="AZ850" s="4"/>
      <c r="BC850" s="4"/>
      <c r="BD850" s="4"/>
      <c r="BG850" s="4"/>
      <c r="BH850" s="4"/>
    </row>
    <row r="851" spans="3:60">
      <c r="C851" s="4"/>
      <c r="D851" s="4"/>
      <c r="G851" s="4"/>
      <c r="H851" s="4"/>
      <c r="K851" s="4"/>
      <c r="L851" s="4"/>
      <c r="O851" s="4"/>
      <c r="P851" s="4"/>
      <c r="S851" s="4"/>
      <c r="T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I851" s="4"/>
      <c r="AJ851" s="4"/>
      <c r="AM851" s="4"/>
      <c r="AN851" s="4"/>
      <c r="AQ851" s="4"/>
      <c r="AR851" s="4"/>
      <c r="AU851" s="4"/>
      <c r="AV851" s="4"/>
      <c r="AY851" s="4"/>
      <c r="AZ851" s="4"/>
      <c r="BC851" s="4"/>
      <c r="BD851" s="4"/>
      <c r="BG851" s="4"/>
      <c r="BH851" s="4"/>
    </row>
    <row r="852" spans="3:60">
      <c r="C852" s="4"/>
      <c r="D852" s="4"/>
      <c r="G852" s="4"/>
      <c r="H852" s="4"/>
      <c r="K852" s="4"/>
      <c r="L852" s="4"/>
      <c r="O852" s="4"/>
      <c r="P852" s="4"/>
      <c r="S852" s="4"/>
      <c r="T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I852" s="4"/>
      <c r="AJ852" s="4"/>
      <c r="AM852" s="4"/>
      <c r="AN852" s="4"/>
      <c r="AQ852" s="4"/>
      <c r="AR852" s="4"/>
      <c r="AU852" s="4"/>
      <c r="AV852" s="4"/>
      <c r="AY852" s="4"/>
      <c r="AZ852" s="4"/>
      <c r="BC852" s="4"/>
      <c r="BD852" s="4"/>
      <c r="BG852" s="4"/>
      <c r="BH852" s="4"/>
    </row>
    <row r="853" spans="3:60">
      <c r="C853" s="4"/>
      <c r="D853" s="4"/>
      <c r="G853" s="4"/>
      <c r="H853" s="4"/>
      <c r="K853" s="4"/>
      <c r="L853" s="4"/>
      <c r="O853" s="4"/>
      <c r="P853" s="4"/>
      <c r="S853" s="4"/>
      <c r="T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I853" s="4"/>
      <c r="AJ853" s="4"/>
      <c r="AM853" s="4"/>
      <c r="AN853" s="4"/>
      <c r="AQ853" s="4"/>
      <c r="AR853" s="4"/>
      <c r="AU853" s="4"/>
      <c r="AV853" s="4"/>
      <c r="AY853" s="4"/>
      <c r="AZ853" s="4"/>
      <c r="BC853" s="4"/>
      <c r="BD853" s="4"/>
      <c r="BG853" s="4"/>
      <c r="BH853" s="4"/>
    </row>
    <row r="854" spans="3:60">
      <c r="C854" s="4"/>
      <c r="D854" s="4"/>
      <c r="G854" s="4"/>
      <c r="H854" s="4"/>
      <c r="K854" s="4"/>
      <c r="L854" s="4"/>
      <c r="O854" s="4"/>
      <c r="P854" s="4"/>
      <c r="S854" s="4"/>
      <c r="T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I854" s="4"/>
      <c r="AJ854" s="4"/>
      <c r="AM854" s="4"/>
      <c r="AN854" s="4"/>
      <c r="AQ854" s="4"/>
      <c r="AR854" s="4"/>
      <c r="AU854" s="4"/>
      <c r="AV854" s="4"/>
      <c r="AY854" s="4"/>
      <c r="AZ854" s="4"/>
      <c r="BC854" s="4"/>
      <c r="BD854" s="4"/>
      <c r="BG854" s="4"/>
      <c r="BH854" s="4"/>
    </row>
    <row r="855" spans="3:60">
      <c r="C855" s="4"/>
      <c r="D855" s="4"/>
      <c r="G855" s="4"/>
      <c r="H855" s="4"/>
      <c r="K855" s="4"/>
      <c r="L855" s="4"/>
      <c r="O855" s="4"/>
      <c r="P855" s="4"/>
      <c r="S855" s="4"/>
      <c r="T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I855" s="4"/>
      <c r="AJ855" s="4"/>
      <c r="AM855" s="4"/>
      <c r="AN855" s="4"/>
      <c r="AQ855" s="4"/>
      <c r="AR855" s="4"/>
      <c r="AU855" s="4"/>
      <c r="AV855" s="4"/>
      <c r="AY855" s="4"/>
      <c r="AZ855" s="4"/>
      <c r="BC855" s="4"/>
      <c r="BD855" s="4"/>
      <c r="BG855" s="4"/>
      <c r="BH855" s="4"/>
    </row>
    <row r="856" spans="3:60">
      <c r="C856" s="4"/>
      <c r="D856" s="4"/>
      <c r="G856" s="4"/>
      <c r="H856" s="4"/>
      <c r="K856" s="4"/>
      <c r="L856" s="4"/>
      <c r="O856" s="4"/>
      <c r="P856" s="4"/>
      <c r="S856" s="4"/>
      <c r="T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I856" s="4"/>
      <c r="AJ856" s="4"/>
      <c r="AM856" s="4"/>
      <c r="AN856" s="4"/>
      <c r="AQ856" s="4"/>
      <c r="AR856" s="4"/>
      <c r="AU856" s="4"/>
      <c r="AV856" s="4"/>
      <c r="AY856" s="4"/>
      <c r="AZ856" s="4"/>
      <c r="BC856" s="4"/>
      <c r="BD856" s="4"/>
      <c r="BG856" s="4"/>
      <c r="BH856" s="4"/>
    </row>
    <row r="857" spans="3:60">
      <c r="C857" s="4"/>
      <c r="D857" s="4"/>
      <c r="G857" s="4"/>
      <c r="H857" s="4"/>
      <c r="K857" s="4"/>
      <c r="L857" s="4"/>
      <c r="O857" s="4"/>
      <c r="P857" s="4"/>
      <c r="S857" s="4"/>
      <c r="T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I857" s="4"/>
      <c r="AJ857" s="4"/>
      <c r="AM857" s="4"/>
      <c r="AN857" s="4"/>
      <c r="AQ857" s="4"/>
      <c r="AR857" s="4"/>
      <c r="AU857" s="4"/>
      <c r="AV857" s="4"/>
      <c r="AY857" s="4"/>
      <c r="AZ857" s="4"/>
      <c r="BC857" s="4"/>
      <c r="BD857" s="4"/>
      <c r="BG857" s="4"/>
      <c r="BH857" s="4"/>
    </row>
    <row r="858" spans="3:60">
      <c r="C858" s="4"/>
      <c r="D858" s="4"/>
      <c r="G858" s="4"/>
      <c r="H858" s="4"/>
      <c r="K858" s="4"/>
      <c r="L858" s="4"/>
      <c r="O858" s="4"/>
      <c r="P858" s="4"/>
      <c r="S858" s="4"/>
      <c r="T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I858" s="4"/>
      <c r="AJ858" s="4"/>
      <c r="AM858" s="4"/>
      <c r="AN858" s="4"/>
      <c r="AQ858" s="4"/>
      <c r="AR858" s="4"/>
      <c r="AU858" s="4"/>
      <c r="AV858" s="4"/>
      <c r="AY858" s="4"/>
      <c r="AZ858" s="4"/>
      <c r="BC858" s="4"/>
      <c r="BD858" s="4"/>
      <c r="BG858" s="4"/>
      <c r="BH858" s="4"/>
    </row>
    <row r="859" spans="3:60">
      <c r="C859" s="4"/>
      <c r="D859" s="4"/>
      <c r="G859" s="4"/>
      <c r="H859" s="4"/>
      <c r="K859" s="4"/>
      <c r="L859" s="4"/>
      <c r="O859" s="4"/>
      <c r="P859" s="4"/>
      <c r="S859" s="4"/>
      <c r="T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I859" s="4"/>
      <c r="AJ859" s="4"/>
      <c r="AM859" s="4"/>
      <c r="AN859" s="4"/>
      <c r="AQ859" s="4"/>
      <c r="AR859" s="4"/>
      <c r="AU859" s="4"/>
      <c r="AV859" s="4"/>
      <c r="AY859" s="4"/>
      <c r="AZ859" s="4"/>
      <c r="BC859" s="4"/>
      <c r="BD859" s="4"/>
      <c r="BG859" s="4"/>
      <c r="BH859" s="4"/>
    </row>
    <row r="860" spans="3:60">
      <c r="C860" s="4"/>
      <c r="D860" s="4"/>
      <c r="G860" s="4"/>
      <c r="H860" s="4"/>
      <c r="K860" s="4"/>
      <c r="L860" s="4"/>
      <c r="O860" s="4"/>
      <c r="P860" s="4"/>
      <c r="S860" s="4"/>
      <c r="T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I860" s="4"/>
      <c r="AJ860" s="4"/>
      <c r="AM860" s="4"/>
      <c r="AN860" s="4"/>
      <c r="AQ860" s="4"/>
      <c r="AR860" s="4"/>
      <c r="AU860" s="4"/>
      <c r="AV860" s="4"/>
      <c r="AY860" s="4"/>
      <c r="AZ860" s="4"/>
      <c r="BC860" s="4"/>
      <c r="BD860" s="4"/>
      <c r="BG860" s="4"/>
      <c r="BH860" s="4"/>
    </row>
    <row r="861" spans="3:60">
      <c r="C861" s="4"/>
      <c r="D861" s="4"/>
      <c r="G861" s="4"/>
      <c r="H861" s="4"/>
      <c r="K861" s="4"/>
      <c r="L861" s="4"/>
      <c r="O861" s="4"/>
      <c r="P861" s="4"/>
      <c r="S861" s="4"/>
      <c r="T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I861" s="4"/>
      <c r="AJ861" s="4"/>
      <c r="AM861" s="4"/>
      <c r="AN861" s="4"/>
      <c r="AQ861" s="4"/>
      <c r="AR861" s="4"/>
      <c r="AU861" s="4"/>
      <c r="AV861" s="4"/>
      <c r="AY861" s="4"/>
      <c r="AZ861" s="4"/>
      <c r="BC861" s="4"/>
      <c r="BD861" s="4"/>
      <c r="BG861" s="4"/>
      <c r="BH861" s="4"/>
    </row>
    <row r="862" spans="3:60">
      <c r="C862" s="4"/>
      <c r="D862" s="4"/>
      <c r="G862" s="4"/>
      <c r="H862" s="4"/>
      <c r="K862" s="4"/>
      <c r="L862" s="4"/>
      <c r="O862" s="4"/>
      <c r="P862" s="4"/>
      <c r="S862" s="4"/>
      <c r="T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I862" s="4"/>
      <c r="AJ862" s="4"/>
      <c r="AM862" s="4"/>
      <c r="AN862" s="4"/>
      <c r="AQ862" s="4"/>
      <c r="AR862" s="4"/>
      <c r="AU862" s="4"/>
      <c r="AV862" s="4"/>
      <c r="AY862" s="4"/>
      <c r="AZ862" s="4"/>
      <c r="BC862" s="4"/>
      <c r="BD862" s="4"/>
      <c r="BG862" s="4"/>
      <c r="BH862" s="4"/>
    </row>
    <row r="863" spans="3:60">
      <c r="C863" s="4"/>
      <c r="D863" s="4"/>
      <c r="G863" s="4"/>
      <c r="H863" s="4"/>
      <c r="K863" s="4"/>
      <c r="L863" s="4"/>
      <c r="O863" s="4"/>
      <c r="P863" s="4"/>
      <c r="S863" s="4"/>
      <c r="T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I863" s="4"/>
      <c r="AJ863" s="4"/>
      <c r="AM863" s="4"/>
      <c r="AN863" s="4"/>
      <c r="AQ863" s="4"/>
      <c r="AR863" s="4"/>
      <c r="AU863" s="4"/>
      <c r="AV863" s="4"/>
      <c r="AY863" s="4"/>
      <c r="AZ863" s="4"/>
      <c r="BC863" s="4"/>
      <c r="BD863" s="4"/>
      <c r="BG863" s="4"/>
      <c r="BH863" s="4"/>
    </row>
    <row r="864" spans="3:60">
      <c r="C864" s="4"/>
      <c r="D864" s="4"/>
      <c r="G864" s="4"/>
      <c r="H864" s="4"/>
      <c r="K864" s="4"/>
      <c r="L864" s="4"/>
      <c r="O864" s="4"/>
      <c r="P864" s="4"/>
      <c r="S864" s="4"/>
      <c r="T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I864" s="4"/>
      <c r="AJ864" s="4"/>
      <c r="AM864" s="4"/>
      <c r="AN864" s="4"/>
      <c r="AQ864" s="4"/>
      <c r="AR864" s="4"/>
      <c r="AU864" s="4"/>
      <c r="AV864" s="4"/>
      <c r="AY864" s="4"/>
      <c r="AZ864" s="4"/>
      <c r="BC864" s="4"/>
      <c r="BD864" s="4"/>
      <c r="BG864" s="4"/>
      <c r="BH864" s="4"/>
    </row>
    <row r="865" spans="3:60">
      <c r="C865" s="4"/>
      <c r="D865" s="4"/>
      <c r="G865" s="4"/>
      <c r="H865" s="4"/>
      <c r="K865" s="4"/>
      <c r="L865" s="4"/>
      <c r="O865" s="4"/>
      <c r="P865" s="4"/>
      <c r="S865" s="4"/>
      <c r="T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I865" s="4"/>
      <c r="AJ865" s="4"/>
      <c r="AM865" s="4"/>
      <c r="AN865" s="4"/>
      <c r="AQ865" s="4"/>
      <c r="AR865" s="4"/>
      <c r="AU865" s="4"/>
      <c r="AV865" s="4"/>
      <c r="AY865" s="4"/>
      <c r="AZ865" s="4"/>
      <c r="BC865" s="4"/>
      <c r="BD865" s="4"/>
      <c r="BG865" s="4"/>
      <c r="BH865" s="4"/>
    </row>
    <row r="866" spans="3:60">
      <c r="C866" s="4"/>
      <c r="D866" s="4"/>
      <c r="G866" s="4"/>
      <c r="H866" s="4"/>
      <c r="K866" s="4"/>
      <c r="L866" s="4"/>
      <c r="O866" s="4"/>
      <c r="P866" s="4"/>
      <c r="S866" s="4"/>
      <c r="T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I866" s="4"/>
      <c r="AJ866" s="4"/>
      <c r="AM866" s="4"/>
      <c r="AN866" s="4"/>
      <c r="AQ866" s="4"/>
      <c r="AR866" s="4"/>
      <c r="AU866" s="4"/>
      <c r="AV866" s="4"/>
      <c r="AY866" s="4"/>
      <c r="AZ866" s="4"/>
      <c r="BC866" s="4"/>
      <c r="BD866" s="4"/>
      <c r="BG866" s="4"/>
      <c r="BH866" s="4"/>
    </row>
    <row r="867" spans="3:60">
      <c r="C867" s="4"/>
      <c r="D867" s="4"/>
      <c r="G867" s="4"/>
      <c r="H867" s="4"/>
      <c r="K867" s="4"/>
      <c r="L867" s="4"/>
      <c r="O867" s="4"/>
      <c r="P867" s="4"/>
      <c r="S867" s="4"/>
      <c r="T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I867" s="4"/>
      <c r="AJ867" s="4"/>
      <c r="AM867" s="4"/>
      <c r="AN867" s="4"/>
      <c r="AQ867" s="4"/>
      <c r="AR867" s="4"/>
      <c r="AU867" s="4"/>
      <c r="AV867" s="4"/>
      <c r="AY867" s="4"/>
      <c r="AZ867" s="4"/>
      <c r="BC867" s="4"/>
      <c r="BD867" s="4"/>
      <c r="BG867" s="4"/>
      <c r="BH867" s="4"/>
    </row>
    <row r="868" spans="3:60">
      <c r="C868" s="4"/>
      <c r="D868" s="4"/>
      <c r="G868" s="4"/>
      <c r="H868" s="4"/>
      <c r="K868" s="4"/>
      <c r="L868" s="4"/>
      <c r="O868" s="4"/>
      <c r="P868" s="4"/>
      <c r="S868" s="4"/>
      <c r="T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I868" s="4"/>
      <c r="AJ868" s="4"/>
      <c r="AM868" s="4"/>
      <c r="AN868" s="4"/>
      <c r="AQ868" s="4"/>
      <c r="AR868" s="4"/>
      <c r="AU868" s="4"/>
      <c r="AV868" s="4"/>
      <c r="AY868" s="4"/>
      <c r="AZ868" s="4"/>
      <c r="BC868" s="4"/>
      <c r="BD868" s="4"/>
      <c r="BG868" s="4"/>
      <c r="BH868" s="4"/>
    </row>
    <row r="869" spans="3:60">
      <c r="C869" s="4"/>
      <c r="D869" s="4"/>
      <c r="G869" s="4"/>
      <c r="H869" s="4"/>
      <c r="K869" s="4"/>
      <c r="L869" s="4"/>
      <c r="O869" s="4"/>
      <c r="P869" s="4"/>
      <c r="S869" s="4"/>
      <c r="T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I869" s="4"/>
      <c r="AJ869" s="4"/>
      <c r="AM869" s="4"/>
      <c r="AN869" s="4"/>
      <c r="AQ869" s="4"/>
      <c r="AR869" s="4"/>
      <c r="AU869" s="4"/>
      <c r="AV869" s="4"/>
      <c r="AY869" s="4"/>
      <c r="AZ869" s="4"/>
      <c r="BC869" s="4"/>
      <c r="BD869" s="4"/>
      <c r="BG869" s="4"/>
      <c r="BH869" s="4"/>
    </row>
    <row r="870" spans="3:60">
      <c r="C870" s="4"/>
      <c r="D870" s="4"/>
      <c r="G870" s="4"/>
      <c r="H870" s="4"/>
      <c r="K870" s="4"/>
      <c r="L870" s="4"/>
      <c r="O870" s="4"/>
      <c r="P870" s="4"/>
      <c r="S870" s="4"/>
      <c r="T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I870" s="4"/>
      <c r="AJ870" s="4"/>
      <c r="AM870" s="4"/>
      <c r="AN870" s="4"/>
      <c r="AQ870" s="4"/>
      <c r="AR870" s="4"/>
      <c r="AU870" s="4"/>
      <c r="AV870" s="4"/>
      <c r="AY870" s="4"/>
      <c r="AZ870" s="4"/>
      <c r="BC870" s="4"/>
      <c r="BD870" s="4"/>
      <c r="BG870" s="4"/>
      <c r="BH870" s="4"/>
    </row>
    <row r="871" spans="3:60">
      <c r="C871" s="4"/>
      <c r="D871" s="4"/>
      <c r="G871" s="4"/>
      <c r="H871" s="4"/>
      <c r="K871" s="4"/>
      <c r="L871" s="4"/>
      <c r="O871" s="4"/>
      <c r="P871" s="4"/>
      <c r="S871" s="4"/>
      <c r="T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I871" s="4"/>
      <c r="AJ871" s="4"/>
      <c r="AM871" s="4"/>
      <c r="AN871" s="4"/>
      <c r="AQ871" s="4"/>
      <c r="AR871" s="4"/>
      <c r="AU871" s="4"/>
      <c r="AV871" s="4"/>
      <c r="AY871" s="4"/>
      <c r="AZ871" s="4"/>
      <c r="BC871" s="4"/>
      <c r="BD871" s="4"/>
      <c r="BG871" s="4"/>
      <c r="BH871" s="4"/>
    </row>
    <row r="872" spans="3:60">
      <c r="C872" s="4"/>
      <c r="D872" s="4"/>
      <c r="G872" s="4"/>
      <c r="H872" s="4"/>
      <c r="K872" s="4"/>
      <c r="L872" s="4"/>
      <c r="O872" s="4"/>
      <c r="P872" s="4"/>
      <c r="S872" s="4"/>
      <c r="T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I872" s="4"/>
      <c r="AJ872" s="4"/>
      <c r="AM872" s="4"/>
      <c r="AN872" s="4"/>
      <c r="AQ872" s="4"/>
      <c r="AR872" s="4"/>
      <c r="AU872" s="4"/>
      <c r="AV872" s="4"/>
      <c r="AY872" s="4"/>
      <c r="AZ872" s="4"/>
      <c r="BC872" s="4"/>
      <c r="BD872" s="4"/>
      <c r="BG872" s="4"/>
      <c r="BH872" s="4"/>
    </row>
    <row r="873" spans="3:60">
      <c r="C873" s="4"/>
      <c r="D873" s="4"/>
      <c r="G873" s="4"/>
      <c r="H873" s="4"/>
      <c r="K873" s="4"/>
      <c r="L873" s="4"/>
      <c r="O873" s="4"/>
      <c r="P873" s="4"/>
      <c r="S873" s="4"/>
      <c r="T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I873" s="4"/>
      <c r="AJ873" s="4"/>
      <c r="AM873" s="4"/>
      <c r="AN873" s="4"/>
      <c r="AQ873" s="4"/>
      <c r="AR873" s="4"/>
      <c r="AU873" s="4"/>
      <c r="AV873" s="4"/>
      <c r="AY873" s="4"/>
      <c r="AZ873" s="4"/>
      <c r="BC873" s="4"/>
      <c r="BD873" s="4"/>
      <c r="BG873" s="4"/>
      <c r="BH873" s="4"/>
    </row>
    <row r="874" spans="3:60">
      <c r="C874" s="4"/>
      <c r="D874" s="4"/>
      <c r="G874" s="4"/>
      <c r="H874" s="4"/>
      <c r="K874" s="4"/>
      <c r="L874" s="4"/>
      <c r="O874" s="4"/>
      <c r="P874" s="4"/>
      <c r="S874" s="4"/>
      <c r="T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I874" s="4"/>
      <c r="AJ874" s="4"/>
      <c r="AM874" s="4"/>
      <c r="AN874" s="4"/>
      <c r="AQ874" s="4"/>
      <c r="AR874" s="4"/>
      <c r="AU874" s="4"/>
      <c r="AV874" s="4"/>
      <c r="AY874" s="4"/>
      <c r="AZ874" s="4"/>
      <c r="BC874" s="4"/>
      <c r="BD874" s="4"/>
      <c r="BG874" s="4"/>
      <c r="BH874" s="4"/>
    </row>
    <row r="875" spans="3:60">
      <c r="C875" s="4"/>
      <c r="D875" s="4"/>
      <c r="G875" s="4"/>
      <c r="H875" s="4"/>
      <c r="K875" s="4"/>
      <c r="L875" s="4"/>
      <c r="O875" s="4"/>
      <c r="P875" s="4"/>
      <c r="S875" s="4"/>
      <c r="T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I875" s="4"/>
      <c r="AJ875" s="4"/>
      <c r="AM875" s="4"/>
      <c r="AN875" s="4"/>
      <c r="AQ875" s="4"/>
      <c r="AR875" s="4"/>
      <c r="AU875" s="4"/>
      <c r="AV875" s="4"/>
      <c r="AY875" s="4"/>
      <c r="AZ875" s="4"/>
      <c r="BC875" s="4"/>
      <c r="BD875" s="4"/>
      <c r="BG875" s="4"/>
      <c r="BH875" s="4"/>
    </row>
    <row r="876" spans="3:60">
      <c r="C876" s="4"/>
      <c r="D876" s="4"/>
      <c r="G876" s="4"/>
      <c r="H876" s="4"/>
      <c r="K876" s="4"/>
      <c r="L876" s="4"/>
      <c r="O876" s="4"/>
      <c r="P876" s="4"/>
      <c r="S876" s="4"/>
      <c r="T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I876" s="4"/>
      <c r="AJ876" s="4"/>
      <c r="AM876" s="4"/>
      <c r="AN876" s="4"/>
      <c r="AQ876" s="4"/>
      <c r="AR876" s="4"/>
      <c r="AU876" s="4"/>
      <c r="AV876" s="4"/>
      <c r="AY876" s="4"/>
      <c r="AZ876" s="4"/>
      <c r="BC876" s="4"/>
      <c r="BD876" s="4"/>
      <c r="BG876" s="4"/>
      <c r="BH876" s="4"/>
    </row>
    <row r="877" spans="3:60">
      <c r="C877" s="4"/>
      <c r="D877" s="4"/>
      <c r="G877" s="4"/>
      <c r="H877" s="4"/>
      <c r="K877" s="4"/>
      <c r="L877" s="4"/>
      <c r="O877" s="4"/>
      <c r="P877" s="4"/>
      <c r="S877" s="4"/>
      <c r="T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I877" s="4"/>
      <c r="AJ877" s="4"/>
      <c r="AM877" s="4"/>
      <c r="AN877" s="4"/>
      <c r="AQ877" s="4"/>
      <c r="AR877" s="4"/>
      <c r="AU877" s="4"/>
      <c r="AV877" s="4"/>
      <c r="AY877" s="4"/>
      <c r="AZ877" s="4"/>
      <c r="BC877" s="4"/>
      <c r="BD877" s="4"/>
      <c r="BG877" s="4"/>
      <c r="BH877" s="4"/>
    </row>
    <row r="878" spans="3:60">
      <c r="C878" s="4"/>
      <c r="D878" s="4"/>
      <c r="G878" s="4"/>
      <c r="H878" s="4"/>
      <c r="K878" s="4"/>
      <c r="L878" s="4"/>
      <c r="O878" s="4"/>
      <c r="P878" s="4"/>
      <c r="S878" s="4"/>
      <c r="T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I878" s="4"/>
      <c r="AJ878" s="4"/>
      <c r="AM878" s="4"/>
      <c r="AN878" s="4"/>
      <c r="AQ878" s="4"/>
      <c r="AR878" s="4"/>
      <c r="AU878" s="4"/>
      <c r="AV878" s="4"/>
      <c r="AY878" s="4"/>
      <c r="AZ878" s="4"/>
      <c r="BC878" s="4"/>
      <c r="BD878" s="4"/>
      <c r="BG878" s="4"/>
      <c r="BH878" s="4"/>
    </row>
    <row r="879" spans="3:60">
      <c r="C879" s="4"/>
      <c r="D879" s="4"/>
      <c r="G879" s="4"/>
      <c r="H879" s="4"/>
      <c r="K879" s="4"/>
      <c r="L879" s="4"/>
      <c r="O879" s="4"/>
      <c r="P879" s="4"/>
      <c r="S879" s="4"/>
      <c r="T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I879" s="4"/>
      <c r="AJ879" s="4"/>
      <c r="AM879" s="4"/>
      <c r="AN879" s="4"/>
      <c r="AQ879" s="4"/>
      <c r="AR879" s="4"/>
      <c r="AU879" s="4"/>
      <c r="AV879" s="4"/>
      <c r="AY879" s="4"/>
      <c r="AZ879" s="4"/>
      <c r="BC879" s="4"/>
      <c r="BD879" s="4"/>
      <c r="BG879" s="4"/>
      <c r="BH879" s="4"/>
    </row>
    <row r="880" spans="3:60">
      <c r="C880" s="4"/>
      <c r="D880" s="4"/>
      <c r="G880" s="4"/>
      <c r="H880" s="4"/>
      <c r="K880" s="4"/>
      <c r="L880" s="4"/>
      <c r="O880" s="4"/>
      <c r="P880" s="4"/>
      <c r="S880" s="4"/>
      <c r="T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I880" s="4"/>
      <c r="AJ880" s="4"/>
      <c r="AM880" s="4"/>
      <c r="AN880" s="4"/>
      <c r="AQ880" s="4"/>
      <c r="AR880" s="4"/>
      <c r="AU880" s="4"/>
      <c r="AV880" s="4"/>
      <c r="AY880" s="4"/>
      <c r="AZ880" s="4"/>
      <c r="BC880" s="4"/>
      <c r="BD880" s="4"/>
      <c r="BG880" s="4"/>
      <c r="BH880" s="4"/>
    </row>
    <row r="881" spans="3:60">
      <c r="C881" s="4"/>
      <c r="D881" s="4"/>
      <c r="G881" s="4"/>
      <c r="H881" s="4"/>
      <c r="K881" s="4"/>
      <c r="L881" s="4"/>
      <c r="O881" s="4"/>
      <c r="P881" s="4"/>
      <c r="S881" s="4"/>
      <c r="T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I881" s="4"/>
      <c r="AJ881" s="4"/>
      <c r="AM881" s="4"/>
      <c r="AN881" s="4"/>
      <c r="AQ881" s="4"/>
      <c r="AR881" s="4"/>
      <c r="AU881" s="4"/>
      <c r="AV881" s="4"/>
      <c r="AY881" s="4"/>
      <c r="AZ881" s="4"/>
      <c r="BC881" s="4"/>
      <c r="BD881" s="4"/>
      <c r="BG881" s="4"/>
      <c r="BH881" s="4"/>
    </row>
    <row r="882" spans="3:60">
      <c r="C882" s="4"/>
      <c r="D882" s="4"/>
      <c r="G882" s="4"/>
      <c r="H882" s="4"/>
      <c r="K882" s="4"/>
      <c r="L882" s="4"/>
      <c r="O882" s="4"/>
      <c r="P882" s="4"/>
      <c r="S882" s="4"/>
      <c r="T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I882" s="4"/>
      <c r="AJ882" s="4"/>
      <c r="AM882" s="4"/>
      <c r="AN882" s="4"/>
      <c r="AQ882" s="4"/>
      <c r="AR882" s="4"/>
      <c r="AU882" s="4"/>
      <c r="AV882" s="4"/>
      <c r="AY882" s="4"/>
      <c r="AZ882" s="4"/>
      <c r="BC882" s="4"/>
      <c r="BD882" s="4"/>
      <c r="BG882" s="4"/>
      <c r="BH882" s="4"/>
    </row>
    <row r="883" spans="3:60">
      <c r="C883" s="4"/>
      <c r="D883" s="4"/>
      <c r="G883" s="4"/>
      <c r="H883" s="4"/>
      <c r="K883" s="4"/>
      <c r="L883" s="4"/>
      <c r="O883" s="4"/>
      <c r="P883" s="4"/>
      <c r="S883" s="4"/>
      <c r="T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I883" s="4"/>
      <c r="AJ883" s="4"/>
      <c r="AM883" s="4"/>
      <c r="AN883" s="4"/>
      <c r="AQ883" s="4"/>
      <c r="AR883" s="4"/>
      <c r="AU883" s="4"/>
      <c r="AV883" s="4"/>
      <c r="AY883" s="4"/>
      <c r="AZ883" s="4"/>
      <c r="BC883" s="4"/>
      <c r="BD883" s="4"/>
      <c r="BG883" s="4"/>
      <c r="BH883" s="4"/>
    </row>
    <row r="884" spans="3:60">
      <c r="C884" s="4"/>
      <c r="D884" s="4"/>
      <c r="G884" s="4"/>
      <c r="H884" s="4"/>
      <c r="K884" s="4"/>
      <c r="L884" s="4"/>
      <c r="O884" s="4"/>
      <c r="P884" s="4"/>
      <c r="S884" s="4"/>
      <c r="T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I884" s="4"/>
      <c r="AJ884" s="4"/>
      <c r="AM884" s="4"/>
      <c r="AN884" s="4"/>
      <c r="AQ884" s="4"/>
      <c r="AR884" s="4"/>
      <c r="AU884" s="4"/>
      <c r="AV884" s="4"/>
      <c r="AY884" s="4"/>
      <c r="AZ884" s="4"/>
      <c r="BC884" s="4"/>
      <c r="BD884" s="4"/>
      <c r="BG884" s="4"/>
      <c r="BH884" s="4"/>
    </row>
    <row r="885" spans="3:60">
      <c r="C885" s="4"/>
      <c r="D885" s="4"/>
      <c r="G885" s="4"/>
      <c r="H885" s="4"/>
      <c r="K885" s="4"/>
      <c r="L885" s="4"/>
      <c r="O885" s="4"/>
      <c r="P885" s="4"/>
      <c r="S885" s="4"/>
      <c r="T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I885" s="4"/>
      <c r="AJ885" s="4"/>
      <c r="AM885" s="4"/>
      <c r="AN885" s="4"/>
      <c r="AQ885" s="4"/>
      <c r="AR885" s="4"/>
      <c r="AU885" s="4"/>
      <c r="AV885" s="4"/>
      <c r="AY885" s="4"/>
      <c r="AZ885" s="4"/>
      <c r="BC885" s="4"/>
      <c r="BD885" s="4"/>
      <c r="BG885" s="4"/>
      <c r="BH885" s="4"/>
    </row>
    <row r="886" spans="3:60">
      <c r="C886" s="4"/>
      <c r="D886" s="4"/>
      <c r="G886" s="4"/>
      <c r="H886" s="4"/>
      <c r="K886" s="4"/>
      <c r="L886" s="4"/>
      <c r="O886" s="4"/>
      <c r="P886" s="4"/>
      <c r="S886" s="4"/>
      <c r="T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I886" s="4"/>
      <c r="AJ886" s="4"/>
      <c r="AM886" s="4"/>
      <c r="AN886" s="4"/>
      <c r="AQ886" s="4"/>
      <c r="AR886" s="4"/>
      <c r="AU886" s="4"/>
      <c r="AV886" s="4"/>
      <c r="AY886" s="4"/>
      <c r="AZ886" s="4"/>
      <c r="BC886" s="4"/>
      <c r="BD886" s="4"/>
      <c r="BG886" s="4"/>
      <c r="BH886" s="4"/>
    </row>
    <row r="887" spans="3:60">
      <c r="C887" s="4"/>
      <c r="D887" s="4"/>
      <c r="G887" s="4"/>
      <c r="H887" s="4"/>
      <c r="K887" s="4"/>
      <c r="L887" s="4"/>
      <c r="O887" s="4"/>
      <c r="P887" s="4"/>
      <c r="S887" s="4"/>
      <c r="T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I887" s="4"/>
      <c r="AJ887" s="4"/>
      <c r="AM887" s="4"/>
      <c r="AN887" s="4"/>
      <c r="AQ887" s="4"/>
      <c r="AR887" s="4"/>
      <c r="AU887" s="4"/>
      <c r="AV887" s="4"/>
      <c r="AY887" s="4"/>
      <c r="AZ887" s="4"/>
      <c r="BC887" s="4"/>
      <c r="BD887" s="4"/>
      <c r="BG887" s="4"/>
      <c r="BH887" s="4"/>
    </row>
    <row r="888" spans="3:60">
      <c r="C888" s="4"/>
      <c r="D888" s="4"/>
      <c r="G888" s="4"/>
      <c r="H888" s="4"/>
      <c r="K888" s="4"/>
      <c r="L888" s="4"/>
      <c r="O888" s="4"/>
      <c r="P888" s="4"/>
      <c r="S888" s="4"/>
      <c r="T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I888" s="4"/>
      <c r="AJ888" s="4"/>
      <c r="AM888" s="4"/>
      <c r="AN888" s="4"/>
      <c r="AQ888" s="4"/>
      <c r="AR888" s="4"/>
      <c r="AU888" s="4"/>
      <c r="AV888" s="4"/>
      <c r="AY888" s="4"/>
      <c r="AZ888" s="4"/>
      <c r="BC888" s="4"/>
      <c r="BD888" s="4"/>
      <c r="BG888" s="4"/>
      <c r="BH888" s="4"/>
    </row>
    <row r="889" spans="3:60">
      <c r="C889" s="4"/>
      <c r="D889" s="4"/>
      <c r="G889" s="4"/>
      <c r="H889" s="4"/>
      <c r="K889" s="4"/>
      <c r="L889" s="4"/>
      <c r="O889" s="4"/>
      <c r="P889" s="4"/>
      <c r="S889" s="4"/>
      <c r="T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I889" s="4"/>
      <c r="AJ889" s="4"/>
      <c r="AM889" s="4"/>
      <c r="AN889" s="4"/>
      <c r="AQ889" s="4"/>
      <c r="AR889" s="4"/>
      <c r="AU889" s="4"/>
      <c r="AV889" s="4"/>
      <c r="AY889" s="4"/>
      <c r="AZ889" s="4"/>
      <c r="BC889" s="4"/>
      <c r="BD889" s="4"/>
      <c r="BG889" s="4"/>
      <c r="BH889" s="4"/>
    </row>
    <row r="890" spans="3:60">
      <c r="C890" s="4"/>
      <c r="D890" s="4"/>
      <c r="G890" s="4"/>
      <c r="H890" s="4"/>
      <c r="K890" s="4"/>
      <c r="L890" s="4"/>
      <c r="O890" s="4"/>
      <c r="P890" s="4"/>
      <c r="S890" s="4"/>
      <c r="T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I890" s="4"/>
      <c r="AJ890" s="4"/>
      <c r="AM890" s="4"/>
      <c r="AN890" s="4"/>
      <c r="AQ890" s="4"/>
      <c r="AR890" s="4"/>
      <c r="AU890" s="4"/>
      <c r="AV890" s="4"/>
      <c r="AY890" s="4"/>
      <c r="AZ890" s="4"/>
      <c r="BC890" s="4"/>
      <c r="BD890" s="4"/>
      <c r="BG890" s="4"/>
      <c r="BH890" s="4"/>
    </row>
    <row r="891" spans="3:60">
      <c r="C891" s="4"/>
      <c r="D891" s="4"/>
      <c r="G891" s="4"/>
      <c r="H891" s="4"/>
      <c r="K891" s="4"/>
      <c r="L891" s="4"/>
      <c r="O891" s="4"/>
      <c r="P891" s="4"/>
      <c r="S891" s="4"/>
      <c r="T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I891" s="4"/>
      <c r="AJ891" s="4"/>
      <c r="AM891" s="4"/>
      <c r="AN891" s="4"/>
      <c r="AQ891" s="4"/>
      <c r="AR891" s="4"/>
      <c r="AU891" s="4"/>
      <c r="AV891" s="4"/>
      <c r="AY891" s="4"/>
      <c r="AZ891" s="4"/>
      <c r="BC891" s="4"/>
      <c r="BD891" s="4"/>
      <c r="BG891" s="4"/>
      <c r="BH891" s="4"/>
    </row>
    <row r="892" spans="3:60">
      <c r="C892" s="4"/>
      <c r="D892" s="4"/>
      <c r="G892" s="4"/>
      <c r="H892" s="4"/>
      <c r="K892" s="4"/>
      <c r="L892" s="4"/>
      <c r="O892" s="4"/>
      <c r="P892" s="4"/>
      <c r="S892" s="4"/>
      <c r="T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I892" s="4"/>
      <c r="AJ892" s="4"/>
      <c r="AM892" s="4"/>
      <c r="AN892" s="4"/>
      <c r="AQ892" s="4"/>
      <c r="AR892" s="4"/>
      <c r="AU892" s="4"/>
      <c r="AV892" s="4"/>
      <c r="AY892" s="4"/>
      <c r="AZ892" s="4"/>
      <c r="BC892" s="4"/>
      <c r="BD892" s="4"/>
      <c r="BG892" s="4"/>
      <c r="BH892" s="4"/>
    </row>
    <row r="893" spans="3:60">
      <c r="C893" s="4"/>
      <c r="D893" s="4"/>
      <c r="G893" s="4"/>
      <c r="H893" s="4"/>
      <c r="K893" s="4"/>
      <c r="L893" s="4"/>
      <c r="O893" s="4"/>
      <c r="P893" s="4"/>
      <c r="S893" s="4"/>
      <c r="T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I893" s="4"/>
      <c r="AJ893" s="4"/>
      <c r="AM893" s="4"/>
      <c r="AN893" s="4"/>
      <c r="AQ893" s="4"/>
      <c r="AR893" s="4"/>
      <c r="AU893" s="4"/>
      <c r="AV893" s="4"/>
      <c r="AY893" s="4"/>
      <c r="AZ893" s="4"/>
      <c r="BC893" s="4"/>
      <c r="BD893" s="4"/>
      <c r="BG893" s="4"/>
      <c r="BH893" s="4"/>
    </row>
    <row r="894" spans="3:60">
      <c r="C894" s="4"/>
      <c r="D894" s="4"/>
      <c r="G894" s="4"/>
      <c r="H894" s="4"/>
      <c r="K894" s="4"/>
      <c r="L894" s="4"/>
      <c r="O894" s="4"/>
      <c r="P894" s="4"/>
      <c r="S894" s="4"/>
      <c r="T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I894" s="4"/>
      <c r="AJ894" s="4"/>
      <c r="AM894" s="4"/>
      <c r="AN894" s="4"/>
      <c r="AQ894" s="4"/>
      <c r="AR894" s="4"/>
      <c r="AU894" s="4"/>
      <c r="AV894" s="4"/>
      <c r="AY894" s="4"/>
      <c r="AZ894" s="4"/>
      <c r="BC894" s="4"/>
      <c r="BD894" s="4"/>
      <c r="BG894" s="4"/>
      <c r="BH894" s="4"/>
    </row>
    <row r="895" spans="3:60">
      <c r="C895" s="4"/>
      <c r="D895" s="4"/>
      <c r="G895" s="4"/>
      <c r="H895" s="4"/>
      <c r="K895" s="4"/>
      <c r="L895" s="4"/>
      <c r="O895" s="4"/>
      <c r="P895" s="4"/>
      <c r="S895" s="4"/>
      <c r="T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I895" s="4"/>
      <c r="AJ895" s="4"/>
      <c r="AM895" s="4"/>
      <c r="AN895" s="4"/>
      <c r="AQ895" s="4"/>
      <c r="AR895" s="4"/>
      <c r="AU895" s="4"/>
      <c r="AV895" s="4"/>
      <c r="AY895" s="4"/>
      <c r="AZ895" s="4"/>
      <c r="BC895" s="4"/>
      <c r="BD895" s="4"/>
      <c r="BG895" s="4"/>
      <c r="BH895" s="4"/>
    </row>
    <row r="896" spans="3:60">
      <c r="C896" s="4"/>
      <c r="D896" s="4"/>
      <c r="G896" s="4"/>
      <c r="H896" s="4"/>
      <c r="K896" s="4"/>
      <c r="L896" s="4"/>
      <c r="O896" s="4"/>
      <c r="P896" s="4"/>
      <c r="S896" s="4"/>
      <c r="T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I896" s="4"/>
      <c r="AJ896" s="4"/>
      <c r="AM896" s="4"/>
      <c r="AN896" s="4"/>
      <c r="AQ896" s="4"/>
      <c r="AR896" s="4"/>
      <c r="AU896" s="4"/>
      <c r="AV896" s="4"/>
      <c r="AY896" s="4"/>
      <c r="AZ896" s="4"/>
      <c r="BC896" s="4"/>
      <c r="BD896" s="4"/>
      <c r="BG896" s="4"/>
      <c r="BH896" s="4"/>
    </row>
    <row r="897" spans="3:60">
      <c r="C897" s="4"/>
      <c r="D897" s="4"/>
      <c r="G897" s="4"/>
      <c r="H897" s="4"/>
      <c r="K897" s="4"/>
      <c r="L897" s="4"/>
      <c r="O897" s="4"/>
      <c r="P897" s="4"/>
      <c r="S897" s="4"/>
      <c r="T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I897" s="4"/>
      <c r="AJ897" s="4"/>
      <c r="AM897" s="4"/>
      <c r="AN897" s="4"/>
      <c r="AQ897" s="4"/>
      <c r="AR897" s="4"/>
      <c r="AU897" s="4"/>
      <c r="AV897" s="4"/>
      <c r="AY897" s="4"/>
      <c r="AZ897" s="4"/>
      <c r="BC897" s="4"/>
      <c r="BD897" s="4"/>
      <c r="BG897" s="4"/>
      <c r="BH897" s="4"/>
    </row>
    <row r="898" spans="3:60">
      <c r="C898" s="4"/>
      <c r="D898" s="4"/>
      <c r="G898" s="4"/>
      <c r="H898" s="4"/>
      <c r="K898" s="4"/>
      <c r="L898" s="4"/>
      <c r="O898" s="4"/>
      <c r="P898" s="4"/>
      <c r="S898" s="4"/>
      <c r="T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I898" s="4"/>
      <c r="AJ898" s="4"/>
      <c r="AM898" s="4"/>
      <c r="AN898" s="4"/>
      <c r="AQ898" s="4"/>
      <c r="AR898" s="4"/>
      <c r="AU898" s="4"/>
      <c r="AV898" s="4"/>
      <c r="AY898" s="4"/>
      <c r="AZ898" s="4"/>
      <c r="BC898" s="4"/>
      <c r="BD898" s="4"/>
      <c r="BG898" s="4"/>
      <c r="BH898" s="4"/>
    </row>
    <row r="899" spans="3:60">
      <c r="C899" s="4"/>
      <c r="D899" s="4"/>
      <c r="G899" s="4"/>
      <c r="H899" s="4"/>
      <c r="K899" s="4"/>
      <c r="L899" s="4"/>
      <c r="O899" s="4"/>
      <c r="P899" s="4"/>
      <c r="S899" s="4"/>
      <c r="T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I899" s="4"/>
      <c r="AJ899" s="4"/>
      <c r="AM899" s="4"/>
      <c r="AN899" s="4"/>
      <c r="AQ899" s="4"/>
      <c r="AR899" s="4"/>
      <c r="AU899" s="4"/>
      <c r="AV899" s="4"/>
      <c r="AY899" s="4"/>
      <c r="AZ899" s="4"/>
      <c r="BC899" s="4"/>
      <c r="BD899" s="4"/>
      <c r="BG899" s="4"/>
      <c r="BH899" s="4"/>
    </row>
    <row r="900" spans="3:60">
      <c r="C900" s="4"/>
      <c r="D900" s="4"/>
      <c r="G900" s="4"/>
      <c r="H900" s="4"/>
      <c r="K900" s="4"/>
      <c r="L900" s="4"/>
      <c r="O900" s="4"/>
      <c r="P900" s="4"/>
      <c r="S900" s="4"/>
      <c r="T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I900" s="4"/>
      <c r="AJ900" s="4"/>
      <c r="AM900" s="4"/>
      <c r="AN900" s="4"/>
      <c r="AQ900" s="4"/>
      <c r="AR900" s="4"/>
      <c r="AU900" s="4"/>
      <c r="AV900" s="4"/>
      <c r="AY900" s="4"/>
      <c r="AZ900" s="4"/>
      <c r="BC900" s="4"/>
      <c r="BD900" s="4"/>
      <c r="BG900" s="4"/>
      <c r="BH900" s="4"/>
    </row>
    <row r="901" spans="3:60">
      <c r="C901" s="4"/>
      <c r="D901" s="4"/>
      <c r="G901" s="4"/>
      <c r="H901" s="4"/>
      <c r="K901" s="4"/>
      <c r="L901" s="4"/>
      <c r="O901" s="4"/>
      <c r="P901" s="4"/>
      <c r="S901" s="4"/>
      <c r="T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I901" s="4"/>
      <c r="AJ901" s="4"/>
      <c r="AM901" s="4"/>
      <c r="AN901" s="4"/>
      <c r="AQ901" s="4"/>
      <c r="AR901" s="4"/>
      <c r="AU901" s="4"/>
      <c r="AV901" s="4"/>
      <c r="AY901" s="4"/>
      <c r="AZ901" s="4"/>
      <c r="BC901" s="4"/>
      <c r="BD901" s="4"/>
      <c r="BG901" s="4"/>
      <c r="BH901" s="4"/>
    </row>
    <row r="902" spans="3:60">
      <c r="C902" s="4"/>
      <c r="D902" s="4"/>
      <c r="G902" s="4"/>
      <c r="H902" s="4"/>
      <c r="K902" s="4"/>
      <c r="L902" s="4"/>
      <c r="O902" s="4"/>
      <c r="P902" s="4"/>
      <c r="S902" s="4"/>
      <c r="T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I902" s="4"/>
      <c r="AJ902" s="4"/>
      <c r="AM902" s="4"/>
      <c r="AN902" s="4"/>
      <c r="AQ902" s="4"/>
      <c r="AR902" s="4"/>
      <c r="AU902" s="4"/>
      <c r="AV902" s="4"/>
      <c r="AY902" s="4"/>
      <c r="AZ902" s="4"/>
      <c r="BC902" s="4"/>
      <c r="BD902" s="4"/>
      <c r="BG902" s="4"/>
      <c r="BH902" s="4"/>
    </row>
    <row r="903" spans="3:60">
      <c r="C903" s="4"/>
      <c r="D903" s="4"/>
      <c r="G903" s="4"/>
      <c r="H903" s="4"/>
      <c r="K903" s="4"/>
      <c r="L903" s="4"/>
      <c r="O903" s="4"/>
      <c r="P903" s="4"/>
      <c r="S903" s="4"/>
      <c r="T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I903" s="4"/>
      <c r="AJ903" s="4"/>
      <c r="AM903" s="4"/>
      <c r="AN903" s="4"/>
      <c r="AQ903" s="4"/>
      <c r="AR903" s="4"/>
      <c r="AU903" s="4"/>
      <c r="AV903" s="4"/>
      <c r="AY903" s="4"/>
      <c r="AZ903" s="4"/>
      <c r="BC903" s="4"/>
      <c r="BD903" s="4"/>
      <c r="BG903" s="4"/>
      <c r="BH903" s="4"/>
    </row>
    <row r="904" spans="3:60">
      <c r="C904" s="4"/>
      <c r="D904" s="4"/>
      <c r="G904" s="4"/>
      <c r="H904" s="4"/>
      <c r="K904" s="4"/>
      <c r="L904" s="4"/>
      <c r="O904" s="4"/>
      <c r="P904" s="4"/>
      <c r="S904" s="4"/>
      <c r="T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I904" s="4"/>
      <c r="AJ904" s="4"/>
      <c r="AM904" s="4"/>
      <c r="AN904" s="4"/>
      <c r="AQ904" s="4"/>
      <c r="AR904" s="4"/>
      <c r="AU904" s="4"/>
      <c r="AV904" s="4"/>
      <c r="AY904" s="4"/>
      <c r="AZ904" s="4"/>
      <c r="BC904" s="4"/>
      <c r="BD904" s="4"/>
      <c r="BG904" s="4"/>
      <c r="BH904" s="4"/>
    </row>
    <row r="905" spans="3:60">
      <c r="C905" s="4"/>
      <c r="D905" s="4"/>
      <c r="G905" s="4"/>
      <c r="H905" s="4"/>
      <c r="K905" s="4"/>
      <c r="L905" s="4"/>
      <c r="O905" s="4"/>
      <c r="P905" s="4"/>
      <c r="S905" s="4"/>
      <c r="T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I905" s="4"/>
      <c r="AJ905" s="4"/>
      <c r="AM905" s="4"/>
      <c r="AN905" s="4"/>
      <c r="AQ905" s="4"/>
      <c r="AR905" s="4"/>
      <c r="AU905" s="4"/>
      <c r="AV905" s="4"/>
      <c r="AY905" s="4"/>
      <c r="AZ905" s="4"/>
      <c r="BC905" s="4"/>
      <c r="BD905" s="4"/>
      <c r="BG905" s="4"/>
      <c r="BH905" s="4"/>
    </row>
    <row r="906" spans="3:60">
      <c r="C906" s="4"/>
      <c r="D906" s="4"/>
      <c r="G906" s="4"/>
      <c r="H906" s="4"/>
      <c r="K906" s="4"/>
      <c r="L906" s="4"/>
      <c r="O906" s="4"/>
      <c r="P906" s="4"/>
      <c r="S906" s="4"/>
      <c r="T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I906" s="4"/>
      <c r="AJ906" s="4"/>
      <c r="AM906" s="4"/>
      <c r="AN906" s="4"/>
      <c r="AQ906" s="4"/>
      <c r="AR906" s="4"/>
      <c r="AU906" s="4"/>
      <c r="AV906" s="4"/>
      <c r="AY906" s="4"/>
      <c r="AZ906" s="4"/>
      <c r="BC906" s="4"/>
      <c r="BD906" s="4"/>
      <c r="BG906" s="4"/>
      <c r="BH906" s="4"/>
    </row>
    <row r="907" spans="3:60">
      <c r="C907" s="4"/>
      <c r="D907" s="4"/>
      <c r="G907" s="4"/>
      <c r="H907" s="4"/>
      <c r="K907" s="4"/>
      <c r="L907" s="4"/>
      <c r="O907" s="4"/>
      <c r="P907" s="4"/>
      <c r="S907" s="4"/>
      <c r="T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I907" s="4"/>
      <c r="AJ907" s="4"/>
      <c r="AM907" s="4"/>
      <c r="AN907" s="4"/>
      <c r="AQ907" s="4"/>
      <c r="AR907" s="4"/>
      <c r="AU907" s="4"/>
      <c r="AV907" s="4"/>
      <c r="AY907" s="4"/>
      <c r="AZ907" s="4"/>
      <c r="BC907" s="4"/>
      <c r="BD907" s="4"/>
      <c r="BG907" s="4"/>
      <c r="BH907" s="4"/>
    </row>
    <row r="908" spans="3:60">
      <c r="C908" s="4"/>
      <c r="D908" s="4"/>
      <c r="G908" s="4"/>
      <c r="H908" s="4"/>
      <c r="K908" s="4"/>
      <c r="L908" s="4"/>
      <c r="O908" s="4"/>
      <c r="P908" s="4"/>
      <c r="S908" s="4"/>
      <c r="T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I908" s="4"/>
      <c r="AJ908" s="4"/>
      <c r="AM908" s="4"/>
      <c r="AN908" s="4"/>
      <c r="AQ908" s="4"/>
      <c r="AR908" s="4"/>
      <c r="AU908" s="4"/>
      <c r="AV908" s="4"/>
      <c r="AY908" s="4"/>
      <c r="AZ908" s="4"/>
      <c r="BC908" s="4"/>
      <c r="BD908" s="4"/>
      <c r="BG908" s="4"/>
      <c r="BH908" s="4"/>
    </row>
    <row r="909" spans="3:60">
      <c r="C909" s="4"/>
      <c r="D909" s="4"/>
      <c r="G909" s="4"/>
      <c r="H909" s="4"/>
      <c r="K909" s="4"/>
      <c r="L909" s="4"/>
      <c r="O909" s="4"/>
      <c r="P909" s="4"/>
      <c r="S909" s="4"/>
      <c r="T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I909" s="4"/>
      <c r="AJ909" s="4"/>
      <c r="AM909" s="4"/>
      <c r="AN909" s="4"/>
      <c r="AQ909" s="4"/>
      <c r="AR909" s="4"/>
      <c r="AU909" s="4"/>
      <c r="AV909" s="4"/>
      <c r="AY909" s="4"/>
      <c r="AZ909" s="4"/>
      <c r="BC909" s="4"/>
      <c r="BD909" s="4"/>
      <c r="BG909" s="4"/>
      <c r="BH909" s="4"/>
    </row>
    <row r="910" spans="3:60">
      <c r="C910" s="4"/>
      <c r="D910" s="4"/>
      <c r="G910" s="4"/>
      <c r="H910" s="4"/>
      <c r="K910" s="4"/>
      <c r="L910" s="4"/>
      <c r="O910" s="4"/>
      <c r="P910" s="4"/>
      <c r="S910" s="4"/>
      <c r="T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I910" s="4"/>
      <c r="AJ910" s="4"/>
      <c r="AM910" s="4"/>
      <c r="AN910" s="4"/>
      <c r="AQ910" s="4"/>
      <c r="AR910" s="4"/>
      <c r="AU910" s="4"/>
      <c r="AV910" s="4"/>
      <c r="AY910" s="4"/>
      <c r="AZ910" s="4"/>
      <c r="BC910" s="4"/>
      <c r="BD910" s="4"/>
      <c r="BG910" s="4"/>
      <c r="BH910" s="4"/>
    </row>
    <row r="911" spans="3:60">
      <c r="C911" s="4"/>
      <c r="D911" s="4"/>
      <c r="G911" s="4"/>
      <c r="H911" s="4"/>
      <c r="K911" s="4"/>
      <c r="L911" s="4"/>
      <c r="O911" s="4"/>
      <c r="P911" s="4"/>
      <c r="S911" s="4"/>
      <c r="T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I911" s="4"/>
      <c r="AJ911" s="4"/>
      <c r="AM911" s="4"/>
      <c r="AN911" s="4"/>
      <c r="AQ911" s="4"/>
      <c r="AR911" s="4"/>
      <c r="AU911" s="4"/>
      <c r="AV911" s="4"/>
      <c r="AY911" s="4"/>
      <c r="AZ911" s="4"/>
      <c r="BC911" s="4"/>
      <c r="BD911" s="4"/>
      <c r="BG911" s="4"/>
      <c r="BH911" s="4"/>
    </row>
    <row r="912" spans="3:60">
      <c r="C912" s="4"/>
      <c r="D912" s="4"/>
      <c r="G912" s="4"/>
      <c r="H912" s="4"/>
      <c r="K912" s="4"/>
      <c r="L912" s="4"/>
      <c r="O912" s="4"/>
      <c r="P912" s="4"/>
      <c r="S912" s="4"/>
      <c r="T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I912" s="4"/>
      <c r="AJ912" s="4"/>
      <c r="AM912" s="4"/>
      <c r="AN912" s="4"/>
      <c r="AQ912" s="4"/>
      <c r="AR912" s="4"/>
      <c r="AU912" s="4"/>
      <c r="AV912" s="4"/>
      <c r="AY912" s="4"/>
      <c r="AZ912" s="4"/>
      <c r="BC912" s="4"/>
      <c r="BD912" s="4"/>
      <c r="BG912" s="4"/>
      <c r="BH912" s="4"/>
    </row>
    <row r="913" spans="3:60">
      <c r="C913" s="4"/>
      <c r="D913" s="4"/>
      <c r="G913" s="4"/>
      <c r="H913" s="4"/>
      <c r="K913" s="4"/>
      <c r="L913" s="4"/>
      <c r="O913" s="4"/>
      <c r="P913" s="4"/>
      <c r="S913" s="4"/>
      <c r="T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I913" s="4"/>
      <c r="AJ913" s="4"/>
      <c r="AM913" s="4"/>
      <c r="AN913" s="4"/>
      <c r="AQ913" s="4"/>
      <c r="AR913" s="4"/>
      <c r="AU913" s="4"/>
      <c r="AV913" s="4"/>
      <c r="AY913" s="4"/>
      <c r="AZ913" s="4"/>
      <c r="BC913" s="4"/>
      <c r="BD913" s="4"/>
      <c r="BG913" s="4"/>
      <c r="BH913" s="4"/>
    </row>
    <row r="914" spans="3:60">
      <c r="C914" s="4"/>
      <c r="D914" s="4"/>
      <c r="G914" s="4"/>
      <c r="H914" s="4"/>
      <c r="K914" s="4"/>
      <c r="L914" s="4"/>
      <c r="O914" s="4"/>
      <c r="P914" s="4"/>
      <c r="S914" s="4"/>
      <c r="T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I914" s="4"/>
      <c r="AJ914" s="4"/>
      <c r="AM914" s="4"/>
      <c r="AN914" s="4"/>
      <c r="AQ914" s="4"/>
      <c r="AR914" s="4"/>
      <c r="AU914" s="4"/>
      <c r="AV914" s="4"/>
      <c r="AY914" s="4"/>
      <c r="AZ914" s="4"/>
      <c r="BC914" s="4"/>
      <c r="BD914" s="4"/>
      <c r="BG914" s="4"/>
      <c r="BH914" s="4"/>
    </row>
    <row r="915" spans="3:60">
      <c r="C915" s="4"/>
      <c r="D915" s="4"/>
      <c r="G915" s="4"/>
      <c r="H915" s="4"/>
      <c r="K915" s="4"/>
      <c r="L915" s="4"/>
      <c r="O915" s="4"/>
      <c r="P915" s="4"/>
      <c r="S915" s="4"/>
      <c r="T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I915" s="4"/>
      <c r="AJ915" s="4"/>
      <c r="AM915" s="4"/>
      <c r="AN915" s="4"/>
      <c r="AQ915" s="4"/>
      <c r="AR915" s="4"/>
      <c r="AU915" s="4"/>
      <c r="AV915" s="4"/>
      <c r="AY915" s="4"/>
      <c r="AZ915" s="4"/>
      <c r="BC915" s="4"/>
      <c r="BD915" s="4"/>
      <c r="BG915" s="4"/>
      <c r="BH915" s="4"/>
    </row>
    <row r="916" spans="3:60">
      <c r="C916" s="4"/>
      <c r="D916" s="4"/>
      <c r="G916" s="4"/>
      <c r="H916" s="4"/>
      <c r="K916" s="4"/>
      <c r="L916" s="4"/>
      <c r="O916" s="4"/>
      <c r="P916" s="4"/>
      <c r="S916" s="4"/>
      <c r="T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I916" s="4"/>
      <c r="AJ916" s="4"/>
      <c r="AM916" s="4"/>
      <c r="AN916" s="4"/>
      <c r="AQ916" s="4"/>
      <c r="AR916" s="4"/>
      <c r="AU916" s="4"/>
      <c r="AV916" s="4"/>
      <c r="AY916" s="4"/>
      <c r="AZ916" s="4"/>
      <c r="BC916" s="4"/>
      <c r="BD916" s="4"/>
      <c r="BG916" s="4"/>
      <c r="BH916" s="4"/>
    </row>
    <row r="917" spans="3:60">
      <c r="C917" s="4"/>
      <c r="D917" s="4"/>
      <c r="G917" s="4"/>
      <c r="H917" s="4"/>
      <c r="K917" s="4"/>
      <c r="L917" s="4"/>
      <c r="O917" s="4"/>
      <c r="P917" s="4"/>
      <c r="S917" s="4"/>
      <c r="T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I917" s="4"/>
      <c r="AJ917" s="4"/>
      <c r="AM917" s="4"/>
      <c r="AN917" s="4"/>
      <c r="AQ917" s="4"/>
      <c r="AR917" s="4"/>
      <c r="AU917" s="4"/>
      <c r="AV917" s="4"/>
      <c r="AY917" s="4"/>
      <c r="AZ917" s="4"/>
      <c r="BC917" s="4"/>
      <c r="BD917" s="4"/>
      <c r="BG917" s="4"/>
      <c r="BH917" s="4"/>
    </row>
    <row r="918" spans="3:60">
      <c r="C918" s="4"/>
      <c r="D918" s="4"/>
      <c r="G918" s="4"/>
      <c r="H918" s="4"/>
      <c r="K918" s="4"/>
      <c r="L918" s="4"/>
      <c r="O918" s="4"/>
      <c r="P918" s="4"/>
      <c r="S918" s="4"/>
      <c r="T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I918" s="4"/>
      <c r="AJ918" s="4"/>
      <c r="AM918" s="4"/>
      <c r="AN918" s="4"/>
      <c r="AQ918" s="4"/>
      <c r="AR918" s="4"/>
      <c r="AU918" s="4"/>
      <c r="AV918" s="4"/>
      <c r="AY918" s="4"/>
      <c r="AZ918" s="4"/>
      <c r="BC918" s="4"/>
      <c r="BD918" s="4"/>
      <c r="BG918" s="4"/>
      <c r="BH918" s="4"/>
    </row>
    <row r="919" spans="3:60">
      <c r="C919" s="4"/>
      <c r="D919" s="4"/>
      <c r="G919" s="4"/>
      <c r="H919" s="4"/>
      <c r="K919" s="4"/>
      <c r="L919" s="4"/>
      <c r="O919" s="4"/>
      <c r="P919" s="4"/>
      <c r="S919" s="4"/>
      <c r="T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I919" s="4"/>
      <c r="AJ919" s="4"/>
      <c r="AM919" s="4"/>
      <c r="AN919" s="4"/>
      <c r="AQ919" s="4"/>
      <c r="AR919" s="4"/>
      <c r="AU919" s="4"/>
      <c r="AV919" s="4"/>
      <c r="AY919" s="4"/>
      <c r="AZ919" s="4"/>
      <c r="BC919" s="4"/>
      <c r="BD919" s="4"/>
      <c r="BG919" s="4"/>
      <c r="BH919" s="4"/>
    </row>
    <row r="920" spans="3:60">
      <c r="C920" s="4"/>
      <c r="D920" s="4"/>
      <c r="G920" s="4"/>
      <c r="H920" s="4"/>
      <c r="K920" s="4"/>
      <c r="L920" s="4"/>
      <c r="O920" s="4"/>
      <c r="P920" s="4"/>
      <c r="S920" s="4"/>
      <c r="T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I920" s="4"/>
      <c r="AJ920" s="4"/>
      <c r="AM920" s="4"/>
      <c r="AN920" s="4"/>
      <c r="AQ920" s="4"/>
      <c r="AR920" s="4"/>
      <c r="AU920" s="4"/>
      <c r="AV920" s="4"/>
      <c r="AY920" s="4"/>
      <c r="AZ920" s="4"/>
      <c r="BC920" s="4"/>
      <c r="BD920" s="4"/>
      <c r="BG920" s="4"/>
      <c r="BH920" s="4"/>
    </row>
    <row r="921" spans="3:60">
      <c r="C921" s="4"/>
      <c r="D921" s="4"/>
      <c r="G921" s="4"/>
      <c r="H921" s="4"/>
      <c r="K921" s="4"/>
      <c r="L921" s="4"/>
      <c r="O921" s="4"/>
      <c r="P921" s="4"/>
      <c r="S921" s="4"/>
      <c r="T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I921" s="4"/>
      <c r="AJ921" s="4"/>
      <c r="AM921" s="4"/>
      <c r="AN921" s="4"/>
      <c r="AQ921" s="4"/>
      <c r="AR921" s="4"/>
      <c r="AU921" s="4"/>
      <c r="AV921" s="4"/>
      <c r="AY921" s="4"/>
      <c r="AZ921" s="4"/>
      <c r="BC921" s="4"/>
      <c r="BD921" s="4"/>
      <c r="BG921" s="4"/>
      <c r="BH921" s="4"/>
    </row>
    <row r="922" spans="3:60">
      <c r="C922" s="4"/>
      <c r="D922" s="4"/>
      <c r="G922" s="4"/>
      <c r="H922" s="4"/>
      <c r="K922" s="4"/>
      <c r="L922" s="4"/>
      <c r="O922" s="4"/>
      <c r="P922" s="4"/>
      <c r="S922" s="4"/>
      <c r="T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I922" s="4"/>
      <c r="AJ922" s="4"/>
      <c r="AM922" s="4"/>
      <c r="AN922" s="4"/>
      <c r="AQ922" s="4"/>
      <c r="AR922" s="4"/>
      <c r="AU922" s="4"/>
      <c r="AV922" s="4"/>
      <c r="AY922" s="4"/>
      <c r="AZ922" s="4"/>
      <c r="BC922" s="4"/>
      <c r="BD922" s="4"/>
      <c r="BG922" s="4"/>
      <c r="BH922" s="4"/>
    </row>
    <row r="923" spans="3:60">
      <c r="C923" s="4"/>
      <c r="D923" s="4"/>
      <c r="G923" s="4"/>
      <c r="H923" s="4"/>
      <c r="K923" s="4"/>
      <c r="L923" s="4"/>
      <c r="O923" s="4"/>
      <c r="P923" s="4"/>
      <c r="S923" s="4"/>
      <c r="T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I923" s="4"/>
      <c r="AJ923" s="4"/>
      <c r="AM923" s="4"/>
      <c r="AN923" s="4"/>
      <c r="AQ923" s="4"/>
      <c r="AR923" s="4"/>
      <c r="AU923" s="4"/>
      <c r="AV923" s="4"/>
      <c r="AY923" s="4"/>
      <c r="AZ923" s="4"/>
      <c r="BC923" s="4"/>
      <c r="BD923" s="4"/>
      <c r="BG923" s="4"/>
      <c r="BH923" s="4"/>
    </row>
    <row r="924" spans="3:60">
      <c r="C924" s="4"/>
      <c r="D924" s="4"/>
      <c r="G924" s="4"/>
      <c r="H924" s="4"/>
      <c r="K924" s="4"/>
      <c r="L924" s="4"/>
      <c r="O924" s="4"/>
      <c r="P924" s="4"/>
      <c r="S924" s="4"/>
      <c r="T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I924" s="4"/>
      <c r="AJ924" s="4"/>
      <c r="AM924" s="4"/>
      <c r="AN924" s="4"/>
      <c r="AQ924" s="4"/>
      <c r="AR924" s="4"/>
      <c r="AU924" s="4"/>
      <c r="AV924" s="4"/>
      <c r="AY924" s="4"/>
      <c r="AZ924" s="4"/>
      <c r="BC924" s="4"/>
      <c r="BD924" s="4"/>
      <c r="BG924" s="4"/>
      <c r="BH924" s="4"/>
    </row>
    <row r="925" spans="3:60">
      <c r="C925" s="4"/>
      <c r="D925" s="4"/>
      <c r="G925" s="4"/>
      <c r="H925" s="4"/>
      <c r="K925" s="4"/>
      <c r="L925" s="4"/>
      <c r="O925" s="4"/>
      <c r="P925" s="4"/>
      <c r="S925" s="4"/>
      <c r="T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I925" s="4"/>
      <c r="AJ925" s="4"/>
      <c r="AM925" s="4"/>
      <c r="AN925" s="4"/>
      <c r="AQ925" s="4"/>
      <c r="AR925" s="4"/>
      <c r="AU925" s="4"/>
      <c r="AV925" s="4"/>
      <c r="AY925" s="4"/>
      <c r="AZ925" s="4"/>
      <c r="BC925" s="4"/>
      <c r="BD925" s="4"/>
      <c r="BG925" s="4"/>
      <c r="BH925" s="4"/>
    </row>
    <row r="926" spans="3:60">
      <c r="C926" s="4"/>
      <c r="D926" s="4"/>
      <c r="G926" s="4"/>
      <c r="H926" s="4"/>
      <c r="K926" s="4"/>
      <c r="L926" s="4"/>
      <c r="O926" s="4"/>
      <c r="P926" s="4"/>
      <c r="S926" s="4"/>
      <c r="T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I926" s="4"/>
      <c r="AJ926" s="4"/>
      <c r="AM926" s="4"/>
      <c r="AN926" s="4"/>
      <c r="AQ926" s="4"/>
      <c r="AR926" s="4"/>
      <c r="AU926" s="4"/>
      <c r="AV926" s="4"/>
      <c r="AY926" s="4"/>
      <c r="AZ926" s="4"/>
      <c r="BC926" s="4"/>
      <c r="BD926" s="4"/>
      <c r="BG926" s="4"/>
      <c r="BH926" s="4"/>
    </row>
    <row r="927" spans="3:60">
      <c r="C927" s="4"/>
      <c r="D927" s="4"/>
      <c r="G927" s="4"/>
      <c r="H927" s="4"/>
      <c r="K927" s="4"/>
      <c r="L927" s="4"/>
      <c r="O927" s="4"/>
      <c r="P927" s="4"/>
      <c r="S927" s="4"/>
      <c r="T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I927" s="4"/>
      <c r="AJ927" s="4"/>
      <c r="AM927" s="4"/>
      <c r="AN927" s="4"/>
      <c r="AQ927" s="4"/>
      <c r="AR927" s="4"/>
      <c r="AU927" s="4"/>
      <c r="AV927" s="4"/>
      <c r="AY927" s="4"/>
      <c r="AZ927" s="4"/>
      <c r="BC927" s="4"/>
      <c r="BD927" s="4"/>
      <c r="BG927" s="4"/>
      <c r="BH927" s="4"/>
    </row>
    <row r="928" spans="3:60">
      <c r="C928" s="4"/>
      <c r="D928" s="4"/>
      <c r="G928" s="4"/>
      <c r="H928" s="4"/>
      <c r="K928" s="4"/>
      <c r="L928" s="4"/>
      <c r="O928" s="4"/>
      <c r="P928" s="4"/>
      <c r="S928" s="4"/>
      <c r="T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I928" s="4"/>
      <c r="AJ928" s="4"/>
      <c r="AM928" s="4"/>
      <c r="AN928" s="4"/>
      <c r="AQ928" s="4"/>
      <c r="AR928" s="4"/>
      <c r="AU928" s="4"/>
      <c r="AV928" s="4"/>
      <c r="AY928" s="4"/>
      <c r="AZ928" s="4"/>
      <c r="BC928" s="4"/>
      <c r="BD928" s="4"/>
      <c r="BG928" s="4"/>
      <c r="BH928" s="4"/>
    </row>
    <row r="929" spans="3:60">
      <c r="C929" s="4"/>
      <c r="D929" s="4"/>
      <c r="G929" s="4"/>
      <c r="H929" s="4"/>
      <c r="K929" s="4"/>
      <c r="L929" s="4"/>
      <c r="O929" s="4"/>
      <c r="P929" s="4"/>
      <c r="S929" s="4"/>
      <c r="T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I929" s="4"/>
      <c r="AJ929" s="4"/>
      <c r="AM929" s="4"/>
      <c r="AN929" s="4"/>
      <c r="AQ929" s="4"/>
      <c r="AR929" s="4"/>
      <c r="AU929" s="4"/>
      <c r="AV929" s="4"/>
      <c r="AY929" s="4"/>
      <c r="AZ929" s="4"/>
      <c r="BC929" s="4"/>
      <c r="BD929" s="4"/>
      <c r="BG929" s="4"/>
      <c r="BH929" s="4"/>
    </row>
    <row r="930" spans="3:60">
      <c r="C930" s="4"/>
      <c r="D930" s="4"/>
      <c r="G930" s="4"/>
      <c r="H930" s="4"/>
      <c r="K930" s="4"/>
      <c r="L930" s="4"/>
      <c r="O930" s="4"/>
      <c r="P930" s="4"/>
      <c r="S930" s="4"/>
      <c r="T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I930" s="4"/>
      <c r="AJ930" s="4"/>
      <c r="AM930" s="4"/>
      <c r="AN930" s="4"/>
      <c r="AQ930" s="4"/>
      <c r="AR930" s="4"/>
      <c r="AU930" s="4"/>
      <c r="AV930" s="4"/>
      <c r="AY930" s="4"/>
      <c r="AZ930" s="4"/>
      <c r="BC930" s="4"/>
      <c r="BD930" s="4"/>
      <c r="BG930" s="4"/>
      <c r="BH930" s="4"/>
    </row>
    <row r="931" spans="3:60">
      <c r="C931" s="4"/>
      <c r="D931" s="4"/>
      <c r="G931" s="4"/>
      <c r="H931" s="4"/>
      <c r="K931" s="4"/>
      <c r="L931" s="4"/>
      <c r="O931" s="4"/>
      <c r="P931" s="4"/>
      <c r="S931" s="4"/>
      <c r="T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I931" s="4"/>
      <c r="AJ931" s="4"/>
      <c r="AM931" s="4"/>
      <c r="AN931" s="4"/>
      <c r="AQ931" s="4"/>
      <c r="AR931" s="4"/>
      <c r="AU931" s="4"/>
      <c r="AV931" s="4"/>
      <c r="AY931" s="4"/>
      <c r="AZ931" s="4"/>
      <c r="BC931" s="4"/>
      <c r="BD931" s="4"/>
      <c r="BG931" s="4"/>
      <c r="BH931" s="4"/>
    </row>
    <row r="932" spans="3:60">
      <c r="C932" s="4"/>
      <c r="D932" s="4"/>
      <c r="G932" s="4"/>
      <c r="H932" s="4"/>
      <c r="K932" s="4"/>
      <c r="L932" s="4"/>
      <c r="O932" s="4"/>
      <c r="P932" s="4"/>
      <c r="S932" s="4"/>
      <c r="T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I932" s="4"/>
      <c r="AJ932" s="4"/>
      <c r="AM932" s="4"/>
      <c r="AN932" s="4"/>
      <c r="AQ932" s="4"/>
      <c r="AR932" s="4"/>
      <c r="AU932" s="4"/>
      <c r="AV932" s="4"/>
      <c r="AY932" s="4"/>
      <c r="AZ932" s="4"/>
      <c r="BC932" s="4"/>
      <c r="BD932" s="4"/>
      <c r="BG932" s="4"/>
      <c r="BH932" s="4"/>
    </row>
    <row r="933" spans="3:60">
      <c r="C933" s="4"/>
      <c r="D933" s="4"/>
      <c r="G933" s="4"/>
      <c r="H933" s="4"/>
      <c r="K933" s="4"/>
      <c r="L933" s="4"/>
      <c r="O933" s="4"/>
      <c r="P933" s="4"/>
      <c r="S933" s="4"/>
      <c r="T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I933" s="4"/>
      <c r="AJ933" s="4"/>
      <c r="AM933" s="4"/>
      <c r="AN933" s="4"/>
      <c r="AQ933" s="4"/>
      <c r="AR933" s="4"/>
      <c r="AU933" s="4"/>
      <c r="AV933" s="4"/>
      <c r="AY933" s="4"/>
      <c r="AZ933" s="4"/>
      <c r="BC933" s="4"/>
      <c r="BD933" s="4"/>
      <c r="BG933" s="4"/>
      <c r="BH933" s="4"/>
    </row>
    <row r="934" spans="3:60">
      <c r="C934" s="4"/>
      <c r="D934" s="4"/>
      <c r="G934" s="4"/>
      <c r="H934" s="4"/>
      <c r="K934" s="4"/>
      <c r="L934" s="4"/>
      <c r="O934" s="4"/>
      <c r="P934" s="4"/>
      <c r="S934" s="4"/>
      <c r="T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I934" s="4"/>
      <c r="AJ934" s="4"/>
      <c r="AM934" s="4"/>
      <c r="AN934" s="4"/>
      <c r="AQ934" s="4"/>
      <c r="AR934" s="4"/>
      <c r="AU934" s="4"/>
      <c r="AV934" s="4"/>
      <c r="AY934" s="4"/>
      <c r="AZ934" s="4"/>
      <c r="BC934" s="4"/>
      <c r="BD934" s="4"/>
      <c r="BG934" s="4"/>
      <c r="BH934" s="4"/>
    </row>
    <row r="935" spans="3:60">
      <c r="C935" s="4"/>
      <c r="D935" s="4"/>
      <c r="G935" s="4"/>
      <c r="H935" s="4"/>
      <c r="K935" s="4"/>
      <c r="L935" s="4"/>
      <c r="O935" s="4"/>
      <c r="P935" s="4"/>
      <c r="S935" s="4"/>
      <c r="T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I935" s="4"/>
      <c r="AJ935" s="4"/>
      <c r="AM935" s="4"/>
      <c r="AN935" s="4"/>
      <c r="AQ935" s="4"/>
      <c r="AR935" s="4"/>
      <c r="AU935" s="4"/>
      <c r="AV935" s="4"/>
      <c r="AY935" s="4"/>
      <c r="AZ935" s="4"/>
      <c r="BC935" s="4"/>
      <c r="BD935" s="4"/>
      <c r="BG935" s="4"/>
      <c r="BH935" s="4"/>
    </row>
    <row r="936" spans="3:60">
      <c r="C936" s="4"/>
      <c r="D936" s="4"/>
      <c r="G936" s="4"/>
      <c r="H936" s="4"/>
      <c r="K936" s="4"/>
      <c r="L936" s="4"/>
      <c r="O936" s="4"/>
      <c r="P936" s="4"/>
      <c r="S936" s="4"/>
      <c r="T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I936" s="4"/>
      <c r="AJ936" s="4"/>
      <c r="AM936" s="4"/>
      <c r="AN936" s="4"/>
      <c r="AQ936" s="4"/>
      <c r="AR936" s="4"/>
      <c r="AU936" s="4"/>
      <c r="AV936" s="4"/>
      <c r="AY936" s="4"/>
      <c r="AZ936" s="4"/>
      <c r="BC936" s="4"/>
      <c r="BD936" s="4"/>
      <c r="BG936" s="4"/>
      <c r="BH936" s="4"/>
    </row>
    <row r="937" spans="3:60">
      <c r="C937" s="4"/>
      <c r="D937" s="4"/>
      <c r="G937" s="4"/>
      <c r="H937" s="4"/>
      <c r="K937" s="4"/>
      <c r="L937" s="4"/>
      <c r="O937" s="4"/>
      <c r="P937" s="4"/>
      <c r="S937" s="4"/>
      <c r="T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I937" s="4"/>
      <c r="AJ937" s="4"/>
      <c r="AM937" s="4"/>
      <c r="AN937" s="4"/>
      <c r="AQ937" s="4"/>
      <c r="AR937" s="4"/>
      <c r="AU937" s="4"/>
      <c r="AV937" s="4"/>
      <c r="AY937" s="4"/>
      <c r="AZ937" s="4"/>
      <c r="BC937" s="4"/>
      <c r="BD937" s="4"/>
      <c r="BG937" s="4"/>
      <c r="BH937" s="4"/>
    </row>
    <row r="938" spans="3:60">
      <c r="C938" s="4"/>
      <c r="D938" s="4"/>
      <c r="G938" s="4"/>
      <c r="H938" s="4"/>
      <c r="K938" s="4"/>
      <c r="L938" s="4"/>
      <c r="O938" s="4"/>
      <c r="P938" s="4"/>
      <c r="S938" s="4"/>
      <c r="T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I938" s="4"/>
      <c r="AJ938" s="4"/>
      <c r="AM938" s="4"/>
      <c r="AN938" s="4"/>
      <c r="AQ938" s="4"/>
      <c r="AR938" s="4"/>
      <c r="AU938" s="4"/>
      <c r="AV938" s="4"/>
      <c r="AY938" s="4"/>
      <c r="AZ938" s="4"/>
      <c r="BC938" s="4"/>
      <c r="BD938" s="4"/>
      <c r="BG938" s="4"/>
      <c r="BH938" s="4"/>
    </row>
    <row r="939" spans="3:60">
      <c r="C939" s="4"/>
      <c r="D939" s="4"/>
      <c r="G939" s="4"/>
      <c r="H939" s="4"/>
      <c r="K939" s="4"/>
      <c r="L939" s="4"/>
      <c r="O939" s="4"/>
      <c r="P939" s="4"/>
      <c r="S939" s="4"/>
      <c r="T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I939" s="4"/>
      <c r="AJ939" s="4"/>
      <c r="AM939" s="4"/>
      <c r="AN939" s="4"/>
      <c r="AQ939" s="4"/>
      <c r="AR939" s="4"/>
      <c r="AU939" s="4"/>
      <c r="AV939" s="4"/>
      <c r="AY939" s="4"/>
      <c r="AZ939" s="4"/>
      <c r="BC939" s="4"/>
      <c r="BD939" s="4"/>
      <c r="BG939" s="4"/>
      <c r="BH939" s="4"/>
    </row>
    <row r="940" spans="3:60">
      <c r="C940" s="4"/>
      <c r="D940" s="4"/>
      <c r="G940" s="4"/>
      <c r="H940" s="4"/>
      <c r="K940" s="4"/>
      <c r="L940" s="4"/>
      <c r="O940" s="4"/>
      <c r="P940" s="4"/>
      <c r="S940" s="4"/>
      <c r="T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I940" s="4"/>
      <c r="AJ940" s="4"/>
      <c r="AM940" s="4"/>
      <c r="AN940" s="4"/>
      <c r="AQ940" s="4"/>
      <c r="AR940" s="4"/>
      <c r="AU940" s="4"/>
      <c r="AV940" s="4"/>
      <c r="AY940" s="4"/>
      <c r="AZ940" s="4"/>
      <c r="BC940" s="4"/>
      <c r="BD940" s="4"/>
      <c r="BG940" s="4"/>
      <c r="BH940" s="4"/>
    </row>
    <row r="941" spans="3:60">
      <c r="C941" s="4"/>
      <c r="D941" s="4"/>
      <c r="G941" s="4"/>
      <c r="H941" s="4"/>
      <c r="K941" s="4"/>
      <c r="L941" s="4"/>
      <c r="O941" s="4"/>
      <c r="P941" s="4"/>
      <c r="S941" s="4"/>
      <c r="T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I941" s="4"/>
      <c r="AJ941" s="4"/>
      <c r="AM941" s="4"/>
      <c r="AN941" s="4"/>
      <c r="AQ941" s="4"/>
      <c r="AR941" s="4"/>
      <c r="AU941" s="4"/>
      <c r="AV941" s="4"/>
      <c r="AY941" s="4"/>
      <c r="AZ941" s="4"/>
      <c r="BC941" s="4"/>
      <c r="BD941" s="4"/>
      <c r="BG941" s="4"/>
      <c r="BH941" s="4"/>
    </row>
    <row r="942" spans="3:60">
      <c r="C942" s="4"/>
      <c r="D942" s="4"/>
      <c r="G942" s="4"/>
      <c r="H942" s="4"/>
      <c r="K942" s="4"/>
      <c r="L942" s="4"/>
      <c r="O942" s="4"/>
      <c r="P942" s="4"/>
      <c r="S942" s="4"/>
      <c r="T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I942" s="4"/>
      <c r="AJ942" s="4"/>
      <c r="AM942" s="4"/>
      <c r="AN942" s="4"/>
      <c r="AQ942" s="4"/>
      <c r="AR942" s="4"/>
      <c r="AU942" s="4"/>
      <c r="AV942" s="4"/>
      <c r="AY942" s="4"/>
      <c r="AZ942" s="4"/>
      <c r="BC942" s="4"/>
      <c r="BD942" s="4"/>
      <c r="BG942" s="4"/>
      <c r="BH942" s="4"/>
    </row>
    <row r="943" spans="3:60">
      <c r="C943" s="4"/>
      <c r="D943" s="4"/>
      <c r="G943" s="4"/>
      <c r="H943" s="4"/>
      <c r="K943" s="4"/>
      <c r="L943" s="4"/>
      <c r="O943" s="4"/>
      <c r="P943" s="4"/>
      <c r="S943" s="4"/>
      <c r="T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I943" s="4"/>
      <c r="AJ943" s="4"/>
      <c r="AM943" s="4"/>
      <c r="AN943" s="4"/>
      <c r="AQ943" s="4"/>
      <c r="AR943" s="4"/>
      <c r="AU943" s="4"/>
      <c r="AV943" s="4"/>
      <c r="AY943" s="4"/>
      <c r="AZ943" s="4"/>
      <c r="BC943" s="4"/>
      <c r="BD943" s="4"/>
      <c r="BG943" s="4"/>
      <c r="BH943" s="4"/>
    </row>
    <row r="944" spans="3:60">
      <c r="C944" s="4"/>
      <c r="D944" s="4"/>
      <c r="G944" s="4"/>
      <c r="H944" s="4"/>
      <c r="K944" s="4"/>
      <c r="L944" s="4"/>
      <c r="O944" s="4"/>
      <c r="P944" s="4"/>
      <c r="S944" s="4"/>
      <c r="T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I944" s="4"/>
      <c r="AJ944" s="4"/>
      <c r="AM944" s="4"/>
      <c r="AN944" s="4"/>
      <c r="AQ944" s="4"/>
      <c r="AR944" s="4"/>
      <c r="AU944" s="4"/>
      <c r="AV944" s="4"/>
      <c r="AY944" s="4"/>
      <c r="AZ944" s="4"/>
      <c r="BC944" s="4"/>
      <c r="BD944" s="4"/>
      <c r="BG944" s="4"/>
      <c r="BH944" s="4"/>
    </row>
    <row r="945" spans="3:60">
      <c r="C945" s="4"/>
      <c r="D945" s="4"/>
      <c r="G945" s="4"/>
      <c r="H945" s="4"/>
      <c r="K945" s="4"/>
      <c r="L945" s="4"/>
      <c r="O945" s="4"/>
      <c r="P945" s="4"/>
      <c r="S945" s="4"/>
      <c r="T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I945" s="4"/>
      <c r="AJ945" s="4"/>
      <c r="AM945" s="4"/>
      <c r="AN945" s="4"/>
      <c r="AQ945" s="4"/>
      <c r="AR945" s="4"/>
      <c r="AU945" s="4"/>
      <c r="AV945" s="4"/>
      <c r="AY945" s="4"/>
      <c r="AZ945" s="4"/>
      <c r="BC945" s="4"/>
      <c r="BD945" s="4"/>
      <c r="BG945" s="4"/>
      <c r="BH945" s="4"/>
    </row>
    <row r="946" spans="3:60">
      <c r="C946" s="4"/>
      <c r="D946" s="4"/>
      <c r="G946" s="4"/>
      <c r="H946" s="4"/>
      <c r="K946" s="4"/>
      <c r="L946" s="4"/>
      <c r="O946" s="4"/>
      <c r="P946" s="4"/>
      <c r="S946" s="4"/>
      <c r="T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I946" s="4"/>
      <c r="AJ946" s="4"/>
      <c r="AM946" s="4"/>
      <c r="AN946" s="4"/>
      <c r="AQ946" s="4"/>
      <c r="AR946" s="4"/>
      <c r="AU946" s="4"/>
      <c r="AV946" s="4"/>
      <c r="AY946" s="4"/>
      <c r="AZ946" s="4"/>
      <c r="BC946" s="4"/>
      <c r="BD946" s="4"/>
      <c r="BG946" s="4"/>
      <c r="BH946" s="4"/>
    </row>
    <row r="947" spans="3:60">
      <c r="C947" s="4"/>
      <c r="D947" s="4"/>
      <c r="G947" s="4"/>
      <c r="H947" s="4"/>
      <c r="K947" s="4"/>
      <c r="L947" s="4"/>
      <c r="O947" s="4"/>
      <c r="P947" s="4"/>
      <c r="S947" s="4"/>
      <c r="T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I947" s="4"/>
      <c r="AJ947" s="4"/>
      <c r="AM947" s="4"/>
      <c r="AN947" s="4"/>
      <c r="AQ947" s="4"/>
      <c r="AR947" s="4"/>
      <c r="AU947" s="4"/>
      <c r="AV947" s="4"/>
      <c r="AY947" s="4"/>
      <c r="AZ947" s="4"/>
      <c r="BC947" s="4"/>
      <c r="BD947" s="4"/>
      <c r="BG947" s="4"/>
      <c r="BH947" s="4"/>
    </row>
    <row r="948" spans="3:60">
      <c r="C948" s="4"/>
      <c r="D948" s="4"/>
      <c r="G948" s="4"/>
      <c r="H948" s="4"/>
      <c r="K948" s="4"/>
      <c r="L948" s="4"/>
      <c r="O948" s="4"/>
      <c r="P948" s="4"/>
      <c r="S948" s="4"/>
      <c r="T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I948" s="4"/>
      <c r="AJ948" s="4"/>
      <c r="AM948" s="4"/>
      <c r="AN948" s="4"/>
      <c r="AQ948" s="4"/>
      <c r="AR948" s="4"/>
      <c r="AU948" s="4"/>
      <c r="AV948" s="4"/>
      <c r="AY948" s="4"/>
      <c r="AZ948" s="4"/>
      <c r="BC948" s="4"/>
      <c r="BD948" s="4"/>
      <c r="BG948" s="4"/>
      <c r="BH948" s="4"/>
    </row>
    <row r="949" spans="3:60">
      <c r="C949" s="4"/>
      <c r="D949" s="4"/>
      <c r="G949" s="4"/>
      <c r="H949" s="4"/>
      <c r="K949" s="4"/>
      <c r="L949" s="4"/>
      <c r="O949" s="4"/>
      <c r="P949" s="4"/>
      <c r="S949" s="4"/>
      <c r="T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I949" s="4"/>
      <c r="AJ949" s="4"/>
      <c r="AM949" s="4"/>
      <c r="AN949" s="4"/>
      <c r="AQ949" s="4"/>
      <c r="AR949" s="4"/>
      <c r="AU949" s="4"/>
      <c r="AV949" s="4"/>
      <c r="AY949" s="4"/>
      <c r="AZ949" s="4"/>
      <c r="BC949" s="4"/>
      <c r="BD949" s="4"/>
      <c r="BG949" s="4"/>
      <c r="BH949" s="4"/>
    </row>
    <row r="950" spans="3:60">
      <c r="C950" s="4"/>
      <c r="D950" s="4"/>
      <c r="G950" s="4"/>
      <c r="H950" s="4"/>
      <c r="K950" s="4"/>
      <c r="L950" s="4"/>
      <c r="O950" s="4"/>
      <c r="P950" s="4"/>
      <c r="S950" s="4"/>
      <c r="T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I950" s="4"/>
      <c r="AJ950" s="4"/>
      <c r="AM950" s="4"/>
      <c r="AN950" s="4"/>
      <c r="AQ950" s="4"/>
      <c r="AR950" s="4"/>
      <c r="AU950" s="4"/>
      <c r="AV950" s="4"/>
      <c r="AY950" s="4"/>
      <c r="AZ950" s="4"/>
      <c r="BC950" s="4"/>
      <c r="BD950" s="4"/>
      <c r="BG950" s="4"/>
      <c r="BH950" s="4"/>
    </row>
    <row r="951" spans="3:60">
      <c r="C951" s="4"/>
      <c r="D951" s="4"/>
      <c r="G951" s="4"/>
      <c r="H951" s="4"/>
      <c r="K951" s="4"/>
      <c r="L951" s="4"/>
      <c r="O951" s="4"/>
      <c r="P951" s="4"/>
      <c r="S951" s="4"/>
      <c r="T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I951" s="4"/>
      <c r="AJ951" s="4"/>
      <c r="AM951" s="4"/>
      <c r="AN951" s="4"/>
      <c r="AQ951" s="4"/>
      <c r="AR951" s="4"/>
      <c r="AU951" s="4"/>
      <c r="AV951" s="4"/>
      <c r="AY951" s="4"/>
      <c r="AZ951" s="4"/>
      <c r="BC951" s="4"/>
      <c r="BD951" s="4"/>
      <c r="BG951" s="4"/>
      <c r="BH951" s="4"/>
    </row>
    <row r="952" spans="3:60">
      <c r="C952" s="4"/>
      <c r="D952" s="4"/>
      <c r="G952" s="4"/>
      <c r="H952" s="4"/>
      <c r="K952" s="4"/>
      <c r="L952" s="4"/>
      <c r="O952" s="4"/>
      <c r="P952" s="4"/>
      <c r="S952" s="4"/>
      <c r="T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I952" s="4"/>
      <c r="AJ952" s="4"/>
      <c r="AM952" s="4"/>
      <c r="AN952" s="4"/>
      <c r="AQ952" s="4"/>
      <c r="AR952" s="4"/>
      <c r="AU952" s="4"/>
      <c r="AV952" s="4"/>
      <c r="AY952" s="4"/>
      <c r="AZ952" s="4"/>
      <c r="BC952" s="4"/>
      <c r="BD952" s="4"/>
      <c r="BG952" s="4"/>
      <c r="BH952" s="4"/>
    </row>
    <row r="953" spans="3:60">
      <c r="C953" s="4"/>
      <c r="D953" s="4"/>
      <c r="G953" s="4"/>
      <c r="H953" s="4"/>
      <c r="K953" s="4"/>
      <c r="L953" s="4"/>
      <c r="O953" s="4"/>
      <c r="P953" s="4"/>
      <c r="S953" s="4"/>
      <c r="T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I953" s="4"/>
      <c r="AJ953" s="4"/>
      <c r="AM953" s="4"/>
      <c r="AN953" s="4"/>
      <c r="AQ953" s="4"/>
      <c r="AR953" s="4"/>
      <c r="AU953" s="4"/>
      <c r="AV953" s="4"/>
      <c r="AY953" s="4"/>
      <c r="AZ953" s="4"/>
      <c r="BC953" s="4"/>
      <c r="BD953" s="4"/>
      <c r="BG953" s="4"/>
      <c r="BH953" s="4"/>
    </row>
    <row r="954" spans="3:60">
      <c r="C954" s="4"/>
      <c r="D954" s="4"/>
      <c r="G954" s="4"/>
      <c r="H954" s="4"/>
      <c r="K954" s="4"/>
      <c r="L954" s="4"/>
      <c r="O954" s="4"/>
      <c r="P954" s="4"/>
      <c r="S954" s="4"/>
      <c r="T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I954" s="4"/>
      <c r="AJ954" s="4"/>
      <c r="AM954" s="4"/>
      <c r="AN954" s="4"/>
      <c r="AQ954" s="4"/>
      <c r="AR954" s="4"/>
      <c r="AU954" s="4"/>
      <c r="AV954" s="4"/>
      <c r="AY954" s="4"/>
      <c r="AZ954" s="4"/>
      <c r="BC954" s="4"/>
      <c r="BD954" s="4"/>
      <c r="BG954" s="4"/>
      <c r="BH954" s="4"/>
    </row>
    <row r="955" spans="3:60">
      <c r="C955" s="4"/>
      <c r="D955" s="4"/>
      <c r="G955" s="4"/>
      <c r="H955" s="4"/>
      <c r="K955" s="4"/>
      <c r="L955" s="4"/>
      <c r="O955" s="4"/>
      <c r="P955" s="4"/>
      <c r="S955" s="4"/>
      <c r="T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I955" s="4"/>
      <c r="AJ955" s="4"/>
      <c r="AM955" s="4"/>
      <c r="AN955" s="4"/>
      <c r="AQ955" s="4"/>
      <c r="AR955" s="4"/>
      <c r="AU955" s="4"/>
      <c r="AV955" s="4"/>
      <c r="AY955" s="4"/>
      <c r="AZ955" s="4"/>
      <c r="BC955" s="4"/>
      <c r="BD955" s="4"/>
      <c r="BG955" s="4"/>
      <c r="BH955" s="4"/>
    </row>
    <row r="956" spans="3:60">
      <c r="C956" s="4"/>
      <c r="D956" s="4"/>
      <c r="G956" s="4"/>
      <c r="H956" s="4"/>
      <c r="K956" s="4"/>
      <c r="L956" s="4"/>
      <c r="O956" s="4"/>
      <c r="P956" s="4"/>
      <c r="S956" s="4"/>
      <c r="T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I956" s="4"/>
      <c r="AJ956" s="4"/>
      <c r="AM956" s="4"/>
      <c r="AN956" s="4"/>
      <c r="AQ956" s="4"/>
      <c r="AR956" s="4"/>
      <c r="AU956" s="4"/>
      <c r="AV956" s="4"/>
      <c r="AY956" s="4"/>
      <c r="AZ956" s="4"/>
      <c r="BC956" s="4"/>
      <c r="BD956" s="4"/>
      <c r="BG956" s="4"/>
      <c r="BH956" s="4"/>
    </row>
    <row r="957" spans="3:60">
      <c r="C957" s="4"/>
      <c r="D957" s="4"/>
      <c r="G957" s="4"/>
      <c r="H957" s="4"/>
      <c r="K957" s="4"/>
      <c r="L957" s="4"/>
      <c r="O957" s="4"/>
      <c r="P957" s="4"/>
      <c r="S957" s="4"/>
      <c r="T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I957" s="4"/>
      <c r="AJ957" s="4"/>
      <c r="AM957" s="4"/>
      <c r="AN957" s="4"/>
      <c r="AQ957" s="4"/>
      <c r="AR957" s="4"/>
      <c r="AU957" s="4"/>
      <c r="AV957" s="4"/>
      <c r="AY957" s="4"/>
      <c r="AZ957" s="4"/>
      <c r="BC957" s="4"/>
      <c r="BD957" s="4"/>
      <c r="BG957" s="4"/>
      <c r="BH957" s="4"/>
    </row>
    <row r="958" spans="3:60">
      <c r="C958" s="4"/>
      <c r="D958" s="4"/>
      <c r="G958" s="4"/>
      <c r="H958" s="4"/>
      <c r="K958" s="4"/>
      <c r="L958" s="4"/>
      <c r="O958" s="4"/>
      <c r="P958" s="4"/>
      <c r="S958" s="4"/>
      <c r="T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I958" s="4"/>
      <c r="AJ958" s="4"/>
      <c r="AM958" s="4"/>
      <c r="AN958" s="4"/>
      <c r="AQ958" s="4"/>
      <c r="AR958" s="4"/>
      <c r="AU958" s="4"/>
      <c r="AV958" s="4"/>
      <c r="AY958" s="4"/>
      <c r="AZ958" s="4"/>
      <c r="BC958" s="4"/>
      <c r="BD958" s="4"/>
      <c r="BG958" s="4"/>
      <c r="BH958" s="4"/>
    </row>
    <row r="959" spans="3:60">
      <c r="C959" s="4"/>
      <c r="D959" s="4"/>
      <c r="G959" s="4"/>
      <c r="H959" s="4"/>
      <c r="K959" s="4"/>
      <c r="L959" s="4"/>
      <c r="O959" s="4"/>
      <c r="P959" s="4"/>
      <c r="S959" s="4"/>
      <c r="T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I959" s="4"/>
      <c r="AJ959" s="4"/>
      <c r="AM959" s="4"/>
      <c r="AN959" s="4"/>
      <c r="AQ959" s="4"/>
      <c r="AR959" s="4"/>
      <c r="AU959" s="4"/>
      <c r="AV959" s="4"/>
      <c r="AY959" s="4"/>
      <c r="AZ959" s="4"/>
      <c r="BC959" s="4"/>
      <c r="BD959" s="4"/>
      <c r="BG959" s="4"/>
      <c r="BH959" s="4"/>
    </row>
    <row r="960" spans="3:60">
      <c r="C960" s="4"/>
      <c r="D960" s="4"/>
      <c r="G960" s="4"/>
      <c r="H960" s="4"/>
      <c r="K960" s="4"/>
      <c r="L960" s="4"/>
      <c r="O960" s="4"/>
      <c r="P960" s="4"/>
      <c r="S960" s="4"/>
      <c r="T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I960" s="4"/>
      <c r="AJ960" s="4"/>
      <c r="AM960" s="4"/>
      <c r="AN960" s="4"/>
      <c r="AQ960" s="4"/>
      <c r="AR960" s="4"/>
      <c r="AU960" s="4"/>
      <c r="AV960" s="4"/>
      <c r="AY960" s="4"/>
      <c r="AZ960" s="4"/>
      <c r="BC960" s="4"/>
      <c r="BD960" s="4"/>
      <c r="BG960" s="4"/>
      <c r="BH960" s="4"/>
    </row>
    <row r="961" spans="3:60">
      <c r="C961" s="4"/>
      <c r="D961" s="4"/>
      <c r="G961" s="4"/>
      <c r="H961" s="4"/>
      <c r="K961" s="4"/>
      <c r="L961" s="4"/>
      <c r="O961" s="4"/>
      <c r="P961" s="4"/>
      <c r="S961" s="4"/>
      <c r="T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I961" s="4"/>
      <c r="AJ961" s="4"/>
      <c r="AM961" s="4"/>
      <c r="AN961" s="4"/>
      <c r="AQ961" s="4"/>
      <c r="AR961" s="4"/>
      <c r="AU961" s="4"/>
      <c r="AV961" s="4"/>
      <c r="AY961" s="4"/>
      <c r="AZ961" s="4"/>
      <c r="BC961" s="4"/>
      <c r="BD961" s="4"/>
      <c r="BG961" s="4"/>
      <c r="BH961" s="4"/>
    </row>
    <row r="962" spans="3:60">
      <c r="C962" s="4"/>
      <c r="D962" s="4"/>
      <c r="G962" s="4"/>
      <c r="H962" s="4"/>
      <c r="K962" s="4"/>
      <c r="L962" s="4"/>
      <c r="O962" s="4"/>
      <c r="P962" s="4"/>
      <c r="S962" s="4"/>
      <c r="T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I962" s="4"/>
      <c r="AJ962" s="4"/>
      <c r="AM962" s="4"/>
      <c r="AN962" s="4"/>
      <c r="AQ962" s="4"/>
      <c r="AR962" s="4"/>
      <c r="AU962" s="4"/>
      <c r="AV962" s="4"/>
      <c r="AY962" s="4"/>
      <c r="AZ962" s="4"/>
      <c r="BC962" s="4"/>
      <c r="BD962" s="4"/>
      <c r="BG962" s="4"/>
      <c r="BH962" s="4"/>
    </row>
    <row r="963" spans="3:60">
      <c r="C963" s="4"/>
      <c r="D963" s="4"/>
      <c r="G963" s="4"/>
      <c r="H963" s="4"/>
      <c r="K963" s="4"/>
      <c r="L963" s="4"/>
      <c r="O963" s="4"/>
      <c r="P963" s="4"/>
      <c r="S963" s="4"/>
      <c r="T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I963" s="4"/>
      <c r="AJ963" s="4"/>
      <c r="AM963" s="4"/>
      <c r="AN963" s="4"/>
      <c r="AQ963" s="4"/>
      <c r="AR963" s="4"/>
      <c r="AU963" s="4"/>
      <c r="AV963" s="4"/>
      <c r="AY963" s="4"/>
      <c r="AZ963" s="4"/>
      <c r="BC963" s="4"/>
      <c r="BD963" s="4"/>
      <c r="BG963" s="4"/>
      <c r="BH963" s="4"/>
    </row>
    <row r="964" spans="3:60">
      <c r="C964" s="4"/>
      <c r="D964" s="4"/>
      <c r="G964" s="4"/>
      <c r="H964" s="4"/>
      <c r="K964" s="4"/>
      <c r="L964" s="4"/>
      <c r="O964" s="4"/>
      <c r="P964" s="4"/>
      <c r="S964" s="4"/>
      <c r="T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I964" s="4"/>
      <c r="AJ964" s="4"/>
      <c r="AM964" s="4"/>
      <c r="AN964" s="4"/>
      <c r="AQ964" s="4"/>
      <c r="AR964" s="4"/>
      <c r="AU964" s="4"/>
      <c r="AV964" s="4"/>
      <c r="AY964" s="4"/>
      <c r="AZ964" s="4"/>
      <c r="BC964" s="4"/>
      <c r="BD964" s="4"/>
      <c r="BG964" s="4"/>
      <c r="BH964" s="4"/>
    </row>
    <row r="965" spans="3:60">
      <c r="C965" s="4"/>
      <c r="D965" s="4"/>
      <c r="G965" s="4"/>
      <c r="H965" s="4"/>
      <c r="K965" s="4"/>
      <c r="L965" s="4"/>
      <c r="O965" s="4"/>
      <c r="P965" s="4"/>
      <c r="S965" s="4"/>
      <c r="T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I965" s="4"/>
      <c r="AJ965" s="4"/>
      <c r="AM965" s="4"/>
      <c r="AN965" s="4"/>
      <c r="AQ965" s="4"/>
      <c r="AR965" s="4"/>
      <c r="AU965" s="4"/>
      <c r="AV965" s="4"/>
      <c r="AY965" s="4"/>
      <c r="AZ965" s="4"/>
      <c r="BC965" s="4"/>
      <c r="BD965" s="4"/>
      <c r="BG965" s="4"/>
      <c r="BH965" s="4"/>
    </row>
    <row r="966" spans="3:60">
      <c r="C966" s="4"/>
      <c r="D966" s="4"/>
      <c r="G966" s="4"/>
      <c r="H966" s="4"/>
      <c r="K966" s="4"/>
      <c r="L966" s="4"/>
      <c r="O966" s="4"/>
      <c r="P966" s="4"/>
      <c r="S966" s="4"/>
      <c r="T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I966" s="4"/>
      <c r="AJ966" s="4"/>
      <c r="AM966" s="4"/>
      <c r="AN966" s="4"/>
      <c r="AQ966" s="4"/>
      <c r="AR966" s="4"/>
      <c r="AU966" s="4"/>
      <c r="AV966" s="4"/>
      <c r="AY966" s="4"/>
      <c r="AZ966" s="4"/>
      <c r="BC966" s="4"/>
      <c r="BD966" s="4"/>
      <c r="BG966" s="4"/>
      <c r="BH966" s="4"/>
    </row>
    <row r="967" spans="3:60">
      <c r="C967" s="4"/>
      <c r="D967" s="4"/>
      <c r="G967" s="4"/>
      <c r="H967" s="4"/>
      <c r="K967" s="4"/>
      <c r="L967" s="4"/>
      <c r="O967" s="4"/>
      <c r="P967" s="4"/>
      <c r="S967" s="4"/>
      <c r="T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I967" s="4"/>
      <c r="AJ967" s="4"/>
      <c r="AM967" s="4"/>
      <c r="AN967" s="4"/>
      <c r="AQ967" s="4"/>
      <c r="AR967" s="4"/>
      <c r="AU967" s="4"/>
      <c r="AV967" s="4"/>
      <c r="AY967" s="4"/>
      <c r="AZ967" s="4"/>
      <c r="BC967" s="4"/>
      <c r="BD967" s="4"/>
      <c r="BG967" s="4"/>
      <c r="BH967" s="4"/>
    </row>
    <row r="968" spans="3:60">
      <c r="C968" s="4"/>
      <c r="D968" s="4"/>
      <c r="G968" s="4"/>
      <c r="H968" s="4"/>
      <c r="K968" s="4"/>
      <c r="L968" s="4"/>
      <c r="O968" s="4"/>
      <c r="P968" s="4"/>
      <c r="S968" s="4"/>
      <c r="T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I968" s="4"/>
      <c r="AJ968" s="4"/>
      <c r="AM968" s="4"/>
      <c r="AN968" s="4"/>
      <c r="AQ968" s="4"/>
      <c r="AR968" s="4"/>
      <c r="AU968" s="4"/>
      <c r="AV968" s="4"/>
      <c r="AY968" s="4"/>
      <c r="AZ968" s="4"/>
      <c r="BC968" s="4"/>
      <c r="BD968" s="4"/>
      <c r="BG968" s="4"/>
      <c r="BH968" s="4"/>
    </row>
    <row r="969" spans="3:60">
      <c r="C969" s="4"/>
      <c r="D969" s="4"/>
      <c r="G969" s="4"/>
      <c r="H969" s="4"/>
      <c r="K969" s="4"/>
      <c r="L969" s="4"/>
      <c r="O969" s="4"/>
      <c r="P969" s="4"/>
      <c r="S969" s="4"/>
      <c r="T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I969" s="4"/>
      <c r="AJ969" s="4"/>
      <c r="AM969" s="4"/>
      <c r="AN969" s="4"/>
      <c r="AQ969" s="4"/>
      <c r="AR969" s="4"/>
      <c r="AU969" s="4"/>
      <c r="AV969" s="4"/>
      <c r="AY969" s="4"/>
      <c r="AZ969" s="4"/>
      <c r="BC969" s="4"/>
      <c r="BD969" s="4"/>
      <c r="BG969" s="4"/>
      <c r="BH969" s="4"/>
    </row>
    <row r="970" spans="3:60">
      <c r="C970" s="4"/>
      <c r="D970" s="4"/>
      <c r="G970" s="4"/>
      <c r="H970" s="4"/>
      <c r="K970" s="4"/>
      <c r="L970" s="4"/>
      <c r="O970" s="4"/>
      <c r="P970" s="4"/>
      <c r="S970" s="4"/>
      <c r="T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I970" s="4"/>
      <c r="AJ970" s="4"/>
      <c r="AM970" s="4"/>
      <c r="AN970" s="4"/>
      <c r="AQ970" s="4"/>
      <c r="AR970" s="4"/>
      <c r="AU970" s="4"/>
      <c r="AV970" s="4"/>
      <c r="AY970" s="4"/>
      <c r="AZ970" s="4"/>
      <c r="BC970" s="4"/>
      <c r="BD970" s="4"/>
      <c r="BG970" s="4"/>
      <c r="BH970" s="4"/>
    </row>
    <row r="971" spans="3:60">
      <c r="C971" s="4"/>
      <c r="D971" s="4"/>
      <c r="G971" s="4"/>
      <c r="H971" s="4"/>
      <c r="K971" s="4"/>
      <c r="L971" s="4"/>
      <c r="O971" s="4"/>
      <c r="P971" s="4"/>
      <c r="S971" s="4"/>
      <c r="T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I971" s="4"/>
      <c r="AJ971" s="4"/>
      <c r="AM971" s="4"/>
      <c r="AN971" s="4"/>
      <c r="AQ971" s="4"/>
      <c r="AR971" s="4"/>
      <c r="AU971" s="4"/>
      <c r="AV971" s="4"/>
      <c r="AY971" s="4"/>
      <c r="AZ971" s="4"/>
      <c r="BC971" s="4"/>
      <c r="BD971" s="4"/>
      <c r="BG971" s="4"/>
      <c r="BH971" s="4"/>
    </row>
    <row r="972" spans="3:60">
      <c r="C972" s="4"/>
      <c r="D972" s="4"/>
      <c r="G972" s="4"/>
      <c r="H972" s="4"/>
      <c r="K972" s="4"/>
      <c r="L972" s="4"/>
      <c r="O972" s="4"/>
      <c r="P972" s="4"/>
      <c r="S972" s="4"/>
      <c r="T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I972" s="4"/>
      <c r="AJ972" s="4"/>
      <c r="AM972" s="4"/>
      <c r="AN972" s="4"/>
      <c r="AQ972" s="4"/>
      <c r="AR972" s="4"/>
      <c r="AU972" s="4"/>
      <c r="AV972" s="4"/>
      <c r="AY972" s="4"/>
      <c r="AZ972" s="4"/>
      <c r="BC972" s="4"/>
      <c r="BD972" s="4"/>
      <c r="BG972" s="4"/>
      <c r="BH972" s="4"/>
    </row>
    <row r="973" spans="3:60">
      <c r="C973" s="4"/>
      <c r="D973" s="4"/>
      <c r="G973" s="4"/>
      <c r="H973" s="4"/>
      <c r="K973" s="4"/>
      <c r="L973" s="4"/>
      <c r="O973" s="4"/>
      <c r="P973" s="4"/>
      <c r="S973" s="4"/>
      <c r="T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I973" s="4"/>
      <c r="AJ973" s="4"/>
      <c r="AM973" s="4"/>
      <c r="AN973" s="4"/>
      <c r="AQ973" s="4"/>
      <c r="AR973" s="4"/>
      <c r="AU973" s="4"/>
      <c r="AV973" s="4"/>
      <c r="AY973" s="4"/>
      <c r="AZ973" s="4"/>
      <c r="BC973" s="4"/>
      <c r="BD973" s="4"/>
      <c r="BG973" s="4"/>
      <c r="BH973" s="4"/>
    </row>
    <row r="974" spans="3:60">
      <c r="C974" s="4"/>
      <c r="D974" s="4"/>
      <c r="G974" s="4"/>
      <c r="H974" s="4"/>
      <c r="K974" s="4"/>
      <c r="L974" s="4"/>
      <c r="O974" s="4"/>
      <c r="P974" s="4"/>
      <c r="S974" s="4"/>
      <c r="T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I974" s="4"/>
      <c r="AJ974" s="4"/>
      <c r="AM974" s="4"/>
      <c r="AN974" s="4"/>
      <c r="AQ974" s="4"/>
      <c r="AR974" s="4"/>
      <c r="AU974" s="4"/>
      <c r="AV974" s="4"/>
      <c r="AY974" s="4"/>
      <c r="AZ974" s="4"/>
      <c r="BC974" s="4"/>
      <c r="BD974" s="4"/>
      <c r="BG974" s="4"/>
      <c r="BH974" s="4"/>
    </row>
    <row r="975" spans="3:60">
      <c r="C975" s="4"/>
      <c r="D975" s="4"/>
      <c r="G975" s="4"/>
      <c r="H975" s="4"/>
      <c r="K975" s="4"/>
      <c r="L975" s="4"/>
      <c r="O975" s="4"/>
      <c r="P975" s="4"/>
      <c r="S975" s="4"/>
      <c r="T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I975" s="4"/>
      <c r="AJ975" s="4"/>
      <c r="AM975" s="4"/>
      <c r="AN975" s="4"/>
      <c r="AQ975" s="4"/>
      <c r="AR975" s="4"/>
      <c r="AU975" s="4"/>
      <c r="AV975" s="4"/>
      <c r="AY975" s="4"/>
      <c r="AZ975" s="4"/>
      <c r="BC975" s="4"/>
      <c r="BD975" s="4"/>
      <c r="BG975" s="4"/>
      <c r="BH975" s="4"/>
    </row>
    <row r="976" spans="3:60">
      <c r="C976" s="4"/>
      <c r="D976" s="4"/>
      <c r="G976" s="4"/>
      <c r="H976" s="4"/>
      <c r="K976" s="4"/>
      <c r="L976" s="4"/>
      <c r="O976" s="4"/>
      <c r="P976" s="4"/>
      <c r="S976" s="4"/>
      <c r="T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I976" s="4"/>
      <c r="AJ976" s="4"/>
      <c r="AM976" s="4"/>
      <c r="AN976" s="4"/>
      <c r="AQ976" s="4"/>
      <c r="AR976" s="4"/>
      <c r="AU976" s="4"/>
      <c r="AV976" s="4"/>
      <c r="AY976" s="4"/>
      <c r="AZ976" s="4"/>
      <c r="BC976" s="4"/>
      <c r="BD976" s="4"/>
      <c r="BG976" s="4"/>
      <c r="BH976" s="4"/>
    </row>
    <row r="977" spans="3:60">
      <c r="C977" s="4"/>
      <c r="D977" s="4"/>
      <c r="G977" s="4"/>
      <c r="H977" s="4"/>
      <c r="K977" s="4"/>
      <c r="L977" s="4"/>
      <c r="O977" s="4"/>
      <c r="P977" s="4"/>
      <c r="S977" s="4"/>
      <c r="T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I977" s="4"/>
      <c r="AJ977" s="4"/>
      <c r="AM977" s="4"/>
      <c r="AN977" s="4"/>
      <c r="AQ977" s="4"/>
      <c r="AR977" s="4"/>
      <c r="AU977" s="4"/>
      <c r="AV977" s="4"/>
      <c r="AY977" s="4"/>
      <c r="AZ977" s="4"/>
      <c r="BC977" s="4"/>
      <c r="BD977" s="4"/>
      <c r="BG977" s="4"/>
      <c r="BH977" s="4"/>
    </row>
    <row r="978" spans="3:60">
      <c r="C978" s="4"/>
      <c r="D978" s="4"/>
      <c r="G978" s="4"/>
      <c r="H978" s="4"/>
      <c r="K978" s="4"/>
      <c r="L978" s="4"/>
      <c r="O978" s="4"/>
      <c r="P978" s="4"/>
      <c r="S978" s="4"/>
      <c r="T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I978" s="4"/>
      <c r="AJ978" s="4"/>
      <c r="AM978" s="4"/>
      <c r="AN978" s="4"/>
      <c r="AQ978" s="4"/>
      <c r="AR978" s="4"/>
      <c r="AU978" s="4"/>
      <c r="AV978" s="4"/>
      <c r="AY978" s="4"/>
      <c r="AZ978" s="4"/>
      <c r="BC978" s="4"/>
      <c r="BD978" s="4"/>
      <c r="BG978" s="4"/>
      <c r="BH978" s="4"/>
    </row>
    <row r="979" spans="3:60">
      <c r="C979" s="4"/>
      <c r="D979" s="4"/>
      <c r="G979" s="4"/>
      <c r="H979" s="4"/>
      <c r="K979" s="4"/>
      <c r="L979" s="4"/>
      <c r="O979" s="4"/>
      <c r="P979" s="4"/>
      <c r="S979" s="4"/>
      <c r="T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I979" s="4"/>
      <c r="AJ979" s="4"/>
      <c r="AM979" s="4"/>
      <c r="AN979" s="4"/>
      <c r="AQ979" s="4"/>
      <c r="AR979" s="4"/>
      <c r="AU979" s="4"/>
      <c r="AV979" s="4"/>
      <c r="AY979" s="4"/>
      <c r="AZ979" s="4"/>
      <c r="BC979" s="4"/>
      <c r="BD979" s="4"/>
      <c r="BG979" s="4"/>
      <c r="BH979" s="4"/>
    </row>
    <row r="980" spans="3:60">
      <c r="C980" s="4"/>
      <c r="D980" s="4"/>
      <c r="G980" s="4"/>
      <c r="H980" s="4"/>
      <c r="K980" s="4"/>
      <c r="L980" s="4"/>
      <c r="O980" s="4"/>
      <c r="P980" s="4"/>
      <c r="S980" s="4"/>
      <c r="T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I980" s="4"/>
      <c r="AJ980" s="4"/>
      <c r="AM980" s="4"/>
      <c r="AN980" s="4"/>
      <c r="AQ980" s="4"/>
      <c r="AR980" s="4"/>
      <c r="AU980" s="4"/>
      <c r="AV980" s="4"/>
      <c r="AY980" s="4"/>
      <c r="AZ980" s="4"/>
      <c r="BC980" s="4"/>
      <c r="BD980" s="4"/>
      <c r="BG980" s="4"/>
      <c r="BH980" s="4"/>
    </row>
    <row r="981" spans="3:60">
      <c r="C981" s="4"/>
      <c r="D981" s="4"/>
      <c r="G981" s="4"/>
      <c r="H981" s="4"/>
      <c r="K981" s="4"/>
      <c r="L981" s="4"/>
      <c r="O981" s="4"/>
      <c r="P981" s="4"/>
      <c r="S981" s="4"/>
      <c r="T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I981" s="4"/>
      <c r="AJ981" s="4"/>
      <c r="AM981" s="4"/>
      <c r="AN981" s="4"/>
      <c r="AQ981" s="4"/>
      <c r="AR981" s="4"/>
      <c r="AU981" s="4"/>
      <c r="AV981" s="4"/>
      <c r="AY981" s="4"/>
      <c r="AZ981" s="4"/>
      <c r="BC981" s="4"/>
      <c r="BD981" s="4"/>
      <c r="BG981" s="4"/>
      <c r="BH981" s="4"/>
    </row>
    <row r="982" spans="3:60">
      <c r="C982" s="4"/>
      <c r="D982" s="4"/>
      <c r="G982" s="4"/>
      <c r="H982" s="4"/>
      <c r="K982" s="4"/>
      <c r="L982" s="4"/>
      <c r="O982" s="4"/>
      <c r="P982" s="4"/>
      <c r="S982" s="4"/>
      <c r="T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I982" s="4"/>
      <c r="AJ982" s="4"/>
      <c r="AM982" s="4"/>
      <c r="AN982" s="4"/>
      <c r="AQ982" s="4"/>
      <c r="AR982" s="4"/>
      <c r="AU982" s="4"/>
      <c r="AV982" s="4"/>
      <c r="AY982" s="4"/>
      <c r="AZ982" s="4"/>
      <c r="BC982" s="4"/>
      <c r="BD982" s="4"/>
      <c r="BG982" s="4"/>
      <c r="BH982" s="4"/>
    </row>
    <row r="983" spans="3:60">
      <c r="C983" s="4"/>
      <c r="D983" s="4"/>
      <c r="G983" s="4"/>
      <c r="H983" s="4"/>
      <c r="K983" s="4"/>
      <c r="L983" s="4"/>
      <c r="O983" s="4"/>
      <c r="P983" s="4"/>
      <c r="S983" s="4"/>
      <c r="T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I983" s="4"/>
      <c r="AJ983" s="4"/>
      <c r="AM983" s="4"/>
      <c r="AN983" s="4"/>
      <c r="AQ983" s="4"/>
      <c r="AR983" s="4"/>
      <c r="AU983" s="4"/>
      <c r="AV983" s="4"/>
      <c r="AY983" s="4"/>
      <c r="AZ983" s="4"/>
      <c r="BC983" s="4"/>
      <c r="BD983" s="4"/>
      <c r="BG983" s="4"/>
      <c r="BH983" s="4"/>
    </row>
    <row r="984" spans="3:60">
      <c r="C984" s="4"/>
      <c r="D984" s="4"/>
      <c r="G984" s="4"/>
      <c r="H984" s="4"/>
      <c r="K984" s="4"/>
      <c r="L984" s="4"/>
      <c r="O984" s="4"/>
      <c r="P984" s="4"/>
      <c r="S984" s="4"/>
      <c r="T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I984" s="4"/>
      <c r="AJ984" s="4"/>
      <c r="AM984" s="4"/>
      <c r="AN984" s="4"/>
      <c r="AQ984" s="4"/>
      <c r="AR984" s="4"/>
      <c r="AU984" s="4"/>
      <c r="AV984" s="4"/>
      <c r="AY984" s="4"/>
      <c r="AZ984" s="4"/>
      <c r="BC984" s="4"/>
      <c r="BD984" s="4"/>
      <c r="BG984" s="4"/>
      <c r="BH984" s="4"/>
    </row>
    <row r="985" spans="3:60">
      <c r="C985" s="4"/>
      <c r="D985" s="4"/>
      <c r="G985" s="4"/>
      <c r="H985" s="4"/>
      <c r="K985" s="4"/>
      <c r="L985" s="4"/>
      <c r="O985" s="4"/>
      <c r="P985" s="4"/>
      <c r="S985" s="4"/>
      <c r="T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I985" s="4"/>
      <c r="AJ985" s="4"/>
      <c r="AM985" s="4"/>
      <c r="AN985" s="4"/>
      <c r="AQ985" s="4"/>
      <c r="AR985" s="4"/>
      <c r="AU985" s="4"/>
      <c r="AV985" s="4"/>
      <c r="AY985" s="4"/>
      <c r="AZ985" s="4"/>
      <c r="BC985" s="4"/>
      <c r="BD985" s="4"/>
      <c r="BG985" s="4"/>
      <c r="BH985" s="4"/>
    </row>
    <row r="986" spans="3:60">
      <c r="C986" s="4"/>
      <c r="D986" s="4"/>
      <c r="G986" s="4"/>
      <c r="H986" s="4"/>
      <c r="K986" s="4"/>
      <c r="L986" s="4"/>
      <c r="O986" s="4"/>
      <c r="P986" s="4"/>
      <c r="S986" s="4"/>
      <c r="T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I986" s="4"/>
      <c r="AJ986" s="4"/>
      <c r="AM986" s="4"/>
      <c r="AN986" s="4"/>
      <c r="AQ986" s="4"/>
      <c r="AR986" s="4"/>
      <c r="AU986" s="4"/>
      <c r="AV986" s="4"/>
      <c r="AY986" s="4"/>
      <c r="AZ986" s="4"/>
      <c r="BC986" s="4"/>
      <c r="BD986" s="4"/>
      <c r="BG986" s="4"/>
      <c r="BH986" s="4"/>
    </row>
    <row r="987" spans="3:60">
      <c r="C987" s="4"/>
      <c r="D987" s="4"/>
      <c r="G987" s="4"/>
      <c r="H987" s="4"/>
      <c r="K987" s="4"/>
      <c r="L987" s="4"/>
      <c r="O987" s="4"/>
      <c r="P987" s="4"/>
      <c r="S987" s="4"/>
      <c r="T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I987" s="4"/>
      <c r="AJ987" s="4"/>
      <c r="AM987" s="4"/>
      <c r="AN987" s="4"/>
      <c r="AQ987" s="4"/>
      <c r="AR987" s="4"/>
      <c r="AU987" s="4"/>
      <c r="AV987" s="4"/>
      <c r="AY987" s="4"/>
      <c r="AZ987" s="4"/>
      <c r="BC987" s="4"/>
      <c r="BD987" s="4"/>
      <c r="BG987" s="4"/>
      <c r="BH987" s="4"/>
    </row>
    <row r="988" spans="3:60">
      <c r="C988" s="4"/>
      <c r="D988" s="4"/>
      <c r="G988" s="4"/>
      <c r="H988" s="4"/>
      <c r="K988" s="4"/>
      <c r="L988" s="4"/>
      <c r="O988" s="4"/>
      <c r="P988" s="4"/>
      <c r="S988" s="4"/>
      <c r="T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I988" s="4"/>
      <c r="AJ988" s="4"/>
      <c r="AM988" s="4"/>
      <c r="AN988" s="4"/>
      <c r="AQ988" s="4"/>
      <c r="AR988" s="4"/>
      <c r="AU988" s="4"/>
      <c r="AV988" s="4"/>
      <c r="AY988" s="4"/>
      <c r="AZ988" s="4"/>
      <c r="BC988" s="4"/>
      <c r="BD988" s="4"/>
      <c r="BG988" s="4"/>
      <c r="BH988" s="4"/>
    </row>
    <row r="989" spans="3:60">
      <c r="C989" s="4"/>
      <c r="D989" s="4"/>
      <c r="G989" s="4"/>
      <c r="H989" s="4"/>
      <c r="K989" s="4"/>
      <c r="L989" s="4"/>
      <c r="O989" s="4"/>
      <c r="P989" s="4"/>
      <c r="S989" s="4"/>
      <c r="T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I989" s="4"/>
      <c r="AJ989" s="4"/>
      <c r="AM989" s="4"/>
      <c r="AN989" s="4"/>
      <c r="AQ989" s="4"/>
      <c r="AR989" s="4"/>
      <c r="AU989" s="4"/>
      <c r="AV989" s="4"/>
      <c r="AY989" s="4"/>
      <c r="AZ989" s="4"/>
      <c r="BC989" s="4"/>
      <c r="BD989" s="4"/>
      <c r="BG989" s="4"/>
      <c r="BH989" s="4"/>
    </row>
    <row r="990" spans="3:60">
      <c r="C990" s="4"/>
      <c r="D990" s="4"/>
      <c r="G990" s="4"/>
      <c r="H990" s="4"/>
      <c r="K990" s="4"/>
      <c r="L990" s="4"/>
      <c r="O990" s="4"/>
      <c r="P990" s="4"/>
      <c r="S990" s="4"/>
      <c r="T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I990" s="4"/>
      <c r="AJ990" s="4"/>
      <c r="AM990" s="4"/>
      <c r="AN990" s="4"/>
      <c r="AQ990" s="4"/>
      <c r="AR990" s="4"/>
      <c r="AU990" s="4"/>
      <c r="AV990" s="4"/>
      <c r="AY990" s="4"/>
      <c r="AZ990" s="4"/>
      <c r="BC990" s="4"/>
      <c r="BD990" s="4"/>
      <c r="BG990" s="4"/>
      <c r="BH990" s="4"/>
    </row>
    <row r="991" spans="3:60">
      <c r="C991" s="4"/>
      <c r="D991" s="4"/>
      <c r="G991" s="4"/>
      <c r="H991" s="4"/>
      <c r="K991" s="4"/>
      <c r="L991" s="4"/>
      <c r="O991" s="4"/>
      <c r="P991" s="4"/>
      <c r="S991" s="4"/>
      <c r="T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I991" s="4"/>
      <c r="AJ991" s="4"/>
      <c r="AM991" s="4"/>
      <c r="AN991" s="4"/>
      <c r="AQ991" s="4"/>
      <c r="AR991" s="4"/>
      <c r="AU991" s="4"/>
      <c r="AV991" s="4"/>
      <c r="AY991" s="4"/>
      <c r="AZ991" s="4"/>
      <c r="BC991" s="4"/>
      <c r="BD991" s="4"/>
      <c r="BG991" s="4"/>
      <c r="BH991" s="4"/>
    </row>
    <row r="992" spans="3:60">
      <c r="C992" s="4"/>
      <c r="D992" s="4"/>
      <c r="G992" s="4"/>
      <c r="H992" s="4"/>
      <c r="K992" s="4"/>
      <c r="L992" s="4"/>
      <c r="O992" s="4"/>
      <c r="P992" s="4"/>
      <c r="S992" s="4"/>
      <c r="T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I992" s="4"/>
      <c r="AJ992" s="4"/>
      <c r="AM992" s="4"/>
      <c r="AN992" s="4"/>
      <c r="AQ992" s="4"/>
      <c r="AR992" s="4"/>
      <c r="AU992" s="4"/>
      <c r="AV992" s="4"/>
      <c r="AY992" s="4"/>
      <c r="AZ992" s="4"/>
      <c r="BC992" s="4"/>
      <c r="BD992" s="4"/>
      <c r="BG992" s="4"/>
      <c r="BH992" s="4"/>
    </row>
    <row r="993" spans="3:60">
      <c r="C993" s="4"/>
      <c r="D993" s="4"/>
      <c r="G993" s="4"/>
      <c r="H993" s="4"/>
      <c r="K993" s="4"/>
      <c r="L993" s="4"/>
      <c r="O993" s="4"/>
      <c r="P993" s="4"/>
      <c r="S993" s="4"/>
      <c r="T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I993" s="4"/>
      <c r="AJ993" s="4"/>
      <c r="AM993" s="4"/>
      <c r="AN993" s="4"/>
      <c r="AQ993" s="4"/>
      <c r="AR993" s="4"/>
      <c r="AU993" s="4"/>
      <c r="AV993" s="4"/>
      <c r="AY993" s="4"/>
      <c r="AZ993" s="4"/>
      <c r="BC993" s="4"/>
      <c r="BD993" s="4"/>
      <c r="BG993" s="4"/>
      <c r="BH993" s="4"/>
    </row>
    <row r="994" spans="3:60">
      <c r="C994" s="4"/>
      <c r="D994" s="4"/>
      <c r="G994" s="4"/>
      <c r="H994" s="4"/>
      <c r="K994" s="4"/>
      <c r="L994" s="4"/>
      <c r="O994" s="4"/>
      <c r="P994" s="4"/>
      <c r="S994" s="4"/>
      <c r="T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I994" s="4"/>
      <c r="AJ994" s="4"/>
      <c r="AM994" s="4"/>
      <c r="AN994" s="4"/>
      <c r="AQ994" s="4"/>
      <c r="AR994" s="4"/>
      <c r="AU994" s="4"/>
      <c r="AV994" s="4"/>
      <c r="AY994" s="4"/>
      <c r="AZ994" s="4"/>
      <c r="BC994" s="4"/>
      <c r="BD994" s="4"/>
      <c r="BG994" s="4"/>
      <c r="BH994" s="4"/>
    </row>
    <row r="995" spans="3:60">
      <c r="C995" s="4"/>
      <c r="D995" s="4"/>
      <c r="G995" s="4"/>
      <c r="H995" s="4"/>
      <c r="K995" s="4"/>
      <c r="L995" s="4"/>
      <c r="O995" s="4"/>
      <c r="P995" s="4"/>
      <c r="S995" s="4"/>
      <c r="T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I995" s="4"/>
      <c r="AJ995" s="4"/>
      <c r="AM995" s="4"/>
      <c r="AN995" s="4"/>
      <c r="AQ995" s="4"/>
      <c r="AR995" s="4"/>
      <c r="AU995" s="4"/>
      <c r="AV995" s="4"/>
      <c r="AY995" s="4"/>
      <c r="AZ995" s="4"/>
      <c r="BC995" s="4"/>
      <c r="BD995" s="4"/>
      <c r="BG995" s="4"/>
      <c r="BH995" s="4"/>
    </row>
    <row r="996" spans="3:60">
      <c r="C996" s="4"/>
      <c r="D996" s="4"/>
      <c r="G996" s="4"/>
      <c r="H996" s="4"/>
      <c r="K996" s="4"/>
      <c r="L996" s="4"/>
      <c r="O996" s="4"/>
      <c r="P996" s="4"/>
      <c r="S996" s="4"/>
      <c r="T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I996" s="4"/>
      <c r="AJ996" s="4"/>
      <c r="AM996" s="4"/>
      <c r="AN996" s="4"/>
      <c r="AQ996" s="4"/>
      <c r="AR996" s="4"/>
      <c r="AU996" s="4"/>
      <c r="AV996" s="4"/>
      <c r="AY996" s="4"/>
      <c r="AZ996" s="4"/>
      <c r="BC996" s="4"/>
      <c r="BD996" s="4"/>
      <c r="BG996" s="4"/>
      <c r="BH996" s="4"/>
    </row>
    <row r="997" spans="3:60">
      <c r="C997" s="4"/>
      <c r="D997" s="4"/>
      <c r="G997" s="4"/>
      <c r="H997" s="4"/>
      <c r="K997" s="4"/>
      <c r="L997" s="4"/>
      <c r="O997" s="4"/>
      <c r="P997" s="4"/>
      <c r="S997" s="4"/>
      <c r="T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I997" s="4"/>
      <c r="AJ997" s="4"/>
      <c r="AM997" s="4"/>
      <c r="AN997" s="4"/>
      <c r="AQ997" s="4"/>
      <c r="AR997" s="4"/>
      <c r="AU997" s="4"/>
      <c r="AV997" s="4"/>
      <c r="AY997" s="4"/>
      <c r="AZ997" s="4"/>
      <c r="BC997" s="4"/>
      <c r="BD997" s="4"/>
      <c r="BG997" s="4"/>
      <c r="BH997" s="4"/>
    </row>
    <row r="998" spans="3:60">
      <c r="C998" s="4"/>
      <c r="D998" s="4"/>
      <c r="G998" s="4"/>
      <c r="H998" s="4"/>
      <c r="K998" s="4"/>
      <c r="L998" s="4"/>
      <c r="O998" s="4"/>
      <c r="P998" s="4"/>
      <c r="S998" s="4"/>
      <c r="T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I998" s="4"/>
      <c r="AJ998" s="4"/>
      <c r="AM998" s="4"/>
      <c r="AN998" s="4"/>
      <c r="AQ998" s="4"/>
      <c r="AR998" s="4"/>
      <c r="AU998" s="4"/>
      <c r="AV998" s="4"/>
      <c r="AY998" s="4"/>
      <c r="AZ998" s="4"/>
      <c r="BC998" s="4"/>
      <c r="BD998" s="4"/>
      <c r="BG998" s="4"/>
      <c r="BH998" s="4"/>
    </row>
    <row r="999" spans="3:60">
      <c r="C999" s="4"/>
      <c r="D999" s="4"/>
      <c r="G999" s="4"/>
      <c r="H999" s="4"/>
      <c r="K999" s="4"/>
      <c r="L999" s="4"/>
      <c r="O999" s="4"/>
      <c r="P999" s="4"/>
      <c r="S999" s="4"/>
      <c r="T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I999" s="4"/>
      <c r="AJ999" s="4"/>
      <c r="AM999" s="4"/>
      <c r="AN999" s="4"/>
      <c r="AQ999" s="4"/>
      <c r="AR999" s="4"/>
      <c r="AU999" s="4"/>
      <c r="AV999" s="4"/>
      <c r="AY999" s="4"/>
      <c r="AZ999" s="4"/>
      <c r="BC999" s="4"/>
      <c r="BD999" s="4"/>
      <c r="BG999" s="4"/>
      <c r="BH999" s="4"/>
    </row>
    <row r="1000" spans="3:60">
      <c r="C1000" s="4"/>
      <c r="D1000" s="4"/>
      <c r="G1000" s="4"/>
      <c r="H1000" s="4"/>
      <c r="K1000" s="4"/>
      <c r="L1000" s="4"/>
      <c r="O1000" s="4"/>
      <c r="P1000" s="4"/>
      <c r="S1000" s="4"/>
      <c r="T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I1000" s="4"/>
      <c r="AJ1000" s="4"/>
      <c r="AM1000" s="4"/>
      <c r="AN1000" s="4"/>
      <c r="AQ1000" s="4"/>
      <c r="AR1000" s="4"/>
      <c r="AU1000" s="4"/>
      <c r="AV1000" s="4"/>
      <c r="AY1000" s="4"/>
      <c r="AZ1000" s="4"/>
      <c r="BC1000" s="4"/>
      <c r="BD1000" s="4"/>
      <c r="BG1000" s="4"/>
      <c r="BH1000" s="4"/>
    </row>
    <row r="1001" spans="3:60">
      <c r="C1001" s="4"/>
      <c r="D1001" s="4"/>
      <c r="G1001" s="4"/>
      <c r="H1001" s="4"/>
      <c r="K1001" s="4"/>
      <c r="L1001" s="4"/>
      <c r="O1001" s="4"/>
      <c r="P1001" s="4"/>
      <c r="S1001" s="4"/>
      <c r="T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4"/>
      <c r="AI1001" s="4"/>
      <c r="AJ1001" s="4"/>
      <c r="AM1001" s="4"/>
      <c r="AN1001" s="4"/>
      <c r="AQ1001" s="4"/>
      <c r="AR1001" s="4"/>
      <c r="AU1001" s="4"/>
      <c r="AV1001" s="4"/>
      <c r="AY1001" s="4"/>
      <c r="AZ1001" s="4"/>
      <c r="BC1001" s="4"/>
      <c r="BD1001" s="4"/>
      <c r="BG1001" s="4"/>
      <c r="BH1001" s="4"/>
    </row>
    <row r="1002" spans="3:60">
      <c r="C1002" s="4"/>
      <c r="D1002" s="4"/>
      <c r="G1002" s="4"/>
      <c r="H1002" s="4"/>
      <c r="K1002" s="4"/>
      <c r="L1002" s="4"/>
      <c r="O1002" s="4"/>
      <c r="P1002" s="4"/>
      <c r="S1002" s="4"/>
      <c r="T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4"/>
      <c r="AI1002" s="4"/>
      <c r="AJ1002" s="4"/>
      <c r="AM1002" s="4"/>
      <c r="AN1002" s="4"/>
      <c r="AQ1002" s="4"/>
      <c r="AR1002" s="4"/>
      <c r="AU1002" s="4"/>
      <c r="AV1002" s="4"/>
      <c r="AY1002" s="4"/>
      <c r="AZ1002" s="4"/>
      <c r="BC1002" s="4"/>
      <c r="BD1002" s="4"/>
      <c r="BG1002" s="4"/>
      <c r="BH1002" s="4"/>
    </row>
    <row r="1003" spans="3:60">
      <c r="C1003" s="4"/>
      <c r="D1003" s="4"/>
      <c r="G1003" s="4"/>
      <c r="H1003" s="4"/>
      <c r="K1003" s="4"/>
      <c r="L1003" s="4"/>
      <c r="O1003" s="4"/>
      <c r="P1003" s="4"/>
      <c r="S1003" s="4"/>
      <c r="T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4"/>
      <c r="AI1003" s="4"/>
      <c r="AJ1003" s="4"/>
      <c r="AM1003" s="4"/>
      <c r="AN1003" s="4"/>
      <c r="AQ1003" s="4"/>
      <c r="AR1003" s="4"/>
      <c r="AU1003" s="4"/>
      <c r="AV1003" s="4"/>
      <c r="AY1003" s="4"/>
      <c r="AZ1003" s="4"/>
      <c r="BC1003" s="4"/>
      <c r="BD1003" s="4"/>
      <c r="BG1003" s="4"/>
      <c r="BH1003" s="4"/>
    </row>
    <row r="1004" spans="3:60">
      <c r="C1004" s="4"/>
      <c r="D1004" s="4"/>
      <c r="G1004" s="4"/>
      <c r="H1004" s="4"/>
      <c r="K1004" s="4"/>
      <c r="L1004" s="4"/>
      <c r="O1004" s="4"/>
      <c r="P1004" s="4"/>
      <c r="S1004" s="4"/>
      <c r="T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4"/>
      <c r="AI1004" s="4"/>
      <c r="AJ1004" s="4"/>
      <c r="AM1004" s="4"/>
      <c r="AN1004" s="4"/>
      <c r="AQ1004" s="4"/>
      <c r="AR1004" s="4"/>
      <c r="AU1004" s="4"/>
      <c r="AV1004" s="4"/>
      <c r="AY1004" s="4"/>
      <c r="AZ1004" s="4"/>
      <c r="BC1004" s="4"/>
      <c r="BD1004" s="4"/>
      <c r="BG1004" s="4"/>
      <c r="BH1004" s="4"/>
    </row>
    <row r="1005" spans="3:60">
      <c r="C1005" s="4"/>
      <c r="D1005" s="4"/>
      <c r="G1005" s="4"/>
      <c r="H1005" s="4"/>
      <c r="K1005" s="4"/>
      <c r="L1005" s="4"/>
      <c r="O1005" s="4"/>
      <c r="P1005" s="4"/>
      <c r="S1005" s="4"/>
      <c r="T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4"/>
      <c r="AI1005" s="4"/>
      <c r="AJ1005" s="4"/>
      <c r="AM1005" s="4"/>
      <c r="AN1005" s="4"/>
      <c r="AQ1005" s="4"/>
      <c r="AR1005" s="4"/>
      <c r="AU1005" s="4"/>
      <c r="AV1005" s="4"/>
      <c r="AY1005" s="4"/>
      <c r="AZ1005" s="4"/>
      <c r="BC1005" s="4"/>
      <c r="BD1005" s="4"/>
      <c r="BG1005" s="4"/>
      <c r="BH1005" s="4"/>
    </row>
    <row r="1006" spans="3:60">
      <c r="C1006" s="4"/>
      <c r="D1006" s="4"/>
      <c r="G1006" s="4"/>
      <c r="H1006" s="4"/>
      <c r="K1006" s="4"/>
      <c r="L1006" s="4"/>
      <c r="O1006" s="4"/>
      <c r="P1006" s="4"/>
      <c r="S1006" s="4"/>
      <c r="T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4"/>
      <c r="AI1006" s="4"/>
      <c r="AJ1006" s="4"/>
      <c r="AM1006" s="4"/>
      <c r="AN1006" s="4"/>
      <c r="AQ1006" s="4"/>
      <c r="AR1006" s="4"/>
      <c r="AU1006" s="4"/>
      <c r="AV1006" s="4"/>
      <c r="AY1006" s="4"/>
      <c r="AZ1006" s="4"/>
      <c r="BC1006" s="4"/>
      <c r="BD1006" s="4"/>
      <c r="BG1006" s="4"/>
      <c r="BH1006" s="4"/>
    </row>
    <row r="1007" spans="3:60">
      <c r="C1007" s="4"/>
      <c r="D1007" s="4"/>
      <c r="G1007" s="4"/>
      <c r="H1007" s="4"/>
      <c r="K1007" s="4"/>
      <c r="L1007" s="4"/>
      <c r="O1007" s="4"/>
      <c r="P1007" s="4"/>
      <c r="S1007" s="4"/>
      <c r="T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4"/>
      <c r="AI1007" s="4"/>
      <c r="AJ1007" s="4"/>
      <c r="AM1007" s="4"/>
      <c r="AN1007" s="4"/>
      <c r="AQ1007" s="4"/>
      <c r="AR1007" s="4"/>
      <c r="AU1007" s="4"/>
      <c r="AV1007" s="4"/>
      <c r="AY1007" s="4"/>
      <c r="AZ1007" s="4"/>
      <c r="BC1007" s="4"/>
      <c r="BD1007" s="4"/>
      <c r="BG1007" s="4"/>
      <c r="BH1007" s="4"/>
    </row>
    <row r="1008" spans="3:60">
      <c r="C1008" s="4"/>
      <c r="D1008" s="4"/>
      <c r="G1008" s="4"/>
      <c r="H1008" s="4"/>
      <c r="K1008" s="4"/>
      <c r="L1008" s="4"/>
      <c r="O1008" s="4"/>
      <c r="P1008" s="4"/>
      <c r="S1008" s="4"/>
      <c r="T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4"/>
      <c r="AI1008" s="4"/>
      <c r="AJ1008" s="4"/>
      <c r="AM1008" s="4"/>
      <c r="AN1008" s="4"/>
      <c r="AQ1008" s="4"/>
      <c r="AR1008" s="4"/>
      <c r="AU1008" s="4"/>
      <c r="AV1008" s="4"/>
      <c r="AY1008" s="4"/>
      <c r="AZ1008" s="4"/>
      <c r="BC1008" s="4"/>
      <c r="BD1008" s="4"/>
      <c r="BG1008" s="4"/>
      <c r="BH1008" s="4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13</vt:i4>
      </vt:variant>
    </vt:vector>
  </HeadingPairs>
  <TitlesOfParts>
    <vt:vector size="16" baseType="lpstr">
      <vt:lpstr>close</vt:lpstr>
      <vt:lpstr>code_list</vt:lpstr>
      <vt:lpstr>data</vt:lpstr>
      <vt:lpstr>close!Print_Area</vt:lpstr>
      <vt:lpstr>국고</vt:lpstr>
      <vt:lpstr>국고_all</vt:lpstr>
      <vt:lpstr>국고_code</vt:lpstr>
      <vt:lpstr>국민</vt:lpstr>
      <vt:lpstr>국민_all</vt:lpstr>
      <vt:lpstr>국민_code</vt:lpstr>
      <vt:lpstr>물가</vt:lpstr>
      <vt:lpstr>물가_all</vt:lpstr>
      <vt:lpstr>물가_code</vt:lpstr>
      <vt:lpstr>통안</vt:lpstr>
      <vt:lpstr>통안_all</vt:lpstr>
      <vt:lpstr>통안_code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cp:lastPrinted>2020-03-11T23:46:44Z</cp:lastPrinted>
  <dcterms:created xsi:type="dcterms:W3CDTF">2020-03-11T00:43:11Z</dcterms:created>
  <dcterms:modified xsi:type="dcterms:W3CDTF">2024-08-05T00:40:16Z</dcterms:modified>
</cp:coreProperties>
</file>