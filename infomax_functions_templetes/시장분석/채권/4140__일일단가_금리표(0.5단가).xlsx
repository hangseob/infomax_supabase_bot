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drawings/drawing2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\0승환\템플릿\1시장분석\2채권\"/>
    </mc:Choice>
  </mc:AlternateContent>
  <xr:revisionPtr revIDLastSave="0" documentId="13_ncr:1_{9F7EE190-CDD8-4D28-963B-D6C117AA3C92}" xr6:coauthVersionLast="47" xr6:coauthVersionMax="47" xr10:uidLastSave="{00000000-0000-0000-0000-000000000000}"/>
  <bookViews>
    <workbookView xWindow="1560" yWindow="1560" windowWidth="21600" windowHeight="11505" xr2:uid="{00000000-000D-0000-FFFF-FFFF00000000}"/>
  </bookViews>
  <sheets>
    <sheet name="단가계산" sheetId="1" r:id="rId1"/>
    <sheet name="수익률계산" sheetId="2" r:id="rId2"/>
    <sheet name="Help(추가)" sheetId="3" r:id="rId3"/>
    <sheet name="Sheet1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70" i="1" l="1"/>
  <c r="T70" i="1"/>
  <c r="M70" i="1"/>
  <c r="F70" i="1"/>
  <c r="AA27" i="1"/>
  <c r="T27" i="1"/>
  <c r="M27" i="1"/>
  <c r="F27" i="1"/>
  <c r="AE51" i="2"/>
  <c r="W51" i="2"/>
  <c r="O51" i="2"/>
  <c r="G51" i="2"/>
  <c r="AE50" i="2"/>
  <c r="W50" i="2"/>
  <c r="O50" i="2"/>
  <c r="G50" i="2"/>
  <c r="AB51" i="1"/>
  <c r="U51" i="1"/>
  <c r="N51" i="1"/>
  <c r="G51" i="1"/>
  <c r="AB50" i="1"/>
  <c r="U50" i="1"/>
  <c r="N50" i="1"/>
  <c r="G50" i="1"/>
  <c r="R52" i="2"/>
  <c r="O48" i="2"/>
  <c r="I51" i="1"/>
  <c r="N48" i="1"/>
  <c r="W48" i="2"/>
  <c r="AD70" i="2"/>
  <c r="G48" i="2"/>
  <c r="N49" i="1"/>
  <c r="G49" i="1"/>
  <c r="O49" i="2"/>
  <c r="AH52" i="2"/>
  <c r="AB49" i="1"/>
  <c r="AD52" i="1"/>
  <c r="AE48" i="2"/>
  <c r="AH70" i="2"/>
  <c r="F70" i="2"/>
  <c r="J70" i="2"/>
  <c r="I52" i="1"/>
  <c r="U48" i="1"/>
  <c r="AB48" i="1"/>
  <c r="AD51" i="1"/>
  <c r="P52" i="1"/>
  <c r="J51" i="2"/>
  <c r="G49" i="2"/>
  <c r="W51" i="1"/>
  <c r="I70" i="2"/>
  <c r="G48" i="1"/>
  <c r="J52" i="2"/>
  <c r="R51" i="2"/>
  <c r="P51" i="1"/>
  <c r="Z51" i="2"/>
  <c r="Y70" i="2" s="1"/>
  <c r="AE49" i="2"/>
  <c r="W52" i="1"/>
  <c r="U49" i="1"/>
  <c r="AE70" i="2"/>
  <c r="N70" i="2"/>
  <c r="AH51" i="2"/>
  <c r="W49" i="2"/>
  <c r="Z52" i="2"/>
  <c r="AG70" i="2"/>
  <c r="Q70" i="2"/>
  <c r="V70" i="2"/>
  <c r="R70" i="2"/>
  <c r="Z70" i="2"/>
  <c r="W70" i="2"/>
  <c r="Q86" i="2" l="1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69" i="2"/>
  <c r="Q68" i="2"/>
  <c r="Q67" i="2"/>
  <c r="Q66" i="2"/>
  <c r="Q65" i="2"/>
  <c r="Q64" i="2"/>
  <c r="Q63" i="2"/>
  <c r="Q61" i="2"/>
  <c r="Q59" i="2"/>
  <c r="Q57" i="2"/>
  <c r="Q55" i="2"/>
  <c r="Q62" i="2"/>
  <c r="Q60" i="2"/>
  <c r="Q58" i="2"/>
  <c r="Q56" i="2"/>
  <c r="Q54" i="2"/>
  <c r="AG86" i="2"/>
  <c r="AG85" i="2"/>
  <c r="AG84" i="2"/>
  <c r="AG83" i="2"/>
  <c r="AG82" i="2"/>
  <c r="AG81" i="2"/>
  <c r="AG80" i="2"/>
  <c r="AG79" i="2"/>
  <c r="AG78" i="2"/>
  <c r="AG77" i="2"/>
  <c r="AG76" i="2"/>
  <c r="AG75" i="2"/>
  <c r="AG74" i="2"/>
  <c r="AG73" i="2"/>
  <c r="AG72" i="2"/>
  <c r="AG71" i="2"/>
  <c r="AG61" i="2"/>
  <c r="AG59" i="2"/>
  <c r="AG57" i="2"/>
  <c r="AG55" i="2"/>
  <c r="AG69" i="2"/>
  <c r="AG62" i="2"/>
  <c r="AG60" i="2"/>
  <c r="AG58" i="2"/>
  <c r="AG56" i="2"/>
  <c r="AG54" i="2"/>
  <c r="AG68" i="2"/>
  <c r="AG67" i="2"/>
  <c r="AG66" i="2"/>
  <c r="AG65" i="2"/>
  <c r="AG64" i="2"/>
  <c r="AG63" i="2"/>
  <c r="I86" i="2"/>
  <c r="I85" i="2"/>
  <c r="I84" i="2"/>
  <c r="I83" i="2"/>
  <c r="I82" i="2"/>
  <c r="I81" i="2"/>
  <c r="I80" i="2"/>
  <c r="I79" i="2"/>
  <c r="I78" i="2"/>
  <c r="I77" i="2"/>
  <c r="I76" i="2"/>
  <c r="I75" i="2"/>
  <c r="I73" i="2"/>
  <c r="I71" i="2"/>
  <c r="I69" i="2"/>
  <c r="I68" i="2"/>
  <c r="I67" i="2"/>
  <c r="I66" i="2"/>
  <c r="I65" i="2"/>
  <c r="I64" i="2"/>
  <c r="I62" i="2"/>
  <c r="I60" i="2"/>
  <c r="I58" i="2"/>
  <c r="I56" i="2"/>
  <c r="I54" i="2"/>
  <c r="I74" i="2"/>
  <c r="I63" i="2"/>
  <c r="I61" i="2"/>
  <c r="I59" i="2"/>
  <c r="I57" i="2"/>
  <c r="I55" i="2"/>
  <c r="I72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1" i="2"/>
  <c r="Y69" i="2"/>
  <c r="Y72" i="2"/>
  <c r="Y61" i="2"/>
  <c r="Y59" i="2"/>
  <c r="Y57" i="2"/>
  <c r="Y55" i="2"/>
  <c r="Y68" i="2"/>
  <c r="Y67" i="2"/>
  <c r="Y66" i="2"/>
  <c r="Y65" i="2"/>
  <c r="Y64" i="2"/>
  <c r="Y63" i="2"/>
  <c r="Y62" i="2"/>
  <c r="Y60" i="2"/>
  <c r="Y58" i="2"/>
  <c r="Y56" i="2"/>
  <c r="Y54" i="2"/>
  <c r="F71" i="2"/>
  <c r="F69" i="2"/>
  <c r="F68" i="2"/>
  <c r="F67" i="2"/>
  <c r="F66" i="2"/>
  <c r="F65" i="2"/>
  <c r="F64" i="2"/>
  <c r="F74" i="2"/>
  <c r="F72" i="2"/>
  <c r="F84" i="2"/>
  <c r="F80" i="2"/>
  <c r="F76" i="2"/>
  <c r="F63" i="2"/>
  <c r="F61" i="2"/>
  <c r="F59" i="2"/>
  <c r="F57" i="2"/>
  <c r="F55" i="2"/>
  <c r="F85" i="2"/>
  <c r="F81" i="2"/>
  <c r="F77" i="2"/>
  <c r="F86" i="2"/>
  <c r="F82" i="2"/>
  <c r="F78" i="2"/>
  <c r="F62" i="2"/>
  <c r="F60" i="2"/>
  <c r="F58" i="2"/>
  <c r="F56" i="2"/>
  <c r="F54" i="2"/>
  <c r="F83" i="2"/>
  <c r="F79" i="2"/>
  <c r="F75" i="2"/>
  <c r="F73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2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73" i="2"/>
  <c r="N71" i="2"/>
  <c r="V72" i="2"/>
  <c r="V69" i="2"/>
  <c r="V68" i="2"/>
  <c r="V67" i="2"/>
  <c r="V66" i="2"/>
  <c r="V65" i="2"/>
  <c r="V64" i="2"/>
  <c r="V63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1" i="2"/>
  <c r="V62" i="2"/>
  <c r="V60" i="2"/>
  <c r="V58" i="2"/>
  <c r="V56" i="2"/>
  <c r="V54" i="2"/>
  <c r="V61" i="2"/>
  <c r="V59" i="2"/>
  <c r="V57" i="2"/>
  <c r="V55" i="2"/>
  <c r="AD72" i="2"/>
  <c r="AD86" i="2"/>
  <c r="AD85" i="2"/>
  <c r="AD84" i="2"/>
  <c r="AD83" i="2"/>
  <c r="AD82" i="2"/>
  <c r="AD81" i="2"/>
  <c r="AD80" i="2"/>
  <c r="AD79" i="2"/>
  <c r="AD78" i="2"/>
  <c r="AD77" i="2"/>
  <c r="AD76" i="2"/>
  <c r="AD75" i="2"/>
  <c r="AD74" i="2"/>
  <c r="AD73" i="2"/>
  <c r="AD71" i="2"/>
  <c r="AD69" i="2"/>
  <c r="AD68" i="2"/>
  <c r="AD67" i="2"/>
  <c r="AD66" i="2"/>
  <c r="AD65" i="2"/>
  <c r="AD64" i="2"/>
  <c r="AD63" i="2"/>
  <c r="AD62" i="2"/>
  <c r="AD61" i="2"/>
  <c r="AD60" i="2"/>
  <c r="AD59" i="2"/>
  <c r="AD58" i="2"/>
  <c r="AD57" i="2"/>
  <c r="AD56" i="2"/>
  <c r="AD55" i="2"/>
  <c r="AD54" i="2"/>
  <c r="O70" i="2"/>
  <c r="G55" i="2"/>
  <c r="O67" i="2"/>
  <c r="Z78" i="2"/>
  <c r="AH69" i="2"/>
  <c r="J85" i="2"/>
  <c r="O58" i="2"/>
  <c r="AE68" i="2"/>
  <c r="O71" i="2"/>
  <c r="W55" i="2"/>
  <c r="AE54" i="2"/>
  <c r="AH74" i="2"/>
  <c r="J56" i="2"/>
  <c r="O57" i="2"/>
  <c r="Z56" i="2"/>
  <c r="AE59" i="2"/>
  <c r="J54" i="2"/>
  <c r="W84" i="2"/>
  <c r="J67" i="2"/>
  <c r="AH64" i="2"/>
  <c r="AE82" i="2"/>
  <c r="AE73" i="2"/>
  <c r="J55" i="2"/>
  <c r="R67" i="2"/>
  <c r="W78" i="2"/>
  <c r="AE69" i="2"/>
  <c r="G85" i="2"/>
  <c r="R58" i="2"/>
  <c r="AH68" i="2"/>
  <c r="R71" i="2"/>
  <c r="Z55" i="2"/>
  <c r="AH54" i="2"/>
  <c r="AE74" i="2"/>
  <c r="G56" i="2"/>
  <c r="W76" i="2"/>
  <c r="O83" i="2"/>
  <c r="W54" i="2"/>
  <c r="O69" i="2"/>
  <c r="G62" i="2"/>
  <c r="J83" i="2"/>
  <c r="O55" i="2"/>
  <c r="W61" i="2"/>
  <c r="AE57" i="2"/>
  <c r="R85" i="2"/>
  <c r="Z81" i="2"/>
  <c r="R75" i="2"/>
  <c r="Z83" i="2"/>
  <c r="AH76" i="2"/>
  <c r="O54" i="2"/>
  <c r="G64" i="2"/>
  <c r="R80" i="2"/>
  <c r="W64" i="2"/>
  <c r="AH81" i="2"/>
  <c r="J74" i="2"/>
  <c r="R79" i="2"/>
  <c r="Z61" i="2"/>
  <c r="O77" i="2"/>
  <c r="W83" i="2"/>
  <c r="O80" i="2"/>
  <c r="O79" i="2"/>
  <c r="O82" i="2"/>
  <c r="W74" i="2"/>
  <c r="R62" i="2"/>
  <c r="AH58" i="2"/>
  <c r="AH63" i="2"/>
  <c r="AE76" i="2"/>
  <c r="O74" i="2"/>
  <c r="W81" i="2"/>
  <c r="G73" i="2"/>
  <c r="G70" i="2"/>
  <c r="J60" i="2"/>
  <c r="O59" i="2"/>
  <c r="Z60" i="2"/>
  <c r="AE61" i="2"/>
  <c r="J79" i="2"/>
  <c r="Z85" i="2"/>
  <c r="AE56" i="2"/>
  <c r="W63" i="2"/>
  <c r="AH80" i="2"/>
  <c r="O66" i="2"/>
  <c r="G68" i="2"/>
  <c r="R84" i="2"/>
  <c r="W68" i="2"/>
  <c r="AH85" i="2"/>
  <c r="G67" i="2"/>
  <c r="R83" i="2"/>
  <c r="W56" i="2"/>
  <c r="G77" i="2"/>
  <c r="Z67" i="2"/>
  <c r="G78" i="2"/>
  <c r="J57" i="2"/>
  <c r="G60" i="2"/>
  <c r="R59" i="2"/>
  <c r="W60" i="2"/>
  <c r="AH61" i="2"/>
  <c r="G79" i="2"/>
  <c r="W85" i="2"/>
  <c r="AH56" i="2"/>
  <c r="Z63" i="2"/>
  <c r="AE80" i="2"/>
  <c r="R66" i="2"/>
  <c r="J68" i="2"/>
  <c r="O76" i="2"/>
  <c r="AE77" i="2"/>
  <c r="AH57" i="2"/>
  <c r="AH66" i="2"/>
  <c r="R73" i="2"/>
  <c r="G66" i="2"/>
  <c r="R82" i="2"/>
  <c r="W66" i="2"/>
  <c r="AH83" i="2"/>
  <c r="G65" i="2"/>
  <c r="R77" i="2"/>
  <c r="W59" i="2"/>
  <c r="O64" i="2"/>
  <c r="Z75" i="2"/>
  <c r="AE66" i="2"/>
  <c r="Z77" i="2"/>
  <c r="G59" i="2"/>
  <c r="R69" i="2"/>
  <c r="Z80" i="2"/>
  <c r="AH73" i="2"/>
  <c r="G57" i="2"/>
  <c r="J63" i="2"/>
  <c r="AH65" i="2"/>
  <c r="Z69" i="2"/>
  <c r="Z64" i="2"/>
  <c r="J66" i="2"/>
  <c r="AE83" i="2"/>
  <c r="AH60" i="2"/>
  <c r="G71" i="2"/>
  <c r="R86" i="2"/>
  <c r="Z72" i="2"/>
  <c r="AE72" i="2"/>
  <c r="G69" i="2"/>
  <c r="R81" i="2"/>
  <c r="Z73" i="2"/>
  <c r="O68" i="2"/>
  <c r="Z79" i="2"/>
  <c r="AH71" i="2"/>
  <c r="W65" i="2"/>
  <c r="J80" i="2"/>
  <c r="R76" i="2"/>
  <c r="Z84" i="2"/>
  <c r="AH77" i="2"/>
  <c r="J76" i="2"/>
  <c r="O84" i="2"/>
  <c r="AE85" i="2"/>
  <c r="G54" i="2"/>
  <c r="AE84" i="2"/>
  <c r="R61" i="2"/>
  <c r="J71" i="2"/>
  <c r="O86" i="2"/>
  <c r="W72" i="2"/>
  <c r="AH72" i="2"/>
  <c r="J69" i="2"/>
  <c r="O81" i="2"/>
  <c r="W73" i="2"/>
  <c r="R68" i="2"/>
  <c r="W79" i="2"/>
  <c r="AE71" i="2"/>
  <c r="Z65" i="2"/>
  <c r="G80" i="2"/>
  <c r="R65" i="2"/>
  <c r="AH59" i="2"/>
  <c r="Z59" i="2"/>
  <c r="W77" i="2"/>
  <c r="Z57" i="2"/>
  <c r="G63" i="2"/>
  <c r="R74" i="2"/>
  <c r="Z82" i="2"/>
  <c r="AH75" i="2"/>
  <c r="G61" i="2"/>
  <c r="O62" i="2"/>
  <c r="AH78" i="2"/>
  <c r="O56" i="2"/>
  <c r="Z54" i="2"/>
  <c r="AE58" i="2"/>
  <c r="AH82" i="2"/>
  <c r="J78" i="2"/>
  <c r="O61" i="2"/>
  <c r="Z71" i="2"/>
  <c r="AE63" i="2"/>
  <c r="J62" i="2"/>
  <c r="R55" i="2"/>
  <c r="J61" i="2"/>
  <c r="AE78" i="2"/>
  <c r="R54" i="2"/>
  <c r="AE81" i="2"/>
  <c r="G86" i="2"/>
  <c r="R63" i="2"/>
  <c r="J65" i="2"/>
  <c r="O75" i="2"/>
  <c r="G75" i="2"/>
  <c r="J72" i="2"/>
  <c r="R78" i="2"/>
  <c r="Z86" i="2"/>
  <c r="AH79" i="2"/>
  <c r="J84" i="2"/>
  <c r="R72" i="2"/>
  <c r="AH86" i="2"/>
  <c r="O60" i="2"/>
  <c r="Z62" i="2"/>
  <c r="AE62" i="2"/>
  <c r="Z58" i="2"/>
  <c r="J81" i="2"/>
  <c r="O65" i="2"/>
  <c r="Z76" i="2"/>
  <c r="AE67" i="2"/>
  <c r="J77" i="2"/>
  <c r="R57" i="2"/>
  <c r="AH67" i="2"/>
  <c r="AE75" i="2"/>
  <c r="G82" i="2"/>
  <c r="W71" i="2"/>
  <c r="G72" i="2"/>
  <c r="O78" i="2"/>
  <c r="W86" i="2"/>
  <c r="AE79" i="2"/>
  <c r="G84" i="2"/>
  <c r="O72" i="2"/>
  <c r="AE86" i="2"/>
  <c r="R60" i="2"/>
  <c r="W62" i="2"/>
  <c r="AH62" i="2"/>
  <c r="W58" i="2"/>
  <c r="G81" i="2"/>
  <c r="Z68" i="2"/>
  <c r="G76" i="2"/>
  <c r="R56" i="2"/>
  <c r="J59" i="2"/>
  <c r="AH55" i="2"/>
  <c r="J86" i="2"/>
  <c r="O63" i="2"/>
  <c r="Z74" i="2"/>
  <c r="AE65" i="2"/>
  <c r="J58" i="2"/>
  <c r="W69" i="2"/>
  <c r="AE64" i="2"/>
  <c r="W67" i="2"/>
  <c r="AH84" i="2"/>
  <c r="J82" i="2"/>
  <c r="AE60" i="2"/>
  <c r="J75" i="2"/>
  <c r="O73" i="2"/>
  <c r="W57" i="2"/>
  <c r="AE55" i="2"/>
  <c r="J73" i="2"/>
  <c r="W82" i="2"/>
  <c r="G58" i="2"/>
  <c r="R64" i="2"/>
  <c r="J64" i="2"/>
  <c r="G74" i="2"/>
  <c r="G83" i="2"/>
  <c r="Z66" i="2"/>
  <c r="O85" i="2"/>
  <c r="W75" i="2"/>
  <c r="W80" i="2"/>
  <c r="P79" i="2" l="1"/>
  <c r="S79" i="2"/>
  <c r="P83" i="2"/>
  <c r="S83" i="2"/>
  <c r="H73" i="2"/>
  <c r="K73" i="2"/>
  <c r="H54" i="2"/>
  <c r="K54" i="2"/>
  <c r="H62" i="2"/>
  <c r="K62" i="2"/>
  <c r="H77" i="2"/>
  <c r="K77" i="2"/>
  <c r="K57" i="2"/>
  <c r="H57" i="2"/>
  <c r="H76" i="2"/>
  <c r="K76" i="2"/>
  <c r="H74" i="2"/>
  <c r="K74" i="2"/>
  <c r="K67" i="2"/>
  <c r="H67" i="2"/>
  <c r="AI55" i="2"/>
  <c r="AF55" i="2"/>
  <c r="AI59" i="2"/>
  <c r="AF59" i="2"/>
  <c r="AI63" i="2"/>
  <c r="AF63" i="2"/>
  <c r="AI67" i="2"/>
  <c r="AF67" i="2"/>
  <c r="AF73" i="2"/>
  <c r="AI73" i="2"/>
  <c r="AF77" i="2"/>
  <c r="AI77" i="2"/>
  <c r="AF81" i="2"/>
  <c r="AI81" i="2"/>
  <c r="AF85" i="2"/>
  <c r="AI85" i="2"/>
  <c r="AA57" i="2"/>
  <c r="X57" i="2"/>
  <c r="X56" i="2"/>
  <c r="AA56" i="2"/>
  <c r="X71" i="2"/>
  <c r="AA71" i="2"/>
  <c r="X76" i="2"/>
  <c r="AA76" i="2"/>
  <c r="X80" i="2"/>
  <c r="AA80" i="2"/>
  <c r="X84" i="2"/>
  <c r="AA84" i="2"/>
  <c r="AA64" i="2"/>
  <c r="X64" i="2"/>
  <c r="AA68" i="2"/>
  <c r="X68" i="2"/>
  <c r="S73" i="2"/>
  <c r="P73" i="2"/>
  <c r="S57" i="2"/>
  <c r="P57" i="2"/>
  <c r="S61" i="2"/>
  <c r="P61" i="2"/>
  <c r="S65" i="2"/>
  <c r="P65" i="2"/>
  <c r="P69" i="2"/>
  <c r="S69" i="2"/>
  <c r="P76" i="2"/>
  <c r="S76" i="2"/>
  <c r="P80" i="2"/>
  <c r="S80" i="2"/>
  <c r="P84" i="2"/>
  <c r="S84" i="2"/>
  <c r="H75" i="2"/>
  <c r="K75" i="2"/>
  <c r="H56" i="2"/>
  <c r="K56" i="2"/>
  <c r="H78" i="2"/>
  <c r="K78" i="2"/>
  <c r="H81" i="2"/>
  <c r="K81" i="2"/>
  <c r="K59" i="2"/>
  <c r="H59" i="2"/>
  <c r="H80" i="2"/>
  <c r="K80" i="2"/>
  <c r="K64" i="2"/>
  <c r="H64" i="2"/>
  <c r="K68" i="2"/>
  <c r="H68" i="2"/>
  <c r="AI60" i="2"/>
  <c r="AF60" i="2"/>
  <c r="AF74" i="2"/>
  <c r="AI74" i="2"/>
  <c r="AF82" i="2"/>
  <c r="AI82" i="2"/>
  <c r="X58" i="2"/>
  <c r="AA58" i="2"/>
  <c r="X77" i="2"/>
  <c r="AA77" i="2"/>
  <c r="AA65" i="2"/>
  <c r="X65" i="2"/>
  <c r="S54" i="2"/>
  <c r="P54" i="2"/>
  <c r="S66" i="2"/>
  <c r="P66" i="2"/>
  <c r="H82" i="2"/>
  <c r="K82" i="2"/>
  <c r="AI54" i="2"/>
  <c r="AF54" i="2"/>
  <c r="AI58" i="2"/>
  <c r="AF58" i="2"/>
  <c r="AI62" i="2"/>
  <c r="AF62" i="2"/>
  <c r="AI66" i="2"/>
  <c r="AF66" i="2"/>
  <c r="AF71" i="2"/>
  <c r="AI71" i="2"/>
  <c r="AF76" i="2"/>
  <c r="AI76" i="2"/>
  <c r="AF80" i="2"/>
  <c r="AI80" i="2"/>
  <c r="AF84" i="2"/>
  <c r="AI84" i="2"/>
  <c r="AA55" i="2"/>
  <c r="X55" i="2"/>
  <c r="X54" i="2"/>
  <c r="AA54" i="2"/>
  <c r="X62" i="2"/>
  <c r="AA62" i="2"/>
  <c r="X75" i="2"/>
  <c r="AA75" i="2"/>
  <c r="X79" i="2"/>
  <c r="AA79" i="2"/>
  <c r="X83" i="2"/>
  <c r="AA83" i="2"/>
  <c r="AA63" i="2"/>
  <c r="X63" i="2"/>
  <c r="AA67" i="2"/>
  <c r="X67" i="2"/>
  <c r="S71" i="2"/>
  <c r="P71" i="2"/>
  <c r="S56" i="2"/>
  <c r="P56" i="2"/>
  <c r="S60" i="2"/>
  <c r="P60" i="2"/>
  <c r="S64" i="2"/>
  <c r="P64" i="2"/>
  <c r="S68" i="2"/>
  <c r="P68" i="2"/>
  <c r="P75" i="2"/>
  <c r="S75" i="2"/>
  <c r="AI56" i="2"/>
  <c r="AF56" i="2"/>
  <c r="AI64" i="2"/>
  <c r="AF64" i="2"/>
  <c r="AI68" i="2"/>
  <c r="AF68" i="2"/>
  <c r="AF78" i="2"/>
  <c r="AI78" i="2"/>
  <c r="AF86" i="2"/>
  <c r="AI86" i="2"/>
  <c r="AA59" i="2"/>
  <c r="X59" i="2"/>
  <c r="X73" i="2"/>
  <c r="AA73" i="2"/>
  <c r="X81" i="2"/>
  <c r="AA81" i="2"/>
  <c r="X85" i="2"/>
  <c r="AA85" i="2"/>
  <c r="AA69" i="2"/>
  <c r="X69" i="2"/>
  <c r="S58" i="2"/>
  <c r="P58" i="2"/>
  <c r="S62" i="2"/>
  <c r="P62" i="2"/>
  <c r="P72" i="2"/>
  <c r="S72" i="2"/>
  <c r="P77" i="2"/>
  <c r="S77" i="2"/>
  <c r="P81" i="2"/>
  <c r="S81" i="2"/>
  <c r="P85" i="2"/>
  <c r="S85" i="2"/>
  <c r="H79" i="2"/>
  <c r="K79" i="2"/>
  <c r="H58" i="2"/>
  <c r="K58" i="2"/>
  <c r="H85" i="2"/>
  <c r="K85" i="2"/>
  <c r="K61" i="2"/>
  <c r="H61" i="2"/>
  <c r="H84" i="2"/>
  <c r="K84" i="2"/>
  <c r="K65" i="2"/>
  <c r="H65" i="2"/>
  <c r="K69" i="2"/>
  <c r="H69" i="2"/>
  <c r="AI57" i="2"/>
  <c r="AF57" i="2"/>
  <c r="AI61" i="2"/>
  <c r="AF61" i="2"/>
  <c r="AI65" i="2"/>
  <c r="AF65" i="2"/>
  <c r="AF69" i="2"/>
  <c r="AI69" i="2"/>
  <c r="AF75" i="2"/>
  <c r="AI75" i="2"/>
  <c r="AF79" i="2"/>
  <c r="AI79" i="2"/>
  <c r="AF83" i="2"/>
  <c r="AI83" i="2"/>
  <c r="AI72" i="2"/>
  <c r="AF72" i="2"/>
  <c r="AA61" i="2"/>
  <c r="X61" i="2"/>
  <c r="X60" i="2"/>
  <c r="AA60" i="2"/>
  <c r="X74" i="2"/>
  <c r="AA74" i="2"/>
  <c r="X78" i="2"/>
  <c r="AA78" i="2"/>
  <c r="X82" i="2"/>
  <c r="AA82" i="2"/>
  <c r="X86" i="2"/>
  <c r="AA86" i="2"/>
  <c r="AA66" i="2"/>
  <c r="X66" i="2"/>
  <c r="X72" i="2"/>
  <c r="AA72" i="2"/>
  <c r="S55" i="2"/>
  <c r="P55" i="2"/>
  <c r="S59" i="2"/>
  <c r="P59" i="2"/>
  <c r="S63" i="2"/>
  <c r="P63" i="2"/>
  <c r="S67" i="2"/>
  <c r="P67" i="2"/>
  <c r="P74" i="2"/>
  <c r="S74" i="2"/>
  <c r="P78" i="2"/>
  <c r="S78" i="2"/>
  <c r="P82" i="2"/>
  <c r="S82" i="2"/>
  <c r="P86" i="2"/>
  <c r="S86" i="2"/>
  <c r="H83" i="2"/>
  <c r="K83" i="2"/>
  <c r="H60" i="2"/>
  <c r="K60" i="2"/>
  <c r="H86" i="2"/>
  <c r="K86" i="2"/>
  <c r="K55" i="2"/>
  <c r="H55" i="2"/>
  <c r="K63" i="2"/>
  <c r="H63" i="2"/>
  <c r="H72" i="2"/>
  <c r="K72" i="2"/>
  <c r="K66" i="2"/>
  <c r="H66" i="2"/>
  <c r="K71" i="2"/>
  <c r="H71" i="2"/>
  <c r="AE8" i="2" l="1"/>
  <c r="AE7" i="2"/>
  <c r="W8" i="2"/>
  <c r="W7" i="2"/>
  <c r="O8" i="2"/>
  <c r="O7" i="2"/>
  <c r="O5" i="2"/>
  <c r="P9" i="1"/>
  <c r="AE5" i="2"/>
  <c r="AH8" i="2"/>
  <c r="G6" i="2"/>
  <c r="O6" i="2"/>
  <c r="W5" i="2"/>
  <c r="AE6" i="2"/>
  <c r="Z8" i="2"/>
  <c r="V27" i="2"/>
  <c r="J8" i="2"/>
  <c r="W6" i="2"/>
  <c r="Z9" i="2"/>
  <c r="W27" i="2"/>
  <c r="AD9" i="1"/>
  <c r="R8" i="2"/>
  <c r="Q27" i="2" s="1"/>
  <c r="R9" i="2"/>
  <c r="AH9" i="2"/>
  <c r="AG27" i="2"/>
  <c r="W9" i="1"/>
  <c r="G5" i="2"/>
  <c r="J9" i="2"/>
  <c r="I9" i="1"/>
  <c r="AD27" i="2"/>
  <c r="Y27" i="2"/>
  <c r="N27" i="2"/>
  <c r="AE27" i="2"/>
  <c r="AH27" i="2"/>
  <c r="R27" i="2"/>
  <c r="O27" i="2"/>
  <c r="AD40" i="2" l="1"/>
  <c r="AD38" i="2"/>
  <c r="AD34" i="2"/>
  <c r="AD28" i="2"/>
  <c r="AD25" i="2"/>
  <c r="AD21" i="2"/>
  <c r="AD17" i="2"/>
  <c r="AD43" i="2"/>
  <c r="AD41" i="2"/>
  <c r="AD39" i="2"/>
  <c r="AD37" i="2"/>
  <c r="AD35" i="2"/>
  <c r="AD33" i="2"/>
  <c r="AD31" i="2"/>
  <c r="AD29" i="2"/>
  <c r="AD26" i="2"/>
  <c r="AD24" i="2"/>
  <c r="AD22" i="2"/>
  <c r="AD20" i="2"/>
  <c r="AD18" i="2"/>
  <c r="AD16" i="2"/>
  <c r="AD14" i="2"/>
  <c r="AD12" i="2"/>
  <c r="AD42" i="2"/>
  <c r="AD36" i="2"/>
  <c r="AD32" i="2"/>
  <c r="AD30" i="2"/>
  <c r="AD23" i="2"/>
  <c r="AD19" i="2"/>
  <c r="AD13" i="2"/>
  <c r="AD15" i="2"/>
  <c r="AD11" i="2"/>
  <c r="V42" i="2"/>
  <c r="V36" i="2"/>
  <c r="V34" i="2"/>
  <c r="V28" i="2"/>
  <c r="V25" i="2"/>
  <c r="V43" i="2"/>
  <c r="V41" i="2"/>
  <c r="V39" i="2"/>
  <c r="V37" i="2"/>
  <c r="V35" i="2"/>
  <c r="V33" i="2"/>
  <c r="V31" i="2"/>
  <c r="V29" i="2"/>
  <c r="V26" i="2"/>
  <c r="V24" i="2"/>
  <c r="V22" i="2"/>
  <c r="V20" i="2"/>
  <c r="V18" i="2"/>
  <c r="V16" i="2"/>
  <c r="V14" i="2"/>
  <c r="V12" i="2"/>
  <c r="V40" i="2"/>
  <c r="V38" i="2"/>
  <c r="V32" i="2"/>
  <c r="V30" i="2"/>
  <c r="V21" i="2"/>
  <c r="V13" i="2"/>
  <c r="V23" i="2"/>
  <c r="V15" i="2"/>
  <c r="V17" i="2"/>
  <c r="V19" i="2"/>
  <c r="V11" i="2"/>
  <c r="N42" i="2"/>
  <c r="N36" i="2"/>
  <c r="N30" i="2"/>
  <c r="N28" i="2"/>
  <c r="N25" i="2"/>
  <c r="N21" i="2"/>
  <c r="N19" i="2"/>
  <c r="N15" i="2"/>
  <c r="N43" i="2"/>
  <c r="N41" i="2"/>
  <c r="N39" i="2"/>
  <c r="N37" i="2"/>
  <c r="N35" i="2"/>
  <c r="N33" i="2"/>
  <c r="N31" i="2"/>
  <c r="N29" i="2"/>
  <c r="N26" i="2"/>
  <c r="N24" i="2"/>
  <c r="N22" i="2"/>
  <c r="N20" i="2"/>
  <c r="N18" i="2"/>
  <c r="N16" i="2"/>
  <c r="N14" i="2"/>
  <c r="N12" i="2"/>
  <c r="N32" i="2"/>
  <c r="N11" i="2"/>
  <c r="N40" i="2"/>
  <c r="N38" i="2"/>
  <c r="N34" i="2"/>
  <c r="N23" i="2"/>
  <c r="N17" i="2"/>
  <c r="N13" i="2"/>
  <c r="N8" i="1"/>
  <c r="N7" i="1"/>
  <c r="AB8" i="1"/>
  <c r="AB7" i="1"/>
  <c r="Z27" i="2"/>
  <c r="N6" i="1"/>
  <c r="AB6" i="1"/>
  <c r="AH36" i="2"/>
  <c r="AE32" i="2"/>
  <c r="AH30" i="2"/>
  <c r="AE23" i="2"/>
  <c r="Z30" i="2"/>
  <c r="Z21" i="2"/>
  <c r="Z13" i="2"/>
  <c r="Z23" i="2"/>
  <c r="R16" i="2"/>
  <c r="R14" i="2"/>
  <c r="R12" i="2"/>
  <c r="R32" i="2"/>
  <c r="W38" i="2"/>
  <c r="R37" i="2"/>
  <c r="AE24" i="2"/>
  <c r="AE22" i="2"/>
  <c r="AE20" i="2"/>
  <c r="AE18" i="2"/>
  <c r="W20" i="2"/>
  <c r="W18" i="2"/>
  <c r="W16" i="2"/>
  <c r="W14" i="2"/>
  <c r="O33" i="2"/>
  <c r="O31" i="2"/>
  <c r="O29" i="2"/>
  <c r="O26" i="2"/>
  <c r="W40" i="2"/>
  <c r="O30" i="2"/>
  <c r="AH33" i="2"/>
  <c r="AH31" i="2"/>
  <c r="AH29" i="2"/>
  <c r="Z25" i="2"/>
  <c r="R24" i="2"/>
  <c r="AE25" i="2"/>
  <c r="AE21" i="2"/>
  <c r="AE17" i="2"/>
  <c r="AE43" i="2"/>
  <c r="W25" i="2"/>
  <c r="W43" i="2"/>
  <c r="W41" i="2"/>
  <c r="W39" i="2"/>
  <c r="O36" i="2"/>
  <c r="R30" i="2"/>
  <c r="O28" i="2"/>
  <c r="R25" i="2"/>
  <c r="AH42" i="2"/>
  <c r="W22" i="2"/>
  <c r="R11" i="2"/>
  <c r="P8" i="1"/>
  <c r="W8" i="1"/>
  <c r="AE40" i="2"/>
  <c r="AH38" i="2"/>
  <c r="AH34" i="2"/>
  <c r="AH28" i="2"/>
  <c r="Z42" i="2"/>
  <c r="Z36" i="2"/>
  <c r="Z34" i="2"/>
  <c r="Z28" i="2"/>
  <c r="O42" i="2"/>
  <c r="O23" i="2"/>
  <c r="O17" i="2"/>
  <c r="O13" i="2"/>
  <c r="AH43" i="2"/>
  <c r="W32" i="2"/>
  <c r="R35" i="2"/>
  <c r="AE36" i="2"/>
  <c r="AH32" i="2"/>
  <c r="AE30" i="2"/>
  <c r="AH23" i="2"/>
  <c r="W30" i="2"/>
  <c r="W21" i="2"/>
  <c r="W13" i="2"/>
  <c r="W23" i="2"/>
  <c r="O16" i="2"/>
  <c r="O14" i="2"/>
  <c r="O12" i="2"/>
  <c r="O32" i="2"/>
  <c r="Z24" i="2"/>
  <c r="R28" i="2"/>
  <c r="AH16" i="2"/>
  <c r="AH14" i="2"/>
  <c r="AH15" i="2"/>
  <c r="Z15" i="2"/>
  <c r="R22" i="2"/>
  <c r="AE33" i="2"/>
  <c r="AE31" i="2"/>
  <c r="AE29" i="2"/>
  <c r="AE26" i="2"/>
  <c r="W29" i="2"/>
  <c r="W26" i="2"/>
  <c r="W24" i="2"/>
  <c r="O39" i="2"/>
  <c r="N5" i="1"/>
  <c r="AB5" i="1"/>
  <c r="AH41" i="2"/>
  <c r="AH39" i="2"/>
  <c r="AH37" i="2"/>
  <c r="AH35" i="2"/>
  <c r="Z37" i="2"/>
  <c r="Z35" i="2"/>
  <c r="Z33" i="2"/>
  <c r="Z31" i="2"/>
  <c r="R21" i="2"/>
  <c r="O19" i="2"/>
  <c r="O15" i="2"/>
  <c r="R43" i="2"/>
  <c r="Z29" i="2"/>
  <c r="R41" i="2"/>
  <c r="AH40" i="2"/>
  <c r="AE38" i="2"/>
  <c r="AE34" i="2"/>
  <c r="AE28" i="2"/>
  <c r="W42" i="2"/>
  <c r="W36" i="2"/>
  <c r="W34" i="2"/>
  <c r="W28" i="2"/>
  <c r="R42" i="2"/>
  <c r="R23" i="2"/>
  <c r="R17" i="2"/>
  <c r="R13" i="2"/>
  <c r="AH12" i="2"/>
  <c r="Z39" i="2"/>
  <c r="O25" i="2"/>
  <c r="AH19" i="2"/>
  <c r="AH13" i="2"/>
  <c r="AH26" i="2"/>
  <c r="Z41" i="2"/>
  <c r="R20" i="2"/>
  <c r="AE16" i="2"/>
  <c r="AE14" i="2"/>
  <c r="AE12" i="2"/>
  <c r="AE42" i="2"/>
  <c r="W12" i="2"/>
  <c r="Z40" i="2"/>
  <c r="Z38" i="2"/>
  <c r="Z32" i="2"/>
  <c r="O24" i="2"/>
  <c r="O22" i="2"/>
  <c r="O20" i="2"/>
  <c r="O18" i="2"/>
  <c r="Z17" i="2"/>
  <c r="O40" i="2"/>
  <c r="R38" i="2"/>
  <c r="Z19" i="2"/>
  <c r="O38" i="2"/>
  <c r="O34" i="2"/>
  <c r="O37" i="2"/>
  <c r="O35" i="2"/>
  <c r="I8" i="1"/>
  <c r="AD8" i="1"/>
  <c r="AH24" i="2"/>
  <c r="AH22" i="2"/>
  <c r="AH20" i="2"/>
  <c r="AH18" i="2"/>
  <c r="Z20" i="2"/>
  <c r="Z18" i="2"/>
  <c r="Z16" i="2"/>
  <c r="Z14" i="2"/>
  <c r="R33" i="2"/>
  <c r="R31" i="2"/>
  <c r="R29" i="2"/>
  <c r="R26" i="2"/>
  <c r="Z26" i="2"/>
  <c r="R39" i="2"/>
  <c r="AE41" i="2"/>
  <c r="AE39" i="2"/>
  <c r="AE37" i="2"/>
  <c r="AE35" i="2"/>
  <c r="W37" i="2"/>
  <c r="W35" i="2"/>
  <c r="W33" i="2"/>
  <c r="W31" i="2"/>
  <c r="O21" i="2"/>
  <c r="R19" i="2"/>
  <c r="R15" i="2"/>
  <c r="O43" i="2"/>
  <c r="Z12" i="2"/>
  <c r="R36" i="2"/>
  <c r="AH25" i="2"/>
  <c r="AH21" i="2"/>
  <c r="AH17" i="2"/>
  <c r="AH11" i="2"/>
  <c r="Z22" i="2"/>
  <c r="R18" i="2"/>
  <c r="AE19" i="2"/>
  <c r="AE13" i="2"/>
  <c r="AE15" i="2"/>
  <c r="AE11" i="2"/>
  <c r="W15" i="2"/>
  <c r="W17" i="2"/>
  <c r="W19" i="2"/>
  <c r="W11" i="2"/>
  <c r="O11" i="2"/>
  <c r="R40" i="2"/>
  <c r="R34" i="2"/>
  <c r="Z11" i="2"/>
  <c r="O41" i="2"/>
  <c r="Z43" i="2"/>
  <c r="AF11" i="2" l="1"/>
  <c r="AI11" i="2"/>
  <c r="AI23" i="2"/>
  <c r="AF23" i="2"/>
  <c r="AF42" i="2"/>
  <c r="AI42" i="2"/>
  <c r="AF18" i="2"/>
  <c r="AI18" i="2"/>
  <c r="AF26" i="2"/>
  <c r="AI26" i="2"/>
  <c r="AF35" i="2"/>
  <c r="AI35" i="2"/>
  <c r="AF43" i="2"/>
  <c r="AI43" i="2"/>
  <c r="AF28" i="2"/>
  <c r="AI28" i="2"/>
  <c r="AF15" i="2"/>
  <c r="AI15" i="2"/>
  <c r="AF30" i="2"/>
  <c r="AI30" i="2"/>
  <c r="AF12" i="2"/>
  <c r="AI12" i="2"/>
  <c r="AF20" i="2"/>
  <c r="AI20" i="2"/>
  <c r="AF29" i="2"/>
  <c r="AI29" i="2"/>
  <c r="AF37" i="2"/>
  <c r="AI37" i="2"/>
  <c r="AF17" i="2"/>
  <c r="AI17" i="2"/>
  <c r="AF34" i="2"/>
  <c r="AI34" i="2"/>
  <c r="AF13" i="2"/>
  <c r="AI13" i="2"/>
  <c r="AI32" i="2"/>
  <c r="AF32" i="2"/>
  <c r="AF14" i="2"/>
  <c r="AI14" i="2"/>
  <c r="AF22" i="2"/>
  <c r="AI22" i="2"/>
  <c r="AF31" i="2"/>
  <c r="AI31" i="2"/>
  <c r="AF39" i="2"/>
  <c r="AI39" i="2"/>
  <c r="AF21" i="2"/>
  <c r="AI21" i="2"/>
  <c r="AF38" i="2"/>
  <c r="AI38" i="2"/>
  <c r="AF19" i="2"/>
  <c r="AI19" i="2"/>
  <c r="AF36" i="2"/>
  <c r="AI36" i="2"/>
  <c r="AF16" i="2"/>
  <c r="AI16" i="2"/>
  <c r="AF24" i="2"/>
  <c r="AI24" i="2"/>
  <c r="AF33" i="2"/>
  <c r="AI33" i="2"/>
  <c r="AF41" i="2"/>
  <c r="AI41" i="2"/>
  <c r="AF25" i="2"/>
  <c r="AI25" i="2"/>
  <c r="AI40" i="2"/>
  <c r="AF40" i="2"/>
  <c r="X11" i="2"/>
  <c r="AA11" i="2"/>
  <c r="X23" i="2"/>
  <c r="AA23" i="2"/>
  <c r="AA32" i="2"/>
  <c r="X32" i="2"/>
  <c r="X14" i="2"/>
  <c r="AA14" i="2"/>
  <c r="X22" i="2"/>
  <c r="AA22" i="2"/>
  <c r="X31" i="2"/>
  <c r="AA31" i="2"/>
  <c r="X39" i="2"/>
  <c r="AA39" i="2"/>
  <c r="X28" i="2"/>
  <c r="AA28" i="2"/>
  <c r="X19" i="2"/>
  <c r="AA19" i="2"/>
  <c r="X13" i="2"/>
  <c r="AA13" i="2"/>
  <c r="AA38" i="2"/>
  <c r="X38" i="2"/>
  <c r="X16" i="2"/>
  <c r="AA16" i="2"/>
  <c r="X24" i="2"/>
  <c r="AA24" i="2"/>
  <c r="X33" i="2"/>
  <c r="AA33" i="2"/>
  <c r="X41" i="2"/>
  <c r="AA41" i="2"/>
  <c r="X34" i="2"/>
  <c r="AA34" i="2"/>
  <c r="X17" i="2"/>
  <c r="AA17" i="2"/>
  <c r="X21" i="2"/>
  <c r="AA21" i="2"/>
  <c r="AA40" i="2"/>
  <c r="X40" i="2"/>
  <c r="X18" i="2"/>
  <c r="AA18" i="2"/>
  <c r="X26" i="2"/>
  <c r="AA26" i="2"/>
  <c r="X35" i="2"/>
  <c r="AA35" i="2"/>
  <c r="X43" i="2"/>
  <c r="AA43" i="2"/>
  <c r="X36" i="2"/>
  <c r="AA36" i="2"/>
  <c r="X15" i="2"/>
  <c r="AA15" i="2"/>
  <c r="X30" i="2"/>
  <c r="AA30" i="2"/>
  <c r="X12" i="2"/>
  <c r="AA12" i="2"/>
  <c r="X20" i="2"/>
  <c r="AA20" i="2"/>
  <c r="X29" i="2"/>
  <c r="AA29" i="2"/>
  <c r="X37" i="2"/>
  <c r="AA37" i="2"/>
  <c r="X25" i="2"/>
  <c r="AA25" i="2"/>
  <c r="X42" i="2"/>
  <c r="AA42" i="2"/>
  <c r="S34" i="2"/>
  <c r="P34" i="2"/>
  <c r="P32" i="2"/>
  <c r="S32" i="2"/>
  <c r="P18" i="2"/>
  <c r="S18" i="2"/>
  <c r="P26" i="2"/>
  <c r="S26" i="2"/>
  <c r="P35" i="2"/>
  <c r="S35" i="2"/>
  <c r="P43" i="2"/>
  <c r="S43" i="2"/>
  <c r="S25" i="2"/>
  <c r="P25" i="2"/>
  <c r="S13" i="2"/>
  <c r="P13" i="2"/>
  <c r="S38" i="2"/>
  <c r="P38" i="2"/>
  <c r="P12" i="2"/>
  <c r="S12" i="2"/>
  <c r="P20" i="2"/>
  <c r="S20" i="2"/>
  <c r="P29" i="2"/>
  <c r="S29" i="2"/>
  <c r="P37" i="2"/>
  <c r="S37" i="2"/>
  <c r="S15" i="2"/>
  <c r="P15" i="2"/>
  <c r="P28" i="2"/>
  <c r="S28" i="2"/>
  <c r="S17" i="2"/>
  <c r="P17" i="2"/>
  <c r="S40" i="2"/>
  <c r="P40" i="2"/>
  <c r="P14" i="2"/>
  <c r="S14" i="2"/>
  <c r="P22" i="2"/>
  <c r="S22" i="2"/>
  <c r="P31" i="2"/>
  <c r="S31" i="2"/>
  <c r="P39" i="2"/>
  <c r="S39" i="2"/>
  <c r="S19" i="2"/>
  <c r="P19" i="2"/>
  <c r="S30" i="2"/>
  <c r="P30" i="2"/>
  <c r="S23" i="2"/>
  <c r="P23" i="2"/>
  <c r="P11" i="2"/>
  <c r="S11" i="2"/>
  <c r="P16" i="2"/>
  <c r="S16" i="2"/>
  <c r="P24" i="2"/>
  <c r="S24" i="2"/>
  <c r="P33" i="2"/>
  <c r="S33" i="2"/>
  <c r="P41" i="2"/>
  <c r="S41" i="2"/>
  <c r="P21" i="2"/>
  <c r="S21" i="2"/>
  <c r="P36" i="2"/>
  <c r="S36" i="2"/>
  <c r="S42" i="2"/>
  <c r="P42" i="2"/>
  <c r="G70" i="1"/>
  <c r="AD27" i="1"/>
  <c r="N27" i="1"/>
  <c r="AD70" i="1"/>
  <c r="AB70" i="1"/>
  <c r="P70" i="1"/>
  <c r="AB27" i="1"/>
  <c r="P27" i="1"/>
  <c r="I70" i="1"/>
  <c r="W70" i="1"/>
  <c r="N70" i="1"/>
  <c r="U70" i="1"/>
  <c r="M86" i="1" l="1"/>
  <c r="M82" i="1"/>
  <c r="M78" i="1"/>
  <c r="M74" i="1"/>
  <c r="M69" i="1"/>
  <c r="M65" i="1"/>
  <c r="M61" i="1"/>
  <c r="M57" i="1"/>
  <c r="M83" i="1"/>
  <c r="M71" i="1"/>
  <c r="M58" i="1"/>
  <c r="M85" i="1"/>
  <c r="M81" i="1"/>
  <c r="M77" i="1"/>
  <c r="M73" i="1"/>
  <c r="M68" i="1"/>
  <c r="M64" i="1"/>
  <c r="M60" i="1"/>
  <c r="M56" i="1"/>
  <c r="M75" i="1"/>
  <c r="M62" i="1"/>
  <c r="M84" i="1"/>
  <c r="M80" i="1"/>
  <c r="M76" i="1"/>
  <c r="M72" i="1"/>
  <c r="M67" i="1"/>
  <c r="M63" i="1"/>
  <c r="M59" i="1"/>
  <c r="M55" i="1"/>
  <c r="M79" i="1"/>
  <c r="M66" i="1"/>
  <c r="M54" i="1"/>
  <c r="AA86" i="1"/>
  <c r="AA71" i="1"/>
  <c r="AA68" i="1"/>
  <c r="AA55" i="1"/>
  <c r="AA67" i="1"/>
  <c r="AA61" i="1"/>
  <c r="AA69" i="1"/>
  <c r="AA66" i="1"/>
  <c r="AA64" i="1"/>
  <c r="AA62" i="1"/>
  <c r="AA60" i="1"/>
  <c r="AA58" i="1"/>
  <c r="AA56" i="1"/>
  <c r="AA72" i="1"/>
  <c r="AA65" i="1"/>
  <c r="AA63" i="1"/>
  <c r="AA59" i="1"/>
  <c r="AA57" i="1"/>
  <c r="AA54" i="1"/>
  <c r="AA75" i="1"/>
  <c r="AA79" i="1"/>
  <c r="AA83" i="1"/>
  <c r="AA82" i="1"/>
  <c r="AA76" i="1"/>
  <c r="AA80" i="1"/>
  <c r="AA84" i="1"/>
  <c r="AA74" i="1"/>
  <c r="AA73" i="1"/>
  <c r="AA77" i="1"/>
  <c r="AA81" i="1"/>
  <c r="AA85" i="1"/>
  <c r="AA78" i="1"/>
  <c r="T86" i="1"/>
  <c r="T67" i="1"/>
  <c r="T65" i="1"/>
  <c r="T63" i="1"/>
  <c r="T61" i="1"/>
  <c r="T59" i="1"/>
  <c r="T57" i="1"/>
  <c r="T54" i="1"/>
  <c r="T68" i="1"/>
  <c r="T55" i="1"/>
  <c r="T69" i="1"/>
  <c r="T66" i="1"/>
  <c r="T64" i="1"/>
  <c r="T62" i="1"/>
  <c r="T60" i="1"/>
  <c r="T58" i="1"/>
  <c r="T56" i="1"/>
  <c r="T72" i="1"/>
  <c r="T76" i="1"/>
  <c r="T80" i="1"/>
  <c r="T84" i="1"/>
  <c r="T79" i="1"/>
  <c r="T73" i="1"/>
  <c r="T77" i="1"/>
  <c r="T81" i="1"/>
  <c r="T85" i="1"/>
  <c r="T75" i="1"/>
  <c r="T74" i="1"/>
  <c r="T78" i="1"/>
  <c r="T82" i="1"/>
  <c r="T71" i="1"/>
  <c r="T83" i="1"/>
  <c r="F86" i="1"/>
  <c r="F83" i="1"/>
  <c r="F56" i="1"/>
  <c r="F79" i="1"/>
  <c r="F54" i="1"/>
  <c r="F75" i="1"/>
  <c r="F68" i="1"/>
  <c r="F55" i="1"/>
  <c r="F69" i="1"/>
  <c r="F67" i="1"/>
  <c r="F84" i="1"/>
  <c r="F60" i="1"/>
  <c r="F64" i="1"/>
  <c r="F77" i="1"/>
  <c r="F74" i="1"/>
  <c r="F59" i="1"/>
  <c r="F71" i="1"/>
  <c r="F72" i="1"/>
  <c r="F57" i="1"/>
  <c r="F61" i="1"/>
  <c r="F65" i="1"/>
  <c r="F81" i="1"/>
  <c r="F78" i="1"/>
  <c r="F80" i="1"/>
  <c r="F73" i="1"/>
  <c r="F76" i="1"/>
  <c r="F58" i="1"/>
  <c r="F62" i="1"/>
  <c r="F66" i="1"/>
  <c r="F85" i="1"/>
  <c r="F82" i="1"/>
  <c r="F63" i="1"/>
  <c r="M40" i="1"/>
  <c r="M32" i="1"/>
  <c r="M23" i="1"/>
  <c r="M17" i="1"/>
  <c r="M13" i="1"/>
  <c r="M28" i="1"/>
  <c r="M21" i="1"/>
  <c r="M16" i="1"/>
  <c r="M12" i="1"/>
  <c r="M26" i="1"/>
  <c r="M20" i="1"/>
  <c r="M15" i="1"/>
  <c r="M11" i="1"/>
  <c r="M36" i="1"/>
  <c r="M25" i="1"/>
  <c r="M19" i="1"/>
  <c r="M14" i="1"/>
  <c r="M22" i="1"/>
  <c r="M29" i="1"/>
  <c r="M24" i="1"/>
  <c r="M42" i="1"/>
  <c r="M30" i="1"/>
  <c r="M31" i="1"/>
  <c r="M39" i="1"/>
  <c r="M43" i="1"/>
  <c r="M33" i="1"/>
  <c r="M38" i="1"/>
  <c r="M37" i="1"/>
  <c r="M34" i="1"/>
  <c r="M35" i="1"/>
  <c r="M18" i="1"/>
  <c r="M41" i="1"/>
  <c r="AA28" i="1"/>
  <c r="AA19" i="1"/>
  <c r="AA15" i="1"/>
  <c r="AA32" i="1"/>
  <c r="AA11" i="1"/>
  <c r="AA23" i="1"/>
  <c r="AA12" i="1"/>
  <c r="AA36" i="1"/>
  <c r="AA43" i="1"/>
  <c r="AA22" i="1"/>
  <c r="AA37" i="1"/>
  <c r="AA34" i="1"/>
  <c r="AA31" i="1"/>
  <c r="AA41" i="1"/>
  <c r="AA25" i="1"/>
  <c r="AA16" i="1"/>
  <c r="AA13" i="1"/>
  <c r="AA40" i="1"/>
  <c r="AA38" i="1"/>
  <c r="AA35" i="1"/>
  <c r="AA33" i="1"/>
  <c r="AA20" i="1"/>
  <c r="AA17" i="1"/>
  <c r="AA14" i="1"/>
  <c r="AA29" i="1"/>
  <c r="AA24" i="1"/>
  <c r="AA42" i="1"/>
  <c r="AA39" i="1"/>
  <c r="AA26" i="1"/>
  <c r="AA21" i="1"/>
  <c r="AA18" i="1"/>
  <c r="AA30" i="1"/>
  <c r="T36" i="1"/>
  <c r="T22" i="1"/>
  <c r="T28" i="1"/>
  <c r="T33" i="1"/>
  <c r="T16" i="1"/>
  <c r="T34" i="1"/>
  <c r="T23" i="1"/>
  <c r="T25" i="1"/>
  <c r="T37" i="1"/>
  <c r="T20" i="1"/>
  <c r="T13" i="1"/>
  <c r="T31" i="1"/>
  <c r="T18" i="1"/>
  <c r="T30" i="1"/>
  <c r="T39" i="1"/>
  <c r="T15" i="1"/>
  <c r="T32" i="1"/>
  <c r="T14" i="1"/>
  <c r="T38" i="1"/>
  <c r="T12" i="1"/>
  <c r="T21" i="1"/>
  <c r="T40" i="1"/>
  <c r="T43" i="1"/>
  <c r="T26" i="1"/>
  <c r="T41" i="1"/>
  <c r="T24" i="1"/>
  <c r="T42" i="1"/>
  <c r="T17" i="1"/>
  <c r="T35" i="1"/>
  <c r="T11" i="1"/>
  <c r="T29" i="1"/>
  <c r="T19" i="1"/>
  <c r="U8" i="1"/>
  <c r="U7" i="1"/>
  <c r="G7" i="1"/>
  <c r="G8" i="2" l="1"/>
  <c r="G7" i="2"/>
  <c r="G5" i="1"/>
  <c r="P83" i="1"/>
  <c r="AB64" i="1"/>
  <c r="W68" i="1"/>
  <c r="G69" i="1"/>
  <c r="P71" i="1"/>
  <c r="AB62" i="1"/>
  <c r="W55" i="1"/>
  <c r="I67" i="1"/>
  <c r="P80" i="1"/>
  <c r="W69" i="1"/>
  <c r="P74" i="1"/>
  <c r="W54" i="1"/>
  <c r="P78" i="1"/>
  <c r="W60" i="1"/>
  <c r="P76" i="1"/>
  <c r="W80" i="1"/>
  <c r="N12" i="1"/>
  <c r="AD43" i="1"/>
  <c r="N28" i="1"/>
  <c r="AD23" i="1"/>
  <c r="N20" i="1"/>
  <c r="AD37" i="1"/>
  <c r="N15" i="1"/>
  <c r="AD34" i="1"/>
  <c r="W20" i="1"/>
  <c r="W36" i="1"/>
  <c r="N81" i="1"/>
  <c r="AD56" i="1"/>
  <c r="U64" i="1"/>
  <c r="G64" i="1"/>
  <c r="N77" i="1"/>
  <c r="U62" i="1"/>
  <c r="I77" i="1"/>
  <c r="P58" i="1"/>
  <c r="P11" i="1"/>
  <c r="AB25" i="1"/>
  <c r="U43" i="1"/>
  <c r="W64" i="1"/>
  <c r="U5" i="1"/>
  <c r="N64" i="1"/>
  <c r="AB59" i="1"/>
  <c r="W56" i="1"/>
  <c r="I71" i="1"/>
  <c r="N60" i="1"/>
  <c r="AB57" i="1"/>
  <c r="U72" i="1"/>
  <c r="I72" i="1"/>
  <c r="AD68" i="1"/>
  <c r="W73" i="1"/>
  <c r="P75" i="1"/>
  <c r="W77" i="1"/>
  <c r="N56" i="1"/>
  <c r="G68" i="1"/>
  <c r="AD66" i="1"/>
  <c r="I79" i="1"/>
  <c r="N14" i="1"/>
  <c r="AD13" i="1"/>
  <c r="N36" i="1"/>
  <c r="AD41" i="1"/>
  <c r="N29" i="1"/>
  <c r="AD38" i="1"/>
  <c r="N24" i="1"/>
  <c r="AD35" i="1"/>
  <c r="W34" i="1"/>
  <c r="W18" i="1"/>
  <c r="U40" i="1"/>
  <c r="U30" i="1"/>
  <c r="U29" i="1"/>
  <c r="P62" i="1"/>
  <c r="AD79" i="1"/>
  <c r="U84" i="1"/>
  <c r="G65" i="1"/>
  <c r="N84" i="1"/>
  <c r="AD83" i="1"/>
  <c r="U79" i="1"/>
  <c r="I81" i="1"/>
  <c r="AD60" i="1"/>
  <c r="W71" i="1"/>
  <c r="P59" i="1"/>
  <c r="U83" i="1"/>
  <c r="P66" i="1"/>
  <c r="I74" i="1"/>
  <c r="AD63" i="1"/>
  <c r="G60" i="1"/>
  <c r="P42" i="1"/>
  <c r="AB33" i="1"/>
  <c r="P22" i="1"/>
  <c r="AB40" i="1"/>
  <c r="P31" i="1"/>
  <c r="AB17" i="1"/>
  <c r="P39" i="1"/>
  <c r="AB14" i="1"/>
  <c r="W38" i="1"/>
  <c r="W22" i="1"/>
  <c r="U11" i="1"/>
  <c r="G27" i="1"/>
  <c r="U15" i="1"/>
  <c r="N62" i="1"/>
  <c r="AB79" i="1"/>
  <c r="W84" i="1"/>
  <c r="I65" i="1"/>
  <c r="P84" i="1"/>
  <c r="AB83" i="1"/>
  <c r="W79" i="1"/>
  <c r="G81" i="1"/>
  <c r="AB60" i="1"/>
  <c r="U71" i="1"/>
  <c r="N59" i="1"/>
  <c r="W83" i="1"/>
  <c r="N66" i="1"/>
  <c r="G74" i="1"/>
  <c r="AB63" i="1"/>
  <c r="I60" i="1"/>
  <c r="N42" i="1"/>
  <c r="AD33" i="1"/>
  <c r="N22" i="1"/>
  <c r="AD40" i="1"/>
  <c r="N31" i="1"/>
  <c r="AD17" i="1"/>
  <c r="N39" i="1"/>
  <c r="W12" i="1"/>
  <c r="N86" i="1"/>
  <c r="AB86" i="1"/>
  <c r="W86" i="1"/>
  <c r="G86" i="1"/>
  <c r="N82" i="1"/>
  <c r="AB71" i="1"/>
  <c r="U67" i="1"/>
  <c r="G83" i="1"/>
  <c r="P61" i="1"/>
  <c r="AD74" i="1"/>
  <c r="G57" i="1"/>
  <c r="AD75" i="1"/>
  <c r="I80" i="1"/>
  <c r="AD85" i="1"/>
  <c r="P57" i="1"/>
  <c r="U63" i="1"/>
  <c r="P40" i="1"/>
  <c r="AB28" i="1"/>
  <c r="AB24" i="1"/>
  <c r="P35" i="1"/>
  <c r="P23" i="1"/>
  <c r="AB15" i="1"/>
  <c r="P17" i="1"/>
  <c r="AB32" i="1"/>
  <c r="W11" i="1"/>
  <c r="W35" i="1"/>
  <c r="W40" i="1"/>
  <c r="U33" i="1"/>
  <c r="U38" i="1"/>
  <c r="U12" i="1"/>
  <c r="U25" i="1"/>
  <c r="AB37" i="1"/>
  <c r="AB34" i="1"/>
  <c r="W16" i="1"/>
  <c r="U31" i="1"/>
  <c r="U23" i="1"/>
  <c r="U28" i="1"/>
  <c r="W37" i="1"/>
  <c r="N85" i="1"/>
  <c r="U74" i="1"/>
  <c r="P26" i="1"/>
  <c r="P19" i="1"/>
  <c r="W24" i="1"/>
  <c r="P81" i="1"/>
  <c r="U6" i="1"/>
  <c r="P72" i="1"/>
  <c r="AB80" i="1"/>
  <c r="W81" i="1"/>
  <c r="G73" i="1"/>
  <c r="N67" i="1"/>
  <c r="AB84" i="1"/>
  <c r="W85" i="1"/>
  <c r="G76" i="1"/>
  <c r="AB65" i="1"/>
  <c r="G56" i="1"/>
  <c r="AB55" i="1"/>
  <c r="G55" i="1"/>
  <c r="AD69" i="1"/>
  <c r="G78" i="1"/>
  <c r="AB76" i="1"/>
  <c r="I61" i="1"/>
  <c r="N43" i="1"/>
  <c r="AD29" i="1"/>
  <c r="N30" i="1"/>
  <c r="AD20" i="1"/>
  <c r="N38" i="1"/>
  <c r="AD42" i="1"/>
  <c r="N37" i="1"/>
  <c r="AD39" i="1"/>
  <c r="W21" i="1"/>
  <c r="W28" i="1"/>
  <c r="U37" i="1"/>
  <c r="AD14" i="1"/>
  <c r="U34" i="1"/>
  <c r="P55" i="1"/>
  <c r="AD77" i="1"/>
  <c r="U78" i="1"/>
  <c r="G66" i="1"/>
  <c r="N79" i="1"/>
  <c r="AD81" i="1"/>
  <c r="U82" i="1"/>
  <c r="I85" i="1"/>
  <c r="AD82" i="1"/>
  <c r="I84" i="1"/>
  <c r="AD58" i="1"/>
  <c r="G59" i="1"/>
  <c r="AB54" i="1"/>
  <c r="I82" i="1"/>
  <c r="AD73" i="1"/>
  <c r="G62" i="1"/>
  <c r="P34" i="1"/>
  <c r="AB26" i="1"/>
  <c r="P33" i="1"/>
  <c r="AB21" i="1"/>
  <c r="P18" i="1"/>
  <c r="AB18" i="1"/>
  <c r="P41" i="1"/>
  <c r="AB30" i="1"/>
  <c r="W25" i="1"/>
  <c r="W32" i="1"/>
  <c r="U27" i="1"/>
  <c r="AD30" i="1"/>
  <c r="U16" i="1"/>
  <c r="N55" i="1"/>
  <c r="AB77" i="1"/>
  <c r="W78" i="1"/>
  <c r="I66" i="1"/>
  <c r="P79" i="1"/>
  <c r="AB81" i="1"/>
  <c r="W82" i="1"/>
  <c r="G85" i="1"/>
  <c r="AB82" i="1"/>
  <c r="G84" i="1"/>
  <c r="AB58" i="1"/>
  <c r="I59" i="1"/>
  <c r="AD54" i="1"/>
  <c r="G82" i="1"/>
  <c r="AB73" i="1"/>
  <c r="I62" i="1"/>
  <c r="N34" i="1"/>
  <c r="AD26" i="1"/>
  <c r="N33" i="1"/>
  <c r="AD21" i="1"/>
  <c r="N18" i="1"/>
  <c r="AD18" i="1"/>
  <c r="N41" i="1"/>
  <c r="W42" i="1"/>
  <c r="N83" i="1"/>
  <c r="AD64" i="1"/>
  <c r="U68" i="1"/>
  <c r="I69" i="1"/>
  <c r="N71" i="1"/>
  <c r="AD62" i="1"/>
  <c r="U55" i="1"/>
  <c r="G67" i="1"/>
  <c r="N80" i="1"/>
  <c r="U69" i="1"/>
  <c r="N74" i="1"/>
  <c r="U54" i="1"/>
  <c r="N78" i="1"/>
  <c r="U60" i="1"/>
  <c r="N76" i="1"/>
  <c r="U80" i="1"/>
  <c r="P12" i="1"/>
  <c r="AB43" i="1"/>
  <c r="P28" i="1"/>
  <c r="AB23" i="1"/>
  <c r="P20" i="1"/>
  <c r="P15" i="1"/>
  <c r="W33" i="1"/>
  <c r="U35" i="1"/>
  <c r="AD36" i="1"/>
  <c r="W29" i="1"/>
  <c r="U42" i="1"/>
  <c r="AB72" i="1"/>
  <c r="P63" i="1"/>
  <c r="U58" i="1"/>
  <c r="U75" i="1"/>
  <c r="AB31" i="1"/>
  <c r="P25" i="1"/>
  <c r="W41" i="1"/>
  <c r="W26" i="1"/>
  <c r="AB56" i="1"/>
  <c r="G6" i="1"/>
  <c r="P86" i="1"/>
  <c r="AD86" i="1"/>
  <c r="U86" i="1"/>
  <c r="I86" i="1"/>
  <c r="P82" i="1"/>
  <c r="AD71" i="1"/>
  <c r="W67" i="1"/>
  <c r="I83" i="1"/>
  <c r="N61" i="1"/>
  <c r="AB74" i="1"/>
  <c r="I57" i="1"/>
  <c r="AB75" i="1"/>
  <c r="G80" i="1"/>
  <c r="AB85" i="1"/>
  <c r="N57" i="1"/>
  <c r="W63" i="1"/>
  <c r="N40" i="1"/>
  <c r="AD28" i="1"/>
  <c r="AD24" i="1"/>
  <c r="N35" i="1"/>
  <c r="N23" i="1"/>
  <c r="AD15" i="1"/>
  <c r="N17" i="1"/>
  <c r="AD32" i="1"/>
  <c r="W15" i="1"/>
  <c r="W39" i="1"/>
  <c r="U13" i="1"/>
  <c r="U32" i="1"/>
  <c r="W31" i="1"/>
  <c r="N69" i="1"/>
  <c r="AB67" i="1"/>
  <c r="U61" i="1"/>
  <c r="I54" i="1"/>
  <c r="P65" i="1"/>
  <c r="AD61" i="1"/>
  <c r="U59" i="1"/>
  <c r="G75" i="1"/>
  <c r="N73" i="1"/>
  <c r="U65" i="1"/>
  <c r="G58" i="1"/>
  <c r="AD78" i="1"/>
  <c r="G63" i="1"/>
  <c r="U57" i="1"/>
  <c r="P68" i="1"/>
  <c r="U66" i="1"/>
  <c r="P13" i="1"/>
  <c r="AB11" i="1"/>
  <c r="P32" i="1"/>
  <c r="AB19" i="1"/>
  <c r="P21" i="1"/>
  <c r="AB12" i="1"/>
  <c r="P16" i="1"/>
  <c r="AB36" i="1"/>
  <c r="W19" i="1"/>
  <c r="W43" i="1"/>
  <c r="U17" i="1"/>
  <c r="U41" i="1"/>
  <c r="W13" i="1"/>
  <c r="P69" i="1"/>
  <c r="AD67" i="1"/>
  <c r="W61" i="1"/>
  <c r="G54" i="1"/>
  <c r="N65" i="1"/>
  <c r="AB61" i="1"/>
  <c r="W59" i="1"/>
  <c r="I75" i="1"/>
  <c r="P73" i="1"/>
  <c r="W65" i="1"/>
  <c r="I58" i="1"/>
  <c r="AB78" i="1"/>
  <c r="I63" i="1"/>
  <c r="W57" i="1"/>
  <c r="N68" i="1"/>
  <c r="W66" i="1"/>
  <c r="N13" i="1"/>
  <c r="AD11" i="1"/>
  <c r="N32" i="1"/>
  <c r="AD19" i="1"/>
  <c r="N21" i="1"/>
  <c r="AD12" i="1"/>
  <c r="N16" i="1"/>
  <c r="AD16" i="1"/>
  <c r="U14" i="1"/>
  <c r="P64" i="1"/>
  <c r="AD59" i="1"/>
  <c r="U56" i="1"/>
  <c r="G71" i="1"/>
  <c r="P60" i="1"/>
  <c r="AD57" i="1"/>
  <c r="W72" i="1"/>
  <c r="G72" i="1"/>
  <c r="AB68" i="1"/>
  <c r="U73" i="1"/>
  <c r="N75" i="1"/>
  <c r="U77" i="1"/>
  <c r="P56" i="1"/>
  <c r="I68" i="1"/>
  <c r="AB66" i="1"/>
  <c r="G79" i="1"/>
  <c r="P14" i="1"/>
  <c r="AB13" i="1"/>
  <c r="P36" i="1"/>
  <c r="AB41" i="1"/>
  <c r="P29" i="1"/>
  <c r="AB38" i="1"/>
  <c r="P24" i="1"/>
  <c r="AB35" i="1"/>
  <c r="W30" i="1"/>
  <c r="W14" i="1"/>
  <c r="U36" i="1"/>
  <c r="U18" i="1"/>
  <c r="U39" i="1"/>
  <c r="U76" i="1"/>
  <c r="P54" i="1"/>
  <c r="AB22" i="1"/>
  <c r="AB16" i="1"/>
  <c r="U22" i="1"/>
  <c r="I64" i="1"/>
  <c r="P77" i="1"/>
  <c r="N63" i="1"/>
  <c r="N58" i="1"/>
  <c r="N11" i="1"/>
  <c r="N25" i="1"/>
  <c r="U26" i="1"/>
  <c r="I73" i="1"/>
  <c r="I76" i="1"/>
  <c r="I55" i="1"/>
  <c r="G61" i="1"/>
  <c r="AB20" i="1"/>
  <c r="AB39" i="1"/>
  <c r="U20" i="1"/>
  <c r="AD72" i="1"/>
  <c r="W76" i="1"/>
  <c r="W75" i="1"/>
  <c r="AD31" i="1"/>
  <c r="AD25" i="1"/>
  <c r="N72" i="1"/>
  <c r="P67" i="1"/>
  <c r="AD65" i="1"/>
  <c r="AB69" i="1"/>
  <c r="P43" i="1"/>
  <c r="P38" i="1"/>
  <c r="W17" i="1"/>
  <c r="U24" i="1"/>
  <c r="W27" i="1"/>
  <c r="U21" i="1"/>
  <c r="P30" i="1"/>
  <c r="W62" i="1"/>
  <c r="P85" i="1"/>
  <c r="N54" i="1"/>
  <c r="N26" i="1"/>
  <c r="N19" i="1"/>
  <c r="AD80" i="1"/>
  <c r="AD84" i="1"/>
  <c r="I56" i="1"/>
  <c r="I78" i="1"/>
  <c r="AB29" i="1"/>
  <c r="AB42" i="1"/>
  <c r="AD76" i="1"/>
  <c r="U19" i="1"/>
  <c r="G77" i="1"/>
  <c r="W58" i="1"/>
  <c r="W74" i="1"/>
  <c r="AD22" i="1"/>
  <c r="W23" i="1"/>
  <c r="U81" i="1"/>
  <c r="U85" i="1"/>
  <c r="AD55" i="1"/>
  <c r="P37" i="1"/>
  <c r="F27" i="2"/>
  <c r="I27" i="2"/>
  <c r="G27" i="2"/>
  <c r="Q37" i="1" l="1"/>
  <c r="AE55" i="1"/>
  <c r="V85" i="1"/>
  <c r="V81" i="1"/>
  <c r="X23" i="1"/>
  <c r="AE22" i="1"/>
  <c r="X74" i="1"/>
  <c r="X58" i="1"/>
  <c r="H77" i="1"/>
  <c r="V19" i="1"/>
  <c r="AE76" i="1"/>
  <c r="AC42" i="1"/>
  <c r="AC29" i="1"/>
  <c r="J78" i="1"/>
  <c r="J56" i="1"/>
  <c r="AE84" i="1"/>
  <c r="AE80" i="1"/>
  <c r="O19" i="1"/>
  <c r="O26" i="1"/>
  <c r="O54" i="1"/>
  <c r="Q85" i="1"/>
  <c r="X62" i="1"/>
  <c r="Q30" i="1"/>
  <c r="V21" i="1"/>
  <c r="V24" i="1"/>
  <c r="X17" i="1"/>
  <c r="Q38" i="1"/>
  <c r="Q43" i="1"/>
  <c r="AC69" i="1"/>
  <c r="AE65" i="1"/>
  <c r="Q67" i="1"/>
  <c r="O72" i="1"/>
  <c r="AE25" i="1"/>
  <c r="AE31" i="1"/>
  <c r="X75" i="1"/>
  <c r="X76" i="1"/>
  <c r="AE72" i="1"/>
  <c r="V20" i="1"/>
  <c r="AC39" i="1"/>
  <c r="AC20" i="1"/>
  <c r="H61" i="1"/>
  <c r="J55" i="1"/>
  <c r="J76" i="1"/>
  <c r="J73" i="1"/>
  <c r="V26" i="1"/>
  <c r="O25" i="1"/>
  <c r="O11" i="1"/>
  <c r="O58" i="1"/>
  <c r="O63" i="1"/>
  <c r="Q77" i="1"/>
  <c r="J64" i="1"/>
  <c r="V22" i="1"/>
  <c r="AC16" i="1"/>
  <c r="AC22" i="1"/>
  <c r="Q54" i="1"/>
  <c r="V76" i="1"/>
  <c r="V39" i="1"/>
  <c r="V18" i="1"/>
  <c r="V36" i="1"/>
  <c r="X14" i="1"/>
  <c r="X30" i="1"/>
  <c r="AC35" i="1"/>
  <c r="Q24" i="1"/>
  <c r="AC38" i="1"/>
  <c r="Q29" i="1"/>
  <c r="AC41" i="1"/>
  <c r="Q36" i="1"/>
  <c r="AC13" i="1"/>
  <c r="Q14" i="1"/>
  <c r="H79" i="1"/>
  <c r="AC66" i="1"/>
  <c r="J68" i="1"/>
  <c r="Q56" i="1"/>
  <c r="V77" i="1"/>
  <c r="O75" i="1"/>
  <c r="V73" i="1"/>
  <c r="AC68" i="1"/>
  <c r="H72" i="1"/>
  <c r="X72" i="1"/>
  <c r="AE57" i="1"/>
  <c r="Q60" i="1"/>
  <c r="H71" i="1"/>
  <c r="V56" i="1"/>
  <c r="AE59" i="1"/>
  <c r="Q64" i="1"/>
  <c r="V14" i="1"/>
  <c r="AE16" i="1"/>
  <c r="O16" i="1"/>
  <c r="AE12" i="1"/>
  <c r="O21" i="1"/>
  <c r="AE19" i="1"/>
  <c r="O32" i="1"/>
  <c r="AE11" i="1"/>
  <c r="O13" i="1"/>
  <c r="X66" i="1"/>
  <c r="O68" i="1"/>
  <c r="X57" i="1"/>
  <c r="J63" i="1"/>
  <c r="AC78" i="1"/>
  <c r="J58" i="1"/>
  <c r="X65" i="1"/>
  <c r="Q73" i="1"/>
  <c r="J75" i="1"/>
  <c r="X59" i="1"/>
  <c r="AC61" i="1"/>
  <c r="O65" i="1"/>
  <c r="H54" i="1"/>
  <c r="X61" i="1"/>
  <c r="AE67" i="1"/>
  <c r="Q69" i="1"/>
  <c r="X13" i="1"/>
  <c r="V41" i="1"/>
  <c r="V17" i="1"/>
  <c r="X43" i="1"/>
  <c r="X19" i="1"/>
  <c r="AC36" i="1"/>
  <c r="Q16" i="1"/>
  <c r="AC12" i="1"/>
  <c r="Q21" i="1"/>
  <c r="AC19" i="1"/>
  <c r="Q32" i="1"/>
  <c r="AC11" i="1"/>
  <c r="Q13" i="1"/>
  <c r="V66" i="1"/>
  <c r="Q68" i="1"/>
  <c r="V57" i="1"/>
  <c r="H63" i="1"/>
  <c r="AE78" i="1"/>
  <c r="H58" i="1"/>
  <c r="V65" i="1"/>
  <c r="O73" i="1"/>
  <c r="H75" i="1"/>
  <c r="V59" i="1"/>
  <c r="AE61" i="1"/>
  <c r="Q65" i="1"/>
  <c r="J54" i="1"/>
  <c r="V61" i="1"/>
  <c r="AC67" i="1"/>
  <c r="O69" i="1"/>
  <c r="X31" i="1"/>
  <c r="V32" i="1"/>
  <c r="V13" i="1"/>
  <c r="X39" i="1"/>
  <c r="X15" i="1"/>
  <c r="AE32" i="1"/>
  <c r="O17" i="1"/>
  <c r="AE15" i="1"/>
  <c r="O23" i="1"/>
  <c r="O35" i="1"/>
  <c r="AE24" i="1"/>
  <c r="AE28" i="1"/>
  <c r="O40" i="1"/>
  <c r="X63" i="1"/>
  <c r="O57" i="1"/>
  <c r="AC85" i="1"/>
  <c r="H80" i="1"/>
  <c r="AC75" i="1"/>
  <c r="J57" i="1"/>
  <c r="AC74" i="1"/>
  <c r="O61" i="1"/>
  <c r="J83" i="1"/>
  <c r="X67" i="1"/>
  <c r="AE71" i="1"/>
  <c r="Q82" i="1"/>
  <c r="J86" i="1"/>
  <c r="V86" i="1"/>
  <c r="AE86" i="1"/>
  <c r="Q86" i="1"/>
  <c r="AC56" i="1"/>
  <c r="X26" i="1"/>
  <c r="X41" i="1"/>
  <c r="Q25" i="1"/>
  <c r="AC31" i="1"/>
  <c r="V75" i="1"/>
  <c r="V58" i="1"/>
  <c r="Q63" i="1"/>
  <c r="AC72" i="1"/>
  <c r="V42" i="1"/>
  <c r="X29" i="1"/>
  <c r="AE36" i="1"/>
  <c r="V35" i="1"/>
  <c r="X33" i="1"/>
  <c r="Q15" i="1"/>
  <c r="Q20" i="1"/>
  <c r="AC23" i="1"/>
  <c r="Q28" i="1"/>
  <c r="AC43" i="1"/>
  <c r="Q12" i="1"/>
  <c r="V80" i="1"/>
  <c r="O76" i="1"/>
  <c r="V60" i="1"/>
  <c r="O78" i="1"/>
  <c r="V54" i="1"/>
  <c r="O74" i="1"/>
  <c r="V69" i="1"/>
  <c r="O80" i="1"/>
  <c r="H67" i="1"/>
  <c r="V55" i="1"/>
  <c r="AE62" i="1"/>
  <c r="O71" i="1"/>
  <c r="J69" i="1"/>
  <c r="V68" i="1"/>
  <c r="AE64" i="1"/>
  <c r="O83" i="1"/>
  <c r="X42" i="1"/>
  <c r="O41" i="1"/>
  <c r="AE18" i="1"/>
  <c r="O18" i="1"/>
  <c r="AE21" i="1"/>
  <c r="O33" i="1"/>
  <c r="AE26" i="1"/>
  <c r="O34" i="1"/>
  <c r="J62" i="1"/>
  <c r="AC73" i="1"/>
  <c r="H82" i="1"/>
  <c r="AE54" i="1"/>
  <c r="J59" i="1"/>
  <c r="AC58" i="1"/>
  <c r="H84" i="1"/>
  <c r="AC82" i="1"/>
  <c r="H85" i="1"/>
  <c r="X82" i="1"/>
  <c r="AC81" i="1"/>
  <c r="Q79" i="1"/>
  <c r="J66" i="1"/>
  <c r="X78" i="1"/>
  <c r="AC77" i="1"/>
  <c r="O55" i="1"/>
  <c r="V16" i="1"/>
  <c r="AE30" i="1"/>
  <c r="X32" i="1"/>
  <c r="X25" i="1"/>
  <c r="AC30" i="1"/>
  <c r="Q41" i="1"/>
  <c r="AC18" i="1"/>
  <c r="Q18" i="1"/>
  <c r="AC21" i="1"/>
  <c r="Q33" i="1"/>
  <c r="AC26" i="1"/>
  <c r="Q34" i="1"/>
  <c r="H62" i="1"/>
  <c r="AE73" i="1"/>
  <c r="J82" i="1"/>
  <c r="AC54" i="1"/>
  <c r="H59" i="1"/>
  <c r="AE58" i="1"/>
  <c r="J84" i="1"/>
  <c r="AE82" i="1"/>
  <c r="J85" i="1"/>
  <c r="V82" i="1"/>
  <c r="AE81" i="1"/>
  <c r="O79" i="1"/>
  <c r="H66" i="1"/>
  <c r="V78" i="1"/>
  <c r="AE77" i="1"/>
  <c r="Q55" i="1"/>
  <c r="V34" i="1"/>
  <c r="AE14" i="1"/>
  <c r="V37" i="1"/>
  <c r="X28" i="1"/>
  <c r="X21" i="1"/>
  <c r="AE39" i="1"/>
  <c r="O37" i="1"/>
  <c r="AE42" i="1"/>
  <c r="O38" i="1"/>
  <c r="AE20" i="1"/>
  <c r="O30" i="1"/>
  <c r="AE29" i="1"/>
  <c r="O43" i="1"/>
  <c r="J61" i="1"/>
  <c r="AC76" i="1"/>
  <c r="H78" i="1"/>
  <c r="AE69" i="1"/>
  <c r="H55" i="1"/>
  <c r="AC55" i="1"/>
  <c r="H56" i="1"/>
  <c r="AC65" i="1"/>
  <c r="H76" i="1"/>
  <c r="X85" i="1"/>
  <c r="AC84" i="1"/>
  <c r="O67" i="1"/>
  <c r="H73" i="1"/>
  <c r="X81" i="1"/>
  <c r="AC80" i="1"/>
  <c r="Q72" i="1"/>
  <c r="Q81" i="1"/>
  <c r="X24" i="1"/>
  <c r="Q19" i="1"/>
  <c r="Q26" i="1"/>
  <c r="V74" i="1"/>
  <c r="O85" i="1"/>
  <c r="X37" i="1"/>
  <c r="V28" i="1"/>
  <c r="V23" i="1"/>
  <c r="V31" i="1"/>
  <c r="X16" i="1"/>
  <c r="AC34" i="1"/>
  <c r="AC37" i="1"/>
  <c r="V25" i="1"/>
  <c r="V12" i="1"/>
  <c r="V38" i="1"/>
  <c r="V33" i="1"/>
  <c r="X40" i="1"/>
  <c r="X35" i="1"/>
  <c r="X11" i="1"/>
  <c r="AC32" i="1"/>
  <c r="Q17" i="1"/>
  <c r="AC15" i="1"/>
  <c r="Q23" i="1"/>
  <c r="Q35" i="1"/>
  <c r="AC24" i="1"/>
  <c r="AC28" i="1"/>
  <c r="Q40" i="1"/>
  <c r="V63" i="1"/>
  <c r="Q57" i="1"/>
  <c r="AE85" i="1"/>
  <c r="J80" i="1"/>
  <c r="AE75" i="1"/>
  <c r="H57" i="1"/>
  <c r="AE74" i="1"/>
  <c r="Q61" i="1"/>
  <c r="H83" i="1"/>
  <c r="V67" i="1"/>
  <c r="AC71" i="1"/>
  <c r="O82" i="1"/>
  <c r="H86" i="1"/>
  <c r="X86" i="1"/>
  <c r="AC86" i="1"/>
  <c r="O86" i="1"/>
  <c r="X12" i="1"/>
  <c r="O39" i="1"/>
  <c r="AE17" i="1"/>
  <c r="O31" i="1"/>
  <c r="AE40" i="1"/>
  <c r="O22" i="1"/>
  <c r="AE33" i="1"/>
  <c r="O42" i="1"/>
  <c r="J60" i="1"/>
  <c r="AC63" i="1"/>
  <c r="H74" i="1"/>
  <c r="O66" i="1"/>
  <c r="X83" i="1"/>
  <c r="O59" i="1"/>
  <c r="V71" i="1"/>
  <c r="AC60" i="1"/>
  <c r="H81" i="1"/>
  <c r="X79" i="1"/>
  <c r="AC83" i="1"/>
  <c r="Q84" i="1"/>
  <c r="J65" i="1"/>
  <c r="X84" i="1"/>
  <c r="AC79" i="1"/>
  <c r="O62" i="1"/>
  <c r="V15" i="1"/>
  <c r="V11" i="1"/>
  <c r="X22" i="1"/>
  <c r="X38" i="1"/>
  <c r="AC14" i="1"/>
  <c r="Q39" i="1"/>
  <c r="AC17" i="1"/>
  <c r="Q31" i="1"/>
  <c r="AC40" i="1"/>
  <c r="Q22" i="1"/>
  <c r="AC33" i="1"/>
  <c r="Q42" i="1"/>
  <c r="H60" i="1"/>
  <c r="AE63" i="1"/>
  <c r="J74" i="1"/>
  <c r="Q66" i="1"/>
  <c r="V83" i="1"/>
  <c r="Q59" i="1"/>
  <c r="X71" i="1"/>
  <c r="AE60" i="1"/>
  <c r="J81" i="1"/>
  <c r="V79" i="1"/>
  <c r="AE83" i="1"/>
  <c r="O84" i="1"/>
  <c r="H65" i="1"/>
  <c r="V84" i="1"/>
  <c r="AE79" i="1"/>
  <c r="Q62" i="1"/>
  <c r="V29" i="1"/>
  <c r="V30" i="1"/>
  <c r="V40" i="1"/>
  <c r="X18" i="1"/>
  <c r="X34" i="1"/>
  <c r="AE35" i="1"/>
  <c r="O24" i="1"/>
  <c r="AE38" i="1"/>
  <c r="O29" i="1"/>
  <c r="AE41" i="1"/>
  <c r="O36" i="1"/>
  <c r="AE13" i="1"/>
  <c r="O14" i="1"/>
  <c r="J79" i="1"/>
  <c r="AE66" i="1"/>
  <c r="H68" i="1"/>
  <c r="O56" i="1"/>
  <c r="X77" i="1"/>
  <c r="Q75" i="1"/>
  <c r="X73" i="1"/>
  <c r="AE68" i="1"/>
  <c r="J72" i="1"/>
  <c r="V72" i="1"/>
  <c r="AC57" i="1"/>
  <c r="O60" i="1"/>
  <c r="J71" i="1"/>
  <c r="X56" i="1"/>
  <c r="AC59" i="1"/>
  <c r="O64" i="1"/>
  <c r="X64" i="1"/>
  <c r="V43" i="1"/>
  <c r="AC25" i="1"/>
  <c r="Q11" i="1"/>
  <c r="Q58" i="1"/>
  <c r="J77" i="1"/>
  <c r="V62" i="1"/>
  <c r="O77" i="1"/>
  <c r="H64" i="1"/>
  <c r="V64" i="1"/>
  <c r="AE56" i="1"/>
  <c r="O81" i="1"/>
  <c r="X36" i="1"/>
  <c r="X20" i="1"/>
  <c r="AE34" i="1"/>
  <c r="O15" i="1"/>
  <c r="AE37" i="1"/>
  <c r="O20" i="1"/>
  <c r="AE23" i="1"/>
  <c r="O28" i="1"/>
  <c r="AE43" i="1"/>
  <c r="O12" i="1"/>
  <c r="X80" i="1"/>
  <c r="Q76" i="1"/>
  <c r="X60" i="1"/>
  <c r="Q78" i="1"/>
  <c r="X54" i="1"/>
  <c r="Q74" i="1"/>
  <c r="X69" i="1"/>
  <c r="Q80" i="1"/>
  <c r="J67" i="1"/>
  <c r="X55" i="1"/>
  <c r="AC62" i="1"/>
  <c r="Q71" i="1"/>
  <c r="H69" i="1"/>
  <c r="X68" i="1"/>
  <c r="AC64" i="1"/>
  <c r="Q83" i="1"/>
  <c r="AG42" i="2"/>
  <c r="AG40" i="2"/>
  <c r="AG38" i="2"/>
  <c r="AG36" i="2"/>
  <c r="AG34" i="2"/>
  <c r="AG32" i="2"/>
  <c r="AG30" i="2"/>
  <c r="AG28" i="2"/>
  <c r="AG25" i="2"/>
  <c r="AG23" i="2"/>
  <c r="AG21" i="2"/>
  <c r="AG19" i="2"/>
  <c r="AG17" i="2"/>
  <c r="AG15" i="2"/>
  <c r="AG13" i="2"/>
  <c r="AG11" i="2"/>
  <c r="AG39" i="2"/>
  <c r="AG33" i="2"/>
  <c r="AG31" i="2"/>
  <c r="AG22" i="2"/>
  <c r="AG20" i="2"/>
  <c r="AG16" i="2"/>
  <c r="AG43" i="2"/>
  <c r="AG41" i="2"/>
  <c r="AG37" i="2"/>
  <c r="AG35" i="2"/>
  <c r="AG29" i="2"/>
  <c r="AG26" i="2"/>
  <c r="AG24" i="2"/>
  <c r="AG18" i="2"/>
  <c r="AG14" i="2"/>
  <c r="AG12" i="2"/>
  <c r="Y42" i="2"/>
  <c r="Y40" i="2"/>
  <c r="Y38" i="2"/>
  <c r="Y36" i="2"/>
  <c r="Y34" i="2"/>
  <c r="Y32" i="2"/>
  <c r="Y30" i="2"/>
  <c r="Y28" i="2"/>
  <c r="Y25" i="2"/>
  <c r="Y23" i="2"/>
  <c r="Y21" i="2"/>
  <c r="Y19" i="2"/>
  <c r="Y17" i="2"/>
  <c r="Y15" i="2"/>
  <c r="Y13" i="2"/>
  <c r="Y11" i="2"/>
  <c r="Y39" i="2"/>
  <c r="Y37" i="2"/>
  <c r="Y33" i="2"/>
  <c r="Y31" i="2"/>
  <c r="Y24" i="2"/>
  <c r="Y22" i="2"/>
  <c r="Y18" i="2"/>
  <c r="Y14" i="2"/>
  <c r="Y43" i="2"/>
  <c r="Y41" i="2"/>
  <c r="Y35" i="2"/>
  <c r="Y29" i="2"/>
  <c r="Y26" i="2"/>
  <c r="Y20" i="2"/>
  <c r="Y16" i="2"/>
  <c r="Y12" i="2"/>
  <c r="Q42" i="2"/>
  <c r="Q40" i="2"/>
  <c r="Q38" i="2"/>
  <c r="Q36" i="2"/>
  <c r="Q34" i="2"/>
  <c r="Q32" i="2"/>
  <c r="Q30" i="2"/>
  <c r="Q28" i="2"/>
  <c r="Q25" i="2"/>
  <c r="Q23" i="2"/>
  <c r="Q21" i="2"/>
  <c r="Q19" i="2"/>
  <c r="Q17" i="2"/>
  <c r="Q15" i="2"/>
  <c r="Q13" i="2"/>
  <c r="Q11" i="2"/>
  <c r="Q43" i="2"/>
  <c r="Q41" i="2"/>
  <c r="Q39" i="2"/>
  <c r="Q37" i="2"/>
  <c r="Q35" i="2"/>
  <c r="Q33" i="2"/>
  <c r="Q31" i="2"/>
  <c r="Q29" i="2"/>
  <c r="Q26" i="2"/>
  <c r="Q24" i="2"/>
  <c r="Q22" i="2"/>
  <c r="Q20" i="2"/>
  <c r="Q18" i="2"/>
  <c r="Q16" i="2"/>
  <c r="Q14" i="2"/>
  <c r="Q12" i="2"/>
  <c r="I41" i="2"/>
  <c r="I39" i="2"/>
  <c r="I36" i="2"/>
  <c r="I33" i="2"/>
  <c r="I30" i="2"/>
  <c r="I26" i="2"/>
  <c r="I23" i="2"/>
  <c r="I20" i="2"/>
  <c r="I17" i="2"/>
  <c r="I13" i="2"/>
  <c r="I42" i="2"/>
  <c r="I38" i="2"/>
  <c r="I34" i="2"/>
  <c r="I31" i="2"/>
  <c r="I25" i="2"/>
  <c r="I21" i="2"/>
  <c r="I18" i="2"/>
  <c r="I15" i="2"/>
  <c r="I12" i="2"/>
  <c r="I43" i="2"/>
  <c r="I40" i="2"/>
  <c r="I37" i="2"/>
  <c r="I35" i="2"/>
  <c r="I32" i="2"/>
  <c r="I29" i="2"/>
  <c r="I28" i="2"/>
  <c r="I24" i="2"/>
  <c r="I22" i="2"/>
  <c r="I19" i="2"/>
  <c r="I16" i="2"/>
  <c r="I14" i="2"/>
  <c r="I11" i="2"/>
  <c r="F42" i="2"/>
  <c r="F38" i="2"/>
  <c r="F34" i="2"/>
  <c r="F30" i="2"/>
  <c r="F25" i="2"/>
  <c r="F21" i="2"/>
  <c r="F17" i="2"/>
  <c r="F13" i="2"/>
  <c r="F41" i="2"/>
  <c r="F37" i="2"/>
  <c r="F33" i="2"/>
  <c r="F29" i="2"/>
  <c r="F24" i="2"/>
  <c r="F20" i="2"/>
  <c r="F16" i="2"/>
  <c r="F12" i="2"/>
  <c r="F40" i="2"/>
  <c r="F36" i="2"/>
  <c r="F32" i="2"/>
  <c r="F28" i="2"/>
  <c r="F23" i="2"/>
  <c r="F19" i="2"/>
  <c r="F15" i="2"/>
  <c r="F11" i="2"/>
  <c r="F43" i="2"/>
  <c r="F39" i="2"/>
  <c r="F35" i="2"/>
  <c r="F31" i="2"/>
  <c r="F26" i="2"/>
  <c r="F22" i="2"/>
  <c r="F18" i="2"/>
  <c r="F14" i="2"/>
  <c r="F42" i="1"/>
  <c r="F38" i="1"/>
  <c r="F34" i="1"/>
  <c r="F30" i="1"/>
  <c r="F25" i="1"/>
  <c r="F21" i="1"/>
  <c r="F17" i="1"/>
  <c r="F13" i="1"/>
  <c r="F41" i="1"/>
  <c r="F37" i="1"/>
  <c r="F33" i="1"/>
  <c r="F29" i="1"/>
  <c r="F24" i="1"/>
  <c r="F16" i="1"/>
  <c r="F12" i="1"/>
  <c r="F36" i="1"/>
  <c r="F32" i="1"/>
  <c r="F23" i="1"/>
  <c r="F15" i="1"/>
  <c r="F20" i="1"/>
  <c r="F11" i="1"/>
  <c r="F40" i="1"/>
  <c r="F28" i="1"/>
  <c r="F19" i="1"/>
  <c r="F43" i="1"/>
  <c r="F39" i="1"/>
  <c r="F35" i="1"/>
  <c r="F31" i="1"/>
  <c r="F26" i="1"/>
  <c r="F22" i="1"/>
  <c r="F18" i="1"/>
  <c r="F14" i="1"/>
  <c r="G8" i="1"/>
  <c r="G22" i="1"/>
  <c r="G36" i="1"/>
  <c r="G33" i="2"/>
  <c r="G24" i="2"/>
  <c r="J37" i="2"/>
  <c r="J12" i="2"/>
  <c r="I20" i="1"/>
  <c r="I34" i="1"/>
  <c r="G24" i="1"/>
  <c r="G16" i="2"/>
  <c r="J26" i="2"/>
  <c r="I39" i="1"/>
  <c r="G21" i="1"/>
  <c r="G34" i="2"/>
  <c r="J34" i="2"/>
  <c r="I42" i="1"/>
  <c r="G17" i="2"/>
  <c r="I11" i="1"/>
  <c r="G33" i="1"/>
  <c r="G23" i="2"/>
  <c r="J28" i="2"/>
  <c r="I43" i="1"/>
  <c r="J42" i="2"/>
  <c r="I27" i="1"/>
  <c r="J21" i="2"/>
  <c r="J31" i="2"/>
  <c r="J27" i="2"/>
  <c r="G31" i="1"/>
  <c r="G26" i="1"/>
  <c r="G35" i="2"/>
  <c r="G19" i="2"/>
  <c r="J39" i="2"/>
  <c r="J14" i="2"/>
  <c r="I36" i="1"/>
  <c r="I15" i="1"/>
  <c r="G35" i="1"/>
  <c r="G18" i="2"/>
  <c r="J22" i="2"/>
  <c r="I40" i="1"/>
  <c r="G43" i="1"/>
  <c r="G30" i="2"/>
  <c r="J11" i="2"/>
  <c r="G39" i="1"/>
  <c r="G41" i="2"/>
  <c r="I17" i="1"/>
  <c r="J16" i="2"/>
  <c r="J24" i="2"/>
  <c r="I23" i="1"/>
  <c r="G42" i="1"/>
  <c r="G20" i="2"/>
  <c r="J40" i="2"/>
  <c r="I28" i="1"/>
  <c r="G40" i="2"/>
  <c r="J29" i="2"/>
  <c r="G43" i="2"/>
  <c r="G11" i="1"/>
  <c r="G11" i="2"/>
  <c r="I16" i="1"/>
  <c r="J17" i="2"/>
  <c r="G13" i="2"/>
  <c r="G41" i="1"/>
  <c r="G17" i="1"/>
  <c r="G26" i="2"/>
  <c r="G29" i="2"/>
  <c r="J41" i="2"/>
  <c r="J33" i="2"/>
  <c r="I19" i="1"/>
  <c r="I21" i="1"/>
  <c r="G23" i="1"/>
  <c r="G19" i="1"/>
  <c r="G14" i="2"/>
  <c r="J30" i="2"/>
  <c r="I25" i="1"/>
  <c r="G18" i="1"/>
  <c r="G42" i="2"/>
  <c r="I12" i="1"/>
  <c r="G34" i="1"/>
  <c r="J23" i="2"/>
  <c r="I22" i="1"/>
  <c r="G36" i="2"/>
  <c r="J20" i="2"/>
  <c r="I24" i="1"/>
  <c r="G29" i="1"/>
  <c r="G32" i="2"/>
  <c r="J36" i="2"/>
  <c r="I14" i="1"/>
  <c r="G15" i="2"/>
  <c r="I31" i="1"/>
  <c r="J15" i="2"/>
  <c r="G37" i="1"/>
  <c r="J25" i="2"/>
  <c r="I26" i="1"/>
  <c r="I32" i="1"/>
  <c r="I13" i="1"/>
  <c r="G16" i="1"/>
  <c r="G28" i="1"/>
  <c r="G38" i="2"/>
  <c r="G31" i="2"/>
  <c r="J43" i="2"/>
  <c r="J18" i="2"/>
  <c r="I35" i="1"/>
  <c r="I37" i="1"/>
  <c r="G30" i="1"/>
  <c r="G21" i="2"/>
  <c r="G22" i="2"/>
  <c r="I18" i="1"/>
  <c r="I38" i="1"/>
  <c r="G25" i="2"/>
  <c r="J38" i="2"/>
  <c r="I29" i="1"/>
  <c r="G32" i="1"/>
  <c r="J35" i="2"/>
  <c r="G38" i="1"/>
  <c r="G12" i="2"/>
  <c r="J32" i="2"/>
  <c r="I41" i="1"/>
  <c r="G12" i="1"/>
  <c r="G28" i="2"/>
  <c r="J13" i="2"/>
  <c r="G20" i="1"/>
  <c r="G37" i="2"/>
  <c r="I33" i="1"/>
  <c r="I30" i="1"/>
  <c r="G13" i="1"/>
  <c r="J19" i="2"/>
  <c r="G25" i="1"/>
  <c r="G14" i="1"/>
  <c r="G15" i="1"/>
  <c r="G40" i="1"/>
  <c r="G39" i="2"/>
  <c r="H13" i="2" l="1"/>
  <c r="K13" i="2"/>
  <c r="H21" i="2"/>
  <c r="K21" i="2"/>
  <c r="H14" i="2"/>
  <c r="K14" i="2"/>
  <c r="H22" i="2"/>
  <c r="K22" i="2"/>
  <c r="H36" i="2"/>
  <c r="H12" i="2"/>
  <c r="K12" i="2"/>
  <c r="H16" i="2"/>
  <c r="K16" i="2"/>
  <c r="H20" i="2"/>
  <c r="K20" i="2"/>
  <c r="H25" i="2"/>
  <c r="K25" i="2"/>
  <c r="H30" i="2"/>
  <c r="H34" i="2"/>
  <c r="H38" i="2"/>
  <c r="H42" i="2"/>
  <c r="H17" i="2"/>
  <c r="K17" i="2"/>
  <c r="H31" i="2"/>
  <c r="H35" i="2"/>
  <c r="H39" i="2"/>
  <c r="H43" i="2"/>
  <c r="H40" i="2"/>
  <c r="K11" i="2"/>
  <c r="H11" i="2"/>
  <c r="H26" i="2"/>
  <c r="K26" i="2"/>
  <c r="H18" i="2"/>
  <c r="K18" i="2"/>
  <c r="H28" i="2"/>
  <c r="H32" i="2"/>
  <c r="H15" i="2"/>
  <c r="K15" i="2"/>
  <c r="H19" i="2"/>
  <c r="K19" i="2"/>
  <c r="H23" i="2"/>
  <c r="K23" i="2"/>
  <c r="H29" i="2"/>
  <c r="H33" i="2"/>
  <c r="H37" i="2"/>
  <c r="H41" i="2"/>
  <c r="H24" i="2"/>
  <c r="K24" i="2"/>
  <c r="K34" i="2"/>
  <c r="K42" i="2"/>
  <c r="K31" i="2"/>
  <c r="K35" i="2"/>
  <c r="K43" i="2"/>
  <c r="K28" i="2"/>
  <c r="K32" i="2"/>
  <c r="K36" i="2"/>
  <c r="K40" i="2"/>
  <c r="K29" i="2"/>
  <c r="K33" i="2"/>
  <c r="K37" i="2"/>
  <c r="K41" i="2"/>
  <c r="K30" i="2"/>
  <c r="K38" i="2"/>
  <c r="K39" i="2"/>
  <c r="J28" i="1" l="1"/>
  <c r="H28" i="1"/>
  <c r="J29" i="1"/>
  <c r="J19" i="1"/>
  <c r="J35" i="1"/>
  <c r="J26" i="1"/>
  <c r="J24" i="1"/>
  <c r="J25" i="1"/>
  <c r="J22" i="1"/>
  <c r="J14" i="1"/>
  <c r="J12" i="1"/>
  <c r="J30" i="1"/>
  <c r="J37" i="1"/>
  <c r="J16" i="1"/>
  <c r="J13" i="1"/>
  <c r="J42" i="1"/>
  <c r="J39" i="1"/>
  <c r="J34" i="1"/>
  <c r="J36" i="1"/>
  <c r="J18" i="1"/>
  <c r="J32" i="1"/>
  <c r="J23" i="1"/>
  <c r="J20" i="1"/>
  <c r="J15" i="1"/>
  <c r="J17" i="1"/>
  <c r="J38" i="1"/>
  <c r="J40" i="1"/>
  <c r="J11" i="1"/>
  <c r="J43" i="1"/>
  <c r="J41" i="1"/>
  <c r="J21" i="1"/>
  <c r="J33" i="1"/>
  <c r="J31" i="1"/>
  <c r="H41" i="1"/>
  <c r="H25" i="1"/>
  <c r="H20" i="1"/>
  <c r="H38" i="1"/>
  <c r="H19" i="1"/>
  <c r="H18" i="1"/>
  <c r="H21" i="1"/>
  <c r="H16" i="1"/>
  <c r="H34" i="1"/>
  <c r="H15" i="1"/>
  <c r="H33" i="1"/>
  <c r="H14" i="1"/>
  <c r="H36" i="1"/>
  <c r="H31" i="1"/>
  <c r="H12" i="1"/>
  <c r="H30" i="1"/>
  <c r="H11" i="1"/>
  <c r="H26" i="1"/>
  <c r="H13" i="1"/>
  <c r="H32" i="1"/>
  <c r="H43" i="1"/>
  <c r="H24" i="1"/>
  <c r="H22" i="1"/>
  <c r="H23" i="1"/>
  <c r="H40" i="1"/>
  <c r="H42" i="1"/>
  <c r="H29" i="1"/>
  <c r="H39" i="1"/>
  <c r="H37" i="1"/>
  <c r="H35" i="1"/>
  <c r="H17" i="1"/>
</calcChain>
</file>

<file path=xl/sharedStrings.xml><?xml version="1.0" encoding="utf-8"?>
<sst xmlns="http://schemas.openxmlformats.org/spreadsheetml/2006/main" count="772" uniqueCount="163">
  <si>
    <t>당일</t>
    <phoneticPr fontId="1" type="noConversion"/>
  </si>
  <si>
    <t>익일</t>
    <phoneticPr fontId="1" type="noConversion"/>
  </si>
  <si>
    <t>bp</t>
    <phoneticPr fontId="1" type="noConversion"/>
  </si>
  <si>
    <t>+0.5</t>
    <phoneticPr fontId="1" type="noConversion"/>
  </si>
  <si>
    <t>-0.5</t>
    <phoneticPr fontId="1" type="noConversion"/>
  </si>
  <si>
    <t>bp</t>
    <phoneticPr fontId="1" type="noConversion"/>
  </si>
  <si>
    <t>수익률</t>
    <phoneticPr fontId="1" type="noConversion"/>
  </si>
  <si>
    <t>만기일</t>
    <phoneticPr fontId="1" type="noConversion"/>
  </si>
  <si>
    <t>결제일(당일)</t>
    <phoneticPr fontId="1" type="noConversion"/>
  </si>
  <si>
    <t>결제일(익일)</t>
    <phoneticPr fontId="1" type="noConversion"/>
  </si>
  <si>
    <t>3사평균</t>
  </si>
  <si>
    <t>민평3사 수익률(산출일)</t>
  </si>
  <si>
    <t>4사평균</t>
  </si>
  <si>
    <t>민평4사 수익률(산출일)</t>
  </si>
  <si>
    <t>KAP</t>
  </si>
  <si>
    <t>KBP 수익률(산출일)</t>
  </si>
  <si>
    <t>KIS</t>
  </si>
  <si>
    <t>KIS 수익률(산출일)</t>
  </si>
  <si>
    <t>NICE</t>
  </si>
  <si>
    <t>NIC 수익률(산출일)</t>
  </si>
  <si>
    <t>FN</t>
  </si>
  <si>
    <t>FNP 수익률(산출일)</t>
  </si>
  <si>
    <t>-1.0</t>
    <phoneticPr fontId="1" type="noConversion"/>
  </si>
  <si>
    <t>-2.0</t>
    <phoneticPr fontId="1" type="noConversion"/>
  </si>
  <si>
    <t>-3.0</t>
    <phoneticPr fontId="1" type="noConversion"/>
  </si>
  <si>
    <t>-4.0</t>
    <phoneticPr fontId="1" type="noConversion"/>
  </si>
  <si>
    <t>-5.0</t>
    <phoneticPr fontId="1" type="noConversion"/>
  </si>
  <si>
    <t>-6.0</t>
    <phoneticPr fontId="1" type="noConversion"/>
  </si>
  <si>
    <t>-7.0</t>
    <phoneticPr fontId="1" type="noConversion"/>
  </si>
  <si>
    <t>-8.0</t>
    <phoneticPr fontId="1" type="noConversion"/>
  </si>
  <si>
    <t>-9.0</t>
    <phoneticPr fontId="1" type="noConversion"/>
  </si>
  <si>
    <t>+1.0</t>
    <phoneticPr fontId="1" type="noConversion"/>
  </si>
  <si>
    <t>+2.0</t>
    <phoneticPr fontId="1" type="noConversion"/>
  </si>
  <si>
    <t>+3.0</t>
    <phoneticPr fontId="1" type="noConversion"/>
  </si>
  <si>
    <t>+4.0</t>
    <phoneticPr fontId="1" type="noConversion"/>
  </si>
  <si>
    <t>+5.0</t>
    <phoneticPr fontId="1" type="noConversion"/>
  </si>
  <si>
    <t>+6.0</t>
    <phoneticPr fontId="1" type="noConversion"/>
  </si>
  <si>
    <t>+7.0</t>
    <phoneticPr fontId="1" type="noConversion"/>
  </si>
  <si>
    <t>+8.0</t>
    <phoneticPr fontId="1" type="noConversion"/>
  </si>
  <si>
    <t>+9.0</t>
    <phoneticPr fontId="1" type="noConversion"/>
  </si>
  <si>
    <t>+10.0</t>
    <phoneticPr fontId="1" type="noConversion"/>
  </si>
  <si>
    <t>-10.0</t>
    <phoneticPr fontId="1" type="noConversion"/>
  </si>
  <si>
    <t>-11.0</t>
    <phoneticPr fontId="1" type="noConversion"/>
  </si>
  <si>
    <t>-12.0</t>
    <phoneticPr fontId="1" type="noConversion"/>
  </si>
  <si>
    <t>-13.0</t>
    <phoneticPr fontId="1" type="noConversion"/>
  </si>
  <si>
    <t>-14.0</t>
    <phoneticPr fontId="1" type="noConversion"/>
  </si>
  <si>
    <t>-15.0</t>
    <phoneticPr fontId="1" type="noConversion"/>
  </si>
  <si>
    <t>+11.0</t>
    <phoneticPr fontId="1" type="noConversion"/>
  </si>
  <si>
    <t>+12.0</t>
    <phoneticPr fontId="1" type="noConversion"/>
  </si>
  <si>
    <t>+13.0</t>
    <phoneticPr fontId="1" type="noConversion"/>
  </si>
  <si>
    <t>+14.0</t>
    <phoneticPr fontId="1" type="noConversion"/>
  </si>
  <si>
    <t>+15.0</t>
    <phoneticPr fontId="1" type="noConversion"/>
  </si>
  <si>
    <t>단가</t>
    <phoneticPr fontId="1" type="noConversion"/>
  </si>
  <si>
    <t>민평3사 가격(산출일)</t>
  </si>
  <si>
    <t>민평4사 가격(산출일)</t>
  </si>
  <si>
    <t>KBP 가격(산출일)</t>
  </si>
  <si>
    <t>KIS 가격(산출일)</t>
  </si>
  <si>
    <t>NIC 가격(산출일)</t>
  </si>
  <si>
    <t>FNP 가격(산출일)</t>
  </si>
  <si>
    <t>수익률</t>
    <phoneticPr fontId="1" type="noConversion"/>
  </si>
  <si>
    <t>기   준</t>
    <phoneticPr fontId="1" type="noConversion"/>
  </si>
  <si>
    <t>가   격</t>
    <phoneticPr fontId="1" type="noConversion"/>
  </si>
  <si>
    <t>만기일</t>
    <phoneticPr fontId="1" type="noConversion"/>
  </si>
  <si>
    <t>기   준</t>
    <phoneticPr fontId="1" type="noConversion"/>
  </si>
  <si>
    <t>결제일(당일)</t>
    <phoneticPr fontId="1" type="noConversion"/>
  </si>
  <si>
    <t>결제일(익일)</t>
    <phoneticPr fontId="1" type="noConversion"/>
  </si>
  <si>
    <t>단가</t>
    <phoneticPr fontId="1" type="noConversion"/>
  </si>
  <si>
    <t>당일</t>
    <phoneticPr fontId="1" type="noConversion"/>
  </si>
  <si>
    <t>단가(+1일)</t>
    <phoneticPr fontId="1" type="noConversion"/>
  </si>
  <si>
    <t>익일</t>
    <phoneticPr fontId="1" type="noConversion"/>
  </si>
  <si>
    <t>-15.0</t>
    <phoneticPr fontId="1" type="noConversion"/>
  </si>
  <si>
    <t>-14.0</t>
    <phoneticPr fontId="1" type="noConversion"/>
  </si>
  <si>
    <t>-13.0</t>
    <phoneticPr fontId="1" type="noConversion"/>
  </si>
  <si>
    <t>-12.0</t>
    <phoneticPr fontId="1" type="noConversion"/>
  </si>
  <si>
    <t>-11.0</t>
    <phoneticPr fontId="1" type="noConversion"/>
  </si>
  <si>
    <t>-10.0</t>
    <phoneticPr fontId="1" type="noConversion"/>
  </si>
  <si>
    <t>-9.0</t>
    <phoneticPr fontId="1" type="noConversion"/>
  </si>
  <si>
    <t>-8.0</t>
    <phoneticPr fontId="1" type="noConversion"/>
  </si>
  <si>
    <t>-7.0</t>
    <phoneticPr fontId="1" type="noConversion"/>
  </si>
  <si>
    <t>-6.0</t>
    <phoneticPr fontId="1" type="noConversion"/>
  </si>
  <si>
    <t>-5.0</t>
    <phoneticPr fontId="1" type="noConversion"/>
  </si>
  <si>
    <t>-4.0</t>
    <phoneticPr fontId="1" type="noConversion"/>
  </si>
  <si>
    <t>-3.0</t>
    <phoneticPr fontId="1" type="noConversion"/>
  </si>
  <si>
    <t>-2.0</t>
    <phoneticPr fontId="1" type="noConversion"/>
  </si>
  <si>
    <t>-1.0</t>
    <phoneticPr fontId="1" type="noConversion"/>
  </si>
  <si>
    <t>-0.5</t>
    <phoneticPr fontId="1" type="noConversion"/>
  </si>
  <si>
    <t>+0.5</t>
    <phoneticPr fontId="1" type="noConversion"/>
  </si>
  <si>
    <t>+1.0</t>
    <phoneticPr fontId="1" type="noConversion"/>
  </si>
  <si>
    <t>+2.0</t>
    <phoneticPr fontId="1" type="noConversion"/>
  </si>
  <si>
    <t>+3.0</t>
    <phoneticPr fontId="1" type="noConversion"/>
  </si>
  <si>
    <t>+4.0</t>
    <phoneticPr fontId="1" type="noConversion"/>
  </si>
  <si>
    <t>+5.0</t>
    <phoneticPr fontId="1" type="noConversion"/>
  </si>
  <si>
    <t>+6.0</t>
    <phoneticPr fontId="1" type="noConversion"/>
  </si>
  <si>
    <t>+7.0</t>
    <phoneticPr fontId="1" type="noConversion"/>
  </si>
  <si>
    <t>+8.0</t>
    <phoneticPr fontId="1" type="noConversion"/>
  </si>
  <si>
    <t>+9.0</t>
    <phoneticPr fontId="1" type="noConversion"/>
  </si>
  <si>
    <t>+10.0</t>
    <phoneticPr fontId="1" type="noConversion"/>
  </si>
  <si>
    <t>+11.0</t>
    <phoneticPr fontId="1" type="noConversion"/>
  </si>
  <si>
    <t>+12.0</t>
    <phoneticPr fontId="1" type="noConversion"/>
  </si>
  <si>
    <t>+13.0</t>
    <phoneticPr fontId="1" type="noConversion"/>
  </si>
  <si>
    <t>+14.0</t>
    <phoneticPr fontId="1" type="noConversion"/>
  </si>
  <si>
    <t>+15.0</t>
    <phoneticPr fontId="1" type="noConversion"/>
  </si>
  <si>
    <t>원</t>
    <phoneticPr fontId="1" type="noConversion"/>
  </si>
  <si>
    <t>시가평가</t>
    <phoneticPr fontId="1" type="noConversion"/>
  </si>
  <si>
    <t>만   기   일</t>
    <phoneticPr fontId="1" type="noConversion"/>
  </si>
  <si>
    <t>수   익   률</t>
    <phoneticPr fontId="1" type="noConversion"/>
  </si>
  <si>
    <t>단가계산</t>
    <phoneticPr fontId="1" type="noConversion"/>
  </si>
  <si>
    <t>수 익 률</t>
    <phoneticPr fontId="1" type="noConversion"/>
  </si>
  <si>
    <t>일일단가 금리표 (0.5단가) - 수익률</t>
    <phoneticPr fontId="1" type="noConversion"/>
  </si>
  <si>
    <t>일일단가 금리표 (0.5단가) - 단가</t>
    <phoneticPr fontId="1" type="noConversion"/>
  </si>
  <si>
    <t>만   기   일</t>
  </si>
  <si>
    <t>시가평가</t>
  </si>
  <si>
    <t>결제일(당일)</t>
  </si>
  <si>
    <t>결제일(익일)</t>
  </si>
  <si>
    <t>수   익   률</t>
  </si>
  <si>
    <t>bp</t>
  </si>
  <si>
    <t>수익률</t>
  </si>
  <si>
    <t>당일</t>
  </si>
  <si>
    <t>원</t>
  </si>
  <si>
    <t>익일</t>
  </si>
  <si>
    <t>-15.0</t>
  </si>
  <si>
    <t>-14.0</t>
  </si>
  <si>
    <t>-13.0</t>
  </si>
  <si>
    <t>-12.0</t>
  </si>
  <si>
    <t>-11.0</t>
  </si>
  <si>
    <t>-10.0</t>
  </si>
  <si>
    <t>-9.0</t>
  </si>
  <si>
    <t>-8.0</t>
  </si>
  <si>
    <t>-7.0</t>
  </si>
  <si>
    <t>-6.0</t>
  </si>
  <si>
    <t>-5.0</t>
  </si>
  <si>
    <t>-4.0</t>
  </si>
  <si>
    <t>-3.0</t>
  </si>
  <si>
    <t>-2.0</t>
  </si>
  <si>
    <t>-1.0</t>
  </si>
  <si>
    <t>-0.5</t>
  </si>
  <si>
    <t>+0.5</t>
  </si>
  <si>
    <t>+1.0</t>
  </si>
  <si>
    <t>+2.0</t>
  </si>
  <si>
    <t>+3.0</t>
  </si>
  <si>
    <t>+4.0</t>
  </si>
  <si>
    <t>+5.0</t>
  </si>
  <si>
    <t>+6.0</t>
  </si>
  <si>
    <t>+7.0</t>
  </si>
  <si>
    <t>+8.0</t>
  </si>
  <si>
    <t>+9.0</t>
  </si>
  <si>
    <t>+10.0</t>
  </si>
  <si>
    <t>+11.0</t>
  </si>
  <si>
    <t>+12.0</t>
  </si>
  <si>
    <t>+13.0</t>
  </si>
  <si>
    <t>+14.0</t>
  </si>
  <si>
    <t>+15.0</t>
  </si>
  <si>
    <t>만기일</t>
  </si>
  <si>
    <t>기   준</t>
  </si>
  <si>
    <t>가   격</t>
  </si>
  <si>
    <t>수 익 률</t>
  </si>
  <si>
    <t>단가</t>
  </si>
  <si>
    <t>단가(+1일)</t>
  </si>
  <si>
    <t>KR103503GB32</t>
    <phoneticPr fontId="1" type="noConversion"/>
  </si>
  <si>
    <t>KR103501GAC4</t>
    <phoneticPr fontId="1" type="noConversion"/>
  </si>
  <si>
    <t>KR103502GAC2</t>
    <phoneticPr fontId="1" type="noConversion"/>
  </si>
  <si>
    <t>KR103502GA91</t>
    <phoneticPr fontId="1" type="noConversion"/>
  </si>
  <si>
    <t>계산표 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</si>
</sst>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0_ "/>
    <numFmt numFmtId="177" formatCode="0.000"/>
    <numFmt numFmtId="178" formatCode="0.00_ "/>
    <numFmt numFmtId="179" formatCode="0.00000000000000_ "/>
    <numFmt numFmtId="180" formatCode="0.0"/>
    <numFmt numFmtId="181" formatCode="0.0000"/>
  </numFmts>
  <fonts count="21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sz val="10"/>
      <color rgb="FF0070C0"/>
      <name val="맑은 고딕"/>
      <family val="2"/>
      <charset val="129"/>
      <scheme val="minor"/>
    </font>
    <font>
      <sz val="10"/>
      <color rgb="FF0070C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i/>
      <sz val="9"/>
      <name val="맑은 고딕"/>
      <family val="3"/>
      <charset val="129"/>
      <scheme val="minor"/>
    </font>
    <font>
      <i/>
      <sz val="9"/>
      <color theme="1"/>
      <name val="맑은 고딕"/>
      <family val="3"/>
      <charset val="129"/>
      <scheme val="minor"/>
    </font>
    <font>
      <b/>
      <i/>
      <sz val="10"/>
      <color rgb="FF00206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i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medium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medium">
        <color theme="0" tint="-0.24994659260841701"/>
      </top>
      <bottom style="thin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medium">
        <color theme="0" tint="-0.24994659260841701"/>
      </bottom>
      <diagonal/>
    </border>
  </borders>
  <cellStyleXfs count="2">
    <xf numFmtId="0" fontId="0" fillId="0" borderId="0">
      <alignment vertical="center"/>
    </xf>
    <xf numFmtId="0" fontId="13" fillId="0" borderId="0">
      <alignment vertical="center"/>
    </xf>
  </cellStyleXfs>
  <cellXfs count="1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2" fontId="0" fillId="0" borderId="1" xfId="0" applyNumberFormat="1" applyBorder="1">
      <alignment vertical="center"/>
    </xf>
    <xf numFmtId="179" fontId="0" fillId="0" borderId="0" xfId="0" applyNumberFormat="1">
      <alignment vertical="center"/>
    </xf>
    <xf numFmtId="178" fontId="0" fillId="0" borderId="1" xfId="0" applyNumberFormat="1" applyBorder="1">
      <alignment vertical="center"/>
    </xf>
    <xf numFmtId="0" fontId="3" fillId="3" borderId="3" xfId="0" applyFont="1" applyFill="1" applyBorder="1" applyAlignment="1">
      <alignment horizontal="center" vertical="center"/>
    </xf>
    <xf numFmtId="178" fontId="0" fillId="0" borderId="7" xfId="0" applyNumberFormat="1" applyBorder="1">
      <alignment vertical="center"/>
    </xf>
    <xf numFmtId="2" fontId="0" fillId="0" borderId="9" xfId="0" applyNumberFormat="1" applyBorder="1">
      <alignment vertical="center"/>
    </xf>
    <xf numFmtId="178" fontId="0" fillId="0" borderId="9" xfId="0" applyNumberFormat="1" applyBorder="1">
      <alignment vertical="center"/>
    </xf>
    <xf numFmtId="178" fontId="0" fillId="0" borderId="10" xfId="0" applyNumberFormat="1" applyBorder="1">
      <alignment vertical="center"/>
    </xf>
    <xf numFmtId="0" fontId="3" fillId="3" borderId="11" xfId="0" applyFont="1" applyFill="1" applyBorder="1" applyAlignment="1">
      <alignment horizontal="center" vertical="center"/>
    </xf>
    <xf numFmtId="2" fontId="0" fillId="5" borderId="2" xfId="0" applyNumberFormat="1" applyFill="1" applyBorder="1">
      <alignment vertical="center"/>
    </xf>
    <xf numFmtId="178" fontId="0" fillId="5" borderId="1" xfId="0" applyNumberFormat="1" applyFill="1" applyBorder="1">
      <alignment vertical="center"/>
    </xf>
    <xf numFmtId="178" fontId="0" fillId="5" borderId="7" xfId="0" applyNumberFormat="1" applyFill="1" applyBorder="1">
      <alignment vertical="center"/>
    </xf>
    <xf numFmtId="2" fontId="0" fillId="5" borderId="1" xfId="0" applyNumberFormat="1" applyFill="1" applyBorder="1">
      <alignment vertical="center"/>
    </xf>
    <xf numFmtId="0" fontId="0" fillId="4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12" fillId="4" borderId="0" xfId="0" applyFont="1" applyFill="1" applyAlignment="1">
      <alignment horizontal="left" vertical="center"/>
    </xf>
    <xf numFmtId="0" fontId="5" fillId="4" borderId="6" xfId="0" quotePrefix="1" applyFont="1" applyFill="1" applyBorder="1" applyAlignment="1">
      <alignment horizontal="right" vertical="center"/>
    </xf>
    <xf numFmtId="0" fontId="6" fillId="4" borderId="6" xfId="0" quotePrefix="1" applyFont="1" applyFill="1" applyBorder="1" applyAlignment="1">
      <alignment horizontal="right" vertical="center"/>
    </xf>
    <xf numFmtId="180" fontId="0" fillId="5" borderId="6" xfId="0" applyNumberFormat="1" applyFill="1" applyBorder="1" applyAlignment="1">
      <alignment horizontal="right" vertical="center"/>
    </xf>
    <xf numFmtId="181" fontId="0" fillId="0" borderId="2" xfId="0" applyNumberFormat="1" applyBorder="1">
      <alignment vertical="center"/>
    </xf>
    <xf numFmtId="181" fontId="0" fillId="5" borderId="2" xfId="0" applyNumberFormat="1" applyFill="1" applyBorder="1">
      <alignment vertical="center"/>
    </xf>
    <xf numFmtId="178" fontId="0" fillId="5" borderId="7" xfId="0" applyNumberFormat="1" applyFill="1" applyBorder="1" applyAlignment="1">
      <alignment horizontal="right" vertical="center"/>
    </xf>
    <xf numFmtId="181" fontId="0" fillId="0" borderId="13" xfId="0" applyNumberFormat="1" applyBorder="1">
      <alignment vertical="center"/>
    </xf>
    <xf numFmtId="178" fontId="0" fillId="0" borderId="2" xfId="0" applyNumberFormat="1" applyBorder="1">
      <alignment vertical="center"/>
    </xf>
    <xf numFmtId="178" fontId="0" fillId="0" borderId="13" xfId="0" applyNumberFormat="1" applyBorder="1">
      <alignment vertical="center"/>
    </xf>
    <xf numFmtId="178" fontId="14" fillId="0" borderId="2" xfId="0" applyNumberFormat="1" applyFont="1" applyBorder="1">
      <alignment vertical="center"/>
    </xf>
    <xf numFmtId="14" fontId="9" fillId="6" borderId="17" xfId="0" applyNumberFormat="1" applyFont="1" applyFill="1" applyBorder="1" applyAlignment="1">
      <alignment horizontal="center" vertical="center"/>
    </xf>
    <xf numFmtId="0" fontId="9" fillId="6" borderId="21" xfId="0" applyFont="1" applyFill="1" applyBorder="1" applyAlignment="1">
      <alignment horizontal="center" vertical="center"/>
    </xf>
    <xf numFmtId="14" fontId="9" fillId="6" borderId="19" xfId="0" applyNumberFormat="1" applyFont="1" applyFill="1" applyBorder="1" applyAlignment="1">
      <alignment horizontal="center" vertical="center"/>
    </xf>
    <xf numFmtId="0" fontId="6" fillId="7" borderId="6" xfId="0" quotePrefix="1" applyFont="1" applyFill="1" applyBorder="1" applyAlignment="1">
      <alignment horizontal="right" vertical="center"/>
    </xf>
    <xf numFmtId="181" fontId="0" fillId="7" borderId="2" xfId="0" applyNumberFormat="1" applyFill="1" applyBorder="1">
      <alignment vertical="center"/>
    </xf>
    <xf numFmtId="178" fontId="0" fillId="7" borderId="1" xfId="0" applyNumberFormat="1" applyFill="1" applyBorder="1">
      <alignment vertical="center"/>
    </xf>
    <xf numFmtId="178" fontId="14" fillId="7" borderId="2" xfId="0" applyNumberFormat="1" applyFont="1" applyFill="1" applyBorder="1">
      <alignment vertical="center"/>
    </xf>
    <xf numFmtId="178" fontId="0" fillId="7" borderId="7" xfId="0" applyNumberFormat="1" applyFill="1" applyBorder="1">
      <alignment vertical="center"/>
    </xf>
    <xf numFmtId="178" fontId="0" fillId="7" borderId="2" xfId="0" applyNumberFormat="1" applyFill="1" applyBorder="1">
      <alignment vertical="center"/>
    </xf>
    <xf numFmtId="177" fontId="0" fillId="7" borderId="2" xfId="0" applyNumberFormat="1" applyFill="1" applyBorder="1">
      <alignment vertical="center"/>
    </xf>
    <xf numFmtId="0" fontId="9" fillId="3" borderId="12" xfId="0" quotePrefix="1" applyFont="1" applyFill="1" applyBorder="1" applyAlignment="1">
      <alignment horizontal="center" vertical="center"/>
    </xf>
    <xf numFmtId="2" fontId="0" fillId="0" borderId="1" xfId="0" applyNumberFormat="1" applyFill="1" applyBorder="1">
      <alignment vertical="center"/>
    </xf>
    <xf numFmtId="2" fontId="0" fillId="7" borderId="1" xfId="0" applyNumberFormat="1" applyFill="1" applyBorder="1">
      <alignment vertical="center"/>
    </xf>
    <xf numFmtId="0" fontId="9" fillId="6" borderId="2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5" fillId="4" borderId="11" xfId="0" quotePrefix="1" applyFont="1" applyFill="1" applyBorder="1" applyAlignment="1">
      <alignment horizontal="right" vertical="center"/>
    </xf>
    <xf numFmtId="178" fontId="0" fillId="0" borderId="3" xfId="0" applyNumberFormat="1" applyBorder="1">
      <alignment vertical="center"/>
    </xf>
    <xf numFmtId="2" fontId="0" fillId="0" borderId="3" xfId="0" applyNumberFormat="1" applyBorder="1">
      <alignment vertical="center"/>
    </xf>
    <xf numFmtId="178" fontId="0" fillId="0" borderId="12" xfId="0" applyNumberFormat="1" applyBorder="1">
      <alignment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76" fontId="0" fillId="0" borderId="3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6" fontId="0" fillId="7" borderId="1" xfId="0" applyNumberFormat="1" applyFill="1" applyBorder="1" applyAlignment="1">
      <alignment horizontal="right" vertical="center"/>
    </xf>
    <xf numFmtId="176" fontId="0" fillId="5" borderId="1" xfId="0" applyNumberFormat="1" applyFill="1" applyBorder="1" applyAlignment="1">
      <alignment horizontal="right" vertical="center"/>
    </xf>
    <xf numFmtId="2" fontId="0" fillId="8" borderId="1" xfId="0" applyNumberFormat="1" applyFill="1" applyBorder="1">
      <alignment vertical="center"/>
    </xf>
    <xf numFmtId="176" fontId="0" fillId="0" borderId="9" xfId="0" applyNumberFormat="1" applyBorder="1" applyAlignment="1">
      <alignment horizontal="right" vertical="center"/>
    </xf>
    <xf numFmtId="176" fontId="0" fillId="0" borderId="21" xfId="0" applyNumberFormat="1" applyBorder="1" applyAlignment="1">
      <alignment horizontal="right" vertical="center"/>
    </xf>
    <xf numFmtId="2" fontId="0" fillId="0" borderId="21" xfId="0" applyNumberFormat="1" applyBorder="1">
      <alignment vertical="center"/>
    </xf>
    <xf numFmtId="178" fontId="0" fillId="0" borderId="1" xfId="0" applyNumberFormat="1" applyBorder="1" applyAlignment="1">
      <alignment horizontal="right" vertical="center"/>
    </xf>
    <xf numFmtId="181" fontId="0" fillId="0" borderId="1" xfId="0" applyNumberFormat="1" applyBorder="1">
      <alignment vertical="center"/>
    </xf>
    <xf numFmtId="178" fontId="0" fillId="7" borderId="1" xfId="0" applyNumberFormat="1" applyFill="1" applyBorder="1" applyAlignment="1">
      <alignment horizontal="right" vertical="center"/>
    </xf>
    <xf numFmtId="181" fontId="0" fillId="7" borderId="1" xfId="0" applyNumberFormat="1" applyFill="1" applyBorder="1">
      <alignment vertical="center"/>
    </xf>
    <xf numFmtId="178" fontId="0" fillId="5" borderId="1" xfId="0" applyNumberFormat="1" applyFill="1" applyBorder="1" applyAlignment="1">
      <alignment horizontal="right" vertical="center"/>
    </xf>
    <xf numFmtId="181" fontId="0" fillId="5" borderId="1" xfId="0" applyNumberFormat="1" applyFill="1" applyBorder="1">
      <alignment vertical="center"/>
    </xf>
    <xf numFmtId="178" fontId="0" fillId="0" borderId="9" xfId="0" applyNumberFormat="1" applyBorder="1" applyAlignment="1">
      <alignment horizontal="right" vertical="center"/>
    </xf>
    <xf numFmtId="181" fontId="0" fillId="0" borderId="9" xfId="0" applyNumberFormat="1" applyBorder="1">
      <alignment vertical="center"/>
    </xf>
    <xf numFmtId="0" fontId="3" fillId="3" borderId="33" xfId="0" applyFont="1" applyFill="1" applyBorder="1" applyAlignment="1">
      <alignment horizontal="center" vertical="center"/>
    </xf>
    <xf numFmtId="0" fontId="12" fillId="4" borderId="0" xfId="0" applyFont="1" applyFill="1">
      <alignment vertical="center"/>
    </xf>
    <xf numFmtId="0" fontId="2" fillId="4" borderId="6" xfId="0" quotePrefix="1" applyFont="1" applyFill="1" applyBorder="1" applyAlignment="1">
      <alignment horizontal="right" vertical="center"/>
    </xf>
    <xf numFmtId="0" fontId="7" fillId="7" borderId="6" xfId="0" quotePrefix="1" applyFont="1" applyFill="1" applyBorder="1" applyAlignment="1">
      <alignment horizontal="right" vertical="center"/>
    </xf>
    <xf numFmtId="0" fontId="7" fillId="4" borderId="6" xfId="0" quotePrefix="1" applyFont="1" applyFill="1" applyBorder="1" applyAlignment="1">
      <alignment horizontal="right" vertical="center"/>
    </xf>
    <xf numFmtId="0" fontId="7" fillId="4" borderId="8" xfId="0" quotePrefix="1" applyFont="1" applyFill="1" applyBorder="1" applyAlignment="1">
      <alignment horizontal="right" vertical="center"/>
    </xf>
    <xf numFmtId="0" fontId="16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0" fillId="0" borderId="0" xfId="0" applyFont="1">
      <alignment vertical="center"/>
    </xf>
    <xf numFmtId="0" fontId="0" fillId="4" borderId="0" xfId="0" applyFont="1" applyFill="1">
      <alignment vertical="center"/>
    </xf>
    <xf numFmtId="180" fontId="16" fillId="0" borderId="0" xfId="0" applyNumberFormat="1" applyFont="1">
      <alignment vertical="center"/>
    </xf>
    <xf numFmtId="0" fontId="18" fillId="9" borderId="34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20" fillId="9" borderId="34" xfId="0" applyFont="1" applyFill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8" fillId="2" borderId="35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10" fillId="2" borderId="23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2" fontId="4" fillId="8" borderId="15" xfId="0" applyNumberFormat="1" applyFont="1" applyFill="1" applyBorder="1" applyAlignment="1">
      <alignment horizontal="center" vertical="center"/>
    </xf>
    <xf numFmtId="2" fontId="4" fillId="8" borderId="16" xfId="0" applyNumberFormat="1" applyFont="1" applyFill="1" applyBorder="1" applyAlignment="1">
      <alignment horizontal="center" vertical="center"/>
    </xf>
    <xf numFmtId="177" fontId="4" fillId="8" borderId="15" xfId="0" applyNumberFormat="1" applyFont="1" applyFill="1" applyBorder="1" applyAlignment="1">
      <alignment horizontal="center" vertical="center"/>
    </xf>
    <xf numFmtId="177" fontId="4" fillId="8" borderId="16" xfId="0" applyNumberFormat="1" applyFont="1" applyFill="1" applyBorder="1" applyAlignment="1">
      <alignment horizontal="center" vertical="center"/>
    </xf>
    <xf numFmtId="0" fontId="3" fillId="6" borderId="3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14" fontId="10" fillId="2" borderId="17" xfId="0" applyNumberFormat="1" applyFont="1" applyFill="1" applyBorder="1" applyAlignment="1">
      <alignment horizontal="center" vertical="center"/>
    </xf>
    <xf numFmtId="14" fontId="10" fillId="2" borderId="2" xfId="0" applyNumberFormat="1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/>
    </xf>
    <xf numFmtId="0" fontId="10" fillId="2" borderId="19" xfId="0" applyNumberFormat="1" applyFont="1" applyFill="1" applyBorder="1" applyAlignment="1">
      <alignment horizontal="center" vertical="center"/>
    </xf>
    <xf numFmtId="0" fontId="10" fillId="2" borderId="13" xfId="0" applyNumberFormat="1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14" fontId="10" fillId="2" borderId="1" xfId="0" applyNumberFormat="1" applyFont="1" applyFill="1" applyBorder="1" applyAlignment="1">
      <alignment horizontal="center" vertical="center"/>
    </xf>
    <xf numFmtId="2" fontId="4" fillId="8" borderId="19" xfId="0" applyNumberFormat="1" applyFont="1" applyFill="1" applyBorder="1" applyAlignment="1">
      <alignment horizontal="center" vertical="center"/>
    </xf>
    <xf numFmtId="2" fontId="4" fillId="8" borderId="20" xfId="0" applyNumberFormat="1" applyFont="1" applyFill="1" applyBorder="1" applyAlignment="1">
      <alignment horizontal="center" vertical="center"/>
    </xf>
    <xf numFmtId="0" fontId="3" fillId="6" borderId="31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9" fillId="6" borderId="27" xfId="0" applyFont="1" applyFill="1" applyBorder="1" applyAlignment="1">
      <alignment horizontal="center" vertical="center"/>
    </xf>
    <xf numFmtId="0" fontId="9" fillId="6" borderId="28" xfId="0" applyFont="1" applyFill="1" applyBorder="1" applyAlignment="1">
      <alignment horizontal="center" vertical="center"/>
    </xf>
    <xf numFmtId="177" fontId="4" fillId="8" borderId="17" xfId="0" applyNumberFormat="1" applyFont="1" applyFill="1" applyBorder="1" applyAlignment="1">
      <alignment horizontal="center" vertical="center"/>
    </xf>
    <xf numFmtId="177" fontId="4" fillId="8" borderId="18" xfId="0" applyNumberFormat="1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77" fontId="15" fillId="8" borderId="17" xfId="0" applyNumberFormat="1" applyFont="1" applyFill="1" applyBorder="1" applyAlignment="1">
      <alignment horizontal="center" vertical="center"/>
    </xf>
    <xf numFmtId="177" fontId="15" fillId="8" borderId="18" xfId="0" applyNumberFormat="1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9" fillId="6" borderId="30" xfId="0" applyFont="1" applyFill="1" applyBorder="1" applyAlignment="1">
      <alignment horizontal="center" vertical="center"/>
    </xf>
    <xf numFmtId="0" fontId="9" fillId="6" borderId="29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64"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</font>
    </dxf>
  </dxfs>
  <tableStyles count="0" defaultTableStyle="TableStyleMedium2" defaultPivotStyle="PivotStyleLight16"/>
  <colors>
    <mruColors>
      <color rgb="FFFFFFCC"/>
      <color rgb="FFCCCC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1.21</v>
        <stp/>
        <stp>C</stp>
        <stp>0</stp>
        <stp>KR103501GAC4</stp>
        <stp>세전수익률</stp>
        <stp>44358</stp>
        <stp>9918</stp>
        <stp>세전단가</stp>
        <tr r="O19" s="2"/>
        <tr r="O62" s="2"/>
      </tp>
      <tp>
        <v>1.1020000000000001</v>
        <stp/>
        <stp>C</stp>
        <stp>0</stp>
        <stp>KR103503GB32</stp>
        <stp>세전수익률</stp>
        <stp>44358</stp>
        <stp>9958</stp>
        <stp>세전단가</stp>
        <tr r="G22" s="2"/>
        <tr r="G65" s="2"/>
      </tp>
      <tp>
        <v>1.206</v>
        <stp/>
        <stp>C</stp>
        <stp>0</stp>
        <stp>KR103501GAC4</stp>
        <stp>세전수익률</stp>
        <stp>44358</stp>
        <stp>9919</stp>
        <stp>세전단가</stp>
        <tr r="O20" s="2"/>
        <tr r="O63" s="2"/>
      </tp>
      <tp>
        <v>1.097</v>
        <stp/>
        <stp>C</stp>
        <stp>0</stp>
        <stp>KR103503GB32</stp>
        <stp>세전수익률</stp>
        <stp>44358</stp>
        <stp>9959</stp>
        <stp>세전단가</stp>
        <tr r="G23" s="2"/>
        <tr r="G66" s="2"/>
      </tp>
      <tp>
        <v>1.2430000000000001</v>
        <stp/>
        <stp>C</stp>
        <stp>0</stp>
        <stp>KR103501GAC4</stp>
        <stp>세전수익률</stp>
        <stp>44358</stp>
        <stp>9910</stp>
        <stp>세전단가</stp>
        <tr r="O11" s="2"/>
        <tr r="O54" s="2"/>
      </tp>
      <tp>
        <v>2.1819999999999999</v>
        <stp/>
        <stp>C</stp>
        <stp>0</stp>
        <stp>KR103502GA91</stp>
        <stp>세전수익률</stp>
        <stp>44358</stp>
        <stp>8970</stp>
        <stp>세전단가</stp>
        <tr r="AE43" s="2"/>
        <tr r="AE86" s="2"/>
      </tp>
      <tp>
        <v>1.149</v>
        <stp/>
        <stp>C</stp>
        <stp>0</stp>
        <stp>KR103503GB32</stp>
        <stp>세전수익률</stp>
        <stp>44358</stp>
        <stp>9950</stp>
        <stp>세전단가</stp>
        <tr r="G14" s="2"/>
        <tr r="G57" s="2"/>
      </tp>
      <tp>
        <v>1.2390000000000001</v>
        <stp/>
        <stp>C</stp>
        <stp>0</stp>
        <stp>KR103501GAC4</stp>
        <stp>세전수익률</stp>
        <stp>44358</stp>
        <stp>9911</stp>
        <stp>세전단가</stp>
        <tr r="O12" s="2"/>
        <tr r="O55" s="2"/>
      </tp>
      <tp>
        <v>1.143</v>
        <stp/>
        <stp>C</stp>
        <stp>0</stp>
        <stp>KR103503GB32</stp>
        <stp>세전수익률</stp>
        <stp>44358</stp>
        <stp>9951</stp>
        <stp>세전단가</stp>
        <tr r="G15" s="2"/>
        <tr r="G58" s="2"/>
      </tp>
      <tp>
        <v>1.234</v>
        <stp/>
        <stp>C</stp>
        <stp>0</stp>
        <stp>KR103501GAC4</stp>
        <stp>세전수익률</stp>
        <stp>44358</stp>
        <stp>9912</stp>
        <stp>세전단가</stp>
        <tr r="O13" s="2"/>
        <tr r="O56" s="2"/>
      </tp>
      <tp>
        <v>1.137</v>
        <stp/>
        <stp>C</stp>
        <stp>0</stp>
        <stp>KR103503GB32</stp>
        <stp>세전수익률</stp>
        <stp>44358</stp>
        <stp>9952</stp>
        <stp>세전단가</stp>
        <tr r="G16" s="2"/>
        <tr r="G59" s="2"/>
      </tp>
      <tp>
        <v>1.23</v>
        <stp/>
        <stp>C</stp>
        <stp>0</stp>
        <stp>KR103501GAC4</stp>
        <stp>세전수익률</stp>
        <stp>44358</stp>
        <stp>9913</stp>
        <stp>세전단가</stp>
        <tr r="O14" s="2"/>
        <tr r="O57" s="2"/>
      </tp>
      <tp>
        <v>1.131</v>
        <stp/>
        <stp>C</stp>
        <stp>0</stp>
        <stp>KR103503GB32</stp>
        <stp>세전수익률</stp>
        <stp>44358</stp>
        <stp>9953</stp>
        <stp>세전단가</stp>
        <tr r="G17" s="2"/>
        <tr r="G60" s="2"/>
      </tp>
      <tp>
        <v>1.226</v>
        <stp/>
        <stp>C</stp>
        <stp>0</stp>
        <stp>KR103501GAC4</stp>
        <stp>세전수익률</stp>
        <stp>44358</stp>
        <stp>9914</stp>
        <stp>세전단가</stp>
        <tr r="O15" s="2"/>
        <tr r="O58" s="2"/>
      </tp>
      <tp>
        <v>1.1259999999999999</v>
        <stp/>
        <stp>C</stp>
        <stp>0</stp>
        <stp>KR103503GB32</stp>
        <stp>세전수익률</stp>
        <stp>44358</stp>
        <stp>9954</stp>
        <stp>세전단가</stp>
        <tr r="G18" s="2"/>
        <tr r="G61" s="2"/>
      </tp>
      <tp>
        <v>1.222</v>
        <stp/>
        <stp>C</stp>
        <stp>0</stp>
        <stp>KR103501GAC4</stp>
        <stp>세전수익률</stp>
        <stp>44358</stp>
        <stp>9915</stp>
        <stp>세전단가</stp>
        <tr r="O16" s="2"/>
        <tr r="O59" s="2"/>
      </tp>
      <tp>
        <v>1.1200000000000001</v>
        <stp/>
        <stp>C</stp>
        <stp>0</stp>
        <stp>KR103503GB32</stp>
        <stp>세전수익률</stp>
        <stp>44358</stp>
        <stp>9955</stp>
        <stp>세전단가</stp>
        <tr r="G19" s="2"/>
        <tr r="G62" s="2"/>
      </tp>
      <tp>
        <v>1.218</v>
        <stp/>
        <stp>C</stp>
        <stp>0</stp>
        <stp>KR103501GAC4</stp>
        <stp>세전수익률</stp>
        <stp>44358</stp>
        <stp>9916</stp>
        <stp>세전단가</stp>
        <tr r="O17" s="2"/>
        <tr r="O60" s="2"/>
      </tp>
      <tp>
        <v>1.1140000000000001</v>
        <stp/>
        <stp>C</stp>
        <stp>0</stp>
        <stp>KR103503GB32</stp>
        <stp>세전수익률</stp>
        <stp>44358</stp>
        <stp>9956</stp>
        <stp>세전단가</stp>
        <tr r="G20" s="2"/>
        <tr r="G63" s="2"/>
      </tp>
      <tp>
        <v>1.214</v>
        <stp/>
        <stp>C</stp>
        <stp>0</stp>
        <stp>KR103501GAC4</stp>
        <stp>세전수익률</stp>
        <stp>44358</stp>
        <stp>9917</stp>
        <stp>세전단가</stp>
        <tr r="O18" s="2"/>
        <tr r="O61" s="2"/>
      </tp>
      <tp>
        <v>1.1080000000000001</v>
        <stp/>
        <stp>C</stp>
        <stp>0</stp>
        <stp>KR103503GB32</stp>
        <stp>세전수익률</stp>
        <stp>44358</stp>
        <stp>9957</stp>
        <stp>세전단가</stp>
        <tr r="G21" s="2"/>
        <tr r="G64" s="2"/>
      </tp>
      <tp>
        <v>2.1829999999999998</v>
        <stp/>
        <stp>C</stp>
        <stp>0</stp>
        <stp>KR103502GA91</stp>
        <stp>세전수익률</stp>
        <stp>44358</stp>
        <stp>8968</stp>
        <stp>세전단가</stp>
        <tr r="AE41" s="2"/>
        <tr r="AE84" s="2"/>
      </tp>
      <tp>
        <v>1.1599999999999999</v>
        <stp/>
        <stp>C</stp>
        <stp>0</stp>
        <stp>KR103503GB32</stp>
        <stp>세전수익률</stp>
        <stp>44358</stp>
        <stp>9948</stp>
        <stp>세전단가</stp>
        <tr r="G12" s="2"/>
        <tr r="G55" s="2"/>
      </tp>
      <tp>
        <v>2.1829999999999998</v>
        <stp/>
        <stp>C</stp>
        <stp>0</stp>
        <stp>KR103502GA91</stp>
        <stp>세전수익률</stp>
        <stp>44358</stp>
        <stp>8969</stp>
        <stp>세전단가</stp>
        <tr r="AE42" s="2"/>
        <tr r="AE85" s="2"/>
      </tp>
      <tp>
        <v>1.155</v>
        <stp/>
        <stp>C</stp>
        <stp>0</stp>
        <stp>KR103503GB32</stp>
        <stp>세전수익률</stp>
        <stp>44358</stp>
        <stp>9949</stp>
        <stp>세전단가</stp>
        <tr r="G13" s="2"/>
        <tr r="G56" s="2"/>
      </tp>
      <tp>
        <v>2.1890000000000001</v>
        <stp/>
        <stp>C</stp>
        <stp>0</stp>
        <stp>KR103502GA91</stp>
        <stp>세전수익률</stp>
        <stp>44358</stp>
        <stp>8960</stp>
        <stp>세전단가</stp>
        <tr r="AE33" s="2"/>
        <tr r="AE76" s="2"/>
      </tp>
      <tp>
        <v>2.1880000000000002</v>
        <stp/>
        <stp>C</stp>
        <stp>0</stp>
        <stp>KR103502GA91</stp>
        <stp>세전수익률</stp>
        <stp>44358</stp>
        <stp>8961</stp>
        <stp>세전단가</stp>
        <tr r="AE34" s="2"/>
        <tr r="AE77" s="2"/>
      </tp>
      <tp>
        <v>2.1869999999999998</v>
        <stp/>
        <stp>C</stp>
        <stp>0</stp>
        <stp>KR103502GA91</stp>
        <stp>세전수익률</stp>
        <stp>44358</stp>
        <stp>8962</stp>
        <stp>세전단가</stp>
        <tr r="AE35" s="2"/>
        <tr r="AE78" s="2"/>
      </tp>
      <tp>
        <v>2.1869999999999998</v>
        <stp/>
        <stp>C</stp>
        <stp>0</stp>
        <stp>KR103502GA91</stp>
        <stp>세전수익률</stp>
        <stp>44358</stp>
        <stp>8963</stp>
        <stp>세전단가</stp>
        <tr r="AE36" s="2"/>
        <tr r="AE79" s="2"/>
      </tp>
      <tp>
        <v>2.1859999999999999</v>
        <stp/>
        <stp>C</stp>
        <stp>0</stp>
        <stp>KR103502GA91</stp>
        <stp>세전수익률</stp>
        <stp>44358</stp>
        <stp>8964</stp>
        <stp>세전단가</stp>
        <tr r="AE37" s="2"/>
        <tr r="AE80" s="2"/>
      </tp>
      <tp>
        <v>2.1850000000000001</v>
        <stp/>
        <stp>C</stp>
        <stp>0</stp>
        <stp>KR103502GA91</stp>
        <stp>세전수익률</stp>
        <stp>44358</stp>
        <stp>8965</stp>
        <stp>세전단가</stp>
        <tr r="AE38" s="2"/>
        <tr r="AE81" s="2"/>
      </tp>
      <tp>
        <v>2.1850000000000001</v>
        <stp/>
        <stp>C</stp>
        <stp>0</stp>
        <stp>KR103502GA91</stp>
        <stp>세전수익률</stp>
        <stp>44358</stp>
        <stp>8966</stp>
        <stp>세전단가</stp>
        <tr r="AE39" s="2"/>
        <tr r="AE82" s="2"/>
      </tp>
      <tp>
        <v>2.1840000000000002</v>
        <stp/>
        <stp>C</stp>
        <stp>0</stp>
        <stp>KR103502GA91</stp>
        <stp>세전수익률</stp>
        <stp>44358</stp>
        <stp>8967</stp>
        <stp>세전단가</stp>
        <tr r="AE40" s="2"/>
        <tr r="AE83" s="2"/>
      </tp>
      <tp>
        <v>1.1659999999999999</v>
        <stp/>
        <stp>C</stp>
        <stp>0</stp>
        <stp>KR103503GB32</stp>
        <stp>세전수익률</stp>
        <stp>44358</stp>
        <stp>9947</stp>
        <stp>세전단가</stp>
        <tr r="G11" s="2"/>
        <tr r="G54" s="2"/>
      </tp>
      <tp>
        <v>1.1279999999999999</v>
        <stp/>
        <stp>C</stp>
        <stp>0</stp>
        <stp>KR103501GAC4</stp>
        <stp>세전수익률</stp>
        <stp>44358</stp>
        <stp>9938</stp>
        <stp>세전단가</stp>
        <tr r="O41" s="2"/>
        <tr r="O84" s="2"/>
      </tp>
      <tp>
        <v>2.19</v>
        <stp/>
        <stp>C</stp>
        <stp>0</stp>
        <stp>KR103502GA91</stp>
        <stp>세전수익률</stp>
        <stp>44358</stp>
        <stp>8958</stp>
        <stp>세전단가</stp>
        <tr r="AE31" s="2"/>
        <tr r="AE74" s="2"/>
      </tp>
      <tp>
        <v>1.1240000000000001</v>
        <stp/>
        <stp>C</stp>
        <stp>0</stp>
        <stp>KR103501GAC4</stp>
        <stp>세전수익률</stp>
        <stp>44358</stp>
        <stp>9939</stp>
        <stp>세전단가</stp>
        <tr r="O42" s="2"/>
        <tr r="O85" s="2"/>
      </tp>
      <tp>
        <v>2.1890000000000001</v>
        <stp/>
        <stp>C</stp>
        <stp>0</stp>
        <stp>KR103502GA91</stp>
        <stp>세전수익률</stp>
        <stp>44358</stp>
        <stp>8959</stp>
        <stp>세전단가</stp>
        <tr r="AE32" s="2"/>
        <tr r="AE75" s="2"/>
      </tp>
      <tp>
        <v>1.161</v>
        <stp/>
        <stp>C</stp>
        <stp>0</stp>
        <stp>KR103501GAC4</stp>
        <stp>세전수익률</stp>
        <stp>44358</stp>
        <stp>9930</stp>
        <stp>세전단가</stp>
        <tr r="O33" s="2"/>
        <tr r="O76" s="2"/>
      </tp>
      <tp>
        <v>2.1949999999999998</v>
        <stp/>
        <stp>C</stp>
        <stp>0</stp>
        <stp>KR103502GA91</stp>
        <stp>세전수익률</stp>
        <stp>44358</stp>
        <stp>8950</stp>
        <stp>세전단가</stp>
        <tr r="AE21" s="2"/>
        <tr r="AE64" s="2"/>
      </tp>
      <tp>
        <v>1.0329999999999999</v>
        <stp/>
        <stp>C</stp>
        <stp>0</stp>
        <stp>KR103503GB32</stp>
        <stp>세전수익률</stp>
        <stp>44358</stp>
        <stp>9970</stp>
        <stp>세전단가</stp>
        <tr r="G36" s="2"/>
        <tr r="G79" s="2"/>
      </tp>
      <tp>
        <v>1.157</v>
        <stp/>
        <stp>C</stp>
        <stp>0</stp>
        <stp>KR103501GAC4</stp>
        <stp>세전수익률</stp>
        <stp>44358</stp>
        <stp>9931</stp>
        <stp>세전단가</stp>
        <tr r="O34" s="2"/>
        <tr r="O77" s="2"/>
      </tp>
      <tp>
        <v>2.1949999999999998</v>
        <stp/>
        <stp>C</stp>
        <stp>0</stp>
        <stp>KR103502GA91</stp>
        <stp>세전수익률</stp>
        <stp>44358</stp>
        <stp>8951</stp>
        <stp>세전단가</stp>
        <tr r="AE22" s="2"/>
        <tr r="AE65" s="2"/>
      </tp>
      <tp>
        <v>1.0269999999999999</v>
        <stp/>
        <stp>C</stp>
        <stp>0</stp>
        <stp>KR103503GB32</stp>
        <stp>세전수익률</stp>
        <stp>44358</stp>
        <stp>9971</stp>
        <stp>세전단가</stp>
        <tr r="G37" s="2"/>
        <tr r="G80" s="2"/>
      </tp>
      <tp>
        <v>1.1519999999999999</v>
        <stp/>
        <stp>C</stp>
        <stp>0</stp>
        <stp>KR103501GAC4</stp>
        <stp>세전수익률</stp>
        <stp>44358</stp>
        <stp>9932</stp>
        <stp>세전단가</stp>
        <tr r="O35" s="2"/>
        <tr r="O78" s="2"/>
      </tp>
      <tp>
        <v>2.194</v>
        <stp/>
        <stp>C</stp>
        <stp>0</stp>
        <stp>KR103502GA91</stp>
        <stp>세전수익률</stp>
        <stp>44358</stp>
        <stp>8952</stp>
        <stp>세전단가</stp>
        <tr r="AE23" s="2"/>
        <tr r="AE66" s="2"/>
      </tp>
      <tp>
        <v>1.0209999999999999</v>
        <stp/>
        <stp>C</stp>
        <stp>0</stp>
        <stp>KR103503GB32</stp>
        <stp>세전수익률</stp>
        <stp>44358</stp>
        <stp>9972</stp>
        <stp>세전단가</stp>
        <tr r="G38" s="2"/>
        <tr r="G81" s="2"/>
      </tp>
      <tp>
        <v>1.1479999999999999</v>
        <stp/>
        <stp>C</stp>
        <stp>0</stp>
        <stp>KR103501GAC4</stp>
        <stp>세전수익률</stp>
        <stp>44358</stp>
        <stp>9933</stp>
        <stp>세전단가</stp>
        <tr r="O36" s="2"/>
        <tr r="O79" s="2"/>
      </tp>
      <tp>
        <v>2.1930000000000001</v>
        <stp/>
        <stp>C</stp>
        <stp>0</stp>
        <stp>KR103502GA91</stp>
        <stp>세전수익률</stp>
        <stp>44358</stp>
        <stp>8953</stp>
        <stp>세전단가</stp>
        <tr r="AE24" s="2"/>
        <tr r="AE67" s="2"/>
      </tp>
      <tp>
        <v>1.0149999999999999</v>
        <stp/>
        <stp>C</stp>
        <stp>0</stp>
        <stp>KR103503GB32</stp>
        <stp>세전수익률</stp>
        <stp>44358</stp>
        <stp>9973</stp>
        <stp>세전단가</stp>
        <tr r="G39" s="2"/>
        <tr r="G82" s="2"/>
      </tp>
      <tp>
        <v>1.1439999999999999</v>
        <stp/>
        <stp>C</stp>
        <stp>0</stp>
        <stp>KR103501GAC4</stp>
        <stp>세전수익률</stp>
        <stp>44358</stp>
        <stp>9934</stp>
        <stp>세전단가</stp>
        <tr r="O37" s="2"/>
        <tr r="O80" s="2"/>
      </tp>
      <tp>
        <v>2.1930000000000001</v>
        <stp/>
        <stp>C</stp>
        <stp>0</stp>
        <stp>KR103502GA91</stp>
        <stp>세전수익률</stp>
        <stp>44358</stp>
        <stp>8954</stp>
        <stp>세전단가</stp>
        <tr r="AE25" s="2"/>
        <tr r="AE68" s="2"/>
      </tp>
      <tp>
        <v>1.0089999999999999</v>
        <stp/>
        <stp>C</stp>
        <stp>0</stp>
        <stp>KR103503GB32</stp>
        <stp>세전수익률</stp>
        <stp>44358</stp>
        <stp>9974</stp>
        <stp>세전단가</stp>
        <tr r="G40" s="2"/>
        <tr r="G83" s="2"/>
      </tp>
      <tp>
        <v>1.1399999999999999</v>
        <stp/>
        <stp>C</stp>
        <stp>0</stp>
        <stp>KR103501GAC4</stp>
        <stp>세전수익률</stp>
        <stp>44358</stp>
        <stp>9935</stp>
        <stp>세전단가</stp>
        <tr r="O38" s="2"/>
        <tr r="O81" s="2"/>
      </tp>
      <tp>
        <v>2.1920000000000002</v>
        <stp/>
        <stp>C</stp>
        <stp>0</stp>
        <stp>KR103502GA91</stp>
        <stp>세전수익률</stp>
        <stp>44358</stp>
        <stp>8955</stp>
        <stp>세전단가</stp>
        <tr r="AE27" s="2"/>
        <tr r="AE70" s="2"/>
      </tp>
      <tp>
        <v>1.004</v>
        <stp/>
        <stp>C</stp>
        <stp>0</stp>
        <stp>KR103503GB32</stp>
        <stp>세전수익률</stp>
        <stp>44358</stp>
        <stp>9975</stp>
        <stp>세전단가</stp>
        <tr r="G41" s="2"/>
        <tr r="G84" s="2"/>
      </tp>
      <tp>
        <v>1.1359999999999999</v>
        <stp/>
        <stp>C</stp>
        <stp>0</stp>
        <stp>KR103501GAC4</stp>
        <stp>세전수익률</stp>
        <stp>44358</stp>
        <stp>9936</stp>
        <stp>세전단가</stp>
        <tr r="O39" s="2"/>
        <tr r="O82" s="2"/>
      </tp>
      <tp>
        <v>2.1909999999999998</v>
        <stp/>
        <stp>C</stp>
        <stp>0</stp>
        <stp>KR103502GA91</stp>
        <stp>세전수익률</stp>
        <stp>44358</stp>
        <stp>8956</stp>
        <stp>세전단가</stp>
        <tr r="AE29" s="2"/>
        <tr r="AE72" s="2"/>
      </tp>
      <tp>
        <v>0.998</v>
        <stp/>
        <stp>C</stp>
        <stp>0</stp>
        <stp>KR103503GB32</stp>
        <stp>세전수익률</stp>
        <stp>44358</stp>
        <stp>9976</stp>
        <stp>세전단가</stp>
        <tr r="G42" s="2"/>
        <tr r="G85" s="2"/>
      </tp>
      <tp>
        <v>1.1319999999999999</v>
        <stp/>
        <stp>C</stp>
        <stp>0</stp>
        <stp>KR103501GAC4</stp>
        <stp>세전수익률</stp>
        <stp>44358</stp>
        <stp>9937</stp>
        <stp>세전단가</stp>
        <tr r="O40" s="2"/>
        <tr r="O83" s="2"/>
      </tp>
      <tp>
        <v>2.1909999999999998</v>
        <stp/>
        <stp>C</stp>
        <stp>0</stp>
        <stp>KR103502GA91</stp>
        <stp>세전수익률</stp>
        <stp>44358</stp>
        <stp>8957</stp>
        <stp>세전단가</stp>
        <tr r="AE30" s="2"/>
        <tr r="AE73" s="2"/>
      </tp>
      <tp>
        <v>0.99199999999999999</v>
        <stp/>
        <stp>C</stp>
        <stp>0</stp>
        <stp>KR103503GB32</stp>
        <stp>세전수익률</stp>
        <stp>44358</stp>
        <stp>9977</stp>
        <stp>세전단가</stp>
        <tr r="G43" s="2"/>
        <tr r="G86" s="2"/>
      </tp>
      <tp>
        <v>1.169</v>
        <stp/>
        <stp>C</stp>
        <stp>0</stp>
        <stp>KR103501GAC4</stp>
        <stp>세전수익률</stp>
        <stp>44358</stp>
        <stp>9928</stp>
        <stp>세전단가</stp>
        <tr r="O31" s="2"/>
        <tr r="O74" s="2"/>
      </tp>
      <tp>
        <v>2.1970000000000001</v>
        <stp/>
        <stp>C</stp>
        <stp>0</stp>
        <stp>KR103502GA91</stp>
        <stp>세전수익률</stp>
        <stp>44358</stp>
        <stp>8948</stp>
        <stp>세전단가</stp>
        <tr r="AE19" s="2"/>
        <tr r="AE62" s="2"/>
      </tp>
      <tp>
        <v>1.044</v>
        <stp/>
        <stp>C</stp>
        <stp>0</stp>
        <stp>KR103503GB32</stp>
        <stp>세전수익률</stp>
        <stp>44358</stp>
        <stp>9968</stp>
        <stp>세전단가</stp>
        <tr r="G34" s="2"/>
        <tr r="G77" s="2"/>
      </tp>
      <tp>
        <v>1.165</v>
        <stp/>
        <stp>C</stp>
        <stp>0</stp>
        <stp>KR103501GAC4</stp>
        <stp>세전수익률</stp>
        <stp>44358</stp>
        <stp>9929</stp>
        <stp>세전단가</stp>
        <tr r="O32" s="2"/>
        <tr r="O75" s="2"/>
      </tp>
      <tp>
        <v>2.1960000000000002</v>
        <stp/>
        <stp>C</stp>
        <stp>0</stp>
        <stp>KR103502GA91</stp>
        <stp>세전수익률</stp>
        <stp>44358</stp>
        <stp>8949</stp>
        <stp>세전단가</stp>
        <tr r="AE20" s="2"/>
        <tr r="AE63" s="2"/>
      </tp>
      <tp>
        <v>1.038</v>
        <stp/>
        <stp>C</stp>
        <stp>0</stp>
        <stp>KR103503GB32</stp>
        <stp>세전수익률</stp>
        <stp>44358</stp>
        <stp>9969</stp>
        <stp>세전단가</stp>
        <tr r="G35" s="2"/>
        <tr r="G78" s="2"/>
      </tp>
      <tp>
        <v>1.202</v>
        <stp/>
        <stp>C</stp>
        <stp>0</stp>
        <stp>KR103501GAC4</stp>
        <stp>세전수익률</stp>
        <stp>44358</stp>
        <stp>9920</stp>
        <stp>세전단가</stp>
        <tr r="O21" s="2"/>
        <tr r="O64" s="2"/>
      </tp>
      <tp>
        <v>2.202</v>
        <stp/>
        <stp>C</stp>
        <stp>0</stp>
        <stp>KR103502GA91</stp>
        <stp>세전수익률</stp>
        <stp>44358</stp>
        <stp>8940</stp>
        <stp>세전단가</stp>
        <tr r="AE11" s="2"/>
        <tr r="AE54" s="2"/>
      </tp>
      <tp>
        <v>1.091</v>
        <stp/>
        <stp>C</stp>
        <stp>0</stp>
        <stp>KR103503GB32</stp>
        <stp>세전수익률</stp>
        <stp>44358</stp>
        <stp>9960</stp>
        <stp>세전단가</stp>
        <tr r="G24" s="2"/>
        <tr r="G67" s="2"/>
      </tp>
      <tp>
        <v>1.198</v>
        <stp/>
        <stp>C</stp>
        <stp>0</stp>
        <stp>KR103501GAC4</stp>
        <stp>세전수익률</stp>
        <stp>44358</stp>
        <stp>9921</stp>
        <stp>세전단가</stp>
        <tr r="O22" s="2"/>
        <tr r="O65" s="2"/>
      </tp>
      <tp>
        <v>2.202</v>
        <stp/>
        <stp>C</stp>
        <stp>0</stp>
        <stp>KR103502GA91</stp>
        <stp>세전수익률</stp>
        <stp>44358</stp>
        <stp>8941</stp>
        <stp>세전단가</stp>
        <tr r="AE12" s="2"/>
        <tr r="AE55" s="2"/>
      </tp>
      <tp>
        <v>1.085</v>
        <stp/>
        <stp>C</stp>
        <stp>0</stp>
        <stp>KR103503GB32</stp>
        <stp>세전수익률</stp>
        <stp>44358</stp>
        <stp>9961</stp>
        <stp>세전단가</stp>
        <tr r="G25" s="2"/>
        <tr r="G68" s="2"/>
      </tp>
      <tp>
        <v>1.1930000000000001</v>
        <stp/>
        <stp>C</stp>
        <stp>0</stp>
        <stp>KR103501GAC4</stp>
        <stp>세전수익률</stp>
        <stp>44358</stp>
        <stp>9922</stp>
        <stp>세전단가</stp>
        <tr r="O23" s="2"/>
        <tr r="O66" s="2"/>
      </tp>
      <tp>
        <v>2.2010000000000001</v>
        <stp/>
        <stp>C</stp>
        <stp>0</stp>
        <stp>KR103502GA91</stp>
        <stp>세전수익률</stp>
        <stp>44358</stp>
        <stp>8942</stp>
        <stp>세전단가</stp>
        <tr r="AE13" s="2"/>
        <tr r="AE56" s="2"/>
      </tp>
      <tp>
        <v>1.079</v>
        <stp/>
        <stp>C</stp>
        <stp>0</stp>
        <stp>KR103503GB32</stp>
        <stp>세전수익률</stp>
        <stp>44358</stp>
        <stp>9962</stp>
        <stp>세전단가</stp>
        <tr r="G27" s="2"/>
        <tr r="G70" s="2"/>
      </tp>
      <tp>
        <v>1.1890000000000001</v>
        <stp/>
        <stp>C</stp>
        <stp>0</stp>
        <stp>KR103501GAC4</stp>
        <stp>세전수익률</stp>
        <stp>44358</stp>
        <stp>9923</stp>
        <stp>세전단가</stp>
        <tr r="O24" s="2"/>
        <tr r="O67" s="2"/>
      </tp>
      <tp>
        <v>2.2000000000000002</v>
        <stp/>
        <stp>C</stp>
        <stp>0</stp>
        <stp>KR103502GA91</stp>
        <stp>세전수익률</stp>
        <stp>44358</stp>
        <stp>8943</stp>
        <stp>세전단가</stp>
        <tr r="AE14" s="2"/>
        <tr r="AE57" s="2"/>
      </tp>
      <tp>
        <v>1.073</v>
        <stp/>
        <stp>C</stp>
        <stp>0</stp>
        <stp>KR103503GB32</stp>
        <stp>세전수익률</stp>
        <stp>44358</stp>
        <stp>9963</stp>
        <stp>세전단가</stp>
        <tr r="G29" s="2"/>
        <tr r="G72" s="2"/>
      </tp>
      <tp>
        <v>1.1850000000000001</v>
        <stp/>
        <stp>C</stp>
        <stp>0</stp>
        <stp>KR103501GAC4</stp>
        <stp>세전수익률</stp>
        <stp>44358</stp>
        <stp>9924</stp>
        <stp>세전단가</stp>
        <tr r="O25" s="2"/>
        <tr r="O68" s="2"/>
      </tp>
      <tp>
        <v>2.2000000000000002</v>
        <stp/>
        <stp>C</stp>
        <stp>0</stp>
        <stp>KR103502GA91</stp>
        <stp>세전수익률</stp>
        <stp>44358</stp>
        <stp>8944</stp>
        <stp>세전단가</stp>
        <tr r="AE15" s="2"/>
        <tr r="AE58" s="2"/>
      </tp>
      <tp>
        <v>1.0669999999999999</v>
        <stp/>
        <stp>C</stp>
        <stp>0</stp>
        <stp>KR103503GB32</stp>
        <stp>세전수익률</stp>
        <stp>44358</stp>
        <stp>9964</stp>
        <stp>세전단가</stp>
        <tr r="G30" s="2"/>
        <tr r="G73" s="2"/>
      </tp>
      <tp>
        <v>1.181</v>
        <stp/>
        <stp>C</stp>
        <stp>0</stp>
        <stp>KR103501GAC4</stp>
        <stp>세전수익률</stp>
        <stp>44358</stp>
        <stp>9925</stp>
        <stp>세전단가</stp>
        <tr r="O27" s="2"/>
        <tr r="O70" s="2"/>
      </tp>
      <tp>
        <v>2.1989999999999998</v>
        <stp/>
        <stp>C</stp>
        <stp>0</stp>
        <stp>KR103502GA91</stp>
        <stp>세전수익률</stp>
        <stp>44358</stp>
        <stp>8945</stp>
        <stp>세전단가</stp>
        <tr r="AE16" s="2"/>
        <tr r="AE59" s="2"/>
      </tp>
      <tp>
        <v>1.0620000000000001</v>
        <stp/>
        <stp>C</stp>
        <stp>0</stp>
        <stp>KR103503GB32</stp>
        <stp>세전수익률</stp>
        <stp>44358</stp>
        <stp>9965</stp>
        <stp>세전단가</stp>
        <tr r="G31" s="2"/>
        <tr r="G74" s="2"/>
      </tp>
      <tp>
        <v>1.177</v>
        <stp/>
        <stp>C</stp>
        <stp>0</stp>
        <stp>KR103501GAC4</stp>
        <stp>세전수익률</stp>
        <stp>44358</stp>
        <stp>9926</stp>
        <stp>세전단가</stp>
        <tr r="O29" s="2"/>
        <tr r="O72" s="2"/>
      </tp>
      <tp>
        <v>2.198</v>
        <stp/>
        <stp>C</stp>
        <stp>0</stp>
        <stp>KR103502GA91</stp>
        <stp>세전수익률</stp>
        <stp>44358</stp>
        <stp>8946</stp>
        <stp>세전단가</stp>
        <tr r="AE17" s="2"/>
        <tr r="AE60" s="2"/>
      </tp>
      <tp>
        <v>1.056</v>
        <stp/>
        <stp>C</stp>
        <stp>0</stp>
        <stp>KR103503GB32</stp>
        <stp>세전수익률</stp>
        <stp>44358</stp>
        <stp>9966</stp>
        <stp>세전단가</stp>
        <tr r="G32" s="2"/>
        <tr r="G75" s="2"/>
      </tp>
      <tp>
        <v>1.173</v>
        <stp/>
        <stp>C</stp>
        <stp>0</stp>
        <stp>KR103501GAC4</stp>
        <stp>세전수익률</stp>
        <stp>44358</stp>
        <stp>9927</stp>
        <stp>세전단가</stp>
        <tr r="O30" s="2"/>
        <tr r="O73" s="2"/>
      </tp>
      <tp>
        <v>2.198</v>
        <stp/>
        <stp>C</stp>
        <stp>0</stp>
        <stp>KR103502GA91</stp>
        <stp>세전수익률</stp>
        <stp>44358</stp>
        <stp>8947</stp>
        <stp>세전단가</stp>
        <tr r="AE18" s="2"/>
        <tr r="AE61" s="2"/>
      </tp>
      <tp>
        <v>1.05</v>
        <stp/>
        <stp>C</stp>
        <stp>0</stp>
        <stp>KR103503GB32</stp>
        <stp>세전수익률</stp>
        <stp>44358</stp>
        <stp>9967</stp>
        <stp>세전단가</stp>
        <tr r="G33" s="2"/>
        <tr r="G76" s="2"/>
      </tp>
      <tp>
        <v>2.0870000000000002</v>
        <stp/>
        <stp>C</stp>
        <stp>0</stp>
        <stp>KR103502GAC2</stp>
        <stp>세전수익률</stp>
        <stp>44361</stp>
        <stp>9498</stp>
        <stp>세전단가</stp>
        <tr r="Z27" s="2"/>
        <tr r="Z70" s="2"/>
      </tp>
      <tp>
        <v>2.073</v>
        <stp/>
        <stp>C</stp>
        <stp>0</stp>
        <stp>KR103502GAC2</stp>
        <stp>세전수익률</stp>
        <stp>44358</stp>
        <stp>9508</stp>
        <stp>세전단가</stp>
        <tr r="W38" s="2"/>
        <tr r="W81" s="2"/>
      </tp>
      <tp>
        <v>2.0859999999999999</v>
        <stp/>
        <stp>C</stp>
        <stp>0</stp>
        <stp>KR103502GAC2</stp>
        <stp>세전수익률</stp>
        <stp>44361</stp>
        <stp>9499</stp>
        <stp>세전단가</stp>
        <tr r="Z29" s="2"/>
        <tr r="Z72" s="2"/>
      </tp>
      <tp>
        <v>2.0720000000000001</v>
        <stp/>
        <stp>C</stp>
        <stp>0</stp>
        <stp>KR103502GAC2</stp>
        <stp>세전수익률</stp>
        <stp>44358</stp>
        <stp>9509</stp>
        <stp>세전단가</stp>
        <tr r="W39" s="2"/>
        <tr r="W82" s="2"/>
      </tp>
      <tp>
        <v>2.097</v>
        <stp/>
        <stp>C</stp>
        <stp>0</stp>
        <stp>KR103502GAC2</stp>
        <stp>세전수익률</stp>
        <stp>44361</stp>
        <stp>9490</stp>
        <stp>세전단가</stp>
        <tr r="Z18" s="2"/>
        <tr r="Z61" s="2"/>
      </tp>
      <tp>
        <v>2.0830000000000002</v>
        <stp/>
        <stp>C</stp>
        <stp>0</stp>
        <stp>KR103502GAC2</stp>
        <stp>세전수익률</stp>
        <stp>44358</stp>
        <stp>9500</stp>
        <stp>세전단가</stp>
        <tr r="W30" s="2"/>
        <tr r="W73" s="2"/>
      </tp>
      <tp>
        <v>2.0960000000000001</v>
        <stp/>
        <stp>C</stp>
        <stp>0</stp>
        <stp>KR103502GAC2</stp>
        <stp>세전수익률</stp>
        <stp>44361</stp>
        <stp>9491</stp>
        <stp>세전단가</stp>
        <tr r="Z19" s="2"/>
        <tr r="Z62" s="2"/>
      </tp>
      <tp>
        <v>2.0819999999999999</v>
        <stp/>
        <stp>C</stp>
        <stp>0</stp>
        <stp>KR103502GAC2</stp>
        <stp>세전수익률</stp>
        <stp>44358</stp>
        <stp>9501</stp>
        <stp>세전단가</stp>
        <tr r="W31" s="2"/>
        <tr r="W74" s="2"/>
      </tp>
      <tp>
        <v>2.0950000000000002</v>
        <stp/>
        <stp>C</stp>
        <stp>0</stp>
        <stp>KR103502GAC2</stp>
        <stp>세전수익률</stp>
        <stp>44361</stp>
        <stp>9492</stp>
        <stp>세전단가</stp>
        <tr r="Z20" s="2"/>
        <tr r="Z63" s="2"/>
      </tp>
      <tp>
        <v>2.081</v>
        <stp/>
        <stp>C</stp>
        <stp>0</stp>
        <stp>KR103502GAC2</stp>
        <stp>세전수익률</stp>
        <stp>44358</stp>
        <stp>9502</stp>
        <stp>세전단가</stp>
        <tr r="W32" s="2"/>
        <tr r="W75" s="2"/>
      </tp>
      <tp>
        <v>2.093</v>
        <stp/>
        <stp>C</stp>
        <stp>0</stp>
        <stp>KR103502GAC2</stp>
        <stp>세전수익률</stp>
        <stp>44361</stp>
        <stp>9493</stp>
        <stp>세전단가</stp>
        <tr r="Z21" s="2"/>
        <tr r="Z64" s="2"/>
      </tp>
      <tp>
        <v>2.0790000000000002</v>
        <stp/>
        <stp>C</stp>
        <stp>0</stp>
        <stp>KR103502GAC2</stp>
        <stp>세전수익률</stp>
        <stp>44358</stp>
        <stp>9503</stp>
        <stp>세전단가</stp>
        <tr r="W33" s="2"/>
        <tr r="W76" s="2"/>
      </tp>
      <tp>
        <v>2.0920000000000001</v>
        <stp/>
        <stp>C</stp>
        <stp>0</stp>
        <stp>KR103502GAC2</stp>
        <stp>세전수익률</stp>
        <stp>44361</stp>
        <stp>9494</stp>
        <stp>세전단가</stp>
        <tr r="Z22" s="2"/>
        <tr r="Z65" s="2"/>
      </tp>
      <tp>
        <v>2.0779999999999998</v>
        <stp/>
        <stp>C</stp>
        <stp>0</stp>
        <stp>KR103502GAC2</stp>
        <stp>세전수익률</stp>
        <stp>44358</stp>
        <stp>9504</stp>
        <stp>세전단가</stp>
        <tr r="W34" s="2"/>
        <tr r="W77" s="2"/>
      </tp>
      <tp>
        <v>2.0910000000000002</v>
        <stp/>
        <stp>C</stp>
        <stp>0</stp>
        <stp>KR103502GAC2</stp>
        <stp>세전수익률</stp>
        <stp>44361</stp>
        <stp>9495</stp>
        <stp>세전단가</stp>
        <tr r="Z23" s="2"/>
        <tr r="Z66" s="2"/>
      </tp>
      <tp>
        <v>2.077</v>
        <stp/>
        <stp>C</stp>
        <stp>0</stp>
        <stp>KR103502GAC2</stp>
        <stp>세전수익률</stp>
        <stp>44358</stp>
        <stp>9505</stp>
        <stp>세전단가</stp>
        <tr r="W35" s="2"/>
        <tr r="W78" s="2"/>
      </tp>
      <tp>
        <v>2.09</v>
        <stp/>
        <stp>C</stp>
        <stp>0</stp>
        <stp>KR103502GAC2</stp>
        <stp>세전수익률</stp>
        <stp>44361</stp>
        <stp>9496</stp>
        <stp>세전단가</stp>
        <tr r="Z24" s="2"/>
        <tr r="Z67" s="2"/>
      </tp>
      <tp>
        <v>2.0760000000000001</v>
        <stp/>
        <stp>C</stp>
        <stp>0</stp>
        <stp>KR103502GAC2</stp>
        <stp>세전수익률</stp>
        <stp>44358</stp>
        <stp>9506</stp>
        <stp>세전단가</stp>
        <tr r="W36" s="2"/>
        <tr r="W79" s="2"/>
      </tp>
      <tp>
        <v>2.089</v>
        <stp/>
        <stp>C</stp>
        <stp>0</stp>
        <stp>KR103502GAC2</stp>
        <stp>세전수익률</stp>
        <stp>44361</stp>
        <stp>9497</stp>
        <stp>세전단가</stp>
        <tr r="Z25" s="2"/>
        <tr r="Z68" s="2"/>
      </tp>
      <tp>
        <v>2.0750000000000002</v>
        <stp/>
        <stp>C</stp>
        <stp>0</stp>
        <stp>KR103502GAC2</stp>
        <stp>세전수익률</stp>
        <stp>44358</stp>
        <stp>9507</stp>
        <stp>세전단가</stp>
        <tr r="W37" s="2"/>
        <tr r="W80" s="2"/>
      </tp>
      <tp>
        <v>2.0990000000000002</v>
        <stp/>
        <stp>C</stp>
        <stp>0</stp>
        <stp>KR103502GAC2</stp>
        <stp>세전수익률</stp>
        <stp>44361</stp>
        <stp>9488</stp>
        <stp>세전단가</stp>
        <tr r="Z16" s="2"/>
        <tr r="Z59" s="2"/>
      </tp>
      <tp>
        <v>2.0979999999999999</v>
        <stp/>
        <stp>C</stp>
        <stp>0</stp>
        <stp>KR103502GAC2</stp>
        <stp>세전수익률</stp>
        <stp>44361</stp>
        <stp>9489</stp>
        <stp>세전단가</stp>
        <tr r="Z17" s="2"/>
        <tr r="Z60" s="2"/>
      </tp>
      <tp>
        <v>2.0710000000000002</v>
        <stp/>
        <stp>C</stp>
        <stp>0</stp>
        <stp>KR103502GAC2</stp>
        <stp>세전수익률</stp>
        <stp>44358</stp>
        <stp>9510</stp>
        <stp>세전단가</stp>
        <tr r="W40" s="2"/>
        <tr r="W83" s="2"/>
      </tp>
      <tp>
        <v>1.1200000000000001</v>
        <stp/>
        <stp>C</stp>
        <stp>0</stp>
        <stp>KR103501GAC4</stp>
        <stp>세전수익률</stp>
        <stp>44358</stp>
        <stp>9940</stp>
        <stp>세전단가</stp>
        <tr r="O43" s="2"/>
        <tr r="O86" s="2"/>
      </tp>
      <tp>
        <v>2.0699999999999998</v>
        <stp/>
        <stp>C</stp>
        <stp>0</stp>
        <stp>KR103502GAC2</stp>
        <stp>세전수익률</stp>
        <stp>44358</stp>
        <stp>9511</stp>
        <stp>세전단가</stp>
        <tr r="W41" s="2"/>
        <tr r="W84" s="2"/>
      </tp>
      <tp>
        <v>2.069</v>
        <stp/>
        <stp>C</stp>
        <stp>0</stp>
        <stp>KR103502GAC2</stp>
        <stp>세전수익률</stp>
        <stp>44358</stp>
        <stp>9512</stp>
        <stp>세전단가</stp>
        <tr r="W42" s="2"/>
        <tr r="W85" s="2"/>
      </tp>
      <tp>
        <v>2.105</v>
        <stp/>
        <stp>C</stp>
        <stp>0</stp>
        <stp>KR103502GAC2</stp>
        <stp>세전수익률</stp>
        <stp>44361</stp>
        <stp>9483</stp>
        <stp>세전단가</stp>
        <tr r="Z11" s="2"/>
        <tr r="Z54" s="2"/>
      </tp>
      <tp>
        <v>2.0670000000000002</v>
        <stp/>
        <stp>C</stp>
        <stp>0</stp>
        <stp>KR103502GAC2</stp>
        <stp>세전수익률</stp>
        <stp>44358</stp>
        <stp>9513</stp>
        <stp>세전단가</stp>
        <tr r="W43" s="2"/>
        <tr r="W86" s="2"/>
      </tp>
      <tp>
        <v>2.1040000000000001</v>
        <stp/>
        <stp>C</stp>
        <stp>0</stp>
        <stp>KR103502GAC2</stp>
        <stp>세전수익률</stp>
        <stp>44361</stp>
        <stp>9484</stp>
        <stp>세전단가</stp>
        <tr r="Z12" s="2"/>
        <tr r="Z55" s="2"/>
      </tp>
      <tp>
        <v>2.1030000000000002</v>
        <stp/>
        <stp>C</stp>
        <stp>0</stp>
        <stp>KR103502GAC2</stp>
        <stp>세전수익률</stp>
        <stp>44361</stp>
        <stp>9485</stp>
        <stp>세전단가</stp>
        <tr r="Z13" s="2"/>
        <tr r="Z56" s="2"/>
      </tp>
      <tp>
        <v>2.1019999999999999</v>
        <stp/>
        <stp>C</stp>
        <stp>0</stp>
        <stp>KR103502GAC2</stp>
        <stp>세전수익률</stp>
        <stp>44361</stp>
        <stp>9486</stp>
        <stp>세전단가</stp>
        <tr r="Z14" s="2"/>
        <tr r="Z57" s="2"/>
      </tp>
      <tp>
        <v>2.101</v>
        <stp/>
        <stp>C</stp>
        <stp>0</stp>
        <stp>KR103502GAC2</stp>
        <stp>세전수익률</stp>
        <stp>44361</stp>
        <stp>9487</stp>
        <stp>세전단가</stp>
        <tr r="Z15" s="2"/>
        <tr r="Z58" s="2"/>
      </tp>
      <tp t="s">
        <v>국고00750-2303(21-3)</v>
        <stp/>
        <stp>P</stp>
        <stp>0</stp>
        <stp>BND</stp>
        <stp>KR103503GB32</stp>
        <stp>한글종목명</stp>
        <stp/>
        <stp/>
        <tr r="G5" s="1"/>
        <tr r="G5" s="2"/>
        <tr r="G48" s="1"/>
        <tr r="G48" s="2"/>
      </tp>
      <tp t="s">
        <v>국고00875-2312(20-8)</v>
        <stp/>
        <stp>P</stp>
        <stp>0</stp>
        <stp>BND</stp>
        <stp>KR103501GAC4</stp>
        <stp>한글종목명</stp>
        <stp/>
        <stp/>
        <tr r="N5" s="1"/>
        <tr r="O5" s="2"/>
        <tr r="N48" s="1"/>
        <tr r="O48" s="2"/>
      </tp>
      <tp t="s">
        <v>국고01500-3012(20-9)</v>
        <stp/>
        <stp>P</stp>
        <stp>0</stp>
        <stp>BND</stp>
        <stp>KR103502GAC2</stp>
        <stp>한글종목명</stp>
        <stp/>
        <stp/>
        <tr r="U5" s="1"/>
        <tr r="W5" s="2"/>
        <tr r="U48" s="1"/>
        <tr r="W48" s="2"/>
      </tp>
      <tp t="s">
        <v>국고01500-4009(20-7)</v>
        <stp/>
        <stp>P</stp>
        <stp>0</stp>
        <stp>BND</stp>
        <stp>KR103502GA91</stp>
        <stp>한글종목명</stp>
        <stp/>
        <stp/>
        <tr r="AB5" s="1"/>
        <tr r="AE5" s="2"/>
        <tr r="AB48" s="1"/>
        <tr r="AE48" s="2"/>
      </tp>
      <tp>
        <v>2.1840000000000002</v>
        <stp/>
        <stp>C</stp>
        <stp>0</stp>
        <stp>KR103502GA91</stp>
        <stp>세전수익률</stp>
        <stp>44361</stp>
        <stp>8968</stp>
        <stp>세전단가</stp>
        <tr r="AH41" s="2"/>
        <tr r="AH84" s="2"/>
      </tp>
      <tp>
        <v>1.1659999999999999</v>
        <stp/>
        <stp>C</stp>
        <stp>0</stp>
        <stp>KR103503GB32</stp>
        <stp>세전수익률</stp>
        <stp>44361</stp>
        <stp>9948</stp>
        <stp>세전단가</stp>
        <tr r="J12" s="2"/>
        <tr r="J55" s="2"/>
      </tp>
      <tp>
        <v>2.1840000000000002</v>
        <stp/>
        <stp>C</stp>
        <stp>0</stp>
        <stp>KR103502GA91</stp>
        <stp>세전수익률</stp>
        <stp>44361</stp>
        <stp>8969</stp>
        <stp>세전단가</stp>
        <tr r="AH42" s="2"/>
        <tr r="AH85" s="2"/>
      </tp>
      <tp>
        <v>1.1599999999999999</v>
        <stp/>
        <stp>C</stp>
        <stp>0</stp>
        <stp>KR103503GB32</stp>
        <stp>세전수익률</stp>
        <stp>44361</stp>
        <stp>9949</stp>
        <stp>세전단가</stp>
        <tr r="J13" s="2"/>
        <tr r="J56" s="2"/>
      </tp>
      <tp>
        <v>2.19</v>
        <stp/>
        <stp>C</stp>
        <stp>0</stp>
        <stp>KR103502GA91</stp>
        <stp>세전수익률</stp>
        <stp>44361</stp>
        <stp>8960</stp>
        <stp>세전단가</stp>
        <tr r="AH33" s="2"/>
        <tr r="AH76" s="2"/>
      </tp>
      <tp>
        <v>2.1890000000000001</v>
        <stp/>
        <stp>C</stp>
        <stp>0</stp>
        <stp>KR103502GA91</stp>
        <stp>세전수익률</stp>
        <stp>44361</stp>
        <stp>8961</stp>
        <stp>세전단가</stp>
        <tr r="AH34" s="2"/>
        <tr r="AH77" s="2"/>
      </tp>
      <tp>
        <v>2.1880000000000002</v>
        <stp/>
        <stp>C</stp>
        <stp>0</stp>
        <stp>KR103502GA91</stp>
        <stp>세전수익률</stp>
        <stp>44361</stp>
        <stp>8962</stp>
        <stp>세전단가</stp>
        <tr r="AH35" s="2"/>
        <tr r="AH78" s="2"/>
      </tp>
      <tp>
        <v>2.1880000000000002</v>
        <stp/>
        <stp>C</stp>
        <stp>0</stp>
        <stp>KR103502GA91</stp>
        <stp>세전수익률</stp>
        <stp>44361</stp>
        <stp>8963</stp>
        <stp>세전단가</stp>
        <tr r="AH36" s="2"/>
        <tr r="AH79" s="2"/>
      </tp>
      <tp>
        <v>2.1869999999999998</v>
        <stp/>
        <stp>C</stp>
        <stp>0</stp>
        <stp>KR103502GA91</stp>
        <stp>세전수익률</stp>
        <stp>44361</stp>
        <stp>8964</stp>
        <stp>세전단가</stp>
        <tr r="AH37" s="2"/>
        <tr r="AH80" s="2"/>
      </tp>
      <tp>
        <v>2.1859999999999999</v>
        <stp/>
        <stp>C</stp>
        <stp>0</stp>
        <stp>KR103502GA91</stp>
        <stp>세전수익률</stp>
        <stp>44361</stp>
        <stp>8965</stp>
        <stp>세전단가</stp>
        <tr r="AH38" s="2"/>
        <tr r="AH81" s="2"/>
      </tp>
      <tp>
        <v>2.1859999999999999</v>
        <stp/>
        <stp>C</stp>
        <stp>0</stp>
        <stp>KR103502GA91</stp>
        <stp>세전수익률</stp>
        <stp>44361</stp>
        <stp>8966</stp>
        <stp>세전단가</stp>
        <tr r="AH39" s="2"/>
        <tr r="AH82" s="2"/>
      </tp>
      <tp>
        <v>2.1850000000000001</v>
        <stp/>
        <stp>C</stp>
        <stp>0</stp>
        <stp>KR103502GA91</stp>
        <stp>세전수익률</stp>
        <stp>44361</stp>
        <stp>8967</stp>
        <stp>세전단가</stp>
        <tr r="AH40" s="2"/>
        <tr r="AH83" s="2"/>
      </tp>
      <tp>
        <v>1.1719999999999999</v>
        <stp/>
        <stp>C</stp>
        <stp>0</stp>
        <stp>KR103503GB32</stp>
        <stp>세전수익률</stp>
        <stp>44361</stp>
        <stp>9947</stp>
        <stp>세전단가</stp>
        <tr r="J11" s="2"/>
        <tr r="J54" s="2"/>
      </tp>
      <tp>
        <v>1.214</v>
        <stp/>
        <stp>C</stp>
        <stp>0</stp>
        <stp>KR103501GAC4</stp>
        <stp>세전수익률</stp>
        <stp>44361</stp>
        <stp>9918</stp>
        <stp>세전단가</stp>
        <tr r="R19" s="2"/>
        <tr r="R62" s="2"/>
      </tp>
      <tp>
        <v>1.1080000000000001</v>
        <stp/>
        <stp>C</stp>
        <stp>0</stp>
        <stp>KR103503GB32</stp>
        <stp>세전수익률</stp>
        <stp>44361</stp>
        <stp>9958</stp>
        <stp>세전단가</stp>
        <tr r="J22" s="2"/>
        <tr r="J65" s="2"/>
      </tp>
      <tp>
        <v>1.21</v>
        <stp/>
        <stp>C</stp>
        <stp>0</stp>
        <stp>KR103501GAC4</stp>
        <stp>세전수익률</stp>
        <stp>44361</stp>
        <stp>9919</stp>
        <stp>세전단가</stp>
        <tr r="R20" s="2"/>
        <tr r="R63" s="2"/>
      </tp>
      <tp>
        <v>1.1020000000000001</v>
        <stp/>
        <stp>C</stp>
        <stp>0</stp>
        <stp>KR103503GB32</stp>
        <stp>세전수익률</stp>
        <stp>44361</stp>
        <stp>9959</stp>
        <stp>세전단가</stp>
        <tr r="J23" s="2"/>
        <tr r="J66" s="2"/>
      </tp>
      <tp>
        <v>1.2470000000000001</v>
        <stp/>
        <stp>C</stp>
        <stp>0</stp>
        <stp>KR103501GAC4</stp>
        <stp>세전수익률</stp>
        <stp>44361</stp>
        <stp>9910</stp>
        <stp>세전단가</stp>
        <tr r="R11" s="2"/>
        <tr r="R54" s="2"/>
      </tp>
      <tp>
        <v>2.1829999999999998</v>
        <stp/>
        <stp>C</stp>
        <stp>0</stp>
        <stp>KR103502GA91</stp>
        <stp>세전수익률</stp>
        <stp>44361</stp>
        <stp>8970</stp>
        <stp>세전단가</stp>
        <tr r="AH43" s="2"/>
        <tr r="AH86" s="2"/>
      </tp>
      <tp>
        <v>1.1539999999999999</v>
        <stp/>
        <stp>C</stp>
        <stp>0</stp>
        <stp>KR103503GB32</stp>
        <stp>세전수익률</stp>
        <stp>44361</stp>
        <stp>9950</stp>
        <stp>세전단가</stp>
        <tr r="J14" s="2"/>
        <tr r="J57" s="2"/>
      </tp>
      <tp>
        <v>1.2430000000000001</v>
        <stp/>
        <stp>C</stp>
        <stp>0</stp>
        <stp>KR103501GAC4</stp>
        <stp>세전수익률</stp>
        <stp>44361</stp>
        <stp>9911</stp>
        <stp>세전단가</stp>
        <tr r="R12" s="2"/>
        <tr r="R55" s="2"/>
      </tp>
      <tp>
        <v>1.1479999999999999</v>
        <stp/>
        <stp>C</stp>
        <stp>0</stp>
        <stp>KR103503GB32</stp>
        <stp>세전수익률</stp>
        <stp>44361</stp>
        <stp>9951</stp>
        <stp>세전단가</stp>
        <tr r="J15" s="2"/>
        <tr r="J58" s="2"/>
      </tp>
      <tp>
        <v>1.2390000000000001</v>
        <stp/>
        <stp>C</stp>
        <stp>0</stp>
        <stp>KR103501GAC4</stp>
        <stp>세전수익률</stp>
        <stp>44361</stp>
        <stp>9912</stp>
        <stp>세전단가</stp>
        <tr r="R13" s="2"/>
        <tr r="R56" s="2"/>
      </tp>
      <tp>
        <v>1.143</v>
        <stp/>
        <stp>C</stp>
        <stp>0</stp>
        <stp>KR103503GB32</stp>
        <stp>세전수익률</stp>
        <stp>44361</stp>
        <stp>9952</stp>
        <stp>세전단가</stp>
        <tr r="J16" s="2"/>
        <tr r="J59" s="2"/>
      </tp>
      <tp>
        <v>1.234</v>
        <stp/>
        <stp>C</stp>
        <stp>0</stp>
        <stp>KR103501GAC4</stp>
        <stp>세전수익률</stp>
        <stp>44361</stp>
        <stp>9913</stp>
        <stp>세전단가</stp>
        <tr r="R14" s="2"/>
        <tr r="R57" s="2"/>
      </tp>
      <tp>
        <v>1.137</v>
        <stp/>
        <stp>C</stp>
        <stp>0</stp>
        <stp>KR103503GB32</stp>
        <stp>세전수익률</stp>
        <stp>44361</stp>
        <stp>9953</stp>
        <stp>세전단가</stp>
        <tr r="J17" s="2"/>
        <tr r="J60" s="2"/>
      </tp>
      <tp>
        <v>1.23</v>
        <stp/>
        <stp>C</stp>
        <stp>0</stp>
        <stp>KR103501GAC4</stp>
        <stp>세전수익률</stp>
        <stp>44361</stp>
        <stp>9914</stp>
        <stp>세전단가</stp>
        <tr r="R15" s="2"/>
        <tr r="R58" s="2"/>
      </tp>
      <tp>
        <v>1.131</v>
        <stp/>
        <stp>C</stp>
        <stp>0</stp>
        <stp>KR103503GB32</stp>
        <stp>세전수익률</stp>
        <stp>44361</stp>
        <stp>9954</stp>
        <stp>세전단가</stp>
        <tr r="J18" s="2"/>
        <tr r="J61" s="2"/>
      </tp>
      <tp>
        <v>1.226</v>
        <stp/>
        <stp>C</stp>
        <stp>0</stp>
        <stp>KR103501GAC4</stp>
        <stp>세전수익률</stp>
        <stp>44361</stp>
        <stp>9915</stp>
        <stp>세전단가</stp>
        <tr r="R16" s="2"/>
        <tr r="R59" s="2"/>
      </tp>
      <tp>
        <v>1.125</v>
        <stp/>
        <stp>C</stp>
        <stp>0</stp>
        <stp>KR103503GB32</stp>
        <stp>세전수익률</stp>
        <stp>44361</stp>
        <stp>9955</stp>
        <stp>세전단가</stp>
        <tr r="J19" s="2"/>
        <tr r="J62" s="2"/>
      </tp>
      <tp>
        <v>1.222</v>
        <stp/>
        <stp>C</stp>
        <stp>0</stp>
        <stp>KR103501GAC4</stp>
        <stp>세전수익률</stp>
        <stp>44361</stp>
        <stp>9916</stp>
        <stp>세전단가</stp>
        <tr r="R17" s="2"/>
        <tr r="R60" s="2"/>
      </tp>
      <tp>
        <v>1.119</v>
        <stp/>
        <stp>C</stp>
        <stp>0</stp>
        <stp>KR103503GB32</stp>
        <stp>세전수익률</stp>
        <stp>44361</stp>
        <stp>9956</stp>
        <stp>세전단가</stp>
        <tr r="J20" s="2"/>
        <tr r="J63" s="2"/>
      </tp>
      <tp>
        <v>1.218</v>
        <stp/>
        <stp>C</stp>
        <stp>0</stp>
        <stp>KR103501GAC4</stp>
        <stp>세전수익률</stp>
        <stp>44361</stp>
        <stp>9917</stp>
        <stp>세전단가</stp>
        <tr r="R18" s="2"/>
        <tr r="R61" s="2"/>
      </tp>
      <tp>
        <v>1.113</v>
        <stp/>
        <stp>C</stp>
        <stp>0</stp>
        <stp>KR103503GB32</stp>
        <stp>세전수익률</stp>
        <stp>44361</stp>
        <stp>9957</stp>
        <stp>세전단가</stp>
        <tr r="J21" s="2"/>
        <tr r="J64" s="2"/>
      </tp>
      <tp>
        <v>1.173</v>
        <stp/>
        <stp>C</stp>
        <stp>0</stp>
        <stp>KR103501GAC4</stp>
        <stp>세전수익률</stp>
        <stp>44361</stp>
        <stp>9928</stp>
        <stp>세전단가</stp>
        <tr r="R31" s="2"/>
        <tr r="R74" s="2"/>
      </tp>
      <tp>
        <v>2.198</v>
        <stp/>
        <stp>C</stp>
        <stp>0</stp>
        <stp>KR103502GA91</stp>
        <stp>세전수익률</stp>
        <stp>44361</stp>
        <stp>8948</stp>
        <stp>세전단가</stp>
        <tr r="AH19" s="2"/>
        <tr r="AH62" s="2"/>
      </tp>
      <tp>
        <v>1.0489999999999999</v>
        <stp/>
        <stp>C</stp>
        <stp>0</stp>
        <stp>KR103503GB32</stp>
        <stp>세전수익률</stp>
        <stp>44361</stp>
        <stp>9968</stp>
        <stp>세전단가</stp>
        <tr r="J34" s="2"/>
        <tr r="J77" s="2"/>
      </tp>
      <tp>
        <v>1.169</v>
        <stp/>
        <stp>C</stp>
        <stp>0</stp>
        <stp>KR103501GAC4</stp>
        <stp>세전수익률</stp>
        <stp>44361</stp>
        <stp>9929</stp>
        <stp>세전단가</stp>
        <tr r="R32" s="2"/>
        <tr r="R75" s="2"/>
      </tp>
      <tp>
        <v>2.1970000000000001</v>
        <stp/>
        <stp>C</stp>
        <stp>0</stp>
        <stp>KR103502GA91</stp>
        <stp>세전수익률</stp>
        <stp>44361</stp>
        <stp>8949</stp>
        <stp>세전단가</stp>
        <tr r="AH20" s="2"/>
        <tr r="AH63" s="2"/>
      </tp>
      <tp>
        <v>1.0429999999999999</v>
        <stp/>
        <stp>C</stp>
        <stp>0</stp>
        <stp>KR103503GB32</stp>
        <stp>세전수익률</stp>
        <stp>44361</stp>
        <stp>9969</stp>
        <stp>세전단가</stp>
        <tr r="J35" s="2"/>
        <tr r="J78" s="2"/>
      </tp>
      <tp>
        <v>1.206</v>
        <stp/>
        <stp>C</stp>
        <stp>0</stp>
        <stp>KR103501GAC4</stp>
        <stp>세전수익률</stp>
        <stp>44361</stp>
        <stp>9920</stp>
        <stp>세전단가</stp>
        <tr r="R21" s="2"/>
        <tr r="R64" s="2"/>
      </tp>
      <tp>
        <v>2.2029999999999998</v>
        <stp/>
        <stp>C</stp>
        <stp>0</stp>
        <stp>KR103502GA91</stp>
        <stp>세전수익률</stp>
        <stp>44361</stp>
        <stp>8940</stp>
        <stp>세전단가</stp>
        <tr r="AH11" s="2"/>
        <tr r="AH54" s="2"/>
      </tp>
      <tp>
        <v>1.0960000000000001</v>
        <stp/>
        <stp>C</stp>
        <stp>0</stp>
        <stp>KR103503GB32</stp>
        <stp>세전수익률</stp>
        <stp>44361</stp>
        <stp>9960</stp>
        <stp>세전단가</stp>
        <tr r="J24" s="2"/>
        <tr r="J67" s="2"/>
      </tp>
      <tp>
        <v>1.2010000000000001</v>
        <stp/>
        <stp>C</stp>
        <stp>0</stp>
        <stp>KR103501GAC4</stp>
        <stp>세전수익률</stp>
        <stp>44361</stp>
        <stp>9921</stp>
        <stp>세전단가</stp>
        <tr r="R22" s="2"/>
        <tr r="R65" s="2"/>
      </tp>
      <tp>
        <v>2.2029999999999998</v>
        <stp/>
        <stp>C</stp>
        <stp>0</stp>
        <stp>KR103502GA91</stp>
        <stp>세전수익률</stp>
        <stp>44361</stp>
        <stp>8941</stp>
        <stp>세전단가</stp>
        <tr r="AH12" s="2"/>
        <tr r="AH55" s="2"/>
      </tp>
      <tp>
        <v>1.0900000000000001</v>
        <stp/>
        <stp>C</stp>
        <stp>0</stp>
        <stp>KR103503GB32</stp>
        <stp>세전수익률</stp>
        <stp>44361</stp>
        <stp>9961</stp>
        <stp>세전단가</stp>
        <tr r="J25" s="2"/>
        <tr r="J68" s="2"/>
      </tp>
      <tp>
        <v>1.1970000000000001</v>
        <stp/>
        <stp>C</stp>
        <stp>0</stp>
        <stp>KR103501GAC4</stp>
        <stp>세전수익률</stp>
        <stp>44361</stp>
        <stp>9922</stp>
        <stp>세전단가</stp>
        <tr r="R23" s="2"/>
        <tr r="R66" s="2"/>
      </tp>
      <tp>
        <v>2.202</v>
        <stp/>
        <stp>C</stp>
        <stp>0</stp>
        <stp>KR103502GA91</stp>
        <stp>세전수익률</stp>
        <stp>44361</stp>
        <stp>8942</stp>
        <stp>세전단가</stp>
        <tr r="AH13" s="2"/>
        <tr r="AH56" s="2"/>
      </tp>
      <tp>
        <v>1.0840000000000001</v>
        <stp/>
        <stp>C</stp>
        <stp>0</stp>
        <stp>KR103503GB32</stp>
        <stp>세전수익률</stp>
        <stp>44361</stp>
        <stp>9962</stp>
        <stp>세전단가</stp>
        <tr r="J27" s="2"/>
        <tr r="J70" s="2"/>
      </tp>
      <tp>
        <v>1.1930000000000001</v>
        <stp/>
        <stp>C</stp>
        <stp>0</stp>
        <stp>KR103501GAC4</stp>
        <stp>세전수익률</stp>
        <stp>44361</stp>
        <stp>9923</stp>
        <stp>세전단가</stp>
        <tr r="R24" s="2"/>
        <tr r="R67" s="2"/>
      </tp>
      <tp>
        <v>2.2010000000000001</v>
        <stp/>
        <stp>C</stp>
        <stp>0</stp>
        <stp>KR103502GA91</stp>
        <stp>세전수익률</stp>
        <stp>44361</stp>
        <stp>8943</stp>
        <stp>세전단가</stp>
        <tr r="AH14" s="2"/>
        <tr r="AH57" s="2"/>
      </tp>
      <tp>
        <v>1.0780000000000001</v>
        <stp/>
        <stp>C</stp>
        <stp>0</stp>
        <stp>KR103503GB32</stp>
        <stp>세전수익률</stp>
        <stp>44361</stp>
        <stp>9963</stp>
        <stp>세전단가</stp>
        <tr r="J29" s="2"/>
        <tr r="J72" s="2"/>
      </tp>
      <tp>
        <v>1.1890000000000001</v>
        <stp/>
        <stp>C</stp>
        <stp>0</stp>
        <stp>KR103501GAC4</stp>
        <stp>세전수익률</stp>
        <stp>44361</stp>
        <stp>9924</stp>
        <stp>세전단가</stp>
        <tr r="R25" s="2"/>
        <tr r="R68" s="2"/>
      </tp>
      <tp>
        <v>2.2010000000000001</v>
        <stp/>
        <stp>C</stp>
        <stp>0</stp>
        <stp>KR103502GA91</stp>
        <stp>세전수익률</stp>
        <stp>44361</stp>
        <stp>8944</stp>
        <stp>세전단가</stp>
        <tr r="AH15" s="2"/>
        <tr r="AH58" s="2"/>
      </tp>
      <tp>
        <v>1.0720000000000001</v>
        <stp/>
        <stp>C</stp>
        <stp>0</stp>
        <stp>KR103503GB32</stp>
        <stp>세전수익률</stp>
        <stp>44361</stp>
        <stp>9964</stp>
        <stp>세전단가</stp>
        <tr r="J30" s="2"/>
        <tr r="J73" s="2"/>
      </tp>
      <tp>
        <v>1.1850000000000001</v>
        <stp/>
        <stp>C</stp>
        <stp>0</stp>
        <stp>KR103501GAC4</stp>
        <stp>세전수익률</stp>
        <stp>44361</stp>
        <stp>9925</stp>
        <stp>세전단가</stp>
        <tr r="R27" s="2"/>
        <tr r="R70" s="2"/>
      </tp>
      <tp>
        <v>2.2000000000000002</v>
        <stp/>
        <stp>C</stp>
        <stp>0</stp>
        <stp>KR103502GA91</stp>
        <stp>세전수익률</stp>
        <stp>44361</stp>
        <stp>8945</stp>
        <stp>세전단가</stp>
        <tr r="AH16" s="2"/>
        <tr r="AH59" s="2"/>
      </tp>
      <tp>
        <v>1.0669999999999999</v>
        <stp/>
        <stp>C</stp>
        <stp>0</stp>
        <stp>KR103503GB32</stp>
        <stp>세전수익률</stp>
        <stp>44361</stp>
        <stp>9965</stp>
        <stp>세전단가</stp>
        <tr r="J31" s="2"/>
        <tr r="J74" s="2"/>
      </tp>
      <tp>
        <v>1.181</v>
        <stp/>
        <stp>C</stp>
        <stp>0</stp>
        <stp>KR103501GAC4</stp>
        <stp>세전수익률</stp>
        <stp>44361</stp>
        <stp>9926</stp>
        <stp>세전단가</stp>
        <tr r="R29" s="2"/>
        <tr r="R72" s="2"/>
      </tp>
      <tp>
        <v>2.1989999999999998</v>
        <stp/>
        <stp>C</stp>
        <stp>0</stp>
        <stp>KR103502GA91</stp>
        <stp>세전수익률</stp>
        <stp>44361</stp>
        <stp>8946</stp>
        <stp>세전단가</stp>
        <tr r="AH17" s="2"/>
        <tr r="AH60" s="2"/>
      </tp>
      <tp>
        <v>1.0609999999999999</v>
        <stp/>
        <stp>C</stp>
        <stp>0</stp>
        <stp>KR103503GB32</stp>
        <stp>세전수익률</stp>
        <stp>44361</stp>
        <stp>9966</stp>
        <stp>세전단가</stp>
        <tr r="J32" s="2"/>
        <tr r="J75" s="2"/>
      </tp>
      <tp>
        <v>1.177</v>
        <stp/>
        <stp>C</stp>
        <stp>0</stp>
        <stp>KR103501GAC4</stp>
        <stp>세전수익률</stp>
        <stp>44361</stp>
        <stp>9927</stp>
        <stp>세전단가</stp>
        <tr r="R30" s="2"/>
        <tr r="R73" s="2"/>
      </tp>
      <tp>
        <v>2.1989999999999998</v>
        <stp/>
        <stp>C</stp>
        <stp>0</stp>
        <stp>KR103502GA91</stp>
        <stp>세전수익률</stp>
        <stp>44361</stp>
        <stp>8947</stp>
        <stp>세전단가</stp>
        <tr r="AH18" s="2"/>
        <tr r="AH61" s="2"/>
      </tp>
      <tp>
        <v>1.0549999999999999</v>
        <stp/>
        <stp>C</stp>
        <stp>0</stp>
        <stp>KR103503GB32</stp>
        <stp>세전수익률</stp>
        <stp>44361</stp>
        <stp>9967</stp>
        <stp>세전단가</stp>
        <tr r="J33" s="2"/>
        <tr r="J76" s="2"/>
      </tp>
      <tp>
        <v>1.1319999999999999</v>
        <stp/>
        <stp>C</stp>
        <stp>0</stp>
        <stp>KR103501GAC4</stp>
        <stp>세전수익률</stp>
        <stp>44361</stp>
        <stp>9938</stp>
        <stp>세전단가</stp>
        <tr r="R41" s="2"/>
        <tr r="R84" s="2"/>
      </tp>
      <tp>
        <v>2.1909999999999998</v>
        <stp/>
        <stp>C</stp>
        <stp>0</stp>
        <stp>KR103502GA91</stp>
        <stp>세전수익률</stp>
        <stp>44361</stp>
        <stp>8958</stp>
        <stp>세전단가</stp>
        <tr r="AH31" s="2"/>
        <tr r="AH74" s="2"/>
      </tp>
      <tp>
        <v>1.1279999999999999</v>
        <stp/>
        <stp>C</stp>
        <stp>0</stp>
        <stp>KR103501GAC4</stp>
        <stp>세전수익률</stp>
        <stp>44361</stp>
        <stp>9939</stp>
        <stp>세전단가</stp>
        <tr r="R42" s="2"/>
        <tr r="R85" s="2"/>
      </tp>
      <tp>
        <v>2.19</v>
        <stp/>
        <stp>C</stp>
        <stp>0</stp>
        <stp>KR103502GA91</stp>
        <stp>세전수익률</stp>
        <stp>44361</stp>
        <stp>8959</stp>
        <stp>세전단가</stp>
        <tr r="AH32" s="2"/>
        <tr r="AH75" s="2"/>
      </tp>
      <tp>
        <v>1.165</v>
        <stp/>
        <stp>C</stp>
        <stp>0</stp>
        <stp>KR103501GAC4</stp>
        <stp>세전수익률</stp>
        <stp>44361</stp>
        <stp>9930</stp>
        <stp>세전단가</stp>
        <tr r="R33" s="2"/>
        <tr r="R76" s="2"/>
      </tp>
      <tp>
        <v>2.1970000000000001</v>
        <stp/>
        <stp>C</stp>
        <stp>0</stp>
        <stp>KR103502GA91</stp>
        <stp>세전수익률</stp>
        <stp>44361</stp>
        <stp>8950</stp>
        <stp>세전단가</stp>
        <tr r="AH21" s="2"/>
        <tr r="AH64" s="2"/>
      </tp>
      <tp>
        <v>1.0369999999999999</v>
        <stp/>
        <stp>C</stp>
        <stp>0</stp>
        <stp>KR103503GB32</stp>
        <stp>세전수익률</stp>
        <stp>44361</stp>
        <stp>9970</stp>
        <stp>세전단가</stp>
        <tr r="J36" s="2"/>
        <tr r="J79" s="2"/>
      </tp>
      <tp>
        <v>1.1599999999999999</v>
        <stp/>
        <stp>C</stp>
        <stp>0</stp>
        <stp>KR103501GAC4</stp>
        <stp>세전수익률</stp>
        <stp>44361</stp>
        <stp>9931</stp>
        <stp>세전단가</stp>
        <tr r="R34" s="2"/>
        <tr r="R77" s="2"/>
      </tp>
      <tp>
        <v>2.1960000000000002</v>
        <stp/>
        <stp>C</stp>
        <stp>0</stp>
        <stp>KR103502GA91</stp>
        <stp>세전수익률</stp>
        <stp>44361</stp>
        <stp>8951</stp>
        <stp>세전단가</stp>
        <tr r="AH22" s="2"/>
        <tr r="AH65" s="2"/>
      </tp>
      <tp>
        <v>1.032</v>
        <stp/>
        <stp>C</stp>
        <stp>0</stp>
        <stp>KR103503GB32</stp>
        <stp>세전수익률</stp>
        <stp>44361</stp>
        <stp>9971</stp>
        <stp>세전단가</stp>
        <tr r="J37" s="2"/>
        <tr r="J80" s="2"/>
      </tp>
      <tp>
        <v>1.1559999999999999</v>
        <stp/>
        <stp>C</stp>
        <stp>0</stp>
        <stp>KR103501GAC4</stp>
        <stp>세전수익률</stp>
        <stp>44361</stp>
        <stp>9932</stp>
        <stp>세전단가</stp>
        <tr r="R35" s="2"/>
        <tr r="R78" s="2"/>
      </tp>
      <tp>
        <v>2.1949999999999998</v>
        <stp/>
        <stp>C</stp>
        <stp>0</stp>
        <stp>KR103502GA91</stp>
        <stp>세전수익률</stp>
        <stp>44361</stp>
        <stp>8952</stp>
        <stp>세전단가</stp>
        <tr r="AH23" s="2"/>
        <tr r="AH66" s="2"/>
      </tp>
      <tp>
        <v>1.026</v>
        <stp/>
        <stp>C</stp>
        <stp>0</stp>
        <stp>KR103503GB32</stp>
        <stp>세전수익률</stp>
        <stp>44361</stp>
        <stp>9972</stp>
        <stp>세전단가</stp>
        <tr r="J38" s="2"/>
        <tr r="J81" s="2"/>
      </tp>
      <tp>
        <v>1.1519999999999999</v>
        <stp/>
        <stp>C</stp>
        <stp>0</stp>
        <stp>KR103501GAC4</stp>
        <stp>세전수익률</stp>
        <stp>44361</stp>
        <stp>9933</stp>
        <stp>세전단가</stp>
        <tr r="R36" s="2"/>
        <tr r="R79" s="2"/>
      </tp>
      <tp>
        <v>2.1949999999999998</v>
        <stp/>
        <stp>C</stp>
        <stp>0</stp>
        <stp>KR103502GA91</stp>
        <stp>세전수익률</stp>
        <stp>44361</stp>
        <stp>8953</stp>
        <stp>세전단가</stp>
        <tr r="AH24" s="2"/>
        <tr r="AH67" s="2"/>
      </tp>
      <tp>
        <v>1.02</v>
        <stp/>
        <stp>C</stp>
        <stp>0</stp>
        <stp>KR103503GB32</stp>
        <stp>세전수익률</stp>
        <stp>44361</stp>
        <stp>9973</stp>
        <stp>세전단가</stp>
        <tr r="J39" s="2"/>
        <tr r="J82" s="2"/>
      </tp>
      <tp>
        <v>1.1479999999999999</v>
        <stp/>
        <stp>C</stp>
        <stp>0</stp>
        <stp>KR103501GAC4</stp>
        <stp>세전수익률</stp>
        <stp>44361</stp>
        <stp>9934</stp>
        <stp>세전단가</stp>
        <tr r="R37" s="2"/>
        <tr r="R80" s="2"/>
      </tp>
      <tp>
        <v>2.194</v>
        <stp/>
        <stp>C</stp>
        <stp>0</stp>
        <stp>KR103502GA91</stp>
        <stp>세전수익률</stp>
        <stp>44361</stp>
        <stp>8954</stp>
        <stp>세전단가</stp>
        <tr r="AH25" s="2"/>
        <tr r="AH68" s="2"/>
      </tp>
      <tp>
        <v>1.014</v>
        <stp/>
        <stp>C</stp>
        <stp>0</stp>
        <stp>KR103503GB32</stp>
        <stp>세전수익률</stp>
        <stp>44361</stp>
        <stp>9974</stp>
        <stp>세전단가</stp>
        <tr r="J40" s="2"/>
        <tr r="J83" s="2"/>
      </tp>
      <tp>
        <v>1.1439999999999999</v>
        <stp/>
        <stp>C</stp>
        <stp>0</stp>
        <stp>KR103501GAC4</stp>
        <stp>세전수익률</stp>
        <stp>44361</stp>
        <stp>9935</stp>
        <stp>세전단가</stp>
        <tr r="R38" s="2"/>
        <tr r="R81" s="2"/>
      </tp>
      <tp>
        <v>2.1930000000000001</v>
        <stp/>
        <stp>C</stp>
        <stp>0</stp>
        <stp>KR103502GA91</stp>
        <stp>세전수익률</stp>
        <stp>44361</stp>
        <stp>8955</stp>
        <stp>세전단가</stp>
        <tr r="AH27" s="2"/>
        <tr r="AH70" s="2"/>
      </tp>
      <tp>
        <v>1.008</v>
        <stp/>
        <stp>C</stp>
        <stp>0</stp>
        <stp>KR103503GB32</stp>
        <stp>세전수익률</stp>
        <stp>44361</stp>
        <stp>9975</stp>
        <stp>세전단가</stp>
        <tr r="J41" s="2"/>
        <tr r="J84" s="2"/>
      </tp>
      <tp>
        <v>1.1399999999999999</v>
        <stp/>
        <stp>C</stp>
        <stp>0</stp>
        <stp>KR103501GAC4</stp>
        <stp>세전수익률</stp>
        <stp>44361</stp>
        <stp>9936</stp>
        <stp>세전단가</stp>
        <tr r="R39" s="2"/>
        <tr r="R82" s="2"/>
      </tp>
      <tp>
        <v>2.1920000000000002</v>
        <stp/>
        <stp>C</stp>
        <stp>0</stp>
        <stp>KR103502GA91</stp>
        <stp>세전수익률</stp>
        <stp>44361</stp>
        <stp>8956</stp>
        <stp>세전단가</stp>
        <tr r="AH29" s="2"/>
        <tr r="AH72" s="2"/>
      </tp>
      <tp>
        <v>1.0029999999999999</v>
        <stp/>
        <stp>C</stp>
        <stp>0</stp>
        <stp>KR103503GB32</stp>
        <stp>세전수익률</stp>
        <stp>44361</stp>
        <stp>9976</stp>
        <stp>세전단가</stp>
        <tr r="J42" s="2"/>
        <tr r="J85" s="2"/>
      </tp>
      <tp>
        <v>1.1359999999999999</v>
        <stp/>
        <stp>C</stp>
        <stp>0</stp>
        <stp>KR103501GAC4</stp>
        <stp>세전수익률</stp>
        <stp>44361</stp>
        <stp>9937</stp>
        <stp>세전단가</stp>
        <tr r="R40" s="2"/>
        <tr r="R83" s="2"/>
      </tp>
      <tp>
        <v>2.1920000000000002</v>
        <stp/>
        <stp>C</stp>
        <stp>0</stp>
        <stp>KR103502GA91</stp>
        <stp>세전수익률</stp>
        <stp>44361</stp>
        <stp>8957</stp>
        <stp>세전단가</stp>
        <tr r="AH30" s="2"/>
        <tr r="AH73" s="2"/>
      </tp>
      <tp>
        <v>0.997</v>
        <stp/>
        <stp>C</stp>
        <stp>0</stp>
        <stp>KR103503GB32</stp>
        <stp>세전수익률</stp>
        <stp>44361</stp>
        <stp>9977</stp>
        <stp>세전단가</stp>
        <tr r="J43" s="2"/>
        <tr r="J86" s="2"/>
      </tp>
      <tp>
        <v>2.097</v>
        <stp/>
        <stp>C</stp>
        <stp>0</stp>
        <stp>KR103502GAC2</stp>
        <stp>세전수익률</stp>
        <stp>44358</stp>
        <stp>9488</stp>
        <stp>세전단가</stp>
        <tr r="W16" s="2"/>
        <tr r="W59" s="2"/>
      </tp>
      <tp>
        <v>2.0960000000000001</v>
        <stp/>
        <stp>C</stp>
        <stp>0</stp>
        <stp>KR103502GAC2</stp>
        <stp>세전수익률</stp>
        <stp>44358</stp>
        <stp>9489</stp>
        <stp>세전단가</stp>
        <tr r="W17" s="2"/>
        <tr r="W60" s="2"/>
      </tp>
      <tp>
        <v>2.073</v>
        <stp/>
        <stp>C</stp>
        <stp>0</stp>
        <stp>KR103502GAC2</stp>
        <stp>세전수익률</stp>
        <stp>44361</stp>
        <stp>9510</stp>
        <stp>세전단가</stp>
        <tr r="Z40" s="2"/>
        <tr r="Z83" s="2"/>
      </tp>
      <tp>
        <v>1.1240000000000001</v>
        <stp/>
        <stp>C</stp>
        <stp>0</stp>
        <stp>KR103501GAC4</stp>
        <stp>세전수익률</stp>
        <stp>44361</stp>
        <stp>9940</stp>
        <stp>세전단가</stp>
        <tr r="R43" s="2"/>
        <tr r="R86" s="2"/>
      </tp>
      <tp>
        <v>2.0720000000000001</v>
        <stp/>
        <stp>C</stp>
        <stp>0</stp>
        <stp>KR103502GAC2</stp>
        <stp>세전수익률</stp>
        <stp>44361</stp>
        <stp>9511</stp>
        <stp>세전단가</stp>
        <tr r="Z41" s="2"/>
        <tr r="Z84" s="2"/>
      </tp>
      <tp>
        <v>2.0710000000000002</v>
        <stp/>
        <stp>C</stp>
        <stp>0</stp>
        <stp>KR103502GAC2</stp>
        <stp>세전수익률</stp>
        <stp>44361</stp>
        <stp>9512</stp>
        <stp>세전단가</stp>
        <tr r="Z42" s="2"/>
        <tr r="Z85" s="2"/>
      </tp>
      <tp>
        <v>2.069</v>
        <stp/>
        <stp>C</stp>
        <stp>0</stp>
        <stp>KR103502GAC2</stp>
        <stp>세전수익률</stp>
        <stp>44361</stp>
        <stp>9513</stp>
        <stp>세전단가</stp>
        <tr r="Z43" s="2"/>
        <tr r="Z86" s="2"/>
      </tp>
      <tp>
        <v>2.1030000000000002</v>
        <stp/>
        <stp>C</stp>
        <stp>0</stp>
        <stp>KR103502GAC2</stp>
        <stp>세전수익률</stp>
        <stp>44358</stp>
        <stp>9483</stp>
        <stp>세전단가</stp>
        <tr r="W11" s="2"/>
        <tr r="W54" s="2"/>
      </tp>
      <tp>
        <v>2.1019999999999999</v>
        <stp/>
        <stp>C</stp>
        <stp>0</stp>
        <stp>KR103502GAC2</stp>
        <stp>세전수익률</stp>
        <stp>44358</stp>
        <stp>9484</stp>
        <stp>세전단가</stp>
        <tr r="W12" s="2"/>
        <tr r="W55" s="2"/>
      </tp>
      <tp>
        <v>2.101</v>
        <stp/>
        <stp>C</stp>
        <stp>0</stp>
        <stp>KR103502GAC2</stp>
        <stp>세전수익률</stp>
        <stp>44358</stp>
        <stp>9485</stp>
        <stp>세전단가</stp>
        <tr r="W13" s="2"/>
        <tr r="W56" s="2"/>
      </tp>
      <tp>
        <v>2.1</v>
        <stp/>
        <stp>C</stp>
        <stp>0</stp>
        <stp>KR103502GAC2</stp>
        <stp>세전수익률</stp>
        <stp>44358</stp>
        <stp>9486</stp>
        <stp>세전단가</stp>
        <tr r="W14" s="2"/>
        <tr r="W57" s="2"/>
      </tp>
      <tp>
        <v>2.0990000000000002</v>
        <stp/>
        <stp>C</stp>
        <stp>0</stp>
        <stp>KR103502GAC2</stp>
        <stp>세전수익률</stp>
        <stp>44358</stp>
        <stp>9487</stp>
        <stp>세전단가</stp>
        <tr r="W15" s="2"/>
        <tr r="W58" s="2"/>
      </tp>
      <tp>
        <v>2.0750000000000002</v>
        <stp/>
        <stp>C</stp>
        <stp>0</stp>
        <stp>KR103502GAC2</stp>
        <stp>세전수익률</stp>
        <stp>44361</stp>
        <stp>9508</stp>
        <stp>세전단가</stp>
        <tr r="Z38" s="2"/>
        <tr r="Z81" s="2"/>
      </tp>
      <tp>
        <v>2.085</v>
        <stp/>
        <stp>C</stp>
        <stp>0</stp>
        <stp>KR103502GAC2</stp>
        <stp>세전수익률</stp>
        <stp>44358</stp>
        <stp>9498</stp>
        <stp>세전단가</stp>
        <tr r="W27" s="2"/>
        <tr r="W70" s="2"/>
      </tp>
      <tp>
        <v>2.0739999999999998</v>
        <stp/>
        <stp>C</stp>
        <stp>0</stp>
        <stp>KR103502GAC2</stp>
        <stp>세전수익률</stp>
        <stp>44361</stp>
        <stp>9509</stp>
        <stp>세전단가</stp>
        <tr r="Z39" s="2"/>
        <tr r="Z82" s="2"/>
      </tp>
      <tp>
        <v>2.0840000000000001</v>
        <stp/>
        <stp>C</stp>
        <stp>0</stp>
        <stp>KR103502GAC2</stp>
        <stp>세전수익률</stp>
        <stp>44358</stp>
        <stp>9499</stp>
        <stp>세전단가</stp>
        <tr r="W29" s="2"/>
        <tr r="W72" s="2"/>
      </tp>
      <tp>
        <v>2.085</v>
        <stp/>
        <stp>C</stp>
        <stp>0</stp>
        <stp>KR103502GAC2</stp>
        <stp>세전수익률</stp>
        <stp>44361</stp>
        <stp>9500</stp>
        <stp>세전단가</stp>
        <tr r="Z30" s="2"/>
        <tr r="Z73" s="2"/>
      </tp>
      <tp>
        <v>2.0950000000000002</v>
        <stp/>
        <stp>C</stp>
        <stp>0</stp>
        <stp>KR103502GAC2</stp>
        <stp>세전수익률</stp>
        <stp>44358</stp>
        <stp>9490</stp>
        <stp>세전단가</stp>
        <tr r="W18" s="2"/>
        <tr r="W61" s="2"/>
      </tp>
      <tp>
        <v>2.0840000000000001</v>
        <stp/>
        <stp>C</stp>
        <stp>0</stp>
        <stp>KR103502GAC2</stp>
        <stp>세전수익률</stp>
        <stp>44361</stp>
        <stp>9501</stp>
        <stp>세전단가</stp>
        <tr r="Z31" s="2"/>
        <tr r="Z74" s="2"/>
      </tp>
      <tp>
        <v>2.0939999999999999</v>
        <stp/>
        <stp>C</stp>
        <stp>0</stp>
        <stp>KR103502GAC2</stp>
        <stp>세전수익률</stp>
        <stp>44358</stp>
        <stp>9491</stp>
        <stp>세전단가</stp>
        <tr r="W19" s="2"/>
        <tr r="W62" s="2"/>
      </tp>
      <tp>
        <v>2.0819999999999999</v>
        <stp/>
        <stp>C</stp>
        <stp>0</stp>
        <stp>KR103502GAC2</stp>
        <stp>세전수익률</stp>
        <stp>44361</stp>
        <stp>9502</stp>
        <stp>세전단가</stp>
        <tr r="Z32" s="2"/>
        <tr r="Z75" s="2"/>
      </tp>
      <tp>
        <v>2.093</v>
        <stp/>
        <stp>C</stp>
        <stp>0</stp>
        <stp>KR103502GAC2</stp>
        <stp>세전수익률</stp>
        <stp>44358</stp>
        <stp>9492</stp>
        <stp>세전단가</stp>
        <tr r="W20" s="2"/>
        <tr r="W63" s="2"/>
      </tp>
      <tp>
        <v>2.081</v>
        <stp/>
        <stp>C</stp>
        <stp>0</stp>
        <stp>KR103502GAC2</stp>
        <stp>세전수익률</stp>
        <stp>44361</stp>
        <stp>9503</stp>
        <stp>세전단가</stp>
        <tr r="Z33" s="2"/>
        <tr r="Z76" s="2"/>
      </tp>
      <tp>
        <v>2.0910000000000002</v>
        <stp/>
        <stp>C</stp>
        <stp>0</stp>
        <stp>KR103502GAC2</stp>
        <stp>세전수익률</stp>
        <stp>44358</stp>
        <stp>9493</stp>
        <stp>세전단가</stp>
        <tr r="W21" s="2"/>
        <tr r="W64" s="2"/>
      </tp>
      <tp>
        <v>2.08</v>
        <stp/>
        <stp>C</stp>
        <stp>0</stp>
        <stp>KR103502GAC2</stp>
        <stp>세전수익률</stp>
        <stp>44361</stp>
        <stp>9504</stp>
        <stp>세전단가</stp>
        <tr r="Z34" s="2"/>
        <tr r="Z77" s="2"/>
      </tp>
      <tp>
        <v>2.09</v>
        <stp/>
        <stp>C</stp>
        <stp>0</stp>
        <stp>KR103502GAC2</stp>
        <stp>세전수익률</stp>
        <stp>44358</stp>
        <stp>9494</stp>
        <stp>세전단가</stp>
        <tr r="W22" s="2"/>
        <tr r="W65" s="2"/>
      </tp>
      <tp>
        <v>2.0790000000000002</v>
        <stp/>
        <stp>C</stp>
        <stp>0</stp>
        <stp>KR103502GAC2</stp>
        <stp>세전수익률</stp>
        <stp>44361</stp>
        <stp>9505</stp>
        <stp>세전단가</stp>
        <tr r="Z35" s="2"/>
        <tr r="Z78" s="2"/>
      </tp>
      <tp>
        <v>2.089</v>
        <stp/>
        <stp>C</stp>
        <stp>0</stp>
        <stp>KR103502GAC2</stp>
        <stp>세전수익률</stp>
        <stp>44358</stp>
        <stp>9495</stp>
        <stp>세전단가</stp>
        <tr r="W23" s="2"/>
        <tr r="W66" s="2"/>
      </tp>
      <tp>
        <v>2.0779999999999998</v>
        <stp/>
        <stp>C</stp>
        <stp>0</stp>
        <stp>KR103502GAC2</stp>
        <stp>세전수익률</stp>
        <stp>44361</stp>
        <stp>9506</stp>
        <stp>세전단가</stp>
        <tr r="Z36" s="2"/>
        <tr r="Z79" s="2"/>
      </tp>
      <tp>
        <v>2.0880000000000001</v>
        <stp/>
        <stp>C</stp>
        <stp>0</stp>
        <stp>KR103502GAC2</stp>
        <stp>세전수익률</stp>
        <stp>44358</stp>
        <stp>9496</stp>
        <stp>세전단가</stp>
        <tr r="W24" s="2"/>
        <tr r="W67" s="2"/>
      </tp>
      <tp>
        <v>2.0760000000000001</v>
        <stp/>
        <stp>C</stp>
        <stp>0</stp>
        <stp>KR103502GAC2</stp>
        <stp>세전수익률</stp>
        <stp>44361</stp>
        <stp>9507</stp>
        <stp>세전단가</stp>
        <tr r="Z37" s="2"/>
        <tr r="Z80" s="2"/>
      </tp>
      <tp>
        <v>2.0870000000000002</v>
        <stp/>
        <stp>C</stp>
        <stp>0</stp>
        <stp>KR103502GAC2</stp>
        <stp>세전수익률</stp>
        <stp>44358</stp>
        <stp>9497</stp>
        <stp>세전단가</stp>
        <tr r="W25" s="2"/>
        <tr r="W68" s="2"/>
      </tp>
      <tp>
        <v>8985.16</v>
        <stp/>
        <stp>C</stp>
        <stp>0</stp>
        <stp>KR103502GA91</stp>
        <stp>세전단가</stp>
        <stp>44358</stp>
        <stp>2.172</stp>
        <stp/>
        <tr r="AB67" s="1"/>
        <tr r="AB24" s="1"/>
      </tp>
      <tp>
        <v>9133.58</v>
        <stp/>
        <stp>C</stp>
        <stp>0</stp>
        <stp>KR103502GA91</stp>
        <stp>세전단가</stp>
        <stp>44358</stp>
        <stp>2.072</stp>
        <stp/>
        <tr r="AB14" s="1"/>
        <tr r="AB57" s="1"/>
      </tp>
      <tp>
        <v>8839.4699999999993</v>
        <stp/>
        <stp>C</stp>
        <stp>0</stp>
        <stp>KR103502GA91</stp>
        <stp>세전단가</stp>
        <stp>44358</stp>
        <stp>2.272</stp>
        <stp/>
        <tr r="AB36" s="1"/>
        <tr r="AB79" s="1"/>
      </tp>
      <tp>
        <v>9135.1200000000008</v>
        <stp/>
        <stp>C</stp>
        <stp>0</stp>
        <stp>KR103502GA91</stp>
        <stp>세전단가</stp>
        <stp>44361</stp>
        <stp>2.072</stp>
        <stp/>
        <tr r="AD57" s="1"/>
        <tr r="AD14" s="1"/>
      </tp>
      <tp>
        <v>8986.74</v>
        <stp/>
        <stp>C</stp>
        <stp>0</stp>
        <stp>KR103502GA91</stp>
        <stp>세전단가</stp>
        <stp>44361</stp>
        <stp>2.172</stp>
        <stp/>
        <tr r="AD67" s="1"/>
        <tr r="AD24" s="1"/>
      </tp>
      <tp>
        <v>8841.1</v>
        <stp/>
        <stp>C</stp>
        <stp>0</stp>
        <stp>KR103502GA91</stp>
        <stp>세전단가</stp>
        <stp>44361</stp>
        <stp>2.272</stp>
        <stp/>
        <tr r="AD36" s="1"/>
        <tr r="AD79" s="1"/>
      </tp>
      <tp>
        <v>9448.85</v>
        <stp/>
        <stp>C</stp>
        <stp>0</stp>
        <stp>KR103502GAC2</stp>
        <stp>세전단가</stp>
        <stp>44358</stp>
        <stp>2.145</stp>
        <stp/>
        <tr r="U77" s="1"/>
        <tr r="U34" s="1"/>
      </tp>
      <tp>
        <v>9532.1299999999992</v>
        <stp/>
        <stp>C</stp>
        <stp>0</stp>
        <stp>KR103502GAC2</stp>
        <stp>세전단가</stp>
        <stp>44358</stp>
        <stp>2.045</stp>
        <stp/>
        <tr r="U22" s="1"/>
        <tr r="U65" s="1"/>
      </tp>
      <tp>
        <v>9533.7099999999991</v>
        <stp/>
        <stp>C</stp>
        <stp>0</stp>
        <stp>KR103502GAC2</stp>
        <stp>세전단가</stp>
        <stp>44361</stp>
        <stp>2.045</stp>
        <stp/>
        <tr r="W65" s="1"/>
        <tr r="W22" s="1"/>
      </tp>
      <tp>
        <v>9450.5</v>
        <stp/>
        <stp>C</stp>
        <stp>0</stp>
        <stp>KR103502GAC2</stp>
        <stp>세전단가</stp>
        <stp>44361</stp>
        <stp>2.145</stp>
        <stp/>
        <tr r="W34" s="1"/>
        <tr r="W77" s="1"/>
      </tp>
      <tp>
        <v>9616.2099999999991</v>
        <stp/>
        <stp>C</stp>
        <stp>0</stp>
        <stp>KR103502GAC2</stp>
        <stp>세전단가</stp>
        <stp>44358</stp>
        <stp>1.945</stp>
        <stp/>
        <tr r="U55" s="1"/>
        <tr r="U12" s="1"/>
      </tp>
      <tp>
        <v>9967.08</v>
        <stp/>
        <stp>C</stp>
        <stp>0</stp>
        <stp>KR103503GB32</stp>
        <stp>세전단가</stp>
        <stp>44361</stp>
        <stp>1.055</stp>
        <stp/>
        <tr r="I24" s="1"/>
        <tr r="I67" s="1"/>
      </tp>
      <tp>
        <v>9949.9599999999991</v>
        <stp/>
        <stp>C</stp>
        <stp>0</stp>
        <stp>KR103503GB32</stp>
        <stp>세전단가</stp>
        <stp>44361</stp>
        <stp>1.155</stp>
        <stp/>
        <tr r="I36" s="1"/>
        <tr r="I79" s="1"/>
      </tp>
      <tp>
        <v>9617.73</v>
        <stp/>
        <stp>C</stp>
        <stp>0</stp>
        <stp>KR103502GAC2</stp>
        <stp>세전단가</stp>
        <stp>44361</stp>
        <stp>1.945</stp>
        <stp/>
        <tr r="W12" s="1"/>
        <tr r="W55" s="1"/>
      </tp>
      <tp>
        <v>9949.02</v>
        <stp/>
        <stp>C</stp>
        <stp>0</stp>
        <stp>KR103503GB32</stp>
        <stp>세전단가</stp>
        <stp>44358</stp>
        <stp>1.155</stp>
        <stp/>
        <tr r="G36" s="1"/>
        <tr r="G79" s="1"/>
      </tp>
      <tp>
        <v>9966.2199999999993</v>
        <stp/>
        <stp>C</stp>
        <stp>0</stp>
        <stp>KR103503GB32</stp>
        <stp>세전단가</stp>
        <stp>44358</stp>
        <stp>1.055</stp>
        <stp/>
        <tr r="G24" s="1"/>
        <tr r="G67" s="1"/>
      </tp>
      <tp>
        <v>9984.24</v>
        <stp/>
        <stp>C</stp>
        <stp>0</stp>
        <stp>KR103503GB32</stp>
        <stp>세전단가</stp>
        <stp>44361</stp>
        <stp>0.955</stp>
        <stp/>
        <tr r="I14" s="1"/>
        <tr r="I57" s="1"/>
      </tp>
      <tp>
        <v>9983.4599999999991</v>
        <stp/>
        <stp>C</stp>
        <stp>0</stp>
        <stp>KR103503GB32</stp>
        <stp>세전단가</stp>
        <stp>44358</stp>
        <stp>0.955</stp>
        <stp/>
        <tr r="G14" s="1"/>
        <tr r="G57" s="1"/>
      </tp>
      <tp>
        <v>8999.8799999999992</v>
        <stp/>
        <stp>C</stp>
        <stp>0</stp>
        <stp>KR103502GA91</stp>
        <stp>세전단가</stp>
        <stp>44358</stp>
        <stp>2.162</stp>
        <stp/>
        <tr r="AB66" s="1"/>
        <tr r="AB23" s="1"/>
      </tp>
      <tp>
        <v>9148.58</v>
        <stp/>
        <stp>C</stp>
        <stp>0</stp>
        <stp>KR103502GA91</stp>
        <stp>세전단가</stp>
        <stp>44358</stp>
        <stp>2.062</stp>
        <stp/>
        <tr r="AB13" s="1"/>
        <tr r="AB56" s="1"/>
      </tp>
      <tp>
        <v>8853.92</v>
        <stp/>
        <stp>C</stp>
        <stp>0</stp>
        <stp>KR103502GA91</stp>
        <stp>세전단가</stp>
        <stp>44358</stp>
        <stp>2.262</stp>
        <stp/>
        <tr r="AB35" s="1"/>
        <tr r="AB78" s="1"/>
      </tp>
      <tp>
        <v>9150.11</v>
        <stp/>
        <stp>C</stp>
        <stp>0</stp>
        <stp>KR103502GA91</stp>
        <stp>세전단가</stp>
        <stp>44361</stp>
        <stp>2.062</stp>
        <stp/>
        <tr r="AD13" s="1"/>
        <tr r="AD56" s="1"/>
      </tp>
      <tp>
        <v>9001.4599999999991</v>
        <stp/>
        <stp>C</stp>
        <stp>0</stp>
        <stp>KR103502GA91</stp>
        <stp>세전단가</stp>
        <stp>44361</stp>
        <stp>2.162</stp>
        <stp/>
        <tr r="AD66" s="1"/>
        <tr r="AD23" s="1"/>
      </tp>
      <tp>
        <v>8855.5400000000009</v>
        <stp/>
        <stp>C</stp>
        <stp>0</stp>
        <stp>KR103502GA91</stp>
        <stp>세전단가</stp>
        <stp>44361</stp>
        <stp>2.262</stp>
        <stp/>
        <tr r="AD78" s="1"/>
        <tr r="AD35" s="1"/>
      </tp>
      <tp>
        <v>9440.57</v>
        <stp/>
        <stp>C</stp>
        <stp>0</stp>
        <stp>KR103502GAC2</stp>
        <stp>세전단가</stp>
        <stp>44358</stp>
        <stp>2.155</stp>
        <stp/>
        <tr r="U35" s="1"/>
        <tr r="U78" s="1"/>
      </tp>
      <tp>
        <v>9523.76</v>
        <stp/>
        <stp>C</stp>
        <stp>0</stp>
        <stp>KR103502GAC2</stp>
        <stp>세전단가</stp>
        <stp>44358</stp>
        <stp>2.055</stp>
        <stp/>
        <tr r="U66" s="1"/>
        <tr r="U23" s="1"/>
      </tp>
      <tp>
        <v>9525.35</v>
        <stp/>
        <stp>C</stp>
        <stp>0</stp>
        <stp>KR103502GAC2</stp>
        <stp>세전단가</stp>
        <stp>44361</stp>
        <stp>2.055</stp>
        <stp/>
        <tr r="W23" s="1"/>
        <tr r="W66" s="1"/>
      </tp>
      <tp>
        <v>9442.2199999999993</v>
        <stp/>
        <stp>C</stp>
        <stp>0</stp>
        <stp>KR103502GAC2</stp>
        <stp>세전단가</stp>
        <stp>44361</stp>
        <stp>2.155</stp>
        <stp/>
        <tr r="W78" s="1"/>
        <tr r="W35" s="1"/>
      </tp>
      <tp>
        <v>9607.76</v>
        <stp/>
        <stp>C</stp>
        <stp>0</stp>
        <stp>KR103502GAC2</stp>
        <stp>세전단가</stp>
        <stp>44358</stp>
        <stp>1.955</stp>
        <stp/>
        <tr r="U56" s="1"/>
        <tr r="U13" s="1"/>
      </tp>
      <tp>
        <v>9968.7900000000009</v>
        <stp/>
        <stp>C</stp>
        <stp>0</stp>
        <stp>KR103503GB32</stp>
        <stp>세전단가</stp>
        <stp>44361</stp>
        <stp>1.045</stp>
        <stp/>
        <tr r="I23" s="1"/>
        <tr r="I66" s="1"/>
      </tp>
      <tp>
        <v>9951.67</v>
        <stp/>
        <stp>C</stp>
        <stp>0</stp>
        <stp>KR103503GB32</stp>
        <stp>세전단가</stp>
        <stp>44361</stp>
        <stp>1.145</stp>
        <stp/>
        <tr r="I35" s="1"/>
        <tr r="I78" s="1"/>
      </tp>
      <tp>
        <v>9609.2900000000009</v>
        <stp/>
        <stp>C</stp>
        <stp>0</stp>
        <stp>KR103502GAC2</stp>
        <stp>세전단가</stp>
        <stp>44361</stp>
        <stp>1.955</stp>
        <stp/>
        <tr r="W13" s="1"/>
        <tr r="W56" s="1"/>
      </tp>
      <tp>
        <v>9950.74</v>
        <stp/>
        <stp>C</stp>
        <stp>0</stp>
        <stp>KR103503GB32</stp>
        <stp>세전단가</stp>
        <stp>44358</stp>
        <stp>1.145</stp>
        <stp/>
        <tr r="G35" s="1"/>
        <tr r="G78" s="1"/>
      </tp>
      <tp>
        <v>9967.9500000000007</v>
        <stp/>
        <stp>C</stp>
        <stp>0</stp>
        <stp>KR103503GB32</stp>
        <stp>세전단가</stp>
        <stp>44358</stp>
        <stp>1.045</stp>
        <stp/>
        <tr r="G23" s="1"/>
        <tr r="G66" s="1"/>
      </tp>
      <tp>
        <v>9985.9500000000007</v>
        <stp/>
        <stp>C</stp>
        <stp>0</stp>
        <stp>KR103503GB32</stp>
        <stp>세전단가</stp>
        <stp>44361</stp>
        <stp>0.945</stp>
        <stp/>
        <tr r="I13" s="1"/>
        <tr r="I56" s="1"/>
      </tp>
      <tp>
        <v>9985.19</v>
        <stp/>
        <stp>C</stp>
        <stp>0</stp>
        <stp>KR103503GB32</stp>
        <stp>세전단가</stp>
        <stp>44358</stp>
        <stp>0.945</stp>
        <stp/>
        <tr r="G13" s="1"/>
        <tr r="G56" s="1"/>
      </tp>
      <tp>
        <v>9014.6299999999992</v>
        <stp/>
        <stp>C</stp>
        <stp>0</stp>
        <stp>KR103502GA91</stp>
        <stp>세전단가</stp>
        <stp>44358</stp>
        <stp>2.152</stp>
        <stp/>
        <tr r="AB22" s="1"/>
        <tr r="AB65" s="1"/>
      </tp>
      <tp>
        <v>9163.6</v>
        <stp/>
        <stp>C</stp>
        <stp>0</stp>
        <stp>KR103502GA91</stp>
        <stp>세전단가</stp>
        <stp>44358</stp>
        <stp>2.052</stp>
        <stp/>
        <tr r="AB12" s="1"/>
        <tr r="AB55" s="1"/>
      </tp>
      <tp>
        <v>8868.39</v>
        <stp/>
        <stp>C</stp>
        <stp>0</stp>
        <stp>KR103502GA91</stp>
        <stp>세전단가</stp>
        <stp>44358</stp>
        <stp>2.252</stp>
        <stp/>
        <tr r="AB77" s="1"/>
        <tr r="AB34" s="1"/>
      </tp>
      <tp>
        <v>9165.1299999999992</v>
        <stp/>
        <stp>C</stp>
        <stp>0</stp>
        <stp>KR103502GA91</stp>
        <stp>세전단가</stp>
        <stp>44361</stp>
        <stp>2.052</stp>
        <stp/>
        <tr r="AD55" s="1"/>
        <tr r="AD12" s="1"/>
      </tp>
      <tp>
        <v>9016.2000000000007</v>
        <stp/>
        <stp>C</stp>
        <stp>0</stp>
        <stp>KR103502GA91</stp>
        <stp>세전단가</stp>
        <stp>44361</stp>
        <stp>2.152</stp>
        <stp/>
        <tr r="AD22" s="1"/>
        <tr r="AD65" s="1"/>
      </tp>
      <tp>
        <v>8870.01</v>
        <stp/>
        <stp>C</stp>
        <stp>0</stp>
        <stp>KR103502GA91</stp>
        <stp>세전단가</stp>
        <stp>44361</stp>
        <stp>2.252</stp>
        <stp/>
        <tr r="AD77" s="1"/>
        <tr r="AD34" s="1"/>
      </tp>
      <tp>
        <v>9432.2999999999993</v>
        <stp/>
        <stp>C</stp>
        <stp>0</stp>
        <stp>KR103502GAC2</stp>
        <stp>세전단가</stp>
        <stp>44358</stp>
        <stp>2.165</stp>
        <stp/>
        <tr r="U36" s="1"/>
        <tr r="U79" s="1"/>
      </tp>
      <tp>
        <v>9515.41</v>
        <stp/>
        <stp>C</stp>
        <stp>0</stp>
        <stp>KR103502GAC2</stp>
        <stp>세전단가</stp>
        <stp>44358</stp>
        <stp>2.065</stp>
        <stp/>
        <tr r="U24" s="1"/>
        <tr r="U67" s="1"/>
      </tp>
      <tp>
        <v>9517</v>
        <stp/>
        <stp>C</stp>
        <stp>0</stp>
        <stp>KR103502GAC2</stp>
        <stp>세전단가</stp>
        <stp>44361</stp>
        <stp>2.065</stp>
        <stp/>
        <tr r="W67" s="1"/>
        <tr r="W24" s="1"/>
      </tp>
      <tp>
        <v>9433.9500000000007</v>
        <stp/>
        <stp>C</stp>
        <stp>0</stp>
        <stp>KR103502GAC2</stp>
        <stp>세전단가</stp>
        <stp>44361</stp>
        <stp>2.165</stp>
        <stp/>
        <tr r="W79" s="1"/>
        <tr r="W36" s="1"/>
      </tp>
      <tp>
        <v>9599.33</v>
        <stp/>
        <stp>C</stp>
        <stp>0</stp>
        <stp>KR103502GAC2</stp>
        <stp>세전단가</stp>
        <stp>44358</stp>
        <stp>1.965</stp>
        <stp/>
        <tr r="U14" s="1"/>
        <tr r="U57" s="1"/>
      </tp>
      <tp>
        <v>9963.65</v>
        <stp/>
        <stp>C</stp>
        <stp>0</stp>
        <stp>KR103503GB32</stp>
        <stp>세전단가</stp>
        <stp>44361</stp>
        <stp>1.075</stp>
        <stp/>
        <tr r="I27" s="1"/>
        <tr r="I70" s="1"/>
      </tp>
      <tp>
        <v>9946.5400000000009</v>
        <stp/>
        <stp>C</stp>
        <stp>0</stp>
        <stp>KR103503GB32</stp>
        <stp>세전단가</stp>
        <stp>44361</stp>
        <stp>1.175</stp>
        <stp/>
        <tr r="I38" s="1"/>
        <tr r="I81" s="1"/>
      </tp>
      <tp>
        <v>9600.86</v>
        <stp/>
        <stp>C</stp>
        <stp>0</stp>
        <stp>KR103502GAC2</stp>
        <stp>세전단가</stp>
        <stp>44361</stp>
        <stp>1.965</stp>
        <stp/>
        <tr r="W14" s="1"/>
        <tr r="W57" s="1"/>
      </tp>
      <tp>
        <v>9945.59</v>
        <stp/>
        <stp>C</stp>
        <stp>0</stp>
        <stp>KR103503GB32</stp>
        <stp>세전단가</stp>
        <stp>44358</stp>
        <stp>1.175</stp>
        <stp/>
        <tr r="G38" s="1"/>
        <tr r="G81" s="1"/>
      </tp>
      <tp>
        <v>9962.7800000000007</v>
        <stp/>
        <stp>C</stp>
        <stp>0</stp>
        <stp>KR103503GB32</stp>
        <stp>세전단가</stp>
        <stp>44358</stp>
        <stp>1.075</stp>
        <stp/>
        <tr r="G27" s="1"/>
        <tr r="G70" s="1"/>
      </tp>
      <tp>
        <v>9980.7999999999993</v>
        <stp/>
        <stp>C</stp>
        <stp>0</stp>
        <stp>KR103503GB32</stp>
        <stp>세전단가</stp>
        <stp>44361</stp>
        <stp>0.975</stp>
        <stp/>
        <tr r="I16" s="1"/>
        <tr r="I59" s="1"/>
      </tp>
      <tp>
        <v>9980.01</v>
        <stp/>
        <stp>C</stp>
        <stp>0</stp>
        <stp>KR103503GB32</stp>
        <stp>세전단가</stp>
        <stp>44358</stp>
        <stp>0.975</stp>
        <stp/>
        <tr r="G16" s="1"/>
        <tr r="G59" s="1"/>
      </tp>
      <tp>
        <v>9029.4</v>
        <stp/>
        <stp>C</stp>
        <stp>0</stp>
        <stp>KR103502GA91</stp>
        <stp>세전단가</stp>
        <stp>44358</stp>
        <stp>2.142</stp>
        <stp/>
        <tr r="AB21" s="1"/>
        <tr r="AB64" s="1"/>
      </tp>
      <tp>
        <v>9178.65</v>
        <stp/>
        <stp>C</stp>
        <stp>0</stp>
        <stp>KR103502GA91</stp>
        <stp>세전단가</stp>
        <stp>44358</stp>
        <stp>2.042</stp>
        <stp/>
        <tr r="AB11" s="1"/>
        <tr r="AB54" s="1"/>
      </tp>
      <tp>
        <v>8739.08</v>
        <stp/>
        <stp>C</stp>
        <stp>0</stp>
        <stp>KR103502GA91</stp>
        <stp>세전단가</stp>
        <stp>44358</stp>
        <stp>2.342</stp>
        <stp/>
        <tr r="AB43" s="1"/>
        <tr r="AB86" s="1"/>
      </tp>
      <tp>
        <v>8882.89</v>
        <stp/>
        <stp>C</stp>
        <stp>0</stp>
        <stp>KR103502GA91</stp>
        <stp>세전단가</stp>
        <stp>44358</stp>
        <stp>2.242</stp>
        <stp/>
        <tr r="AB76" s="1"/>
        <tr r="AB33" s="1"/>
      </tp>
      <tp>
        <v>9180.17</v>
        <stp/>
        <stp>C</stp>
        <stp>0</stp>
        <stp>KR103502GA91</stp>
        <stp>세전단가</stp>
        <stp>44361</stp>
        <stp>2.042</stp>
        <stp/>
        <tr r="AD11" s="1"/>
        <tr r="AD54" s="1"/>
      </tp>
      <tp>
        <v>9030.9699999999993</v>
        <stp/>
        <stp>C</stp>
        <stp>0</stp>
        <stp>KR103502GA91</stp>
        <stp>세전단가</stp>
        <stp>44361</stp>
        <stp>2.142</stp>
        <stp/>
        <tr r="AD64" s="1"/>
        <tr r="AD21" s="1"/>
      </tp>
      <tp>
        <v>8884.51</v>
        <stp/>
        <stp>C</stp>
        <stp>0</stp>
        <stp>KR103502GA91</stp>
        <stp>세전단가</stp>
        <stp>44361</stp>
        <stp>2.242</stp>
        <stp/>
        <tr r="AD76" s="1"/>
        <tr r="AD33" s="1"/>
      </tp>
      <tp>
        <v>8740.74</v>
        <stp/>
        <stp>C</stp>
        <stp>0</stp>
        <stp>KR103502GA91</stp>
        <stp>세전단가</stp>
        <stp>44361</stp>
        <stp>2.342</stp>
        <stp/>
        <tr r="AD86" s="1"/>
        <tr r="AD43" s="1"/>
      </tp>
      <tp>
        <v>9424.0300000000007</v>
        <stp/>
        <stp>C</stp>
        <stp>0</stp>
        <stp>KR103502GAC2</stp>
        <stp>세전단가</stp>
        <stp>44358</stp>
        <stp>2.175</stp>
        <stp/>
        <tr r="U80" s="1"/>
        <tr r="U37" s="1"/>
      </tp>
      <tp>
        <v>9507.06</v>
        <stp/>
        <stp>C</stp>
        <stp>0</stp>
        <stp>KR103502GAC2</stp>
        <stp>세전단가</stp>
        <stp>44358</stp>
        <stp>2.075</stp>
        <stp/>
        <tr r="U68" s="1"/>
        <tr r="U25" s="1"/>
      </tp>
      <tp>
        <v>9508.66</v>
        <stp/>
        <stp>C</stp>
        <stp>0</stp>
        <stp>KR103502GAC2</stp>
        <stp>세전단가</stp>
        <stp>44361</stp>
        <stp>2.075</stp>
        <stp/>
        <tr r="W25" s="1"/>
        <tr r="W68" s="1"/>
      </tp>
      <tp>
        <v>9425.69</v>
        <stp/>
        <stp>C</stp>
        <stp>0</stp>
        <stp>KR103502GAC2</stp>
        <stp>세전단가</stp>
        <stp>44361</stp>
        <stp>2.175</stp>
        <stp/>
        <tr r="W37" s="1"/>
        <tr r="W80" s="1"/>
      </tp>
      <tp>
        <v>9590.9</v>
        <stp/>
        <stp>C</stp>
        <stp>0</stp>
        <stp>KR103502GAC2</stp>
        <stp>세전단가</stp>
        <stp>44358</stp>
        <stp>1.975</stp>
        <stp/>
        <tr r="U58" s="1"/>
        <tr r="U15" s="1"/>
      </tp>
      <tp>
        <v>9965.36</v>
        <stp/>
        <stp>C</stp>
        <stp>0</stp>
        <stp>KR103503GB32</stp>
        <stp>세전단가</stp>
        <stp>44361</stp>
        <stp>1.065</stp>
        <stp/>
        <tr r="I25" s="1"/>
        <tr r="I68" s="1"/>
      </tp>
      <tp>
        <v>9948.25</v>
        <stp/>
        <stp>C</stp>
        <stp>0</stp>
        <stp>KR103503GB32</stp>
        <stp>세전단가</stp>
        <stp>44361</stp>
        <stp>1.165</stp>
        <stp/>
        <tr r="I37" s="1"/>
        <tr r="I80" s="1"/>
      </tp>
      <tp>
        <v>9592.44</v>
        <stp/>
        <stp>C</stp>
        <stp>0</stp>
        <stp>KR103502GAC2</stp>
        <stp>세전단가</stp>
        <stp>44361</stp>
        <stp>1.975</stp>
        <stp/>
        <tr r="W58" s="1"/>
        <tr r="W15" s="1"/>
      </tp>
      <tp>
        <v>9947.31</v>
        <stp/>
        <stp>C</stp>
        <stp>0</stp>
        <stp>KR103503GB32</stp>
        <stp>세전단가</stp>
        <stp>44358</stp>
        <stp>1.165</stp>
        <stp/>
        <tr r="G37" s="1"/>
        <tr r="G80" s="1"/>
      </tp>
      <tp>
        <v>9964.5</v>
        <stp/>
        <stp>C</stp>
        <stp>0</stp>
        <stp>KR103503GB32</stp>
        <stp>세전단가</stp>
        <stp>44358</stp>
        <stp>1.065</stp>
        <stp/>
        <tr r="G25" s="1"/>
        <tr r="G68" s="1"/>
      </tp>
      <tp>
        <v>9982.52</v>
        <stp/>
        <stp>C</stp>
        <stp>0</stp>
        <stp>KR103503GB32</stp>
        <stp>세전단가</stp>
        <stp>44361</stp>
        <stp>0.965</stp>
        <stp/>
        <tr r="I15" s="1"/>
        <tr r="I58" s="1"/>
      </tp>
      <tp>
        <v>9981.73</v>
        <stp/>
        <stp>C</stp>
        <stp>0</stp>
        <stp>KR103503GB32</stp>
        <stp>세전단가</stp>
        <stp>44358</stp>
        <stp>0.965</stp>
        <stp/>
        <tr r="G15" s="1"/>
        <tr r="G58" s="1"/>
      </tp>
      <tp>
        <v>9044.2000000000007</v>
        <stp/>
        <stp>C</stp>
        <stp>0</stp>
        <stp>KR103502GA91</stp>
        <stp>세전단가</stp>
        <stp>44358</stp>
        <stp>2.132</stp>
        <stp/>
        <tr r="AB20" s="1"/>
        <tr r="AB63" s="1"/>
      </tp>
      <tp>
        <v>8753.34</v>
        <stp/>
        <stp>C</stp>
        <stp>0</stp>
        <stp>KR103502GA91</stp>
        <stp>세전단가</stp>
        <stp>44358</stp>
        <stp>2.332</stp>
        <stp/>
        <tr r="AB42" s="1"/>
        <tr r="AB85" s="1"/>
      </tp>
      <tp>
        <v>8897.42</v>
        <stp/>
        <stp>C</stp>
        <stp>0</stp>
        <stp>KR103502GA91</stp>
        <stp>세전단가</stp>
        <stp>44358</stp>
        <stp>2.232</stp>
        <stp/>
        <tr r="AB75" s="1"/>
        <tr r="AB32" s="1"/>
      </tp>
      <tp>
        <v>9045.76</v>
        <stp/>
        <stp>C</stp>
        <stp>0</stp>
        <stp>KR103502GA91</stp>
        <stp>세전단가</stp>
        <stp>44361</stp>
        <stp>2.132</stp>
        <stp/>
        <tr r="AD20" s="1"/>
        <tr r="AD63" s="1"/>
      </tp>
      <tp>
        <v>8899.0300000000007</v>
        <stp/>
        <stp>C</stp>
        <stp>0</stp>
        <stp>KR103502GA91</stp>
        <stp>세전단가</stp>
        <stp>44361</stp>
        <stp>2.232</stp>
        <stp/>
        <tr r="AD32" s="1"/>
        <tr r="AD75" s="1"/>
      </tp>
      <tp>
        <v>8755</v>
        <stp/>
        <stp>C</stp>
        <stp>0</stp>
        <stp>KR103502GA91</stp>
        <stp>세전단가</stp>
        <stp>44361</stp>
        <stp>2.332</stp>
        <stp/>
        <tr r="AD42" s="1"/>
        <tr r="AD85" s="1"/>
      </tp>
      <tp>
        <v>9399.2800000000007</v>
        <stp/>
        <stp>C</stp>
        <stp>0</stp>
        <stp>KR103502GAC2</stp>
        <stp>세전단가</stp>
        <stp>44358</stp>
        <stp>2.205</stp>
        <stp/>
        <tr r="U83" s="1"/>
        <tr r="U40" s="1"/>
      </tp>
      <tp>
        <v>9482.07</v>
        <stp/>
        <stp>C</stp>
        <stp>0</stp>
        <stp>KR103502GAC2</stp>
        <stp>세전단가</stp>
        <stp>44358</stp>
        <stp>2.105</stp>
        <stp/>
        <tr r="U73" s="1"/>
        <tr r="U30" s="1"/>
      </tp>
      <tp>
        <v>9565.66</v>
        <stp/>
        <stp>C</stp>
        <stp>0</stp>
        <stp>KR103502GAC2</stp>
        <stp>세전단가</stp>
        <stp>44358</stp>
        <stp>2.005</stp>
        <stp/>
        <tr r="U18" s="1"/>
        <tr r="U61" s="1"/>
      </tp>
      <tp>
        <v>9400.9599999999991</v>
        <stp/>
        <stp>C</stp>
        <stp>0</stp>
        <stp>KR103502GAC2</stp>
        <stp>세전단가</stp>
        <stp>44361</stp>
        <stp>2.205</stp>
        <stp/>
        <tr r="W40" s="1"/>
        <tr r="W83" s="1"/>
      </tp>
      <tp>
        <v>9567.2199999999993</v>
        <stp/>
        <stp>C</stp>
        <stp>0</stp>
        <stp>KR103502GAC2</stp>
        <stp>세전단가</stp>
        <stp>44361</stp>
        <stp>2.005</stp>
        <stp/>
        <tr r="W61" s="1"/>
        <tr r="W18" s="1"/>
      </tp>
      <tp>
        <v>9483.69</v>
        <stp/>
        <stp>C</stp>
        <stp>0</stp>
        <stp>KR103502GAC2</stp>
        <stp>세전단가</stp>
        <stp>44361</stp>
        <stp>2.105</stp>
        <stp/>
        <tr r="W30" s="1"/>
        <tr r="W73" s="1"/>
      </tp>
      <tp>
        <v>9939.7000000000007</v>
        <stp/>
        <stp>C</stp>
        <stp>0</stp>
        <stp>KR103503GB32</stp>
        <stp>세전단가</stp>
        <stp>44361</stp>
        <stp>1.215</stp>
        <stp/>
        <tr r="I42" s="1"/>
        <tr r="I85" s="1"/>
      </tp>
      <tp>
        <v>9973.94</v>
        <stp/>
        <stp>C</stp>
        <stp>0</stp>
        <stp>KR103503GB32</stp>
        <stp>세전단가</stp>
        <stp>44361</stp>
        <stp>1.015</stp>
        <stp/>
        <tr r="I20" s="1"/>
        <tr r="I63" s="1"/>
      </tp>
      <tp>
        <v>9956.7999999999993</v>
        <stp/>
        <stp>C</stp>
        <stp>0</stp>
        <stp>KR103503GB32</stp>
        <stp>세전단가</stp>
        <stp>44361</stp>
        <stp>1.115</stp>
        <stp/>
        <tr r="I32" s="1"/>
        <tr r="I75" s="1"/>
      </tp>
      <tp>
        <v>9938.7199999999993</v>
        <stp/>
        <stp>C</stp>
        <stp>0</stp>
        <stp>KR103503GB32</stp>
        <stp>세전단가</stp>
        <stp>44358</stp>
        <stp>1.215</stp>
        <stp/>
        <tr r="G42" s="1"/>
        <tr r="G85" s="1"/>
      </tp>
      <tp>
        <v>9955.9</v>
        <stp/>
        <stp>C</stp>
        <stp>0</stp>
        <stp>KR103503GB32</stp>
        <stp>세전단가</stp>
        <stp>44358</stp>
        <stp>1.115</stp>
        <stp/>
        <tr r="G32" s="1"/>
        <tr r="G75" s="1"/>
      </tp>
      <tp>
        <v>9973.11</v>
        <stp/>
        <stp>C</stp>
        <stp>0</stp>
        <stp>KR103503GB32</stp>
        <stp>세전단가</stp>
        <stp>44358</stp>
        <stp>1.015</stp>
        <stp/>
        <tr r="G20" s="1"/>
        <tr r="G63" s="1"/>
      </tp>
      <tp>
        <v>9059.0300000000007</v>
        <stp/>
        <stp>C</stp>
        <stp>0</stp>
        <stp>KR103502GA91</stp>
        <stp>세전단가</stp>
        <stp>44358</stp>
        <stp>2.122</stp>
        <stp/>
        <tr r="AB19" s="1"/>
        <tr r="AB62" s="1"/>
      </tp>
      <tp>
        <v>8767.6299999999992</v>
        <stp/>
        <stp>C</stp>
        <stp>0</stp>
        <stp>KR103502GA91</stp>
        <stp>세전단가</stp>
        <stp>44358</stp>
        <stp>2.322</stp>
        <stp/>
        <tr r="AB41" s="1"/>
        <tr r="AB84" s="1"/>
      </tp>
      <tp>
        <v>8911.98</v>
        <stp/>
        <stp>C</stp>
        <stp>0</stp>
        <stp>KR103502GA91</stp>
        <stp>세전단가</stp>
        <stp>44358</stp>
        <stp>2.222</stp>
        <stp/>
        <tr r="AB74" s="1"/>
        <tr r="AB31" s="1"/>
      </tp>
      <tp>
        <v>9060.59</v>
        <stp/>
        <stp>C</stp>
        <stp>0</stp>
        <stp>KR103502GA91</stp>
        <stp>세전단가</stp>
        <stp>44361</stp>
        <stp>2.122</stp>
        <stp/>
        <tr r="AD19" s="1"/>
        <tr r="AD62" s="1"/>
      </tp>
      <tp>
        <v>8913.58</v>
        <stp/>
        <stp>C</stp>
        <stp>0</stp>
        <stp>KR103502GA91</stp>
        <stp>세전단가</stp>
        <stp>44361</stp>
        <stp>2.222</stp>
        <stp/>
        <tr r="AD31" s="1"/>
        <tr r="AD74" s="1"/>
      </tp>
      <tp>
        <v>8769.2800000000007</v>
        <stp/>
        <stp>C</stp>
        <stp>0</stp>
        <stp>KR103502GA91</stp>
        <stp>세전단가</stp>
        <stp>44361</stp>
        <stp>2.322</stp>
        <stp/>
        <tr r="AD84" s="1"/>
        <tr r="AD41" s="1"/>
      </tp>
      <tp>
        <v>9391.0400000000009</v>
        <stp/>
        <stp>C</stp>
        <stp>0</stp>
        <stp>KR103502GAC2</stp>
        <stp>세전단가</stp>
        <stp>44358</stp>
        <stp>2.215</stp>
        <stp/>
        <tr r="U41" s="1"/>
        <tr r="U84" s="1"/>
      </tp>
      <tp>
        <v>9473.75</v>
        <stp/>
        <stp>C</stp>
        <stp>0</stp>
        <stp>KR103502GAC2</stp>
        <stp>세전단가</stp>
        <stp>44358</stp>
        <stp>2.115</stp>
        <stp/>
        <tr r="U74" s="1"/>
        <tr r="U31" s="1"/>
      </tp>
      <tp>
        <v>9557.27</v>
        <stp/>
        <stp>C</stp>
        <stp>0</stp>
        <stp>KR103502GAC2</stp>
        <stp>세전단가</stp>
        <stp>44358</stp>
        <stp>2.015</stp>
        <stp/>
        <tr r="U19" s="1"/>
        <tr r="U62" s="1"/>
      </tp>
      <tp>
        <v>9392.73</v>
        <stp/>
        <stp>C</stp>
        <stp>0</stp>
        <stp>KR103502GAC2</stp>
        <stp>세전단가</stp>
        <stp>44361</stp>
        <stp>2.215</stp>
        <stp/>
        <tr r="W41" s="1"/>
        <tr r="W84" s="1"/>
      </tp>
      <tp>
        <v>9558.83</v>
        <stp/>
        <stp>C</stp>
        <stp>0</stp>
        <stp>KR103502GAC2</stp>
        <stp>세전단가</stp>
        <stp>44361</stp>
        <stp>2.015</stp>
        <stp/>
        <tr r="W62" s="1"/>
        <tr r="W19" s="1"/>
      </tp>
      <tp>
        <v>9475.3799999999992</v>
        <stp/>
        <stp>C</stp>
        <stp>0</stp>
        <stp>KR103502GAC2</stp>
        <stp>세전단가</stp>
        <stp>44361</stp>
        <stp>2.115</stp>
        <stp/>
        <tr r="W74" s="1"/>
        <tr r="W31" s="1"/>
      </tp>
      <tp>
        <v>9941.41</v>
        <stp/>
        <stp>C</stp>
        <stp>0</stp>
        <stp>KR103503GB32</stp>
        <stp>세전단가</stp>
        <stp>44361</stp>
        <stp>1.205</stp>
        <stp/>
        <tr r="I41" s="1"/>
        <tr r="I84" s="1"/>
      </tp>
      <tp>
        <v>9975.65</v>
        <stp/>
        <stp>C</stp>
        <stp>0</stp>
        <stp>KR103503GB32</stp>
        <stp>세전단가</stp>
        <stp>44361</stp>
        <stp>1.005</stp>
        <stp/>
        <tr r="I19" s="1"/>
        <tr r="I62" s="1"/>
      </tp>
      <tp>
        <v>9958.51</v>
        <stp/>
        <stp>C</stp>
        <stp>0</stp>
        <stp>KR103503GB32</stp>
        <stp>세전단가</stp>
        <stp>44361</stp>
        <stp>1.105</stp>
        <stp/>
        <tr r="I31" s="1"/>
        <tr r="I74" s="1"/>
      </tp>
      <tp>
        <v>9940.44</v>
        <stp/>
        <stp>C</stp>
        <stp>0</stp>
        <stp>KR103503GB32</stp>
        <stp>세전단가</stp>
        <stp>44358</stp>
        <stp>1.205</stp>
        <stp/>
        <tr r="G41" s="1"/>
        <tr r="G84" s="1"/>
      </tp>
      <tp>
        <v>9957.6200000000008</v>
        <stp/>
        <stp>C</stp>
        <stp>0</stp>
        <stp>KR103503GB32</stp>
        <stp>세전단가</stp>
        <stp>44358</stp>
        <stp>1.105</stp>
        <stp/>
        <tr r="G31" s="1"/>
        <tr r="G74" s="1"/>
      </tp>
      <tp>
        <v>9974.84</v>
        <stp/>
        <stp>C</stp>
        <stp>0</stp>
        <stp>KR103503GB32</stp>
        <stp>세전단가</stp>
        <stp>44358</stp>
        <stp>1.005</stp>
        <stp/>
        <tr r="G19" s="1"/>
        <tr r="G62" s="1"/>
      </tp>
      <tp>
        <v>9073.8799999999992</v>
        <stp/>
        <stp>C</stp>
        <stp>0</stp>
        <stp>KR103502GA91</stp>
        <stp>세전단가</stp>
        <stp>44358</stp>
        <stp>2.112</stp>
        <stp/>
        <tr r="AB61" s="1"/>
        <tr r="AB18" s="1"/>
      </tp>
      <tp>
        <v>8781.94</v>
        <stp/>
        <stp>C</stp>
        <stp>0</stp>
        <stp>KR103502GA91</stp>
        <stp>세전단가</stp>
        <stp>44358</stp>
        <stp>2.312</stp>
        <stp/>
        <tr r="AB83" s="1"/>
        <tr r="AB40" s="1"/>
      </tp>
      <tp>
        <v>8926.56</v>
        <stp/>
        <stp>C</stp>
        <stp>0</stp>
        <stp>KR103502GA91</stp>
        <stp>세전단가</stp>
        <stp>44358</stp>
        <stp>2.212</stp>
        <stp/>
        <tr r="AB73" s="1"/>
        <tr r="AB30" s="1"/>
      </tp>
      <tp>
        <v>9075.44</v>
        <stp/>
        <stp>C</stp>
        <stp>0</stp>
        <stp>KR103502GA91</stp>
        <stp>세전단가</stp>
        <stp>44361</stp>
        <stp>2.112</stp>
        <stp/>
        <tr r="AD61" s="1"/>
        <tr r="AD18" s="1"/>
      </tp>
      <tp>
        <v>8928.16</v>
        <stp/>
        <stp>C</stp>
        <stp>0</stp>
        <stp>KR103502GA91</stp>
        <stp>세전단가</stp>
        <stp>44361</stp>
        <stp>2.212</stp>
        <stp/>
        <tr r="AD30" s="1"/>
        <tr r="AD73" s="1"/>
      </tp>
      <tp>
        <v>8783.59</v>
        <stp/>
        <stp>C</stp>
        <stp>0</stp>
        <stp>KR103502GA91</stp>
        <stp>세전단가</stp>
        <stp>44361</stp>
        <stp>2.312</stp>
        <stp/>
        <tr r="AD40" s="1"/>
        <tr r="AD83" s="1"/>
      </tp>
      <tp>
        <v>9382.81</v>
        <stp/>
        <stp>C</stp>
        <stp>0</stp>
        <stp>KR103502GAC2</stp>
        <stp>세전단가</stp>
        <stp>44358</stp>
        <stp>2.225</stp>
        <stp/>
        <tr r="U85" s="1"/>
        <tr r="U42" s="1"/>
      </tp>
      <tp>
        <v>9465.44</v>
        <stp/>
        <stp>C</stp>
        <stp>0</stp>
        <stp>KR103502GAC2</stp>
        <stp>세전단가</stp>
        <stp>44358</stp>
        <stp>2.125</stp>
        <stp/>
        <tr r="U32" s="1"/>
        <tr r="U75" s="1"/>
      </tp>
      <tp>
        <v>9548.8799999999992</v>
        <stp/>
        <stp>C</stp>
        <stp>0</stp>
        <stp>KR103502GAC2</stp>
        <stp>세전단가</stp>
        <stp>44358</stp>
        <stp>2.025</stp>
        <stp/>
        <tr r="U20" s="1"/>
        <tr r="U63" s="1"/>
      </tp>
      <tp>
        <v>9384.51</v>
        <stp/>
        <stp>C</stp>
        <stp>0</stp>
        <stp>KR103502GAC2</stp>
        <stp>세전단가</stp>
        <stp>44361</stp>
        <stp>2.225</stp>
        <stp/>
        <tr r="W42" s="1"/>
        <tr r="W85" s="1"/>
      </tp>
      <tp>
        <v>9550.4500000000007</v>
        <stp/>
        <stp>C</stp>
        <stp>0</stp>
        <stp>KR103502GAC2</stp>
        <stp>세전단가</stp>
        <stp>44361</stp>
        <stp>2.025</stp>
        <stp/>
        <tr r="W63" s="1"/>
        <tr r="W20" s="1"/>
      </tp>
      <tp>
        <v>9467.08</v>
        <stp/>
        <stp>C</stp>
        <stp>0</stp>
        <stp>KR103502GAC2</stp>
        <stp>세전단가</stp>
        <stp>44361</stp>
        <stp>2.125</stp>
        <stp/>
        <tr r="W75" s="1"/>
        <tr r="W32" s="1"/>
      </tp>
      <tp>
        <v>9926.6200000000008</v>
        <stp/>
        <stp>C</stp>
        <stp>0</stp>
        <stp>KR103501GAC4</stp>
        <stp>세전단가</stp>
        <stp>44358</stp>
        <stp>1.175</stp>
        <stp/>
        <tr r="N26" s="1"/>
        <tr r="N69" s="1"/>
      </tp>
      <tp>
        <v>9970.51</v>
        <stp/>
        <stp>C</stp>
        <stp>0</stp>
        <stp>KR103503GB32</stp>
        <stp>세전단가</stp>
        <stp>44361</stp>
        <stp>1.035</stp>
        <stp/>
        <tr r="I22" s="1"/>
        <tr r="I65" s="1"/>
      </tp>
      <tp>
        <v>9953.3799999999992</v>
        <stp/>
        <stp>C</stp>
        <stp>0</stp>
        <stp>KR103503GB32</stp>
        <stp>세전단가</stp>
        <stp>44361</stp>
        <stp>1.135</stp>
        <stp/>
        <tr r="I34" s="1"/>
        <tr r="I77" s="1"/>
      </tp>
      <tp>
        <v>9927.57</v>
        <stp/>
        <stp>C</stp>
        <stp>0</stp>
        <stp>KR103501GAC4</stp>
        <stp>세전단가</stp>
        <stp>44361</stp>
        <stp>1.175</stp>
        <stp/>
        <tr r="P69" s="1"/>
        <tr r="P26" s="1"/>
      </tp>
      <tp>
        <v>9952.4599999999991</v>
        <stp/>
        <stp>C</stp>
        <stp>0</stp>
        <stp>KR103503GB32</stp>
        <stp>세전단가</stp>
        <stp>44358</stp>
        <stp>1.135</stp>
        <stp/>
        <tr r="G34" s="1"/>
        <tr r="G77" s="1"/>
      </tp>
      <tp>
        <v>9969.67</v>
        <stp/>
        <stp>C</stp>
        <stp>0</stp>
        <stp>KR103503GB32</stp>
        <stp>세전단가</stp>
        <stp>44358</stp>
        <stp>1.035</stp>
        <stp/>
        <tr r="G22" s="1"/>
        <tr r="G65" s="1"/>
      </tp>
      <tp>
        <v>9987.67</v>
        <stp/>
        <stp>C</stp>
        <stp>0</stp>
        <stp>KR103503GB32</stp>
        <stp>세전단가</stp>
        <stp>44361</stp>
        <stp>0.935</stp>
        <stp/>
        <tr r="I12" s="1"/>
        <tr r="I55" s="1"/>
      </tp>
      <tp>
        <v>9986.91</v>
        <stp/>
        <stp>C</stp>
        <stp>0</stp>
        <stp>KR103503GB32</stp>
        <stp>세전단가</stp>
        <stp>44358</stp>
        <stp>0.935</stp>
        <stp/>
        <tr r="G12" s="1"/>
        <tr r="G55" s="1"/>
      </tp>
      <tp>
        <v>9088.77</v>
        <stp/>
        <stp>C</stp>
        <stp>0</stp>
        <stp>KR103502GA91</stp>
        <stp>세전단가</stp>
        <stp>44358</stp>
        <stp>2.102</stp>
        <stp/>
        <tr r="AB60" s="1"/>
        <tr r="AB17" s="1"/>
      </tp>
      <tp>
        <v>8796.2800000000007</v>
        <stp/>
        <stp>C</stp>
        <stp>0</stp>
        <stp>KR103502GA91</stp>
        <stp>세전단가</stp>
        <stp>44358</stp>
        <stp>2.302</stp>
        <stp/>
        <tr r="AB39" s="1"/>
        <tr r="AB82" s="1"/>
      </tp>
      <tp>
        <v>8941.17</v>
        <stp/>
        <stp>C</stp>
        <stp>0</stp>
        <stp>KR103502GA91</stp>
        <stp>세전단가</stp>
        <stp>44358</stp>
        <stp>2.202</stp>
        <stp/>
        <tr r="AB29" s="1"/>
        <tr r="AB72" s="1"/>
      </tp>
      <tp>
        <v>9090.32</v>
        <stp/>
        <stp>C</stp>
        <stp>0</stp>
        <stp>KR103502GA91</stp>
        <stp>세전단가</stp>
        <stp>44361</stp>
        <stp>2.102</stp>
        <stp/>
        <tr r="AD17" s="1"/>
        <tr r="AD60" s="1"/>
      </tp>
      <tp>
        <v>8942.77</v>
        <stp/>
        <stp>C</stp>
        <stp>0</stp>
        <stp>KR103502GA91</stp>
        <stp>세전단가</stp>
        <stp>44361</stp>
        <stp>2.202</stp>
        <stp/>
        <tr r="AD72" s="1"/>
        <tr r="AD29" s="1"/>
      </tp>
      <tp>
        <v>8797.93</v>
        <stp/>
        <stp>C</stp>
        <stp>0</stp>
        <stp>KR103502GA91</stp>
        <stp>세전단가</stp>
        <stp>44361</stp>
        <stp>2.302</stp>
        <stp/>
        <tr r="AD82" s="1"/>
        <tr r="AD39" s="1"/>
      </tp>
      <tp>
        <v>9374.59</v>
        <stp/>
        <stp>C</stp>
        <stp>0</stp>
        <stp>KR103502GAC2</stp>
        <stp>세전단가</stp>
        <stp>44358</stp>
        <stp>2.235</stp>
        <stp/>
        <tr r="U86" s="1"/>
        <tr r="U43" s="1"/>
      </tp>
      <tp>
        <v>9457.14</v>
        <stp/>
        <stp>C</stp>
        <stp>0</stp>
        <stp>KR103502GAC2</stp>
        <stp>세전단가</stp>
        <stp>44358</stp>
        <stp>2.135</stp>
        <stp/>
        <tr r="U76" s="1"/>
        <tr r="U33" s="1"/>
      </tp>
      <tp>
        <v>9540.5</v>
        <stp/>
        <stp>C</stp>
        <stp>0</stp>
        <stp>KR103502GAC2</stp>
        <stp>세전단가</stp>
        <stp>44358</stp>
        <stp>2.035</stp>
        <stp/>
        <tr r="U21" s="1"/>
        <tr r="U64" s="1"/>
      </tp>
      <tp>
        <v>9376.2900000000009</v>
        <stp/>
        <stp>C</stp>
        <stp>0</stp>
        <stp>KR103502GAC2</stp>
        <stp>세전단가</stp>
        <stp>44361</stp>
        <stp>2.235</stp>
        <stp/>
        <tr r="W43" s="1"/>
        <tr r="W86" s="1"/>
      </tp>
      <tp>
        <v>9542.07</v>
        <stp/>
        <stp>C</stp>
        <stp>0</stp>
        <stp>KR103502GAC2</stp>
        <stp>세전단가</stp>
        <stp>44361</stp>
        <stp>2.035</stp>
        <stp/>
        <tr r="W21" s="1"/>
        <tr r="W64" s="1"/>
      </tp>
      <tp>
        <v>9458.7800000000007</v>
        <stp/>
        <stp>C</stp>
        <stp>0</stp>
        <stp>KR103502GAC2</stp>
        <stp>세전단가</stp>
        <stp>44361</stp>
        <stp>2.135</stp>
        <stp/>
        <tr r="W76" s="1"/>
        <tr r="W33" s="1"/>
      </tp>
      <tp>
        <v>9624.66</v>
        <stp/>
        <stp>C</stp>
        <stp>0</stp>
        <stp>KR103502GAC2</stp>
        <stp>세전단가</stp>
        <stp>44358</stp>
        <stp>1.935</stp>
        <stp/>
        <tr r="U54" s="1"/>
        <tr r="U11" s="1"/>
      </tp>
      <tp>
        <v>9938</v>
        <stp/>
        <stp>C</stp>
        <stp>0</stp>
        <stp>KR103503GB32</stp>
        <stp>세전단가</stp>
        <stp>44361</stp>
        <stp>1.225</stp>
        <stp/>
        <tr r="I43" s="1"/>
        <tr r="I86" s="1"/>
      </tp>
      <tp>
        <v>9972.2199999999993</v>
        <stp/>
        <stp>C</stp>
        <stp>0</stp>
        <stp>KR103503GB32</stp>
        <stp>세전단가</stp>
        <stp>44361</stp>
        <stp>1.025</stp>
        <stp/>
        <tr r="I21" s="1"/>
        <tr r="I64" s="1"/>
      </tp>
      <tp>
        <v>9955.09</v>
        <stp/>
        <stp>C</stp>
        <stp>0</stp>
        <stp>KR103503GB32</stp>
        <stp>세전단가</stp>
        <stp>44361</stp>
        <stp>1.125</stp>
        <stp/>
        <tr r="I33" s="1"/>
        <tr r="I76" s="1"/>
      </tp>
      <tp>
        <v>9626.17</v>
        <stp/>
        <stp>C</stp>
        <stp>0</stp>
        <stp>KR103502GAC2</stp>
        <stp>세전단가</stp>
        <stp>44361</stp>
        <stp>1.935</stp>
        <stp/>
        <tr r="W11" s="1"/>
        <tr r="W54" s="1"/>
      </tp>
      <tp>
        <v>9937.01</v>
        <stp/>
        <stp>C</stp>
        <stp>0</stp>
        <stp>KR103503GB32</stp>
        <stp>세전단가</stp>
        <stp>44358</stp>
        <stp>1.225</stp>
        <stp/>
        <tr r="G43" s="1"/>
        <tr r="G86" s="1"/>
      </tp>
      <tp>
        <v>9954.18</v>
        <stp/>
        <stp>C</stp>
        <stp>0</stp>
        <stp>KR103503GB32</stp>
        <stp>세전단가</stp>
        <stp>44358</stp>
        <stp>1.125</stp>
        <stp/>
        <tr r="G33" s="1"/>
        <tr r="G76" s="1"/>
      </tp>
      <tp>
        <v>9971.39</v>
        <stp/>
        <stp>C</stp>
        <stp>0</stp>
        <stp>KR103503GB32</stp>
        <stp>세전단가</stp>
        <stp>44358</stp>
        <stp>1.025</stp>
        <stp/>
        <tr r="G21" s="1"/>
        <tr r="G64" s="1"/>
      </tp>
      <tp>
        <v>9989.39</v>
        <stp/>
        <stp>C</stp>
        <stp>0</stp>
        <stp>KR103503GB32</stp>
        <stp>세전단가</stp>
        <stp>44361</stp>
        <stp>0.925</stp>
        <stp/>
        <tr r="I11" s="1"/>
        <tr r="I54" s="1"/>
      </tp>
      <tp>
        <v>9988.64</v>
        <stp/>
        <stp>C</stp>
        <stp>0</stp>
        <stp>KR103503GB32</stp>
        <stp>세전단가</stp>
        <stp>44358</stp>
        <stp>0.925</stp>
        <stp/>
        <tr r="G11" s="1"/>
        <tr r="G54" s="1"/>
      </tp>
      <tp>
        <v>9924.17</v>
        <stp/>
        <stp>C</stp>
        <stp>0</stp>
        <stp>KR103501GAC4</stp>
        <stp>세전단가</stp>
        <stp>44358</stp>
        <stp>1.185</stp>
        <stp/>
        <tr r="N71" s="1"/>
        <tr r="N28" s="1"/>
      </tp>
      <tp>
        <v>9925.1299999999992</v>
        <stp/>
        <stp>C</stp>
        <stp>0</stp>
        <stp>KR103501GAC4</stp>
        <stp>세전단가</stp>
        <stp>44361</stp>
        <stp>1.185</stp>
        <stp/>
        <tr r="P28" s="1"/>
        <tr r="P71" s="1"/>
      </tp>
      <tp>
        <v>9415.77</v>
        <stp/>
        <stp>C</stp>
        <stp>0</stp>
        <stp>KR103502GAC2</stp>
        <stp>세전단가</stp>
        <stp>44358</stp>
        <stp>2.185</stp>
        <stp/>
        <tr r="U81" s="1"/>
        <tr r="U38" s="1"/>
      </tp>
      <tp>
        <v>9498.7199999999993</v>
        <stp/>
        <stp>C</stp>
        <stp>0</stp>
        <stp>KR103502GAC2</stp>
        <stp>세전단가</stp>
        <stp>44358</stp>
        <stp>2.085</stp>
        <stp/>
        <tr r="U27" s="1"/>
        <tr r="U70" s="1"/>
      </tp>
      <tp>
        <v>9500.33</v>
        <stp/>
        <stp>C</stp>
        <stp>0</stp>
        <stp>KR103502GAC2</stp>
        <stp>세전단가</stp>
        <stp>44361</stp>
        <stp>2.085</stp>
        <stp/>
        <tr r="W27" s="1"/>
        <tr r="W70" s="1"/>
      </tp>
      <tp>
        <v>9417.44</v>
        <stp/>
        <stp>C</stp>
        <stp>0</stp>
        <stp>KR103502GAC2</stp>
        <stp>세전단가</stp>
        <stp>44361</stp>
        <stp>2.185</stp>
        <stp/>
        <tr r="W81" s="1"/>
        <tr r="W38" s="1"/>
      </tp>
      <tp>
        <v>9582.48</v>
        <stp/>
        <stp>C</stp>
        <stp>0</stp>
        <stp>KR103502GAC2</stp>
        <stp>세전단가</stp>
        <stp>44358</stp>
        <stp>1.985</stp>
        <stp/>
        <tr r="U59" s="1"/>
        <tr r="U16" s="1"/>
      </tp>
      <tp>
        <v>9960.23</v>
        <stp/>
        <stp>C</stp>
        <stp>0</stp>
        <stp>KR103503GB32</stp>
        <stp>세전단가</stp>
        <stp>44361</stp>
        <stp>1.095</stp>
        <stp/>
        <tr r="I30" s="1"/>
        <tr r="I73" s="1"/>
      </tp>
      <tp>
        <v>9943.1200000000008</v>
        <stp/>
        <stp>C</stp>
        <stp>0</stp>
        <stp>KR103503GB32</stp>
        <stp>세전단가</stp>
        <stp>44361</stp>
        <stp>1.195</stp>
        <stp/>
        <tr r="I40" s="1"/>
        <tr r="I83" s="1"/>
      </tp>
      <tp>
        <v>9584.02</v>
        <stp/>
        <stp>C</stp>
        <stp>0</stp>
        <stp>KR103502GAC2</stp>
        <stp>세전단가</stp>
        <stp>44361</stp>
        <stp>1.985</stp>
        <stp/>
        <tr r="W59" s="1"/>
        <tr r="W16" s="1"/>
      </tp>
      <tp>
        <v>9942.16</v>
        <stp/>
        <stp>C</stp>
        <stp>0</stp>
        <stp>KR103503GB32</stp>
        <stp>세전단가</stp>
        <stp>44358</stp>
        <stp>1.195</stp>
        <stp/>
        <tr r="G40" s="1"/>
        <tr r="G83" s="1"/>
      </tp>
      <tp>
        <v>9959.34</v>
        <stp/>
        <stp>C</stp>
        <stp>0</stp>
        <stp>KR103503GB32</stp>
        <stp>세전단가</stp>
        <stp>44358</stp>
        <stp>1.095</stp>
        <stp/>
        <tr r="G30" s="1"/>
        <tr r="G73" s="1"/>
      </tp>
      <tp>
        <v>9977.3700000000008</v>
        <stp/>
        <stp>C</stp>
        <stp>0</stp>
        <stp>KR103503GB32</stp>
        <stp>세전단가</stp>
        <stp>44361</stp>
        <stp>0.995</stp>
        <stp/>
        <tr r="I18" s="1"/>
        <tr r="I61" s="1"/>
      </tp>
      <tp>
        <v>9976.56</v>
        <stp/>
        <stp>C</stp>
        <stp>0</stp>
        <stp>KR103503GB32</stp>
        <stp>세전단가</stp>
        <stp>44358</stp>
        <stp>0.995</stp>
        <stp/>
        <tr r="G18" s="1"/>
        <tr r="G61" s="1"/>
      </tp>
      <tp>
        <v>9407.52</v>
        <stp/>
        <stp>C</stp>
        <stp>0</stp>
        <stp>KR103502GAC2</stp>
        <stp>세전단가</stp>
        <stp>44358</stp>
        <stp>2.195</stp>
        <stp/>
        <tr r="U39" s="1"/>
        <tr r="U82" s="1"/>
      </tp>
      <tp>
        <v>9490.39</v>
        <stp/>
        <stp>C</stp>
        <stp>0</stp>
        <stp>KR103502GAC2</stp>
        <stp>세전단가</stp>
        <stp>44358</stp>
        <stp>2.095</stp>
        <stp/>
        <tr r="U29" s="1"/>
        <tr r="U72" s="1"/>
      </tp>
      <tp>
        <v>9492</v>
        <stp/>
        <stp>C</stp>
        <stp>0</stp>
        <stp>KR103502GAC2</stp>
        <stp>세전단가</stp>
        <stp>44361</stp>
        <stp>2.095</stp>
        <stp/>
        <tr r="W72" s="1"/>
        <tr r="W29" s="1"/>
      </tp>
      <tp>
        <v>9409.19</v>
        <stp/>
        <stp>C</stp>
        <stp>0</stp>
        <stp>KR103502GAC2</stp>
        <stp>세전단가</stp>
        <stp>44361</stp>
        <stp>2.195</stp>
        <stp/>
        <tr r="W39" s="1"/>
        <tr r="W82" s="1"/>
      </tp>
      <tp>
        <v>9574.07</v>
        <stp/>
        <stp>C</stp>
        <stp>0</stp>
        <stp>KR103502GAC2</stp>
        <stp>세전단가</stp>
        <stp>44358</stp>
        <stp>1.995</stp>
        <stp/>
        <tr r="U17" s="1"/>
        <tr r="U60" s="1"/>
      </tp>
      <tp>
        <v>9961.94</v>
        <stp/>
        <stp>C</stp>
        <stp>0</stp>
        <stp>KR103503GB32</stp>
        <stp>세전단가</stp>
        <stp>44361</stp>
        <stp>1.085</stp>
        <stp/>
        <tr r="I29" s="1"/>
        <tr r="I72" s="1"/>
      </tp>
      <tp>
        <v>9944.83</v>
        <stp/>
        <stp>C</stp>
        <stp>0</stp>
        <stp>KR103503GB32</stp>
        <stp>세전단가</stp>
        <stp>44361</stp>
        <stp>1.185</stp>
        <stp/>
        <tr r="I39" s="1"/>
        <tr r="I82" s="1"/>
      </tp>
      <tp>
        <v>9575.6200000000008</v>
        <stp/>
        <stp>C</stp>
        <stp>0</stp>
        <stp>KR103502GAC2</stp>
        <stp>세전단가</stp>
        <stp>44361</stp>
        <stp>1.995</stp>
        <stp/>
        <tr r="W17" s="1"/>
        <tr r="W60" s="1"/>
      </tp>
      <tp>
        <v>9943.8700000000008</v>
        <stp/>
        <stp>C</stp>
        <stp>0</stp>
        <stp>KR103503GB32</stp>
        <stp>세전단가</stp>
        <stp>44358</stp>
        <stp>1.185</stp>
        <stp/>
        <tr r="G39" s="1"/>
        <tr r="G82" s="1"/>
      </tp>
      <tp>
        <v>9961.06</v>
        <stp/>
        <stp>C</stp>
        <stp>0</stp>
        <stp>KR103503GB32</stp>
        <stp>세전단가</stp>
        <stp>44358</stp>
        <stp>1.085</stp>
        <stp/>
        <tr r="G29" s="1"/>
        <tr r="G72" s="1"/>
      </tp>
      <tp>
        <v>9979.08</v>
        <stp/>
        <stp>C</stp>
        <stp>0</stp>
        <stp>KR103503GB32</stp>
        <stp>세전단가</stp>
        <stp>44361</stp>
        <stp>0.985</stp>
        <stp/>
        <tr r="I17" s="1"/>
        <tr r="I60" s="1"/>
      </tp>
      <tp>
        <v>9978.2800000000007</v>
        <stp/>
        <stp>C</stp>
        <stp>0</stp>
        <stp>KR103503GB32</stp>
        <stp>세전단가</stp>
        <stp>44358</stp>
        <stp>0.985</stp>
        <stp/>
        <tr r="G17" s="1"/>
        <tr r="G60" s="1"/>
      </tp>
      <tp>
        <v>8955.81</v>
        <stp/>
        <stp>C</stp>
        <stp>0</stp>
        <stp>KR103502GA91</stp>
        <stp>세전단가</stp>
        <stp>44358</stp>
        <stp>2.192</stp>
        <stp/>
        <tr r="AB27" s="1"/>
        <tr r="AB70" s="1"/>
      </tp>
      <tp>
        <v>9103.68</v>
        <stp/>
        <stp>C</stp>
        <stp>0</stp>
        <stp>KR103502GA91</stp>
        <stp>세전단가</stp>
        <stp>44358</stp>
        <stp>2.092</stp>
        <stp/>
        <tr r="AB16" s="1"/>
        <tr r="AB59" s="1"/>
      </tp>
      <tp>
        <v>8810.65</v>
        <stp/>
        <stp>C</stp>
        <stp>0</stp>
        <stp>KR103502GA91</stp>
        <stp>세전단가</stp>
        <stp>44358</stp>
        <stp>2.292</stp>
        <stp/>
        <tr r="AB38" s="1"/>
        <tr r="AB81" s="1"/>
      </tp>
      <tp>
        <v>9105.2199999999993</v>
        <stp/>
        <stp>C</stp>
        <stp>0</stp>
        <stp>KR103502GA91</stp>
        <stp>세전단가</stp>
        <stp>44361</stp>
        <stp>2.092</stp>
        <stp/>
        <tr r="AD59" s="1"/>
        <tr r="AD16" s="1"/>
      </tp>
      <tp>
        <v>8957.4</v>
        <stp/>
        <stp>C</stp>
        <stp>0</stp>
        <stp>KR103502GA91</stp>
        <stp>세전단가</stp>
        <stp>44361</stp>
        <stp>2.192</stp>
        <stp/>
        <tr r="AD70" s="1"/>
        <tr r="AD27" s="1"/>
      </tp>
      <tp>
        <v>8812.2900000000009</v>
        <stp/>
        <stp>C</stp>
        <stp>0</stp>
        <stp>KR103502GA91</stp>
        <stp>세전단가</stp>
        <stp>44361</stp>
        <stp>2.292</stp>
        <stp/>
        <tr r="AD81" s="1"/>
        <tr r="AD38" s="1"/>
      </tp>
      <tp>
        <v>8948.48</v>
        <stp/>
        <stp>C</stp>
        <stp>0</stp>
        <stp>KR103502GA91</stp>
        <stp>세전단가</stp>
        <stp>44358</stp>
        <stp>2.197</stp>
        <stp/>
        <tr r="AB28" s="1"/>
        <tr r="AB71" s="1"/>
      </tp>
      <tp>
        <v>8950.08</v>
        <stp/>
        <stp>C</stp>
        <stp>0</stp>
        <stp>KR103502GA91</stp>
        <stp>세전단가</stp>
        <stp>44361</stp>
        <stp>2.197</stp>
        <stp/>
        <tr r="AD28" s="1"/>
        <tr r="AD71" s="1"/>
      </tp>
      <tp>
        <v>8970.4699999999993</v>
        <stp/>
        <stp>C</stp>
        <stp>0</stp>
        <stp>KR103502GA91</stp>
        <stp>세전단가</stp>
        <stp>44358</stp>
        <stp>2.182</stp>
        <stp/>
        <tr r="AB68" s="1"/>
        <tr r="AB25" s="1"/>
      </tp>
      <tp>
        <v>9118.6200000000008</v>
        <stp/>
        <stp>C</stp>
        <stp>0</stp>
        <stp>KR103502GA91</stp>
        <stp>세전단가</stp>
        <stp>44358</stp>
        <stp>2.082</stp>
        <stp/>
        <tr r="AB58" s="1"/>
        <tr r="AB15" s="1"/>
      </tp>
      <tp>
        <v>8825.0499999999993</v>
        <stp/>
        <stp>C</stp>
        <stp>0</stp>
        <stp>KR103502GA91</stp>
        <stp>세전단가</stp>
        <stp>44358</stp>
        <stp>2.282</stp>
        <stp/>
        <tr r="AB80" s="1"/>
        <tr r="AB37" s="1"/>
      </tp>
      <tp>
        <v>9120.16</v>
        <stp/>
        <stp>C</stp>
        <stp>0</stp>
        <stp>KR103502GA91</stp>
        <stp>세전단가</stp>
        <stp>44361</stp>
        <stp>2.082</stp>
        <stp/>
        <tr r="AD15" s="1"/>
        <tr r="AD58" s="1"/>
      </tp>
      <tp>
        <v>8972.06</v>
        <stp/>
        <stp>C</stp>
        <stp>0</stp>
        <stp>KR103502GA91</stp>
        <stp>세전단가</stp>
        <stp>44361</stp>
        <stp>2.182</stp>
        <stp/>
        <tr r="AD25" s="1"/>
        <tr r="AD68" s="1"/>
      </tp>
      <tp>
        <v>8826.68</v>
        <stp/>
        <stp>C</stp>
        <stp>0</stp>
        <stp>KR103502GA91</stp>
        <stp>세전단가</stp>
        <stp>44361</stp>
        <stp>2.282</stp>
        <stp/>
        <tr r="AD80" s="1"/>
        <tr r="AD37" s="1"/>
      </tp>
      <tp>
        <v>8963.1299999999992</v>
        <stp/>
        <stp>C</stp>
        <stp>0</stp>
        <stp>KR103502GA91</stp>
        <stp>세전단가</stp>
        <stp>44358</stp>
        <stp>2.187</stp>
        <stp/>
        <tr r="AB69" s="1"/>
        <tr r="AB26" s="1"/>
      </tp>
      <tp>
        <v>8964.7199999999993</v>
        <stp/>
        <stp>C</stp>
        <stp>0</stp>
        <stp>KR103502GA91</stp>
        <stp>세전단가</stp>
        <stp>44361</stp>
        <stp>2.187</stp>
        <stp/>
        <tr r="AD26" s="1"/>
        <tr r="AD69" s="1"/>
      </tp>
      <tp>
        <v>20231210</v>
        <stp/>
        <stp>P</stp>
        <stp>0</stp>
        <stp>BND</stp>
        <stp>KR103501GAC4</stp>
        <stp>만기일</stp>
        <stp/>
        <stp/>
        <tr r="N6" s="1"/>
        <tr r="O6" s="2"/>
        <tr r="O49" s="2"/>
        <tr r="N49" s="1"/>
      </tp>
      <tp>
        <v>20400910</v>
        <stp/>
        <stp>P</stp>
        <stp>0</stp>
        <stp>BND</stp>
        <stp>KR103502GA91</stp>
        <stp>만기일</stp>
        <stp/>
        <stp/>
        <tr r="AB6" s="1"/>
        <tr r="AE6" s="2"/>
        <tr r="AE49" s="2"/>
        <tr r="AB49" s="1"/>
      </tp>
      <tp>
        <v>20301210</v>
        <stp/>
        <stp>P</stp>
        <stp>0</stp>
        <stp>BND</stp>
        <stp>KR103502GAC2</stp>
        <stp>만기일</stp>
        <stp/>
        <stp/>
        <tr r="U6" s="1"/>
        <tr r="W6" s="2"/>
        <tr r="W49" s="2"/>
        <tr r="U49" s="1"/>
      </tp>
      <tp>
        <v>20230310</v>
        <stp/>
        <stp>P</stp>
        <stp>0</stp>
        <stp>BND</stp>
        <stp>KR103503GB32</stp>
        <stp>만기일</stp>
        <stp/>
        <stp/>
        <tr r="G6" s="1"/>
        <tr r="G6" s="2"/>
        <tr r="G49" s="2"/>
        <tr r="G49" s="1"/>
      </tp>
      <tp>
        <v>2.1920000000000002</v>
        <stp/>
        <stp>C</stp>
        <stp>0</stp>
        <stp>KR103502GA91</stp>
        <stp>세전수익률</stp>
        <stp>44358</stp>
        <stp>8954.5</stp>
        <stp>세전단가</stp>
        <tr r="AE26" s="2"/>
        <tr r="AE69" s="2"/>
      </tp>
      <tp>
        <v>2.1920000000000002</v>
        <stp/>
        <stp>C</stp>
        <stp>0</stp>
        <stp>KR103502GA91</stp>
        <stp>세전수익률</stp>
        <stp>44358</stp>
        <stp>8955.5</stp>
        <stp>세전단가</stp>
        <tr r="AE28" s="2"/>
        <tr r="AE71" s="2"/>
      </tp>
      <tp>
        <v>2.1930000000000001</v>
        <stp/>
        <stp>C</stp>
        <stp>0</stp>
        <stp>KR103502GA91</stp>
        <stp>세전수익률</stp>
        <stp>44361</stp>
        <stp>8954.5</stp>
        <stp>세전단가</stp>
        <tr r="AH26" s="2"/>
        <tr r="AH69" s="2"/>
      </tp>
      <tp>
        <v>2.1930000000000001</v>
        <stp/>
        <stp>C</stp>
        <stp>0</stp>
        <stp>KR103502GA91</stp>
        <stp>세전수익률</stp>
        <stp>44361</stp>
        <stp>8955.5</stp>
        <stp>세전단가</stp>
        <tr r="AH28" s="2"/>
        <tr r="AH71" s="2"/>
      </tp>
      <tp>
        <v>2.0870000000000002</v>
        <stp/>
        <stp>C</stp>
        <stp>0</stp>
        <stp>KR103502GAC2</stp>
        <stp>세전수익률</stp>
        <stp>44361</stp>
        <stp>9498.5</stp>
        <stp>세전단가</stp>
        <tr r="Z28" s="2"/>
        <tr r="Z71" s="2"/>
      </tp>
      <tp>
        <v>2.0880000000000001</v>
        <stp/>
        <stp>C</stp>
        <stp>0</stp>
        <stp>KR103502GAC2</stp>
        <stp>세전수익률</stp>
        <stp>44361</stp>
        <stp>9497.5</stp>
        <stp>세전단가</stp>
        <tr r="Z26" s="2"/>
        <tr r="Z69" s="2"/>
      </tp>
      <tp>
        <v>2.085</v>
        <stp/>
        <stp>C</stp>
        <stp>0</stp>
        <stp>KR103502GAC2</stp>
        <stp>세전수익률</stp>
        <stp>44358</stp>
        <stp>9498.5</stp>
        <stp>세전단가</stp>
        <tr r="W28" s="2"/>
        <tr r="W71" s="2"/>
      </tp>
      <tp>
        <v>2.0859999999999999</v>
        <stp/>
        <stp>C</stp>
        <stp>0</stp>
        <stp>KR103502GAC2</stp>
        <stp>세전수익률</stp>
        <stp>44358</stp>
        <stp>9497.5</stp>
        <stp>세전단가</stp>
        <tr r="W26" s="2"/>
        <tr r="W69" s="2"/>
      </tp>
      <tp>
        <v>1.1870000000000001</v>
        <stp/>
        <stp>C</stp>
        <stp>0</stp>
        <stp>KR103501GAC4</stp>
        <stp>세전수익률</stp>
        <stp>44361</stp>
        <stp>9924.5</stp>
        <stp>세전단가</stp>
        <tr r="R26" s="2"/>
        <tr r="R69" s="2"/>
      </tp>
      <tp>
        <v>1.1830000000000001</v>
        <stp/>
        <stp>C</stp>
        <stp>0</stp>
        <stp>KR103501GAC4</stp>
        <stp>세전수익률</stp>
        <stp>44361</stp>
        <stp>9925.5</stp>
        <stp>세전단가</stp>
        <tr r="R28" s="2"/>
        <tr r="R71" s="2"/>
      </tp>
      <tp>
        <v>1.1830000000000001</v>
        <stp/>
        <stp>C</stp>
        <stp>0</stp>
        <stp>KR103501GAC4</stp>
        <stp>세전수익률</stp>
        <stp>44358</stp>
        <stp>9924.5</stp>
        <stp>세전단가</stp>
        <tr r="O26" s="2"/>
        <tr r="O69" s="2"/>
      </tp>
      <tp>
        <v>1.179</v>
        <stp/>
        <stp>C</stp>
        <stp>0</stp>
        <stp>KR103501GAC4</stp>
        <stp>세전수익률</stp>
        <stp>44358</stp>
        <stp>9925.5</stp>
        <stp>세전단가</stp>
        <tr r="O28" s="2"/>
        <tr r="O71" s="2"/>
      </tp>
      <tp>
        <v>1.081</v>
        <stp/>
        <stp>C</stp>
        <stp>0</stp>
        <stp>KR103503GB32</stp>
        <stp>세전수익률</stp>
        <stp>44361</stp>
        <stp>9962.5</stp>
        <stp>세전단가</stp>
        <tr r="J28" s="2"/>
        <tr r="J71" s="2"/>
      </tp>
      <tp>
        <v>1.087</v>
        <stp/>
        <stp>C</stp>
        <stp>0</stp>
        <stp>KR103503GB32</stp>
        <stp>세전수익률</stp>
        <stp>44361</stp>
        <stp>9961.5</stp>
        <stp>세전단가</stp>
        <tr r="J26" s="2"/>
        <tr r="J69" s="2"/>
      </tp>
      <tp>
        <v>1.0760000000000001</v>
        <stp/>
        <stp>C</stp>
        <stp>0</stp>
        <stp>KR103503GB32</stp>
        <stp>세전수익률</stp>
        <stp>44358</stp>
        <stp>9962.5</stp>
        <stp>세전단가</stp>
        <tr r="G28" s="2"/>
        <tr r="G71" s="2"/>
      </tp>
      <tp>
        <v>1.0820000000000001</v>
        <stp/>
        <stp>C</stp>
        <stp>0</stp>
        <stp>KR103503GB32</stp>
        <stp>세전수익률</stp>
        <stp>44358</stp>
        <stp>9961.5</stp>
        <stp>세전단가</stp>
        <tr r="G26" s="2"/>
        <tr r="G69" s="2"/>
      </tp>
      <tp>
        <v>1.18</v>
        <stp/>
        <stp>P</stp>
        <stp>0</stp>
        <stp>BND</stp>
        <stp>KR103501GAC4</stp>
        <stp>민평3사 수익률(산출일)</stp>
        <stp/>
        <stp/>
        <tr r="P8" s="1"/>
        <tr r="R8" s="2"/>
        <tr r="P51" s="1"/>
        <tr r="R51" s="2"/>
      </tp>
      <tp>
        <v>2.085</v>
        <stp/>
        <stp>P</stp>
        <stp>0</stp>
        <stp>BND</stp>
        <stp>KR103502GAC2</stp>
        <stp>민평3사 수익률(산출일)</stp>
        <stp/>
        <stp/>
        <tr r="W8" s="1"/>
        <tr r="Z8" s="2"/>
        <tr r="Z51" s="2"/>
        <tr r="W51" s="1"/>
      </tp>
      <tp>
        <v>2.1920000000000002</v>
        <stp/>
        <stp>P</stp>
        <stp>0</stp>
        <stp>BND</stp>
        <stp>KR103502GA91</stp>
        <stp>민평3사 수익률(산출일)</stp>
        <stp/>
        <stp/>
        <tr r="AD8" s="1"/>
        <tr r="AH8" s="2"/>
        <tr r="AH51" s="2"/>
        <tr r="AD51" s="1"/>
      </tp>
      <tp>
        <v>1.075</v>
        <stp/>
        <stp>P</stp>
        <stp>0</stp>
        <stp>BND</stp>
        <stp>KR103503GB32</stp>
        <stp>민평3사 수익률(산출일)</stp>
        <stp/>
        <stp/>
        <tr r="I8" s="1"/>
        <tr r="J8" s="2"/>
        <tr r="J51" s="2"/>
        <tr r="I51" s="1"/>
      </tp>
      <tp>
        <v>9919.0499999999993</v>
        <stp/>
        <stp>C</stp>
        <stp>0</stp>
        <stp>KR103501GAC4</stp>
        <stp>세전단가</stp>
        <stp>44361</stp>
        <stp>1.21</stp>
        <stp/>
        <tr r="P31" s="1"/>
        <tr r="P74" s="1"/>
      </tp>
      <tp>
        <v>9916.6200000000008</v>
        <stp/>
        <stp>C</stp>
        <stp>0</stp>
        <stp>KR103501GAC4</stp>
        <stp>세전단가</stp>
        <stp>44361</stp>
        <stp>1.22</stp>
        <stp/>
        <tr r="P32" s="1"/>
        <tr r="P75" s="1"/>
      </tp>
      <tp>
        <v>9914.18</v>
        <stp/>
        <stp>C</stp>
        <stp>0</stp>
        <stp>KR103501GAC4</stp>
        <stp>세전단가</stp>
        <stp>44361</stp>
        <stp>1.23</stp>
        <stp/>
        <tr r="P33" s="1"/>
        <tr r="P76" s="1"/>
      </tp>
      <tp>
        <v>9911.75</v>
        <stp/>
        <stp>C</stp>
        <stp>0</stp>
        <stp>KR103501GAC4</stp>
        <stp>세전단가</stp>
        <stp>44361</stp>
        <stp>1.24</stp>
        <stp/>
        <tr r="P77" s="1"/>
        <tr r="P34" s="1"/>
      </tp>
      <tp>
        <v>9909.32</v>
        <stp/>
        <stp>C</stp>
        <stp>0</stp>
        <stp>KR103501GAC4</stp>
        <stp>세전단가</stp>
        <stp>44361</stp>
        <stp>1.25</stp>
        <stp/>
        <tr r="P35" s="1"/>
        <tr r="P78" s="1"/>
      </tp>
      <tp>
        <v>9906.89</v>
        <stp/>
        <stp>C</stp>
        <stp>0</stp>
        <stp>KR103501GAC4</stp>
        <stp>세전단가</stp>
        <stp>44361</stp>
        <stp>1.26</stp>
        <stp/>
        <tr r="P36" s="1"/>
        <tr r="P79" s="1"/>
      </tp>
      <tp>
        <v>9904.4599999999991</v>
        <stp/>
        <stp>C</stp>
        <stp>0</stp>
        <stp>KR103501GAC4</stp>
        <stp>세전단가</stp>
        <stp>44361</stp>
        <stp>1.27</stp>
        <stp/>
        <tr r="P37" s="1"/>
        <tr r="P80" s="1"/>
      </tp>
      <tp>
        <v>9902.0400000000009</v>
        <stp/>
        <stp>C</stp>
        <stp>0</stp>
        <stp>KR103501GAC4</stp>
        <stp>세전단가</stp>
        <stp>44361</stp>
        <stp>1.28</stp>
        <stp/>
        <tr r="P38" s="1"/>
        <tr r="P81" s="1"/>
      </tp>
      <tp>
        <v>9899.61</v>
        <stp/>
        <stp>C</stp>
        <stp>0</stp>
        <stp>KR103501GAC4</stp>
        <stp>세전단가</stp>
        <stp>44361</stp>
        <stp>1.29</stp>
        <stp/>
        <tr r="P82" s="1"/>
        <tr r="P39" s="1"/>
      </tp>
      <tp>
        <v>9894.76</v>
        <stp/>
        <stp>C</stp>
        <stp>0</stp>
        <stp>KR103501GAC4</stp>
        <stp>세전단가</stp>
        <stp>44361</stp>
        <stp>1.31</stp>
        <stp/>
        <tr r="P41" s="1"/>
        <tr r="P84" s="1"/>
      </tp>
      <tp>
        <v>9892.33</v>
        <stp/>
        <stp>C</stp>
        <stp>0</stp>
        <stp>KR103501GAC4</stp>
        <stp>세전단가</stp>
        <stp>44361</stp>
        <stp>1.32</stp>
        <stp/>
        <tr r="P85" s="1"/>
        <tr r="P42" s="1"/>
      </tp>
      <tp>
        <v>9889.91</v>
        <stp/>
        <stp>C</stp>
        <stp>0</stp>
        <stp>KR103501GAC4</stp>
        <stp>세전단가</stp>
        <stp>44361</stp>
        <stp>1.33</stp>
        <stp/>
        <tr r="P43" s="1"/>
        <tr r="P86" s="1"/>
      </tp>
      <tp>
        <v>9962.9500000000007</v>
        <stp/>
        <stp>C</stp>
        <stp>0</stp>
        <stp>KR103501GAC4</stp>
        <stp>세전단가</stp>
        <stp>44361</stp>
        <stp>1.03</stp>
        <stp/>
        <tr r="P54" s="1"/>
        <tr r="P11" s="1"/>
      </tp>
      <tp>
        <v>9960.51</v>
        <stp/>
        <stp>C</stp>
        <stp>0</stp>
        <stp>KR103501GAC4</stp>
        <stp>세전단가</stp>
        <stp>44361</stp>
        <stp>1.04</stp>
        <stp/>
        <tr r="P12" s="1"/>
        <tr r="P55" s="1"/>
      </tp>
      <tp>
        <v>9958.06</v>
        <stp/>
        <stp>C</stp>
        <stp>0</stp>
        <stp>KR103501GAC4</stp>
        <stp>세전단가</stp>
        <stp>44361</stp>
        <stp>1.05</stp>
        <stp/>
        <tr r="P56" s="1"/>
        <tr r="P13" s="1"/>
      </tp>
      <tp>
        <v>9955.6200000000008</v>
        <stp/>
        <stp>C</stp>
        <stp>0</stp>
        <stp>KR103501GAC4</stp>
        <stp>세전단가</stp>
        <stp>44361</stp>
        <stp>1.06</stp>
        <stp/>
        <tr r="P14" s="1"/>
        <tr r="P57" s="1"/>
      </tp>
      <tp>
        <v>9953.18</v>
        <stp/>
        <stp>C</stp>
        <stp>0</stp>
        <stp>KR103501GAC4</stp>
        <stp>세전단가</stp>
        <stp>44361</stp>
        <stp>1.07</stp>
        <stp/>
        <tr r="P15" s="1"/>
        <tr r="P58" s="1"/>
      </tp>
      <tp>
        <v>9950.73</v>
        <stp/>
        <stp>C</stp>
        <stp>0</stp>
        <stp>KR103501GAC4</stp>
        <stp>세전단가</stp>
        <stp>44361</stp>
        <stp>1.08</stp>
        <stp/>
        <tr r="P16" s="1"/>
        <tr r="P59" s="1"/>
      </tp>
      <tp>
        <v>9948.2900000000009</v>
        <stp/>
        <stp>C</stp>
        <stp>0</stp>
        <stp>KR103501GAC4</stp>
        <stp>세전단가</stp>
        <stp>44361</stp>
        <stp>1.09</stp>
        <stp/>
        <tr r="P60" s="1"/>
        <tr r="P17" s="1"/>
      </tp>
      <tp>
        <v>9496.16</v>
        <stp/>
        <stp>C</stp>
        <stp>0</stp>
        <stp>KR103502GAC2</stp>
        <stp>세전단가</stp>
        <stp>44361</stp>
        <stp>2.09</stp>
        <stp/>
        <tr r="W28" s="1"/>
        <tr r="W71" s="1"/>
      </tp>
      <tp>
        <v>9504.49</v>
        <stp/>
        <stp>C</stp>
        <stp>0</stp>
        <stp>KR103502GAC2</stp>
        <stp>세전단가</stp>
        <stp>44361</stp>
        <stp>2.08</stp>
        <stp/>
        <tr r="W26" s="1"/>
        <tr r="W69" s="1"/>
        <tr r="Y27" s="2"/>
        <tr r="Y70" s="2"/>
      </tp>
      <tp>
        <v>9943.41</v>
        <stp/>
        <stp>C</stp>
        <stp>0</stp>
        <stp>KR103501GAC4</stp>
        <stp>세전단가</stp>
        <stp>44361</stp>
        <stp>1.11</stp>
        <stp/>
        <tr r="P19" s="1"/>
        <tr r="P62" s="1"/>
      </tp>
      <tp>
        <v>9940.9699999999993</v>
        <stp/>
        <stp>C</stp>
        <stp>0</stp>
        <stp>KR103501GAC4</stp>
        <stp>세전단가</stp>
        <stp>44361</stp>
        <stp>1.12</stp>
        <stp/>
        <tr r="P63" s="1"/>
        <tr r="P20" s="1"/>
      </tp>
      <tp>
        <v>9938.5300000000007</v>
        <stp/>
        <stp>C</stp>
        <stp>0</stp>
        <stp>KR103501GAC4</stp>
        <stp>세전단가</stp>
        <stp>44361</stp>
        <stp>1.13</stp>
        <stp/>
        <tr r="P64" s="1"/>
        <tr r="P21" s="1"/>
      </tp>
      <tp>
        <v>9936.09</v>
        <stp/>
        <stp>C</stp>
        <stp>0</stp>
        <stp>KR103501GAC4</stp>
        <stp>세전단가</stp>
        <stp>44361</stp>
        <stp>1.14</stp>
        <stp/>
        <tr r="P65" s="1"/>
        <tr r="P22" s="1"/>
      </tp>
      <tp>
        <v>9933.66</v>
        <stp/>
        <stp>C</stp>
        <stp>0</stp>
        <stp>KR103501GAC4</stp>
        <stp>세전단가</stp>
        <stp>44361</stp>
        <stp>1.15</stp>
        <stp/>
        <tr r="P23" s="1"/>
        <tr r="P66" s="1"/>
      </tp>
      <tp>
        <v>9931.2199999999993</v>
        <stp/>
        <stp>C</stp>
        <stp>0</stp>
        <stp>KR103501GAC4</stp>
        <stp>세전단가</stp>
        <stp>44361</stp>
        <stp>1.16</stp>
        <stp/>
        <tr r="P67" s="1"/>
        <tr r="P24" s="1"/>
      </tp>
      <tp>
        <v>9928.7800000000007</v>
        <stp/>
        <stp>C</stp>
        <stp>0</stp>
        <stp>KR103501GAC4</stp>
        <stp>세전단가</stp>
        <stp>44361</stp>
        <stp>1.17</stp>
        <stp/>
        <tr r="P68" s="1"/>
        <tr r="P25" s="1"/>
      </tp>
      <tp>
        <v>9926.35</v>
        <stp/>
        <stp>C</stp>
        <stp>0</stp>
        <stp>KR103501GAC4</stp>
        <stp>세전단가</stp>
        <stp>44361</stp>
        <stp>1.18</stp>
        <stp/>
        <tr r="P27" s="1"/>
        <tr r="P70" s="1"/>
        <tr r="Q27" s="2"/>
        <tr r="Q70" s="2"/>
      </tp>
      <tp>
        <v>9923.91</v>
        <stp/>
        <stp>C</stp>
        <stp>0</stp>
        <stp>KR103501GAC4</stp>
        <stp>세전단가</stp>
        <stp>44361</stp>
        <stp>1.19</stp>
        <stp/>
        <tr r="P29" s="1"/>
        <tr r="P72" s="1"/>
      </tp>
      <tp>
        <v>9893.7000000000007</v>
        <stp/>
        <stp>C</stp>
        <stp>0</stp>
        <stp>KR103501GAC4</stp>
        <stp>세전단가</stp>
        <stp>44358</stp>
        <stp>1.31</stp>
        <stp/>
        <tr r="N41" s="1"/>
        <tr r="N84" s="1"/>
      </tp>
      <tp>
        <v>9891.27</v>
        <stp/>
        <stp>C</stp>
        <stp>0</stp>
        <stp>KR103501GAC4</stp>
        <stp>세전단가</stp>
        <stp>44358</stp>
        <stp>1.32</stp>
        <stp/>
        <tr r="N85" s="1"/>
        <tr r="N42" s="1"/>
      </tp>
      <tp>
        <v>9888.84</v>
        <stp/>
        <stp>C</stp>
        <stp>0</stp>
        <stp>KR103501GAC4</stp>
        <stp>세전단가</stp>
        <stp>44358</stp>
        <stp>1.33</stp>
        <stp/>
        <tr r="N43" s="1"/>
        <tr r="N86" s="1"/>
      </tp>
      <tp>
        <v>9918.07</v>
        <stp/>
        <stp>C</stp>
        <stp>0</stp>
        <stp>KR103501GAC4</stp>
        <stp>세전단가</stp>
        <stp>44358</stp>
        <stp>1.21</stp>
        <stp/>
        <tr r="N74" s="1"/>
        <tr r="N31" s="1"/>
      </tp>
      <tp>
        <v>9915.6299999999992</v>
        <stp/>
        <stp>C</stp>
        <stp>0</stp>
        <stp>KR103501GAC4</stp>
        <stp>세전단가</stp>
        <stp>44358</stp>
        <stp>1.22</stp>
        <stp/>
        <tr r="N75" s="1"/>
        <tr r="N32" s="1"/>
      </tp>
      <tp>
        <v>9913.19</v>
        <stp/>
        <stp>C</stp>
        <stp>0</stp>
        <stp>KR103501GAC4</stp>
        <stp>세전단가</stp>
        <stp>44358</stp>
        <stp>1.23</stp>
        <stp/>
        <tr r="N76" s="1"/>
        <tr r="N33" s="1"/>
      </tp>
      <tp>
        <v>9910.75</v>
        <stp/>
        <stp>C</stp>
        <stp>0</stp>
        <stp>KR103501GAC4</stp>
        <stp>세전단가</stp>
        <stp>44358</stp>
        <stp>1.24</stp>
        <stp/>
        <tr r="N34" s="1"/>
        <tr r="N77" s="1"/>
      </tp>
      <tp>
        <v>9908.31</v>
        <stp/>
        <stp>C</stp>
        <stp>0</stp>
        <stp>KR103501GAC4</stp>
        <stp>세전단가</stp>
        <stp>44358</stp>
        <stp>1.25</stp>
        <stp/>
        <tr r="N35" s="1"/>
        <tr r="N78" s="1"/>
      </tp>
      <tp>
        <v>9905.8799999999992</v>
        <stp/>
        <stp>C</stp>
        <stp>0</stp>
        <stp>KR103501GAC4</stp>
        <stp>세전단가</stp>
        <stp>44358</stp>
        <stp>1.26</stp>
        <stp/>
        <tr r="N79" s="1"/>
        <tr r="N36" s="1"/>
      </tp>
      <tp>
        <v>9903.44</v>
        <stp/>
        <stp>C</stp>
        <stp>0</stp>
        <stp>KR103501GAC4</stp>
        <stp>세전단가</stp>
        <stp>44358</stp>
        <stp>1.27</stp>
        <stp/>
        <tr r="N80" s="1"/>
        <tr r="N37" s="1"/>
      </tp>
      <tp>
        <v>9901</v>
        <stp/>
        <stp>C</stp>
        <stp>0</stp>
        <stp>KR103501GAC4</stp>
        <stp>세전단가</stp>
        <stp>44358</stp>
        <stp>1.28</stp>
        <stp/>
        <tr r="N38" s="1"/>
        <tr r="N81" s="1"/>
      </tp>
      <tp>
        <v>9898.57</v>
        <stp/>
        <stp>C</stp>
        <stp>0</stp>
        <stp>KR103501GAC4</stp>
        <stp>세전단가</stp>
        <stp>44358</stp>
        <stp>1.29</stp>
        <stp/>
        <tr r="N82" s="1"/>
        <tr r="N39" s="1"/>
      </tp>
      <tp>
        <v>9942.51</v>
        <stp/>
        <stp>C</stp>
        <stp>0</stp>
        <stp>KR103501GAC4</stp>
        <stp>세전단가</stp>
        <stp>44358</stp>
        <stp>1.11</stp>
        <stp/>
        <tr r="N19" s="1"/>
        <tr r="N62" s="1"/>
      </tp>
      <tp>
        <v>9940.06</v>
        <stp/>
        <stp>C</stp>
        <stp>0</stp>
        <stp>KR103501GAC4</stp>
        <stp>세전단가</stp>
        <stp>44358</stp>
        <stp>1.12</stp>
        <stp/>
        <tr r="N63" s="1"/>
        <tr r="N20" s="1"/>
      </tp>
      <tp>
        <v>9937.6200000000008</v>
        <stp/>
        <stp>C</stp>
        <stp>0</stp>
        <stp>KR103501GAC4</stp>
        <stp>세전단가</stp>
        <stp>44358</stp>
        <stp>1.13</stp>
        <stp/>
        <tr r="N21" s="1"/>
        <tr r="N64" s="1"/>
      </tp>
      <tp>
        <v>9935.17</v>
        <stp/>
        <stp>C</stp>
        <stp>0</stp>
        <stp>KR103501GAC4</stp>
        <stp>세전단가</stp>
        <stp>44358</stp>
        <stp>1.14</stp>
        <stp/>
        <tr r="N65" s="1"/>
        <tr r="N22" s="1"/>
      </tp>
      <tp>
        <v>9932.73</v>
        <stp/>
        <stp>C</stp>
        <stp>0</stp>
        <stp>KR103501GAC4</stp>
        <stp>세전단가</stp>
        <stp>44358</stp>
        <stp>1.15</stp>
        <stp/>
        <tr r="N23" s="1"/>
        <tr r="N66" s="1"/>
      </tp>
      <tp>
        <v>9930.2800000000007</v>
        <stp/>
        <stp>C</stp>
        <stp>0</stp>
        <stp>KR103501GAC4</stp>
        <stp>세전단가</stp>
        <stp>44358</stp>
        <stp>1.16</stp>
        <stp/>
        <tr r="N67" s="1"/>
        <tr r="N24" s="1"/>
      </tp>
      <tp>
        <v>9927.84</v>
        <stp/>
        <stp>C</stp>
        <stp>0</stp>
        <stp>KR103501GAC4</stp>
        <stp>세전단가</stp>
        <stp>44358</stp>
        <stp>1.17</stp>
        <stp/>
        <tr r="N25" s="1"/>
        <tr r="N68" s="1"/>
      </tp>
      <tp>
        <v>9925.39</v>
        <stp/>
        <stp>C</stp>
        <stp>0</stp>
        <stp>KR103501GAC4</stp>
        <stp>세전단가</stp>
        <stp>44358</stp>
        <stp>1.18</stp>
        <stp/>
        <tr r="N70" s="1"/>
        <tr r="N27" s="1"/>
      </tp>
      <tp>
        <v>9922.9500000000007</v>
        <stp/>
        <stp>C</stp>
        <stp>0</stp>
        <stp>KR103501GAC4</stp>
        <stp>세전단가</stp>
        <stp>44358</stp>
        <stp>1.19</stp>
        <stp/>
        <tr r="N72" s="1"/>
        <tr r="N29" s="1"/>
      </tp>
      <tp>
        <v>9962.1200000000008</v>
        <stp/>
        <stp>C</stp>
        <stp>0</stp>
        <stp>KR103501GAC4</stp>
        <stp>세전단가</stp>
        <stp>44358</stp>
        <stp>1.03</stp>
        <stp/>
        <tr r="N54" s="1"/>
        <tr r="N11" s="1"/>
      </tp>
      <tp>
        <v>9959.66</v>
        <stp/>
        <stp>C</stp>
        <stp>0</stp>
        <stp>KR103501GAC4</stp>
        <stp>세전단가</stp>
        <stp>44358</stp>
        <stp>1.04</stp>
        <stp/>
        <tr r="N55" s="1"/>
        <tr r="N12" s="1"/>
      </tp>
      <tp>
        <v>9957.2099999999991</v>
        <stp/>
        <stp>C</stp>
        <stp>0</stp>
        <stp>KR103501GAC4</stp>
        <stp>세전단가</stp>
        <stp>44358</stp>
        <stp>1.05</stp>
        <stp/>
        <tr r="N13" s="1"/>
        <tr r="N56" s="1"/>
      </tp>
      <tp>
        <v>9954.76</v>
        <stp/>
        <stp>C</stp>
        <stp>0</stp>
        <stp>KR103501GAC4</stp>
        <stp>세전단가</stp>
        <stp>44358</stp>
        <stp>1.06</stp>
        <stp/>
        <tr r="N57" s="1"/>
        <tr r="N14" s="1"/>
      </tp>
      <tp>
        <v>9952.31</v>
        <stp/>
        <stp>C</stp>
        <stp>0</stp>
        <stp>KR103501GAC4</stp>
        <stp>세전단가</stp>
        <stp>44358</stp>
        <stp>1.07</stp>
        <stp/>
        <tr r="N58" s="1"/>
        <tr r="N15" s="1"/>
      </tp>
      <tp>
        <v>9949.86</v>
        <stp/>
        <stp>C</stp>
        <stp>0</stp>
        <stp>KR103501GAC4</stp>
        <stp>세전단가</stp>
        <stp>44358</stp>
        <stp>1.08</stp>
        <stp/>
        <tr r="N16" s="1"/>
        <tr r="N59" s="1"/>
      </tp>
      <tp>
        <v>9947.41</v>
        <stp/>
        <stp>C</stp>
        <stp>0</stp>
        <stp>KR103501GAC4</stp>
        <stp>세전단가</stp>
        <stp>44358</stp>
        <stp>1.09</stp>
        <stp/>
        <tr r="N17" s="1"/>
        <tr r="N60" s="1"/>
      </tp>
      <tp>
        <v>9494.5499999999993</v>
        <stp/>
        <stp>C</stp>
        <stp>0</stp>
        <stp>KR103502GAC2</stp>
        <stp>세전단가</stp>
        <stp>44358</stp>
        <stp>2.09</stp>
        <stp/>
        <tr r="U28" s="1"/>
        <tr r="U71" s="1"/>
      </tp>
      <tp>
        <v>9502.89</v>
        <stp/>
        <stp>C</stp>
        <stp>0</stp>
        <stp>KR103502GAC2</stp>
        <stp>세전단가</stp>
        <stp>44358</stp>
        <stp>2.08</stp>
        <stp/>
        <tr r="U26" s="1"/>
        <tr r="U69" s="1"/>
      </tp>
      <tp>
        <v>9498.7199999999993</v>
        <stp/>
        <stp>C</stp>
        <stp>0</stp>
        <stp>KR103502GAC2</stp>
        <stp>세전단가</stp>
        <stp>44358</stp>
        <stp/>
        <stp/>
        <tr r="V27" s="2"/>
        <tr r="V70" s="2"/>
      </tp>
      <tp>
        <v>9925.39</v>
        <stp/>
        <stp>C</stp>
        <stp>0</stp>
        <stp>KR103501GAC4</stp>
        <stp>세전단가</stp>
        <stp>44358</stp>
        <stp/>
        <stp/>
        <tr r="N27" s="2"/>
        <tr r="N70" s="2"/>
      </tp>
      <tp>
        <v>9962.66</v>
        <stp/>
        <stp>P</stp>
        <stp>0</stp>
        <stp>BND</stp>
        <stp>KR103503GB32</stp>
        <stp>민평3사 가격(산출일)</stp>
        <stp/>
        <stp/>
        <tr r="I9" s="1"/>
        <tr r="J9" s="2"/>
        <tr r="J52" s="2"/>
        <tr r="I52" s="1"/>
      </tp>
      <tp>
        <v>8955.81</v>
        <stp/>
        <stp>P</stp>
        <stp>0</stp>
        <stp>BND</stp>
        <stp>KR103502GA91</stp>
        <stp>민평3사 가격(산출일)</stp>
        <stp/>
        <stp/>
        <tr r="AH9" s="2"/>
        <tr r="AD9" s="1"/>
        <tr r="AD52" s="1"/>
        <tr r="AH52" s="2"/>
      </tp>
      <tp>
        <v>9925.23</v>
        <stp/>
        <stp>P</stp>
        <stp>0</stp>
        <stp>BND</stp>
        <stp>KR103501GAC4</stp>
        <stp>민평3사 가격(산출일)</stp>
        <stp/>
        <stp/>
        <tr r="R9" s="2"/>
        <tr r="P9" s="1"/>
        <tr r="P52" s="1"/>
        <tr r="R52" s="2"/>
      </tp>
      <tp>
        <v>9498.7199999999993</v>
        <stp/>
        <stp>P</stp>
        <stp>0</stp>
        <stp>BND</stp>
        <stp>KR103502GAC2</stp>
        <stp>민평3사 가격(산출일)</stp>
        <stp/>
        <stp/>
        <tr r="W9" s="1"/>
        <tr r="Z9" s="2"/>
        <tr r="Z52" s="2"/>
        <tr r="W52" s="1"/>
      </tp>
      <tp>
        <v>8955.81</v>
        <stp/>
        <stp>C</stp>
        <stp>0</stp>
        <stp>KR103502GA91</stp>
        <stp>세전단가</stp>
        <stp>44358</stp>
        <stp/>
        <stp/>
        <tr r="AD27" s="2"/>
        <tr r="AD70" s="2"/>
      </tp>
      <tp>
        <v>9896.14</v>
        <stp/>
        <stp>C</stp>
        <stp>0</stp>
        <stp>KR103501GAC4</stp>
        <stp>세전단가</stp>
        <stp>44358</stp>
        <stp>1.3</stp>
        <stp/>
        <tr r="N40" s="1"/>
        <tr r="N83" s="1"/>
      </tp>
      <tp>
        <v>9920.51</v>
        <stp/>
        <stp>C</stp>
        <stp>0</stp>
        <stp>KR103501GAC4</stp>
        <stp>세전단가</stp>
        <stp>44358</stp>
        <stp>1.2</stp>
        <stp/>
        <tr r="N73" s="1"/>
        <tr r="N30" s="1"/>
      </tp>
      <tp>
        <v>9944.9599999999991</v>
        <stp/>
        <stp>C</stp>
        <stp>0</stp>
        <stp>KR103501GAC4</stp>
        <stp>세전단가</stp>
        <stp>44358</stp>
        <stp>1.1</stp>
        <stp/>
        <tr r="N61" s="1"/>
        <tr r="N18" s="1"/>
      </tp>
      <tp>
        <v>9921.48</v>
        <stp/>
        <stp>C</stp>
        <stp>0</stp>
        <stp>KR103501GAC4</stp>
        <stp>세전단가</stp>
        <stp>44361</stp>
        <stp>1.2</stp>
        <stp/>
        <tr r="P30" s="1"/>
        <tr r="P73" s="1"/>
      </tp>
      <tp>
        <v>9897.18</v>
        <stp/>
        <stp>C</stp>
        <stp>0</stp>
        <stp>KR103501GAC4</stp>
        <stp>세전단가</stp>
        <stp>44361</stp>
        <stp>1.3</stp>
        <stp/>
        <tr r="P40" s="1"/>
        <tr r="P83" s="1"/>
      </tp>
      <tp>
        <v>9945.85</v>
        <stp/>
        <stp>C</stp>
        <stp>0</stp>
        <stp>KR103501GAC4</stp>
        <stp>세전단가</stp>
        <stp>44361</stp>
        <stp>1.1</stp>
        <stp/>
        <tr r="P18" s="1"/>
        <tr r="P61" s="1"/>
      </tp>
      <tp>
        <v>9962.7800000000007</v>
        <stp/>
        <stp>C</stp>
        <stp>0</stp>
        <stp>KR103503GB32</stp>
        <stp>세전단가</stp>
        <stp>44358</stp>
        <stp/>
        <stp/>
        <tr r="F27" s="2"/>
        <tr r="F70" s="2"/>
      </tp>
      <tp>
        <v>9964.51</v>
        <stp/>
        <stp>C</stp>
        <stp>0</stp>
        <stp>KR103503GB32</stp>
        <stp>세전단가</stp>
        <stp>44361</stp>
        <stp>1.07</stp>
        <stp/>
        <tr r="I26" s="1"/>
        <tr r="I27" s="2"/>
        <tr r="I69" s="1"/>
        <tr r="I70" s="2"/>
      </tp>
      <tp>
        <v>9962.7900000000009</v>
        <stp/>
        <stp>C</stp>
        <stp>0</stp>
        <stp>KR103503GB32</stp>
        <stp>세전단가</stp>
        <stp>44361</stp>
        <stp>1.08</stp>
        <stp/>
        <tr r="I28" s="1"/>
        <tr r="I71" s="1"/>
      </tp>
      <tp>
        <v>8960.33</v>
        <stp/>
        <stp>C</stp>
        <stp>0</stp>
        <stp>KR103502GA91</stp>
        <stp>세전단가</stp>
        <stp>44361</stp>
        <stp>2.19</stp>
        <stp/>
        <tr r="AG27" s="2"/>
        <tr r="AG70" s="2"/>
      </tp>
      <tp>
        <v>9963.64</v>
        <stp/>
        <stp>C</stp>
        <stp>0</stp>
        <stp>KR103503GB32</stp>
        <stp>세전단가</stp>
        <stp>44358</stp>
        <stp>1.07</stp>
        <stp/>
        <tr r="G26" s="1"/>
        <tr r="G69" s="1"/>
      </tp>
      <tp>
        <v>9961.92</v>
        <stp/>
        <stp>C</stp>
        <stp>0</stp>
        <stp>KR103503GB32</stp>
        <stp>세전단가</stp>
        <stp>44358</stp>
        <stp>1.08</stp>
        <stp/>
        <tr r="G28" s="1"/>
        <tr r="G71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volatileDependencies" Target="volatileDependencies.xml"/></Relationships>
</file>

<file path=xl/ctrlProps/ctrlProp1.xml><?xml version="1.0" encoding="utf-8"?>
<formControlPr xmlns="http://schemas.microsoft.com/office/spreadsheetml/2009/9/main" objectType="Drop" dropStyle="combo" dx="15" fmlaLink="$C$6" fmlaRange="Sheet1!$B$2:$B$7" sel="1" val="0"/>
</file>

<file path=xl/ctrlProps/ctrlProp2.xml><?xml version="1.0" encoding="utf-8"?>
<formControlPr xmlns="http://schemas.microsoft.com/office/spreadsheetml/2009/9/main" objectType="Drop" dropStyle="combo" dx="15" fmlaLink="$C$7" fmlaRange="Sheet1!$B$2:$B$7" sel="1" val="0"/>
</file>

<file path=xl/ctrlProps/ctrlProp3.xml><?xml version="1.0" encoding="utf-8"?>
<formControlPr xmlns="http://schemas.microsoft.com/office/spreadsheetml/2009/9/main" objectType="Drop" dropStyle="combo" dx="15" fmlaLink="$C$8" fmlaRange="Sheet1!$B$2:$B$7" sel="1" val="0"/>
</file>

<file path=xl/ctrlProps/ctrlProp4.xml><?xml version="1.0" encoding="utf-8"?>
<formControlPr xmlns="http://schemas.microsoft.com/office/spreadsheetml/2009/9/main" objectType="Drop" dropStyle="combo" dx="15" fmlaLink="$C$9" fmlaRange="Sheet1!$B$2:$B$7" sel="1" val="0"/>
</file>

<file path=xl/ctrlProps/ctrlProp5.xml><?xml version="1.0" encoding="utf-8"?>
<formControlPr xmlns="http://schemas.microsoft.com/office/spreadsheetml/2009/9/main" objectType="Drop" dropStyle="combo" dx="15" fmlaLink="$C$10" fmlaRange="Sheet1!$B$2:$B$7" sel="1" val="0"/>
</file>

<file path=xl/ctrlProps/ctrlProp6.xml><?xml version="1.0" encoding="utf-8"?>
<formControlPr xmlns="http://schemas.microsoft.com/office/spreadsheetml/2009/9/main" objectType="Drop" dropStyle="combo" dx="15" fmlaLink="$C$11" fmlaRange="Sheet1!$B$2:$B$7" sel="1" val="0"/>
</file>

<file path=xl/ctrlProps/ctrlProp7.xml><?xml version="1.0" encoding="utf-8"?>
<formControlPr xmlns="http://schemas.microsoft.com/office/spreadsheetml/2009/9/main" objectType="Drop" dropStyle="combo" dx="15" fmlaLink="$C$12" fmlaRange="Sheet1!$B$2:$B$7" sel="1" val="0"/>
</file>

<file path=xl/ctrlProps/ctrlProp8.xml><?xml version="1.0" encoding="utf-8"?>
<formControlPr xmlns="http://schemas.microsoft.com/office/spreadsheetml/2009/9/main" objectType="Drop" dropStyle="combo" dx="15" fmlaLink="$C$5" fmlaRange="Sheet1!$B$2:$B$7" sel="1" val="0"/>
</file>

<file path=xl/ctrlProps/ctrlProp9.xml><?xml version="1.0" encoding="utf-8"?>
<formControlPr xmlns="http://schemas.microsoft.com/office/spreadsheetml/2009/9/main" objectType="Drop" dropStyle="combo" dx="15" fmlaLink="$C$5" fmlaRange="Sheet1!$B$2:$B$7" sel="1" val="0"/>
</file>

<file path=xl/ctrlProps/ctrlProp10.xml><?xml version="1.0" encoding="utf-8"?>
<formControlPr xmlns="http://schemas.microsoft.com/office/spreadsheetml/2009/9/main" objectType="Drop" dropStyle="combo" dx="15" fmlaLink="$C$6" fmlaRange="Sheet1!$B$2:$B$7" sel="1" val="0"/>
</file>

<file path=xl/ctrlProps/ctrlProp11.xml><?xml version="1.0" encoding="utf-8"?>
<formControlPr xmlns="http://schemas.microsoft.com/office/spreadsheetml/2009/9/main" objectType="Drop" dropStyle="combo" dx="15" fmlaLink="$C$7" fmlaRange="Sheet1!$B$2:$B$7" sel="1" val="0"/>
</file>

<file path=xl/ctrlProps/ctrlProp12.xml><?xml version="1.0" encoding="utf-8"?>
<formControlPr xmlns="http://schemas.microsoft.com/office/spreadsheetml/2009/9/main" objectType="Drop" dropStyle="combo" dx="15" fmlaLink="$C$8" fmlaRange="Sheet1!$B$2:$B$7" sel="1" val="0"/>
</file>

<file path=xl/ctrlProps/ctrlProp13.xml><?xml version="1.0" encoding="utf-8"?>
<formControlPr xmlns="http://schemas.microsoft.com/office/spreadsheetml/2009/9/main" objectType="Drop" dropStyle="combo" dx="15" fmlaLink="$C$9" fmlaRange="Sheet1!$B$2:$B$7" sel="1" val="0"/>
</file>

<file path=xl/ctrlProps/ctrlProp14.xml><?xml version="1.0" encoding="utf-8"?>
<formControlPr xmlns="http://schemas.microsoft.com/office/spreadsheetml/2009/9/main" objectType="Drop" dropStyle="combo" dx="15" fmlaLink="$C$10" fmlaRange="Sheet1!$B$2:$B$7" sel="1" val="0"/>
</file>

<file path=xl/ctrlProps/ctrlProp15.xml><?xml version="1.0" encoding="utf-8"?>
<formControlPr xmlns="http://schemas.microsoft.com/office/spreadsheetml/2009/9/main" objectType="Drop" dropStyle="combo" dx="15" fmlaLink="$C$7" fmlaRange="Sheet1!$B$2:$B$7" sel="1" val="0"/>
</file>

<file path=xl/ctrlProps/ctrlProp16.xml><?xml version="1.0" encoding="utf-8"?>
<formControlPr xmlns="http://schemas.microsoft.com/office/spreadsheetml/2009/9/main" objectType="Drop" dropStyle="combo" dx="15" fmlaLink="$C$12" fmlaRange="Sheet1!$B$2:$B$7" sel="1" val="0"/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9525</xdr:colOff>
          <xdr:row>6</xdr:row>
          <xdr:rowOff>0</xdr:rowOff>
        </xdr:from>
        <xdr:to>
          <xdr:col>10</xdr:col>
          <xdr:colOff>0</xdr:colOff>
          <xdr:row>7</xdr:row>
          <xdr:rowOff>9525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6</xdr:row>
          <xdr:rowOff>0</xdr:rowOff>
        </xdr:from>
        <xdr:to>
          <xdr:col>16</xdr:col>
          <xdr:colOff>438150</xdr:colOff>
          <xdr:row>7</xdr:row>
          <xdr:rowOff>0</xdr:rowOff>
        </xdr:to>
        <xdr:sp macro="" textlink="">
          <xdr:nvSpPr>
            <xdr:cNvPr id="1028" name="Drop Dow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19050</xdr:colOff>
          <xdr:row>6</xdr:row>
          <xdr:rowOff>0</xdr:rowOff>
        </xdr:from>
        <xdr:to>
          <xdr:col>23</xdr:col>
          <xdr:colOff>428625</xdr:colOff>
          <xdr:row>6</xdr:row>
          <xdr:rowOff>190500</xdr:rowOff>
        </xdr:to>
        <xdr:sp macro="" textlink="">
          <xdr:nvSpPr>
            <xdr:cNvPr id="1029" name="Drop Dow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19050</xdr:colOff>
          <xdr:row>6</xdr:row>
          <xdr:rowOff>0</xdr:rowOff>
        </xdr:from>
        <xdr:to>
          <xdr:col>30</xdr:col>
          <xdr:colOff>428625</xdr:colOff>
          <xdr:row>6</xdr:row>
          <xdr:rowOff>180975</xdr:rowOff>
        </xdr:to>
        <xdr:sp macro="" textlink="">
          <xdr:nvSpPr>
            <xdr:cNvPr id="1030" name="Drop Dow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9525</xdr:colOff>
          <xdr:row>49</xdr:row>
          <xdr:rowOff>0</xdr:rowOff>
        </xdr:from>
        <xdr:to>
          <xdr:col>10</xdr:col>
          <xdr:colOff>0</xdr:colOff>
          <xdr:row>50</xdr:row>
          <xdr:rowOff>9525</xdr:rowOff>
        </xdr:to>
        <xdr:sp macro="" textlink="">
          <xdr:nvSpPr>
            <xdr:cNvPr id="1059" name="Drop Down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49</xdr:row>
          <xdr:rowOff>0</xdr:rowOff>
        </xdr:from>
        <xdr:to>
          <xdr:col>16</xdr:col>
          <xdr:colOff>438150</xdr:colOff>
          <xdr:row>50</xdr:row>
          <xdr:rowOff>0</xdr:rowOff>
        </xdr:to>
        <xdr:sp macro="" textlink="">
          <xdr:nvSpPr>
            <xdr:cNvPr id="1060" name="Drop Down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19050</xdr:colOff>
          <xdr:row>49</xdr:row>
          <xdr:rowOff>0</xdr:rowOff>
        </xdr:from>
        <xdr:to>
          <xdr:col>23</xdr:col>
          <xdr:colOff>428625</xdr:colOff>
          <xdr:row>49</xdr:row>
          <xdr:rowOff>190500</xdr:rowOff>
        </xdr:to>
        <xdr:sp macro="" textlink="">
          <xdr:nvSpPr>
            <xdr:cNvPr id="1061" name="Drop Down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19050</xdr:colOff>
          <xdr:row>49</xdr:row>
          <xdr:rowOff>0</xdr:rowOff>
        </xdr:from>
        <xdr:to>
          <xdr:col>30</xdr:col>
          <xdr:colOff>428625</xdr:colOff>
          <xdr:row>49</xdr:row>
          <xdr:rowOff>180975</xdr:rowOff>
        </xdr:to>
        <xdr:sp macro="" textlink="">
          <xdr:nvSpPr>
            <xdr:cNvPr id="1062" name="Drop Down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6</xdr:row>
          <xdr:rowOff>9525</xdr:rowOff>
        </xdr:from>
        <xdr:to>
          <xdr:col>10</xdr:col>
          <xdr:colOff>428625</xdr:colOff>
          <xdr:row>7</xdr:row>
          <xdr:rowOff>9525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9525</xdr:colOff>
          <xdr:row>6</xdr:row>
          <xdr:rowOff>9525</xdr:rowOff>
        </xdr:from>
        <xdr:to>
          <xdr:col>18</xdr:col>
          <xdr:colOff>428625</xdr:colOff>
          <xdr:row>7</xdr:row>
          <xdr:rowOff>9525</xdr:rowOff>
        </xdr:to>
        <xdr:sp macro="" textlink="">
          <xdr:nvSpPr>
            <xdr:cNvPr id="2050" name="Drop Dow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19050</xdr:colOff>
          <xdr:row>6</xdr:row>
          <xdr:rowOff>9525</xdr:rowOff>
        </xdr:from>
        <xdr:to>
          <xdr:col>26</xdr:col>
          <xdr:colOff>428625</xdr:colOff>
          <xdr:row>7</xdr:row>
          <xdr:rowOff>19050</xdr:rowOff>
        </xdr:to>
        <xdr:sp macro="" textlink="">
          <xdr:nvSpPr>
            <xdr:cNvPr id="2051" name="Drop Dow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33</xdr:col>
          <xdr:colOff>19050</xdr:colOff>
          <xdr:row>6</xdr:row>
          <xdr:rowOff>9525</xdr:rowOff>
        </xdr:from>
        <xdr:to>
          <xdr:col>34</xdr:col>
          <xdr:colOff>428625</xdr:colOff>
          <xdr:row>7</xdr:row>
          <xdr:rowOff>19050</xdr:rowOff>
        </xdr:to>
        <xdr:sp macro="" textlink="">
          <xdr:nvSpPr>
            <xdr:cNvPr id="2052" name="Drop Down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49</xdr:row>
          <xdr:rowOff>9525</xdr:rowOff>
        </xdr:from>
        <xdr:to>
          <xdr:col>10</xdr:col>
          <xdr:colOff>428625</xdr:colOff>
          <xdr:row>50</xdr:row>
          <xdr:rowOff>9525</xdr:rowOff>
        </xdr:to>
        <xdr:sp macro="" textlink="">
          <xdr:nvSpPr>
            <xdr:cNvPr id="2057" name="Drop Down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9525</xdr:colOff>
          <xdr:row>49</xdr:row>
          <xdr:rowOff>9525</xdr:rowOff>
        </xdr:from>
        <xdr:to>
          <xdr:col>18</xdr:col>
          <xdr:colOff>428625</xdr:colOff>
          <xdr:row>50</xdr:row>
          <xdr:rowOff>9525</xdr:rowOff>
        </xdr:to>
        <xdr:sp macro="" textlink="">
          <xdr:nvSpPr>
            <xdr:cNvPr id="2058" name="Drop Down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19050</xdr:colOff>
          <xdr:row>49</xdr:row>
          <xdr:rowOff>9525</xdr:rowOff>
        </xdr:from>
        <xdr:to>
          <xdr:col>26</xdr:col>
          <xdr:colOff>428625</xdr:colOff>
          <xdr:row>50</xdr:row>
          <xdr:rowOff>19050</xdr:rowOff>
        </xdr:to>
        <xdr:sp macro="" textlink="">
          <xdr:nvSpPr>
            <xdr:cNvPr id="2059" name="Drop Down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33</xdr:col>
          <xdr:colOff>19050</xdr:colOff>
          <xdr:row>49</xdr:row>
          <xdr:rowOff>9525</xdr:rowOff>
        </xdr:from>
        <xdr:to>
          <xdr:col>34</xdr:col>
          <xdr:colOff>428625</xdr:colOff>
          <xdr:row>50</xdr:row>
          <xdr:rowOff>19050</xdr:rowOff>
        </xdr:to>
        <xdr:sp macro="" textlink="">
          <xdr:nvSpPr>
            <xdr:cNvPr id="2060" name="Drop Down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3</xdr:row>
      <xdr:rowOff>66675</xdr:rowOff>
    </xdr:from>
    <xdr:to>
      <xdr:col>10</xdr:col>
      <xdr:colOff>485775</xdr:colOff>
      <xdr:row>8</xdr:row>
      <xdr:rowOff>123825</xdr:rowOff>
    </xdr:to>
    <xdr:grpSp>
      <xdr:nvGrpSpPr>
        <xdr:cNvPr id="10" name="그룹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pSpPr/>
      </xdr:nvGrpSpPr>
      <xdr:grpSpPr>
        <a:xfrm>
          <a:off x="3743325" y="466725"/>
          <a:ext cx="2324100" cy="914400"/>
          <a:chOff x="299001" y="9477375"/>
          <a:chExt cx="2795658" cy="914400"/>
        </a:xfrm>
      </xdr:grpSpPr>
      <xdr:sp macro="" textlink="">
        <xdr:nvSpPr>
          <xdr:cNvPr id="11" name="타원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299001" y="9534525"/>
            <a:ext cx="252067" cy="200025"/>
          </a:xfrm>
          <a:prstGeom prst="ellipse">
            <a:avLst/>
          </a:prstGeom>
          <a:solidFill>
            <a:srgbClr val="FF0000"/>
          </a:solidFill>
          <a:ln w="2222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900" b="1"/>
              <a:t>1</a:t>
            </a:r>
            <a:endParaRPr lang="ko-KR" altLang="en-US" sz="900" b="1"/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/>
        </xdr:nvSpPr>
        <xdr:spPr>
          <a:xfrm>
            <a:off x="561975" y="9477375"/>
            <a:ext cx="2532684" cy="9144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900" b="0">
                <a:solidFill>
                  <a:srgbClr val="FF0066"/>
                </a:solidFill>
              </a:rPr>
              <a:t>종목코드 변경 가능</a:t>
            </a:r>
            <a:endParaRPr lang="en-US" altLang="ko-KR" sz="900" b="0">
              <a:solidFill>
                <a:srgbClr val="FF0066"/>
              </a:solidFill>
            </a:endParaRPr>
          </a:p>
          <a:p>
            <a:pPr algn="l"/>
            <a:r>
              <a:rPr lang="ko-KR" altLang="en-US" sz="900" b="0">
                <a:solidFill>
                  <a:srgbClr val="FF0066"/>
                </a:solidFill>
              </a:rPr>
              <a:t>직접 입력  또는</a:t>
            </a:r>
            <a:endParaRPr lang="en-US" altLang="ko-KR" sz="900" b="0">
              <a:solidFill>
                <a:srgbClr val="FF0066"/>
              </a:solidFill>
            </a:endParaRPr>
          </a:p>
          <a:p>
            <a:pPr algn="l"/>
            <a:r>
              <a:rPr lang="ko-KR" altLang="en-US" sz="900" b="0">
                <a:solidFill>
                  <a:srgbClr val="FF0066"/>
                </a:solidFill>
              </a:rPr>
              <a:t>종목검색 </a:t>
            </a:r>
            <a:r>
              <a:rPr lang="en-US" altLang="ko-KR" sz="900" b="0">
                <a:solidFill>
                  <a:srgbClr val="FF0066"/>
                </a:solidFill>
              </a:rPr>
              <a:t>&gt;</a:t>
            </a:r>
            <a:r>
              <a:rPr lang="ko-KR" altLang="en-US" sz="900" b="0">
                <a:solidFill>
                  <a:srgbClr val="FF0066"/>
                </a:solidFill>
              </a:rPr>
              <a:t>한 </a:t>
            </a:r>
            <a:r>
              <a:rPr lang="ko-KR" altLang="en-US" sz="900" b="0" baseline="0">
                <a:solidFill>
                  <a:srgbClr val="FF0066"/>
                </a:solidFill>
              </a:rPr>
              <a:t> 종목 코드 넣기 선택 시 종목코드만 셀에 입력 가능 </a:t>
            </a:r>
            <a:endParaRPr lang="ko-KR" altLang="en-US" sz="900" b="0">
              <a:solidFill>
                <a:srgbClr val="FF0066"/>
              </a:solidFill>
            </a:endParaRPr>
          </a:p>
        </xdr:txBody>
      </xdr:sp>
    </xdr:grpSp>
    <xdr:clientData/>
  </xdr:twoCellAnchor>
  <xdr:twoCellAnchor editAs="oneCell">
    <xdr:from>
      <xdr:col>1</xdr:col>
      <xdr:colOff>200025</xdr:colOff>
      <xdr:row>3</xdr:row>
      <xdr:rowOff>19050</xdr:rowOff>
    </xdr:from>
    <xdr:to>
      <xdr:col>6</xdr:col>
      <xdr:colOff>161549</xdr:colOff>
      <xdr:row>43</xdr:row>
      <xdr:rowOff>46765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419100"/>
          <a:ext cx="3009524" cy="6885715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3</xdr:row>
      <xdr:rowOff>47625</xdr:rowOff>
    </xdr:from>
    <xdr:to>
      <xdr:col>1</xdr:col>
      <xdr:colOff>266700</xdr:colOff>
      <xdr:row>4</xdr:row>
      <xdr:rowOff>104775</xdr:rowOff>
    </xdr:to>
    <xdr:sp macro="" textlink="">
      <xdr:nvSpPr>
        <xdr:cNvPr id="4" name="타원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33350" y="447675"/>
          <a:ext cx="228600" cy="228600"/>
        </a:xfrm>
        <a:prstGeom prst="ellipse">
          <a:avLst/>
        </a:prstGeom>
        <a:solidFill>
          <a:srgbClr val="FF0000"/>
        </a:solidFill>
        <a:ln w="222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/>
            <a:t>1</a:t>
          </a:r>
          <a:endParaRPr lang="ko-KR" altLang="en-US" sz="900" b="1"/>
        </a:p>
      </xdr:txBody>
    </xdr:sp>
    <xdr:clientData/>
  </xdr:twoCellAnchor>
  <xdr:twoCellAnchor>
    <xdr:from>
      <xdr:col>2</xdr:col>
      <xdr:colOff>419100</xdr:colOff>
      <xdr:row>5</xdr:row>
      <xdr:rowOff>66675</xdr:rowOff>
    </xdr:from>
    <xdr:to>
      <xdr:col>3</xdr:col>
      <xdr:colOff>9525</xdr:colOff>
      <xdr:row>6</xdr:row>
      <xdr:rowOff>95250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123950" y="809625"/>
          <a:ext cx="200025" cy="200025"/>
        </a:xfrm>
        <a:prstGeom prst="ellipse">
          <a:avLst/>
        </a:prstGeom>
        <a:solidFill>
          <a:srgbClr val="FF0000"/>
        </a:solidFill>
        <a:ln w="222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/>
            <a:t>2</a:t>
          </a:r>
          <a:endParaRPr lang="ko-KR" altLang="en-US" sz="900" b="1"/>
        </a:p>
      </xdr:txBody>
    </xdr:sp>
    <xdr:clientData/>
  </xdr:twoCellAnchor>
  <xdr:twoCellAnchor>
    <xdr:from>
      <xdr:col>2</xdr:col>
      <xdr:colOff>419100</xdr:colOff>
      <xdr:row>6</xdr:row>
      <xdr:rowOff>104775</xdr:rowOff>
    </xdr:from>
    <xdr:to>
      <xdr:col>3</xdr:col>
      <xdr:colOff>0</xdr:colOff>
      <xdr:row>7</xdr:row>
      <xdr:rowOff>123825</xdr:rowOff>
    </xdr:to>
    <xdr:sp macro="" textlink="">
      <xdr:nvSpPr>
        <xdr:cNvPr id="6" name="타원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123950" y="1019175"/>
          <a:ext cx="190500" cy="190500"/>
        </a:xfrm>
        <a:prstGeom prst="ellipse">
          <a:avLst/>
        </a:prstGeom>
        <a:solidFill>
          <a:srgbClr val="FF0000"/>
        </a:solidFill>
        <a:ln w="222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/>
            <a:t>3</a:t>
          </a:r>
          <a:endParaRPr lang="ko-KR" altLang="en-US" sz="900" b="1"/>
        </a:p>
      </xdr:txBody>
    </xdr:sp>
    <xdr:clientData/>
  </xdr:twoCellAnchor>
  <xdr:twoCellAnchor>
    <xdr:from>
      <xdr:col>2</xdr:col>
      <xdr:colOff>419100</xdr:colOff>
      <xdr:row>7</xdr:row>
      <xdr:rowOff>133350</xdr:rowOff>
    </xdr:from>
    <xdr:to>
      <xdr:col>3</xdr:col>
      <xdr:colOff>0</xdr:colOff>
      <xdr:row>8</xdr:row>
      <xdr:rowOff>152400</xdr:rowOff>
    </xdr:to>
    <xdr:sp macro="" textlink="">
      <xdr:nvSpPr>
        <xdr:cNvPr id="7" name="타원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123950" y="1219200"/>
          <a:ext cx="190500" cy="190500"/>
        </a:xfrm>
        <a:prstGeom prst="ellipse">
          <a:avLst/>
        </a:prstGeom>
        <a:solidFill>
          <a:srgbClr val="FF0000"/>
        </a:solidFill>
        <a:ln w="222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/>
            <a:t>4</a:t>
          </a:r>
          <a:endParaRPr lang="ko-KR" altLang="en-US" sz="900" b="1"/>
        </a:p>
      </xdr:txBody>
    </xdr:sp>
    <xdr:clientData/>
  </xdr:twoCellAnchor>
  <xdr:twoCellAnchor>
    <xdr:from>
      <xdr:col>1</xdr:col>
      <xdr:colOff>200025</xdr:colOff>
      <xdr:row>26</xdr:row>
      <xdr:rowOff>0</xdr:rowOff>
    </xdr:from>
    <xdr:to>
      <xdr:col>1</xdr:col>
      <xdr:colOff>390525</xdr:colOff>
      <xdr:row>27</xdr:row>
      <xdr:rowOff>19050</xdr:rowOff>
    </xdr:to>
    <xdr:sp macro="" textlink="">
      <xdr:nvSpPr>
        <xdr:cNvPr id="8" name="타원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95275" y="4343400"/>
          <a:ext cx="190500" cy="190500"/>
        </a:xfrm>
        <a:prstGeom prst="ellipse">
          <a:avLst/>
        </a:prstGeom>
        <a:solidFill>
          <a:srgbClr val="FF0000"/>
        </a:solidFill>
        <a:ln w="222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/>
            <a:t>6</a:t>
          </a:r>
          <a:endParaRPr lang="ko-KR" altLang="en-US" sz="900" b="1"/>
        </a:p>
      </xdr:txBody>
    </xdr:sp>
    <xdr:clientData/>
  </xdr:twoCellAnchor>
  <xdr:twoCellAnchor>
    <xdr:from>
      <xdr:col>6</xdr:col>
      <xdr:colOff>581025</xdr:colOff>
      <xdr:row>9</xdr:row>
      <xdr:rowOff>76200</xdr:rowOff>
    </xdr:from>
    <xdr:to>
      <xdr:col>17</xdr:col>
      <xdr:colOff>219075</xdr:colOff>
      <xdr:row>32</xdr:row>
      <xdr:rowOff>28575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pSpPr/>
      </xdr:nvGrpSpPr>
      <xdr:grpSpPr>
        <a:xfrm>
          <a:off x="3724275" y="1504950"/>
          <a:ext cx="6343650" cy="3895725"/>
          <a:chOff x="3762375" y="1943100"/>
          <a:chExt cx="6343650" cy="3895725"/>
        </a:xfrm>
      </xdr:grpSpPr>
      <xdr:grpSp>
        <xdr:nvGrpSpPr>
          <xdr:cNvPr id="19" name="그룹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GrpSpPr/>
        </xdr:nvGrpSpPr>
        <xdr:grpSpPr>
          <a:xfrm>
            <a:off x="3762375" y="1943100"/>
            <a:ext cx="4638096" cy="857143"/>
            <a:chOff x="3714750" y="962025"/>
            <a:chExt cx="4638096" cy="857143"/>
          </a:xfrm>
        </xdr:grpSpPr>
        <xdr:pic>
          <xdr:nvPicPr>
            <xdr:cNvPr id="14" name="그림 13">
              <a:extLst>
                <a:ext uri="{FF2B5EF4-FFF2-40B4-BE49-F238E27FC236}">
                  <a16:creationId xmlns:a16="http://schemas.microsoft.com/office/drawing/2014/main" id="{00000000-0008-0000-0200-00000E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714750" y="962025"/>
              <a:ext cx="4638096" cy="857143"/>
            </a:xfrm>
            <a:prstGeom prst="rect">
              <a:avLst/>
            </a:prstGeom>
          </xdr:spPr>
        </xdr:pic>
        <xdr:sp macro="" textlink="">
          <xdr:nvSpPr>
            <xdr:cNvPr id="15" name="직사각형 14"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SpPr/>
          </xdr:nvSpPr>
          <xdr:spPr>
            <a:xfrm>
              <a:off x="4295775" y="962025"/>
              <a:ext cx="847725" cy="228600"/>
            </a:xfrm>
            <a:prstGeom prst="rect">
              <a:avLst/>
            </a:prstGeom>
            <a:noFill/>
            <a:ln w="2222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  <xdr:grpSp>
        <xdr:nvGrpSpPr>
          <xdr:cNvPr id="18" name="그룹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GrpSpPr/>
        </xdr:nvGrpSpPr>
        <xdr:grpSpPr>
          <a:xfrm>
            <a:off x="4981575" y="2486025"/>
            <a:ext cx="5124450" cy="3352800"/>
            <a:chOff x="8724900" y="704850"/>
            <a:chExt cx="7838096" cy="4514286"/>
          </a:xfrm>
        </xdr:grpSpPr>
        <xdr:pic>
          <xdr:nvPicPr>
            <xdr:cNvPr id="17" name="그림 16">
              <a:extLst>
                <a:ext uri="{FF2B5EF4-FFF2-40B4-BE49-F238E27FC236}">
                  <a16:creationId xmlns:a16="http://schemas.microsoft.com/office/drawing/2014/main" id="{00000000-0008-0000-0200-000011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8724900" y="704850"/>
              <a:ext cx="7838096" cy="4514286"/>
            </a:xfrm>
            <a:prstGeom prst="rect">
              <a:avLst/>
            </a:prstGeom>
          </xdr:spPr>
        </xdr:pic>
        <xdr:sp macro="" textlink="">
          <xdr:nvSpPr>
            <xdr:cNvPr id="16" name="직사각형 15">
              <a:extLst>
                <a:ext uri="{FF2B5EF4-FFF2-40B4-BE49-F238E27FC236}">
                  <a16:creationId xmlns:a16="http://schemas.microsoft.com/office/drawing/2014/main" id="{00000000-0008-0000-0200-000010000000}"/>
                </a:ext>
              </a:extLst>
            </xdr:cNvPr>
            <xdr:cNvSpPr/>
          </xdr:nvSpPr>
          <xdr:spPr>
            <a:xfrm>
              <a:off x="8782050" y="4857750"/>
              <a:ext cx="1285875" cy="228600"/>
            </a:xfrm>
            <a:prstGeom prst="rect">
              <a:avLst/>
            </a:prstGeom>
            <a:noFill/>
            <a:ln w="22225"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</xdr:grpSp>
    </xdr:grpSp>
    <xdr:clientData/>
  </xdr:twoCellAnchor>
  <xdr:twoCellAnchor>
    <xdr:from>
      <xdr:col>6</xdr:col>
      <xdr:colOff>552451</xdr:colOff>
      <xdr:row>34</xdr:row>
      <xdr:rowOff>9525</xdr:rowOff>
    </xdr:from>
    <xdr:to>
      <xdr:col>10</xdr:col>
      <xdr:colOff>438151</xdr:colOff>
      <xdr:row>35</xdr:row>
      <xdr:rowOff>142875</xdr:rowOff>
    </xdr:to>
    <xdr:grpSp>
      <xdr:nvGrpSpPr>
        <xdr:cNvPr id="21" name="그룹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pSpPr/>
      </xdr:nvGrpSpPr>
      <xdr:grpSpPr>
        <a:xfrm>
          <a:off x="3695701" y="5724525"/>
          <a:ext cx="2324100" cy="304800"/>
          <a:chOff x="299001" y="9477375"/>
          <a:chExt cx="2795658" cy="304800"/>
        </a:xfrm>
      </xdr:grpSpPr>
      <xdr:sp macro="" textlink="">
        <xdr:nvSpPr>
          <xdr:cNvPr id="22" name="타원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/>
        </xdr:nvSpPr>
        <xdr:spPr>
          <a:xfrm>
            <a:off x="299001" y="9534525"/>
            <a:ext cx="252067" cy="200025"/>
          </a:xfrm>
          <a:prstGeom prst="ellipse">
            <a:avLst/>
          </a:prstGeom>
          <a:solidFill>
            <a:srgbClr val="FF0000"/>
          </a:solidFill>
          <a:ln w="2222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900" b="1"/>
              <a:t>2</a:t>
            </a:r>
            <a:endParaRPr lang="ko-KR" altLang="en-US" sz="900" b="1"/>
          </a:p>
        </xdr:txBody>
      </xdr:sp>
      <xdr:sp macro="" textlink="">
        <xdr:nvSpPr>
          <xdr:cNvPr id="23" name="직사각형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/>
        </xdr:nvSpPr>
        <xdr:spPr>
          <a:xfrm>
            <a:off x="561975" y="9477375"/>
            <a:ext cx="2532684" cy="3048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900" b="0">
                <a:solidFill>
                  <a:srgbClr val="FF0066"/>
                </a:solidFill>
              </a:rPr>
              <a:t>Default</a:t>
            </a:r>
            <a:r>
              <a:rPr lang="en-US" altLang="ko-KR" sz="900" b="0" baseline="0">
                <a:solidFill>
                  <a:srgbClr val="FF0066"/>
                </a:solidFill>
              </a:rPr>
              <a:t> : T+1, </a:t>
            </a:r>
            <a:r>
              <a:rPr lang="ko-KR" altLang="en-US" sz="900" b="0" baseline="0">
                <a:solidFill>
                  <a:srgbClr val="FF0066"/>
                </a:solidFill>
              </a:rPr>
              <a:t>결제일 변경 사용 가능</a:t>
            </a:r>
            <a:endParaRPr lang="ko-KR" altLang="en-US" sz="900" b="0">
              <a:solidFill>
                <a:srgbClr val="FF0066"/>
              </a:solidFill>
            </a:endParaRPr>
          </a:p>
        </xdr:txBody>
      </xdr:sp>
    </xdr:grpSp>
    <xdr:clientData/>
  </xdr:twoCellAnchor>
  <xdr:twoCellAnchor>
    <xdr:from>
      <xdr:col>6</xdr:col>
      <xdr:colOff>552450</xdr:colOff>
      <xdr:row>35</xdr:row>
      <xdr:rowOff>161925</xdr:rowOff>
    </xdr:from>
    <xdr:to>
      <xdr:col>10</xdr:col>
      <xdr:colOff>438150</xdr:colOff>
      <xdr:row>37</xdr:row>
      <xdr:rowOff>123825</xdr:rowOff>
    </xdr:to>
    <xdr:grpSp>
      <xdr:nvGrpSpPr>
        <xdr:cNvPr id="27" name="그룹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GrpSpPr/>
      </xdr:nvGrpSpPr>
      <xdr:grpSpPr>
        <a:xfrm>
          <a:off x="3695700" y="6048375"/>
          <a:ext cx="2324100" cy="304800"/>
          <a:chOff x="299001" y="9477375"/>
          <a:chExt cx="2795658" cy="304800"/>
        </a:xfrm>
      </xdr:grpSpPr>
      <xdr:sp macro="" textlink="">
        <xdr:nvSpPr>
          <xdr:cNvPr id="28" name="타원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/>
        </xdr:nvSpPr>
        <xdr:spPr>
          <a:xfrm>
            <a:off x="299001" y="9534525"/>
            <a:ext cx="252067" cy="200025"/>
          </a:xfrm>
          <a:prstGeom prst="ellipse">
            <a:avLst/>
          </a:prstGeom>
          <a:solidFill>
            <a:srgbClr val="FF0000"/>
          </a:solidFill>
          <a:ln w="2222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900" b="1"/>
              <a:t>3</a:t>
            </a:r>
            <a:endParaRPr lang="ko-KR" altLang="en-US" sz="900" b="1"/>
          </a:p>
        </xdr:txBody>
      </xdr:sp>
      <xdr:sp macro="" textlink="">
        <xdr:nvSpPr>
          <xdr:cNvPr id="29" name="직사각형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/>
        </xdr:nvSpPr>
        <xdr:spPr>
          <a:xfrm>
            <a:off x="561975" y="9477375"/>
            <a:ext cx="2532684" cy="3048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900" b="0">
                <a:solidFill>
                  <a:srgbClr val="FF0066"/>
                </a:solidFill>
              </a:rPr>
              <a:t>Default</a:t>
            </a:r>
            <a:r>
              <a:rPr lang="en-US" altLang="ko-KR" sz="900" b="0" baseline="0">
                <a:solidFill>
                  <a:srgbClr val="FF0066"/>
                </a:solidFill>
              </a:rPr>
              <a:t> : today , </a:t>
            </a:r>
            <a:r>
              <a:rPr lang="ko-KR" altLang="en-US" sz="900" b="0" baseline="0">
                <a:solidFill>
                  <a:srgbClr val="FF0066"/>
                </a:solidFill>
              </a:rPr>
              <a:t>결제일 변경 사용 가능</a:t>
            </a:r>
            <a:endParaRPr lang="ko-KR" altLang="en-US" sz="900" b="0">
              <a:solidFill>
                <a:srgbClr val="FF0066"/>
              </a:solidFill>
            </a:endParaRPr>
          </a:p>
        </xdr:txBody>
      </xdr:sp>
    </xdr:grpSp>
    <xdr:clientData/>
  </xdr:twoCellAnchor>
  <xdr:twoCellAnchor>
    <xdr:from>
      <xdr:col>6</xdr:col>
      <xdr:colOff>552450</xdr:colOff>
      <xdr:row>37</xdr:row>
      <xdr:rowOff>85725</xdr:rowOff>
    </xdr:from>
    <xdr:to>
      <xdr:col>10</xdr:col>
      <xdr:colOff>438150</xdr:colOff>
      <xdr:row>39</xdr:row>
      <xdr:rowOff>47625</xdr:rowOff>
    </xdr:to>
    <xdr:grpSp>
      <xdr:nvGrpSpPr>
        <xdr:cNvPr id="30" name="그룹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GrpSpPr/>
      </xdr:nvGrpSpPr>
      <xdr:grpSpPr>
        <a:xfrm>
          <a:off x="3695700" y="6315075"/>
          <a:ext cx="2324100" cy="304800"/>
          <a:chOff x="299001" y="9477375"/>
          <a:chExt cx="2795658" cy="304800"/>
        </a:xfrm>
      </xdr:grpSpPr>
      <xdr:sp macro="" textlink="">
        <xdr:nvSpPr>
          <xdr:cNvPr id="31" name="타원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/>
        </xdr:nvSpPr>
        <xdr:spPr>
          <a:xfrm>
            <a:off x="299001" y="9534525"/>
            <a:ext cx="252067" cy="200025"/>
          </a:xfrm>
          <a:prstGeom prst="ellipse">
            <a:avLst/>
          </a:prstGeom>
          <a:solidFill>
            <a:srgbClr val="FF0000"/>
          </a:solidFill>
          <a:ln w="2222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900" b="1"/>
              <a:t>4</a:t>
            </a:r>
            <a:endParaRPr lang="ko-KR" altLang="en-US" sz="900" b="1"/>
          </a:p>
        </xdr:txBody>
      </xdr:sp>
      <xdr:sp macro="" textlink="">
        <xdr:nvSpPr>
          <xdr:cNvPr id="32" name="직사각형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/>
        </xdr:nvSpPr>
        <xdr:spPr>
          <a:xfrm>
            <a:off x="561975" y="9477375"/>
            <a:ext cx="2532684" cy="3048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900" b="0">
                <a:solidFill>
                  <a:srgbClr val="FF0066"/>
                </a:solidFill>
              </a:rPr>
              <a:t>단가계산 원하는 수익률 입력 입력</a:t>
            </a:r>
          </a:p>
        </xdr:txBody>
      </xdr:sp>
    </xdr:grpSp>
    <xdr:clientData/>
  </xdr:twoCellAnchor>
  <xdr:twoCellAnchor>
    <xdr:from>
      <xdr:col>4</xdr:col>
      <xdr:colOff>219075</xdr:colOff>
      <xdr:row>5</xdr:row>
      <xdr:rowOff>76200</xdr:rowOff>
    </xdr:from>
    <xdr:to>
      <xdr:col>4</xdr:col>
      <xdr:colOff>409575</xdr:colOff>
      <xdr:row>6</xdr:row>
      <xdr:rowOff>95250</xdr:rowOff>
    </xdr:to>
    <xdr:sp macro="" textlink="">
      <xdr:nvSpPr>
        <xdr:cNvPr id="33" name="타원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2143125" y="819150"/>
          <a:ext cx="190500" cy="190500"/>
        </a:xfrm>
        <a:prstGeom prst="ellipse">
          <a:avLst/>
        </a:prstGeom>
        <a:solidFill>
          <a:srgbClr val="FF0000"/>
        </a:solidFill>
        <a:ln w="222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/>
            <a:t>5</a:t>
          </a:r>
          <a:endParaRPr lang="ko-KR" altLang="en-US" sz="900" b="1"/>
        </a:p>
      </xdr:txBody>
    </xdr:sp>
    <xdr:clientData/>
  </xdr:twoCellAnchor>
  <xdr:twoCellAnchor>
    <xdr:from>
      <xdr:col>6</xdr:col>
      <xdr:colOff>542925</xdr:colOff>
      <xdr:row>39</xdr:row>
      <xdr:rowOff>19050</xdr:rowOff>
    </xdr:from>
    <xdr:to>
      <xdr:col>10</xdr:col>
      <xdr:colOff>428625</xdr:colOff>
      <xdr:row>40</xdr:row>
      <xdr:rowOff>152400</xdr:rowOff>
    </xdr:to>
    <xdr:grpSp>
      <xdr:nvGrpSpPr>
        <xdr:cNvPr id="34" name="그룹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GrpSpPr/>
      </xdr:nvGrpSpPr>
      <xdr:grpSpPr>
        <a:xfrm>
          <a:off x="3686175" y="6591300"/>
          <a:ext cx="2324100" cy="304800"/>
          <a:chOff x="299001" y="9477375"/>
          <a:chExt cx="2795658" cy="304800"/>
        </a:xfrm>
      </xdr:grpSpPr>
      <xdr:sp macro="" textlink="">
        <xdr:nvSpPr>
          <xdr:cNvPr id="35" name="타원 34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SpPr/>
        </xdr:nvSpPr>
        <xdr:spPr>
          <a:xfrm>
            <a:off x="299001" y="9534525"/>
            <a:ext cx="252067" cy="200025"/>
          </a:xfrm>
          <a:prstGeom prst="ellipse">
            <a:avLst/>
          </a:prstGeom>
          <a:solidFill>
            <a:srgbClr val="FF0000"/>
          </a:solidFill>
          <a:ln w="2222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900" b="1"/>
              <a:t>5</a:t>
            </a:r>
            <a:endParaRPr lang="ko-KR" altLang="en-US" sz="900" b="1"/>
          </a:p>
        </xdr:txBody>
      </xdr:sp>
      <xdr:sp macro="" textlink="">
        <xdr:nvSpPr>
          <xdr:cNvPr id="36" name="직사각형 35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SpPr/>
        </xdr:nvSpPr>
        <xdr:spPr>
          <a:xfrm>
            <a:off x="561975" y="9477375"/>
            <a:ext cx="2532684" cy="3048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900" b="0">
                <a:solidFill>
                  <a:srgbClr val="FF0066"/>
                </a:solidFill>
              </a:rPr>
              <a:t>수익률 조회 원하는 평가사 선택</a:t>
            </a:r>
          </a:p>
        </xdr:txBody>
      </xdr:sp>
    </xdr:grpSp>
    <xdr:clientData/>
  </xdr:twoCellAnchor>
  <xdr:twoCellAnchor>
    <xdr:from>
      <xdr:col>6</xdr:col>
      <xdr:colOff>542925</xdr:colOff>
      <xdr:row>40</xdr:row>
      <xdr:rowOff>133350</xdr:rowOff>
    </xdr:from>
    <xdr:to>
      <xdr:col>10</xdr:col>
      <xdr:colOff>428625</xdr:colOff>
      <xdr:row>42</xdr:row>
      <xdr:rowOff>95250</xdr:rowOff>
    </xdr:to>
    <xdr:grpSp>
      <xdr:nvGrpSpPr>
        <xdr:cNvPr id="37" name="그룹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GrpSpPr/>
      </xdr:nvGrpSpPr>
      <xdr:grpSpPr>
        <a:xfrm>
          <a:off x="3686175" y="6877050"/>
          <a:ext cx="2324100" cy="304800"/>
          <a:chOff x="299001" y="9477375"/>
          <a:chExt cx="2795658" cy="304800"/>
        </a:xfrm>
      </xdr:grpSpPr>
      <xdr:sp macro="" textlink="">
        <xdr:nvSpPr>
          <xdr:cNvPr id="38" name="타원 37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/>
        </xdr:nvSpPr>
        <xdr:spPr>
          <a:xfrm>
            <a:off x="299001" y="9534525"/>
            <a:ext cx="252067" cy="200025"/>
          </a:xfrm>
          <a:prstGeom prst="ellipse">
            <a:avLst/>
          </a:prstGeom>
          <a:solidFill>
            <a:srgbClr val="FF0000"/>
          </a:solidFill>
          <a:ln w="2222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900" b="1"/>
              <a:t>6</a:t>
            </a:r>
            <a:endParaRPr lang="ko-KR" altLang="en-US" sz="900" b="1"/>
          </a:p>
        </xdr:txBody>
      </xdr:sp>
      <xdr:sp macro="" textlink="">
        <xdr:nvSpPr>
          <xdr:cNvPr id="39" name="직사각형 38">
            <a:extLst>
              <a:ext uri="{FF2B5EF4-FFF2-40B4-BE49-F238E27FC236}">
                <a16:creationId xmlns:a16="http://schemas.microsoft.com/office/drawing/2014/main" id="{00000000-0008-0000-0200-000027000000}"/>
              </a:ext>
            </a:extLst>
          </xdr:cNvPr>
          <xdr:cNvSpPr/>
        </xdr:nvSpPr>
        <xdr:spPr>
          <a:xfrm>
            <a:off x="561975" y="9477375"/>
            <a:ext cx="2532684" cy="3048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900" b="0">
                <a:solidFill>
                  <a:srgbClr val="FF0066"/>
                </a:solidFill>
              </a:rPr>
              <a:t>수익률</a:t>
            </a:r>
            <a:r>
              <a:rPr lang="ko-KR" altLang="en-US" sz="900" b="0" baseline="0">
                <a:solidFill>
                  <a:srgbClr val="FF0066"/>
                </a:solidFill>
              </a:rPr>
              <a:t> 입력 시 기준 수익률 자동 변경</a:t>
            </a:r>
            <a:endParaRPr lang="ko-KR" altLang="en-US" sz="900" b="0">
              <a:solidFill>
                <a:srgbClr val="FF0066"/>
              </a:solidFill>
            </a:endParaRPr>
          </a:p>
        </xdr:txBody>
      </xdr:sp>
    </xdr:grpSp>
    <xdr:clientData/>
  </xdr:twoCellAnchor>
  <xdr:twoCellAnchor editAs="oneCell">
    <xdr:from>
      <xdr:col>19</xdr:col>
      <xdr:colOff>0</xdr:colOff>
      <xdr:row>3</xdr:row>
      <xdr:rowOff>0</xdr:rowOff>
    </xdr:from>
    <xdr:to>
      <xdr:col>24</xdr:col>
      <xdr:colOff>247650</xdr:colOff>
      <xdr:row>43</xdr:row>
      <xdr:rowOff>95250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68050" y="400050"/>
          <a:ext cx="3295650" cy="695325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581025</xdr:colOff>
      <xdr:row>3</xdr:row>
      <xdr:rowOff>66675</xdr:rowOff>
    </xdr:from>
    <xdr:to>
      <xdr:col>27</xdr:col>
      <xdr:colOff>571498</xdr:colOff>
      <xdr:row>6</xdr:row>
      <xdr:rowOff>95250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GrpSpPr/>
      </xdr:nvGrpSpPr>
      <xdr:grpSpPr>
        <a:xfrm>
          <a:off x="14697075" y="466725"/>
          <a:ext cx="1819273" cy="542925"/>
          <a:chOff x="299001" y="9477375"/>
          <a:chExt cx="2188402" cy="542925"/>
        </a:xfrm>
      </xdr:grpSpPr>
      <xdr:sp macro="" textlink="">
        <xdr:nvSpPr>
          <xdr:cNvPr id="45" name="타원 44">
            <a:extLst>
              <a:ext uri="{FF2B5EF4-FFF2-40B4-BE49-F238E27FC236}">
                <a16:creationId xmlns:a16="http://schemas.microsoft.com/office/drawing/2014/main" id="{00000000-0008-0000-0200-00002D000000}"/>
              </a:ext>
            </a:extLst>
          </xdr:cNvPr>
          <xdr:cNvSpPr/>
        </xdr:nvSpPr>
        <xdr:spPr>
          <a:xfrm>
            <a:off x="299001" y="9534525"/>
            <a:ext cx="252067" cy="200025"/>
          </a:xfrm>
          <a:prstGeom prst="ellipse">
            <a:avLst/>
          </a:prstGeom>
          <a:solidFill>
            <a:srgbClr val="FF0000"/>
          </a:solidFill>
          <a:ln w="2222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900" b="1"/>
              <a:t>1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200-00002E000000}"/>
              </a:ext>
            </a:extLst>
          </xdr:cNvPr>
          <xdr:cNvSpPr/>
        </xdr:nvSpPr>
        <xdr:spPr>
          <a:xfrm>
            <a:off x="561975" y="9477375"/>
            <a:ext cx="1925428" cy="54292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ko-KR" altLang="en-US" sz="900" b="0">
                <a:solidFill>
                  <a:srgbClr val="FF0066"/>
                </a:solidFill>
              </a:rPr>
              <a:t> 기존 계산 영역 복사하여</a:t>
            </a:r>
            <a:br>
              <a:rPr lang="en-US" altLang="ko-KR" sz="900" b="0" baseline="0">
                <a:solidFill>
                  <a:srgbClr val="FF0066"/>
                </a:solidFill>
              </a:rPr>
            </a:br>
            <a:r>
              <a:rPr lang="ko-KR" altLang="en-US" sz="900" b="0" baseline="0">
                <a:solidFill>
                  <a:srgbClr val="FF0066"/>
                </a:solidFill>
              </a:rPr>
              <a:t>다른 위치에 붙여넣기</a:t>
            </a:r>
            <a:r>
              <a:rPr lang="en-US" altLang="ko-KR" sz="900"/>
              <a:t> </a:t>
            </a:r>
            <a:r>
              <a:rPr lang="ko-KR" altLang="en-US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국고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00750-2303(21-3)</a:t>
            </a:r>
            <a:r>
              <a:rPr lang="ko-KR" altLang="en-US" sz="900"/>
              <a:t> </a:t>
            </a:r>
            <a:r>
              <a:rPr lang="ko-KR" altLang="en-US" sz="1100" b="1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만   기   일</a:t>
            </a:r>
            <a:r>
              <a:rPr lang="ko-KR" altLang="en-US" sz="900"/>
              <a:t> </a:t>
            </a:r>
            <a:r>
              <a:rPr lang="en-US" altLang="ko-KR" sz="1100" b="0" i="1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20230310</a:t>
            </a:r>
            <a:r>
              <a:rPr lang="ko-KR" altLang="en-US" sz="900"/>
              <a:t> </a:t>
            </a:r>
            <a:r>
              <a:rPr lang="ko-KR" altLang="en-US" sz="1100" b="1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시가평가</a:t>
            </a:r>
            <a:r>
              <a:rPr lang="ko-KR" altLang="en-US" sz="900"/>
              <a:t> </a:t>
            </a:r>
            <a:r>
              <a:rPr lang="ko-KR" altLang="en-US" sz="1100" b="1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결제일</a:t>
            </a:r>
            <a:r>
              <a:rPr lang="en-US" altLang="ko-KR" sz="1100" b="1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ko-KR" altLang="en-US" sz="1100" b="1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당일</a:t>
            </a:r>
            <a:r>
              <a:rPr lang="en-US" altLang="ko-KR" sz="1100" b="1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r>
              <a:rPr lang="ko-KR" altLang="en-US" sz="900"/>
              <a:t> </a:t>
            </a:r>
            <a:r>
              <a:rPr lang="en-US" altLang="ko-KR" sz="1100" b="0" i="1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2021-06-09</a:t>
            </a:r>
            <a:r>
              <a:rPr lang="ko-KR" altLang="en-US" sz="900"/>
              <a:t> </a:t>
            </a:r>
            <a:r>
              <a:rPr lang="ko-KR" altLang="en-US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　 </a:t>
            </a:r>
            <a:r>
              <a:rPr lang="ko-KR" altLang="en-US" sz="1100" b="1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결제일</a:t>
            </a:r>
            <a:r>
              <a:rPr lang="en-US" altLang="ko-KR" sz="1100" b="1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(</a:t>
            </a:r>
            <a:r>
              <a:rPr lang="ko-KR" altLang="en-US" sz="1100" b="1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익일</a:t>
            </a:r>
            <a:r>
              <a:rPr lang="en-US" altLang="ko-KR" sz="1100" b="1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)</a:t>
            </a:r>
            <a:r>
              <a:rPr lang="ko-KR" altLang="en-US" sz="900"/>
              <a:t> </a:t>
            </a:r>
            <a:r>
              <a:rPr lang="en-US" altLang="ko-KR" sz="1100" b="0" i="1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2021-06-10</a:t>
            </a:r>
            <a:r>
              <a:rPr lang="ko-KR" altLang="en-US" sz="900"/>
              <a:t> </a:t>
            </a:r>
            <a:r>
              <a:rPr lang="en-US" altLang="ko-KR" sz="1100" b="0" i="1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1.030</a:t>
            </a:r>
            <a:r>
              <a:rPr lang="ko-KR" altLang="en-US" sz="900"/>
              <a:t> </a:t>
            </a:r>
            <a:r>
              <a:rPr lang="ko-KR" altLang="en-US" sz="1100" b="1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수   익   률</a:t>
            </a:r>
            <a:r>
              <a:rPr lang="ko-KR" altLang="en-US" sz="900"/>
              <a:t> </a:t>
            </a:r>
            <a:r>
              <a:rPr lang="ko-KR" altLang="en-US" sz="1100" b="0" i="1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　</a:t>
            </a:r>
            <a:r>
              <a:rPr lang="ko-KR" altLang="en-US" sz="900"/>
              <a:t> </a:t>
            </a:r>
            <a:r>
              <a:rPr lang="en-US" altLang="ko-KR" sz="1100" b="0" i="1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9969.97</a:t>
            </a:r>
            <a:r>
              <a:rPr lang="ko-KR" altLang="en-US" sz="900"/>
              <a:t> </a:t>
            </a:r>
            <a:r>
              <a:rPr lang="en-US" altLang="ko-KR" sz="1100" b="1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bp</a:t>
            </a:r>
            <a:r>
              <a:rPr lang="en-US" altLang="ko-KR" sz="900"/>
              <a:t> </a:t>
            </a:r>
            <a:r>
              <a:rPr lang="ko-KR" altLang="en-US" sz="1100" b="1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수익률</a:t>
            </a:r>
            <a:r>
              <a:rPr lang="ko-KR" altLang="en-US" sz="900"/>
              <a:t> </a:t>
            </a:r>
            <a:r>
              <a:rPr lang="ko-KR" altLang="en-US" sz="1100" b="1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당일</a:t>
            </a:r>
            <a:r>
              <a:rPr lang="ko-KR" altLang="en-US" sz="900"/>
              <a:t> </a:t>
            </a:r>
            <a:r>
              <a:rPr lang="ko-KR" altLang="en-US" sz="1100" b="1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원</a:t>
            </a:r>
            <a:r>
              <a:rPr lang="ko-KR" altLang="en-US" sz="900"/>
              <a:t> </a:t>
            </a:r>
            <a:r>
              <a:rPr lang="ko-KR" altLang="en-US" sz="1100" b="1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익일</a:t>
            </a:r>
            <a:r>
              <a:rPr lang="ko-KR" altLang="en-US" sz="900"/>
              <a:t> </a:t>
            </a:r>
            <a:r>
              <a:rPr lang="ko-KR" altLang="en-US" sz="1100" b="1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원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-15.0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0.880 9995.94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1.74 9996.17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1.73 -14.0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0.890 9994.20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1.73 9994.44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1.73 -13.0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0.900 9992.47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1.73 9992.71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1.73 -12.0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0.910 9990.74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1.74 9990.98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1.73 -11.0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0.920 9989.00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1.73 9989.25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1.73 -10.0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0.930 9987.27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1.73 9987.52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1.73 -9.0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0.940 9985.54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1.73 9985.79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1.72 -8.0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0.950 9983.81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1.73 9984.07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1.73 -7.0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0.960 9982.08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1.73 9982.34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1.73 -6.0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0.970 9980.35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1.73 9980.61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1.73 -5.0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0.980 9978.62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1.73 9978.88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1.72 -4.0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0.990 9976.89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1.73 9977.16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1.73 -3.0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1.000 9975.16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1.73 9975.43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1.73 -2.0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1.010 9973.43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1.73 9973.70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1.72 -1.0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1.020 9971.70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0.86 9971.98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0.87 -0.5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1.025 9970.84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0.87 9971.11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0.86 0.0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1.030 9969.97</a:t>
            </a:r>
            <a:r>
              <a:rPr lang="ko-KR" altLang="en-US" sz="900"/>
              <a:t> </a:t>
            </a:r>
            <a:r>
              <a:rPr lang="ko-KR" altLang="en-US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　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9970.25</a:t>
            </a:r>
            <a:r>
              <a:rPr lang="ko-KR" altLang="en-US" sz="900"/>
              <a:t> </a:t>
            </a:r>
            <a:r>
              <a:rPr lang="ko-KR" altLang="en-US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　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+0.5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1.035 9969.11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-0.86 9969.39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-0.86 +1.0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1.040 9968.24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-0.87 9968.53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-0.86 +2.0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1.050 9966.52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-1.72 9966.80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-1.73 +3.0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1.060 9964.79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-1.73 9965.08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-1.72 +4.0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1.070 9963.06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-1.73 9963.35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-1.73 +5.0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1.080 9961.34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-1.72 9961.63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-1.72 +6.0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1.090 9959.61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-1.73 9959.91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-1.72 +7.0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1.100 9957.89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-1.72 9958.18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-1.73 +8.0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1.110 9956.16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-1.73 9956.46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-1.72 +9.0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1.120 9954.44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-1.72 9954.74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-1.72 +10.0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1.130 9952.71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-1.73 9953.02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-1.72 +11.0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1.140 9950.99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-1.72 9951.29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-1.73 +12.0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1.150 9949.26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-1.73 9949.57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-1.72 +13.0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1.160 9947.54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-1.72 9947.85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-1.72 +14.0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1.170 9945.82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-1.72 9946.13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-1.72 +15.0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1.180 9944.09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-1.73 9944.41</a:t>
            </a:r>
            <a:r>
              <a:rPr lang="ko-KR" altLang="en-US" sz="900"/>
              <a:t> </a:t>
            </a:r>
            <a:r>
              <a:rPr lang="en-US" altLang="ko-KR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-1.72 </a:t>
            </a:r>
            <a:r>
              <a:rPr lang="ko-KR" altLang="en-US" sz="1100" b="0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다르우</a:t>
            </a:r>
            <a:endParaRPr lang="ko-KR" altLang="en-US" sz="900" b="0">
              <a:solidFill>
                <a:srgbClr val="FF0066"/>
              </a:solidFill>
            </a:endParaRPr>
          </a:p>
        </xdr:txBody>
      </xdr:sp>
    </xdr:grpSp>
    <xdr:clientData/>
  </xdr:twoCellAnchor>
  <xdr:twoCellAnchor editAs="oneCell">
    <xdr:from>
      <xdr:col>25</xdr:col>
      <xdr:colOff>0</xdr:colOff>
      <xdr:row>7</xdr:row>
      <xdr:rowOff>66675</xdr:rowOff>
    </xdr:from>
    <xdr:to>
      <xdr:col>30</xdr:col>
      <xdr:colOff>247650</xdr:colOff>
      <xdr:row>16</xdr:row>
      <xdr:rowOff>114300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25650" y="1152525"/>
          <a:ext cx="3295650" cy="1590675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66675</xdr:colOff>
      <xdr:row>17</xdr:row>
      <xdr:rowOff>47625</xdr:rowOff>
    </xdr:from>
    <xdr:to>
      <xdr:col>25</xdr:col>
      <xdr:colOff>476250</xdr:colOff>
      <xdr:row>22</xdr:row>
      <xdr:rowOff>133350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92325" y="2847975"/>
          <a:ext cx="40957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38101</xdr:colOff>
      <xdr:row>17</xdr:row>
      <xdr:rowOff>38100</xdr:rowOff>
    </xdr:from>
    <xdr:to>
      <xdr:col>30</xdr:col>
      <xdr:colOff>419100</xdr:colOff>
      <xdr:row>21</xdr:row>
      <xdr:rowOff>76200</xdr:rowOff>
    </xdr:to>
    <xdr:grpSp>
      <xdr:nvGrpSpPr>
        <xdr:cNvPr id="52" name="그룹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GrpSpPr/>
      </xdr:nvGrpSpPr>
      <xdr:grpSpPr>
        <a:xfrm>
          <a:off x="15373351" y="2838450"/>
          <a:ext cx="2819399" cy="723900"/>
          <a:chOff x="299001" y="9477375"/>
          <a:chExt cx="3391453" cy="723900"/>
        </a:xfrm>
      </xdr:grpSpPr>
      <xdr:sp macro="" textlink="">
        <xdr:nvSpPr>
          <xdr:cNvPr id="53" name="타원 52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/>
        </xdr:nvSpPr>
        <xdr:spPr>
          <a:xfrm>
            <a:off x="299001" y="9534525"/>
            <a:ext cx="252067" cy="200025"/>
          </a:xfrm>
          <a:prstGeom prst="ellipse">
            <a:avLst/>
          </a:prstGeom>
          <a:solidFill>
            <a:srgbClr val="FF0000"/>
          </a:solidFill>
          <a:ln w="2222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900" b="1"/>
              <a:t>2</a:t>
            </a:r>
            <a:endParaRPr lang="ko-KR" altLang="en-US" sz="900" b="1"/>
          </a:p>
        </xdr:txBody>
      </xdr:sp>
      <xdr:sp macro="" textlink="">
        <xdr:nvSpPr>
          <xdr:cNvPr id="54" name="직사각형 53">
            <a:extLst>
              <a:ext uri="{FF2B5EF4-FFF2-40B4-BE49-F238E27FC236}">
                <a16:creationId xmlns:a16="http://schemas.microsoft.com/office/drawing/2014/main" id="{00000000-0008-0000-0200-000036000000}"/>
              </a:ext>
            </a:extLst>
          </xdr:cNvPr>
          <xdr:cNvSpPr/>
        </xdr:nvSpPr>
        <xdr:spPr>
          <a:xfrm>
            <a:off x="561975" y="9477375"/>
            <a:ext cx="3128479" cy="7239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ko-KR" altLang="en-US" sz="900" b="0">
                <a:solidFill>
                  <a:srgbClr val="FF0066"/>
                </a:solidFill>
              </a:rPr>
              <a:t> 붙여넣기 후 표</a:t>
            </a:r>
            <a:r>
              <a:rPr lang="ko-KR" altLang="en-US" sz="900" b="0" baseline="0">
                <a:solidFill>
                  <a:srgbClr val="FF0066"/>
                </a:solidFill>
              </a:rPr>
              <a:t> 번호를 임의로 변경하고</a:t>
            </a:r>
            <a:br>
              <a:rPr lang="en-US" altLang="ko-KR" sz="900" b="0" baseline="0">
                <a:solidFill>
                  <a:srgbClr val="FF0066"/>
                </a:solidFill>
              </a:rPr>
            </a:br>
            <a:r>
              <a:rPr lang="en-US" altLang="ko-KR" sz="900" b="0" baseline="0">
                <a:solidFill>
                  <a:srgbClr val="FF0066"/>
                </a:solidFill>
              </a:rPr>
              <a:t>B</a:t>
            </a:r>
            <a:r>
              <a:rPr lang="ko-KR" altLang="en-US" sz="900" b="0" baseline="0">
                <a:solidFill>
                  <a:srgbClr val="FF0066"/>
                </a:solidFill>
              </a:rPr>
              <a:t>행에도 같은 번호로 입력</a:t>
            </a:r>
            <a:endParaRPr lang="en-US" altLang="ko-KR" sz="900" b="0" baseline="0">
              <a:solidFill>
                <a:srgbClr val="FF0066"/>
              </a:solidFill>
            </a:endParaRPr>
          </a:p>
          <a:p>
            <a:pPr algn="l"/>
            <a:r>
              <a:rPr lang="en-US" altLang="ko-KR" sz="900" b="0" baseline="0">
                <a:solidFill>
                  <a:srgbClr val="FF0066"/>
                </a:solidFill>
              </a:rPr>
              <a:t>(</a:t>
            </a:r>
            <a:r>
              <a:rPr lang="ko-KR" altLang="en-US" sz="900" b="0" baseline="0">
                <a:solidFill>
                  <a:srgbClr val="FF0066"/>
                </a:solidFill>
              </a:rPr>
              <a:t>표 크기 상관없이 </a:t>
            </a:r>
            <a:r>
              <a:rPr lang="en-US" altLang="ko-KR" sz="900" b="0" baseline="0">
                <a:solidFill>
                  <a:srgbClr val="FF0066"/>
                </a:solidFill>
              </a:rPr>
              <a:t>B:C</a:t>
            </a:r>
            <a:r>
              <a:rPr lang="ko-KR" altLang="en-US" sz="900" b="0" baseline="0">
                <a:solidFill>
                  <a:srgbClr val="FF0066"/>
                </a:solidFill>
              </a:rPr>
              <a:t>행에 내용 계속 추가 가능</a:t>
            </a:r>
            <a:r>
              <a:rPr lang="en-US" altLang="ko-KR" sz="900" b="0" baseline="0">
                <a:solidFill>
                  <a:srgbClr val="FF0066"/>
                </a:solidFill>
              </a:rPr>
              <a:t>)</a:t>
            </a:r>
            <a:endParaRPr lang="ko-KR" altLang="en-US" sz="900" b="0">
              <a:solidFill>
                <a:srgbClr val="FF0066"/>
              </a:solidFill>
            </a:endParaRPr>
          </a:p>
        </xdr:txBody>
      </xdr:sp>
    </xdr:grpSp>
    <xdr:clientData/>
  </xdr:twoCellAnchor>
  <xdr:twoCellAnchor>
    <xdr:from>
      <xdr:col>24</xdr:col>
      <xdr:colOff>523875</xdr:colOff>
      <xdr:row>7</xdr:row>
      <xdr:rowOff>28575</xdr:rowOff>
    </xdr:from>
    <xdr:to>
      <xdr:col>25</xdr:col>
      <xdr:colOff>114300</xdr:colOff>
      <xdr:row>8</xdr:row>
      <xdr:rowOff>57150</xdr:rowOff>
    </xdr:to>
    <xdr:sp macro="" textlink="">
      <xdr:nvSpPr>
        <xdr:cNvPr id="55" name="타원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/>
      </xdr:nvSpPr>
      <xdr:spPr>
        <a:xfrm>
          <a:off x="14639925" y="1114425"/>
          <a:ext cx="200025" cy="200025"/>
        </a:xfrm>
        <a:prstGeom prst="ellipse">
          <a:avLst/>
        </a:prstGeom>
        <a:solidFill>
          <a:srgbClr val="FF0000"/>
        </a:solidFill>
        <a:ln w="222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/>
            <a:t>2</a:t>
          </a:r>
          <a:endParaRPr lang="ko-KR" altLang="en-US" sz="900" b="1"/>
        </a:p>
      </xdr:txBody>
    </xdr:sp>
    <xdr:clientData/>
  </xdr:twoCellAnchor>
  <xdr:twoCellAnchor>
    <xdr:from>
      <xdr:col>24</xdr:col>
      <xdr:colOff>590550</xdr:colOff>
      <xdr:row>21</xdr:row>
      <xdr:rowOff>133350</xdr:rowOff>
    </xdr:from>
    <xdr:to>
      <xdr:col>25</xdr:col>
      <xdr:colOff>180975</xdr:colOff>
      <xdr:row>22</xdr:row>
      <xdr:rowOff>161925</xdr:rowOff>
    </xdr:to>
    <xdr:sp macro="" textlink="">
      <xdr:nvSpPr>
        <xdr:cNvPr id="56" name="타원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/>
      </xdr:nvSpPr>
      <xdr:spPr>
        <a:xfrm>
          <a:off x="14706600" y="3619500"/>
          <a:ext cx="200025" cy="200025"/>
        </a:xfrm>
        <a:prstGeom prst="ellipse">
          <a:avLst/>
        </a:prstGeom>
        <a:solidFill>
          <a:srgbClr val="FF0000"/>
        </a:solidFill>
        <a:ln w="222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/>
            <a:t>2</a:t>
          </a:r>
          <a:endParaRPr lang="ko-KR" altLang="en-US" sz="900" b="1"/>
        </a:p>
      </xdr:txBody>
    </xdr:sp>
    <xdr:clientData/>
  </xdr:twoCellAnchor>
  <xdr:twoCellAnchor editAs="oneCell">
    <xdr:from>
      <xdr:col>25</xdr:col>
      <xdr:colOff>0</xdr:colOff>
      <xdr:row>25</xdr:row>
      <xdr:rowOff>0</xdr:rowOff>
    </xdr:from>
    <xdr:to>
      <xdr:col>27</xdr:col>
      <xdr:colOff>428855</xdr:colOff>
      <xdr:row>37</xdr:row>
      <xdr:rowOff>114603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25650" y="4171950"/>
          <a:ext cx="1648055" cy="217200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28</xdr:col>
      <xdr:colOff>0</xdr:colOff>
      <xdr:row>25</xdr:row>
      <xdr:rowOff>0</xdr:rowOff>
    </xdr:from>
    <xdr:to>
      <xdr:col>33</xdr:col>
      <xdr:colOff>600584</xdr:colOff>
      <xdr:row>32</xdr:row>
      <xdr:rowOff>85904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554450" y="4171950"/>
          <a:ext cx="3648584" cy="128605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25</xdr:col>
      <xdr:colOff>85725</xdr:colOff>
      <xdr:row>24</xdr:row>
      <xdr:rowOff>161925</xdr:rowOff>
    </xdr:from>
    <xdr:to>
      <xdr:col>25</xdr:col>
      <xdr:colOff>276225</xdr:colOff>
      <xdr:row>26</xdr:row>
      <xdr:rowOff>9525</xdr:rowOff>
    </xdr:to>
    <xdr:sp macro="" textlink="">
      <xdr:nvSpPr>
        <xdr:cNvPr id="57" name="타원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/>
      </xdr:nvSpPr>
      <xdr:spPr>
        <a:xfrm>
          <a:off x="14811375" y="4162425"/>
          <a:ext cx="190500" cy="190500"/>
        </a:xfrm>
        <a:prstGeom prst="ellipse">
          <a:avLst/>
        </a:prstGeom>
        <a:solidFill>
          <a:srgbClr val="FF0000"/>
        </a:solidFill>
        <a:ln w="222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/>
            <a:t>3</a:t>
          </a:r>
          <a:endParaRPr lang="ko-KR" altLang="en-US" sz="900" b="1"/>
        </a:p>
      </xdr:txBody>
    </xdr:sp>
    <xdr:clientData/>
  </xdr:twoCellAnchor>
  <xdr:twoCellAnchor>
    <xdr:from>
      <xdr:col>30</xdr:col>
      <xdr:colOff>238125</xdr:colOff>
      <xdr:row>30</xdr:row>
      <xdr:rowOff>152400</xdr:rowOff>
    </xdr:from>
    <xdr:to>
      <xdr:col>30</xdr:col>
      <xdr:colOff>428625</xdr:colOff>
      <xdr:row>32</xdr:row>
      <xdr:rowOff>0</xdr:rowOff>
    </xdr:to>
    <xdr:sp macro="" textlink="">
      <xdr:nvSpPr>
        <xdr:cNvPr id="58" name="타원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>
        <a:xfrm>
          <a:off x="18011775" y="5181600"/>
          <a:ext cx="190500" cy="190500"/>
        </a:xfrm>
        <a:prstGeom prst="ellipse">
          <a:avLst/>
        </a:prstGeom>
        <a:solidFill>
          <a:srgbClr val="FF0000"/>
        </a:solidFill>
        <a:ln w="2222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900" b="1"/>
            <a:t>3</a:t>
          </a:r>
          <a:endParaRPr lang="ko-KR" altLang="en-US" sz="900" b="1"/>
        </a:p>
      </xdr:txBody>
    </xdr:sp>
    <xdr:clientData/>
  </xdr:twoCellAnchor>
  <xdr:twoCellAnchor>
    <xdr:from>
      <xdr:col>28</xdr:col>
      <xdr:colOff>276225</xdr:colOff>
      <xdr:row>30</xdr:row>
      <xdr:rowOff>38100</xdr:rowOff>
    </xdr:from>
    <xdr:to>
      <xdr:col>30</xdr:col>
      <xdr:colOff>209550</xdr:colOff>
      <xdr:row>31</xdr:row>
      <xdr:rowOff>66675</xdr:rowOff>
    </xdr:to>
    <xdr:cxnSp macro="">
      <xdr:nvCxnSpPr>
        <xdr:cNvPr id="24" name="직선 화살표 연결선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CxnSpPr/>
      </xdr:nvCxnSpPr>
      <xdr:spPr>
        <a:xfrm flipH="1" flipV="1">
          <a:off x="16830675" y="5067300"/>
          <a:ext cx="1152525" cy="200025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142875</xdr:colOff>
      <xdr:row>33</xdr:row>
      <xdr:rowOff>47624</xdr:rowOff>
    </xdr:from>
    <xdr:to>
      <xdr:col>33</xdr:col>
      <xdr:colOff>209550</xdr:colOff>
      <xdr:row>36</xdr:row>
      <xdr:rowOff>38099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GrpSpPr/>
      </xdr:nvGrpSpPr>
      <xdr:grpSpPr>
        <a:xfrm>
          <a:off x="16697325" y="5591174"/>
          <a:ext cx="3114675" cy="504825"/>
          <a:chOff x="299001" y="9477374"/>
          <a:chExt cx="3746640" cy="504825"/>
        </a:xfrm>
      </xdr:grpSpPr>
      <xdr:sp macro="" textlink="">
        <xdr:nvSpPr>
          <xdr:cNvPr id="60" name="타원 59">
            <a:extLst>
              <a:ext uri="{FF2B5EF4-FFF2-40B4-BE49-F238E27FC236}">
                <a16:creationId xmlns:a16="http://schemas.microsoft.com/office/drawing/2014/main" id="{00000000-0008-0000-0200-00003C000000}"/>
              </a:ext>
            </a:extLst>
          </xdr:cNvPr>
          <xdr:cNvSpPr/>
        </xdr:nvSpPr>
        <xdr:spPr>
          <a:xfrm>
            <a:off x="299001" y="9534525"/>
            <a:ext cx="252067" cy="200025"/>
          </a:xfrm>
          <a:prstGeom prst="ellipse">
            <a:avLst/>
          </a:prstGeom>
          <a:solidFill>
            <a:srgbClr val="FF0000"/>
          </a:solidFill>
          <a:ln w="22225"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altLang="ko-KR" sz="900" b="1"/>
              <a:t>3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200-00003D000000}"/>
              </a:ext>
            </a:extLst>
          </xdr:cNvPr>
          <xdr:cNvSpPr/>
        </xdr:nvSpPr>
        <xdr:spPr>
          <a:xfrm>
            <a:off x="561974" y="9477374"/>
            <a:ext cx="3483667" cy="50482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ko-KR" altLang="en-US" sz="900" b="0">
                <a:solidFill>
                  <a:srgbClr val="FF0066"/>
                </a:solidFill>
              </a:rPr>
              <a:t> 복사한 계산표의 콤보박스 </a:t>
            </a:r>
            <a:r>
              <a:rPr lang="en-US" altLang="ko-KR" sz="900" b="0">
                <a:solidFill>
                  <a:srgbClr val="FF0066"/>
                </a:solidFill>
              </a:rPr>
              <a:t>"</a:t>
            </a:r>
            <a:r>
              <a:rPr lang="ko-KR" altLang="en-US" sz="900" b="0">
                <a:solidFill>
                  <a:srgbClr val="FF0066"/>
                </a:solidFill>
              </a:rPr>
              <a:t>우클릭 </a:t>
            </a:r>
            <a:r>
              <a:rPr lang="en-US" altLang="ko-KR" sz="900" b="0">
                <a:solidFill>
                  <a:srgbClr val="FF0066"/>
                </a:solidFill>
              </a:rPr>
              <a:t>- </a:t>
            </a:r>
            <a:r>
              <a:rPr lang="ko-KR" altLang="en-US" sz="900" b="0">
                <a:solidFill>
                  <a:srgbClr val="FF0066"/>
                </a:solidFill>
              </a:rPr>
              <a:t>컨트롤 서식</a:t>
            </a:r>
            <a:r>
              <a:rPr lang="en-US" altLang="ko-KR" sz="900" b="0">
                <a:solidFill>
                  <a:srgbClr val="FF0066"/>
                </a:solidFill>
              </a:rPr>
              <a:t>"</a:t>
            </a:r>
            <a:br>
              <a:rPr lang="en-US" altLang="ko-KR" sz="900" b="0">
                <a:solidFill>
                  <a:srgbClr val="FF0066"/>
                </a:solidFill>
              </a:rPr>
            </a:br>
            <a:r>
              <a:rPr lang="ko-KR" altLang="en-US" sz="900" b="0">
                <a:solidFill>
                  <a:srgbClr val="FF0066"/>
                </a:solidFill>
              </a:rPr>
              <a:t>셀 연결 부분에 </a:t>
            </a:r>
            <a:r>
              <a:rPr lang="en-US" altLang="ko-KR" sz="900" b="0">
                <a:solidFill>
                  <a:srgbClr val="FF0066"/>
                </a:solidFill>
              </a:rPr>
              <a:t>C</a:t>
            </a:r>
            <a:r>
              <a:rPr lang="ko-KR" altLang="en-US" sz="900" b="0">
                <a:solidFill>
                  <a:srgbClr val="FF0066"/>
                </a:solidFill>
              </a:rPr>
              <a:t>행의 표 번호 부분으로 지정</a:t>
            </a:r>
          </a:p>
        </xdr:txBody>
      </xdr:sp>
    </xdr:grpSp>
    <xdr:clientData/>
  </xdr:twoCellAnchor>
  <xdr:twoCellAnchor>
    <xdr:from>
      <xdr:col>25</xdr:col>
      <xdr:colOff>247650</xdr:colOff>
      <xdr:row>35</xdr:row>
      <xdr:rowOff>133350</xdr:rowOff>
    </xdr:from>
    <xdr:to>
      <xdr:col>27</xdr:col>
      <xdr:colOff>247650</xdr:colOff>
      <xdr:row>37</xdr:row>
      <xdr:rowOff>66675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4973300" y="6019800"/>
          <a:ext cx="1219200" cy="276225"/>
        </a:xfrm>
        <a:prstGeom prst="rect">
          <a:avLst/>
        </a:prstGeom>
        <a:noFill/>
        <a:ln w="571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3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1.xml"/><Relationship Id="rId11" Type="http://schemas.openxmlformats.org/officeDocument/2006/relationships/ctrlProp" Target="../ctrlProps/ctrlProp16.xml"/><Relationship Id="rId5" Type="http://schemas.openxmlformats.org/officeDocument/2006/relationships/ctrlProp" Target="../ctrlProps/ctrlProp10.xml"/><Relationship Id="rId10" Type="http://schemas.openxmlformats.org/officeDocument/2006/relationships/ctrlProp" Target="../ctrlProps/ctrlProp15.xml"/><Relationship Id="rId4" Type="http://schemas.openxmlformats.org/officeDocument/2006/relationships/ctrlProp" Target="../ctrlProps/ctrlProp9.xml"/><Relationship Id="rId9" Type="http://schemas.openxmlformats.org/officeDocument/2006/relationships/ctrlProp" Target="../ctrlProps/ctrlProp1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6"/>
  <sheetViews>
    <sheetView showGridLines="0" tabSelected="1" zoomScaleNormal="100" workbookViewId="0">
      <selection activeCell="G3" sqref="G3"/>
    </sheetView>
  </sheetViews>
  <sheetFormatPr defaultRowHeight="13.5" x14ac:dyDescent="0.25"/>
  <cols>
    <col min="1" max="1" width="1.140625" style="73" customWidth="1"/>
    <col min="2" max="2" width="3.42578125" style="81" bestFit="1" customWidth="1"/>
    <col min="3" max="3" width="2.5703125" style="80" bestFit="1" customWidth="1"/>
    <col min="4" max="4" width="2.140625" style="73" customWidth="1"/>
    <col min="5" max="5" width="5.7109375" style="1" customWidth="1"/>
    <col min="6" max="6" width="8.7109375" style="1" customWidth="1"/>
    <col min="7" max="7" width="10.7109375" customWidth="1"/>
    <col min="8" max="8" width="6.7109375" customWidth="1"/>
    <col min="9" max="9" width="10.7109375" customWidth="1"/>
    <col min="10" max="10" width="6.7109375" style="2" customWidth="1"/>
    <col min="11" max="11" width="1.28515625" style="76" customWidth="1"/>
    <col min="12" max="12" width="5.7109375" customWidth="1"/>
    <col min="13" max="13" width="8.7109375" customWidth="1"/>
    <col min="14" max="14" width="10.7109375" customWidth="1"/>
    <col min="15" max="15" width="6.7109375" customWidth="1"/>
    <col min="16" max="16" width="10.7109375" customWidth="1"/>
    <col min="17" max="17" width="6.7109375" style="2" customWidth="1"/>
    <col min="18" max="18" width="1.28515625" customWidth="1"/>
    <col min="19" max="19" width="5.7109375" style="2" customWidth="1"/>
    <col min="20" max="20" width="8.7109375" style="2" customWidth="1"/>
    <col min="21" max="21" width="10.7109375" style="2" customWidth="1"/>
    <col min="22" max="22" width="6.7109375" style="2" customWidth="1"/>
    <col min="23" max="23" width="10.7109375" style="2" customWidth="1"/>
    <col min="24" max="24" width="6.7109375" style="2" customWidth="1"/>
    <col min="25" max="25" width="1.5703125" customWidth="1"/>
    <col min="26" max="26" width="5.7109375" style="2" customWidth="1"/>
    <col min="27" max="27" width="8.7109375" style="2" customWidth="1"/>
    <col min="28" max="28" width="10.7109375" style="2" customWidth="1"/>
    <col min="29" max="29" width="6.7109375" style="2" customWidth="1"/>
    <col min="30" max="30" width="10.7109375" style="2" customWidth="1"/>
    <col min="31" max="31" width="6.7109375" style="2" customWidth="1"/>
  </cols>
  <sheetData>
    <row r="1" spans="1:31" ht="6" customHeight="1" x14ac:dyDescent="0.25"/>
    <row r="2" spans="1:31" s="2" customFormat="1" ht="22.5" customHeight="1" x14ac:dyDescent="0.25">
      <c r="A2" s="73"/>
      <c r="B2" s="81"/>
      <c r="C2" s="80"/>
      <c r="D2" s="73"/>
      <c r="E2" s="18" t="s">
        <v>109</v>
      </c>
      <c r="F2" s="16"/>
      <c r="G2" s="17"/>
      <c r="H2" s="17"/>
      <c r="I2" s="17"/>
      <c r="J2" s="17"/>
      <c r="K2" s="7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</row>
    <row r="3" spans="1:31" ht="8.25" customHeight="1" x14ac:dyDescent="0.25"/>
    <row r="4" spans="1:31" s="75" customFormat="1" ht="10.5" customHeight="1" thickBot="1" x14ac:dyDescent="0.3">
      <c r="B4" s="81"/>
      <c r="C4" s="80"/>
      <c r="E4" s="79">
        <v>1</v>
      </c>
      <c r="F4" s="74"/>
      <c r="L4" s="79">
        <v>2</v>
      </c>
      <c r="S4" s="79">
        <v>3</v>
      </c>
      <c r="Z4" s="79">
        <v>4</v>
      </c>
    </row>
    <row r="5" spans="1:31" ht="14.25" thickBot="1" x14ac:dyDescent="0.3">
      <c r="B5" s="82">
        <v>1</v>
      </c>
      <c r="C5" s="83">
        <v>1</v>
      </c>
      <c r="E5" s="84" t="s">
        <v>158</v>
      </c>
      <c r="F5" s="85"/>
      <c r="G5" s="88" t="str">
        <f>_xll.IMDP("BND",E5,"한글종목명")</f>
        <v>국고00750-2303(21-3)</v>
      </c>
      <c r="H5" s="88"/>
      <c r="I5" s="88"/>
      <c r="J5" s="89"/>
      <c r="L5" s="84" t="s">
        <v>159</v>
      </c>
      <c r="M5" s="85"/>
      <c r="N5" s="88" t="str">
        <f>_xll.IMDP("BND",L5,"한글종목명")</f>
        <v>국고00875-2312(20-8)</v>
      </c>
      <c r="O5" s="88"/>
      <c r="P5" s="88"/>
      <c r="Q5" s="89"/>
      <c r="S5" s="84" t="s">
        <v>160</v>
      </c>
      <c r="T5" s="85"/>
      <c r="U5" s="88" t="str">
        <f>_xll.IMDP("BND",S5,"한글종목명")</f>
        <v>국고01500-3012(20-9)</v>
      </c>
      <c r="V5" s="88"/>
      <c r="W5" s="88"/>
      <c r="X5" s="89"/>
      <c r="Z5" s="84" t="s">
        <v>161</v>
      </c>
      <c r="AA5" s="85"/>
      <c r="AB5" s="88" t="str">
        <f>_xll.IMDP("BND",Z5,"한글종목명")</f>
        <v>국고01500-4009(20-7)</v>
      </c>
      <c r="AC5" s="88"/>
      <c r="AD5" s="88"/>
      <c r="AE5" s="89"/>
    </row>
    <row r="6" spans="1:31" s="2" customFormat="1" ht="13.5" customHeight="1" x14ac:dyDescent="0.25">
      <c r="A6" s="73"/>
      <c r="B6" s="82">
        <v>2</v>
      </c>
      <c r="C6" s="83">
        <v>1</v>
      </c>
      <c r="D6" s="73"/>
      <c r="E6" s="91" t="s">
        <v>104</v>
      </c>
      <c r="F6" s="86"/>
      <c r="G6" s="106">
        <f>_xll.IMDP("BND",E5,"만기일")</f>
        <v>20230310</v>
      </c>
      <c r="H6" s="106"/>
      <c r="I6" s="86" t="s">
        <v>103</v>
      </c>
      <c r="J6" s="87"/>
      <c r="K6" s="76"/>
      <c r="L6" s="91" t="s">
        <v>110</v>
      </c>
      <c r="M6" s="86"/>
      <c r="N6" s="106">
        <f>_xll.IMDP("BND",L5,"만기일")</f>
        <v>20231210</v>
      </c>
      <c r="O6" s="106"/>
      <c r="P6" s="86" t="s">
        <v>111</v>
      </c>
      <c r="Q6" s="87"/>
      <c r="S6" s="91" t="s">
        <v>110</v>
      </c>
      <c r="T6" s="86"/>
      <c r="U6" s="106">
        <f>_xll.IMDP("BND",S5,"만기일")</f>
        <v>20301210</v>
      </c>
      <c r="V6" s="106"/>
      <c r="W6" s="86" t="s">
        <v>111</v>
      </c>
      <c r="X6" s="87"/>
      <c r="Z6" s="91" t="s">
        <v>110</v>
      </c>
      <c r="AA6" s="86"/>
      <c r="AB6" s="106">
        <f>_xll.IMDP("BND",Z5,"만기일")</f>
        <v>20400910</v>
      </c>
      <c r="AC6" s="106"/>
      <c r="AD6" s="86" t="s">
        <v>111</v>
      </c>
      <c r="AE6" s="87"/>
    </row>
    <row r="7" spans="1:31" s="2" customFormat="1" ht="15.75" customHeight="1" x14ac:dyDescent="0.25">
      <c r="A7" s="73"/>
      <c r="B7" s="82">
        <v>3</v>
      </c>
      <c r="C7" s="83">
        <v>1</v>
      </c>
      <c r="D7" s="73"/>
      <c r="E7" s="96" t="s">
        <v>8</v>
      </c>
      <c r="F7" s="97"/>
      <c r="G7" s="98">
        <f ca="1">TODAY()</f>
        <v>44358</v>
      </c>
      <c r="H7" s="99"/>
      <c r="I7" s="100"/>
      <c r="J7" s="101"/>
      <c r="K7" s="76"/>
      <c r="L7" s="96" t="s">
        <v>112</v>
      </c>
      <c r="M7" s="97"/>
      <c r="N7" s="98">
        <f ca="1">TODAY()</f>
        <v>44358</v>
      </c>
      <c r="O7" s="99"/>
      <c r="P7" s="100"/>
      <c r="Q7" s="101"/>
      <c r="S7" s="96" t="s">
        <v>112</v>
      </c>
      <c r="T7" s="97"/>
      <c r="U7" s="98">
        <f ca="1">TODAY()</f>
        <v>44358</v>
      </c>
      <c r="V7" s="99"/>
      <c r="W7" s="100"/>
      <c r="X7" s="101"/>
      <c r="Z7" s="96" t="s">
        <v>112</v>
      </c>
      <c r="AA7" s="97"/>
      <c r="AB7" s="98">
        <f ca="1">TODAY()</f>
        <v>44358</v>
      </c>
      <c r="AC7" s="99"/>
      <c r="AD7" s="100"/>
      <c r="AE7" s="101"/>
    </row>
    <row r="8" spans="1:31" ht="15" customHeight="1" x14ac:dyDescent="0.25">
      <c r="B8" s="82">
        <v>4</v>
      </c>
      <c r="C8" s="83">
        <v>1</v>
      </c>
      <c r="E8" s="102" t="s">
        <v>9</v>
      </c>
      <c r="F8" s="103"/>
      <c r="G8" s="90">
        <f ca="1">WORKDAY(TODAY(),1)</f>
        <v>44361</v>
      </c>
      <c r="H8" s="90"/>
      <c r="I8" s="94">
        <f>_xll.IMDP("BND",E5,INDEX(Sheet1!$B$2:$C$7,VLOOKUP(E4,$B:$C,2,0),2))</f>
        <v>1.075</v>
      </c>
      <c r="J8" s="95"/>
      <c r="L8" s="102" t="s">
        <v>113</v>
      </c>
      <c r="M8" s="103"/>
      <c r="N8" s="107">
        <f ca="1">WORKDAY(TODAY(),1)</f>
        <v>44361</v>
      </c>
      <c r="O8" s="107"/>
      <c r="P8" s="94">
        <f>_xll.IMDP("BND",L5,INDEX(Sheet1!$B$2:$C$7,VLOOKUP(L4,$B:$C,2,0),2))</f>
        <v>1.18</v>
      </c>
      <c r="Q8" s="95"/>
      <c r="S8" s="102" t="s">
        <v>113</v>
      </c>
      <c r="T8" s="103"/>
      <c r="U8" s="90">
        <f ca="1">WORKDAY(TODAY(),1)</f>
        <v>44361</v>
      </c>
      <c r="V8" s="90"/>
      <c r="W8" s="94">
        <f>_xll.IMDP("BND",S5,INDEX(Sheet1!$B$2:$C$7,VLOOKUP(S4,$B:$C,2,0),2))</f>
        <v>2.085</v>
      </c>
      <c r="X8" s="95"/>
      <c r="Z8" s="102" t="s">
        <v>113</v>
      </c>
      <c r="AA8" s="103"/>
      <c r="AB8" s="90">
        <f ca="1">WORKDAY(TODAY(),1)</f>
        <v>44361</v>
      </c>
      <c r="AC8" s="90"/>
      <c r="AD8" s="94">
        <f>_xll.IMDP("BND",Z5,INDEX(Sheet1!$B$2:$C$7,VLOOKUP(Z4,$B:$C,2,0),2))</f>
        <v>2.1920000000000002</v>
      </c>
      <c r="AE8" s="95"/>
    </row>
    <row r="9" spans="1:31" s="2" customFormat="1" ht="15" customHeight="1" thickBot="1" x14ac:dyDescent="0.3">
      <c r="A9" s="73"/>
      <c r="B9" s="82">
        <v>5</v>
      </c>
      <c r="C9" s="83">
        <v>1</v>
      </c>
      <c r="D9" s="73"/>
      <c r="E9" s="102" t="s">
        <v>105</v>
      </c>
      <c r="F9" s="103"/>
      <c r="G9" s="104"/>
      <c r="H9" s="105"/>
      <c r="I9" s="92">
        <f>_xll.IMDP("BND",E5,INDEX(Sheet1!$B$9:$C$14,VLOOKUP(E4,$B:$C,2,0),2))</f>
        <v>9962.66</v>
      </c>
      <c r="J9" s="93"/>
      <c r="K9" s="76"/>
      <c r="L9" s="102" t="s">
        <v>114</v>
      </c>
      <c r="M9" s="103"/>
      <c r="N9" s="104"/>
      <c r="O9" s="105"/>
      <c r="P9" s="92">
        <f>_xll.IMDP("BND",L5,INDEX(Sheet1!$B$9:$C$14,VLOOKUP(L4,$B:$C,2,0),2))</f>
        <v>9925.23</v>
      </c>
      <c r="Q9" s="93"/>
      <c r="S9" s="102" t="s">
        <v>114</v>
      </c>
      <c r="T9" s="103"/>
      <c r="U9" s="104"/>
      <c r="V9" s="105"/>
      <c r="W9" s="92">
        <f>_xll.IMDP("BND",S5,INDEX(Sheet1!$B$9:$C$14,VLOOKUP(S4,$B:$C,2,0),2))</f>
        <v>9498.7199999999993</v>
      </c>
      <c r="X9" s="93"/>
      <c r="Z9" s="102" t="s">
        <v>114</v>
      </c>
      <c r="AA9" s="103"/>
      <c r="AB9" s="104"/>
      <c r="AC9" s="105"/>
      <c r="AD9" s="92">
        <f>_xll.IMDP("BND",Z5,INDEX(Sheet1!$B$9:$C$14,VLOOKUP(Z4,$B:$C,2,0),2))</f>
        <v>8955.81</v>
      </c>
      <c r="AE9" s="93"/>
    </row>
    <row r="10" spans="1:31" ht="16.5" customHeight="1" thickBot="1" x14ac:dyDescent="0.3">
      <c r="B10" s="82">
        <v>6</v>
      </c>
      <c r="C10" s="83">
        <v>1</v>
      </c>
      <c r="E10" s="48" t="s">
        <v>5</v>
      </c>
      <c r="F10" s="50" t="s">
        <v>6</v>
      </c>
      <c r="G10" s="50" t="s">
        <v>0</v>
      </c>
      <c r="H10" s="50" t="s">
        <v>102</v>
      </c>
      <c r="I10" s="50" t="s">
        <v>1</v>
      </c>
      <c r="J10" s="49" t="s">
        <v>102</v>
      </c>
      <c r="L10" s="48" t="s">
        <v>115</v>
      </c>
      <c r="M10" s="50" t="s">
        <v>116</v>
      </c>
      <c r="N10" s="50" t="s">
        <v>117</v>
      </c>
      <c r="O10" s="50" t="s">
        <v>118</v>
      </c>
      <c r="P10" s="50" t="s">
        <v>119</v>
      </c>
      <c r="Q10" s="49" t="s">
        <v>118</v>
      </c>
      <c r="S10" s="48" t="s">
        <v>115</v>
      </c>
      <c r="T10" s="50" t="s">
        <v>116</v>
      </c>
      <c r="U10" s="50" t="s">
        <v>117</v>
      </c>
      <c r="V10" s="50" t="s">
        <v>118</v>
      </c>
      <c r="W10" s="50" t="s">
        <v>119</v>
      </c>
      <c r="X10" s="49" t="s">
        <v>118</v>
      </c>
      <c r="Z10" s="48" t="s">
        <v>115</v>
      </c>
      <c r="AA10" s="50" t="s">
        <v>116</v>
      </c>
      <c r="AB10" s="50" t="s">
        <v>117</v>
      </c>
      <c r="AC10" s="50" t="s">
        <v>118</v>
      </c>
      <c r="AD10" s="50" t="s">
        <v>119</v>
      </c>
      <c r="AE10" s="49" t="s">
        <v>118</v>
      </c>
    </row>
    <row r="11" spans="1:31" x14ac:dyDescent="0.25">
      <c r="B11" s="82">
        <v>7</v>
      </c>
      <c r="C11" s="83">
        <v>1</v>
      </c>
      <c r="E11" s="44" t="s">
        <v>46</v>
      </c>
      <c r="F11" s="51">
        <f>F27+E11/100</f>
        <v>0.92499999999999993</v>
      </c>
      <c r="G11" s="46">
        <f ca="1">ROUNDDOWN(_xll.IMBC(E5,"세전단가",G7,F11),2)</f>
        <v>9988.64</v>
      </c>
      <c r="H11" s="45">
        <f t="shared" ref="H11:H26" ca="1" si="0">G11-G12</f>
        <v>1.7299999999995634</v>
      </c>
      <c r="I11" s="46">
        <f ca="1">ROUNDDOWN(_xll.IMBC(E5,"세전단가",G8,F11),2)</f>
        <v>9989.39</v>
      </c>
      <c r="J11" s="47">
        <f t="shared" ref="J11:J26" ca="1" si="1">I11-I12</f>
        <v>1.7199999999993452</v>
      </c>
      <c r="L11" s="44" t="s">
        <v>120</v>
      </c>
      <c r="M11" s="51">
        <f>M27+L11/100</f>
        <v>1.03</v>
      </c>
      <c r="N11" s="46">
        <f ca="1">ROUNDDOWN(_xll.IMBC(L5,"세전단가",N7,M11),2)</f>
        <v>9962.1200000000008</v>
      </c>
      <c r="O11" s="45">
        <f t="shared" ref="O11:O26" ca="1" si="2">N11-N12</f>
        <v>2.4600000000009459</v>
      </c>
      <c r="P11" s="46">
        <f ca="1">ROUNDDOWN(_xll.IMBC(L5,"세전단가",N8,M11),2)</f>
        <v>9962.9500000000007</v>
      </c>
      <c r="Q11" s="47">
        <f t="shared" ref="Q11:Q26" ca="1" si="3">P11-P12</f>
        <v>2.4400000000005093</v>
      </c>
      <c r="S11" s="44" t="s">
        <v>120</v>
      </c>
      <c r="T11" s="57">
        <f>T27+S11/100</f>
        <v>1.9350000000000001</v>
      </c>
      <c r="U11" s="58">
        <f ca="1">ROUNDDOWN(_xll.IMBC(S5,"세전단가",U7,T11),2)</f>
        <v>9624.66</v>
      </c>
      <c r="V11" s="45">
        <f t="shared" ref="V11:V26" ca="1" si="4">U11-U12</f>
        <v>8.4500000000007276</v>
      </c>
      <c r="W11" s="46">
        <f ca="1">ROUNDDOWN(_xll.IMBC(S5,"세전단가",U8,T11),2)</f>
        <v>9626.17</v>
      </c>
      <c r="X11" s="47">
        <f t="shared" ref="X11:X26" ca="1" si="5">W11-W12</f>
        <v>8.4400000000005093</v>
      </c>
      <c r="Z11" s="44" t="s">
        <v>120</v>
      </c>
      <c r="AA11" s="51">
        <f>AA27+Z11/100</f>
        <v>2.0420000000000003</v>
      </c>
      <c r="AB11" s="46">
        <f ca="1">ROUNDDOWN(_xll.IMBC(Z5,"세전단가",AB7,AA11),2)</f>
        <v>9178.65</v>
      </c>
      <c r="AC11" s="45">
        <f t="shared" ref="AC11:AC26" ca="1" si="6">AB11-AB12</f>
        <v>15.049999999999272</v>
      </c>
      <c r="AD11" s="46">
        <f ca="1">ROUNDDOWN(_xll.IMBC(Z5,"세전단가",AB8,AA11),2)</f>
        <v>9180.17</v>
      </c>
      <c r="AE11" s="47">
        <f t="shared" ref="AE11:AE26" ca="1" si="7">AD11-AD12</f>
        <v>15.040000000000873</v>
      </c>
    </row>
    <row r="12" spans="1:31" x14ac:dyDescent="0.25">
      <c r="B12" s="82">
        <v>8</v>
      </c>
      <c r="C12" s="83">
        <v>1</v>
      </c>
      <c r="E12" s="20" t="s">
        <v>45</v>
      </c>
      <c r="F12" s="52">
        <f>F27+E12/100</f>
        <v>0.93499999999999994</v>
      </c>
      <c r="G12" s="3">
        <f ca="1">ROUNDDOWN(_xll.IMBC(E5,"세전단가",G7,F12),2)</f>
        <v>9986.91</v>
      </c>
      <c r="H12" s="5">
        <f t="shared" ca="1" si="0"/>
        <v>1.7199999999993452</v>
      </c>
      <c r="I12" s="3">
        <f ca="1">ROUNDDOWN(_xll.IMBC(E5,"세전단가",G8,F12),2)</f>
        <v>9987.67</v>
      </c>
      <c r="J12" s="7">
        <f t="shared" ca="1" si="1"/>
        <v>1.7199999999993452</v>
      </c>
      <c r="L12" s="20" t="s">
        <v>121</v>
      </c>
      <c r="M12" s="52">
        <f>M27+L12/100</f>
        <v>1.04</v>
      </c>
      <c r="N12" s="3">
        <f ca="1">ROUNDDOWN(_xll.IMBC(L5,"세전단가",N7,M12),2)</f>
        <v>9959.66</v>
      </c>
      <c r="O12" s="5">
        <f t="shared" ca="1" si="2"/>
        <v>2.4500000000007276</v>
      </c>
      <c r="P12" s="3">
        <f ca="1">ROUNDDOWN(_xll.IMBC(L5,"세전단가",N8,M12),2)</f>
        <v>9960.51</v>
      </c>
      <c r="Q12" s="7">
        <f t="shared" ca="1" si="3"/>
        <v>2.4500000000007276</v>
      </c>
      <c r="S12" s="20" t="s">
        <v>121</v>
      </c>
      <c r="T12" s="52">
        <f>T27+S12/100</f>
        <v>1.9449999999999998</v>
      </c>
      <c r="U12" s="3">
        <f ca="1">ROUNDDOWN(_xll.IMBC(S5,"세전단가",U7,T12),2)</f>
        <v>9616.2099999999991</v>
      </c>
      <c r="V12" s="5">
        <f t="shared" ca="1" si="4"/>
        <v>8.4499999999989086</v>
      </c>
      <c r="W12" s="3">
        <f ca="1">ROUNDDOWN(_xll.IMBC(S5,"세전단가",U8,T12),2)</f>
        <v>9617.73</v>
      </c>
      <c r="X12" s="7">
        <f t="shared" ca="1" si="5"/>
        <v>8.4399999999986903</v>
      </c>
      <c r="Z12" s="20" t="s">
        <v>121</v>
      </c>
      <c r="AA12" s="52">
        <f>AA27+Z12/100</f>
        <v>2.052</v>
      </c>
      <c r="AB12" s="3">
        <f ca="1">ROUNDDOWN(_xll.IMBC(Z5,"세전단가",AB7,AA12),2)</f>
        <v>9163.6</v>
      </c>
      <c r="AC12" s="5">
        <f t="shared" ca="1" si="6"/>
        <v>15.020000000000437</v>
      </c>
      <c r="AD12" s="3">
        <f ca="1">ROUNDDOWN(_xll.IMBC(Z5,"세전단가",AB8,AA12),2)</f>
        <v>9165.1299999999992</v>
      </c>
      <c r="AE12" s="7">
        <f t="shared" ca="1" si="7"/>
        <v>15.019999999998618</v>
      </c>
    </row>
    <row r="13" spans="1:31" x14ac:dyDescent="0.25">
      <c r="B13" s="82"/>
      <c r="C13" s="83"/>
      <c r="E13" s="20" t="s">
        <v>44</v>
      </c>
      <c r="F13" s="52">
        <f>F27+E13/100</f>
        <v>0.94499999999999995</v>
      </c>
      <c r="G13" s="3">
        <f ca="1">ROUNDDOWN(_xll.IMBC(E5,"세전단가",G7,F13),2)</f>
        <v>9985.19</v>
      </c>
      <c r="H13" s="5">
        <f t="shared" ca="1" si="0"/>
        <v>1.7300000000013824</v>
      </c>
      <c r="I13" s="3">
        <f ca="1">ROUNDDOWN(_xll.IMBC(E5,"세전단가",G8,F13),2)</f>
        <v>9985.9500000000007</v>
      </c>
      <c r="J13" s="7">
        <f t="shared" ca="1" si="1"/>
        <v>1.7100000000009459</v>
      </c>
      <c r="L13" s="20" t="s">
        <v>122</v>
      </c>
      <c r="M13" s="52">
        <f>M27+L13/100</f>
        <v>1.0499999999999998</v>
      </c>
      <c r="N13" s="3">
        <f ca="1">ROUNDDOWN(_xll.IMBC(L5,"세전단가",N7,M13),2)</f>
        <v>9957.2099999999991</v>
      </c>
      <c r="O13" s="5">
        <f t="shared" ca="1" si="2"/>
        <v>2.4499999999989086</v>
      </c>
      <c r="P13" s="3">
        <f ca="1">ROUNDDOWN(_xll.IMBC(L5,"세전단가",N8,M13),2)</f>
        <v>9958.06</v>
      </c>
      <c r="Q13" s="7">
        <f t="shared" ca="1" si="3"/>
        <v>2.4399999999986903</v>
      </c>
      <c r="S13" s="20" t="s">
        <v>122</v>
      </c>
      <c r="T13" s="52">
        <f>T27+S13/100</f>
        <v>1.9550000000000001</v>
      </c>
      <c r="U13" s="3">
        <f ca="1">ROUNDDOWN(_xll.IMBC(S5,"세전단가",U7,T13),2)</f>
        <v>9607.76</v>
      </c>
      <c r="V13" s="5">
        <f t="shared" ca="1" si="4"/>
        <v>8.430000000000291</v>
      </c>
      <c r="W13" s="3">
        <f ca="1">ROUNDDOWN(_xll.IMBC(S5,"세전단가",U8,T13),2)</f>
        <v>9609.2900000000009</v>
      </c>
      <c r="X13" s="7">
        <f t="shared" ca="1" si="5"/>
        <v>8.430000000000291</v>
      </c>
      <c r="Z13" s="20" t="s">
        <v>122</v>
      </c>
      <c r="AA13" s="52">
        <f>AA27+Z13/100</f>
        <v>2.0620000000000003</v>
      </c>
      <c r="AB13" s="3">
        <f ca="1">ROUNDDOWN(_xll.IMBC(Z5,"세전단가",AB7,AA13),2)</f>
        <v>9148.58</v>
      </c>
      <c r="AC13" s="5">
        <f t="shared" ca="1" si="6"/>
        <v>15</v>
      </c>
      <c r="AD13" s="3">
        <f ca="1">ROUNDDOWN(_xll.IMBC(Z5,"세전단가",AB8,AA13),2)</f>
        <v>9150.11</v>
      </c>
      <c r="AE13" s="7">
        <f t="shared" ca="1" si="7"/>
        <v>14.989999999999782</v>
      </c>
    </row>
    <row r="14" spans="1:31" x14ac:dyDescent="0.25">
      <c r="B14" s="82"/>
      <c r="C14" s="83"/>
      <c r="E14" s="20" t="s">
        <v>43</v>
      </c>
      <c r="F14" s="52">
        <f>F27+E14/100</f>
        <v>0.95499999999999996</v>
      </c>
      <c r="G14" s="3">
        <f ca="1">ROUNDDOWN(_xll.IMBC(E5,"세전단가",G7,F14),2)</f>
        <v>9983.4599999999991</v>
      </c>
      <c r="H14" s="5">
        <f t="shared" ca="1" si="0"/>
        <v>1.7299999999995634</v>
      </c>
      <c r="I14" s="3">
        <f ca="1">ROUNDDOWN(_xll.IMBC(E5,"세전단가",G8,F14),2)</f>
        <v>9984.24</v>
      </c>
      <c r="J14" s="7">
        <f t="shared" ca="1" si="1"/>
        <v>1.7199999999993452</v>
      </c>
      <c r="L14" s="20" t="s">
        <v>123</v>
      </c>
      <c r="M14" s="52">
        <f>M27+L14/100</f>
        <v>1.06</v>
      </c>
      <c r="N14" s="3">
        <f ca="1">ROUNDDOWN(_xll.IMBC(L5,"세전단가",N7,M14),2)</f>
        <v>9954.76</v>
      </c>
      <c r="O14" s="5">
        <f t="shared" ca="1" si="2"/>
        <v>2.4500000000007276</v>
      </c>
      <c r="P14" s="3">
        <f ca="1">ROUNDDOWN(_xll.IMBC(L5,"세전단가",N8,M14),2)</f>
        <v>9955.6200000000008</v>
      </c>
      <c r="Q14" s="7">
        <f t="shared" ca="1" si="3"/>
        <v>2.4400000000005093</v>
      </c>
      <c r="S14" s="20" t="s">
        <v>123</v>
      </c>
      <c r="T14" s="52">
        <f>T27+S14/100</f>
        <v>1.9649999999999999</v>
      </c>
      <c r="U14" s="3">
        <f ca="1">ROUNDDOWN(_xll.IMBC(S5,"세전단가",U7,T14),2)</f>
        <v>9599.33</v>
      </c>
      <c r="V14" s="5">
        <f t="shared" ca="1" si="4"/>
        <v>8.430000000000291</v>
      </c>
      <c r="W14" s="3">
        <f ca="1">ROUNDDOWN(_xll.IMBC(S5,"세전단가",U8,T14),2)</f>
        <v>9600.86</v>
      </c>
      <c r="X14" s="7">
        <f t="shared" ca="1" si="5"/>
        <v>8.4200000000000728</v>
      </c>
      <c r="Z14" s="20" t="s">
        <v>123</v>
      </c>
      <c r="AA14" s="52">
        <f>AA27+Z14/100</f>
        <v>2.0720000000000001</v>
      </c>
      <c r="AB14" s="3">
        <f ca="1">ROUNDDOWN(_xll.IMBC(Z5,"세전단가",AB7,AA14),2)</f>
        <v>9133.58</v>
      </c>
      <c r="AC14" s="5">
        <f t="shared" ca="1" si="6"/>
        <v>14.959999999999127</v>
      </c>
      <c r="AD14" s="3">
        <f ca="1">ROUNDDOWN(_xll.IMBC(Z5,"세전단가",AB8,AA14),2)</f>
        <v>9135.1200000000008</v>
      </c>
      <c r="AE14" s="7">
        <f t="shared" ca="1" si="7"/>
        <v>14.960000000000946</v>
      </c>
    </row>
    <row r="15" spans="1:31" x14ac:dyDescent="0.25">
      <c r="E15" s="20" t="s">
        <v>42</v>
      </c>
      <c r="F15" s="52">
        <f>F27+E15/100</f>
        <v>0.96499999999999997</v>
      </c>
      <c r="G15" s="3">
        <f ca="1">ROUNDDOWN(_xll.IMBC(E5,"세전단가",G7,F15),2)</f>
        <v>9981.73</v>
      </c>
      <c r="H15" s="5">
        <f t="shared" ca="1" si="0"/>
        <v>1.7199999999993452</v>
      </c>
      <c r="I15" s="3">
        <f ca="1">ROUNDDOWN(_xll.IMBC(E5,"세전단가",G8,F15),2)</f>
        <v>9982.52</v>
      </c>
      <c r="J15" s="7">
        <f t="shared" ca="1" si="1"/>
        <v>1.7200000000011642</v>
      </c>
      <c r="L15" s="20" t="s">
        <v>124</v>
      </c>
      <c r="M15" s="52">
        <f>M27+L15/100</f>
        <v>1.0699999999999998</v>
      </c>
      <c r="N15" s="3">
        <f ca="1">ROUNDDOWN(_xll.IMBC(L5,"세전단가",N7,M15),2)</f>
        <v>9952.31</v>
      </c>
      <c r="O15" s="5">
        <f t="shared" ca="1" si="2"/>
        <v>2.4499999999989086</v>
      </c>
      <c r="P15" s="3">
        <f ca="1">ROUNDDOWN(_xll.IMBC(L5,"세전단가",N8,M15),2)</f>
        <v>9953.18</v>
      </c>
      <c r="Q15" s="7">
        <f t="shared" ca="1" si="3"/>
        <v>2.4500000000007276</v>
      </c>
      <c r="S15" s="20" t="s">
        <v>124</v>
      </c>
      <c r="T15" s="52">
        <f>T27+S15/100</f>
        <v>1.9749999999999999</v>
      </c>
      <c r="U15" s="3">
        <f ca="1">ROUNDDOWN(_xll.IMBC(S5,"세전단가",U7,T15),2)</f>
        <v>9590.9</v>
      </c>
      <c r="V15" s="5">
        <f t="shared" ca="1" si="4"/>
        <v>8.4200000000000728</v>
      </c>
      <c r="W15" s="3">
        <f ca="1">ROUNDDOWN(_xll.IMBC(S5,"세전단가",U8,T15),2)</f>
        <v>9592.44</v>
      </c>
      <c r="X15" s="7">
        <f t="shared" ca="1" si="5"/>
        <v>8.4200000000000728</v>
      </c>
      <c r="Z15" s="20" t="s">
        <v>124</v>
      </c>
      <c r="AA15" s="52">
        <f>AA27+Z15/100</f>
        <v>2.0820000000000003</v>
      </c>
      <c r="AB15" s="3">
        <f ca="1">ROUNDDOWN(_xll.IMBC(Z5,"세전단가",AB7,AA15),2)</f>
        <v>9118.6200000000008</v>
      </c>
      <c r="AC15" s="5">
        <f t="shared" ca="1" si="6"/>
        <v>14.940000000000509</v>
      </c>
      <c r="AD15" s="3">
        <f ca="1">ROUNDDOWN(_xll.IMBC(Z5,"세전단가",AB8,AA15),2)</f>
        <v>9120.16</v>
      </c>
      <c r="AE15" s="7">
        <f t="shared" ca="1" si="7"/>
        <v>14.940000000000509</v>
      </c>
    </row>
    <row r="16" spans="1:31" x14ac:dyDescent="0.25">
      <c r="E16" s="20" t="s">
        <v>41</v>
      </c>
      <c r="F16" s="52">
        <f>F27+E16/100</f>
        <v>0.97499999999999998</v>
      </c>
      <c r="G16" s="3">
        <f ca="1">ROUNDDOWN(_xll.IMBC(E5,"세전단가",G7,F16),2)</f>
        <v>9980.01</v>
      </c>
      <c r="H16" s="5">
        <f t="shared" ca="1" si="0"/>
        <v>1.7299999999995634</v>
      </c>
      <c r="I16" s="3">
        <f ca="1">ROUNDDOWN(_xll.IMBC(E5,"세전단가",G8,F16),2)</f>
        <v>9980.7999999999993</v>
      </c>
      <c r="J16" s="7">
        <f t="shared" ca="1" si="1"/>
        <v>1.7199999999993452</v>
      </c>
      <c r="L16" s="20" t="s">
        <v>125</v>
      </c>
      <c r="M16" s="52">
        <f>M27+L16/100</f>
        <v>1.0799999999999998</v>
      </c>
      <c r="N16" s="3">
        <f ca="1">ROUNDDOWN(_xll.IMBC(L5,"세전단가",N7,M16),2)</f>
        <v>9949.86</v>
      </c>
      <c r="O16" s="5">
        <f t="shared" ca="1" si="2"/>
        <v>2.4500000000007276</v>
      </c>
      <c r="P16" s="3">
        <f ca="1">ROUNDDOWN(_xll.IMBC(L5,"세전단가",N8,M16),2)</f>
        <v>9950.73</v>
      </c>
      <c r="Q16" s="7">
        <f t="shared" ca="1" si="3"/>
        <v>2.4399999999986903</v>
      </c>
      <c r="S16" s="20" t="s">
        <v>125</v>
      </c>
      <c r="T16" s="52">
        <f>T27+S16/100</f>
        <v>1.9849999999999999</v>
      </c>
      <c r="U16" s="3">
        <f ca="1">ROUNDDOWN(_xll.IMBC(S5,"세전단가",U7,T16),2)</f>
        <v>9582.48</v>
      </c>
      <c r="V16" s="5">
        <f t="shared" ca="1" si="4"/>
        <v>8.4099999999998545</v>
      </c>
      <c r="W16" s="3">
        <f ca="1">ROUNDDOWN(_xll.IMBC(S5,"세전단가",U8,T16),2)</f>
        <v>9584.02</v>
      </c>
      <c r="X16" s="7">
        <f t="shared" ca="1" si="5"/>
        <v>8.3999999999996362</v>
      </c>
      <c r="Z16" s="20" t="s">
        <v>125</v>
      </c>
      <c r="AA16" s="52">
        <f>AA27+Z16/100</f>
        <v>2.0920000000000001</v>
      </c>
      <c r="AB16" s="3">
        <f ca="1">ROUNDDOWN(_xll.IMBC(Z5,"세전단가",AB7,AA16),2)</f>
        <v>9103.68</v>
      </c>
      <c r="AC16" s="5">
        <f t="shared" ca="1" si="6"/>
        <v>14.909999999999854</v>
      </c>
      <c r="AD16" s="3">
        <f ca="1">ROUNDDOWN(_xll.IMBC(Z5,"세전단가",AB8,AA16),2)</f>
        <v>9105.2199999999993</v>
      </c>
      <c r="AE16" s="7">
        <f t="shared" ca="1" si="7"/>
        <v>14.899999999999636</v>
      </c>
    </row>
    <row r="17" spans="5:31" x14ac:dyDescent="0.25">
      <c r="E17" s="20" t="s">
        <v>30</v>
      </c>
      <c r="F17" s="52">
        <f>F27+E17/100</f>
        <v>0.98499999999999999</v>
      </c>
      <c r="G17" s="3">
        <f ca="1">ROUNDDOWN(_xll.IMBC(E5,"세전단가",G7,F17),2)</f>
        <v>9978.2800000000007</v>
      </c>
      <c r="H17" s="5">
        <f t="shared" ca="1" si="0"/>
        <v>1.7200000000011642</v>
      </c>
      <c r="I17" s="3">
        <f ca="1">ROUNDDOWN(_xll.IMBC(E5,"세전단가",G8,F17),2)</f>
        <v>9979.08</v>
      </c>
      <c r="J17" s="7">
        <f t="shared" ca="1" si="1"/>
        <v>1.7099999999991269</v>
      </c>
      <c r="L17" s="20" t="s">
        <v>126</v>
      </c>
      <c r="M17" s="52">
        <f>M27+L17/100</f>
        <v>1.0899999999999999</v>
      </c>
      <c r="N17" s="3">
        <f ca="1">ROUNDDOWN(_xll.IMBC(L5,"세전단가",N7,M17),2)</f>
        <v>9947.41</v>
      </c>
      <c r="O17" s="5">
        <f t="shared" ca="1" si="2"/>
        <v>2.4500000000007276</v>
      </c>
      <c r="P17" s="3">
        <f ca="1">ROUNDDOWN(_xll.IMBC(L5,"세전단가",N8,M17),2)</f>
        <v>9948.2900000000009</v>
      </c>
      <c r="Q17" s="7">
        <f t="shared" ca="1" si="3"/>
        <v>2.4400000000005093</v>
      </c>
      <c r="S17" s="20" t="s">
        <v>126</v>
      </c>
      <c r="T17" s="52">
        <f>T27+S17/100</f>
        <v>1.9949999999999999</v>
      </c>
      <c r="U17" s="3">
        <f ca="1">ROUNDDOWN(_xll.IMBC(S5,"세전단가",U7,T17),2)</f>
        <v>9574.07</v>
      </c>
      <c r="V17" s="5">
        <f t="shared" ca="1" si="4"/>
        <v>8.4099999999998545</v>
      </c>
      <c r="W17" s="3">
        <f ca="1">ROUNDDOWN(_xll.IMBC(S5,"세전단가",U8,T17),2)</f>
        <v>9575.6200000000008</v>
      </c>
      <c r="X17" s="7">
        <f t="shared" ca="1" si="5"/>
        <v>8.4000000000014552</v>
      </c>
      <c r="Z17" s="20" t="s">
        <v>126</v>
      </c>
      <c r="AA17" s="52">
        <f>AA27+Z17/100</f>
        <v>2.1020000000000003</v>
      </c>
      <c r="AB17" s="3">
        <f ca="1">ROUNDDOWN(_xll.IMBC(Z5,"세전단가",AB7,AA17),2)</f>
        <v>9088.77</v>
      </c>
      <c r="AC17" s="5">
        <f t="shared" ca="1" si="6"/>
        <v>14.890000000001237</v>
      </c>
      <c r="AD17" s="3">
        <f ca="1">ROUNDDOWN(_xll.IMBC(Z5,"세전단가",AB8,AA17),2)</f>
        <v>9090.32</v>
      </c>
      <c r="AE17" s="7">
        <f t="shared" ca="1" si="7"/>
        <v>14.8799999999992</v>
      </c>
    </row>
    <row r="18" spans="5:31" x14ac:dyDescent="0.25">
      <c r="E18" s="20" t="s">
        <v>29</v>
      </c>
      <c r="F18" s="52">
        <f>F27+E18/100</f>
        <v>0.995</v>
      </c>
      <c r="G18" s="3">
        <f ca="1">ROUNDDOWN(_xll.IMBC(E5,"세전단가",G7,F18),2)</f>
        <v>9976.56</v>
      </c>
      <c r="H18" s="5">
        <f t="shared" ca="1" si="0"/>
        <v>1.7199999999993452</v>
      </c>
      <c r="I18" s="3">
        <f ca="1">ROUNDDOWN(_xll.IMBC(E5,"세전단가",G8,F18),2)</f>
        <v>9977.3700000000008</v>
      </c>
      <c r="J18" s="7">
        <f t="shared" ca="1" si="1"/>
        <v>1.7200000000011642</v>
      </c>
      <c r="L18" s="20" t="s">
        <v>127</v>
      </c>
      <c r="M18" s="52">
        <f>M27+L18/100</f>
        <v>1.0999999999999999</v>
      </c>
      <c r="N18" s="3">
        <f ca="1">ROUNDDOWN(_xll.IMBC(L5,"세전단가",N7,M18),2)</f>
        <v>9944.9599999999991</v>
      </c>
      <c r="O18" s="5">
        <f t="shared" ca="1" si="2"/>
        <v>2.4499999999989086</v>
      </c>
      <c r="P18" s="3">
        <f ca="1">ROUNDDOWN(_xll.IMBC(L5,"세전단가",N8,M18),2)</f>
        <v>9945.85</v>
      </c>
      <c r="Q18" s="7">
        <f t="shared" ca="1" si="3"/>
        <v>2.4400000000005093</v>
      </c>
      <c r="S18" s="20" t="s">
        <v>127</v>
      </c>
      <c r="T18" s="52">
        <f>T27+S18/100</f>
        <v>2.0049999999999999</v>
      </c>
      <c r="U18" s="3">
        <f ca="1">ROUNDDOWN(_xll.IMBC(S5,"세전단가",U7,T18),2)</f>
        <v>9565.66</v>
      </c>
      <c r="V18" s="5">
        <f t="shared" ca="1" si="4"/>
        <v>8.3899999999994179</v>
      </c>
      <c r="W18" s="3">
        <f ca="1">ROUNDDOWN(_xll.IMBC(S5,"세전단가",U8,T18),2)</f>
        <v>9567.2199999999993</v>
      </c>
      <c r="X18" s="7">
        <f t="shared" ca="1" si="5"/>
        <v>8.3899999999994179</v>
      </c>
      <c r="Z18" s="20" t="s">
        <v>127</v>
      </c>
      <c r="AA18" s="52">
        <f>AA27+Z18/100</f>
        <v>2.1120000000000001</v>
      </c>
      <c r="AB18" s="3">
        <f ca="1">ROUNDDOWN(_xll.IMBC(Z5,"세전단가",AB7,AA18),2)</f>
        <v>9073.8799999999992</v>
      </c>
      <c r="AC18" s="5">
        <f t="shared" ca="1" si="6"/>
        <v>14.849999999998545</v>
      </c>
      <c r="AD18" s="3">
        <f ca="1">ROUNDDOWN(_xll.IMBC(Z5,"세전단가",AB8,AA18),2)</f>
        <v>9075.44</v>
      </c>
      <c r="AE18" s="7">
        <f t="shared" ca="1" si="7"/>
        <v>14.850000000000364</v>
      </c>
    </row>
    <row r="19" spans="5:31" x14ac:dyDescent="0.25">
      <c r="E19" s="20" t="s">
        <v>28</v>
      </c>
      <c r="F19" s="52">
        <f>F27+E19/100</f>
        <v>1.0049999999999999</v>
      </c>
      <c r="G19" s="3">
        <f ca="1">ROUNDDOWN(_xll.IMBC(E5,"세전단가",G7,F19),2)</f>
        <v>9974.84</v>
      </c>
      <c r="H19" s="5">
        <f t="shared" ca="1" si="0"/>
        <v>1.7299999999995634</v>
      </c>
      <c r="I19" s="3">
        <f ca="1">ROUNDDOWN(_xll.IMBC(E5,"세전단가",G8,F19),2)</f>
        <v>9975.65</v>
      </c>
      <c r="J19" s="7">
        <f t="shared" ca="1" si="1"/>
        <v>1.7099999999991269</v>
      </c>
      <c r="L19" s="20" t="s">
        <v>128</v>
      </c>
      <c r="M19" s="52">
        <f>M27+L19/100</f>
        <v>1.1099999999999999</v>
      </c>
      <c r="N19" s="3">
        <f ca="1">ROUNDDOWN(_xll.IMBC(L5,"세전단가",N7,M19),2)</f>
        <v>9942.51</v>
      </c>
      <c r="O19" s="5">
        <f t="shared" ca="1" si="2"/>
        <v>2.4500000000007276</v>
      </c>
      <c r="P19" s="3">
        <f ca="1">ROUNDDOWN(_xll.IMBC(L5,"세전단가",N8,M19),2)</f>
        <v>9943.41</v>
      </c>
      <c r="Q19" s="7">
        <f t="shared" ca="1" si="3"/>
        <v>2.4400000000005093</v>
      </c>
      <c r="S19" s="20" t="s">
        <v>128</v>
      </c>
      <c r="T19" s="52">
        <f>T27+S19/100</f>
        <v>2.0150000000000001</v>
      </c>
      <c r="U19" s="3">
        <f ca="1">ROUNDDOWN(_xll.IMBC(S5,"세전단가",U7,T19),2)</f>
        <v>9557.27</v>
      </c>
      <c r="V19" s="5">
        <f t="shared" ca="1" si="4"/>
        <v>8.3900000000012369</v>
      </c>
      <c r="W19" s="3">
        <f ca="1">ROUNDDOWN(_xll.IMBC(S5,"세전단가",U8,T19),2)</f>
        <v>9558.83</v>
      </c>
      <c r="X19" s="7">
        <f t="shared" ca="1" si="5"/>
        <v>8.3799999999991996</v>
      </c>
      <c r="Z19" s="20" t="s">
        <v>128</v>
      </c>
      <c r="AA19" s="52">
        <f>AA27+Z19/100</f>
        <v>2.1220000000000003</v>
      </c>
      <c r="AB19" s="3">
        <f ca="1">ROUNDDOWN(_xll.IMBC(Z5,"세전단가",AB7,AA19),2)</f>
        <v>9059.0300000000007</v>
      </c>
      <c r="AC19" s="5">
        <f t="shared" ca="1" si="6"/>
        <v>14.829999999999927</v>
      </c>
      <c r="AD19" s="3">
        <f ca="1">ROUNDDOWN(_xll.IMBC(Z5,"세전단가",AB8,AA19),2)</f>
        <v>9060.59</v>
      </c>
      <c r="AE19" s="7">
        <f t="shared" ca="1" si="7"/>
        <v>14.829999999999927</v>
      </c>
    </row>
    <row r="20" spans="5:31" x14ac:dyDescent="0.25">
      <c r="E20" s="20" t="s">
        <v>27</v>
      </c>
      <c r="F20" s="52">
        <f>F27+E20/100</f>
        <v>1.0149999999999999</v>
      </c>
      <c r="G20" s="3">
        <f ca="1">ROUNDDOWN(_xll.IMBC(E5,"세전단가",G7,F20),2)</f>
        <v>9973.11</v>
      </c>
      <c r="H20" s="5">
        <f t="shared" ca="1" si="0"/>
        <v>1.7200000000011642</v>
      </c>
      <c r="I20" s="3">
        <f ca="1">ROUNDDOWN(_xll.IMBC(E5,"세전단가",G8,F20),2)</f>
        <v>9973.94</v>
      </c>
      <c r="J20" s="7">
        <f t="shared" ca="1" si="1"/>
        <v>1.7200000000011642</v>
      </c>
      <c r="L20" s="20" t="s">
        <v>129</v>
      </c>
      <c r="M20" s="52">
        <f>M27+L20/100</f>
        <v>1.1199999999999999</v>
      </c>
      <c r="N20" s="3">
        <f ca="1">ROUNDDOWN(_xll.IMBC(L5,"세전단가",N7,M20),2)</f>
        <v>9940.06</v>
      </c>
      <c r="O20" s="5">
        <f t="shared" ca="1" si="2"/>
        <v>2.4399999999986903</v>
      </c>
      <c r="P20" s="3">
        <f ca="1">ROUNDDOWN(_xll.IMBC(L5,"세전단가",N8,M20),2)</f>
        <v>9940.9699999999993</v>
      </c>
      <c r="Q20" s="7">
        <f t="shared" ca="1" si="3"/>
        <v>2.4399999999986903</v>
      </c>
      <c r="S20" s="20" t="s">
        <v>129</v>
      </c>
      <c r="T20" s="52">
        <f>T27+S20/100</f>
        <v>2.0249999999999999</v>
      </c>
      <c r="U20" s="3">
        <f ca="1">ROUNDDOWN(_xll.IMBC(S5,"세전단가",U7,T20),2)</f>
        <v>9548.8799999999992</v>
      </c>
      <c r="V20" s="5">
        <f t="shared" ca="1" si="4"/>
        <v>8.3799999999991996</v>
      </c>
      <c r="W20" s="3">
        <f ca="1">ROUNDDOWN(_xll.IMBC(S5,"세전단가",U8,T20),2)</f>
        <v>9550.4500000000007</v>
      </c>
      <c r="X20" s="7">
        <f t="shared" ca="1" si="5"/>
        <v>8.3800000000010186</v>
      </c>
      <c r="Z20" s="20" t="s">
        <v>129</v>
      </c>
      <c r="AA20" s="52">
        <f>AA27+Z20/100</f>
        <v>2.1320000000000001</v>
      </c>
      <c r="AB20" s="3">
        <f ca="1">ROUNDDOWN(_xll.IMBC(Z5,"세전단가",AB7,AA20),2)</f>
        <v>9044.2000000000007</v>
      </c>
      <c r="AC20" s="5">
        <f t="shared" ca="1" si="6"/>
        <v>14.800000000001091</v>
      </c>
      <c r="AD20" s="3">
        <f ca="1">ROUNDDOWN(_xll.IMBC(Z5,"세전단가",AB8,AA20),2)</f>
        <v>9045.76</v>
      </c>
      <c r="AE20" s="7">
        <f t="shared" ca="1" si="7"/>
        <v>14.790000000000873</v>
      </c>
    </row>
    <row r="21" spans="5:31" x14ac:dyDescent="0.25">
      <c r="E21" s="20" t="s">
        <v>26</v>
      </c>
      <c r="F21" s="52">
        <f>F27+E21/100</f>
        <v>1.0249999999999999</v>
      </c>
      <c r="G21" s="3">
        <f ca="1">ROUNDDOWN(_xll.IMBC(E5,"세전단가",G7,F21),2)</f>
        <v>9971.39</v>
      </c>
      <c r="H21" s="5">
        <f t="shared" ca="1" si="0"/>
        <v>1.7199999999993452</v>
      </c>
      <c r="I21" s="3">
        <f ca="1">ROUNDDOWN(_xll.IMBC(E5,"세전단가",G8,F21),2)</f>
        <v>9972.2199999999993</v>
      </c>
      <c r="J21" s="7">
        <f t="shared" ca="1" si="1"/>
        <v>1.7099999999991269</v>
      </c>
      <c r="L21" s="20" t="s">
        <v>130</v>
      </c>
      <c r="M21" s="52">
        <f>M27+L21/100</f>
        <v>1.1299999999999999</v>
      </c>
      <c r="N21" s="3">
        <f ca="1">ROUNDDOWN(_xll.IMBC(L5,"세전단가",N7,M21),2)</f>
        <v>9937.6200000000008</v>
      </c>
      <c r="O21" s="5">
        <f t="shared" ca="1" si="2"/>
        <v>2.4500000000007276</v>
      </c>
      <c r="P21" s="3">
        <f ca="1">ROUNDDOWN(_xll.IMBC(L5,"세전단가",N8,M21),2)</f>
        <v>9938.5300000000007</v>
      </c>
      <c r="Q21" s="7">
        <f t="shared" ca="1" si="3"/>
        <v>2.4400000000005093</v>
      </c>
      <c r="S21" s="20" t="s">
        <v>130</v>
      </c>
      <c r="T21" s="52">
        <f>T27+S21/100</f>
        <v>2.0350000000000001</v>
      </c>
      <c r="U21" s="3">
        <f ca="1">ROUNDDOWN(_xll.IMBC(S5,"세전단가",U7,T21),2)</f>
        <v>9540.5</v>
      </c>
      <c r="V21" s="5">
        <f t="shared" ca="1" si="4"/>
        <v>8.3700000000008004</v>
      </c>
      <c r="W21" s="3">
        <f ca="1">ROUNDDOWN(_xll.IMBC(S5,"세전단가",U8,T21),2)</f>
        <v>9542.07</v>
      </c>
      <c r="X21" s="7">
        <f t="shared" ca="1" si="5"/>
        <v>8.3600000000005821</v>
      </c>
      <c r="Z21" s="20" t="s">
        <v>130</v>
      </c>
      <c r="AA21" s="52">
        <f>AA27+Z21/100</f>
        <v>2.1420000000000003</v>
      </c>
      <c r="AB21" s="3">
        <f ca="1">ROUNDDOWN(_xll.IMBC(Z5,"세전단가",AB7,AA21),2)</f>
        <v>9029.4</v>
      </c>
      <c r="AC21" s="5">
        <f t="shared" ca="1" si="6"/>
        <v>14.770000000000437</v>
      </c>
      <c r="AD21" s="3">
        <f ca="1">ROUNDDOWN(_xll.IMBC(Z5,"세전단가",AB8,AA21),2)</f>
        <v>9030.9699999999993</v>
      </c>
      <c r="AE21" s="7">
        <f t="shared" ca="1" si="7"/>
        <v>14.769999999998618</v>
      </c>
    </row>
    <row r="22" spans="5:31" x14ac:dyDescent="0.25">
      <c r="E22" s="20" t="s">
        <v>25</v>
      </c>
      <c r="F22" s="52">
        <f>F27+E22/100</f>
        <v>1.0349999999999999</v>
      </c>
      <c r="G22" s="3">
        <f ca="1">ROUNDDOWN(_xll.IMBC(E5,"세전단가",G7,F22),2)</f>
        <v>9969.67</v>
      </c>
      <c r="H22" s="5">
        <f t="shared" ca="1" si="0"/>
        <v>1.7199999999993452</v>
      </c>
      <c r="I22" s="3">
        <f ca="1">ROUNDDOWN(_xll.IMBC(E5,"세전단가",G8,F22),2)</f>
        <v>9970.51</v>
      </c>
      <c r="J22" s="7">
        <f t="shared" ca="1" si="1"/>
        <v>1.7199999999993452</v>
      </c>
      <c r="L22" s="20" t="s">
        <v>131</v>
      </c>
      <c r="M22" s="52">
        <f>M27+L22/100</f>
        <v>1.1399999999999999</v>
      </c>
      <c r="N22" s="3">
        <f ca="1">ROUNDDOWN(_xll.IMBC(L5,"세전단가",N7,M22),2)</f>
        <v>9935.17</v>
      </c>
      <c r="O22" s="5">
        <f t="shared" ca="1" si="2"/>
        <v>2.4400000000005093</v>
      </c>
      <c r="P22" s="3">
        <f ca="1">ROUNDDOWN(_xll.IMBC(L5,"세전단가",N8,M22),2)</f>
        <v>9936.09</v>
      </c>
      <c r="Q22" s="7">
        <f t="shared" ca="1" si="3"/>
        <v>2.430000000000291</v>
      </c>
      <c r="S22" s="20" t="s">
        <v>131</v>
      </c>
      <c r="T22" s="52">
        <f>T27+S22/100</f>
        <v>2.0449999999999999</v>
      </c>
      <c r="U22" s="3">
        <f ca="1">ROUNDDOWN(_xll.IMBC(S5,"세전단가",U7,T22),2)</f>
        <v>9532.1299999999992</v>
      </c>
      <c r="V22" s="5">
        <f t="shared" ca="1" si="4"/>
        <v>8.3699999999989814</v>
      </c>
      <c r="W22" s="3">
        <f ca="1">ROUNDDOWN(_xll.IMBC(S5,"세전단가",U8,T22),2)</f>
        <v>9533.7099999999991</v>
      </c>
      <c r="X22" s="7">
        <f t="shared" ca="1" si="5"/>
        <v>8.3599999999987631</v>
      </c>
      <c r="Z22" s="20" t="s">
        <v>131</v>
      </c>
      <c r="AA22" s="52">
        <f>AA27+Z22/100</f>
        <v>2.1520000000000001</v>
      </c>
      <c r="AB22" s="3">
        <f ca="1">ROUNDDOWN(_xll.IMBC(Z5,"세전단가",AB7,AA22),2)</f>
        <v>9014.6299999999992</v>
      </c>
      <c r="AC22" s="5">
        <f t="shared" ca="1" si="6"/>
        <v>14.75</v>
      </c>
      <c r="AD22" s="3">
        <f ca="1">ROUNDDOWN(_xll.IMBC(Z5,"세전단가",AB8,AA22),2)</f>
        <v>9016.2000000000007</v>
      </c>
      <c r="AE22" s="7">
        <f t="shared" ca="1" si="7"/>
        <v>14.740000000001601</v>
      </c>
    </row>
    <row r="23" spans="5:31" x14ac:dyDescent="0.25">
      <c r="E23" s="20" t="s">
        <v>24</v>
      </c>
      <c r="F23" s="52">
        <f>F27+E23/100</f>
        <v>1.0449999999999999</v>
      </c>
      <c r="G23" s="3">
        <f ca="1">ROUNDDOWN(_xll.IMBC(E5,"세전단가",G7,F23),2)</f>
        <v>9967.9500000000007</v>
      </c>
      <c r="H23" s="5">
        <f t="shared" ca="1" si="0"/>
        <v>1.7300000000013824</v>
      </c>
      <c r="I23" s="3">
        <f ca="1">ROUNDDOWN(_xll.IMBC(E5,"세전단가",G8,F23),2)</f>
        <v>9968.7900000000009</v>
      </c>
      <c r="J23" s="7">
        <f t="shared" ca="1" si="1"/>
        <v>1.7100000000009459</v>
      </c>
      <c r="L23" s="20" t="s">
        <v>132</v>
      </c>
      <c r="M23" s="52">
        <f>M27+L23/100</f>
        <v>1.1499999999999999</v>
      </c>
      <c r="N23" s="3">
        <f ca="1">ROUNDDOWN(_xll.IMBC(L5,"세전단가",N7,M23),2)</f>
        <v>9932.73</v>
      </c>
      <c r="O23" s="5">
        <f t="shared" ca="1" si="2"/>
        <v>2.4499999999989086</v>
      </c>
      <c r="P23" s="3">
        <f ca="1">ROUNDDOWN(_xll.IMBC(L5,"세전단가",N8,M23),2)</f>
        <v>9933.66</v>
      </c>
      <c r="Q23" s="7">
        <f t="shared" ca="1" si="3"/>
        <v>2.4400000000005093</v>
      </c>
      <c r="S23" s="20" t="s">
        <v>132</v>
      </c>
      <c r="T23" s="52">
        <f>T27+S23/100</f>
        <v>2.0550000000000002</v>
      </c>
      <c r="U23" s="3">
        <f ca="1">ROUNDDOWN(_xll.IMBC(S5,"세전단가",U7,T23),2)</f>
        <v>9523.76</v>
      </c>
      <c r="V23" s="5">
        <f t="shared" ca="1" si="4"/>
        <v>8.3500000000003638</v>
      </c>
      <c r="W23" s="3">
        <f ca="1">ROUNDDOWN(_xll.IMBC(S5,"세전단가",U8,T23),2)</f>
        <v>9525.35</v>
      </c>
      <c r="X23" s="7">
        <f t="shared" ca="1" si="5"/>
        <v>8.3500000000003638</v>
      </c>
      <c r="Z23" s="20" t="s">
        <v>132</v>
      </c>
      <c r="AA23" s="52">
        <f>AA27+Z23/100</f>
        <v>2.1620000000000004</v>
      </c>
      <c r="AB23" s="3">
        <f ca="1">ROUNDDOWN(_xll.IMBC(Z5,"세전단가",AB7,AA23),2)</f>
        <v>8999.8799999999992</v>
      </c>
      <c r="AC23" s="5">
        <f t="shared" ca="1" si="6"/>
        <v>14.719999999999345</v>
      </c>
      <c r="AD23" s="3">
        <f ca="1">ROUNDDOWN(_xll.IMBC(Z5,"세전단가",AB8,AA23),2)</f>
        <v>9001.4599999999991</v>
      </c>
      <c r="AE23" s="7">
        <f t="shared" ca="1" si="7"/>
        <v>14.719999999999345</v>
      </c>
    </row>
    <row r="24" spans="5:31" x14ac:dyDescent="0.25">
      <c r="E24" s="20" t="s">
        <v>23</v>
      </c>
      <c r="F24" s="52">
        <f>F27+E24/100</f>
        <v>1.0549999999999999</v>
      </c>
      <c r="G24" s="3">
        <f ca="1">ROUNDDOWN(_xll.IMBC(E5,"세전단가",G7,F24),2)</f>
        <v>9966.2199999999993</v>
      </c>
      <c r="H24" s="5">
        <f t="shared" ca="1" si="0"/>
        <v>1.7199999999993452</v>
      </c>
      <c r="I24" s="3">
        <f ca="1">ROUNDDOWN(_xll.IMBC(E5,"세전단가",G8,F24),2)</f>
        <v>9967.08</v>
      </c>
      <c r="J24" s="7">
        <f t="shared" ca="1" si="1"/>
        <v>1.7199999999993452</v>
      </c>
      <c r="L24" s="20" t="s">
        <v>133</v>
      </c>
      <c r="M24" s="52">
        <f>M27+L24/100</f>
        <v>1.1599999999999999</v>
      </c>
      <c r="N24" s="3">
        <f ca="1">ROUNDDOWN(_xll.IMBC(L5,"세전단가",N7,M24),2)</f>
        <v>9930.2800000000007</v>
      </c>
      <c r="O24" s="5">
        <f t="shared" ca="1" si="2"/>
        <v>2.4400000000005093</v>
      </c>
      <c r="P24" s="3">
        <f ca="1">ROUNDDOWN(_xll.IMBC(L5,"세전단가",N8,M24),2)</f>
        <v>9931.2199999999993</v>
      </c>
      <c r="Q24" s="7">
        <f t="shared" ca="1" si="3"/>
        <v>2.4399999999986903</v>
      </c>
      <c r="S24" s="20" t="s">
        <v>133</v>
      </c>
      <c r="T24" s="52">
        <f>T27+S24/100</f>
        <v>2.0649999999999999</v>
      </c>
      <c r="U24" s="3">
        <f ca="1">ROUNDDOWN(_xll.IMBC(S5,"세전단가",U7,T24),2)</f>
        <v>9515.41</v>
      </c>
      <c r="V24" s="5">
        <f t="shared" ca="1" si="4"/>
        <v>8.3500000000003638</v>
      </c>
      <c r="W24" s="40">
        <f ca="1">ROUNDDOWN(_xll.IMBC(S5,"세전단가",U8,T24),2)</f>
        <v>9517</v>
      </c>
      <c r="X24" s="7">
        <f t="shared" ca="1" si="5"/>
        <v>8.3400000000001455</v>
      </c>
      <c r="Z24" s="20" t="s">
        <v>133</v>
      </c>
      <c r="AA24" s="52">
        <f>AA27+Z24/100</f>
        <v>2.1720000000000002</v>
      </c>
      <c r="AB24" s="3">
        <f ca="1">ROUNDDOWN(_xll.IMBC(Z5,"세전단가",AB7,AA24),2)</f>
        <v>8985.16</v>
      </c>
      <c r="AC24" s="5">
        <f t="shared" ca="1" si="6"/>
        <v>14.690000000000509</v>
      </c>
      <c r="AD24" s="3">
        <f ca="1">ROUNDDOWN(_xll.IMBC(Z5,"세전단가",AB8,AA24),2)</f>
        <v>8986.74</v>
      </c>
      <c r="AE24" s="7">
        <f t="shared" ca="1" si="7"/>
        <v>14.680000000000291</v>
      </c>
    </row>
    <row r="25" spans="5:31" x14ac:dyDescent="0.25">
      <c r="E25" s="32" t="s">
        <v>22</v>
      </c>
      <c r="F25" s="53">
        <f>F27+E25/100</f>
        <v>1.0649999999999999</v>
      </c>
      <c r="G25" s="41">
        <f ca="1">ROUNDDOWN(_xll.IMBC(E5,"세전단가",G7,F25),2)</f>
        <v>9964.5</v>
      </c>
      <c r="H25" s="34">
        <f t="shared" ca="1" si="0"/>
        <v>0.86000000000058208</v>
      </c>
      <c r="I25" s="41">
        <f ca="1">ROUNDDOWN(_xll.IMBC(E5,"세전단가",G8,F25),2)</f>
        <v>9965.36</v>
      </c>
      <c r="J25" s="36">
        <f t="shared" ca="1" si="1"/>
        <v>0.8500000000003638</v>
      </c>
      <c r="L25" s="32" t="s">
        <v>134</v>
      </c>
      <c r="M25" s="53">
        <f>M27+L25/100</f>
        <v>1.17</v>
      </c>
      <c r="N25" s="41">
        <f ca="1">ROUNDDOWN(_xll.IMBC(L5,"세전단가",N7,M25),2)</f>
        <v>9927.84</v>
      </c>
      <c r="O25" s="34">
        <f t="shared" ca="1" si="2"/>
        <v>1.2199999999993452</v>
      </c>
      <c r="P25" s="41">
        <f ca="1">ROUNDDOWN(_xll.IMBC(L5,"세전단가",N8,M25),2)</f>
        <v>9928.7800000000007</v>
      </c>
      <c r="Q25" s="36">
        <f t="shared" ca="1" si="3"/>
        <v>1.2100000000009459</v>
      </c>
      <c r="S25" s="32" t="s">
        <v>134</v>
      </c>
      <c r="T25" s="53">
        <f>T27+S25/100</f>
        <v>2.0750000000000002</v>
      </c>
      <c r="U25" s="41">
        <f ca="1">ROUNDDOWN(_xll.IMBC(S5,"세전단가",U7,T25),2)</f>
        <v>9507.06</v>
      </c>
      <c r="V25" s="34">
        <f t="shared" ca="1" si="4"/>
        <v>4.1700000000000728</v>
      </c>
      <c r="W25" s="41">
        <f ca="1">ROUNDDOWN(_xll.IMBC(S5,"세전단가",U8,T25),2)</f>
        <v>9508.66</v>
      </c>
      <c r="X25" s="36">
        <f t="shared" ca="1" si="5"/>
        <v>4.1700000000000728</v>
      </c>
      <c r="Z25" s="32" t="s">
        <v>134</v>
      </c>
      <c r="AA25" s="53">
        <f>AA27+Z25/100</f>
        <v>2.1820000000000004</v>
      </c>
      <c r="AB25" s="41">
        <f ca="1">ROUNDDOWN(_xll.IMBC(Z5,"세전단가",AB7,AA25),2)</f>
        <v>8970.4699999999993</v>
      </c>
      <c r="AC25" s="34">
        <f t="shared" ca="1" si="6"/>
        <v>7.3400000000001455</v>
      </c>
      <c r="AD25" s="41">
        <f ca="1">ROUNDDOWN(_xll.IMBC(Z5,"세전단가",AB8,AA25),2)</f>
        <v>8972.06</v>
      </c>
      <c r="AE25" s="36">
        <f t="shared" ca="1" si="7"/>
        <v>7.3400000000001455</v>
      </c>
    </row>
    <row r="26" spans="5:31" x14ac:dyDescent="0.25">
      <c r="E26" s="20" t="s">
        <v>4</v>
      </c>
      <c r="F26" s="52">
        <f>F27+E26/100</f>
        <v>1.07</v>
      </c>
      <c r="G26" s="40">
        <f ca="1">ROUNDDOWN(_xll.IMBC(E5,"세전단가",G7,F26),2)</f>
        <v>9963.64</v>
      </c>
      <c r="H26" s="5">
        <f t="shared" ca="1" si="0"/>
        <v>0.85999999999876309</v>
      </c>
      <c r="I26" s="3">
        <f ca="1">ROUNDDOWN(_xll.IMBC(E5,"세전단가",G8,F26),2)</f>
        <v>9964.51</v>
      </c>
      <c r="J26" s="7">
        <f t="shared" ca="1" si="1"/>
        <v>0.86000000000058208</v>
      </c>
      <c r="L26" s="20" t="s">
        <v>135</v>
      </c>
      <c r="M26" s="52">
        <f>M27+L26/100</f>
        <v>1.175</v>
      </c>
      <c r="N26" s="40">
        <f ca="1">ROUNDDOWN(_xll.IMBC(L5,"세전단가",N7,M26),2)</f>
        <v>9926.6200000000008</v>
      </c>
      <c r="O26" s="5">
        <f t="shared" ca="1" si="2"/>
        <v>1.2300000000013824</v>
      </c>
      <c r="P26" s="40">
        <f ca="1">ROUNDDOWN(_xll.IMBC(L5,"세전단가",N8,M26),2)</f>
        <v>9927.57</v>
      </c>
      <c r="Q26" s="7">
        <f t="shared" ca="1" si="3"/>
        <v>1.2199999999993452</v>
      </c>
      <c r="S26" s="20" t="s">
        <v>135</v>
      </c>
      <c r="T26" s="52">
        <f>T27+S26/100</f>
        <v>2.08</v>
      </c>
      <c r="U26" s="40">
        <f ca="1">ROUNDDOWN(_xll.IMBC(S5,"세전단가",U7,T26),2)</f>
        <v>9502.89</v>
      </c>
      <c r="V26" s="5">
        <f t="shared" ca="1" si="4"/>
        <v>4.1700000000000728</v>
      </c>
      <c r="W26" s="3">
        <f ca="1">ROUNDDOWN(_xll.IMBC(S5,"세전단가",U8,T26),2)</f>
        <v>9504.49</v>
      </c>
      <c r="X26" s="7">
        <f t="shared" ca="1" si="5"/>
        <v>4.1599999999998545</v>
      </c>
      <c r="Z26" s="20" t="s">
        <v>135</v>
      </c>
      <c r="AA26" s="52">
        <f>AA27+Z26/100</f>
        <v>2.1870000000000003</v>
      </c>
      <c r="AB26" s="3">
        <f ca="1">ROUNDDOWN(_xll.IMBC(Z5,"세전단가",AB7,AA26),2)</f>
        <v>8963.1299999999992</v>
      </c>
      <c r="AC26" s="5">
        <f t="shared" ca="1" si="6"/>
        <v>7.319999999999709</v>
      </c>
      <c r="AD26" s="3">
        <f ca="1">ROUNDDOWN(_xll.IMBC(Z5,"세전단가",AB8,AA26),2)</f>
        <v>8964.7199999999993</v>
      </c>
      <c r="AE26" s="7">
        <f t="shared" ca="1" si="7"/>
        <v>7.319999999999709</v>
      </c>
    </row>
    <row r="27" spans="5:31" x14ac:dyDescent="0.25">
      <c r="E27" s="21">
        <v>0</v>
      </c>
      <c r="F27" s="54">
        <f>IF(G9="",I8,ROUNDDOWN(G9,2))</f>
        <v>1.075</v>
      </c>
      <c r="G27" s="15">
        <f ca="1">ROUNDDOWN(_xll.IMBC(E5,"세전단가",G7,F27),2)</f>
        <v>9962.7800000000007</v>
      </c>
      <c r="H27" s="13"/>
      <c r="I27" s="12">
        <f ca="1">ROUNDDOWN(_xll.IMBC(E5,"세전단가",G8,F27),2)</f>
        <v>9963.65</v>
      </c>
      <c r="J27" s="14"/>
      <c r="L27" s="21">
        <v>0</v>
      </c>
      <c r="M27" s="54">
        <f>IF(N9="",P8,ROUNDDOWN(N9,2))</f>
        <v>1.18</v>
      </c>
      <c r="N27" s="15">
        <f ca="1">ROUNDDOWN(_xll.IMBC(L5,"세전단가",N7,M27),2)</f>
        <v>9925.39</v>
      </c>
      <c r="O27" s="13"/>
      <c r="P27" s="12">
        <f ca="1">ROUNDDOWN(_xll.IMBC(L5,"세전단가",N8,M27),2)</f>
        <v>9926.35</v>
      </c>
      <c r="Q27" s="14"/>
      <c r="S27" s="21">
        <v>0</v>
      </c>
      <c r="T27" s="54">
        <f>IF(U9="",W8,ROUNDDOWN(U9,2))</f>
        <v>2.085</v>
      </c>
      <c r="U27" s="15">
        <f ca="1">ROUNDDOWN(_xll.IMBC(S5,"세전단가",U7,T27),2)</f>
        <v>9498.7199999999993</v>
      </c>
      <c r="V27" s="13"/>
      <c r="W27" s="12">
        <f ca="1">ROUNDDOWN(_xll.IMBC(S5,"세전단가",U8,T27),2)</f>
        <v>9500.33</v>
      </c>
      <c r="X27" s="14"/>
      <c r="Z27" s="21">
        <v>0</v>
      </c>
      <c r="AA27" s="54">
        <f>IF(AB9="",AD8,ROUNDDOWN(AB9,2))</f>
        <v>2.1920000000000002</v>
      </c>
      <c r="AB27" s="15">
        <f ca="1">ROUNDDOWN(_xll.IMBC(Z5,"세전단가",AB7,AA27),2)</f>
        <v>8955.81</v>
      </c>
      <c r="AC27" s="13"/>
      <c r="AD27" s="15">
        <f ca="1">ROUNDDOWN(_xll.IMBC(Z5,"세전단가",AB8,AA27),2)</f>
        <v>8957.4</v>
      </c>
      <c r="AE27" s="14"/>
    </row>
    <row r="28" spans="5:31" x14ac:dyDescent="0.25">
      <c r="E28" s="69" t="s">
        <v>3</v>
      </c>
      <c r="F28" s="52">
        <f>F27+E28/100</f>
        <v>1.0799999999999998</v>
      </c>
      <c r="G28" s="3">
        <f ca="1">ROUNDDOWN(_xll.IMBC(E5,"세전단가",G7,F28),2)</f>
        <v>9961.92</v>
      </c>
      <c r="H28" s="5">
        <f t="shared" ref="H28:H43" ca="1" si="8">G28-G27</f>
        <v>-0.86000000000058208</v>
      </c>
      <c r="I28" s="3">
        <f ca="1">ROUNDDOWN(_xll.IMBC(E5,"세전단가",G8,F28),2)</f>
        <v>9962.7900000000009</v>
      </c>
      <c r="J28" s="7">
        <f t="shared" ref="J28:J43" ca="1" si="9">I28-I27</f>
        <v>-0.85999999999876309</v>
      </c>
      <c r="L28" s="69" t="s">
        <v>136</v>
      </c>
      <c r="M28" s="52">
        <f>M27+L28/100</f>
        <v>1.1849999999999998</v>
      </c>
      <c r="N28" s="40">
        <f ca="1">ROUNDDOWN(_xll.IMBC(L5,"세전단가",N7,M28),2)</f>
        <v>9924.17</v>
      </c>
      <c r="O28" s="5">
        <f t="shared" ref="O28:O43" ca="1" si="10">N28-N27</f>
        <v>-1.2199999999993452</v>
      </c>
      <c r="P28" s="3">
        <f ca="1">ROUNDDOWN(_xll.IMBC(L5,"세전단가",N8,M28),2)</f>
        <v>9925.1299999999992</v>
      </c>
      <c r="Q28" s="7">
        <f t="shared" ref="Q28:Q43" ca="1" si="11">P28-P27</f>
        <v>-1.2200000000011642</v>
      </c>
      <c r="S28" s="69" t="s">
        <v>136</v>
      </c>
      <c r="T28" s="52">
        <f>T27+S28/100</f>
        <v>2.09</v>
      </c>
      <c r="U28" s="40">
        <f ca="1">ROUNDDOWN(_xll.IMBC(S5,"세전단가",U7,T28),2)</f>
        <v>9494.5499999999993</v>
      </c>
      <c r="V28" s="5">
        <f t="shared" ref="V28:V43" ca="1" si="12">U28-U27</f>
        <v>-4.1700000000000728</v>
      </c>
      <c r="W28" s="40">
        <f ca="1">ROUNDDOWN(_xll.IMBC(S5,"세전단가",U8,T28),2)</f>
        <v>9496.16</v>
      </c>
      <c r="X28" s="7">
        <f t="shared" ref="X28:X43" ca="1" si="13">W28-W27</f>
        <v>-4.1700000000000728</v>
      </c>
      <c r="Z28" s="69" t="s">
        <v>136</v>
      </c>
      <c r="AA28" s="52">
        <f>AA27+Z28/100</f>
        <v>2.1970000000000001</v>
      </c>
      <c r="AB28" s="3">
        <f ca="1">ROUNDDOWN(_xll.IMBC(Z5,"세전단가",AB7,AA28),2)</f>
        <v>8948.48</v>
      </c>
      <c r="AC28" s="5">
        <f t="shared" ref="AC28:AC43" ca="1" si="14">AB28-AB27</f>
        <v>-7.3299999999999272</v>
      </c>
      <c r="AD28" s="3">
        <f ca="1">ROUNDDOWN(_xll.IMBC(Z5,"세전단가",AB8,AA28),2)</f>
        <v>8950.08</v>
      </c>
      <c r="AE28" s="7">
        <f t="shared" ref="AE28:AE43" ca="1" si="15">AD28-AD27</f>
        <v>-7.319999999999709</v>
      </c>
    </row>
    <row r="29" spans="5:31" x14ac:dyDescent="0.25">
      <c r="E29" s="70" t="s">
        <v>31</v>
      </c>
      <c r="F29" s="53">
        <f>F27+E29/100</f>
        <v>1.085</v>
      </c>
      <c r="G29" s="41">
        <f ca="1">ROUNDDOWN(_xll.IMBC(E5,"세전단가",G7,F29),2)</f>
        <v>9961.06</v>
      </c>
      <c r="H29" s="34">
        <f t="shared" ca="1" si="8"/>
        <v>-0.86000000000058208</v>
      </c>
      <c r="I29" s="41">
        <f ca="1">ROUNDDOWN(_xll.IMBC(E5,"세전단가",G8,F29),2)</f>
        <v>9961.94</v>
      </c>
      <c r="J29" s="36">
        <f t="shared" ca="1" si="9"/>
        <v>-0.8500000000003638</v>
      </c>
      <c r="L29" s="70" t="s">
        <v>137</v>
      </c>
      <c r="M29" s="53">
        <f>M27+L29/100</f>
        <v>1.19</v>
      </c>
      <c r="N29" s="41">
        <f ca="1">ROUNDDOWN(_xll.IMBC(L5,"세전단가",N7,M29),2)</f>
        <v>9922.9500000000007</v>
      </c>
      <c r="O29" s="34">
        <f t="shared" ca="1" si="10"/>
        <v>-1.2199999999993452</v>
      </c>
      <c r="P29" s="41">
        <f ca="1">ROUNDDOWN(_xll.IMBC(L5,"세전단가",N8,M29),2)</f>
        <v>9923.91</v>
      </c>
      <c r="Q29" s="36">
        <f t="shared" ca="1" si="11"/>
        <v>-1.2199999999993452</v>
      </c>
      <c r="S29" s="70" t="s">
        <v>137</v>
      </c>
      <c r="T29" s="53">
        <f>T27+S29/100</f>
        <v>2.0949999999999998</v>
      </c>
      <c r="U29" s="41">
        <f ca="1">ROUNDDOWN(_xll.IMBC(S5,"세전단가",U7,T29),2)</f>
        <v>9490.39</v>
      </c>
      <c r="V29" s="34">
        <f t="shared" ca="1" si="12"/>
        <v>-4.1599999999998545</v>
      </c>
      <c r="W29" s="41">
        <f ca="1">ROUNDDOWN(_xll.IMBC(S5,"세전단가",U8,T29),2)</f>
        <v>9492</v>
      </c>
      <c r="X29" s="36">
        <f t="shared" ca="1" si="13"/>
        <v>-4.1599999999998545</v>
      </c>
      <c r="Z29" s="70" t="s">
        <v>137</v>
      </c>
      <c r="AA29" s="53">
        <f>AA27+Z29/100</f>
        <v>2.202</v>
      </c>
      <c r="AB29" s="41">
        <f ca="1">ROUNDDOWN(_xll.IMBC(Z5,"세전단가",AB7,AA29),2)</f>
        <v>8941.17</v>
      </c>
      <c r="AC29" s="34">
        <f t="shared" ca="1" si="14"/>
        <v>-7.3099999999994907</v>
      </c>
      <c r="AD29" s="41">
        <f ca="1">ROUNDDOWN(_xll.IMBC(Z5,"세전단가",AB8,AA29),2)</f>
        <v>8942.77</v>
      </c>
      <c r="AE29" s="36">
        <f t="shared" ca="1" si="15"/>
        <v>-7.3099999999994907</v>
      </c>
    </row>
    <row r="30" spans="5:31" x14ac:dyDescent="0.25">
      <c r="E30" s="71" t="s">
        <v>32</v>
      </c>
      <c r="F30" s="52">
        <f>F27+E30/100</f>
        <v>1.095</v>
      </c>
      <c r="G30" s="3">
        <f ca="1">ROUNDDOWN(_xll.IMBC(E5,"세전단가",G7,F30),2)</f>
        <v>9959.34</v>
      </c>
      <c r="H30" s="5">
        <f t="shared" ca="1" si="8"/>
        <v>-1.7199999999993452</v>
      </c>
      <c r="I30" s="3">
        <f ca="1">ROUNDDOWN(_xll.IMBC(E5,"세전단가",G8,F30),2)</f>
        <v>9960.23</v>
      </c>
      <c r="J30" s="7">
        <f t="shared" ca="1" si="9"/>
        <v>-1.7100000000009459</v>
      </c>
      <c r="L30" s="71" t="s">
        <v>138</v>
      </c>
      <c r="M30" s="52">
        <f>M27+L30/100</f>
        <v>1.2</v>
      </c>
      <c r="N30" s="3">
        <f ca="1">ROUNDDOWN(_xll.IMBC(L5,"세전단가",N7,M30),2)</f>
        <v>9920.51</v>
      </c>
      <c r="O30" s="5">
        <f t="shared" ca="1" si="10"/>
        <v>-2.4400000000005093</v>
      </c>
      <c r="P30" s="3">
        <f ca="1">ROUNDDOWN(_xll.IMBC(L5,"세전단가",N8,M30),2)</f>
        <v>9921.48</v>
      </c>
      <c r="Q30" s="7">
        <f t="shared" ca="1" si="11"/>
        <v>-2.430000000000291</v>
      </c>
      <c r="S30" s="71" t="s">
        <v>138</v>
      </c>
      <c r="T30" s="52">
        <f>T27+S30/100</f>
        <v>2.105</v>
      </c>
      <c r="U30" s="3">
        <f ca="1">ROUNDDOWN(_xll.IMBC(S5,"세전단가",U7,T30),2)</f>
        <v>9482.07</v>
      </c>
      <c r="V30" s="5">
        <f t="shared" ca="1" si="12"/>
        <v>-8.319999999999709</v>
      </c>
      <c r="W30" s="3">
        <f ca="1">ROUNDDOWN(_xll.IMBC(S5,"세전단가",U8,T30),2)</f>
        <v>9483.69</v>
      </c>
      <c r="X30" s="7">
        <f t="shared" ca="1" si="13"/>
        <v>-8.3099999999994907</v>
      </c>
      <c r="Z30" s="71" t="s">
        <v>138</v>
      </c>
      <c r="AA30" s="52">
        <f>AA27+Z30/100</f>
        <v>2.2120000000000002</v>
      </c>
      <c r="AB30" s="3">
        <f ca="1">ROUNDDOWN(_xll.IMBC(Z5,"세전단가",AB7,AA30),2)</f>
        <v>8926.56</v>
      </c>
      <c r="AC30" s="5">
        <f t="shared" ca="1" si="14"/>
        <v>-14.610000000000582</v>
      </c>
      <c r="AD30" s="3">
        <f ca="1">ROUNDDOWN(_xll.IMBC(Z5,"세전단가",AB8,AA30),2)</f>
        <v>8928.16</v>
      </c>
      <c r="AE30" s="7">
        <f t="shared" ca="1" si="15"/>
        <v>-14.610000000000582</v>
      </c>
    </row>
    <row r="31" spans="5:31" x14ac:dyDescent="0.25">
      <c r="E31" s="71" t="s">
        <v>33</v>
      </c>
      <c r="F31" s="52">
        <f>F27+E31/100</f>
        <v>1.105</v>
      </c>
      <c r="G31" s="3">
        <f ca="1">ROUNDDOWN(_xll.IMBC(E5,"세전단가",G7,F31),2)</f>
        <v>9957.6200000000008</v>
      </c>
      <c r="H31" s="5">
        <f t="shared" ca="1" si="8"/>
        <v>-1.7199999999993452</v>
      </c>
      <c r="I31" s="3">
        <f ca="1">ROUNDDOWN(_xll.IMBC(E5,"세전단가",G8,F31),2)</f>
        <v>9958.51</v>
      </c>
      <c r="J31" s="7">
        <f t="shared" ca="1" si="9"/>
        <v>-1.7199999999993452</v>
      </c>
      <c r="L31" s="71" t="s">
        <v>139</v>
      </c>
      <c r="M31" s="52">
        <f>M27+L31/100</f>
        <v>1.21</v>
      </c>
      <c r="N31" s="3">
        <f ca="1">ROUNDDOWN(_xll.IMBC(L5,"세전단가",N7,M31),2)</f>
        <v>9918.07</v>
      </c>
      <c r="O31" s="5">
        <f t="shared" ca="1" si="10"/>
        <v>-2.4400000000005093</v>
      </c>
      <c r="P31" s="3">
        <f ca="1">ROUNDDOWN(_xll.IMBC(L5,"세전단가",N8,M31),2)</f>
        <v>9919.0499999999993</v>
      </c>
      <c r="Q31" s="7">
        <f t="shared" ca="1" si="11"/>
        <v>-2.430000000000291</v>
      </c>
      <c r="S31" s="71" t="s">
        <v>139</v>
      </c>
      <c r="T31" s="52">
        <f>T27+S31/100</f>
        <v>2.1149999999999998</v>
      </c>
      <c r="U31" s="3">
        <f ca="1">ROUNDDOWN(_xll.IMBC(S5,"세전단가",U7,T31),2)</f>
        <v>9473.75</v>
      </c>
      <c r="V31" s="5">
        <f t="shared" ca="1" si="12"/>
        <v>-8.319999999999709</v>
      </c>
      <c r="W31" s="3">
        <f ca="1">ROUNDDOWN(_xll.IMBC(S5,"세전단가",U8,T31),2)</f>
        <v>9475.3799999999992</v>
      </c>
      <c r="X31" s="7">
        <f t="shared" ca="1" si="13"/>
        <v>-8.3100000000013097</v>
      </c>
      <c r="Z31" s="71" t="s">
        <v>139</v>
      </c>
      <c r="AA31" s="52">
        <f>AA27+Z31/100</f>
        <v>2.222</v>
      </c>
      <c r="AB31" s="3">
        <f ca="1">ROUNDDOWN(_xll.IMBC(Z5,"세전단가",AB7,AA31),2)</f>
        <v>8911.98</v>
      </c>
      <c r="AC31" s="5">
        <f t="shared" ca="1" si="14"/>
        <v>-14.579999999999927</v>
      </c>
      <c r="AD31" s="3">
        <f ca="1">ROUNDDOWN(_xll.IMBC(Z5,"세전단가",AB8,AA31),2)</f>
        <v>8913.58</v>
      </c>
      <c r="AE31" s="7">
        <f t="shared" ca="1" si="15"/>
        <v>-14.579999999999927</v>
      </c>
    </row>
    <row r="32" spans="5:31" x14ac:dyDescent="0.25">
      <c r="E32" s="71" t="s">
        <v>34</v>
      </c>
      <c r="F32" s="52">
        <f>F27+E32/100</f>
        <v>1.115</v>
      </c>
      <c r="G32" s="3">
        <f ca="1">ROUNDDOWN(_xll.IMBC(E5,"세전단가",G7,F32),2)</f>
        <v>9955.9</v>
      </c>
      <c r="H32" s="5">
        <f t="shared" ca="1" si="8"/>
        <v>-1.7200000000011642</v>
      </c>
      <c r="I32" s="3">
        <f ca="1">ROUNDDOWN(_xll.IMBC(E5,"세전단가",G8,F32),2)</f>
        <v>9956.7999999999993</v>
      </c>
      <c r="J32" s="7">
        <f t="shared" ca="1" si="9"/>
        <v>-1.7100000000009459</v>
      </c>
      <c r="L32" s="71" t="s">
        <v>140</v>
      </c>
      <c r="M32" s="52">
        <f>M27+L32/100</f>
        <v>1.22</v>
      </c>
      <c r="N32" s="3">
        <f ca="1">ROUNDDOWN(_xll.IMBC(L5,"세전단가",N7,M32),2)</f>
        <v>9915.6299999999992</v>
      </c>
      <c r="O32" s="5">
        <f t="shared" ca="1" si="10"/>
        <v>-2.4400000000005093</v>
      </c>
      <c r="P32" s="3">
        <f ca="1">ROUNDDOWN(_xll.IMBC(L5,"세전단가",N8,M32),2)</f>
        <v>9916.6200000000008</v>
      </c>
      <c r="Q32" s="7">
        <f t="shared" ca="1" si="11"/>
        <v>-2.429999999998472</v>
      </c>
      <c r="S32" s="71" t="s">
        <v>140</v>
      </c>
      <c r="T32" s="52">
        <f>T27+S32/100</f>
        <v>2.125</v>
      </c>
      <c r="U32" s="3">
        <f ca="1">ROUNDDOWN(_xll.IMBC(S5,"세전단가",U7,T32),2)</f>
        <v>9465.44</v>
      </c>
      <c r="V32" s="5">
        <f t="shared" ca="1" si="12"/>
        <v>-8.3099999999994907</v>
      </c>
      <c r="W32" s="3">
        <f ca="1">ROUNDDOWN(_xll.IMBC(S5,"세전단가",U8,T32),2)</f>
        <v>9467.08</v>
      </c>
      <c r="X32" s="7">
        <f t="shared" ca="1" si="13"/>
        <v>-8.2999999999992724</v>
      </c>
      <c r="Z32" s="71" t="s">
        <v>140</v>
      </c>
      <c r="AA32" s="52">
        <f>AA27+Z32/100</f>
        <v>2.2320000000000002</v>
      </c>
      <c r="AB32" s="3">
        <f ca="1">ROUNDDOWN(_xll.IMBC(Z5,"세전단가",AB7,AA32),2)</f>
        <v>8897.42</v>
      </c>
      <c r="AC32" s="5">
        <f t="shared" ca="1" si="14"/>
        <v>-14.559999999999491</v>
      </c>
      <c r="AD32" s="3">
        <f ca="1">ROUNDDOWN(_xll.IMBC(Z5,"세전단가",AB8,AA32),2)</f>
        <v>8899.0300000000007</v>
      </c>
      <c r="AE32" s="7">
        <f t="shared" ca="1" si="15"/>
        <v>-14.549999999999272</v>
      </c>
    </row>
    <row r="33" spans="2:31" x14ac:dyDescent="0.25">
      <c r="E33" s="71" t="s">
        <v>35</v>
      </c>
      <c r="F33" s="52">
        <f>F27+E33/100</f>
        <v>1.125</v>
      </c>
      <c r="G33" s="3">
        <f ca="1">ROUNDDOWN(_xll.IMBC(E5,"세전단가",G7,F33),2)</f>
        <v>9954.18</v>
      </c>
      <c r="H33" s="5">
        <f t="shared" ca="1" si="8"/>
        <v>-1.7199999999993452</v>
      </c>
      <c r="I33" s="3">
        <f ca="1">ROUNDDOWN(_xll.IMBC(E5,"세전단가",G8,F33),2)</f>
        <v>9955.09</v>
      </c>
      <c r="J33" s="7">
        <f t="shared" ca="1" si="9"/>
        <v>-1.7099999999991269</v>
      </c>
      <c r="L33" s="71" t="s">
        <v>141</v>
      </c>
      <c r="M33" s="52">
        <f>M27+L33/100</f>
        <v>1.23</v>
      </c>
      <c r="N33" s="3">
        <f ca="1">ROUNDDOWN(_xll.IMBC(L5,"세전단가",N7,M33),2)</f>
        <v>9913.19</v>
      </c>
      <c r="O33" s="5">
        <f t="shared" ca="1" si="10"/>
        <v>-2.4399999999986903</v>
      </c>
      <c r="P33" s="3">
        <f ca="1">ROUNDDOWN(_xll.IMBC(L5,"세전단가",N8,M33),2)</f>
        <v>9914.18</v>
      </c>
      <c r="Q33" s="7">
        <f t="shared" ca="1" si="11"/>
        <v>-2.4400000000005093</v>
      </c>
      <c r="S33" s="71" t="s">
        <v>141</v>
      </c>
      <c r="T33" s="52">
        <f>T27+S33/100</f>
        <v>2.1349999999999998</v>
      </c>
      <c r="U33" s="3">
        <f ca="1">ROUNDDOWN(_xll.IMBC(S5,"세전단가",U7,T33),2)</f>
        <v>9457.14</v>
      </c>
      <c r="V33" s="5">
        <f t="shared" ca="1" si="12"/>
        <v>-8.3000000000010914</v>
      </c>
      <c r="W33" s="3">
        <f ca="1">ROUNDDOWN(_xll.IMBC(S5,"세전단가",U8,T33),2)</f>
        <v>9458.7800000000007</v>
      </c>
      <c r="X33" s="7">
        <f t="shared" ca="1" si="13"/>
        <v>-8.2999999999992724</v>
      </c>
      <c r="Z33" s="71" t="s">
        <v>141</v>
      </c>
      <c r="AA33" s="52">
        <f>AA27+Z33/100</f>
        <v>2.242</v>
      </c>
      <c r="AB33" s="3">
        <f ca="1">ROUNDDOWN(_xll.IMBC(Z5,"세전단가",AB7,AA33),2)</f>
        <v>8882.89</v>
      </c>
      <c r="AC33" s="5">
        <f t="shared" ca="1" si="14"/>
        <v>-14.530000000000655</v>
      </c>
      <c r="AD33" s="3">
        <f ca="1">ROUNDDOWN(_xll.IMBC(Z5,"세전단가",AB8,AA33),2)</f>
        <v>8884.51</v>
      </c>
      <c r="AE33" s="7">
        <f t="shared" ca="1" si="15"/>
        <v>-14.520000000000437</v>
      </c>
    </row>
    <row r="34" spans="2:31" x14ac:dyDescent="0.25">
      <c r="E34" s="71" t="s">
        <v>36</v>
      </c>
      <c r="F34" s="52">
        <f>F27+E34/100</f>
        <v>1.135</v>
      </c>
      <c r="G34" s="3">
        <f ca="1">ROUNDDOWN(_xll.IMBC(E5,"세전단가",G7,F34),2)</f>
        <v>9952.4599999999991</v>
      </c>
      <c r="H34" s="5">
        <f t="shared" ca="1" si="8"/>
        <v>-1.7200000000011642</v>
      </c>
      <c r="I34" s="3">
        <f ca="1">ROUNDDOWN(_xll.IMBC(E5,"세전단가",G8,F34),2)</f>
        <v>9953.3799999999992</v>
      </c>
      <c r="J34" s="7">
        <f t="shared" ca="1" si="9"/>
        <v>-1.7100000000009459</v>
      </c>
      <c r="L34" s="71" t="s">
        <v>142</v>
      </c>
      <c r="M34" s="52">
        <f>M27+L34/100</f>
        <v>1.24</v>
      </c>
      <c r="N34" s="3">
        <f ca="1">ROUNDDOWN(_xll.IMBC(L5,"세전단가",N7,M34),2)</f>
        <v>9910.75</v>
      </c>
      <c r="O34" s="5">
        <f t="shared" ca="1" si="10"/>
        <v>-2.4400000000005093</v>
      </c>
      <c r="P34" s="3">
        <f ca="1">ROUNDDOWN(_xll.IMBC(L5,"세전단가",N8,M34),2)</f>
        <v>9911.75</v>
      </c>
      <c r="Q34" s="7">
        <f t="shared" ca="1" si="11"/>
        <v>-2.430000000000291</v>
      </c>
      <c r="S34" s="71" t="s">
        <v>142</v>
      </c>
      <c r="T34" s="52">
        <f>T27+S34/100</f>
        <v>2.145</v>
      </c>
      <c r="U34" s="3">
        <f ca="1">ROUNDDOWN(_xll.IMBC(S5,"세전단가",U7,T34),2)</f>
        <v>9448.85</v>
      </c>
      <c r="V34" s="5">
        <f t="shared" ca="1" si="12"/>
        <v>-8.2899999999990541</v>
      </c>
      <c r="W34" s="3">
        <f ca="1">ROUNDDOWN(_xll.IMBC(S5,"세전단가",U8,T34),2)</f>
        <v>9450.5</v>
      </c>
      <c r="X34" s="7">
        <f t="shared" ca="1" si="13"/>
        <v>-8.2800000000006548</v>
      </c>
      <c r="Z34" s="71" t="s">
        <v>142</v>
      </c>
      <c r="AA34" s="52">
        <f>AA27+Z34/100</f>
        <v>2.2520000000000002</v>
      </c>
      <c r="AB34" s="3">
        <f ca="1">ROUNDDOWN(_xll.IMBC(Z5,"세전단가",AB7,AA34),2)</f>
        <v>8868.39</v>
      </c>
      <c r="AC34" s="5">
        <f t="shared" ca="1" si="14"/>
        <v>-14.5</v>
      </c>
      <c r="AD34" s="3">
        <f ca="1">ROUNDDOWN(_xll.IMBC(Z5,"세전단가",AB8,AA34),2)</f>
        <v>8870.01</v>
      </c>
      <c r="AE34" s="7">
        <f t="shared" ca="1" si="15"/>
        <v>-14.5</v>
      </c>
    </row>
    <row r="35" spans="2:31" x14ac:dyDescent="0.25">
      <c r="B35" s="80"/>
      <c r="E35" s="71" t="s">
        <v>37</v>
      </c>
      <c r="F35" s="52">
        <f>F27+E35/100</f>
        <v>1.145</v>
      </c>
      <c r="G35" s="55">
        <f ca="1">ROUNDDOWN(_xll.IMBC(E5,"세전단가",G7,F35),2)</f>
        <v>9950.74</v>
      </c>
      <c r="H35" s="5">
        <f t="shared" ca="1" si="8"/>
        <v>-1.7199999999993452</v>
      </c>
      <c r="I35" s="3">
        <f ca="1">ROUNDDOWN(_xll.IMBC(E5,"세전단가",G8,F35),2)</f>
        <v>9951.67</v>
      </c>
      <c r="J35" s="7">
        <f t="shared" ca="1" si="9"/>
        <v>-1.7099999999991269</v>
      </c>
      <c r="L35" s="71" t="s">
        <v>143</v>
      </c>
      <c r="M35" s="52">
        <f>M27+L35/100</f>
        <v>1.25</v>
      </c>
      <c r="N35" s="3">
        <f ca="1">ROUNDDOWN(_xll.IMBC(L5,"세전단가",N7,M35),2)</f>
        <v>9908.31</v>
      </c>
      <c r="O35" s="5">
        <f t="shared" ca="1" si="10"/>
        <v>-2.4400000000005093</v>
      </c>
      <c r="P35" s="3">
        <f ca="1">ROUNDDOWN(_xll.IMBC(L5,"세전단가",N8,M35),2)</f>
        <v>9909.32</v>
      </c>
      <c r="Q35" s="7">
        <f t="shared" ca="1" si="11"/>
        <v>-2.430000000000291</v>
      </c>
      <c r="S35" s="71" t="s">
        <v>143</v>
      </c>
      <c r="T35" s="52">
        <f>T27+S35/100</f>
        <v>2.1549999999999998</v>
      </c>
      <c r="U35" s="3">
        <f ca="1">ROUNDDOWN(_xll.IMBC(S5,"세전단가",U7,T35),2)</f>
        <v>9440.57</v>
      </c>
      <c r="V35" s="5">
        <f t="shared" ca="1" si="12"/>
        <v>-8.2800000000006548</v>
      </c>
      <c r="W35" s="3">
        <f ca="1">ROUNDDOWN(_xll.IMBC(S5,"세전단가",U8,T35),2)</f>
        <v>9442.2199999999993</v>
      </c>
      <c r="X35" s="7">
        <f t="shared" ca="1" si="13"/>
        <v>-8.2800000000006548</v>
      </c>
      <c r="Z35" s="71" t="s">
        <v>143</v>
      </c>
      <c r="AA35" s="52">
        <f>AA27+Z35/100</f>
        <v>2.262</v>
      </c>
      <c r="AB35" s="3">
        <f ca="1">ROUNDDOWN(_xll.IMBC(Z5,"세전단가",AB7,AA35),2)</f>
        <v>8853.92</v>
      </c>
      <c r="AC35" s="5">
        <f t="shared" ca="1" si="14"/>
        <v>-14.469999999999345</v>
      </c>
      <c r="AD35" s="3">
        <f ca="1">ROUNDDOWN(_xll.IMBC(Z5,"세전단가",AB8,AA35),2)</f>
        <v>8855.5400000000009</v>
      </c>
      <c r="AE35" s="7">
        <f t="shared" ca="1" si="15"/>
        <v>-14.469999999999345</v>
      </c>
    </row>
    <row r="36" spans="2:31" x14ac:dyDescent="0.25">
      <c r="B36" s="80"/>
      <c r="E36" s="71" t="s">
        <v>38</v>
      </c>
      <c r="F36" s="52">
        <f>F27+E36/100</f>
        <v>1.155</v>
      </c>
      <c r="G36" s="3">
        <f ca="1">ROUNDDOWN(_xll.IMBC(E5,"세전단가",G7,F36),2)</f>
        <v>9949.02</v>
      </c>
      <c r="H36" s="5">
        <f t="shared" ca="1" si="8"/>
        <v>-1.7199999999993452</v>
      </c>
      <c r="I36" s="3">
        <f ca="1">ROUNDDOWN(_xll.IMBC(E5,"세전단가",G8,F36),2)</f>
        <v>9949.9599999999991</v>
      </c>
      <c r="J36" s="7">
        <f t="shared" ca="1" si="9"/>
        <v>-1.7100000000009459</v>
      </c>
      <c r="L36" s="71" t="s">
        <v>144</v>
      </c>
      <c r="M36" s="52">
        <f>M27+L36/100</f>
        <v>1.26</v>
      </c>
      <c r="N36" s="3">
        <f ca="1">ROUNDDOWN(_xll.IMBC(L5,"세전단가",N7,M36),2)</f>
        <v>9905.8799999999992</v>
      </c>
      <c r="O36" s="5">
        <f t="shared" ca="1" si="10"/>
        <v>-2.430000000000291</v>
      </c>
      <c r="P36" s="3">
        <f ca="1">ROUNDDOWN(_xll.IMBC(L5,"세전단가",N8,M36),2)</f>
        <v>9906.89</v>
      </c>
      <c r="Q36" s="7">
        <f t="shared" ca="1" si="11"/>
        <v>-2.430000000000291</v>
      </c>
      <c r="S36" s="71" t="s">
        <v>144</v>
      </c>
      <c r="T36" s="52">
        <f>T27+S36/100</f>
        <v>2.165</v>
      </c>
      <c r="U36" s="3">
        <f ca="1">ROUNDDOWN(_xll.IMBC(S5,"세전단가",U7,T36),2)</f>
        <v>9432.2999999999993</v>
      </c>
      <c r="V36" s="5">
        <f t="shared" ca="1" si="12"/>
        <v>-8.2700000000004366</v>
      </c>
      <c r="W36" s="3">
        <f ca="1">ROUNDDOWN(_xll.IMBC(S5,"세전단가",U8,T36),2)</f>
        <v>9433.9500000000007</v>
      </c>
      <c r="X36" s="7">
        <f t="shared" ca="1" si="13"/>
        <v>-8.2699999999986176</v>
      </c>
      <c r="Z36" s="71" t="s">
        <v>144</v>
      </c>
      <c r="AA36" s="52">
        <f>AA27+Z36/100</f>
        <v>2.2720000000000002</v>
      </c>
      <c r="AB36" s="3">
        <f ca="1">ROUNDDOWN(_xll.IMBC(Z5,"세전단가",AB7,AA36),2)</f>
        <v>8839.4699999999993</v>
      </c>
      <c r="AC36" s="5">
        <f t="shared" ca="1" si="14"/>
        <v>-14.450000000000728</v>
      </c>
      <c r="AD36" s="3">
        <f ca="1">ROUNDDOWN(_xll.IMBC(Z5,"세전단가",AB8,AA36),2)</f>
        <v>8841.1</v>
      </c>
      <c r="AE36" s="7">
        <f t="shared" ca="1" si="15"/>
        <v>-14.440000000000509</v>
      </c>
    </row>
    <row r="37" spans="2:31" x14ac:dyDescent="0.25">
      <c r="B37" s="80"/>
      <c r="E37" s="71" t="s">
        <v>39</v>
      </c>
      <c r="F37" s="52">
        <f>F27+E37/100</f>
        <v>1.165</v>
      </c>
      <c r="G37" s="3">
        <f ca="1">ROUNDDOWN(_xll.IMBC(E5,"세전단가",G7,F37),2)</f>
        <v>9947.31</v>
      </c>
      <c r="H37" s="5">
        <f t="shared" ca="1" si="8"/>
        <v>-1.7100000000009459</v>
      </c>
      <c r="I37" s="3">
        <f ca="1">ROUNDDOWN(_xll.IMBC(E5,"세전단가",G8,F37),2)</f>
        <v>9948.25</v>
      </c>
      <c r="J37" s="7">
        <f t="shared" ca="1" si="9"/>
        <v>-1.7099999999991269</v>
      </c>
      <c r="L37" s="71" t="s">
        <v>145</v>
      </c>
      <c r="M37" s="52">
        <f>M27+L37/100</f>
        <v>1.27</v>
      </c>
      <c r="N37" s="3">
        <f ca="1">ROUNDDOWN(_xll.IMBC(L5,"세전단가",N7,M37),2)</f>
        <v>9903.44</v>
      </c>
      <c r="O37" s="5">
        <f t="shared" ca="1" si="10"/>
        <v>-2.4399999999986903</v>
      </c>
      <c r="P37" s="3">
        <f ca="1">ROUNDDOWN(_xll.IMBC(L5,"세전단가",N8,M37),2)</f>
        <v>9904.4599999999991</v>
      </c>
      <c r="Q37" s="7">
        <f t="shared" ca="1" si="11"/>
        <v>-2.430000000000291</v>
      </c>
      <c r="S37" s="71" t="s">
        <v>145</v>
      </c>
      <c r="T37" s="52">
        <f>T27+S37/100</f>
        <v>2.1749999999999998</v>
      </c>
      <c r="U37" s="3">
        <f ca="1">ROUNDDOWN(_xll.IMBC(S5,"세전단가",U7,T37),2)</f>
        <v>9424.0300000000007</v>
      </c>
      <c r="V37" s="5">
        <f t="shared" ca="1" si="12"/>
        <v>-8.2699999999986176</v>
      </c>
      <c r="W37" s="3">
        <f ca="1">ROUNDDOWN(_xll.IMBC(S5,"세전단가",U8,T37),2)</f>
        <v>9425.69</v>
      </c>
      <c r="X37" s="7">
        <f t="shared" ca="1" si="13"/>
        <v>-8.2600000000002183</v>
      </c>
      <c r="Z37" s="71" t="s">
        <v>145</v>
      </c>
      <c r="AA37" s="52">
        <f>AA27+Z37/100</f>
        <v>2.282</v>
      </c>
      <c r="AB37" s="3">
        <f ca="1">ROUNDDOWN(_xll.IMBC(Z5,"세전단가",AB7,AA37),2)</f>
        <v>8825.0499999999993</v>
      </c>
      <c r="AC37" s="5">
        <f t="shared" ca="1" si="14"/>
        <v>-14.420000000000073</v>
      </c>
      <c r="AD37" s="3">
        <f ca="1">ROUNDDOWN(_xll.IMBC(Z5,"세전단가",AB8,AA37),2)</f>
        <v>8826.68</v>
      </c>
      <c r="AE37" s="7">
        <f t="shared" ca="1" si="15"/>
        <v>-14.420000000000073</v>
      </c>
    </row>
    <row r="38" spans="2:31" x14ac:dyDescent="0.25">
      <c r="B38" s="80"/>
      <c r="E38" s="71" t="s">
        <v>40</v>
      </c>
      <c r="F38" s="52">
        <f>F27+E38/100</f>
        <v>1.175</v>
      </c>
      <c r="G38" s="3">
        <f ca="1">ROUNDDOWN(_xll.IMBC(E5,"세전단가",G7,F38),2)</f>
        <v>9945.59</v>
      </c>
      <c r="H38" s="5">
        <f t="shared" ca="1" si="8"/>
        <v>-1.7199999999993452</v>
      </c>
      <c r="I38" s="3">
        <f ca="1">ROUNDDOWN(_xll.IMBC(E5,"세전단가",G8,F38),2)</f>
        <v>9946.5400000000009</v>
      </c>
      <c r="J38" s="7">
        <f t="shared" ca="1" si="9"/>
        <v>-1.7099999999991269</v>
      </c>
      <c r="L38" s="71" t="s">
        <v>146</v>
      </c>
      <c r="M38" s="52">
        <f>M27+L38/100</f>
        <v>1.28</v>
      </c>
      <c r="N38" s="3">
        <f ca="1">ROUNDDOWN(_xll.IMBC(L5,"세전단가",N7,M38),2)</f>
        <v>9901</v>
      </c>
      <c r="O38" s="5">
        <f t="shared" ca="1" si="10"/>
        <v>-2.4400000000005093</v>
      </c>
      <c r="P38" s="3">
        <f ca="1">ROUNDDOWN(_xll.IMBC(L5,"세전단가",N8,M38),2)</f>
        <v>9902.0400000000009</v>
      </c>
      <c r="Q38" s="7">
        <f t="shared" ca="1" si="11"/>
        <v>-2.4199999999982538</v>
      </c>
      <c r="S38" s="71" t="s">
        <v>146</v>
      </c>
      <c r="T38" s="52">
        <f>T27+S38/100</f>
        <v>2.1850000000000001</v>
      </c>
      <c r="U38" s="3">
        <f ca="1">ROUNDDOWN(_xll.IMBC(S5,"세전단가",U7,T38),2)</f>
        <v>9415.77</v>
      </c>
      <c r="V38" s="5">
        <f t="shared" ca="1" si="12"/>
        <v>-8.2600000000002183</v>
      </c>
      <c r="W38" s="3">
        <f ca="1">ROUNDDOWN(_xll.IMBC(S5,"세전단가",U8,T38),2)</f>
        <v>9417.44</v>
      </c>
      <c r="X38" s="7">
        <f t="shared" ca="1" si="13"/>
        <v>-8.25</v>
      </c>
      <c r="Z38" s="71" t="s">
        <v>146</v>
      </c>
      <c r="AA38" s="52">
        <f>AA27+Z38/100</f>
        <v>2.2920000000000003</v>
      </c>
      <c r="AB38" s="3">
        <f ca="1">ROUNDDOWN(_xll.IMBC(Z5,"세전단가",AB7,AA38),2)</f>
        <v>8810.65</v>
      </c>
      <c r="AC38" s="5">
        <f t="shared" ca="1" si="14"/>
        <v>-14.399999999999636</v>
      </c>
      <c r="AD38" s="3">
        <f ca="1">ROUNDDOWN(_xll.IMBC(Z5,"세전단가",AB8,AA38),2)</f>
        <v>8812.2900000000009</v>
      </c>
      <c r="AE38" s="7">
        <f t="shared" ca="1" si="15"/>
        <v>-14.389999999999418</v>
      </c>
    </row>
    <row r="39" spans="2:31" x14ac:dyDescent="0.25">
      <c r="B39" s="80"/>
      <c r="E39" s="71" t="s">
        <v>47</v>
      </c>
      <c r="F39" s="52">
        <f>F27+E39/100</f>
        <v>1.1850000000000001</v>
      </c>
      <c r="G39" s="3">
        <f ca="1">ROUNDDOWN(_xll.IMBC(E5,"세전단가",G7,F39),2)</f>
        <v>9943.8700000000008</v>
      </c>
      <c r="H39" s="5">
        <f t="shared" ca="1" si="8"/>
        <v>-1.7199999999993452</v>
      </c>
      <c r="I39" s="3">
        <f ca="1">ROUNDDOWN(_xll.IMBC(E5,"세전단가",G8,F39),2)</f>
        <v>9944.83</v>
      </c>
      <c r="J39" s="7">
        <f t="shared" ca="1" si="9"/>
        <v>-1.7100000000009459</v>
      </c>
      <c r="L39" s="71" t="s">
        <v>147</v>
      </c>
      <c r="M39" s="52">
        <f>M27+L39/100</f>
        <v>1.29</v>
      </c>
      <c r="N39" s="3">
        <f ca="1">ROUNDDOWN(_xll.IMBC(L5,"세전단가",N7,M39),2)</f>
        <v>9898.57</v>
      </c>
      <c r="O39" s="5">
        <f t="shared" ca="1" si="10"/>
        <v>-2.430000000000291</v>
      </c>
      <c r="P39" s="3">
        <f ca="1">ROUNDDOWN(_xll.IMBC(L5,"세전단가",N8,M39),2)</f>
        <v>9899.61</v>
      </c>
      <c r="Q39" s="7">
        <f t="shared" ca="1" si="11"/>
        <v>-2.430000000000291</v>
      </c>
      <c r="S39" s="71" t="s">
        <v>147</v>
      </c>
      <c r="T39" s="52">
        <f>T27+S39/100</f>
        <v>2.1949999999999998</v>
      </c>
      <c r="U39" s="3">
        <f ca="1">ROUNDDOWN(_xll.IMBC(S5,"세전단가",U7,T39),2)</f>
        <v>9407.52</v>
      </c>
      <c r="V39" s="5">
        <f t="shared" ca="1" si="12"/>
        <v>-8.25</v>
      </c>
      <c r="W39" s="3">
        <f ca="1">ROUNDDOWN(_xll.IMBC(S5,"세전단가",U8,T39),2)</f>
        <v>9409.19</v>
      </c>
      <c r="X39" s="7">
        <f t="shared" ca="1" si="13"/>
        <v>-8.25</v>
      </c>
      <c r="Z39" s="71" t="s">
        <v>147</v>
      </c>
      <c r="AA39" s="52">
        <f>AA27+Z39/100</f>
        <v>2.302</v>
      </c>
      <c r="AB39" s="3">
        <f ca="1">ROUNDDOWN(_xll.IMBC(Z5,"세전단가",AB7,AA39),2)</f>
        <v>8796.2800000000007</v>
      </c>
      <c r="AC39" s="5">
        <f t="shared" ca="1" si="14"/>
        <v>-14.369999999998981</v>
      </c>
      <c r="AD39" s="3">
        <f ca="1">ROUNDDOWN(_xll.IMBC(Z5,"세전단가",AB8,AA39),2)</f>
        <v>8797.93</v>
      </c>
      <c r="AE39" s="7">
        <f t="shared" ca="1" si="15"/>
        <v>-14.360000000000582</v>
      </c>
    </row>
    <row r="40" spans="2:31" x14ac:dyDescent="0.25">
      <c r="B40" s="80"/>
      <c r="E40" s="71" t="s">
        <v>48</v>
      </c>
      <c r="F40" s="52">
        <f>F27+E40/100</f>
        <v>1.1949999999999998</v>
      </c>
      <c r="G40" s="3">
        <f ca="1">ROUNDDOWN(_xll.IMBC(E5,"세전단가",G7,F40),2)</f>
        <v>9942.16</v>
      </c>
      <c r="H40" s="5">
        <f t="shared" ca="1" si="8"/>
        <v>-1.7100000000009459</v>
      </c>
      <c r="I40" s="3">
        <f ca="1">ROUNDDOWN(_xll.IMBC(E5,"세전단가",G8,F40),2)</f>
        <v>9943.1200000000008</v>
      </c>
      <c r="J40" s="7">
        <f t="shared" ca="1" si="9"/>
        <v>-1.7099999999991269</v>
      </c>
      <c r="L40" s="71" t="s">
        <v>148</v>
      </c>
      <c r="M40" s="52">
        <f>M27+L40/100</f>
        <v>1.2999999999999998</v>
      </c>
      <c r="N40" s="3">
        <f ca="1">ROUNDDOWN(_xll.IMBC(L5,"세전단가",N7,M40),2)</f>
        <v>9896.14</v>
      </c>
      <c r="O40" s="5">
        <f t="shared" ca="1" si="10"/>
        <v>-2.430000000000291</v>
      </c>
      <c r="P40" s="3">
        <f ca="1">ROUNDDOWN(_xll.IMBC(L5,"세전단가",N8,M40),2)</f>
        <v>9897.18</v>
      </c>
      <c r="Q40" s="7">
        <f t="shared" ca="1" si="11"/>
        <v>-2.430000000000291</v>
      </c>
      <c r="S40" s="71" t="s">
        <v>148</v>
      </c>
      <c r="T40" s="52">
        <f>T27+S40/100</f>
        <v>2.2050000000000001</v>
      </c>
      <c r="U40" s="3">
        <f ca="1">ROUNDDOWN(_xll.IMBC(S5,"세전단가",U7,T40),2)</f>
        <v>9399.2800000000007</v>
      </c>
      <c r="V40" s="5">
        <f t="shared" ca="1" si="12"/>
        <v>-8.2399999999997817</v>
      </c>
      <c r="W40" s="3">
        <f ca="1">ROUNDDOWN(_xll.IMBC(S5,"세전단가",U8,T40),2)</f>
        <v>9400.9599999999991</v>
      </c>
      <c r="X40" s="7">
        <f t="shared" ca="1" si="13"/>
        <v>-8.2300000000013824</v>
      </c>
      <c r="Z40" s="71" t="s">
        <v>148</v>
      </c>
      <c r="AA40" s="52">
        <f>AA27+Z40/100</f>
        <v>2.3120000000000003</v>
      </c>
      <c r="AB40" s="3">
        <f ca="1">ROUNDDOWN(_xll.IMBC(Z5,"세전단가",AB7,AA40),2)</f>
        <v>8781.94</v>
      </c>
      <c r="AC40" s="5">
        <f t="shared" ca="1" si="14"/>
        <v>-14.340000000000146</v>
      </c>
      <c r="AD40" s="3">
        <f ca="1">ROUNDDOWN(_xll.IMBC(Z5,"세전단가",AB8,AA40),2)</f>
        <v>8783.59</v>
      </c>
      <c r="AE40" s="7">
        <f t="shared" ca="1" si="15"/>
        <v>-14.340000000000146</v>
      </c>
    </row>
    <row r="41" spans="2:31" x14ac:dyDescent="0.25">
      <c r="B41" s="80"/>
      <c r="E41" s="71" t="s">
        <v>49</v>
      </c>
      <c r="F41" s="52">
        <f>F27+E41/100</f>
        <v>1.2050000000000001</v>
      </c>
      <c r="G41" s="3">
        <f ca="1">ROUNDDOWN(_xll.IMBC(E5,"세전단가",G7,F41),2)</f>
        <v>9940.44</v>
      </c>
      <c r="H41" s="5">
        <f t="shared" ca="1" si="8"/>
        <v>-1.7199999999993452</v>
      </c>
      <c r="I41" s="3">
        <f ca="1">ROUNDDOWN(_xll.IMBC(E5,"세전단가",G8,F41),2)</f>
        <v>9941.41</v>
      </c>
      <c r="J41" s="7">
        <f t="shared" ca="1" si="9"/>
        <v>-1.7100000000009459</v>
      </c>
      <c r="L41" s="71" t="s">
        <v>149</v>
      </c>
      <c r="M41" s="52">
        <f>M27+L41/100</f>
        <v>1.31</v>
      </c>
      <c r="N41" s="3">
        <f ca="1">ROUNDDOWN(_xll.IMBC(L5,"세전단가",N7,M41),2)</f>
        <v>9893.7000000000007</v>
      </c>
      <c r="O41" s="5">
        <f t="shared" ca="1" si="10"/>
        <v>-2.4399999999986903</v>
      </c>
      <c r="P41" s="3">
        <f ca="1">ROUNDDOWN(_xll.IMBC(L5,"세전단가",N8,M41),2)</f>
        <v>9894.76</v>
      </c>
      <c r="Q41" s="7">
        <f t="shared" ca="1" si="11"/>
        <v>-2.4200000000000728</v>
      </c>
      <c r="S41" s="71" t="s">
        <v>149</v>
      </c>
      <c r="T41" s="52">
        <f>T27+S41/100</f>
        <v>2.2149999999999999</v>
      </c>
      <c r="U41" s="3">
        <f ca="1">ROUNDDOWN(_xll.IMBC(S5,"세전단가",U7,T41),2)</f>
        <v>9391.0400000000009</v>
      </c>
      <c r="V41" s="5">
        <f t="shared" ca="1" si="12"/>
        <v>-8.2399999999997817</v>
      </c>
      <c r="W41" s="3">
        <f ca="1">ROUNDDOWN(_xll.IMBC(S5,"세전단가",U8,T41),2)</f>
        <v>9392.73</v>
      </c>
      <c r="X41" s="7">
        <f t="shared" ca="1" si="13"/>
        <v>-8.2299999999995634</v>
      </c>
      <c r="Z41" s="71" t="s">
        <v>149</v>
      </c>
      <c r="AA41" s="52">
        <f>AA27+Z41/100</f>
        <v>2.3220000000000001</v>
      </c>
      <c r="AB41" s="3">
        <f ca="1">ROUNDDOWN(_xll.IMBC(Z5,"세전단가",AB7,AA41),2)</f>
        <v>8767.6299999999992</v>
      </c>
      <c r="AC41" s="5">
        <f t="shared" ca="1" si="14"/>
        <v>-14.31000000000131</v>
      </c>
      <c r="AD41" s="3">
        <f ca="1">ROUNDDOWN(_xll.IMBC(Z5,"세전단가",AB8,AA41),2)</f>
        <v>8769.2800000000007</v>
      </c>
      <c r="AE41" s="7">
        <f t="shared" ca="1" si="15"/>
        <v>-14.309999999999491</v>
      </c>
    </row>
    <row r="42" spans="2:31" x14ac:dyDescent="0.25">
      <c r="B42" s="80"/>
      <c r="E42" s="71" t="s">
        <v>50</v>
      </c>
      <c r="F42" s="52">
        <f>F27+E42/100</f>
        <v>1.2149999999999999</v>
      </c>
      <c r="G42" s="3">
        <f ca="1">ROUNDDOWN(_xll.IMBC(E5,"세전단가",G7,F42),2)</f>
        <v>9938.7199999999993</v>
      </c>
      <c r="H42" s="5">
        <f t="shared" ca="1" si="8"/>
        <v>-1.7200000000011642</v>
      </c>
      <c r="I42" s="3">
        <f ca="1">ROUNDDOWN(_xll.IMBC(E5,"세전단가",G8,F42),2)</f>
        <v>9939.7000000000007</v>
      </c>
      <c r="J42" s="7">
        <f t="shared" ca="1" si="9"/>
        <v>-1.7099999999991269</v>
      </c>
      <c r="L42" s="71" t="s">
        <v>150</v>
      </c>
      <c r="M42" s="52">
        <f>M27+L42/100</f>
        <v>1.3199999999999998</v>
      </c>
      <c r="N42" s="3">
        <f ca="1">ROUNDDOWN(_xll.IMBC(L5,"세전단가",N7,M42),2)</f>
        <v>9891.27</v>
      </c>
      <c r="O42" s="5">
        <f t="shared" ca="1" si="10"/>
        <v>-2.430000000000291</v>
      </c>
      <c r="P42" s="3">
        <f ca="1">ROUNDDOWN(_xll.IMBC(L5,"세전단가",N8,M42),2)</f>
        <v>9892.33</v>
      </c>
      <c r="Q42" s="7">
        <f t="shared" ca="1" si="11"/>
        <v>-2.430000000000291</v>
      </c>
      <c r="S42" s="71" t="s">
        <v>150</v>
      </c>
      <c r="T42" s="52">
        <f>T27+S42/100</f>
        <v>2.2250000000000001</v>
      </c>
      <c r="U42" s="3">
        <f ca="1">ROUNDDOWN(_xll.IMBC(S5,"세전단가",U7,T42),2)</f>
        <v>9382.81</v>
      </c>
      <c r="V42" s="5">
        <f t="shared" ca="1" si="12"/>
        <v>-8.2300000000013824</v>
      </c>
      <c r="W42" s="3">
        <f ca="1">ROUNDDOWN(_xll.IMBC(S5,"세전단가",U8,T42),2)</f>
        <v>9384.51</v>
      </c>
      <c r="X42" s="7">
        <f t="shared" ca="1" si="13"/>
        <v>-8.2199999999993452</v>
      </c>
      <c r="Z42" s="71" t="s">
        <v>150</v>
      </c>
      <c r="AA42" s="52">
        <f>AA27+Z42/100</f>
        <v>2.3320000000000003</v>
      </c>
      <c r="AB42" s="3">
        <f ca="1">ROUNDDOWN(_xll.IMBC(Z5,"세전단가",AB7,AA42),2)</f>
        <v>8753.34</v>
      </c>
      <c r="AC42" s="5">
        <f t="shared" ca="1" si="14"/>
        <v>-14.289999999999054</v>
      </c>
      <c r="AD42" s="3">
        <f ca="1">ROUNDDOWN(_xll.IMBC(Z5,"세전단가",AB8,AA42),2)</f>
        <v>8755</v>
      </c>
      <c r="AE42" s="7">
        <f t="shared" ca="1" si="15"/>
        <v>-14.280000000000655</v>
      </c>
    </row>
    <row r="43" spans="2:31" ht="14.25" thickBot="1" x14ac:dyDescent="0.3">
      <c r="B43" s="80"/>
      <c r="E43" s="72" t="s">
        <v>51</v>
      </c>
      <c r="F43" s="56">
        <f>F27+E43/100</f>
        <v>1.2249999999999999</v>
      </c>
      <c r="G43" s="8">
        <f ca="1">ROUNDDOWN(_xll.IMBC(E5,"세전단가",G7,F43),2)</f>
        <v>9937.01</v>
      </c>
      <c r="H43" s="9">
        <f t="shared" ca="1" si="8"/>
        <v>-1.7099999999991269</v>
      </c>
      <c r="I43" s="8">
        <f ca="1">ROUNDDOWN(_xll.IMBC(E5,"세전단가",G8,F43),2)</f>
        <v>9938</v>
      </c>
      <c r="J43" s="10">
        <f t="shared" ca="1" si="9"/>
        <v>-1.7000000000007276</v>
      </c>
      <c r="L43" s="72" t="s">
        <v>151</v>
      </c>
      <c r="M43" s="56">
        <f>M27+L43/100</f>
        <v>1.3299999999999998</v>
      </c>
      <c r="N43" s="8">
        <f ca="1">ROUNDDOWN(_xll.IMBC(L5,"세전단가",N7,M43),2)</f>
        <v>9888.84</v>
      </c>
      <c r="O43" s="9">
        <f t="shared" ca="1" si="10"/>
        <v>-2.430000000000291</v>
      </c>
      <c r="P43" s="8">
        <f ca="1">ROUNDDOWN(_xll.IMBC(L5,"세전단가",N8,M43),2)</f>
        <v>9889.91</v>
      </c>
      <c r="Q43" s="10">
        <f t="shared" ca="1" si="11"/>
        <v>-2.4200000000000728</v>
      </c>
      <c r="S43" s="72" t="s">
        <v>151</v>
      </c>
      <c r="T43" s="56">
        <f>T27+S43/100</f>
        <v>2.2349999999999999</v>
      </c>
      <c r="U43" s="8">
        <f ca="1">ROUNDDOWN(_xll.IMBC(S5,"세전단가",U7,T43),2)</f>
        <v>9374.59</v>
      </c>
      <c r="V43" s="9">
        <f t="shared" ca="1" si="12"/>
        <v>-8.2199999999993452</v>
      </c>
      <c r="W43" s="8">
        <f ca="1">ROUNDDOWN(_xll.IMBC(S5,"세전단가",U8,T43),2)</f>
        <v>9376.2900000000009</v>
      </c>
      <c r="X43" s="10">
        <f t="shared" ca="1" si="13"/>
        <v>-8.2199999999993452</v>
      </c>
      <c r="Z43" s="72" t="s">
        <v>151</v>
      </c>
      <c r="AA43" s="56">
        <f>AA27+Z43/100</f>
        <v>2.3420000000000001</v>
      </c>
      <c r="AB43" s="8">
        <f ca="1">ROUNDDOWN(_xll.IMBC(Z5,"세전단가",AB7,AA43),2)</f>
        <v>8739.08</v>
      </c>
      <c r="AC43" s="9">
        <f t="shared" ca="1" si="14"/>
        <v>-14.260000000000218</v>
      </c>
      <c r="AD43" s="8">
        <f ca="1">ROUNDDOWN(_xll.IMBC(Z5,"세전단가",AB8,AA43),2)</f>
        <v>8740.74</v>
      </c>
      <c r="AE43" s="10">
        <f t="shared" ca="1" si="15"/>
        <v>-14.260000000000218</v>
      </c>
    </row>
    <row r="47" spans="2:31" ht="14.25" thickBot="1" x14ac:dyDescent="0.3">
      <c r="E47" s="79">
        <v>5</v>
      </c>
      <c r="F47" s="74"/>
      <c r="G47" s="75"/>
      <c r="H47" s="75"/>
      <c r="I47" s="75"/>
      <c r="J47" s="75"/>
      <c r="K47" s="75">
        <v>6</v>
      </c>
      <c r="L47" s="79">
        <v>6</v>
      </c>
      <c r="M47" s="75"/>
      <c r="N47" s="75"/>
      <c r="O47" s="75"/>
      <c r="P47" s="75"/>
      <c r="Q47" s="75"/>
      <c r="R47" s="75"/>
      <c r="S47" s="79">
        <v>7</v>
      </c>
      <c r="T47" s="75"/>
      <c r="U47" s="75"/>
      <c r="V47" s="75"/>
      <c r="W47" s="75"/>
      <c r="X47" s="75"/>
      <c r="Y47" s="75"/>
      <c r="Z47" s="79">
        <v>8</v>
      </c>
      <c r="AA47" s="75"/>
      <c r="AB47" s="75"/>
      <c r="AC47" s="75"/>
      <c r="AD47" s="75"/>
      <c r="AE47" s="75"/>
    </row>
    <row r="48" spans="2:31" ht="14.25" thickBot="1" x14ac:dyDescent="0.3">
      <c r="E48" s="84" t="s">
        <v>158</v>
      </c>
      <c r="F48" s="85"/>
      <c r="G48" s="88" t="str">
        <f>_xll.IMDP("BND",E48,"한글종목명")</f>
        <v>국고00750-2303(21-3)</v>
      </c>
      <c r="H48" s="88"/>
      <c r="I48" s="88"/>
      <c r="J48" s="89"/>
      <c r="L48" s="84" t="s">
        <v>159</v>
      </c>
      <c r="M48" s="85"/>
      <c r="N48" s="88" t="str">
        <f>_xll.IMDP("BND",L48,"한글종목명")</f>
        <v>국고00875-2312(20-8)</v>
      </c>
      <c r="O48" s="88"/>
      <c r="P48" s="88"/>
      <c r="Q48" s="89"/>
      <c r="R48" s="2"/>
      <c r="S48" s="84" t="s">
        <v>160</v>
      </c>
      <c r="T48" s="85"/>
      <c r="U48" s="88" t="str">
        <f>_xll.IMDP("BND",S48,"한글종목명")</f>
        <v>국고01500-3012(20-9)</v>
      </c>
      <c r="V48" s="88"/>
      <c r="W48" s="88"/>
      <c r="X48" s="89"/>
      <c r="Y48" s="2"/>
      <c r="Z48" s="84" t="s">
        <v>161</v>
      </c>
      <c r="AA48" s="85"/>
      <c r="AB48" s="88" t="str">
        <f>_xll.IMDP("BND",Z48,"한글종목명")</f>
        <v>국고01500-4009(20-7)</v>
      </c>
      <c r="AC48" s="88"/>
      <c r="AD48" s="88"/>
      <c r="AE48" s="89"/>
    </row>
    <row r="49" spans="5:31" x14ac:dyDescent="0.25">
      <c r="E49" s="91" t="s">
        <v>104</v>
      </c>
      <c r="F49" s="86"/>
      <c r="G49" s="106">
        <f>_xll.IMDP("BND",E48,"만기일")</f>
        <v>20230310</v>
      </c>
      <c r="H49" s="106"/>
      <c r="I49" s="86" t="s">
        <v>103</v>
      </c>
      <c r="J49" s="87"/>
      <c r="L49" s="91" t="s">
        <v>110</v>
      </c>
      <c r="M49" s="86"/>
      <c r="N49" s="106">
        <f>_xll.IMDP("BND",L48,"만기일")</f>
        <v>20231210</v>
      </c>
      <c r="O49" s="106"/>
      <c r="P49" s="86" t="s">
        <v>111</v>
      </c>
      <c r="Q49" s="87"/>
      <c r="R49" s="2"/>
      <c r="S49" s="91" t="s">
        <v>110</v>
      </c>
      <c r="T49" s="86"/>
      <c r="U49" s="106">
        <f>_xll.IMDP("BND",S48,"만기일")</f>
        <v>20301210</v>
      </c>
      <c r="V49" s="106"/>
      <c r="W49" s="86" t="s">
        <v>111</v>
      </c>
      <c r="X49" s="87"/>
      <c r="Y49" s="2"/>
      <c r="Z49" s="91" t="s">
        <v>110</v>
      </c>
      <c r="AA49" s="86"/>
      <c r="AB49" s="106">
        <f>_xll.IMDP("BND",Z48,"만기일")</f>
        <v>20400910</v>
      </c>
      <c r="AC49" s="106"/>
      <c r="AD49" s="86" t="s">
        <v>111</v>
      </c>
      <c r="AE49" s="87"/>
    </row>
    <row r="50" spans="5:31" x14ac:dyDescent="0.25">
      <c r="E50" s="96" t="s">
        <v>8</v>
      </c>
      <c r="F50" s="97"/>
      <c r="G50" s="98">
        <f ca="1">TODAY()</f>
        <v>44358</v>
      </c>
      <c r="H50" s="99"/>
      <c r="I50" s="100"/>
      <c r="J50" s="101"/>
      <c r="L50" s="96" t="s">
        <v>112</v>
      </c>
      <c r="M50" s="97"/>
      <c r="N50" s="98">
        <f ca="1">TODAY()</f>
        <v>44358</v>
      </c>
      <c r="O50" s="99"/>
      <c r="P50" s="100"/>
      <c r="Q50" s="101"/>
      <c r="R50" s="2"/>
      <c r="S50" s="96" t="s">
        <v>112</v>
      </c>
      <c r="T50" s="97"/>
      <c r="U50" s="98">
        <f ca="1">TODAY()</f>
        <v>44358</v>
      </c>
      <c r="V50" s="99"/>
      <c r="W50" s="100"/>
      <c r="X50" s="101"/>
      <c r="Y50" s="2"/>
      <c r="Z50" s="96" t="s">
        <v>112</v>
      </c>
      <c r="AA50" s="97"/>
      <c r="AB50" s="98">
        <f ca="1">TODAY()</f>
        <v>44358</v>
      </c>
      <c r="AC50" s="99"/>
      <c r="AD50" s="100"/>
      <c r="AE50" s="101"/>
    </row>
    <row r="51" spans="5:31" x14ac:dyDescent="0.25">
      <c r="E51" s="102" t="s">
        <v>9</v>
      </c>
      <c r="F51" s="103"/>
      <c r="G51" s="90">
        <f ca="1">WORKDAY(TODAY(),1)</f>
        <v>44361</v>
      </c>
      <c r="H51" s="90"/>
      <c r="I51" s="94">
        <f>_xll.IMDP("BND",E48,INDEX(Sheet1!$B$2:$C$7,VLOOKUP(E47,$B:$C,2,0),2))</f>
        <v>1.075</v>
      </c>
      <c r="J51" s="95"/>
      <c r="L51" s="102" t="s">
        <v>113</v>
      </c>
      <c r="M51" s="103"/>
      <c r="N51" s="107">
        <f ca="1">WORKDAY(TODAY(),1)</f>
        <v>44361</v>
      </c>
      <c r="O51" s="107"/>
      <c r="P51" s="94">
        <f>_xll.IMDP("BND",L48,INDEX(Sheet1!$B$2:$C$7,VLOOKUP(L47,$B:$C,2,0),2))</f>
        <v>1.18</v>
      </c>
      <c r="Q51" s="95"/>
      <c r="R51" s="2"/>
      <c r="S51" s="102" t="s">
        <v>113</v>
      </c>
      <c r="T51" s="103"/>
      <c r="U51" s="90">
        <f ca="1">WORKDAY(TODAY(),1)</f>
        <v>44361</v>
      </c>
      <c r="V51" s="90"/>
      <c r="W51" s="94">
        <f>_xll.IMDP("BND",S48,INDEX(Sheet1!$B$2:$C$7,VLOOKUP(S47,$B:$C,2,0),2))</f>
        <v>2.085</v>
      </c>
      <c r="X51" s="95"/>
      <c r="Y51" s="2"/>
      <c r="Z51" s="102" t="s">
        <v>113</v>
      </c>
      <c r="AA51" s="103"/>
      <c r="AB51" s="90">
        <f ca="1">WORKDAY(TODAY(),1)</f>
        <v>44361</v>
      </c>
      <c r="AC51" s="90"/>
      <c r="AD51" s="94">
        <f>_xll.IMDP("BND",Z48,INDEX(Sheet1!$B$2:$C$7,VLOOKUP(Z47,$B:$C,2,0),2))</f>
        <v>2.1920000000000002</v>
      </c>
      <c r="AE51" s="95"/>
    </row>
    <row r="52" spans="5:31" ht="14.25" thickBot="1" x14ac:dyDescent="0.3">
      <c r="E52" s="102" t="s">
        <v>105</v>
      </c>
      <c r="F52" s="103"/>
      <c r="G52" s="104"/>
      <c r="H52" s="105"/>
      <c r="I52" s="92">
        <f>_xll.IMDP("BND",E48,INDEX(Sheet1!$B$9:$C$14,VLOOKUP(E47,$B:$C,2,0),2))</f>
        <v>9962.66</v>
      </c>
      <c r="J52" s="93"/>
      <c r="L52" s="102" t="s">
        <v>114</v>
      </c>
      <c r="M52" s="103"/>
      <c r="N52" s="104"/>
      <c r="O52" s="105"/>
      <c r="P52" s="92">
        <f>_xll.IMDP("BND",L48,INDEX(Sheet1!$B$9:$C$14,VLOOKUP(L47,$B:$C,2,0),2))</f>
        <v>9925.23</v>
      </c>
      <c r="Q52" s="93"/>
      <c r="R52" s="2"/>
      <c r="S52" s="102" t="s">
        <v>114</v>
      </c>
      <c r="T52" s="103"/>
      <c r="U52" s="104"/>
      <c r="V52" s="105"/>
      <c r="W52" s="92">
        <f>_xll.IMDP("BND",S48,INDEX(Sheet1!$B$9:$C$14,VLOOKUP(S47,$B:$C,2,0),2))</f>
        <v>9498.7199999999993</v>
      </c>
      <c r="X52" s="93"/>
      <c r="Y52" s="2"/>
      <c r="Z52" s="102" t="s">
        <v>114</v>
      </c>
      <c r="AA52" s="103"/>
      <c r="AB52" s="104"/>
      <c r="AC52" s="105"/>
      <c r="AD52" s="92">
        <f>_xll.IMDP("BND",Z48,INDEX(Sheet1!$B$9:$C$14,VLOOKUP(Z47,$B:$C,2,0),2))</f>
        <v>8955.81</v>
      </c>
      <c r="AE52" s="93"/>
    </row>
    <row r="53" spans="5:31" ht="14.25" thickBot="1" x14ac:dyDescent="0.3">
      <c r="E53" s="48" t="s">
        <v>2</v>
      </c>
      <c r="F53" s="50" t="s">
        <v>6</v>
      </c>
      <c r="G53" s="50" t="s">
        <v>0</v>
      </c>
      <c r="H53" s="50" t="s">
        <v>102</v>
      </c>
      <c r="I53" s="50" t="s">
        <v>1</v>
      </c>
      <c r="J53" s="49" t="s">
        <v>102</v>
      </c>
      <c r="L53" s="48" t="s">
        <v>115</v>
      </c>
      <c r="M53" s="50" t="s">
        <v>116</v>
      </c>
      <c r="N53" s="50" t="s">
        <v>117</v>
      </c>
      <c r="O53" s="50" t="s">
        <v>118</v>
      </c>
      <c r="P53" s="50" t="s">
        <v>119</v>
      </c>
      <c r="Q53" s="49" t="s">
        <v>118</v>
      </c>
      <c r="R53" s="2"/>
      <c r="S53" s="48" t="s">
        <v>115</v>
      </c>
      <c r="T53" s="50" t="s">
        <v>116</v>
      </c>
      <c r="U53" s="50" t="s">
        <v>117</v>
      </c>
      <c r="V53" s="50" t="s">
        <v>118</v>
      </c>
      <c r="W53" s="50" t="s">
        <v>119</v>
      </c>
      <c r="X53" s="49" t="s">
        <v>118</v>
      </c>
      <c r="Y53" s="2"/>
      <c r="Z53" s="48" t="s">
        <v>115</v>
      </c>
      <c r="AA53" s="50" t="s">
        <v>116</v>
      </c>
      <c r="AB53" s="50" t="s">
        <v>117</v>
      </c>
      <c r="AC53" s="50" t="s">
        <v>118</v>
      </c>
      <c r="AD53" s="50" t="s">
        <v>119</v>
      </c>
      <c r="AE53" s="49" t="s">
        <v>118</v>
      </c>
    </row>
    <row r="54" spans="5:31" x14ac:dyDescent="0.25">
      <c r="E54" s="44" t="s">
        <v>46</v>
      </c>
      <c r="F54" s="51">
        <f>F70+E54/100</f>
        <v>0.92499999999999993</v>
      </c>
      <c r="G54" s="46">
        <f ca="1">ROUNDDOWN(_xll.IMBC(E48,"세전단가",G50,F54),2)</f>
        <v>9988.64</v>
      </c>
      <c r="H54" s="45">
        <f t="shared" ref="H54:H69" ca="1" si="16">G54-G55</f>
        <v>1.7299999999995634</v>
      </c>
      <c r="I54" s="46">
        <f ca="1">ROUNDDOWN(_xll.IMBC(E48,"세전단가",G51,F54),2)</f>
        <v>9989.39</v>
      </c>
      <c r="J54" s="47">
        <f t="shared" ref="J54:J69" ca="1" si="17">I54-I55</f>
        <v>1.7199999999993452</v>
      </c>
      <c r="L54" s="44" t="s">
        <v>120</v>
      </c>
      <c r="M54" s="51">
        <f>M70+L54/100</f>
        <v>1.03</v>
      </c>
      <c r="N54" s="46">
        <f ca="1">ROUNDDOWN(_xll.IMBC(L48,"세전단가",N50,M54),2)</f>
        <v>9962.1200000000008</v>
      </c>
      <c r="O54" s="45">
        <f t="shared" ref="O54:O69" ca="1" si="18">N54-N55</f>
        <v>2.4600000000009459</v>
      </c>
      <c r="P54" s="46">
        <f ca="1">ROUNDDOWN(_xll.IMBC(L48,"세전단가",N51,M54),2)</f>
        <v>9962.9500000000007</v>
      </c>
      <c r="Q54" s="47">
        <f t="shared" ref="Q54:Q69" ca="1" si="19">P54-P55</f>
        <v>2.4400000000005093</v>
      </c>
      <c r="R54" s="2"/>
      <c r="S54" s="44" t="s">
        <v>120</v>
      </c>
      <c r="T54" s="57">
        <f>T70+S54/100</f>
        <v>1.9350000000000001</v>
      </c>
      <c r="U54" s="58">
        <f ca="1">ROUNDDOWN(_xll.IMBC(S48,"세전단가",U50,T54),2)</f>
        <v>9624.66</v>
      </c>
      <c r="V54" s="45">
        <f t="shared" ref="V54:V69" ca="1" si="20">U54-U55</f>
        <v>8.4500000000007276</v>
      </c>
      <c r="W54" s="46">
        <f ca="1">ROUNDDOWN(_xll.IMBC(S48,"세전단가",U51,T54),2)</f>
        <v>9626.17</v>
      </c>
      <c r="X54" s="47">
        <f t="shared" ref="X54:X69" ca="1" si="21">W54-W55</f>
        <v>8.4400000000005093</v>
      </c>
      <c r="Y54" s="2"/>
      <c r="Z54" s="44" t="s">
        <v>120</v>
      </c>
      <c r="AA54" s="51">
        <f>AA70+Z54/100</f>
        <v>2.0420000000000003</v>
      </c>
      <c r="AB54" s="46">
        <f ca="1">ROUNDDOWN(_xll.IMBC(Z48,"세전단가",AB50,AA54),2)</f>
        <v>9178.65</v>
      </c>
      <c r="AC54" s="45">
        <f t="shared" ref="AC54:AC69" ca="1" si="22">AB54-AB55</f>
        <v>15.049999999999272</v>
      </c>
      <c r="AD54" s="46">
        <f ca="1">ROUNDDOWN(_xll.IMBC(Z48,"세전단가",AB51,AA54),2)</f>
        <v>9180.17</v>
      </c>
      <c r="AE54" s="47">
        <f t="shared" ref="AE54:AE69" ca="1" si="23">AD54-AD55</f>
        <v>15.040000000000873</v>
      </c>
    </row>
    <row r="55" spans="5:31" x14ac:dyDescent="0.25">
      <c r="E55" s="20" t="s">
        <v>45</v>
      </c>
      <c r="F55" s="52">
        <f>F70+E55/100</f>
        <v>0.93499999999999994</v>
      </c>
      <c r="G55" s="3">
        <f ca="1">ROUNDDOWN(_xll.IMBC(E48,"세전단가",G50,F55),2)</f>
        <v>9986.91</v>
      </c>
      <c r="H55" s="5">
        <f t="shared" ca="1" si="16"/>
        <v>1.7199999999993452</v>
      </c>
      <c r="I55" s="3">
        <f ca="1">ROUNDDOWN(_xll.IMBC(E48,"세전단가",G51,F55),2)</f>
        <v>9987.67</v>
      </c>
      <c r="J55" s="7">
        <f t="shared" ca="1" si="17"/>
        <v>1.7199999999993452</v>
      </c>
      <c r="L55" s="20" t="s">
        <v>121</v>
      </c>
      <c r="M55" s="52">
        <f>M70+L55/100</f>
        <v>1.04</v>
      </c>
      <c r="N55" s="3">
        <f ca="1">ROUNDDOWN(_xll.IMBC(L48,"세전단가",N50,M55),2)</f>
        <v>9959.66</v>
      </c>
      <c r="O55" s="5">
        <f t="shared" ca="1" si="18"/>
        <v>2.4500000000007276</v>
      </c>
      <c r="P55" s="3">
        <f ca="1">ROUNDDOWN(_xll.IMBC(L48,"세전단가",N51,M55),2)</f>
        <v>9960.51</v>
      </c>
      <c r="Q55" s="7">
        <f t="shared" ca="1" si="19"/>
        <v>2.4500000000007276</v>
      </c>
      <c r="R55" s="2"/>
      <c r="S55" s="20" t="s">
        <v>121</v>
      </c>
      <c r="T55" s="52">
        <f>T70+S55/100</f>
        <v>1.9449999999999998</v>
      </c>
      <c r="U55" s="3">
        <f ca="1">ROUNDDOWN(_xll.IMBC(S48,"세전단가",U50,T55),2)</f>
        <v>9616.2099999999991</v>
      </c>
      <c r="V55" s="5">
        <f t="shared" ca="1" si="20"/>
        <v>8.4499999999989086</v>
      </c>
      <c r="W55" s="3">
        <f ca="1">ROUNDDOWN(_xll.IMBC(S48,"세전단가",U51,T55),2)</f>
        <v>9617.73</v>
      </c>
      <c r="X55" s="7">
        <f t="shared" ca="1" si="21"/>
        <v>8.4399999999986903</v>
      </c>
      <c r="Y55" s="2"/>
      <c r="Z55" s="20" t="s">
        <v>121</v>
      </c>
      <c r="AA55" s="52">
        <f>AA70+Z55/100</f>
        <v>2.052</v>
      </c>
      <c r="AB55" s="3">
        <f ca="1">ROUNDDOWN(_xll.IMBC(Z48,"세전단가",AB50,AA55),2)</f>
        <v>9163.6</v>
      </c>
      <c r="AC55" s="5">
        <f t="shared" ca="1" si="22"/>
        <v>15.020000000000437</v>
      </c>
      <c r="AD55" s="3">
        <f ca="1">ROUNDDOWN(_xll.IMBC(Z48,"세전단가",AB51,AA55),2)</f>
        <v>9165.1299999999992</v>
      </c>
      <c r="AE55" s="7">
        <f t="shared" ca="1" si="23"/>
        <v>15.019999999998618</v>
      </c>
    </row>
    <row r="56" spans="5:31" x14ac:dyDescent="0.25">
      <c r="E56" s="20" t="s">
        <v>44</v>
      </c>
      <c r="F56" s="52">
        <f>F70+E56/100</f>
        <v>0.94499999999999995</v>
      </c>
      <c r="G56" s="3">
        <f ca="1">ROUNDDOWN(_xll.IMBC(E48,"세전단가",G50,F56),2)</f>
        <v>9985.19</v>
      </c>
      <c r="H56" s="5">
        <f t="shared" ca="1" si="16"/>
        <v>1.7300000000013824</v>
      </c>
      <c r="I56" s="3">
        <f ca="1">ROUNDDOWN(_xll.IMBC(E48,"세전단가",G51,F56),2)</f>
        <v>9985.9500000000007</v>
      </c>
      <c r="J56" s="7">
        <f t="shared" ca="1" si="17"/>
        <v>1.7100000000009459</v>
      </c>
      <c r="L56" s="20" t="s">
        <v>122</v>
      </c>
      <c r="M56" s="52">
        <f>M70+L56/100</f>
        <v>1.0499999999999998</v>
      </c>
      <c r="N56" s="3">
        <f ca="1">ROUNDDOWN(_xll.IMBC(L48,"세전단가",N50,M56),2)</f>
        <v>9957.2099999999991</v>
      </c>
      <c r="O56" s="5">
        <f t="shared" ca="1" si="18"/>
        <v>2.4499999999989086</v>
      </c>
      <c r="P56" s="3">
        <f ca="1">ROUNDDOWN(_xll.IMBC(L48,"세전단가",N51,M56),2)</f>
        <v>9958.06</v>
      </c>
      <c r="Q56" s="7">
        <f t="shared" ca="1" si="19"/>
        <v>2.4399999999986903</v>
      </c>
      <c r="R56" s="2"/>
      <c r="S56" s="20" t="s">
        <v>122</v>
      </c>
      <c r="T56" s="52">
        <f>T70+S56/100</f>
        <v>1.9550000000000001</v>
      </c>
      <c r="U56" s="3">
        <f ca="1">ROUNDDOWN(_xll.IMBC(S48,"세전단가",U50,T56),2)</f>
        <v>9607.76</v>
      </c>
      <c r="V56" s="5">
        <f t="shared" ca="1" si="20"/>
        <v>8.430000000000291</v>
      </c>
      <c r="W56" s="3">
        <f ca="1">ROUNDDOWN(_xll.IMBC(S48,"세전단가",U51,T56),2)</f>
        <v>9609.2900000000009</v>
      </c>
      <c r="X56" s="7">
        <f t="shared" ca="1" si="21"/>
        <v>8.430000000000291</v>
      </c>
      <c r="Y56" s="2"/>
      <c r="Z56" s="20" t="s">
        <v>122</v>
      </c>
      <c r="AA56" s="52">
        <f>AA70+Z56/100</f>
        <v>2.0620000000000003</v>
      </c>
      <c r="AB56" s="3">
        <f ca="1">ROUNDDOWN(_xll.IMBC(Z48,"세전단가",AB50,AA56),2)</f>
        <v>9148.58</v>
      </c>
      <c r="AC56" s="5">
        <f t="shared" ca="1" si="22"/>
        <v>15</v>
      </c>
      <c r="AD56" s="3">
        <f ca="1">ROUNDDOWN(_xll.IMBC(Z48,"세전단가",AB51,AA56),2)</f>
        <v>9150.11</v>
      </c>
      <c r="AE56" s="7">
        <f t="shared" ca="1" si="23"/>
        <v>14.989999999999782</v>
      </c>
    </row>
    <row r="57" spans="5:31" x14ac:dyDescent="0.25">
      <c r="E57" s="20" t="s">
        <v>43</v>
      </c>
      <c r="F57" s="52">
        <f>F70+E57/100</f>
        <v>0.95499999999999996</v>
      </c>
      <c r="G57" s="3">
        <f ca="1">ROUNDDOWN(_xll.IMBC(E48,"세전단가",G50,F57),2)</f>
        <v>9983.4599999999991</v>
      </c>
      <c r="H57" s="5">
        <f t="shared" ca="1" si="16"/>
        <v>1.7299999999995634</v>
      </c>
      <c r="I57" s="3">
        <f ca="1">ROUNDDOWN(_xll.IMBC(E48,"세전단가",G51,F57),2)</f>
        <v>9984.24</v>
      </c>
      <c r="J57" s="7">
        <f t="shared" ca="1" si="17"/>
        <v>1.7199999999993452</v>
      </c>
      <c r="L57" s="20" t="s">
        <v>123</v>
      </c>
      <c r="M57" s="52">
        <f>M70+L57/100</f>
        <v>1.06</v>
      </c>
      <c r="N57" s="3">
        <f ca="1">ROUNDDOWN(_xll.IMBC(L48,"세전단가",N50,M57),2)</f>
        <v>9954.76</v>
      </c>
      <c r="O57" s="5">
        <f t="shared" ca="1" si="18"/>
        <v>2.4500000000007276</v>
      </c>
      <c r="P57" s="3">
        <f ca="1">ROUNDDOWN(_xll.IMBC(L48,"세전단가",N51,M57),2)</f>
        <v>9955.6200000000008</v>
      </c>
      <c r="Q57" s="7">
        <f t="shared" ca="1" si="19"/>
        <v>2.4400000000005093</v>
      </c>
      <c r="R57" s="2"/>
      <c r="S57" s="20" t="s">
        <v>123</v>
      </c>
      <c r="T57" s="52">
        <f>T70+S57/100</f>
        <v>1.9649999999999999</v>
      </c>
      <c r="U57" s="3">
        <f ca="1">ROUNDDOWN(_xll.IMBC(S48,"세전단가",U50,T57),2)</f>
        <v>9599.33</v>
      </c>
      <c r="V57" s="5">
        <f t="shared" ca="1" si="20"/>
        <v>8.430000000000291</v>
      </c>
      <c r="W57" s="3">
        <f ca="1">ROUNDDOWN(_xll.IMBC(S48,"세전단가",U51,T57),2)</f>
        <v>9600.86</v>
      </c>
      <c r="X57" s="7">
        <f t="shared" ca="1" si="21"/>
        <v>8.4200000000000728</v>
      </c>
      <c r="Y57" s="2"/>
      <c r="Z57" s="20" t="s">
        <v>123</v>
      </c>
      <c r="AA57" s="52">
        <f>AA70+Z57/100</f>
        <v>2.0720000000000001</v>
      </c>
      <c r="AB57" s="3">
        <f ca="1">ROUNDDOWN(_xll.IMBC(Z48,"세전단가",AB50,AA57),2)</f>
        <v>9133.58</v>
      </c>
      <c r="AC57" s="5">
        <f t="shared" ca="1" si="22"/>
        <v>14.959999999999127</v>
      </c>
      <c r="AD57" s="3">
        <f ca="1">ROUNDDOWN(_xll.IMBC(Z48,"세전단가",AB51,AA57),2)</f>
        <v>9135.1200000000008</v>
      </c>
      <c r="AE57" s="7">
        <f t="shared" ca="1" si="23"/>
        <v>14.960000000000946</v>
      </c>
    </row>
    <row r="58" spans="5:31" x14ac:dyDescent="0.25">
      <c r="E58" s="20" t="s">
        <v>42</v>
      </c>
      <c r="F58" s="52">
        <f>F70+E58/100</f>
        <v>0.96499999999999997</v>
      </c>
      <c r="G58" s="3">
        <f ca="1">ROUNDDOWN(_xll.IMBC(E48,"세전단가",G50,F58),2)</f>
        <v>9981.73</v>
      </c>
      <c r="H58" s="5">
        <f t="shared" ca="1" si="16"/>
        <v>1.7199999999993452</v>
      </c>
      <c r="I58" s="3">
        <f ca="1">ROUNDDOWN(_xll.IMBC(E48,"세전단가",G51,F58),2)</f>
        <v>9982.52</v>
      </c>
      <c r="J58" s="7">
        <f t="shared" ca="1" si="17"/>
        <v>1.7200000000011642</v>
      </c>
      <c r="L58" s="20" t="s">
        <v>124</v>
      </c>
      <c r="M58" s="52">
        <f>M70+L58/100</f>
        <v>1.0699999999999998</v>
      </c>
      <c r="N58" s="3">
        <f ca="1">ROUNDDOWN(_xll.IMBC(L48,"세전단가",N50,M58),2)</f>
        <v>9952.31</v>
      </c>
      <c r="O58" s="5">
        <f t="shared" ca="1" si="18"/>
        <v>2.4499999999989086</v>
      </c>
      <c r="P58" s="3">
        <f ca="1">ROUNDDOWN(_xll.IMBC(L48,"세전단가",N51,M58),2)</f>
        <v>9953.18</v>
      </c>
      <c r="Q58" s="7">
        <f t="shared" ca="1" si="19"/>
        <v>2.4500000000007276</v>
      </c>
      <c r="R58" s="2"/>
      <c r="S58" s="20" t="s">
        <v>124</v>
      </c>
      <c r="T58" s="52">
        <f>T70+S58/100</f>
        <v>1.9749999999999999</v>
      </c>
      <c r="U58" s="3">
        <f ca="1">ROUNDDOWN(_xll.IMBC(S48,"세전단가",U50,T58),2)</f>
        <v>9590.9</v>
      </c>
      <c r="V58" s="5">
        <f t="shared" ca="1" si="20"/>
        <v>8.4200000000000728</v>
      </c>
      <c r="W58" s="3">
        <f ca="1">ROUNDDOWN(_xll.IMBC(S48,"세전단가",U51,T58),2)</f>
        <v>9592.44</v>
      </c>
      <c r="X58" s="7">
        <f t="shared" ca="1" si="21"/>
        <v>8.4200000000000728</v>
      </c>
      <c r="Y58" s="2"/>
      <c r="Z58" s="20" t="s">
        <v>124</v>
      </c>
      <c r="AA58" s="52">
        <f>AA70+Z58/100</f>
        <v>2.0820000000000003</v>
      </c>
      <c r="AB58" s="3">
        <f ca="1">ROUNDDOWN(_xll.IMBC(Z48,"세전단가",AB50,AA58),2)</f>
        <v>9118.6200000000008</v>
      </c>
      <c r="AC58" s="5">
        <f t="shared" ca="1" si="22"/>
        <v>14.940000000000509</v>
      </c>
      <c r="AD58" s="3">
        <f ca="1">ROUNDDOWN(_xll.IMBC(Z48,"세전단가",AB51,AA58),2)</f>
        <v>9120.16</v>
      </c>
      <c r="AE58" s="7">
        <f t="shared" ca="1" si="23"/>
        <v>14.940000000000509</v>
      </c>
    </row>
    <row r="59" spans="5:31" x14ac:dyDescent="0.25">
      <c r="E59" s="20" t="s">
        <v>41</v>
      </c>
      <c r="F59" s="52">
        <f>F70+E59/100</f>
        <v>0.97499999999999998</v>
      </c>
      <c r="G59" s="3">
        <f ca="1">ROUNDDOWN(_xll.IMBC(E48,"세전단가",G50,F59),2)</f>
        <v>9980.01</v>
      </c>
      <c r="H59" s="5">
        <f t="shared" ca="1" si="16"/>
        <v>1.7299999999995634</v>
      </c>
      <c r="I59" s="3">
        <f ca="1">ROUNDDOWN(_xll.IMBC(E48,"세전단가",G51,F59),2)</f>
        <v>9980.7999999999993</v>
      </c>
      <c r="J59" s="7">
        <f t="shared" ca="1" si="17"/>
        <v>1.7199999999993452</v>
      </c>
      <c r="L59" s="20" t="s">
        <v>125</v>
      </c>
      <c r="M59" s="52">
        <f>M70+L59/100</f>
        <v>1.0799999999999998</v>
      </c>
      <c r="N59" s="3">
        <f ca="1">ROUNDDOWN(_xll.IMBC(L48,"세전단가",N50,M59),2)</f>
        <v>9949.86</v>
      </c>
      <c r="O59" s="5">
        <f t="shared" ca="1" si="18"/>
        <v>2.4500000000007276</v>
      </c>
      <c r="P59" s="3">
        <f ca="1">ROUNDDOWN(_xll.IMBC(L48,"세전단가",N51,M59),2)</f>
        <v>9950.73</v>
      </c>
      <c r="Q59" s="7">
        <f t="shared" ca="1" si="19"/>
        <v>2.4399999999986903</v>
      </c>
      <c r="R59" s="2"/>
      <c r="S59" s="20" t="s">
        <v>125</v>
      </c>
      <c r="T59" s="52">
        <f>T70+S59/100</f>
        <v>1.9849999999999999</v>
      </c>
      <c r="U59" s="3">
        <f ca="1">ROUNDDOWN(_xll.IMBC(S48,"세전단가",U50,T59),2)</f>
        <v>9582.48</v>
      </c>
      <c r="V59" s="5">
        <f t="shared" ca="1" si="20"/>
        <v>8.4099999999998545</v>
      </c>
      <c r="W59" s="3">
        <f ca="1">ROUNDDOWN(_xll.IMBC(S48,"세전단가",U51,T59),2)</f>
        <v>9584.02</v>
      </c>
      <c r="X59" s="7">
        <f t="shared" ca="1" si="21"/>
        <v>8.3999999999996362</v>
      </c>
      <c r="Y59" s="2"/>
      <c r="Z59" s="20" t="s">
        <v>125</v>
      </c>
      <c r="AA59" s="52">
        <f>AA70+Z59/100</f>
        <v>2.0920000000000001</v>
      </c>
      <c r="AB59" s="3">
        <f ca="1">ROUNDDOWN(_xll.IMBC(Z48,"세전단가",AB50,AA59),2)</f>
        <v>9103.68</v>
      </c>
      <c r="AC59" s="5">
        <f t="shared" ca="1" si="22"/>
        <v>14.909999999999854</v>
      </c>
      <c r="AD59" s="3">
        <f ca="1">ROUNDDOWN(_xll.IMBC(Z48,"세전단가",AB51,AA59),2)</f>
        <v>9105.2199999999993</v>
      </c>
      <c r="AE59" s="7">
        <f t="shared" ca="1" si="23"/>
        <v>14.899999999999636</v>
      </c>
    </row>
    <row r="60" spans="5:31" x14ac:dyDescent="0.25">
      <c r="E60" s="20" t="s">
        <v>30</v>
      </c>
      <c r="F60" s="52">
        <f>F70+E60/100</f>
        <v>0.98499999999999999</v>
      </c>
      <c r="G60" s="3">
        <f ca="1">ROUNDDOWN(_xll.IMBC(E48,"세전단가",G50,F60),2)</f>
        <v>9978.2800000000007</v>
      </c>
      <c r="H60" s="5">
        <f t="shared" ca="1" si="16"/>
        <v>1.7200000000011642</v>
      </c>
      <c r="I60" s="3">
        <f ca="1">ROUNDDOWN(_xll.IMBC(E48,"세전단가",G51,F60),2)</f>
        <v>9979.08</v>
      </c>
      <c r="J60" s="7">
        <f t="shared" ca="1" si="17"/>
        <v>1.7099999999991269</v>
      </c>
      <c r="L60" s="20" t="s">
        <v>126</v>
      </c>
      <c r="M60" s="52">
        <f>M70+L60/100</f>
        <v>1.0899999999999999</v>
      </c>
      <c r="N60" s="3">
        <f ca="1">ROUNDDOWN(_xll.IMBC(L48,"세전단가",N50,M60),2)</f>
        <v>9947.41</v>
      </c>
      <c r="O60" s="5">
        <f t="shared" ca="1" si="18"/>
        <v>2.4500000000007276</v>
      </c>
      <c r="P60" s="3">
        <f ca="1">ROUNDDOWN(_xll.IMBC(L48,"세전단가",N51,M60),2)</f>
        <v>9948.2900000000009</v>
      </c>
      <c r="Q60" s="7">
        <f t="shared" ca="1" si="19"/>
        <v>2.4400000000005093</v>
      </c>
      <c r="R60" s="2"/>
      <c r="S60" s="20" t="s">
        <v>126</v>
      </c>
      <c r="T60" s="52">
        <f>T70+S60/100</f>
        <v>1.9949999999999999</v>
      </c>
      <c r="U60" s="3">
        <f ca="1">ROUNDDOWN(_xll.IMBC(S48,"세전단가",U50,T60),2)</f>
        <v>9574.07</v>
      </c>
      <c r="V60" s="5">
        <f t="shared" ca="1" si="20"/>
        <v>8.4099999999998545</v>
      </c>
      <c r="W60" s="3">
        <f ca="1">ROUNDDOWN(_xll.IMBC(S48,"세전단가",U51,T60),2)</f>
        <v>9575.6200000000008</v>
      </c>
      <c r="X60" s="7">
        <f t="shared" ca="1" si="21"/>
        <v>8.4000000000014552</v>
      </c>
      <c r="Y60" s="2"/>
      <c r="Z60" s="20" t="s">
        <v>126</v>
      </c>
      <c r="AA60" s="52">
        <f>AA70+Z60/100</f>
        <v>2.1020000000000003</v>
      </c>
      <c r="AB60" s="3">
        <f ca="1">ROUNDDOWN(_xll.IMBC(Z48,"세전단가",AB50,AA60),2)</f>
        <v>9088.77</v>
      </c>
      <c r="AC60" s="5">
        <f t="shared" ca="1" si="22"/>
        <v>14.890000000001237</v>
      </c>
      <c r="AD60" s="3">
        <f ca="1">ROUNDDOWN(_xll.IMBC(Z48,"세전단가",AB51,AA60),2)</f>
        <v>9090.32</v>
      </c>
      <c r="AE60" s="7">
        <f t="shared" ca="1" si="23"/>
        <v>14.8799999999992</v>
      </c>
    </row>
    <row r="61" spans="5:31" x14ac:dyDescent="0.25">
      <c r="E61" s="20" t="s">
        <v>29</v>
      </c>
      <c r="F61" s="52">
        <f>F70+E61/100</f>
        <v>0.995</v>
      </c>
      <c r="G61" s="3">
        <f ca="1">ROUNDDOWN(_xll.IMBC(E48,"세전단가",G50,F61),2)</f>
        <v>9976.56</v>
      </c>
      <c r="H61" s="5">
        <f t="shared" ca="1" si="16"/>
        <v>1.7199999999993452</v>
      </c>
      <c r="I61" s="3">
        <f ca="1">ROUNDDOWN(_xll.IMBC(E48,"세전단가",G51,F61),2)</f>
        <v>9977.3700000000008</v>
      </c>
      <c r="J61" s="7">
        <f t="shared" ca="1" si="17"/>
        <v>1.7200000000011642</v>
      </c>
      <c r="L61" s="20" t="s">
        <v>127</v>
      </c>
      <c r="M61" s="52">
        <f>M70+L61/100</f>
        <v>1.0999999999999999</v>
      </c>
      <c r="N61" s="3">
        <f ca="1">ROUNDDOWN(_xll.IMBC(L48,"세전단가",N50,M61),2)</f>
        <v>9944.9599999999991</v>
      </c>
      <c r="O61" s="5">
        <f t="shared" ca="1" si="18"/>
        <v>2.4499999999989086</v>
      </c>
      <c r="P61" s="3">
        <f ca="1">ROUNDDOWN(_xll.IMBC(L48,"세전단가",N51,M61),2)</f>
        <v>9945.85</v>
      </c>
      <c r="Q61" s="7">
        <f t="shared" ca="1" si="19"/>
        <v>2.4400000000005093</v>
      </c>
      <c r="R61" s="2"/>
      <c r="S61" s="20" t="s">
        <v>127</v>
      </c>
      <c r="T61" s="52">
        <f>T70+S61/100</f>
        <v>2.0049999999999999</v>
      </c>
      <c r="U61" s="3">
        <f ca="1">ROUNDDOWN(_xll.IMBC(S48,"세전단가",U50,T61),2)</f>
        <v>9565.66</v>
      </c>
      <c r="V61" s="5">
        <f t="shared" ca="1" si="20"/>
        <v>8.3899999999994179</v>
      </c>
      <c r="W61" s="3">
        <f ca="1">ROUNDDOWN(_xll.IMBC(S48,"세전단가",U51,T61),2)</f>
        <v>9567.2199999999993</v>
      </c>
      <c r="X61" s="7">
        <f t="shared" ca="1" si="21"/>
        <v>8.3899999999994179</v>
      </c>
      <c r="Y61" s="2"/>
      <c r="Z61" s="20" t="s">
        <v>127</v>
      </c>
      <c r="AA61" s="52">
        <f>AA70+Z61/100</f>
        <v>2.1120000000000001</v>
      </c>
      <c r="AB61" s="3">
        <f ca="1">ROUNDDOWN(_xll.IMBC(Z48,"세전단가",AB50,AA61),2)</f>
        <v>9073.8799999999992</v>
      </c>
      <c r="AC61" s="5">
        <f t="shared" ca="1" si="22"/>
        <v>14.849999999998545</v>
      </c>
      <c r="AD61" s="3">
        <f ca="1">ROUNDDOWN(_xll.IMBC(Z48,"세전단가",AB51,AA61),2)</f>
        <v>9075.44</v>
      </c>
      <c r="AE61" s="7">
        <f t="shared" ca="1" si="23"/>
        <v>14.850000000000364</v>
      </c>
    </row>
    <row r="62" spans="5:31" x14ac:dyDescent="0.25">
      <c r="E62" s="20" t="s">
        <v>28</v>
      </c>
      <c r="F62" s="52">
        <f>F70+E62/100</f>
        <v>1.0049999999999999</v>
      </c>
      <c r="G62" s="3">
        <f ca="1">ROUNDDOWN(_xll.IMBC(E48,"세전단가",G50,F62),2)</f>
        <v>9974.84</v>
      </c>
      <c r="H62" s="5">
        <f t="shared" ca="1" si="16"/>
        <v>1.7299999999995634</v>
      </c>
      <c r="I62" s="3">
        <f ca="1">ROUNDDOWN(_xll.IMBC(E48,"세전단가",G51,F62),2)</f>
        <v>9975.65</v>
      </c>
      <c r="J62" s="7">
        <f t="shared" ca="1" si="17"/>
        <v>1.7099999999991269</v>
      </c>
      <c r="L62" s="20" t="s">
        <v>128</v>
      </c>
      <c r="M62" s="52">
        <f>M70+L62/100</f>
        <v>1.1099999999999999</v>
      </c>
      <c r="N62" s="3">
        <f ca="1">ROUNDDOWN(_xll.IMBC(L48,"세전단가",N50,M62),2)</f>
        <v>9942.51</v>
      </c>
      <c r="O62" s="5">
        <f t="shared" ca="1" si="18"/>
        <v>2.4500000000007276</v>
      </c>
      <c r="P62" s="3">
        <f ca="1">ROUNDDOWN(_xll.IMBC(L48,"세전단가",N51,M62),2)</f>
        <v>9943.41</v>
      </c>
      <c r="Q62" s="7">
        <f t="shared" ca="1" si="19"/>
        <v>2.4400000000005093</v>
      </c>
      <c r="R62" s="2"/>
      <c r="S62" s="20" t="s">
        <v>128</v>
      </c>
      <c r="T62" s="52">
        <f>T70+S62/100</f>
        <v>2.0150000000000001</v>
      </c>
      <c r="U62" s="3">
        <f ca="1">ROUNDDOWN(_xll.IMBC(S48,"세전단가",U50,T62),2)</f>
        <v>9557.27</v>
      </c>
      <c r="V62" s="5">
        <f t="shared" ca="1" si="20"/>
        <v>8.3900000000012369</v>
      </c>
      <c r="W62" s="3">
        <f ca="1">ROUNDDOWN(_xll.IMBC(S48,"세전단가",U51,T62),2)</f>
        <v>9558.83</v>
      </c>
      <c r="X62" s="7">
        <f t="shared" ca="1" si="21"/>
        <v>8.3799999999991996</v>
      </c>
      <c r="Y62" s="2"/>
      <c r="Z62" s="20" t="s">
        <v>128</v>
      </c>
      <c r="AA62" s="52">
        <f>AA70+Z62/100</f>
        <v>2.1220000000000003</v>
      </c>
      <c r="AB62" s="3">
        <f ca="1">ROUNDDOWN(_xll.IMBC(Z48,"세전단가",AB50,AA62),2)</f>
        <v>9059.0300000000007</v>
      </c>
      <c r="AC62" s="5">
        <f t="shared" ca="1" si="22"/>
        <v>14.829999999999927</v>
      </c>
      <c r="AD62" s="3">
        <f ca="1">ROUNDDOWN(_xll.IMBC(Z48,"세전단가",AB51,AA62),2)</f>
        <v>9060.59</v>
      </c>
      <c r="AE62" s="7">
        <f t="shared" ca="1" si="23"/>
        <v>14.829999999999927</v>
      </c>
    </row>
    <row r="63" spans="5:31" x14ac:dyDescent="0.25">
      <c r="E63" s="20" t="s">
        <v>27</v>
      </c>
      <c r="F63" s="52">
        <f>F70+E63/100</f>
        <v>1.0149999999999999</v>
      </c>
      <c r="G63" s="3">
        <f ca="1">ROUNDDOWN(_xll.IMBC(E48,"세전단가",G50,F63),2)</f>
        <v>9973.11</v>
      </c>
      <c r="H63" s="5">
        <f t="shared" ca="1" si="16"/>
        <v>1.7200000000011642</v>
      </c>
      <c r="I63" s="3">
        <f ca="1">ROUNDDOWN(_xll.IMBC(E48,"세전단가",G51,F63),2)</f>
        <v>9973.94</v>
      </c>
      <c r="J63" s="7">
        <f t="shared" ca="1" si="17"/>
        <v>1.7200000000011642</v>
      </c>
      <c r="L63" s="20" t="s">
        <v>129</v>
      </c>
      <c r="M63" s="52">
        <f>M70+L63/100</f>
        <v>1.1199999999999999</v>
      </c>
      <c r="N63" s="3">
        <f ca="1">ROUNDDOWN(_xll.IMBC(L48,"세전단가",N50,M63),2)</f>
        <v>9940.06</v>
      </c>
      <c r="O63" s="5">
        <f t="shared" ca="1" si="18"/>
        <v>2.4399999999986903</v>
      </c>
      <c r="P63" s="3">
        <f ca="1">ROUNDDOWN(_xll.IMBC(L48,"세전단가",N51,M63),2)</f>
        <v>9940.9699999999993</v>
      </c>
      <c r="Q63" s="7">
        <f t="shared" ca="1" si="19"/>
        <v>2.4399999999986903</v>
      </c>
      <c r="R63" s="2"/>
      <c r="S63" s="20" t="s">
        <v>129</v>
      </c>
      <c r="T63" s="52">
        <f>T70+S63/100</f>
        <v>2.0249999999999999</v>
      </c>
      <c r="U63" s="3">
        <f ca="1">ROUNDDOWN(_xll.IMBC(S48,"세전단가",U50,T63),2)</f>
        <v>9548.8799999999992</v>
      </c>
      <c r="V63" s="5">
        <f t="shared" ca="1" si="20"/>
        <v>8.3799999999991996</v>
      </c>
      <c r="W63" s="3">
        <f ca="1">ROUNDDOWN(_xll.IMBC(S48,"세전단가",U51,T63),2)</f>
        <v>9550.4500000000007</v>
      </c>
      <c r="X63" s="7">
        <f t="shared" ca="1" si="21"/>
        <v>8.3800000000010186</v>
      </c>
      <c r="Y63" s="2"/>
      <c r="Z63" s="20" t="s">
        <v>129</v>
      </c>
      <c r="AA63" s="52">
        <f>AA70+Z63/100</f>
        <v>2.1320000000000001</v>
      </c>
      <c r="AB63" s="3">
        <f ca="1">ROUNDDOWN(_xll.IMBC(Z48,"세전단가",AB50,AA63),2)</f>
        <v>9044.2000000000007</v>
      </c>
      <c r="AC63" s="5">
        <f t="shared" ca="1" si="22"/>
        <v>14.800000000001091</v>
      </c>
      <c r="AD63" s="3">
        <f ca="1">ROUNDDOWN(_xll.IMBC(Z48,"세전단가",AB51,AA63),2)</f>
        <v>9045.76</v>
      </c>
      <c r="AE63" s="7">
        <f t="shared" ca="1" si="23"/>
        <v>14.790000000000873</v>
      </c>
    </row>
    <row r="64" spans="5:31" x14ac:dyDescent="0.25">
      <c r="E64" s="20" t="s">
        <v>26</v>
      </c>
      <c r="F64" s="52">
        <f>F70+E64/100</f>
        <v>1.0249999999999999</v>
      </c>
      <c r="G64" s="3">
        <f ca="1">ROUNDDOWN(_xll.IMBC(E48,"세전단가",G50,F64),2)</f>
        <v>9971.39</v>
      </c>
      <c r="H64" s="5">
        <f t="shared" ca="1" si="16"/>
        <v>1.7199999999993452</v>
      </c>
      <c r="I64" s="3">
        <f ca="1">ROUNDDOWN(_xll.IMBC(E48,"세전단가",G51,F64),2)</f>
        <v>9972.2199999999993</v>
      </c>
      <c r="J64" s="7">
        <f t="shared" ca="1" si="17"/>
        <v>1.7099999999991269</v>
      </c>
      <c r="L64" s="20" t="s">
        <v>130</v>
      </c>
      <c r="M64" s="52">
        <f>M70+L64/100</f>
        <v>1.1299999999999999</v>
      </c>
      <c r="N64" s="3">
        <f ca="1">ROUNDDOWN(_xll.IMBC(L48,"세전단가",N50,M64),2)</f>
        <v>9937.6200000000008</v>
      </c>
      <c r="O64" s="5">
        <f t="shared" ca="1" si="18"/>
        <v>2.4500000000007276</v>
      </c>
      <c r="P64" s="3">
        <f ca="1">ROUNDDOWN(_xll.IMBC(L48,"세전단가",N51,M64),2)</f>
        <v>9938.5300000000007</v>
      </c>
      <c r="Q64" s="7">
        <f t="shared" ca="1" si="19"/>
        <v>2.4400000000005093</v>
      </c>
      <c r="R64" s="2"/>
      <c r="S64" s="20" t="s">
        <v>130</v>
      </c>
      <c r="T64" s="52">
        <f>T70+S64/100</f>
        <v>2.0350000000000001</v>
      </c>
      <c r="U64" s="3">
        <f ca="1">ROUNDDOWN(_xll.IMBC(S48,"세전단가",U50,T64),2)</f>
        <v>9540.5</v>
      </c>
      <c r="V64" s="5">
        <f t="shared" ca="1" si="20"/>
        <v>8.3700000000008004</v>
      </c>
      <c r="W64" s="3">
        <f ca="1">ROUNDDOWN(_xll.IMBC(S48,"세전단가",U51,T64),2)</f>
        <v>9542.07</v>
      </c>
      <c r="X64" s="7">
        <f t="shared" ca="1" si="21"/>
        <v>8.3600000000005821</v>
      </c>
      <c r="Y64" s="2"/>
      <c r="Z64" s="20" t="s">
        <v>130</v>
      </c>
      <c r="AA64" s="52">
        <f>AA70+Z64/100</f>
        <v>2.1420000000000003</v>
      </c>
      <c r="AB64" s="3">
        <f ca="1">ROUNDDOWN(_xll.IMBC(Z48,"세전단가",AB50,AA64),2)</f>
        <v>9029.4</v>
      </c>
      <c r="AC64" s="5">
        <f t="shared" ca="1" si="22"/>
        <v>14.770000000000437</v>
      </c>
      <c r="AD64" s="3">
        <f ca="1">ROUNDDOWN(_xll.IMBC(Z48,"세전단가",AB51,AA64),2)</f>
        <v>9030.9699999999993</v>
      </c>
      <c r="AE64" s="7">
        <f t="shared" ca="1" si="23"/>
        <v>14.769999999998618</v>
      </c>
    </row>
    <row r="65" spans="5:31" x14ac:dyDescent="0.25">
      <c r="E65" s="20" t="s">
        <v>25</v>
      </c>
      <c r="F65" s="52">
        <f>F70+E65/100</f>
        <v>1.0349999999999999</v>
      </c>
      <c r="G65" s="3">
        <f ca="1">ROUNDDOWN(_xll.IMBC(E48,"세전단가",G50,F65),2)</f>
        <v>9969.67</v>
      </c>
      <c r="H65" s="5">
        <f t="shared" ca="1" si="16"/>
        <v>1.7199999999993452</v>
      </c>
      <c r="I65" s="3">
        <f ca="1">ROUNDDOWN(_xll.IMBC(E48,"세전단가",G51,F65),2)</f>
        <v>9970.51</v>
      </c>
      <c r="J65" s="7">
        <f t="shared" ca="1" si="17"/>
        <v>1.7199999999993452</v>
      </c>
      <c r="L65" s="20" t="s">
        <v>131</v>
      </c>
      <c r="M65" s="52">
        <f>M70+L65/100</f>
        <v>1.1399999999999999</v>
      </c>
      <c r="N65" s="3">
        <f ca="1">ROUNDDOWN(_xll.IMBC(L48,"세전단가",N50,M65),2)</f>
        <v>9935.17</v>
      </c>
      <c r="O65" s="5">
        <f t="shared" ca="1" si="18"/>
        <v>2.4400000000005093</v>
      </c>
      <c r="P65" s="3">
        <f ca="1">ROUNDDOWN(_xll.IMBC(L48,"세전단가",N51,M65),2)</f>
        <v>9936.09</v>
      </c>
      <c r="Q65" s="7">
        <f t="shared" ca="1" si="19"/>
        <v>2.430000000000291</v>
      </c>
      <c r="R65" s="2"/>
      <c r="S65" s="20" t="s">
        <v>131</v>
      </c>
      <c r="T65" s="52">
        <f>T70+S65/100</f>
        <v>2.0449999999999999</v>
      </c>
      <c r="U65" s="3">
        <f ca="1">ROUNDDOWN(_xll.IMBC(S48,"세전단가",U50,T65),2)</f>
        <v>9532.1299999999992</v>
      </c>
      <c r="V65" s="5">
        <f t="shared" ca="1" si="20"/>
        <v>8.3699999999989814</v>
      </c>
      <c r="W65" s="3">
        <f ca="1">ROUNDDOWN(_xll.IMBC(S48,"세전단가",U51,T65),2)</f>
        <v>9533.7099999999991</v>
      </c>
      <c r="X65" s="7">
        <f t="shared" ca="1" si="21"/>
        <v>8.3599999999987631</v>
      </c>
      <c r="Y65" s="2"/>
      <c r="Z65" s="20" t="s">
        <v>131</v>
      </c>
      <c r="AA65" s="52">
        <f>AA70+Z65/100</f>
        <v>2.1520000000000001</v>
      </c>
      <c r="AB65" s="3">
        <f ca="1">ROUNDDOWN(_xll.IMBC(Z48,"세전단가",AB50,AA65),2)</f>
        <v>9014.6299999999992</v>
      </c>
      <c r="AC65" s="5">
        <f t="shared" ca="1" si="22"/>
        <v>14.75</v>
      </c>
      <c r="AD65" s="3">
        <f ca="1">ROUNDDOWN(_xll.IMBC(Z48,"세전단가",AB51,AA65),2)</f>
        <v>9016.2000000000007</v>
      </c>
      <c r="AE65" s="7">
        <f t="shared" ca="1" si="23"/>
        <v>14.740000000001601</v>
      </c>
    </row>
    <row r="66" spans="5:31" x14ac:dyDescent="0.25">
      <c r="E66" s="20" t="s">
        <v>24</v>
      </c>
      <c r="F66" s="52">
        <f>F70+E66/100</f>
        <v>1.0449999999999999</v>
      </c>
      <c r="G66" s="3">
        <f ca="1">ROUNDDOWN(_xll.IMBC(E48,"세전단가",G50,F66),2)</f>
        <v>9967.9500000000007</v>
      </c>
      <c r="H66" s="5">
        <f t="shared" ca="1" si="16"/>
        <v>1.7300000000013824</v>
      </c>
      <c r="I66" s="3">
        <f ca="1">ROUNDDOWN(_xll.IMBC(E48,"세전단가",G51,F66),2)</f>
        <v>9968.7900000000009</v>
      </c>
      <c r="J66" s="7">
        <f t="shared" ca="1" si="17"/>
        <v>1.7100000000009459</v>
      </c>
      <c r="L66" s="20" t="s">
        <v>132</v>
      </c>
      <c r="M66" s="52">
        <f>M70+L66/100</f>
        <v>1.1499999999999999</v>
      </c>
      <c r="N66" s="3">
        <f ca="1">ROUNDDOWN(_xll.IMBC(L48,"세전단가",N50,M66),2)</f>
        <v>9932.73</v>
      </c>
      <c r="O66" s="5">
        <f t="shared" ca="1" si="18"/>
        <v>2.4499999999989086</v>
      </c>
      <c r="P66" s="3">
        <f ca="1">ROUNDDOWN(_xll.IMBC(L48,"세전단가",N51,M66),2)</f>
        <v>9933.66</v>
      </c>
      <c r="Q66" s="7">
        <f t="shared" ca="1" si="19"/>
        <v>2.4400000000005093</v>
      </c>
      <c r="R66" s="2"/>
      <c r="S66" s="20" t="s">
        <v>132</v>
      </c>
      <c r="T66" s="52">
        <f>T70+S66/100</f>
        <v>2.0550000000000002</v>
      </c>
      <c r="U66" s="3">
        <f ca="1">ROUNDDOWN(_xll.IMBC(S48,"세전단가",U50,T66),2)</f>
        <v>9523.76</v>
      </c>
      <c r="V66" s="5">
        <f t="shared" ca="1" si="20"/>
        <v>8.3500000000003638</v>
      </c>
      <c r="W66" s="3">
        <f ca="1">ROUNDDOWN(_xll.IMBC(S48,"세전단가",U51,T66),2)</f>
        <v>9525.35</v>
      </c>
      <c r="X66" s="7">
        <f t="shared" ca="1" si="21"/>
        <v>8.3500000000003638</v>
      </c>
      <c r="Y66" s="2"/>
      <c r="Z66" s="20" t="s">
        <v>132</v>
      </c>
      <c r="AA66" s="52">
        <f>AA70+Z66/100</f>
        <v>2.1620000000000004</v>
      </c>
      <c r="AB66" s="3">
        <f ca="1">ROUNDDOWN(_xll.IMBC(Z48,"세전단가",AB50,AA66),2)</f>
        <v>8999.8799999999992</v>
      </c>
      <c r="AC66" s="5">
        <f t="shared" ca="1" si="22"/>
        <v>14.719999999999345</v>
      </c>
      <c r="AD66" s="3">
        <f ca="1">ROUNDDOWN(_xll.IMBC(Z48,"세전단가",AB51,AA66),2)</f>
        <v>9001.4599999999991</v>
      </c>
      <c r="AE66" s="7">
        <f t="shared" ca="1" si="23"/>
        <v>14.719999999999345</v>
      </c>
    </row>
    <row r="67" spans="5:31" x14ac:dyDescent="0.25">
      <c r="E67" s="20" t="s">
        <v>23</v>
      </c>
      <c r="F67" s="52">
        <f>F70+E67/100</f>
        <v>1.0549999999999999</v>
      </c>
      <c r="G67" s="3">
        <f ca="1">ROUNDDOWN(_xll.IMBC(E48,"세전단가",G50,F67),2)</f>
        <v>9966.2199999999993</v>
      </c>
      <c r="H67" s="5">
        <f t="shared" ca="1" si="16"/>
        <v>1.7199999999993452</v>
      </c>
      <c r="I67" s="3">
        <f ca="1">ROUNDDOWN(_xll.IMBC(E48,"세전단가",G51,F67),2)</f>
        <v>9967.08</v>
      </c>
      <c r="J67" s="7">
        <f t="shared" ca="1" si="17"/>
        <v>1.7199999999993452</v>
      </c>
      <c r="L67" s="20" t="s">
        <v>133</v>
      </c>
      <c r="M67" s="52">
        <f>M70+L67/100</f>
        <v>1.1599999999999999</v>
      </c>
      <c r="N67" s="3">
        <f ca="1">ROUNDDOWN(_xll.IMBC(L48,"세전단가",N50,M67),2)</f>
        <v>9930.2800000000007</v>
      </c>
      <c r="O67" s="5">
        <f t="shared" ca="1" si="18"/>
        <v>2.4400000000005093</v>
      </c>
      <c r="P67" s="3">
        <f ca="1">ROUNDDOWN(_xll.IMBC(L48,"세전단가",N51,M67),2)</f>
        <v>9931.2199999999993</v>
      </c>
      <c r="Q67" s="7">
        <f t="shared" ca="1" si="19"/>
        <v>2.4399999999986903</v>
      </c>
      <c r="R67" s="2"/>
      <c r="S67" s="20" t="s">
        <v>133</v>
      </c>
      <c r="T67" s="52">
        <f>T70+S67/100</f>
        <v>2.0649999999999999</v>
      </c>
      <c r="U67" s="3">
        <f ca="1">ROUNDDOWN(_xll.IMBC(S48,"세전단가",U50,T67),2)</f>
        <v>9515.41</v>
      </c>
      <c r="V67" s="5">
        <f t="shared" ca="1" si="20"/>
        <v>8.3500000000003638</v>
      </c>
      <c r="W67" s="40">
        <f ca="1">ROUNDDOWN(_xll.IMBC(S48,"세전단가",U51,T67),2)</f>
        <v>9517</v>
      </c>
      <c r="X67" s="7">
        <f t="shared" ca="1" si="21"/>
        <v>8.3400000000001455</v>
      </c>
      <c r="Y67" s="2"/>
      <c r="Z67" s="20" t="s">
        <v>133</v>
      </c>
      <c r="AA67" s="52">
        <f>AA70+Z67/100</f>
        <v>2.1720000000000002</v>
      </c>
      <c r="AB67" s="3">
        <f ca="1">ROUNDDOWN(_xll.IMBC(Z48,"세전단가",AB50,AA67),2)</f>
        <v>8985.16</v>
      </c>
      <c r="AC67" s="5">
        <f t="shared" ca="1" si="22"/>
        <v>14.690000000000509</v>
      </c>
      <c r="AD67" s="3">
        <f ca="1">ROUNDDOWN(_xll.IMBC(Z48,"세전단가",AB51,AA67),2)</f>
        <v>8986.74</v>
      </c>
      <c r="AE67" s="7">
        <f t="shared" ca="1" si="23"/>
        <v>14.680000000000291</v>
      </c>
    </row>
    <row r="68" spans="5:31" x14ac:dyDescent="0.25">
      <c r="E68" s="32" t="s">
        <v>22</v>
      </c>
      <c r="F68" s="53">
        <f>F70+E68/100</f>
        <v>1.0649999999999999</v>
      </c>
      <c r="G68" s="41">
        <f ca="1">ROUNDDOWN(_xll.IMBC(E48,"세전단가",G50,F68),2)</f>
        <v>9964.5</v>
      </c>
      <c r="H68" s="34">
        <f t="shared" ca="1" si="16"/>
        <v>0.86000000000058208</v>
      </c>
      <c r="I68" s="41">
        <f ca="1">ROUNDDOWN(_xll.IMBC(E48,"세전단가",G51,F68),2)</f>
        <v>9965.36</v>
      </c>
      <c r="J68" s="36">
        <f t="shared" ca="1" si="17"/>
        <v>0.8500000000003638</v>
      </c>
      <c r="L68" s="32" t="s">
        <v>134</v>
      </c>
      <c r="M68" s="53">
        <f>M70+L68/100</f>
        <v>1.17</v>
      </c>
      <c r="N68" s="41">
        <f ca="1">ROUNDDOWN(_xll.IMBC(L48,"세전단가",N50,M68),2)</f>
        <v>9927.84</v>
      </c>
      <c r="O68" s="34">
        <f t="shared" ca="1" si="18"/>
        <v>1.2199999999993452</v>
      </c>
      <c r="P68" s="41">
        <f ca="1">ROUNDDOWN(_xll.IMBC(L48,"세전단가",N51,M68),2)</f>
        <v>9928.7800000000007</v>
      </c>
      <c r="Q68" s="36">
        <f t="shared" ca="1" si="19"/>
        <v>1.2100000000009459</v>
      </c>
      <c r="R68" s="2"/>
      <c r="S68" s="32" t="s">
        <v>134</v>
      </c>
      <c r="T68" s="53">
        <f>T70+S68/100</f>
        <v>2.0750000000000002</v>
      </c>
      <c r="U68" s="41">
        <f ca="1">ROUNDDOWN(_xll.IMBC(S48,"세전단가",U50,T68),2)</f>
        <v>9507.06</v>
      </c>
      <c r="V68" s="34">
        <f t="shared" ca="1" si="20"/>
        <v>4.1700000000000728</v>
      </c>
      <c r="W68" s="41">
        <f ca="1">ROUNDDOWN(_xll.IMBC(S48,"세전단가",U51,T68),2)</f>
        <v>9508.66</v>
      </c>
      <c r="X68" s="36">
        <f t="shared" ca="1" si="21"/>
        <v>4.1700000000000728</v>
      </c>
      <c r="Y68" s="2"/>
      <c r="Z68" s="32" t="s">
        <v>134</v>
      </c>
      <c r="AA68" s="53">
        <f>AA70+Z68/100</f>
        <v>2.1820000000000004</v>
      </c>
      <c r="AB68" s="41">
        <f ca="1">ROUNDDOWN(_xll.IMBC(Z48,"세전단가",AB50,AA68),2)</f>
        <v>8970.4699999999993</v>
      </c>
      <c r="AC68" s="34">
        <f t="shared" ca="1" si="22"/>
        <v>7.3400000000001455</v>
      </c>
      <c r="AD68" s="41">
        <f ca="1">ROUNDDOWN(_xll.IMBC(Z48,"세전단가",AB51,AA68),2)</f>
        <v>8972.06</v>
      </c>
      <c r="AE68" s="36">
        <f t="shared" ca="1" si="23"/>
        <v>7.3400000000001455</v>
      </c>
    </row>
    <row r="69" spans="5:31" x14ac:dyDescent="0.25">
      <c r="E69" s="20" t="s">
        <v>4</v>
      </c>
      <c r="F69" s="52">
        <f>F70+E69/100</f>
        <v>1.07</v>
      </c>
      <c r="G69" s="40">
        <f ca="1">ROUNDDOWN(_xll.IMBC(E48,"세전단가",G50,F69),2)</f>
        <v>9963.64</v>
      </c>
      <c r="H69" s="5">
        <f t="shared" ca="1" si="16"/>
        <v>0.85999999999876309</v>
      </c>
      <c r="I69" s="3">
        <f ca="1">ROUNDDOWN(_xll.IMBC(E48,"세전단가",G51,F69),2)</f>
        <v>9964.51</v>
      </c>
      <c r="J69" s="7">
        <f t="shared" ca="1" si="17"/>
        <v>0.86000000000058208</v>
      </c>
      <c r="L69" s="20" t="s">
        <v>135</v>
      </c>
      <c r="M69" s="52">
        <f>M70+L69/100</f>
        <v>1.175</v>
      </c>
      <c r="N69" s="40">
        <f ca="1">ROUNDDOWN(_xll.IMBC(L48,"세전단가",N50,M69),2)</f>
        <v>9926.6200000000008</v>
      </c>
      <c r="O69" s="5">
        <f t="shared" ca="1" si="18"/>
        <v>1.2300000000013824</v>
      </c>
      <c r="P69" s="40">
        <f ca="1">ROUNDDOWN(_xll.IMBC(L48,"세전단가",N51,M69),2)</f>
        <v>9927.57</v>
      </c>
      <c r="Q69" s="7">
        <f t="shared" ca="1" si="19"/>
        <v>1.2199999999993452</v>
      </c>
      <c r="R69" s="2"/>
      <c r="S69" s="20" t="s">
        <v>135</v>
      </c>
      <c r="T69" s="52">
        <f>T70+S69/100</f>
        <v>2.08</v>
      </c>
      <c r="U69" s="40">
        <f ca="1">ROUNDDOWN(_xll.IMBC(S48,"세전단가",U50,T69),2)</f>
        <v>9502.89</v>
      </c>
      <c r="V69" s="5">
        <f t="shared" ca="1" si="20"/>
        <v>4.1700000000000728</v>
      </c>
      <c r="W69" s="3">
        <f ca="1">ROUNDDOWN(_xll.IMBC(S48,"세전단가",U51,T69),2)</f>
        <v>9504.49</v>
      </c>
      <c r="X69" s="7">
        <f t="shared" ca="1" si="21"/>
        <v>4.1599999999998545</v>
      </c>
      <c r="Y69" s="2"/>
      <c r="Z69" s="20" t="s">
        <v>135</v>
      </c>
      <c r="AA69" s="52">
        <f>AA70+Z69/100</f>
        <v>2.1870000000000003</v>
      </c>
      <c r="AB69" s="3">
        <f ca="1">ROUNDDOWN(_xll.IMBC(Z48,"세전단가",AB50,AA69),2)</f>
        <v>8963.1299999999992</v>
      </c>
      <c r="AC69" s="5">
        <f t="shared" ca="1" si="22"/>
        <v>7.319999999999709</v>
      </c>
      <c r="AD69" s="3">
        <f ca="1">ROUNDDOWN(_xll.IMBC(Z48,"세전단가",AB51,AA69),2)</f>
        <v>8964.7199999999993</v>
      </c>
      <c r="AE69" s="7">
        <f t="shared" ca="1" si="23"/>
        <v>7.319999999999709</v>
      </c>
    </row>
    <row r="70" spans="5:31" x14ac:dyDescent="0.25">
      <c r="E70" s="21">
        <v>0</v>
      </c>
      <c r="F70" s="54">
        <f>IF(G52="",I51,ROUNDDOWN(G52,2))</f>
        <v>1.075</v>
      </c>
      <c r="G70" s="15">
        <f ca="1">ROUNDDOWN(_xll.IMBC(E48,"세전단가",G50,F70),2)</f>
        <v>9962.7800000000007</v>
      </c>
      <c r="H70" s="13"/>
      <c r="I70" s="12">
        <f ca="1">ROUNDDOWN(_xll.IMBC(E48,"세전단가",G51,F70),2)</f>
        <v>9963.65</v>
      </c>
      <c r="J70" s="14"/>
      <c r="L70" s="21">
        <v>0</v>
      </c>
      <c r="M70" s="54">
        <f>IF(N52="",P51,ROUNDDOWN(N52,2))</f>
        <v>1.18</v>
      </c>
      <c r="N70" s="15">
        <f ca="1">ROUNDDOWN(_xll.IMBC(L48,"세전단가",N50,M70),2)</f>
        <v>9925.39</v>
      </c>
      <c r="O70" s="13"/>
      <c r="P70" s="12">
        <f ca="1">ROUNDDOWN(_xll.IMBC(L48,"세전단가",N51,M70),2)</f>
        <v>9926.35</v>
      </c>
      <c r="Q70" s="14"/>
      <c r="R70" s="2"/>
      <c r="S70" s="21">
        <v>0</v>
      </c>
      <c r="T70" s="54">
        <f>IF(U52="",W51,ROUNDDOWN(U52,2))</f>
        <v>2.085</v>
      </c>
      <c r="U70" s="15">
        <f ca="1">ROUNDDOWN(_xll.IMBC(S48,"세전단가",U50,T70),2)</f>
        <v>9498.7199999999993</v>
      </c>
      <c r="V70" s="13"/>
      <c r="W70" s="12">
        <f ca="1">ROUNDDOWN(_xll.IMBC(S48,"세전단가",U51,T70),2)</f>
        <v>9500.33</v>
      </c>
      <c r="X70" s="14"/>
      <c r="Y70" s="2"/>
      <c r="Z70" s="21">
        <v>0</v>
      </c>
      <c r="AA70" s="54">
        <f>IF(AB52="",AD51,ROUNDDOWN(AB52,2))</f>
        <v>2.1920000000000002</v>
      </c>
      <c r="AB70" s="15">
        <f ca="1">ROUNDDOWN(_xll.IMBC(Z48,"세전단가",AB50,AA70),2)</f>
        <v>8955.81</v>
      </c>
      <c r="AC70" s="13"/>
      <c r="AD70" s="15">
        <f ca="1">ROUNDDOWN(_xll.IMBC(Z48,"세전단가",AB51,AA70),2)</f>
        <v>8957.4</v>
      </c>
      <c r="AE70" s="14"/>
    </row>
    <row r="71" spans="5:31" x14ac:dyDescent="0.25">
      <c r="E71" s="69" t="s">
        <v>3</v>
      </c>
      <c r="F71" s="52">
        <f>F70+E71/100</f>
        <v>1.0799999999999998</v>
      </c>
      <c r="G71" s="3">
        <f ca="1">ROUNDDOWN(_xll.IMBC(E48,"세전단가",G50,F71),2)</f>
        <v>9961.92</v>
      </c>
      <c r="H71" s="5">
        <f t="shared" ref="H71:H86" ca="1" si="24">G71-G70</f>
        <v>-0.86000000000058208</v>
      </c>
      <c r="I71" s="3">
        <f ca="1">ROUNDDOWN(_xll.IMBC(E48,"세전단가",G51,F71),2)</f>
        <v>9962.7900000000009</v>
      </c>
      <c r="J71" s="7">
        <f t="shared" ref="J71:J86" ca="1" si="25">I71-I70</f>
        <v>-0.85999999999876309</v>
      </c>
      <c r="L71" s="69" t="s">
        <v>136</v>
      </c>
      <c r="M71" s="52">
        <f>M70+L71/100</f>
        <v>1.1849999999999998</v>
      </c>
      <c r="N71" s="40">
        <f ca="1">ROUNDDOWN(_xll.IMBC(L48,"세전단가",N50,M71),2)</f>
        <v>9924.17</v>
      </c>
      <c r="O71" s="5">
        <f t="shared" ref="O71:O86" ca="1" si="26">N71-N70</f>
        <v>-1.2199999999993452</v>
      </c>
      <c r="P71" s="3">
        <f ca="1">ROUNDDOWN(_xll.IMBC(L48,"세전단가",N51,M71),2)</f>
        <v>9925.1299999999992</v>
      </c>
      <c r="Q71" s="7">
        <f t="shared" ref="Q71:Q86" ca="1" si="27">P71-P70</f>
        <v>-1.2200000000011642</v>
      </c>
      <c r="R71" s="2"/>
      <c r="S71" s="69" t="s">
        <v>136</v>
      </c>
      <c r="T71" s="52">
        <f>T70+S71/100</f>
        <v>2.09</v>
      </c>
      <c r="U71" s="40">
        <f ca="1">ROUNDDOWN(_xll.IMBC(S48,"세전단가",U50,T71),2)</f>
        <v>9494.5499999999993</v>
      </c>
      <c r="V71" s="5">
        <f t="shared" ref="V71:V86" ca="1" si="28">U71-U70</f>
        <v>-4.1700000000000728</v>
      </c>
      <c r="W71" s="40">
        <f ca="1">ROUNDDOWN(_xll.IMBC(S48,"세전단가",U51,T71),2)</f>
        <v>9496.16</v>
      </c>
      <c r="X71" s="7">
        <f t="shared" ref="X71:X86" ca="1" si="29">W71-W70</f>
        <v>-4.1700000000000728</v>
      </c>
      <c r="Y71" s="2"/>
      <c r="Z71" s="69" t="s">
        <v>136</v>
      </c>
      <c r="AA71" s="52">
        <f>AA70+Z71/100</f>
        <v>2.1970000000000001</v>
      </c>
      <c r="AB71" s="3">
        <f ca="1">ROUNDDOWN(_xll.IMBC(Z48,"세전단가",AB50,AA71),2)</f>
        <v>8948.48</v>
      </c>
      <c r="AC71" s="5">
        <f t="shared" ref="AC71:AC86" ca="1" si="30">AB71-AB70</f>
        <v>-7.3299999999999272</v>
      </c>
      <c r="AD71" s="3">
        <f ca="1">ROUNDDOWN(_xll.IMBC(Z48,"세전단가",AB51,AA71),2)</f>
        <v>8950.08</v>
      </c>
      <c r="AE71" s="7">
        <f t="shared" ref="AE71:AE86" ca="1" si="31">AD71-AD70</f>
        <v>-7.319999999999709</v>
      </c>
    </row>
    <row r="72" spans="5:31" x14ac:dyDescent="0.25">
      <c r="E72" s="70" t="s">
        <v>31</v>
      </c>
      <c r="F72" s="53">
        <f>F70+E72/100</f>
        <v>1.085</v>
      </c>
      <c r="G72" s="41">
        <f ca="1">ROUNDDOWN(_xll.IMBC(E48,"세전단가",G50,F72),2)</f>
        <v>9961.06</v>
      </c>
      <c r="H72" s="34">
        <f t="shared" ca="1" si="24"/>
        <v>-0.86000000000058208</v>
      </c>
      <c r="I72" s="41">
        <f ca="1">ROUNDDOWN(_xll.IMBC(E48,"세전단가",G51,F72),2)</f>
        <v>9961.94</v>
      </c>
      <c r="J72" s="36">
        <f t="shared" ca="1" si="25"/>
        <v>-0.8500000000003638</v>
      </c>
      <c r="L72" s="70" t="s">
        <v>137</v>
      </c>
      <c r="M72" s="53">
        <f>M70+L72/100</f>
        <v>1.19</v>
      </c>
      <c r="N72" s="41">
        <f ca="1">ROUNDDOWN(_xll.IMBC(L48,"세전단가",N50,M72),2)</f>
        <v>9922.9500000000007</v>
      </c>
      <c r="O72" s="34">
        <f t="shared" ca="1" si="26"/>
        <v>-1.2199999999993452</v>
      </c>
      <c r="P72" s="41">
        <f ca="1">ROUNDDOWN(_xll.IMBC(L48,"세전단가",N51,M72),2)</f>
        <v>9923.91</v>
      </c>
      <c r="Q72" s="36">
        <f t="shared" ca="1" si="27"/>
        <v>-1.2199999999993452</v>
      </c>
      <c r="R72" s="2"/>
      <c r="S72" s="70" t="s">
        <v>137</v>
      </c>
      <c r="T72" s="53">
        <f>T70+S72/100</f>
        <v>2.0949999999999998</v>
      </c>
      <c r="U72" s="41">
        <f ca="1">ROUNDDOWN(_xll.IMBC(S48,"세전단가",U50,T72),2)</f>
        <v>9490.39</v>
      </c>
      <c r="V72" s="34">
        <f t="shared" ca="1" si="28"/>
        <v>-4.1599999999998545</v>
      </c>
      <c r="W72" s="41">
        <f ca="1">ROUNDDOWN(_xll.IMBC(S48,"세전단가",U51,T72),2)</f>
        <v>9492</v>
      </c>
      <c r="X72" s="36">
        <f t="shared" ca="1" si="29"/>
        <v>-4.1599999999998545</v>
      </c>
      <c r="Y72" s="2"/>
      <c r="Z72" s="70" t="s">
        <v>137</v>
      </c>
      <c r="AA72" s="53">
        <f>AA70+Z72/100</f>
        <v>2.202</v>
      </c>
      <c r="AB72" s="41">
        <f ca="1">ROUNDDOWN(_xll.IMBC(Z48,"세전단가",AB50,AA72),2)</f>
        <v>8941.17</v>
      </c>
      <c r="AC72" s="34">
        <f t="shared" ca="1" si="30"/>
        <v>-7.3099999999994907</v>
      </c>
      <c r="AD72" s="41">
        <f ca="1">ROUNDDOWN(_xll.IMBC(Z48,"세전단가",AB51,AA72),2)</f>
        <v>8942.77</v>
      </c>
      <c r="AE72" s="36">
        <f t="shared" ca="1" si="31"/>
        <v>-7.3099999999994907</v>
      </c>
    </row>
    <row r="73" spans="5:31" x14ac:dyDescent="0.25">
      <c r="E73" s="71" t="s">
        <v>32</v>
      </c>
      <c r="F73" s="52">
        <f>F70+E73/100</f>
        <v>1.095</v>
      </c>
      <c r="G73" s="3">
        <f ca="1">ROUNDDOWN(_xll.IMBC(E48,"세전단가",G50,F73),2)</f>
        <v>9959.34</v>
      </c>
      <c r="H73" s="5">
        <f t="shared" ca="1" si="24"/>
        <v>-1.7199999999993452</v>
      </c>
      <c r="I73" s="3">
        <f ca="1">ROUNDDOWN(_xll.IMBC(E48,"세전단가",G51,F73),2)</f>
        <v>9960.23</v>
      </c>
      <c r="J73" s="7">
        <f t="shared" ca="1" si="25"/>
        <v>-1.7100000000009459</v>
      </c>
      <c r="L73" s="71" t="s">
        <v>138</v>
      </c>
      <c r="M73" s="52">
        <f>M70+L73/100</f>
        <v>1.2</v>
      </c>
      <c r="N73" s="3">
        <f ca="1">ROUNDDOWN(_xll.IMBC(L48,"세전단가",N50,M73),2)</f>
        <v>9920.51</v>
      </c>
      <c r="O73" s="5">
        <f t="shared" ca="1" si="26"/>
        <v>-2.4400000000005093</v>
      </c>
      <c r="P73" s="3">
        <f ca="1">ROUNDDOWN(_xll.IMBC(L48,"세전단가",N51,M73),2)</f>
        <v>9921.48</v>
      </c>
      <c r="Q73" s="7">
        <f t="shared" ca="1" si="27"/>
        <v>-2.430000000000291</v>
      </c>
      <c r="R73" s="2"/>
      <c r="S73" s="71" t="s">
        <v>138</v>
      </c>
      <c r="T73" s="52">
        <f>T70+S73/100</f>
        <v>2.105</v>
      </c>
      <c r="U73" s="3">
        <f ca="1">ROUNDDOWN(_xll.IMBC(S48,"세전단가",U50,T73),2)</f>
        <v>9482.07</v>
      </c>
      <c r="V73" s="5">
        <f t="shared" ca="1" si="28"/>
        <v>-8.319999999999709</v>
      </c>
      <c r="W73" s="3">
        <f ca="1">ROUNDDOWN(_xll.IMBC(S48,"세전단가",U51,T73),2)</f>
        <v>9483.69</v>
      </c>
      <c r="X73" s="7">
        <f t="shared" ca="1" si="29"/>
        <v>-8.3099999999994907</v>
      </c>
      <c r="Y73" s="2"/>
      <c r="Z73" s="71" t="s">
        <v>138</v>
      </c>
      <c r="AA73" s="52">
        <f>AA70+Z73/100</f>
        <v>2.2120000000000002</v>
      </c>
      <c r="AB73" s="3">
        <f ca="1">ROUNDDOWN(_xll.IMBC(Z48,"세전단가",AB50,AA73),2)</f>
        <v>8926.56</v>
      </c>
      <c r="AC73" s="5">
        <f t="shared" ca="1" si="30"/>
        <v>-14.610000000000582</v>
      </c>
      <c r="AD73" s="3">
        <f ca="1">ROUNDDOWN(_xll.IMBC(Z48,"세전단가",AB51,AA73),2)</f>
        <v>8928.16</v>
      </c>
      <c r="AE73" s="7">
        <f t="shared" ca="1" si="31"/>
        <v>-14.610000000000582</v>
      </c>
    </row>
    <row r="74" spans="5:31" x14ac:dyDescent="0.25">
      <c r="E74" s="71" t="s">
        <v>33</v>
      </c>
      <c r="F74" s="52">
        <f>F70+E74/100</f>
        <v>1.105</v>
      </c>
      <c r="G74" s="3">
        <f ca="1">ROUNDDOWN(_xll.IMBC(E48,"세전단가",G50,F74),2)</f>
        <v>9957.6200000000008</v>
      </c>
      <c r="H74" s="5">
        <f t="shared" ca="1" si="24"/>
        <v>-1.7199999999993452</v>
      </c>
      <c r="I74" s="3">
        <f ca="1">ROUNDDOWN(_xll.IMBC(E48,"세전단가",G51,F74),2)</f>
        <v>9958.51</v>
      </c>
      <c r="J74" s="7">
        <f t="shared" ca="1" si="25"/>
        <v>-1.7199999999993452</v>
      </c>
      <c r="L74" s="71" t="s">
        <v>139</v>
      </c>
      <c r="M74" s="52">
        <f>M70+L74/100</f>
        <v>1.21</v>
      </c>
      <c r="N74" s="3">
        <f ca="1">ROUNDDOWN(_xll.IMBC(L48,"세전단가",N50,M74),2)</f>
        <v>9918.07</v>
      </c>
      <c r="O74" s="5">
        <f t="shared" ca="1" si="26"/>
        <v>-2.4400000000005093</v>
      </c>
      <c r="P74" s="3">
        <f ca="1">ROUNDDOWN(_xll.IMBC(L48,"세전단가",N51,M74),2)</f>
        <v>9919.0499999999993</v>
      </c>
      <c r="Q74" s="7">
        <f t="shared" ca="1" si="27"/>
        <v>-2.430000000000291</v>
      </c>
      <c r="R74" s="2"/>
      <c r="S74" s="71" t="s">
        <v>139</v>
      </c>
      <c r="T74" s="52">
        <f>T70+S74/100</f>
        <v>2.1149999999999998</v>
      </c>
      <c r="U74" s="3">
        <f ca="1">ROUNDDOWN(_xll.IMBC(S48,"세전단가",U50,T74),2)</f>
        <v>9473.75</v>
      </c>
      <c r="V74" s="5">
        <f t="shared" ca="1" si="28"/>
        <v>-8.319999999999709</v>
      </c>
      <c r="W74" s="3">
        <f ca="1">ROUNDDOWN(_xll.IMBC(S48,"세전단가",U51,T74),2)</f>
        <v>9475.3799999999992</v>
      </c>
      <c r="X74" s="7">
        <f t="shared" ca="1" si="29"/>
        <v>-8.3100000000013097</v>
      </c>
      <c r="Y74" s="2"/>
      <c r="Z74" s="71" t="s">
        <v>139</v>
      </c>
      <c r="AA74" s="52">
        <f>AA70+Z74/100</f>
        <v>2.222</v>
      </c>
      <c r="AB74" s="3">
        <f ca="1">ROUNDDOWN(_xll.IMBC(Z48,"세전단가",AB50,AA74),2)</f>
        <v>8911.98</v>
      </c>
      <c r="AC74" s="5">
        <f t="shared" ca="1" si="30"/>
        <v>-14.579999999999927</v>
      </c>
      <c r="AD74" s="3">
        <f ca="1">ROUNDDOWN(_xll.IMBC(Z48,"세전단가",AB51,AA74),2)</f>
        <v>8913.58</v>
      </c>
      <c r="AE74" s="7">
        <f t="shared" ca="1" si="31"/>
        <v>-14.579999999999927</v>
      </c>
    </row>
    <row r="75" spans="5:31" x14ac:dyDescent="0.25">
      <c r="E75" s="71" t="s">
        <v>34</v>
      </c>
      <c r="F75" s="52">
        <f>F70+E75/100</f>
        <v>1.115</v>
      </c>
      <c r="G75" s="3">
        <f ca="1">ROUNDDOWN(_xll.IMBC(E48,"세전단가",G50,F75),2)</f>
        <v>9955.9</v>
      </c>
      <c r="H75" s="5">
        <f t="shared" ca="1" si="24"/>
        <v>-1.7200000000011642</v>
      </c>
      <c r="I75" s="3">
        <f ca="1">ROUNDDOWN(_xll.IMBC(E48,"세전단가",G51,F75),2)</f>
        <v>9956.7999999999993</v>
      </c>
      <c r="J75" s="7">
        <f t="shared" ca="1" si="25"/>
        <v>-1.7100000000009459</v>
      </c>
      <c r="L75" s="71" t="s">
        <v>140</v>
      </c>
      <c r="M75" s="52">
        <f>M70+L75/100</f>
        <v>1.22</v>
      </c>
      <c r="N75" s="3">
        <f ca="1">ROUNDDOWN(_xll.IMBC(L48,"세전단가",N50,M75),2)</f>
        <v>9915.6299999999992</v>
      </c>
      <c r="O75" s="5">
        <f t="shared" ca="1" si="26"/>
        <v>-2.4400000000005093</v>
      </c>
      <c r="P75" s="3">
        <f ca="1">ROUNDDOWN(_xll.IMBC(L48,"세전단가",N51,M75),2)</f>
        <v>9916.6200000000008</v>
      </c>
      <c r="Q75" s="7">
        <f t="shared" ca="1" si="27"/>
        <v>-2.429999999998472</v>
      </c>
      <c r="R75" s="2"/>
      <c r="S75" s="71" t="s">
        <v>140</v>
      </c>
      <c r="T75" s="52">
        <f>T70+S75/100</f>
        <v>2.125</v>
      </c>
      <c r="U75" s="3">
        <f ca="1">ROUNDDOWN(_xll.IMBC(S48,"세전단가",U50,T75),2)</f>
        <v>9465.44</v>
      </c>
      <c r="V75" s="5">
        <f t="shared" ca="1" si="28"/>
        <v>-8.3099999999994907</v>
      </c>
      <c r="W75" s="3">
        <f ca="1">ROUNDDOWN(_xll.IMBC(S48,"세전단가",U51,T75),2)</f>
        <v>9467.08</v>
      </c>
      <c r="X75" s="7">
        <f t="shared" ca="1" si="29"/>
        <v>-8.2999999999992724</v>
      </c>
      <c r="Y75" s="2"/>
      <c r="Z75" s="71" t="s">
        <v>140</v>
      </c>
      <c r="AA75" s="52">
        <f>AA70+Z75/100</f>
        <v>2.2320000000000002</v>
      </c>
      <c r="AB75" s="3">
        <f ca="1">ROUNDDOWN(_xll.IMBC(Z48,"세전단가",AB50,AA75),2)</f>
        <v>8897.42</v>
      </c>
      <c r="AC75" s="5">
        <f t="shared" ca="1" si="30"/>
        <v>-14.559999999999491</v>
      </c>
      <c r="AD75" s="3">
        <f ca="1">ROUNDDOWN(_xll.IMBC(Z48,"세전단가",AB51,AA75),2)</f>
        <v>8899.0300000000007</v>
      </c>
      <c r="AE75" s="7">
        <f t="shared" ca="1" si="31"/>
        <v>-14.549999999999272</v>
      </c>
    </row>
    <row r="76" spans="5:31" x14ac:dyDescent="0.25">
      <c r="E76" s="71" t="s">
        <v>35</v>
      </c>
      <c r="F76" s="52">
        <f>F70+E76/100</f>
        <v>1.125</v>
      </c>
      <c r="G76" s="3">
        <f ca="1">ROUNDDOWN(_xll.IMBC(E48,"세전단가",G50,F76),2)</f>
        <v>9954.18</v>
      </c>
      <c r="H76" s="5">
        <f t="shared" ca="1" si="24"/>
        <v>-1.7199999999993452</v>
      </c>
      <c r="I76" s="3">
        <f ca="1">ROUNDDOWN(_xll.IMBC(E48,"세전단가",G51,F76),2)</f>
        <v>9955.09</v>
      </c>
      <c r="J76" s="7">
        <f t="shared" ca="1" si="25"/>
        <v>-1.7099999999991269</v>
      </c>
      <c r="L76" s="71" t="s">
        <v>141</v>
      </c>
      <c r="M76" s="52">
        <f>M70+L76/100</f>
        <v>1.23</v>
      </c>
      <c r="N76" s="3">
        <f ca="1">ROUNDDOWN(_xll.IMBC(L48,"세전단가",N50,M76),2)</f>
        <v>9913.19</v>
      </c>
      <c r="O76" s="5">
        <f t="shared" ca="1" si="26"/>
        <v>-2.4399999999986903</v>
      </c>
      <c r="P76" s="3">
        <f ca="1">ROUNDDOWN(_xll.IMBC(L48,"세전단가",N51,M76),2)</f>
        <v>9914.18</v>
      </c>
      <c r="Q76" s="7">
        <f t="shared" ca="1" si="27"/>
        <v>-2.4400000000005093</v>
      </c>
      <c r="R76" s="2"/>
      <c r="S76" s="71" t="s">
        <v>141</v>
      </c>
      <c r="T76" s="52">
        <f>T70+S76/100</f>
        <v>2.1349999999999998</v>
      </c>
      <c r="U76" s="3">
        <f ca="1">ROUNDDOWN(_xll.IMBC(S48,"세전단가",U50,T76),2)</f>
        <v>9457.14</v>
      </c>
      <c r="V76" s="5">
        <f t="shared" ca="1" si="28"/>
        <v>-8.3000000000010914</v>
      </c>
      <c r="W76" s="3">
        <f ca="1">ROUNDDOWN(_xll.IMBC(S48,"세전단가",U51,T76),2)</f>
        <v>9458.7800000000007</v>
      </c>
      <c r="X76" s="7">
        <f t="shared" ca="1" si="29"/>
        <v>-8.2999999999992724</v>
      </c>
      <c r="Y76" s="2"/>
      <c r="Z76" s="71" t="s">
        <v>141</v>
      </c>
      <c r="AA76" s="52">
        <f>AA70+Z76/100</f>
        <v>2.242</v>
      </c>
      <c r="AB76" s="3">
        <f ca="1">ROUNDDOWN(_xll.IMBC(Z48,"세전단가",AB50,AA76),2)</f>
        <v>8882.89</v>
      </c>
      <c r="AC76" s="5">
        <f t="shared" ca="1" si="30"/>
        <v>-14.530000000000655</v>
      </c>
      <c r="AD76" s="3">
        <f ca="1">ROUNDDOWN(_xll.IMBC(Z48,"세전단가",AB51,AA76),2)</f>
        <v>8884.51</v>
      </c>
      <c r="AE76" s="7">
        <f t="shared" ca="1" si="31"/>
        <v>-14.520000000000437</v>
      </c>
    </row>
    <row r="77" spans="5:31" x14ac:dyDescent="0.25">
      <c r="E77" s="71" t="s">
        <v>36</v>
      </c>
      <c r="F77" s="52">
        <f>F70+E77/100</f>
        <v>1.135</v>
      </c>
      <c r="G77" s="3">
        <f ca="1">ROUNDDOWN(_xll.IMBC(E48,"세전단가",G50,F77),2)</f>
        <v>9952.4599999999991</v>
      </c>
      <c r="H77" s="5">
        <f t="shared" ca="1" si="24"/>
        <v>-1.7200000000011642</v>
      </c>
      <c r="I77" s="3">
        <f ca="1">ROUNDDOWN(_xll.IMBC(E48,"세전단가",G51,F77),2)</f>
        <v>9953.3799999999992</v>
      </c>
      <c r="J77" s="7">
        <f t="shared" ca="1" si="25"/>
        <v>-1.7100000000009459</v>
      </c>
      <c r="L77" s="71" t="s">
        <v>142</v>
      </c>
      <c r="M77" s="52">
        <f>M70+L77/100</f>
        <v>1.24</v>
      </c>
      <c r="N77" s="3">
        <f ca="1">ROUNDDOWN(_xll.IMBC(L48,"세전단가",N50,M77),2)</f>
        <v>9910.75</v>
      </c>
      <c r="O77" s="5">
        <f t="shared" ca="1" si="26"/>
        <v>-2.4400000000005093</v>
      </c>
      <c r="P77" s="3">
        <f ca="1">ROUNDDOWN(_xll.IMBC(L48,"세전단가",N51,M77),2)</f>
        <v>9911.75</v>
      </c>
      <c r="Q77" s="7">
        <f t="shared" ca="1" si="27"/>
        <v>-2.430000000000291</v>
      </c>
      <c r="R77" s="2"/>
      <c r="S77" s="71" t="s">
        <v>142</v>
      </c>
      <c r="T77" s="52">
        <f>T70+S77/100</f>
        <v>2.145</v>
      </c>
      <c r="U77" s="3">
        <f ca="1">ROUNDDOWN(_xll.IMBC(S48,"세전단가",U50,T77),2)</f>
        <v>9448.85</v>
      </c>
      <c r="V77" s="5">
        <f t="shared" ca="1" si="28"/>
        <v>-8.2899999999990541</v>
      </c>
      <c r="W77" s="3">
        <f ca="1">ROUNDDOWN(_xll.IMBC(S48,"세전단가",U51,T77),2)</f>
        <v>9450.5</v>
      </c>
      <c r="X77" s="7">
        <f t="shared" ca="1" si="29"/>
        <v>-8.2800000000006548</v>
      </c>
      <c r="Y77" s="2"/>
      <c r="Z77" s="71" t="s">
        <v>142</v>
      </c>
      <c r="AA77" s="52">
        <f>AA70+Z77/100</f>
        <v>2.2520000000000002</v>
      </c>
      <c r="AB77" s="3">
        <f ca="1">ROUNDDOWN(_xll.IMBC(Z48,"세전단가",AB50,AA77),2)</f>
        <v>8868.39</v>
      </c>
      <c r="AC77" s="5">
        <f t="shared" ca="1" si="30"/>
        <v>-14.5</v>
      </c>
      <c r="AD77" s="3">
        <f ca="1">ROUNDDOWN(_xll.IMBC(Z48,"세전단가",AB51,AA77),2)</f>
        <v>8870.01</v>
      </c>
      <c r="AE77" s="7">
        <f t="shared" ca="1" si="31"/>
        <v>-14.5</v>
      </c>
    </row>
    <row r="78" spans="5:31" x14ac:dyDescent="0.25">
      <c r="E78" s="71" t="s">
        <v>37</v>
      </c>
      <c r="F78" s="52">
        <f>F70+E78/100</f>
        <v>1.145</v>
      </c>
      <c r="G78" s="55">
        <f ca="1">ROUNDDOWN(_xll.IMBC(E48,"세전단가",G50,F78),2)</f>
        <v>9950.74</v>
      </c>
      <c r="H78" s="5">
        <f t="shared" ca="1" si="24"/>
        <v>-1.7199999999993452</v>
      </c>
      <c r="I78" s="3">
        <f ca="1">ROUNDDOWN(_xll.IMBC(E48,"세전단가",G51,F78),2)</f>
        <v>9951.67</v>
      </c>
      <c r="J78" s="7">
        <f t="shared" ca="1" si="25"/>
        <v>-1.7099999999991269</v>
      </c>
      <c r="L78" s="71" t="s">
        <v>143</v>
      </c>
      <c r="M78" s="52">
        <f>M70+L78/100</f>
        <v>1.25</v>
      </c>
      <c r="N78" s="3">
        <f ca="1">ROUNDDOWN(_xll.IMBC(L48,"세전단가",N50,M78),2)</f>
        <v>9908.31</v>
      </c>
      <c r="O78" s="5">
        <f t="shared" ca="1" si="26"/>
        <v>-2.4400000000005093</v>
      </c>
      <c r="P78" s="3">
        <f ca="1">ROUNDDOWN(_xll.IMBC(L48,"세전단가",N51,M78),2)</f>
        <v>9909.32</v>
      </c>
      <c r="Q78" s="7">
        <f t="shared" ca="1" si="27"/>
        <v>-2.430000000000291</v>
      </c>
      <c r="R78" s="2"/>
      <c r="S78" s="71" t="s">
        <v>143</v>
      </c>
      <c r="T78" s="52">
        <f>T70+S78/100</f>
        <v>2.1549999999999998</v>
      </c>
      <c r="U78" s="3">
        <f ca="1">ROUNDDOWN(_xll.IMBC(S48,"세전단가",U50,T78),2)</f>
        <v>9440.57</v>
      </c>
      <c r="V78" s="5">
        <f t="shared" ca="1" si="28"/>
        <v>-8.2800000000006548</v>
      </c>
      <c r="W78" s="3">
        <f ca="1">ROUNDDOWN(_xll.IMBC(S48,"세전단가",U51,T78),2)</f>
        <v>9442.2199999999993</v>
      </c>
      <c r="X78" s="7">
        <f t="shared" ca="1" si="29"/>
        <v>-8.2800000000006548</v>
      </c>
      <c r="Y78" s="2"/>
      <c r="Z78" s="71" t="s">
        <v>143</v>
      </c>
      <c r="AA78" s="52">
        <f>AA70+Z78/100</f>
        <v>2.262</v>
      </c>
      <c r="AB78" s="3">
        <f ca="1">ROUNDDOWN(_xll.IMBC(Z48,"세전단가",AB50,AA78),2)</f>
        <v>8853.92</v>
      </c>
      <c r="AC78" s="5">
        <f t="shared" ca="1" si="30"/>
        <v>-14.469999999999345</v>
      </c>
      <c r="AD78" s="3">
        <f ca="1">ROUNDDOWN(_xll.IMBC(Z48,"세전단가",AB51,AA78),2)</f>
        <v>8855.5400000000009</v>
      </c>
      <c r="AE78" s="7">
        <f t="shared" ca="1" si="31"/>
        <v>-14.469999999999345</v>
      </c>
    </row>
    <row r="79" spans="5:31" x14ac:dyDescent="0.25">
      <c r="E79" s="71" t="s">
        <v>38</v>
      </c>
      <c r="F79" s="52">
        <f>F70+E79/100</f>
        <v>1.155</v>
      </c>
      <c r="G79" s="3">
        <f ca="1">ROUNDDOWN(_xll.IMBC(E48,"세전단가",G50,F79),2)</f>
        <v>9949.02</v>
      </c>
      <c r="H79" s="5">
        <f t="shared" ca="1" si="24"/>
        <v>-1.7199999999993452</v>
      </c>
      <c r="I79" s="3">
        <f ca="1">ROUNDDOWN(_xll.IMBC(E48,"세전단가",G51,F79),2)</f>
        <v>9949.9599999999991</v>
      </c>
      <c r="J79" s="7">
        <f t="shared" ca="1" si="25"/>
        <v>-1.7100000000009459</v>
      </c>
      <c r="L79" s="71" t="s">
        <v>144</v>
      </c>
      <c r="M79" s="52">
        <f>M70+L79/100</f>
        <v>1.26</v>
      </c>
      <c r="N79" s="3">
        <f ca="1">ROUNDDOWN(_xll.IMBC(L48,"세전단가",N50,M79),2)</f>
        <v>9905.8799999999992</v>
      </c>
      <c r="O79" s="5">
        <f t="shared" ca="1" si="26"/>
        <v>-2.430000000000291</v>
      </c>
      <c r="P79" s="3">
        <f ca="1">ROUNDDOWN(_xll.IMBC(L48,"세전단가",N51,M79),2)</f>
        <v>9906.89</v>
      </c>
      <c r="Q79" s="7">
        <f t="shared" ca="1" si="27"/>
        <v>-2.430000000000291</v>
      </c>
      <c r="R79" s="2"/>
      <c r="S79" s="71" t="s">
        <v>144</v>
      </c>
      <c r="T79" s="52">
        <f>T70+S79/100</f>
        <v>2.165</v>
      </c>
      <c r="U79" s="3">
        <f ca="1">ROUNDDOWN(_xll.IMBC(S48,"세전단가",U50,T79),2)</f>
        <v>9432.2999999999993</v>
      </c>
      <c r="V79" s="5">
        <f t="shared" ca="1" si="28"/>
        <v>-8.2700000000004366</v>
      </c>
      <c r="W79" s="3">
        <f ca="1">ROUNDDOWN(_xll.IMBC(S48,"세전단가",U51,T79),2)</f>
        <v>9433.9500000000007</v>
      </c>
      <c r="X79" s="7">
        <f t="shared" ca="1" si="29"/>
        <v>-8.2699999999986176</v>
      </c>
      <c r="Y79" s="2"/>
      <c r="Z79" s="71" t="s">
        <v>144</v>
      </c>
      <c r="AA79" s="52">
        <f>AA70+Z79/100</f>
        <v>2.2720000000000002</v>
      </c>
      <c r="AB79" s="3">
        <f ca="1">ROUNDDOWN(_xll.IMBC(Z48,"세전단가",AB50,AA79),2)</f>
        <v>8839.4699999999993</v>
      </c>
      <c r="AC79" s="5">
        <f t="shared" ca="1" si="30"/>
        <v>-14.450000000000728</v>
      </c>
      <c r="AD79" s="3">
        <f ca="1">ROUNDDOWN(_xll.IMBC(Z48,"세전단가",AB51,AA79),2)</f>
        <v>8841.1</v>
      </c>
      <c r="AE79" s="7">
        <f t="shared" ca="1" si="31"/>
        <v>-14.440000000000509</v>
      </c>
    </row>
    <row r="80" spans="5:31" x14ac:dyDescent="0.25">
      <c r="E80" s="71" t="s">
        <v>39</v>
      </c>
      <c r="F80" s="52">
        <f>F70+E80/100</f>
        <v>1.165</v>
      </c>
      <c r="G80" s="3">
        <f ca="1">ROUNDDOWN(_xll.IMBC(E48,"세전단가",G50,F80),2)</f>
        <v>9947.31</v>
      </c>
      <c r="H80" s="5">
        <f t="shared" ca="1" si="24"/>
        <v>-1.7100000000009459</v>
      </c>
      <c r="I80" s="3">
        <f ca="1">ROUNDDOWN(_xll.IMBC(E48,"세전단가",G51,F80),2)</f>
        <v>9948.25</v>
      </c>
      <c r="J80" s="7">
        <f t="shared" ca="1" si="25"/>
        <v>-1.7099999999991269</v>
      </c>
      <c r="L80" s="71" t="s">
        <v>145</v>
      </c>
      <c r="M80" s="52">
        <f>M70+L80/100</f>
        <v>1.27</v>
      </c>
      <c r="N80" s="3">
        <f ca="1">ROUNDDOWN(_xll.IMBC(L48,"세전단가",N50,M80),2)</f>
        <v>9903.44</v>
      </c>
      <c r="O80" s="5">
        <f t="shared" ca="1" si="26"/>
        <v>-2.4399999999986903</v>
      </c>
      <c r="P80" s="3">
        <f ca="1">ROUNDDOWN(_xll.IMBC(L48,"세전단가",N51,M80),2)</f>
        <v>9904.4599999999991</v>
      </c>
      <c r="Q80" s="7">
        <f t="shared" ca="1" si="27"/>
        <v>-2.430000000000291</v>
      </c>
      <c r="R80" s="2"/>
      <c r="S80" s="71" t="s">
        <v>145</v>
      </c>
      <c r="T80" s="52">
        <f>T70+S80/100</f>
        <v>2.1749999999999998</v>
      </c>
      <c r="U80" s="3">
        <f ca="1">ROUNDDOWN(_xll.IMBC(S48,"세전단가",U50,T80),2)</f>
        <v>9424.0300000000007</v>
      </c>
      <c r="V80" s="5">
        <f t="shared" ca="1" si="28"/>
        <v>-8.2699999999986176</v>
      </c>
      <c r="W80" s="3">
        <f ca="1">ROUNDDOWN(_xll.IMBC(S48,"세전단가",U51,T80),2)</f>
        <v>9425.69</v>
      </c>
      <c r="X80" s="7">
        <f t="shared" ca="1" si="29"/>
        <v>-8.2600000000002183</v>
      </c>
      <c r="Y80" s="2"/>
      <c r="Z80" s="71" t="s">
        <v>145</v>
      </c>
      <c r="AA80" s="52">
        <f>AA70+Z80/100</f>
        <v>2.282</v>
      </c>
      <c r="AB80" s="3">
        <f ca="1">ROUNDDOWN(_xll.IMBC(Z48,"세전단가",AB50,AA80),2)</f>
        <v>8825.0499999999993</v>
      </c>
      <c r="AC80" s="5">
        <f t="shared" ca="1" si="30"/>
        <v>-14.420000000000073</v>
      </c>
      <c r="AD80" s="3">
        <f ca="1">ROUNDDOWN(_xll.IMBC(Z48,"세전단가",AB51,AA80),2)</f>
        <v>8826.68</v>
      </c>
      <c r="AE80" s="7">
        <f t="shared" ca="1" si="31"/>
        <v>-14.420000000000073</v>
      </c>
    </row>
    <row r="81" spans="5:31" x14ac:dyDescent="0.25">
      <c r="E81" s="71" t="s">
        <v>40</v>
      </c>
      <c r="F81" s="52">
        <f>F70+E81/100</f>
        <v>1.175</v>
      </c>
      <c r="G81" s="3">
        <f ca="1">ROUNDDOWN(_xll.IMBC(E48,"세전단가",G50,F81),2)</f>
        <v>9945.59</v>
      </c>
      <c r="H81" s="5">
        <f t="shared" ca="1" si="24"/>
        <v>-1.7199999999993452</v>
      </c>
      <c r="I81" s="3">
        <f ca="1">ROUNDDOWN(_xll.IMBC(E48,"세전단가",G51,F81),2)</f>
        <v>9946.5400000000009</v>
      </c>
      <c r="J81" s="7">
        <f t="shared" ca="1" si="25"/>
        <v>-1.7099999999991269</v>
      </c>
      <c r="L81" s="71" t="s">
        <v>146</v>
      </c>
      <c r="M81" s="52">
        <f>M70+L81/100</f>
        <v>1.28</v>
      </c>
      <c r="N81" s="3">
        <f ca="1">ROUNDDOWN(_xll.IMBC(L48,"세전단가",N50,M81),2)</f>
        <v>9901</v>
      </c>
      <c r="O81" s="5">
        <f t="shared" ca="1" si="26"/>
        <v>-2.4400000000005093</v>
      </c>
      <c r="P81" s="3">
        <f ca="1">ROUNDDOWN(_xll.IMBC(L48,"세전단가",N51,M81),2)</f>
        <v>9902.0400000000009</v>
      </c>
      <c r="Q81" s="7">
        <f t="shared" ca="1" si="27"/>
        <v>-2.4199999999982538</v>
      </c>
      <c r="R81" s="2"/>
      <c r="S81" s="71" t="s">
        <v>146</v>
      </c>
      <c r="T81" s="52">
        <f>T70+S81/100</f>
        <v>2.1850000000000001</v>
      </c>
      <c r="U81" s="3">
        <f ca="1">ROUNDDOWN(_xll.IMBC(S48,"세전단가",U50,T81),2)</f>
        <v>9415.77</v>
      </c>
      <c r="V81" s="5">
        <f t="shared" ca="1" si="28"/>
        <v>-8.2600000000002183</v>
      </c>
      <c r="W81" s="3">
        <f ca="1">ROUNDDOWN(_xll.IMBC(S48,"세전단가",U51,T81),2)</f>
        <v>9417.44</v>
      </c>
      <c r="X81" s="7">
        <f t="shared" ca="1" si="29"/>
        <v>-8.25</v>
      </c>
      <c r="Y81" s="2"/>
      <c r="Z81" s="71" t="s">
        <v>146</v>
      </c>
      <c r="AA81" s="52">
        <f>AA70+Z81/100</f>
        <v>2.2920000000000003</v>
      </c>
      <c r="AB81" s="3">
        <f ca="1">ROUNDDOWN(_xll.IMBC(Z48,"세전단가",AB50,AA81),2)</f>
        <v>8810.65</v>
      </c>
      <c r="AC81" s="5">
        <f t="shared" ca="1" si="30"/>
        <v>-14.399999999999636</v>
      </c>
      <c r="AD81" s="3">
        <f ca="1">ROUNDDOWN(_xll.IMBC(Z48,"세전단가",AB51,AA81),2)</f>
        <v>8812.2900000000009</v>
      </c>
      <c r="AE81" s="7">
        <f t="shared" ca="1" si="31"/>
        <v>-14.389999999999418</v>
      </c>
    </row>
    <row r="82" spans="5:31" x14ac:dyDescent="0.25">
      <c r="E82" s="71" t="s">
        <v>47</v>
      </c>
      <c r="F82" s="52">
        <f>F70+E82/100</f>
        <v>1.1850000000000001</v>
      </c>
      <c r="G82" s="3">
        <f ca="1">ROUNDDOWN(_xll.IMBC(E48,"세전단가",G50,F82),2)</f>
        <v>9943.8700000000008</v>
      </c>
      <c r="H82" s="5">
        <f t="shared" ca="1" si="24"/>
        <v>-1.7199999999993452</v>
      </c>
      <c r="I82" s="3">
        <f ca="1">ROUNDDOWN(_xll.IMBC(E48,"세전단가",G51,F82),2)</f>
        <v>9944.83</v>
      </c>
      <c r="J82" s="7">
        <f t="shared" ca="1" si="25"/>
        <v>-1.7100000000009459</v>
      </c>
      <c r="L82" s="71" t="s">
        <v>147</v>
      </c>
      <c r="M82" s="52">
        <f>M70+L82/100</f>
        <v>1.29</v>
      </c>
      <c r="N82" s="3">
        <f ca="1">ROUNDDOWN(_xll.IMBC(L48,"세전단가",N50,M82),2)</f>
        <v>9898.57</v>
      </c>
      <c r="O82" s="5">
        <f t="shared" ca="1" si="26"/>
        <v>-2.430000000000291</v>
      </c>
      <c r="P82" s="3">
        <f ca="1">ROUNDDOWN(_xll.IMBC(L48,"세전단가",N51,M82),2)</f>
        <v>9899.61</v>
      </c>
      <c r="Q82" s="7">
        <f t="shared" ca="1" si="27"/>
        <v>-2.430000000000291</v>
      </c>
      <c r="R82" s="2"/>
      <c r="S82" s="71" t="s">
        <v>147</v>
      </c>
      <c r="T82" s="52">
        <f>T70+S82/100</f>
        <v>2.1949999999999998</v>
      </c>
      <c r="U82" s="3">
        <f ca="1">ROUNDDOWN(_xll.IMBC(S48,"세전단가",U50,T82),2)</f>
        <v>9407.52</v>
      </c>
      <c r="V82" s="5">
        <f t="shared" ca="1" si="28"/>
        <v>-8.25</v>
      </c>
      <c r="W82" s="3">
        <f ca="1">ROUNDDOWN(_xll.IMBC(S48,"세전단가",U51,T82),2)</f>
        <v>9409.19</v>
      </c>
      <c r="X82" s="7">
        <f t="shared" ca="1" si="29"/>
        <v>-8.25</v>
      </c>
      <c r="Y82" s="2"/>
      <c r="Z82" s="71" t="s">
        <v>147</v>
      </c>
      <c r="AA82" s="52">
        <f>AA70+Z82/100</f>
        <v>2.302</v>
      </c>
      <c r="AB82" s="3">
        <f ca="1">ROUNDDOWN(_xll.IMBC(Z48,"세전단가",AB50,AA82),2)</f>
        <v>8796.2800000000007</v>
      </c>
      <c r="AC82" s="5">
        <f t="shared" ca="1" si="30"/>
        <v>-14.369999999998981</v>
      </c>
      <c r="AD82" s="3">
        <f ca="1">ROUNDDOWN(_xll.IMBC(Z48,"세전단가",AB51,AA82),2)</f>
        <v>8797.93</v>
      </c>
      <c r="AE82" s="7">
        <f t="shared" ca="1" si="31"/>
        <v>-14.360000000000582</v>
      </c>
    </row>
    <row r="83" spans="5:31" x14ac:dyDescent="0.25">
      <c r="E83" s="71" t="s">
        <v>48</v>
      </c>
      <c r="F83" s="52">
        <f>F70+E83/100</f>
        <v>1.1949999999999998</v>
      </c>
      <c r="G83" s="3">
        <f ca="1">ROUNDDOWN(_xll.IMBC(E48,"세전단가",G50,F83),2)</f>
        <v>9942.16</v>
      </c>
      <c r="H83" s="5">
        <f t="shared" ca="1" si="24"/>
        <v>-1.7100000000009459</v>
      </c>
      <c r="I83" s="3">
        <f ca="1">ROUNDDOWN(_xll.IMBC(E48,"세전단가",G51,F83),2)</f>
        <v>9943.1200000000008</v>
      </c>
      <c r="J83" s="7">
        <f t="shared" ca="1" si="25"/>
        <v>-1.7099999999991269</v>
      </c>
      <c r="L83" s="71" t="s">
        <v>148</v>
      </c>
      <c r="M83" s="52">
        <f>M70+L83/100</f>
        <v>1.2999999999999998</v>
      </c>
      <c r="N83" s="3">
        <f ca="1">ROUNDDOWN(_xll.IMBC(L48,"세전단가",N50,M83),2)</f>
        <v>9896.14</v>
      </c>
      <c r="O83" s="5">
        <f t="shared" ca="1" si="26"/>
        <v>-2.430000000000291</v>
      </c>
      <c r="P83" s="3">
        <f ca="1">ROUNDDOWN(_xll.IMBC(L48,"세전단가",N51,M83),2)</f>
        <v>9897.18</v>
      </c>
      <c r="Q83" s="7">
        <f t="shared" ca="1" si="27"/>
        <v>-2.430000000000291</v>
      </c>
      <c r="R83" s="2"/>
      <c r="S83" s="71" t="s">
        <v>148</v>
      </c>
      <c r="T83" s="52">
        <f>T70+S83/100</f>
        <v>2.2050000000000001</v>
      </c>
      <c r="U83" s="3">
        <f ca="1">ROUNDDOWN(_xll.IMBC(S48,"세전단가",U50,T83),2)</f>
        <v>9399.2800000000007</v>
      </c>
      <c r="V83" s="5">
        <f t="shared" ca="1" si="28"/>
        <v>-8.2399999999997817</v>
      </c>
      <c r="W83" s="3">
        <f ca="1">ROUNDDOWN(_xll.IMBC(S48,"세전단가",U51,T83),2)</f>
        <v>9400.9599999999991</v>
      </c>
      <c r="X83" s="7">
        <f t="shared" ca="1" si="29"/>
        <v>-8.2300000000013824</v>
      </c>
      <c r="Y83" s="2"/>
      <c r="Z83" s="71" t="s">
        <v>148</v>
      </c>
      <c r="AA83" s="52">
        <f>AA70+Z83/100</f>
        <v>2.3120000000000003</v>
      </c>
      <c r="AB83" s="3">
        <f ca="1">ROUNDDOWN(_xll.IMBC(Z48,"세전단가",AB50,AA83),2)</f>
        <v>8781.94</v>
      </c>
      <c r="AC83" s="5">
        <f t="shared" ca="1" si="30"/>
        <v>-14.340000000000146</v>
      </c>
      <c r="AD83" s="3">
        <f ca="1">ROUNDDOWN(_xll.IMBC(Z48,"세전단가",AB51,AA83),2)</f>
        <v>8783.59</v>
      </c>
      <c r="AE83" s="7">
        <f t="shared" ca="1" si="31"/>
        <v>-14.340000000000146</v>
      </c>
    </row>
    <row r="84" spans="5:31" x14ac:dyDescent="0.25">
      <c r="E84" s="71" t="s">
        <v>49</v>
      </c>
      <c r="F84" s="52">
        <f>F70+E84/100</f>
        <v>1.2050000000000001</v>
      </c>
      <c r="G84" s="3">
        <f ca="1">ROUNDDOWN(_xll.IMBC(E48,"세전단가",G50,F84),2)</f>
        <v>9940.44</v>
      </c>
      <c r="H84" s="5">
        <f t="shared" ca="1" si="24"/>
        <v>-1.7199999999993452</v>
      </c>
      <c r="I84" s="3">
        <f ca="1">ROUNDDOWN(_xll.IMBC(E48,"세전단가",G51,F84),2)</f>
        <v>9941.41</v>
      </c>
      <c r="J84" s="7">
        <f t="shared" ca="1" si="25"/>
        <v>-1.7100000000009459</v>
      </c>
      <c r="L84" s="71" t="s">
        <v>149</v>
      </c>
      <c r="M84" s="52">
        <f>M70+L84/100</f>
        <v>1.31</v>
      </c>
      <c r="N84" s="3">
        <f ca="1">ROUNDDOWN(_xll.IMBC(L48,"세전단가",N50,M84),2)</f>
        <v>9893.7000000000007</v>
      </c>
      <c r="O84" s="5">
        <f t="shared" ca="1" si="26"/>
        <v>-2.4399999999986903</v>
      </c>
      <c r="P84" s="3">
        <f ca="1">ROUNDDOWN(_xll.IMBC(L48,"세전단가",N51,M84),2)</f>
        <v>9894.76</v>
      </c>
      <c r="Q84" s="7">
        <f t="shared" ca="1" si="27"/>
        <v>-2.4200000000000728</v>
      </c>
      <c r="R84" s="2"/>
      <c r="S84" s="71" t="s">
        <v>149</v>
      </c>
      <c r="T84" s="52">
        <f>T70+S84/100</f>
        <v>2.2149999999999999</v>
      </c>
      <c r="U84" s="3">
        <f ca="1">ROUNDDOWN(_xll.IMBC(S48,"세전단가",U50,T84),2)</f>
        <v>9391.0400000000009</v>
      </c>
      <c r="V84" s="5">
        <f t="shared" ca="1" si="28"/>
        <v>-8.2399999999997817</v>
      </c>
      <c r="W84" s="3">
        <f ca="1">ROUNDDOWN(_xll.IMBC(S48,"세전단가",U51,T84),2)</f>
        <v>9392.73</v>
      </c>
      <c r="X84" s="7">
        <f t="shared" ca="1" si="29"/>
        <v>-8.2299999999995634</v>
      </c>
      <c r="Y84" s="2"/>
      <c r="Z84" s="71" t="s">
        <v>149</v>
      </c>
      <c r="AA84" s="52">
        <f>AA70+Z84/100</f>
        <v>2.3220000000000001</v>
      </c>
      <c r="AB84" s="3">
        <f ca="1">ROUNDDOWN(_xll.IMBC(Z48,"세전단가",AB50,AA84),2)</f>
        <v>8767.6299999999992</v>
      </c>
      <c r="AC84" s="5">
        <f t="shared" ca="1" si="30"/>
        <v>-14.31000000000131</v>
      </c>
      <c r="AD84" s="3">
        <f ca="1">ROUNDDOWN(_xll.IMBC(Z48,"세전단가",AB51,AA84),2)</f>
        <v>8769.2800000000007</v>
      </c>
      <c r="AE84" s="7">
        <f t="shared" ca="1" si="31"/>
        <v>-14.309999999999491</v>
      </c>
    </row>
    <row r="85" spans="5:31" x14ac:dyDescent="0.25">
      <c r="E85" s="71" t="s">
        <v>50</v>
      </c>
      <c r="F85" s="52">
        <f>F70+E85/100</f>
        <v>1.2149999999999999</v>
      </c>
      <c r="G85" s="3">
        <f ca="1">ROUNDDOWN(_xll.IMBC(E48,"세전단가",G50,F85),2)</f>
        <v>9938.7199999999993</v>
      </c>
      <c r="H85" s="5">
        <f t="shared" ca="1" si="24"/>
        <v>-1.7200000000011642</v>
      </c>
      <c r="I85" s="3">
        <f ca="1">ROUNDDOWN(_xll.IMBC(E48,"세전단가",G51,F85),2)</f>
        <v>9939.7000000000007</v>
      </c>
      <c r="J85" s="7">
        <f t="shared" ca="1" si="25"/>
        <v>-1.7099999999991269</v>
      </c>
      <c r="L85" s="71" t="s">
        <v>150</v>
      </c>
      <c r="M85" s="52">
        <f>M70+L85/100</f>
        <v>1.3199999999999998</v>
      </c>
      <c r="N85" s="3">
        <f ca="1">ROUNDDOWN(_xll.IMBC(L48,"세전단가",N50,M85),2)</f>
        <v>9891.27</v>
      </c>
      <c r="O85" s="5">
        <f t="shared" ca="1" si="26"/>
        <v>-2.430000000000291</v>
      </c>
      <c r="P85" s="3">
        <f ca="1">ROUNDDOWN(_xll.IMBC(L48,"세전단가",N51,M85),2)</f>
        <v>9892.33</v>
      </c>
      <c r="Q85" s="7">
        <f t="shared" ca="1" si="27"/>
        <v>-2.430000000000291</v>
      </c>
      <c r="R85" s="2"/>
      <c r="S85" s="71" t="s">
        <v>150</v>
      </c>
      <c r="T85" s="52">
        <f>T70+S85/100</f>
        <v>2.2250000000000001</v>
      </c>
      <c r="U85" s="3">
        <f ca="1">ROUNDDOWN(_xll.IMBC(S48,"세전단가",U50,T85),2)</f>
        <v>9382.81</v>
      </c>
      <c r="V85" s="5">
        <f t="shared" ca="1" si="28"/>
        <v>-8.2300000000013824</v>
      </c>
      <c r="W85" s="3">
        <f ca="1">ROUNDDOWN(_xll.IMBC(S48,"세전단가",U51,T85),2)</f>
        <v>9384.51</v>
      </c>
      <c r="X85" s="7">
        <f t="shared" ca="1" si="29"/>
        <v>-8.2199999999993452</v>
      </c>
      <c r="Y85" s="2"/>
      <c r="Z85" s="71" t="s">
        <v>150</v>
      </c>
      <c r="AA85" s="52">
        <f>AA70+Z85/100</f>
        <v>2.3320000000000003</v>
      </c>
      <c r="AB85" s="3">
        <f ca="1">ROUNDDOWN(_xll.IMBC(Z48,"세전단가",AB50,AA85),2)</f>
        <v>8753.34</v>
      </c>
      <c r="AC85" s="5">
        <f t="shared" ca="1" si="30"/>
        <v>-14.289999999999054</v>
      </c>
      <c r="AD85" s="3">
        <f ca="1">ROUNDDOWN(_xll.IMBC(Z48,"세전단가",AB51,AA85),2)</f>
        <v>8755</v>
      </c>
      <c r="AE85" s="7">
        <f t="shared" ca="1" si="31"/>
        <v>-14.280000000000655</v>
      </c>
    </row>
    <row r="86" spans="5:31" ht="14.25" thickBot="1" x14ac:dyDescent="0.3">
      <c r="E86" s="72" t="s">
        <v>51</v>
      </c>
      <c r="F86" s="56">
        <f>F70+E86/100</f>
        <v>1.2249999999999999</v>
      </c>
      <c r="G86" s="8">
        <f ca="1">ROUNDDOWN(_xll.IMBC(E48,"세전단가",G50,F86),2)</f>
        <v>9937.01</v>
      </c>
      <c r="H86" s="9">
        <f t="shared" ca="1" si="24"/>
        <v>-1.7099999999991269</v>
      </c>
      <c r="I86" s="8">
        <f ca="1">ROUNDDOWN(_xll.IMBC(E48,"세전단가",G51,F86),2)</f>
        <v>9938</v>
      </c>
      <c r="J86" s="10">
        <f t="shared" ca="1" si="25"/>
        <v>-1.7000000000007276</v>
      </c>
      <c r="L86" s="72" t="s">
        <v>151</v>
      </c>
      <c r="M86" s="56">
        <f>M70+L86/100</f>
        <v>1.3299999999999998</v>
      </c>
      <c r="N86" s="8">
        <f ca="1">ROUNDDOWN(_xll.IMBC(L48,"세전단가",N50,M86),2)</f>
        <v>9888.84</v>
      </c>
      <c r="O86" s="9">
        <f t="shared" ca="1" si="26"/>
        <v>-2.430000000000291</v>
      </c>
      <c r="P86" s="8">
        <f ca="1">ROUNDDOWN(_xll.IMBC(L48,"세전단가",N51,M86),2)</f>
        <v>9889.91</v>
      </c>
      <c r="Q86" s="10">
        <f t="shared" ca="1" si="27"/>
        <v>-2.4200000000000728</v>
      </c>
      <c r="R86" s="2"/>
      <c r="S86" s="72" t="s">
        <v>151</v>
      </c>
      <c r="T86" s="56">
        <f>T70+S86/100</f>
        <v>2.2349999999999999</v>
      </c>
      <c r="U86" s="8">
        <f ca="1">ROUNDDOWN(_xll.IMBC(S48,"세전단가",U50,T86),2)</f>
        <v>9374.59</v>
      </c>
      <c r="V86" s="9">
        <f t="shared" ca="1" si="28"/>
        <v>-8.2199999999993452</v>
      </c>
      <c r="W86" s="8">
        <f ca="1">ROUNDDOWN(_xll.IMBC(S48,"세전단가",U51,T86),2)</f>
        <v>9376.2900000000009</v>
      </c>
      <c r="X86" s="10">
        <f t="shared" ca="1" si="29"/>
        <v>-8.2199999999993452</v>
      </c>
      <c r="Y86" s="2"/>
      <c r="Z86" s="72" t="s">
        <v>151</v>
      </c>
      <c r="AA86" s="56">
        <f>AA70+Z86/100</f>
        <v>2.3420000000000001</v>
      </c>
      <c r="AB86" s="8">
        <f ca="1">ROUNDDOWN(_xll.IMBC(Z48,"세전단가",AB50,AA86),2)</f>
        <v>8739.08</v>
      </c>
      <c r="AC86" s="9">
        <f t="shared" ca="1" si="30"/>
        <v>-14.260000000000218</v>
      </c>
      <c r="AD86" s="8">
        <f ca="1">ROUNDDOWN(_xll.IMBC(Z48,"세전단가",AB51,AA86),2)</f>
        <v>8740.74</v>
      </c>
      <c r="AE86" s="10">
        <f t="shared" ca="1" si="31"/>
        <v>-14.260000000000218</v>
      </c>
    </row>
  </sheetData>
  <mergeCells count="112">
    <mergeCell ref="Z52:AA52"/>
    <mergeCell ref="AB52:AC52"/>
    <mergeCell ref="AD52:AE52"/>
    <mergeCell ref="P51:Q51"/>
    <mergeCell ref="S51:T51"/>
    <mergeCell ref="U51:V51"/>
    <mergeCell ref="W51:X51"/>
    <mergeCell ref="Z51:AA51"/>
    <mergeCell ref="E51:F51"/>
    <mergeCell ref="G51:H51"/>
    <mergeCell ref="I51:J51"/>
    <mergeCell ref="L51:M51"/>
    <mergeCell ref="N51:O51"/>
    <mergeCell ref="E52:F52"/>
    <mergeCell ref="G52:H52"/>
    <mergeCell ref="I52:J52"/>
    <mergeCell ref="L52:M52"/>
    <mergeCell ref="N52:O52"/>
    <mergeCell ref="P52:Q52"/>
    <mergeCell ref="S52:T52"/>
    <mergeCell ref="U52:V52"/>
    <mergeCell ref="W52:X52"/>
    <mergeCell ref="Z50:AA50"/>
    <mergeCell ref="AB50:AC50"/>
    <mergeCell ref="AD50:AE50"/>
    <mergeCell ref="N49:O49"/>
    <mergeCell ref="P49:Q49"/>
    <mergeCell ref="S49:T49"/>
    <mergeCell ref="U49:V49"/>
    <mergeCell ref="W49:X49"/>
    <mergeCell ref="AB51:AC51"/>
    <mergeCell ref="AD51:AE51"/>
    <mergeCell ref="E50:F50"/>
    <mergeCell ref="G50:H50"/>
    <mergeCell ref="I50:J50"/>
    <mergeCell ref="L50:M50"/>
    <mergeCell ref="N50:O50"/>
    <mergeCell ref="P50:Q50"/>
    <mergeCell ref="S50:T50"/>
    <mergeCell ref="U50:V50"/>
    <mergeCell ref="W50:X50"/>
    <mergeCell ref="N48:Q48"/>
    <mergeCell ref="S48:T48"/>
    <mergeCell ref="U48:X48"/>
    <mergeCell ref="Z48:AA48"/>
    <mergeCell ref="AB48:AE48"/>
    <mergeCell ref="E49:F49"/>
    <mergeCell ref="G49:H49"/>
    <mergeCell ref="I49:J49"/>
    <mergeCell ref="G48:J48"/>
    <mergeCell ref="L48:M48"/>
    <mergeCell ref="L49:M49"/>
    <mergeCell ref="E48:F48"/>
    <mergeCell ref="Z49:AA49"/>
    <mergeCell ref="AB49:AC49"/>
    <mergeCell ref="AD49:AE49"/>
    <mergeCell ref="AD8:AE8"/>
    <mergeCell ref="AD9:AE9"/>
    <mergeCell ref="AB5:AE5"/>
    <mergeCell ref="Z6:AA6"/>
    <mergeCell ref="AB6:AC6"/>
    <mergeCell ref="AD6:AE6"/>
    <mergeCell ref="Z5:AA5"/>
    <mergeCell ref="Z7:AA7"/>
    <mergeCell ref="AB7:AC7"/>
    <mergeCell ref="AD7:AE7"/>
    <mergeCell ref="Z8:AA8"/>
    <mergeCell ref="AB8:AC8"/>
    <mergeCell ref="W9:X9"/>
    <mergeCell ref="Z9:AA9"/>
    <mergeCell ref="AB9:AC9"/>
    <mergeCell ref="S9:T9"/>
    <mergeCell ref="U9:V9"/>
    <mergeCell ref="U5:X5"/>
    <mergeCell ref="S6:T6"/>
    <mergeCell ref="U6:V6"/>
    <mergeCell ref="W6:X6"/>
    <mergeCell ref="W8:X8"/>
    <mergeCell ref="U7:V7"/>
    <mergeCell ref="W7:X7"/>
    <mergeCell ref="S8:T8"/>
    <mergeCell ref="U8:V8"/>
    <mergeCell ref="P9:Q9"/>
    <mergeCell ref="P8:Q8"/>
    <mergeCell ref="L9:M9"/>
    <mergeCell ref="N9:O9"/>
    <mergeCell ref="S5:T5"/>
    <mergeCell ref="L6:M6"/>
    <mergeCell ref="N6:O6"/>
    <mergeCell ref="L8:M8"/>
    <mergeCell ref="N5:Q5"/>
    <mergeCell ref="P6:Q6"/>
    <mergeCell ref="N8:O8"/>
    <mergeCell ref="L5:M5"/>
    <mergeCell ref="S7:T7"/>
    <mergeCell ref="N7:O7"/>
    <mergeCell ref="L7:M7"/>
    <mergeCell ref="P7:Q7"/>
    <mergeCell ref="E5:F5"/>
    <mergeCell ref="I6:J6"/>
    <mergeCell ref="G5:J5"/>
    <mergeCell ref="G8:H8"/>
    <mergeCell ref="E6:F6"/>
    <mergeCell ref="I9:J9"/>
    <mergeCell ref="I8:J8"/>
    <mergeCell ref="E7:F7"/>
    <mergeCell ref="G7:H7"/>
    <mergeCell ref="I7:J7"/>
    <mergeCell ref="E9:F9"/>
    <mergeCell ref="G9:H9"/>
    <mergeCell ref="G6:H6"/>
    <mergeCell ref="E8:F8"/>
  </mergeCells>
  <phoneticPr fontId="1" type="noConversion"/>
  <conditionalFormatting sqref="J11:J43">
    <cfRule type="cellIs" dxfId="63" priority="47" operator="lessThan">
      <formula>0</formula>
    </cfRule>
    <cfRule type="cellIs" dxfId="62" priority="48" operator="greaterThan">
      <formula>0</formula>
    </cfRule>
  </conditionalFormatting>
  <conditionalFormatting sqref="H11:H43">
    <cfRule type="cellIs" dxfId="61" priority="45" operator="lessThan">
      <formula>0</formula>
    </cfRule>
    <cfRule type="cellIs" dxfId="60" priority="46" operator="greaterThan">
      <formula>0</formula>
    </cfRule>
  </conditionalFormatting>
  <conditionalFormatting sqref="O11:O43">
    <cfRule type="cellIs" dxfId="59" priority="43" operator="lessThan">
      <formula>0</formula>
    </cfRule>
    <cfRule type="cellIs" dxfId="58" priority="44" operator="greaterThan">
      <formula>0</formula>
    </cfRule>
  </conditionalFormatting>
  <conditionalFormatting sqref="Q11:Q43">
    <cfRule type="cellIs" dxfId="57" priority="41" operator="lessThan">
      <formula>0</formula>
    </cfRule>
    <cfRule type="cellIs" dxfId="56" priority="42" operator="greaterThan">
      <formula>0</formula>
    </cfRule>
  </conditionalFormatting>
  <conditionalFormatting sqref="V11:V43">
    <cfRule type="cellIs" dxfId="55" priority="39" operator="lessThan">
      <formula>0</formula>
    </cfRule>
    <cfRule type="cellIs" dxfId="54" priority="40" operator="greaterThan">
      <formula>0</formula>
    </cfRule>
  </conditionalFormatting>
  <conditionalFormatting sqref="X11:X43">
    <cfRule type="cellIs" dxfId="53" priority="37" operator="lessThan">
      <formula>0</formula>
    </cfRule>
    <cfRule type="cellIs" dxfId="52" priority="38" operator="greaterThan">
      <formula>0</formula>
    </cfRule>
  </conditionalFormatting>
  <conditionalFormatting sqref="AC11:AC43">
    <cfRule type="cellIs" dxfId="51" priority="35" operator="lessThan">
      <formula>0</formula>
    </cfRule>
    <cfRule type="cellIs" dxfId="50" priority="36" operator="greaterThan">
      <formula>0</formula>
    </cfRule>
  </conditionalFormatting>
  <conditionalFormatting sqref="AE11:AE43">
    <cfRule type="cellIs" dxfId="49" priority="33" operator="lessThan">
      <formula>0</formula>
    </cfRule>
    <cfRule type="cellIs" dxfId="48" priority="34" operator="greaterThan">
      <formula>0</formula>
    </cfRule>
  </conditionalFormatting>
  <conditionalFormatting sqref="J54:J86">
    <cfRule type="cellIs" dxfId="47" priority="15" operator="lessThan">
      <formula>0</formula>
    </cfRule>
    <cfRule type="cellIs" dxfId="46" priority="16" operator="greaterThan">
      <formula>0</formula>
    </cfRule>
  </conditionalFormatting>
  <conditionalFormatting sqref="H54:H86">
    <cfRule type="cellIs" dxfId="45" priority="13" operator="lessThan">
      <formula>0</formula>
    </cfRule>
    <cfRule type="cellIs" dxfId="44" priority="14" operator="greaterThan">
      <formula>0</formula>
    </cfRule>
  </conditionalFormatting>
  <conditionalFormatting sqref="O54:O86">
    <cfRule type="cellIs" dxfId="43" priority="11" operator="lessThan">
      <formula>0</formula>
    </cfRule>
    <cfRule type="cellIs" dxfId="42" priority="12" operator="greaterThan">
      <formula>0</formula>
    </cfRule>
  </conditionalFormatting>
  <conditionalFormatting sqref="Q54:Q86">
    <cfRule type="cellIs" dxfId="41" priority="9" operator="lessThan">
      <formula>0</formula>
    </cfRule>
    <cfRule type="cellIs" dxfId="40" priority="10" operator="greaterThan">
      <formula>0</formula>
    </cfRule>
  </conditionalFormatting>
  <conditionalFormatting sqref="V54:V86">
    <cfRule type="cellIs" dxfId="39" priority="7" operator="lessThan">
      <formula>0</formula>
    </cfRule>
    <cfRule type="cellIs" dxfId="38" priority="8" operator="greaterThan">
      <formula>0</formula>
    </cfRule>
  </conditionalFormatting>
  <conditionalFormatting sqref="X54:X86">
    <cfRule type="cellIs" dxfId="37" priority="5" operator="lessThan">
      <formula>0</formula>
    </cfRule>
    <cfRule type="cellIs" dxfId="36" priority="6" operator="greaterThan">
      <formula>0</formula>
    </cfRule>
  </conditionalFormatting>
  <conditionalFormatting sqref="AC54:AC86">
    <cfRule type="cellIs" dxfId="35" priority="3" operator="lessThan">
      <formula>0</formula>
    </cfRule>
    <cfRule type="cellIs" dxfId="34" priority="4" operator="greaterThan">
      <formula>0</formula>
    </cfRule>
  </conditionalFormatting>
  <conditionalFormatting sqref="AE54:AE86">
    <cfRule type="cellIs" dxfId="33" priority="1" operator="lessThan">
      <formula>0</formula>
    </cfRule>
    <cfRule type="cellIs" dxfId="32" priority="2" operator="greaterThan">
      <formula>0</formula>
    </cfRule>
  </conditionalFormatting>
  <pageMargins left="0.7" right="0.7" top="0.75" bottom="0.75" header="0.3" footer="0.3"/>
  <pageSetup paperSize="9" orientation="portrait" r:id="rId1"/>
  <ignoredErrors>
    <ignoredError sqref="E11:E43 L11:L43 S11:S43 Z11:Z43 E54:E86 L54:L86 S54:S86 Z54:Z86" numberStoredAsText="1"/>
    <ignoredError sqref="I11:I43 P11:P43 W11:W43 AD11:AD43 I54:I86 P54:P86 W54:W86 AD54:AD86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4" name="Drop Down 4">
              <controlPr defaultSize="0" autoLine="0" autoPict="0">
                <anchor moveWithCells="1" sizeWithCells="1">
                  <from>
                    <xdr:col>15</xdr:col>
                    <xdr:colOff>0</xdr:colOff>
                    <xdr:row>6</xdr:row>
                    <xdr:rowOff>0</xdr:rowOff>
                  </from>
                  <to>
                    <xdr:col>16</xdr:col>
                    <xdr:colOff>438150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Drop Down 5">
              <controlPr defaultSize="0" autoLine="0" autoPict="0">
                <anchor moveWithCells="1" sizeWithCells="1">
                  <from>
                    <xdr:col>22</xdr:col>
                    <xdr:colOff>19050</xdr:colOff>
                    <xdr:row>6</xdr:row>
                    <xdr:rowOff>0</xdr:rowOff>
                  </from>
                  <to>
                    <xdr:col>23</xdr:col>
                    <xdr:colOff>428625</xdr:colOff>
                    <xdr:row>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6" name="Drop Down 6">
              <controlPr defaultSize="0" autoLine="0" autoPict="0">
                <anchor moveWithCells="1" sizeWithCells="1">
                  <from>
                    <xdr:col>29</xdr:col>
                    <xdr:colOff>19050</xdr:colOff>
                    <xdr:row>6</xdr:row>
                    <xdr:rowOff>0</xdr:rowOff>
                  </from>
                  <to>
                    <xdr:col>30</xdr:col>
                    <xdr:colOff>428625</xdr:colOff>
                    <xdr:row>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7" name="Drop Down 35">
              <controlPr defaultSize="0" autoLine="0" autoPict="0">
                <anchor moveWithCells="1" sizeWithCells="1">
                  <from>
                    <xdr:col>8</xdr:col>
                    <xdr:colOff>9525</xdr:colOff>
                    <xdr:row>49</xdr:row>
                    <xdr:rowOff>0</xdr:rowOff>
                  </from>
                  <to>
                    <xdr:col>10</xdr:col>
                    <xdr:colOff>0</xdr:colOff>
                    <xdr:row>50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8" name="Drop Down 36">
              <controlPr defaultSize="0" autoLine="0" autoPict="0">
                <anchor moveWithCells="1" sizeWithCells="1">
                  <from>
                    <xdr:col>15</xdr:col>
                    <xdr:colOff>0</xdr:colOff>
                    <xdr:row>49</xdr:row>
                    <xdr:rowOff>0</xdr:rowOff>
                  </from>
                  <to>
                    <xdr:col>16</xdr:col>
                    <xdr:colOff>438150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9" name="Drop Down 37">
              <controlPr defaultSize="0" autoLine="0" autoPict="0">
                <anchor moveWithCells="1" sizeWithCells="1">
                  <from>
                    <xdr:col>22</xdr:col>
                    <xdr:colOff>19050</xdr:colOff>
                    <xdr:row>49</xdr:row>
                    <xdr:rowOff>0</xdr:rowOff>
                  </from>
                  <to>
                    <xdr:col>23</xdr:col>
                    <xdr:colOff>428625</xdr:colOff>
                    <xdr:row>49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10" name="Drop Down 38">
              <controlPr defaultSize="0" autoLine="0" autoPict="0">
                <anchor moveWithCells="1" sizeWithCells="1">
                  <from>
                    <xdr:col>29</xdr:col>
                    <xdr:colOff>19050</xdr:colOff>
                    <xdr:row>49</xdr:row>
                    <xdr:rowOff>0</xdr:rowOff>
                  </from>
                  <to>
                    <xdr:col>30</xdr:col>
                    <xdr:colOff>428625</xdr:colOff>
                    <xdr:row>49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11" name="Drop Down 3">
              <controlPr defaultSize="0" autoLine="0" autoPict="0">
                <anchor moveWithCells="1" sizeWithCells="1">
                  <from>
                    <xdr:col>8</xdr:col>
                    <xdr:colOff>9525</xdr:colOff>
                    <xdr:row>6</xdr:row>
                    <xdr:rowOff>0</xdr:rowOff>
                  </from>
                  <to>
                    <xdr:col>10</xdr:col>
                    <xdr:colOff>0</xdr:colOff>
                    <xdr:row>7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86"/>
  <sheetViews>
    <sheetView showGridLines="0" topLeftCell="A7" workbookViewId="0">
      <selection activeCell="N27" sqref="N27"/>
    </sheetView>
  </sheetViews>
  <sheetFormatPr defaultRowHeight="13.5" x14ac:dyDescent="0.25"/>
  <cols>
    <col min="1" max="1" width="1" style="2" customWidth="1"/>
    <col min="2" max="2" width="3.42578125" style="81" bestFit="1" customWidth="1"/>
    <col min="3" max="3" width="2.5703125" style="80" bestFit="1" customWidth="1"/>
    <col min="4" max="4" width="2.140625" style="73" customWidth="1"/>
    <col min="5" max="5" width="5.7109375" style="1" customWidth="1"/>
    <col min="6" max="6" width="10.7109375" style="1" customWidth="1"/>
    <col min="7" max="7" width="8.7109375" style="2" customWidth="1"/>
    <col min="8" max="8" width="6.7109375" style="2" customWidth="1"/>
    <col min="9" max="9" width="10.42578125" style="2" hidden="1" customWidth="1"/>
    <col min="10" max="10" width="8.7109375" style="2" customWidth="1"/>
    <col min="11" max="11" width="6.7109375" style="2" customWidth="1"/>
    <col min="12" max="12" width="1.28515625" style="2" customWidth="1"/>
    <col min="13" max="13" width="5.7109375" style="2" customWidth="1"/>
    <col min="14" max="14" width="10.7109375" style="2" customWidth="1"/>
    <col min="15" max="15" width="8.7109375" style="2" customWidth="1"/>
    <col min="16" max="16" width="6.7109375" style="2" customWidth="1"/>
    <col min="17" max="17" width="10.28515625" style="2" hidden="1" customWidth="1"/>
    <col min="18" max="18" width="8.7109375" style="2" customWidth="1"/>
    <col min="19" max="19" width="6.7109375" style="2" customWidth="1"/>
    <col min="20" max="20" width="1.28515625" style="2" customWidth="1"/>
    <col min="21" max="21" width="5.7109375" style="2" customWidth="1"/>
    <col min="22" max="22" width="10.7109375" style="2" customWidth="1"/>
    <col min="23" max="23" width="8.7109375" style="2" customWidth="1"/>
    <col min="24" max="24" width="6.7109375" style="2" customWidth="1"/>
    <col min="25" max="25" width="10.28515625" style="2" hidden="1" customWidth="1"/>
    <col min="26" max="26" width="8.7109375" style="2" customWidth="1"/>
    <col min="27" max="27" width="6.7109375" style="2" customWidth="1"/>
    <col min="28" max="28" width="1.5703125" style="2" customWidth="1"/>
    <col min="29" max="29" width="5.7109375" style="2" customWidth="1"/>
    <col min="30" max="30" width="10.7109375" style="2" customWidth="1"/>
    <col min="31" max="31" width="8.7109375" style="2" customWidth="1"/>
    <col min="32" max="32" width="6.7109375" style="2" customWidth="1"/>
    <col min="33" max="33" width="10.28515625" style="2" hidden="1" customWidth="1"/>
    <col min="34" max="34" width="8.7109375" style="2" customWidth="1"/>
    <col min="35" max="35" width="6.7109375" style="2" customWidth="1"/>
    <col min="36" max="36" width="2" style="2" customWidth="1"/>
    <col min="37" max="16384" width="9.140625" style="2"/>
  </cols>
  <sheetData>
    <row r="1" spans="1:35" ht="8.25" customHeight="1" x14ac:dyDescent="0.25">
      <c r="A1" s="43"/>
    </row>
    <row r="2" spans="1:35" ht="22.5" customHeight="1" x14ac:dyDescent="0.25">
      <c r="E2" s="18" t="s">
        <v>108</v>
      </c>
      <c r="F2" s="16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</row>
    <row r="3" spans="1:35" ht="8.25" customHeight="1" x14ac:dyDescent="0.25"/>
    <row r="4" spans="1:35" ht="9" customHeight="1" thickBot="1" x14ac:dyDescent="0.3">
      <c r="E4" s="79">
        <v>1</v>
      </c>
      <c r="M4" s="79">
        <v>2</v>
      </c>
      <c r="U4" s="79">
        <v>3</v>
      </c>
      <c r="AC4" s="79">
        <v>4</v>
      </c>
    </row>
    <row r="5" spans="1:35" ht="14.25" thickBot="1" x14ac:dyDescent="0.3">
      <c r="B5" s="82">
        <v>1</v>
      </c>
      <c r="C5" s="83">
        <v>1</v>
      </c>
      <c r="E5" s="120" t="s">
        <v>158</v>
      </c>
      <c r="F5" s="85"/>
      <c r="G5" s="123" t="str">
        <f>_xll.IMDP("BND",E5,"한글종목명")</f>
        <v>국고00750-2303(21-3)</v>
      </c>
      <c r="H5" s="124"/>
      <c r="I5" s="124"/>
      <c r="J5" s="124"/>
      <c r="K5" s="125"/>
      <c r="M5" s="120" t="s">
        <v>159</v>
      </c>
      <c r="N5" s="85"/>
      <c r="O5" s="88" t="str">
        <f>_xll.IMDP("BND",M5,"한글종목명")</f>
        <v>국고00875-2312(20-8)</v>
      </c>
      <c r="P5" s="88"/>
      <c r="Q5" s="88"/>
      <c r="R5" s="88"/>
      <c r="S5" s="89"/>
      <c r="U5" s="120" t="s">
        <v>160</v>
      </c>
      <c r="V5" s="85"/>
      <c r="W5" s="88" t="str">
        <f>_xll.IMDP("BND",U5,"한글종목명")</f>
        <v>국고01500-3012(20-9)</v>
      </c>
      <c r="X5" s="88"/>
      <c r="Y5" s="88"/>
      <c r="Z5" s="88"/>
      <c r="AA5" s="89"/>
      <c r="AC5" s="120" t="s">
        <v>161</v>
      </c>
      <c r="AD5" s="85"/>
      <c r="AE5" s="88" t="str">
        <f>_xll.IMDP("BND",AC5,"한글종목명")</f>
        <v>국고01500-4009(20-7)</v>
      </c>
      <c r="AF5" s="88"/>
      <c r="AG5" s="88"/>
      <c r="AH5" s="88"/>
      <c r="AI5" s="89"/>
    </row>
    <row r="6" spans="1:35" ht="17.25" customHeight="1" x14ac:dyDescent="0.25">
      <c r="B6" s="82">
        <v>2</v>
      </c>
      <c r="C6" s="83">
        <v>1</v>
      </c>
      <c r="E6" s="121" t="s">
        <v>62</v>
      </c>
      <c r="F6" s="122"/>
      <c r="G6" s="106">
        <f>_xll.IMDP("BND",E5,"만기일")</f>
        <v>20230310</v>
      </c>
      <c r="H6" s="106"/>
      <c r="I6" s="42" t="s">
        <v>63</v>
      </c>
      <c r="J6" s="112" t="s">
        <v>103</v>
      </c>
      <c r="K6" s="113"/>
      <c r="M6" s="91" t="s">
        <v>152</v>
      </c>
      <c r="N6" s="86"/>
      <c r="O6" s="106">
        <f>_xll.IMDP("BND",M5,"만기일")</f>
        <v>20231210</v>
      </c>
      <c r="P6" s="106"/>
      <c r="Q6" s="30" t="s">
        <v>153</v>
      </c>
      <c r="R6" s="112" t="s">
        <v>111</v>
      </c>
      <c r="S6" s="113"/>
      <c r="U6" s="91" t="s">
        <v>152</v>
      </c>
      <c r="V6" s="86"/>
      <c r="W6" s="106">
        <f>_xll.IMDP("BND",U5,"만기일")</f>
        <v>20301210</v>
      </c>
      <c r="X6" s="106"/>
      <c r="Y6" s="30" t="s">
        <v>153</v>
      </c>
      <c r="Z6" s="112" t="s">
        <v>111</v>
      </c>
      <c r="AA6" s="113"/>
      <c r="AC6" s="91" t="s">
        <v>152</v>
      </c>
      <c r="AD6" s="86"/>
      <c r="AE6" s="106">
        <f>_xll.IMDP("BND",AC5,"만기일")</f>
        <v>20400910</v>
      </c>
      <c r="AF6" s="106"/>
      <c r="AG6" s="30" t="s">
        <v>153</v>
      </c>
      <c r="AH6" s="112" t="s">
        <v>111</v>
      </c>
      <c r="AI6" s="113"/>
    </row>
    <row r="7" spans="1:35" ht="15" customHeight="1" x14ac:dyDescent="0.25">
      <c r="B7" s="82">
        <v>3</v>
      </c>
      <c r="C7" s="83">
        <v>1</v>
      </c>
      <c r="E7" s="96" t="s">
        <v>64</v>
      </c>
      <c r="F7" s="97"/>
      <c r="G7" s="98">
        <f ca="1">TODAY()</f>
        <v>44358</v>
      </c>
      <c r="H7" s="99"/>
      <c r="I7" s="29" t="s">
        <v>59</v>
      </c>
      <c r="J7" s="100" t="s">
        <v>103</v>
      </c>
      <c r="K7" s="101"/>
      <c r="M7" s="116" t="s">
        <v>112</v>
      </c>
      <c r="N7" s="117"/>
      <c r="O7" s="107">
        <f ca="1">TODAY()</f>
        <v>44358</v>
      </c>
      <c r="P7" s="107"/>
      <c r="Q7" s="29" t="s">
        <v>116</v>
      </c>
      <c r="R7" s="100" t="s">
        <v>111</v>
      </c>
      <c r="S7" s="101"/>
      <c r="U7" s="116" t="s">
        <v>112</v>
      </c>
      <c r="V7" s="117"/>
      <c r="W7" s="107">
        <f ca="1">TODAY()</f>
        <v>44358</v>
      </c>
      <c r="X7" s="107"/>
      <c r="Y7" s="29" t="s">
        <v>116</v>
      </c>
      <c r="Z7" s="100" t="s">
        <v>111</v>
      </c>
      <c r="AA7" s="101"/>
      <c r="AC7" s="116" t="s">
        <v>112</v>
      </c>
      <c r="AD7" s="117"/>
      <c r="AE7" s="107">
        <f ca="1">TODAY()</f>
        <v>44358</v>
      </c>
      <c r="AF7" s="107"/>
      <c r="AG7" s="29" t="s">
        <v>116</v>
      </c>
      <c r="AH7" s="100" t="s">
        <v>111</v>
      </c>
      <c r="AI7" s="101"/>
    </row>
    <row r="8" spans="1:35" ht="15" customHeight="1" x14ac:dyDescent="0.25">
      <c r="B8" s="82">
        <v>4</v>
      </c>
      <c r="C8" s="83">
        <v>1</v>
      </c>
      <c r="E8" s="96" t="s">
        <v>65</v>
      </c>
      <c r="F8" s="97"/>
      <c r="G8" s="98">
        <f ca="1">WORKDAY(TODAY(),1)</f>
        <v>44361</v>
      </c>
      <c r="H8" s="99"/>
      <c r="I8" s="29" t="s">
        <v>61</v>
      </c>
      <c r="J8" s="114">
        <f>ROUNDDOWN(_xll.IMDP("BND",E5,INDEX(Sheet1!$B$2:$C$7,$C$5,2)),2)</f>
        <v>1.07</v>
      </c>
      <c r="K8" s="115"/>
      <c r="M8" s="116" t="s">
        <v>113</v>
      </c>
      <c r="N8" s="117"/>
      <c r="O8" s="107">
        <f ca="1">WORKDAY(TODAY(),1)</f>
        <v>44361</v>
      </c>
      <c r="P8" s="107"/>
      <c r="Q8" s="29" t="s">
        <v>154</v>
      </c>
      <c r="R8" s="118">
        <f>ROUNDDOWN(_xll.IMDP("BND",M5,INDEX(Sheet1!$B$2:$C$7,$C$5,2)),2)</f>
        <v>1.18</v>
      </c>
      <c r="S8" s="119"/>
      <c r="U8" s="116" t="s">
        <v>113</v>
      </c>
      <c r="V8" s="117"/>
      <c r="W8" s="107">
        <f ca="1">WORKDAY(TODAY(),1)</f>
        <v>44361</v>
      </c>
      <c r="X8" s="107"/>
      <c r="Y8" s="29" t="s">
        <v>154</v>
      </c>
      <c r="Z8" s="114">
        <f>ROUNDDOWN(_xll.IMDP("BND",U5,INDEX(Sheet1!$B$2:$C$7,$C$5,2)),2)</f>
        <v>2.08</v>
      </c>
      <c r="AA8" s="115"/>
      <c r="AC8" s="116" t="s">
        <v>113</v>
      </c>
      <c r="AD8" s="117"/>
      <c r="AE8" s="107">
        <f ca="1">WORKDAY(TODAY(),1)</f>
        <v>44361</v>
      </c>
      <c r="AF8" s="107"/>
      <c r="AG8" s="29" t="s">
        <v>154</v>
      </c>
      <c r="AH8" s="114">
        <f>ROUNDDOWN(_xll.IMDP("BND",AC5,INDEX(Sheet1!$B$2:$C$7,$C$5,2)),2)</f>
        <v>2.19</v>
      </c>
      <c r="AI8" s="115"/>
    </row>
    <row r="9" spans="1:35" ht="15" customHeight="1" thickBot="1" x14ac:dyDescent="0.3">
      <c r="B9" s="82">
        <v>5</v>
      </c>
      <c r="C9" s="83">
        <v>1</v>
      </c>
      <c r="E9" s="110" t="s">
        <v>107</v>
      </c>
      <c r="F9" s="111"/>
      <c r="G9" s="104"/>
      <c r="H9" s="105"/>
      <c r="I9" s="31"/>
      <c r="J9" s="108">
        <f>ROUNDDOWN(_xll.IMDP("BND",E5,INDEX(Sheet1!$B$9:$C$14,$C$5,2)),2)</f>
        <v>9962.66</v>
      </c>
      <c r="K9" s="109"/>
      <c r="M9" s="110" t="s">
        <v>155</v>
      </c>
      <c r="N9" s="111"/>
      <c r="O9" s="104"/>
      <c r="P9" s="105"/>
      <c r="Q9" s="31"/>
      <c r="R9" s="108">
        <f>ROUNDDOWN(_xll.IMDP("BND",M5,INDEX(Sheet1!$B$9:$C$14,$C$5,2)),2)</f>
        <v>9925.23</v>
      </c>
      <c r="S9" s="109"/>
      <c r="U9" s="110" t="s">
        <v>155</v>
      </c>
      <c r="V9" s="111"/>
      <c r="W9" s="104"/>
      <c r="X9" s="105"/>
      <c r="Y9" s="31"/>
      <c r="Z9" s="108">
        <f>ROUNDDOWN(_xll.IMDP("BND",U5,INDEX(Sheet1!$B$9:$C$14,$C$5,2)),2)</f>
        <v>9498.7199999999993</v>
      </c>
      <c r="AA9" s="109"/>
      <c r="AC9" s="110" t="s">
        <v>155</v>
      </c>
      <c r="AD9" s="111"/>
      <c r="AE9" s="104"/>
      <c r="AF9" s="105"/>
      <c r="AG9" s="31"/>
      <c r="AH9" s="108">
        <f>ROUNDDOWN(_xll.IMDP("BND",AC5,INDEX(Sheet1!$B$9:$C$14,$C$5,2)),2)</f>
        <v>8955.81</v>
      </c>
      <c r="AI9" s="109"/>
    </row>
    <row r="10" spans="1:35" ht="16.5" customHeight="1" x14ac:dyDescent="0.25">
      <c r="B10" s="82">
        <v>6</v>
      </c>
      <c r="C10" s="83">
        <v>1</v>
      </c>
      <c r="E10" s="11" t="s">
        <v>102</v>
      </c>
      <c r="F10" s="6" t="s">
        <v>66</v>
      </c>
      <c r="G10" s="6" t="s">
        <v>67</v>
      </c>
      <c r="H10" s="6" t="s">
        <v>2</v>
      </c>
      <c r="I10" s="39" t="s">
        <v>68</v>
      </c>
      <c r="J10" s="6" t="s">
        <v>69</v>
      </c>
      <c r="K10" s="67" t="s">
        <v>2</v>
      </c>
      <c r="M10" s="11" t="s">
        <v>118</v>
      </c>
      <c r="N10" s="6" t="s">
        <v>156</v>
      </c>
      <c r="O10" s="6" t="s">
        <v>117</v>
      </c>
      <c r="P10" s="6" t="s">
        <v>115</v>
      </c>
      <c r="Q10" s="39" t="s">
        <v>157</v>
      </c>
      <c r="R10" s="6" t="s">
        <v>119</v>
      </c>
      <c r="S10" s="67" t="s">
        <v>115</v>
      </c>
      <c r="U10" s="11" t="s">
        <v>118</v>
      </c>
      <c r="V10" s="6" t="s">
        <v>156</v>
      </c>
      <c r="W10" s="6" t="s">
        <v>117</v>
      </c>
      <c r="X10" s="6" t="s">
        <v>115</v>
      </c>
      <c r="Y10" s="39" t="s">
        <v>157</v>
      </c>
      <c r="Z10" s="6" t="s">
        <v>119</v>
      </c>
      <c r="AA10" s="67" t="s">
        <v>115</v>
      </c>
      <c r="AC10" s="11" t="s">
        <v>118</v>
      </c>
      <c r="AD10" s="6" t="s">
        <v>156</v>
      </c>
      <c r="AE10" s="6" t="s">
        <v>117</v>
      </c>
      <c r="AF10" s="6" t="s">
        <v>115</v>
      </c>
      <c r="AG10" s="39" t="s">
        <v>157</v>
      </c>
      <c r="AH10" s="6" t="s">
        <v>119</v>
      </c>
      <c r="AI10" s="67" t="s">
        <v>115</v>
      </c>
    </row>
    <row r="11" spans="1:35" x14ac:dyDescent="0.25">
      <c r="B11" s="82">
        <v>7</v>
      </c>
      <c r="C11" s="83">
        <v>1</v>
      </c>
      <c r="D11" s="78"/>
      <c r="E11" s="19" t="s">
        <v>70</v>
      </c>
      <c r="F11" s="59">
        <f ca="1">F27+E11</f>
        <v>9947</v>
      </c>
      <c r="G11" s="60">
        <f ca="1">ROUNDDOWN(_xll.IMBC(E5,"세전수익률",G7,F11,"세전단가"),4)</f>
        <v>1.1659999999999999</v>
      </c>
      <c r="H11" s="5">
        <f ca="1">(G11-G12)*100</f>
        <v>0.60000000000000053</v>
      </c>
      <c r="I11" s="28">
        <f ca="1">I27+E11</f>
        <v>9949</v>
      </c>
      <c r="J11" s="22">
        <f ca="1">ROUNDDOWN(_xll.IMBC(E5,"세전수익률",G8,F11,"세전단가"),4)</f>
        <v>1.1719999999999999</v>
      </c>
      <c r="K11" s="7">
        <f ca="1">(J11-J12)*100</f>
        <v>0.60000000000000053</v>
      </c>
      <c r="M11" s="19" t="s">
        <v>120</v>
      </c>
      <c r="N11" s="59">
        <f ca="1">N27+M11</f>
        <v>9910</v>
      </c>
      <c r="O11" s="60">
        <f ca="1">ROUNDDOWN(_xll.IMBC(M5,"세전수익률",O7,N11,"세전단가"),4)</f>
        <v>1.2430000000000001</v>
      </c>
      <c r="P11" s="5">
        <f ca="1">(O11-O12)*100</f>
        <v>0.40000000000000036</v>
      </c>
      <c r="Q11" s="26">
        <f ca="1">Q27+M11</f>
        <v>9911</v>
      </c>
      <c r="R11" s="22">
        <f ca="1">ROUNDDOWN(_xll.IMBC(M5,"세전수익률",O8,N11,"세전단가"),4)</f>
        <v>1.2470000000000001</v>
      </c>
      <c r="S11" s="7">
        <f ca="1">(R11-R12)*100</f>
        <v>0.40000000000000036</v>
      </c>
      <c r="U11" s="19" t="s">
        <v>120</v>
      </c>
      <c r="V11" s="59">
        <f ca="1">V27+U11</f>
        <v>9483</v>
      </c>
      <c r="W11" s="60">
        <f ca="1">ROUNDDOWN(_xll.IMBC(U5,"세전수익률",W7,V11,"세전단가"),4)</f>
        <v>2.1030000000000002</v>
      </c>
      <c r="X11" s="5">
        <f ca="1">(W11-W12)*100</f>
        <v>0.1000000000000334</v>
      </c>
      <c r="Y11" s="26">
        <f ca="1">Y27+U11</f>
        <v>9489</v>
      </c>
      <c r="Z11" s="22">
        <f ca="1">ROUNDDOWN(_xll.IMBC(U5,"세전수익률",W8,V11,"세전단가"),4)</f>
        <v>2.105</v>
      </c>
      <c r="AA11" s="7">
        <f ca="1">(Z11-Z12)*100</f>
        <v>9.9999999999988987E-2</v>
      </c>
      <c r="AC11" s="19" t="s">
        <v>120</v>
      </c>
      <c r="AD11" s="59">
        <f ca="1">AD27+AC11</f>
        <v>8940</v>
      </c>
      <c r="AE11" s="60">
        <f ca="1">ROUNDDOWN(_xll.IMBC(AC5,"세전수익률",AE7,AD11,"세전단가"),4)</f>
        <v>2.202</v>
      </c>
      <c r="AF11" s="5">
        <f ca="1">(AE11-AE12)*100</f>
        <v>0</v>
      </c>
      <c r="AG11" s="26">
        <f ca="1">AG27+AC11</f>
        <v>8945</v>
      </c>
      <c r="AH11" s="22">
        <f ca="1">ROUNDDOWN(_xll.IMBC(AC5,"세전수익률",AE8,AD11,"세전단가"),4)</f>
        <v>2.2029999999999998</v>
      </c>
      <c r="AI11" s="7">
        <f ca="1">(AH11-AH12)*100</f>
        <v>0</v>
      </c>
    </row>
    <row r="12" spans="1:35" x14ac:dyDescent="0.25">
      <c r="B12" s="82">
        <v>8</v>
      </c>
      <c r="C12" s="83">
        <v>1</v>
      </c>
      <c r="D12" s="78"/>
      <c r="E12" s="20" t="s">
        <v>71</v>
      </c>
      <c r="F12" s="59">
        <f ca="1">F27+E12</f>
        <v>9948</v>
      </c>
      <c r="G12" s="60">
        <f ca="1">ROUNDDOWN(_xll.IMBC(E5,"세전수익률",G7,F12,"세전단가"),4)</f>
        <v>1.1599999999999999</v>
      </c>
      <c r="H12" s="5">
        <f t="shared" ref="H12:H26" ca="1" si="0">(G12-G13)*100</f>
        <v>0.49999999999998934</v>
      </c>
      <c r="I12" s="28">
        <f ca="1">I27+E12</f>
        <v>9950</v>
      </c>
      <c r="J12" s="22">
        <f ca="1">ROUNDDOWN(_xll.IMBC(E5,"세전수익률",G8,F12,"세전단가"),4)</f>
        <v>1.1659999999999999</v>
      </c>
      <c r="K12" s="7">
        <f t="shared" ref="K12:K26" ca="1" si="1">(J12-J13)*100</f>
        <v>0.60000000000000053</v>
      </c>
      <c r="M12" s="20" t="s">
        <v>121</v>
      </c>
      <c r="N12" s="59">
        <f ca="1">N27+M12</f>
        <v>9911</v>
      </c>
      <c r="O12" s="60">
        <f ca="1">ROUNDDOWN(_xll.IMBC(M5,"세전수익률",O7,N12,"세전단가"),4)</f>
        <v>1.2390000000000001</v>
      </c>
      <c r="P12" s="5">
        <f t="shared" ref="P12:P26" ca="1" si="2">(O12-O13)*100</f>
        <v>0.50000000000001155</v>
      </c>
      <c r="Q12" s="26">
        <f ca="1">Q27+M12</f>
        <v>9912</v>
      </c>
      <c r="R12" s="22">
        <f ca="1">ROUNDDOWN(_xll.IMBC(M5,"세전수익률",O8,N12,"세전단가"),4)</f>
        <v>1.2430000000000001</v>
      </c>
      <c r="S12" s="7">
        <f t="shared" ref="S12:S26" ca="1" si="3">(R12-R13)*100</f>
        <v>0.40000000000000036</v>
      </c>
      <c r="U12" s="20" t="s">
        <v>121</v>
      </c>
      <c r="V12" s="59">
        <f ca="1">V27+U12</f>
        <v>9484</v>
      </c>
      <c r="W12" s="60">
        <f ca="1">ROUNDDOWN(_xll.IMBC(U5,"세전수익률",W7,V12,"세전단가"),4)</f>
        <v>2.1019999999999999</v>
      </c>
      <c r="X12" s="5">
        <f t="shared" ref="X12:X26" ca="1" si="4">(W12-W13)*100</f>
        <v>9.9999999999988987E-2</v>
      </c>
      <c r="Y12" s="26">
        <f ca="1">Y27+U12</f>
        <v>9490</v>
      </c>
      <c r="Z12" s="22">
        <f ca="1">ROUNDDOWN(_xll.IMBC(U5,"세전수익률",W8,V12,"세전단가"),4)</f>
        <v>2.1040000000000001</v>
      </c>
      <c r="AA12" s="7">
        <f t="shared" ref="AA12:AA26" ca="1" si="5">(Z12-Z13)*100</f>
        <v>9.9999999999988987E-2</v>
      </c>
      <c r="AC12" s="20" t="s">
        <v>121</v>
      </c>
      <c r="AD12" s="59">
        <f ca="1">AD27+AC12</f>
        <v>8941</v>
      </c>
      <c r="AE12" s="60">
        <f ca="1">ROUNDDOWN(_xll.IMBC(AC5,"세전수익률",AE7,AD12,"세전단가"),4)</f>
        <v>2.202</v>
      </c>
      <c r="AF12" s="5">
        <f t="shared" ref="AF12:AF26" ca="1" si="6">(AE12-AE13)*100</f>
        <v>9.9999999999988987E-2</v>
      </c>
      <c r="AG12" s="26">
        <f ca="1">AG27+AC12</f>
        <v>8946</v>
      </c>
      <c r="AH12" s="22">
        <f ca="1">ROUNDDOWN(_xll.IMBC(AC5,"세전수익률",AE8,AD12,"세전단가"),4)</f>
        <v>2.2029999999999998</v>
      </c>
      <c r="AI12" s="7">
        <f t="shared" ref="AI12:AI26" ca="1" si="7">(AH12-AH13)*100</f>
        <v>9.9999999999988987E-2</v>
      </c>
    </row>
    <row r="13" spans="1:35" x14ac:dyDescent="0.25">
      <c r="B13" s="82">
        <v>9</v>
      </c>
      <c r="C13" s="83"/>
      <c r="D13" s="78"/>
      <c r="E13" s="20" t="s">
        <v>72</v>
      </c>
      <c r="F13" s="59">
        <f ca="1">F27+E13</f>
        <v>9949</v>
      </c>
      <c r="G13" s="60">
        <f ca="1">ROUNDDOWN(_xll.IMBC(E5,"세전수익률",G7,F13,"세전단가"),4)</f>
        <v>1.155</v>
      </c>
      <c r="H13" s="5">
        <f t="shared" ca="1" si="0"/>
        <v>0.60000000000000053</v>
      </c>
      <c r="I13" s="28">
        <f ca="1">I27+E13</f>
        <v>9951</v>
      </c>
      <c r="J13" s="22">
        <f ca="1">ROUNDDOWN(_xll.IMBC(E5,"세전수익률",G8,F13,"세전단가"),4)</f>
        <v>1.1599999999999999</v>
      </c>
      <c r="K13" s="7">
        <f t="shared" ca="1" si="1"/>
        <v>0.60000000000000053</v>
      </c>
      <c r="M13" s="20" t="s">
        <v>122</v>
      </c>
      <c r="N13" s="59">
        <f ca="1">N27+M13</f>
        <v>9912</v>
      </c>
      <c r="O13" s="60">
        <f ca="1">ROUNDDOWN(_xll.IMBC(M5,"세전수익률",O7,N13,"세전단가"),4)</f>
        <v>1.234</v>
      </c>
      <c r="P13" s="5">
        <f t="shared" ca="1" si="2"/>
        <v>0.40000000000000036</v>
      </c>
      <c r="Q13" s="26">
        <f ca="1">Q27+M13</f>
        <v>9913</v>
      </c>
      <c r="R13" s="22">
        <f ca="1">ROUNDDOWN(_xll.IMBC(M5,"세전수익률",O8,N13,"세전단가"),4)</f>
        <v>1.2390000000000001</v>
      </c>
      <c r="S13" s="7">
        <f t="shared" ca="1" si="3"/>
        <v>0.50000000000001155</v>
      </c>
      <c r="U13" s="20" t="s">
        <v>122</v>
      </c>
      <c r="V13" s="59">
        <f ca="1">V27+U13</f>
        <v>9485</v>
      </c>
      <c r="W13" s="60">
        <f ca="1">ROUNDDOWN(_xll.IMBC(U5,"세전수익률",W7,V13,"세전단가"),4)</f>
        <v>2.101</v>
      </c>
      <c r="X13" s="5">
        <f t="shared" ca="1" si="4"/>
        <v>9.9999999999988987E-2</v>
      </c>
      <c r="Y13" s="26">
        <f ca="1">Y27+U13</f>
        <v>9491</v>
      </c>
      <c r="Z13" s="22">
        <f ca="1">ROUNDDOWN(_xll.IMBC(U5,"세전수익률",W8,V13,"세전단가"),4)</f>
        <v>2.1030000000000002</v>
      </c>
      <c r="AA13" s="7">
        <f t="shared" ca="1" si="5"/>
        <v>0.1000000000000334</v>
      </c>
      <c r="AC13" s="20" t="s">
        <v>122</v>
      </c>
      <c r="AD13" s="59">
        <f ca="1">AD27+AC13</f>
        <v>8942</v>
      </c>
      <c r="AE13" s="60">
        <f ca="1">ROUNDDOWN(_xll.IMBC(AC5,"세전수익률",AE7,AD13,"세전단가"),4)</f>
        <v>2.2010000000000001</v>
      </c>
      <c r="AF13" s="5">
        <f t="shared" ca="1" si="6"/>
        <v>9.9999999999988987E-2</v>
      </c>
      <c r="AG13" s="26">
        <f ca="1">AG27+AC13</f>
        <v>8947</v>
      </c>
      <c r="AH13" s="22">
        <f ca="1">ROUNDDOWN(_xll.IMBC(AC5,"세전수익률",AE8,AD13,"세전단가"),4)</f>
        <v>2.202</v>
      </c>
      <c r="AI13" s="7">
        <f t="shared" ca="1" si="7"/>
        <v>9.9999999999988987E-2</v>
      </c>
    </row>
    <row r="14" spans="1:35" x14ac:dyDescent="0.25">
      <c r="B14" s="82">
        <v>10</v>
      </c>
      <c r="C14" s="83"/>
      <c r="D14" s="78"/>
      <c r="E14" s="20" t="s">
        <v>73</v>
      </c>
      <c r="F14" s="59">
        <f ca="1">F27+E14</f>
        <v>9950</v>
      </c>
      <c r="G14" s="60">
        <f ca="1">ROUNDDOWN(_xll.IMBC(E5,"세전수익률",G7,F14,"세전단가"),4)</f>
        <v>1.149</v>
      </c>
      <c r="H14" s="5">
        <f t="shared" ca="1" si="0"/>
        <v>0.60000000000000053</v>
      </c>
      <c r="I14" s="28">
        <f ca="1">I27+E14</f>
        <v>9952</v>
      </c>
      <c r="J14" s="22">
        <f ca="1">ROUNDDOWN(_xll.IMBC(E5,"세전수익률",G8,F14,"세전단가"),4)</f>
        <v>1.1539999999999999</v>
      </c>
      <c r="K14" s="7">
        <f t="shared" ca="1" si="1"/>
        <v>0.60000000000000053</v>
      </c>
      <c r="M14" s="20" t="s">
        <v>123</v>
      </c>
      <c r="N14" s="59">
        <f ca="1">N27+M14</f>
        <v>9913</v>
      </c>
      <c r="O14" s="60">
        <f ca="1">ROUNDDOWN(_xll.IMBC(M5,"세전수익률",O7,N14,"세전단가"),4)</f>
        <v>1.23</v>
      </c>
      <c r="P14" s="5">
        <f t="shared" ca="1" si="2"/>
        <v>0.40000000000000036</v>
      </c>
      <c r="Q14" s="26">
        <f ca="1">Q27+M14</f>
        <v>9914</v>
      </c>
      <c r="R14" s="22">
        <f ca="1">ROUNDDOWN(_xll.IMBC(M5,"세전수익률",O8,N14,"세전단가"),4)</f>
        <v>1.234</v>
      </c>
      <c r="S14" s="7">
        <f t="shared" ca="1" si="3"/>
        <v>0.40000000000000036</v>
      </c>
      <c r="U14" s="20" t="s">
        <v>123</v>
      </c>
      <c r="V14" s="59">
        <f ca="1">V27+U14</f>
        <v>9486</v>
      </c>
      <c r="W14" s="60">
        <f ca="1">ROUNDDOWN(_xll.IMBC(U5,"세전수익률",W7,V14,"세전단가"),4)</f>
        <v>2.1</v>
      </c>
      <c r="X14" s="5">
        <f t="shared" ca="1" si="4"/>
        <v>9.9999999999988987E-2</v>
      </c>
      <c r="Y14" s="26">
        <f ca="1">Y27+U14</f>
        <v>9492</v>
      </c>
      <c r="Z14" s="22">
        <f ca="1">ROUNDDOWN(_xll.IMBC(U5,"세전수익률",W8,V14,"세전단가"),4)</f>
        <v>2.1019999999999999</v>
      </c>
      <c r="AA14" s="7">
        <f t="shared" ca="1" si="5"/>
        <v>9.9999999999988987E-2</v>
      </c>
      <c r="AC14" s="20" t="s">
        <v>123</v>
      </c>
      <c r="AD14" s="59">
        <f ca="1">AD27+AC14</f>
        <v>8943</v>
      </c>
      <c r="AE14" s="60">
        <f ca="1">ROUNDDOWN(_xll.IMBC(AC5,"세전수익률",AE7,AD14,"세전단가"),4)</f>
        <v>2.2000000000000002</v>
      </c>
      <c r="AF14" s="5">
        <f t="shared" ca="1" si="6"/>
        <v>0</v>
      </c>
      <c r="AG14" s="26">
        <f ca="1">AG27+AC14</f>
        <v>8948</v>
      </c>
      <c r="AH14" s="22">
        <f ca="1">ROUNDDOWN(_xll.IMBC(AC5,"세전수익률",AE8,AD14,"세전단가"),4)</f>
        <v>2.2010000000000001</v>
      </c>
      <c r="AI14" s="7">
        <f t="shared" ca="1" si="7"/>
        <v>0</v>
      </c>
    </row>
    <row r="15" spans="1:35" x14ac:dyDescent="0.25">
      <c r="D15" s="78"/>
      <c r="E15" s="20" t="s">
        <v>74</v>
      </c>
      <c r="F15" s="59">
        <f ca="1">F27+E15</f>
        <v>9951</v>
      </c>
      <c r="G15" s="60">
        <f ca="1">ROUNDDOWN(_xll.IMBC(E5,"세전수익률",G7,F15,"세전단가"),4)</f>
        <v>1.143</v>
      </c>
      <c r="H15" s="5">
        <f t="shared" ca="1" si="0"/>
        <v>0.60000000000000053</v>
      </c>
      <c r="I15" s="28">
        <f ca="1">I27+E15</f>
        <v>9953</v>
      </c>
      <c r="J15" s="22">
        <f ca="1">ROUNDDOWN(_xll.IMBC(E5,"세전수익률",G8,F15,"세전단가"),4)</f>
        <v>1.1479999999999999</v>
      </c>
      <c r="K15" s="7">
        <f t="shared" ca="1" si="1"/>
        <v>0.49999999999998934</v>
      </c>
      <c r="M15" s="20" t="s">
        <v>124</v>
      </c>
      <c r="N15" s="59">
        <f ca="1">N27+M15</f>
        <v>9914</v>
      </c>
      <c r="O15" s="60">
        <f ca="1">ROUNDDOWN(_xll.IMBC(M5,"세전수익률",O7,N15,"세전단가"),4)</f>
        <v>1.226</v>
      </c>
      <c r="P15" s="5">
        <f t="shared" ca="1" si="2"/>
        <v>0.40000000000000036</v>
      </c>
      <c r="Q15" s="26">
        <f ca="1">Q27+M15</f>
        <v>9915</v>
      </c>
      <c r="R15" s="22">
        <f ca="1">ROUNDDOWN(_xll.IMBC(M5,"세전수익률",O8,N15,"세전단가"),4)</f>
        <v>1.23</v>
      </c>
      <c r="S15" s="7">
        <f t="shared" ca="1" si="3"/>
        <v>0.40000000000000036</v>
      </c>
      <c r="U15" s="20" t="s">
        <v>124</v>
      </c>
      <c r="V15" s="59">
        <f ca="1">V27+U15</f>
        <v>9487</v>
      </c>
      <c r="W15" s="60">
        <f ca="1">ROUNDDOWN(_xll.IMBC(U5,"세전수익률",W7,V15,"세전단가"),4)</f>
        <v>2.0990000000000002</v>
      </c>
      <c r="X15" s="5">
        <f t="shared" ca="1" si="4"/>
        <v>0.20000000000002238</v>
      </c>
      <c r="Y15" s="26">
        <f ca="1">Y27+U15</f>
        <v>9493</v>
      </c>
      <c r="Z15" s="22">
        <f ca="1">ROUNDDOWN(_xll.IMBC(U5,"세전수익률",W8,V15,"세전단가"),4)</f>
        <v>2.101</v>
      </c>
      <c r="AA15" s="7">
        <f t="shared" ca="1" si="5"/>
        <v>0.19999999999997797</v>
      </c>
      <c r="AC15" s="20" t="s">
        <v>124</v>
      </c>
      <c r="AD15" s="59">
        <f ca="1">AD27+AC15</f>
        <v>8944</v>
      </c>
      <c r="AE15" s="60">
        <f ca="1">ROUNDDOWN(_xll.IMBC(AC5,"세전수익률",AE7,AD15,"세전단가"),4)</f>
        <v>2.2000000000000002</v>
      </c>
      <c r="AF15" s="5">
        <f t="shared" ca="1" si="6"/>
        <v>0.1000000000000334</v>
      </c>
      <c r="AG15" s="26">
        <f ca="1">AG27+AC15</f>
        <v>8949</v>
      </c>
      <c r="AH15" s="22">
        <f ca="1">ROUNDDOWN(_xll.IMBC(AC5,"세전수익률",AE8,AD15,"세전단가"),4)</f>
        <v>2.2010000000000001</v>
      </c>
      <c r="AI15" s="7">
        <f t="shared" ca="1" si="7"/>
        <v>9.9999999999988987E-2</v>
      </c>
    </row>
    <row r="16" spans="1:35" x14ac:dyDescent="0.25">
      <c r="D16" s="78"/>
      <c r="E16" s="20" t="s">
        <v>75</v>
      </c>
      <c r="F16" s="59">
        <f ca="1">F27+E16</f>
        <v>9952</v>
      </c>
      <c r="G16" s="60">
        <f ca="1">ROUNDDOWN(_xll.IMBC(E5,"세전수익률",G7,F16,"세전단가"),4)</f>
        <v>1.137</v>
      </c>
      <c r="H16" s="5">
        <f t="shared" ca="1" si="0"/>
        <v>0.60000000000000053</v>
      </c>
      <c r="I16" s="28">
        <f ca="1">I27+E16</f>
        <v>9954</v>
      </c>
      <c r="J16" s="22">
        <f ca="1">ROUNDDOWN(_xll.IMBC(E5,"세전수익률",G8,F16,"세전단가"),4)</f>
        <v>1.143</v>
      </c>
      <c r="K16" s="7">
        <f t="shared" ca="1" si="1"/>
        <v>0.60000000000000053</v>
      </c>
      <c r="M16" s="20" t="s">
        <v>125</v>
      </c>
      <c r="N16" s="59">
        <f ca="1">N27+M16</f>
        <v>9915</v>
      </c>
      <c r="O16" s="60">
        <f ca="1">ROUNDDOWN(_xll.IMBC(M5,"세전수익률",O7,N16,"세전단가"),4)</f>
        <v>1.222</v>
      </c>
      <c r="P16" s="5">
        <f t="shared" ca="1" si="2"/>
        <v>0.40000000000000036</v>
      </c>
      <c r="Q16" s="26">
        <f ca="1">Q27+M16</f>
        <v>9916</v>
      </c>
      <c r="R16" s="22">
        <f ca="1">ROUNDDOWN(_xll.IMBC(M5,"세전수익률",O8,N16,"세전단가"),4)</f>
        <v>1.226</v>
      </c>
      <c r="S16" s="7">
        <f t="shared" ca="1" si="3"/>
        <v>0.40000000000000036</v>
      </c>
      <c r="U16" s="20" t="s">
        <v>125</v>
      </c>
      <c r="V16" s="59">
        <f ca="1">V27+U16</f>
        <v>9488</v>
      </c>
      <c r="W16" s="60">
        <f ca="1">ROUNDDOWN(_xll.IMBC(U5,"세전수익률",W7,V16,"세전단가"),4)</f>
        <v>2.097</v>
      </c>
      <c r="X16" s="5">
        <f t="shared" ca="1" si="4"/>
        <v>9.9999999999988987E-2</v>
      </c>
      <c r="Y16" s="26">
        <f ca="1">Y27+U16</f>
        <v>9494</v>
      </c>
      <c r="Z16" s="22">
        <f ca="1">ROUNDDOWN(_xll.IMBC(U5,"세전수익률",W8,V16,"세전단가"),4)</f>
        <v>2.0990000000000002</v>
      </c>
      <c r="AA16" s="7">
        <f t="shared" ca="1" si="5"/>
        <v>0.1000000000000334</v>
      </c>
      <c r="AC16" s="20" t="s">
        <v>125</v>
      </c>
      <c r="AD16" s="59">
        <f ca="1">AD27+AC16</f>
        <v>8945</v>
      </c>
      <c r="AE16" s="60">
        <f ca="1">ROUNDDOWN(_xll.IMBC(AC5,"세전수익률",AE7,AD16,"세전단가"),4)</f>
        <v>2.1989999999999998</v>
      </c>
      <c r="AF16" s="5">
        <f t="shared" ca="1" si="6"/>
        <v>9.9999999999988987E-2</v>
      </c>
      <c r="AG16" s="26">
        <f ca="1">AG27+AC16</f>
        <v>8950</v>
      </c>
      <c r="AH16" s="22">
        <f ca="1">ROUNDDOWN(_xll.IMBC(AC5,"세전수익률",AE8,AD16,"세전단가"),4)</f>
        <v>2.2000000000000002</v>
      </c>
      <c r="AI16" s="7">
        <f t="shared" ca="1" si="7"/>
        <v>0.1000000000000334</v>
      </c>
    </row>
    <row r="17" spans="4:35" x14ac:dyDescent="0.25">
      <c r="D17" s="78"/>
      <c r="E17" s="20" t="s">
        <v>76</v>
      </c>
      <c r="F17" s="59">
        <f ca="1">F27+E17</f>
        <v>9953</v>
      </c>
      <c r="G17" s="60">
        <f ca="1">ROUNDDOWN(_xll.IMBC(E5,"세전수익률",G7,F17,"세전단가"),4)</f>
        <v>1.131</v>
      </c>
      <c r="H17" s="5">
        <f t="shared" ca="1" si="0"/>
        <v>0.50000000000001155</v>
      </c>
      <c r="I17" s="28">
        <f ca="1">I27+E17</f>
        <v>9955</v>
      </c>
      <c r="J17" s="22">
        <f ca="1">ROUNDDOWN(_xll.IMBC(E5,"세전수익률",G8,F17,"세전단가"),4)</f>
        <v>1.137</v>
      </c>
      <c r="K17" s="7">
        <f t="shared" ca="1" si="1"/>
        <v>0.60000000000000053</v>
      </c>
      <c r="M17" s="20" t="s">
        <v>126</v>
      </c>
      <c r="N17" s="59">
        <f ca="1">N27+M17</f>
        <v>9916</v>
      </c>
      <c r="O17" s="60">
        <f ca="1">ROUNDDOWN(_xll.IMBC(M5,"세전수익률",O7,N17,"세전단가"),4)</f>
        <v>1.218</v>
      </c>
      <c r="P17" s="5">
        <f t="shared" ca="1" si="2"/>
        <v>0.40000000000000036</v>
      </c>
      <c r="Q17" s="26">
        <f ca="1">Q27+M17</f>
        <v>9917</v>
      </c>
      <c r="R17" s="22">
        <f ca="1">ROUNDDOWN(_xll.IMBC(M5,"세전수익률",O8,N17,"세전단가"),4)</f>
        <v>1.222</v>
      </c>
      <c r="S17" s="7">
        <f t="shared" ca="1" si="3"/>
        <v>0.40000000000000036</v>
      </c>
      <c r="U17" s="20" t="s">
        <v>126</v>
      </c>
      <c r="V17" s="59">
        <f ca="1">V27+U17</f>
        <v>9489</v>
      </c>
      <c r="W17" s="60">
        <f ca="1">ROUNDDOWN(_xll.IMBC(U5,"세전수익률",W7,V17,"세전단가"),4)</f>
        <v>2.0960000000000001</v>
      </c>
      <c r="X17" s="5">
        <f t="shared" ca="1" si="4"/>
        <v>9.9999999999988987E-2</v>
      </c>
      <c r="Y17" s="26">
        <f ca="1">Y27+U17</f>
        <v>9495</v>
      </c>
      <c r="Z17" s="22">
        <f ca="1">ROUNDDOWN(_xll.IMBC(U5,"세전수익률",W8,V17,"세전단가"),4)</f>
        <v>2.0979999999999999</v>
      </c>
      <c r="AA17" s="7">
        <f t="shared" ca="1" si="5"/>
        <v>9.9999999999988987E-2</v>
      </c>
      <c r="AC17" s="20" t="s">
        <v>126</v>
      </c>
      <c r="AD17" s="59">
        <f ca="1">AD27+AC17</f>
        <v>8946</v>
      </c>
      <c r="AE17" s="60">
        <f ca="1">ROUNDDOWN(_xll.IMBC(AC5,"세전수익률",AE7,AD17,"세전단가"),4)</f>
        <v>2.198</v>
      </c>
      <c r="AF17" s="5">
        <f t="shared" ca="1" si="6"/>
        <v>0</v>
      </c>
      <c r="AG17" s="26">
        <f ca="1">AG27+AC17</f>
        <v>8951</v>
      </c>
      <c r="AH17" s="22">
        <f ca="1">ROUNDDOWN(_xll.IMBC(AC5,"세전수익률",AE8,AD17,"세전단가"),4)</f>
        <v>2.1989999999999998</v>
      </c>
      <c r="AI17" s="7">
        <f t="shared" ca="1" si="7"/>
        <v>0</v>
      </c>
    </row>
    <row r="18" spans="4:35" x14ac:dyDescent="0.25">
      <c r="D18" s="78"/>
      <c r="E18" s="20" t="s">
        <v>77</v>
      </c>
      <c r="F18" s="59">
        <f ca="1">F27+E18</f>
        <v>9954</v>
      </c>
      <c r="G18" s="60">
        <f ca="1">ROUNDDOWN(_xll.IMBC(E5,"세전수익률",G7,F18,"세전단가"),4)</f>
        <v>1.1259999999999999</v>
      </c>
      <c r="H18" s="5">
        <f t="shared" ca="1" si="0"/>
        <v>0.59999999999997833</v>
      </c>
      <c r="I18" s="28">
        <f ca="1">I27+E18</f>
        <v>9956</v>
      </c>
      <c r="J18" s="22">
        <f ca="1">ROUNDDOWN(_xll.IMBC(E5,"세전수익률",G8,F18,"세전단가"),4)</f>
        <v>1.131</v>
      </c>
      <c r="K18" s="7">
        <f t="shared" ca="1" si="1"/>
        <v>0.60000000000000053</v>
      </c>
      <c r="M18" s="20" t="s">
        <v>127</v>
      </c>
      <c r="N18" s="59">
        <f ca="1">N27+M18</f>
        <v>9917</v>
      </c>
      <c r="O18" s="60">
        <f ca="1">ROUNDDOWN(_xll.IMBC(M5,"세전수익률",O7,N18,"세전단가"),4)</f>
        <v>1.214</v>
      </c>
      <c r="P18" s="5">
        <f t="shared" ca="1" si="2"/>
        <v>0.40000000000000036</v>
      </c>
      <c r="Q18" s="26">
        <f ca="1">Q27+M18</f>
        <v>9918</v>
      </c>
      <c r="R18" s="22">
        <f ca="1">ROUNDDOWN(_xll.IMBC(M5,"세전수익률",O8,N18,"세전단가"),4)</f>
        <v>1.218</v>
      </c>
      <c r="S18" s="7">
        <f t="shared" ca="1" si="3"/>
        <v>0.40000000000000036</v>
      </c>
      <c r="U18" s="20" t="s">
        <v>127</v>
      </c>
      <c r="V18" s="59">
        <f ca="1">V27+U18</f>
        <v>9490</v>
      </c>
      <c r="W18" s="60">
        <f ca="1">ROUNDDOWN(_xll.IMBC(U5,"세전수익률",W7,V18,"세전단가"),4)</f>
        <v>2.0950000000000002</v>
      </c>
      <c r="X18" s="5">
        <f t="shared" ca="1" si="4"/>
        <v>0.1000000000000334</v>
      </c>
      <c r="Y18" s="26">
        <f ca="1">Y27+U18</f>
        <v>9496</v>
      </c>
      <c r="Z18" s="22">
        <f ca="1">ROUNDDOWN(_xll.IMBC(U5,"세전수익률",W8,V18,"세전단가"),4)</f>
        <v>2.097</v>
      </c>
      <c r="AA18" s="7">
        <f t="shared" ca="1" si="5"/>
        <v>9.9999999999988987E-2</v>
      </c>
      <c r="AC18" s="20" t="s">
        <v>127</v>
      </c>
      <c r="AD18" s="59">
        <f ca="1">AD27+AC18</f>
        <v>8947</v>
      </c>
      <c r="AE18" s="60">
        <f ca="1">ROUNDDOWN(_xll.IMBC(AC5,"세전수익률",AE7,AD18,"세전단가"),4)</f>
        <v>2.198</v>
      </c>
      <c r="AF18" s="5">
        <f t="shared" ca="1" si="6"/>
        <v>9.9999999999988987E-2</v>
      </c>
      <c r="AG18" s="26">
        <f ca="1">AG27+AC18</f>
        <v>8952</v>
      </c>
      <c r="AH18" s="22">
        <f ca="1">ROUNDDOWN(_xll.IMBC(AC5,"세전수익률",AE8,AD18,"세전단가"),4)</f>
        <v>2.1989999999999998</v>
      </c>
      <c r="AI18" s="7">
        <f t="shared" ca="1" si="7"/>
        <v>9.9999999999988987E-2</v>
      </c>
    </row>
    <row r="19" spans="4:35" x14ac:dyDescent="0.25">
      <c r="D19" s="78"/>
      <c r="E19" s="20" t="s">
        <v>78</v>
      </c>
      <c r="F19" s="59">
        <f ca="1">F27+E19</f>
        <v>9955</v>
      </c>
      <c r="G19" s="60">
        <f ca="1">ROUNDDOWN(_xll.IMBC(E5,"세전수익률",G7,F19,"세전단가"),4)</f>
        <v>1.1200000000000001</v>
      </c>
      <c r="H19" s="5">
        <f t="shared" ca="1" si="0"/>
        <v>0.60000000000000053</v>
      </c>
      <c r="I19" s="28">
        <f ca="1">I27+E19</f>
        <v>9957</v>
      </c>
      <c r="J19" s="22">
        <f ca="1">ROUNDDOWN(_xll.IMBC(E5,"세전수익률",G8,F19,"세전단가"),4)</f>
        <v>1.125</v>
      </c>
      <c r="K19" s="7">
        <f t="shared" ca="1" si="1"/>
        <v>0.60000000000000053</v>
      </c>
      <c r="M19" s="20" t="s">
        <v>128</v>
      </c>
      <c r="N19" s="59">
        <f ca="1">N27+M19</f>
        <v>9918</v>
      </c>
      <c r="O19" s="60">
        <f ca="1">ROUNDDOWN(_xll.IMBC(M5,"세전수익률",O7,N19,"세전단가"),4)</f>
        <v>1.21</v>
      </c>
      <c r="P19" s="5">
        <f t="shared" ca="1" si="2"/>
        <v>0.40000000000000036</v>
      </c>
      <c r="Q19" s="26">
        <f ca="1">Q27+M19</f>
        <v>9919</v>
      </c>
      <c r="R19" s="22">
        <f ca="1">ROUNDDOWN(_xll.IMBC(M5,"세전수익률",O8,N19,"세전단가"),4)</f>
        <v>1.214</v>
      </c>
      <c r="S19" s="7">
        <f t="shared" ca="1" si="3"/>
        <v>0.40000000000000036</v>
      </c>
      <c r="U19" s="20" t="s">
        <v>128</v>
      </c>
      <c r="V19" s="59">
        <f ca="1">V27+U19</f>
        <v>9491</v>
      </c>
      <c r="W19" s="60">
        <f ca="1">ROUNDDOWN(_xll.IMBC(U5,"세전수익률",W7,V19,"세전단가"),4)</f>
        <v>2.0939999999999999</v>
      </c>
      <c r="X19" s="5">
        <f t="shared" ca="1" si="4"/>
        <v>9.9999999999988987E-2</v>
      </c>
      <c r="Y19" s="26">
        <f ca="1">Y27+U19</f>
        <v>9497</v>
      </c>
      <c r="Z19" s="22">
        <f ca="1">ROUNDDOWN(_xll.IMBC(U5,"세전수익률",W8,V19,"세전단가"),4)</f>
        <v>2.0960000000000001</v>
      </c>
      <c r="AA19" s="7">
        <f t="shared" ca="1" si="5"/>
        <v>9.9999999999988987E-2</v>
      </c>
      <c r="AC19" s="20" t="s">
        <v>128</v>
      </c>
      <c r="AD19" s="59">
        <f ca="1">AD27+AC19</f>
        <v>8948</v>
      </c>
      <c r="AE19" s="60">
        <f ca="1">ROUNDDOWN(_xll.IMBC(AC5,"세전수익률",AE7,AD19,"세전단가"),4)</f>
        <v>2.1970000000000001</v>
      </c>
      <c r="AF19" s="5">
        <f t="shared" ca="1" si="6"/>
        <v>9.9999999999988987E-2</v>
      </c>
      <c r="AG19" s="26">
        <f ca="1">AG27+AC19</f>
        <v>8953</v>
      </c>
      <c r="AH19" s="22">
        <f ca="1">ROUNDDOWN(_xll.IMBC(AC5,"세전수익률",AE8,AD19,"세전단가"),4)</f>
        <v>2.198</v>
      </c>
      <c r="AI19" s="7">
        <f t="shared" ca="1" si="7"/>
        <v>9.9999999999988987E-2</v>
      </c>
    </row>
    <row r="20" spans="4:35" x14ac:dyDescent="0.25">
      <c r="D20" s="78"/>
      <c r="E20" s="20" t="s">
        <v>79</v>
      </c>
      <c r="F20" s="59">
        <f ca="1">F27+E20</f>
        <v>9956</v>
      </c>
      <c r="G20" s="60">
        <f ca="1">ROUNDDOWN(_xll.IMBC(E5,"세전수익률",G7,F20,"세전단가"),4)</f>
        <v>1.1140000000000001</v>
      </c>
      <c r="H20" s="5">
        <f t="shared" ca="1" si="0"/>
        <v>0.60000000000000053</v>
      </c>
      <c r="I20" s="28">
        <f ca="1">I27+E20</f>
        <v>9958</v>
      </c>
      <c r="J20" s="22">
        <f ca="1">ROUNDDOWN(_xll.IMBC(E5,"세전수익률",G8,F20,"세전단가"),4)</f>
        <v>1.119</v>
      </c>
      <c r="K20" s="7">
        <f t="shared" ca="1" si="1"/>
        <v>0.60000000000000053</v>
      </c>
      <c r="M20" s="20" t="s">
        <v>129</v>
      </c>
      <c r="N20" s="59">
        <f ca="1">N27+M20</f>
        <v>9919</v>
      </c>
      <c r="O20" s="60">
        <f ca="1">ROUNDDOWN(_xll.IMBC(M5,"세전수익률",O7,N20,"세전단가"),4)</f>
        <v>1.206</v>
      </c>
      <c r="P20" s="5">
        <f t="shared" ca="1" si="2"/>
        <v>0.40000000000000036</v>
      </c>
      <c r="Q20" s="26">
        <f ca="1">Q27+M20</f>
        <v>9920</v>
      </c>
      <c r="R20" s="22">
        <f ca="1">ROUNDDOWN(_xll.IMBC(M5,"세전수익률",O8,N20,"세전단가"),4)</f>
        <v>1.21</v>
      </c>
      <c r="S20" s="7">
        <f t="shared" ca="1" si="3"/>
        <v>0.40000000000000036</v>
      </c>
      <c r="U20" s="20" t="s">
        <v>129</v>
      </c>
      <c r="V20" s="59">
        <f ca="1">V27+U20</f>
        <v>9492</v>
      </c>
      <c r="W20" s="60">
        <f ca="1">ROUNDDOWN(_xll.IMBC(U5,"세전수익률",W7,V20,"세전단가"),4)</f>
        <v>2.093</v>
      </c>
      <c r="X20" s="5">
        <f t="shared" ca="1" si="4"/>
        <v>0.19999999999997797</v>
      </c>
      <c r="Y20" s="26">
        <f ca="1">Y27+U20</f>
        <v>9498</v>
      </c>
      <c r="Z20" s="22">
        <f ca="1">ROUNDDOWN(_xll.IMBC(U5,"세전수익률",W8,V20,"세전단가"),4)</f>
        <v>2.0950000000000002</v>
      </c>
      <c r="AA20" s="7">
        <f t="shared" ca="1" si="5"/>
        <v>0.20000000000002238</v>
      </c>
      <c r="AC20" s="20" t="s">
        <v>129</v>
      </c>
      <c r="AD20" s="59">
        <f ca="1">AD27+AC20</f>
        <v>8949</v>
      </c>
      <c r="AE20" s="60">
        <f ca="1">ROUNDDOWN(_xll.IMBC(AC5,"세전수익률",AE7,AD20,"세전단가"),4)</f>
        <v>2.1960000000000002</v>
      </c>
      <c r="AF20" s="5">
        <f t="shared" ca="1" si="6"/>
        <v>0.1000000000000334</v>
      </c>
      <c r="AG20" s="26">
        <f ca="1">AG27+AC20</f>
        <v>8954</v>
      </c>
      <c r="AH20" s="22">
        <f ca="1">ROUNDDOWN(_xll.IMBC(AC5,"세전수익률",AE8,AD20,"세전단가"),4)</f>
        <v>2.1970000000000001</v>
      </c>
      <c r="AI20" s="7">
        <f t="shared" ca="1" si="7"/>
        <v>0</v>
      </c>
    </row>
    <row r="21" spans="4:35" x14ac:dyDescent="0.25">
      <c r="D21" s="78"/>
      <c r="E21" s="20" t="s">
        <v>80</v>
      </c>
      <c r="F21" s="59">
        <f ca="1">F27+E21</f>
        <v>9957</v>
      </c>
      <c r="G21" s="60">
        <f ca="1">ROUNDDOWN(_xll.IMBC(E5,"세전수익률",G7,F21,"세전단가"),4)</f>
        <v>1.1080000000000001</v>
      </c>
      <c r="H21" s="5">
        <f t="shared" ca="1" si="0"/>
        <v>0.60000000000000053</v>
      </c>
      <c r="I21" s="28">
        <f ca="1">I27+E21</f>
        <v>9959</v>
      </c>
      <c r="J21" s="22">
        <f ca="1">ROUNDDOWN(_xll.IMBC(E5,"세전수익률",G8,F21,"세전단가"),4)</f>
        <v>1.113</v>
      </c>
      <c r="K21" s="7">
        <f t="shared" ca="1" si="1"/>
        <v>0.49999999999998934</v>
      </c>
      <c r="M21" s="20" t="s">
        <v>130</v>
      </c>
      <c r="N21" s="59">
        <f ca="1">N27+M21</f>
        <v>9920</v>
      </c>
      <c r="O21" s="60">
        <f ca="1">ROUNDDOWN(_xll.IMBC(M5,"세전수익률",O7,N21,"세전단가"),4)</f>
        <v>1.202</v>
      </c>
      <c r="P21" s="5">
        <f t="shared" ca="1" si="2"/>
        <v>0.40000000000000036</v>
      </c>
      <c r="Q21" s="26">
        <f ca="1">Q27+M21</f>
        <v>9921</v>
      </c>
      <c r="R21" s="22">
        <f ca="1">ROUNDDOWN(_xll.IMBC(M5,"세전수익률",O8,N21,"세전단가"),4)</f>
        <v>1.206</v>
      </c>
      <c r="S21" s="7">
        <f t="shared" ca="1" si="3"/>
        <v>0.49999999999998934</v>
      </c>
      <c r="U21" s="20" t="s">
        <v>130</v>
      </c>
      <c r="V21" s="59">
        <f ca="1">V27+U21</f>
        <v>9493</v>
      </c>
      <c r="W21" s="60">
        <f ca="1">ROUNDDOWN(_xll.IMBC(U5,"세전수익률",W7,V21,"세전단가"),4)</f>
        <v>2.0910000000000002</v>
      </c>
      <c r="X21" s="5">
        <f t="shared" ca="1" si="4"/>
        <v>0.1000000000000334</v>
      </c>
      <c r="Y21" s="26">
        <f ca="1">Y27+U21</f>
        <v>9499</v>
      </c>
      <c r="Z21" s="22">
        <f ca="1">ROUNDDOWN(_xll.IMBC(U5,"세전수익률",W8,V21,"세전단가"),4)</f>
        <v>2.093</v>
      </c>
      <c r="AA21" s="7">
        <f t="shared" ca="1" si="5"/>
        <v>9.9999999999988987E-2</v>
      </c>
      <c r="AC21" s="20" t="s">
        <v>130</v>
      </c>
      <c r="AD21" s="59">
        <f ca="1">AD27+AC21</f>
        <v>8950</v>
      </c>
      <c r="AE21" s="60">
        <f ca="1">ROUNDDOWN(_xll.IMBC(AC5,"세전수익률",AE7,AD21,"세전단가"),4)</f>
        <v>2.1949999999999998</v>
      </c>
      <c r="AF21" s="5">
        <f t="shared" ca="1" si="6"/>
        <v>0</v>
      </c>
      <c r="AG21" s="26">
        <f ca="1">AG27+AC21</f>
        <v>8955</v>
      </c>
      <c r="AH21" s="22">
        <f ca="1">ROUNDDOWN(_xll.IMBC(AC5,"세전수익률",AE8,AD21,"세전단가"),4)</f>
        <v>2.1970000000000001</v>
      </c>
      <c r="AI21" s="7">
        <f t="shared" ca="1" si="7"/>
        <v>9.9999999999988987E-2</v>
      </c>
    </row>
    <row r="22" spans="4:35" x14ac:dyDescent="0.25">
      <c r="D22" s="78"/>
      <c r="E22" s="20" t="s">
        <v>81</v>
      </c>
      <c r="F22" s="59">
        <f ca="1">F27+E22</f>
        <v>9958</v>
      </c>
      <c r="G22" s="60">
        <f ca="1">ROUNDDOWN(_xll.IMBC(E5,"세전수익률",G7,F22,"세전단가"),4)</f>
        <v>1.1020000000000001</v>
      </c>
      <c r="H22" s="5">
        <f t="shared" ca="1" si="0"/>
        <v>0.50000000000001155</v>
      </c>
      <c r="I22" s="28">
        <f ca="1">I27+E22</f>
        <v>9960</v>
      </c>
      <c r="J22" s="22">
        <f ca="1">ROUNDDOWN(_xll.IMBC(E5,"세전수익률",G8,F22,"세전단가"),4)</f>
        <v>1.1080000000000001</v>
      </c>
      <c r="K22" s="7">
        <f t="shared" ca="1" si="1"/>
        <v>0.60000000000000053</v>
      </c>
      <c r="M22" s="20" t="s">
        <v>131</v>
      </c>
      <c r="N22" s="59">
        <f ca="1">N27+M22</f>
        <v>9921</v>
      </c>
      <c r="O22" s="60">
        <f ca="1">ROUNDDOWN(_xll.IMBC(M5,"세전수익률",O7,N22,"세전단가"),4)</f>
        <v>1.198</v>
      </c>
      <c r="P22" s="5">
        <f t="shared" ca="1" si="2"/>
        <v>0.49999999999998934</v>
      </c>
      <c r="Q22" s="26">
        <f ca="1">Q27+M22</f>
        <v>9922</v>
      </c>
      <c r="R22" s="22">
        <f ca="1">ROUNDDOWN(_xll.IMBC(M5,"세전수익률",O8,N22,"세전단가"),4)</f>
        <v>1.2010000000000001</v>
      </c>
      <c r="S22" s="7">
        <f t="shared" ca="1" si="3"/>
        <v>0.40000000000000036</v>
      </c>
      <c r="U22" s="20" t="s">
        <v>131</v>
      </c>
      <c r="V22" s="59">
        <f ca="1">V27+U22</f>
        <v>9494</v>
      </c>
      <c r="W22" s="60">
        <f ca="1">ROUNDDOWN(_xll.IMBC(U5,"세전수익률",W7,V22,"세전단가"),4)</f>
        <v>2.09</v>
      </c>
      <c r="X22" s="5">
        <f t="shared" ca="1" si="4"/>
        <v>9.9999999999988987E-2</v>
      </c>
      <c r="Y22" s="26">
        <f ca="1">Y27+U22</f>
        <v>9500</v>
      </c>
      <c r="Z22" s="22">
        <f ca="1">ROUNDDOWN(_xll.IMBC(U5,"세전수익률",W8,V22,"세전단가"),4)</f>
        <v>2.0920000000000001</v>
      </c>
      <c r="AA22" s="7">
        <f t="shared" ca="1" si="5"/>
        <v>9.9999999999988987E-2</v>
      </c>
      <c r="AC22" s="20" t="s">
        <v>131</v>
      </c>
      <c r="AD22" s="59">
        <f ca="1">AD27+AC22</f>
        <v>8951</v>
      </c>
      <c r="AE22" s="60">
        <f ca="1">ROUNDDOWN(_xll.IMBC(AC5,"세전수익률",AE7,AD22,"세전단가"),4)</f>
        <v>2.1949999999999998</v>
      </c>
      <c r="AF22" s="5">
        <f t="shared" ca="1" si="6"/>
        <v>9.9999999999988987E-2</v>
      </c>
      <c r="AG22" s="26">
        <f ca="1">AG27+AC22</f>
        <v>8956</v>
      </c>
      <c r="AH22" s="22">
        <f ca="1">ROUNDDOWN(_xll.IMBC(AC5,"세전수익률",AE8,AD22,"세전단가"),4)</f>
        <v>2.1960000000000002</v>
      </c>
      <c r="AI22" s="7">
        <f t="shared" ca="1" si="7"/>
        <v>0.1000000000000334</v>
      </c>
    </row>
    <row r="23" spans="4:35" x14ac:dyDescent="0.25">
      <c r="D23" s="78"/>
      <c r="E23" s="20" t="s">
        <v>82</v>
      </c>
      <c r="F23" s="59">
        <f ca="1">F27+E23</f>
        <v>9959</v>
      </c>
      <c r="G23" s="60">
        <f ca="1">ROUNDDOWN(_xll.IMBC(E5,"세전수익률",G7,F23,"세전단가"),4)</f>
        <v>1.097</v>
      </c>
      <c r="H23" s="5">
        <f t="shared" ca="1" si="0"/>
        <v>0.60000000000000053</v>
      </c>
      <c r="I23" s="28">
        <f ca="1">I27+E23</f>
        <v>9961</v>
      </c>
      <c r="J23" s="22">
        <f ca="1">ROUNDDOWN(_xll.IMBC(E5,"세전수익률",G8,F23,"세전단가"),4)</f>
        <v>1.1020000000000001</v>
      </c>
      <c r="K23" s="7">
        <f t="shared" ca="1" si="1"/>
        <v>0.60000000000000053</v>
      </c>
      <c r="M23" s="20" t="s">
        <v>132</v>
      </c>
      <c r="N23" s="59">
        <f ca="1">N27+M23</f>
        <v>9922</v>
      </c>
      <c r="O23" s="60">
        <f ca="1">ROUNDDOWN(_xll.IMBC(M5,"세전수익률",O7,N23,"세전단가"),4)</f>
        <v>1.1930000000000001</v>
      </c>
      <c r="P23" s="5">
        <f t="shared" ca="1" si="2"/>
        <v>0.40000000000000036</v>
      </c>
      <c r="Q23" s="26">
        <f ca="1">Q27+M23</f>
        <v>9923</v>
      </c>
      <c r="R23" s="22">
        <f ca="1">ROUNDDOWN(_xll.IMBC(M5,"세전수익률",O8,N23,"세전단가"),4)</f>
        <v>1.1970000000000001</v>
      </c>
      <c r="S23" s="7">
        <f t="shared" ca="1" si="3"/>
        <v>0.40000000000000036</v>
      </c>
      <c r="U23" s="20" t="s">
        <v>132</v>
      </c>
      <c r="V23" s="59">
        <f ca="1">V27+U23</f>
        <v>9495</v>
      </c>
      <c r="W23" s="60">
        <f ca="1">ROUNDDOWN(_xll.IMBC(U5,"세전수익률",W7,V23,"세전단가"),4)</f>
        <v>2.089</v>
      </c>
      <c r="X23" s="5">
        <f t="shared" ca="1" si="4"/>
        <v>9.9999999999988987E-2</v>
      </c>
      <c r="Y23" s="26">
        <f ca="1">Y27+U23</f>
        <v>9501</v>
      </c>
      <c r="Z23" s="22">
        <f ca="1">ROUNDDOWN(_xll.IMBC(U5,"세전수익률",W8,V23,"세전단가"),4)</f>
        <v>2.0910000000000002</v>
      </c>
      <c r="AA23" s="7">
        <f t="shared" ca="1" si="5"/>
        <v>0.1000000000000334</v>
      </c>
      <c r="AC23" s="20" t="s">
        <v>132</v>
      </c>
      <c r="AD23" s="59">
        <f ca="1">AD27+AC23</f>
        <v>8952</v>
      </c>
      <c r="AE23" s="60">
        <f ca="1">ROUNDDOWN(_xll.IMBC(AC5,"세전수익률",AE7,AD23,"세전단가"),4)</f>
        <v>2.194</v>
      </c>
      <c r="AF23" s="5">
        <f t="shared" ca="1" si="6"/>
        <v>9.9999999999988987E-2</v>
      </c>
      <c r="AG23" s="26">
        <f ca="1">AG27+AC23</f>
        <v>8957</v>
      </c>
      <c r="AH23" s="22">
        <f ca="1">ROUNDDOWN(_xll.IMBC(AC5,"세전수익률",AE8,AD23,"세전단가"),4)</f>
        <v>2.1949999999999998</v>
      </c>
      <c r="AI23" s="7">
        <f t="shared" ca="1" si="7"/>
        <v>0</v>
      </c>
    </row>
    <row r="24" spans="4:35" x14ac:dyDescent="0.25">
      <c r="D24" s="78"/>
      <c r="E24" s="20" t="s">
        <v>83</v>
      </c>
      <c r="F24" s="59">
        <f ca="1">F27+E24</f>
        <v>9960</v>
      </c>
      <c r="G24" s="60">
        <f ca="1">ROUNDDOWN(_xll.IMBC(E5,"세전수익률",G7,F24,"세전단가"),4)</f>
        <v>1.091</v>
      </c>
      <c r="H24" s="5">
        <f t="shared" ca="1" si="0"/>
        <v>0.60000000000000053</v>
      </c>
      <c r="I24" s="28">
        <f ca="1">I27+E24</f>
        <v>9962</v>
      </c>
      <c r="J24" s="22">
        <f ca="1">ROUNDDOWN(_xll.IMBC(E5,"세전수익률",G8,F24,"세전단가"),4)</f>
        <v>1.0960000000000001</v>
      </c>
      <c r="K24" s="7">
        <f t="shared" ca="1" si="1"/>
        <v>0.60000000000000053</v>
      </c>
      <c r="M24" s="20" t="s">
        <v>133</v>
      </c>
      <c r="N24" s="59">
        <f ca="1">N27+M24</f>
        <v>9923</v>
      </c>
      <c r="O24" s="60">
        <f ca="1">ROUNDDOWN(_xll.IMBC(M5,"세전수익률",O7,N24,"세전단가"),4)</f>
        <v>1.1890000000000001</v>
      </c>
      <c r="P24" s="5">
        <f t="shared" ca="1" si="2"/>
        <v>0.40000000000000036</v>
      </c>
      <c r="Q24" s="26">
        <f ca="1">Q27+M24</f>
        <v>9924</v>
      </c>
      <c r="R24" s="22">
        <f ca="1">ROUNDDOWN(_xll.IMBC(M5,"세전수익률",O8,N24,"세전단가"),4)</f>
        <v>1.1930000000000001</v>
      </c>
      <c r="S24" s="7">
        <f t="shared" ca="1" si="3"/>
        <v>0.40000000000000036</v>
      </c>
      <c r="U24" s="20" t="s">
        <v>133</v>
      </c>
      <c r="V24" s="59">
        <f ca="1">V27+U24</f>
        <v>9496</v>
      </c>
      <c r="W24" s="60">
        <f ca="1">ROUNDDOWN(_xll.IMBC(U5,"세전수익률",W7,V24,"세전단가"),4)</f>
        <v>2.0880000000000001</v>
      </c>
      <c r="X24" s="5">
        <f t="shared" ca="1" si="4"/>
        <v>9.9999999999988987E-2</v>
      </c>
      <c r="Y24" s="26">
        <f ca="1">Y27+U24</f>
        <v>9502</v>
      </c>
      <c r="Z24" s="22">
        <f ca="1">ROUNDDOWN(_xll.IMBC(U5,"세전수익률",W8,V24,"세전단가"),4)</f>
        <v>2.09</v>
      </c>
      <c r="AA24" s="7">
        <f t="shared" ca="1" si="5"/>
        <v>9.9999999999988987E-2</v>
      </c>
      <c r="AC24" s="20" t="s">
        <v>133</v>
      </c>
      <c r="AD24" s="59">
        <f ca="1">AD27+AC24</f>
        <v>8953</v>
      </c>
      <c r="AE24" s="60">
        <f ca="1">ROUNDDOWN(_xll.IMBC(AC5,"세전수익률",AE7,AD24,"세전단가"),4)</f>
        <v>2.1930000000000001</v>
      </c>
      <c r="AF24" s="5">
        <f t="shared" ca="1" si="6"/>
        <v>0</v>
      </c>
      <c r="AG24" s="26">
        <f ca="1">AG27+AC24</f>
        <v>8958</v>
      </c>
      <c r="AH24" s="22">
        <f ca="1">ROUNDDOWN(_xll.IMBC(AC5,"세전수익률",AE8,AD24,"세전단가"),4)</f>
        <v>2.1949999999999998</v>
      </c>
      <c r="AI24" s="7">
        <f t="shared" ca="1" si="7"/>
        <v>9.9999999999988987E-2</v>
      </c>
    </row>
    <row r="25" spans="4:35" x14ac:dyDescent="0.25">
      <c r="D25" s="78"/>
      <c r="E25" s="32" t="s">
        <v>84</v>
      </c>
      <c r="F25" s="61">
        <f ca="1">F27+E25</f>
        <v>9961</v>
      </c>
      <c r="G25" s="62">
        <f ca="1">ROUNDDOWN(_xll.IMBC(E5,"세전수익률",G7,F25,"세전단가"),4)</f>
        <v>1.085</v>
      </c>
      <c r="H25" s="34">
        <f t="shared" ca="1" si="0"/>
        <v>0.29999999999998916</v>
      </c>
      <c r="I25" s="35">
        <f ca="1">I27+E25</f>
        <v>9963</v>
      </c>
      <c r="J25" s="33">
        <f ca="1">ROUNDDOWN(_xll.IMBC(E5,"세전수익률",G8,F25,"세전단가"),4)</f>
        <v>1.0900000000000001</v>
      </c>
      <c r="K25" s="36">
        <f t="shared" ca="1" si="1"/>
        <v>0.30000000000001137</v>
      </c>
      <c r="M25" s="32" t="s">
        <v>134</v>
      </c>
      <c r="N25" s="61">
        <f ca="1">N27+M25</f>
        <v>9924</v>
      </c>
      <c r="O25" s="62">
        <f ca="1">ROUNDDOWN(_xll.IMBC(M5,"세전수익률",O7,N25,"세전단가"),4)</f>
        <v>1.1850000000000001</v>
      </c>
      <c r="P25" s="34">
        <f t="shared" ca="1" si="2"/>
        <v>0.20000000000000018</v>
      </c>
      <c r="Q25" s="37">
        <f ca="1">Q27+M25</f>
        <v>9925</v>
      </c>
      <c r="R25" s="33">
        <f ca="1">ROUNDDOWN(_xll.IMBC(M5,"세전수익률",O8,N25,"세전단가"),4)</f>
        <v>1.1890000000000001</v>
      </c>
      <c r="S25" s="36">
        <f t="shared" ca="1" si="3"/>
        <v>0.20000000000000018</v>
      </c>
      <c r="U25" s="32" t="s">
        <v>134</v>
      </c>
      <c r="V25" s="61">
        <f ca="1">V27+U25</f>
        <v>9497</v>
      </c>
      <c r="W25" s="62">
        <f ca="1">ROUNDDOWN(_xll.IMBC(U5,"세전수익률",W7,V25,"세전단가"),4)</f>
        <v>2.0870000000000002</v>
      </c>
      <c r="X25" s="34">
        <f t="shared" ca="1" si="4"/>
        <v>0.1000000000000334</v>
      </c>
      <c r="Y25" s="37">
        <f ca="1">Y27+U25</f>
        <v>9503</v>
      </c>
      <c r="Z25" s="33">
        <f ca="1">ROUNDDOWN(_xll.IMBC(U5,"세전수익률",W8,V25,"세전단가"),4)</f>
        <v>2.089</v>
      </c>
      <c r="AA25" s="36">
        <f t="shared" ca="1" si="5"/>
        <v>9.9999999999988987E-2</v>
      </c>
      <c r="AC25" s="32" t="s">
        <v>134</v>
      </c>
      <c r="AD25" s="61">
        <f ca="1">AD27+AC25</f>
        <v>8954</v>
      </c>
      <c r="AE25" s="62">
        <f ca="1">ROUNDDOWN(_xll.IMBC(AC5,"세전수익률",AE7,AD25,"세전단가"),4)</f>
        <v>2.1930000000000001</v>
      </c>
      <c r="AF25" s="34">
        <f t="shared" ca="1" si="6"/>
        <v>9.9999999999988987E-2</v>
      </c>
      <c r="AG25" s="37">
        <f ca="1">AG27+AC25</f>
        <v>8959</v>
      </c>
      <c r="AH25" s="33">
        <f ca="1">ROUNDDOWN(_xll.IMBC(AC5,"세전수익률",AE8,AD25,"세전단가"),4)</f>
        <v>2.194</v>
      </c>
      <c r="AI25" s="36">
        <f t="shared" ca="1" si="7"/>
        <v>9.9999999999988987E-2</v>
      </c>
    </row>
    <row r="26" spans="4:35" x14ac:dyDescent="0.25">
      <c r="E26" s="20" t="s">
        <v>85</v>
      </c>
      <c r="F26" s="59">
        <f ca="1">F27+E26</f>
        <v>9961.5</v>
      </c>
      <c r="G26" s="60">
        <f ca="1">ROUNDDOWN(_xll.IMBC(E5,"세전수익률",G7,F26,"세전단가"),4)</f>
        <v>1.0820000000000001</v>
      </c>
      <c r="H26" s="5">
        <f t="shared" ca="1" si="0"/>
        <v>0.30000000000001137</v>
      </c>
      <c r="I26" s="28">
        <f ca="1">I27+E26</f>
        <v>9963.5</v>
      </c>
      <c r="J26" s="22">
        <f ca="1">ROUNDDOWN(_xll.IMBC(E5,"세전수익률",G8,F26,"세전단가"),4)</f>
        <v>1.087</v>
      </c>
      <c r="K26" s="7">
        <f t="shared" ca="1" si="1"/>
        <v>0.29999999999998916</v>
      </c>
      <c r="M26" s="20" t="s">
        <v>135</v>
      </c>
      <c r="N26" s="59">
        <f ca="1">N27+M26</f>
        <v>9924.5</v>
      </c>
      <c r="O26" s="60">
        <f ca="1">ROUNDDOWN(_xll.IMBC(M5,"세전수익률",O7,N26,"세전단가"),4)</f>
        <v>1.1830000000000001</v>
      </c>
      <c r="P26" s="5">
        <f t="shared" ca="1" si="2"/>
        <v>0.20000000000000018</v>
      </c>
      <c r="Q26" s="26">
        <f ca="1">Q27+M26</f>
        <v>9925.5</v>
      </c>
      <c r="R26" s="22">
        <f ca="1">ROUNDDOWN(_xll.IMBC(M5,"세전수익률",O8,N26,"세전단가"),4)</f>
        <v>1.1870000000000001</v>
      </c>
      <c r="S26" s="7">
        <f t="shared" ca="1" si="3"/>
        <v>0.20000000000000018</v>
      </c>
      <c r="U26" s="20" t="s">
        <v>135</v>
      </c>
      <c r="V26" s="59">
        <f ca="1">V27+U26</f>
        <v>9497.5</v>
      </c>
      <c r="W26" s="60">
        <f ca="1">ROUNDDOWN(_xll.IMBC(U5,"세전수익률",W7,V26,"세전단가"),4)</f>
        <v>2.0859999999999999</v>
      </c>
      <c r="X26" s="5">
        <f t="shared" ca="1" si="4"/>
        <v>9.9999999999988987E-2</v>
      </c>
      <c r="Y26" s="26">
        <f ca="1">Y27+U26</f>
        <v>9503.5</v>
      </c>
      <c r="Z26" s="22">
        <f ca="1">ROUNDDOWN(_xll.IMBC(U5,"세전수익률",W8,V26,"세전단가"),4)</f>
        <v>2.0880000000000001</v>
      </c>
      <c r="AA26" s="7">
        <f t="shared" ca="1" si="5"/>
        <v>9.9999999999988987E-2</v>
      </c>
      <c r="AC26" s="20" t="s">
        <v>135</v>
      </c>
      <c r="AD26" s="59">
        <f ca="1">AD27+AC26</f>
        <v>8954.5</v>
      </c>
      <c r="AE26" s="60">
        <f ca="1">ROUNDDOWN(_xll.IMBC(AC5,"세전수익률",AE7,AD26,"세전단가"),4)</f>
        <v>2.1920000000000002</v>
      </c>
      <c r="AF26" s="5">
        <f t="shared" ca="1" si="6"/>
        <v>0</v>
      </c>
      <c r="AG26" s="26">
        <f ca="1">AG27+AC26</f>
        <v>8959.5</v>
      </c>
      <c r="AH26" s="22">
        <f ca="1">ROUNDDOWN(_xll.IMBC(AC5,"세전수익률",AE8,AD26,"세전단가"),4)</f>
        <v>2.1930000000000001</v>
      </c>
      <c r="AI26" s="7">
        <f t="shared" ca="1" si="7"/>
        <v>0</v>
      </c>
    </row>
    <row r="27" spans="4:35" x14ac:dyDescent="0.25">
      <c r="E27" s="21">
        <v>0</v>
      </c>
      <c r="F27" s="63">
        <f ca="1">ROUNDDOWN(_xll.IMBC(E5,"세전단가",G7,G9),0)</f>
        <v>9962</v>
      </c>
      <c r="G27" s="23">
        <f ca="1">ROUNDDOWN(_xll.IMBC(E5,"세전수익률",G7,F27,"세전단가"),4)</f>
        <v>1.079</v>
      </c>
      <c r="H27" s="13"/>
      <c r="I27" s="24">
        <f ca="1">ROUNDDOWN(_xll.IMBC(E5,"세전단가",G8,J8),0)</f>
        <v>9964</v>
      </c>
      <c r="J27" s="23">
        <f ca="1">ROUNDDOWN(_xll.IMBC(E5,"세전수익률",G8,F27,"세전단가"),4)</f>
        <v>1.0840000000000001</v>
      </c>
      <c r="K27" s="14"/>
      <c r="M27" s="21">
        <v>0</v>
      </c>
      <c r="N27" s="63">
        <f ca="1">ROUNDDOWN(_xll.IMBC(M5,"세전단가",O7,O9),0)</f>
        <v>9925</v>
      </c>
      <c r="O27" s="64">
        <f ca="1">ROUNDDOWN(_xll.IMBC(M5,"세전수익률",O7,N27,"세전단가"),4)</f>
        <v>1.181</v>
      </c>
      <c r="P27" s="13"/>
      <c r="Q27" s="24">
        <f ca="1">ROUNDDOWN(_xll.IMBC(M5,"세전단가",O8,R8),0)</f>
        <v>9926</v>
      </c>
      <c r="R27" s="23">
        <f ca="1">ROUNDDOWN(_xll.IMBC(M5,"세전수익률",O8,N27,"세전단가"),4)</f>
        <v>1.1850000000000001</v>
      </c>
      <c r="S27" s="14"/>
      <c r="U27" s="21">
        <v>0</v>
      </c>
      <c r="V27" s="63">
        <f ca="1">ROUNDDOWN(_xll.IMBC(U5,"세전단가",W7,W9),0)</f>
        <v>9498</v>
      </c>
      <c r="W27" s="64">
        <f ca="1">ROUNDDOWN(_xll.IMBC(U5,"세전수익률",W7,V27,"세전단가"),4)</f>
        <v>2.085</v>
      </c>
      <c r="X27" s="13"/>
      <c r="Y27" s="24">
        <f ca="1">ROUNDDOWN(_xll.IMBC(U5,"세전단가",W8,Z8),0)</f>
        <v>9504</v>
      </c>
      <c r="Z27" s="23">
        <f ca="1">ROUNDDOWN(_xll.IMBC(U5,"세전수익률",W8,V27,"세전단가"),4)</f>
        <v>2.0870000000000002</v>
      </c>
      <c r="AA27" s="14"/>
      <c r="AC27" s="21">
        <v>0</v>
      </c>
      <c r="AD27" s="63">
        <f ca="1">ROUNDDOWN(_xll.IMBC(AC5,"세전단가",AE7,AE9),0)</f>
        <v>8955</v>
      </c>
      <c r="AE27" s="64">
        <f ca="1">ROUNDDOWN(_xll.IMBC(AC5,"세전수익률",AE7,AD27,"세전단가"),4)</f>
        <v>2.1920000000000002</v>
      </c>
      <c r="AF27" s="13"/>
      <c r="AG27" s="24">
        <f ca="1">ROUNDDOWN(_xll.IMBC(AC5,"세전단가",AE8,AH8),0)</f>
        <v>8960</v>
      </c>
      <c r="AH27" s="23">
        <f ca="1">ROUNDDOWN(_xll.IMBC(AC5,"세전수익률",AE8,AD27,"세전단가"),4)</f>
        <v>2.1930000000000001</v>
      </c>
      <c r="AI27" s="14"/>
    </row>
    <row r="28" spans="4:35" x14ac:dyDescent="0.25">
      <c r="E28" s="69" t="s">
        <v>86</v>
      </c>
      <c r="F28" s="59">
        <f ca="1">F27+E28</f>
        <v>9962.5</v>
      </c>
      <c r="G28" s="60">
        <f ca="1">ROUNDDOWN(_xll.IMBC(E5,"세전수익률",G7,F28,"세전단가"),4)</f>
        <v>1.0760000000000001</v>
      </c>
      <c r="H28" s="5">
        <f ca="1">(G28-G27)*100</f>
        <v>-0.29999999999998916</v>
      </c>
      <c r="I28" s="26">
        <f ca="1">I27+E28</f>
        <v>9964.5</v>
      </c>
      <c r="J28" s="22">
        <f ca="1">ROUNDDOWN(_xll.IMBC(E5,"세전수익률",G8,F28,"세전단가"),4)</f>
        <v>1.081</v>
      </c>
      <c r="K28" s="7">
        <f t="shared" ref="K28:K43" ca="1" si="8">J28-J27</f>
        <v>-3.0000000000001137E-3</v>
      </c>
      <c r="M28" s="69" t="s">
        <v>136</v>
      </c>
      <c r="N28" s="59">
        <f ca="1">N27+M28</f>
        <v>9925.5</v>
      </c>
      <c r="O28" s="60">
        <f ca="1">ROUNDDOWN(_xll.IMBC(M5,"세전수익률",O7,N28,"세전단가"),4)</f>
        <v>1.179</v>
      </c>
      <c r="P28" s="5">
        <f ca="1">(O28-O27)*100</f>
        <v>-0.20000000000000018</v>
      </c>
      <c r="Q28" s="26">
        <f ca="1">Q27+M28</f>
        <v>9926.5</v>
      </c>
      <c r="R28" s="22">
        <f ca="1">ROUNDDOWN(_xll.IMBC(M5,"세전수익률",O8,N28,"세전단가"),4)</f>
        <v>1.1830000000000001</v>
      </c>
      <c r="S28" s="7">
        <f t="shared" ref="S28:S43" ca="1" si="9">R28-R27</f>
        <v>-2.0000000000000018E-3</v>
      </c>
      <c r="U28" s="69" t="s">
        <v>136</v>
      </c>
      <c r="V28" s="59">
        <f ca="1">V27+U28</f>
        <v>9498.5</v>
      </c>
      <c r="W28" s="60">
        <f ca="1">ROUNDDOWN(_xll.IMBC(U5,"세전수익률",W7,V28,"세전단가"),4)</f>
        <v>2.085</v>
      </c>
      <c r="X28" s="5">
        <f ca="1">(W28-W27)*100</f>
        <v>0</v>
      </c>
      <c r="Y28" s="26">
        <f ca="1">Y27+U28</f>
        <v>9504.5</v>
      </c>
      <c r="Z28" s="22">
        <f ca="1">ROUNDDOWN(_xll.IMBC(U5,"세전수익률",W8,V28,"세전단가"),4)</f>
        <v>2.0870000000000002</v>
      </c>
      <c r="AA28" s="7">
        <f t="shared" ref="AA28:AA43" ca="1" si="10">Z28-Z27</f>
        <v>0</v>
      </c>
      <c r="AC28" s="69" t="s">
        <v>136</v>
      </c>
      <c r="AD28" s="59">
        <f ca="1">AD27+AC28</f>
        <v>8955.5</v>
      </c>
      <c r="AE28" s="60">
        <f ca="1">ROUNDDOWN(_xll.IMBC(AC5,"세전수익률",AE7,AD28,"세전단가"),4)</f>
        <v>2.1920000000000002</v>
      </c>
      <c r="AF28" s="5">
        <f ca="1">(AE28-AE27)*100</f>
        <v>0</v>
      </c>
      <c r="AG28" s="26">
        <f ca="1">AG27+AC28</f>
        <v>8960.5</v>
      </c>
      <c r="AH28" s="22">
        <f ca="1">ROUNDDOWN(_xll.IMBC(AC5,"세전수익률",AE8,AD28,"세전단가"),4)</f>
        <v>2.1930000000000001</v>
      </c>
      <c r="AI28" s="7">
        <f t="shared" ref="AI28:AI43" ca="1" si="11">AH28-AH27</f>
        <v>0</v>
      </c>
    </row>
    <row r="29" spans="4:35" x14ac:dyDescent="0.25">
      <c r="D29" s="78"/>
      <c r="E29" s="70" t="s">
        <v>87</v>
      </c>
      <c r="F29" s="61">
        <f ca="1">F27+E29</f>
        <v>9963</v>
      </c>
      <c r="G29" s="62">
        <f ca="1">ROUNDDOWN(_xll.IMBC(E5,"세전수익률",G7,F29,"세전단가"),4)</f>
        <v>1.073</v>
      </c>
      <c r="H29" s="34">
        <f t="shared" ref="H29:H43" ca="1" si="12">(G29-G28)*100</f>
        <v>-0.30000000000001137</v>
      </c>
      <c r="I29" s="37">
        <f ca="1">I27+E29</f>
        <v>9965</v>
      </c>
      <c r="J29" s="33">
        <f ca="1">ROUNDDOWN(_xll.IMBC(E5,"세전수익률",G8,F29,"세전단가"),4)</f>
        <v>1.0780000000000001</v>
      </c>
      <c r="K29" s="36">
        <f t="shared" ca="1" si="8"/>
        <v>-2.9999999999998916E-3</v>
      </c>
      <c r="M29" s="70" t="s">
        <v>137</v>
      </c>
      <c r="N29" s="61">
        <f ca="1">N27+M29</f>
        <v>9926</v>
      </c>
      <c r="O29" s="62">
        <f ca="1">ROUNDDOWN(_xll.IMBC(M5,"세전수익률",O7,N29,"세전단가"),4)</f>
        <v>1.177</v>
      </c>
      <c r="P29" s="34">
        <f t="shared" ref="P29:P43" ca="1" si="13">(O29-O28)*100</f>
        <v>-0.20000000000000018</v>
      </c>
      <c r="Q29" s="38">
        <f ca="1">Q27+M29</f>
        <v>9927</v>
      </c>
      <c r="R29" s="33">
        <f ca="1">ROUNDDOWN(_xll.IMBC(M5,"세전수익률",O8,N29,"세전단가"),4)</f>
        <v>1.181</v>
      </c>
      <c r="S29" s="36">
        <f t="shared" ca="1" si="9"/>
        <v>-2.0000000000000018E-3</v>
      </c>
      <c r="U29" s="70" t="s">
        <v>137</v>
      </c>
      <c r="V29" s="61">
        <f ca="1">V27+U29</f>
        <v>9499</v>
      </c>
      <c r="W29" s="62">
        <f ca="1">ROUNDDOWN(_xll.IMBC(U5,"세전수익률",W7,V29,"세전단가"),4)</f>
        <v>2.0840000000000001</v>
      </c>
      <c r="X29" s="34">
        <f t="shared" ref="X29:X43" ca="1" si="14">(W29-W28)*100</f>
        <v>-9.9999999999988987E-2</v>
      </c>
      <c r="Y29" s="37">
        <f ca="1">Y27+U29</f>
        <v>9505</v>
      </c>
      <c r="Z29" s="33">
        <f ca="1">ROUNDDOWN(_xll.IMBC(U5,"세전수익률",W8,V29,"세전단가"),4)</f>
        <v>2.0859999999999999</v>
      </c>
      <c r="AA29" s="36">
        <f t="shared" ca="1" si="10"/>
        <v>-1.000000000000334E-3</v>
      </c>
      <c r="AC29" s="70" t="s">
        <v>137</v>
      </c>
      <c r="AD29" s="61">
        <f ca="1">AD27+AC29</f>
        <v>8956</v>
      </c>
      <c r="AE29" s="62">
        <f ca="1">ROUNDDOWN(_xll.IMBC(AC5,"세전수익률",AE7,AD29,"세전단가"),4)</f>
        <v>2.1909999999999998</v>
      </c>
      <c r="AF29" s="34">
        <f t="shared" ref="AF29:AF43" ca="1" si="15">(AE29-AE28)*100</f>
        <v>-0.1000000000000334</v>
      </c>
      <c r="AG29" s="37">
        <f ca="1">AG27+AC29</f>
        <v>8961</v>
      </c>
      <c r="AH29" s="33">
        <f ca="1">ROUNDDOWN(_xll.IMBC(AC5,"세전수익률",AE8,AD29,"세전단가"),4)</f>
        <v>2.1920000000000002</v>
      </c>
      <c r="AI29" s="36">
        <f t="shared" ca="1" si="11"/>
        <v>-9.9999999999988987E-4</v>
      </c>
    </row>
    <row r="30" spans="4:35" x14ac:dyDescent="0.25">
      <c r="D30" s="78"/>
      <c r="E30" s="71" t="s">
        <v>88</v>
      </c>
      <c r="F30" s="59">
        <f ca="1">F27+E30</f>
        <v>9964</v>
      </c>
      <c r="G30" s="60">
        <f ca="1">ROUNDDOWN(_xll.IMBC(E5,"세전수익률",G7,F30,"세전단가"),4)</f>
        <v>1.0669999999999999</v>
      </c>
      <c r="H30" s="5">
        <f t="shared" ca="1" si="12"/>
        <v>-0.60000000000000053</v>
      </c>
      <c r="I30" s="26">
        <f ca="1">I27+E30</f>
        <v>9966</v>
      </c>
      <c r="J30" s="22">
        <f ca="1">ROUNDDOWN(_xll.IMBC(E5,"세전수익률",G8,F30,"세전단가"),4)</f>
        <v>1.0720000000000001</v>
      </c>
      <c r="K30" s="7">
        <f t="shared" ca="1" si="8"/>
        <v>-6.0000000000000053E-3</v>
      </c>
      <c r="M30" s="71" t="s">
        <v>138</v>
      </c>
      <c r="N30" s="59">
        <f ca="1">N27+M30</f>
        <v>9927</v>
      </c>
      <c r="O30" s="60">
        <f ca="1">ROUNDDOWN(_xll.IMBC(M5,"세전수익률",O7,N30,"세전단가"),4)</f>
        <v>1.173</v>
      </c>
      <c r="P30" s="5">
        <f t="shared" ca="1" si="13"/>
        <v>-0.40000000000000036</v>
      </c>
      <c r="Q30" s="26">
        <f ca="1">Q27+M30</f>
        <v>9928</v>
      </c>
      <c r="R30" s="22">
        <f ca="1">ROUNDDOWN(_xll.IMBC(M5,"세전수익률",O8,N30,"세전단가"),4)</f>
        <v>1.177</v>
      </c>
      <c r="S30" s="7">
        <f t="shared" ca="1" si="9"/>
        <v>-4.0000000000000036E-3</v>
      </c>
      <c r="U30" s="71" t="s">
        <v>138</v>
      </c>
      <c r="V30" s="59">
        <f ca="1">V27+U30</f>
        <v>9500</v>
      </c>
      <c r="W30" s="60">
        <f ca="1">ROUNDDOWN(_xll.IMBC(U5,"세전수익률",W7,V30,"세전단가"),4)</f>
        <v>2.0830000000000002</v>
      </c>
      <c r="X30" s="5">
        <f t="shared" ca="1" si="14"/>
        <v>-9.9999999999988987E-2</v>
      </c>
      <c r="Y30" s="26">
        <f ca="1">Y27+U30</f>
        <v>9506</v>
      </c>
      <c r="Z30" s="22">
        <f ca="1">ROUNDDOWN(_xll.IMBC(U5,"세전수익률",W8,V30,"세전단가"),4)</f>
        <v>2.085</v>
      </c>
      <c r="AA30" s="7">
        <f t="shared" ca="1" si="10"/>
        <v>-9.9999999999988987E-4</v>
      </c>
      <c r="AC30" s="71" t="s">
        <v>138</v>
      </c>
      <c r="AD30" s="59">
        <f ca="1">AD27+AC30</f>
        <v>8957</v>
      </c>
      <c r="AE30" s="60">
        <f ca="1">ROUNDDOWN(_xll.IMBC(AC5,"세전수익률",AE7,AD30,"세전단가"),4)</f>
        <v>2.1909999999999998</v>
      </c>
      <c r="AF30" s="5">
        <f t="shared" ca="1" si="15"/>
        <v>0</v>
      </c>
      <c r="AG30" s="26">
        <f ca="1">AG27+AC30</f>
        <v>8962</v>
      </c>
      <c r="AH30" s="22">
        <f ca="1">ROUNDDOWN(_xll.IMBC(AC5,"세전수익률",AE8,AD30,"세전단가"),4)</f>
        <v>2.1920000000000002</v>
      </c>
      <c r="AI30" s="7">
        <f t="shared" ca="1" si="11"/>
        <v>0</v>
      </c>
    </row>
    <row r="31" spans="4:35" x14ac:dyDescent="0.25">
      <c r="D31" s="78"/>
      <c r="E31" s="71" t="s">
        <v>89</v>
      </c>
      <c r="F31" s="59">
        <f ca="1">F27+E31</f>
        <v>9965</v>
      </c>
      <c r="G31" s="60">
        <f ca="1">ROUNDDOWN(_xll.IMBC(E5,"세전수익률",G7,F31,"세전단가"),4)</f>
        <v>1.0620000000000001</v>
      </c>
      <c r="H31" s="5">
        <f t="shared" ca="1" si="12"/>
        <v>-0.49999999999998934</v>
      </c>
      <c r="I31" s="26">
        <f ca="1">I27+E31</f>
        <v>9967</v>
      </c>
      <c r="J31" s="22">
        <f ca="1">ROUNDDOWN(_xll.IMBC(E5,"세전수익률",G8,F31,"세전단가"),4)</f>
        <v>1.0669999999999999</v>
      </c>
      <c r="K31" s="7">
        <f t="shared" ca="1" si="8"/>
        <v>-5.0000000000001155E-3</v>
      </c>
      <c r="M31" s="71" t="s">
        <v>139</v>
      </c>
      <c r="N31" s="59">
        <f ca="1">N27+M31</f>
        <v>9928</v>
      </c>
      <c r="O31" s="60">
        <f ca="1">ROUNDDOWN(_xll.IMBC(M5,"세전수익률",O7,N31,"세전단가"),4)</f>
        <v>1.169</v>
      </c>
      <c r="P31" s="5">
        <f t="shared" ca="1" si="13"/>
        <v>-0.40000000000000036</v>
      </c>
      <c r="Q31" s="26">
        <f ca="1">Q27+M31</f>
        <v>9929</v>
      </c>
      <c r="R31" s="22">
        <f ca="1">ROUNDDOWN(_xll.IMBC(M5,"세전수익률",O8,N31,"세전단가"),4)</f>
        <v>1.173</v>
      </c>
      <c r="S31" s="7">
        <f t="shared" ca="1" si="9"/>
        <v>-4.0000000000000036E-3</v>
      </c>
      <c r="U31" s="71" t="s">
        <v>139</v>
      </c>
      <c r="V31" s="59">
        <f ca="1">V27+U31</f>
        <v>9501</v>
      </c>
      <c r="W31" s="60">
        <f ca="1">ROUNDDOWN(_xll.IMBC(U5,"세전수익률",W7,V31,"세전단가"),4)</f>
        <v>2.0819999999999999</v>
      </c>
      <c r="X31" s="5">
        <f t="shared" ca="1" si="14"/>
        <v>-0.1000000000000334</v>
      </c>
      <c r="Y31" s="26">
        <f ca="1">Y27+U31</f>
        <v>9507</v>
      </c>
      <c r="Z31" s="22">
        <f ca="1">ROUNDDOWN(_xll.IMBC(U5,"세전수익률",W8,V31,"세전단가"),4)</f>
        <v>2.0840000000000001</v>
      </c>
      <c r="AA31" s="7">
        <f t="shared" ca="1" si="10"/>
        <v>-9.9999999999988987E-4</v>
      </c>
      <c r="AC31" s="71" t="s">
        <v>139</v>
      </c>
      <c r="AD31" s="59">
        <f ca="1">AD27+AC31</f>
        <v>8958</v>
      </c>
      <c r="AE31" s="60">
        <f ca="1">ROUNDDOWN(_xll.IMBC(AC5,"세전수익률",AE7,AD31,"세전단가"),4)</f>
        <v>2.19</v>
      </c>
      <c r="AF31" s="5">
        <f t="shared" ca="1" si="15"/>
        <v>-9.9999999999988987E-2</v>
      </c>
      <c r="AG31" s="26">
        <f ca="1">AG27+AC31</f>
        <v>8963</v>
      </c>
      <c r="AH31" s="22">
        <f ca="1">ROUNDDOWN(_xll.IMBC(AC5,"세전수익률",AE8,AD31,"세전단가"),4)</f>
        <v>2.1909999999999998</v>
      </c>
      <c r="AI31" s="7">
        <f t="shared" ca="1" si="11"/>
        <v>-1.000000000000334E-3</v>
      </c>
    </row>
    <row r="32" spans="4:35" x14ac:dyDescent="0.25">
      <c r="D32" s="78"/>
      <c r="E32" s="71" t="s">
        <v>90</v>
      </c>
      <c r="F32" s="59">
        <f ca="1">F27+E32</f>
        <v>9966</v>
      </c>
      <c r="G32" s="60">
        <f ca="1">ROUNDDOWN(_xll.IMBC(E5,"세전수익률",G7,F32,"세전단가"),4)</f>
        <v>1.056</v>
      </c>
      <c r="H32" s="5">
        <f t="shared" ca="1" si="12"/>
        <v>-0.60000000000000053</v>
      </c>
      <c r="I32" s="26">
        <f ca="1">I27+E32</f>
        <v>9968</v>
      </c>
      <c r="J32" s="22">
        <f ca="1">ROUNDDOWN(_xll.IMBC(E5,"세전수익률",G8,F32,"세전단가"),4)</f>
        <v>1.0609999999999999</v>
      </c>
      <c r="K32" s="7">
        <f t="shared" ca="1" si="8"/>
        <v>-6.0000000000000053E-3</v>
      </c>
      <c r="M32" s="71" t="s">
        <v>140</v>
      </c>
      <c r="N32" s="59">
        <f ca="1">N27+M32</f>
        <v>9929</v>
      </c>
      <c r="O32" s="60">
        <f ca="1">ROUNDDOWN(_xll.IMBC(M5,"세전수익률",O7,N32,"세전단가"),4)</f>
        <v>1.165</v>
      </c>
      <c r="P32" s="5">
        <f t="shared" ca="1" si="13"/>
        <v>-0.40000000000000036</v>
      </c>
      <c r="Q32" s="26">
        <f ca="1">Q27+M32</f>
        <v>9930</v>
      </c>
      <c r="R32" s="22">
        <f ca="1">ROUNDDOWN(_xll.IMBC(M5,"세전수익률",O8,N32,"세전단가"),4)</f>
        <v>1.169</v>
      </c>
      <c r="S32" s="7">
        <f t="shared" ca="1" si="9"/>
        <v>-4.0000000000000036E-3</v>
      </c>
      <c r="U32" s="71" t="s">
        <v>140</v>
      </c>
      <c r="V32" s="59">
        <f ca="1">V27+U32</f>
        <v>9502</v>
      </c>
      <c r="W32" s="60">
        <f ca="1">ROUNDDOWN(_xll.IMBC(U5,"세전수익률",W7,V32,"세전단가"),4)</f>
        <v>2.081</v>
      </c>
      <c r="X32" s="5">
        <f t="shared" ca="1" si="14"/>
        <v>-9.9999999999988987E-2</v>
      </c>
      <c r="Y32" s="26">
        <f ca="1">Y27+U32</f>
        <v>9508</v>
      </c>
      <c r="Z32" s="22">
        <f ca="1">ROUNDDOWN(_xll.IMBC(U5,"세전수익률",W8,V32,"세전단가"),4)</f>
        <v>2.0819999999999999</v>
      </c>
      <c r="AA32" s="7">
        <f t="shared" ca="1" si="10"/>
        <v>-2.0000000000002238E-3</v>
      </c>
      <c r="AC32" s="71" t="s">
        <v>140</v>
      </c>
      <c r="AD32" s="59">
        <f ca="1">AD27+AC32</f>
        <v>8959</v>
      </c>
      <c r="AE32" s="60">
        <f ca="1">ROUNDDOWN(_xll.IMBC(AC5,"세전수익률",AE7,AD32,"세전단가"),4)</f>
        <v>2.1890000000000001</v>
      </c>
      <c r="AF32" s="5">
        <f t="shared" ca="1" si="15"/>
        <v>-9.9999999999988987E-2</v>
      </c>
      <c r="AG32" s="26">
        <f ca="1">AG27+AC32</f>
        <v>8964</v>
      </c>
      <c r="AH32" s="22">
        <f ca="1">ROUNDDOWN(_xll.IMBC(AC5,"세전수익률",AE8,AD32,"세전단가"),4)</f>
        <v>2.19</v>
      </c>
      <c r="AI32" s="7">
        <f t="shared" ca="1" si="11"/>
        <v>-9.9999999999988987E-4</v>
      </c>
    </row>
    <row r="33" spans="2:35" x14ac:dyDescent="0.25">
      <c r="D33" s="78"/>
      <c r="E33" s="71" t="s">
        <v>91</v>
      </c>
      <c r="F33" s="59">
        <f ca="1">F27+E33</f>
        <v>9967</v>
      </c>
      <c r="G33" s="60">
        <f ca="1">ROUNDDOWN(_xll.IMBC(E5,"세전수익률",G7,F33,"세전단가"),4)</f>
        <v>1.05</v>
      </c>
      <c r="H33" s="5">
        <f t="shared" ca="1" si="12"/>
        <v>-0.60000000000000053</v>
      </c>
      <c r="I33" s="26">
        <f ca="1">I27+E33</f>
        <v>9969</v>
      </c>
      <c r="J33" s="22">
        <f ca="1">ROUNDDOWN(_xll.IMBC(E5,"세전수익률",G8,F33,"세전단가"),4)</f>
        <v>1.0549999999999999</v>
      </c>
      <c r="K33" s="7">
        <f t="shared" ca="1" si="8"/>
        <v>-6.0000000000000053E-3</v>
      </c>
      <c r="M33" s="71" t="s">
        <v>141</v>
      </c>
      <c r="N33" s="59">
        <f ca="1">N27+M33</f>
        <v>9930</v>
      </c>
      <c r="O33" s="60">
        <f ca="1">ROUNDDOWN(_xll.IMBC(M5,"세전수익률",O7,N33,"세전단가"),4)</f>
        <v>1.161</v>
      </c>
      <c r="P33" s="5">
        <f t="shared" ca="1" si="13"/>
        <v>-0.40000000000000036</v>
      </c>
      <c r="Q33" s="26">
        <f ca="1">Q27+M33</f>
        <v>9931</v>
      </c>
      <c r="R33" s="22">
        <f ca="1">ROUNDDOWN(_xll.IMBC(M5,"세전수익률",O8,N33,"세전단가"),4)</f>
        <v>1.165</v>
      </c>
      <c r="S33" s="7">
        <f t="shared" ca="1" si="9"/>
        <v>-4.0000000000000036E-3</v>
      </c>
      <c r="U33" s="71" t="s">
        <v>141</v>
      </c>
      <c r="V33" s="59">
        <f ca="1">V27+U33</f>
        <v>9503</v>
      </c>
      <c r="W33" s="60">
        <f ca="1">ROUNDDOWN(_xll.IMBC(U5,"세전수익률",W7,V33,"세전단가"),4)</f>
        <v>2.0790000000000002</v>
      </c>
      <c r="X33" s="5">
        <f t="shared" ca="1" si="14"/>
        <v>-0.19999999999997797</v>
      </c>
      <c r="Y33" s="26">
        <f ca="1">Y27+U33</f>
        <v>9509</v>
      </c>
      <c r="Z33" s="22">
        <f ca="1">ROUNDDOWN(_xll.IMBC(U5,"세전수익률",W8,V33,"세전단가"),4)</f>
        <v>2.081</v>
      </c>
      <c r="AA33" s="7">
        <f t="shared" ca="1" si="10"/>
        <v>-9.9999999999988987E-4</v>
      </c>
      <c r="AC33" s="71" t="s">
        <v>141</v>
      </c>
      <c r="AD33" s="59">
        <f ca="1">AD27+AC33</f>
        <v>8960</v>
      </c>
      <c r="AE33" s="60">
        <f ca="1">ROUNDDOWN(_xll.IMBC(AC5,"세전수익률",AE7,AD33,"세전단가"),4)</f>
        <v>2.1890000000000001</v>
      </c>
      <c r="AF33" s="5">
        <f t="shared" ca="1" si="15"/>
        <v>0</v>
      </c>
      <c r="AG33" s="26">
        <f ca="1">AG27+AC33</f>
        <v>8965</v>
      </c>
      <c r="AH33" s="22">
        <f ca="1">ROUNDDOWN(_xll.IMBC(AC5,"세전수익률",AE8,AD33,"세전단가"),4)</f>
        <v>2.19</v>
      </c>
      <c r="AI33" s="7">
        <f t="shared" ca="1" si="11"/>
        <v>0</v>
      </c>
    </row>
    <row r="34" spans="2:35" x14ac:dyDescent="0.25">
      <c r="D34" s="78"/>
      <c r="E34" s="71" t="s">
        <v>92</v>
      </c>
      <c r="F34" s="59">
        <f ca="1">F27+E34</f>
        <v>9968</v>
      </c>
      <c r="G34" s="60">
        <f ca="1">ROUNDDOWN(_xll.IMBC(E5,"세전수익률",G7,F34,"세전단가"),4)</f>
        <v>1.044</v>
      </c>
      <c r="H34" s="5">
        <f t="shared" ca="1" si="12"/>
        <v>-0.60000000000000053</v>
      </c>
      <c r="I34" s="26">
        <f ca="1">I27+E34</f>
        <v>9970</v>
      </c>
      <c r="J34" s="22">
        <f ca="1">ROUNDDOWN(_xll.IMBC(E5,"세전수익률",G8,F34,"세전단가"),4)</f>
        <v>1.0489999999999999</v>
      </c>
      <c r="K34" s="7">
        <f t="shared" ca="1" si="8"/>
        <v>-6.0000000000000053E-3</v>
      </c>
      <c r="M34" s="71" t="s">
        <v>142</v>
      </c>
      <c r="N34" s="59">
        <f ca="1">N27+M34</f>
        <v>9931</v>
      </c>
      <c r="O34" s="60">
        <f ca="1">ROUNDDOWN(_xll.IMBC(M5,"세전수익률",O7,N34,"세전단가"),4)</f>
        <v>1.157</v>
      </c>
      <c r="P34" s="5">
        <f t="shared" ca="1" si="13"/>
        <v>-0.40000000000000036</v>
      </c>
      <c r="Q34" s="26">
        <f ca="1">Q27+M34</f>
        <v>9932</v>
      </c>
      <c r="R34" s="22">
        <f ca="1">ROUNDDOWN(_xll.IMBC(M5,"세전수익률",O8,N34,"세전단가"),4)</f>
        <v>1.1599999999999999</v>
      </c>
      <c r="S34" s="7">
        <f t="shared" ca="1" si="9"/>
        <v>-5.0000000000001155E-3</v>
      </c>
      <c r="U34" s="71" t="s">
        <v>142</v>
      </c>
      <c r="V34" s="59">
        <f ca="1">V27+U34</f>
        <v>9504</v>
      </c>
      <c r="W34" s="60">
        <f ca="1">ROUNDDOWN(_xll.IMBC(U5,"세전수익률",W7,V34,"세전단가"),4)</f>
        <v>2.0779999999999998</v>
      </c>
      <c r="X34" s="5">
        <f t="shared" ca="1" si="14"/>
        <v>-0.1000000000000334</v>
      </c>
      <c r="Y34" s="26">
        <f ca="1">Y27+U34</f>
        <v>9510</v>
      </c>
      <c r="Z34" s="22">
        <f ca="1">ROUNDDOWN(_xll.IMBC(U5,"세전수익률",W8,V34,"세전단가"),4)</f>
        <v>2.08</v>
      </c>
      <c r="AA34" s="7">
        <f t="shared" ca="1" si="10"/>
        <v>-9.9999999999988987E-4</v>
      </c>
      <c r="AC34" s="71" t="s">
        <v>142</v>
      </c>
      <c r="AD34" s="59">
        <f ca="1">AD27+AC34</f>
        <v>8961</v>
      </c>
      <c r="AE34" s="60">
        <f ca="1">ROUNDDOWN(_xll.IMBC(AC5,"세전수익률",AE7,AD34,"세전단가"),4)</f>
        <v>2.1880000000000002</v>
      </c>
      <c r="AF34" s="5">
        <f t="shared" ca="1" si="15"/>
        <v>-9.9999999999988987E-2</v>
      </c>
      <c r="AG34" s="26">
        <f ca="1">AG27+AC34</f>
        <v>8966</v>
      </c>
      <c r="AH34" s="22">
        <f ca="1">ROUNDDOWN(_xll.IMBC(AC5,"세전수익률",AE8,AD34,"세전단가"),4)</f>
        <v>2.1890000000000001</v>
      </c>
      <c r="AI34" s="7">
        <f t="shared" ca="1" si="11"/>
        <v>-9.9999999999988987E-4</v>
      </c>
    </row>
    <row r="35" spans="2:35" x14ac:dyDescent="0.25">
      <c r="B35" s="80"/>
      <c r="D35" s="78"/>
      <c r="E35" s="71" t="s">
        <v>93</v>
      </c>
      <c r="F35" s="59">
        <f ca="1">F27+E35</f>
        <v>9969</v>
      </c>
      <c r="G35" s="60">
        <f ca="1">ROUNDDOWN(_xll.IMBC(E5,"세전수익률",G7,F35,"세전단가"),4)</f>
        <v>1.038</v>
      </c>
      <c r="H35" s="5">
        <f t="shared" ca="1" si="12"/>
        <v>-0.60000000000000053</v>
      </c>
      <c r="I35" s="26">
        <f ca="1">I27+E35</f>
        <v>9971</v>
      </c>
      <c r="J35" s="22">
        <f ca="1">ROUNDDOWN(_xll.IMBC(E5,"세전수익률",G8,F35,"세전단가"),4)</f>
        <v>1.0429999999999999</v>
      </c>
      <c r="K35" s="7">
        <f t="shared" ca="1" si="8"/>
        <v>-6.0000000000000053E-3</v>
      </c>
      <c r="M35" s="71" t="s">
        <v>143</v>
      </c>
      <c r="N35" s="59">
        <f ca="1">N27+M35</f>
        <v>9932</v>
      </c>
      <c r="O35" s="60">
        <f ca="1">ROUNDDOWN(_xll.IMBC(M5,"세전수익률",O7,N35,"세전단가"),4)</f>
        <v>1.1519999999999999</v>
      </c>
      <c r="P35" s="5">
        <f t="shared" ca="1" si="13"/>
        <v>-0.50000000000001155</v>
      </c>
      <c r="Q35" s="26">
        <f ca="1">Q27+M35</f>
        <v>9933</v>
      </c>
      <c r="R35" s="22">
        <f ca="1">ROUNDDOWN(_xll.IMBC(M5,"세전수익률",O8,N35,"세전단가"),4)</f>
        <v>1.1559999999999999</v>
      </c>
      <c r="S35" s="7">
        <f t="shared" ca="1" si="9"/>
        <v>-4.0000000000000036E-3</v>
      </c>
      <c r="U35" s="71" t="s">
        <v>143</v>
      </c>
      <c r="V35" s="59">
        <f ca="1">V27+U35</f>
        <v>9505</v>
      </c>
      <c r="W35" s="60">
        <f ca="1">ROUNDDOWN(_xll.IMBC(U5,"세전수익률",W7,V35,"세전단가"),4)</f>
        <v>2.077</v>
      </c>
      <c r="X35" s="5">
        <f t="shared" ca="1" si="14"/>
        <v>-9.9999999999988987E-2</v>
      </c>
      <c r="Y35" s="26">
        <f ca="1">Y27+U35</f>
        <v>9511</v>
      </c>
      <c r="Z35" s="22">
        <f ca="1">ROUNDDOWN(_xll.IMBC(U5,"세전수익률",W8,V35,"세전단가"),4)</f>
        <v>2.0790000000000002</v>
      </c>
      <c r="AA35" s="7">
        <f t="shared" ca="1" si="10"/>
        <v>-9.9999999999988987E-4</v>
      </c>
      <c r="AC35" s="71" t="s">
        <v>143</v>
      </c>
      <c r="AD35" s="59">
        <f ca="1">AD27+AC35</f>
        <v>8962</v>
      </c>
      <c r="AE35" s="60">
        <f ca="1">ROUNDDOWN(_xll.IMBC(AC5,"세전수익률",AE7,AD35,"세전단가"),4)</f>
        <v>2.1869999999999998</v>
      </c>
      <c r="AF35" s="5">
        <f t="shared" ca="1" si="15"/>
        <v>-0.1000000000000334</v>
      </c>
      <c r="AG35" s="26">
        <f ca="1">AG27+AC35</f>
        <v>8967</v>
      </c>
      <c r="AH35" s="22">
        <f ca="1">ROUNDDOWN(_xll.IMBC(AC5,"세전수익률",AE8,AD35,"세전단가"),4)</f>
        <v>2.1880000000000002</v>
      </c>
      <c r="AI35" s="7">
        <f t="shared" ca="1" si="11"/>
        <v>-9.9999999999988987E-4</v>
      </c>
    </row>
    <row r="36" spans="2:35" x14ac:dyDescent="0.25">
      <c r="B36" s="80"/>
      <c r="D36" s="78"/>
      <c r="E36" s="71" t="s">
        <v>94</v>
      </c>
      <c r="F36" s="59">
        <f ca="1">F27+E36</f>
        <v>9970</v>
      </c>
      <c r="G36" s="60">
        <f ca="1">ROUNDDOWN(_xll.IMBC(E5,"세전수익률",G7,F36,"세전단가"),4)</f>
        <v>1.0329999999999999</v>
      </c>
      <c r="H36" s="5">
        <f t="shared" ca="1" si="12"/>
        <v>-0.50000000000001155</v>
      </c>
      <c r="I36" s="26">
        <f ca="1">I27+E36</f>
        <v>9972</v>
      </c>
      <c r="J36" s="22">
        <f ca="1">ROUNDDOWN(_xll.IMBC(E5,"세전수익률",G8,F36,"세전단가"),4)</f>
        <v>1.0369999999999999</v>
      </c>
      <c r="K36" s="7">
        <f t="shared" ca="1" si="8"/>
        <v>-6.0000000000000053E-3</v>
      </c>
      <c r="M36" s="71" t="s">
        <v>144</v>
      </c>
      <c r="N36" s="59">
        <f ca="1">N27+M36</f>
        <v>9933</v>
      </c>
      <c r="O36" s="60">
        <f ca="1">ROUNDDOWN(_xll.IMBC(M5,"세전수익률",O7,N36,"세전단가"),4)</f>
        <v>1.1479999999999999</v>
      </c>
      <c r="P36" s="5">
        <f t="shared" ca="1" si="13"/>
        <v>-0.40000000000000036</v>
      </c>
      <c r="Q36" s="26">
        <f ca="1">Q27+M36</f>
        <v>9934</v>
      </c>
      <c r="R36" s="22">
        <f ca="1">ROUNDDOWN(_xll.IMBC(M5,"세전수익률",O8,N36,"세전단가"),4)</f>
        <v>1.1519999999999999</v>
      </c>
      <c r="S36" s="7">
        <f t="shared" ca="1" si="9"/>
        <v>-4.0000000000000036E-3</v>
      </c>
      <c r="U36" s="71" t="s">
        <v>144</v>
      </c>
      <c r="V36" s="59">
        <f ca="1">V27+U36</f>
        <v>9506</v>
      </c>
      <c r="W36" s="60">
        <f ca="1">ROUNDDOWN(_xll.IMBC(U5,"세전수익률",W7,V36,"세전단가"),4)</f>
        <v>2.0760000000000001</v>
      </c>
      <c r="X36" s="5">
        <f t="shared" ca="1" si="14"/>
        <v>-9.9999999999988987E-2</v>
      </c>
      <c r="Y36" s="26">
        <f ca="1">Y27+U36</f>
        <v>9512</v>
      </c>
      <c r="Z36" s="22">
        <f ca="1">ROUNDDOWN(_xll.IMBC(U5,"세전수익률",W8,V36,"세전단가"),4)</f>
        <v>2.0779999999999998</v>
      </c>
      <c r="AA36" s="7">
        <f t="shared" ca="1" si="10"/>
        <v>-1.000000000000334E-3</v>
      </c>
      <c r="AC36" s="71" t="s">
        <v>144</v>
      </c>
      <c r="AD36" s="59">
        <f ca="1">AD27+AC36</f>
        <v>8963</v>
      </c>
      <c r="AE36" s="60">
        <f ca="1">ROUNDDOWN(_xll.IMBC(AC5,"세전수익률",AE7,AD36,"세전단가"),4)</f>
        <v>2.1869999999999998</v>
      </c>
      <c r="AF36" s="5">
        <f t="shared" ca="1" si="15"/>
        <v>0</v>
      </c>
      <c r="AG36" s="26">
        <f ca="1">AG27+AC36</f>
        <v>8968</v>
      </c>
      <c r="AH36" s="22">
        <f ca="1">ROUNDDOWN(_xll.IMBC(AC5,"세전수익률",AE8,AD36,"세전단가"),4)</f>
        <v>2.1880000000000002</v>
      </c>
      <c r="AI36" s="7">
        <f t="shared" ca="1" si="11"/>
        <v>0</v>
      </c>
    </row>
    <row r="37" spans="2:35" x14ac:dyDescent="0.25">
      <c r="B37" s="80"/>
      <c r="D37" s="78"/>
      <c r="E37" s="71" t="s">
        <v>95</v>
      </c>
      <c r="F37" s="59">
        <f ca="1">F27+E37</f>
        <v>9971</v>
      </c>
      <c r="G37" s="60">
        <f ca="1">ROUNDDOWN(_xll.IMBC(E5,"세전수익률",G7,F37,"세전단가"),4)</f>
        <v>1.0269999999999999</v>
      </c>
      <c r="H37" s="5">
        <f t="shared" ca="1" si="12"/>
        <v>-0.60000000000000053</v>
      </c>
      <c r="I37" s="26">
        <f ca="1">I27+E37</f>
        <v>9973</v>
      </c>
      <c r="J37" s="22">
        <f ca="1">ROUNDDOWN(_xll.IMBC(E5,"세전수익률",G8,F37,"세전단가"),4)</f>
        <v>1.032</v>
      </c>
      <c r="K37" s="7">
        <f t="shared" ca="1" si="8"/>
        <v>-4.9999999999998934E-3</v>
      </c>
      <c r="M37" s="71" t="s">
        <v>145</v>
      </c>
      <c r="N37" s="59">
        <f ca="1">N27+M37</f>
        <v>9934</v>
      </c>
      <c r="O37" s="60">
        <f ca="1">ROUNDDOWN(_xll.IMBC(M5,"세전수익률",O7,N37,"세전단가"),4)</f>
        <v>1.1439999999999999</v>
      </c>
      <c r="P37" s="5">
        <f t="shared" ca="1" si="13"/>
        <v>-0.40000000000000036</v>
      </c>
      <c r="Q37" s="26">
        <f ca="1">Q27+M37</f>
        <v>9935</v>
      </c>
      <c r="R37" s="22">
        <f ca="1">ROUNDDOWN(_xll.IMBC(M5,"세전수익률",O8,N37,"세전단가"),4)</f>
        <v>1.1479999999999999</v>
      </c>
      <c r="S37" s="7">
        <f t="shared" ca="1" si="9"/>
        <v>-4.0000000000000036E-3</v>
      </c>
      <c r="U37" s="71" t="s">
        <v>145</v>
      </c>
      <c r="V37" s="59">
        <f ca="1">V27+U37</f>
        <v>9507</v>
      </c>
      <c r="W37" s="60">
        <f ca="1">ROUNDDOWN(_xll.IMBC(U5,"세전수익률",W7,V37,"세전단가"),4)</f>
        <v>2.0750000000000002</v>
      </c>
      <c r="X37" s="5">
        <f t="shared" ca="1" si="14"/>
        <v>-9.9999999999988987E-2</v>
      </c>
      <c r="Y37" s="26">
        <f ca="1">Y27+U37</f>
        <v>9513</v>
      </c>
      <c r="Z37" s="22">
        <f ca="1">ROUNDDOWN(_xll.IMBC(U5,"세전수익률",W8,V37,"세전단가"),4)</f>
        <v>2.0760000000000001</v>
      </c>
      <c r="AA37" s="7">
        <f t="shared" ca="1" si="10"/>
        <v>-1.9999999999997797E-3</v>
      </c>
      <c r="AC37" s="71" t="s">
        <v>145</v>
      </c>
      <c r="AD37" s="59">
        <f ca="1">AD27+AC37</f>
        <v>8964</v>
      </c>
      <c r="AE37" s="60">
        <f ca="1">ROUNDDOWN(_xll.IMBC(AC5,"세전수익률",AE7,AD37,"세전단가"),4)</f>
        <v>2.1859999999999999</v>
      </c>
      <c r="AF37" s="5">
        <f t="shared" ca="1" si="15"/>
        <v>-9.9999999999988987E-2</v>
      </c>
      <c r="AG37" s="26">
        <f ca="1">AG27+AC37</f>
        <v>8969</v>
      </c>
      <c r="AH37" s="22">
        <f ca="1">ROUNDDOWN(_xll.IMBC(AC5,"세전수익률",AE8,AD37,"세전단가"),4)</f>
        <v>2.1869999999999998</v>
      </c>
      <c r="AI37" s="7">
        <f t="shared" ca="1" si="11"/>
        <v>-1.000000000000334E-3</v>
      </c>
    </row>
    <row r="38" spans="2:35" x14ac:dyDescent="0.25">
      <c r="B38" s="80"/>
      <c r="D38" s="78"/>
      <c r="E38" s="71" t="s">
        <v>96</v>
      </c>
      <c r="F38" s="59">
        <f ca="1">F27+E38</f>
        <v>9972</v>
      </c>
      <c r="G38" s="60">
        <f ca="1">ROUNDDOWN(_xll.IMBC(E5,"세전수익률",G7,F38,"세전단가"),4)</f>
        <v>1.0209999999999999</v>
      </c>
      <c r="H38" s="5">
        <f t="shared" ca="1" si="12"/>
        <v>-0.60000000000000053</v>
      </c>
      <c r="I38" s="26">
        <f ca="1">I27+E38</f>
        <v>9974</v>
      </c>
      <c r="J38" s="22">
        <f ca="1">ROUNDDOWN(_xll.IMBC(E5,"세전수익률",G8,F38,"세전단가"),4)</f>
        <v>1.026</v>
      </c>
      <c r="K38" s="7">
        <f t="shared" ca="1" si="8"/>
        <v>-6.0000000000000053E-3</v>
      </c>
      <c r="M38" s="71" t="s">
        <v>146</v>
      </c>
      <c r="N38" s="59">
        <f ca="1">N27+M38</f>
        <v>9935</v>
      </c>
      <c r="O38" s="60">
        <f ca="1">ROUNDDOWN(_xll.IMBC(M5,"세전수익률",O7,N38,"세전단가"),4)</f>
        <v>1.1399999999999999</v>
      </c>
      <c r="P38" s="5">
        <f t="shared" ca="1" si="13"/>
        <v>-0.40000000000000036</v>
      </c>
      <c r="Q38" s="26">
        <f ca="1">Q27+M38</f>
        <v>9936</v>
      </c>
      <c r="R38" s="22">
        <f ca="1">ROUNDDOWN(_xll.IMBC(M5,"세전수익률",O8,N38,"세전단가"),4)</f>
        <v>1.1439999999999999</v>
      </c>
      <c r="S38" s="7">
        <f t="shared" ca="1" si="9"/>
        <v>-4.0000000000000036E-3</v>
      </c>
      <c r="U38" s="71" t="s">
        <v>146</v>
      </c>
      <c r="V38" s="59">
        <f ca="1">V27+U38</f>
        <v>9508</v>
      </c>
      <c r="W38" s="60">
        <f ca="1">ROUNDDOWN(_xll.IMBC(U5,"세전수익률",W7,V38,"세전단가"),4)</f>
        <v>2.073</v>
      </c>
      <c r="X38" s="5">
        <f t="shared" ca="1" si="14"/>
        <v>-0.20000000000002238</v>
      </c>
      <c r="Y38" s="26">
        <f ca="1">Y27+U38</f>
        <v>9514</v>
      </c>
      <c r="Z38" s="22">
        <f ca="1">ROUNDDOWN(_xll.IMBC(U5,"세전수익률",W8,V38,"세전단가"),4)</f>
        <v>2.0750000000000002</v>
      </c>
      <c r="AA38" s="7">
        <f t="shared" ca="1" si="10"/>
        <v>-9.9999999999988987E-4</v>
      </c>
      <c r="AC38" s="71" t="s">
        <v>146</v>
      </c>
      <c r="AD38" s="59">
        <f ca="1">AD27+AC38</f>
        <v>8965</v>
      </c>
      <c r="AE38" s="60">
        <f ca="1">ROUNDDOWN(_xll.IMBC(AC5,"세전수익률",AE7,AD38,"세전단가"),4)</f>
        <v>2.1850000000000001</v>
      </c>
      <c r="AF38" s="5">
        <f t="shared" ca="1" si="15"/>
        <v>-9.9999999999988987E-2</v>
      </c>
      <c r="AG38" s="26">
        <f ca="1">AG27+AC38</f>
        <v>8970</v>
      </c>
      <c r="AH38" s="22">
        <f ca="1">ROUNDDOWN(_xll.IMBC(AC5,"세전수익률",AE8,AD38,"세전단가"),4)</f>
        <v>2.1859999999999999</v>
      </c>
      <c r="AI38" s="7">
        <f t="shared" ca="1" si="11"/>
        <v>-9.9999999999988987E-4</v>
      </c>
    </row>
    <row r="39" spans="2:35" x14ac:dyDescent="0.25">
      <c r="B39" s="80"/>
      <c r="D39" s="78"/>
      <c r="E39" s="71" t="s">
        <v>97</v>
      </c>
      <c r="F39" s="59">
        <f ca="1">F27+E39</f>
        <v>9973</v>
      </c>
      <c r="G39" s="60">
        <f ca="1">ROUNDDOWN(_xll.IMBC(E5,"세전수익률",G7,F39,"세전단가"),4)</f>
        <v>1.0149999999999999</v>
      </c>
      <c r="H39" s="5">
        <f t="shared" ca="1" si="12"/>
        <v>-0.60000000000000053</v>
      </c>
      <c r="I39" s="26">
        <f ca="1">I27+E39</f>
        <v>9975</v>
      </c>
      <c r="J39" s="22">
        <f ca="1">ROUNDDOWN(_xll.IMBC(E5,"세전수익률",G8,F39,"세전단가"),4)</f>
        <v>1.02</v>
      </c>
      <c r="K39" s="7">
        <f t="shared" ca="1" si="8"/>
        <v>-6.0000000000000053E-3</v>
      </c>
      <c r="M39" s="71" t="s">
        <v>147</v>
      </c>
      <c r="N39" s="59">
        <f ca="1">N27+M39</f>
        <v>9936</v>
      </c>
      <c r="O39" s="60">
        <f ca="1">ROUNDDOWN(_xll.IMBC(M5,"세전수익률",O7,N39,"세전단가"),4)</f>
        <v>1.1359999999999999</v>
      </c>
      <c r="P39" s="5">
        <f t="shared" ca="1" si="13"/>
        <v>-0.40000000000000036</v>
      </c>
      <c r="Q39" s="26">
        <f ca="1">Q27+M39</f>
        <v>9937</v>
      </c>
      <c r="R39" s="22">
        <f ca="1">ROUNDDOWN(_xll.IMBC(M5,"세전수익률",O8,N39,"세전단가"),4)</f>
        <v>1.1399999999999999</v>
      </c>
      <c r="S39" s="7">
        <f t="shared" ca="1" si="9"/>
        <v>-4.0000000000000036E-3</v>
      </c>
      <c r="U39" s="71" t="s">
        <v>147</v>
      </c>
      <c r="V39" s="59">
        <f ca="1">V27+U39</f>
        <v>9509</v>
      </c>
      <c r="W39" s="60">
        <f ca="1">ROUNDDOWN(_xll.IMBC(U5,"세전수익률",W7,V39,"세전단가"),4)</f>
        <v>2.0720000000000001</v>
      </c>
      <c r="X39" s="5">
        <f t="shared" ca="1" si="14"/>
        <v>-9.9999999999988987E-2</v>
      </c>
      <c r="Y39" s="26">
        <f ca="1">Y27+U39</f>
        <v>9515</v>
      </c>
      <c r="Z39" s="22">
        <f ca="1">ROUNDDOWN(_xll.IMBC(U5,"세전수익률",W8,V39,"세전단가"),4)</f>
        <v>2.0739999999999998</v>
      </c>
      <c r="AA39" s="7">
        <f t="shared" ca="1" si="10"/>
        <v>-1.000000000000334E-3</v>
      </c>
      <c r="AC39" s="71" t="s">
        <v>147</v>
      </c>
      <c r="AD39" s="59">
        <f ca="1">AD27+AC39</f>
        <v>8966</v>
      </c>
      <c r="AE39" s="60">
        <f ca="1">ROUNDDOWN(_xll.IMBC(AC5,"세전수익률",AE7,AD39,"세전단가"),4)</f>
        <v>2.1850000000000001</v>
      </c>
      <c r="AF39" s="5">
        <f t="shared" ca="1" si="15"/>
        <v>0</v>
      </c>
      <c r="AG39" s="26">
        <f ca="1">AG27+AC39</f>
        <v>8971</v>
      </c>
      <c r="AH39" s="22">
        <f ca="1">ROUNDDOWN(_xll.IMBC(AC5,"세전수익률",AE8,AD39,"세전단가"),4)</f>
        <v>2.1859999999999999</v>
      </c>
      <c r="AI39" s="7">
        <f t="shared" ca="1" si="11"/>
        <v>0</v>
      </c>
    </row>
    <row r="40" spans="2:35" x14ac:dyDescent="0.25">
      <c r="B40" s="80"/>
      <c r="D40" s="78"/>
      <c r="E40" s="71" t="s">
        <v>98</v>
      </c>
      <c r="F40" s="59">
        <f ca="1">F27+E40</f>
        <v>9974</v>
      </c>
      <c r="G40" s="60">
        <f ca="1">ROUNDDOWN(_xll.IMBC(E5,"세전수익률",G7,F40,"세전단가"),4)</f>
        <v>1.0089999999999999</v>
      </c>
      <c r="H40" s="5">
        <f t="shared" ca="1" si="12"/>
        <v>-0.60000000000000053</v>
      </c>
      <c r="I40" s="26">
        <f ca="1">I27+E40</f>
        <v>9976</v>
      </c>
      <c r="J40" s="22">
        <f ca="1">ROUNDDOWN(_xll.IMBC(E5,"세전수익률",G8,F40,"세전단가"),4)</f>
        <v>1.014</v>
      </c>
      <c r="K40" s="7">
        <f t="shared" ca="1" si="8"/>
        <v>-6.0000000000000053E-3</v>
      </c>
      <c r="M40" s="71" t="s">
        <v>148</v>
      </c>
      <c r="N40" s="59">
        <f ca="1">N27+M40</f>
        <v>9937</v>
      </c>
      <c r="O40" s="60">
        <f ca="1">ROUNDDOWN(_xll.IMBC(M5,"세전수익률",O7,N40,"세전단가"),4)</f>
        <v>1.1319999999999999</v>
      </c>
      <c r="P40" s="5">
        <f t="shared" ca="1" si="13"/>
        <v>-0.40000000000000036</v>
      </c>
      <c r="Q40" s="26">
        <f ca="1">Q27+M40</f>
        <v>9938</v>
      </c>
      <c r="R40" s="22">
        <f ca="1">ROUNDDOWN(_xll.IMBC(M5,"세전수익률",O8,N40,"세전단가"),4)</f>
        <v>1.1359999999999999</v>
      </c>
      <c r="S40" s="7">
        <f t="shared" ca="1" si="9"/>
        <v>-4.0000000000000036E-3</v>
      </c>
      <c r="U40" s="71" t="s">
        <v>148</v>
      </c>
      <c r="V40" s="59">
        <f ca="1">V27+U40</f>
        <v>9510</v>
      </c>
      <c r="W40" s="60">
        <f ca="1">ROUNDDOWN(_xll.IMBC(U5,"세전수익률",W7,V40,"세전단가"),4)</f>
        <v>2.0710000000000002</v>
      </c>
      <c r="X40" s="5">
        <f t="shared" ca="1" si="14"/>
        <v>-9.9999999999988987E-2</v>
      </c>
      <c r="Y40" s="26">
        <f ca="1">Y27+U40</f>
        <v>9516</v>
      </c>
      <c r="Z40" s="22">
        <f ca="1">ROUNDDOWN(_xll.IMBC(U5,"세전수익률",W8,V40,"세전단가"),4)</f>
        <v>2.073</v>
      </c>
      <c r="AA40" s="7">
        <f t="shared" ca="1" si="10"/>
        <v>-9.9999999999988987E-4</v>
      </c>
      <c r="AC40" s="71" t="s">
        <v>148</v>
      </c>
      <c r="AD40" s="59">
        <f ca="1">AD27+AC40</f>
        <v>8967</v>
      </c>
      <c r="AE40" s="60">
        <f ca="1">ROUNDDOWN(_xll.IMBC(AC5,"세전수익률",AE7,AD40,"세전단가"),4)</f>
        <v>2.1840000000000002</v>
      </c>
      <c r="AF40" s="5">
        <f t="shared" ca="1" si="15"/>
        <v>-9.9999999999988987E-2</v>
      </c>
      <c r="AG40" s="26">
        <f ca="1">AG27+AC40</f>
        <v>8972</v>
      </c>
      <c r="AH40" s="22">
        <f ca="1">ROUNDDOWN(_xll.IMBC(AC5,"세전수익률",AE8,AD40,"세전단가"),4)</f>
        <v>2.1850000000000001</v>
      </c>
      <c r="AI40" s="7">
        <f t="shared" ca="1" si="11"/>
        <v>-9.9999999999988987E-4</v>
      </c>
    </row>
    <row r="41" spans="2:35" x14ac:dyDescent="0.25">
      <c r="B41" s="80"/>
      <c r="D41" s="78"/>
      <c r="E41" s="71" t="s">
        <v>99</v>
      </c>
      <c r="F41" s="59">
        <f ca="1">F27+E41</f>
        <v>9975</v>
      </c>
      <c r="G41" s="60">
        <f ca="1">ROUNDDOWN(_xll.IMBC(E5,"세전수익률",G7,F41,"세전단가"),4)</f>
        <v>1.004</v>
      </c>
      <c r="H41" s="5">
        <f t="shared" ca="1" si="12"/>
        <v>-0.49999999999998934</v>
      </c>
      <c r="I41" s="26">
        <f ca="1">I27+E41</f>
        <v>9977</v>
      </c>
      <c r="J41" s="22">
        <f ca="1">ROUNDDOWN(_xll.IMBC(E5,"세전수익률",G8,F41,"세전단가"),4)</f>
        <v>1.008</v>
      </c>
      <c r="K41" s="7">
        <f t="shared" ca="1" si="8"/>
        <v>-6.0000000000000053E-3</v>
      </c>
      <c r="M41" s="71" t="s">
        <v>149</v>
      </c>
      <c r="N41" s="59">
        <f ca="1">N27+M41</f>
        <v>9938</v>
      </c>
      <c r="O41" s="60">
        <f ca="1">ROUNDDOWN(_xll.IMBC(M5,"세전수익률",O7,N41,"세전단가"),4)</f>
        <v>1.1279999999999999</v>
      </c>
      <c r="P41" s="5">
        <f t="shared" ca="1" si="13"/>
        <v>-0.40000000000000036</v>
      </c>
      <c r="Q41" s="26">
        <f ca="1">Q27+M41</f>
        <v>9939</v>
      </c>
      <c r="R41" s="22">
        <f ca="1">ROUNDDOWN(_xll.IMBC(M5,"세전수익률",O8,N41,"세전단가"),4)</f>
        <v>1.1319999999999999</v>
      </c>
      <c r="S41" s="7">
        <f t="shared" ca="1" si="9"/>
        <v>-4.0000000000000036E-3</v>
      </c>
      <c r="U41" s="71" t="s">
        <v>149</v>
      </c>
      <c r="V41" s="59">
        <f ca="1">V27+U41</f>
        <v>9511</v>
      </c>
      <c r="W41" s="60">
        <f ca="1">ROUNDDOWN(_xll.IMBC(U5,"세전수익률",W7,V41,"세전단가"),4)</f>
        <v>2.0699999999999998</v>
      </c>
      <c r="X41" s="5">
        <f t="shared" ca="1" si="14"/>
        <v>-0.1000000000000334</v>
      </c>
      <c r="Y41" s="26">
        <f ca="1">Y27+U41</f>
        <v>9517</v>
      </c>
      <c r="Z41" s="22">
        <f ca="1">ROUNDDOWN(_xll.IMBC(U5,"세전수익률",W8,V41,"세전단가"),4)</f>
        <v>2.0720000000000001</v>
      </c>
      <c r="AA41" s="7">
        <f t="shared" ca="1" si="10"/>
        <v>-9.9999999999988987E-4</v>
      </c>
      <c r="AC41" s="71" t="s">
        <v>149</v>
      </c>
      <c r="AD41" s="59">
        <f ca="1">AD27+AC41</f>
        <v>8968</v>
      </c>
      <c r="AE41" s="60">
        <f ca="1">ROUNDDOWN(_xll.IMBC(AC5,"세전수익률",AE7,AD41,"세전단가"),4)</f>
        <v>2.1829999999999998</v>
      </c>
      <c r="AF41" s="5">
        <f t="shared" ca="1" si="15"/>
        <v>-0.1000000000000334</v>
      </c>
      <c r="AG41" s="26">
        <f ca="1">AG27+AC41</f>
        <v>8973</v>
      </c>
      <c r="AH41" s="22">
        <f ca="1">ROUNDDOWN(_xll.IMBC(AC5,"세전수익률",AE8,AD41,"세전단가"),4)</f>
        <v>2.1840000000000002</v>
      </c>
      <c r="AI41" s="7">
        <f t="shared" ca="1" si="11"/>
        <v>-9.9999999999988987E-4</v>
      </c>
    </row>
    <row r="42" spans="2:35" x14ac:dyDescent="0.25">
      <c r="B42" s="80"/>
      <c r="D42" s="78"/>
      <c r="E42" s="71" t="s">
        <v>100</v>
      </c>
      <c r="F42" s="59">
        <f ca="1">F27+E42</f>
        <v>9976</v>
      </c>
      <c r="G42" s="60">
        <f ca="1">ROUNDDOWN(_xll.IMBC(E5,"세전수익률",G7,F42,"세전단가"),4)</f>
        <v>0.998</v>
      </c>
      <c r="H42" s="5">
        <f t="shared" ca="1" si="12"/>
        <v>-0.60000000000000053</v>
      </c>
      <c r="I42" s="26">
        <f ca="1">I27+E42</f>
        <v>9978</v>
      </c>
      <c r="J42" s="22">
        <f ca="1">ROUNDDOWN(_xll.IMBC(E5,"세전수익률",G8,F42,"세전단가"),4)</f>
        <v>1.0029999999999999</v>
      </c>
      <c r="K42" s="7">
        <f t="shared" ca="1" si="8"/>
        <v>-5.0000000000001155E-3</v>
      </c>
      <c r="M42" s="71" t="s">
        <v>150</v>
      </c>
      <c r="N42" s="59">
        <f ca="1">N27+M42</f>
        <v>9939</v>
      </c>
      <c r="O42" s="60">
        <f ca="1">ROUNDDOWN(_xll.IMBC(M5,"세전수익률",O7,N42,"세전단가"),4)</f>
        <v>1.1240000000000001</v>
      </c>
      <c r="P42" s="5">
        <f t="shared" ca="1" si="13"/>
        <v>-0.39999999999997815</v>
      </c>
      <c r="Q42" s="26">
        <f ca="1">Q27+M42</f>
        <v>9940</v>
      </c>
      <c r="R42" s="22">
        <f ca="1">ROUNDDOWN(_xll.IMBC(M5,"세전수익률",O8,N42,"세전단가"),4)</f>
        <v>1.1279999999999999</v>
      </c>
      <c r="S42" s="7">
        <f t="shared" ca="1" si="9"/>
        <v>-4.0000000000000036E-3</v>
      </c>
      <c r="U42" s="71" t="s">
        <v>150</v>
      </c>
      <c r="V42" s="59">
        <f ca="1">V27+U42</f>
        <v>9512</v>
      </c>
      <c r="W42" s="60">
        <f ca="1">ROUNDDOWN(_xll.IMBC(U5,"세전수익률",W7,V42,"세전단가"),4)</f>
        <v>2.069</v>
      </c>
      <c r="X42" s="5">
        <f t="shared" ca="1" si="14"/>
        <v>-9.9999999999988987E-2</v>
      </c>
      <c r="Y42" s="26">
        <f ca="1">Y27+U42</f>
        <v>9518</v>
      </c>
      <c r="Z42" s="22">
        <f ca="1">ROUNDDOWN(_xll.IMBC(U5,"세전수익률",W8,V42,"세전단가"),4)</f>
        <v>2.0710000000000002</v>
      </c>
      <c r="AA42" s="7">
        <f t="shared" ca="1" si="10"/>
        <v>-9.9999999999988987E-4</v>
      </c>
      <c r="AC42" s="71" t="s">
        <v>150</v>
      </c>
      <c r="AD42" s="59">
        <f ca="1">AD27+AC42</f>
        <v>8969</v>
      </c>
      <c r="AE42" s="60">
        <f ca="1">ROUNDDOWN(_xll.IMBC(AC5,"세전수익률",AE7,AD42,"세전단가"),4)</f>
        <v>2.1829999999999998</v>
      </c>
      <c r="AF42" s="5">
        <f t="shared" ca="1" si="15"/>
        <v>0</v>
      </c>
      <c r="AG42" s="26">
        <f ca="1">AG27+AC42</f>
        <v>8974</v>
      </c>
      <c r="AH42" s="22">
        <f ca="1">ROUNDDOWN(_xll.IMBC(AC5,"세전수익률",AE8,AD42,"세전단가"),4)</f>
        <v>2.1840000000000002</v>
      </c>
      <c r="AI42" s="7">
        <f t="shared" ca="1" si="11"/>
        <v>0</v>
      </c>
    </row>
    <row r="43" spans="2:35" ht="14.25" thickBot="1" x14ac:dyDescent="0.3">
      <c r="B43" s="80"/>
      <c r="D43" s="78"/>
      <c r="E43" s="72" t="s">
        <v>101</v>
      </c>
      <c r="F43" s="65">
        <f ca="1">F27+E43</f>
        <v>9977</v>
      </c>
      <c r="G43" s="66">
        <f ca="1">ROUNDDOWN(_xll.IMBC(E5,"세전수익률",G7,F43,"세전단가"),4)</f>
        <v>0.99199999999999999</v>
      </c>
      <c r="H43" s="9">
        <f t="shared" ca="1" si="12"/>
        <v>-0.60000000000000053</v>
      </c>
      <c r="I43" s="27">
        <f ca="1">I27+E43</f>
        <v>9979</v>
      </c>
      <c r="J43" s="25">
        <f ca="1">ROUNDDOWN(_xll.IMBC(E5,"세전수익률",G8,F43,"세전단가"),4)</f>
        <v>0.997</v>
      </c>
      <c r="K43" s="10">
        <f t="shared" ca="1" si="8"/>
        <v>-5.9999999999998943E-3</v>
      </c>
      <c r="M43" s="72" t="s">
        <v>151</v>
      </c>
      <c r="N43" s="65">
        <f ca="1">N27+M43</f>
        <v>9940</v>
      </c>
      <c r="O43" s="66">
        <f ca="1">ROUNDDOWN(_xll.IMBC(M5,"세전수익률",O7,N43,"세전단가"),4)</f>
        <v>1.1200000000000001</v>
      </c>
      <c r="P43" s="9">
        <f t="shared" ca="1" si="13"/>
        <v>-0.40000000000000036</v>
      </c>
      <c r="Q43" s="27">
        <f ca="1">Q27+M43</f>
        <v>9941</v>
      </c>
      <c r="R43" s="25">
        <f ca="1">ROUNDDOWN(_xll.IMBC(M5,"세전수익률",O8,N43,"세전단가"),4)</f>
        <v>1.1240000000000001</v>
      </c>
      <c r="S43" s="10">
        <f t="shared" ca="1" si="9"/>
        <v>-3.9999999999997815E-3</v>
      </c>
      <c r="U43" s="72" t="s">
        <v>151</v>
      </c>
      <c r="V43" s="65">
        <f ca="1">V27+U43</f>
        <v>9513</v>
      </c>
      <c r="W43" s="66">
        <f ca="1">ROUNDDOWN(_xll.IMBC(U5,"세전수익률",W7,V43,"세전단가"),4)</f>
        <v>2.0670000000000002</v>
      </c>
      <c r="X43" s="9">
        <f t="shared" ca="1" si="14"/>
        <v>-0.19999999999997797</v>
      </c>
      <c r="Y43" s="9">
        <f ca="1">Y27+U43</f>
        <v>9519</v>
      </c>
      <c r="Z43" s="25">
        <f ca="1">ROUNDDOWN(_xll.IMBC(U5,"세전수익률",W8,V43,"세전단가"),4)</f>
        <v>2.069</v>
      </c>
      <c r="AA43" s="10">
        <f t="shared" ca="1" si="10"/>
        <v>-2.0000000000002238E-3</v>
      </c>
      <c r="AC43" s="72" t="s">
        <v>151</v>
      </c>
      <c r="AD43" s="65">
        <f ca="1">AD27+AC43</f>
        <v>8970</v>
      </c>
      <c r="AE43" s="66">
        <f ca="1">ROUNDDOWN(_xll.IMBC(AC5,"세전수익률",AE7,AD43,"세전단가"),4)</f>
        <v>2.1819999999999999</v>
      </c>
      <c r="AF43" s="9">
        <f t="shared" ca="1" si="15"/>
        <v>-9.9999999999988987E-2</v>
      </c>
      <c r="AG43" s="27">
        <f ca="1">AG27+AC43</f>
        <v>8975</v>
      </c>
      <c r="AH43" s="25">
        <f ca="1">ROUNDDOWN(_xll.IMBC(AC5,"세전수익률",AE8,AD43,"세전단가"),4)</f>
        <v>2.1829999999999998</v>
      </c>
      <c r="AI43" s="10">
        <f t="shared" ca="1" si="11"/>
        <v>-1.000000000000334E-3</v>
      </c>
    </row>
    <row r="46" spans="2:35" x14ac:dyDescent="0.25">
      <c r="B46" s="80"/>
      <c r="G46" s="4"/>
    </row>
    <row r="47" spans="2:35" ht="14.25" thickBot="1" x14ac:dyDescent="0.3">
      <c r="E47" s="79">
        <v>5</v>
      </c>
      <c r="M47" s="79">
        <v>6</v>
      </c>
      <c r="U47" s="79">
        <v>7</v>
      </c>
      <c r="AC47" s="79">
        <v>8</v>
      </c>
    </row>
    <row r="48" spans="2:35" ht="14.25" thickBot="1" x14ac:dyDescent="0.3">
      <c r="E48" s="120" t="s">
        <v>158</v>
      </c>
      <c r="F48" s="85"/>
      <c r="G48" s="123" t="str">
        <f>_xll.IMDP("BND",E48,"한글종목명")</f>
        <v>국고00750-2303(21-3)</v>
      </c>
      <c r="H48" s="124"/>
      <c r="I48" s="124"/>
      <c r="J48" s="124"/>
      <c r="K48" s="125"/>
      <c r="M48" s="120" t="s">
        <v>159</v>
      </c>
      <c r="N48" s="85"/>
      <c r="O48" s="88" t="str">
        <f>_xll.IMDP("BND",M48,"한글종목명")</f>
        <v>국고00875-2312(20-8)</v>
      </c>
      <c r="P48" s="88"/>
      <c r="Q48" s="88"/>
      <c r="R48" s="88"/>
      <c r="S48" s="89"/>
      <c r="U48" s="120" t="s">
        <v>160</v>
      </c>
      <c r="V48" s="85"/>
      <c r="W48" s="88" t="str">
        <f>_xll.IMDP("BND",U48,"한글종목명")</f>
        <v>국고01500-3012(20-9)</v>
      </c>
      <c r="X48" s="88"/>
      <c r="Y48" s="88"/>
      <c r="Z48" s="88"/>
      <c r="AA48" s="89"/>
      <c r="AC48" s="120" t="s">
        <v>161</v>
      </c>
      <c r="AD48" s="85"/>
      <c r="AE48" s="88" t="str">
        <f>_xll.IMDP("BND",AC48,"한글종목명")</f>
        <v>국고01500-4009(20-7)</v>
      </c>
      <c r="AF48" s="88"/>
      <c r="AG48" s="88"/>
      <c r="AH48" s="88"/>
      <c r="AI48" s="89"/>
    </row>
    <row r="49" spans="5:35" x14ac:dyDescent="0.25">
      <c r="E49" s="121" t="s">
        <v>7</v>
      </c>
      <c r="F49" s="122"/>
      <c r="G49" s="106">
        <f>_xll.IMDP("BND",E48,"만기일")</f>
        <v>20230310</v>
      </c>
      <c r="H49" s="106"/>
      <c r="I49" s="42" t="s">
        <v>60</v>
      </c>
      <c r="J49" s="112" t="s">
        <v>103</v>
      </c>
      <c r="K49" s="113"/>
      <c r="M49" s="91" t="s">
        <v>152</v>
      </c>
      <c r="N49" s="86"/>
      <c r="O49" s="106">
        <f>_xll.IMDP("BND",M48,"만기일")</f>
        <v>20231210</v>
      </c>
      <c r="P49" s="106"/>
      <c r="Q49" s="42" t="s">
        <v>153</v>
      </c>
      <c r="R49" s="112" t="s">
        <v>111</v>
      </c>
      <c r="S49" s="113"/>
      <c r="U49" s="91" t="s">
        <v>152</v>
      </c>
      <c r="V49" s="86"/>
      <c r="W49" s="106">
        <f>_xll.IMDP("BND",U48,"만기일")</f>
        <v>20301210</v>
      </c>
      <c r="X49" s="106"/>
      <c r="Y49" s="42" t="s">
        <v>153</v>
      </c>
      <c r="Z49" s="112" t="s">
        <v>111</v>
      </c>
      <c r="AA49" s="113"/>
      <c r="AC49" s="91" t="s">
        <v>152</v>
      </c>
      <c r="AD49" s="86"/>
      <c r="AE49" s="106">
        <f>_xll.IMDP("BND",AC48,"만기일")</f>
        <v>20400910</v>
      </c>
      <c r="AF49" s="106"/>
      <c r="AG49" s="42" t="s">
        <v>153</v>
      </c>
      <c r="AH49" s="112" t="s">
        <v>111</v>
      </c>
      <c r="AI49" s="113"/>
    </row>
    <row r="50" spans="5:35" x14ac:dyDescent="0.25">
      <c r="E50" s="96" t="s">
        <v>8</v>
      </c>
      <c r="F50" s="97"/>
      <c r="G50" s="98">
        <f ca="1">TODAY()</f>
        <v>44358</v>
      </c>
      <c r="H50" s="99"/>
      <c r="I50" s="29" t="s">
        <v>6</v>
      </c>
      <c r="J50" s="100" t="s">
        <v>103</v>
      </c>
      <c r="K50" s="101"/>
      <c r="M50" s="116" t="s">
        <v>112</v>
      </c>
      <c r="N50" s="117"/>
      <c r="O50" s="107">
        <f ca="1">TODAY()</f>
        <v>44358</v>
      </c>
      <c r="P50" s="107"/>
      <c r="Q50" s="29" t="s">
        <v>116</v>
      </c>
      <c r="R50" s="100" t="s">
        <v>111</v>
      </c>
      <c r="S50" s="101"/>
      <c r="U50" s="116" t="s">
        <v>112</v>
      </c>
      <c r="V50" s="117"/>
      <c r="W50" s="107">
        <f ca="1">TODAY()</f>
        <v>44358</v>
      </c>
      <c r="X50" s="107"/>
      <c r="Y50" s="29" t="s">
        <v>116</v>
      </c>
      <c r="Z50" s="100" t="s">
        <v>111</v>
      </c>
      <c r="AA50" s="101"/>
      <c r="AC50" s="116" t="s">
        <v>112</v>
      </c>
      <c r="AD50" s="117"/>
      <c r="AE50" s="107">
        <f ca="1">TODAY()</f>
        <v>44358</v>
      </c>
      <c r="AF50" s="107"/>
      <c r="AG50" s="29" t="s">
        <v>116</v>
      </c>
      <c r="AH50" s="100" t="s">
        <v>111</v>
      </c>
      <c r="AI50" s="101"/>
    </row>
    <row r="51" spans="5:35" x14ac:dyDescent="0.25">
      <c r="E51" s="96" t="s">
        <v>9</v>
      </c>
      <c r="F51" s="97"/>
      <c r="G51" s="98">
        <f ca="1">WORKDAY(TODAY(),1)</f>
        <v>44361</v>
      </c>
      <c r="H51" s="99"/>
      <c r="I51" s="29" t="s">
        <v>61</v>
      </c>
      <c r="J51" s="114">
        <f>ROUNDDOWN(_xll.IMDP("BND",E48,INDEX(Sheet1!$B$2:$C$7,$C$5,2)),2)</f>
        <v>1.07</v>
      </c>
      <c r="K51" s="115"/>
      <c r="M51" s="116" t="s">
        <v>113</v>
      </c>
      <c r="N51" s="117"/>
      <c r="O51" s="107">
        <f ca="1">WORKDAY(TODAY(),1)</f>
        <v>44361</v>
      </c>
      <c r="P51" s="107"/>
      <c r="Q51" s="29" t="s">
        <v>154</v>
      </c>
      <c r="R51" s="118">
        <f>ROUNDDOWN(_xll.IMDP("BND",M48,INDEX(Sheet1!$B$2:$C$7,$C$5,2)),2)</f>
        <v>1.18</v>
      </c>
      <c r="S51" s="119"/>
      <c r="U51" s="116" t="s">
        <v>113</v>
      </c>
      <c r="V51" s="117"/>
      <c r="W51" s="107">
        <f ca="1">WORKDAY(TODAY(),1)</f>
        <v>44361</v>
      </c>
      <c r="X51" s="107"/>
      <c r="Y51" s="29" t="s">
        <v>154</v>
      </c>
      <c r="Z51" s="114">
        <f>ROUNDDOWN(_xll.IMDP("BND",U48,INDEX(Sheet1!$B$2:$C$7,$C$5,2)),2)</f>
        <v>2.08</v>
      </c>
      <c r="AA51" s="115"/>
      <c r="AC51" s="116" t="s">
        <v>113</v>
      </c>
      <c r="AD51" s="117"/>
      <c r="AE51" s="107">
        <f ca="1">WORKDAY(TODAY(),1)</f>
        <v>44361</v>
      </c>
      <c r="AF51" s="107"/>
      <c r="AG51" s="29" t="s">
        <v>154</v>
      </c>
      <c r="AH51" s="114">
        <f>ROUNDDOWN(_xll.IMDP("BND",AC48,INDEX(Sheet1!$B$2:$C$7,$C$5,2)),2)</f>
        <v>2.19</v>
      </c>
      <c r="AI51" s="115"/>
    </row>
    <row r="52" spans="5:35" ht="14.25" thickBot="1" x14ac:dyDescent="0.3">
      <c r="E52" s="110" t="s">
        <v>107</v>
      </c>
      <c r="F52" s="111"/>
      <c r="G52" s="104"/>
      <c r="H52" s="105"/>
      <c r="I52" s="31"/>
      <c r="J52" s="108">
        <f>ROUNDDOWN(_xll.IMDP("BND",E48,INDEX(Sheet1!$B$9:$C$14,$C$5,2)),2)</f>
        <v>9962.66</v>
      </c>
      <c r="K52" s="109"/>
      <c r="M52" s="110" t="s">
        <v>155</v>
      </c>
      <c r="N52" s="111"/>
      <c r="O52" s="104"/>
      <c r="P52" s="105"/>
      <c r="Q52" s="31"/>
      <c r="R52" s="108">
        <f>ROUNDDOWN(_xll.IMDP("BND",M48,INDEX(Sheet1!$B$9:$C$14,$C$5,2)),2)</f>
        <v>9925.23</v>
      </c>
      <c r="S52" s="109"/>
      <c r="U52" s="110" t="s">
        <v>155</v>
      </c>
      <c r="V52" s="111"/>
      <c r="W52" s="104"/>
      <c r="X52" s="105"/>
      <c r="Y52" s="31"/>
      <c r="Z52" s="108">
        <f>ROUNDDOWN(_xll.IMDP("BND",U48,INDEX(Sheet1!$B$9:$C$14,$C$5,2)),2)</f>
        <v>9498.7199999999993</v>
      </c>
      <c r="AA52" s="109"/>
      <c r="AC52" s="110" t="s">
        <v>155</v>
      </c>
      <c r="AD52" s="111"/>
      <c r="AE52" s="104"/>
      <c r="AF52" s="105"/>
      <c r="AG52" s="31"/>
      <c r="AH52" s="108">
        <f>ROUNDDOWN(_xll.IMDP("BND",AC48,INDEX(Sheet1!$B$9:$C$14,$C$5,2)),2)</f>
        <v>8955.81</v>
      </c>
      <c r="AI52" s="109"/>
    </row>
    <row r="53" spans="5:35" x14ac:dyDescent="0.25">
      <c r="E53" s="11" t="s">
        <v>102</v>
      </c>
      <c r="F53" s="6" t="s">
        <v>52</v>
      </c>
      <c r="G53" s="6" t="s">
        <v>0</v>
      </c>
      <c r="H53" s="6" t="s">
        <v>2</v>
      </c>
      <c r="I53" s="39" t="s">
        <v>68</v>
      </c>
      <c r="J53" s="6" t="s">
        <v>1</v>
      </c>
      <c r="K53" s="67" t="s">
        <v>2</v>
      </c>
      <c r="M53" s="11" t="s">
        <v>118</v>
      </c>
      <c r="N53" s="6" t="s">
        <v>156</v>
      </c>
      <c r="O53" s="6" t="s">
        <v>117</v>
      </c>
      <c r="P53" s="6" t="s">
        <v>115</v>
      </c>
      <c r="Q53" s="39" t="s">
        <v>157</v>
      </c>
      <c r="R53" s="6" t="s">
        <v>119</v>
      </c>
      <c r="S53" s="67" t="s">
        <v>115</v>
      </c>
      <c r="U53" s="11" t="s">
        <v>118</v>
      </c>
      <c r="V53" s="6" t="s">
        <v>156</v>
      </c>
      <c r="W53" s="6" t="s">
        <v>117</v>
      </c>
      <c r="X53" s="6" t="s">
        <v>115</v>
      </c>
      <c r="Y53" s="39" t="s">
        <v>157</v>
      </c>
      <c r="Z53" s="6" t="s">
        <v>119</v>
      </c>
      <c r="AA53" s="67" t="s">
        <v>115</v>
      </c>
      <c r="AC53" s="11" t="s">
        <v>118</v>
      </c>
      <c r="AD53" s="6" t="s">
        <v>156</v>
      </c>
      <c r="AE53" s="6" t="s">
        <v>117</v>
      </c>
      <c r="AF53" s="6" t="s">
        <v>115</v>
      </c>
      <c r="AG53" s="39" t="s">
        <v>157</v>
      </c>
      <c r="AH53" s="6" t="s">
        <v>119</v>
      </c>
      <c r="AI53" s="67" t="s">
        <v>115</v>
      </c>
    </row>
    <row r="54" spans="5:35" x14ac:dyDescent="0.25">
      <c r="E54" s="19" t="s">
        <v>46</v>
      </c>
      <c r="F54" s="59">
        <f ca="1">F70+E54</f>
        <v>9947</v>
      </c>
      <c r="G54" s="60">
        <f ca="1">ROUNDDOWN(_xll.IMBC(E48,"세전수익률",G50,F54,"세전단가"),4)</f>
        <v>1.1659999999999999</v>
      </c>
      <c r="H54" s="5">
        <f ca="1">(G54-G55)*100</f>
        <v>0.60000000000000053</v>
      </c>
      <c r="I54" s="28">
        <f ca="1">I70+E54</f>
        <v>9949</v>
      </c>
      <c r="J54" s="22">
        <f ca="1">ROUNDDOWN(_xll.IMBC(E48,"세전수익률",G51,F54,"세전단가"),4)</f>
        <v>1.1719999999999999</v>
      </c>
      <c r="K54" s="7">
        <f ca="1">(J54-J55)*100</f>
        <v>0.60000000000000053</v>
      </c>
      <c r="M54" s="19" t="s">
        <v>120</v>
      </c>
      <c r="N54" s="59">
        <f ca="1">N70+M54</f>
        <v>9910</v>
      </c>
      <c r="O54" s="60">
        <f ca="1">ROUNDDOWN(_xll.IMBC(M48,"세전수익률",O50,N54,"세전단가"),4)</f>
        <v>1.2430000000000001</v>
      </c>
      <c r="P54" s="5">
        <f ca="1">(O54-O55)*100</f>
        <v>0.40000000000000036</v>
      </c>
      <c r="Q54" s="26">
        <f ca="1">Q70+M54</f>
        <v>9911</v>
      </c>
      <c r="R54" s="22">
        <f ca="1">ROUNDDOWN(_xll.IMBC(M48,"세전수익률",O51,N54,"세전단가"),4)</f>
        <v>1.2470000000000001</v>
      </c>
      <c r="S54" s="7">
        <f ca="1">(R54-R55)*100</f>
        <v>0.40000000000000036</v>
      </c>
      <c r="U54" s="19" t="s">
        <v>120</v>
      </c>
      <c r="V54" s="59">
        <f ca="1">V70+U54</f>
        <v>9483</v>
      </c>
      <c r="W54" s="60">
        <f ca="1">ROUNDDOWN(_xll.IMBC(U48,"세전수익률",W50,V54,"세전단가"),4)</f>
        <v>2.1030000000000002</v>
      </c>
      <c r="X54" s="5">
        <f ca="1">(W54-W55)*100</f>
        <v>0.1000000000000334</v>
      </c>
      <c r="Y54" s="26">
        <f ca="1">Y70+U54</f>
        <v>9489</v>
      </c>
      <c r="Z54" s="22">
        <f ca="1">ROUNDDOWN(_xll.IMBC(U48,"세전수익률",W51,V54,"세전단가"),4)</f>
        <v>2.105</v>
      </c>
      <c r="AA54" s="7">
        <f ca="1">(Z54-Z55)*100</f>
        <v>9.9999999999988987E-2</v>
      </c>
      <c r="AC54" s="19" t="s">
        <v>120</v>
      </c>
      <c r="AD54" s="59">
        <f ca="1">AD70+AC54</f>
        <v>8940</v>
      </c>
      <c r="AE54" s="60">
        <f ca="1">ROUNDDOWN(_xll.IMBC(AC48,"세전수익률",AE50,AD54,"세전단가"),4)</f>
        <v>2.202</v>
      </c>
      <c r="AF54" s="5">
        <f ca="1">(AE54-AE55)*100</f>
        <v>0</v>
      </c>
      <c r="AG54" s="26">
        <f ca="1">AG70+AC54</f>
        <v>8945</v>
      </c>
      <c r="AH54" s="22">
        <f ca="1">ROUNDDOWN(_xll.IMBC(AC48,"세전수익률",AE51,AD54,"세전단가"),4)</f>
        <v>2.2029999999999998</v>
      </c>
      <c r="AI54" s="7">
        <f ca="1">(AH54-AH55)*100</f>
        <v>0</v>
      </c>
    </row>
    <row r="55" spans="5:35" x14ac:dyDescent="0.25">
      <c r="E55" s="20" t="s">
        <v>45</v>
      </c>
      <c r="F55" s="59">
        <f ca="1">F70+E55</f>
        <v>9948</v>
      </c>
      <c r="G55" s="60">
        <f ca="1">ROUNDDOWN(_xll.IMBC(E48,"세전수익률",G50,F55,"세전단가"),4)</f>
        <v>1.1599999999999999</v>
      </c>
      <c r="H55" s="5">
        <f t="shared" ref="H55:H69" ca="1" si="16">(G55-G56)*100</f>
        <v>0.49999999999998934</v>
      </c>
      <c r="I55" s="28">
        <f ca="1">I70+E55</f>
        <v>9950</v>
      </c>
      <c r="J55" s="22">
        <f ca="1">ROUNDDOWN(_xll.IMBC(E48,"세전수익률",G51,F55,"세전단가"),4)</f>
        <v>1.1659999999999999</v>
      </c>
      <c r="K55" s="7">
        <f t="shared" ref="K55:K69" ca="1" si="17">(J55-J56)*100</f>
        <v>0.60000000000000053</v>
      </c>
      <c r="M55" s="20" t="s">
        <v>121</v>
      </c>
      <c r="N55" s="59">
        <f ca="1">N70+M55</f>
        <v>9911</v>
      </c>
      <c r="O55" s="60">
        <f ca="1">ROUNDDOWN(_xll.IMBC(M48,"세전수익률",O50,N55,"세전단가"),4)</f>
        <v>1.2390000000000001</v>
      </c>
      <c r="P55" s="5">
        <f t="shared" ref="P55:P69" ca="1" si="18">(O55-O56)*100</f>
        <v>0.50000000000001155</v>
      </c>
      <c r="Q55" s="26">
        <f ca="1">Q70+M55</f>
        <v>9912</v>
      </c>
      <c r="R55" s="22">
        <f ca="1">ROUNDDOWN(_xll.IMBC(M48,"세전수익률",O51,N55,"세전단가"),4)</f>
        <v>1.2430000000000001</v>
      </c>
      <c r="S55" s="7">
        <f t="shared" ref="S55:S69" ca="1" si="19">(R55-R56)*100</f>
        <v>0.40000000000000036</v>
      </c>
      <c r="U55" s="20" t="s">
        <v>121</v>
      </c>
      <c r="V55" s="59">
        <f ca="1">V70+U55</f>
        <v>9484</v>
      </c>
      <c r="W55" s="60">
        <f ca="1">ROUNDDOWN(_xll.IMBC(U48,"세전수익률",W50,V55,"세전단가"),4)</f>
        <v>2.1019999999999999</v>
      </c>
      <c r="X55" s="5">
        <f t="shared" ref="X55:X69" ca="1" si="20">(W55-W56)*100</f>
        <v>9.9999999999988987E-2</v>
      </c>
      <c r="Y55" s="26">
        <f ca="1">Y70+U55</f>
        <v>9490</v>
      </c>
      <c r="Z55" s="22">
        <f ca="1">ROUNDDOWN(_xll.IMBC(U48,"세전수익률",W51,V55,"세전단가"),4)</f>
        <v>2.1040000000000001</v>
      </c>
      <c r="AA55" s="7">
        <f t="shared" ref="AA55:AA69" ca="1" si="21">(Z55-Z56)*100</f>
        <v>9.9999999999988987E-2</v>
      </c>
      <c r="AC55" s="20" t="s">
        <v>121</v>
      </c>
      <c r="AD55" s="59">
        <f ca="1">AD70+AC55</f>
        <v>8941</v>
      </c>
      <c r="AE55" s="60">
        <f ca="1">ROUNDDOWN(_xll.IMBC(AC48,"세전수익률",AE50,AD55,"세전단가"),4)</f>
        <v>2.202</v>
      </c>
      <c r="AF55" s="5">
        <f t="shared" ref="AF55:AF69" ca="1" si="22">(AE55-AE56)*100</f>
        <v>9.9999999999988987E-2</v>
      </c>
      <c r="AG55" s="26">
        <f ca="1">AG70+AC55</f>
        <v>8946</v>
      </c>
      <c r="AH55" s="22">
        <f ca="1">ROUNDDOWN(_xll.IMBC(AC48,"세전수익률",AE51,AD55,"세전단가"),4)</f>
        <v>2.2029999999999998</v>
      </c>
      <c r="AI55" s="7">
        <f t="shared" ref="AI55:AI69" ca="1" si="23">(AH55-AH56)*100</f>
        <v>9.9999999999988987E-2</v>
      </c>
    </row>
    <row r="56" spans="5:35" x14ac:dyDescent="0.25">
      <c r="E56" s="20" t="s">
        <v>44</v>
      </c>
      <c r="F56" s="59">
        <f ca="1">F70+E56</f>
        <v>9949</v>
      </c>
      <c r="G56" s="60">
        <f ca="1">ROUNDDOWN(_xll.IMBC(E48,"세전수익률",G50,F56,"세전단가"),4)</f>
        <v>1.155</v>
      </c>
      <c r="H56" s="5">
        <f t="shared" ca="1" si="16"/>
        <v>0.60000000000000053</v>
      </c>
      <c r="I56" s="28">
        <f ca="1">I70+E56</f>
        <v>9951</v>
      </c>
      <c r="J56" s="22">
        <f ca="1">ROUNDDOWN(_xll.IMBC(E48,"세전수익률",G51,F56,"세전단가"),4)</f>
        <v>1.1599999999999999</v>
      </c>
      <c r="K56" s="7">
        <f t="shared" ca="1" si="17"/>
        <v>0.60000000000000053</v>
      </c>
      <c r="M56" s="20" t="s">
        <v>122</v>
      </c>
      <c r="N56" s="59">
        <f ca="1">N70+M56</f>
        <v>9912</v>
      </c>
      <c r="O56" s="60">
        <f ca="1">ROUNDDOWN(_xll.IMBC(M48,"세전수익률",O50,N56,"세전단가"),4)</f>
        <v>1.234</v>
      </c>
      <c r="P56" s="5">
        <f t="shared" ca="1" si="18"/>
        <v>0.40000000000000036</v>
      </c>
      <c r="Q56" s="26">
        <f ca="1">Q70+M56</f>
        <v>9913</v>
      </c>
      <c r="R56" s="22">
        <f ca="1">ROUNDDOWN(_xll.IMBC(M48,"세전수익률",O51,N56,"세전단가"),4)</f>
        <v>1.2390000000000001</v>
      </c>
      <c r="S56" s="7">
        <f t="shared" ca="1" si="19"/>
        <v>0.50000000000001155</v>
      </c>
      <c r="U56" s="20" t="s">
        <v>122</v>
      </c>
      <c r="V56" s="59">
        <f ca="1">V70+U56</f>
        <v>9485</v>
      </c>
      <c r="W56" s="60">
        <f ca="1">ROUNDDOWN(_xll.IMBC(U48,"세전수익률",W50,V56,"세전단가"),4)</f>
        <v>2.101</v>
      </c>
      <c r="X56" s="5">
        <f t="shared" ca="1" si="20"/>
        <v>9.9999999999988987E-2</v>
      </c>
      <c r="Y56" s="26">
        <f ca="1">Y70+U56</f>
        <v>9491</v>
      </c>
      <c r="Z56" s="22">
        <f ca="1">ROUNDDOWN(_xll.IMBC(U48,"세전수익률",W51,V56,"세전단가"),4)</f>
        <v>2.1030000000000002</v>
      </c>
      <c r="AA56" s="7">
        <f t="shared" ca="1" si="21"/>
        <v>0.1000000000000334</v>
      </c>
      <c r="AC56" s="20" t="s">
        <v>122</v>
      </c>
      <c r="AD56" s="59">
        <f ca="1">AD70+AC56</f>
        <v>8942</v>
      </c>
      <c r="AE56" s="60">
        <f ca="1">ROUNDDOWN(_xll.IMBC(AC48,"세전수익률",AE50,AD56,"세전단가"),4)</f>
        <v>2.2010000000000001</v>
      </c>
      <c r="AF56" s="5">
        <f t="shared" ca="1" si="22"/>
        <v>9.9999999999988987E-2</v>
      </c>
      <c r="AG56" s="26">
        <f ca="1">AG70+AC56</f>
        <v>8947</v>
      </c>
      <c r="AH56" s="22">
        <f ca="1">ROUNDDOWN(_xll.IMBC(AC48,"세전수익률",AE51,AD56,"세전단가"),4)</f>
        <v>2.202</v>
      </c>
      <c r="AI56" s="7">
        <f t="shared" ca="1" si="23"/>
        <v>9.9999999999988987E-2</v>
      </c>
    </row>
    <row r="57" spans="5:35" x14ac:dyDescent="0.25">
      <c r="E57" s="20" t="s">
        <v>43</v>
      </c>
      <c r="F57" s="59">
        <f ca="1">F70+E57</f>
        <v>9950</v>
      </c>
      <c r="G57" s="60">
        <f ca="1">ROUNDDOWN(_xll.IMBC(E48,"세전수익률",G50,F57,"세전단가"),4)</f>
        <v>1.149</v>
      </c>
      <c r="H57" s="5">
        <f t="shared" ca="1" si="16"/>
        <v>0.60000000000000053</v>
      </c>
      <c r="I57" s="28">
        <f ca="1">I70+E57</f>
        <v>9952</v>
      </c>
      <c r="J57" s="22">
        <f ca="1">ROUNDDOWN(_xll.IMBC(E48,"세전수익률",G51,F57,"세전단가"),4)</f>
        <v>1.1539999999999999</v>
      </c>
      <c r="K57" s="7">
        <f t="shared" ca="1" si="17"/>
        <v>0.60000000000000053</v>
      </c>
      <c r="M57" s="20" t="s">
        <v>123</v>
      </c>
      <c r="N57" s="59">
        <f ca="1">N70+M57</f>
        <v>9913</v>
      </c>
      <c r="O57" s="60">
        <f ca="1">ROUNDDOWN(_xll.IMBC(M48,"세전수익률",O50,N57,"세전단가"),4)</f>
        <v>1.23</v>
      </c>
      <c r="P57" s="5">
        <f t="shared" ca="1" si="18"/>
        <v>0.40000000000000036</v>
      </c>
      <c r="Q57" s="26">
        <f ca="1">Q70+M57</f>
        <v>9914</v>
      </c>
      <c r="R57" s="22">
        <f ca="1">ROUNDDOWN(_xll.IMBC(M48,"세전수익률",O51,N57,"세전단가"),4)</f>
        <v>1.234</v>
      </c>
      <c r="S57" s="7">
        <f t="shared" ca="1" si="19"/>
        <v>0.40000000000000036</v>
      </c>
      <c r="U57" s="20" t="s">
        <v>123</v>
      </c>
      <c r="V57" s="59">
        <f ca="1">V70+U57</f>
        <v>9486</v>
      </c>
      <c r="W57" s="60">
        <f ca="1">ROUNDDOWN(_xll.IMBC(U48,"세전수익률",W50,V57,"세전단가"),4)</f>
        <v>2.1</v>
      </c>
      <c r="X57" s="5">
        <f t="shared" ca="1" si="20"/>
        <v>9.9999999999988987E-2</v>
      </c>
      <c r="Y57" s="26">
        <f ca="1">Y70+U57</f>
        <v>9492</v>
      </c>
      <c r="Z57" s="22">
        <f ca="1">ROUNDDOWN(_xll.IMBC(U48,"세전수익률",W51,V57,"세전단가"),4)</f>
        <v>2.1019999999999999</v>
      </c>
      <c r="AA57" s="7">
        <f t="shared" ca="1" si="21"/>
        <v>9.9999999999988987E-2</v>
      </c>
      <c r="AC57" s="20" t="s">
        <v>123</v>
      </c>
      <c r="AD57" s="59">
        <f ca="1">AD70+AC57</f>
        <v>8943</v>
      </c>
      <c r="AE57" s="60">
        <f ca="1">ROUNDDOWN(_xll.IMBC(AC48,"세전수익률",AE50,AD57,"세전단가"),4)</f>
        <v>2.2000000000000002</v>
      </c>
      <c r="AF57" s="5">
        <f t="shared" ca="1" si="22"/>
        <v>0</v>
      </c>
      <c r="AG57" s="26">
        <f ca="1">AG70+AC57</f>
        <v>8948</v>
      </c>
      <c r="AH57" s="22">
        <f ca="1">ROUNDDOWN(_xll.IMBC(AC48,"세전수익률",AE51,AD57,"세전단가"),4)</f>
        <v>2.2010000000000001</v>
      </c>
      <c r="AI57" s="7">
        <f t="shared" ca="1" si="23"/>
        <v>0</v>
      </c>
    </row>
    <row r="58" spans="5:35" x14ac:dyDescent="0.25">
      <c r="E58" s="20" t="s">
        <v>42</v>
      </c>
      <c r="F58" s="59">
        <f ca="1">F70+E58</f>
        <v>9951</v>
      </c>
      <c r="G58" s="60">
        <f ca="1">ROUNDDOWN(_xll.IMBC(E48,"세전수익률",G50,F58,"세전단가"),4)</f>
        <v>1.143</v>
      </c>
      <c r="H58" s="5">
        <f t="shared" ca="1" si="16"/>
        <v>0.60000000000000053</v>
      </c>
      <c r="I58" s="28">
        <f ca="1">I70+E58</f>
        <v>9953</v>
      </c>
      <c r="J58" s="22">
        <f ca="1">ROUNDDOWN(_xll.IMBC(E48,"세전수익률",G51,F58,"세전단가"),4)</f>
        <v>1.1479999999999999</v>
      </c>
      <c r="K58" s="7">
        <f t="shared" ca="1" si="17"/>
        <v>0.49999999999998934</v>
      </c>
      <c r="M58" s="20" t="s">
        <v>124</v>
      </c>
      <c r="N58" s="59">
        <f ca="1">N70+M58</f>
        <v>9914</v>
      </c>
      <c r="O58" s="60">
        <f ca="1">ROUNDDOWN(_xll.IMBC(M48,"세전수익률",O50,N58,"세전단가"),4)</f>
        <v>1.226</v>
      </c>
      <c r="P58" s="5">
        <f t="shared" ca="1" si="18"/>
        <v>0.40000000000000036</v>
      </c>
      <c r="Q58" s="26">
        <f ca="1">Q70+M58</f>
        <v>9915</v>
      </c>
      <c r="R58" s="22">
        <f ca="1">ROUNDDOWN(_xll.IMBC(M48,"세전수익률",O51,N58,"세전단가"),4)</f>
        <v>1.23</v>
      </c>
      <c r="S58" s="7">
        <f t="shared" ca="1" si="19"/>
        <v>0.40000000000000036</v>
      </c>
      <c r="U58" s="20" t="s">
        <v>124</v>
      </c>
      <c r="V58" s="59">
        <f ca="1">V70+U58</f>
        <v>9487</v>
      </c>
      <c r="W58" s="60">
        <f ca="1">ROUNDDOWN(_xll.IMBC(U48,"세전수익률",W50,V58,"세전단가"),4)</f>
        <v>2.0990000000000002</v>
      </c>
      <c r="X58" s="5">
        <f t="shared" ca="1" si="20"/>
        <v>0.20000000000002238</v>
      </c>
      <c r="Y58" s="26">
        <f ca="1">Y70+U58</f>
        <v>9493</v>
      </c>
      <c r="Z58" s="22">
        <f ca="1">ROUNDDOWN(_xll.IMBC(U48,"세전수익률",W51,V58,"세전단가"),4)</f>
        <v>2.101</v>
      </c>
      <c r="AA58" s="7">
        <f t="shared" ca="1" si="21"/>
        <v>0.19999999999997797</v>
      </c>
      <c r="AC58" s="20" t="s">
        <v>124</v>
      </c>
      <c r="AD58" s="59">
        <f ca="1">AD70+AC58</f>
        <v>8944</v>
      </c>
      <c r="AE58" s="60">
        <f ca="1">ROUNDDOWN(_xll.IMBC(AC48,"세전수익률",AE50,AD58,"세전단가"),4)</f>
        <v>2.2000000000000002</v>
      </c>
      <c r="AF58" s="5">
        <f t="shared" ca="1" si="22"/>
        <v>0.1000000000000334</v>
      </c>
      <c r="AG58" s="26">
        <f ca="1">AG70+AC58</f>
        <v>8949</v>
      </c>
      <c r="AH58" s="22">
        <f ca="1">ROUNDDOWN(_xll.IMBC(AC48,"세전수익률",AE51,AD58,"세전단가"),4)</f>
        <v>2.2010000000000001</v>
      </c>
      <c r="AI58" s="7">
        <f t="shared" ca="1" si="23"/>
        <v>9.9999999999988987E-2</v>
      </c>
    </row>
    <row r="59" spans="5:35" x14ac:dyDescent="0.25">
      <c r="E59" s="20" t="s">
        <v>41</v>
      </c>
      <c r="F59" s="59">
        <f ca="1">F70+E59</f>
        <v>9952</v>
      </c>
      <c r="G59" s="60">
        <f ca="1">ROUNDDOWN(_xll.IMBC(E48,"세전수익률",G50,F59,"세전단가"),4)</f>
        <v>1.137</v>
      </c>
      <c r="H59" s="5">
        <f t="shared" ca="1" si="16"/>
        <v>0.60000000000000053</v>
      </c>
      <c r="I59" s="28">
        <f ca="1">I70+E59</f>
        <v>9954</v>
      </c>
      <c r="J59" s="22">
        <f ca="1">ROUNDDOWN(_xll.IMBC(E48,"세전수익률",G51,F59,"세전단가"),4)</f>
        <v>1.143</v>
      </c>
      <c r="K59" s="7">
        <f t="shared" ca="1" si="17"/>
        <v>0.60000000000000053</v>
      </c>
      <c r="M59" s="20" t="s">
        <v>125</v>
      </c>
      <c r="N59" s="59">
        <f ca="1">N70+M59</f>
        <v>9915</v>
      </c>
      <c r="O59" s="60">
        <f ca="1">ROUNDDOWN(_xll.IMBC(M48,"세전수익률",O50,N59,"세전단가"),4)</f>
        <v>1.222</v>
      </c>
      <c r="P59" s="5">
        <f t="shared" ca="1" si="18"/>
        <v>0.40000000000000036</v>
      </c>
      <c r="Q59" s="26">
        <f ca="1">Q70+M59</f>
        <v>9916</v>
      </c>
      <c r="R59" s="22">
        <f ca="1">ROUNDDOWN(_xll.IMBC(M48,"세전수익률",O51,N59,"세전단가"),4)</f>
        <v>1.226</v>
      </c>
      <c r="S59" s="7">
        <f t="shared" ca="1" si="19"/>
        <v>0.40000000000000036</v>
      </c>
      <c r="U59" s="20" t="s">
        <v>125</v>
      </c>
      <c r="V59" s="59">
        <f ca="1">V70+U59</f>
        <v>9488</v>
      </c>
      <c r="W59" s="60">
        <f ca="1">ROUNDDOWN(_xll.IMBC(U48,"세전수익률",W50,V59,"세전단가"),4)</f>
        <v>2.097</v>
      </c>
      <c r="X59" s="5">
        <f t="shared" ca="1" si="20"/>
        <v>9.9999999999988987E-2</v>
      </c>
      <c r="Y59" s="26">
        <f ca="1">Y70+U59</f>
        <v>9494</v>
      </c>
      <c r="Z59" s="22">
        <f ca="1">ROUNDDOWN(_xll.IMBC(U48,"세전수익률",W51,V59,"세전단가"),4)</f>
        <v>2.0990000000000002</v>
      </c>
      <c r="AA59" s="7">
        <f t="shared" ca="1" si="21"/>
        <v>0.1000000000000334</v>
      </c>
      <c r="AC59" s="20" t="s">
        <v>125</v>
      </c>
      <c r="AD59" s="59">
        <f ca="1">AD70+AC59</f>
        <v>8945</v>
      </c>
      <c r="AE59" s="60">
        <f ca="1">ROUNDDOWN(_xll.IMBC(AC48,"세전수익률",AE50,AD59,"세전단가"),4)</f>
        <v>2.1989999999999998</v>
      </c>
      <c r="AF59" s="5">
        <f t="shared" ca="1" si="22"/>
        <v>9.9999999999988987E-2</v>
      </c>
      <c r="AG59" s="26">
        <f ca="1">AG70+AC59</f>
        <v>8950</v>
      </c>
      <c r="AH59" s="22">
        <f ca="1">ROUNDDOWN(_xll.IMBC(AC48,"세전수익률",AE51,AD59,"세전단가"),4)</f>
        <v>2.2000000000000002</v>
      </c>
      <c r="AI59" s="7">
        <f t="shared" ca="1" si="23"/>
        <v>0.1000000000000334</v>
      </c>
    </row>
    <row r="60" spans="5:35" x14ac:dyDescent="0.25">
      <c r="E60" s="20" t="s">
        <v>30</v>
      </c>
      <c r="F60" s="59">
        <f ca="1">F70+E60</f>
        <v>9953</v>
      </c>
      <c r="G60" s="60">
        <f ca="1">ROUNDDOWN(_xll.IMBC(E48,"세전수익률",G50,F60,"세전단가"),4)</f>
        <v>1.131</v>
      </c>
      <c r="H60" s="5">
        <f t="shared" ca="1" si="16"/>
        <v>0.50000000000001155</v>
      </c>
      <c r="I60" s="28">
        <f ca="1">I70+E60</f>
        <v>9955</v>
      </c>
      <c r="J60" s="22">
        <f ca="1">ROUNDDOWN(_xll.IMBC(E48,"세전수익률",G51,F60,"세전단가"),4)</f>
        <v>1.137</v>
      </c>
      <c r="K60" s="7">
        <f t="shared" ca="1" si="17"/>
        <v>0.60000000000000053</v>
      </c>
      <c r="M60" s="20" t="s">
        <v>126</v>
      </c>
      <c r="N60" s="59">
        <f ca="1">N70+M60</f>
        <v>9916</v>
      </c>
      <c r="O60" s="60">
        <f ca="1">ROUNDDOWN(_xll.IMBC(M48,"세전수익률",O50,N60,"세전단가"),4)</f>
        <v>1.218</v>
      </c>
      <c r="P60" s="5">
        <f t="shared" ca="1" si="18"/>
        <v>0.40000000000000036</v>
      </c>
      <c r="Q60" s="26">
        <f ca="1">Q70+M60</f>
        <v>9917</v>
      </c>
      <c r="R60" s="22">
        <f ca="1">ROUNDDOWN(_xll.IMBC(M48,"세전수익률",O51,N60,"세전단가"),4)</f>
        <v>1.222</v>
      </c>
      <c r="S60" s="7">
        <f t="shared" ca="1" si="19"/>
        <v>0.40000000000000036</v>
      </c>
      <c r="U60" s="20" t="s">
        <v>126</v>
      </c>
      <c r="V60" s="59">
        <f ca="1">V70+U60</f>
        <v>9489</v>
      </c>
      <c r="W60" s="60">
        <f ca="1">ROUNDDOWN(_xll.IMBC(U48,"세전수익률",W50,V60,"세전단가"),4)</f>
        <v>2.0960000000000001</v>
      </c>
      <c r="X60" s="5">
        <f t="shared" ca="1" si="20"/>
        <v>9.9999999999988987E-2</v>
      </c>
      <c r="Y60" s="26">
        <f ca="1">Y70+U60</f>
        <v>9495</v>
      </c>
      <c r="Z60" s="22">
        <f ca="1">ROUNDDOWN(_xll.IMBC(U48,"세전수익률",W51,V60,"세전단가"),4)</f>
        <v>2.0979999999999999</v>
      </c>
      <c r="AA60" s="7">
        <f t="shared" ca="1" si="21"/>
        <v>9.9999999999988987E-2</v>
      </c>
      <c r="AC60" s="20" t="s">
        <v>126</v>
      </c>
      <c r="AD60" s="59">
        <f ca="1">AD70+AC60</f>
        <v>8946</v>
      </c>
      <c r="AE60" s="60">
        <f ca="1">ROUNDDOWN(_xll.IMBC(AC48,"세전수익률",AE50,AD60,"세전단가"),4)</f>
        <v>2.198</v>
      </c>
      <c r="AF60" s="5">
        <f t="shared" ca="1" si="22"/>
        <v>0</v>
      </c>
      <c r="AG60" s="26">
        <f ca="1">AG70+AC60</f>
        <v>8951</v>
      </c>
      <c r="AH60" s="22">
        <f ca="1">ROUNDDOWN(_xll.IMBC(AC48,"세전수익률",AE51,AD60,"세전단가"),4)</f>
        <v>2.1989999999999998</v>
      </c>
      <c r="AI60" s="7">
        <f t="shared" ca="1" si="23"/>
        <v>0</v>
      </c>
    </row>
    <row r="61" spans="5:35" x14ac:dyDescent="0.25">
      <c r="E61" s="20" t="s">
        <v>29</v>
      </c>
      <c r="F61" s="59">
        <f ca="1">F70+E61</f>
        <v>9954</v>
      </c>
      <c r="G61" s="60">
        <f ca="1">ROUNDDOWN(_xll.IMBC(E48,"세전수익률",G50,F61,"세전단가"),4)</f>
        <v>1.1259999999999999</v>
      </c>
      <c r="H61" s="5">
        <f t="shared" ca="1" si="16"/>
        <v>0.59999999999997833</v>
      </c>
      <c r="I61" s="28">
        <f ca="1">I70+E61</f>
        <v>9956</v>
      </c>
      <c r="J61" s="22">
        <f ca="1">ROUNDDOWN(_xll.IMBC(E48,"세전수익률",G51,F61,"세전단가"),4)</f>
        <v>1.131</v>
      </c>
      <c r="K61" s="7">
        <f t="shared" ca="1" si="17"/>
        <v>0.60000000000000053</v>
      </c>
      <c r="M61" s="20" t="s">
        <v>127</v>
      </c>
      <c r="N61" s="59">
        <f ca="1">N70+M61</f>
        <v>9917</v>
      </c>
      <c r="O61" s="60">
        <f ca="1">ROUNDDOWN(_xll.IMBC(M48,"세전수익률",O50,N61,"세전단가"),4)</f>
        <v>1.214</v>
      </c>
      <c r="P61" s="5">
        <f t="shared" ca="1" si="18"/>
        <v>0.40000000000000036</v>
      </c>
      <c r="Q61" s="26">
        <f ca="1">Q70+M61</f>
        <v>9918</v>
      </c>
      <c r="R61" s="22">
        <f ca="1">ROUNDDOWN(_xll.IMBC(M48,"세전수익률",O51,N61,"세전단가"),4)</f>
        <v>1.218</v>
      </c>
      <c r="S61" s="7">
        <f t="shared" ca="1" si="19"/>
        <v>0.40000000000000036</v>
      </c>
      <c r="U61" s="20" t="s">
        <v>127</v>
      </c>
      <c r="V61" s="59">
        <f ca="1">V70+U61</f>
        <v>9490</v>
      </c>
      <c r="W61" s="60">
        <f ca="1">ROUNDDOWN(_xll.IMBC(U48,"세전수익률",W50,V61,"세전단가"),4)</f>
        <v>2.0950000000000002</v>
      </c>
      <c r="X61" s="5">
        <f t="shared" ca="1" si="20"/>
        <v>0.1000000000000334</v>
      </c>
      <c r="Y61" s="26">
        <f ca="1">Y70+U61</f>
        <v>9496</v>
      </c>
      <c r="Z61" s="22">
        <f ca="1">ROUNDDOWN(_xll.IMBC(U48,"세전수익률",W51,V61,"세전단가"),4)</f>
        <v>2.097</v>
      </c>
      <c r="AA61" s="7">
        <f t="shared" ca="1" si="21"/>
        <v>9.9999999999988987E-2</v>
      </c>
      <c r="AC61" s="20" t="s">
        <v>127</v>
      </c>
      <c r="AD61" s="59">
        <f ca="1">AD70+AC61</f>
        <v>8947</v>
      </c>
      <c r="AE61" s="60">
        <f ca="1">ROUNDDOWN(_xll.IMBC(AC48,"세전수익률",AE50,AD61,"세전단가"),4)</f>
        <v>2.198</v>
      </c>
      <c r="AF61" s="5">
        <f t="shared" ca="1" si="22"/>
        <v>9.9999999999988987E-2</v>
      </c>
      <c r="AG61" s="26">
        <f ca="1">AG70+AC61</f>
        <v>8952</v>
      </c>
      <c r="AH61" s="22">
        <f ca="1">ROUNDDOWN(_xll.IMBC(AC48,"세전수익률",AE51,AD61,"세전단가"),4)</f>
        <v>2.1989999999999998</v>
      </c>
      <c r="AI61" s="7">
        <f t="shared" ca="1" si="23"/>
        <v>9.9999999999988987E-2</v>
      </c>
    </row>
    <row r="62" spans="5:35" x14ac:dyDescent="0.25">
      <c r="E62" s="20" t="s">
        <v>28</v>
      </c>
      <c r="F62" s="59">
        <f ca="1">F70+E62</f>
        <v>9955</v>
      </c>
      <c r="G62" s="60">
        <f ca="1">ROUNDDOWN(_xll.IMBC(E48,"세전수익률",G50,F62,"세전단가"),4)</f>
        <v>1.1200000000000001</v>
      </c>
      <c r="H62" s="5">
        <f t="shared" ca="1" si="16"/>
        <v>0.60000000000000053</v>
      </c>
      <c r="I62" s="28">
        <f ca="1">I70+E62</f>
        <v>9957</v>
      </c>
      <c r="J62" s="22">
        <f ca="1">ROUNDDOWN(_xll.IMBC(E48,"세전수익률",G51,F62,"세전단가"),4)</f>
        <v>1.125</v>
      </c>
      <c r="K62" s="7">
        <f t="shared" ca="1" si="17"/>
        <v>0.60000000000000053</v>
      </c>
      <c r="M62" s="20" t="s">
        <v>128</v>
      </c>
      <c r="N62" s="59">
        <f ca="1">N70+M62</f>
        <v>9918</v>
      </c>
      <c r="O62" s="60">
        <f ca="1">ROUNDDOWN(_xll.IMBC(M48,"세전수익률",O50,N62,"세전단가"),4)</f>
        <v>1.21</v>
      </c>
      <c r="P62" s="5">
        <f t="shared" ca="1" si="18"/>
        <v>0.40000000000000036</v>
      </c>
      <c r="Q62" s="26">
        <f ca="1">Q70+M62</f>
        <v>9919</v>
      </c>
      <c r="R62" s="22">
        <f ca="1">ROUNDDOWN(_xll.IMBC(M48,"세전수익률",O51,N62,"세전단가"),4)</f>
        <v>1.214</v>
      </c>
      <c r="S62" s="7">
        <f t="shared" ca="1" si="19"/>
        <v>0.40000000000000036</v>
      </c>
      <c r="U62" s="20" t="s">
        <v>128</v>
      </c>
      <c r="V62" s="59">
        <f ca="1">V70+U62</f>
        <v>9491</v>
      </c>
      <c r="W62" s="60">
        <f ca="1">ROUNDDOWN(_xll.IMBC(U48,"세전수익률",W50,V62,"세전단가"),4)</f>
        <v>2.0939999999999999</v>
      </c>
      <c r="X62" s="5">
        <f t="shared" ca="1" si="20"/>
        <v>9.9999999999988987E-2</v>
      </c>
      <c r="Y62" s="26">
        <f ca="1">Y70+U62</f>
        <v>9497</v>
      </c>
      <c r="Z62" s="22">
        <f ca="1">ROUNDDOWN(_xll.IMBC(U48,"세전수익률",W51,V62,"세전단가"),4)</f>
        <v>2.0960000000000001</v>
      </c>
      <c r="AA62" s="7">
        <f t="shared" ca="1" si="21"/>
        <v>9.9999999999988987E-2</v>
      </c>
      <c r="AC62" s="20" t="s">
        <v>128</v>
      </c>
      <c r="AD62" s="59">
        <f ca="1">AD70+AC62</f>
        <v>8948</v>
      </c>
      <c r="AE62" s="60">
        <f ca="1">ROUNDDOWN(_xll.IMBC(AC48,"세전수익률",AE50,AD62,"세전단가"),4)</f>
        <v>2.1970000000000001</v>
      </c>
      <c r="AF62" s="5">
        <f t="shared" ca="1" si="22"/>
        <v>9.9999999999988987E-2</v>
      </c>
      <c r="AG62" s="26">
        <f ca="1">AG70+AC62</f>
        <v>8953</v>
      </c>
      <c r="AH62" s="22">
        <f ca="1">ROUNDDOWN(_xll.IMBC(AC48,"세전수익률",AE51,AD62,"세전단가"),4)</f>
        <v>2.198</v>
      </c>
      <c r="AI62" s="7">
        <f t="shared" ca="1" si="23"/>
        <v>9.9999999999988987E-2</v>
      </c>
    </row>
    <row r="63" spans="5:35" x14ac:dyDescent="0.25">
      <c r="E63" s="20" t="s">
        <v>27</v>
      </c>
      <c r="F63" s="59">
        <f ca="1">F70+E63</f>
        <v>9956</v>
      </c>
      <c r="G63" s="60">
        <f ca="1">ROUNDDOWN(_xll.IMBC(E48,"세전수익률",G50,F63,"세전단가"),4)</f>
        <v>1.1140000000000001</v>
      </c>
      <c r="H63" s="5">
        <f t="shared" ca="1" si="16"/>
        <v>0.60000000000000053</v>
      </c>
      <c r="I63" s="28">
        <f ca="1">I70+E63</f>
        <v>9958</v>
      </c>
      <c r="J63" s="22">
        <f ca="1">ROUNDDOWN(_xll.IMBC(E48,"세전수익률",G51,F63,"세전단가"),4)</f>
        <v>1.119</v>
      </c>
      <c r="K63" s="7">
        <f t="shared" ca="1" si="17"/>
        <v>0.60000000000000053</v>
      </c>
      <c r="M63" s="20" t="s">
        <v>129</v>
      </c>
      <c r="N63" s="59">
        <f ca="1">N70+M63</f>
        <v>9919</v>
      </c>
      <c r="O63" s="60">
        <f ca="1">ROUNDDOWN(_xll.IMBC(M48,"세전수익률",O50,N63,"세전단가"),4)</f>
        <v>1.206</v>
      </c>
      <c r="P63" s="5">
        <f t="shared" ca="1" si="18"/>
        <v>0.40000000000000036</v>
      </c>
      <c r="Q63" s="26">
        <f ca="1">Q70+M63</f>
        <v>9920</v>
      </c>
      <c r="R63" s="22">
        <f ca="1">ROUNDDOWN(_xll.IMBC(M48,"세전수익률",O51,N63,"세전단가"),4)</f>
        <v>1.21</v>
      </c>
      <c r="S63" s="7">
        <f t="shared" ca="1" si="19"/>
        <v>0.40000000000000036</v>
      </c>
      <c r="U63" s="20" t="s">
        <v>129</v>
      </c>
      <c r="V63" s="59">
        <f ca="1">V70+U63</f>
        <v>9492</v>
      </c>
      <c r="W63" s="60">
        <f ca="1">ROUNDDOWN(_xll.IMBC(U48,"세전수익률",W50,V63,"세전단가"),4)</f>
        <v>2.093</v>
      </c>
      <c r="X63" s="5">
        <f t="shared" ca="1" si="20"/>
        <v>0.19999999999997797</v>
      </c>
      <c r="Y63" s="26">
        <f ca="1">Y70+U63</f>
        <v>9498</v>
      </c>
      <c r="Z63" s="22">
        <f ca="1">ROUNDDOWN(_xll.IMBC(U48,"세전수익률",W51,V63,"세전단가"),4)</f>
        <v>2.0950000000000002</v>
      </c>
      <c r="AA63" s="7">
        <f t="shared" ca="1" si="21"/>
        <v>0.20000000000002238</v>
      </c>
      <c r="AC63" s="20" t="s">
        <v>129</v>
      </c>
      <c r="AD63" s="59">
        <f ca="1">AD70+AC63</f>
        <v>8949</v>
      </c>
      <c r="AE63" s="60">
        <f ca="1">ROUNDDOWN(_xll.IMBC(AC48,"세전수익률",AE50,AD63,"세전단가"),4)</f>
        <v>2.1960000000000002</v>
      </c>
      <c r="AF63" s="5">
        <f t="shared" ca="1" si="22"/>
        <v>0.1000000000000334</v>
      </c>
      <c r="AG63" s="26">
        <f ca="1">AG70+AC63</f>
        <v>8954</v>
      </c>
      <c r="AH63" s="22">
        <f ca="1">ROUNDDOWN(_xll.IMBC(AC48,"세전수익률",AE51,AD63,"세전단가"),4)</f>
        <v>2.1970000000000001</v>
      </c>
      <c r="AI63" s="7">
        <f t="shared" ca="1" si="23"/>
        <v>0</v>
      </c>
    </row>
    <row r="64" spans="5:35" x14ac:dyDescent="0.25">
      <c r="E64" s="20" t="s">
        <v>26</v>
      </c>
      <c r="F64" s="59">
        <f ca="1">F70+E64</f>
        <v>9957</v>
      </c>
      <c r="G64" s="60">
        <f ca="1">ROUNDDOWN(_xll.IMBC(E48,"세전수익률",G50,F64,"세전단가"),4)</f>
        <v>1.1080000000000001</v>
      </c>
      <c r="H64" s="5">
        <f t="shared" ca="1" si="16"/>
        <v>0.60000000000000053</v>
      </c>
      <c r="I64" s="28">
        <f ca="1">I70+E64</f>
        <v>9959</v>
      </c>
      <c r="J64" s="22">
        <f ca="1">ROUNDDOWN(_xll.IMBC(E48,"세전수익률",G51,F64,"세전단가"),4)</f>
        <v>1.113</v>
      </c>
      <c r="K64" s="7">
        <f t="shared" ca="1" si="17"/>
        <v>0.49999999999998934</v>
      </c>
      <c r="M64" s="20" t="s">
        <v>130</v>
      </c>
      <c r="N64" s="59">
        <f ca="1">N70+M64</f>
        <v>9920</v>
      </c>
      <c r="O64" s="60">
        <f ca="1">ROUNDDOWN(_xll.IMBC(M48,"세전수익률",O50,N64,"세전단가"),4)</f>
        <v>1.202</v>
      </c>
      <c r="P64" s="5">
        <f t="shared" ca="1" si="18"/>
        <v>0.40000000000000036</v>
      </c>
      <c r="Q64" s="26">
        <f ca="1">Q70+M64</f>
        <v>9921</v>
      </c>
      <c r="R64" s="22">
        <f ca="1">ROUNDDOWN(_xll.IMBC(M48,"세전수익률",O51,N64,"세전단가"),4)</f>
        <v>1.206</v>
      </c>
      <c r="S64" s="7">
        <f t="shared" ca="1" si="19"/>
        <v>0.49999999999998934</v>
      </c>
      <c r="U64" s="20" t="s">
        <v>130</v>
      </c>
      <c r="V64" s="59">
        <f ca="1">V70+U64</f>
        <v>9493</v>
      </c>
      <c r="W64" s="60">
        <f ca="1">ROUNDDOWN(_xll.IMBC(U48,"세전수익률",W50,V64,"세전단가"),4)</f>
        <v>2.0910000000000002</v>
      </c>
      <c r="X64" s="5">
        <f t="shared" ca="1" si="20"/>
        <v>0.1000000000000334</v>
      </c>
      <c r="Y64" s="26">
        <f ca="1">Y70+U64</f>
        <v>9499</v>
      </c>
      <c r="Z64" s="22">
        <f ca="1">ROUNDDOWN(_xll.IMBC(U48,"세전수익률",W51,V64,"세전단가"),4)</f>
        <v>2.093</v>
      </c>
      <c r="AA64" s="7">
        <f t="shared" ca="1" si="21"/>
        <v>9.9999999999988987E-2</v>
      </c>
      <c r="AC64" s="20" t="s">
        <v>130</v>
      </c>
      <c r="AD64" s="59">
        <f ca="1">AD70+AC64</f>
        <v>8950</v>
      </c>
      <c r="AE64" s="60">
        <f ca="1">ROUNDDOWN(_xll.IMBC(AC48,"세전수익률",AE50,AD64,"세전단가"),4)</f>
        <v>2.1949999999999998</v>
      </c>
      <c r="AF64" s="5">
        <f t="shared" ca="1" si="22"/>
        <v>0</v>
      </c>
      <c r="AG64" s="26">
        <f ca="1">AG70+AC64</f>
        <v>8955</v>
      </c>
      <c r="AH64" s="22">
        <f ca="1">ROUNDDOWN(_xll.IMBC(AC48,"세전수익률",AE51,AD64,"세전단가"),4)</f>
        <v>2.1970000000000001</v>
      </c>
      <c r="AI64" s="7">
        <f t="shared" ca="1" si="23"/>
        <v>9.9999999999988987E-2</v>
      </c>
    </row>
    <row r="65" spans="5:35" x14ac:dyDescent="0.25">
      <c r="E65" s="20" t="s">
        <v>25</v>
      </c>
      <c r="F65" s="59">
        <f ca="1">F70+E65</f>
        <v>9958</v>
      </c>
      <c r="G65" s="60">
        <f ca="1">ROUNDDOWN(_xll.IMBC(E48,"세전수익률",G50,F65,"세전단가"),4)</f>
        <v>1.1020000000000001</v>
      </c>
      <c r="H65" s="5">
        <f t="shared" ca="1" si="16"/>
        <v>0.50000000000001155</v>
      </c>
      <c r="I65" s="28">
        <f ca="1">I70+E65</f>
        <v>9960</v>
      </c>
      <c r="J65" s="22">
        <f ca="1">ROUNDDOWN(_xll.IMBC(E48,"세전수익률",G51,F65,"세전단가"),4)</f>
        <v>1.1080000000000001</v>
      </c>
      <c r="K65" s="7">
        <f t="shared" ca="1" si="17"/>
        <v>0.60000000000000053</v>
      </c>
      <c r="M65" s="20" t="s">
        <v>131</v>
      </c>
      <c r="N65" s="59">
        <f ca="1">N70+M65</f>
        <v>9921</v>
      </c>
      <c r="O65" s="60">
        <f ca="1">ROUNDDOWN(_xll.IMBC(M48,"세전수익률",O50,N65,"세전단가"),4)</f>
        <v>1.198</v>
      </c>
      <c r="P65" s="5">
        <f t="shared" ca="1" si="18"/>
        <v>0.49999999999998934</v>
      </c>
      <c r="Q65" s="26">
        <f ca="1">Q70+M65</f>
        <v>9922</v>
      </c>
      <c r="R65" s="22">
        <f ca="1">ROUNDDOWN(_xll.IMBC(M48,"세전수익률",O51,N65,"세전단가"),4)</f>
        <v>1.2010000000000001</v>
      </c>
      <c r="S65" s="7">
        <f t="shared" ca="1" si="19"/>
        <v>0.40000000000000036</v>
      </c>
      <c r="U65" s="20" t="s">
        <v>131</v>
      </c>
      <c r="V65" s="59">
        <f ca="1">V70+U65</f>
        <v>9494</v>
      </c>
      <c r="W65" s="60">
        <f ca="1">ROUNDDOWN(_xll.IMBC(U48,"세전수익률",W50,V65,"세전단가"),4)</f>
        <v>2.09</v>
      </c>
      <c r="X65" s="5">
        <f t="shared" ca="1" si="20"/>
        <v>9.9999999999988987E-2</v>
      </c>
      <c r="Y65" s="26">
        <f ca="1">Y70+U65</f>
        <v>9500</v>
      </c>
      <c r="Z65" s="22">
        <f ca="1">ROUNDDOWN(_xll.IMBC(U48,"세전수익률",W51,V65,"세전단가"),4)</f>
        <v>2.0920000000000001</v>
      </c>
      <c r="AA65" s="7">
        <f t="shared" ca="1" si="21"/>
        <v>9.9999999999988987E-2</v>
      </c>
      <c r="AC65" s="20" t="s">
        <v>131</v>
      </c>
      <c r="AD65" s="59">
        <f ca="1">AD70+AC65</f>
        <v>8951</v>
      </c>
      <c r="AE65" s="60">
        <f ca="1">ROUNDDOWN(_xll.IMBC(AC48,"세전수익률",AE50,AD65,"세전단가"),4)</f>
        <v>2.1949999999999998</v>
      </c>
      <c r="AF65" s="5">
        <f t="shared" ca="1" si="22"/>
        <v>9.9999999999988987E-2</v>
      </c>
      <c r="AG65" s="26">
        <f ca="1">AG70+AC65</f>
        <v>8956</v>
      </c>
      <c r="AH65" s="22">
        <f ca="1">ROUNDDOWN(_xll.IMBC(AC48,"세전수익률",AE51,AD65,"세전단가"),4)</f>
        <v>2.1960000000000002</v>
      </c>
      <c r="AI65" s="7">
        <f t="shared" ca="1" si="23"/>
        <v>0.1000000000000334</v>
      </c>
    </row>
    <row r="66" spans="5:35" x14ac:dyDescent="0.25">
      <c r="E66" s="20" t="s">
        <v>24</v>
      </c>
      <c r="F66" s="59">
        <f ca="1">F70+E66</f>
        <v>9959</v>
      </c>
      <c r="G66" s="60">
        <f ca="1">ROUNDDOWN(_xll.IMBC(E48,"세전수익률",G50,F66,"세전단가"),4)</f>
        <v>1.097</v>
      </c>
      <c r="H66" s="5">
        <f t="shared" ca="1" si="16"/>
        <v>0.60000000000000053</v>
      </c>
      <c r="I66" s="28">
        <f ca="1">I70+E66</f>
        <v>9961</v>
      </c>
      <c r="J66" s="22">
        <f ca="1">ROUNDDOWN(_xll.IMBC(E48,"세전수익률",G51,F66,"세전단가"),4)</f>
        <v>1.1020000000000001</v>
      </c>
      <c r="K66" s="7">
        <f t="shared" ca="1" si="17"/>
        <v>0.60000000000000053</v>
      </c>
      <c r="M66" s="20" t="s">
        <v>132</v>
      </c>
      <c r="N66" s="59">
        <f ca="1">N70+M66</f>
        <v>9922</v>
      </c>
      <c r="O66" s="60">
        <f ca="1">ROUNDDOWN(_xll.IMBC(M48,"세전수익률",O50,N66,"세전단가"),4)</f>
        <v>1.1930000000000001</v>
      </c>
      <c r="P66" s="5">
        <f t="shared" ca="1" si="18"/>
        <v>0.40000000000000036</v>
      </c>
      <c r="Q66" s="26">
        <f ca="1">Q70+M66</f>
        <v>9923</v>
      </c>
      <c r="R66" s="22">
        <f ca="1">ROUNDDOWN(_xll.IMBC(M48,"세전수익률",O51,N66,"세전단가"),4)</f>
        <v>1.1970000000000001</v>
      </c>
      <c r="S66" s="7">
        <f t="shared" ca="1" si="19"/>
        <v>0.40000000000000036</v>
      </c>
      <c r="U66" s="20" t="s">
        <v>132</v>
      </c>
      <c r="V66" s="59">
        <f ca="1">V70+U66</f>
        <v>9495</v>
      </c>
      <c r="W66" s="60">
        <f ca="1">ROUNDDOWN(_xll.IMBC(U48,"세전수익률",W50,V66,"세전단가"),4)</f>
        <v>2.089</v>
      </c>
      <c r="X66" s="5">
        <f t="shared" ca="1" si="20"/>
        <v>9.9999999999988987E-2</v>
      </c>
      <c r="Y66" s="26">
        <f ca="1">Y70+U66</f>
        <v>9501</v>
      </c>
      <c r="Z66" s="22">
        <f ca="1">ROUNDDOWN(_xll.IMBC(U48,"세전수익률",W51,V66,"세전단가"),4)</f>
        <v>2.0910000000000002</v>
      </c>
      <c r="AA66" s="7">
        <f t="shared" ca="1" si="21"/>
        <v>0.1000000000000334</v>
      </c>
      <c r="AC66" s="20" t="s">
        <v>132</v>
      </c>
      <c r="AD66" s="59">
        <f ca="1">AD70+AC66</f>
        <v>8952</v>
      </c>
      <c r="AE66" s="60">
        <f ca="1">ROUNDDOWN(_xll.IMBC(AC48,"세전수익률",AE50,AD66,"세전단가"),4)</f>
        <v>2.194</v>
      </c>
      <c r="AF66" s="5">
        <f t="shared" ca="1" si="22"/>
        <v>9.9999999999988987E-2</v>
      </c>
      <c r="AG66" s="26">
        <f ca="1">AG70+AC66</f>
        <v>8957</v>
      </c>
      <c r="AH66" s="22">
        <f ca="1">ROUNDDOWN(_xll.IMBC(AC48,"세전수익률",AE51,AD66,"세전단가"),4)</f>
        <v>2.1949999999999998</v>
      </c>
      <c r="AI66" s="7">
        <f t="shared" ca="1" si="23"/>
        <v>0</v>
      </c>
    </row>
    <row r="67" spans="5:35" x14ac:dyDescent="0.25">
      <c r="E67" s="20" t="s">
        <v>23</v>
      </c>
      <c r="F67" s="59">
        <f ca="1">F70+E67</f>
        <v>9960</v>
      </c>
      <c r="G67" s="60">
        <f ca="1">ROUNDDOWN(_xll.IMBC(E48,"세전수익률",G50,F67,"세전단가"),4)</f>
        <v>1.091</v>
      </c>
      <c r="H67" s="5">
        <f t="shared" ca="1" si="16"/>
        <v>0.60000000000000053</v>
      </c>
      <c r="I67" s="28">
        <f ca="1">I70+E67</f>
        <v>9962</v>
      </c>
      <c r="J67" s="22">
        <f ca="1">ROUNDDOWN(_xll.IMBC(E48,"세전수익률",G51,F67,"세전단가"),4)</f>
        <v>1.0960000000000001</v>
      </c>
      <c r="K67" s="7">
        <f t="shared" ca="1" si="17"/>
        <v>0.60000000000000053</v>
      </c>
      <c r="M67" s="20" t="s">
        <v>133</v>
      </c>
      <c r="N67" s="59">
        <f ca="1">N70+M67</f>
        <v>9923</v>
      </c>
      <c r="O67" s="60">
        <f ca="1">ROUNDDOWN(_xll.IMBC(M48,"세전수익률",O50,N67,"세전단가"),4)</f>
        <v>1.1890000000000001</v>
      </c>
      <c r="P67" s="5">
        <f t="shared" ca="1" si="18"/>
        <v>0.40000000000000036</v>
      </c>
      <c r="Q67" s="26">
        <f ca="1">Q70+M67</f>
        <v>9924</v>
      </c>
      <c r="R67" s="22">
        <f ca="1">ROUNDDOWN(_xll.IMBC(M48,"세전수익률",O51,N67,"세전단가"),4)</f>
        <v>1.1930000000000001</v>
      </c>
      <c r="S67" s="7">
        <f t="shared" ca="1" si="19"/>
        <v>0.40000000000000036</v>
      </c>
      <c r="U67" s="20" t="s">
        <v>133</v>
      </c>
      <c r="V67" s="59">
        <f ca="1">V70+U67</f>
        <v>9496</v>
      </c>
      <c r="W67" s="60">
        <f ca="1">ROUNDDOWN(_xll.IMBC(U48,"세전수익률",W50,V67,"세전단가"),4)</f>
        <v>2.0880000000000001</v>
      </c>
      <c r="X67" s="5">
        <f t="shared" ca="1" si="20"/>
        <v>9.9999999999988987E-2</v>
      </c>
      <c r="Y67" s="26">
        <f ca="1">Y70+U67</f>
        <v>9502</v>
      </c>
      <c r="Z67" s="22">
        <f ca="1">ROUNDDOWN(_xll.IMBC(U48,"세전수익률",W51,V67,"세전단가"),4)</f>
        <v>2.09</v>
      </c>
      <c r="AA67" s="7">
        <f t="shared" ca="1" si="21"/>
        <v>9.9999999999988987E-2</v>
      </c>
      <c r="AC67" s="20" t="s">
        <v>133</v>
      </c>
      <c r="AD67" s="59">
        <f ca="1">AD70+AC67</f>
        <v>8953</v>
      </c>
      <c r="AE67" s="60">
        <f ca="1">ROUNDDOWN(_xll.IMBC(AC48,"세전수익률",AE50,AD67,"세전단가"),4)</f>
        <v>2.1930000000000001</v>
      </c>
      <c r="AF67" s="5">
        <f t="shared" ca="1" si="22"/>
        <v>0</v>
      </c>
      <c r="AG67" s="26">
        <f ca="1">AG70+AC67</f>
        <v>8958</v>
      </c>
      <c r="AH67" s="22">
        <f ca="1">ROUNDDOWN(_xll.IMBC(AC48,"세전수익률",AE51,AD67,"세전단가"),4)</f>
        <v>2.1949999999999998</v>
      </c>
      <c r="AI67" s="7">
        <f t="shared" ca="1" si="23"/>
        <v>9.9999999999988987E-2</v>
      </c>
    </row>
    <row r="68" spans="5:35" x14ac:dyDescent="0.25">
      <c r="E68" s="32" t="s">
        <v>22</v>
      </c>
      <c r="F68" s="61">
        <f ca="1">F70+E68</f>
        <v>9961</v>
      </c>
      <c r="G68" s="62">
        <f ca="1">ROUNDDOWN(_xll.IMBC(E48,"세전수익률",G50,F68,"세전단가"),4)</f>
        <v>1.085</v>
      </c>
      <c r="H68" s="34">
        <f t="shared" ca="1" si="16"/>
        <v>0.29999999999998916</v>
      </c>
      <c r="I68" s="35">
        <f ca="1">I70+E68</f>
        <v>9963</v>
      </c>
      <c r="J68" s="33">
        <f ca="1">ROUNDDOWN(_xll.IMBC(E48,"세전수익률",G51,F68,"세전단가"),4)</f>
        <v>1.0900000000000001</v>
      </c>
      <c r="K68" s="36">
        <f t="shared" ca="1" si="17"/>
        <v>0.30000000000001137</v>
      </c>
      <c r="M68" s="32" t="s">
        <v>134</v>
      </c>
      <c r="N68" s="61">
        <f ca="1">N70+M68</f>
        <v>9924</v>
      </c>
      <c r="O68" s="62">
        <f ca="1">ROUNDDOWN(_xll.IMBC(M48,"세전수익률",O50,N68,"세전단가"),4)</f>
        <v>1.1850000000000001</v>
      </c>
      <c r="P68" s="34">
        <f t="shared" ca="1" si="18"/>
        <v>0.20000000000000018</v>
      </c>
      <c r="Q68" s="37">
        <f ca="1">Q70+M68</f>
        <v>9925</v>
      </c>
      <c r="R68" s="33">
        <f ca="1">ROUNDDOWN(_xll.IMBC(M48,"세전수익률",O51,N68,"세전단가"),4)</f>
        <v>1.1890000000000001</v>
      </c>
      <c r="S68" s="36">
        <f t="shared" ca="1" si="19"/>
        <v>0.20000000000000018</v>
      </c>
      <c r="U68" s="32" t="s">
        <v>134</v>
      </c>
      <c r="V68" s="61">
        <f ca="1">V70+U68</f>
        <v>9497</v>
      </c>
      <c r="W68" s="62">
        <f ca="1">ROUNDDOWN(_xll.IMBC(U48,"세전수익률",W50,V68,"세전단가"),4)</f>
        <v>2.0870000000000002</v>
      </c>
      <c r="X68" s="34">
        <f t="shared" ca="1" si="20"/>
        <v>0.1000000000000334</v>
      </c>
      <c r="Y68" s="37">
        <f ca="1">Y70+U68</f>
        <v>9503</v>
      </c>
      <c r="Z68" s="33">
        <f ca="1">ROUNDDOWN(_xll.IMBC(U48,"세전수익률",W51,V68,"세전단가"),4)</f>
        <v>2.089</v>
      </c>
      <c r="AA68" s="36">
        <f t="shared" ca="1" si="21"/>
        <v>9.9999999999988987E-2</v>
      </c>
      <c r="AC68" s="32" t="s">
        <v>134</v>
      </c>
      <c r="AD68" s="61">
        <f ca="1">AD70+AC68</f>
        <v>8954</v>
      </c>
      <c r="AE68" s="62">
        <f ca="1">ROUNDDOWN(_xll.IMBC(AC48,"세전수익률",AE50,AD68,"세전단가"),4)</f>
        <v>2.1930000000000001</v>
      </c>
      <c r="AF68" s="34">
        <f t="shared" ca="1" si="22"/>
        <v>9.9999999999988987E-2</v>
      </c>
      <c r="AG68" s="37">
        <f ca="1">AG70+AC68</f>
        <v>8959</v>
      </c>
      <c r="AH68" s="33">
        <f ca="1">ROUNDDOWN(_xll.IMBC(AC48,"세전수익률",AE51,AD68,"세전단가"),4)</f>
        <v>2.194</v>
      </c>
      <c r="AI68" s="36">
        <f t="shared" ca="1" si="23"/>
        <v>9.9999999999988987E-2</v>
      </c>
    </row>
    <row r="69" spans="5:35" x14ac:dyDescent="0.25">
      <c r="E69" s="20" t="s">
        <v>4</v>
      </c>
      <c r="F69" s="59">
        <f ca="1">F70+E69</f>
        <v>9961.5</v>
      </c>
      <c r="G69" s="60">
        <f ca="1">ROUNDDOWN(_xll.IMBC(E48,"세전수익률",G50,F69,"세전단가"),4)</f>
        <v>1.0820000000000001</v>
      </c>
      <c r="H69" s="5">
        <f t="shared" ca="1" si="16"/>
        <v>0.30000000000001137</v>
      </c>
      <c r="I69" s="28">
        <f ca="1">I70+E69</f>
        <v>9963.5</v>
      </c>
      <c r="J69" s="22">
        <f ca="1">ROUNDDOWN(_xll.IMBC(E48,"세전수익률",G51,F69,"세전단가"),4)</f>
        <v>1.087</v>
      </c>
      <c r="K69" s="7">
        <f t="shared" ca="1" si="17"/>
        <v>0.29999999999998916</v>
      </c>
      <c r="M69" s="20" t="s">
        <v>135</v>
      </c>
      <c r="N69" s="59">
        <f ca="1">N70+M69</f>
        <v>9924.5</v>
      </c>
      <c r="O69" s="60">
        <f ca="1">ROUNDDOWN(_xll.IMBC(M48,"세전수익률",O50,N69,"세전단가"),4)</f>
        <v>1.1830000000000001</v>
      </c>
      <c r="P69" s="5">
        <f t="shared" ca="1" si="18"/>
        <v>0.20000000000000018</v>
      </c>
      <c r="Q69" s="26">
        <f ca="1">Q70+M69</f>
        <v>9925.5</v>
      </c>
      <c r="R69" s="22">
        <f ca="1">ROUNDDOWN(_xll.IMBC(M48,"세전수익률",O51,N69,"세전단가"),4)</f>
        <v>1.1870000000000001</v>
      </c>
      <c r="S69" s="7">
        <f t="shared" ca="1" si="19"/>
        <v>0.20000000000000018</v>
      </c>
      <c r="U69" s="20" t="s">
        <v>135</v>
      </c>
      <c r="V69" s="59">
        <f ca="1">V70+U69</f>
        <v>9497.5</v>
      </c>
      <c r="W69" s="60">
        <f ca="1">ROUNDDOWN(_xll.IMBC(U48,"세전수익률",W50,V69,"세전단가"),4)</f>
        <v>2.0859999999999999</v>
      </c>
      <c r="X69" s="5">
        <f t="shared" ca="1" si="20"/>
        <v>9.9999999999988987E-2</v>
      </c>
      <c r="Y69" s="26">
        <f ca="1">Y70+U69</f>
        <v>9503.5</v>
      </c>
      <c r="Z69" s="22">
        <f ca="1">ROUNDDOWN(_xll.IMBC(U48,"세전수익률",W51,V69,"세전단가"),4)</f>
        <v>2.0880000000000001</v>
      </c>
      <c r="AA69" s="7">
        <f t="shared" ca="1" si="21"/>
        <v>9.9999999999988987E-2</v>
      </c>
      <c r="AC69" s="20" t="s">
        <v>135</v>
      </c>
      <c r="AD69" s="59">
        <f ca="1">AD70+AC69</f>
        <v>8954.5</v>
      </c>
      <c r="AE69" s="60">
        <f ca="1">ROUNDDOWN(_xll.IMBC(AC48,"세전수익률",AE50,AD69,"세전단가"),4)</f>
        <v>2.1920000000000002</v>
      </c>
      <c r="AF69" s="5">
        <f t="shared" ca="1" si="22"/>
        <v>0</v>
      </c>
      <c r="AG69" s="26">
        <f ca="1">AG70+AC69</f>
        <v>8959.5</v>
      </c>
      <c r="AH69" s="22">
        <f ca="1">ROUNDDOWN(_xll.IMBC(AC48,"세전수익률",AE51,AD69,"세전단가"),4)</f>
        <v>2.1930000000000001</v>
      </c>
      <c r="AI69" s="7">
        <f t="shared" ca="1" si="23"/>
        <v>0</v>
      </c>
    </row>
    <row r="70" spans="5:35" x14ac:dyDescent="0.25">
      <c r="E70" s="21">
        <v>0</v>
      </c>
      <c r="F70" s="63">
        <f ca="1">ROUNDDOWN(_xll.IMBC(E48,"세전단가",G50,G52),0)</f>
        <v>9962</v>
      </c>
      <c r="G70" s="23">
        <f ca="1">ROUNDDOWN(_xll.IMBC(E48,"세전수익률",G50,F70,"세전단가"),4)</f>
        <v>1.079</v>
      </c>
      <c r="H70" s="13"/>
      <c r="I70" s="24">
        <f ca="1">ROUNDDOWN(_xll.IMBC(E48,"세전단가",G51,J51),0)</f>
        <v>9964</v>
      </c>
      <c r="J70" s="23">
        <f ca="1">ROUNDDOWN(_xll.IMBC(E48,"세전수익률",G51,F70,"세전단가"),4)</f>
        <v>1.0840000000000001</v>
      </c>
      <c r="K70" s="14"/>
      <c r="M70" s="21">
        <v>0</v>
      </c>
      <c r="N70" s="63">
        <f ca="1">ROUNDDOWN(_xll.IMBC(M48,"세전단가",O50,O52),0)</f>
        <v>9925</v>
      </c>
      <c r="O70" s="64">
        <f ca="1">ROUNDDOWN(_xll.IMBC(M48,"세전수익률",O50,N70,"세전단가"),4)</f>
        <v>1.181</v>
      </c>
      <c r="P70" s="13"/>
      <c r="Q70" s="24">
        <f ca="1">ROUNDDOWN(_xll.IMBC(M48,"세전단가",O51,R51),0)</f>
        <v>9926</v>
      </c>
      <c r="R70" s="23">
        <f ca="1">ROUNDDOWN(_xll.IMBC(M48,"세전수익률",O51,N70,"세전단가"),4)</f>
        <v>1.1850000000000001</v>
      </c>
      <c r="S70" s="14"/>
      <c r="U70" s="21">
        <v>0</v>
      </c>
      <c r="V70" s="63">
        <f ca="1">ROUNDDOWN(_xll.IMBC(U48,"세전단가",W50,W52),0)</f>
        <v>9498</v>
      </c>
      <c r="W70" s="64">
        <f ca="1">ROUNDDOWN(_xll.IMBC(U48,"세전수익률",W50,V70,"세전단가"),4)</f>
        <v>2.085</v>
      </c>
      <c r="X70" s="13"/>
      <c r="Y70" s="24">
        <f ca="1">ROUNDDOWN(_xll.IMBC(U48,"세전단가",W51,Z51),0)</f>
        <v>9504</v>
      </c>
      <c r="Z70" s="23">
        <f ca="1">ROUNDDOWN(_xll.IMBC(U48,"세전수익률",W51,V70,"세전단가"),4)</f>
        <v>2.0870000000000002</v>
      </c>
      <c r="AA70" s="14"/>
      <c r="AC70" s="21">
        <v>0</v>
      </c>
      <c r="AD70" s="63">
        <f ca="1">ROUNDDOWN(_xll.IMBC(AC48,"세전단가",AE50,AE52),0)</f>
        <v>8955</v>
      </c>
      <c r="AE70" s="64">
        <f ca="1">ROUNDDOWN(_xll.IMBC(AC48,"세전수익률",AE50,AD70,"세전단가"),4)</f>
        <v>2.1920000000000002</v>
      </c>
      <c r="AF70" s="13"/>
      <c r="AG70" s="24">
        <f ca="1">ROUNDDOWN(_xll.IMBC(AC48,"세전단가",AE51,AH51),0)</f>
        <v>8960</v>
      </c>
      <c r="AH70" s="23">
        <f ca="1">ROUNDDOWN(_xll.IMBC(AC48,"세전수익률",AE51,AD70,"세전단가"),4)</f>
        <v>2.1930000000000001</v>
      </c>
      <c r="AI70" s="14"/>
    </row>
    <row r="71" spans="5:35" x14ac:dyDescent="0.25">
      <c r="E71" s="69" t="s">
        <v>3</v>
      </c>
      <c r="F71" s="59">
        <f ca="1">F70+E71</f>
        <v>9962.5</v>
      </c>
      <c r="G71" s="60">
        <f ca="1">ROUNDDOWN(_xll.IMBC(E48,"세전수익률",G50,F71,"세전단가"),4)</f>
        <v>1.0760000000000001</v>
      </c>
      <c r="H71" s="5">
        <f ca="1">(G71-G70)*100</f>
        <v>-0.29999999999998916</v>
      </c>
      <c r="I71" s="26">
        <f ca="1">I70+E71</f>
        <v>9964.5</v>
      </c>
      <c r="J71" s="22">
        <f ca="1">ROUNDDOWN(_xll.IMBC(E48,"세전수익률",G51,F71,"세전단가"),4)</f>
        <v>1.081</v>
      </c>
      <c r="K71" s="7">
        <f t="shared" ref="K71:K86" ca="1" si="24">J71-J70</f>
        <v>-3.0000000000001137E-3</v>
      </c>
      <c r="M71" s="69" t="s">
        <v>136</v>
      </c>
      <c r="N71" s="59">
        <f ca="1">N70+M71</f>
        <v>9925.5</v>
      </c>
      <c r="O71" s="60">
        <f ca="1">ROUNDDOWN(_xll.IMBC(M48,"세전수익률",O50,N71,"세전단가"),4)</f>
        <v>1.179</v>
      </c>
      <c r="P71" s="5">
        <f ca="1">(O71-O70)*100</f>
        <v>-0.20000000000000018</v>
      </c>
      <c r="Q71" s="26">
        <f ca="1">Q70+M71</f>
        <v>9926.5</v>
      </c>
      <c r="R71" s="22">
        <f ca="1">ROUNDDOWN(_xll.IMBC(M48,"세전수익률",O51,N71,"세전단가"),4)</f>
        <v>1.1830000000000001</v>
      </c>
      <c r="S71" s="7">
        <f t="shared" ref="S71:S86" ca="1" si="25">R71-R70</f>
        <v>-2.0000000000000018E-3</v>
      </c>
      <c r="U71" s="69" t="s">
        <v>136</v>
      </c>
      <c r="V71" s="59">
        <f ca="1">V70+U71</f>
        <v>9498.5</v>
      </c>
      <c r="W71" s="60">
        <f ca="1">ROUNDDOWN(_xll.IMBC(U48,"세전수익률",W50,V71,"세전단가"),4)</f>
        <v>2.085</v>
      </c>
      <c r="X71" s="5">
        <f ca="1">(W71-W70)*100</f>
        <v>0</v>
      </c>
      <c r="Y71" s="26">
        <f ca="1">Y70+U71</f>
        <v>9504.5</v>
      </c>
      <c r="Z71" s="22">
        <f ca="1">ROUNDDOWN(_xll.IMBC(U48,"세전수익률",W51,V71,"세전단가"),4)</f>
        <v>2.0870000000000002</v>
      </c>
      <c r="AA71" s="7">
        <f t="shared" ref="AA71:AA86" ca="1" si="26">Z71-Z70</f>
        <v>0</v>
      </c>
      <c r="AC71" s="69" t="s">
        <v>136</v>
      </c>
      <c r="AD71" s="59">
        <f ca="1">AD70+AC71</f>
        <v>8955.5</v>
      </c>
      <c r="AE71" s="60">
        <f ca="1">ROUNDDOWN(_xll.IMBC(AC48,"세전수익률",AE50,AD71,"세전단가"),4)</f>
        <v>2.1920000000000002</v>
      </c>
      <c r="AF71" s="5">
        <f ca="1">(AE71-AE70)*100</f>
        <v>0</v>
      </c>
      <c r="AG71" s="26">
        <f ca="1">AG70+AC71</f>
        <v>8960.5</v>
      </c>
      <c r="AH71" s="22">
        <f ca="1">ROUNDDOWN(_xll.IMBC(AC48,"세전수익률",AE51,AD71,"세전단가"),4)</f>
        <v>2.1930000000000001</v>
      </c>
      <c r="AI71" s="7">
        <f t="shared" ref="AI71:AI86" ca="1" si="27">AH71-AH70</f>
        <v>0</v>
      </c>
    </row>
    <row r="72" spans="5:35" x14ac:dyDescent="0.25">
      <c r="E72" s="70" t="s">
        <v>31</v>
      </c>
      <c r="F72" s="61">
        <f ca="1">F70+E72</f>
        <v>9963</v>
      </c>
      <c r="G72" s="62">
        <f ca="1">ROUNDDOWN(_xll.IMBC(E48,"세전수익률",G50,F72,"세전단가"),4)</f>
        <v>1.073</v>
      </c>
      <c r="H72" s="34">
        <f t="shared" ref="H72:H86" ca="1" si="28">(G72-G71)*100</f>
        <v>-0.30000000000001137</v>
      </c>
      <c r="I72" s="37">
        <f ca="1">I70+E72</f>
        <v>9965</v>
      </c>
      <c r="J72" s="33">
        <f ca="1">ROUNDDOWN(_xll.IMBC(E48,"세전수익률",G51,F72,"세전단가"),4)</f>
        <v>1.0780000000000001</v>
      </c>
      <c r="K72" s="36">
        <f t="shared" ca="1" si="24"/>
        <v>-2.9999999999998916E-3</v>
      </c>
      <c r="M72" s="70" t="s">
        <v>137</v>
      </c>
      <c r="N72" s="61">
        <f ca="1">N70+M72</f>
        <v>9926</v>
      </c>
      <c r="O72" s="62">
        <f ca="1">ROUNDDOWN(_xll.IMBC(M48,"세전수익률",O50,N72,"세전단가"),4)</f>
        <v>1.177</v>
      </c>
      <c r="P72" s="34">
        <f t="shared" ref="P72:P86" ca="1" si="29">(O72-O71)*100</f>
        <v>-0.20000000000000018</v>
      </c>
      <c r="Q72" s="38">
        <f ca="1">Q70+M72</f>
        <v>9927</v>
      </c>
      <c r="R72" s="33">
        <f ca="1">ROUNDDOWN(_xll.IMBC(M48,"세전수익률",O51,N72,"세전단가"),4)</f>
        <v>1.181</v>
      </c>
      <c r="S72" s="36">
        <f t="shared" ca="1" si="25"/>
        <v>-2.0000000000000018E-3</v>
      </c>
      <c r="U72" s="70" t="s">
        <v>137</v>
      </c>
      <c r="V72" s="61">
        <f ca="1">V70+U72</f>
        <v>9499</v>
      </c>
      <c r="W72" s="62">
        <f ca="1">ROUNDDOWN(_xll.IMBC(U48,"세전수익률",W50,V72,"세전단가"),4)</f>
        <v>2.0840000000000001</v>
      </c>
      <c r="X72" s="34">
        <f t="shared" ref="X72:X86" ca="1" si="30">(W72-W71)*100</f>
        <v>-9.9999999999988987E-2</v>
      </c>
      <c r="Y72" s="37">
        <f ca="1">Y70+U72</f>
        <v>9505</v>
      </c>
      <c r="Z72" s="33">
        <f ca="1">ROUNDDOWN(_xll.IMBC(U48,"세전수익률",W51,V72,"세전단가"),4)</f>
        <v>2.0859999999999999</v>
      </c>
      <c r="AA72" s="36">
        <f t="shared" ca="1" si="26"/>
        <v>-1.000000000000334E-3</v>
      </c>
      <c r="AC72" s="70" t="s">
        <v>137</v>
      </c>
      <c r="AD72" s="61">
        <f ca="1">AD70+AC72</f>
        <v>8956</v>
      </c>
      <c r="AE72" s="62">
        <f ca="1">ROUNDDOWN(_xll.IMBC(AC48,"세전수익률",AE50,AD72,"세전단가"),4)</f>
        <v>2.1909999999999998</v>
      </c>
      <c r="AF72" s="34">
        <f t="shared" ref="AF72:AF86" ca="1" si="31">(AE72-AE71)*100</f>
        <v>-0.1000000000000334</v>
      </c>
      <c r="AG72" s="37">
        <f ca="1">AG70+AC72</f>
        <v>8961</v>
      </c>
      <c r="AH72" s="33">
        <f ca="1">ROUNDDOWN(_xll.IMBC(AC48,"세전수익률",AE51,AD72,"세전단가"),4)</f>
        <v>2.1920000000000002</v>
      </c>
      <c r="AI72" s="36">
        <f t="shared" ca="1" si="27"/>
        <v>-9.9999999999988987E-4</v>
      </c>
    </row>
    <row r="73" spans="5:35" x14ac:dyDescent="0.25">
      <c r="E73" s="71" t="s">
        <v>32</v>
      </c>
      <c r="F73" s="59">
        <f ca="1">F70+E73</f>
        <v>9964</v>
      </c>
      <c r="G73" s="60">
        <f ca="1">ROUNDDOWN(_xll.IMBC(E48,"세전수익률",G50,F73,"세전단가"),4)</f>
        <v>1.0669999999999999</v>
      </c>
      <c r="H73" s="5">
        <f t="shared" ca="1" si="28"/>
        <v>-0.60000000000000053</v>
      </c>
      <c r="I73" s="26">
        <f ca="1">I70+E73</f>
        <v>9966</v>
      </c>
      <c r="J73" s="22">
        <f ca="1">ROUNDDOWN(_xll.IMBC(E48,"세전수익률",G51,F73,"세전단가"),4)</f>
        <v>1.0720000000000001</v>
      </c>
      <c r="K73" s="7">
        <f t="shared" ca="1" si="24"/>
        <v>-6.0000000000000053E-3</v>
      </c>
      <c r="M73" s="71" t="s">
        <v>138</v>
      </c>
      <c r="N73" s="59">
        <f ca="1">N70+M73</f>
        <v>9927</v>
      </c>
      <c r="O73" s="60">
        <f ca="1">ROUNDDOWN(_xll.IMBC(M48,"세전수익률",O50,N73,"세전단가"),4)</f>
        <v>1.173</v>
      </c>
      <c r="P73" s="5">
        <f t="shared" ca="1" si="29"/>
        <v>-0.40000000000000036</v>
      </c>
      <c r="Q73" s="26">
        <f ca="1">Q70+M73</f>
        <v>9928</v>
      </c>
      <c r="R73" s="22">
        <f ca="1">ROUNDDOWN(_xll.IMBC(M48,"세전수익률",O51,N73,"세전단가"),4)</f>
        <v>1.177</v>
      </c>
      <c r="S73" s="7">
        <f t="shared" ca="1" si="25"/>
        <v>-4.0000000000000036E-3</v>
      </c>
      <c r="U73" s="71" t="s">
        <v>138</v>
      </c>
      <c r="V73" s="59">
        <f ca="1">V70+U73</f>
        <v>9500</v>
      </c>
      <c r="W73" s="60">
        <f ca="1">ROUNDDOWN(_xll.IMBC(U48,"세전수익률",W50,V73,"세전단가"),4)</f>
        <v>2.0830000000000002</v>
      </c>
      <c r="X73" s="5">
        <f t="shared" ca="1" si="30"/>
        <v>-9.9999999999988987E-2</v>
      </c>
      <c r="Y73" s="26">
        <f ca="1">Y70+U73</f>
        <v>9506</v>
      </c>
      <c r="Z73" s="22">
        <f ca="1">ROUNDDOWN(_xll.IMBC(U48,"세전수익률",W51,V73,"세전단가"),4)</f>
        <v>2.085</v>
      </c>
      <c r="AA73" s="7">
        <f t="shared" ca="1" si="26"/>
        <v>-9.9999999999988987E-4</v>
      </c>
      <c r="AC73" s="71" t="s">
        <v>138</v>
      </c>
      <c r="AD73" s="59">
        <f ca="1">AD70+AC73</f>
        <v>8957</v>
      </c>
      <c r="AE73" s="60">
        <f ca="1">ROUNDDOWN(_xll.IMBC(AC48,"세전수익률",AE50,AD73,"세전단가"),4)</f>
        <v>2.1909999999999998</v>
      </c>
      <c r="AF73" s="5">
        <f t="shared" ca="1" si="31"/>
        <v>0</v>
      </c>
      <c r="AG73" s="26">
        <f ca="1">AG70+AC73</f>
        <v>8962</v>
      </c>
      <c r="AH73" s="22">
        <f ca="1">ROUNDDOWN(_xll.IMBC(AC48,"세전수익률",AE51,AD73,"세전단가"),4)</f>
        <v>2.1920000000000002</v>
      </c>
      <c r="AI73" s="7">
        <f t="shared" ca="1" si="27"/>
        <v>0</v>
      </c>
    </row>
    <row r="74" spans="5:35" x14ac:dyDescent="0.25">
      <c r="E74" s="71" t="s">
        <v>33</v>
      </c>
      <c r="F74" s="59">
        <f ca="1">F70+E74</f>
        <v>9965</v>
      </c>
      <c r="G74" s="60">
        <f ca="1">ROUNDDOWN(_xll.IMBC(E48,"세전수익률",G50,F74,"세전단가"),4)</f>
        <v>1.0620000000000001</v>
      </c>
      <c r="H74" s="5">
        <f t="shared" ca="1" si="28"/>
        <v>-0.49999999999998934</v>
      </c>
      <c r="I74" s="26">
        <f ca="1">I70+E74</f>
        <v>9967</v>
      </c>
      <c r="J74" s="22">
        <f ca="1">ROUNDDOWN(_xll.IMBC(E48,"세전수익률",G51,F74,"세전단가"),4)</f>
        <v>1.0669999999999999</v>
      </c>
      <c r="K74" s="7">
        <f t="shared" ca="1" si="24"/>
        <v>-5.0000000000001155E-3</v>
      </c>
      <c r="M74" s="71" t="s">
        <v>139</v>
      </c>
      <c r="N74" s="59">
        <f ca="1">N70+M74</f>
        <v>9928</v>
      </c>
      <c r="O74" s="60">
        <f ca="1">ROUNDDOWN(_xll.IMBC(M48,"세전수익률",O50,N74,"세전단가"),4)</f>
        <v>1.169</v>
      </c>
      <c r="P74" s="5">
        <f t="shared" ca="1" si="29"/>
        <v>-0.40000000000000036</v>
      </c>
      <c r="Q74" s="26">
        <f ca="1">Q70+M74</f>
        <v>9929</v>
      </c>
      <c r="R74" s="22">
        <f ca="1">ROUNDDOWN(_xll.IMBC(M48,"세전수익률",O51,N74,"세전단가"),4)</f>
        <v>1.173</v>
      </c>
      <c r="S74" s="7">
        <f t="shared" ca="1" si="25"/>
        <v>-4.0000000000000036E-3</v>
      </c>
      <c r="U74" s="71" t="s">
        <v>139</v>
      </c>
      <c r="V74" s="59">
        <f ca="1">V70+U74</f>
        <v>9501</v>
      </c>
      <c r="W74" s="60">
        <f ca="1">ROUNDDOWN(_xll.IMBC(U48,"세전수익률",W50,V74,"세전단가"),4)</f>
        <v>2.0819999999999999</v>
      </c>
      <c r="X74" s="5">
        <f t="shared" ca="1" si="30"/>
        <v>-0.1000000000000334</v>
      </c>
      <c r="Y74" s="26">
        <f ca="1">Y70+U74</f>
        <v>9507</v>
      </c>
      <c r="Z74" s="22">
        <f ca="1">ROUNDDOWN(_xll.IMBC(U48,"세전수익률",W51,V74,"세전단가"),4)</f>
        <v>2.0840000000000001</v>
      </c>
      <c r="AA74" s="7">
        <f t="shared" ca="1" si="26"/>
        <v>-9.9999999999988987E-4</v>
      </c>
      <c r="AC74" s="71" t="s">
        <v>139</v>
      </c>
      <c r="AD74" s="59">
        <f ca="1">AD70+AC74</f>
        <v>8958</v>
      </c>
      <c r="AE74" s="60">
        <f ca="1">ROUNDDOWN(_xll.IMBC(AC48,"세전수익률",AE50,AD74,"세전단가"),4)</f>
        <v>2.19</v>
      </c>
      <c r="AF74" s="5">
        <f t="shared" ca="1" si="31"/>
        <v>-9.9999999999988987E-2</v>
      </c>
      <c r="AG74" s="26">
        <f ca="1">AG70+AC74</f>
        <v>8963</v>
      </c>
      <c r="AH74" s="22">
        <f ca="1">ROUNDDOWN(_xll.IMBC(AC48,"세전수익률",AE51,AD74,"세전단가"),4)</f>
        <v>2.1909999999999998</v>
      </c>
      <c r="AI74" s="7">
        <f t="shared" ca="1" si="27"/>
        <v>-1.000000000000334E-3</v>
      </c>
    </row>
    <row r="75" spans="5:35" x14ac:dyDescent="0.25">
      <c r="E75" s="71" t="s">
        <v>34</v>
      </c>
      <c r="F75" s="59">
        <f ca="1">F70+E75</f>
        <v>9966</v>
      </c>
      <c r="G75" s="60">
        <f ca="1">ROUNDDOWN(_xll.IMBC(E48,"세전수익률",G50,F75,"세전단가"),4)</f>
        <v>1.056</v>
      </c>
      <c r="H75" s="5">
        <f t="shared" ca="1" si="28"/>
        <v>-0.60000000000000053</v>
      </c>
      <c r="I75" s="26">
        <f ca="1">I70+E75</f>
        <v>9968</v>
      </c>
      <c r="J75" s="22">
        <f ca="1">ROUNDDOWN(_xll.IMBC(E48,"세전수익률",G51,F75,"세전단가"),4)</f>
        <v>1.0609999999999999</v>
      </c>
      <c r="K75" s="7">
        <f t="shared" ca="1" si="24"/>
        <v>-6.0000000000000053E-3</v>
      </c>
      <c r="M75" s="71" t="s">
        <v>140</v>
      </c>
      <c r="N75" s="59">
        <f ca="1">N70+M75</f>
        <v>9929</v>
      </c>
      <c r="O75" s="60">
        <f ca="1">ROUNDDOWN(_xll.IMBC(M48,"세전수익률",O50,N75,"세전단가"),4)</f>
        <v>1.165</v>
      </c>
      <c r="P75" s="5">
        <f t="shared" ca="1" si="29"/>
        <v>-0.40000000000000036</v>
      </c>
      <c r="Q75" s="26">
        <f ca="1">Q70+M75</f>
        <v>9930</v>
      </c>
      <c r="R75" s="22">
        <f ca="1">ROUNDDOWN(_xll.IMBC(M48,"세전수익률",O51,N75,"세전단가"),4)</f>
        <v>1.169</v>
      </c>
      <c r="S75" s="7">
        <f t="shared" ca="1" si="25"/>
        <v>-4.0000000000000036E-3</v>
      </c>
      <c r="U75" s="71" t="s">
        <v>140</v>
      </c>
      <c r="V75" s="59">
        <f ca="1">V70+U75</f>
        <v>9502</v>
      </c>
      <c r="W75" s="60">
        <f ca="1">ROUNDDOWN(_xll.IMBC(U48,"세전수익률",W50,V75,"세전단가"),4)</f>
        <v>2.081</v>
      </c>
      <c r="X75" s="5">
        <f t="shared" ca="1" si="30"/>
        <v>-9.9999999999988987E-2</v>
      </c>
      <c r="Y75" s="26">
        <f ca="1">Y70+U75</f>
        <v>9508</v>
      </c>
      <c r="Z75" s="22">
        <f ca="1">ROUNDDOWN(_xll.IMBC(U48,"세전수익률",W51,V75,"세전단가"),4)</f>
        <v>2.0819999999999999</v>
      </c>
      <c r="AA75" s="7">
        <f t="shared" ca="1" si="26"/>
        <v>-2.0000000000002238E-3</v>
      </c>
      <c r="AC75" s="71" t="s">
        <v>140</v>
      </c>
      <c r="AD75" s="59">
        <f ca="1">AD70+AC75</f>
        <v>8959</v>
      </c>
      <c r="AE75" s="60">
        <f ca="1">ROUNDDOWN(_xll.IMBC(AC48,"세전수익률",AE50,AD75,"세전단가"),4)</f>
        <v>2.1890000000000001</v>
      </c>
      <c r="AF75" s="5">
        <f t="shared" ca="1" si="31"/>
        <v>-9.9999999999988987E-2</v>
      </c>
      <c r="AG75" s="26">
        <f ca="1">AG70+AC75</f>
        <v>8964</v>
      </c>
      <c r="AH75" s="22">
        <f ca="1">ROUNDDOWN(_xll.IMBC(AC48,"세전수익률",AE51,AD75,"세전단가"),4)</f>
        <v>2.19</v>
      </c>
      <c r="AI75" s="7">
        <f t="shared" ca="1" si="27"/>
        <v>-9.9999999999988987E-4</v>
      </c>
    </row>
    <row r="76" spans="5:35" x14ac:dyDescent="0.25">
      <c r="E76" s="71" t="s">
        <v>35</v>
      </c>
      <c r="F76" s="59">
        <f ca="1">F70+E76</f>
        <v>9967</v>
      </c>
      <c r="G76" s="60">
        <f ca="1">ROUNDDOWN(_xll.IMBC(E48,"세전수익률",G50,F76,"세전단가"),4)</f>
        <v>1.05</v>
      </c>
      <c r="H76" s="5">
        <f t="shared" ca="1" si="28"/>
        <v>-0.60000000000000053</v>
      </c>
      <c r="I76" s="26">
        <f ca="1">I70+E76</f>
        <v>9969</v>
      </c>
      <c r="J76" s="22">
        <f ca="1">ROUNDDOWN(_xll.IMBC(E48,"세전수익률",G51,F76,"세전단가"),4)</f>
        <v>1.0549999999999999</v>
      </c>
      <c r="K76" s="7">
        <f t="shared" ca="1" si="24"/>
        <v>-6.0000000000000053E-3</v>
      </c>
      <c r="M76" s="71" t="s">
        <v>141</v>
      </c>
      <c r="N76" s="59">
        <f ca="1">N70+M76</f>
        <v>9930</v>
      </c>
      <c r="O76" s="60">
        <f ca="1">ROUNDDOWN(_xll.IMBC(M48,"세전수익률",O50,N76,"세전단가"),4)</f>
        <v>1.161</v>
      </c>
      <c r="P76" s="5">
        <f t="shared" ca="1" si="29"/>
        <v>-0.40000000000000036</v>
      </c>
      <c r="Q76" s="26">
        <f ca="1">Q70+M76</f>
        <v>9931</v>
      </c>
      <c r="R76" s="22">
        <f ca="1">ROUNDDOWN(_xll.IMBC(M48,"세전수익률",O51,N76,"세전단가"),4)</f>
        <v>1.165</v>
      </c>
      <c r="S76" s="7">
        <f t="shared" ca="1" si="25"/>
        <v>-4.0000000000000036E-3</v>
      </c>
      <c r="U76" s="71" t="s">
        <v>141</v>
      </c>
      <c r="V76" s="59">
        <f ca="1">V70+U76</f>
        <v>9503</v>
      </c>
      <c r="W76" s="60">
        <f ca="1">ROUNDDOWN(_xll.IMBC(U48,"세전수익률",W50,V76,"세전단가"),4)</f>
        <v>2.0790000000000002</v>
      </c>
      <c r="X76" s="5">
        <f t="shared" ca="1" si="30"/>
        <v>-0.19999999999997797</v>
      </c>
      <c r="Y76" s="26">
        <f ca="1">Y70+U76</f>
        <v>9509</v>
      </c>
      <c r="Z76" s="22">
        <f ca="1">ROUNDDOWN(_xll.IMBC(U48,"세전수익률",W51,V76,"세전단가"),4)</f>
        <v>2.081</v>
      </c>
      <c r="AA76" s="7">
        <f t="shared" ca="1" si="26"/>
        <v>-9.9999999999988987E-4</v>
      </c>
      <c r="AC76" s="71" t="s">
        <v>141</v>
      </c>
      <c r="AD76" s="59">
        <f ca="1">AD70+AC76</f>
        <v>8960</v>
      </c>
      <c r="AE76" s="60">
        <f ca="1">ROUNDDOWN(_xll.IMBC(AC48,"세전수익률",AE50,AD76,"세전단가"),4)</f>
        <v>2.1890000000000001</v>
      </c>
      <c r="AF76" s="5">
        <f t="shared" ca="1" si="31"/>
        <v>0</v>
      </c>
      <c r="AG76" s="26">
        <f ca="1">AG70+AC76</f>
        <v>8965</v>
      </c>
      <c r="AH76" s="22">
        <f ca="1">ROUNDDOWN(_xll.IMBC(AC48,"세전수익률",AE51,AD76,"세전단가"),4)</f>
        <v>2.19</v>
      </c>
      <c r="AI76" s="7">
        <f t="shared" ca="1" si="27"/>
        <v>0</v>
      </c>
    </row>
    <row r="77" spans="5:35" x14ac:dyDescent="0.25">
      <c r="E77" s="71" t="s">
        <v>36</v>
      </c>
      <c r="F77" s="59">
        <f ca="1">F70+E77</f>
        <v>9968</v>
      </c>
      <c r="G77" s="60">
        <f ca="1">ROUNDDOWN(_xll.IMBC(E48,"세전수익률",G50,F77,"세전단가"),4)</f>
        <v>1.044</v>
      </c>
      <c r="H77" s="5">
        <f t="shared" ca="1" si="28"/>
        <v>-0.60000000000000053</v>
      </c>
      <c r="I77" s="26">
        <f ca="1">I70+E77</f>
        <v>9970</v>
      </c>
      <c r="J77" s="22">
        <f ca="1">ROUNDDOWN(_xll.IMBC(E48,"세전수익률",G51,F77,"세전단가"),4)</f>
        <v>1.0489999999999999</v>
      </c>
      <c r="K77" s="7">
        <f t="shared" ca="1" si="24"/>
        <v>-6.0000000000000053E-3</v>
      </c>
      <c r="M77" s="71" t="s">
        <v>142</v>
      </c>
      <c r="N77" s="59">
        <f ca="1">N70+M77</f>
        <v>9931</v>
      </c>
      <c r="O77" s="60">
        <f ca="1">ROUNDDOWN(_xll.IMBC(M48,"세전수익률",O50,N77,"세전단가"),4)</f>
        <v>1.157</v>
      </c>
      <c r="P77" s="5">
        <f t="shared" ca="1" si="29"/>
        <v>-0.40000000000000036</v>
      </c>
      <c r="Q77" s="26">
        <f ca="1">Q70+M77</f>
        <v>9932</v>
      </c>
      <c r="R77" s="22">
        <f ca="1">ROUNDDOWN(_xll.IMBC(M48,"세전수익률",O51,N77,"세전단가"),4)</f>
        <v>1.1599999999999999</v>
      </c>
      <c r="S77" s="7">
        <f t="shared" ca="1" si="25"/>
        <v>-5.0000000000001155E-3</v>
      </c>
      <c r="U77" s="71" t="s">
        <v>142</v>
      </c>
      <c r="V77" s="59">
        <f ca="1">V70+U77</f>
        <v>9504</v>
      </c>
      <c r="W77" s="60">
        <f ca="1">ROUNDDOWN(_xll.IMBC(U48,"세전수익률",W50,V77,"세전단가"),4)</f>
        <v>2.0779999999999998</v>
      </c>
      <c r="X77" s="5">
        <f t="shared" ca="1" si="30"/>
        <v>-0.1000000000000334</v>
      </c>
      <c r="Y77" s="26">
        <f ca="1">Y70+U77</f>
        <v>9510</v>
      </c>
      <c r="Z77" s="22">
        <f ca="1">ROUNDDOWN(_xll.IMBC(U48,"세전수익률",W51,V77,"세전단가"),4)</f>
        <v>2.08</v>
      </c>
      <c r="AA77" s="7">
        <f t="shared" ca="1" si="26"/>
        <v>-9.9999999999988987E-4</v>
      </c>
      <c r="AC77" s="71" t="s">
        <v>142</v>
      </c>
      <c r="AD77" s="59">
        <f ca="1">AD70+AC77</f>
        <v>8961</v>
      </c>
      <c r="AE77" s="60">
        <f ca="1">ROUNDDOWN(_xll.IMBC(AC48,"세전수익률",AE50,AD77,"세전단가"),4)</f>
        <v>2.1880000000000002</v>
      </c>
      <c r="AF77" s="5">
        <f t="shared" ca="1" si="31"/>
        <v>-9.9999999999988987E-2</v>
      </c>
      <c r="AG77" s="26">
        <f ca="1">AG70+AC77</f>
        <v>8966</v>
      </c>
      <c r="AH77" s="22">
        <f ca="1">ROUNDDOWN(_xll.IMBC(AC48,"세전수익률",AE51,AD77,"세전단가"),4)</f>
        <v>2.1890000000000001</v>
      </c>
      <c r="AI77" s="7">
        <f t="shared" ca="1" si="27"/>
        <v>-9.9999999999988987E-4</v>
      </c>
    </row>
    <row r="78" spans="5:35" x14ac:dyDescent="0.25">
      <c r="E78" s="71" t="s">
        <v>37</v>
      </c>
      <c r="F78" s="59">
        <f ca="1">F70+E78</f>
        <v>9969</v>
      </c>
      <c r="G78" s="60">
        <f ca="1">ROUNDDOWN(_xll.IMBC(E48,"세전수익률",G50,F78,"세전단가"),4)</f>
        <v>1.038</v>
      </c>
      <c r="H78" s="5">
        <f t="shared" ca="1" si="28"/>
        <v>-0.60000000000000053</v>
      </c>
      <c r="I78" s="26">
        <f ca="1">I70+E78</f>
        <v>9971</v>
      </c>
      <c r="J78" s="22">
        <f ca="1">ROUNDDOWN(_xll.IMBC(E48,"세전수익률",G51,F78,"세전단가"),4)</f>
        <v>1.0429999999999999</v>
      </c>
      <c r="K78" s="7">
        <f t="shared" ca="1" si="24"/>
        <v>-6.0000000000000053E-3</v>
      </c>
      <c r="M78" s="71" t="s">
        <v>143</v>
      </c>
      <c r="N78" s="59">
        <f ca="1">N70+M78</f>
        <v>9932</v>
      </c>
      <c r="O78" s="60">
        <f ca="1">ROUNDDOWN(_xll.IMBC(M48,"세전수익률",O50,N78,"세전단가"),4)</f>
        <v>1.1519999999999999</v>
      </c>
      <c r="P78" s="5">
        <f t="shared" ca="1" si="29"/>
        <v>-0.50000000000001155</v>
      </c>
      <c r="Q78" s="26">
        <f ca="1">Q70+M78</f>
        <v>9933</v>
      </c>
      <c r="R78" s="22">
        <f ca="1">ROUNDDOWN(_xll.IMBC(M48,"세전수익률",O51,N78,"세전단가"),4)</f>
        <v>1.1559999999999999</v>
      </c>
      <c r="S78" s="7">
        <f t="shared" ca="1" si="25"/>
        <v>-4.0000000000000036E-3</v>
      </c>
      <c r="U78" s="71" t="s">
        <v>143</v>
      </c>
      <c r="V78" s="59">
        <f ca="1">V70+U78</f>
        <v>9505</v>
      </c>
      <c r="W78" s="60">
        <f ca="1">ROUNDDOWN(_xll.IMBC(U48,"세전수익률",W50,V78,"세전단가"),4)</f>
        <v>2.077</v>
      </c>
      <c r="X78" s="5">
        <f t="shared" ca="1" si="30"/>
        <v>-9.9999999999988987E-2</v>
      </c>
      <c r="Y78" s="26">
        <f ca="1">Y70+U78</f>
        <v>9511</v>
      </c>
      <c r="Z78" s="22">
        <f ca="1">ROUNDDOWN(_xll.IMBC(U48,"세전수익률",W51,V78,"세전단가"),4)</f>
        <v>2.0790000000000002</v>
      </c>
      <c r="AA78" s="7">
        <f t="shared" ca="1" si="26"/>
        <v>-9.9999999999988987E-4</v>
      </c>
      <c r="AC78" s="71" t="s">
        <v>143</v>
      </c>
      <c r="AD78" s="59">
        <f ca="1">AD70+AC78</f>
        <v>8962</v>
      </c>
      <c r="AE78" s="60">
        <f ca="1">ROUNDDOWN(_xll.IMBC(AC48,"세전수익률",AE50,AD78,"세전단가"),4)</f>
        <v>2.1869999999999998</v>
      </c>
      <c r="AF78" s="5">
        <f t="shared" ca="1" si="31"/>
        <v>-0.1000000000000334</v>
      </c>
      <c r="AG78" s="26">
        <f ca="1">AG70+AC78</f>
        <v>8967</v>
      </c>
      <c r="AH78" s="22">
        <f ca="1">ROUNDDOWN(_xll.IMBC(AC48,"세전수익률",AE51,AD78,"세전단가"),4)</f>
        <v>2.1880000000000002</v>
      </c>
      <c r="AI78" s="7">
        <f t="shared" ca="1" si="27"/>
        <v>-9.9999999999988987E-4</v>
      </c>
    </row>
    <row r="79" spans="5:35" x14ac:dyDescent="0.25">
      <c r="E79" s="71" t="s">
        <v>38</v>
      </c>
      <c r="F79" s="59">
        <f ca="1">F70+E79</f>
        <v>9970</v>
      </c>
      <c r="G79" s="60">
        <f ca="1">ROUNDDOWN(_xll.IMBC(E48,"세전수익률",G50,F79,"세전단가"),4)</f>
        <v>1.0329999999999999</v>
      </c>
      <c r="H79" s="5">
        <f t="shared" ca="1" si="28"/>
        <v>-0.50000000000001155</v>
      </c>
      <c r="I79" s="26">
        <f ca="1">I70+E79</f>
        <v>9972</v>
      </c>
      <c r="J79" s="22">
        <f ca="1">ROUNDDOWN(_xll.IMBC(E48,"세전수익률",G51,F79,"세전단가"),4)</f>
        <v>1.0369999999999999</v>
      </c>
      <c r="K79" s="7">
        <f t="shared" ca="1" si="24"/>
        <v>-6.0000000000000053E-3</v>
      </c>
      <c r="M79" s="71" t="s">
        <v>144</v>
      </c>
      <c r="N79" s="59">
        <f ca="1">N70+M79</f>
        <v>9933</v>
      </c>
      <c r="O79" s="60">
        <f ca="1">ROUNDDOWN(_xll.IMBC(M48,"세전수익률",O50,N79,"세전단가"),4)</f>
        <v>1.1479999999999999</v>
      </c>
      <c r="P79" s="5">
        <f t="shared" ca="1" si="29"/>
        <v>-0.40000000000000036</v>
      </c>
      <c r="Q79" s="26">
        <f ca="1">Q70+M79</f>
        <v>9934</v>
      </c>
      <c r="R79" s="22">
        <f ca="1">ROUNDDOWN(_xll.IMBC(M48,"세전수익률",O51,N79,"세전단가"),4)</f>
        <v>1.1519999999999999</v>
      </c>
      <c r="S79" s="7">
        <f t="shared" ca="1" si="25"/>
        <v>-4.0000000000000036E-3</v>
      </c>
      <c r="U79" s="71" t="s">
        <v>144</v>
      </c>
      <c r="V79" s="59">
        <f ca="1">V70+U79</f>
        <v>9506</v>
      </c>
      <c r="W79" s="60">
        <f ca="1">ROUNDDOWN(_xll.IMBC(U48,"세전수익률",W50,V79,"세전단가"),4)</f>
        <v>2.0760000000000001</v>
      </c>
      <c r="X79" s="5">
        <f t="shared" ca="1" si="30"/>
        <v>-9.9999999999988987E-2</v>
      </c>
      <c r="Y79" s="26">
        <f ca="1">Y70+U79</f>
        <v>9512</v>
      </c>
      <c r="Z79" s="22">
        <f ca="1">ROUNDDOWN(_xll.IMBC(U48,"세전수익률",W51,V79,"세전단가"),4)</f>
        <v>2.0779999999999998</v>
      </c>
      <c r="AA79" s="7">
        <f t="shared" ca="1" si="26"/>
        <v>-1.000000000000334E-3</v>
      </c>
      <c r="AC79" s="71" t="s">
        <v>144</v>
      </c>
      <c r="AD79" s="59">
        <f ca="1">AD70+AC79</f>
        <v>8963</v>
      </c>
      <c r="AE79" s="60">
        <f ca="1">ROUNDDOWN(_xll.IMBC(AC48,"세전수익률",AE50,AD79,"세전단가"),4)</f>
        <v>2.1869999999999998</v>
      </c>
      <c r="AF79" s="5">
        <f t="shared" ca="1" si="31"/>
        <v>0</v>
      </c>
      <c r="AG79" s="26">
        <f ca="1">AG70+AC79</f>
        <v>8968</v>
      </c>
      <c r="AH79" s="22">
        <f ca="1">ROUNDDOWN(_xll.IMBC(AC48,"세전수익률",AE51,AD79,"세전단가"),4)</f>
        <v>2.1880000000000002</v>
      </c>
      <c r="AI79" s="7">
        <f t="shared" ca="1" si="27"/>
        <v>0</v>
      </c>
    </row>
    <row r="80" spans="5:35" x14ac:dyDescent="0.25">
      <c r="E80" s="71" t="s">
        <v>39</v>
      </c>
      <c r="F80" s="59">
        <f ca="1">F70+E80</f>
        <v>9971</v>
      </c>
      <c r="G80" s="60">
        <f ca="1">ROUNDDOWN(_xll.IMBC(E48,"세전수익률",G50,F80,"세전단가"),4)</f>
        <v>1.0269999999999999</v>
      </c>
      <c r="H80" s="5">
        <f t="shared" ca="1" si="28"/>
        <v>-0.60000000000000053</v>
      </c>
      <c r="I80" s="26">
        <f ca="1">I70+E80</f>
        <v>9973</v>
      </c>
      <c r="J80" s="22">
        <f ca="1">ROUNDDOWN(_xll.IMBC(E48,"세전수익률",G51,F80,"세전단가"),4)</f>
        <v>1.032</v>
      </c>
      <c r="K80" s="7">
        <f t="shared" ca="1" si="24"/>
        <v>-4.9999999999998934E-3</v>
      </c>
      <c r="M80" s="71" t="s">
        <v>145</v>
      </c>
      <c r="N80" s="59">
        <f ca="1">N70+M80</f>
        <v>9934</v>
      </c>
      <c r="O80" s="60">
        <f ca="1">ROUNDDOWN(_xll.IMBC(M48,"세전수익률",O50,N80,"세전단가"),4)</f>
        <v>1.1439999999999999</v>
      </c>
      <c r="P80" s="5">
        <f t="shared" ca="1" si="29"/>
        <v>-0.40000000000000036</v>
      </c>
      <c r="Q80" s="26">
        <f ca="1">Q70+M80</f>
        <v>9935</v>
      </c>
      <c r="R80" s="22">
        <f ca="1">ROUNDDOWN(_xll.IMBC(M48,"세전수익률",O51,N80,"세전단가"),4)</f>
        <v>1.1479999999999999</v>
      </c>
      <c r="S80" s="7">
        <f t="shared" ca="1" si="25"/>
        <v>-4.0000000000000036E-3</v>
      </c>
      <c r="U80" s="71" t="s">
        <v>145</v>
      </c>
      <c r="V80" s="59">
        <f ca="1">V70+U80</f>
        <v>9507</v>
      </c>
      <c r="W80" s="60">
        <f ca="1">ROUNDDOWN(_xll.IMBC(U48,"세전수익률",W50,V80,"세전단가"),4)</f>
        <v>2.0750000000000002</v>
      </c>
      <c r="X80" s="5">
        <f t="shared" ca="1" si="30"/>
        <v>-9.9999999999988987E-2</v>
      </c>
      <c r="Y80" s="26">
        <f ca="1">Y70+U80</f>
        <v>9513</v>
      </c>
      <c r="Z80" s="22">
        <f ca="1">ROUNDDOWN(_xll.IMBC(U48,"세전수익률",W51,V80,"세전단가"),4)</f>
        <v>2.0760000000000001</v>
      </c>
      <c r="AA80" s="7">
        <f t="shared" ca="1" si="26"/>
        <v>-1.9999999999997797E-3</v>
      </c>
      <c r="AC80" s="71" t="s">
        <v>145</v>
      </c>
      <c r="AD80" s="59">
        <f ca="1">AD70+AC80</f>
        <v>8964</v>
      </c>
      <c r="AE80" s="60">
        <f ca="1">ROUNDDOWN(_xll.IMBC(AC48,"세전수익률",AE50,AD80,"세전단가"),4)</f>
        <v>2.1859999999999999</v>
      </c>
      <c r="AF80" s="5">
        <f t="shared" ca="1" si="31"/>
        <v>-9.9999999999988987E-2</v>
      </c>
      <c r="AG80" s="26">
        <f ca="1">AG70+AC80</f>
        <v>8969</v>
      </c>
      <c r="AH80" s="22">
        <f ca="1">ROUNDDOWN(_xll.IMBC(AC48,"세전수익률",AE51,AD80,"세전단가"),4)</f>
        <v>2.1869999999999998</v>
      </c>
      <c r="AI80" s="7">
        <f t="shared" ca="1" si="27"/>
        <v>-1.000000000000334E-3</v>
      </c>
    </row>
    <row r="81" spans="5:35" x14ac:dyDescent="0.25">
      <c r="E81" s="71" t="s">
        <v>40</v>
      </c>
      <c r="F81" s="59">
        <f ca="1">F70+E81</f>
        <v>9972</v>
      </c>
      <c r="G81" s="60">
        <f ca="1">ROUNDDOWN(_xll.IMBC(E48,"세전수익률",G50,F81,"세전단가"),4)</f>
        <v>1.0209999999999999</v>
      </c>
      <c r="H81" s="5">
        <f t="shared" ca="1" si="28"/>
        <v>-0.60000000000000053</v>
      </c>
      <c r="I81" s="26">
        <f ca="1">I70+E81</f>
        <v>9974</v>
      </c>
      <c r="J81" s="22">
        <f ca="1">ROUNDDOWN(_xll.IMBC(E48,"세전수익률",G51,F81,"세전단가"),4)</f>
        <v>1.026</v>
      </c>
      <c r="K81" s="7">
        <f t="shared" ca="1" si="24"/>
        <v>-6.0000000000000053E-3</v>
      </c>
      <c r="M81" s="71" t="s">
        <v>146</v>
      </c>
      <c r="N81" s="59">
        <f ca="1">N70+M81</f>
        <v>9935</v>
      </c>
      <c r="O81" s="60">
        <f ca="1">ROUNDDOWN(_xll.IMBC(M48,"세전수익률",O50,N81,"세전단가"),4)</f>
        <v>1.1399999999999999</v>
      </c>
      <c r="P81" s="5">
        <f t="shared" ca="1" si="29"/>
        <v>-0.40000000000000036</v>
      </c>
      <c r="Q81" s="26">
        <f ca="1">Q70+M81</f>
        <v>9936</v>
      </c>
      <c r="R81" s="22">
        <f ca="1">ROUNDDOWN(_xll.IMBC(M48,"세전수익률",O51,N81,"세전단가"),4)</f>
        <v>1.1439999999999999</v>
      </c>
      <c r="S81" s="7">
        <f t="shared" ca="1" si="25"/>
        <v>-4.0000000000000036E-3</v>
      </c>
      <c r="U81" s="71" t="s">
        <v>146</v>
      </c>
      <c r="V81" s="59">
        <f ca="1">V70+U81</f>
        <v>9508</v>
      </c>
      <c r="W81" s="60">
        <f ca="1">ROUNDDOWN(_xll.IMBC(U48,"세전수익률",W50,V81,"세전단가"),4)</f>
        <v>2.073</v>
      </c>
      <c r="X81" s="5">
        <f t="shared" ca="1" si="30"/>
        <v>-0.20000000000002238</v>
      </c>
      <c r="Y81" s="26">
        <f ca="1">Y70+U81</f>
        <v>9514</v>
      </c>
      <c r="Z81" s="22">
        <f ca="1">ROUNDDOWN(_xll.IMBC(U48,"세전수익률",W51,V81,"세전단가"),4)</f>
        <v>2.0750000000000002</v>
      </c>
      <c r="AA81" s="7">
        <f t="shared" ca="1" si="26"/>
        <v>-9.9999999999988987E-4</v>
      </c>
      <c r="AC81" s="71" t="s">
        <v>146</v>
      </c>
      <c r="AD81" s="59">
        <f ca="1">AD70+AC81</f>
        <v>8965</v>
      </c>
      <c r="AE81" s="60">
        <f ca="1">ROUNDDOWN(_xll.IMBC(AC48,"세전수익률",AE50,AD81,"세전단가"),4)</f>
        <v>2.1850000000000001</v>
      </c>
      <c r="AF81" s="5">
        <f t="shared" ca="1" si="31"/>
        <v>-9.9999999999988987E-2</v>
      </c>
      <c r="AG81" s="26">
        <f ca="1">AG70+AC81</f>
        <v>8970</v>
      </c>
      <c r="AH81" s="22">
        <f ca="1">ROUNDDOWN(_xll.IMBC(AC48,"세전수익률",AE51,AD81,"세전단가"),4)</f>
        <v>2.1859999999999999</v>
      </c>
      <c r="AI81" s="7">
        <f t="shared" ca="1" si="27"/>
        <v>-9.9999999999988987E-4</v>
      </c>
    </row>
    <row r="82" spans="5:35" x14ac:dyDescent="0.25">
      <c r="E82" s="71" t="s">
        <v>47</v>
      </c>
      <c r="F82" s="59">
        <f ca="1">F70+E82</f>
        <v>9973</v>
      </c>
      <c r="G82" s="60">
        <f ca="1">ROUNDDOWN(_xll.IMBC(E48,"세전수익률",G50,F82,"세전단가"),4)</f>
        <v>1.0149999999999999</v>
      </c>
      <c r="H82" s="5">
        <f t="shared" ca="1" si="28"/>
        <v>-0.60000000000000053</v>
      </c>
      <c r="I82" s="26">
        <f ca="1">I70+E82</f>
        <v>9975</v>
      </c>
      <c r="J82" s="22">
        <f ca="1">ROUNDDOWN(_xll.IMBC(E48,"세전수익률",G51,F82,"세전단가"),4)</f>
        <v>1.02</v>
      </c>
      <c r="K82" s="7">
        <f t="shared" ca="1" si="24"/>
        <v>-6.0000000000000053E-3</v>
      </c>
      <c r="M82" s="71" t="s">
        <v>147</v>
      </c>
      <c r="N82" s="59">
        <f ca="1">N70+M82</f>
        <v>9936</v>
      </c>
      <c r="O82" s="60">
        <f ca="1">ROUNDDOWN(_xll.IMBC(M48,"세전수익률",O50,N82,"세전단가"),4)</f>
        <v>1.1359999999999999</v>
      </c>
      <c r="P82" s="5">
        <f t="shared" ca="1" si="29"/>
        <v>-0.40000000000000036</v>
      </c>
      <c r="Q82" s="26">
        <f ca="1">Q70+M82</f>
        <v>9937</v>
      </c>
      <c r="R82" s="22">
        <f ca="1">ROUNDDOWN(_xll.IMBC(M48,"세전수익률",O51,N82,"세전단가"),4)</f>
        <v>1.1399999999999999</v>
      </c>
      <c r="S82" s="7">
        <f t="shared" ca="1" si="25"/>
        <v>-4.0000000000000036E-3</v>
      </c>
      <c r="U82" s="71" t="s">
        <v>147</v>
      </c>
      <c r="V82" s="59">
        <f ca="1">V70+U82</f>
        <v>9509</v>
      </c>
      <c r="W82" s="60">
        <f ca="1">ROUNDDOWN(_xll.IMBC(U48,"세전수익률",W50,V82,"세전단가"),4)</f>
        <v>2.0720000000000001</v>
      </c>
      <c r="X82" s="5">
        <f t="shared" ca="1" si="30"/>
        <v>-9.9999999999988987E-2</v>
      </c>
      <c r="Y82" s="26">
        <f ca="1">Y70+U82</f>
        <v>9515</v>
      </c>
      <c r="Z82" s="22">
        <f ca="1">ROUNDDOWN(_xll.IMBC(U48,"세전수익률",W51,V82,"세전단가"),4)</f>
        <v>2.0739999999999998</v>
      </c>
      <c r="AA82" s="7">
        <f t="shared" ca="1" si="26"/>
        <v>-1.000000000000334E-3</v>
      </c>
      <c r="AC82" s="71" t="s">
        <v>147</v>
      </c>
      <c r="AD82" s="59">
        <f ca="1">AD70+AC82</f>
        <v>8966</v>
      </c>
      <c r="AE82" s="60">
        <f ca="1">ROUNDDOWN(_xll.IMBC(AC48,"세전수익률",AE50,AD82,"세전단가"),4)</f>
        <v>2.1850000000000001</v>
      </c>
      <c r="AF82" s="5">
        <f t="shared" ca="1" si="31"/>
        <v>0</v>
      </c>
      <c r="AG82" s="26">
        <f ca="1">AG70+AC82</f>
        <v>8971</v>
      </c>
      <c r="AH82" s="22">
        <f ca="1">ROUNDDOWN(_xll.IMBC(AC48,"세전수익률",AE51,AD82,"세전단가"),4)</f>
        <v>2.1859999999999999</v>
      </c>
      <c r="AI82" s="7">
        <f t="shared" ca="1" si="27"/>
        <v>0</v>
      </c>
    </row>
    <row r="83" spans="5:35" x14ac:dyDescent="0.25">
      <c r="E83" s="71" t="s">
        <v>48</v>
      </c>
      <c r="F83" s="59">
        <f ca="1">F70+E83</f>
        <v>9974</v>
      </c>
      <c r="G83" s="60">
        <f ca="1">ROUNDDOWN(_xll.IMBC(E48,"세전수익률",G50,F83,"세전단가"),4)</f>
        <v>1.0089999999999999</v>
      </c>
      <c r="H83" s="5">
        <f t="shared" ca="1" si="28"/>
        <v>-0.60000000000000053</v>
      </c>
      <c r="I83" s="26">
        <f ca="1">I70+E83</f>
        <v>9976</v>
      </c>
      <c r="J83" s="22">
        <f ca="1">ROUNDDOWN(_xll.IMBC(E48,"세전수익률",G51,F83,"세전단가"),4)</f>
        <v>1.014</v>
      </c>
      <c r="K83" s="7">
        <f t="shared" ca="1" si="24"/>
        <v>-6.0000000000000053E-3</v>
      </c>
      <c r="M83" s="71" t="s">
        <v>148</v>
      </c>
      <c r="N83" s="59">
        <f ca="1">N70+M83</f>
        <v>9937</v>
      </c>
      <c r="O83" s="60">
        <f ca="1">ROUNDDOWN(_xll.IMBC(M48,"세전수익률",O50,N83,"세전단가"),4)</f>
        <v>1.1319999999999999</v>
      </c>
      <c r="P83" s="5">
        <f t="shared" ca="1" si="29"/>
        <v>-0.40000000000000036</v>
      </c>
      <c r="Q83" s="26">
        <f ca="1">Q70+M83</f>
        <v>9938</v>
      </c>
      <c r="R83" s="22">
        <f ca="1">ROUNDDOWN(_xll.IMBC(M48,"세전수익률",O51,N83,"세전단가"),4)</f>
        <v>1.1359999999999999</v>
      </c>
      <c r="S83" s="7">
        <f t="shared" ca="1" si="25"/>
        <v>-4.0000000000000036E-3</v>
      </c>
      <c r="U83" s="71" t="s">
        <v>148</v>
      </c>
      <c r="V83" s="59">
        <f ca="1">V70+U83</f>
        <v>9510</v>
      </c>
      <c r="W83" s="60">
        <f ca="1">ROUNDDOWN(_xll.IMBC(U48,"세전수익률",W50,V83,"세전단가"),4)</f>
        <v>2.0710000000000002</v>
      </c>
      <c r="X83" s="5">
        <f t="shared" ca="1" si="30"/>
        <v>-9.9999999999988987E-2</v>
      </c>
      <c r="Y83" s="26">
        <f ca="1">Y70+U83</f>
        <v>9516</v>
      </c>
      <c r="Z83" s="22">
        <f ca="1">ROUNDDOWN(_xll.IMBC(U48,"세전수익률",W51,V83,"세전단가"),4)</f>
        <v>2.073</v>
      </c>
      <c r="AA83" s="7">
        <f t="shared" ca="1" si="26"/>
        <v>-9.9999999999988987E-4</v>
      </c>
      <c r="AC83" s="71" t="s">
        <v>148</v>
      </c>
      <c r="AD83" s="59">
        <f ca="1">AD70+AC83</f>
        <v>8967</v>
      </c>
      <c r="AE83" s="60">
        <f ca="1">ROUNDDOWN(_xll.IMBC(AC48,"세전수익률",AE50,AD83,"세전단가"),4)</f>
        <v>2.1840000000000002</v>
      </c>
      <c r="AF83" s="5">
        <f t="shared" ca="1" si="31"/>
        <v>-9.9999999999988987E-2</v>
      </c>
      <c r="AG83" s="26">
        <f ca="1">AG70+AC83</f>
        <v>8972</v>
      </c>
      <c r="AH83" s="22">
        <f ca="1">ROUNDDOWN(_xll.IMBC(AC48,"세전수익률",AE51,AD83,"세전단가"),4)</f>
        <v>2.1850000000000001</v>
      </c>
      <c r="AI83" s="7">
        <f t="shared" ca="1" si="27"/>
        <v>-9.9999999999988987E-4</v>
      </c>
    </row>
    <row r="84" spans="5:35" x14ac:dyDescent="0.25">
      <c r="E84" s="71" t="s">
        <v>49</v>
      </c>
      <c r="F84" s="59">
        <f ca="1">F70+E84</f>
        <v>9975</v>
      </c>
      <c r="G84" s="60">
        <f ca="1">ROUNDDOWN(_xll.IMBC(E48,"세전수익률",G50,F84,"세전단가"),4)</f>
        <v>1.004</v>
      </c>
      <c r="H84" s="5">
        <f t="shared" ca="1" si="28"/>
        <v>-0.49999999999998934</v>
      </c>
      <c r="I84" s="26">
        <f ca="1">I70+E84</f>
        <v>9977</v>
      </c>
      <c r="J84" s="22">
        <f ca="1">ROUNDDOWN(_xll.IMBC(E48,"세전수익률",G51,F84,"세전단가"),4)</f>
        <v>1.008</v>
      </c>
      <c r="K84" s="7">
        <f t="shared" ca="1" si="24"/>
        <v>-6.0000000000000053E-3</v>
      </c>
      <c r="M84" s="71" t="s">
        <v>149</v>
      </c>
      <c r="N84" s="59">
        <f ca="1">N70+M84</f>
        <v>9938</v>
      </c>
      <c r="O84" s="60">
        <f ca="1">ROUNDDOWN(_xll.IMBC(M48,"세전수익률",O50,N84,"세전단가"),4)</f>
        <v>1.1279999999999999</v>
      </c>
      <c r="P84" s="5">
        <f t="shared" ca="1" si="29"/>
        <v>-0.40000000000000036</v>
      </c>
      <c r="Q84" s="26">
        <f ca="1">Q70+M84</f>
        <v>9939</v>
      </c>
      <c r="R84" s="22">
        <f ca="1">ROUNDDOWN(_xll.IMBC(M48,"세전수익률",O51,N84,"세전단가"),4)</f>
        <v>1.1319999999999999</v>
      </c>
      <c r="S84" s="7">
        <f t="shared" ca="1" si="25"/>
        <v>-4.0000000000000036E-3</v>
      </c>
      <c r="U84" s="71" t="s">
        <v>149</v>
      </c>
      <c r="V84" s="59">
        <f ca="1">V70+U84</f>
        <v>9511</v>
      </c>
      <c r="W84" s="60">
        <f ca="1">ROUNDDOWN(_xll.IMBC(U48,"세전수익률",W50,V84,"세전단가"),4)</f>
        <v>2.0699999999999998</v>
      </c>
      <c r="X84" s="5">
        <f t="shared" ca="1" si="30"/>
        <v>-0.1000000000000334</v>
      </c>
      <c r="Y84" s="26">
        <f ca="1">Y70+U84</f>
        <v>9517</v>
      </c>
      <c r="Z84" s="22">
        <f ca="1">ROUNDDOWN(_xll.IMBC(U48,"세전수익률",W51,V84,"세전단가"),4)</f>
        <v>2.0720000000000001</v>
      </c>
      <c r="AA84" s="7">
        <f t="shared" ca="1" si="26"/>
        <v>-9.9999999999988987E-4</v>
      </c>
      <c r="AC84" s="71" t="s">
        <v>149</v>
      </c>
      <c r="AD84" s="59">
        <f ca="1">AD70+AC84</f>
        <v>8968</v>
      </c>
      <c r="AE84" s="60">
        <f ca="1">ROUNDDOWN(_xll.IMBC(AC48,"세전수익률",AE50,AD84,"세전단가"),4)</f>
        <v>2.1829999999999998</v>
      </c>
      <c r="AF84" s="5">
        <f t="shared" ca="1" si="31"/>
        <v>-0.1000000000000334</v>
      </c>
      <c r="AG84" s="26">
        <f ca="1">AG70+AC84</f>
        <v>8973</v>
      </c>
      <c r="AH84" s="22">
        <f ca="1">ROUNDDOWN(_xll.IMBC(AC48,"세전수익률",AE51,AD84,"세전단가"),4)</f>
        <v>2.1840000000000002</v>
      </c>
      <c r="AI84" s="7">
        <f t="shared" ca="1" si="27"/>
        <v>-9.9999999999988987E-4</v>
      </c>
    </row>
    <row r="85" spans="5:35" x14ac:dyDescent="0.25">
      <c r="E85" s="71" t="s">
        <v>50</v>
      </c>
      <c r="F85" s="59">
        <f ca="1">F70+E85</f>
        <v>9976</v>
      </c>
      <c r="G85" s="60">
        <f ca="1">ROUNDDOWN(_xll.IMBC(E48,"세전수익률",G50,F85,"세전단가"),4)</f>
        <v>0.998</v>
      </c>
      <c r="H85" s="5">
        <f t="shared" ca="1" si="28"/>
        <v>-0.60000000000000053</v>
      </c>
      <c r="I85" s="26">
        <f ca="1">I70+E85</f>
        <v>9978</v>
      </c>
      <c r="J85" s="22">
        <f ca="1">ROUNDDOWN(_xll.IMBC(E48,"세전수익률",G51,F85,"세전단가"),4)</f>
        <v>1.0029999999999999</v>
      </c>
      <c r="K85" s="7">
        <f t="shared" ca="1" si="24"/>
        <v>-5.0000000000001155E-3</v>
      </c>
      <c r="M85" s="71" t="s">
        <v>150</v>
      </c>
      <c r="N85" s="59">
        <f ca="1">N70+M85</f>
        <v>9939</v>
      </c>
      <c r="O85" s="60">
        <f ca="1">ROUNDDOWN(_xll.IMBC(M48,"세전수익률",O50,N85,"세전단가"),4)</f>
        <v>1.1240000000000001</v>
      </c>
      <c r="P85" s="5">
        <f t="shared" ca="1" si="29"/>
        <v>-0.39999999999997815</v>
      </c>
      <c r="Q85" s="26">
        <f ca="1">Q70+M85</f>
        <v>9940</v>
      </c>
      <c r="R85" s="22">
        <f ca="1">ROUNDDOWN(_xll.IMBC(M48,"세전수익률",O51,N85,"세전단가"),4)</f>
        <v>1.1279999999999999</v>
      </c>
      <c r="S85" s="7">
        <f t="shared" ca="1" si="25"/>
        <v>-4.0000000000000036E-3</v>
      </c>
      <c r="U85" s="71" t="s">
        <v>150</v>
      </c>
      <c r="V85" s="59">
        <f ca="1">V70+U85</f>
        <v>9512</v>
      </c>
      <c r="W85" s="60">
        <f ca="1">ROUNDDOWN(_xll.IMBC(U48,"세전수익률",W50,V85,"세전단가"),4)</f>
        <v>2.069</v>
      </c>
      <c r="X85" s="5">
        <f t="shared" ca="1" si="30"/>
        <v>-9.9999999999988987E-2</v>
      </c>
      <c r="Y85" s="26">
        <f ca="1">Y70+U85</f>
        <v>9518</v>
      </c>
      <c r="Z85" s="22">
        <f ca="1">ROUNDDOWN(_xll.IMBC(U48,"세전수익률",W51,V85,"세전단가"),4)</f>
        <v>2.0710000000000002</v>
      </c>
      <c r="AA85" s="7">
        <f t="shared" ca="1" si="26"/>
        <v>-9.9999999999988987E-4</v>
      </c>
      <c r="AC85" s="71" t="s">
        <v>150</v>
      </c>
      <c r="AD85" s="59">
        <f ca="1">AD70+AC85</f>
        <v>8969</v>
      </c>
      <c r="AE85" s="60">
        <f ca="1">ROUNDDOWN(_xll.IMBC(AC48,"세전수익률",AE50,AD85,"세전단가"),4)</f>
        <v>2.1829999999999998</v>
      </c>
      <c r="AF85" s="5">
        <f t="shared" ca="1" si="31"/>
        <v>0</v>
      </c>
      <c r="AG85" s="26">
        <f ca="1">AG70+AC85</f>
        <v>8974</v>
      </c>
      <c r="AH85" s="22">
        <f ca="1">ROUNDDOWN(_xll.IMBC(AC48,"세전수익률",AE51,AD85,"세전단가"),4)</f>
        <v>2.1840000000000002</v>
      </c>
      <c r="AI85" s="7">
        <f t="shared" ca="1" si="27"/>
        <v>0</v>
      </c>
    </row>
    <row r="86" spans="5:35" ht="14.25" thickBot="1" x14ac:dyDescent="0.3">
      <c r="E86" s="72" t="s">
        <v>51</v>
      </c>
      <c r="F86" s="65">
        <f ca="1">F70+E86</f>
        <v>9977</v>
      </c>
      <c r="G86" s="66">
        <f ca="1">ROUNDDOWN(_xll.IMBC(E48,"세전수익률",G50,F86,"세전단가"),4)</f>
        <v>0.99199999999999999</v>
      </c>
      <c r="H86" s="9">
        <f t="shared" ca="1" si="28"/>
        <v>-0.60000000000000053</v>
      </c>
      <c r="I86" s="27">
        <f ca="1">I70+E86</f>
        <v>9979</v>
      </c>
      <c r="J86" s="25">
        <f ca="1">ROUNDDOWN(_xll.IMBC(E48,"세전수익률",G51,F86,"세전단가"),4)</f>
        <v>0.997</v>
      </c>
      <c r="K86" s="10">
        <f t="shared" ca="1" si="24"/>
        <v>-5.9999999999998943E-3</v>
      </c>
      <c r="M86" s="72" t="s">
        <v>151</v>
      </c>
      <c r="N86" s="65">
        <f ca="1">N70+M86</f>
        <v>9940</v>
      </c>
      <c r="O86" s="66">
        <f ca="1">ROUNDDOWN(_xll.IMBC(M48,"세전수익률",O50,N86,"세전단가"),4)</f>
        <v>1.1200000000000001</v>
      </c>
      <c r="P86" s="9">
        <f t="shared" ca="1" si="29"/>
        <v>-0.40000000000000036</v>
      </c>
      <c r="Q86" s="27">
        <f ca="1">Q70+M86</f>
        <v>9941</v>
      </c>
      <c r="R86" s="25">
        <f ca="1">ROUNDDOWN(_xll.IMBC(M48,"세전수익률",O51,N86,"세전단가"),4)</f>
        <v>1.1240000000000001</v>
      </c>
      <c r="S86" s="10">
        <f t="shared" ca="1" si="25"/>
        <v>-3.9999999999997815E-3</v>
      </c>
      <c r="U86" s="72" t="s">
        <v>151</v>
      </c>
      <c r="V86" s="65">
        <f ca="1">V70+U86</f>
        <v>9513</v>
      </c>
      <c r="W86" s="66">
        <f ca="1">ROUNDDOWN(_xll.IMBC(U48,"세전수익률",W50,V86,"세전단가"),4)</f>
        <v>2.0670000000000002</v>
      </c>
      <c r="X86" s="9">
        <f t="shared" ca="1" si="30"/>
        <v>-0.19999999999997797</v>
      </c>
      <c r="Y86" s="9">
        <f ca="1">Y70+U86</f>
        <v>9519</v>
      </c>
      <c r="Z86" s="25">
        <f ca="1">ROUNDDOWN(_xll.IMBC(U48,"세전수익률",W51,V86,"세전단가"),4)</f>
        <v>2.069</v>
      </c>
      <c r="AA86" s="10">
        <f t="shared" ca="1" si="26"/>
        <v>-2.0000000000002238E-3</v>
      </c>
      <c r="AC86" s="72" t="s">
        <v>151</v>
      </c>
      <c r="AD86" s="65">
        <f ca="1">AD70+AC86</f>
        <v>8970</v>
      </c>
      <c r="AE86" s="66">
        <f ca="1">ROUNDDOWN(_xll.IMBC(AC48,"세전수익률",AE50,AD86,"세전단가"),4)</f>
        <v>2.1819999999999999</v>
      </c>
      <c r="AF86" s="9">
        <f t="shared" ca="1" si="31"/>
        <v>-9.9999999999988987E-2</v>
      </c>
      <c r="AG86" s="27">
        <f ca="1">AG70+AC86</f>
        <v>8975</v>
      </c>
      <c r="AH86" s="25">
        <f ca="1">ROUNDDOWN(_xll.IMBC(AC48,"세전수익률",AE51,AD86,"세전단가"),4)</f>
        <v>2.1829999999999998</v>
      </c>
      <c r="AI86" s="10">
        <f t="shared" ca="1" si="27"/>
        <v>-1.000000000000334E-3</v>
      </c>
    </row>
  </sheetData>
  <mergeCells count="112">
    <mergeCell ref="AE52:AF52"/>
    <mergeCell ref="AH52:AI52"/>
    <mergeCell ref="R52:S52"/>
    <mergeCell ref="U52:V52"/>
    <mergeCell ref="W52:X52"/>
    <mergeCell ref="Z52:AA52"/>
    <mergeCell ref="AC52:AD52"/>
    <mergeCell ref="E52:F52"/>
    <mergeCell ref="G52:H52"/>
    <mergeCell ref="J52:K52"/>
    <mergeCell ref="M52:N52"/>
    <mergeCell ref="O52:P52"/>
    <mergeCell ref="AE50:AF50"/>
    <mergeCell ref="AH50:AI50"/>
    <mergeCell ref="E51:F51"/>
    <mergeCell ref="G51:H51"/>
    <mergeCell ref="J51:K51"/>
    <mergeCell ref="M51:N51"/>
    <mergeCell ref="O51:P51"/>
    <mergeCell ref="R51:S51"/>
    <mergeCell ref="U51:V51"/>
    <mergeCell ref="W51:X51"/>
    <mergeCell ref="Z51:AA51"/>
    <mergeCell ref="AC51:AD51"/>
    <mergeCell ref="AE51:AF51"/>
    <mergeCell ref="AH51:AI51"/>
    <mergeCell ref="R50:S50"/>
    <mergeCell ref="U50:V50"/>
    <mergeCell ref="W50:X50"/>
    <mergeCell ref="Z50:AA50"/>
    <mergeCell ref="AC50:AD50"/>
    <mergeCell ref="E50:F50"/>
    <mergeCell ref="G50:H50"/>
    <mergeCell ref="J50:K50"/>
    <mergeCell ref="M50:N50"/>
    <mergeCell ref="O50:P50"/>
    <mergeCell ref="W48:AA48"/>
    <mergeCell ref="AC48:AD48"/>
    <mergeCell ref="AE48:AI48"/>
    <mergeCell ref="E49:F49"/>
    <mergeCell ref="G49:H49"/>
    <mergeCell ref="J49:K49"/>
    <mergeCell ref="M49:N49"/>
    <mergeCell ref="O49:P49"/>
    <mergeCell ref="R49:S49"/>
    <mergeCell ref="U49:V49"/>
    <mergeCell ref="W49:X49"/>
    <mergeCell ref="Z49:AA49"/>
    <mergeCell ref="AC49:AD49"/>
    <mergeCell ref="AE49:AF49"/>
    <mergeCell ref="AH49:AI49"/>
    <mergeCell ref="E48:F48"/>
    <mergeCell ref="G48:K48"/>
    <mergeCell ref="M48:N48"/>
    <mergeCell ref="O48:S48"/>
    <mergeCell ref="U48:V48"/>
    <mergeCell ref="O7:P7"/>
    <mergeCell ref="J8:K8"/>
    <mergeCell ref="E8:F8"/>
    <mergeCell ref="G8:H8"/>
    <mergeCell ref="M8:N8"/>
    <mergeCell ref="O8:P8"/>
    <mergeCell ref="AC5:AD5"/>
    <mergeCell ref="AE5:AI5"/>
    <mergeCell ref="E6:F6"/>
    <mergeCell ref="G6:H6"/>
    <mergeCell ref="J6:K6"/>
    <mergeCell ref="M6:N6"/>
    <mergeCell ref="O6:P6"/>
    <mergeCell ref="R6:S6"/>
    <mergeCell ref="U6:V6"/>
    <mergeCell ref="W6:X6"/>
    <mergeCell ref="E5:F5"/>
    <mergeCell ref="G5:K5"/>
    <mergeCell ref="M5:N5"/>
    <mergeCell ref="O5:S5"/>
    <mergeCell ref="U5:V5"/>
    <mergeCell ref="W5:AA5"/>
    <mergeCell ref="AH6:AI6"/>
    <mergeCell ref="Z8:AA8"/>
    <mergeCell ref="AH8:AI8"/>
    <mergeCell ref="AC7:AD7"/>
    <mergeCell ref="AE7:AF7"/>
    <mergeCell ref="AC8:AD8"/>
    <mergeCell ref="AE8:AF8"/>
    <mergeCell ref="Z6:AA6"/>
    <mergeCell ref="AC6:AD6"/>
    <mergeCell ref="AE6:AF6"/>
    <mergeCell ref="R9:S9"/>
    <mergeCell ref="AC9:AD9"/>
    <mergeCell ref="AE9:AF9"/>
    <mergeCell ref="Z7:AA7"/>
    <mergeCell ref="AH7:AI7"/>
    <mergeCell ref="AH9:AI9"/>
    <mergeCell ref="Z9:AA9"/>
    <mergeCell ref="J9:K9"/>
    <mergeCell ref="E9:F9"/>
    <mergeCell ref="J7:K7"/>
    <mergeCell ref="G9:H9"/>
    <mergeCell ref="W8:X8"/>
    <mergeCell ref="U7:V7"/>
    <mergeCell ref="M9:N9"/>
    <mergeCell ref="O9:P9"/>
    <mergeCell ref="R7:S7"/>
    <mergeCell ref="U9:V9"/>
    <mergeCell ref="W9:X9"/>
    <mergeCell ref="W7:X7"/>
    <mergeCell ref="R8:S8"/>
    <mergeCell ref="U8:V8"/>
    <mergeCell ref="E7:F7"/>
    <mergeCell ref="G7:H7"/>
    <mergeCell ref="M7:N7"/>
  </mergeCells>
  <phoneticPr fontId="1" type="noConversion"/>
  <conditionalFormatting sqref="K11:K43">
    <cfRule type="cellIs" dxfId="31" priority="37" operator="lessThan">
      <formula>0</formula>
    </cfRule>
    <cfRule type="cellIs" dxfId="30" priority="38" operator="greaterThan">
      <formula>0</formula>
    </cfRule>
  </conditionalFormatting>
  <conditionalFormatting sqref="P11:P43">
    <cfRule type="cellIs" dxfId="29" priority="33" operator="lessThan">
      <formula>0</formula>
    </cfRule>
    <cfRule type="cellIs" dxfId="28" priority="34" operator="greaterThan">
      <formula>0</formula>
    </cfRule>
  </conditionalFormatting>
  <conditionalFormatting sqref="S11:S43">
    <cfRule type="cellIs" dxfId="27" priority="31" operator="lessThan">
      <formula>0</formula>
    </cfRule>
    <cfRule type="cellIs" dxfId="26" priority="32" operator="greaterThan">
      <formula>0</formula>
    </cfRule>
  </conditionalFormatting>
  <conditionalFormatting sqref="X11:X43">
    <cfRule type="cellIs" dxfId="25" priority="29" operator="lessThan">
      <formula>0</formula>
    </cfRule>
    <cfRule type="cellIs" dxfId="24" priority="30" operator="greaterThan">
      <formula>0</formula>
    </cfRule>
  </conditionalFormatting>
  <conditionalFormatting sqref="AA11:AA43">
    <cfRule type="cellIs" dxfId="23" priority="27" operator="lessThan">
      <formula>0</formula>
    </cfRule>
    <cfRule type="cellIs" dxfId="22" priority="28" operator="greaterThan">
      <formula>0</formula>
    </cfRule>
  </conditionalFormatting>
  <conditionalFormatting sqref="AF11:AF43">
    <cfRule type="cellIs" dxfId="21" priority="25" operator="lessThan">
      <formula>0</formula>
    </cfRule>
    <cfRule type="cellIs" dxfId="20" priority="26" operator="greaterThan">
      <formula>0</formula>
    </cfRule>
  </conditionalFormatting>
  <conditionalFormatting sqref="AI11:AI43">
    <cfRule type="cellIs" dxfId="19" priority="23" operator="lessThan">
      <formula>0</formula>
    </cfRule>
    <cfRule type="cellIs" dxfId="18" priority="24" operator="greaterThan">
      <formula>0</formula>
    </cfRule>
  </conditionalFormatting>
  <conditionalFormatting sqref="H11:H43">
    <cfRule type="cellIs" dxfId="17" priority="21" operator="lessThan">
      <formula>0</formula>
    </cfRule>
    <cfRule type="cellIs" dxfId="16" priority="22" operator="greaterThan">
      <formula>0</formula>
    </cfRule>
  </conditionalFormatting>
  <conditionalFormatting sqref="K54:K86">
    <cfRule type="cellIs" dxfId="15" priority="15" operator="lessThan">
      <formula>0</formula>
    </cfRule>
    <cfRule type="cellIs" dxfId="14" priority="16" operator="greaterThan">
      <formula>0</formula>
    </cfRule>
  </conditionalFormatting>
  <conditionalFormatting sqref="P54:P86">
    <cfRule type="cellIs" dxfId="13" priority="13" operator="lessThan">
      <formula>0</formula>
    </cfRule>
    <cfRule type="cellIs" dxfId="12" priority="14" operator="greaterThan">
      <formula>0</formula>
    </cfRule>
  </conditionalFormatting>
  <conditionalFormatting sqref="S54:S86">
    <cfRule type="cellIs" dxfId="11" priority="11" operator="lessThan">
      <formula>0</formula>
    </cfRule>
    <cfRule type="cellIs" dxfId="10" priority="12" operator="greaterThan">
      <formula>0</formula>
    </cfRule>
  </conditionalFormatting>
  <conditionalFormatting sqref="X54:X86">
    <cfRule type="cellIs" dxfId="9" priority="9" operator="lessThan">
      <formula>0</formula>
    </cfRule>
    <cfRule type="cellIs" dxfId="8" priority="10" operator="greaterThan">
      <formula>0</formula>
    </cfRule>
  </conditionalFormatting>
  <conditionalFormatting sqref="AA54:AA86">
    <cfRule type="cellIs" dxfId="7" priority="7" operator="lessThan">
      <formula>0</formula>
    </cfRule>
    <cfRule type="cellIs" dxfId="6" priority="8" operator="greaterThan">
      <formula>0</formula>
    </cfRule>
  </conditionalFormatting>
  <conditionalFormatting sqref="AF54:AF86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AI54:AI86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H54:H86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r:id="rId1"/>
  <ignoredErrors>
    <ignoredError sqref="E11:E43 M34 M11:M33 M35:M43 U11:U43 AC11:AC43 E54:E86 M54:M86 U54:U86 AC54:AC86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Drop Down 1">
              <controlPr defaultSize="0" autoLine="0" autoPict="0">
                <anchor moveWithCells="1" sizeWithCells="1">
                  <from>
                    <xdr:col>8</xdr:col>
                    <xdr:colOff>0</xdr:colOff>
                    <xdr:row>6</xdr:row>
                    <xdr:rowOff>9525</xdr:rowOff>
                  </from>
                  <to>
                    <xdr:col>10</xdr:col>
                    <xdr:colOff>428625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Drop Down 2">
              <controlPr defaultSize="0" autoLine="0" autoPict="0">
                <anchor moveWithCells="1" sizeWithCells="1">
                  <from>
                    <xdr:col>17</xdr:col>
                    <xdr:colOff>9525</xdr:colOff>
                    <xdr:row>6</xdr:row>
                    <xdr:rowOff>9525</xdr:rowOff>
                  </from>
                  <to>
                    <xdr:col>18</xdr:col>
                    <xdr:colOff>428625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Drop Down 3">
              <controlPr defaultSize="0" autoLine="0" autoPict="0">
                <anchor moveWithCells="1" sizeWithCells="1">
                  <from>
                    <xdr:col>25</xdr:col>
                    <xdr:colOff>19050</xdr:colOff>
                    <xdr:row>6</xdr:row>
                    <xdr:rowOff>9525</xdr:rowOff>
                  </from>
                  <to>
                    <xdr:col>26</xdr:col>
                    <xdr:colOff>428625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Drop Down 4">
              <controlPr defaultSize="0" autoLine="0" autoPict="0">
                <anchor moveWithCells="1" sizeWithCells="1">
                  <from>
                    <xdr:col>33</xdr:col>
                    <xdr:colOff>19050</xdr:colOff>
                    <xdr:row>6</xdr:row>
                    <xdr:rowOff>9525</xdr:rowOff>
                  </from>
                  <to>
                    <xdr:col>34</xdr:col>
                    <xdr:colOff>428625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8" name="Drop Down 9">
              <controlPr defaultSize="0" autoLine="0" autoPict="0">
                <anchor moveWithCells="1" sizeWithCells="1">
                  <from>
                    <xdr:col>8</xdr:col>
                    <xdr:colOff>0</xdr:colOff>
                    <xdr:row>49</xdr:row>
                    <xdr:rowOff>9525</xdr:rowOff>
                  </from>
                  <to>
                    <xdr:col>10</xdr:col>
                    <xdr:colOff>428625</xdr:colOff>
                    <xdr:row>50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9" name="Drop Down 10">
              <controlPr defaultSize="0" autoLine="0" autoPict="0">
                <anchor moveWithCells="1" sizeWithCells="1">
                  <from>
                    <xdr:col>17</xdr:col>
                    <xdr:colOff>9525</xdr:colOff>
                    <xdr:row>49</xdr:row>
                    <xdr:rowOff>9525</xdr:rowOff>
                  </from>
                  <to>
                    <xdr:col>18</xdr:col>
                    <xdr:colOff>428625</xdr:colOff>
                    <xdr:row>50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0" name="Drop Down 11">
              <controlPr defaultSize="0" autoLine="0" autoPict="0">
                <anchor moveWithCells="1" sizeWithCells="1">
                  <from>
                    <xdr:col>25</xdr:col>
                    <xdr:colOff>19050</xdr:colOff>
                    <xdr:row>49</xdr:row>
                    <xdr:rowOff>9525</xdr:rowOff>
                  </from>
                  <to>
                    <xdr:col>26</xdr:col>
                    <xdr:colOff>428625</xdr:colOff>
                    <xdr:row>50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1" name="Drop Down 12">
              <controlPr defaultSize="0" autoLine="0" autoPict="0">
                <anchor moveWithCells="1" sizeWithCells="1">
                  <from>
                    <xdr:col>33</xdr:col>
                    <xdr:colOff>19050</xdr:colOff>
                    <xdr:row>49</xdr:row>
                    <xdr:rowOff>9525</xdr:rowOff>
                  </from>
                  <to>
                    <xdr:col>34</xdr:col>
                    <xdr:colOff>428625</xdr:colOff>
                    <xdr:row>50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X3"/>
  <sheetViews>
    <sheetView showGridLines="0" workbookViewId="0"/>
  </sheetViews>
  <sheetFormatPr defaultRowHeight="13.5" x14ac:dyDescent="0.25"/>
  <cols>
    <col min="1" max="1" width="1.42578125" customWidth="1"/>
    <col min="2" max="2" width="9.140625" customWidth="1"/>
  </cols>
  <sheetData>
    <row r="1" spans="2:24" s="2" customFormat="1" ht="6.75" customHeight="1" x14ac:dyDescent="0.25"/>
    <row r="2" spans="2:24" ht="18" customHeight="1" x14ac:dyDescent="0.25">
      <c r="B2" s="68" t="s">
        <v>106</v>
      </c>
      <c r="C2" s="68"/>
      <c r="D2" s="68"/>
      <c r="E2" s="68"/>
      <c r="F2" s="68"/>
      <c r="T2" s="68" t="s">
        <v>162</v>
      </c>
      <c r="U2" s="68"/>
      <c r="V2" s="68"/>
      <c r="W2" s="68"/>
      <c r="X2" s="68"/>
    </row>
    <row r="3" spans="2:24" ht="6.75" customHeight="1" x14ac:dyDescent="0.25"/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40758-9B48-440A-BBF3-E8A1E2EE2E00}">
  <dimension ref="B2:C14"/>
  <sheetViews>
    <sheetView workbookViewId="0"/>
  </sheetViews>
  <sheetFormatPr defaultRowHeight="13.5" x14ac:dyDescent="0.25"/>
  <sheetData>
    <row r="2" spans="2:3" x14ac:dyDescent="0.25">
      <c r="B2" s="74" t="s">
        <v>10</v>
      </c>
      <c r="C2" s="75" t="s">
        <v>11</v>
      </c>
    </row>
    <row r="3" spans="2:3" x14ac:dyDescent="0.25">
      <c r="B3" s="74" t="s">
        <v>12</v>
      </c>
      <c r="C3" s="75" t="s">
        <v>13</v>
      </c>
    </row>
    <row r="4" spans="2:3" x14ac:dyDescent="0.25">
      <c r="B4" s="74" t="s">
        <v>14</v>
      </c>
      <c r="C4" s="75" t="s">
        <v>15</v>
      </c>
    </row>
    <row r="5" spans="2:3" x14ac:dyDescent="0.25">
      <c r="B5" s="74" t="s">
        <v>16</v>
      </c>
      <c r="C5" s="75" t="s">
        <v>17</v>
      </c>
    </row>
    <row r="6" spans="2:3" x14ac:dyDescent="0.25">
      <c r="B6" s="74" t="s">
        <v>18</v>
      </c>
      <c r="C6" s="75" t="s">
        <v>19</v>
      </c>
    </row>
    <row r="7" spans="2:3" x14ac:dyDescent="0.25">
      <c r="B7" s="74" t="s">
        <v>20</v>
      </c>
      <c r="C7" s="75" t="s">
        <v>21</v>
      </c>
    </row>
    <row r="9" spans="2:3" x14ac:dyDescent="0.25">
      <c r="B9" s="74" t="s">
        <v>10</v>
      </c>
      <c r="C9" s="75" t="s">
        <v>53</v>
      </c>
    </row>
    <row r="10" spans="2:3" x14ac:dyDescent="0.25">
      <c r="B10" s="74" t="s">
        <v>12</v>
      </c>
      <c r="C10" s="75" t="s">
        <v>54</v>
      </c>
    </row>
    <row r="11" spans="2:3" x14ac:dyDescent="0.25">
      <c r="B11" s="74" t="s">
        <v>14</v>
      </c>
      <c r="C11" s="75" t="s">
        <v>55</v>
      </c>
    </row>
    <row r="12" spans="2:3" x14ac:dyDescent="0.25">
      <c r="B12" s="74" t="s">
        <v>16</v>
      </c>
      <c r="C12" s="75" t="s">
        <v>56</v>
      </c>
    </row>
    <row r="13" spans="2:3" x14ac:dyDescent="0.25">
      <c r="B13" s="74" t="s">
        <v>18</v>
      </c>
      <c r="C13" s="75" t="s">
        <v>57</v>
      </c>
    </row>
    <row r="14" spans="2:3" x14ac:dyDescent="0.25">
      <c r="B14" s="74" t="s">
        <v>20</v>
      </c>
      <c r="C14" s="75" t="s">
        <v>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단가계산</vt:lpstr>
      <vt:lpstr>수익률계산</vt:lpstr>
      <vt:lpstr>Help(추가)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Windows 사용자</cp:lastModifiedBy>
  <cp:lastPrinted>2016-12-29T08:47:48Z</cp:lastPrinted>
  <dcterms:created xsi:type="dcterms:W3CDTF">2016-12-29T01:41:24Z</dcterms:created>
  <dcterms:modified xsi:type="dcterms:W3CDTF">2021-06-11T05:24:11Z</dcterms:modified>
</cp:coreProperties>
</file>