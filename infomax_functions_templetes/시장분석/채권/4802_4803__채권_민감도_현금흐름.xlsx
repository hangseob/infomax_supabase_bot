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" windowWidth="12345" windowHeight="6525"/>
  </bookViews>
  <sheets>
    <sheet name="채권민감도분석" sheetId="1" r:id="rId1"/>
  </sheets>
  <calcPr calcId="145621"/>
</workbook>
</file>

<file path=xl/calcChain.xml><?xml version="1.0" encoding="utf-8"?>
<calcChain xmlns="http://schemas.openxmlformats.org/spreadsheetml/2006/main">
  <c r="D13" i="1" l="1"/>
  <c r="I7" i="1"/>
  <c r="I10" i="1"/>
  <c r="L7" i="1"/>
  <c r="I9" i="1"/>
  <c r="I8" i="1"/>
  <c r="D14" i="1" l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C13" i="1" l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E8" i="1"/>
  <c r="G9" i="1"/>
  <c r="E7" i="1"/>
  <c r="P7" i="1"/>
  <c r="E10" i="1"/>
  <c r="N9" i="1"/>
  <c r="N10" i="1"/>
  <c r="N7" i="1"/>
  <c r="G7" i="1"/>
  <c r="P9" i="1"/>
  <c r="K9" i="1"/>
  <c r="P10" i="1"/>
  <c r="L10" i="1"/>
  <c r="K10" i="1"/>
  <c r="M10" i="1"/>
  <c r="P11" i="1"/>
  <c r="G10" i="1"/>
  <c r="L9" i="1"/>
  <c r="G4" i="1"/>
  <c r="E9" i="1"/>
  <c r="P8" i="1"/>
  <c r="G8" i="1"/>
  <c r="M9" i="1"/>
  <c r="K4" i="1" l="1"/>
  <c r="D30" i="1"/>
  <c r="E13" i="1" l="1"/>
  <c r="E20" i="1"/>
  <c r="E16" i="1"/>
  <c r="E21" i="1"/>
  <c r="E25" i="1"/>
  <c r="E17" i="1"/>
  <c r="E22" i="1"/>
  <c r="E14" i="1"/>
  <c r="E18" i="1"/>
  <c r="E23" i="1"/>
  <c r="E27" i="1"/>
  <c r="E19" i="1"/>
  <c r="E24" i="1"/>
  <c r="E26" i="1"/>
  <c r="E15" i="1"/>
  <c r="G26" i="1"/>
  <c r="J23" i="1"/>
  <c r="F18" i="1"/>
  <c r="F23" i="1"/>
  <c r="I26" i="1"/>
  <c r="M14" i="1"/>
  <c r="I13" i="1"/>
  <c r="L21" i="1"/>
  <c r="M25" i="1"/>
  <c r="G21" i="1"/>
  <c r="J16" i="1"/>
  <c r="L25" i="1"/>
  <c r="N21" i="1"/>
  <c r="H26" i="1"/>
  <c r="N16" i="1"/>
  <c r="F26" i="1"/>
  <c r="K19" i="1"/>
  <c r="L15" i="1"/>
  <c r="J20" i="1"/>
  <c r="M17" i="1"/>
  <c r="K15" i="1"/>
  <c r="J27" i="1"/>
  <c r="M26" i="1"/>
  <c r="N24" i="1"/>
  <c r="F19" i="1"/>
  <c r="H18" i="1"/>
  <c r="I14" i="1"/>
  <c r="I20" i="1"/>
  <c r="J13" i="1"/>
  <c r="J15" i="1"/>
  <c r="I18" i="1"/>
  <c r="G20" i="1"/>
  <c r="I22" i="1"/>
  <c r="H16" i="1"/>
  <c r="L16" i="1"/>
  <c r="K17" i="1"/>
  <c r="H13" i="1"/>
  <c r="K16" i="1"/>
  <c r="H20" i="1"/>
  <c r="H17" i="1"/>
  <c r="F17" i="1"/>
  <c r="L18" i="1"/>
  <c r="F27" i="1"/>
  <c r="H27" i="1"/>
  <c r="M20" i="1"/>
  <c r="N17" i="1"/>
  <c r="M16" i="1"/>
  <c r="M23" i="1"/>
  <c r="J26" i="1"/>
  <c r="G18" i="1"/>
  <c r="N23" i="1"/>
  <c r="F14" i="1"/>
  <c r="I16" i="1"/>
  <c r="K20" i="1"/>
  <c r="J22" i="1"/>
  <c r="F15" i="1"/>
  <c r="F21" i="1"/>
  <c r="L26" i="1"/>
  <c r="F16" i="1"/>
  <c r="G27" i="1"/>
  <c r="H22" i="1"/>
  <c r="J25" i="1"/>
  <c r="I17" i="1"/>
  <c r="N15" i="1"/>
  <c r="L23" i="1"/>
  <c r="H25" i="1"/>
  <c r="H15" i="1"/>
  <c r="M13" i="1"/>
  <c r="K21" i="1"/>
  <c r="K27" i="1"/>
  <c r="K24" i="1"/>
  <c r="N22" i="1"/>
  <c r="N19" i="1"/>
  <c r="J21" i="1"/>
  <c r="F20" i="1"/>
  <c r="M27" i="1"/>
  <c r="M21" i="1"/>
  <c r="K23" i="1"/>
  <c r="N26" i="1"/>
  <c r="G22" i="1"/>
  <c r="I24" i="1"/>
  <c r="J17" i="1"/>
  <c r="F24" i="1"/>
  <c r="L20" i="1"/>
  <c r="N20" i="1"/>
  <c r="G25" i="1"/>
  <c r="L14" i="1"/>
  <c r="H23" i="1"/>
  <c r="G17" i="1"/>
  <c r="M24" i="1"/>
  <c r="N14" i="1"/>
  <c r="L24" i="1"/>
  <c r="N13" i="1"/>
  <c r="L22" i="1"/>
  <c r="I21" i="1"/>
  <c r="M18" i="1"/>
  <c r="J18" i="1"/>
  <c r="F25" i="1"/>
  <c r="N25" i="1"/>
  <c r="K25" i="1"/>
  <c r="G13" i="1"/>
  <c r="N27" i="1"/>
  <c r="I19" i="1"/>
  <c r="H21" i="1"/>
  <c r="G19" i="1"/>
  <c r="K13" i="1"/>
  <c r="L13" i="1"/>
  <c r="L17" i="1"/>
  <c r="G15" i="1"/>
  <c r="H24" i="1"/>
  <c r="L19" i="1"/>
  <c r="F22" i="1"/>
  <c r="G16" i="1"/>
  <c r="N18" i="1"/>
  <c r="J24" i="1"/>
  <c r="M15" i="1"/>
  <c r="G24" i="1"/>
  <c r="I15" i="1"/>
  <c r="K26" i="1"/>
  <c r="G23" i="1"/>
  <c r="H19" i="1"/>
  <c r="L27" i="1"/>
  <c r="J14" i="1"/>
  <c r="M19" i="1"/>
  <c r="G14" i="1"/>
  <c r="J19" i="1"/>
  <c r="M22" i="1"/>
  <c r="I25" i="1"/>
  <c r="K14" i="1"/>
  <c r="K22" i="1"/>
  <c r="F13" i="1"/>
  <c r="I27" i="1"/>
  <c r="I23" i="1"/>
  <c r="K18" i="1"/>
  <c r="H14" i="1"/>
</calcChain>
</file>

<file path=xl/comments1.xml><?xml version="1.0" encoding="utf-8"?>
<comments xmlns="http://schemas.openxmlformats.org/spreadsheetml/2006/main">
  <authors>
    <author>infomax</author>
  </authors>
  <commentList>
    <comment ref="D29" authorId="0">
      <text>
        <r>
          <rPr>
            <b/>
            <sz val="9"/>
            <color indexed="81"/>
            <rFont val="Tahoma"/>
            <family val="2"/>
          </rPr>
          <t xml:space="preserve">infomax:
</t>
        </r>
        <r>
          <rPr>
            <sz val="9"/>
            <color indexed="81"/>
            <rFont val="돋움"/>
            <family val="3"/>
            <charset val="129"/>
          </rPr>
          <t xml:space="preserve">이자
원금
현금흐름
</t>
        </r>
        <r>
          <rPr>
            <sz val="9"/>
            <color indexed="81"/>
            <rFont val="Tahoma"/>
            <family val="2"/>
          </rPr>
          <t xml:space="preserve">YTM
</t>
        </r>
        <r>
          <rPr>
            <sz val="9"/>
            <color indexed="81"/>
            <rFont val="돋움"/>
            <family val="3"/>
            <charset val="129"/>
          </rPr>
          <t xml:space="preserve">만기수익률할인계수
만기수익률현재가치
</t>
        </r>
        <r>
          <rPr>
            <sz val="9"/>
            <color indexed="81"/>
            <rFont val="Tahoma"/>
            <family val="2"/>
          </rPr>
          <t>SPOT</t>
        </r>
        <r>
          <rPr>
            <sz val="9"/>
            <color indexed="81"/>
            <rFont val="돋움"/>
            <family val="3"/>
            <charset val="129"/>
          </rPr>
          <t xml:space="preserve">수익률
</t>
        </r>
        <r>
          <rPr>
            <sz val="9"/>
            <color indexed="81"/>
            <rFont val="Tahoma"/>
            <family val="2"/>
          </rPr>
          <t>SPOT</t>
        </r>
        <r>
          <rPr>
            <sz val="9"/>
            <color indexed="81"/>
            <rFont val="돋움"/>
            <family val="3"/>
            <charset val="129"/>
          </rPr>
          <t xml:space="preserve">할인계수
이론현재가치
</t>
        </r>
        <r>
          <rPr>
            <sz val="9"/>
            <color indexed="48"/>
            <rFont val="맑은 고딕"/>
            <family val="3"/>
            <charset val="129"/>
          </rPr>
          <t>-&gt;현금흐름 정보 변경 가능</t>
        </r>
      </text>
    </comment>
  </commentList>
</comments>
</file>

<file path=xl/sharedStrings.xml><?xml version="1.0" encoding="utf-8"?>
<sst xmlns="http://schemas.openxmlformats.org/spreadsheetml/2006/main" count="56" uniqueCount="56">
  <si>
    <t>발행일</t>
    <phoneticPr fontId="1" type="noConversion"/>
  </si>
  <si>
    <t>이자지급방법</t>
    <phoneticPr fontId="1" type="noConversion"/>
  </si>
  <si>
    <t>만기일</t>
    <phoneticPr fontId="1" type="noConversion"/>
  </si>
  <si>
    <t>이자계산기준일</t>
    <phoneticPr fontId="1" type="noConversion"/>
  </si>
  <si>
    <t>발행정보</t>
    <phoneticPr fontId="1" type="noConversion"/>
  </si>
  <si>
    <t>현금흐름정보</t>
    <phoneticPr fontId="1" type="noConversion"/>
  </si>
  <si>
    <t>일자</t>
    <phoneticPr fontId="1" type="noConversion"/>
  </si>
  <si>
    <t>결제일</t>
    <phoneticPr fontId="1" type="noConversion"/>
  </si>
  <si>
    <t>세전단가</t>
    <phoneticPr fontId="1" type="noConversion"/>
  </si>
  <si>
    <t>잔존일수</t>
    <phoneticPr fontId="1" type="noConversion"/>
  </si>
  <si>
    <t>Convexity</t>
  </si>
  <si>
    <t>종목코드</t>
    <phoneticPr fontId="1" type="noConversion"/>
  </si>
  <si>
    <t>이자</t>
    <phoneticPr fontId="1" type="noConversion"/>
  </si>
  <si>
    <t>원금</t>
    <phoneticPr fontId="1" type="noConversion"/>
  </si>
  <si>
    <t>현금흐름</t>
    <phoneticPr fontId="1" type="noConversion"/>
  </si>
  <si>
    <t>3사평균</t>
  </si>
  <si>
    <t>4사평균</t>
  </si>
  <si>
    <t>CleanPrice</t>
    <phoneticPr fontId="1" type="noConversion"/>
  </si>
  <si>
    <t>금액Duration</t>
  </si>
  <si>
    <t>MacDuration</t>
  </si>
  <si>
    <t>ModDuration</t>
  </si>
  <si>
    <t>금액Convexity</t>
  </si>
  <si>
    <t>종목명</t>
    <phoneticPr fontId="1" type="noConversion"/>
  </si>
  <si>
    <t>세전수익률</t>
    <phoneticPr fontId="1" type="noConversion"/>
  </si>
  <si>
    <t>KIS</t>
    <phoneticPr fontId="1" type="noConversion"/>
  </si>
  <si>
    <t>NICE</t>
    <phoneticPr fontId="1" type="noConversion"/>
  </si>
  <si>
    <t>KAP</t>
    <phoneticPr fontId="1" type="noConversion"/>
  </si>
  <si>
    <t>bpv</t>
    <phoneticPr fontId="1" type="noConversion"/>
  </si>
  <si>
    <t>시가평가</t>
    <phoneticPr fontId="1" type="noConversion"/>
  </si>
  <si>
    <t>KAP</t>
    <phoneticPr fontId="1" type="noConversion"/>
  </si>
  <si>
    <t>3사평균</t>
    <phoneticPr fontId="1" type="noConversion"/>
  </si>
  <si>
    <t>4사평균</t>
    <phoneticPr fontId="1" type="noConversion"/>
  </si>
  <si>
    <t>NICE</t>
    <phoneticPr fontId="1" type="noConversion"/>
  </si>
  <si>
    <t>FN</t>
    <phoneticPr fontId="1" type="noConversion"/>
  </si>
  <si>
    <t>금리</t>
    <phoneticPr fontId="1" type="noConversion"/>
  </si>
  <si>
    <t>KIS</t>
    <phoneticPr fontId="1" type="noConversion"/>
  </si>
  <si>
    <t>YTM</t>
    <phoneticPr fontId="1" type="noConversion"/>
  </si>
  <si>
    <t>만기수익률현재가치</t>
    <phoneticPr fontId="1" type="noConversion"/>
  </si>
  <si>
    <t>이론현재가치</t>
    <phoneticPr fontId="1" type="noConversion"/>
  </si>
  <si>
    <t>SPOT수익률</t>
    <phoneticPr fontId="1" type="noConversion"/>
  </si>
  <si>
    <t>SPOT할인계수</t>
    <phoneticPr fontId="1" type="noConversion"/>
  </si>
  <si>
    <t>만기수익률할인계수</t>
    <phoneticPr fontId="1" type="noConversion"/>
  </si>
  <si>
    <t>만기보장수익률</t>
    <phoneticPr fontId="1" type="noConversion"/>
  </si>
  <si>
    <t>KR103502G735</t>
    <phoneticPr fontId="1" type="noConversion"/>
  </si>
  <si>
    <t>수익률</t>
    <phoneticPr fontId="1" type="noConversion"/>
  </si>
  <si>
    <t>가격</t>
    <phoneticPr fontId="1" type="noConversion"/>
  </si>
  <si>
    <t>소수점원리금</t>
    <phoneticPr fontId="1" type="noConversion"/>
  </si>
  <si>
    <t>표면금리</t>
    <phoneticPr fontId="1" type="noConversion"/>
  </si>
  <si>
    <t>이자계산주기</t>
    <phoneticPr fontId="1" type="noConversion"/>
  </si>
  <si>
    <t>이자지급선후</t>
    <phoneticPr fontId="1" type="noConversion"/>
  </si>
  <si>
    <t>매출일</t>
    <phoneticPr fontId="1" type="noConversion"/>
  </si>
  <si>
    <t>선매출이자</t>
    <phoneticPr fontId="1" type="noConversion"/>
  </si>
  <si>
    <t>만기상환율</t>
    <phoneticPr fontId="1" type="noConversion"/>
  </si>
  <si>
    <t>평가기관</t>
    <phoneticPr fontId="1" type="noConversion"/>
  </si>
  <si>
    <t>평균 수익률</t>
    <phoneticPr fontId="1" type="noConversion"/>
  </si>
  <si>
    <t>채권민감도/현금흐름 분석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</si>
</sst>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0.00_ "/>
    <numFmt numFmtId="177" formatCode="0.0000"/>
    <numFmt numFmtId="178" formatCode="0.000"/>
    <numFmt numFmtId="179" formatCode="_-* #,##0.000_-;\-* #,##0.000_-;_-* &quot;-&quot;_-;_-@_-"/>
    <numFmt numFmtId="180" formatCode="_-* #,##0.0000_-;\-* #,##0.0000_-;_-* &quot;-&quot;_-;_-@_-"/>
  </numFmts>
  <fonts count="16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2"/>
      <charset val="129"/>
      <scheme val="minor"/>
    </font>
    <font>
      <b/>
      <i/>
      <sz val="12"/>
      <color theme="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i/>
      <sz val="10"/>
      <name val="맑은 고딕"/>
      <family val="3"/>
      <charset val="129"/>
      <scheme val="minor"/>
    </font>
    <font>
      <b/>
      <i/>
      <sz val="7"/>
      <name val="맑은 고딕"/>
      <family val="3"/>
      <charset val="129"/>
      <scheme val="minor"/>
    </font>
    <font>
      <sz val="9"/>
      <color indexed="48"/>
      <name val="맑은 고딕"/>
      <family val="3"/>
      <charset val="129"/>
    </font>
    <font>
      <sz val="10"/>
      <color theme="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/>
      <right/>
      <top style="double">
        <color theme="0" tint="-0.24994659260841701"/>
      </top>
      <bottom/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/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double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 style="double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double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0" fillId="0" borderId="0" xfId="0" applyFont="1">
      <alignment vertical="center"/>
    </xf>
    <xf numFmtId="14" fontId="0" fillId="0" borderId="0" xfId="0" applyNumberFormat="1" applyFont="1">
      <alignment vertical="center"/>
    </xf>
    <xf numFmtId="49" fontId="0" fillId="0" borderId="0" xfId="0" applyNumberFormat="1" applyFont="1">
      <alignment vertical="center"/>
    </xf>
    <xf numFmtId="178" fontId="0" fillId="0" borderId="1" xfId="0" applyNumberFormat="1" applyFont="1" applyBorder="1">
      <alignment vertical="center"/>
    </xf>
    <xf numFmtId="0" fontId="0" fillId="0" borderId="1" xfId="0" applyFont="1" applyBorder="1">
      <alignment vertical="center"/>
    </xf>
    <xf numFmtId="0" fontId="0" fillId="0" borderId="2" xfId="0" applyFont="1" applyBorder="1">
      <alignment vertical="center"/>
    </xf>
    <xf numFmtId="0" fontId="2" fillId="0" borderId="0" xfId="0" applyFo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0" fillId="0" borderId="1" xfId="0" applyFont="1" applyBorder="1" applyAlignment="1">
      <alignment horizontal="right" vertical="center"/>
    </xf>
    <xf numFmtId="0" fontId="0" fillId="0" borderId="2" xfId="0" applyFont="1" applyBorder="1" applyAlignment="1">
      <alignment horizontal="right" vertical="center"/>
    </xf>
    <xf numFmtId="2" fontId="0" fillId="0" borderId="1" xfId="0" applyNumberFormat="1" applyFont="1" applyBorder="1">
      <alignment vertical="center"/>
    </xf>
    <xf numFmtId="1" fontId="0" fillId="0" borderId="1" xfId="0" applyNumberFormat="1" applyFont="1" applyBorder="1">
      <alignment vertical="center"/>
    </xf>
    <xf numFmtId="179" fontId="0" fillId="0" borderId="1" xfId="1" applyNumberFormat="1" applyFont="1" applyBorder="1">
      <alignment vertical="center"/>
    </xf>
    <xf numFmtId="180" fontId="0" fillId="0" borderId="1" xfId="1" applyNumberFormat="1" applyFont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177" fontId="4" fillId="2" borderId="1" xfId="0" applyNumberFormat="1" applyFont="1" applyFill="1" applyBorder="1">
      <alignment vertical="center"/>
    </xf>
    <xf numFmtId="0" fontId="0" fillId="3" borderId="0" xfId="0" applyFont="1" applyFill="1">
      <alignment vertical="center"/>
    </xf>
    <xf numFmtId="0" fontId="7" fillId="3" borderId="0" xfId="0" applyFont="1" applyFill="1">
      <alignment vertical="center"/>
    </xf>
    <xf numFmtId="0" fontId="0" fillId="3" borderId="1" xfId="0" applyFont="1" applyFill="1" applyBorder="1">
      <alignment vertical="center"/>
    </xf>
    <xf numFmtId="0" fontId="6" fillId="0" borderId="0" xfId="0" applyFont="1">
      <alignment vertical="center"/>
    </xf>
    <xf numFmtId="176" fontId="6" fillId="0" borderId="0" xfId="0" applyNumberFormat="1" applyFont="1">
      <alignment vertical="center"/>
    </xf>
    <xf numFmtId="0" fontId="0" fillId="3" borderId="6" xfId="0" applyFont="1" applyFill="1" applyBorder="1">
      <alignment vertical="center"/>
    </xf>
    <xf numFmtId="0" fontId="0" fillId="0" borderId="7" xfId="0" applyFont="1" applyBorder="1">
      <alignment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Font="1" applyBorder="1">
      <alignment vertical="center"/>
    </xf>
    <xf numFmtId="0" fontId="0" fillId="0" borderId="8" xfId="0" applyFont="1" applyBorder="1">
      <alignment vertical="center"/>
    </xf>
    <xf numFmtId="0" fontId="0" fillId="0" borderId="9" xfId="0" applyFont="1" applyBorder="1">
      <alignment vertical="center"/>
    </xf>
    <xf numFmtId="0" fontId="0" fillId="0" borderId="10" xfId="0" applyFont="1" applyBorder="1">
      <alignment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14" fontId="3" fillId="6" borderId="12" xfId="0" applyNumberFormat="1" applyFont="1" applyFill="1" applyBorder="1" applyAlignment="1">
      <alignment horizontal="center" vertical="center"/>
    </xf>
    <xf numFmtId="49" fontId="3" fillId="6" borderId="12" xfId="0" applyNumberFormat="1" applyFont="1" applyFill="1" applyBorder="1" applyAlignment="1">
      <alignment horizontal="center" vertical="center"/>
    </xf>
    <xf numFmtId="49" fontId="3" fillId="6" borderId="13" xfId="0" applyNumberFormat="1" applyFont="1" applyFill="1" applyBorder="1" applyAlignment="1">
      <alignment horizontal="center" vertical="center"/>
    </xf>
    <xf numFmtId="180" fontId="0" fillId="0" borderId="7" xfId="1" applyNumberFormat="1" applyFont="1" applyBorder="1">
      <alignment vertical="center"/>
    </xf>
    <xf numFmtId="178" fontId="0" fillId="0" borderId="9" xfId="0" applyNumberFormat="1" applyFont="1" applyBorder="1">
      <alignment vertical="center"/>
    </xf>
    <xf numFmtId="2" fontId="0" fillId="0" borderId="9" xfId="0" applyNumberFormat="1" applyFont="1" applyBorder="1">
      <alignment vertical="center"/>
    </xf>
    <xf numFmtId="1" fontId="0" fillId="0" borderId="9" xfId="0" applyNumberFormat="1" applyFont="1" applyBorder="1">
      <alignment vertical="center"/>
    </xf>
    <xf numFmtId="179" fontId="0" fillId="0" borderId="9" xfId="1" applyNumberFormat="1" applyFont="1" applyBorder="1">
      <alignment vertical="center"/>
    </xf>
    <xf numFmtId="180" fontId="0" fillId="0" borderId="9" xfId="1" applyNumberFormat="1" applyFont="1" applyBorder="1">
      <alignment vertical="center"/>
    </xf>
    <xf numFmtId="180" fontId="0" fillId="0" borderId="10" xfId="1" applyNumberFormat="1" applyFont="1" applyBorder="1">
      <alignment vertical="center"/>
    </xf>
    <xf numFmtId="14" fontId="0" fillId="2" borderId="6" xfId="0" applyNumberFormat="1" applyFont="1" applyFill="1" applyBorder="1">
      <alignment vertical="center"/>
    </xf>
    <xf numFmtId="14" fontId="0" fillId="2" borderId="8" xfId="0" applyNumberFormat="1" applyFont="1" applyFill="1" applyBorder="1">
      <alignment vertical="center"/>
    </xf>
    <xf numFmtId="14" fontId="0" fillId="7" borderId="6" xfId="0" applyNumberFormat="1" applyFont="1" applyFill="1" applyBorder="1">
      <alignment vertical="center"/>
    </xf>
    <xf numFmtId="178" fontId="0" fillId="7" borderId="1" xfId="0" applyNumberFormat="1" applyFont="1" applyFill="1" applyBorder="1">
      <alignment vertical="center"/>
    </xf>
    <xf numFmtId="2" fontId="0" fillId="7" borderId="1" xfId="0" applyNumberFormat="1" applyFont="1" applyFill="1" applyBorder="1">
      <alignment vertical="center"/>
    </xf>
    <xf numFmtId="1" fontId="0" fillId="7" borderId="1" xfId="0" applyNumberFormat="1" applyFont="1" applyFill="1" applyBorder="1">
      <alignment vertical="center"/>
    </xf>
    <xf numFmtId="179" fontId="0" fillId="7" borderId="1" xfId="1" applyNumberFormat="1" applyFont="1" applyFill="1" applyBorder="1">
      <alignment vertical="center"/>
    </xf>
    <xf numFmtId="180" fontId="0" fillId="7" borderId="1" xfId="1" applyNumberFormat="1" applyFont="1" applyFill="1" applyBorder="1">
      <alignment vertical="center"/>
    </xf>
    <xf numFmtId="180" fontId="0" fillId="7" borderId="7" xfId="1" applyNumberFormat="1" applyFont="1" applyFill="1" applyBorder="1">
      <alignment vertical="center"/>
    </xf>
    <xf numFmtId="0" fontId="12" fillId="3" borderId="15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14" fontId="0" fillId="0" borderId="14" xfId="0" applyNumberFormat="1" applyFont="1" applyBorder="1">
      <alignment vertical="center"/>
    </xf>
    <xf numFmtId="0" fontId="0" fillId="0" borderId="14" xfId="0" applyFont="1" applyBorder="1">
      <alignment vertical="center"/>
    </xf>
    <xf numFmtId="14" fontId="0" fillId="0" borderId="0" xfId="0" applyNumberFormat="1" applyFont="1" applyBorder="1">
      <alignment vertical="center"/>
    </xf>
    <xf numFmtId="0" fontId="0" fillId="0" borderId="0" xfId="0" applyFont="1" applyBorder="1">
      <alignment vertical="center"/>
    </xf>
    <xf numFmtId="0" fontId="2" fillId="3" borderId="7" xfId="0" applyFont="1" applyFill="1" applyBorder="1" applyAlignment="1">
      <alignment horizontal="center" vertical="center"/>
    </xf>
    <xf numFmtId="0" fontId="0" fillId="3" borderId="8" xfId="0" applyFont="1" applyFill="1" applyBorder="1">
      <alignment vertical="center"/>
    </xf>
    <xf numFmtId="0" fontId="0" fillId="0" borderId="9" xfId="0" applyFont="1" applyBorder="1" applyAlignment="1">
      <alignment horizontal="right" vertical="center"/>
    </xf>
    <xf numFmtId="0" fontId="0" fillId="3" borderId="9" xfId="0" applyFont="1" applyFill="1" applyBorder="1">
      <alignment vertical="center"/>
    </xf>
    <xf numFmtId="0" fontId="0" fillId="0" borderId="18" xfId="0" applyFont="1" applyBorder="1" applyAlignment="1">
      <alignment horizontal="right" vertical="center"/>
    </xf>
    <xf numFmtId="0" fontId="13" fillId="3" borderId="22" xfId="0" applyFont="1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/>
    </xf>
    <xf numFmtId="0" fontId="12" fillId="3" borderId="21" xfId="0" applyFont="1" applyFill="1" applyBorder="1" applyAlignment="1">
      <alignment horizontal="center" vertical="center"/>
    </xf>
    <xf numFmtId="4" fontId="0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0" fontId="6" fillId="0" borderId="0" xfId="0" applyFont="1" applyBorder="1">
      <alignment vertical="center"/>
    </xf>
    <xf numFmtId="0" fontId="15" fillId="0" borderId="0" xfId="0" applyFont="1">
      <alignment vertical="center"/>
    </xf>
    <xf numFmtId="0" fontId="0" fillId="3" borderId="24" xfId="0" applyFont="1" applyFill="1" applyBorder="1">
      <alignment vertical="center"/>
    </xf>
    <xf numFmtId="0" fontId="0" fillId="0" borderId="25" xfId="0" applyFont="1" applyBorder="1">
      <alignment vertical="center"/>
    </xf>
    <xf numFmtId="0" fontId="0" fillId="3" borderId="25" xfId="0" applyFont="1" applyFill="1" applyBorder="1">
      <alignment vertical="center"/>
    </xf>
    <xf numFmtId="0" fontId="0" fillId="0" borderId="26" xfId="0" applyFont="1" applyBorder="1">
      <alignment vertical="center"/>
    </xf>
    <xf numFmtId="0" fontId="2" fillId="5" borderId="19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vertical="center"/>
    </xf>
    <xf numFmtId="0" fontId="2" fillId="5" borderId="26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vertical="center"/>
    </xf>
    <xf numFmtId="0" fontId="0" fillId="3" borderId="25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0" fillId="3" borderId="9" xfId="0" applyFont="1" applyFill="1" applyBorder="1" applyAlignment="1">
      <alignment horizontal="left" vertical="center"/>
    </xf>
    <xf numFmtId="0" fontId="0" fillId="0" borderId="18" xfId="0" applyFont="1" applyBorder="1">
      <alignment vertical="center"/>
    </xf>
    <xf numFmtId="0" fontId="8" fillId="3" borderId="32" xfId="0" applyFont="1" applyFill="1" applyBorder="1" applyAlignment="1">
      <alignment horizontal="left" vertical="center"/>
    </xf>
    <xf numFmtId="0" fontId="8" fillId="3" borderId="33" xfId="0" applyFont="1" applyFill="1" applyBorder="1" applyAlignment="1">
      <alignment horizontal="left" vertical="center"/>
    </xf>
    <xf numFmtId="0" fontId="8" fillId="3" borderId="34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3" fillId="6" borderId="31" xfId="0" applyFont="1" applyFill="1" applyBorder="1" applyAlignment="1">
      <alignment horizontal="center" vertical="center"/>
    </xf>
    <xf numFmtId="0" fontId="3" fillId="6" borderId="30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P</stp>
        <stp>0</stp>
        <stp>BND</stp>
        <stp>KR103502G735</stp>
        <stp>만기보장수익률</stp>
        <stp/>
        <stp/>
        <tr r="I9" s="1"/>
      </tp>
      <tp>
        <v>1.7330000000000001</v>
        <stp/>
        <stp>P</stp>
        <stp>0</stp>
        <stp>BND</stp>
        <stp>KR103502G735</stp>
        <stp>민평3사 수익률(산출일)</stp>
        <stp/>
        <stp/>
        <tr r="P7" s="1"/>
      </tp>
      <tp>
        <v>1.732</v>
        <stp/>
        <stp>P</stp>
        <stp>0</stp>
        <stp>BND</stp>
        <stp>KR103502G735</stp>
        <stp>민평4사 수익률(산출일)</stp>
        <stp/>
        <stp/>
        <tr r="P8" s="1"/>
        <tr r="N7" s="1"/>
        <tr r="L7" s="1"/>
      </tp>
      <tp>
        <v>0</v>
        <stp/>
        <stp>T</stp>
        <stp>x1.f1aD1</stp>
        <stp>44</stp>
        <stp>2559802</stp>
        <tr r="D30" s="1"/>
      </tp>
      <tp t="s">
        <v/>
        <stp/>
        <stp>P</stp>
        <stp>0</stp>
        <stp>BND</stp>
        <stp>KR103502G735</stp>
        <stp>선매출일이자계산유형</stp>
        <stp/>
        <stp/>
        <tr r="I8" s="1"/>
      </tp>
      <tp>
        <v>100</v>
        <stp/>
        <stp>P</stp>
        <stp>0</stp>
        <stp>BND</stp>
        <stp>KR103502G735</stp>
        <stp>상환비율 (만기상환율)</stp>
        <stp/>
        <stp/>
        <tr r="I10" s="1"/>
      </tp>
      <tp>
        <v>20170310</v>
        <stp/>
        <stp>P</stp>
        <stp>0</stp>
        <stp>BND</stp>
        <stp>KR103502G735</stp>
        <stp>발행일</stp>
        <stp/>
        <stp/>
        <tr r="E7" s="1"/>
      </tp>
      <tp>
        <v>20470310</v>
        <stp/>
        <stp>P</stp>
        <stp>0</stp>
        <stp>BND</stp>
        <stp>KR103502G735</stp>
        <stp>만기일</stp>
        <stp/>
        <stp/>
        <tr r="G7" s="1"/>
      </tp>
      <tp t="s">
        <v>절사</v>
        <stp/>
        <stp>P</stp>
        <stp>0</stp>
        <stp>BND</stp>
        <stp>KR103502G735</stp>
        <stp>이자원미만처리구분</stp>
        <stp/>
        <stp/>
        <tr r="E10" s="1"/>
      </tp>
      <tp>
        <v>1.732</v>
        <stp/>
        <stp>P</stp>
        <stp>0</stp>
        <stp>BND</stp>
        <stp>KR103502G735</stp>
        <stp>FNP 수익률(산출일)</stp>
        <stp/>
        <stp/>
        <tr r="N9" s="1"/>
      </tp>
      <tp>
        <v>1.7350000000000001</v>
        <stp/>
        <stp>P</stp>
        <stp>0</stp>
        <stp>BND</stp>
        <stp>KR103502G735</stp>
        <stp>NIC 수익률(산출일)</stp>
        <stp/>
        <stp/>
        <tr r="L9" s="1"/>
        <tr r="P11" s="1"/>
      </tp>
      <tp>
        <v>1.732</v>
        <stp/>
        <stp>P</stp>
        <stp>0</stp>
        <stp>BND</stp>
        <stp>KR103502G735</stp>
        <stp>KBP 수익률(산출일)</stp>
        <stp/>
        <stp/>
        <tr r="M9" s="1"/>
        <tr r="P9" s="1"/>
      </tp>
      <tp>
        <v>1.732</v>
        <stp/>
        <stp>P</stp>
        <stp>0</stp>
        <stp>BND</stp>
        <stp>KR103502G735</stp>
        <stp>KIS 수익률(산출일)</stp>
        <stp/>
        <stp/>
        <tr r="P10" s="1"/>
        <tr r="K9" s="1"/>
      </tp>
      <tp>
        <v>11074.01</v>
        <stp/>
        <stp>C</stp>
        <stp>0</stp>
        <stp>KR103502G735</stp>
        <stp>세전단가</stp>
        <stp>43621</stp>
        <stp>1.663</stp>
        <stp>세전수익률</stp>
        <tr r="F13" s="1"/>
      </tp>
      <tp>
        <v>11050.55</v>
        <stp/>
        <stp>C</stp>
        <stp>0</stp>
        <stp>KR103502G735</stp>
        <stp>세전단가</stp>
        <stp>43621</stp>
        <stp>1.673</stp>
        <stp>세전수익률</stp>
        <tr r="F14" s="1"/>
      </tp>
      <tp>
        <v>11027.15</v>
        <stp/>
        <stp>C</stp>
        <stp>0</stp>
        <stp>KR103502G735</stp>
        <stp>세전단가</stp>
        <stp>43621</stp>
        <stp>1.683</stp>
        <stp>세전수익률</stp>
        <tr r="F15" s="1"/>
      </tp>
      <tp>
        <v>11003.8</v>
        <stp/>
        <stp>C</stp>
        <stp>0</stp>
        <stp>KR103502G735</stp>
        <stp>세전단가</stp>
        <stp>43621</stp>
        <stp>1.693</stp>
        <stp>세전수익률</stp>
        <tr r="F16" s="1"/>
      </tp>
      <tp>
        <v>10934.12</v>
        <stp/>
        <stp>C</stp>
        <stp>0</stp>
        <stp>KR103502G735</stp>
        <stp>세전단가</stp>
        <stp>43621</stp>
        <stp>1.723</stp>
        <stp>세전수익률</stp>
        <tr r="F19" s="1"/>
      </tp>
      <tp>
        <v>10911.02</v>
        <stp/>
        <stp>C</stp>
        <stp>0</stp>
        <stp>KR103502G735</stp>
        <stp>세전단가</stp>
        <stp>43621</stp>
        <stp>1.733</stp>
        <stp>세전수익률</stp>
        <tr r="F20" s="1"/>
      </tp>
      <tp>
        <v>10980.52</v>
        <stp/>
        <stp>C</stp>
        <stp>0</stp>
        <stp>KR103502G735</stp>
        <stp>세전단가</stp>
        <stp>43621</stp>
        <stp>1.703</stp>
        <stp>세전수익률</stp>
        <tr r="F17" s="1"/>
      </tp>
      <tp>
        <v>10957.29</v>
        <stp/>
        <stp>C</stp>
        <stp>0</stp>
        <stp>KR103502G735</stp>
        <stp>세전단가</stp>
        <stp>43621</stp>
        <stp>1.713</stp>
        <stp>세전수익률</stp>
        <tr r="F18" s="1"/>
      </tp>
      <tp>
        <v>10842.05</v>
        <stp/>
        <stp>C</stp>
        <stp>0</stp>
        <stp>KR103502G735</stp>
        <stp>세전단가</stp>
        <stp>43621</stp>
        <stp>1.763</stp>
        <stp>세전수익률</stp>
        <tr r="F23" s="1"/>
      </tp>
      <tp>
        <v>10819.17</v>
        <stp/>
        <stp>C</stp>
        <stp>0</stp>
        <stp>KR103502G735</stp>
        <stp>세전단가</stp>
        <stp>43621</stp>
        <stp>1.773</stp>
        <stp>세전수익률</stp>
        <tr r="F24" s="1"/>
      </tp>
      <tp>
        <v>10887.97</v>
        <stp/>
        <stp>C</stp>
        <stp>0</stp>
        <stp>KR103502G735</stp>
        <stp>세전단가</stp>
        <stp>43621</stp>
        <stp>1.743</stp>
        <stp>세전수익률</stp>
        <tr r="F21" s="1"/>
      </tp>
      <tp>
        <v>10864.98</v>
        <stp/>
        <stp>C</stp>
        <stp>0</stp>
        <stp>KR103502G735</stp>
        <stp>세전단가</stp>
        <stp>43621</stp>
        <stp>1.753</stp>
        <stp>세전수익률</stp>
        <tr r="F22" s="1"/>
      </tp>
      <tp>
        <v>10796.36</v>
        <stp/>
        <stp>C</stp>
        <stp>0</stp>
        <stp>KR103502G735</stp>
        <stp>세전단가</stp>
        <stp>43621</stp>
        <stp>1.783</stp>
        <stp>세전수익률</stp>
        <tr r="F25" s="1"/>
      </tp>
      <tp>
        <v>10773.6</v>
        <stp/>
        <stp>C</stp>
        <stp>0</stp>
        <stp>KR103502G735</stp>
        <stp>세전단가</stp>
        <stp>43621</stp>
        <stp>1.793</stp>
        <stp>세전수익률</stp>
        <tr r="F26" s="1"/>
      </tp>
      <tp>
        <v>10750.9</v>
        <stp/>
        <stp>C</stp>
        <stp>0</stp>
        <stp>KR103502G735</stp>
        <stp>세전단가</stp>
        <stp>43621</stp>
        <stp>1.803</stp>
        <stp>세전수익률</stp>
        <tr r="F27" s="1"/>
      </tp>
      <tp t="s">
        <v>국고02125-4703(17-1)</v>
        <stp/>
        <stp>P</stp>
        <stp>0</stp>
        <stp>BND</stp>
        <stp>KR103502G735</stp>
        <stp>한글종목명</stp>
        <stp/>
        <stp/>
        <tr r="G4" s="1"/>
      </tp>
      <tp>
        <v>10140</v>
        <stp/>
        <stp>C</stp>
        <stp>0</stp>
        <stp>KR103502G735</stp>
        <stp>잔존일수</stp>
        <stp>43621</stp>
        <stp>1.783</stp>
        <stp>세전수익률</stp>
        <tr r="G25" s="1"/>
      </tp>
      <tp>
        <v>10140</v>
        <stp/>
        <stp>C</stp>
        <stp>0</stp>
        <stp>KR103502G735</stp>
        <stp>잔존일수</stp>
        <stp>43621</stp>
        <stp>1.793</stp>
        <stp>세전수익률</stp>
        <tr r="G26" s="1"/>
      </tp>
      <tp>
        <v>10140</v>
        <stp/>
        <stp>C</stp>
        <stp>0</stp>
        <stp>KR103502G735</stp>
        <stp>잔존일수</stp>
        <stp>43621</stp>
        <stp>1.703</stp>
        <stp>세전수익률</stp>
        <tr r="G17" s="1"/>
      </tp>
      <tp>
        <v>10140</v>
        <stp/>
        <stp>C</stp>
        <stp>0</stp>
        <stp>KR103502G735</stp>
        <stp>잔존일수</stp>
        <stp>43621</stp>
        <stp>1.713</stp>
        <stp>세전수익률</stp>
        <tr r="G18" s="1"/>
      </tp>
      <tp>
        <v>10140</v>
        <stp/>
        <stp>C</stp>
        <stp>0</stp>
        <stp>KR103502G735</stp>
        <stp>잔존일수</stp>
        <stp>43621</stp>
        <stp>1.723</stp>
        <stp>세전수익률</stp>
        <tr r="G19" s="1"/>
      </tp>
      <tp>
        <v>10140</v>
        <stp/>
        <stp>C</stp>
        <stp>0</stp>
        <stp>KR103502G735</stp>
        <stp>잔존일수</stp>
        <stp>43621</stp>
        <stp>1.733</stp>
        <stp>세전수익률</stp>
        <tr r="G20" s="1"/>
      </tp>
      <tp>
        <v>10140</v>
        <stp/>
        <stp>C</stp>
        <stp>0</stp>
        <stp>KR103502G735</stp>
        <stp>잔존일수</stp>
        <stp>43621</stp>
        <stp>1.743</stp>
        <stp>세전수익률</stp>
        <tr r="G21" s="1"/>
      </tp>
      <tp>
        <v>10140</v>
        <stp/>
        <stp>C</stp>
        <stp>0</stp>
        <stp>KR103502G735</stp>
        <stp>잔존일수</stp>
        <stp>43621</stp>
        <stp>1.753</stp>
        <stp>세전수익률</stp>
        <tr r="G22" s="1"/>
      </tp>
      <tp>
        <v>10140</v>
        <stp/>
        <stp>C</stp>
        <stp>0</stp>
        <stp>KR103502G735</stp>
        <stp>잔존일수</stp>
        <stp>43621</stp>
        <stp>1.763</stp>
        <stp>세전수익률</stp>
        <tr r="G23" s="1"/>
      </tp>
      <tp>
        <v>10140</v>
        <stp/>
        <stp>C</stp>
        <stp>0</stp>
        <stp>KR103502G735</stp>
        <stp>잔존일수</stp>
        <stp>43621</stp>
        <stp>1.773</stp>
        <stp>세전수익률</stp>
        <tr r="G24" s="1"/>
      </tp>
      <tp>
        <v>10140</v>
        <stp/>
        <stp>C</stp>
        <stp>0</stp>
        <stp>KR103502G735</stp>
        <stp>잔존일수</stp>
        <stp>43621</stp>
        <stp>1.683</stp>
        <stp>세전수익률</stp>
        <tr r="G15" s="1"/>
      </tp>
      <tp>
        <v>10140</v>
        <stp/>
        <stp>C</stp>
        <stp>0</stp>
        <stp>KR103502G735</stp>
        <stp>잔존일수</stp>
        <stp>43621</stp>
        <stp>1.693</stp>
        <stp>세전수익률</stp>
        <tr r="G16" s="1"/>
      </tp>
      <tp>
        <v>10140</v>
        <stp/>
        <stp>C</stp>
        <stp>0</stp>
        <stp>KR103502G735</stp>
        <stp>잔존일수</stp>
        <stp>43621</stp>
        <stp>1.663</stp>
        <stp>세전수익률</stp>
        <tr r="G13" s="1"/>
      </tp>
      <tp>
        <v>10140</v>
        <stp/>
        <stp>C</stp>
        <stp>0</stp>
        <stp>KR103502G735</stp>
        <stp>잔존일수</stp>
        <stp>43621</stp>
        <stp>1.673</stp>
        <stp>세전수익률</stp>
        <tr r="G14" s="1"/>
      </tp>
      <tp>
        <v>10140</v>
        <stp/>
        <stp>C</stp>
        <stp>0</stp>
        <stp>KR103502G735</stp>
        <stp>잔존일수</stp>
        <stp>43621</stp>
        <stp>1.803</stp>
        <stp>세전수익률</stp>
        <tr r="G27" s="1"/>
      </tp>
      <tp t="s">
        <v>06M</v>
        <stp/>
        <stp>P</stp>
        <stp>0</stp>
        <stp>BND</stp>
        <stp>KR103502G735</stp>
        <stp>이자지급기간</stp>
        <stp/>
        <stp/>
        <tr r="G9" s="1"/>
      </tp>
      <tp t="s">
        <v>만기일일자기준</v>
        <stp/>
        <stp>P</stp>
        <stp>0</stp>
        <stp>BND</stp>
        <stp>KR103502G735</stp>
        <stp>이자단위택일구분</stp>
        <stp/>
        <stp/>
        <tr r="G8" s="1"/>
      </tp>
      <tp t="s">
        <v>이표채</v>
        <stp/>
        <stp>P</stp>
        <stp>0</stp>
        <stp>BND</stp>
        <stp>KR103502G735</stp>
        <stp>이자종류</stp>
        <stp/>
        <stp/>
        <tr r="E8" s="1"/>
      </tp>
      <tp>
        <v>20170209</v>
        <stp/>
        <stp>P</stp>
        <stp>0</stp>
        <stp>BND</stp>
        <stp>KR103502G735</stp>
        <stp>선매출일</stp>
        <stp/>
        <stp/>
        <tr r="I7" s="1"/>
      </tp>
      <tp>
        <v>10912.81</v>
        <stp/>
        <stp>P</stp>
        <stp>0</stp>
        <stp>BND</stp>
        <stp>KR103502G735</stp>
        <stp>FNP 가격(산출일)</stp>
        <stp/>
        <stp/>
        <tr r="N10" s="1"/>
      </tp>
      <tp>
        <v>10912.81</v>
        <stp/>
        <stp>P</stp>
        <stp>0</stp>
        <stp>BND</stp>
        <stp>KR103502G735</stp>
        <stp>KBP 가격(산출일)</stp>
        <stp/>
        <stp/>
        <tr r="M10" s="1"/>
      </tp>
      <tp>
        <v>10912.81</v>
        <stp/>
        <stp>P</stp>
        <stp>0</stp>
        <stp>BND</stp>
        <stp>KR103502G735</stp>
        <stp>KIS 가격(산출일)</stp>
        <stp/>
        <stp/>
        <tr r="K10" s="1"/>
      </tp>
      <tp>
        <v>22.6693</v>
        <stp/>
        <stp>C</stp>
        <stp>0</stp>
        <stp>KR103502G735</stp>
        <stp>bpv</stp>
        <stp>43621</stp>
        <stp>1.803</stp>
        <stp>세전수익률</stp>
        <tr r="N27" s="1"/>
      </tp>
      <tp>
        <v>23.432300000000001</v>
        <stp/>
        <stp>C</stp>
        <stp>0</stp>
        <stp>KR103502G735</stp>
        <stp>bpv</stp>
        <stp>43621</stp>
        <stp>1.673</stp>
        <stp>세전수익률</stp>
        <tr r="N14" s="1"/>
      </tp>
      <tp>
        <v>23.492100000000001</v>
        <stp/>
        <stp>C</stp>
        <stp>0</stp>
        <stp>KR103502G735</stp>
        <stp>bpv</stp>
        <stp>43621</stp>
        <stp>1.663</stp>
        <stp>세전수익률</stp>
        <tr r="N13" s="1"/>
      </tp>
      <tp>
        <v>23.313199999999998</v>
        <stp/>
        <stp>C</stp>
        <stp>0</stp>
        <stp>KR103502G735</stp>
        <stp>bpv</stp>
        <stp>43621</stp>
        <stp>1.693</stp>
        <stp>세전수익률</stp>
        <tr r="N16" s="1"/>
      </tp>
      <tp>
        <v>23.372699999999998</v>
        <stp/>
        <stp>C</stp>
        <stp>0</stp>
        <stp>KR103502G735</stp>
        <stp>bpv</stp>
        <stp>43621</stp>
        <stp>1.683</stp>
        <stp>세전수익률</stp>
        <tr r="N15" s="1"/>
      </tp>
      <tp>
        <v>23.194700000000001</v>
        <stp/>
        <stp>C</stp>
        <stp>0</stp>
        <stp>KR103502G735</stp>
        <stp>bpv</stp>
        <stp>43621</stp>
        <stp>1.713</stp>
        <stp>세전수익률</stp>
        <tr r="N18" s="1"/>
      </tp>
      <tp>
        <v>23.253799999999998</v>
        <stp/>
        <stp>C</stp>
        <stp>0</stp>
        <stp>KR103502G735</stp>
        <stp>bpv</stp>
        <stp>43621</stp>
        <stp>1.703</stp>
        <stp>세전수익률</stp>
        <tr r="N17" s="1"/>
      </tp>
      <tp>
        <v>23.076799999999999</v>
        <stp/>
        <stp>C</stp>
        <stp>0</stp>
        <stp>KR103502G735</stp>
        <stp>bpv</stp>
        <stp>43621</stp>
        <stp>1.733</stp>
        <stp>세전수익률</stp>
        <tr r="N20" s="1"/>
      </tp>
      <tp>
        <v>23.1357</v>
        <stp/>
        <stp>C</stp>
        <stp>0</stp>
        <stp>KR103502G735</stp>
        <stp>bpv</stp>
        <stp>43621</stp>
        <stp>1.723</stp>
        <stp>세전수익률</stp>
        <tr r="N19" s="1"/>
      </tp>
      <tp>
        <v>22.959599999999998</v>
        <stp/>
        <stp>C</stp>
        <stp>0</stp>
        <stp>KR103502G735</stp>
        <stp>bpv</stp>
        <stp>43621</stp>
        <stp>1.753</stp>
        <stp>세전수익률</stp>
        <tr r="N22" s="1"/>
      </tp>
      <tp>
        <v>23.0181</v>
        <stp/>
        <stp>C</stp>
        <stp>0</stp>
        <stp>KR103502G735</stp>
        <stp>bpv</stp>
        <stp>43621</stp>
        <stp>1.743</stp>
        <stp>세전수익률</stp>
        <tr r="N21" s="1"/>
      </tp>
      <tp>
        <v>22.843</v>
        <stp/>
        <stp>C</stp>
        <stp>0</stp>
        <stp>KR103502G735</stp>
        <stp>bpv</stp>
        <stp>43621</stp>
        <stp>1.773</stp>
        <stp>세전수익률</stp>
        <tr r="N24" s="1"/>
      </tp>
      <tp>
        <v>22.901199999999999</v>
        <stp/>
        <stp>C</stp>
        <stp>0</stp>
        <stp>KR103502G735</stp>
        <stp>bpv</stp>
        <stp>43621</stp>
        <stp>1.763</stp>
        <stp>세전수익률</stp>
        <tr r="N23" s="1"/>
      </tp>
      <tp>
        <v>22.727</v>
        <stp/>
        <stp>C</stp>
        <stp>0</stp>
        <stp>KR103502G735</stp>
        <stp>bpv</stp>
        <stp>43621</stp>
        <stp>1.793</stp>
        <stp>세전수익률</stp>
        <tr r="N26" s="1"/>
      </tp>
      <tp>
        <v>22.7849</v>
        <stp/>
        <stp>C</stp>
        <stp>0</stp>
        <stp>KR103502G735</stp>
        <stp>bpv</stp>
        <stp>43621</stp>
        <stp>1.783</stp>
        <stp>세전수익률</stp>
        <tr r="N25" s="1"/>
      </tp>
      <tp>
        <v>21.276</v>
        <stp/>
        <stp>C</stp>
        <stp>0</stp>
        <stp>KR103502G735</stp>
        <stp>MacDuration</stp>
        <stp>43621</stp>
        <stp>1.803</stp>
        <stp>세전수익률</stp>
        <tr r="J27" s="1"/>
      </tp>
      <tp>
        <v>21.284199999999998</v>
        <stp/>
        <stp>C</stp>
        <stp>0</stp>
        <stp>KR103502G735</stp>
        <stp>MacDuration</stp>
        <stp>43621</stp>
        <stp>1.793</stp>
        <stp>세전수익률</stp>
        <tr r="J26" s="1"/>
      </tp>
      <tp>
        <v>21.292400000000001</v>
        <stp/>
        <stp>C</stp>
        <stp>0</stp>
        <stp>KR103502G735</stp>
        <stp>MacDuration</stp>
        <stp>43621</stp>
        <stp>1.783</stp>
        <stp>세전수익률</stp>
        <tr r="J25" s="1"/>
      </tp>
      <tp>
        <v>21.3169</v>
        <stp/>
        <stp>C</stp>
        <stp>0</stp>
        <stp>KR103502G735</stp>
        <stp>MacDuration</stp>
        <stp>43621</stp>
        <stp>1.753</stp>
        <stp>세전수익률</stp>
        <tr r="J22" s="1"/>
      </tp>
      <tp>
        <v>21.325099999999999</v>
        <stp/>
        <stp>C</stp>
        <stp>0</stp>
        <stp>KR103502G735</stp>
        <stp>MacDuration</stp>
        <stp>43621</stp>
        <stp>1.743</stp>
        <stp>세전수익률</stp>
        <tr r="J21" s="1"/>
      </tp>
      <tp>
        <v>21.300599999999999</v>
        <stp/>
        <stp>C</stp>
        <stp>0</stp>
        <stp>KR103502G735</stp>
        <stp>MacDuration</stp>
        <stp>43621</stp>
        <stp>1.773</stp>
        <stp>세전수익률</stp>
        <tr r="J24" s="1"/>
      </tp>
      <tp>
        <v>21.308800000000002</v>
        <stp/>
        <stp>C</stp>
        <stp>0</stp>
        <stp>KR103502G735</stp>
        <stp>MacDuration</stp>
        <stp>43621</stp>
        <stp>1.763</stp>
        <stp>세전수익률</stp>
        <tr r="J23" s="1"/>
      </tp>
      <tp>
        <v>21.349499999999999</v>
        <stp/>
        <stp>C</stp>
        <stp>0</stp>
        <stp>KR103502G735</stp>
        <stp>MacDuration</stp>
        <stp>43621</stp>
        <stp>1.713</stp>
        <stp>세전수익률</stp>
        <tr r="J18" s="1"/>
      </tp>
      <tp>
        <v>21.357700000000001</v>
        <stp/>
        <stp>C</stp>
        <stp>0</stp>
        <stp>KR103502G735</stp>
        <stp>MacDuration</stp>
        <stp>43621</stp>
        <stp>1.703</stp>
        <stp>세전수익률</stp>
        <tr r="J17" s="1"/>
      </tp>
      <tp>
        <v>21.333300000000001</v>
        <stp/>
        <stp>C</stp>
        <stp>0</stp>
        <stp>KR103502G735</stp>
        <stp>MacDuration</stp>
        <stp>43621</stp>
        <stp>1.733</stp>
        <stp>세전수익률</stp>
        <tr r="J20" s="1"/>
      </tp>
      <tp>
        <v>21.3414</v>
        <stp/>
        <stp>C</stp>
        <stp>0</stp>
        <stp>KR103502G735</stp>
        <stp>MacDuration</stp>
        <stp>43621</stp>
        <stp>1.723</stp>
        <stp>세전수익률</stp>
        <tr r="J19" s="1"/>
      </tp>
      <tp>
        <v>21.3658</v>
        <stp/>
        <stp>C</stp>
        <stp>0</stp>
        <stp>KR103502G735</stp>
        <stp>MacDuration</stp>
        <stp>43621</stp>
        <stp>1.693</stp>
        <stp>세전수익률</stp>
        <tr r="J16" s="1"/>
      </tp>
      <tp>
        <v>21.373899999999999</v>
        <stp/>
        <stp>C</stp>
        <stp>0</stp>
        <stp>KR103502G735</stp>
        <stp>MacDuration</stp>
        <stp>43621</stp>
        <stp>1.683</stp>
        <stp>세전수익률</stp>
        <tr r="J15" s="1"/>
      </tp>
      <tp>
        <v>21.382000000000001</v>
        <stp/>
        <stp>C</stp>
        <stp>0</stp>
        <stp>KR103502G735</stp>
        <stp>MacDuration</stp>
        <stp>43621</stp>
        <stp>1.673</stp>
        <stp>세전수익률</stp>
        <tr r="J14" s="1"/>
      </tp>
      <tp>
        <v>21.3901</v>
        <stp/>
        <stp>C</stp>
        <stp>0</stp>
        <stp>KR103502G735</stp>
        <stp>MacDuration</stp>
        <stp>43621</stp>
        <stp>1.663</stp>
        <stp>세전수익률</stp>
        <tr r="J13" s="1"/>
      </tp>
      <tp>
        <v>10768.9411</v>
        <stp/>
        <stp>C</stp>
        <stp>0</stp>
        <stp>KR103502G735</stp>
        <stp>CleanPrice</stp>
        <stp>43621</stp>
        <stp>1.773</stp>
        <stp>세전수익률</stp>
        <tr r="H24" s="1"/>
      </tp>
      <tp>
        <v>10791.814399999999</v>
        <stp/>
        <stp>C</stp>
        <stp>0</stp>
        <stp>KR103502G735</stp>
        <stp>CleanPrice</stp>
        <stp>43621</stp>
        <stp>1.763</stp>
        <stp>세전수익률</stp>
        <tr r="H23" s="1"/>
      </tp>
      <tp>
        <v>10814.745999999999</v>
        <stp/>
        <stp>C</stp>
        <stp>0</stp>
        <stp>KR103502G735</stp>
        <stp>CleanPrice</stp>
        <stp>43621</stp>
        <stp>1.753</stp>
        <stp>세전수익률</stp>
        <tr r="H22" s="1"/>
      </tp>
      <tp>
        <v>10837.736000000001</v>
        <stp/>
        <stp>C</stp>
        <stp>0</stp>
        <stp>KR103502G735</stp>
        <stp>CleanPrice</stp>
        <stp>43621</stp>
        <stp>1.743</stp>
        <stp>세전수익률</stp>
        <tr r="H21" s="1"/>
      </tp>
      <tp>
        <v>10860.784600000001</v>
        <stp/>
        <stp>C</stp>
        <stp>0</stp>
        <stp>KR103502G735</stp>
        <stp>CleanPrice</stp>
        <stp>43621</stp>
        <stp>1.733</stp>
        <stp>세전수익률</stp>
        <tr r="H20" s="1"/>
      </tp>
      <tp>
        <v>10883.892</v>
        <stp/>
        <stp>C</stp>
        <stp>0</stp>
        <stp>KR103502G735</stp>
        <stp>CleanPrice</stp>
        <stp>43621</stp>
        <stp>1.723</stp>
        <stp>세전수익률</stp>
        <tr r="H19" s="1"/>
      </tp>
      <tp>
        <v>10907.058300000001</v>
        <stp/>
        <stp>C</stp>
        <stp>0</stp>
        <stp>KR103502G735</stp>
        <stp>CleanPrice</stp>
        <stp>43621</stp>
        <stp>1.713</stp>
        <stp>세전수익률</stp>
        <tr r="H18" s="1"/>
      </tp>
      <tp>
        <v>10930.283600000001</v>
        <stp/>
        <stp>C</stp>
        <stp>0</stp>
        <stp>KR103502G735</stp>
        <stp>CleanPrice</stp>
        <stp>43621</stp>
        <stp>1.703</stp>
        <stp>세전수익률</stp>
        <tr r="H17" s="1"/>
      </tp>
      <tp>
        <v>10723.3688</v>
        <stp/>
        <stp>C</stp>
        <stp>0</stp>
        <stp>KR103502G735</stp>
        <stp>CleanPrice</stp>
        <stp>43621</stp>
        <stp>1.793</stp>
        <stp>세전수익률</stp>
        <tr r="H26" s="1"/>
      </tp>
      <tp>
        <v>10746.126</v>
        <stp/>
        <stp>C</stp>
        <stp>0</stp>
        <stp>KR103502G735</stp>
        <stp>CleanPrice</stp>
        <stp>43621</stp>
        <stp>1.783</stp>
        <stp>세전수익률</stp>
        <tr r="H25" s="1"/>
      </tp>
      <tp>
        <v>11000.3159</v>
        <stp/>
        <stp>C</stp>
        <stp>0</stp>
        <stp>KR103502G735</stp>
        <stp>CleanPrice</stp>
        <stp>43621</stp>
        <stp>1.673</stp>
        <stp>세전수익률</stp>
        <tr r="H14" s="1"/>
      </tp>
      <tp>
        <v>11023.779200000001</v>
        <stp/>
        <stp>C</stp>
        <stp>0</stp>
        <stp>KR103502G735</stp>
        <stp>CleanPrice</stp>
        <stp>43621</stp>
        <stp>1.663</stp>
        <stp>세전수익률</stp>
        <tr r="H13" s="1"/>
      </tp>
      <tp>
        <v>10953.568300000001</v>
        <stp/>
        <stp>C</stp>
        <stp>0</stp>
        <stp>KR103502G735</stp>
        <stp>CleanPrice</stp>
        <stp>43621</stp>
        <stp>1.693</stp>
        <stp>세전수익률</stp>
        <tr r="H16" s="1"/>
      </tp>
      <tp>
        <v>10976.9123</v>
        <stp/>
        <stp>C</stp>
        <stp>0</stp>
        <stp>KR103502G735</stp>
        <stp>CleanPrice</stp>
        <stp>43621</stp>
        <stp>1.683</stp>
        <stp>세전수익률</stp>
        <tr r="H15" s="1"/>
      </tp>
      <tp>
        <v>10700.6695</v>
        <stp/>
        <stp>C</stp>
        <stp>0</stp>
        <stp>KR103502G735</stp>
        <stp>CleanPrice</stp>
        <stp>43621</stp>
        <stp>1.803</stp>
        <stp>세전수익률</stp>
        <tr r="H27" s="1"/>
      </tp>
      <tp>
        <v>21.085899999999999</v>
        <stp/>
        <stp>C</stp>
        <stp>0</stp>
        <stp>KR103502G735</stp>
        <stp>ModDuration</stp>
        <stp>43621</stp>
        <stp>1.803</stp>
        <stp>세전수익률</stp>
        <tr r="K27" s="1"/>
      </tp>
      <tp>
        <v>21.15</v>
        <stp/>
        <stp>C</stp>
        <stp>0</stp>
        <stp>KR103502G735</stp>
        <stp>ModDuration</stp>
        <stp>43621</stp>
        <stp>1.733</stp>
        <stp>세전수익률</stp>
        <tr r="K20" s="1"/>
      </tp>
      <tp>
        <v>21.159099999999999</v>
        <stp/>
        <stp>C</stp>
        <stp>0</stp>
        <stp>KR103502G735</stp>
        <stp>ModDuration</stp>
        <stp>43621</stp>
        <stp>1.723</stp>
        <stp>세전수익률</stp>
        <tr r="K19" s="1"/>
      </tp>
      <tp>
        <v>21.168199999999999</v>
        <stp/>
        <stp>C</stp>
        <stp>0</stp>
        <stp>KR103502G735</stp>
        <stp>ModDuration</stp>
        <stp>43621</stp>
        <stp>1.713</stp>
        <stp>세전수익률</stp>
        <tr r="K18" s="1"/>
      </tp>
      <tp>
        <v>21.177299999999999</v>
        <stp/>
        <stp>C</stp>
        <stp>0</stp>
        <stp>KR103502G735</stp>
        <stp>ModDuration</stp>
        <stp>43621</stp>
        <stp>1.703</stp>
        <stp>세전수익률</stp>
        <tr r="K17" s="1"/>
      </tp>
      <tp>
        <v>21.113399999999999</v>
        <stp/>
        <stp>C</stp>
        <stp>0</stp>
        <stp>KR103502G735</stp>
        <stp>ModDuration</stp>
        <stp>43621</stp>
        <stp>1.773</stp>
        <stp>세전수익률</stp>
        <tr r="K24" s="1"/>
      </tp>
      <tp>
        <v>21.122599999999998</v>
        <stp/>
        <stp>C</stp>
        <stp>0</stp>
        <stp>KR103502G735</stp>
        <stp>ModDuration</stp>
        <stp>43621</stp>
        <stp>1.763</stp>
        <stp>세전수익률</stp>
        <tr r="K23" s="1"/>
      </tp>
      <tp>
        <v>21.131699999999999</v>
        <stp/>
        <stp>C</stp>
        <stp>0</stp>
        <stp>KR103502G735</stp>
        <stp>ModDuration</stp>
        <stp>43621</stp>
        <stp>1.753</stp>
        <stp>세전수익률</stp>
        <tr r="K22" s="1"/>
      </tp>
      <tp>
        <v>21.140899999999998</v>
        <stp/>
        <stp>C</stp>
        <stp>0</stp>
        <stp>KR103502G735</stp>
        <stp>ModDuration</stp>
        <stp>43621</stp>
        <stp>1.743</stp>
        <stp>세전수익률</stp>
        <tr r="K21" s="1"/>
      </tp>
      <tp>
        <v>21.095099999999999</v>
        <stp/>
        <stp>C</stp>
        <stp>0</stp>
        <stp>KR103502G735</stp>
        <stp>ModDuration</stp>
        <stp>43621</stp>
        <stp>1.793</stp>
        <stp>세전수익률</stp>
        <tr r="K26" s="1"/>
      </tp>
      <tp>
        <v>21.104299999999999</v>
        <stp/>
        <stp>C</stp>
        <stp>0</stp>
        <stp>KR103502G735</stp>
        <stp>ModDuration</stp>
        <stp>43621</stp>
        <stp>1.783</stp>
        <stp>세전수익률</stp>
        <tr r="K25" s="1"/>
      </tp>
      <tp>
        <v>21.204599999999999</v>
        <stp/>
        <stp>C</stp>
        <stp>0</stp>
        <stp>KR103502G735</stp>
        <stp>ModDuration</stp>
        <stp>43621</stp>
        <stp>1.673</stp>
        <stp>세전수익률</stp>
        <tr r="K14" s="1"/>
      </tp>
      <tp>
        <v>21.213699999999999</v>
        <stp/>
        <stp>C</stp>
        <stp>0</stp>
        <stp>KR103502G735</stp>
        <stp>ModDuration</stp>
        <stp>43621</stp>
        <stp>1.663</stp>
        <stp>세전수익률</stp>
        <tr r="K13" s="1"/>
      </tp>
      <tp>
        <v>21.186499999999999</v>
        <stp/>
        <stp>C</stp>
        <stp>0</stp>
        <stp>KR103502G735</stp>
        <stp>ModDuration</stp>
        <stp>43621</stp>
        <stp>1.693</stp>
        <stp>세전수익률</stp>
        <tr r="K16" s="1"/>
      </tp>
      <tp>
        <v>21.195599999999999</v>
        <stp/>
        <stp>C</stp>
        <stp>0</stp>
        <stp>KR103502G735</stp>
        <stp>ModDuration</stp>
        <stp>43621</stp>
        <stp>1.683</stp>
        <stp>세전수익률</stp>
        <tr r="K15" s="1"/>
      </tp>
      <tp>
        <v>10905.89</v>
        <stp/>
        <stp>P</stp>
        <stp>0</stp>
        <stp>BND</stp>
        <stp>KR103502G735</stp>
        <stp>NIC 가격(산출일)</stp>
        <stp/>
        <stp/>
        <tr r="L10" s="1"/>
      </tp>
      <tp>
        <v>5989466.9005800001</v>
        <stp/>
        <stp>C</stp>
        <stp>0</stp>
        <stp>KR103502G735</stp>
        <stp>금액Convexity</stp>
        <stp>43621</stp>
        <stp>1.663</stp>
        <stp>세전수익률</stp>
        <tr r="L13" s="1"/>
      </tp>
      <tp>
        <v>5973216.779635</v>
        <stp/>
        <stp>C</stp>
        <stp>0</stp>
        <stp>KR103502G735</stp>
        <stp>금액Convexity</stp>
        <stp>43621</stp>
        <stp>1.673</stp>
        <stp>세전수익률</stp>
        <tr r="L14" s="1"/>
      </tp>
      <tp>
        <v>5957011.98838</v>
        <stp/>
        <stp>C</stp>
        <stp>0</stp>
        <stp>KR103502G735</stp>
        <stp>금액Convexity</stp>
        <stp>43621</stp>
        <stp>1.683</stp>
        <stp>세전수익률</stp>
        <tr r="L15" s="1"/>
      </tp>
      <tp>
        <v>5940848.1842799997</v>
        <stp/>
        <stp>C</stp>
        <stp>0</stp>
        <stp>KR103502G735</stp>
        <stp>금액Convexity</stp>
        <stp>43621</stp>
        <stp>1.693</stp>
        <stp>세전수익률</stp>
        <tr r="L16" s="1"/>
      </tp>
      <tp>
        <v>5892636.7252280004</v>
        <stp/>
        <stp>C</stp>
        <stp>0</stp>
        <stp>KR103502G735</stp>
        <stp>금액Convexity</stp>
        <stp>43621</stp>
        <stp>1.723</stp>
        <stp>세전수익률</stp>
        <tr r="L19" s="1"/>
      </tp>
      <tp>
        <v>5876661.1876739999</v>
        <stp/>
        <stp>C</stp>
        <stp>0</stp>
        <stp>KR103502G735</stp>
        <stp>금액Convexity</stp>
        <stp>43621</stp>
        <stp>1.733</stp>
        <stp>세전수익률</stp>
        <tr r="L20" s="1"/>
      </tp>
      <tp>
        <v>5924736.1173080001</v>
        <stp/>
        <stp>C</stp>
        <stp>0</stp>
        <stp>KR103502G735</stp>
        <stp>금액Convexity</stp>
        <stp>43621</stp>
        <stp>1.703</stp>
        <stp>세전수익률</stp>
        <tr r="L17" s="1"/>
      </tp>
      <tp>
        <v>5908663.8460499998</v>
        <stp/>
        <stp>C</stp>
        <stp>0</stp>
        <stp>KR103502G735</stp>
        <stp>금액Convexity</stp>
        <stp>43621</stp>
        <stp>1.713</stp>
        <stp>세전수익률</stp>
        <tr r="L18" s="1"/>
      </tp>
      <tp>
        <v>5828991.8258100003</v>
        <stp/>
        <stp>C</stp>
        <stp>0</stp>
        <stp>KR103502G735</stp>
        <stp>금액Convexity</stp>
        <stp>43621</stp>
        <stp>1.763</stp>
        <stp>세전수익률</stp>
        <tr r="L23" s="1"/>
      </tp>
      <tp>
        <v>5813187.6453480003</v>
        <stp/>
        <stp>C</stp>
        <stp>0</stp>
        <stp>KR103502G735</stp>
        <stp>금액Convexity</stp>
        <stp>43621</stp>
        <stp>1.773</stp>
        <stp>세전수익률</stp>
        <tr r="L24" s="1"/>
      </tp>
      <tp>
        <v>5860725.3181410003</v>
        <stp/>
        <stp>C</stp>
        <stp>0</stp>
        <stp>KR103502G735</stp>
        <stp>금액Convexity</stp>
        <stp>43621</stp>
        <stp>1.743</stp>
        <stp>세전수익률</stp>
        <tr r="L21" s="1"/>
      </tp>
      <tp>
        <v>5844835.5479640001</v>
        <stp/>
        <stp>C</stp>
        <stp>0</stp>
        <stp>KR103502G735</stp>
        <stp>금액Convexity</stp>
        <stp>43621</stp>
        <stp>1.753</stp>
        <stp>세전수익률</stp>
        <tr r="L22" s="1"/>
      </tp>
      <tp>
        <v>5797433.711344</v>
        <stp/>
        <stp>C</stp>
        <stp>0</stp>
        <stp>KR103502G735</stp>
        <stp>금액Convexity</stp>
        <stp>43621</stp>
        <stp>1.783</stp>
        <stp>세전수익률</stp>
        <tr r="L25" s="1"/>
      </tp>
      <tp>
        <v>5781720.3136799997</v>
        <stp/>
        <stp>C</stp>
        <stp>0</stp>
        <stp>KR103502G735</stp>
        <stp>금액Convexity</stp>
        <stp>43621</stp>
        <stp>1.793</stp>
        <stp>세전수익률</stp>
        <tr r="L26" s="1"/>
      </tp>
      <tp>
        <v>5766052.7738899998</v>
        <stp/>
        <stp>C</stp>
        <stp>0</stp>
        <stp>KR103502G735</stp>
        <stp>금액Convexity</stp>
        <stp>43621</stp>
        <stp>1.803</stp>
        <stp>세전수익률</stp>
        <tr r="L27" s="1"/>
      </tp>
      <tp>
        <v>226692.40231</v>
        <stp/>
        <stp>C</stp>
        <stp>0</stp>
        <stp>KR103502G735</stp>
        <stp>금액Duration</stp>
        <stp>43621</stp>
        <stp>1.803</stp>
        <stp>세전수익률</stp>
        <tr r="I27" s="1"/>
      </tp>
      <tp>
        <v>227270.16936</v>
        <stp/>
        <stp>C</stp>
        <stp>0</stp>
        <stp>KR103502G735</stp>
        <stp>금액Duration</stp>
        <stp>43621</stp>
        <stp>1.793</stp>
        <stp>세전수익률</stp>
        <tr r="I26" s="1"/>
      </tp>
      <tp>
        <v>227849.620348</v>
        <stp/>
        <stp>C</stp>
        <stp>0</stp>
        <stp>KR103502G735</stp>
        <stp>금액Duration</stp>
        <stp>43621</stp>
        <stp>1.783</stp>
        <stp>세전수익률</stp>
        <tr r="I25" s="1"/>
      </tp>
      <tp>
        <v>231946.10617799999</v>
        <stp/>
        <stp>C</stp>
        <stp>0</stp>
        <stp>KR103502G735</stp>
        <stp>금액Duration</stp>
        <stp>43621</stp>
        <stp>1.713</stp>
        <stp>세전수익률</stp>
        <tr r="I18" s="1"/>
      </tp>
      <tp>
        <v>232537.76619600001</v>
        <stp/>
        <stp>C</stp>
        <stp>0</stp>
        <stp>KR103502G735</stp>
        <stp>금액Duration</stp>
        <stp>43621</stp>
        <stp>1.703</stp>
        <stp>세전수익률</stp>
        <tr r="I17" s="1"/>
      </tp>
      <tp>
        <v>230768.073</v>
        <stp/>
        <stp>C</stp>
        <stp>0</stp>
        <stp>KR103502G735</stp>
        <stp>금액Duration</stp>
        <stp>43621</stp>
        <stp>1.733</stp>
        <stp>세전수익률</stp>
        <tr r="I20" s="1"/>
      </tp>
      <tp>
        <v>231356.138492</v>
        <stp/>
        <stp>C</stp>
        <stp>0</stp>
        <stp>KR103502G735</stp>
        <stp>금액Duration</stp>
        <stp>43621</stp>
        <stp>1.723</stp>
        <stp>세전수익률</stp>
        <tr r="I19" s="1"/>
      </tp>
      <tp>
        <v>229595.49786599999</v>
        <stp/>
        <stp>C</stp>
        <stp>0</stp>
        <stp>KR103502G735</stp>
        <stp>금액Duration</stp>
        <stp>43621</stp>
        <stp>1.753</stp>
        <stp>세전수익률</stp>
        <tr r="I22" s="1"/>
      </tp>
      <tp>
        <v>230181.48497300001</v>
        <stp/>
        <stp>C</stp>
        <stp>0</stp>
        <stp>KR103502G735</stp>
        <stp>금액Duration</stp>
        <stp>43621</stp>
        <stp>1.743</stp>
        <stp>세전수익률</stp>
        <tr r="I21" s="1"/>
      </tp>
      <tp>
        <v>228429.46387800001</v>
        <stp/>
        <stp>C</stp>
        <stp>0</stp>
        <stp>KR103502G735</stp>
        <stp>금액Duration</stp>
        <stp>43621</stp>
        <stp>1.773</stp>
        <stp>세전수익률</stp>
        <tr r="I24" s="1"/>
      </tp>
      <tp>
        <v>229012.28533000001</v>
        <stp/>
        <stp>C</stp>
        <stp>0</stp>
        <stp>KR103502G735</stp>
        <stp>금액Duration</stp>
        <stp>43621</stp>
        <stp>1.763</stp>
        <stp>세전수익률</stp>
        <tr r="I23" s="1"/>
      </tp>
      <tp>
        <v>233132.00870000001</v>
        <stp/>
        <stp>C</stp>
        <stp>0</stp>
        <stp>KR103502G735</stp>
        <stp>금액Duration</stp>
        <stp>43621</stp>
        <stp>1.693</stp>
        <stp>세전수익률</stp>
        <tr r="I16" s="1"/>
      </tp>
      <tp>
        <v>233727.06054000001</v>
        <stp/>
        <stp>C</stp>
        <stp>0</stp>
        <stp>KR103502G735</stp>
        <stp>금액Duration</stp>
        <stp>43621</stp>
        <stp>1.683</stp>
        <stp>세전수익률</stp>
        <tr r="I15" s="1"/>
      </tp>
      <tp>
        <v>234322.49252999999</v>
        <stp/>
        <stp>C</stp>
        <stp>0</stp>
        <stp>KR103502G735</stp>
        <stp>금액Duration</stp>
        <stp>43621</stp>
        <stp>1.673</stp>
        <stp>세전수익률</stp>
        <tr r="I14" s="1"/>
      </tp>
      <tp>
        <v>234920.72593700001</v>
        <stp/>
        <stp>C</stp>
        <stp>0</stp>
        <stp>KR103502G735</stp>
        <stp>금액Duration</stp>
        <stp>43621</stp>
        <stp>1.663</stp>
        <stp>세전수익률</stp>
        <tr r="I13" s="1"/>
      </tp>
      <tp>
        <v>2.125</v>
        <stp/>
        <stp>P</stp>
        <stp>0</stp>
        <stp>BND</stp>
        <stp>KR103502G735</stp>
        <stp>표면이율</stp>
        <stp/>
        <stp/>
        <tr r="E9" s="1"/>
      </tp>
      <tp t="s">
        <v>후급</v>
        <stp/>
        <stp>P</stp>
        <stp>0</stp>
        <stp>BND</stp>
        <stp>KR103502G735</stp>
        <stp>이자선후구분</stp>
        <stp/>
        <stp/>
        <tr r="G10" s="1"/>
      </tp>
      <tp>
        <v>539.89059999999995</v>
        <stp/>
        <stp>C</stp>
        <stp>0</stp>
        <stp>KR103502G735</stp>
        <stp>Convexity</stp>
        <stp>43621</stp>
        <stp>1.693</stp>
        <stp>세전수익률</stp>
        <tr r="M16" s="1"/>
      </tp>
      <tp>
        <v>540.21320000000003</v>
        <stp/>
        <stp>C</stp>
        <stp>0</stp>
        <stp>KR103502G735</stp>
        <stp>Convexity</stp>
        <stp>43621</stp>
        <stp>1.683</stp>
        <stp>세전수익률</stp>
        <tr r="M15" s="1"/>
      </tp>
      <tp>
        <v>540.53570000000002</v>
        <stp/>
        <stp>C</stp>
        <stp>0</stp>
        <stp>KR103502G735</stp>
        <stp>Convexity</stp>
        <stp>43621</stp>
        <stp>1.673</stp>
        <stp>세전수익률</stp>
        <tr r="M14" s="1"/>
      </tp>
      <tp>
        <v>540.85799999999995</v>
        <stp/>
        <stp>C</stp>
        <stp>0</stp>
        <stp>KR103502G735</stp>
        <stp>Convexity</stp>
        <stp>43621</stp>
        <stp>1.663</stp>
        <stp>세전수익률</stp>
        <tr r="M13" s="1"/>
      </tp>
      <tp>
        <v>536.65629999999999</v>
        <stp/>
        <stp>C</stp>
        <stp>0</stp>
        <stp>KR103502G735</stp>
        <stp>Convexity</stp>
        <stp>43621</stp>
        <stp>1.793</stp>
        <stp>세전수익률</stp>
        <tr r="M26" s="1"/>
      </tp>
      <tp>
        <v>536.98040000000003</v>
        <stp/>
        <stp>C</stp>
        <stp>0</stp>
        <stp>KR103502G735</stp>
        <stp>Convexity</stp>
        <stp>43621</stp>
        <stp>1.783</stp>
        <stp>세전수익률</stp>
        <tr r="M25" s="1"/>
      </tp>
      <tp>
        <v>537.30439999999999</v>
        <stp/>
        <stp>C</stp>
        <stp>0</stp>
        <stp>KR103502G735</stp>
        <stp>Convexity</stp>
        <stp>43621</stp>
        <stp>1.773</stp>
        <stp>세전수익률</stp>
        <tr r="M24" s="1"/>
      </tp>
      <tp>
        <v>537.62819999999999</v>
        <stp/>
        <stp>C</stp>
        <stp>0</stp>
        <stp>KR103502G735</stp>
        <stp>Convexity</stp>
        <stp>43621</stp>
        <stp>1.763</stp>
        <stp>세전수익률</stp>
        <tr r="M23" s="1"/>
      </tp>
      <tp>
        <v>537.95180000000005</v>
        <stp/>
        <stp>C</stp>
        <stp>0</stp>
        <stp>KR103502G735</stp>
        <stp>Convexity</stp>
        <stp>43621</stp>
        <stp>1.753</stp>
        <stp>세전수익률</stp>
        <tr r="M22" s="1"/>
      </tp>
      <tp>
        <v>538.27530000000002</v>
        <stp/>
        <stp>C</stp>
        <stp>0</stp>
        <stp>KR103502G735</stp>
        <stp>Convexity</stp>
        <stp>43621</stp>
        <stp>1.743</stp>
        <stp>세전수익률</stp>
        <tr r="M21" s="1"/>
      </tp>
      <tp>
        <v>538.59870000000001</v>
        <stp/>
        <stp>C</stp>
        <stp>0</stp>
        <stp>KR103502G735</stp>
        <stp>Convexity</stp>
        <stp>43621</stp>
        <stp>1.733</stp>
        <stp>세전수익률</stp>
        <tr r="M20" s="1"/>
      </tp>
      <tp>
        <v>538.92190000000005</v>
        <stp/>
        <stp>C</stp>
        <stp>0</stp>
        <stp>KR103502G735</stp>
        <stp>Convexity</stp>
        <stp>43621</stp>
        <stp>1.723</stp>
        <stp>세전수익률</stp>
        <tr r="M19" s="1"/>
      </tp>
      <tp>
        <v>539.245</v>
        <stp/>
        <stp>C</stp>
        <stp>0</stp>
        <stp>KR103502G735</stp>
        <stp>Convexity</stp>
        <stp>43621</stp>
        <stp>1.713</stp>
        <stp>세전수익률</stp>
        <tr r="M18" s="1"/>
      </tp>
      <tp>
        <v>539.56790000000001</v>
        <stp/>
        <stp>C</stp>
        <stp>0</stp>
        <stp>KR103502G735</stp>
        <stp>Convexity</stp>
        <stp>43621</stp>
        <stp>1.703</stp>
        <stp>세전수익률</stp>
        <tr r="M17" s="1"/>
      </tp>
      <tp>
        <v>536.33209999999997</v>
        <stp/>
        <stp>C</stp>
        <stp>0</stp>
        <stp>KR103502G735</stp>
        <stp>Convexity</stp>
        <stp>43621</stp>
        <stp>1.803</stp>
        <stp>세전수익률</stp>
        <tr r="M27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Lines="10" dropStyle="combo" dx="15" fmlaLink="$O$6" fmlaRange="$O$7:$O$1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962025</xdr:colOff>
          <xdr:row>3</xdr:row>
          <xdr:rowOff>0</xdr:rowOff>
        </xdr:from>
        <xdr:to>
          <xdr:col>10</xdr:col>
          <xdr:colOff>57150</xdr:colOff>
          <xdr:row>4</xdr:row>
          <xdr:rowOff>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Y131"/>
  <sheetViews>
    <sheetView showGridLines="0" tabSelected="1" workbookViewId="0">
      <selection activeCell="T13" sqref="T13"/>
    </sheetView>
  </sheetViews>
  <sheetFormatPr defaultRowHeight="13.5" x14ac:dyDescent="0.25"/>
  <cols>
    <col min="1" max="1" width="1.28515625" style="1" customWidth="1"/>
    <col min="2" max="2" width="3.5703125" style="21" hidden="1" customWidth="1"/>
    <col min="3" max="3" width="6.5703125" style="21" hidden="1" customWidth="1"/>
    <col min="4" max="4" width="14.7109375" style="1" customWidth="1"/>
    <col min="5" max="5" width="14.85546875" style="1" customWidth="1"/>
    <col min="6" max="6" width="15.140625" style="1" customWidth="1"/>
    <col min="7" max="8" width="13.42578125" style="1" customWidth="1"/>
    <col min="9" max="9" width="14.5703125" style="1" customWidth="1"/>
    <col min="10" max="13" width="13.42578125" style="1" customWidth="1"/>
    <col min="14" max="14" width="13.140625" style="1" customWidth="1"/>
    <col min="15" max="15" width="7.5703125" style="1" hidden="1" customWidth="1"/>
    <col min="16" max="16" width="9.140625" style="1" hidden="1" customWidth="1"/>
    <col min="17" max="18" width="10.5703125" style="1" customWidth="1"/>
    <col min="19" max="20" width="11.140625" style="1" bestFit="1" customWidth="1"/>
    <col min="21" max="21" width="17.42578125" style="1" bestFit="1" customWidth="1"/>
    <col min="22" max="22" width="7.28515625" style="1" bestFit="1" customWidth="1"/>
    <col min="23" max="25" width="16.140625" style="1" bestFit="1" customWidth="1"/>
    <col min="26" max="27" width="7.28515625" style="1" bestFit="1" customWidth="1"/>
    <col min="28" max="29" width="9.140625" style="1"/>
    <col min="30" max="30" width="7.28515625" style="1" bestFit="1" customWidth="1"/>
    <col min="31" max="31" width="13.140625" style="1" bestFit="1" customWidth="1"/>
    <col min="32" max="32" width="11.140625" style="1" bestFit="1" customWidth="1"/>
    <col min="33" max="33" width="9.140625" style="1"/>
    <col min="34" max="34" width="7.28515625" style="1" bestFit="1" customWidth="1"/>
    <col min="35" max="35" width="9.140625" style="1"/>
    <col min="36" max="36" width="17.42578125" style="1" bestFit="1" customWidth="1"/>
    <col min="37" max="37" width="19.42578125" style="1" bestFit="1" customWidth="1"/>
    <col min="38" max="38" width="7.28515625" style="1" bestFit="1" customWidth="1"/>
    <col min="39" max="39" width="21.5703125" style="1" bestFit="1" customWidth="1"/>
    <col min="40" max="40" width="9.140625" style="1"/>
    <col min="41" max="41" width="13.140625" style="1" bestFit="1" customWidth="1"/>
    <col min="42" max="42" width="9.140625" style="1"/>
    <col min="43" max="44" width="13.140625" style="1" bestFit="1" customWidth="1"/>
    <col min="45" max="45" width="17.42578125" style="1" bestFit="1" customWidth="1"/>
    <col min="46" max="47" width="9.140625" style="1"/>
    <col min="48" max="48" width="21.5703125" style="1" bestFit="1" customWidth="1"/>
    <col min="49" max="49" width="19.42578125" style="1" bestFit="1" customWidth="1"/>
    <col min="50" max="51" width="15.28515625" style="1" bestFit="1" customWidth="1"/>
    <col min="52" max="52" width="9.140625" style="1"/>
    <col min="53" max="53" width="7.28515625" style="1" bestFit="1" customWidth="1"/>
    <col min="54" max="54" width="9.140625" style="1"/>
    <col min="55" max="55" width="7.28515625" style="1" bestFit="1" customWidth="1"/>
    <col min="56" max="57" width="13.140625" style="1" bestFit="1" customWidth="1"/>
    <col min="58" max="58" width="8.85546875" style="1" bestFit="1" customWidth="1"/>
    <col min="59" max="59" width="17.42578125" style="1" bestFit="1" customWidth="1"/>
    <col min="60" max="62" width="9.140625" style="1"/>
    <col min="63" max="63" width="11.140625" style="1" bestFit="1" customWidth="1"/>
    <col min="64" max="73" width="10.140625" style="1" bestFit="1" customWidth="1"/>
    <col min="74" max="74" width="17.42578125" style="1" bestFit="1" customWidth="1"/>
    <col min="75" max="16384" width="9.140625" style="1"/>
  </cols>
  <sheetData>
    <row r="1" spans="1:77" ht="7.5" customHeight="1" x14ac:dyDescent="0.25">
      <c r="D1" s="7"/>
    </row>
    <row r="2" spans="1:77" ht="27" customHeight="1" x14ac:dyDescent="0.25">
      <c r="D2" s="19" t="s">
        <v>55</v>
      </c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77" ht="6" customHeight="1" x14ac:dyDescent="0.25"/>
    <row r="4" spans="1:77" ht="17.25" customHeight="1" x14ac:dyDescent="0.25">
      <c r="A4" s="3"/>
      <c r="B4" s="66"/>
      <c r="C4" s="66"/>
      <c r="D4" s="8" t="s">
        <v>11</v>
      </c>
      <c r="E4" s="9" t="s">
        <v>43</v>
      </c>
      <c r="F4" s="8" t="s">
        <v>22</v>
      </c>
      <c r="G4" s="84" t="str">
        <f>_xll.IMDP("BND",$E$4,"한글종목명")</f>
        <v>국고02125-4703(17-1)</v>
      </c>
      <c r="H4" s="85"/>
      <c r="I4" s="8" t="s">
        <v>34</v>
      </c>
      <c r="J4" s="8"/>
      <c r="K4" s="17">
        <f>INDEX(O7:P11,O6,2)</f>
        <v>1.7330000000000001</v>
      </c>
    </row>
    <row r="5" spans="1:77" ht="6.75" customHeight="1" thickBot="1" x14ac:dyDescent="0.3">
      <c r="O5" s="21"/>
      <c r="P5" s="21"/>
    </row>
    <row r="6" spans="1:77" ht="17.25" customHeight="1" thickBot="1" x14ac:dyDescent="0.3">
      <c r="D6" s="92" t="s">
        <v>4</v>
      </c>
      <c r="E6" s="93"/>
      <c r="F6" s="93"/>
      <c r="G6" s="93"/>
      <c r="H6" s="93"/>
      <c r="I6" s="93"/>
      <c r="J6" s="94" t="s">
        <v>28</v>
      </c>
      <c r="K6" s="93"/>
      <c r="L6" s="93"/>
      <c r="M6" s="93"/>
      <c r="N6" s="95"/>
      <c r="O6" s="21">
        <v>1</v>
      </c>
      <c r="P6" s="21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7" x14ac:dyDescent="0.25">
      <c r="D7" s="69" t="s">
        <v>0</v>
      </c>
      <c r="E7" s="70">
        <f>_xll.IMDP("BND",$E$4,"발행일")</f>
        <v>20170310</v>
      </c>
      <c r="F7" s="77" t="s">
        <v>2</v>
      </c>
      <c r="G7" s="72">
        <f>_xll.IMDP("BND",$E$4,"만기일")</f>
        <v>20470310</v>
      </c>
      <c r="H7" s="71" t="s">
        <v>50</v>
      </c>
      <c r="I7" s="72">
        <f>_xll.IMDP("BND",$E$4,"선매출일")</f>
        <v>20170209</v>
      </c>
      <c r="J7" s="81" t="s">
        <v>54</v>
      </c>
      <c r="K7" s="73" t="s">
        <v>30</v>
      </c>
      <c r="L7" s="74">
        <f>_xll.IMDP("BND",$E$4,"민평4사 수익률(산출일)")</f>
        <v>1.732</v>
      </c>
      <c r="M7" s="75" t="s">
        <v>31</v>
      </c>
      <c r="N7" s="76">
        <f>_xll.IMDP("BND",$E$4,"민평4사 수익률(산출일)")</f>
        <v>1.732</v>
      </c>
      <c r="O7" s="21" t="s">
        <v>15</v>
      </c>
      <c r="P7" s="68">
        <f>_xll.IMDP("BND",$E$4,"민평3사 수익률(산출일)")</f>
        <v>1.7330000000000001</v>
      </c>
    </row>
    <row r="8" spans="1:77" x14ac:dyDescent="0.25">
      <c r="D8" s="23" t="s">
        <v>1</v>
      </c>
      <c r="E8" s="10" t="str">
        <f>_xll.IMDP("BND",$E$4,"이자종류")</f>
        <v>이표채</v>
      </c>
      <c r="F8" s="78" t="s">
        <v>3</v>
      </c>
      <c r="G8" s="6" t="str">
        <f>_xll.IMDP("BND",$E$4,"이자단위택일구분")</f>
        <v>만기일일자기준</v>
      </c>
      <c r="H8" s="20" t="s">
        <v>51</v>
      </c>
      <c r="I8" s="6" t="str">
        <f>_xll.IMDP("BND",$E$4,"선매출일이자계산유형")</f>
        <v/>
      </c>
      <c r="J8" s="82" t="s">
        <v>53</v>
      </c>
      <c r="K8" s="25" t="s">
        <v>35</v>
      </c>
      <c r="L8" s="16" t="s">
        <v>32</v>
      </c>
      <c r="M8" s="16" t="s">
        <v>29</v>
      </c>
      <c r="N8" s="57" t="s">
        <v>33</v>
      </c>
      <c r="O8" s="68" t="s">
        <v>16</v>
      </c>
      <c r="P8" s="68">
        <f>_xll.IMDP("BND",$E$4,"민평4사 수익률(산출일)")</f>
        <v>1.732</v>
      </c>
    </row>
    <row r="9" spans="1:77" x14ac:dyDescent="0.25">
      <c r="D9" s="23" t="s">
        <v>47</v>
      </c>
      <c r="E9" s="10">
        <f>_xll.IMDP("BND",$E$4,"표면이율")</f>
        <v>2.125</v>
      </c>
      <c r="F9" s="78" t="s">
        <v>48</v>
      </c>
      <c r="G9" s="11" t="str">
        <f>_xll.IMDP("BND",$E$4,"이자지급기간")</f>
        <v>06M</v>
      </c>
      <c r="H9" s="20" t="s">
        <v>42</v>
      </c>
      <c r="I9" s="6">
        <f>_xll.IMDP("BND",$E$4,"만기보장수익률")</f>
        <v>0</v>
      </c>
      <c r="J9" s="82" t="s">
        <v>44</v>
      </c>
      <c r="K9" s="26">
        <f>_xll.IMDP("BND",$E$4,"KIS 수익률(산출일)")</f>
        <v>1.732</v>
      </c>
      <c r="L9" s="5">
        <f>_xll.IMDP("BND",$E$4,"NIC 수익률(산출일)")</f>
        <v>1.7350000000000001</v>
      </c>
      <c r="M9" s="5">
        <f>_xll.IMDP("BND",$E$4,"KBP 수익률(산출일)")</f>
        <v>1.732</v>
      </c>
      <c r="N9" s="24">
        <f>_xll.IMDP("BND",$E$4,"FNP 수익률(산출일)")</f>
        <v>1.732</v>
      </c>
      <c r="O9" s="68" t="s">
        <v>26</v>
      </c>
      <c r="P9" s="68">
        <f>_xll.IMDP("BND",$E$4,"KBP 수익률(산출일)")</f>
        <v>1.732</v>
      </c>
    </row>
    <row r="10" spans="1:77" ht="14.25" thickBot="1" x14ac:dyDescent="0.3">
      <c r="D10" s="58" t="s">
        <v>46</v>
      </c>
      <c r="E10" s="59" t="str">
        <f>_xll.IMDP("BND",$E$4,"이자원미만처리구분")</f>
        <v>절사</v>
      </c>
      <c r="F10" s="79" t="s">
        <v>49</v>
      </c>
      <c r="G10" s="61" t="str">
        <f>_xll.IMDP("BND",$E$4,"이자선후구분")</f>
        <v>후급</v>
      </c>
      <c r="H10" s="60" t="s">
        <v>52</v>
      </c>
      <c r="I10" s="80">
        <f>_xll.IMDP("BND",$E$4,"상환비율 (만기상환율)")</f>
        <v>100</v>
      </c>
      <c r="J10" s="83" t="s">
        <v>45</v>
      </c>
      <c r="K10" s="27">
        <f>_xll.IMDP("BND",$E$4,"KIS 가격(산출일)")</f>
        <v>10912.81</v>
      </c>
      <c r="L10" s="28">
        <f>_xll.IMDP("BND",$E$4,"NIC 가격(산출일)")</f>
        <v>10905.89</v>
      </c>
      <c r="M10" s="28">
        <f>_xll.IMDP("BND",$E$4,"KBP 가격(산출일)")</f>
        <v>10912.81</v>
      </c>
      <c r="N10" s="29">
        <f>_xll.IMDP("BND",$E$4,"FNP 가격(산출일)")</f>
        <v>10912.81</v>
      </c>
      <c r="O10" s="68" t="s">
        <v>24</v>
      </c>
      <c r="P10" s="68">
        <f>_xll.IMDP("BND",$E$4,"KIS 수익률(산출일)")</f>
        <v>1.732</v>
      </c>
    </row>
    <row r="11" spans="1:77" ht="14.25" thickBot="1" x14ac:dyDescent="0.3">
      <c r="O11" s="68" t="s">
        <v>25</v>
      </c>
      <c r="P11" s="68">
        <f>_xll.IMDP("BND",$E$4,"NIC 수익률(산출일)")</f>
        <v>1.7350000000000001</v>
      </c>
    </row>
    <row r="12" spans="1:77" ht="18" customHeight="1" x14ac:dyDescent="0.25">
      <c r="D12" s="30" t="s">
        <v>7</v>
      </c>
      <c r="E12" s="31" t="s">
        <v>23</v>
      </c>
      <c r="F12" s="31" t="s">
        <v>8</v>
      </c>
      <c r="G12" s="31" t="s">
        <v>9</v>
      </c>
      <c r="H12" s="32" t="s">
        <v>17</v>
      </c>
      <c r="I12" s="33" t="s">
        <v>18</v>
      </c>
      <c r="J12" s="33" t="s">
        <v>19</v>
      </c>
      <c r="K12" s="33" t="s">
        <v>20</v>
      </c>
      <c r="L12" s="33" t="s">
        <v>21</v>
      </c>
      <c r="M12" s="33" t="s">
        <v>10</v>
      </c>
      <c r="N12" s="34" t="s">
        <v>27</v>
      </c>
      <c r="O12" s="68"/>
      <c r="P12" s="68"/>
    </row>
    <row r="13" spans="1:77" x14ac:dyDescent="0.25">
      <c r="B13" s="21">
        <v>-7</v>
      </c>
      <c r="C13" s="22">
        <f t="shared" ref="C13:C27" si="0">$B13/100</f>
        <v>-7.0000000000000007E-2</v>
      </c>
      <c r="D13" s="42">
        <f ca="1">WORKDAY(TODAY(),1)</f>
        <v>43621</v>
      </c>
      <c r="E13" s="4">
        <f>ROUND($K$4+$C13,3)</f>
        <v>1.663</v>
      </c>
      <c r="F13" s="12">
        <f ca="1">_xll.IMBC($E$4,F$12,$D13,$E13,$E$12)</f>
        <v>11074.01</v>
      </c>
      <c r="G13" s="13">
        <f ca="1">_xll.IMBC($E$4,G$12,$D13,$E13,$E$12)</f>
        <v>10140</v>
      </c>
      <c r="H13" s="14">
        <f ca="1">ROUNDDOWN(_xll.IMBC($E$4,H$12,$D13,$E13,$E$12),3)</f>
        <v>11023.779</v>
      </c>
      <c r="I13" s="14">
        <f ca="1">ROUNDDOWN(_xll.IMBC($E$4,I$12,$D13,$E13,$E$12),3)</f>
        <v>234920.72500000001</v>
      </c>
      <c r="J13" s="15">
        <f ca="1">ROUNDDOWN(_xll.IMBC($E$4,J$12,$D13,$E13,$E$12),4)</f>
        <v>21.3901</v>
      </c>
      <c r="K13" s="15">
        <f ca="1">ROUNDDOWN(_xll.IMBC($E$4,K$12,$D13,$E13,$E$12),4)</f>
        <v>21.213699999999999</v>
      </c>
      <c r="L13" s="14">
        <f ca="1">ROUNDDOWN(_xll.IMBC($E$4,L$12,$D13,$E13,$E$12),3)</f>
        <v>5989466.9000000004</v>
      </c>
      <c r="M13" s="15">
        <f ca="1">ROUNDDOWN(_xll.IMBC($E$4,M$12,$D13,$E13,$E$12),4)</f>
        <v>540.85799999999995</v>
      </c>
      <c r="N13" s="35">
        <f ca="1">ROUNDDOWN(_xll.IMBC($E$4,N$12,$D13,$E13,$E$12),4)</f>
        <v>23.492100000000001</v>
      </c>
    </row>
    <row r="14" spans="1:77" ht="16.5" customHeight="1" x14ac:dyDescent="0.25">
      <c r="B14" s="21">
        <v>-6</v>
      </c>
      <c r="C14" s="22">
        <f t="shared" si="0"/>
        <v>-0.06</v>
      </c>
      <c r="D14" s="42">
        <f t="shared" ref="D14:D27" ca="1" si="1">WORKDAY(TODAY(),1)</f>
        <v>43621</v>
      </c>
      <c r="E14" s="4">
        <f t="shared" ref="E14:E27" si="2">ROUND($K$4+$C14,3)</f>
        <v>1.673</v>
      </c>
      <c r="F14" s="12">
        <f ca="1">_xll.IMBC($E$4,F$12,$D14,$E14,$E$12)</f>
        <v>11050.55</v>
      </c>
      <c r="G14" s="13">
        <f ca="1">_xll.IMBC($E$4,G$12,$D14,$E14,$E$12)</f>
        <v>10140</v>
      </c>
      <c r="H14" s="14">
        <f ca="1">ROUNDDOWN(_xll.IMBC($E$4,H$12,$D14,$E14,$E$12),3)</f>
        <v>11000.315000000001</v>
      </c>
      <c r="I14" s="14">
        <f ca="1">ROUNDDOWN(_xll.IMBC($E$4,I$12,$D14,$E14,$E$12),3)</f>
        <v>234322.492</v>
      </c>
      <c r="J14" s="15">
        <f ca="1">ROUNDDOWN(_xll.IMBC($E$4,J$12,$D14,$E14,$E$12),4)</f>
        <v>21.382000000000001</v>
      </c>
      <c r="K14" s="15">
        <f ca="1">ROUNDDOWN(_xll.IMBC($E$4,K$12,$D14,$E14,$E$12),4)</f>
        <v>21.204599999999999</v>
      </c>
      <c r="L14" s="14">
        <f ca="1">ROUNDDOWN(_xll.IMBC($E$4,L$12,$D14,$E14,$E$12),3)</f>
        <v>5973216.7790000001</v>
      </c>
      <c r="M14" s="15">
        <f ca="1">ROUNDDOWN(_xll.IMBC($E$4,M$12,$D14,$E14,$E$12),4)</f>
        <v>540.53570000000002</v>
      </c>
      <c r="N14" s="35">
        <f ca="1">ROUNDDOWN(_xll.IMBC($E$4,N$12,$D14,$E14,$E$12),4)</f>
        <v>23.432300000000001</v>
      </c>
    </row>
    <row r="15" spans="1:77" x14ac:dyDescent="0.25">
      <c r="B15" s="21">
        <v>-5</v>
      </c>
      <c r="C15" s="22">
        <f t="shared" si="0"/>
        <v>-0.05</v>
      </c>
      <c r="D15" s="42">
        <f t="shared" ca="1" si="1"/>
        <v>43621</v>
      </c>
      <c r="E15" s="4">
        <f t="shared" si="2"/>
        <v>1.6830000000000001</v>
      </c>
      <c r="F15" s="12">
        <f ca="1">_xll.IMBC($E$4,F$12,$D15,$E15,$E$12)</f>
        <v>11027.15</v>
      </c>
      <c r="G15" s="13">
        <f ca="1">_xll.IMBC($E$4,G$12,$D15,$E15,$E$12)</f>
        <v>10140</v>
      </c>
      <c r="H15" s="14">
        <f ca="1">ROUNDDOWN(_xll.IMBC($E$4,H$12,$D15,$E15,$E$12),3)</f>
        <v>10976.912</v>
      </c>
      <c r="I15" s="14">
        <f ca="1">ROUNDDOWN(_xll.IMBC($E$4,I$12,$D15,$E15,$E$12),3)</f>
        <v>233727.06</v>
      </c>
      <c r="J15" s="15">
        <f ca="1">ROUNDDOWN(_xll.IMBC($E$4,J$12,$D15,$E15,$E$12),4)</f>
        <v>21.373899999999999</v>
      </c>
      <c r="K15" s="15">
        <f ca="1">ROUNDDOWN(_xll.IMBC($E$4,K$12,$D15,$E15,$E$12),4)</f>
        <v>21.195599999999999</v>
      </c>
      <c r="L15" s="14">
        <f ca="1">ROUNDDOWN(_xll.IMBC($E$4,L$12,$D15,$E15,$E$12),3)</f>
        <v>5957011.9879999999</v>
      </c>
      <c r="M15" s="15">
        <f ca="1">ROUNDDOWN(_xll.IMBC($E$4,M$12,$D15,$E15,$E$12),4)</f>
        <v>540.21320000000003</v>
      </c>
      <c r="N15" s="35">
        <f ca="1">ROUNDDOWN(_xll.IMBC($E$4,N$12,$D15,$E15,$E$12),4)</f>
        <v>23.372699999999998</v>
      </c>
    </row>
    <row r="16" spans="1:77" x14ac:dyDescent="0.25">
      <c r="B16" s="21">
        <v>-4</v>
      </c>
      <c r="C16" s="22">
        <f t="shared" si="0"/>
        <v>-0.04</v>
      </c>
      <c r="D16" s="42">
        <f t="shared" ca="1" si="1"/>
        <v>43621</v>
      </c>
      <c r="E16" s="4">
        <f t="shared" si="2"/>
        <v>1.6930000000000001</v>
      </c>
      <c r="F16" s="12">
        <f ca="1">_xll.IMBC($E$4,F$12,$D16,$E16,$E$12)</f>
        <v>11003.8</v>
      </c>
      <c r="G16" s="13">
        <f ca="1">_xll.IMBC($E$4,G$12,$D16,$E16,$E$12)</f>
        <v>10140</v>
      </c>
      <c r="H16" s="14">
        <f ca="1">ROUNDDOWN(_xll.IMBC($E$4,H$12,$D16,$E16,$E$12),3)</f>
        <v>10953.567999999999</v>
      </c>
      <c r="I16" s="14">
        <f ca="1">ROUNDDOWN(_xll.IMBC($E$4,I$12,$D16,$E16,$E$12),3)</f>
        <v>233132.008</v>
      </c>
      <c r="J16" s="15">
        <f ca="1">ROUNDDOWN(_xll.IMBC($E$4,J$12,$D16,$E16,$E$12),4)</f>
        <v>21.3658</v>
      </c>
      <c r="K16" s="15">
        <f ca="1">ROUNDDOWN(_xll.IMBC($E$4,K$12,$D16,$E16,$E$12),4)</f>
        <v>21.186499999999999</v>
      </c>
      <c r="L16" s="14">
        <f ca="1">ROUNDDOWN(_xll.IMBC($E$4,L$12,$D16,$E16,$E$12),3)</f>
        <v>5940848.1840000004</v>
      </c>
      <c r="M16" s="15">
        <f ca="1">ROUNDDOWN(_xll.IMBC($E$4,M$12,$D16,$E16,$E$12),4)</f>
        <v>539.89059999999995</v>
      </c>
      <c r="N16" s="35">
        <f ca="1">ROUNDDOWN(_xll.IMBC($E$4,N$12,$D16,$E16,$E$12),4)</f>
        <v>23.313199999999998</v>
      </c>
    </row>
    <row r="17" spans="2:14" x14ac:dyDescent="0.25">
      <c r="B17" s="21">
        <v>-3</v>
      </c>
      <c r="C17" s="22">
        <f t="shared" si="0"/>
        <v>-0.03</v>
      </c>
      <c r="D17" s="42">
        <f t="shared" ca="1" si="1"/>
        <v>43621</v>
      </c>
      <c r="E17" s="4">
        <f t="shared" si="2"/>
        <v>1.7030000000000001</v>
      </c>
      <c r="F17" s="12">
        <f ca="1">_xll.IMBC($E$4,F$12,$D17,$E17,$E$12)</f>
        <v>10980.52</v>
      </c>
      <c r="G17" s="13">
        <f ca="1">_xll.IMBC($E$4,G$12,$D17,$E17,$E$12)</f>
        <v>10140</v>
      </c>
      <c r="H17" s="14">
        <f ca="1">ROUNDDOWN(_xll.IMBC($E$4,H$12,$D17,$E17,$E$12),3)</f>
        <v>10930.282999999999</v>
      </c>
      <c r="I17" s="14">
        <f ca="1">ROUNDDOWN(_xll.IMBC($E$4,I$12,$D17,$E17,$E$12),3)</f>
        <v>232537.766</v>
      </c>
      <c r="J17" s="15">
        <f ca="1">ROUNDDOWN(_xll.IMBC($E$4,J$12,$D17,$E17,$E$12),4)</f>
        <v>21.357700000000001</v>
      </c>
      <c r="K17" s="15">
        <f ca="1">ROUNDDOWN(_xll.IMBC($E$4,K$12,$D17,$E17,$E$12),4)</f>
        <v>21.177299999999999</v>
      </c>
      <c r="L17" s="14">
        <f ca="1">ROUNDDOWN(_xll.IMBC($E$4,L$12,$D17,$E17,$E$12),3)</f>
        <v>5924736.1169999996</v>
      </c>
      <c r="M17" s="15">
        <f ca="1">ROUNDDOWN(_xll.IMBC($E$4,M$12,$D17,$E17,$E$12),4)</f>
        <v>539.56790000000001</v>
      </c>
      <c r="N17" s="35">
        <f ca="1">ROUNDDOWN(_xll.IMBC($E$4,N$12,$D17,$E17,$E$12),4)</f>
        <v>23.253799999999998</v>
      </c>
    </row>
    <row r="18" spans="2:14" x14ac:dyDescent="0.25">
      <c r="B18" s="21">
        <v>-2</v>
      </c>
      <c r="C18" s="22">
        <f t="shared" si="0"/>
        <v>-0.02</v>
      </c>
      <c r="D18" s="42">
        <f t="shared" ca="1" si="1"/>
        <v>43621</v>
      </c>
      <c r="E18" s="4">
        <f t="shared" si="2"/>
        <v>1.7130000000000001</v>
      </c>
      <c r="F18" s="12">
        <f ca="1">_xll.IMBC($E$4,F$12,$D18,$E18,$E$12)</f>
        <v>10957.29</v>
      </c>
      <c r="G18" s="13">
        <f ca="1">_xll.IMBC($E$4,G$12,$D18,$E18,$E$12)</f>
        <v>10140</v>
      </c>
      <c r="H18" s="14">
        <f ca="1">ROUNDDOWN(_xll.IMBC($E$4,H$12,$D18,$E18,$E$12),3)</f>
        <v>10907.058000000001</v>
      </c>
      <c r="I18" s="14">
        <f ca="1">ROUNDDOWN(_xll.IMBC($E$4,I$12,$D18,$E18,$E$12),3)</f>
        <v>231946.106</v>
      </c>
      <c r="J18" s="15">
        <f ca="1">ROUNDDOWN(_xll.IMBC($E$4,J$12,$D18,$E18,$E$12),4)</f>
        <v>21.349499999999999</v>
      </c>
      <c r="K18" s="15">
        <f ca="1">ROUNDDOWN(_xll.IMBC($E$4,K$12,$D18,$E18,$E$12),4)</f>
        <v>21.168199999999999</v>
      </c>
      <c r="L18" s="14">
        <f ca="1">ROUNDDOWN(_xll.IMBC($E$4,L$12,$D18,$E18,$E$12),3)</f>
        <v>5908663.8459999999</v>
      </c>
      <c r="M18" s="15">
        <f ca="1">ROUNDDOWN(_xll.IMBC($E$4,M$12,$D18,$E18,$E$12),4)</f>
        <v>539.245</v>
      </c>
      <c r="N18" s="35">
        <f ca="1">ROUNDDOWN(_xll.IMBC($E$4,N$12,$D18,$E18,$E$12),4)</f>
        <v>23.194700000000001</v>
      </c>
    </row>
    <row r="19" spans="2:14" x14ac:dyDescent="0.25">
      <c r="B19" s="21">
        <v>-1</v>
      </c>
      <c r="C19" s="22">
        <f t="shared" si="0"/>
        <v>-0.01</v>
      </c>
      <c r="D19" s="42">
        <f t="shared" ca="1" si="1"/>
        <v>43621</v>
      </c>
      <c r="E19" s="4">
        <f t="shared" si="2"/>
        <v>1.7230000000000001</v>
      </c>
      <c r="F19" s="12">
        <f ca="1">_xll.IMBC($E$4,F$12,$D19,$E19,$E$12)</f>
        <v>10934.12</v>
      </c>
      <c r="G19" s="13">
        <f ca="1">_xll.IMBC($E$4,G$12,$D19,$E19,$E$12)</f>
        <v>10140</v>
      </c>
      <c r="H19" s="14">
        <f ca="1">ROUNDDOWN(_xll.IMBC($E$4,H$12,$D19,$E19,$E$12),3)</f>
        <v>10883.892</v>
      </c>
      <c r="I19" s="14">
        <f ca="1">ROUNDDOWN(_xll.IMBC($E$4,I$12,$D19,$E19,$E$12),3)</f>
        <v>231356.13800000001</v>
      </c>
      <c r="J19" s="15">
        <f ca="1">ROUNDDOWN(_xll.IMBC($E$4,J$12,$D19,$E19,$E$12),4)</f>
        <v>21.3414</v>
      </c>
      <c r="K19" s="15">
        <f ca="1">ROUNDDOWN(_xll.IMBC($E$4,K$12,$D19,$E19,$E$12),4)</f>
        <v>21.159099999999999</v>
      </c>
      <c r="L19" s="14">
        <f ca="1">ROUNDDOWN(_xll.IMBC($E$4,L$12,$D19,$E19,$E$12),3)</f>
        <v>5892636.7249999996</v>
      </c>
      <c r="M19" s="15">
        <f ca="1">ROUNDDOWN(_xll.IMBC($E$4,M$12,$D19,$E19,$E$12),4)</f>
        <v>538.92190000000005</v>
      </c>
      <c r="N19" s="35">
        <f ca="1">ROUNDDOWN(_xll.IMBC($E$4,N$12,$D19,$E19,$E$12),4)</f>
        <v>23.1357</v>
      </c>
    </row>
    <row r="20" spans="2:14" x14ac:dyDescent="0.25">
      <c r="B20" s="21">
        <v>0</v>
      </c>
      <c r="C20" s="22">
        <f t="shared" si="0"/>
        <v>0</v>
      </c>
      <c r="D20" s="44">
        <f t="shared" ca="1" si="1"/>
        <v>43621</v>
      </c>
      <c r="E20" s="45">
        <f t="shared" si="2"/>
        <v>1.7330000000000001</v>
      </c>
      <c r="F20" s="46">
        <f ca="1">_xll.IMBC($E$4,F$12,$D20,$E20,$E$12)</f>
        <v>10911.02</v>
      </c>
      <c r="G20" s="47">
        <f ca="1">_xll.IMBC($E$4,G$12,$D20,$E20,$E$12)</f>
        <v>10140</v>
      </c>
      <c r="H20" s="48">
        <f ca="1">ROUNDDOWN(_xll.IMBC($E$4,H$12,$D20,$E20,$E$12),3)</f>
        <v>10860.784</v>
      </c>
      <c r="I20" s="48">
        <f ca="1">ROUNDDOWN(_xll.IMBC($E$4,I$12,$D20,$E20,$E$12),3)</f>
        <v>230768.073</v>
      </c>
      <c r="J20" s="49">
        <f ca="1">ROUNDDOWN(_xll.IMBC($E$4,J$12,$D20,$E20,$E$12),4)</f>
        <v>21.333300000000001</v>
      </c>
      <c r="K20" s="49">
        <f ca="1">ROUNDDOWN(_xll.IMBC($E$4,K$12,$D20,$E20,$E$12),4)</f>
        <v>21.15</v>
      </c>
      <c r="L20" s="48">
        <f ca="1">ROUNDDOWN(_xll.IMBC($E$4,L$12,$D20,$E20,$E$12),3)</f>
        <v>5876661.1869999999</v>
      </c>
      <c r="M20" s="49">
        <f ca="1">ROUNDDOWN(_xll.IMBC($E$4,M$12,$D20,$E20,$E$12),4)</f>
        <v>538.59870000000001</v>
      </c>
      <c r="N20" s="50">
        <f ca="1">ROUNDDOWN(_xll.IMBC($E$4,N$12,$D20,$E20,$E$12),4)</f>
        <v>23.076799999999999</v>
      </c>
    </row>
    <row r="21" spans="2:14" x14ac:dyDescent="0.25">
      <c r="B21" s="21">
        <v>1</v>
      </c>
      <c r="C21" s="22">
        <f t="shared" si="0"/>
        <v>0.01</v>
      </c>
      <c r="D21" s="42">
        <f t="shared" ca="1" si="1"/>
        <v>43621</v>
      </c>
      <c r="E21" s="4">
        <f t="shared" si="2"/>
        <v>1.7430000000000001</v>
      </c>
      <c r="F21" s="12">
        <f ca="1">_xll.IMBC($E$4,F$12,$D21,$E21,$E$12)</f>
        <v>10887.97</v>
      </c>
      <c r="G21" s="13">
        <f ca="1">_xll.IMBC($E$4,G$12,$D21,$E21,$E$12)</f>
        <v>10140</v>
      </c>
      <c r="H21" s="14">
        <f ca="1">ROUNDDOWN(_xll.IMBC($E$4,H$12,$D21,$E21,$E$12),3)</f>
        <v>10837.736000000001</v>
      </c>
      <c r="I21" s="14">
        <f ca="1">ROUNDDOWN(_xll.IMBC($E$4,I$12,$D21,$E21,$E$12),3)</f>
        <v>230181.484</v>
      </c>
      <c r="J21" s="15">
        <f ca="1">ROUNDDOWN(_xll.IMBC($E$4,J$12,$D21,$E21,$E$12),4)</f>
        <v>21.325099999999999</v>
      </c>
      <c r="K21" s="15">
        <f ca="1">ROUNDDOWN(_xll.IMBC($E$4,K$12,$D21,$E21,$E$12),4)</f>
        <v>21.140899999999998</v>
      </c>
      <c r="L21" s="14">
        <f ca="1">ROUNDDOWN(_xll.IMBC($E$4,L$12,$D21,$E21,$E$12),3)</f>
        <v>5860725.318</v>
      </c>
      <c r="M21" s="15">
        <f ca="1">ROUNDDOWN(_xll.IMBC($E$4,M$12,$D21,$E21,$E$12),4)</f>
        <v>538.27530000000002</v>
      </c>
      <c r="N21" s="35">
        <f ca="1">ROUNDDOWN(_xll.IMBC($E$4,N$12,$D21,$E21,$E$12),4)</f>
        <v>23.0181</v>
      </c>
    </row>
    <row r="22" spans="2:14" x14ac:dyDescent="0.25">
      <c r="B22" s="21">
        <v>2</v>
      </c>
      <c r="C22" s="22">
        <f t="shared" si="0"/>
        <v>0.02</v>
      </c>
      <c r="D22" s="42">
        <f t="shared" ca="1" si="1"/>
        <v>43621</v>
      </c>
      <c r="E22" s="4">
        <f t="shared" si="2"/>
        <v>1.7529999999999999</v>
      </c>
      <c r="F22" s="12">
        <f ca="1">_xll.IMBC($E$4,F$12,$D22,$E22,$E$12)</f>
        <v>10864.98</v>
      </c>
      <c r="G22" s="13">
        <f ca="1">_xll.IMBC($E$4,G$12,$D22,$E22,$E$12)</f>
        <v>10140</v>
      </c>
      <c r="H22" s="14">
        <f ca="1">ROUNDDOWN(_xll.IMBC($E$4,H$12,$D22,$E22,$E$12),3)</f>
        <v>10814.745999999999</v>
      </c>
      <c r="I22" s="14">
        <f ca="1">ROUNDDOWN(_xll.IMBC($E$4,I$12,$D22,$E22,$E$12),3)</f>
        <v>229595.497</v>
      </c>
      <c r="J22" s="15">
        <f ca="1">ROUNDDOWN(_xll.IMBC($E$4,J$12,$D22,$E22,$E$12),4)</f>
        <v>21.3169</v>
      </c>
      <c r="K22" s="15">
        <f ca="1">ROUNDDOWN(_xll.IMBC($E$4,K$12,$D22,$E22,$E$12),4)</f>
        <v>21.131699999999999</v>
      </c>
      <c r="L22" s="14">
        <f ca="1">ROUNDDOWN(_xll.IMBC($E$4,L$12,$D22,$E22,$E$12),3)</f>
        <v>5844835.5470000003</v>
      </c>
      <c r="M22" s="15">
        <f ca="1">ROUNDDOWN(_xll.IMBC($E$4,M$12,$D22,$E22,$E$12),4)</f>
        <v>537.95180000000005</v>
      </c>
      <c r="N22" s="35">
        <f ca="1">ROUNDDOWN(_xll.IMBC($E$4,N$12,$D22,$E22,$E$12),4)</f>
        <v>22.959599999999998</v>
      </c>
    </row>
    <row r="23" spans="2:14" x14ac:dyDescent="0.25">
      <c r="B23" s="21">
        <v>3</v>
      </c>
      <c r="C23" s="22">
        <f t="shared" si="0"/>
        <v>0.03</v>
      </c>
      <c r="D23" s="42">
        <f t="shared" ca="1" si="1"/>
        <v>43621</v>
      </c>
      <c r="E23" s="4">
        <f t="shared" si="2"/>
        <v>1.7629999999999999</v>
      </c>
      <c r="F23" s="12">
        <f ca="1">_xll.IMBC($E$4,F$12,$D23,$E23,$E$12)</f>
        <v>10842.05</v>
      </c>
      <c r="G23" s="13">
        <f ca="1">_xll.IMBC($E$4,G$12,$D23,$E23,$E$12)</f>
        <v>10140</v>
      </c>
      <c r="H23" s="14">
        <f ca="1">ROUNDDOWN(_xll.IMBC($E$4,H$12,$D23,$E23,$E$12),3)</f>
        <v>10791.814</v>
      </c>
      <c r="I23" s="14">
        <f ca="1">ROUNDDOWN(_xll.IMBC($E$4,I$12,$D23,$E23,$E$12),3)</f>
        <v>229012.285</v>
      </c>
      <c r="J23" s="15">
        <f ca="1">ROUNDDOWN(_xll.IMBC($E$4,J$12,$D23,$E23,$E$12),4)</f>
        <v>21.308800000000002</v>
      </c>
      <c r="K23" s="15">
        <f ca="1">ROUNDDOWN(_xll.IMBC($E$4,K$12,$D23,$E23,$E$12),4)</f>
        <v>21.122599999999998</v>
      </c>
      <c r="L23" s="14">
        <f ca="1">ROUNDDOWN(_xll.IMBC($E$4,L$12,$D23,$E23,$E$12),3)</f>
        <v>5828991.8250000002</v>
      </c>
      <c r="M23" s="15">
        <f ca="1">ROUNDDOWN(_xll.IMBC($E$4,M$12,$D23,$E23,$E$12),4)</f>
        <v>537.62819999999999</v>
      </c>
      <c r="N23" s="35">
        <f ca="1">ROUNDDOWN(_xll.IMBC($E$4,N$12,$D23,$E23,$E$12),4)</f>
        <v>22.901199999999999</v>
      </c>
    </row>
    <row r="24" spans="2:14" x14ac:dyDescent="0.25">
      <c r="B24" s="21">
        <v>4</v>
      </c>
      <c r="C24" s="22">
        <f t="shared" si="0"/>
        <v>0.04</v>
      </c>
      <c r="D24" s="42">
        <f t="shared" ca="1" si="1"/>
        <v>43621</v>
      </c>
      <c r="E24" s="4">
        <f t="shared" si="2"/>
        <v>1.7729999999999999</v>
      </c>
      <c r="F24" s="12">
        <f ca="1">_xll.IMBC($E$4,F$12,$D24,$E24,$E$12)</f>
        <v>10819.17</v>
      </c>
      <c r="G24" s="13">
        <f ca="1">_xll.IMBC($E$4,G$12,$D24,$E24,$E$12)</f>
        <v>10140</v>
      </c>
      <c r="H24" s="14">
        <f ca="1">ROUNDDOWN(_xll.IMBC($E$4,H$12,$D24,$E24,$E$12),3)</f>
        <v>10768.941000000001</v>
      </c>
      <c r="I24" s="14">
        <f ca="1">ROUNDDOWN(_xll.IMBC($E$4,I$12,$D24,$E24,$E$12),3)</f>
        <v>228429.46299999999</v>
      </c>
      <c r="J24" s="15">
        <f ca="1">ROUNDDOWN(_xll.IMBC($E$4,J$12,$D24,$E24,$E$12),4)</f>
        <v>21.300599999999999</v>
      </c>
      <c r="K24" s="15">
        <f ca="1">ROUNDDOWN(_xll.IMBC($E$4,K$12,$D24,$E24,$E$12),4)</f>
        <v>21.113399999999999</v>
      </c>
      <c r="L24" s="14">
        <f ca="1">ROUNDDOWN(_xll.IMBC($E$4,L$12,$D24,$E24,$E$12),3)</f>
        <v>5813187.6449999996</v>
      </c>
      <c r="M24" s="15">
        <f ca="1">ROUNDDOWN(_xll.IMBC($E$4,M$12,$D24,$E24,$E$12),4)</f>
        <v>537.30439999999999</v>
      </c>
      <c r="N24" s="35">
        <f ca="1">ROUNDDOWN(_xll.IMBC($E$4,N$12,$D24,$E24,$E$12),4)</f>
        <v>22.843</v>
      </c>
    </row>
    <row r="25" spans="2:14" x14ac:dyDescent="0.25">
      <c r="B25" s="21">
        <v>5</v>
      </c>
      <c r="C25" s="22">
        <f t="shared" si="0"/>
        <v>0.05</v>
      </c>
      <c r="D25" s="42">
        <f t="shared" ca="1" si="1"/>
        <v>43621</v>
      </c>
      <c r="E25" s="4">
        <f t="shared" si="2"/>
        <v>1.7829999999999999</v>
      </c>
      <c r="F25" s="12">
        <f ca="1">_xll.IMBC($E$4,F$12,$D25,$E25,$E$12)</f>
        <v>10796.36</v>
      </c>
      <c r="G25" s="13">
        <f ca="1">_xll.IMBC($E$4,G$12,$D25,$E25,$E$12)</f>
        <v>10140</v>
      </c>
      <c r="H25" s="14">
        <f ca="1">ROUNDDOWN(_xll.IMBC($E$4,H$12,$D25,$E25,$E$12),3)</f>
        <v>10746.126</v>
      </c>
      <c r="I25" s="14">
        <f ca="1">ROUNDDOWN(_xll.IMBC($E$4,I$12,$D25,$E25,$E$12),3)</f>
        <v>227849.62</v>
      </c>
      <c r="J25" s="15">
        <f ca="1">ROUNDDOWN(_xll.IMBC($E$4,J$12,$D25,$E25,$E$12),4)</f>
        <v>21.292400000000001</v>
      </c>
      <c r="K25" s="15">
        <f ca="1">ROUNDDOWN(_xll.IMBC($E$4,K$12,$D25,$E25,$E$12),4)</f>
        <v>21.104299999999999</v>
      </c>
      <c r="L25" s="14">
        <f ca="1">ROUNDDOWN(_xll.IMBC($E$4,L$12,$D25,$E25,$E$12),3)</f>
        <v>5797433.7110000001</v>
      </c>
      <c r="M25" s="15">
        <f ca="1">ROUNDDOWN(_xll.IMBC($E$4,M$12,$D25,$E25,$E$12),4)</f>
        <v>536.98040000000003</v>
      </c>
      <c r="N25" s="35">
        <f ca="1">ROUNDDOWN(_xll.IMBC($E$4,N$12,$D25,$E25,$E$12),4)</f>
        <v>22.7849</v>
      </c>
    </row>
    <row r="26" spans="2:14" x14ac:dyDescent="0.25">
      <c r="B26" s="21">
        <v>6</v>
      </c>
      <c r="C26" s="22">
        <f t="shared" si="0"/>
        <v>0.06</v>
      </c>
      <c r="D26" s="42">
        <f t="shared" ca="1" si="1"/>
        <v>43621</v>
      </c>
      <c r="E26" s="4">
        <f t="shared" si="2"/>
        <v>1.7929999999999999</v>
      </c>
      <c r="F26" s="12">
        <f ca="1">_xll.IMBC($E$4,F$12,$D26,$E26,$E$12)</f>
        <v>10773.6</v>
      </c>
      <c r="G26" s="13">
        <f ca="1">_xll.IMBC($E$4,G$12,$D26,$E26,$E$12)</f>
        <v>10140</v>
      </c>
      <c r="H26" s="14">
        <f ca="1">ROUNDDOWN(_xll.IMBC($E$4,H$12,$D26,$E26,$E$12),3)</f>
        <v>10723.368</v>
      </c>
      <c r="I26" s="14">
        <f ca="1">ROUNDDOWN(_xll.IMBC($E$4,I$12,$D26,$E26,$E$12),3)</f>
        <v>227270.16899999999</v>
      </c>
      <c r="J26" s="15">
        <f ca="1">ROUNDDOWN(_xll.IMBC($E$4,J$12,$D26,$E26,$E$12),4)</f>
        <v>21.284199999999998</v>
      </c>
      <c r="K26" s="15">
        <f ca="1">ROUNDDOWN(_xll.IMBC($E$4,K$12,$D26,$E26,$E$12),4)</f>
        <v>21.095099999999999</v>
      </c>
      <c r="L26" s="14">
        <f ca="1">ROUNDDOWN(_xll.IMBC($E$4,L$12,$D26,$E26,$E$12),3)</f>
        <v>5781720.3130000001</v>
      </c>
      <c r="M26" s="15">
        <f ca="1">ROUNDDOWN(_xll.IMBC($E$4,M$12,$D26,$E26,$E$12),4)</f>
        <v>536.65629999999999</v>
      </c>
      <c r="N26" s="35">
        <f ca="1">ROUNDDOWN(_xll.IMBC($E$4,N$12,$D26,$E26,$E$12),4)</f>
        <v>22.727</v>
      </c>
    </row>
    <row r="27" spans="2:14" ht="14.25" thickBot="1" x14ac:dyDescent="0.3">
      <c r="B27" s="21">
        <v>7</v>
      </c>
      <c r="C27" s="22">
        <f t="shared" si="0"/>
        <v>7.0000000000000007E-2</v>
      </c>
      <c r="D27" s="43">
        <f t="shared" ca="1" si="1"/>
        <v>43621</v>
      </c>
      <c r="E27" s="36">
        <f t="shared" si="2"/>
        <v>1.8029999999999999</v>
      </c>
      <c r="F27" s="37">
        <f ca="1">_xll.IMBC($E$4,F$12,$D27,$E27,$E$12)</f>
        <v>10750.9</v>
      </c>
      <c r="G27" s="38">
        <f ca="1">_xll.IMBC($E$4,G$12,$D27,$E27,$E$12)</f>
        <v>10140</v>
      </c>
      <c r="H27" s="39">
        <f ca="1">ROUNDDOWN(_xll.IMBC($E$4,H$12,$D27,$E27,$E$12),3)</f>
        <v>10700.669</v>
      </c>
      <c r="I27" s="39">
        <f ca="1">ROUNDDOWN(_xll.IMBC($E$4,I$12,$D27,$E27,$E$12),3)</f>
        <v>226692.402</v>
      </c>
      <c r="J27" s="40">
        <f ca="1">ROUNDDOWN(_xll.IMBC($E$4,J$12,$D27,$E27,$E$12),4)</f>
        <v>21.276</v>
      </c>
      <c r="K27" s="40">
        <f ca="1">ROUNDDOWN(_xll.IMBC($E$4,K$12,$D27,$E27,$E$12),4)</f>
        <v>21.085899999999999</v>
      </c>
      <c r="L27" s="39">
        <f ca="1">ROUNDDOWN(_xll.IMBC($E$4,L$12,$D27,$E27,$E$12),3)</f>
        <v>5766052.773</v>
      </c>
      <c r="M27" s="40">
        <f ca="1">ROUNDDOWN(_xll.IMBC($E$4,M$12,$D27,$E27,$E$12),4)</f>
        <v>536.33209999999997</v>
      </c>
      <c r="N27" s="41">
        <f ca="1">ROUNDDOWN(_xll.IMBC($E$4,N$12,$D27,$E27,$E$12),4)</f>
        <v>22.6693</v>
      </c>
    </row>
    <row r="28" spans="2:14" ht="14.25" thickBot="1" x14ac:dyDescent="0.3">
      <c r="H28" s="2"/>
    </row>
    <row r="29" spans="2:14" x14ac:dyDescent="0.25">
      <c r="D29" s="86" t="s">
        <v>5</v>
      </c>
      <c r="E29" s="87"/>
      <c r="F29" s="87"/>
      <c r="G29" s="87"/>
      <c r="H29" s="87"/>
      <c r="I29" s="87"/>
      <c r="J29" s="87"/>
      <c r="K29" s="87"/>
      <c r="L29" s="87"/>
      <c r="M29" s="88"/>
    </row>
    <row r="30" spans="2:14" x14ac:dyDescent="0.25">
      <c r="D30" s="89" t="str">
        <f ca="1">_xll.IMDT("채권현금흐름",E4,D31:M31,,D20,K4,"","sort=A,DtFmt=1,Pos=20,Orient=V,Title="&amp;$G$4&amp;"")</f>
        <v>국고02125-4703(17-1)</v>
      </c>
      <c r="E30" s="90"/>
      <c r="F30" s="90"/>
      <c r="G30" s="90"/>
      <c r="H30" s="90"/>
      <c r="I30" s="90"/>
      <c r="J30" s="90"/>
      <c r="K30" s="90"/>
      <c r="L30" s="90"/>
      <c r="M30" s="91"/>
    </row>
    <row r="31" spans="2:14" ht="14.25" thickBot="1" x14ac:dyDescent="0.3">
      <c r="D31" s="51" t="s">
        <v>6</v>
      </c>
      <c r="E31" s="52" t="s">
        <v>12</v>
      </c>
      <c r="F31" s="52" t="s">
        <v>13</v>
      </c>
      <c r="G31" s="52" t="s">
        <v>14</v>
      </c>
      <c r="H31" s="52" t="s">
        <v>36</v>
      </c>
      <c r="I31" s="62" t="s">
        <v>41</v>
      </c>
      <c r="J31" s="62" t="s">
        <v>37</v>
      </c>
      <c r="K31" s="63" t="s">
        <v>38</v>
      </c>
      <c r="L31" s="63" t="s">
        <v>39</v>
      </c>
      <c r="M31" s="64" t="s">
        <v>40</v>
      </c>
    </row>
    <row r="32" spans="2:14" ht="14.25" thickTop="1" x14ac:dyDescent="0.25">
      <c r="D32" s="53">
        <v>43718</v>
      </c>
      <c r="E32" s="54">
        <v>106.25</v>
      </c>
      <c r="F32" s="54">
        <v>0</v>
      </c>
      <c r="G32" s="54">
        <v>106.25</v>
      </c>
      <c r="H32" s="54">
        <v>1.7330000000000001</v>
      </c>
      <c r="I32" s="56">
        <v>0.99540000000000006</v>
      </c>
      <c r="J32" s="56">
        <v>105.76600000000001</v>
      </c>
      <c r="K32" s="56">
        <v>105.804</v>
      </c>
      <c r="L32" s="1">
        <v>1.5920000000000001</v>
      </c>
      <c r="M32" s="1">
        <v>9.9580000000000002</v>
      </c>
    </row>
    <row r="33" spans="3:19" x14ac:dyDescent="0.25">
      <c r="D33" s="55">
        <v>43900</v>
      </c>
      <c r="E33" s="56">
        <v>106.25</v>
      </c>
      <c r="F33" s="56">
        <v>0</v>
      </c>
      <c r="G33" s="56">
        <v>106.25</v>
      </c>
      <c r="H33" s="56">
        <v>1.7330000000000001</v>
      </c>
      <c r="I33" s="56">
        <v>0.9869</v>
      </c>
      <c r="J33" s="56">
        <v>104.858</v>
      </c>
      <c r="K33" s="56">
        <v>104.995</v>
      </c>
      <c r="L33" s="1">
        <v>1.5660000000000001</v>
      </c>
      <c r="M33" s="1">
        <v>9.8810000000000002</v>
      </c>
    </row>
    <row r="34" spans="3:19" x14ac:dyDescent="0.25">
      <c r="D34" s="55">
        <v>44084</v>
      </c>
      <c r="E34" s="56">
        <v>106.25</v>
      </c>
      <c r="F34" s="56">
        <v>0</v>
      </c>
      <c r="G34" s="56">
        <v>106.25</v>
      </c>
      <c r="H34" s="56">
        <v>1.7330000000000001</v>
      </c>
      <c r="I34" s="56">
        <v>0.97840000000000005</v>
      </c>
      <c r="J34" s="56">
        <v>103.95700000000001</v>
      </c>
      <c r="K34" s="56">
        <v>104.178</v>
      </c>
      <c r="L34" s="1">
        <v>1.5640000000000001</v>
      </c>
      <c r="M34" s="1">
        <v>9.8049999999999997</v>
      </c>
    </row>
    <row r="35" spans="3:19" x14ac:dyDescent="0.25">
      <c r="D35" s="55">
        <v>44265</v>
      </c>
      <c r="E35" s="56">
        <v>106.25</v>
      </c>
      <c r="F35" s="56">
        <v>0</v>
      </c>
      <c r="G35" s="56">
        <v>106.25</v>
      </c>
      <c r="H35" s="56">
        <v>1.7330000000000001</v>
      </c>
      <c r="I35" s="56">
        <v>0.97000000000000008</v>
      </c>
      <c r="J35" s="56">
        <v>103.06400000000001</v>
      </c>
      <c r="K35" s="56">
        <v>103.38</v>
      </c>
      <c r="L35" s="1">
        <v>1.5640000000000001</v>
      </c>
      <c r="M35" s="1">
        <v>9.729000000000001</v>
      </c>
    </row>
    <row r="36" spans="3:19" x14ac:dyDescent="0.25">
      <c r="D36" s="55">
        <v>44449</v>
      </c>
      <c r="E36" s="56">
        <v>106.25</v>
      </c>
      <c r="F36" s="56">
        <v>0</v>
      </c>
      <c r="G36" s="56">
        <v>106.25</v>
      </c>
      <c r="H36" s="56">
        <v>1.7330000000000001</v>
      </c>
      <c r="I36" s="56">
        <v>0.96160000000000001</v>
      </c>
      <c r="J36" s="56">
        <v>102.179</v>
      </c>
      <c r="K36" s="56">
        <v>102.574</v>
      </c>
      <c r="L36" s="1">
        <v>1.5640000000000001</v>
      </c>
      <c r="M36" s="1">
        <v>9.6539999999999999</v>
      </c>
    </row>
    <row r="37" spans="3:19" x14ac:dyDescent="0.25">
      <c r="D37" s="55">
        <v>44630</v>
      </c>
      <c r="E37" s="56">
        <v>106.25</v>
      </c>
      <c r="F37" s="56">
        <v>0</v>
      </c>
      <c r="G37" s="56">
        <v>106.25</v>
      </c>
      <c r="H37" s="56">
        <v>1.7330000000000001</v>
      </c>
      <c r="I37" s="56">
        <v>0.95340000000000003</v>
      </c>
      <c r="J37" s="56">
        <v>101.301</v>
      </c>
      <c r="K37" s="56">
        <v>101.754</v>
      </c>
      <c r="L37" s="1">
        <v>1.5760000000000001</v>
      </c>
      <c r="M37" s="1">
        <v>9.5760000000000005</v>
      </c>
      <c r="S37" s="65"/>
    </row>
    <row r="38" spans="3:19" x14ac:dyDescent="0.25">
      <c r="D38" s="55">
        <v>44814</v>
      </c>
      <c r="E38" s="56">
        <v>106.25</v>
      </c>
      <c r="F38" s="56">
        <v>0</v>
      </c>
      <c r="G38" s="56">
        <v>106.25</v>
      </c>
      <c r="H38" s="56">
        <v>1.7330000000000001</v>
      </c>
      <c r="I38" s="56">
        <v>0.94520000000000004</v>
      </c>
      <c r="J38" s="56">
        <v>100.431</v>
      </c>
      <c r="K38" s="56">
        <v>100.9</v>
      </c>
      <c r="L38" s="1">
        <v>1.593</v>
      </c>
      <c r="M38" s="1">
        <v>9.4960000000000004</v>
      </c>
    </row>
    <row r="39" spans="3:19" x14ac:dyDescent="0.25">
      <c r="D39" s="55">
        <v>44995</v>
      </c>
      <c r="E39" s="56">
        <v>106.25</v>
      </c>
      <c r="F39" s="56">
        <v>0</v>
      </c>
      <c r="G39" s="56">
        <v>106.25</v>
      </c>
      <c r="H39" s="56">
        <v>1.7330000000000001</v>
      </c>
      <c r="I39" s="56">
        <v>0.93710000000000004</v>
      </c>
      <c r="J39" s="56">
        <v>99.567999999999998</v>
      </c>
      <c r="K39" s="56">
        <v>100.087</v>
      </c>
      <c r="L39" s="1">
        <v>1.6</v>
      </c>
      <c r="M39" s="1">
        <v>9.4190000000000005</v>
      </c>
    </row>
    <row r="40" spans="3:19" x14ac:dyDescent="0.25">
      <c r="D40" s="55">
        <v>45179</v>
      </c>
      <c r="E40" s="56">
        <v>106.25</v>
      </c>
      <c r="F40" s="56">
        <v>0</v>
      </c>
      <c r="G40" s="56">
        <v>106.25</v>
      </c>
      <c r="H40" s="56">
        <v>1.7330000000000001</v>
      </c>
      <c r="I40" s="56">
        <v>0.92900000000000005</v>
      </c>
      <c r="J40" s="56">
        <v>98.712000000000003</v>
      </c>
      <c r="K40" s="56">
        <v>99.272000000000006</v>
      </c>
      <c r="L40" s="1">
        <v>1.6040000000000001</v>
      </c>
      <c r="M40" s="1">
        <v>9.343</v>
      </c>
    </row>
    <row r="41" spans="3:19" x14ac:dyDescent="0.25">
      <c r="D41" s="2">
        <v>45361</v>
      </c>
      <c r="E41" s="1">
        <v>106.25</v>
      </c>
      <c r="F41" s="1">
        <v>0</v>
      </c>
      <c r="G41" s="1">
        <v>106.25</v>
      </c>
      <c r="H41" s="56">
        <v>1.7330000000000001</v>
      </c>
      <c r="I41" s="1">
        <v>0.92100000000000004</v>
      </c>
      <c r="J41" s="1">
        <v>97.864000000000004</v>
      </c>
      <c r="K41" s="1">
        <v>98.478000000000009</v>
      </c>
      <c r="L41" s="1">
        <v>1.6060000000000001</v>
      </c>
      <c r="M41" s="1">
        <v>9.2680000000000007</v>
      </c>
    </row>
    <row r="42" spans="3:19" x14ac:dyDescent="0.25">
      <c r="D42" s="2">
        <v>45545</v>
      </c>
      <c r="E42" s="1">
        <v>106.25</v>
      </c>
      <c r="F42" s="1">
        <v>0</v>
      </c>
      <c r="G42" s="1">
        <v>106.25</v>
      </c>
      <c r="H42" s="56">
        <v>1.7330000000000001</v>
      </c>
      <c r="I42" s="1">
        <v>0.91310000000000002</v>
      </c>
      <c r="J42" s="1">
        <v>97.024000000000001</v>
      </c>
      <c r="K42" s="1">
        <v>97.655000000000001</v>
      </c>
      <c r="L42" s="1">
        <v>1.613</v>
      </c>
      <c r="M42" s="1">
        <v>9.1910000000000007</v>
      </c>
    </row>
    <row r="43" spans="3:19" x14ac:dyDescent="0.25">
      <c r="C43" s="67"/>
      <c r="D43" s="55">
        <v>45726</v>
      </c>
      <c r="E43" s="56">
        <v>106.25</v>
      </c>
      <c r="F43" s="56">
        <v>0</v>
      </c>
      <c r="G43" s="56">
        <v>106.25</v>
      </c>
      <c r="H43" s="56">
        <v>1.7330000000000001</v>
      </c>
      <c r="I43" s="56">
        <v>0.90529999999999999</v>
      </c>
      <c r="J43" s="1">
        <v>96.19</v>
      </c>
      <c r="K43" s="1">
        <v>96.817000000000007</v>
      </c>
      <c r="L43" s="1">
        <v>1.625</v>
      </c>
      <c r="M43" s="1">
        <v>9.1120000000000001</v>
      </c>
    </row>
    <row r="44" spans="3:19" x14ac:dyDescent="0.25">
      <c r="C44" s="67"/>
      <c r="D44" s="55">
        <v>45910</v>
      </c>
      <c r="E44" s="56">
        <v>106.25</v>
      </c>
      <c r="F44" s="56">
        <v>0</v>
      </c>
      <c r="G44" s="56">
        <v>106.25</v>
      </c>
      <c r="H44" s="56">
        <v>1.7330000000000001</v>
      </c>
      <c r="I44" s="56">
        <v>0.89750000000000008</v>
      </c>
      <c r="J44" s="56">
        <v>95.364000000000004</v>
      </c>
      <c r="K44" s="56">
        <v>95.957000000000008</v>
      </c>
      <c r="L44" s="1">
        <v>1.6380000000000001</v>
      </c>
      <c r="M44" s="1">
        <v>9.0310000000000006</v>
      </c>
    </row>
    <row r="45" spans="3:19" x14ac:dyDescent="0.25">
      <c r="C45" s="67"/>
      <c r="D45" s="55">
        <v>46091</v>
      </c>
      <c r="E45" s="56">
        <v>106.25</v>
      </c>
      <c r="F45" s="56">
        <v>0</v>
      </c>
      <c r="G45" s="56">
        <v>106.25</v>
      </c>
      <c r="H45" s="56">
        <v>1.7330000000000001</v>
      </c>
      <c r="I45" s="56">
        <v>0.88980000000000004</v>
      </c>
      <c r="J45" s="56">
        <v>94.545000000000002</v>
      </c>
      <c r="K45" s="56">
        <v>95.111000000000004</v>
      </c>
      <c r="L45" s="1">
        <v>1.6500000000000001</v>
      </c>
      <c r="M45" s="1">
        <v>8.9510000000000005</v>
      </c>
    </row>
    <row r="46" spans="3:19" x14ac:dyDescent="0.25">
      <c r="C46" s="67"/>
      <c r="D46" s="55">
        <v>46275</v>
      </c>
      <c r="E46" s="56">
        <v>106.25</v>
      </c>
      <c r="F46" s="56">
        <v>0</v>
      </c>
      <c r="G46" s="56">
        <v>106.25</v>
      </c>
      <c r="H46" s="56">
        <v>1.7330000000000001</v>
      </c>
      <c r="I46" s="56">
        <v>0.8821</v>
      </c>
      <c r="J46" s="56">
        <v>93.731999999999999</v>
      </c>
      <c r="K46" s="56">
        <v>94.275000000000006</v>
      </c>
      <c r="L46" s="1">
        <v>1.6580000000000001</v>
      </c>
      <c r="M46" s="1">
        <v>8.8729999999999993</v>
      </c>
    </row>
    <row r="47" spans="3:19" x14ac:dyDescent="0.25">
      <c r="C47" s="67"/>
      <c r="D47" s="55">
        <v>46456</v>
      </c>
      <c r="E47" s="56">
        <v>106.25</v>
      </c>
      <c r="F47" s="56">
        <v>0</v>
      </c>
      <c r="G47" s="56">
        <v>106.25</v>
      </c>
      <c r="H47" s="56">
        <v>1.7330000000000001</v>
      </c>
      <c r="I47" s="56">
        <v>0.87460000000000004</v>
      </c>
      <c r="J47" s="56">
        <v>92.927000000000007</v>
      </c>
      <c r="K47" s="56">
        <v>93.474000000000004</v>
      </c>
      <c r="L47" s="1">
        <v>1.663</v>
      </c>
      <c r="M47" s="1">
        <v>8.7970000000000006</v>
      </c>
    </row>
    <row r="48" spans="3:19" x14ac:dyDescent="0.25">
      <c r="D48" s="55">
        <v>46640</v>
      </c>
      <c r="E48" s="56">
        <v>106.25</v>
      </c>
      <c r="F48" s="56">
        <v>0</v>
      </c>
      <c r="G48" s="56">
        <v>106.25</v>
      </c>
      <c r="H48" s="56">
        <v>1.7330000000000001</v>
      </c>
      <c r="I48" s="56">
        <v>0.86710000000000009</v>
      </c>
      <c r="J48" s="56">
        <v>92.129000000000005</v>
      </c>
      <c r="K48" s="56">
        <v>92.662000000000006</v>
      </c>
      <c r="L48" s="1">
        <v>1.6679999999999999</v>
      </c>
      <c r="M48" s="1">
        <v>8.7210000000000001</v>
      </c>
    </row>
    <row r="49" spans="4:13" x14ac:dyDescent="0.25">
      <c r="D49" s="55">
        <v>46822</v>
      </c>
      <c r="E49" s="56">
        <v>106.25</v>
      </c>
      <c r="F49" s="56">
        <v>0</v>
      </c>
      <c r="G49" s="56">
        <v>106.25</v>
      </c>
      <c r="H49" s="56">
        <v>1.7330000000000001</v>
      </c>
      <c r="I49" s="56">
        <v>0.85960000000000003</v>
      </c>
      <c r="J49" s="56">
        <v>91.337000000000003</v>
      </c>
      <c r="K49" s="56">
        <v>91.862000000000009</v>
      </c>
      <c r="L49" s="1">
        <v>1.673</v>
      </c>
      <c r="M49" s="1">
        <v>8.6449999999999996</v>
      </c>
    </row>
    <row r="50" spans="4:13" x14ac:dyDescent="0.25">
      <c r="D50" s="55">
        <v>47006</v>
      </c>
      <c r="E50" s="56">
        <v>106.25</v>
      </c>
      <c r="F50" s="56">
        <v>0</v>
      </c>
      <c r="G50" s="56">
        <v>106.25</v>
      </c>
      <c r="H50" s="56">
        <v>1.7330000000000001</v>
      </c>
      <c r="I50" s="56">
        <v>0.85220000000000007</v>
      </c>
      <c r="J50" s="56">
        <v>90.552999999999997</v>
      </c>
      <c r="K50" s="56">
        <v>91.055000000000007</v>
      </c>
      <c r="L50" s="1">
        <v>1.6779999999999999</v>
      </c>
      <c r="M50" s="1">
        <v>8.5690000000000008</v>
      </c>
    </row>
    <row r="51" spans="4:13" x14ac:dyDescent="0.25">
      <c r="D51" s="55">
        <v>47187</v>
      </c>
      <c r="E51" s="56">
        <v>106.25</v>
      </c>
      <c r="F51" s="56">
        <v>0</v>
      </c>
      <c r="G51" s="56">
        <v>106.25</v>
      </c>
      <c r="H51" s="56">
        <v>1.7330000000000001</v>
      </c>
      <c r="I51" s="56">
        <v>0.8449000000000001</v>
      </c>
      <c r="J51" s="56">
        <v>89.775000000000006</v>
      </c>
      <c r="K51" s="56">
        <v>90.263000000000005</v>
      </c>
      <c r="L51" s="1">
        <v>1.6830000000000001</v>
      </c>
      <c r="M51" s="1">
        <v>8.495000000000001</v>
      </c>
    </row>
    <row r="52" spans="4:13" x14ac:dyDescent="0.25">
      <c r="D52" s="55">
        <v>47371</v>
      </c>
      <c r="E52" s="56">
        <v>106.25</v>
      </c>
      <c r="F52" s="56">
        <v>0</v>
      </c>
      <c r="G52" s="56">
        <v>106.25</v>
      </c>
      <c r="H52" s="56">
        <v>1.7330000000000001</v>
      </c>
      <c r="I52" s="56">
        <v>0.83760000000000001</v>
      </c>
      <c r="J52" s="56">
        <v>89.004000000000005</v>
      </c>
      <c r="K52" s="56">
        <v>89.471000000000004</v>
      </c>
      <c r="L52" s="1">
        <v>1.6870000000000001</v>
      </c>
      <c r="M52" s="1">
        <v>8.42</v>
      </c>
    </row>
    <row r="53" spans="4:13" x14ac:dyDescent="0.25">
      <c r="D53" s="2">
        <v>47552</v>
      </c>
      <c r="E53" s="1">
        <v>106.25</v>
      </c>
      <c r="F53" s="1">
        <v>0</v>
      </c>
      <c r="G53" s="1">
        <v>106.25</v>
      </c>
      <c r="H53" s="56">
        <v>1.7330000000000001</v>
      </c>
      <c r="I53" s="1">
        <v>0.83040000000000003</v>
      </c>
      <c r="J53" s="1">
        <v>88.239000000000004</v>
      </c>
      <c r="K53" s="1">
        <v>88.713000000000008</v>
      </c>
      <c r="L53" s="1">
        <v>1.6890000000000001</v>
      </c>
      <c r="M53" s="1">
        <v>8.3490000000000002</v>
      </c>
    </row>
    <row r="54" spans="4:13" x14ac:dyDescent="0.25">
      <c r="D54" s="2">
        <v>47736</v>
      </c>
      <c r="E54" s="1">
        <v>106.25</v>
      </c>
      <c r="F54" s="1">
        <v>0</v>
      </c>
      <c r="G54" s="1">
        <v>106.25</v>
      </c>
      <c r="H54" s="56">
        <v>1.7330000000000001</v>
      </c>
      <c r="I54" s="1">
        <v>0.82330000000000003</v>
      </c>
      <c r="J54" s="1">
        <v>87.481000000000009</v>
      </c>
      <c r="K54" s="1">
        <v>87.938000000000002</v>
      </c>
      <c r="L54" s="1">
        <v>1.6919999999999999</v>
      </c>
      <c r="M54" s="1">
        <v>8.2759999999999998</v>
      </c>
    </row>
    <row r="55" spans="4:13" x14ac:dyDescent="0.25">
      <c r="D55" s="2">
        <v>47917</v>
      </c>
      <c r="E55" s="1">
        <v>106.25</v>
      </c>
      <c r="F55" s="1">
        <v>0</v>
      </c>
      <c r="G55" s="1">
        <v>106.25</v>
      </c>
      <c r="H55" s="56">
        <v>1.7330000000000001</v>
      </c>
      <c r="I55" s="1">
        <v>0.81620000000000004</v>
      </c>
      <c r="J55" s="1">
        <v>86.73</v>
      </c>
      <c r="K55" s="1">
        <v>87.189000000000007</v>
      </c>
      <c r="L55" s="1">
        <v>1.694</v>
      </c>
      <c r="M55" s="1">
        <v>8.2059999999999995</v>
      </c>
    </row>
    <row r="56" spans="4:13" x14ac:dyDescent="0.25">
      <c r="D56" s="2">
        <v>48101</v>
      </c>
      <c r="E56" s="1">
        <v>106.25</v>
      </c>
      <c r="F56" s="1">
        <v>0</v>
      </c>
      <c r="G56" s="1">
        <v>106.25</v>
      </c>
      <c r="H56" s="56">
        <v>1.7330000000000001</v>
      </c>
      <c r="I56" s="1">
        <v>0.80920000000000003</v>
      </c>
      <c r="J56" s="1">
        <v>85.984999999999999</v>
      </c>
      <c r="K56" s="1">
        <v>86.433000000000007</v>
      </c>
      <c r="L56" s="1">
        <v>1.696</v>
      </c>
      <c r="M56" s="1">
        <v>8.1340000000000003</v>
      </c>
    </row>
    <row r="57" spans="4:13" x14ac:dyDescent="0.25">
      <c r="D57" s="2">
        <v>48283</v>
      </c>
      <c r="E57" s="1">
        <v>106.25</v>
      </c>
      <c r="F57" s="1">
        <v>0</v>
      </c>
      <c r="G57" s="1">
        <v>106.25</v>
      </c>
      <c r="H57" s="56">
        <v>1.7330000000000001</v>
      </c>
      <c r="I57" s="1">
        <v>0.80230000000000001</v>
      </c>
      <c r="J57" s="1">
        <v>85.245999999999995</v>
      </c>
      <c r="K57" s="1">
        <v>85.679000000000002</v>
      </c>
      <c r="L57" s="1">
        <v>1.6990000000000001</v>
      </c>
      <c r="M57" s="1">
        <v>8.0630000000000006</v>
      </c>
    </row>
    <row r="58" spans="4:13" x14ac:dyDescent="0.25">
      <c r="D58" s="2">
        <v>48467</v>
      </c>
      <c r="E58" s="1">
        <v>106.25</v>
      </c>
      <c r="F58" s="1">
        <v>0</v>
      </c>
      <c r="G58" s="1">
        <v>106.25</v>
      </c>
      <c r="H58" s="56">
        <v>1.7330000000000001</v>
      </c>
      <c r="I58" s="1">
        <v>0.7954</v>
      </c>
      <c r="J58" s="1">
        <v>84.513999999999996</v>
      </c>
      <c r="K58" s="1">
        <v>84.932000000000002</v>
      </c>
      <c r="L58" s="1">
        <v>1.7010000000000001</v>
      </c>
      <c r="M58" s="1">
        <v>7.9930000000000003</v>
      </c>
    </row>
    <row r="59" spans="4:13" x14ac:dyDescent="0.25">
      <c r="D59" s="2">
        <v>48648</v>
      </c>
      <c r="E59" s="1">
        <v>106.25</v>
      </c>
      <c r="F59" s="1">
        <v>0</v>
      </c>
      <c r="G59" s="1">
        <v>106.25</v>
      </c>
      <c r="H59" s="56">
        <v>1.7330000000000001</v>
      </c>
      <c r="I59" s="1">
        <v>0.78850000000000009</v>
      </c>
      <c r="J59" s="1">
        <v>83.787999999999997</v>
      </c>
      <c r="K59" s="1">
        <v>84.19</v>
      </c>
      <c r="L59" s="1">
        <v>1.704</v>
      </c>
      <c r="M59" s="1">
        <v>7.923</v>
      </c>
    </row>
    <row r="60" spans="4:13" x14ac:dyDescent="0.25">
      <c r="D60" s="2">
        <v>48832</v>
      </c>
      <c r="E60" s="1">
        <v>106.25</v>
      </c>
      <c r="F60" s="1">
        <v>0</v>
      </c>
      <c r="G60" s="1">
        <v>106.25</v>
      </c>
      <c r="H60" s="56">
        <v>1.7330000000000001</v>
      </c>
      <c r="I60" s="1">
        <v>0.78180000000000005</v>
      </c>
      <c r="J60" s="1">
        <v>83.067999999999998</v>
      </c>
      <c r="K60" s="1">
        <v>83.453000000000003</v>
      </c>
      <c r="L60" s="1">
        <v>1.706</v>
      </c>
      <c r="M60" s="1">
        <v>7.8540000000000001</v>
      </c>
    </row>
    <row r="61" spans="4:13" x14ac:dyDescent="0.25">
      <c r="D61" s="2">
        <v>49013</v>
      </c>
      <c r="E61" s="1">
        <v>106.25</v>
      </c>
      <c r="F61" s="1">
        <v>0</v>
      </c>
      <c r="G61" s="1">
        <v>106.25</v>
      </c>
      <c r="H61" s="56">
        <v>1.7330000000000001</v>
      </c>
      <c r="I61" s="1">
        <v>0.77510000000000001</v>
      </c>
      <c r="J61" s="1">
        <v>82.353999999999999</v>
      </c>
      <c r="K61" s="1">
        <v>82.731999999999999</v>
      </c>
      <c r="L61" s="1">
        <v>1.708</v>
      </c>
      <c r="M61" s="1">
        <v>7.7860000000000005</v>
      </c>
    </row>
    <row r="62" spans="4:13" x14ac:dyDescent="0.25">
      <c r="D62" s="2">
        <v>49197</v>
      </c>
      <c r="E62" s="1">
        <v>106.25</v>
      </c>
      <c r="F62" s="1">
        <v>0</v>
      </c>
      <c r="G62" s="1">
        <v>106.25</v>
      </c>
      <c r="H62" s="56">
        <v>1.7330000000000001</v>
      </c>
      <c r="I62" s="1">
        <v>0.76840000000000008</v>
      </c>
      <c r="J62" s="1">
        <v>81.647000000000006</v>
      </c>
      <c r="K62" s="1">
        <v>82.004000000000005</v>
      </c>
      <c r="L62" s="1">
        <v>1.71</v>
      </c>
      <c r="M62" s="1">
        <v>7.718</v>
      </c>
    </row>
    <row r="63" spans="4:13" x14ac:dyDescent="0.25">
      <c r="D63" s="2">
        <v>49378</v>
      </c>
      <c r="E63" s="1">
        <v>106.25</v>
      </c>
      <c r="F63" s="1">
        <v>0</v>
      </c>
      <c r="G63" s="1">
        <v>106.25</v>
      </c>
      <c r="H63" s="56">
        <v>1.7330000000000001</v>
      </c>
      <c r="I63" s="1">
        <v>0.76180000000000003</v>
      </c>
      <c r="J63" s="1">
        <v>80.945000000000007</v>
      </c>
      <c r="K63" s="1">
        <v>81.305000000000007</v>
      </c>
      <c r="L63" s="1">
        <v>1.7110000000000001</v>
      </c>
      <c r="M63" s="1">
        <v>7.6520000000000001</v>
      </c>
    </row>
    <row r="64" spans="4:13" x14ac:dyDescent="0.25">
      <c r="D64" s="2">
        <v>49562</v>
      </c>
      <c r="E64" s="1">
        <v>106.25</v>
      </c>
      <c r="F64" s="1">
        <v>0</v>
      </c>
      <c r="G64" s="1">
        <v>106.25</v>
      </c>
      <c r="H64" s="56">
        <v>1.7330000000000001</v>
      </c>
      <c r="I64" s="1">
        <v>0.75519999999999998</v>
      </c>
      <c r="J64" s="1">
        <v>80.25</v>
      </c>
      <c r="K64" s="1">
        <v>80.599000000000004</v>
      </c>
      <c r="L64" s="1">
        <v>1.712</v>
      </c>
      <c r="M64" s="1">
        <v>7.585</v>
      </c>
    </row>
    <row r="65" spans="4:13" x14ac:dyDescent="0.25">
      <c r="D65" s="2">
        <v>49744</v>
      </c>
      <c r="E65" s="1">
        <v>106.25</v>
      </c>
      <c r="F65" s="1">
        <v>0</v>
      </c>
      <c r="G65" s="1">
        <v>106.25</v>
      </c>
      <c r="H65" s="56">
        <v>1.7330000000000001</v>
      </c>
      <c r="I65" s="1">
        <v>0.74880000000000002</v>
      </c>
      <c r="J65" s="1">
        <v>79.56</v>
      </c>
      <c r="K65" s="1">
        <v>79.906999999999996</v>
      </c>
      <c r="L65" s="1">
        <v>1.7130000000000001</v>
      </c>
      <c r="M65" s="1">
        <v>7.5200000000000005</v>
      </c>
    </row>
    <row r="66" spans="4:13" x14ac:dyDescent="0.25">
      <c r="D66" s="2">
        <v>49928</v>
      </c>
      <c r="E66" s="1">
        <v>106.25</v>
      </c>
      <c r="F66" s="1">
        <v>0</v>
      </c>
      <c r="G66" s="1">
        <v>106.25</v>
      </c>
      <c r="H66" s="56">
        <v>1.7330000000000001</v>
      </c>
      <c r="I66" s="1">
        <v>0.74230000000000007</v>
      </c>
      <c r="J66" s="1">
        <v>78.876999999999995</v>
      </c>
      <c r="K66" s="1">
        <v>79.212000000000003</v>
      </c>
      <c r="L66" s="1">
        <v>1.714</v>
      </c>
      <c r="M66" s="1">
        <v>7.4550000000000001</v>
      </c>
    </row>
    <row r="67" spans="4:13" x14ac:dyDescent="0.25">
      <c r="D67" s="2">
        <v>50109</v>
      </c>
      <c r="E67" s="1">
        <v>106.25</v>
      </c>
      <c r="F67" s="1">
        <v>0</v>
      </c>
      <c r="G67" s="1">
        <v>106.25</v>
      </c>
      <c r="H67" s="56">
        <v>1.7330000000000001</v>
      </c>
      <c r="I67" s="1">
        <v>0.7359</v>
      </c>
      <c r="J67" s="1">
        <v>78.198999999999998</v>
      </c>
      <c r="K67" s="1">
        <v>78.534000000000006</v>
      </c>
      <c r="L67" s="1">
        <v>1.7150000000000001</v>
      </c>
      <c r="M67" s="1">
        <v>7.391</v>
      </c>
    </row>
    <row r="68" spans="4:13" x14ac:dyDescent="0.25">
      <c r="D68" s="2">
        <v>50293</v>
      </c>
      <c r="E68" s="1">
        <v>106.25</v>
      </c>
      <c r="F68" s="1">
        <v>0</v>
      </c>
      <c r="G68" s="1">
        <v>106.25</v>
      </c>
      <c r="H68" s="56">
        <v>1.7330000000000001</v>
      </c>
      <c r="I68" s="1">
        <v>0.72960000000000003</v>
      </c>
      <c r="J68" s="1">
        <v>77.528000000000006</v>
      </c>
      <c r="K68" s="1">
        <v>77.849000000000004</v>
      </c>
      <c r="L68" s="1">
        <v>1.716</v>
      </c>
      <c r="M68" s="1">
        <v>7.327</v>
      </c>
    </row>
    <row r="69" spans="4:13" x14ac:dyDescent="0.25">
      <c r="D69" s="2">
        <v>50474</v>
      </c>
      <c r="E69" s="1">
        <v>106.25</v>
      </c>
      <c r="F69" s="1">
        <v>0</v>
      </c>
      <c r="G69" s="1">
        <v>106.25</v>
      </c>
      <c r="H69" s="56">
        <v>1.7330000000000001</v>
      </c>
      <c r="I69" s="1">
        <v>0.72340000000000004</v>
      </c>
      <c r="J69" s="1">
        <v>76.861999999999995</v>
      </c>
      <c r="K69" s="1">
        <v>77.180999999999997</v>
      </c>
      <c r="L69" s="1">
        <v>1.7170000000000001</v>
      </c>
      <c r="M69" s="1">
        <v>7.2640000000000002</v>
      </c>
    </row>
    <row r="70" spans="4:13" x14ac:dyDescent="0.25">
      <c r="D70" s="2">
        <v>50658</v>
      </c>
      <c r="E70" s="1">
        <v>106.25</v>
      </c>
      <c r="F70" s="1">
        <v>0</v>
      </c>
      <c r="G70" s="1">
        <v>106.25</v>
      </c>
      <c r="H70" s="56">
        <v>1.7330000000000001</v>
      </c>
      <c r="I70" s="1">
        <v>0.71710000000000007</v>
      </c>
      <c r="J70" s="1">
        <v>76.201000000000008</v>
      </c>
      <c r="K70" s="1">
        <v>76.507000000000005</v>
      </c>
      <c r="L70" s="1">
        <v>1.718</v>
      </c>
      <c r="M70" s="1">
        <v>7.2</v>
      </c>
    </row>
    <row r="71" spans="4:13" x14ac:dyDescent="0.25">
      <c r="D71" s="2">
        <v>50839</v>
      </c>
      <c r="E71" s="1">
        <v>106.25</v>
      </c>
      <c r="F71" s="1">
        <v>0</v>
      </c>
      <c r="G71" s="1">
        <v>106.25</v>
      </c>
      <c r="H71" s="56">
        <v>1.7330000000000001</v>
      </c>
      <c r="I71" s="1">
        <v>0.71100000000000008</v>
      </c>
      <c r="J71" s="1">
        <v>75.546999999999997</v>
      </c>
      <c r="K71" s="1">
        <v>75.849000000000004</v>
      </c>
      <c r="L71" s="1">
        <v>1.7190000000000001</v>
      </c>
      <c r="M71" s="1">
        <v>7.1379999999999999</v>
      </c>
    </row>
    <row r="72" spans="4:13" x14ac:dyDescent="0.25">
      <c r="D72" s="2">
        <v>51023</v>
      </c>
      <c r="E72" s="1">
        <v>106.25</v>
      </c>
      <c r="F72" s="1">
        <v>0</v>
      </c>
      <c r="G72" s="1">
        <v>106.25</v>
      </c>
      <c r="H72" s="56">
        <v>1.7330000000000001</v>
      </c>
      <c r="I72" s="1">
        <v>0.70490000000000008</v>
      </c>
      <c r="J72" s="1">
        <v>74.897999999999996</v>
      </c>
      <c r="K72" s="1">
        <v>75.185000000000002</v>
      </c>
      <c r="L72" s="1">
        <v>1.72</v>
      </c>
      <c r="M72" s="1">
        <v>7.0760000000000005</v>
      </c>
    </row>
    <row r="73" spans="4:13" x14ac:dyDescent="0.25">
      <c r="D73" s="2">
        <v>51205</v>
      </c>
      <c r="E73" s="1">
        <v>106.25</v>
      </c>
      <c r="F73" s="1">
        <v>0</v>
      </c>
      <c r="G73" s="1">
        <v>106.25</v>
      </c>
      <c r="H73" s="56">
        <v>1.7330000000000001</v>
      </c>
      <c r="I73" s="1">
        <v>0.69880000000000009</v>
      </c>
      <c r="J73" s="1">
        <v>74.254000000000005</v>
      </c>
      <c r="K73" s="1">
        <v>74.548000000000002</v>
      </c>
      <c r="L73" s="1">
        <v>1.72</v>
      </c>
      <c r="M73" s="1">
        <v>7.016</v>
      </c>
    </row>
    <row r="74" spans="4:13" x14ac:dyDescent="0.25">
      <c r="D74" s="2">
        <v>51389</v>
      </c>
      <c r="E74" s="1">
        <v>106.25</v>
      </c>
      <c r="F74" s="1">
        <v>0</v>
      </c>
      <c r="G74" s="1">
        <v>106.25</v>
      </c>
      <c r="H74" s="56">
        <v>1.7330000000000001</v>
      </c>
      <c r="I74" s="1">
        <v>0.69280000000000008</v>
      </c>
      <c r="J74" s="1">
        <v>73.616</v>
      </c>
      <c r="K74" s="1">
        <v>73.91</v>
      </c>
      <c r="L74" s="1">
        <v>1.72</v>
      </c>
      <c r="M74" s="1">
        <v>6.9560000000000004</v>
      </c>
    </row>
    <row r="75" spans="4:13" x14ac:dyDescent="0.25">
      <c r="D75" s="2">
        <v>51570</v>
      </c>
      <c r="E75" s="1">
        <v>106.25</v>
      </c>
      <c r="F75" s="1">
        <v>0</v>
      </c>
      <c r="G75" s="1">
        <v>106.25</v>
      </c>
      <c r="H75" s="56">
        <v>1.7330000000000001</v>
      </c>
      <c r="I75" s="1">
        <v>0.68690000000000007</v>
      </c>
      <c r="J75" s="1">
        <v>72.983999999999995</v>
      </c>
      <c r="K75" s="1">
        <v>73.272000000000006</v>
      </c>
      <c r="L75" s="1">
        <v>1.7210000000000001</v>
      </c>
      <c r="M75" s="1">
        <v>6.8959999999999999</v>
      </c>
    </row>
    <row r="76" spans="4:13" x14ac:dyDescent="0.25">
      <c r="D76" s="2">
        <v>51754</v>
      </c>
      <c r="E76" s="1">
        <v>106.25</v>
      </c>
      <c r="F76" s="1">
        <v>0</v>
      </c>
      <c r="G76" s="1">
        <v>106.25</v>
      </c>
      <c r="H76" s="56">
        <v>1.7330000000000001</v>
      </c>
      <c r="I76" s="1">
        <v>0.68100000000000005</v>
      </c>
      <c r="J76" s="1">
        <v>72.356999999999999</v>
      </c>
      <c r="K76" s="1">
        <v>72.644000000000005</v>
      </c>
      <c r="L76" s="1">
        <v>1.7210000000000001</v>
      </c>
      <c r="M76" s="1">
        <v>6.8369999999999997</v>
      </c>
    </row>
    <row r="77" spans="4:13" x14ac:dyDescent="0.25">
      <c r="D77" s="2">
        <v>51935</v>
      </c>
      <c r="E77" s="1">
        <v>106.25</v>
      </c>
      <c r="F77" s="1">
        <v>0</v>
      </c>
      <c r="G77" s="1">
        <v>106.25</v>
      </c>
      <c r="H77" s="56">
        <v>1.7330000000000001</v>
      </c>
      <c r="I77" s="1">
        <v>0.67510000000000003</v>
      </c>
      <c r="J77" s="1">
        <v>71.734999999999999</v>
      </c>
      <c r="K77" s="1">
        <v>72.031999999999996</v>
      </c>
      <c r="L77" s="1">
        <v>1.7210000000000001</v>
      </c>
      <c r="M77" s="1">
        <v>6.7789999999999999</v>
      </c>
    </row>
    <row r="78" spans="4:13" x14ac:dyDescent="0.25">
      <c r="D78" s="2">
        <v>52119</v>
      </c>
      <c r="E78" s="1">
        <v>106.25</v>
      </c>
      <c r="F78" s="1">
        <v>0</v>
      </c>
      <c r="G78" s="1">
        <v>106.25</v>
      </c>
      <c r="H78" s="56">
        <v>1.7330000000000001</v>
      </c>
      <c r="I78" s="1">
        <v>0.66930000000000001</v>
      </c>
      <c r="J78" s="1">
        <v>71.119</v>
      </c>
      <c r="K78" s="1">
        <v>71.415000000000006</v>
      </c>
      <c r="L78" s="1">
        <v>1.7210000000000001</v>
      </c>
      <c r="M78" s="1">
        <v>6.7210000000000001</v>
      </c>
    </row>
    <row r="79" spans="4:13" x14ac:dyDescent="0.25">
      <c r="D79" s="2">
        <v>52300</v>
      </c>
      <c r="E79" s="1">
        <v>106.25</v>
      </c>
      <c r="F79" s="1">
        <v>0</v>
      </c>
      <c r="G79" s="1">
        <v>106.25</v>
      </c>
      <c r="H79" s="56">
        <v>1.7330000000000001</v>
      </c>
      <c r="I79" s="1">
        <v>0.66360000000000008</v>
      </c>
      <c r="J79" s="1">
        <v>70.507999999999996</v>
      </c>
      <c r="K79" s="1">
        <v>70.796999999999997</v>
      </c>
      <c r="L79" s="1">
        <v>1.722</v>
      </c>
      <c r="M79" s="1">
        <v>6.6630000000000003</v>
      </c>
    </row>
    <row r="80" spans="4:13" x14ac:dyDescent="0.25">
      <c r="D80" s="2">
        <v>52484</v>
      </c>
      <c r="E80" s="1">
        <v>106.25</v>
      </c>
      <c r="F80" s="1">
        <v>0</v>
      </c>
      <c r="G80" s="1">
        <v>106.25</v>
      </c>
      <c r="H80" s="56">
        <v>1.7330000000000001</v>
      </c>
      <c r="I80" s="1">
        <v>0.65790000000000004</v>
      </c>
      <c r="J80" s="1">
        <v>69.903000000000006</v>
      </c>
      <c r="K80" s="1">
        <v>70.19</v>
      </c>
      <c r="L80" s="1">
        <v>1.722</v>
      </c>
      <c r="M80" s="1">
        <v>6.6059999999999999</v>
      </c>
    </row>
    <row r="81" spans="4:13" x14ac:dyDescent="0.25">
      <c r="D81" s="2">
        <v>52666</v>
      </c>
      <c r="E81" s="1">
        <v>106.25</v>
      </c>
      <c r="F81" s="1">
        <v>0</v>
      </c>
      <c r="G81" s="1">
        <v>106.25</v>
      </c>
      <c r="H81" s="56">
        <v>1.7330000000000001</v>
      </c>
      <c r="I81" s="1">
        <v>0.6522</v>
      </c>
      <c r="J81" s="1">
        <v>69.302000000000007</v>
      </c>
      <c r="K81" s="1">
        <v>69.594999999999999</v>
      </c>
      <c r="L81" s="1">
        <v>1.722</v>
      </c>
      <c r="M81" s="1">
        <v>6.55</v>
      </c>
    </row>
    <row r="82" spans="4:13" x14ac:dyDescent="0.25">
      <c r="D82" s="2">
        <v>52850</v>
      </c>
      <c r="E82" s="1">
        <v>106.25</v>
      </c>
      <c r="F82" s="1">
        <v>0</v>
      </c>
      <c r="G82" s="1">
        <v>106.25</v>
      </c>
      <c r="H82" s="56">
        <v>1.7330000000000001</v>
      </c>
      <c r="I82" s="1">
        <v>0.64660000000000006</v>
      </c>
      <c r="J82" s="1">
        <v>68.707000000000008</v>
      </c>
      <c r="K82" s="1">
        <v>68.981999999999999</v>
      </c>
      <c r="L82" s="1">
        <v>1.7230000000000001</v>
      </c>
      <c r="M82" s="1">
        <v>6.492</v>
      </c>
    </row>
    <row r="83" spans="4:13" x14ac:dyDescent="0.25">
      <c r="D83" s="2">
        <v>53031</v>
      </c>
      <c r="E83" s="1">
        <v>106.25</v>
      </c>
      <c r="F83" s="1">
        <v>0</v>
      </c>
      <c r="G83" s="1">
        <v>106.25</v>
      </c>
      <c r="H83" s="56">
        <v>1.7330000000000001</v>
      </c>
      <c r="I83" s="1">
        <v>0.6411</v>
      </c>
      <c r="J83" s="1">
        <v>68.116</v>
      </c>
      <c r="K83" s="1">
        <v>68.400000000000006</v>
      </c>
      <c r="L83" s="1">
        <v>1.7230000000000001</v>
      </c>
      <c r="M83" s="1">
        <v>6.4370000000000003</v>
      </c>
    </row>
    <row r="84" spans="4:13" x14ac:dyDescent="0.25">
      <c r="D84" s="2">
        <v>53215</v>
      </c>
      <c r="E84" s="1">
        <v>106.25</v>
      </c>
      <c r="F84" s="1">
        <v>0</v>
      </c>
      <c r="G84" s="1">
        <v>106.25</v>
      </c>
      <c r="H84" s="56">
        <v>1.7330000000000001</v>
      </c>
      <c r="I84" s="1">
        <v>0.63550000000000006</v>
      </c>
      <c r="J84" s="1">
        <v>67.531000000000006</v>
      </c>
      <c r="K84" s="1">
        <v>67.813000000000002</v>
      </c>
      <c r="L84" s="1">
        <v>1.7230000000000001</v>
      </c>
      <c r="M84" s="1">
        <v>6.3820000000000006</v>
      </c>
    </row>
    <row r="85" spans="4:13" x14ac:dyDescent="0.25">
      <c r="D85" s="2">
        <v>53396</v>
      </c>
      <c r="E85" s="1">
        <v>106.25</v>
      </c>
      <c r="F85" s="1">
        <v>0</v>
      </c>
      <c r="G85" s="1">
        <v>106.25</v>
      </c>
      <c r="H85" s="56">
        <v>1.7330000000000001</v>
      </c>
      <c r="I85" s="1">
        <v>0.63009999999999999</v>
      </c>
      <c r="J85" s="1">
        <v>66.951000000000008</v>
      </c>
      <c r="K85" s="1">
        <v>67.222999999999999</v>
      </c>
      <c r="L85" s="1">
        <v>1.724</v>
      </c>
      <c r="M85" s="1">
        <v>6.3260000000000005</v>
      </c>
    </row>
    <row r="86" spans="4:13" x14ac:dyDescent="0.25">
      <c r="D86" s="2">
        <v>53580</v>
      </c>
      <c r="E86" s="1">
        <v>106.25</v>
      </c>
      <c r="F86" s="1">
        <v>0</v>
      </c>
      <c r="G86" s="1">
        <v>106.25</v>
      </c>
      <c r="H86" s="56">
        <v>1.7330000000000001</v>
      </c>
      <c r="I86" s="1">
        <v>0.62470000000000003</v>
      </c>
      <c r="J86" s="1">
        <v>66.376000000000005</v>
      </c>
      <c r="K86" s="1">
        <v>66.647000000000006</v>
      </c>
      <c r="L86" s="1">
        <v>1.724</v>
      </c>
      <c r="M86" s="1">
        <v>6.2720000000000002</v>
      </c>
    </row>
    <row r="87" spans="4:13" x14ac:dyDescent="0.25">
      <c r="D87" s="2">
        <v>53761</v>
      </c>
      <c r="E87" s="1">
        <v>106.25</v>
      </c>
      <c r="F87" s="1">
        <v>10000</v>
      </c>
      <c r="G87" s="1">
        <v>10106.25</v>
      </c>
      <c r="H87" s="56">
        <v>1.7330000000000001</v>
      </c>
      <c r="I87" s="1">
        <v>0.61930000000000007</v>
      </c>
      <c r="J87" s="1">
        <v>6259.3370000000004</v>
      </c>
      <c r="K87" s="1">
        <v>6285.8069999999998</v>
      </c>
      <c r="L87" s="1">
        <v>1.724</v>
      </c>
      <c r="M87" s="1">
        <v>6.2190000000000003</v>
      </c>
    </row>
    <row r="88" spans="4:13" x14ac:dyDescent="0.25">
      <c r="D88" s="2"/>
      <c r="H88" s="56"/>
    </row>
    <row r="89" spans="4:13" x14ac:dyDescent="0.25">
      <c r="D89" s="2"/>
      <c r="H89" s="56"/>
    </row>
    <row r="90" spans="4:13" x14ac:dyDescent="0.25">
      <c r="D90" s="2"/>
      <c r="H90" s="56"/>
    </row>
    <row r="91" spans="4:13" x14ac:dyDescent="0.25">
      <c r="D91" s="2"/>
      <c r="H91" s="56"/>
    </row>
    <row r="92" spans="4:13" x14ac:dyDescent="0.25">
      <c r="D92" s="2"/>
      <c r="H92" s="56"/>
    </row>
    <row r="93" spans="4:13" x14ac:dyDescent="0.25">
      <c r="D93" s="2"/>
      <c r="H93" s="2"/>
    </row>
    <row r="94" spans="4:13" x14ac:dyDescent="0.25">
      <c r="D94" s="2"/>
      <c r="H94" s="2"/>
    </row>
    <row r="95" spans="4:13" x14ac:dyDescent="0.25">
      <c r="D95" s="2"/>
      <c r="H95" s="2"/>
    </row>
    <row r="96" spans="4:13" x14ac:dyDescent="0.25">
      <c r="D96" s="2"/>
      <c r="H96" s="2"/>
    </row>
    <row r="97" spans="4:8" x14ac:dyDescent="0.25">
      <c r="D97" s="2"/>
      <c r="H97" s="2"/>
    </row>
    <row r="98" spans="4:8" x14ac:dyDescent="0.25">
      <c r="D98" s="2"/>
      <c r="H98" s="2"/>
    </row>
    <row r="99" spans="4:8" x14ac:dyDescent="0.25">
      <c r="D99" s="2"/>
      <c r="H99" s="2"/>
    </row>
    <row r="100" spans="4:8" x14ac:dyDescent="0.25">
      <c r="D100" s="2"/>
      <c r="H100" s="2"/>
    </row>
    <row r="101" spans="4:8" x14ac:dyDescent="0.25">
      <c r="D101" s="2"/>
      <c r="H101" s="2"/>
    </row>
    <row r="102" spans="4:8" x14ac:dyDescent="0.25">
      <c r="D102" s="2"/>
    </row>
    <row r="103" spans="4:8" x14ac:dyDescent="0.25">
      <c r="D103" s="2"/>
    </row>
    <row r="104" spans="4:8" x14ac:dyDescent="0.25">
      <c r="D104" s="2"/>
    </row>
    <row r="105" spans="4:8" x14ac:dyDescent="0.25">
      <c r="D105" s="2"/>
    </row>
    <row r="106" spans="4:8" x14ac:dyDescent="0.25">
      <c r="D106" s="2"/>
    </row>
    <row r="107" spans="4:8" x14ac:dyDescent="0.25">
      <c r="D107" s="2"/>
    </row>
    <row r="108" spans="4:8" x14ac:dyDescent="0.25">
      <c r="D108" s="2"/>
    </row>
    <row r="109" spans="4:8" x14ac:dyDescent="0.25">
      <c r="D109" s="2"/>
    </row>
    <row r="110" spans="4:8" x14ac:dyDescent="0.25">
      <c r="D110" s="2"/>
    </row>
    <row r="111" spans="4:8" x14ac:dyDescent="0.25">
      <c r="D111" s="2"/>
    </row>
    <row r="112" spans="4:8" x14ac:dyDescent="0.25">
      <c r="D112" s="2"/>
    </row>
    <row r="113" spans="4:4" x14ac:dyDescent="0.25">
      <c r="D113" s="2"/>
    </row>
    <row r="114" spans="4:4" x14ac:dyDescent="0.25">
      <c r="D114" s="2"/>
    </row>
    <row r="115" spans="4:4" x14ac:dyDescent="0.25">
      <c r="D115" s="2"/>
    </row>
    <row r="116" spans="4:4" x14ac:dyDescent="0.25">
      <c r="D116" s="2"/>
    </row>
    <row r="117" spans="4:4" x14ac:dyDescent="0.25">
      <c r="D117" s="2"/>
    </row>
    <row r="118" spans="4:4" x14ac:dyDescent="0.25">
      <c r="D118" s="2"/>
    </row>
    <row r="119" spans="4:4" x14ac:dyDescent="0.25">
      <c r="D119" s="2"/>
    </row>
    <row r="120" spans="4:4" x14ac:dyDescent="0.25">
      <c r="D120" s="2"/>
    </row>
    <row r="121" spans="4:4" x14ac:dyDescent="0.25">
      <c r="D121" s="2"/>
    </row>
    <row r="122" spans="4:4" x14ac:dyDescent="0.25">
      <c r="D122" s="2"/>
    </row>
    <row r="123" spans="4:4" x14ac:dyDescent="0.25">
      <c r="D123" s="2"/>
    </row>
    <row r="124" spans="4:4" x14ac:dyDescent="0.25">
      <c r="D124" s="2"/>
    </row>
    <row r="125" spans="4:4" x14ac:dyDescent="0.25">
      <c r="D125" s="2"/>
    </row>
    <row r="126" spans="4:4" x14ac:dyDescent="0.25">
      <c r="D126" s="2"/>
    </row>
    <row r="127" spans="4:4" x14ac:dyDescent="0.25">
      <c r="D127" s="2"/>
    </row>
    <row r="128" spans="4:4" x14ac:dyDescent="0.25">
      <c r="D128" s="2"/>
    </row>
    <row r="129" spans="4:4" x14ac:dyDescent="0.25">
      <c r="D129" s="2"/>
    </row>
    <row r="130" spans="4:4" x14ac:dyDescent="0.25">
      <c r="D130" s="2"/>
    </row>
    <row r="131" spans="4:4" x14ac:dyDescent="0.25">
      <c r="D131" s="2"/>
    </row>
  </sheetData>
  <mergeCells count="5">
    <mergeCell ref="G4:H4"/>
    <mergeCell ref="D29:M29"/>
    <mergeCell ref="D30:M30"/>
    <mergeCell ref="D6:I6"/>
    <mergeCell ref="J6:N6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8</xdr:col>
                    <xdr:colOff>962025</xdr:colOff>
                    <xdr:row>3</xdr:row>
                    <xdr:rowOff>0</xdr:rowOff>
                  </from>
                  <to>
                    <xdr:col>10</xdr:col>
                    <xdr:colOff>57150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채권민감도분석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2017-03-17T04:37:15Z</dcterms:created>
  <dcterms:modified xsi:type="dcterms:W3CDTF">2019-06-04T02:40:01Z</dcterms:modified>
</cp:coreProperties>
</file>