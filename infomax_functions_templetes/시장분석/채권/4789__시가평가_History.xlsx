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now\Downloads\"/>
    </mc:Choice>
  </mc:AlternateContent>
  <xr:revisionPtr revIDLastSave="0" documentId="13_ncr:1_{DB9409A2-5BE1-4553-AE14-7C4904F2FCFE}" xr6:coauthVersionLast="47" xr6:coauthVersionMax="47" xr10:uidLastSave="{00000000-0000-0000-0000-000000000000}"/>
  <bookViews>
    <workbookView xWindow="270" yWindow="615" windowWidth="28110" windowHeight="14955" xr2:uid="{00000000-000D-0000-FFFF-FFFF00000000}"/>
  </bookViews>
  <sheets>
    <sheet name="시가평가_Hist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67" i="1" l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E4" i="1"/>
  <c r="C4" i="1" l="1"/>
  <c r="R4" i="1"/>
  <c r="Z3" i="1" l="1"/>
  <c r="AA4" i="1" l="1"/>
  <c r="AC4" i="1"/>
  <c r="Z5" i="1"/>
</calcChain>
</file>

<file path=xl/sharedStrings.xml><?xml version="1.0" encoding="utf-8"?>
<sst xmlns="http://schemas.openxmlformats.org/spreadsheetml/2006/main" count="567" uniqueCount="561">
  <si>
    <t>BONDAVG01</t>
  </si>
  <si>
    <t>BONDAVG02</t>
  </si>
  <si>
    <t>BONDAVG03</t>
  </si>
  <si>
    <t>BONDAVG04</t>
  </si>
  <si>
    <t>BONDAVG05</t>
  </si>
  <si>
    <t>BONDAVG06</t>
  </si>
  <si>
    <t>BONDAVG09</t>
  </si>
  <si>
    <t>BONDAVG10</t>
  </si>
  <si>
    <t>BONDAVG11</t>
  </si>
  <si>
    <t>BONDAVG12</t>
  </si>
  <si>
    <t>BONDAVG13</t>
  </si>
  <si>
    <t>BONDAVG14</t>
  </si>
  <si>
    <t>BONDAVG15</t>
  </si>
  <si>
    <t>BONDAVG16</t>
  </si>
  <si>
    <t>BONDAVG17</t>
  </si>
  <si>
    <t>BONDAVG18</t>
  </si>
  <si>
    <t>BONDAVG19</t>
  </si>
  <si>
    <t>BONDAVG20</t>
  </si>
  <si>
    <t>BONDAVG21</t>
  </si>
  <si>
    <t>BONDAVG22</t>
  </si>
  <si>
    <t>BONDAVG23</t>
  </si>
  <si>
    <t>BONDAVG24</t>
  </si>
  <si>
    <t>BONDAVG25</t>
  </si>
  <si>
    <t>BONDAVG26</t>
  </si>
  <si>
    <t>BONDAVG81</t>
  </si>
  <si>
    <t>BONDAVG27</t>
  </si>
  <si>
    <t>BONDAVG28</t>
  </si>
  <si>
    <t>BONDAVG29</t>
  </si>
  <si>
    <t>BONDAVG30</t>
  </si>
  <si>
    <t>BONDAVG31</t>
  </si>
  <si>
    <t>BONDAVG32</t>
  </si>
  <si>
    <t>BONDAVG33</t>
  </si>
  <si>
    <t>BONDAVG34</t>
  </si>
  <si>
    <t>BONDAVG82</t>
  </si>
  <si>
    <t>BONDAVG36</t>
  </si>
  <si>
    <t>BONDAVG37</t>
  </si>
  <si>
    <t>BONDAVG38</t>
  </si>
  <si>
    <t>BONDAVG39</t>
  </si>
  <si>
    <t>BONDAVG40</t>
  </si>
  <si>
    <t>BONDAVG41</t>
  </si>
  <si>
    <t>BONDAVG42</t>
  </si>
  <si>
    <t>BONDAVG43</t>
  </si>
  <si>
    <t>BONDAVG44</t>
  </si>
  <si>
    <t>BONDAVG45</t>
  </si>
  <si>
    <t>BONDAVG46</t>
  </si>
  <si>
    <t>BONDAVG47</t>
  </si>
  <si>
    <t>BONDAVG49</t>
  </si>
  <si>
    <t>BONDAVG51</t>
  </si>
  <si>
    <t>BONDAVG53</t>
  </si>
  <si>
    <t>BONDAVG55</t>
  </si>
  <si>
    <t>BONDAVG56</t>
  </si>
  <si>
    <t>BONDAVG57</t>
  </si>
  <si>
    <t>BONDAVG58</t>
  </si>
  <si>
    <t>BONDAVG59</t>
  </si>
  <si>
    <t>BONDAVG60</t>
  </si>
  <si>
    <t>BONDAVG61</t>
  </si>
  <si>
    <t>BONDAVG62</t>
  </si>
  <si>
    <t>BONDAVG63</t>
  </si>
  <si>
    <t>BONDAVG64</t>
  </si>
  <si>
    <t>BONDAVG69</t>
  </si>
  <si>
    <t>BONDAVG70</t>
  </si>
  <si>
    <t>BONDAVG71</t>
  </si>
  <si>
    <t>BONDAVG72</t>
  </si>
  <si>
    <t>BONDAVG73</t>
  </si>
  <si>
    <t>BONDAVG74</t>
  </si>
  <si>
    <t>BONDAVG75</t>
  </si>
  <si>
    <t>BONDAVG76</t>
  </si>
  <si>
    <t>BONDAVG77</t>
  </si>
  <si>
    <t>BONDAVG78</t>
  </si>
  <si>
    <t>BONDAVG79</t>
  </si>
  <si>
    <t>국고채권</t>
  </si>
  <si>
    <t>국민주택1종</t>
  </si>
  <si>
    <t>국민주택2종</t>
  </si>
  <si>
    <t>국민주택3종</t>
  </si>
  <si>
    <t>서울도시철도</t>
  </si>
  <si>
    <t>지역개발채</t>
  </si>
  <si>
    <t>통안증권</t>
  </si>
  <si>
    <t>이표채외통안채</t>
  </si>
  <si>
    <t>금융채 산금채 AAA</t>
  </si>
  <si>
    <t>금융채I-이표채외산금채</t>
  </si>
  <si>
    <t>금융채 중금채 AAA</t>
  </si>
  <si>
    <t>금융채I-이표채외중기채</t>
  </si>
  <si>
    <t>금융채 은행채 AAA</t>
  </si>
  <si>
    <t>금융채 은행채 AA+</t>
  </si>
  <si>
    <t>금융채 은행채 AA</t>
  </si>
  <si>
    <t>금융채 은행채 AA-</t>
  </si>
  <si>
    <t>금융채 은행채 A+</t>
  </si>
  <si>
    <t>금융채 은행채 A</t>
  </si>
  <si>
    <t>금융채 은행채 A-</t>
  </si>
  <si>
    <t>금융채 카드채 AA+</t>
  </si>
  <si>
    <t>금융채 카드채 AA</t>
  </si>
  <si>
    <t>금융채 카드채 AA-</t>
  </si>
  <si>
    <t>금융채 카드채 A+</t>
  </si>
  <si>
    <t>금융채 카드채 A</t>
  </si>
  <si>
    <t>금융채 카드채 A-</t>
  </si>
  <si>
    <t>금융채 카드채 BBB+</t>
  </si>
  <si>
    <t>금융채 카드채 BBB0</t>
  </si>
  <si>
    <t>금융채 카드채 BBB-</t>
  </si>
  <si>
    <t>기타금융채AA+</t>
  </si>
  <si>
    <t>기타금융채AA0</t>
  </si>
  <si>
    <t>기타금융채AA-</t>
  </si>
  <si>
    <t>기타금융채A+</t>
  </si>
  <si>
    <t>기타금융채A0</t>
  </si>
  <si>
    <t>기타금융채A-</t>
  </si>
  <si>
    <t>기타금융채BBB+</t>
  </si>
  <si>
    <t>기타금융채BBB0</t>
  </si>
  <si>
    <t>기타금융채BBB-</t>
  </si>
  <si>
    <t>회사채 공모/보증 AA+</t>
  </si>
  <si>
    <t>회사채 공모/보증 AA-</t>
  </si>
  <si>
    <t>회사채 공모/보증 A</t>
  </si>
  <si>
    <t>회사채AAA(사모/무)</t>
  </si>
  <si>
    <t>회사채AA+(사모/무)</t>
  </si>
  <si>
    <t>회사채AA0(사모/무)</t>
  </si>
  <si>
    <t>회사채AA-(사모/무)</t>
  </si>
  <si>
    <t>회사채A+(사모/무)</t>
  </si>
  <si>
    <t>회사채A0(사모/무)</t>
  </si>
  <si>
    <t>회사채A-(사모/무)</t>
  </si>
  <si>
    <t>회사채BBB+(사모/무)</t>
  </si>
  <si>
    <t>회사채BBB0(사모/무)</t>
  </si>
  <si>
    <t>회사채BBB-(사모/무)</t>
  </si>
  <si>
    <t>유동화증권 KHFC MBS/SLBS AAA</t>
  </si>
  <si>
    <t>일자</t>
  </si>
  <si>
    <t>시작</t>
  </si>
  <si>
    <t>종료</t>
  </si>
  <si>
    <t>Data 개수</t>
  </si>
  <si>
    <t>일</t>
  </si>
  <si>
    <t>정렬</t>
  </si>
  <si>
    <t>D</t>
  </si>
  <si>
    <t>영업일</t>
  </si>
  <si>
    <t>시세산출</t>
  </si>
  <si>
    <t>종가</t>
  </si>
  <si>
    <t>3M</t>
    <phoneticPr fontId="1" type="noConversion"/>
  </si>
  <si>
    <t>6M</t>
    <phoneticPr fontId="1" type="noConversion"/>
  </si>
  <si>
    <t>9M</t>
    <phoneticPr fontId="1" type="noConversion"/>
  </si>
  <si>
    <t>1Y</t>
    <phoneticPr fontId="1" type="noConversion"/>
  </si>
  <si>
    <t>1.5Y</t>
    <phoneticPr fontId="1" type="noConversion"/>
  </si>
  <si>
    <t>2Y</t>
    <phoneticPr fontId="1" type="noConversion"/>
  </si>
  <si>
    <t>2.5Y</t>
    <phoneticPr fontId="1" type="noConversion"/>
  </si>
  <si>
    <t>3Y</t>
    <phoneticPr fontId="1" type="noConversion"/>
  </si>
  <si>
    <t>4Y</t>
    <phoneticPr fontId="1" type="noConversion"/>
  </si>
  <si>
    <t>5Y</t>
    <phoneticPr fontId="1" type="noConversion"/>
  </si>
  <si>
    <t>7Y</t>
    <phoneticPr fontId="1" type="noConversion"/>
  </si>
  <si>
    <t>10Y</t>
    <phoneticPr fontId="1" type="noConversion"/>
  </si>
  <si>
    <t>15Y</t>
    <phoneticPr fontId="1" type="noConversion"/>
  </si>
  <si>
    <t>20Y</t>
    <phoneticPr fontId="1" type="noConversion"/>
  </si>
  <si>
    <t>30Y</t>
    <phoneticPr fontId="1" type="noConversion"/>
  </si>
  <si>
    <t>50Y</t>
    <phoneticPr fontId="1" type="noConversion"/>
  </si>
  <si>
    <t>민평3사</t>
    <phoneticPr fontId="1" type="noConversion"/>
  </si>
  <si>
    <t>민평4사</t>
    <phoneticPr fontId="1" type="noConversion"/>
  </si>
  <si>
    <t>KAP</t>
    <phoneticPr fontId="1" type="noConversion"/>
  </si>
  <si>
    <t>KIS</t>
    <phoneticPr fontId="1" type="noConversion"/>
  </si>
  <si>
    <t>NICE</t>
    <phoneticPr fontId="1" type="noConversion"/>
  </si>
  <si>
    <t>FN</t>
    <phoneticPr fontId="1" type="noConversion"/>
  </si>
  <si>
    <t>수익률</t>
    <phoneticPr fontId="1" type="noConversion"/>
  </si>
  <si>
    <t>(당일)</t>
    <phoneticPr fontId="1" type="noConversion"/>
  </si>
  <si>
    <t>(전일대비)</t>
    <phoneticPr fontId="1" type="noConversion"/>
  </si>
  <si>
    <t>(국고대비)</t>
    <phoneticPr fontId="1" type="noConversion"/>
  </si>
  <si>
    <t>3사평균</t>
    <phoneticPr fontId="1" type="noConversion"/>
  </si>
  <si>
    <t>4사평균</t>
    <phoneticPr fontId="1" type="noConversion"/>
  </si>
  <si>
    <t>BONDAV401</t>
  </si>
  <si>
    <t>BONDAV402</t>
  </si>
  <si>
    <t>BONDAV403</t>
  </si>
  <si>
    <t>BONDAV404</t>
  </si>
  <si>
    <t>BONDAV405</t>
  </si>
  <si>
    <t>BONDAV406</t>
  </si>
  <si>
    <t>BONDAV409</t>
  </si>
  <si>
    <t>BONDAV410</t>
  </si>
  <si>
    <t>BONDAV411</t>
  </si>
  <si>
    <t>BONDAV412</t>
  </si>
  <si>
    <t>BONDAV413</t>
  </si>
  <si>
    <t>BONDAV414</t>
  </si>
  <si>
    <t>BONDAV415</t>
  </si>
  <si>
    <t>BONDAV416</t>
  </si>
  <si>
    <t>BONDAV417</t>
  </si>
  <si>
    <t>BONDAV418</t>
  </si>
  <si>
    <t>BONDAV419</t>
  </si>
  <si>
    <t>BONDAV420</t>
  </si>
  <si>
    <t>BONDAV421</t>
  </si>
  <si>
    <t>BONDAV422</t>
  </si>
  <si>
    <t>BONDAV423</t>
  </si>
  <si>
    <t>BONDAV424</t>
  </si>
  <si>
    <t>BONDAV425</t>
  </si>
  <si>
    <t>BONDAV426</t>
  </si>
  <si>
    <t>BONDAV481</t>
  </si>
  <si>
    <t>BONDAV427</t>
  </si>
  <si>
    <t>BONDAV428</t>
  </si>
  <si>
    <t>BONDAV429</t>
  </si>
  <si>
    <t>BONDAV430</t>
  </si>
  <si>
    <t>BONDAV431</t>
  </si>
  <si>
    <t>BONDAV432</t>
  </si>
  <si>
    <t>BONDAV433</t>
  </si>
  <si>
    <t>BONDAV434</t>
  </si>
  <si>
    <t>BONDAV482</t>
  </si>
  <si>
    <t>BONDAV436</t>
  </si>
  <si>
    <t>BONDAV437</t>
  </si>
  <si>
    <t>BONDAV438</t>
  </si>
  <si>
    <t>BONDAV439</t>
  </si>
  <si>
    <t>BONDAV440</t>
  </si>
  <si>
    <t>BONDAV441</t>
  </si>
  <si>
    <t>BONDAV442</t>
  </si>
  <si>
    <t>BONDAV443</t>
  </si>
  <si>
    <t>BONDAV444</t>
  </si>
  <si>
    <t>BONDAV445</t>
  </si>
  <si>
    <t>BONDAV446</t>
  </si>
  <si>
    <t>BONDAV447</t>
  </si>
  <si>
    <t>BONDAV449</t>
  </si>
  <si>
    <t>BONDAV451</t>
  </si>
  <si>
    <t>BONDAV453</t>
  </si>
  <si>
    <t>BONDAV455</t>
  </si>
  <si>
    <t>BONDAV456</t>
  </si>
  <si>
    <t>BONDAV457</t>
  </si>
  <si>
    <t>BONDAV458</t>
  </si>
  <si>
    <t>BONDAV459</t>
  </si>
  <si>
    <t>BONDAV460</t>
  </si>
  <si>
    <t>BONDAV461</t>
  </si>
  <si>
    <t>BONDAV462</t>
  </si>
  <si>
    <t>BONDAV463</t>
  </si>
  <si>
    <t>BONDAV464</t>
  </si>
  <si>
    <t>BONDAV469</t>
  </si>
  <si>
    <t>BONDAV470</t>
  </si>
  <si>
    <t>BONDAV471</t>
  </si>
  <si>
    <t>BONDAV472</t>
  </si>
  <si>
    <t>BONDAV473</t>
  </si>
  <si>
    <t>BONDAV474</t>
  </si>
  <si>
    <t>BONDAV475</t>
  </si>
  <si>
    <t>BONDAV476</t>
  </si>
  <si>
    <t>BONDAV477</t>
  </si>
  <si>
    <t>BONDAV478</t>
  </si>
  <si>
    <t>BONDAV479</t>
  </si>
  <si>
    <t>BONDKBPA100</t>
  </si>
  <si>
    <t>BONDKBPA300</t>
  </si>
  <si>
    <t>BONDKBPA200</t>
  </si>
  <si>
    <t>BONDKBPA400</t>
  </si>
  <si>
    <t>BONDKBPB100</t>
  </si>
  <si>
    <t>BONDKBPB200</t>
  </si>
  <si>
    <t>BONDKBPC300</t>
  </si>
  <si>
    <t>BONDKBPC401</t>
  </si>
  <si>
    <t>BONDKBPC400</t>
  </si>
  <si>
    <t>BONDKBPC402</t>
  </si>
  <si>
    <t>BONDKBPC500</t>
  </si>
  <si>
    <t>BONDKBPD000</t>
  </si>
  <si>
    <t>BONDKBPD001</t>
  </si>
  <si>
    <t>BONDKBPE110</t>
  </si>
  <si>
    <t>BONDKBPE111</t>
  </si>
  <si>
    <t>BONDKBPE120</t>
  </si>
  <si>
    <t>BONDKBPE121</t>
  </si>
  <si>
    <t>BONDKBPE130</t>
  </si>
  <si>
    <t>BONDKBPE144</t>
  </si>
  <si>
    <t>BONDKBPE140</t>
  </si>
  <si>
    <t>BONDKBPE142</t>
  </si>
  <si>
    <t>BONDKBPE150</t>
  </si>
  <si>
    <t>BONDKBPE204</t>
  </si>
  <si>
    <t>BONDKBPE202</t>
  </si>
  <si>
    <t>BONDKBPE200</t>
  </si>
  <si>
    <t>BONDKBPE210</t>
  </si>
  <si>
    <t>BONDKBPE220</t>
  </si>
  <si>
    <t>BONDKBPE230</t>
  </si>
  <si>
    <t>BONDKBPE304</t>
  </si>
  <si>
    <t>BONDKBPE302</t>
  </si>
  <si>
    <t>BONDKBPE300</t>
  </si>
  <si>
    <t>BONDKBPE310</t>
  </si>
  <si>
    <t>BONDKBPE320</t>
  </si>
  <si>
    <t>BONDKBPE330</t>
  </si>
  <si>
    <t>BONDKBPE342</t>
  </si>
  <si>
    <t>BONDKBPE340</t>
  </si>
  <si>
    <t>BONDKBPE350</t>
  </si>
  <si>
    <t>BONDKBPF114</t>
  </si>
  <si>
    <t>BONDKBPF124</t>
  </si>
  <si>
    <t>BONDKBPF134</t>
  </si>
  <si>
    <t>BONDKBPF144</t>
  </si>
  <si>
    <t>BONDKBPF212</t>
  </si>
  <si>
    <t>BONDKBPF221</t>
  </si>
  <si>
    <t>BONDKBPF222</t>
  </si>
  <si>
    <t>BONDKBPF223</t>
  </si>
  <si>
    <t>BONDKBPF231</t>
  </si>
  <si>
    <t>BONDKBPF232</t>
  </si>
  <si>
    <t>BONDKBPF233</t>
  </si>
  <si>
    <t>BONDKBPF241</t>
  </si>
  <si>
    <t>BONDKBPF242</t>
  </si>
  <si>
    <t>BONDKBPF243</t>
  </si>
  <si>
    <t>BONDKBPF312</t>
  </si>
  <si>
    <t>BONDKBPF321</t>
  </si>
  <si>
    <t>BONDKBPF322</t>
  </si>
  <si>
    <t>BONDKBPF323</t>
  </si>
  <si>
    <t>BONDKBPF331</t>
  </si>
  <si>
    <t>BONDKBPF332</t>
  </si>
  <si>
    <t>BONDKBPF333</t>
  </si>
  <si>
    <t>BONDKBPF341</t>
  </si>
  <si>
    <t>BONDKBPF342</t>
  </si>
  <si>
    <t>BONDKBPF343</t>
  </si>
  <si>
    <t>BONDKBPZ001</t>
  </si>
  <si>
    <t>BONDKIS1013000</t>
  </si>
  <si>
    <t>BONDKIS1030000</t>
  </si>
  <si>
    <t>BONDKIS1020000</t>
  </si>
  <si>
    <t>BONDKIS2010000</t>
  </si>
  <si>
    <t>BONDKIS2020000</t>
  </si>
  <si>
    <t>BONDKIS3033110</t>
  </si>
  <si>
    <t>BONDKIS3043121</t>
  </si>
  <si>
    <t>BONDKIS3043122</t>
  </si>
  <si>
    <t>BONDKIS3043123</t>
  </si>
  <si>
    <t>BONDKIS3050000</t>
  </si>
  <si>
    <t>BONDKIS4003000</t>
  </si>
  <si>
    <t>BONDKIS5013110</t>
  </si>
  <si>
    <t>BONDKIS5023110</t>
  </si>
  <si>
    <t>BONDKIS5033110</t>
  </si>
  <si>
    <t>BONDKIS5043121</t>
  </si>
  <si>
    <t>BONDKIS5043122</t>
  </si>
  <si>
    <t>BONDKIS5043123</t>
  </si>
  <si>
    <t>BONDKIS5053131</t>
  </si>
  <si>
    <t>BONDKIS5053132</t>
  </si>
  <si>
    <t>BONDKIS5053133</t>
  </si>
  <si>
    <t>BONDKIS9999119</t>
  </si>
  <si>
    <t>BONDKIS9999111</t>
  </si>
  <si>
    <t>BONDKIS9999112</t>
  </si>
  <si>
    <t>BONDKIS9999113</t>
  </si>
  <si>
    <t>BONDKIS9999114</t>
  </si>
  <si>
    <t>BONDKIS9999115</t>
  </si>
  <si>
    <t>BONDKIS9999116</t>
  </si>
  <si>
    <t>BONDKIS9999117</t>
  </si>
  <si>
    <t>BONDKIS9999118</t>
  </si>
  <si>
    <t>BONDKIS6013121</t>
  </si>
  <si>
    <t>BONDKIS6013122</t>
  </si>
  <si>
    <t>BONDKIS6013123</t>
  </si>
  <si>
    <t>BONDKIS6013131</t>
  </si>
  <si>
    <t>BONDKIS6013132</t>
  </si>
  <si>
    <t>BONDKIS6013133</t>
  </si>
  <si>
    <t>BONDKIS6013211</t>
  </si>
  <si>
    <t>BONDKIS6013212</t>
  </si>
  <si>
    <t>BONDKIS6013213</t>
  </si>
  <si>
    <t>BONDKIS7010110</t>
  </si>
  <si>
    <t>BONDKIS7010121</t>
  </si>
  <si>
    <t>BONDKIS7010122</t>
  </si>
  <si>
    <t>BONDKIS7010123</t>
  </si>
  <si>
    <t>BONDKIS7010131</t>
  </si>
  <si>
    <t>BONDKIS7010132</t>
  </si>
  <si>
    <t>BONDKIS7010133</t>
  </si>
  <si>
    <t>BONDKIS7010211</t>
  </si>
  <si>
    <t>BONDKIS7010212</t>
  </si>
  <si>
    <t>BONDKIS7010213</t>
  </si>
  <si>
    <t>BONDKIS8010110</t>
  </si>
  <si>
    <t>BONDKIS8010121</t>
  </si>
  <si>
    <t>BONDKIS8010122</t>
  </si>
  <si>
    <t>BONDKIS8010123</t>
  </si>
  <si>
    <t>BONDKIS8010131</t>
  </si>
  <si>
    <t>BONDKIS8010132</t>
  </si>
  <si>
    <t>BONDKIS8010133</t>
  </si>
  <si>
    <t>BONDKIS8010211</t>
  </si>
  <si>
    <t>BONDKIS8010212</t>
  </si>
  <si>
    <t>BONDKIS8010213</t>
  </si>
  <si>
    <t>BONDKIS3060000</t>
  </si>
  <si>
    <t>NICE</t>
    <phoneticPr fontId="1" type="noConversion"/>
  </si>
  <si>
    <t>BONDNIC1010000</t>
  </si>
  <si>
    <t>BONDNIC1030000</t>
  </si>
  <si>
    <t>BONDNIC1020000</t>
  </si>
  <si>
    <t>BONDNIC1015000</t>
  </si>
  <si>
    <t>BONDNIC2010000</t>
  </si>
  <si>
    <t>BONDNIC2020000</t>
  </si>
  <si>
    <t>BONDNIC3030110</t>
  </si>
  <si>
    <t>BONDNIC3040111</t>
  </si>
  <si>
    <t>BONDNIC3040112</t>
  </si>
  <si>
    <t>BONDNIC3040113</t>
  </si>
  <si>
    <t>BONDNIC3050000</t>
  </si>
  <si>
    <t>BONDNIC4000000</t>
  </si>
  <si>
    <t>BONDNIC5010110</t>
  </si>
  <si>
    <t>BONDNIC5020110</t>
  </si>
  <si>
    <t>BONDNIC5030110</t>
  </si>
  <si>
    <t>BONDNIC5040111</t>
  </si>
  <si>
    <t>BONDNIC5040112</t>
  </si>
  <si>
    <t>BONDNIC5040113</t>
  </si>
  <si>
    <t>BONDNIC5050111</t>
  </si>
  <si>
    <t>BONDNIC5050112</t>
  </si>
  <si>
    <t>BONDNIC5050113</t>
  </si>
  <si>
    <t>BONDNIC6040111</t>
  </si>
  <si>
    <t>BONDNIC6040112</t>
  </si>
  <si>
    <t>BONDNIC6040113</t>
  </si>
  <si>
    <t>BONDNIC6050111</t>
  </si>
  <si>
    <t>BONDNIC6050112</t>
  </si>
  <si>
    <t>BONDNIC6050113</t>
  </si>
  <si>
    <t>BONDNIC6060111</t>
  </si>
  <si>
    <t>BONDNIC6060112</t>
  </si>
  <si>
    <t>BONDNIC6060113</t>
  </si>
  <si>
    <t>BONDNIC9999118</t>
  </si>
  <si>
    <t>BONDNIC9999110</t>
  </si>
  <si>
    <t>BONDNIC9999111</t>
  </si>
  <si>
    <t>BONDNIC9999112</t>
  </si>
  <si>
    <t>BONDNIC9999113</t>
  </si>
  <si>
    <t>BONDNIC9999114</t>
  </si>
  <si>
    <t>BONDNIC9999115</t>
  </si>
  <si>
    <t>BONDNIC9999116</t>
  </si>
  <si>
    <t>BONDNIC9999117</t>
  </si>
  <si>
    <t>BONDNIC7130110</t>
  </si>
  <si>
    <t>BONDNIC7140111</t>
  </si>
  <si>
    <t>BONDNIC7140112</t>
  </si>
  <si>
    <t>BONDNIC7140113</t>
  </si>
  <si>
    <t>BONDNIC7150111</t>
  </si>
  <si>
    <t>BONDNIC7150112</t>
  </si>
  <si>
    <t>BONDNIC7150113</t>
  </si>
  <si>
    <t>BONDNIC7030110</t>
  </si>
  <si>
    <t>BONDNIC7040111</t>
  </si>
  <si>
    <t>BONDNIC7040112</t>
  </si>
  <si>
    <t>BONDNIC7040113</t>
  </si>
  <si>
    <t>BONDNIC7050111</t>
  </si>
  <si>
    <t>BONDNIC7050112</t>
  </si>
  <si>
    <t>BONDNIC7050113</t>
  </si>
  <si>
    <t>BONDNIC7060111</t>
  </si>
  <si>
    <t>BONDNIC7060112</t>
  </si>
  <si>
    <t>BONDNIC7060113</t>
  </si>
  <si>
    <t>BONDNIC8030110</t>
  </si>
  <si>
    <t>BONDNIC8040111</t>
  </si>
  <si>
    <t>BONDNIC8040112</t>
  </si>
  <si>
    <t>BONDNIC8040113</t>
  </si>
  <si>
    <t>BONDNIC8050111</t>
  </si>
  <si>
    <t>BONDNIC8050112</t>
  </si>
  <si>
    <t>BONDNIC8050113</t>
  </si>
  <si>
    <t>BONDNIC8060111</t>
  </si>
  <si>
    <t>BONDNIC8060112</t>
  </si>
  <si>
    <t>BONDNIC8060113</t>
  </si>
  <si>
    <t>BONDNIC7430110</t>
  </si>
  <si>
    <t>BONDFNP1010000</t>
  </si>
  <si>
    <t>BONDFNP1030000</t>
  </si>
  <si>
    <t>BONDFNP1020000</t>
  </si>
  <si>
    <t>BONDFNP2010000</t>
  </si>
  <si>
    <t>BONDFNP2020000</t>
  </si>
  <si>
    <t>BONDFNP3030110</t>
  </si>
  <si>
    <t>BONDFNP3040121</t>
  </si>
  <si>
    <t>BONDFNP3040122</t>
  </si>
  <si>
    <t>BONDFNP3040123</t>
  </si>
  <si>
    <t>BONDFNP3050000</t>
  </si>
  <si>
    <t>BONDFNP4000000</t>
  </si>
  <si>
    <t>BONDFNP5010110</t>
  </si>
  <si>
    <t>BONDFNP5020110</t>
  </si>
  <si>
    <t>BONDFNP5030110</t>
  </si>
  <si>
    <t>BONDFNP5040121</t>
  </si>
  <si>
    <t>BONDFNP5040122</t>
  </si>
  <si>
    <t>BONDFNP5040123</t>
  </si>
  <si>
    <t>BONDFNP5050131</t>
  </si>
  <si>
    <t>BONDFNP5050132</t>
  </si>
  <si>
    <t>BONDFNP5050133</t>
  </si>
  <si>
    <t>BONDFNP6010121</t>
  </si>
  <si>
    <t>BONDFNP6010122</t>
  </si>
  <si>
    <t>BONDFNP6010123</t>
  </si>
  <si>
    <t>BONDFNP6010131</t>
  </si>
  <si>
    <t>BONDFNP6010132</t>
  </si>
  <si>
    <t>BONDFNP6010133</t>
  </si>
  <si>
    <t>BONDFNP6010211</t>
  </si>
  <si>
    <t>BONDFNP6010212</t>
  </si>
  <si>
    <t>BONDFNP6010213</t>
  </si>
  <si>
    <t>BONDFNP9999118</t>
  </si>
  <si>
    <t>BONDFNP9999110</t>
  </si>
  <si>
    <t>BONDFNP9999111</t>
  </si>
  <si>
    <t>BONDFNP9999112</t>
  </si>
  <si>
    <t>BONDFNP9999113</t>
  </si>
  <si>
    <t>BONDFNP9999114</t>
  </si>
  <si>
    <t>BONDFNP9999115</t>
  </si>
  <si>
    <t>BONDFNP9999116</t>
  </si>
  <si>
    <t>BONDFNP9999117</t>
  </si>
  <si>
    <t>BONDFNP7020110</t>
  </si>
  <si>
    <t>BONDFNP7020120</t>
  </si>
  <si>
    <t>BONDFNP7020130</t>
  </si>
  <si>
    <t>BONDFNP7020210</t>
  </si>
  <si>
    <t>BONDFNP7010110</t>
  </si>
  <si>
    <t>BONDFNP7010121</t>
  </si>
  <si>
    <t>BONDFNP7010122</t>
  </si>
  <si>
    <t>BONDFNP7010123</t>
  </si>
  <si>
    <t>BONDFNP7010131</t>
  </si>
  <si>
    <t>BONDFNP7010132</t>
  </si>
  <si>
    <t>BONDFNP7010133</t>
  </si>
  <si>
    <t>BONDFNP7010211</t>
  </si>
  <si>
    <t>BONDFNP7010212</t>
  </si>
  <si>
    <t>BONDFNP7010213</t>
  </si>
  <si>
    <t>BONDFNP8010110</t>
  </si>
  <si>
    <t>BONDFNP8010121</t>
  </si>
  <si>
    <t>BONDFNP8010122</t>
  </si>
  <si>
    <t>BONDFNP8010123</t>
  </si>
  <si>
    <t>BONDFNP8010131</t>
  </si>
  <si>
    <t>BONDFNP8010132</t>
  </si>
  <si>
    <t>BONDFNP8010133</t>
  </si>
  <si>
    <t>BONDFNP8110211</t>
  </si>
  <si>
    <t>BONDFNP8110212</t>
  </si>
  <si>
    <t>BONDFNP8110213</t>
  </si>
  <si>
    <t>BONDFNP3060000</t>
  </si>
  <si>
    <t>BONDKSD1010000</t>
  </si>
  <si>
    <t>BONDKSD1030000</t>
  </si>
  <si>
    <t>BONDKSD1020000</t>
  </si>
  <si>
    <t>BONDKSD2010000</t>
  </si>
  <si>
    <t>BONDKSD2020000</t>
  </si>
  <si>
    <t>BONDKSD3030110</t>
  </si>
  <si>
    <t>BONDKSD3040121</t>
  </si>
  <si>
    <t>BONDKSD3040120</t>
  </si>
  <si>
    <t>BONDKSD3070000</t>
  </si>
  <si>
    <t>BONDKSD4000000</t>
  </si>
  <si>
    <t>BONDKSD5010110</t>
  </si>
  <si>
    <t>BONDKSD5020110</t>
  </si>
  <si>
    <t>BONDKSD5030110</t>
  </si>
  <si>
    <t>BONDKSD5040120</t>
  </si>
  <si>
    <t>BONDKSD5050131</t>
  </si>
  <si>
    <t>BONDKSD6010121</t>
  </si>
  <si>
    <t>BONDKSD6010122</t>
  </si>
  <si>
    <t>BONDKSD6010123</t>
  </si>
  <si>
    <t>BONDKSD6010131</t>
  </si>
  <si>
    <t>BONDKSD6010132</t>
  </si>
  <si>
    <t>BONDKSD6010133</t>
  </si>
  <si>
    <t>BONDKSD6010210</t>
  </si>
  <si>
    <t>BONDKSD7020110</t>
  </si>
  <si>
    <t>BONDKSD7020120</t>
  </si>
  <si>
    <t>BONDKSD7020130</t>
  </si>
  <si>
    <t>BONDKSD7020210</t>
  </si>
  <si>
    <t>BONDKSD7010110</t>
  </si>
  <si>
    <t>BONDKSD7010121</t>
  </si>
  <si>
    <t>BONDKSD7010122</t>
  </si>
  <si>
    <t>BONDKSD7010123</t>
  </si>
  <si>
    <t>BONDKSD7010131</t>
  </si>
  <si>
    <t>BONDKSD7010132</t>
  </si>
  <si>
    <t>BONDKSD7010133</t>
  </si>
  <si>
    <t>BONDKSD7010211</t>
  </si>
  <si>
    <t>BONDKSD7010212</t>
  </si>
  <si>
    <t>BONDKSD7010213</t>
  </si>
  <si>
    <t>BONDKSD8010110</t>
  </si>
  <si>
    <t>BONDKSD8010120</t>
  </si>
  <si>
    <t>BONDKSD8010131</t>
  </si>
  <si>
    <t>BONDKSD8010132</t>
  </si>
  <si>
    <t>BONDKSD8010133</t>
  </si>
  <si>
    <t>BONDKSD3060000</t>
  </si>
  <si>
    <t>KOFIA</t>
    <phoneticPr fontId="1" type="noConversion"/>
  </si>
  <si>
    <t>KOFIA</t>
    <phoneticPr fontId="1" type="noConversion"/>
  </si>
  <si>
    <t>주기</t>
    <phoneticPr fontId="1" type="noConversion"/>
  </si>
  <si>
    <t>TODAY</t>
    <phoneticPr fontId="1" type="noConversion"/>
  </si>
  <si>
    <t>시가평가  History</t>
    <phoneticPr fontId="1" type="noConversion"/>
  </si>
  <si>
    <t>회사채 공모 특수은행보증</t>
  </si>
  <si>
    <t>회사채 공모 시중은행보증</t>
  </si>
  <si>
    <t>회사채 공모 우량지방은행보증</t>
  </si>
  <si>
    <t>회사채 공모 기타금융기관보증</t>
  </si>
  <si>
    <t>회사채AAA(공모/무)</t>
  </si>
  <si>
    <t>회사채AA+(공모/무)</t>
  </si>
  <si>
    <t>회사채AA0(공모/무)</t>
  </si>
  <si>
    <t>회사채AA-(공모/무)</t>
  </si>
  <si>
    <t>회사채A+(공모/무)</t>
  </si>
  <si>
    <t>회사채A0(공모/무)</t>
  </si>
  <si>
    <t>회사채A-(공모/무)</t>
  </si>
  <si>
    <t>회사채BBB+(공모/무)</t>
  </si>
  <si>
    <t>회사채BBB0(공모/무)</t>
  </si>
  <si>
    <t>회사채BBB-(공모/무)</t>
  </si>
  <si>
    <t>BONDKIS7020110</t>
  </si>
  <si>
    <t>BONDKIS7020120</t>
  </si>
  <si>
    <t>BONDKIS7020130</t>
  </si>
  <si>
    <t>BONDKIS7020210</t>
  </si>
  <si>
    <t>국고대비 (bp)</t>
  </si>
  <si>
    <t>전일대비 (bp)</t>
  </si>
  <si>
    <t>공사/공단채 AAA</t>
  </si>
  <si>
    <t>공사/공단채 AA+</t>
  </si>
  <si>
    <t>공사/공단채 AA</t>
  </si>
  <si>
    <t>공사/공단채 AA-</t>
  </si>
  <si>
    <t>공사/공단채 (정부보증)</t>
  </si>
  <si>
    <t>커버드본드</t>
  </si>
  <si>
    <t>BONDAVG84</t>
  </si>
  <si>
    <t>BONDAV484</t>
  </si>
  <si>
    <t>BONDKBPE13C</t>
  </si>
  <si>
    <t>BONDKIS4050000</t>
  </si>
  <si>
    <t>BONDNIC4050000</t>
  </si>
  <si>
    <t>BONDFNP4050000</t>
  </si>
  <si>
    <t>BONDKSD4050000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</si>
</sst>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>
    <font>
      <sz val="10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10"/>
      <color theme="0"/>
      <name val="Calibri"/>
      <family val="3"/>
      <charset val="129"/>
      <scheme val="minor"/>
    </font>
    <font>
      <i/>
      <sz val="10"/>
      <color theme="1"/>
      <name val="Calibri"/>
      <family val="3"/>
      <charset val="129"/>
      <scheme val="minor"/>
    </font>
    <font>
      <b/>
      <i/>
      <sz val="10"/>
      <color theme="0" tint="-0.34998626667073579"/>
      <name val="Calibri"/>
      <family val="3"/>
      <charset val="129"/>
      <scheme val="minor"/>
    </font>
    <font>
      <i/>
      <sz val="10"/>
      <color theme="0" tint="-0.34998626667073579"/>
      <name val="Calibri"/>
      <family val="3"/>
      <charset val="129"/>
      <scheme val="minor"/>
    </font>
    <font>
      <b/>
      <i/>
      <sz val="16"/>
      <color theme="3"/>
      <name val="Calibri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4" borderId="1" xfId="0" applyNumberFormat="1" applyFont="1" applyFill="1" applyBorder="1">
      <alignment vertical="center"/>
    </xf>
    <xf numFmtId="0" fontId="4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0" fillId="0" borderId="0" xfId="0" applyNumberFormat="1">
      <alignment vertical="center"/>
    </xf>
    <xf numFmtId="164" fontId="0" fillId="0" borderId="1" xfId="0" applyNumberFormat="1" applyBorder="1" applyAlignment="1">
      <alignment horizontal="right" vertical="center"/>
    </xf>
    <xf numFmtId="0" fontId="6" fillId="3" borderId="0" xfId="0" applyFont="1" applyFill="1">
      <alignment vertic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CECFF"/>
      <color rgb="FFCCFFFF"/>
      <color rgb="FFCC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x1.Y9Rq1</stp>
        <stp>5</stp>
        <stp>1642220</stp>
        <tr r="Z5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Lines="10" dropStyle="combo" dx="22" fmlaLink="$Z$2" fmlaRange="$AS$7:$AS$77" sel="1" val="0"/>
</file>

<file path=xl/ctrlProps/ctrlProp2.xml><?xml version="1.0" encoding="utf-8"?>
<formControlPr xmlns="http://schemas.microsoft.com/office/spreadsheetml/2009/9/main" objectType="Drop" dropLines="10" dropStyle="combo" dx="22" fmlaLink="$V$7" fmlaRange="$V$8:$V$14" sel="1" val="0"/>
</file>

<file path=xl/ctrlProps/ctrlProp3.xml><?xml version="1.0" encoding="utf-8"?>
<formControlPr xmlns="http://schemas.microsoft.com/office/spreadsheetml/2009/9/main" objectType="Drop" dropLines="10" dropStyle="combo" dx="22" fmlaLink="$W$7" fmlaRange="$W$8:$W$10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333375</xdr:colOff>
          <xdr:row>3</xdr:row>
          <xdr:rowOff>19050</xdr:rowOff>
        </xdr:from>
        <xdr:to>
          <xdr:col>8</xdr:col>
          <xdr:colOff>600075</xdr:colOff>
          <xdr:row>4</xdr:row>
          <xdr:rowOff>9525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C62C9C1E-382B-FE37-D6FE-4E4E80432A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142875</xdr:colOff>
          <xdr:row>3</xdr:row>
          <xdr:rowOff>9525</xdr:rowOff>
        </xdr:from>
        <xdr:to>
          <xdr:col>6</xdr:col>
          <xdr:colOff>200025</xdr:colOff>
          <xdr:row>4</xdr:row>
          <xdr:rowOff>9525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7194B149-C2D7-6480-9739-BABCE98261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3</xdr:row>
          <xdr:rowOff>19050</xdr:rowOff>
        </xdr:from>
        <xdr:to>
          <xdr:col>10</xdr:col>
          <xdr:colOff>371475</xdr:colOff>
          <xdr:row>4</xdr:row>
          <xdr:rowOff>9525</xdr:rowOff>
        </xdr:to>
        <xdr:sp macro="" textlink="">
          <xdr:nvSpPr>
            <xdr:cNvPr id="1028" name="Drop Dow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805536CB-8645-4D8E-26B6-608F142938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5"/>
  <sheetViews>
    <sheetView showGridLines="0" showRowColHeaders="0" tabSelected="1" workbookViewId="0">
      <pane ySplit="6" topLeftCell="A7" activePane="bottomLeft" state="frozen"/>
      <selection pane="bottomLeft"/>
    </sheetView>
  </sheetViews>
  <sheetFormatPr defaultColWidth="0" defaultRowHeight="12.75" zeroHeight="1"/>
  <cols>
    <col min="1" max="1" width="1" customWidth="1"/>
    <col min="2" max="2" width="11.28515625" bestFit="1" customWidth="1"/>
    <col min="3" max="18" width="10.7109375" customWidth="1"/>
    <col min="19" max="19" width="3.140625" customWidth="1"/>
    <col min="20" max="22" width="3.140625" hidden="1"/>
    <col min="23" max="25" width="12.28515625" hidden="1"/>
    <col min="26" max="26" width="14.85546875" hidden="1"/>
    <col min="27" max="30" width="13.5703125" hidden="1"/>
    <col min="31" max="31" width="12.140625" hidden="1"/>
    <col min="32" max="32" width="13.5703125" hidden="1"/>
    <col min="33" max="33" width="15.140625" hidden="1"/>
    <col min="34" max="37" width="13.5703125" hidden="1"/>
    <col min="38" max="42" width="14.5703125" hidden="1"/>
    <col min="43" max="43" width="9.140625" hidden="1"/>
    <col min="44" max="44" width="3.7109375" hidden="1"/>
    <col min="45" max="45" width="27.42578125" hidden="1"/>
    <col min="46" max="46" width="12.140625" hidden="1"/>
    <col min="47" max="48" width="9.140625" hidden="1"/>
    <col min="49" max="49" width="13.42578125" hidden="1"/>
    <col min="50" max="50" width="11.85546875" hidden="1"/>
    <col min="51" max="16384" width="9.140625" hidden="1"/>
  </cols>
  <sheetData>
    <row r="1" spans="2:52" ht="6" customHeight="1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2:52" ht="27" customHeight="1">
      <c r="B2" s="13" t="s">
        <v>527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Z2">
        <v>1</v>
      </c>
    </row>
    <row r="3" spans="2:52" ht="9.75" customHeight="1">
      <c r="C3" s="7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Z3" t="str">
        <f>INDEX(AT7:AZ77,$Z$2,$V$7)</f>
        <v>BONDAVG01</v>
      </c>
    </row>
    <row r="4" spans="2:52" ht="16.5" customHeight="1">
      <c r="B4" s="6" t="s">
        <v>122</v>
      </c>
      <c r="C4" s="8">
        <f ca="1">TODAY()-365</f>
        <v>45158</v>
      </c>
      <c r="D4" s="6" t="s">
        <v>123</v>
      </c>
      <c r="E4" s="8">
        <f ca="1">TODAY()</f>
        <v>45523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9" t="s">
        <v>526</v>
      </c>
      <c r="R4" s="10">
        <f ca="1">TODAY()</f>
        <v>45523</v>
      </c>
      <c r="Z4" t="s">
        <v>122</v>
      </c>
      <c r="AA4">
        <f ca="1">C4</f>
        <v>45158</v>
      </c>
      <c r="AB4" t="s">
        <v>123</v>
      </c>
      <c r="AC4">
        <f ca="1">E4</f>
        <v>45523</v>
      </c>
      <c r="AD4" t="s">
        <v>124</v>
      </c>
      <c r="AE4">
        <v>9999</v>
      </c>
      <c r="AF4" t="s">
        <v>525</v>
      </c>
      <c r="AG4" t="s">
        <v>125</v>
      </c>
      <c r="AH4" t="s">
        <v>126</v>
      </c>
      <c r="AI4" t="s">
        <v>127</v>
      </c>
      <c r="AJ4" t="s">
        <v>128</v>
      </c>
      <c r="AK4">
        <v>0</v>
      </c>
      <c r="AL4" t="s">
        <v>129</v>
      </c>
      <c r="AM4" t="s">
        <v>130</v>
      </c>
      <c r="AT4">
        <v>1</v>
      </c>
      <c r="AU4">
        <v>2</v>
      </c>
      <c r="AV4">
        <v>3</v>
      </c>
      <c r="AW4">
        <v>4</v>
      </c>
      <c r="AX4">
        <v>5</v>
      </c>
      <c r="AY4">
        <v>6</v>
      </c>
      <c r="AZ4">
        <v>7</v>
      </c>
    </row>
    <row r="5" spans="2:52" ht="8.25" customHeight="1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Z5" t="str">
        <f ca="1">_xll.IMDH("IR",$Z$3,Z6:AP6,$AA$4,$AC$4,$AE$4,"Per="&amp;$AG$4&amp;",sort="&amp;$AI$4&amp;",real=false,Bizday="&amp;$AK$4&amp;",Quote="&amp;$AM$4&amp;",Pos=20,Orient=V,Title=3사평균 국고채권,DtFmt=1,TmFmt=1,unit=true")</f>
        <v>3사평균 국고채권</v>
      </c>
    </row>
    <row r="6" spans="2:52" ht="18.75" customHeight="1">
      <c r="B6" s="2" t="s">
        <v>121</v>
      </c>
      <c r="C6" s="4" t="s">
        <v>131</v>
      </c>
      <c r="D6" s="4" t="s">
        <v>132</v>
      </c>
      <c r="E6" s="4" t="s">
        <v>133</v>
      </c>
      <c r="F6" s="4" t="s">
        <v>134</v>
      </c>
      <c r="G6" s="4" t="s">
        <v>135</v>
      </c>
      <c r="H6" s="4" t="s">
        <v>136</v>
      </c>
      <c r="I6" s="4" t="s">
        <v>137</v>
      </c>
      <c r="J6" s="4" t="s">
        <v>138</v>
      </c>
      <c r="K6" s="4" t="s">
        <v>139</v>
      </c>
      <c r="L6" s="4" t="s">
        <v>140</v>
      </c>
      <c r="M6" s="4" t="s">
        <v>141</v>
      </c>
      <c r="N6" s="4" t="s">
        <v>142</v>
      </c>
      <c r="O6" s="4" t="s">
        <v>143</v>
      </c>
      <c r="P6" s="4" t="s">
        <v>144</v>
      </c>
      <c r="Q6" s="4" t="s">
        <v>145</v>
      </c>
      <c r="R6" s="4" t="s">
        <v>146</v>
      </c>
      <c r="Z6" t="s">
        <v>121</v>
      </c>
      <c r="AA6" t="str">
        <f>"3월이하"&amp;INDEX($W$8:$X$10,$W$7,2)</f>
        <v>3월이하(당일)</v>
      </c>
      <c r="AB6" t="str">
        <f>"6월이하"&amp;INDEX($W$8:$X$10,$W$7,2)</f>
        <v>6월이하(당일)</v>
      </c>
      <c r="AC6" t="str">
        <f>"9월이하"&amp;INDEX($W$8:$X$10,$W$7,2)</f>
        <v>9월이하(당일)</v>
      </c>
      <c r="AD6" t="str">
        <f>"1년이하"&amp;INDEX($W$8:$X$10,$W$7,2)</f>
        <v>1년이하(당일)</v>
      </c>
      <c r="AE6" t="str">
        <f>"1.5년이하"&amp;INDEX($W$8:$X$10,$W$7,2)</f>
        <v>1.5년이하(당일)</v>
      </c>
      <c r="AF6" t="str">
        <f>"2년이하"&amp;INDEX($W$8:$X$10,$W$7,2)</f>
        <v>2년이하(당일)</v>
      </c>
      <c r="AG6" t="str">
        <f>"2.5년이하"&amp;INDEX($W$8:$X$10,$W$7,2)</f>
        <v>2.5년이하(당일)</v>
      </c>
      <c r="AH6" t="str">
        <f>"3년이하"&amp;INDEX($W$8:$X$10,$W$7,2)</f>
        <v>3년이하(당일)</v>
      </c>
      <c r="AI6" t="str">
        <f>"4년이하"&amp;INDEX($W$8:$X$10,$W$7,2)</f>
        <v>4년이하(당일)</v>
      </c>
      <c r="AJ6" t="str">
        <f>"5년이하"&amp;INDEX($W$8:$X$10,$W$7,2)</f>
        <v>5년이하(당일)</v>
      </c>
      <c r="AK6" t="str">
        <f>"7년이하"&amp;INDEX($W$8:$X$10,$W$7,2)</f>
        <v>7년이하(당일)</v>
      </c>
      <c r="AL6" t="str">
        <f>"10년이하"&amp;INDEX($W$8:$X$10,$W$7,2)</f>
        <v>10년이하(당일)</v>
      </c>
      <c r="AM6" t="str">
        <f>"15년이하"&amp;INDEX($W$8:$X$10,$W$7,2)</f>
        <v>15년이하(당일)</v>
      </c>
      <c r="AN6" t="str">
        <f>"20년이하"&amp;INDEX($W$8:$X$10,$W$7,2)</f>
        <v>20년이하(당일)</v>
      </c>
      <c r="AO6" t="str">
        <f>"30년이하"&amp;INDEX($W$8:$X$10,$W$7,2)</f>
        <v>30년이하(당일)</v>
      </c>
      <c r="AP6" t="str">
        <f>"50년이하"&amp;INDEX($W$8:$X$10,$W$7,2)</f>
        <v>50년이하(당일)</v>
      </c>
      <c r="AT6" t="s">
        <v>157</v>
      </c>
      <c r="AU6" t="s">
        <v>158</v>
      </c>
      <c r="AV6" t="s">
        <v>149</v>
      </c>
      <c r="AW6" t="s">
        <v>150</v>
      </c>
      <c r="AX6" t="s">
        <v>350</v>
      </c>
      <c r="AY6" t="s">
        <v>152</v>
      </c>
      <c r="AZ6" t="s">
        <v>523</v>
      </c>
    </row>
    <row r="7" spans="2:52">
      <c r="B7" s="5">
        <f>IF(Z7="","",Z7)</f>
        <v>45520</v>
      </c>
      <c r="C7" s="12" t="str">
        <f>IF(AA7="", "", CHOOSE($W$7, TEXT(AA7, "#,##0.000_ ;-#,##0.000 "), TEXT(AA7*100, "#,##0.0_ ;-#,##0.0 "), TEXT(AA7, "#,##0.0_ ;-#,##0.0 ")) )</f>
        <v xml:space="preserve">3.338 </v>
      </c>
      <c r="D7" s="12" t="str">
        <f t="shared" ref="D7:D70" si="0">IF(AB7="", "", CHOOSE($W$7, TEXT(AB7, "#,##0.000_ ;-#,##0.000 "), TEXT(AB7*100, "#,##0.0_ ;-#,##0.0 "), TEXT(AB7, "#,##0.0_ ;-#,##0.0 ")) )</f>
        <v xml:space="preserve">3.203 </v>
      </c>
      <c r="E7" s="12" t="str">
        <f t="shared" ref="E7:E70" si="1">IF(AC7="", "", CHOOSE($W$7, TEXT(AC7, "#,##0.000_ ;-#,##0.000 "), TEXT(AC7*100, "#,##0.0_ ;-#,##0.0 "), TEXT(AC7, "#,##0.0_ ;-#,##0.0 ")) )</f>
        <v xml:space="preserve">3.112 </v>
      </c>
      <c r="F7" s="12" t="str">
        <f t="shared" ref="F7:F70" si="2">IF(AD7="", "", CHOOSE($W$7, TEXT(AD7, "#,##0.000_ ;-#,##0.000 "), TEXT(AD7*100, "#,##0.0_ ;-#,##0.0 "), TEXT(AD7, "#,##0.0_ ;-#,##0.0 ")) )</f>
        <v xml:space="preserve">3.052 </v>
      </c>
      <c r="G7" s="12" t="str">
        <f t="shared" ref="G7:G70" si="3">IF(AE7="", "", CHOOSE($W$7, TEXT(AE7, "#,##0.000_ ;-#,##0.000 "), TEXT(AE7*100, "#,##0.0_ ;-#,##0.0 "), TEXT(AE7, "#,##0.0_ ;-#,##0.0 ")) )</f>
        <v xml:space="preserve">3.055 </v>
      </c>
      <c r="H7" s="12" t="str">
        <f t="shared" ref="H7:H70" si="4">IF(AF7="", "", CHOOSE($W$7, TEXT(AF7, "#,##0.000_ ;-#,##0.000 "), TEXT(AF7*100, "#,##0.0_ ;-#,##0.0 "), TEXT(AF7, "#,##0.0_ ;-#,##0.0 ")) )</f>
        <v xml:space="preserve">3.030 </v>
      </c>
      <c r="I7" s="12" t="str">
        <f t="shared" ref="I7:I70" si="5">IF(AG7="", "", CHOOSE($W$7, TEXT(AG7, "#,##0.000_ ;-#,##0.000 "), TEXT(AG7*100, "#,##0.0_ ;-#,##0.0 "), TEXT(AG7, "#,##0.0_ ;-#,##0.0 ")) )</f>
        <v xml:space="preserve">2.944 </v>
      </c>
      <c r="J7" s="12" t="str">
        <f t="shared" ref="J7:J70" si="6">IF(AH7="", "", CHOOSE($W$7, TEXT(AH7, "#,##0.000_ ;-#,##0.000 "), TEXT(AH7*100, "#,##0.0_ ;-#,##0.0 "), TEXT(AH7, "#,##0.0_ ;-#,##0.0 ")) )</f>
        <v xml:space="preserve">2.922 </v>
      </c>
      <c r="K7" s="12" t="str">
        <f t="shared" ref="K7:K70" si="7">IF(AI7="", "", CHOOSE($W$7, TEXT(AI7, "#,##0.000_ ;-#,##0.000 "), TEXT(AI7*100, "#,##0.0_ ;-#,##0.0 "), TEXT(AI7, "#,##0.0_ ;-#,##0.0 ")) )</f>
        <v xml:space="preserve">2.943 </v>
      </c>
      <c r="L7" s="12" t="str">
        <f t="shared" ref="L7:L70" si="8">IF(AJ7="", "", CHOOSE($W$7, TEXT(AJ7, "#,##0.000_ ;-#,##0.000 "), TEXT(AJ7*100, "#,##0.0_ ;-#,##0.0 "), TEXT(AJ7, "#,##0.0_ ;-#,##0.0 ")) )</f>
        <v xml:space="preserve">2.930 </v>
      </c>
      <c r="M7" s="12" t="str">
        <f t="shared" ref="M7:M70" si="9">IF(AK7="", "", CHOOSE($W$7, TEXT(AK7, "#,##0.000_ ;-#,##0.000 "), TEXT(AK7*100, "#,##0.0_ ;-#,##0.0 "), TEXT(AK7, "#,##0.0_ ;-#,##0.0 ")) )</f>
        <v xml:space="preserve">2.981 </v>
      </c>
      <c r="N7" s="12" t="str">
        <f t="shared" ref="N7:N70" si="10">IF(AL7="", "", CHOOSE($W$7, TEXT(AL7, "#,##0.000_ ;-#,##0.000 "), TEXT(AL7*100, "#,##0.0_ ;-#,##0.0 "), TEXT(AL7, "#,##0.0_ ;-#,##0.0 ")) )</f>
        <v xml:space="preserve">2.975 </v>
      </c>
      <c r="O7" s="12" t="str">
        <f t="shared" ref="O7:O70" si="11">IF(AM7="", "", CHOOSE($W$7, TEXT(AM7, "#,##0.000_ ;-#,##0.000 "), TEXT(AM7*100, "#,##0.0_ ;-#,##0.0 "), TEXT(AM7, "#,##0.0_ ;-#,##0.0 ")) )</f>
        <v xml:space="preserve">2.982 </v>
      </c>
      <c r="P7" s="12" t="str">
        <f t="shared" ref="P7:P70" si="12">IF(AN7="", "", CHOOSE($W$7, TEXT(AN7, "#,##0.000_ ;-#,##0.000 "), TEXT(AN7*100, "#,##0.0_ ;-#,##0.0 "), TEXT(AN7, "#,##0.0_ ;-#,##0.0 ")) )</f>
        <v xml:space="preserve">2.952 </v>
      </c>
      <c r="Q7" s="12" t="str">
        <f t="shared" ref="Q7:Q70" si="13">IF(AO7="", "", CHOOSE($W$7, TEXT(AO7, "#,##0.000_ ;-#,##0.000 "), TEXT(AO7*100, "#,##0.0_ ;-#,##0.0 "), TEXT(AO7, "#,##0.0_ ;-#,##0.0 ")) )</f>
        <v xml:space="preserve">2.852 </v>
      </c>
      <c r="R7" s="12" t="str">
        <f t="shared" ref="R7:R70" si="14">IF(AP7="", "", CHOOSE($W$7, TEXT(AP7, "#,##0.000_ ;-#,##0.000 "), TEXT(AP7*100, "#,##0.0_ ;-#,##0.0 "), TEXT(AP7, "#,##0.0_ ;-#,##0.0 ")) )</f>
        <v xml:space="preserve">2.763 </v>
      </c>
      <c r="V7">
        <v>1</v>
      </c>
      <c r="W7">
        <v>1</v>
      </c>
      <c r="Z7" s="11">
        <v>45520</v>
      </c>
      <c r="AA7">
        <v>3.3380000000000001</v>
      </c>
      <c r="AB7">
        <v>3.2029999999999998</v>
      </c>
      <c r="AC7">
        <v>3.1120000000000001</v>
      </c>
      <c r="AD7">
        <v>3.052</v>
      </c>
      <c r="AE7">
        <v>3.0550000000000002</v>
      </c>
      <c r="AF7">
        <v>3.03</v>
      </c>
      <c r="AG7">
        <v>2.944</v>
      </c>
      <c r="AH7">
        <v>2.9220000000000002</v>
      </c>
      <c r="AI7">
        <v>2.9430000000000001</v>
      </c>
      <c r="AJ7">
        <v>2.93</v>
      </c>
      <c r="AK7">
        <v>2.9809999999999999</v>
      </c>
      <c r="AL7">
        <v>2.9750000000000001</v>
      </c>
      <c r="AM7">
        <v>2.9820000000000002</v>
      </c>
      <c r="AN7">
        <v>2.952</v>
      </c>
      <c r="AO7">
        <v>2.8519999999999999</v>
      </c>
      <c r="AP7">
        <v>2.7629999999999999</v>
      </c>
      <c r="AS7" t="s">
        <v>70</v>
      </c>
      <c r="AT7" t="s">
        <v>0</v>
      </c>
      <c r="AU7" t="s">
        <v>159</v>
      </c>
      <c r="AV7" t="s">
        <v>229</v>
      </c>
      <c r="AW7" t="s">
        <v>291</v>
      </c>
      <c r="AX7" t="s">
        <v>351</v>
      </c>
      <c r="AY7" t="s">
        <v>418</v>
      </c>
      <c r="AZ7" t="s">
        <v>481</v>
      </c>
    </row>
    <row r="8" spans="2:52">
      <c r="B8" s="5">
        <f t="shared" ref="B8:B71" si="15">IF(Z8="","",Z8)</f>
        <v>45518</v>
      </c>
      <c r="C8" s="12" t="str">
        <f t="shared" ref="C8:C71" si="16">IF(AA8="", "", CHOOSE($W$7, TEXT(AA8, "#,##0.000_ ;-#,##0.000 "), TEXT(AA8*100, "#,##0.0_ ;-#,##0.0 "), TEXT(AA8, "#,##0.0_ ;-#,##0.0 ")) )</f>
        <v xml:space="preserve">3.338 </v>
      </c>
      <c r="D8" s="12" t="str">
        <f t="shared" si="0"/>
        <v xml:space="preserve">3.203 </v>
      </c>
      <c r="E8" s="12" t="str">
        <f t="shared" si="1"/>
        <v xml:space="preserve">3.111 </v>
      </c>
      <c r="F8" s="12" t="str">
        <f t="shared" si="2"/>
        <v xml:space="preserve">3.045 </v>
      </c>
      <c r="G8" s="12" t="str">
        <f t="shared" si="3"/>
        <v xml:space="preserve">3.035 </v>
      </c>
      <c r="H8" s="12" t="str">
        <f t="shared" si="4"/>
        <v xml:space="preserve">3.001 </v>
      </c>
      <c r="I8" s="12" t="str">
        <f t="shared" si="5"/>
        <v xml:space="preserve">2.912 </v>
      </c>
      <c r="J8" s="12" t="str">
        <f t="shared" si="6"/>
        <v xml:space="preserve">2.887 </v>
      </c>
      <c r="K8" s="12" t="str">
        <f t="shared" si="7"/>
        <v xml:space="preserve">2.915 </v>
      </c>
      <c r="L8" s="12" t="str">
        <f t="shared" si="8"/>
        <v xml:space="preserve">2.898 </v>
      </c>
      <c r="M8" s="12" t="str">
        <f t="shared" si="9"/>
        <v xml:space="preserve">2.949 </v>
      </c>
      <c r="N8" s="12" t="str">
        <f t="shared" si="10"/>
        <v xml:space="preserve">2.940 </v>
      </c>
      <c r="O8" s="12" t="str">
        <f t="shared" si="11"/>
        <v xml:space="preserve">2.954 </v>
      </c>
      <c r="P8" s="12" t="str">
        <f t="shared" si="12"/>
        <v xml:space="preserve">2.930 </v>
      </c>
      <c r="Q8" s="12" t="str">
        <f t="shared" si="13"/>
        <v xml:space="preserve">2.830 </v>
      </c>
      <c r="R8" s="12" t="str">
        <f t="shared" si="14"/>
        <v xml:space="preserve">2.772 </v>
      </c>
      <c r="T8">
        <v>1</v>
      </c>
      <c r="U8">
        <v>2</v>
      </c>
      <c r="V8" t="s">
        <v>147</v>
      </c>
      <c r="W8" t="s">
        <v>153</v>
      </c>
      <c r="X8" t="s">
        <v>154</v>
      </c>
      <c r="Z8" s="11">
        <v>45518</v>
      </c>
      <c r="AA8">
        <v>3.3380000000000001</v>
      </c>
      <c r="AB8">
        <v>3.2029999999999998</v>
      </c>
      <c r="AC8">
        <v>3.1110000000000002</v>
      </c>
      <c r="AD8">
        <v>3.0449999999999999</v>
      </c>
      <c r="AE8">
        <v>3.0350000000000001</v>
      </c>
      <c r="AF8">
        <v>3.0009999999999999</v>
      </c>
      <c r="AG8">
        <v>2.9119999999999999</v>
      </c>
      <c r="AH8">
        <v>2.887</v>
      </c>
      <c r="AI8">
        <v>2.915</v>
      </c>
      <c r="AJ8">
        <v>2.8980000000000001</v>
      </c>
      <c r="AK8">
        <v>2.9489999999999998</v>
      </c>
      <c r="AL8">
        <v>2.94</v>
      </c>
      <c r="AM8">
        <v>2.9540000000000002</v>
      </c>
      <c r="AN8">
        <v>2.93</v>
      </c>
      <c r="AO8">
        <v>2.83</v>
      </c>
      <c r="AP8">
        <v>2.7719999999999998</v>
      </c>
      <c r="AS8" t="s">
        <v>71</v>
      </c>
      <c r="AT8" t="s">
        <v>1</v>
      </c>
      <c r="AU8" t="s">
        <v>160</v>
      </c>
      <c r="AV8" t="s">
        <v>230</v>
      </c>
      <c r="AW8" t="s">
        <v>292</v>
      </c>
      <c r="AX8" t="s">
        <v>352</v>
      </c>
      <c r="AY8" t="s">
        <v>419</v>
      </c>
      <c r="AZ8" t="s">
        <v>482</v>
      </c>
    </row>
    <row r="9" spans="2:52">
      <c r="B9" s="5">
        <f t="shared" si="15"/>
        <v>45517</v>
      </c>
      <c r="C9" s="12" t="str">
        <f t="shared" si="16"/>
        <v xml:space="preserve">3.341 </v>
      </c>
      <c r="D9" s="12" t="str">
        <f t="shared" si="0"/>
        <v xml:space="preserve">3.206 </v>
      </c>
      <c r="E9" s="12" t="str">
        <f t="shared" si="1"/>
        <v xml:space="preserve">3.116 </v>
      </c>
      <c r="F9" s="12" t="str">
        <f t="shared" si="2"/>
        <v xml:space="preserve">3.055 </v>
      </c>
      <c r="G9" s="12" t="str">
        <f t="shared" si="3"/>
        <v xml:space="preserve">3.048 </v>
      </c>
      <c r="H9" s="12" t="str">
        <f t="shared" si="4"/>
        <v xml:space="preserve">3.020 </v>
      </c>
      <c r="I9" s="12" t="str">
        <f t="shared" si="5"/>
        <v xml:space="preserve">2.937 </v>
      </c>
      <c r="J9" s="12" t="str">
        <f t="shared" si="6"/>
        <v xml:space="preserve">2.915 </v>
      </c>
      <c r="K9" s="12" t="str">
        <f t="shared" si="7"/>
        <v xml:space="preserve">2.945 </v>
      </c>
      <c r="L9" s="12" t="str">
        <f t="shared" si="8"/>
        <v xml:space="preserve">2.930 </v>
      </c>
      <c r="M9" s="12" t="str">
        <f t="shared" si="9"/>
        <v xml:space="preserve">2.980 </v>
      </c>
      <c r="N9" s="12" t="str">
        <f t="shared" si="10"/>
        <v xml:space="preserve">2.975 </v>
      </c>
      <c r="O9" s="12" t="str">
        <f t="shared" si="11"/>
        <v xml:space="preserve">2.989 </v>
      </c>
      <c r="P9" s="12" t="str">
        <f t="shared" si="12"/>
        <v xml:space="preserve">2.962 </v>
      </c>
      <c r="Q9" s="12" t="str">
        <f t="shared" si="13"/>
        <v xml:space="preserve">2.872 </v>
      </c>
      <c r="R9" s="12" t="str">
        <f t="shared" si="14"/>
        <v xml:space="preserve">2.815 </v>
      </c>
      <c r="T9">
        <v>2</v>
      </c>
      <c r="U9">
        <v>4</v>
      </c>
      <c r="V9" t="s">
        <v>148</v>
      </c>
      <c r="W9" t="s">
        <v>547</v>
      </c>
      <c r="X9" t="s">
        <v>155</v>
      </c>
      <c r="Z9" s="11">
        <v>45517</v>
      </c>
      <c r="AA9">
        <v>3.3410000000000002</v>
      </c>
      <c r="AB9">
        <v>3.206</v>
      </c>
      <c r="AC9">
        <v>3.1160000000000001</v>
      </c>
      <c r="AD9">
        <v>3.0550000000000002</v>
      </c>
      <c r="AE9">
        <v>3.048</v>
      </c>
      <c r="AF9">
        <v>3.02</v>
      </c>
      <c r="AG9">
        <v>2.9369999999999998</v>
      </c>
      <c r="AH9">
        <v>2.915</v>
      </c>
      <c r="AI9">
        <v>2.9449999999999998</v>
      </c>
      <c r="AJ9">
        <v>2.93</v>
      </c>
      <c r="AK9">
        <v>2.98</v>
      </c>
      <c r="AL9">
        <v>2.9750000000000001</v>
      </c>
      <c r="AM9">
        <v>2.9889999999999999</v>
      </c>
      <c r="AN9">
        <v>2.9620000000000002</v>
      </c>
      <c r="AO9">
        <v>2.8719999999999999</v>
      </c>
      <c r="AP9">
        <v>2.8149999999999999</v>
      </c>
      <c r="AS9" t="s">
        <v>72</v>
      </c>
      <c r="AT9" t="s">
        <v>2</v>
      </c>
      <c r="AU9" t="s">
        <v>161</v>
      </c>
      <c r="AV9" t="s">
        <v>231</v>
      </c>
      <c r="AW9" t="s">
        <v>293</v>
      </c>
      <c r="AX9" t="s">
        <v>353</v>
      </c>
      <c r="AY9" t="s">
        <v>420</v>
      </c>
      <c r="AZ9" t="s">
        <v>483</v>
      </c>
    </row>
    <row r="10" spans="2:52">
      <c r="B10" s="5">
        <f t="shared" si="15"/>
        <v>45516</v>
      </c>
      <c r="C10" s="12" t="str">
        <f t="shared" si="16"/>
        <v xml:space="preserve">3.346 </v>
      </c>
      <c r="D10" s="12" t="str">
        <f t="shared" si="0"/>
        <v xml:space="preserve">3.216 </v>
      </c>
      <c r="E10" s="12" t="str">
        <f t="shared" si="1"/>
        <v xml:space="preserve">3.130 </v>
      </c>
      <c r="F10" s="12" t="str">
        <f t="shared" si="2"/>
        <v xml:space="preserve">3.080 </v>
      </c>
      <c r="G10" s="12" t="str">
        <f t="shared" si="3"/>
        <v xml:space="preserve">3.060 </v>
      </c>
      <c r="H10" s="12" t="str">
        <f t="shared" si="4"/>
        <v xml:space="preserve">3.035 </v>
      </c>
      <c r="I10" s="12" t="str">
        <f t="shared" si="5"/>
        <v xml:space="preserve">2.970 </v>
      </c>
      <c r="J10" s="12" t="str">
        <f t="shared" si="6"/>
        <v xml:space="preserve">2.945 </v>
      </c>
      <c r="K10" s="12" t="str">
        <f t="shared" si="7"/>
        <v xml:space="preserve">2.973 </v>
      </c>
      <c r="L10" s="12" t="str">
        <f t="shared" si="8"/>
        <v xml:space="preserve">2.959 </v>
      </c>
      <c r="M10" s="12" t="str">
        <f t="shared" si="9"/>
        <v xml:space="preserve">3.010 </v>
      </c>
      <c r="N10" s="12" t="str">
        <f t="shared" si="10"/>
        <v xml:space="preserve">3.002 </v>
      </c>
      <c r="O10" s="12" t="str">
        <f t="shared" si="11"/>
        <v xml:space="preserve">3.016 </v>
      </c>
      <c r="P10" s="12" t="str">
        <f t="shared" si="12"/>
        <v xml:space="preserve">2.990 </v>
      </c>
      <c r="Q10" s="12" t="str">
        <f t="shared" si="13"/>
        <v xml:space="preserve">2.900 </v>
      </c>
      <c r="R10" s="12" t="str">
        <f t="shared" si="14"/>
        <v xml:space="preserve">2.842 </v>
      </c>
      <c r="T10">
        <v>3</v>
      </c>
      <c r="U10">
        <v>6</v>
      </c>
      <c r="V10" t="s">
        <v>149</v>
      </c>
      <c r="W10" t="s">
        <v>546</v>
      </c>
      <c r="X10" t="s">
        <v>156</v>
      </c>
      <c r="Z10" s="11">
        <v>45516</v>
      </c>
      <c r="AA10">
        <v>3.3460000000000001</v>
      </c>
      <c r="AB10">
        <v>3.2160000000000002</v>
      </c>
      <c r="AC10">
        <v>3.13</v>
      </c>
      <c r="AD10">
        <v>3.08</v>
      </c>
      <c r="AE10">
        <v>3.06</v>
      </c>
      <c r="AF10">
        <v>3.0350000000000001</v>
      </c>
      <c r="AG10">
        <v>2.97</v>
      </c>
      <c r="AH10">
        <v>2.9449999999999998</v>
      </c>
      <c r="AI10">
        <v>2.9729999999999999</v>
      </c>
      <c r="AJ10">
        <v>2.9590000000000001</v>
      </c>
      <c r="AK10">
        <v>3.01</v>
      </c>
      <c r="AL10">
        <v>3.0019999999999998</v>
      </c>
      <c r="AM10">
        <v>3.016</v>
      </c>
      <c r="AN10">
        <v>2.99</v>
      </c>
      <c r="AO10">
        <v>2.9</v>
      </c>
      <c r="AP10">
        <v>2.8420000000000001</v>
      </c>
      <c r="AS10" t="s">
        <v>73</v>
      </c>
      <c r="AT10" t="s">
        <v>3</v>
      </c>
      <c r="AU10" t="s">
        <v>162</v>
      </c>
      <c r="AV10" t="s">
        <v>232</v>
      </c>
      <c r="AX10" t="s">
        <v>354</v>
      </c>
    </row>
    <row r="11" spans="2:52">
      <c r="B11" s="5">
        <f t="shared" si="15"/>
        <v>45513</v>
      </c>
      <c r="C11" s="12" t="str">
        <f t="shared" si="16"/>
        <v xml:space="preserve">3.348 </v>
      </c>
      <c r="D11" s="12" t="str">
        <f t="shared" si="0"/>
        <v xml:space="preserve">3.216 </v>
      </c>
      <c r="E11" s="12" t="str">
        <f t="shared" si="1"/>
        <v xml:space="preserve">3.130 </v>
      </c>
      <c r="F11" s="12" t="str">
        <f t="shared" si="2"/>
        <v xml:space="preserve">3.080 </v>
      </c>
      <c r="G11" s="12" t="str">
        <f t="shared" si="3"/>
        <v xml:space="preserve">3.058 </v>
      </c>
      <c r="H11" s="12" t="str">
        <f t="shared" si="4"/>
        <v xml:space="preserve">3.031 </v>
      </c>
      <c r="I11" s="12" t="str">
        <f t="shared" si="5"/>
        <v xml:space="preserve">2.960 </v>
      </c>
      <c r="J11" s="12" t="str">
        <f t="shared" si="6"/>
        <v xml:space="preserve">2.940 </v>
      </c>
      <c r="K11" s="12" t="str">
        <f t="shared" si="7"/>
        <v xml:space="preserve">2.970 </v>
      </c>
      <c r="L11" s="12" t="str">
        <f t="shared" si="8"/>
        <v xml:space="preserve">2.957 </v>
      </c>
      <c r="M11" s="12" t="str">
        <f t="shared" si="9"/>
        <v xml:space="preserve">3.013 </v>
      </c>
      <c r="N11" s="12" t="str">
        <f t="shared" si="10"/>
        <v xml:space="preserve">3.012 </v>
      </c>
      <c r="O11" s="12" t="str">
        <f t="shared" si="11"/>
        <v xml:space="preserve">3.026 </v>
      </c>
      <c r="P11" s="12" t="str">
        <f t="shared" si="12"/>
        <v xml:space="preserve">3.000 </v>
      </c>
      <c r="Q11" s="12" t="str">
        <f t="shared" si="13"/>
        <v xml:space="preserve">2.910 </v>
      </c>
      <c r="R11" s="12" t="str">
        <f t="shared" si="14"/>
        <v xml:space="preserve">2.853 </v>
      </c>
      <c r="T11">
        <v>4</v>
      </c>
      <c r="U11">
        <v>8</v>
      </c>
      <c r="V11" t="s">
        <v>150</v>
      </c>
      <c r="Z11" s="11">
        <v>45513</v>
      </c>
      <c r="AA11">
        <v>3.3479999999999999</v>
      </c>
      <c r="AB11">
        <v>3.2160000000000002</v>
      </c>
      <c r="AC11">
        <v>3.13</v>
      </c>
      <c r="AD11">
        <v>3.08</v>
      </c>
      <c r="AE11">
        <v>3.0579999999999998</v>
      </c>
      <c r="AF11">
        <v>3.0310000000000001</v>
      </c>
      <c r="AG11">
        <v>2.96</v>
      </c>
      <c r="AH11">
        <v>2.94</v>
      </c>
      <c r="AI11">
        <v>2.97</v>
      </c>
      <c r="AJ11">
        <v>2.9569999999999999</v>
      </c>
      <c r="AK11">
        <v>3.0129999999999999</v>
      </c>
      <c r="AL11">
        <v>3.012</v>
      </c>
      <c r="AM11">
        <v>3.0259999999999998</v>
      </c>
      <c r="AN11">
        <v>3</v>
      </c>
      <c r="AO11">
        <v>2.91</v>
      </c>
      <c r="AP11">
        <v>2.8530000000000002</v>
      </c>
      <c r="AS11" t="s">
        <v>74</v>
      </c>
      <c r="AT11" t="s">
        <v>4</v>
      </c>
      <c r="AU11" t="s">
        <v>163</v>
      </c>
      <c r="AV11" t="s">
        <v>233</v>
      </c>
      <c r="AW11" t="s">
        <v>294</v>
      </c>
      <c r="AX11" t="s">
        <v>355</v>
      </c>
      <c r="AY11" t="s">
        <v>421</v>
      </c>
      <c r="AZ11" t="s">
        <v>484</v>
      </c>
    </row>
    <row r="12" spans="2:52">
      <c r="B12" s="5">
        <f t="shared" si="15"/>
        <v>45512</v>
      </c>
      <c r="C12" s="12" t="str">
        <f t="shared" si="16"/>
        <v xml:space="preserve">3.351 </v>
      </c>
      <c r="D12" s="12" t="str">
        <f t="shared" si="0"/>
        <v xml:space="preserve">3.216 </v>
      </c>
      <c r="E12" s="12" t="str">
        <f t="shared" si="1"/>
        <v xml:space="preserve">3.126 </v>
      </c>
      <c r="F12" s="12" t="str">
        <f t="shared" si="2"/>
        <v xml:space="preserve">3.079 </v>
      </c>
      <c r="G12" s="12" t="str">
        <f t="shared" si="3"/>
        <v xml:space="preserve">3.055 </v>
      </c>
      <c r="H12" s="12" t="str">
        <f t="shared" si="4"/>
        <v xml:space="preserve">3.015 </v>
      </c>
      <c r="I12" s="12" t="str">
        <f t="shared" si="5"/>
        <v xml:space="preserve">2.935 </v>
      </c>
      <c r="J12" s="12" t="str">
        <f t="shared" si="6"/>
        <v xml:space="preserve">2.919 </v>
      </c>
      <c r="K12" s="12" t="str">
        <f t="shared" si="7"/>
        <v xml:space="preserve">2.945 </v>
      </c>
      <c r="L12" s="12" t="str">
        <f t="shared" si="8"/>
        <v xml:space="preserve">2.939 </v>
      </c>
      <c r="M12" s="12" t="str">
        <f t="shared" si="9"/>
        <v xml:space="preserve">2.998 </v>
      </c>
      <c r="N12" s="12" t="str">
        <f t="shared" si="10"/>
        <v xml:space="preserve">3.000 </v>
      </c>
      <c r="O12" s="12" t="str">
        <f t="shared" si="11"/>
        <v xml:space="preserve">3.019 </v>
      </c>
      <c r="P12" s="12" t="str">
        <f t="shared" si="12"/>
        <v xml:space="preserve">2.995 </v>
      </c>
      <c r="Q12" s="12" t="str">
        <f t="shared" si="13"/>
        <v xml:space="preserve">2.900 </v>
      </c>
      <c r="R12" s="12" t="str">
        <f t="shared" si="14"/>
        <v xml:space="preserve">2.842 </v>
      </c>
      <c r="T12">
        <v>5</v>
      </c>
      <c r="U12">
        <v>10</v>
      </c>
      <c r="V12" t="s">
        <v>151</v>
      </c>
      <c r="Z12" s="11">
        <v>45512</v>
      </c>
      <c r="AA12">
        <v>3.351</v>
      </c>
      <c r="AB12">
        <v>3.2160000000000002</v>
      </c>
      <c r="AC12">
        <v>3.1259999999999999</v>
      </c>
      <c r="AD12">
        <v>3.0790000000000002</v>
      </c>
      <c r="AE12">
        <v>3.0550000000000002</v>
      </c>
      <c r="AF12">
        <v>3.0150000000000001</v>
      </c>
      <c r="AG12">
        <v>2.9350000000000001</v>
      </c>
      <c r="AH12">
        <v>2.919</v>
      </c>
      <c r="AI12">
        <v>2.9449999999999998</v>
      </c>
      <c r="AJ12">
        <v>2.9390000000000001</v>
      </c>
      <c r="AK12">
        <v>2.9980000000000002</v>
      </c>
      <c r="AL12">
        <v>3</v>
      </c>
      <c r="AM12">
        <v>3.0190000000000001</v>
      </c>
      <c r="AN12">
        <v>2.9950000000000001</v>
      </c>
      <c r="AO12">
        <v>2.9</v>
      </c>
      <c r="AP12">
        <v>2.8420000000000001</v>
      </c>
      <c r="AS12" t="s">
        <v>75</v>
      </c>
      <c r="AT12" t="s">
        <v>5</v>
      </c>
      <c r="AU12" t="s">
        <v>164</v>
      </c>
      <c r="AV12" t="s">
        <v>234</v>
      </c>
      <c r="AW12" t="s">
        <v>295</v>
      </c>
      <c r="AX12" t="s">
        <v>356</v>
      </c>
      <c r="AY12" t="s">
        <v>422</v>
      </c>
      <c r="AZ12" t="s">
        <v>485</v>
      </c>
    </row>
    <row r="13" spans="2:52">
      <c r="B13" s="5">
        <f t="shared" si="15"/>
        <v>45511</v>
      </c>
      <c r="C13" s="12" t="str">
        <f t="shared" si="16"/>
        <v xml:space="preserve">3.355 </v>
      </c>
      <c r="D13" s="12" t="str">
        <f t="shared" si="0"/>
        <v xml:space="preserve">3.231 </v>
      </c>
      <c r="E13" s="12" t="str">
        <f t="shared" si="1"/>
        <v xml:space="preserve">3.138 </v>
      </c>
      <c r="F13" s="12" t="str">
        <f t="shared" si="2"/>
        <v xml:space="preserve">3.102 </v>
      </c>
      <c r="G13" s="12" t="str">
        <f t="shared" si="3"/>
        <v xml:space="preserve">3.070 </v>
      </c>
      <c r="H13" s="12" t="str">
        <f t="shared" si="4"/>
        <v xml:space="preserve">3.031 </v>
      </c>
      <c r="I13" s="12" t="str">
        <f t="shared" si="5"/>
        <v xml:space="preserve">2.952 </v>
      </c>
      <c r="J13" s="12" t="str">
        <f t="shared" si="6"/>
        <v xml:space="preserve">2.931 </v>
      </c>
      <c r="K13" s="12" t="str">
        <f t="shared" si="7"/>
        <v xml:space="preserve">2.956 </v>
      </c>
      <c r="L13" s="12" t="str">
        <f t="shared" si="8"/>
        <v xml:space="preserve">2.950 </v>
      </c>
      <c r="M13" s="12" t="str">
        <f t="shared" si="9"/>
        <v xml:space="preserve">3.006 </v>
      </c>
      <c r="N13" s="12" t="str">
        <f t="shared" si="10"/>
        <v xml:space="preserve">3.002 </v>
      </c>
      <c r="O13" s="12" t="str">
        <f t="shared" si="11"/>
        <v xml:space="preserve">3.017 </v>
      </c>
      <c r="P13" s="12" t="str">
        <f t="shared" si="12"/>
        <v xml:space="preserve">2.989 </v>
      </c>
      <c r="Q13" s="12" t="str">
        <f t="shared" si="13"/>
        <v xml:space="preserve">2.900 </v>
      </c>
      <c r="R13" s="12" t="str">
        <f t="shared" si="14"/>
        <v xml:space="preserve">2.842 </v>
      </c>
      <c r="T13">
        <v>6</v>
      </c>
      <c r="U13">
        <v>12</v>
      </c>
      <c r="V13" t="s">
        <v>152</v>
      </c>
      <c r="Z13" s="11">
        <v>45511</v>
      </c>
      <c r="AA13">
        <v>3.355</v>
      </c>
      <c r="AB13">
        <v>3.2309999999999999</v>
      </c>
      <c r="AC13">
        <v>3.1379999999999999</v>
      </c>
      <c r="AD13">
        <v>3.1019999999999999</v>
      </c>
      <c r="AE13">
        <v>3.07</v>
      </c>
      <c r="AF13">
        <v>3.0310000000000001</v>
      </c>
      <c r="AG13">
        <v>2.952</v>
      </c>
      <c r="AH13">
        <v>2.931</v>
      </c>
      <c r="AI13">
        <v>2.956</v>
      </c>
      <c r="AJ13">
        <v>2.95</v>
      </c>
      <c r="AK13">
        <v>3.0059999999999998</v>
      </c>
      <c r="AL13">
        <v>3.0019999999999998</v>
      </c>
      <c r="AM13">
        <v>3.0169999999999999</v>
      </c>
      <c r="AN13">
        <v>2.9889999999999999</v>
      </c>
      <c r="AO13">
        <v>2.9</v>
      </c>
      <c r="AP13">
        <v>2.8420000000000001</v>
      </c>
      <c r="AS13" t="s">
        <v>552</v>
      </c>
      <c r="AT13" t="s">
        <v>10</v>
      </c>
      <c r="AU13" t="s">
        <v>169</v>
      </c>
      <c r="AV13" t="s">
        <v>239</v>
      </c>
      <c r="AW13" t="s">
        <v>300</v>
      </c>
      <c r="AX13" t="s">
        <v>361</v>
      </c>
      <c r="AY13" t="s">
        <v>427</v>
      </c>
      <c r="AZ13" t="s">
        <v>489</v>
      </c>
    </row>
    <row r="14" spans="2:52">
      <c r="B14" s="5">
        <f t="shared" si="15"/>
        <v>45510</v>
      </c>
      <c r="C14" s="12" t="str">
        <f t="shared" si="16"/>
        <v xml:space="preserve">3.340 </v>
      </c>
      <c r="D14" s="12" t="str">
        <f t="shared" si="0"/>
        <v xml:space="preserve">3.233 </v>
      </c>
      <c r="E14" s="12" t="str">
        <f t="shared" si="1"/>
        <v xml:space="preserve">3.121 </v>
      </c>
      <c r="F14" s="12" t="str">
        <f t="shared" si="2"/>
        <v xml:space="preserve">3.104 </v>
      </c>
      <c r="G14" s="12" t="str">
        <f t="shared" si="3"/>
        <v xml:space="preserve">3.075 </v>
      </c>
      <c r="H14" s="12" t="str">
        <f t="shared" si="4"/>
        <v xml:space="preserve">3.040 </v>
      </c>
      <c r="I14" s="12" t="str">
        <f t="shared" si="5"/>
        <v xml:space="preserve">2.958 </v>
      </c>
      <c r="J14" s="12" t="str">
        <f t="shared" si="6"/>
        <v xml:space="preserve">2.940 </v>
      </c>
      <c r="K14" s="12" t="str">
        <f t="shared" si="7"/>
        <v xml:space="preserve">2.960 </v>
      </c>
      <c r="L14" s="12" t="str">
        <f t="shared" si="8"/>
        <v xml:space="preserve">2.955 </v>
      </c>
      <c r="M14" s="12" t="str">
        <f t="shared" si="9"/>
        <v xml:space="preserve">3.005 </v>
      </c>
      <c r="N14" s="12" t="str">
        <f t="shared" si="10"/>
        <v xml:space="preserve">2.997 </v>
      </c>
      <c r="O14" s="12" t="str">
        <f t="shared" si="11"/>
        <v xml:space="preserve">3.017 </v>
      </c>
      <c r="P14" s="12" t="str">
        <f t="shared" si="12"/>
        <v xml:space="preserve">2.995 </v>
      </c>
      <c r="Q14" s="12" t="str">
        <f t="shared" si="13"/>
        <v xml:space="preserve">2.915 </v>
      </c>
      <c r="R14" s="12" t="str">
        <f t="shared" si="14"/>
        <v xml:space="preserve">2.857 </v>
      </c>
      <c r="V14" t="s">
        <v>524</v>
      </c>
      <c r="Z14" s="11">
        <v>45510</v>
      </c>
      <c r="AA14">
        <v>3.34</v>
      </c>
      <c r="AB14">
        <v>3.2330000000000001</v>
      </c>
      <c r="AC14">
        <v>3.121</v>
      </c>
      <c r="AD14">
        <v>3.1040000000000001</v>
      </c>
      <c r="AE14">
        <v>3.0750000000000002</v>
      </c>
      <c r="AF14">
        <v>3.04</v>
      </c>
      <c r="AG14">
        <v>2.9580000000000002</v>
      </c>
      <c r="AH14">
        <v>2.94</v>
      </c>
      <c r="AI14">
        <v>2.96</v>
      </c>
      <c r="AJ14">
        <v>2.9550000000000001</v>
      </c>
      <c r="AK14">
        <v>3.0049999999999999</v>
      </c>
      <c r="AL14">
        <v>2.9969999999999999</v>
      </c>
      <c r="AM14">
        <v>3.0169999999999999</v>
      </c>
      <c r="AN14">
        <v>2.9950000000000001</v>
      </c>
      <c r="AO14">
        <v>2.915</v>
      </c>
      <c r="AP14">
        <v>2.8570000000000002</v>
      </c>
      <c r="AS14" t="s">
        <v>548</v>
      </c>
      <c r="AT14" t="s">
        <v>6</v>
      </c>
      <c r="AU14" t="s">
        <v>165</v>
      </c>
      <c r="AV14" t="s">
        <v>235</v>
      </c>
      <c r="AW14" t="s">
        <v>296</v>
      </c>
      <c r="AX14" t="s">
        <v>357</v>
      </c>
      <c r="AY14" t="s">
        <v>423</v>
      </c>
      <c r="AZ14" t="s">
        <v>486</v>
      </c>
    </row>
    <row r="15" spans="2:52">
      <c r="B15" s="5">
        <f t="shared" si="15"/>
        <v>45509</v>
      </c>
      <c r="C15" s="12" t="str">
        <f t="shared" si="16"/>
        <v xml:space="preserve">3.331 </v>
      </c>
      <c r="D15" s="12" t="str">
        <f t="shared" si="0"/>
        <v xml:space="preserve">3.196 </v>
      </c>
      <c r="E15" s="12" t="str">
        <f t="shared" si="1"/>
        <v xml:space="preserve">3.083 </v>
      </c>
      <c r="F15" s="12" t="str">
        <f t="shared" si="2"/>
        <v xml:space="preserve">3.060 </v>
      </c>
      <c r="G15" s="12" t="str">
        <f t="shared" si="3"/>
        <v xml:space="preserve">3.006 </v>
      </c>
      <c r="H15" s="12" t="str">
        <f t="shared" si="4"/>
        <v xml:space="preserve">2.926 </v>
      </c>
      <c r="I15" s="12" t="str">
        <f t="shared" si="5"/>
        <v xml:space="preserve">2.838 </v>
      </c>
      <c r="J15" s="12" t="str">
        <f t="shared" si="6"/>
        <v xml:space="preserve">2.815 </v>
      </c>
      <c r="K15" s="12" t="str">
        <f t="shared" si="7"/>
        <v xml:space="preserve">2.835 </v>
      </c>
      <c r="L15" s="12" t="str">
        <f t="shared" si="8"/>
        <v xml:space="preserve">2.830 </v>
      </c>
      <c r="M15" s="12" t="str">
        <f t="shared" si="9"/>
        <v xml:space="preserve">2.890 </v>
      </c>
      <c r="N15" s="12" t="str">
        <f t="shared" si="10"/>
        <v xml:space="preserve">2.892 </v>
      </c>
      <c r="O15" s="12" t="str">
        <f t="shared" si="11"/>
        <v xml:space="preserve">2.920 </v>
      </c>
      <c r="P15" s="12" t="str">
        <f t="shared" si="12"/>
        <v xml:space="preserve">2.907 </v>
      </c>
      <c r="Q15" s="12" t="str">
        <f t="shared" si="13"/>
        <v xml:space="preserve">2.840 </v>
      </c>
      <c r="R15" s="12" t="str">
        <f t="shared" si="14"/>
        <v xml:space="preserve">2.782 </v>
      </c>
      <c r="Z15" s="11">
        <v>45509</v>
      </c>
      <c r="AA15">
        <v>3.331</v>
      </c>
      <c r="AB15">
        <v>3.1960000000000002</v>
      </c>
      <c r="AC15">
        <v>3.0830000000000002</v>
      </c>
      <c r="AD15">
        <v>3.06</v>
      </c>
      <c r="AE15">
        <v>3.0059999999999998</v>
      </c>
      <c r="AF15">
        <v>2.9260000000000002</v>
      </c>
      <c r="AG15">
        <v>2.8380000000000001</v>
      </c>
      <c r="AH15">
        <v>2.8149999999999999</v>
      </c>
      <c r="AI15">
        <v>2.835</v>
      </c>
      <c r="AJ15">
        <v>2.83</v>
      </c>
      <c r="AK15">
        <v>2.89</v>
      </c>
      <c r="AL15">
        <v>2.8919999999999999</v>
      </c>
      <c r="AM15">
        <v>2.92</v>
      </c>
      <c r="AN15">
        <v>2.907</v>
      </c>
      <c r="AO15">
        <v>2.84</v>
      </c>
      <c r="AP15">
        <v>2.782</v>
      </c>
      <c r="AS15" t="s">
        <v>549</v>
      </c>
      <c r="AT15" t="s">
        <v>7</v>
      </c>
      <c r="AU15" t="s">
        <v>166</v>
      </c>
      <c r="AV15" t="s">
        <v>236</v>
      </c>
      <c r="AW15" t="s">
        <v>297</v>
      </c>
      <c r="AX15" t="s">
        <v>358</v>
      </c>
      <c r="AY15" t="s">
        <v>424</v>
      </c>
      <c r="AZ15" t="s">
        <v>487</v>
      </c>
    </row>
    <row r="16" spans="2:52">
      <c r="B16" s="5">
        <f t="shared" si="15"/>
        <v>45506</v>
      </c>
      <c r="C16" s="12" t="str">
        <f t="shared" si="16"/>
        <v xml:space="preserve">3.365 </v>
      </c>
      <c r="D16" s="12" t="str">
        <f t="shared" si="0"/>
        <v xml:space="preserve">3.250 </v>
      </c>
      <c r="E16" s="12" t="str">
        <f t="shared" si="1"/>
        <v xml:space="preserve">3.145 </v>
      </c>
      <c r="F16" s="12" t="str">
        <f t="shared" si="2"/>
        <v xml:space="preserve">3.127 </v>
      </c>
      <c r="G16" s="12" t="str">
        <f t="shared" si="3"/>
        <v xml:space="preserve">3.090 </v>
      </c>
      <c r="H16" s="12" t="str">
        <f t="shared" si="4"/>
        <v xml:space="preserve">3.037 </v>
      </c>
      <c r="I16" s="12" t="str">
        <f t="shared" si="5"/>
        <v xml:space="preserve">2.967 </v>
      </c>
      <c r="J16" s="12" t="str">
        <f t="shared" si="6"/>
        <v xml:space="preserve">2.936 </v>
      </c>
      <c r="K16" s="12" t="str">
        <f t="shared" si="7"/>
        <v xml:space="preserve">2.959 </v>
      </c>
      <c r="L16" s="12" t="str">
        <f t="shared" si="8"/>
        <v xml:space="preserve">2.942 </v>
      </c>
      <c r="M16" s="12" t="str">
        <f t="shared" si="9"/>
        <v xml:space="preserve">2.985 </v>
      </c>
      <c r="N16" s="12" t="str">
        <f t="shared" si="10"/>
        <v xml:space="preserve">2.970 </v>
      </c>
      <c r="O16" s="12" t="str">
        <f t="shared" si="11"/>
        <v xml:space="preserve">2.987 </v>
      </c>
      <c r="P16" s="12" t="str">
        <f t="shared" si="12"/>
        <v xml:space="preserve">2.962 </v>
      </c>
      <c r="Q16" s="12" t="str">
        <f t="shared" si="13"/>
        <v xml:space="preserve">2.873 </v>
      </c>
      <c r="R16" s="12" t="str">
        <f t="shared" si="14"/>
        <v xml:space="preserve">2.815 </v>
      </c>
      <c r="Z16" s="11">
        <v>45506</v>
      </c>
      <c r="AA16">
        <v>3.3650000000000002</v>
      </c>
      <c r="AB16">
        <v>3.25</v>
      </c>
      <c r="AC16">
        <v>3.145</v>
      </c>
      <c r="AD16">
        <v>3.1269999999999998</v>
      </c>
      <c r="AE16">
        <v>3.09</v>
      </c>
      <c r="AF16">
        <v>3.0369999999999999</v>
      </c>
      <c r="AG16">
        <v>2.9670000000000001</v>
      </c>
      <c r="AH16">
        <v>2.9359999999999999</v>
      </c>
      <c r="AI16">
        <v>2.9590000000000001</v>
      </c>
      <c r="AJ16">
        <v>2.9420000000000002</v>
      </c>
      <c r="AK16">
        <v>2.9849999999999999</v>
      </c>
      <c r="AL16">
        <v>2.97</v>
      </c>
      <c r="AM16">
        <v>2.9870000000000001</v>
      </c>
      <c r="AN16">
        <v>2.9620000000000002</v>
      </c>
      <c r="AO16">
        <v>2.8730000000000002</v>
      </c>
      <c r="AP16">
        <v>2.8149999999999999</v>
      </c>
      <c r="AS16" t="s">
        <v>550</v>
      </c>
      <c r="AT16" t="s">
        <v>8</v>
      </c>
      <c r="AU16" t="s">
        <v>167</v>
      </c>
      <c r="AV16" t="s">
        <v>237</v>
      </c>
      <c r="AW16" t="s">
        <v>298</v>
      </c>
      <c r="AX16" t="s">
        <v>359</v>
      </c>
      <c r="AY16" t="s">
        <v>425</v>
      </c>
      <c r="AZ16" t="s">
        <v>488</v>
      </c>
    </row>
    <row r="17" spans="2:52">
      <c r="B17" s="5">
        <f t="shared" si="15"/>
        <v>45505</v>
      </c>
      <c r="C17" s="12" t="str">
        <f t="shared" si="16"/>
        <v xml:space="preserve">3.369 </v>
      </c>
      <c r="D17" s="12" t="str">
        <f t="shared" si="0"/>
        <v xml:space="preserve">3.255 </v>
      </c>
      <c r="E17" s="12" t="str">
        <f t="shared" si="1"/>
        <v xml:space="preserve">3.161 </v>
      </c>
      <c r="F17" s="12" t="str">
        <f t="shared" si="2"/>
        <v xml:space="preserve">3.139 </v>
      </c>
      <c r="G17" s="12" t="str">
        <f t="shared" si="3"/>
        <v xml:space="preserve">3.105 </v>
      </c>
      <c r="H17" s="12" t="str">
        <f t="shared" si="4"/>
        <v xml:space="preserve">3.060 </v>
      </c>
      <c r="I17" s="12" t="str">
        <f t="shared" si="5"/>
        <v xml:space="preserve">3.007 </v>
      </c>
      <c r="J17" s="12" t="str">
        <f t="shared" si="6"/>
        <v xml:space="preserve">2.975 </v>
      </c>
      <c r="K17" s="12" t="str">
        <f t="shared" si="7"/>
        <v xml:space="preserve">2.999 </v>
      </c>
      <c r="L17" s="12" t="str">
        <f t="shared" si="8"/>
        <v xml:space="preserve">2.985 </v>
      </c>
      <c r="M17" s="12" t="str">
        <f t="shared" si="9"/>
        <v xml:space="preserve">3.028 </v>
      </c>
      <c r="N17" s="12" t="str">
        <f t="shared" si="10"/>
        <v xml:space="preserve">3.012 </v>
      </c>
      <c r="O17" s="12" t="str">
        <f t="shared" si="11"/>
        <v xml:space="preserve">3.029 </v>
      </c>
      <c r="P17" s="12" t="str">
        <f t="shared" si="12"/>
        <v xml:space="preserve">3.005 </v>
      </c>
      <c r="Q17" s="12" t="str">
        <f t="shared" si="13"/>
        <v xml:space="preserve">2.917 </v>
      </c>
      <c r="R17" s="12" t="str">
        <f t="shared" si="14"/>
        <v xml:space="preserve">2.860 </v>
      </c>
      <c r="Z17" s="11">
        <v>45505</v>
      </c>
      <c r="AA17">
        <v>3.3690000000000002</v>
      </c>
      <c r="AB17">
        <v>3.2549999999999999</v>
      </c>
      <c r="AC17">
        <v>3.161</v>
      </c>
      <c r="AD17">
        <v>3.1389999999999998</v>
      </c>
      <c r="AE17">
        <v>3.105</v>
      </c>
      <c r="AF17">
        <v>3.06</v>
      </c>
      <c r="AG17">
        <v>3.0070000000000001</v>
      </c>
      <c r="AH17">
        <v>2.9750000000000001</v>
      </c>
      <c r="AI17">
        <v>2.9990000000000001</v>
      </c>
      <c r="AJ17">
        <v>2.9849999999999999</v>
      </c>
      <c r="AK17">
        <v>3.028</v>
      </c>
      <c r="AL17">
        <v>3.012</v>
      </c>
      <c r="AM17">
        <v>3.0289999999999999</v>
      </c>
      <c r="AN17">
        <v>3.0049999999999999</v>
      </c>
      <c r="AO17">
        <v>2.9169999999999998</v>
      </c>
      <c r="AP17">
        <v>2.86</v>
      </c>
      <c r="AS17" t="s">
        <v>551</v>
      </c>
      <c r="AT17" t="s">
        <v>9</v>
      </c>
      <c r="AU17" t="s">
        <v>168</v>
      </c>
      <c r="AV17" t="s">
        <v>238</v>
      </c>
      <c r="AW17" t="s">
        <v>299</v>
      </c>
      <c r="AX17" t="s">
        <v>360</v>
      </c>
      <c r="AY17" t="s">
        <v>426</v>
      </c>
    </row>
    <row r="18" spans="2:52">
      <c r="B18" s="5">
        <f t="shared" si="15"/>
        <v>45504</v>
      </c>
      <c r="C18" s="12" t="str">
        <f t="shared" si="16"/>
        <v xml:space="preserve">3.378 </v>
      </c>
      <c r="D18" s="12" t="str">
        <f t="shared" si="0"/>
        <v xml:space="preserve">3.256 </v>
      </c>
      <c r="E18" s="12" t="str">
        <f t="shared" si="1"/>
        <v xml:space="preserve">3.165 </v>
      </c>
      <c r="F18" s="12" t="str">
        <f t="shared" si="2"/>
        <v xml:space="preserve">3.144 </v>
      </c>
      <c r="G18" s="12" t="str">
        <f t="shared" si="3"/>
        <v xml:space="preserve">3.114 </v>
      </c>
      <c r="H18" s="12" t="str">
        <f t="shared" si="4"/>
        <v xml:space="preserve">3.074 </v>
      </c>
      <c r="I18" s="12" t="str">
        <f t="shared" si="5"/>
        <v xml:space="preserve">3.035 </v>
      </c>
      <c r="J18" s="12" t="str">
        <f t="shared" si="6"/>
        <v xml:space="preserve">3.000 </v>
      </c>
      <c r="K18" s="12" t="str">
        <f t="shared" si="7"/>
        <v xml:space="preserve">3.030 </v>
      </c>
      <c r="L18" s="12" t="str">
        <f t="shared" si="8"/>
        <v xml:space="preserve">3.020 </v>
      </c>
      <c r="M18" s="12" t="str">
        <f t="shared" si="9"/>
        <v xml:space="preserve">3.069 </v>
      </c>
      <c r="N18" s="12" t="str">
        <f t="shared" si="10"/>
        <v xml:space="preserve">3.057 </v>
      </c>
      <c r="O18" s="12" t="str">
        <f t="shared" si="11"/>
        <v xml:space="preserve">3.068 </v>
      </c>
      <c r="P18" s="12" t="str">
        <f t="shared" si="12"/>
        <v xml:space="preserve">3.037 </v>
      </c>
      <c r="Q18" s="12" t="str">
        <f t="shared" si="13"/>
        <v xml:space="preserve">2.945 </v>
      </c>
      <c r="R18" s="12" t="str">
        <f t="shared" si="14"/>
        <v xml:space="preserve">2.887 </v>
      </c>
      <c r="Z18" s="11">
        <v>45504</v>
      </c>
      <c r="AA18">
        <v>3.3780000000000001</v>
      </c>
      <c r="AB18">
        <v>3.2559999999999998</v>
      </c>
      <c r="AC18">
        <v>3.165</v>
      </c>
      <c r="AD18">
        <v>3.1440000000000001</v>
      </c>
      <c r="AE18">
        <v>3.1139999999999999</v>
      </c>
      <c r="AF18">
        <v>3.0739999999999998</v>
      </c>
      <c r="AG18">
        <v>3.0350000000000001</v>
      </c>
      <c r="AH18">
        <v>3</v>
      </c>
      <c r="AI18">
        <v>3.03</v>
      </c>
      <c r="AJ18">
        <v>3.02</v>
      </c>
      <c r="AK18">
        <v>3.069</v>
      </c>
      <c r="AL18">
        <v>3.0569999999999999</v>
      </c>
      <c r="AM18">
        <v>3.0680000000000001</v>
      </c>
      <c r="AN18">
        <v>3.0369999999999999</v>
      </c>
      <c r="AO18">
        <v>2.9449999999999998</v>
      </c>
      <c r="AP18">
        <v>2.887</v>
      </c>
      <c r="AS18" t="s">
        <v>76</v>
      </c>
      <c r="AT18" t="s">
        <v>11</v>
      </c>
      <c r="AU18" t="s">
        <v>170</v>
      </c>
      <c r="AV18" t="s">
        <v>240</v>
      </c>
      <c r="AW18" t="s">
        <v>301</v>
      </c>
      <c r="AX18" t="s">
        <v>362</v>
      </c>
      <c r="AY18" t="s">
        <v>428</v>
      </c>
      <c r="AZ18" t="s">
        <v>490</v>
      </c>
    </row>
    <row r="19" spans="2:52">
      <c r="B19" s="5">
        <f t="shared" si="15"/>
        <v>45503</v>
      </c>
      <c r="C19" s="12" t="str">
        <f t="shared" si="16"/>
        <v xml:space="preserve">3.376 </v>
      </c>
      <c r="D19" s="12" t="str">
        <f t="shared" si="0"/>
        <v xml:space="preserve">3.256 </v>
      </c>
      <c r="E19" s="12" t="str">
        <f t="shared" si="1"/>
        <v xml:space="preserve">3.168 </v>
      </c>
      <c r="F19" s="12" t="str">
        <f t="shared" si="2"/>
        <v xml:space="preserve">3.147 </v>
      </c>
      <c r="G19" s="12" t="str">
        <f t="shared" si="3"/>
        <v xml:space="preserve">3.115 </v>
      </c>
      <c r="H19" s="12" t="str">
        <f t="shared" si="4"/>
        <v xml:space="preserve">3.069 </v>
      </c>
      <c r="I19" s="12" t="str">
        <f t="shared" si="5"/>
        <v xml:space="preserve">3.024 </v>
      </c>
      <c r="J19" s="12" t="str">
        <f t="shared" si="6"/>
        <v xml:space="preserve">2.994 </v>
      </c>
      <c r="K19" s="12" t="str">
        <f t="shared" si="7"/>
        <v xml:space="preserve">3.017 </v>
      </c>
      <c r="L19" s="12" t="str">
        <f t="shared" si="8"/>
        <v xml:space="preserve">3.009 </v>
      </c>
      <c r="M19" s="12" t="str">
        <f t="shared" si="9"/>
        <v xml:space="preserve">3.062 </v>
      </c>
      <c r="N19" s="12" t="str">
        <f t="shared" si="10"/>
        <v xml:space="preserve">3.055 </v>
      </c>
      <c r="O19" s="12" t="str">
        <f t="shared" si="11"/>
        <v xml:space="preserve">3.065 </v>
      </c>
      <c r="P19" s="12" t="str">
        <f t="shared" si="12"/>
        <v xml:space="preserve">3.035 </v>
      </c>
      <c r="Q19" s="12" t="str">
        <f t="shared" si="13"/>
        <v xml:space="preserve">2.942 </v>
      </c>
      <c r="R19" s="12" t="str">
        <f t="shared" si="14"/>
        <v xml:space="preserve">2.885 </v>
      </c>
      <c r="Z19" s="11">
        <v>45503</v>
      </c>
      <c r="AA19">
        <v>3.3759999999999999</v>
      </c>
      <c r="AB19">
        <v>3.2559999999999998</v>
      </c>
      <c r="AC19">
        <v>3.1680000000000001</v>
      </c>
      <c r="AD19">
        <v>3.1469999999999998</v>
      </c>
      <c r="AE19">
        <v>3.1150000000000002</v>
      </c>
      <c r="AF19">
        <v>3.069</v>
      </c>
      <c r="AG19">
        <v>3.024</v>
      </c>
      <c r="AH19">
        <v>2.9940000000000002</v>
      </c>
      <c r="AI19">
        <v>3.0169999999999999</v>
      </c>
      <c r="AJ19">
        <v>3.0089999999999999</v>
      </c>
      <c r="AK19">
        <v>3.0619999999999998</v>
      </c>
      <c r="AL19">
        <v>3.0550000000000002</v>
      </c>
      <c r="AM19">
        <v>3.0649999999999999</v>
      </c>
      <c r="AN19">
        <v>3.0350000000000001</v>
      </c>
      <c r="AO19">
        <v>2.9420000000000002</v>
      </c>
      <c r="AP19">
        <v>2.8849999999999998</v>
      </c>
      <c r="AS19" t="s">
        <v>77</v>
      </c>
      <c r="AT19" t="s">
        <v>12</v>
      </c>
      <c r="AU19" t="s">
        <v>171</v>
      </c>
      <c r="AV19" t="s">
        <v>241</v>
      </c>
    </row>
    <row r="20" spans="2:52">
      <c r="B20" s="5">
        <f t="shared" si="15"/>
        <v>45502</v>
      </c>
      <c r="C20" s="12" t="str">
        <f t="shared" si="16"/>
        <v xml:space="preserve">3.375 </v>
      </c>
      <c r="D20" s="12" t="str">
        <f t="shared" si="0"/>
        <v xml:space="preserve">3.258 </v>
      </c>
      <c r="E20" s="12" t="str">
        <f t="shared" si="1"/>
        <v xml:space="preserve">3.165 </v>
      </c>
      <c r="F20" s="12" t="str">
        <f t="shared" si="2"/>
        <v xml:space="preserve">3.142 </v>
      </c>
      <c r="G20" s="12" t="str">
        <f t="shared" si="3"/>
        <v xml:space="preserve">3.102 </v>
      </c>
      <c r="H20" s="12" t="str">
        <f t="shared" si="4"/>
        <v xml:space="preserve">3.053 </v>
      </c>
      <c r="I20" s="12" t="str">
        <f t="shared" si="5"/>
        <v xml:space="preserve">3.002 </v>
      </c>
      <c r="J20" s="12" t="str">
        <f t="shared" si="6"/>
        <v xml:space="preserve">2.972 </v>
      </c>
      <c r="K20" s="12" t="str">
        <f t="shared" si="7"/>
        <v xml:space="preserve">2.995 </v>
      </c>
      <c r="L20" s="12" t="str">
        <f t="shared" si="8"/>
        <v xml:space="preserve">2.986 </v>
      </c>
      <c r="M20" s="12" t="str">
        <f t="shared" si="9"/>
        <v xml:space="preserve">3.043 </v>
      </c>
      <c r="N20" s="12" t="str">
        <f t="shared" si="10"/>
        <v xml:space="preserve">3.042 </v>
      </c>
      <c r="O20" s="12" t="str">
        <f t="shared" si="11"/>
        <v xml:space="preserve">3.054 </v>
      </c>
      <c r="P20" s="12" t="str">
        <f t="shared" si="12"/>
        <v xml:space="preserve">3.025 </v>
      </c>
      <c r="Q20" s="12" t="str">
        <f t="shared" si="13"/>
        <v xml:space="preserve">2.937 </v>
      </c>
      <c r="R20" s="12" t="str">
        <f t="shared" si="14"/>
        <v xml:space="preserve">2.880 </v>
      </c>
      <c r="Z20" s="11">
        <v>45502</v>
      </c>
      <c r="AA20">
        <v>3.375</v>
      </c>
      <c r="AB20">
        <v>3.258</v>
      </c>
      <c r="AC20">
        <v>3.165</v>
      </c>
      <c r="AD20">
        <v>3.1419999999999999</v>
      </c>
      <c r="AE20">
        <v>3.1019999999999999</v>
      </c>
      <c r="AF20">
        <v>3.0529999999999999</v>
      </c>
      <c r="AG20">
        <v>3.0019999999999998</v>
      </c>
      <c r="AH20">
        <v>2.972</v>
      </c>
      <c r="AI20">
        <v>2.9950000000000001</v>
      </c>
      <c r="AJ20">
        <v>2.9860000000000002</v>
      </c>
      <c r="AK20">
        <v>3.0430000000000001</v>
      </c>
      <c r="AL20">
        <v>3.0419999999999998</v>
      </c>
      <c r="AM20">
        <v>3.0539999999999998</v>
      </c>
      <c r="AN20">
        <v>3.0249999999999999</v>
      </c>
      <c r="AO20">
        <v>2.9369999999999998</v>
      </c>
      <c r="AP20">
        <v>2.88</v>
      </c>
      <c r="AS20" t="s">
        <v>553</v>
      </c>
      <c r="AT20" s="14" t="s">
        <v>554</v>
      </c>
      <c r="AU20" s="14" t="s">
        <v>555</v>
      </c>
      <c r="AV20" s="14" t="s">
        <v>556</v>
      </c>
      <c r="AW20" s="14" t="s">
        <v>557</v>
      </c>
      <c r="AX20" s="14" t="s">
        <v>558</v>
      </c>
      <c r="AY20" s="14" t="s">
        <v>559</v>
      </c>
      <c r="AZ20" s="14" t="s">
        <v>560</v>
      </c>
    </row>
    <row r="21" spans="2:52">
      <c r="B21" s="5">
        <f t="shared" si="15"/>
        <v>45499</v>
      </c>
      <c r="C21" s="12" t="str">
        <f t="shared" si="16"/>
        <v xml:space="preserve">3.378 </v>
      </c>
      <c r="D21" s="12" t="str">
        <f t="shared" si="0"/>
        <v xml:space="preserve">3.275 </v>
      </c>
      <c r="E21" s="12" t="str">
        <f t="shared" si="1"/>
        <v xml:space="preserve">3.180 </v>
      </c>
      <c r="F21" s="12" t="str">
        <f t="shared" si="2"/>
        <v xml:space="preserve">3.165 </v>
      </c>
      <c r="G21" s="12" t="str">
        <f t="shared" si="3"/>
        <v xml:space="preserve">3.137 </v>
      </c>
      <c r="H21" s="12" t="str">
        <f t="shared" si="4"/>
        <v xml:space="preserve">3.088 </v>
      </c>
      <c r="I21" s="12" t="str">
        <f t="shared" si="5"/>
        <v xml:space="preserve">3.050 </v>
      </c>
      <c r="J21" s="12" t="str">
        <f t="shared" si="6"/>
        <v xml:space="preserve">3.017 </v>
      </c>
      <c r="K21" s="12" t="str">
        <f t="shared" si="7"/>
        <v xml:space="preserve">3.048 </v>
      </c>
      <c r="L21" s="12" t="str">
        <f t="shared" si="8"/>
        <v xml:space="preserve">3.040 </v>
      </c>
      <c r="M21" s="12" t="str">
        <f t="shared" si="9"/>
        <v xml:space="preserve">3.102 </v>
      </c>
      <c r="N21" s="12" t="str">
        <f t="shared" si="10"/>
        <v xml:space="preserve">3.104 </v>
      </c>
      <c r="O21" s="12" t="str">
        <f t="shared" si="11"/>
        <v xml:space="preserve">3.114 </v>
      </c>
      <c r="P21" s="12" t="str">
        <f t="shared" si="12"/>
        <v xml:space="preserve">3.082 </v>
      </c>
      <c r="Q21" s="12" t="str">
        <f t="shared" si="13"/>
        <v xml:space="preserve">2.990 </v>
      </c>
      <c r="R21" s="12" t="str">
        <f t="shared" si="14"/>
        <v xml:space="preserve">2.932 </v>
      </c>
      <c r="Z21" s="11">
        <v>45499</v>
      </c>
      <c r="AA21">
        <v>3.3780000000000001</v>
      </c>
      <c r="AB21">
        <v>3.2749999999999999</v>
      </c>
      <c r="AC21">
        <v>3.18</v>
      </c>
      <c r="AD21">
        <v>3.165</v>
      </c>
      <c r="AE21">
        <v>3.137</v>
      </c>
      <c r="AF21">
        <v>3.0880000000000001</v>
      </c>
      <c r="AG21">
        <v>3.05</v>
      </c>
      <c r="AH21">
        <v>3.0169999999999999</v>
      </c>
      <c r="AI21">
        <v>3.048</v>
      </c>
      <c r="AJ21">
        <v>3.04</v>
      </c>
      <c r="AK21">
        <v>3.1019999999999999</v>
      </c>
      <c r="AL21">
        <v>3.1040000000000001</v>
      </c>
      <c r="AM21">
        <v>3.1139999999999999</v>
      </c>
      <c r="AN21">
        <v>3.0819999999999999</v>
      </c>
      <c r="AO21">
        <v>2.99</v>
      </c>
      <c r="AP21">
        <v>2.9319999999999999</v>
      </c>
      <c r="AS21" t="s">
        <v>78</v>
      </c>
      <c r="AT21" t="s">
        <v>13</v>
      </c>
      <c r="AU21" t="s">
        <v>172</v>
      </c>
      <c r="AV21" t="s">
        <v>242</v>
      </c>
      <c r="AW21" t="s">
        <v>302</v>
      </c>
      <c r="AX21" t="s">
        <v>363</v>
      </c>
      <c r="AY21" t="s">
        <v>429</v>
      </c>
      <c r="AZ21" t="s">
        <v>491</v>
      </c>
    </row>
    <row r="22" spans="2:52">
      <c r="B22" s="5">
        <f t="shared" si="15"/>
        <v>45498</v>
      </c>
      <c r="C22" s="12" t="str">
        <f t="shared" si="16"/>
        <v xml:space="preserve">3.378 </v>
      </c>
      <c r="D22" s="12" t="str">
        <f t="shared" si="0"/>
        <v xml:space="preserve">3.280 </v>
      </c>
      <c r="E22" s="12" t="str">
        <f t="shared" si="1"/>
        <v xml:space="preserve">3.203 </v>
      </c>
      <c r="F22" s="12" t="str">
        <f t="shared" si="2"/>
        <v xml:space="preserve">3.189 </v>
      </c>
      <c r="G22" s="12" t="str">
        <f t="shared" si="3"/>
        <v xml:space="preserve">3.135 </v>
      </c>
      <c r="H22" s="12" t="str">
        <f t="shared" si="4"/>
        <v xml:space="preserve">3.092 </v>
      </c>
      <c r="I22" s="12" t="str">
        <f t="shared" si="5"/>
        <v xml:space="preserve">3.048 </v>
      </c>
      <c r="J22" s="12" t="str">
        <f t="shared" si="6"/>
        <v xml:space="preserve">3.020 </v>
      </c>
      <c r="K22" s="12" t="str">
        <f t="shared" si="7"/>
        <v xml:space="preserve">3.057 </v>
      </c>
      <c r="L22" s="12" t="str">
        <f t="shared" si="8"/>
        <v xml:space="preserve">3.052 </v>
      </c>
      <c r="M22" s="12" t="str">
        <f t="shared" si="9"/>
        <v xml:space="preserve">3.116 </v>
      </c>
      <c r="N22" s="12" t="str">
        <f t="shared" si="10"/>
        <v xml:space="preserve">3.122 </v>
      </c>
      <c r="O22" s="12" t="str">
        <f t="shared" si="11"/>
        <v xml:space="preserve">3.126 </v>
      </c>
      <c r="P22" s="12" t="str">
        <f t="shared" si="12"/>
        <v xml:space="preserve">3.085 </v>
      </c>
      <c r="Q22" s="12" t="str">
        <f t="shared" si="13"/>
        <v xml:space="preserve">3.000 </v>
      </c>
      <c r="R22" s="12" t="str">
        <f t="shared" si="14"/>
        <v xml:space="preserve">2.942 </v>
      </c>
      <c r="Z22" s="11">
        <v>45498</v>
      </c>
      <c r="AA22">
        <v>3.3780000000000001</v>
      </c>
      <c r="AB22">
        <v>3.28</v>
      </c>
      <c r="AC22">
        <v>3.2029999999999998</v>
      </c>
      <c r="AD22">
        <v>3.1890000000000001</v>
      </c>
      <c r="AE22">
        <v>3.1349999999999998</v>
      </c>
      <c r="AF22">
        <v>3.0920000000000001</v>
      </c>
      <c r="AG22">
        <v>3.048</v>
      </c>
      <c r="AH22">
        <v>3.02</v>
      </c>
      <c r="AI22">
        <v>3.0569999999999999</v>
      </c>
      <c r="AJ22">
        <v>3.052</v>
      </c>
      <c r="AK22">
        <v>3.1160000000000001</v>
      </c>
      <c r="AL22">
        <v>3.1219999999999999</v>
      </c>
      <c r="AM22">
        <v>3.1259999999999999</v>
      </c>
      <c r="AN22">
        <v>3.085</v>
      </c>
      <c r="AO22">
        <v>3</v>
      </c>
      <c r="AP22">
        <v>2.9420000000000002</v>
      </c>
      <c r="AS22" t="s">
        <v>79</v>
      </c>
      <c r="AT22" t="s">
        <v>14</v>
      </c>
      <c r="AU22" t="s">
        <v>173</v>
      </c>
      <c r="AV22" t="s">
        <v>243</v>
      </c>
    </row>
    <row r="23" spans="2:52">
      <c r="B23" s="5">
        <f t="shared" si="15"/>
        <v>45497</v>
      </c>
      <c r="C23" s="12" t="str">
        <f t="shared" si="16"/>
        <v xml:space="preserve">3.378 </v>
      </c>
      <c r="D23" s="12" t="str">
        <f t="shared" si="0"/>
        <v xml:space="preserve">3.286 </v>
      </c>
      <c r="E23" s="12" t="str">
        <f t="shared" si="1"/>
        <v xml:space="preserve">3.214 </v>
      </c>
      <c r="F23" s="12" t="str">
        <f t="shared" si="2"/>
        <v xml:space="preserve">3.210 </v>
      </c>
      <c r="G23" s="12" t="str">
        <f t="shared" si="3"/>
        <v xml:space="preserve">3.159 </v>
      </c>
      <c r="H23" s="12" t="str">
        <f t="shared" si="4"/>
        <v xml:space="preserve">3.115 </v>
      </c>
      <c r="I23" s="12" t="str">
        <f t="shared" si="5"/>
        <v xml:space="preserve">3.075 </v>
      </c>
      <c r="J23" s="12" t="str">
        <f t="shared" si="6"/>
        <v xml:space="preserve">3.045 </v>
      </c>
      <c r="K23" s="12" t="str">
        <f t="shared" si="7"/>
        <v xml:space="preserve">3.085 </v>
      </c>
      <c r="L23" s="12" t="str">
        <f t="shared" si="8"/>
        <v xml:space="preserve">3.074 </v>
      </c>
      <c r="M23" s="12" t="str">
        <f t="shared" si="9"/>
        <v xml:space="preserve">3.132 </v>
      </c>
      <c r="N23" s="12" t="str">
        <f t="shared" si="10"/>
        <v xml:space="preserve">3.132 </v>
      </c>
      <c r="O23" s="12" t="str">
        <f t="shared" si="11"/>
        <v xml:space="preserve">3.133 </v>
      </c>
      <c r="P23" s="12" t="str">
        <f t="shared" si="12"/>
        <v xml:space="preserve">3.087 </v>
      </c>
      <c r="Q23" s="12" t="str">
        <f t="shared" si="13"/>
        <v xml:space="preserve">3.005 </v>
      </c>
      <c r="R23" s="12" t="str">
        <f t="shared" si="14"/>
        <v xml:space="preserve">2.947 </v>
      </c>
      <c r="Z23" s="11">
        <v>45497</v>
      </c>
      <c r="AA23">
        <v>3.3780000000000001</v>
      </c>
      <c r="AB23">
        <v>3.286</v>
      </c>
      <c r="AC23">
        <v>3.214</v>
      </c>
      <c r="AD23">
        <v>3.21</v>
      </c>
      <c r="AE23">
        <v>3.1589999999999998</v>
      </c>
      <c r="AF23">
        <v>3.1150000000000002</v>
      </c>
      <c r="AG23">
        <v>3.0750000000000002</v>
      </c>
      <c r="AH23">
        <v>3.0449999999999999</v>
      </c>
      <c r="AI23">
        <v>3.085</v>
      </c>
      <c r="AJ23">
        <v>3.0739999999999998</v>
      </c>
      <c r="AK23">
        <v>3.1320000000000001</v>
      </c>
      <c r="AL23">
        <v>3.1320000000000001</v>
      </c>
      <c r="AM23">
        <v>3.133</v>
      </c>
      <c r="AN23">
        <v>3.0870000000000002</v>
      </c>
      <c r="AO23">
        <v>3.0049999999999999</v>
      </c>
      <c r="AP23">
        <v>2.9470000000000001</v>
      </c>
      <c r="AS23" t="s">
        <v>80</v>
      </c>
      <c r="AT23" t="s">
        <v>15</v>
      </c>
      <c r="AU23" t="s">
        <v>174</v>
      </c>
      <c r="AV23" t="s">
        <v>244</v>
      </c>
      <c r="AW23" t="s">
        <v>303</v>
      </c>
      <c r="AX23" t="s">
        <v>364</v>
      </c>
      <c r="AY23" t="s">
        <v>430</v>
      </c>
      <c r="AZ23" t="s">
        <v>492</v>
      </c>
    </row>
    <row r="24" spans="2:52">
      <c r="B24" s="5">
        <f t="shared" si="15"/>
        <v>45496</v>
      </c>
      <c r="C24" s="12" t="str">
        <f t="shared" si="16"/>
        <v xml:space="preserve">3.380 </v>
      </c>
      <c r="D24" s="12" t="str">
        <f t="shared" si="0"/>
        <v xml:space="preserve">3.293 </v>
      </c>
      <c r="E24" s="12" t="str">
        <f t="shared" si="1"/>
        <v xml:space="preserve">3.220 </v>
      </c>
      <c r="F24" s="12" t="str">
        <f t="shared" si="2"/>
        <v xml:space="preserve">3.224 </v>
      </c>
      <c r="G24" s="12" t="str">
        <f t="shared" si="3"/>
        <v xml:space="preserve">3.183 </v>
      </c>
      <c r="H24" s="12" t="str">
        <f t="shared" si="4"/>
        <v xml:space="preserve">3.143 </v>
      </c>
      <c r="I24" s="12" t="str">
        <f t="shared" si="5"/>
        <v xml:space="preserve">3.113 </v>
      </c>
      <c r="J24" s="12" t="str">
        <f t="shared" si="6"/>
        <v xml:space="preserve">3.087 </v>
      </c>
      <c r="K24" s="12" t="str">
        <f t="shared" si="7"/>
        <v xml:space="preserve">3.122 </v>
      </c>
      <c r="L24" s="12" t="str">
        <f t="shared" si="8"/>
        <v xml:space="preserve">3.112 </v>
      </c>
      <c r="M24" s="12" t="str">
        <f t="shared" si="9"/>
        <v xml:space="preserve">3.171 </v>
      </c>
      <c r="N24" s="12" t="str">
        <f t="shared" si="10"/>
        <v xml:space="preserve">3.172 </v>
      </c>
      <c r="O24" s="12" t="str">
        <f t="shared" si="11"/>
        <v xml:space="preserve">3.168 </v>
      </c>
      <c r="P24" s="12" t="str">
        <f t="shared" si="12"/>
        <v xml:space="preserve">3.117 </v>
      </c>
      <c r="Q24" s="12" t="str">
        <f t="shared" si="13"/>
        <v xml:space="preserve">3.035 </v>
      </c>
      <c r="R24" s="12" t="str">
        <f t="shared" si="14"/>
        <v xml:space="preserve">2.977 </v>
      </c>
      <c r="Z24" s="11">
        <v>45496</v>
      </c>
      <c r="AA24">
        <v>3.38</v>
      </c>
      <c r="AB24">
        <v>3.2930000000000001</v>
      </c>
      <c r="AC24">
        <v>3.22</v>
      </c>
      <c r="AD24">
        <v>3.2240000000000002</v>
      </c>
      <c r="AE24">
        <v>3.1829999999999998</v>
      </c>
      <c r="AF24">
        <v>3.1429999999999998</v>
      </c>
      <c r="AG24">
        <v>3.113</v>
      </c>
      <c r="AH24">
        <v>3.0870000000000002</v>
      </c>
      <c r="AI24">
        <v>3.1219999999999999</v>
      </c>
      <c r="AJ24">
        <v>3.1120000000000001</v>
      </c>
      <c r="AK24">
        <v>3.1709999999999998</v>
      </c>
      <c r="AL24">
        <v>3.1720000000000002</v>
      </c>
      <c r="AM24">
        <v>3.1680000000000001</v>
      </c>
      <c r="AN24">
        <v>3.117</v>
      </c>
      <c r="AO24">
        <v>3.0350000000000001</v>
      </c>
      <c r="AP24">
        <v>2.9769999999999999</v>
      </c>
      <c r="AS24" t="s">
        <v>81</v>
      </c>
      <c r="AT24" t="s">
        <v>16</v>
      </c>
      <c r="AU24" t="s">
        <v>175</v>
      </c>
      <c r="AV24" t="s">
        <v>245</v>
      </c>
    </row>
    <row r="25" spans="2:52">
      <c r="B25" s="5">
        <f t="shared" si="15"/>
        <v>45495</v>
      </c>
      <c r="C25" s="12" t="str">
        <f t="shared" si="16"/>
        <v xml:space="preserve">3.381 </v>
      </c>
      <c r="D25" s="12" t="str">
        <f t="shared" si="0"/>
        <v xml:space="preserve">3.293 </v>
      </c>
      <c r="E25" s="12" t="str">
        <f t="shared" si="1"/>
        <v xml:space="preserve">3.221 </v>
      </c>
      <c r="F25" s="12" t="str">
        <f t="shared" si="2"/>
        <v xml:space="preserve">3.230 </v>
      </c>
      <c r="G25" s="12" t="str">
        <f t="shared" si="3"/>
        <v xml:space="preserve">3.179 </v>
      </c>
      <c r="H25" s="12" t="str">
        <f t="shared" si="4"/>
        <v xml:space="preserve">3.126 </v>
      </c>
      <c r="I25" s="12" t="str">
        <f t="shared" si="5"/>
        <v xml:space="preserve">3.095 </v>
      </c>
      <c r="J25" s="12" t="str">
        <f t="shared" si="6"/>
        <v xml:space="preserve">3.069 </v>
      </c>
      <c r="K25" s="12" t="str">
        <f t="shared" si="7"/>
        <v xml:space="preserve">3.100 </v>
      </c>
      <c r="L25" s="12" t="str">
        <f t="shared" si="8"/>
        <v xml:space="preserve">3.085 </v>
      </c>
      <c r="M25" s="12" t="str">
        <f t="shared" si="9"/>
        <v xml:space="preserve">3.143 </v>
      </c>
      <c r="N25" s="12" t="str">
        <f t="shared" si="10"/>
        <v xml:space="preserve">3.143 </v>
      </c>
      <c r="O25" s="12" t="str">
        <f t="shared" si="11"/>
        <v xml:space="preserve">3.141 </v>
      </c>
      <c r="P25" s="12" t="str">
        <f t="shared" si="12"/>
        <v xml:space="preserve">3.095 </v>
      </c>
      <c r="Q25" s="12" t="str">
        <f t="shared" si="13"/>
        <v xml:space="preserve">3.014 </v>
      </c>
      <c r="R25" s="12" t="str">
        <f t="shared" si="14"/>
        <v xml:space="preserve">2.956 </v>
      </c>
      <c r="Z25" s="11">
        <v>45495</v>
      </c>
      <c r="AA25">
        <v>3.3809999999999998</v>
      </c>
      <c r="AB25">
        <v>3.2930000000000001</v>
      </c>
      <c r="AC25">
        <v>3.2210000000000001</v>
      </c>
      <c r="AD25">
        <v>3.23</v>
      </c>
      <c r="AE25">
        <v>3.1789999999999998</v>
      </c>
      <c r="AF25">
        <v>3.1259999999999999</v>
      </c>
      <c r="AG25">
        <v>3.0950000000000002</v>
      </c>
      <c r="AH25">
        <v>3.069</v>
      </c>
      <c r="AI25">
        <v>3.1</v>
      </c>
      <c r="AJ25">
        <v>3.085</v>
      </c>
      <c r="AK25">
        <v>3.1429999999999998</v>
      </c>
      <c r="AL25">
        <v>3.1429999999999998</v>
      </c>
      <c r="AM25">
        <v>3.141</v>
      </c>
      <c r="AN25">
        <v>3.0950000000000002</v>
      </c>
      <c r="AO25">
        <v>3.0139999999999998</v>
      </c>
      <c r="AP25">
        <v>2.956</v>
      </c>
      <c r="AS25" t="s">
        <v>82</v>
      </c>
      <c r="AT25" t="s">
        <v>17</v>
      </c>
      <c r="AU25" t="s">
        <v>176</v>
      </c>
      <c r="AV25" t="s">
        <v>246</v>
      </c>
      <c r="AW25" t="s">
        <v>304</v>
      </c>
      <c r="AX25" t="s">
        <v>365</v>
      </c>
      <c r="AY25" t="s">
        <v>431</v>
      </c>
      <c r="AZ25" t="s">
        <v>493</v>
      </c>
    </row>
    <row r="26" spans="2:52">
      <c r="B26" s="5">
        <f t="shared" si="15"/>
        <v>45492</v>
      </c>
      <c r="C26" s="12" t="str">
        <f t="shared" si="16"/>
        <v xml:space="preserve">3.381 </v>
      </c>
      <c r="D26" s="12" t="str">
        <f t="shared" si="0"/>
        <v xml:space="preserve">3.293 </v>
      </c>
      <c r="E26" s="12" t="str">
        <f t="shared" si="1"/>
        <v xml:space="preserve">3.221 </v>
      </c>
      <c r="F26" s="12" t="str">
        <f t="shared" si="2"/>
        <v xml:space="preserve">3.228 </v>
      </c>
      <c r="G26" s="12" t="str">
        <f t="shared" si="3"/>
        <v xml:space="preserve">3.182 </v>
      </c>
      <c r="H26" s="12" t="str">
        <f t="shared" si="4"/>
        <v xml:space="preserve">3.137 </v>
      </c>
      <c r="I26" s="12" t="str">
        <f t="shared" si="5"/>
        <v xml:space="preserve">3.100 </v>
      </c>
      <c r="J26" s="12" t="str">
        <f t="shared" si="6"/>
        <v xml:space="preserve">3.072 </v>
      </c>
      <c r="K26" s="12" t="str">
        <f t="shared" si="7"/>
        <v xml:space="preserve">3.107 </v>
      </c>
      <c r="L26" s="12" t="str">
        <f t="shared" si="8"/>
        <v xml:space="preserve">3.095 </v>
      </c>
      <c r="M26" s="12" t="str">
        <f t="shared" si="9"/>
        <v xml:space="preserve">3.153 </v>
      </c>
      <c r="N26" s="12" t="str">
        <f t="shared" si="10"/>
        <v xml:space="preserve">3.152 </v>
      </c>
      <c r="O26" s="12" t="str">
        <f t="shared" si="11"/>
        <v xml:space="preserve">3.151 </v>
      </c>
      <c r="P26" s="12" t="str">
        <f t="shared" si="12"/>
        <v xml:space="preserve">3.105 </v>
      </c>
      <c r="Q26" s="12" t="str">
        <f t="shared" si="13"/>
        <v xml:space="preserve">3.025 </v>
      </c>
      <c r="R26" s="12" t="str">
        <f t="shared" si="14"/>
        <v xml:space="preserve">2.967 </v>
      </c>
      <c r="Z26" s="11">
        <v>45492</v>
      </c>
      <c r="AA26">
        <v>3.3809999999999998</v>
      </c>
      <c r="AB26">
        <v>3.2930000000000001</v>
      </c>
      <c r="AC26">
        <v>3.2210000000000001</v>
      </c>
      <c r="AD26">
        <v>3.2280000000000002</v>
      </c>
      <c r="AE26">
        <v>3.1819999999999999</v>
      </c>
      <c r="AF26">
        <v>3.137</v>
      </c>
      <c r="AG26">
        <v>3.1</v>
      </c>
      <c r="AH26">
        <v>3.0720000000000001</v>
      </c>
      <c r="AI26">
        <v>3.1070000000000002</v>
      </c>
      <c r="AJ26">
        <v>3.0950000000000002</v>
      </c>
      <c r="AK26">
        <v>3.153</v>
      </c>
      <c r="AL26">
        <v>3.1520000000000001</v>
      </c>
      <c r="AM26">
        <v>3.1509999999999998</v>
      </c>
      <c r="AN26">
        <v>3.105</v>
      </c>
      <c r="AO26">
        <v>3.0249999999999999</v>
      </c>
      <c r="AP26">
        <v>2.9670000000000001</v>
      </c>
      <c r="AS26" t="s">
        <v>83</v>
      </c>
      <c r="AT26" t="s">
        <v>18</v>
      </c>
      <c r="AU26" t="s">
        <v>177</v>
      </c>
      <c r="AV26" t="s">
        <v>247</v>
      </c>
      <c r="AW26" t="s">
        <v>305</v>
      </c>
      <c r="AX26" t="s">
        <v>366</v>
      </c>
      <c r="AY26" t="s">
        <v>432</v>
      </c>
    </row>
    <row r="27" spans="2:52">
      <c r="B27" s="5">
        <f t="shared" si="15"/>
        <v>45491</v>
      </c>
      <c r="C27" s="12" t="str">
        <f t="shared" si="16"/>
        <v xml:space="preserve">3.381 </v>
      </c>
      <c r="D27" s="12" t="str">
        <f t="shared" si="0"/>
        <v xml:space="preserve">3.291 </v>
      </c>
      <c r="E27" s="12" t="str">
        <f t="shared" si="1"/>
        <v xml:space="preserve">3.215 </v>
      </c>
      <c r="F27" s="12" t="str">
        <f t="shared" si="2"/>
        <v xml:space="preserve">3.211 </v>
      </c>
      <c r="G27" s="12" t="str">
        <f t="shared" si="3"/>
        <v xml:space="preserve">3.167 </v>
      </c>
      <c r="H27" s="12" t="str">
        <f t="shared" si="4"/>
        <v xml:space="preserve">3.118 </v>
      </c>
      <c r="I27" s="12" t="str">
        <f t="shared" si="5"/>
        <v xml:space="preserve">3.085 </v>
      </c>
      <c r="J27" s="12" t="str">
        <f t="shared" si="6"/>
        <v xml:space="preserve">3.060 </v>
      </c>
      <c r="K27" s="12" t="str">
        <f t="shared" si="7"/>
        <v xml:space="preserve">3.094 </v>
      </c>
      <c r="L27" s="12" t="str">
        <f t="shared" si="8"/>
        <v xml:space="preserve">3.082 </v>
      </c>
      <c r="M27" s="12" t="str">
        <f t="shared" si="9"/>
        <v xml:space="preserve">3.137 </v>
      </c>
      <c r="N27" s="12" t="str">
        <f t="shared" si="10"/>
        <v xml:space="preserve">3.135 </v>
      </c>
      <c r="O27" s="12" t="str">
        <f t="shared" si="11"/>
        <v xml:space="preserve">3.135 </v>
      </c>
      <c r="P27" s="12" t="str">
        <f t="shared" si="12"/>
        <v xml:space="preserve">3.089 </v>
      </c>
      <c r="Q27" s="12" t="str">
        <f t="shared" si="13"/>
        <v xml:space="preserve">3.010 </v>
      </c>
      <c r="R27" s="12" t="str">
        <f t="shared" si="14"/>
        <v xml:space="preserve">2.952 </v>
      </c>
      <c r="Z27" s="11">
        <v>45491</v>
      </c>
      <c r="AA27">
        <v>3.3809999999999998</v>
      </c>
      <c r="AB27">
        <v>3.2909999999999999</v>
      </c>
      <c r="AC27">
        <v>3.2149999999999999</v>
      </c>
      <c r="AD27">
        <v>3.2109999999999999</v>
      </c>
      <c r="AE27">
        <v>3.1669999999999998</v>
      </c>
      <c r="AF27">
        <v>3.1179999999999999</v>
      </c>
      <c r="AG27">
        <v>3.085</v>
      </c>
      <c r="AH27">
        <v>3.06</v>
      </c>
      <c r="AI27">
        <v>3.0939999999999999</v>
      </c>
      <c r="AJ27">
        <v>3.0819999999999999</v>
      </c>
      <c r="AK27">
        <v>3.137</v>
      </c>
      <c r="AL27">
        <v>3.1349999999999998</v>
      </c>
      <c r="AM27">
        <v>3.1349999999999998</v>
      </c>
      <c r="AN27">
        <v>3.089</v>
      </c>
      <c r="AO27">
        <v>3.01</v>
      </c>
      <c r="AP27">
        <v>2.952</v>
      </c>
      <c r="AS27" t="s">
        <v>84</v>
      </c>
      <c r="AT27" t="s">
        <v>19</v>
      </c>
      <c r="AU27" t="s">
        <v>178</v>
      </c>
      <c r="AV27" t="s">
        <v>248</v>
      </c>
      <c r="AW27" t="s">
        <v>306</v>
      </c>
      <c r="AX27" t="s">
        <v>367</v>
      </c>
      <c r="AY27" t="s">
        <v>433</v>
      </c>
      <c r="AZ27" t="s">
        <v>494</v>
      </c>
    </row>
    <row r="28" spans="2:52">
      <c r="B28" s="5">
        <f t="shared" si="15"/>
        <v>45490</v>
      </c>
      <c r="C28" s="12" t="str">
        <f t="shared" si="16"/>
        <v xml:space="preserve">3.380 </v>
      </c>
      <c r="D28" s="12" t="str">
        <f t="shared" si="0"/>
        <v xml:space="preserve">3.286 </v>
      </c>
      <c r="E28" s="12" t="str">
        <f t="shared" si="1"/>
        <v xml:space="preserve">3.208 </v>
      </c>
      <c r="F28" s="12" t="str">
        <f t="shared" si="2"/>
        <v xml:space="preserve">3.201 </v>
      </c>
      <c r="G28" s="12" t="str">
        <f t="shared" si="3"/>
        <v xml:space="preserve">3.158 </v>
      </c>
      <c r="H28" s="12" t="str">
        <f t="shared" si="4"/>
        <v xml:space="preserve">3.111 </v>
      </c>
      <c r="I28" s="12" t="str">
        <f t="shared" si="5"/>
        <v xml:space="preserve">3.078 </v>
      </c>
      <c r="J28" s="12" t="str">
        <f t="shared" si="6"/>
        <v xml:space="preserve">3.053 </v>
      </c>
      <c r="K28" s="12" t="str">
        <f t="shared" si="7"/>
        <v xml:space="preserve">3.087 </v>
      </c>
      <c r="L28" s="12" t="str">
        <f t="shared" si="8"/>
        <v xml:space="preserve">3.074 </v>
      </c>
      <c r="M28" s="12" t="str">
        <f t="shared" si="9"/>
        <v xml:space="preserve">3.135 </v>
      </c>
      <c r="N28" s="12" t="str">
        <f t="shared" si="10"/>
        <v xml:space="preserve">3.140 </v>
      </c>
      <c r="O28" s="12" t="str">
        <f t="shared" si="11"/>
        <v xml:space="preserve">3.145 </v>
      </c>
      <c r="P28" s="12" t="str">
        <f t="shared" si="12"/>
        <v xml:space="preserve">3.102 </v>
      </c>
      <c r="Q28" s="12" t="str">
        <f t="shared" si="13"/>
        <v xml:space="preserve">3.025 </v>
      </c>
      <c r="R28" s="12" t="str">
        <f t="shared" si="14"/>
        <v xml:space="preserve">2.967 </v>
      </c>
      <c r="Z28" s="11">
        <v>45490</v>
      </c>
      <c r="AA28">
        <v>3.38</v>
      </c>
      <c r="AB28">
        <v>3.286</v>
      </c>
      <c r="AC28">
        <v>3.2080000000000002</v>
      </c>
      <c r="AD28">
        <v>3.2010000000000001</v>
      </c>
      <c r="AE28">
        <v>3.1579999999999999</v>
      </c>
      <c r="AF28">
        <v>3.1110000000000002</v>
      </c>
      <c r="AG28">
        <v>3.0779999999999998</v>
      </c>
      <c r="AH28">
        <v>3.0529999999999999</v>
      </c>
      <c r="AI28">
        <v>3.0870000000000002</v>
      </c>
      <c r="AJ28">
        <v>3.0739999999999998</v>
      </c>
      <c r="AK28">
        <v>3.1349999999999998</v>
      </c>
      <c r="AL28">
        <v>3.14</v>
      </c>
      <c r="AM28">
        <v>3.145</v>
      </c>
      <c r="AN28">
        <v>3.1019999999999999</v>
      </c>
      <c r="AO28">
        <v>3.0249999999999999</v>
      </c>
      <c r="AP28">
        <v>2.9670000000000001</v>
      </c>
      <c r="AS28" t="s">
        <v>85</v>
      </c>
      <c r="AT28" t="s">
        <v>20</v>
      </c>
      <c r="AU28" t="s">
        <v>179</v>
      </c>
      <c r="AV28" t="s">
        <v>249</v>
      </c>
      <c r="AW28" t="s">
        <v>307</v>
      </c>
      <c r="AX28" t="s">
        <v>368</v>
      </c>
      <c r="AY28" t="s">
        <v>434</v>
      </c>
    </row>
    <row r="29" spans="2:52">
      <c r="B29" s="5">
        <f t="shared" si="15"/>
        <v>45489</v>
      </c>
      <c r="C29" s="12" t="str">
        <f t="shared" si="16"/>
        <v xml:space="preserve">3.376 </v>
      </c>
      <c r="D29" s="12" t="str">
        <f t="shared" si="0"/>
        <v xml:space="preserve">3.278 </v>
      </c>
      <c r="E29" s="12" t="str">
        <f t="shared" si="1"/>
        <v xml:space="preserve">3.198 </v>
      </c>
      <c r="F29" s="12" t="str">
        <f t="shared" si="2"/>
        <v xml:space="preserve">3.190 </v>
      </c>
      <c r="G29" s="12" t="str">
        <f t="shared" si="3"/>
        <v xml:space="preserve">3.137 </v>
      </c>
      <c r="H29" s="12" t="str">
        <f t="shared" si="4"/>
        <v xml:space="preserve">3.095 </v>
      </c>
      <c r="I29" s="12" t="str">
        <f t="shared" si="5"/>
        <v xml:space="preserve">3.060 </v>
      </c>
      <c r="J29" s="12" t="str">
        <f t="shared" si="6"/>
        <v xml:space="preserve">3.035 </v>
      </c>
      <c r="K29" s="12" t="str">
        <f t="shared" si="7"/>
        <v xml:space="preserve">3.070 </v>
      </c>
      <c r="L29" s="12" t="str">
        <f t="shared" si="8"/>
        <v xml:space="preserve">3.060 </v>
      </c>
      <c r="M29" s="12" t="str">
        <f t="shared" si="9"/>
        <v xml:space="preserve">3.128 </v>
      </c>
      <c r="N29" s="12" t="str">
        <f t="shared" si="10"/>
        <v xml:space="preserve">3.137 </v>
      </c>
      <c r="O29" s="12" t="str">
        <f t="shared" si="11"/>
        <v xml:space="preserve">3.144 </v>
      </c>
      <c r="P29" s="12" t="str">
        <f t="shared" si="12"/>
        <v xml:space="preserve">3.103 </v>
      </c>
      <c r="Q29" s="12" t="str">
        <f t="shared" si="13"/>
        <v xml:space="preserve">3.030 </v>
      </c>
      <c r="R29" s="12" t="str">
        <f t="shared" si="14"/>
        <v xml:space="preserve">2.972 </v>
      </c>
      <c r="Z29" s="11">
        <v>45489</v>
      </c>
      <c r="AA29">
        <v>3.3759999999999999</v>
      </c>
      <c r="AB29">
        <v>3.278</v>
      </c>
      <c r="AC29">
        <v>3.198</v>
      </c>
      <c r="AD29">
        <v>3.19</v>
      </c>
      <c r="AE29">
        <v>3.137</v>
      </c>
      <c r="AF29">
        <v>3.0950000000000002</v>
      </c>
      <c r="AG29">
        <v>3.06</v>
      </c>
      <c r="AH29">
        <v>3.0350000000000001</v>
      </c>
      <c r="AI29">
        <v>3.07</v>
      </c>
      <c r="AJ29">
        <v>3.06</v>
      </c>
      <c r="AK29">
        <v>3.1280000000000001</v>
      </c>
      <c r="AL29">
        <v>3.137</v>
      </c>
      <c r="AM29">
        <v>3.1440000000000001</v>
      </c>
      <c r="AN29">
        <v>3.1030000000000002</v>
      </c>
      <c r="AO29">
        <v>3.03</v>
      </c>
      <c r="AP29">
        <v>2.972</v>
      </c>
      <c r="AS29" t="s">
        <v>86</v>
      </c>
      <c r="AT29" t="s">
        <v>21</v>
      </c>
      <c r="AU29" t="s">
        <v>180</v>
      </c>
      <c r="AV29" t="s">
        <v>250</v>
      </c>
      <c r="AW29" t="s">
        <v>308</v>
      </c>
      <c r="AX29" t="s">
        <v>369</v>
      </c>
      <c r="AY29" t="s">
        <v>435</v>
      </c>
      <c r="AZ29" t="s">
        <v>495</v>
      </c>
    </row>
    <row r="30" spans="2:52">
      <c r="B30" s="5">
        <f t="shared" si="15"/>
        <v>45488</v>
      </c>
      <c r="C30" s="12" t="str">
        <f t="shared" si="16"/>
        <v xml:space="preserve">3.378 </v>
      </c>
      <c r="D30" s="12" t="str">
        <f t="shared" si="0"/>
        <v xml:space="preserve">3.283 </v>
      </c>
      <c r="E30" s="12" t="str">
        <f t="shared" si="1"/>
        <v xml:space="preserve">3.209 </v>
      </c>
      <c r="F30" s="12" t="str">
        <f t="shared" si="2"/>
        <v xml:space="preserve">3.195 </v>
      </c>
      <c r="G30" s="12" t="str">
        <f t="shared" si="3"/>
        <v xml:space="preserve">3.155 </v>
      </c>
      <c r="H30" s="12" t="str">
        <f t="shared" si="4"/>
        <v xml:space="preserve">3.130 </v>
      </c>
      <c r="I30" s="12" t="str">
        <f t="shared" si="5"/>
        <v xml:space="preserve">3.095 </v>
      </c>
      <c r="J30" s="12" t="str">
        <f t="shared" si="6"/>
        <v xml:space="preserve">3.072 </v>
      </c>
      <c r="K30" s="12" t="str">
        <f t="shared" si="7"/>
        <v xml:space="preserve">3.108 </v>
      </c>
      <c r="L30" s="12" t="str">
        <f t="shared" si="8"/>
        <v xml:space="preserve">3.097 </v>
      </c>
      <c r="M30" s="12" t="str">
        <f t="shared" si="9"/>
        <v xml:space="preserve">3.166 </v>
      </c>
      <c r="N30" s="12" t="str">
        <f t="shared" si="10"/>
        <v xml:space="preserve">3.175 </v>
      </c>
      <c r="O30" s="12" t="str">
        <f t="shared" si="11"/>
        <v xml:space="preserve">3.184 </v>
      </c>
      <c r="P30" s="12" t="str">
        <f t="shared" si="12"/>
        <v xml:space="preserve">3.145 </v>
      </c>
      <c r="Q30" s="12" t="str">
        <f t="shared" si="13"/>
        <v xml:space="preserve">3.067 </v>
      </c>
      <c r="R30" s="12" t="str">
        <f t="shared" si="14"/>
        <v xml:space="preserve">3.010 </v>
      </c>
      <c r="Z30" s="11">
        <v>45488</v>
      </c>
      <c r="AA30">
        <v>3.3780000000000001</v>
      </c>
      <c r="AB30">
        <v>3.2829999999999999</v>
      </c>
      <c r="AC30">
        <v>3.2090000000000001</v>
      </c>
      <c r="AD30">
        <v>3.1949999999999998</v>
      </c>
      <c r="AE30">
        <v>3.1549999999999998</v>
      </c>
      <c r="AF30">
        <v>3.13</v>
      </c>
      <c r="AG30">
        <v>3.0950000000000002</v>
      </c>
      <c r="AH30">
        <v>3.0720000000000001</v>
      </c>
      <c r="AI30">
        <v>3.1080000000000001</v>
      </c>
      <c r="AJ30">
        <v>3.097</v>
      </c>
      <c r="AK30">
        <v>3.1659999999999999</v>
      </c>
      <c r="AL30">
        <v>3.1749999999999998</v>
      </c>
      <c r="AM30">
        <v>3.1840000000000002</v>
      </c>
      <c r="AN30">
        <v>3.145</v>
      </c>
      <c r="AO30">
        <v>3.0670000000000002</v>
      </c>
      <c r="AP30">
        <v>3.01</v>
      </c>
      <c r="AS30" t="s">
        <v>87</v>
      </c>
      <c r="AT30" t="s">
        <v>22</v>
      </c>
      <c r="AU30" t="s">
        <v>181</v>
      </c>
      <c r="AW30" t="s">
        <v>309</v>
      </c>
      <c r="AX30" t="s">
        <v>370</v>
      </c>
      <c r="AY30" t="s">
        <v>436</v>
      </c>
    </row>
    <row r="31" spans="2:52">
      <c r="B31" s="5">
        <f t="shared" si="15"/>
        <v>45485</v>
      </c>
      <c r="C31" s="12" t="str">
        <f t="shared" si="16"/>
        <v xml:space="preserve">3.381 </v>
      </c>
      <c r="D31" s="12" t="str">
        <f t="shared" si="0"/>
        <v xml:space="preserve">3.286 </v>
      </c>
      <c r="E31" s="12" t="str">
        <f t="shared" si="1"/>
        <v xml:space="preserve">3.211 </v>
      </c>
      <c r="F31" s="12" t="str">
        <f t="shared" si="2"/>
        <v xml:space="preserve">3.194 </v>
      </c>
      <c r="G31" s="12" t="str">
        <f t="shared" si="3"/>
        <v xml:space="preserve">3.165 </v>
      </c>
      <c r="H31" s="12" t="str">
        <f t="shared" si="4"/>
        <v xml:space="preserve">3.151 </v>
      </c>
      <c r="I31" s="12" t="str">
        <f t="shared" si="5"/>
        <v xml:space="preserve">3.117 </v>
      </c>
      <c r="J31" s="12" t="str">
        <f t="shared" si="6"/>
        <v xml:space="preserve">3.093 </v>
      </c>
      <c r="K31" s="12" t="str">
        <f t="shared" si="7"/>
        <v xml:space="preserve">3.121 </v>
      </c>
      <c r="L31" s="12" t="str">
        <f t="shared" si="8"/>
        <v xml:space="preserve">3.104 </v>
      </c>
      <c r="M31" s="12" t="str">
        <f t="shared" si="9"/>
        <v xml:space="preserve">3.166 </v>
      </c>
      <c r="N31" s="12" t="str">
        <f t="shared" si="10"/>
        <v xml:space="preserve">3.167 </v>
      </c>
      <c r="O31" s="12" t="str">
        <f t="shared" si="11"/>
        <v xml:space="preserve">3.177 </v>
      </c>
      <c r="P31" s="12" t="str">
        <f t="shared" si="12"/>
        <v xml:space="preserve">3.139 </v>
      </c>
      <c r="Q31" s="12" t="str">
        <f t="shared" si="13"/>
        <v xml:space="preserve">3.058 </v>
      </c>
      <c r="R31" s="12" t="str">
        <f t="shared" si="14"/>
        <v xml:space="preserve">3.001 </v>
      </c>
      <c r="Z31" s="11">
        <v>45485</v>
      </c>
      <c r="AA31">
        <v>3.3809999999999998</v>
      </c>
      <c r="AB31">
        <v>3.286</v>
      </c>
      <c r="AC31">
        <v>3.2109999999999999</v>
      </c>
      <c r="AD31">
        <v>3.194</v>
      </c>
      <c r="AE31">
        <v>3.165</v>
      </c>
      <c r="AF31">
        <v>3.1509999999999998</v>
      </c>
      <c r="AG31">
        <v>3.117</v>
      </c>
      <c r="AH31">
        <v>3.093</v>
      </c>
      <c r="AI31">
        <v>3.121</v>
      </c>
      <c r="AJ31">
        <v>3.1040000000000001</v>
      </c>
      <c r="AK31">
        <v>3.1659999999999999</v>
      </c>
      <c r="AL31">
        <v>3.1669999999999998</v>
      </c>
      <c r="AM31">
        <v>3.177</v>
      </c>
      <c r="AN31">
        <v>3.1389999999999998</v>
      </c>
      <c r="AO31">
        <v>3.0579999999999998</v>
      </c>
      <c r="AP31">
        <v>3.0009999999999999</v>
      </c>
      <c r="AS31" t="s">
        <v>88</v>
      </c>
      <c r="AT31" t="s">
        <v>23</v>
      </c>
      <c r="AU31" t="s">
        <v>182</v>
      </c>
      <c r="AW31" t="s">
        <v>310</v>
      </c>
      <c r="AX31" t="s">
        <v>371</v>
      </c>
      <c r="AY31" t="s">
        <v>437</v>
      </c>
    </row>
    <row r="32" spans="2:52">
      <c r="B32" s="5">
        <f t="shared" si="15"/>
        <v>45484</v>
      </c>
      <c r="C32" s="12" t="str">
        <f t="shared" si="16"/>
        <v xml:space="preserve">3.384 </v>
      </c>
      <c r="D32" s="12" t="str">
        <f t="shared" si="0"/>
        <v xml:space="preserve">3.290 </v>
      </c>
      <c r="E32" s="12" t="str">
        <f t="shared" si="1"/>
        <v xml:space="preserve">3.249 </v>
      </c>
      <c r="F32" s="12" t="str">
        <f t="shared" si="2"/>
        <v xml:space="preserve">3.226 </v>
      </c>
      <c r="G32" s="12" t="str">
        <f t="shared" si="3"/>
        <v xml:space="preserve">3.210 </v>
      </c>
      <c r="H32" s="12" t="str">
        <f t="shared" si="4"/>
        <v xml:space="preserve">3.207 </v>
      </c>
      <c r="I32" s="12" t="str">
        <f t="shared" si="5"/>
        <v xml:space="preserve">3.185 </v>
      </c>
      <c r="J32" s="12" t="str">
        <f t="shared" si="6"/>
        <v xml:space="preserve">3.158 </v>
      </c>
      <c r="K32" s="12" t="str">
        <f t="shared" si="7"/>
        <v xml:space="preserve">3.191 </v>
      </c>
      <c r="L32" s="12" t="str">
        <f t="shared" si="8"/>
        <v xml:space="preserve">3.170 </v>
      </c>
      <c r="M32" s="12" t="str">
        <f t="shared" si="9"/>
        <v xml:space="preserve">3.228 </v>
      </c>
      <c r="N32" s="12" t="str">
        <f t="shared" si="10"/>
        <v xml:space="preserve">3.222 </v>
      </c>
      <c r="O32" s="12" t="str">
        <f t="shared" si="11"/>
        <v xml:space="preserve">3.231 </v>
      </c>
      <c r="P32" s="12" t="str">
        <f t="shared" si="12"/>
        <v xml:space="preserve">3.192 </v>
      </c>
      <c r="Q32" s="12" t="str">
        <f t="shared" si="13"/>
        <v xml:space="preserve">3.110 </v>
      </c>
      <c r="R32" s="12" t="str">
        <f t="shared" si="14"/>
        <v xml:space="preserve">3.080 </v>
      </c>
      <c r="Z32" s="11">
        <v>45484</v>
      </c>
      <c r="AA32">
        <v>3.3839999999999999</v>
      </c>
      <c r="AB32">
        <v>3.29</v>
      </c>
      <c r="AC32">
        <v>3.2490000000000001</v>
      </c>
      <c r="AD32">
        <v>3.226</v>
      </c>
      <c r="AE32">
        <v>3.21</v>
      </c>
      <c r="AF32">
        <v>3.2069999999999999</v>
      </c>
      <c r="AG32">
        <v>3.1850000000000001</v>
      </c>
      <c r="AH32">
        <v>3.1579999999999999</v>
      </c>
      <c r="AI32">
        <v>3.1909999999999998</v>
      </c>
      <c r="AJ32">
        <v>3.17</v>
      </c>
      <c r="AK32">
        <v>3.2280000000000002</v>
      </c>
      <c r="AL32">
        <v>3.222</v>
      </c>
      <c r="AM32">
        <v>3.2309999999999999</v>
      </c>
      <c r="AN32">
        <v>3.1920000000000002</v>
      </c>
      <c r="AO32">
        <v>3.11</v>
      </c>
      <c r="AP32">
        <v>3.08</v>
      </c>
      <c r="AS32" t="s">
        <v>89</v>
      </c>
      <c r="AT32" t="s">
        <v>24</v>
      </c>
      <c r="AU32" t="s">
        <v>183</v>
      </c>
      <c r="AV32" t="s">
        <v>251</v>
      </c>
      <c r="AW32" t="s">
        <v>311</v>
      </c>
      <c r="AX32" t="s">
        <v>372</v>
      </c>
      <c r="AY32" t="s">
        <v>438</v>
      </c>
      <c r="AZ32" t="s">
        <v>496</v>
      </c>
    </row>
    <row r="33" spans="2:52">
      <c r="B33" s="5">
        <f t="shared" si="15"/>
        <v>45483</v>
      </c>
      <c r="C33" s="12" t="str">
        <f t="shared" si="16"/>
        <v xml:space="preserve">3.363 </v>
      </c>
      <c r="D33" s="12" t="str">
        <f t="shared" si="0"/>
        <v xml:space="preserve">3.263 </v>
      </c>
      <c r="E33" s="12" t="str">
        <f t="shared" si="1"/>
        <v xml:space="preserve">3.221 </v>
      </c>
      <c r="F33" s="12" t="str">
        <f t="shared" si="2"/>
        <v xml:space="preserve">3.199 </v>
      </c>
      <c r="G33" s="12" t="str">
        <f t="shared" si="3"/>
        <v xml:space="preserve">3.180 </v>
      </c>
      <c r="H33" s="12" t="str">
        <f t="shared" si="4"/>
        <v xml:space="preserve">3.155 </v>
      </c>
      <c r="I33" s="12" t="str">
        <f t="shared" si="5"/>
        <v xml:space="preserve">3.140 </v>
      </c>
      <c r="J33" s="12" t="str">
        <f t="shared" si="6"/>
        <v xml:space="preserve">3.117 </v>
      </c>
      <c r="K33" s="12" t="str">
        <f t="shared" si="7"/>
        <v xml:space="preserve">3.152 </v>
      </c>
      <c r="L33" s="12" t="str">
        <f t="shared" si="8"/>
        <v xml:space="preserve">3.134 </v>
      </c>
      <c r="M33" s="12" t="str">
        <f t="shared" si="9"/>
        <v xml:space="preserve">3.197 </v>
      </c>
      <c r="N33" s="12" t="str">
        <f t="shared" si="10"/>
        <v xml:space="preserve">3.195 </v>
      </c>
      <c r="O33" s="12" t="str">
        <f t="shared" si="11"/>
        <v xml:space="preserve">3.205 </v>
      </c>
      <c r="P33" s="12" t="str">
        <f t="shared" si="12"/>
        <v xml:space="preserve">3.170 </v>
      </c>
      <c r="Q33" s="12" t="str">
        <f t="shared" si="13"/>
        <v xml:space="preserve">3.095 </v>
      </c>
      <c r="R33" s="12" t="str">
        <f t="shared" si="14"/>
        <v xml:space="preserve">3.065 </v>
      </c>
      <c r="Z33" s="11">
        <v>45483</v>
      </c>
      <c r="AA33">
        <v>3.363</v>
      </c>
      <c r="AB33">
        <v>3.2629999999999999</v>
      </c>
      <c r="AC33">
        <v>3.2210000000000001</v>
      </c>
      <c r="AD33">
        <v>3.1989999999999998</v>
      </c>
      <c r="AE33">
        <v>3.18</v>
      </c>
      <c r="AF33">
        <v>3.1549999999999998</v>
      </c>
      <c r="AG33">
        <v>3.14</v>
      </c>
      <c r="AH33">
        <v>3.117</v>
      </c>
      <c r="AI33">
        <v>3.1520000000000001</v>
      </c>
      <c r="AJ33">
        <v>3.1339999999999999</v>
      </c>
      <c r="AK33">
        <v>3.1970000000000001</v>
      </c>
      <c r="AL33">
        <v>3.1949999999999998</v>
      </c>
      <c r="AM33">
        <v>3.2050000000000001</v>
      </c>
      <c r="AN33">
        <v>3.17</v>
      </c>
      <c r="AO33">
        <v>3.0950000000000002</v>
      </c>
      <c r="AP33">
        <v>3.0649999999999999</v>
      </c>
      <c r="AS33" t="s">
        <v>90</v>
      </c>
      <c r="AT33" t="s">
        <v>25</v>
      </c>
      <c r="AU33" t="s">
        <v>184</v>
      </c>
      <c r="AV33" t="s">
        <v>252</v>
      </c>
      <c r="AW33" t="s">
        <v>312</v>
      </c>
      <c r="AX33" t="s">
        <v>373</v>
      </c>
      <c r="AY33" t="s">
        <v>439</v>
      </c>
      <c r="AZ33" t="s">
        <v>497</v>
      </c>
    </row>
    <row r="34" spans="2:52">
      <c r="B34" s="5">
        <f t="shared" si="15"/>
        <v>45482</v>
      </c>
      <c r="C34" s="12" t="str">
        <f t="shared" si="16"/>
        <v xml:space="preserve">3.361 </v>
      </c>
      <c r="D34" s="12" t="str">
        <f t="shared" si="0"/>
        <v xml:space="preserve">3.261 </v>
      </c>
      <c r="E34" s="12" t="str">
        <f t="shared" si="1"/>
        <v xml:space="preserve">3.218 </v>
      </c>
      <c r="F34" s="12" t="str">
        <f t="shared" si="2"/>
        <v xml:space="preserve">3.197 </v>
      </c>
      <c r="G34" s="12" t="str">
        <f t="shared" si="3"/>
        <v xml:space="preserve">3.173 </v>
      </c>
      <c r="H34" s="12" t="str">
        <f t="shared" si="4"/>
        <v xml:space="preserve">3.155 </v>
      </c>
      <c r="I34" s="12" t="str">
        <f t="shared" si="5"/>
        <v xml:space="preserve">3.144 </v>
      </c>
      <c r="J34" s="12" t="str">
        <f t="shared" si="6"/>
        <v xml:space="preserve">3.120 </v>
      </c>
      <c r="K34" s="12" t="str">
        <f t="shared" si="7"/>
        <v xml:space="preserve">3.150 </v>
      </c>
      <c r="L34" s="12" t="str">
        <f t="shared" si="8"/>
        <v xml:space="preserve">3.140 </v>
      </c>
      <c r="M34" s="12" t="str">
        <f t="shared" si="9"/>
        <v xml:space="preserve">3.202 </v>
      </c>
      <c r="N34" s="12" t="str">
        <f t="shared" si="10"/>
        <v xml:space="preserve">3.200 </v>
      </c>
      <c r="O34" s="12" t="str">
        <f t="shared" si="11"/>
        <v xml:space="preserve">3.210 </v>
      </c>
      <c r="P34" s="12" t="str">
        <f t="shared" si="12"/>
        <v xml:space="preserve">3.174 </v>
      </c>
      <c r="Q34" s="12" t="str">
        <f t="shared" si="13"/>
        <v xml:space="preserve">3.106 </v>
      </c>
      <c r="R34" s="12" t="str">
        <f t="shared" si="14"/>
        <v xml:space="preserve">3.076 </v>
      </c>
      <c r="Z34" s="11">
        <v>45482</v>
      </c>
      <c r="AA34">
        <v>3.3610000000000002</v>
      </c>
      <c r="AB34">
        <v>3.2610000000000001</v>
      </c>
      <c r="AC34">
        <v>3.218</v>
      </c>
      <c r="AD34">
        <v>3.1970000000000001</v>
      </c>
      <c r="AE34">
        <v>3.173</v>
      </c>
      <c r="AF34">
        <v>3.1549999999999998</v>
      </c>
      <c r="AG34">
        <v>3.1440000000000001</v>
      </c>
      <c r="AH34">
        <v>3.12</v>
      </c>
      <c r="AI34">
        <v>3.15</v>
      </c>
      <c r="AJ34">
        <v>3.14</v>
      </c>
      <c r="AK34">
        <v>3.202</v>
      </c>
      <c r="AL34">
        <v>3.2</v>
      </c>
      <c r="AM34">
        <v>3.21</v>
      </c>
      <c r="AN34">
        <v>3.1739999999999999</v>
      </c>
      <c r="AO34">
        <v>3.1059999999999999</v>
      </c>
      <c r="AP34">
        <v>3.0760000000000001</v>
      </c>
      <c r="AS34" t="s">
        <v>91</v>
      </c>
      <c r="AT34" t="s">
        <v>26</v>
      </c>
      <c r="AU34" t="s">
        <v>185</v>
      </c>
      <c r="AV34" t="s">
        <v>253</v>
      </c>
      <c r="AW34" t="s">
        <v>313</v>
      </c>
      <c r="AX34" t="s">
        <v>374</v>
      </c>
      <c r="AY34" t="s">
        <v>440</v>
      </c>
      <c r="AZ34" t="s">
        <v>498</v>
      </c>
    </row>
    <row r="35" spans="2:52">
      <c r="B35" s="5">
        <f t="shared" si="15"/>
        <v>45481</v>
      </c>
      <c r="C35" s="12" t="str">
        <f t="shared" si="16"/>
        <v xml:space="preserve">3.365 </v>
      </c>
      <c r="D35" s="12" t="str">
        <f t="shared" si="0"/>
        <v xml:space="preserve">3.261 </v>
      </c>
      <c r="E35" s="12" t="str">
        <f t="shared" si="1"/>
        <v xml:space="preserve">3.218 </v>
      </c>
      <c r="F35" s="12" t="str">
        <f t="shared" si="2"/>
        <v xml:space="preserve">3.200 </v>
      </c>
      <c r="G35" s="12" t="str">
        <f t="shared" si="3"/>
        <v xml:space="preserve">3.173 </v>
      </c>
      <c r="H35" s="12" t="str">
        <f t="shared" si="4"/>
        <v xml:space="preserve">3.162 </v>
      </c>
      <c r="I35" s="12" t="str">
        <f t="shared" si="5"/>
        <v xml:space="preserve">3.144 </v>
      </c>
      <c r="J35" s="12" t="str">
        <f t="shared" si="6"/>
        <v xml:space="preserve">3.120 </v>
      </c>
      <c r="K35" s="12" t="str">
        <f t="shared" si="7"/>
        <v xml:space="preserve">3.153 </v>
      </c>
      <c r="L35" s="12" t="str">
        <f t="shared" si="8"/>
        <v xml:space="preserve">3.142 </v>
      </c>
      <c r="M35" s="12" t="str">
        <f t="shared" si="9"/>
        <v xml:space="preserve">3.208 </v>
      </c>
      <c r="N35" s="12" t="str">
        <f t="shared" si="10"/>
        <v xml:space="preserve">3.210 </v>
      </c>
      <c r="O35" s="12" t="str">
        <f t="shared" si="11"/>
        <v xml:space="preserve">3.220 </v>
      </c>
      <c r="P35" s="12" t="str">
        <f t="shared" si="12"/>
        <v xml:space="preserve">3.180 </v>
      </c>
      <c r="Q35" s="12" t="str">
        <f t="shared" si="13"/>
        <v xml:space="preserve">3.113 </v>
      </c>
      <c r="R35" s="12" t="str">
        <f t="shared" si="14"/>
        <v xml:space="preserve">3.083 </v>
      </c>
      <c r="Z35" s="11">
        <v>45481</v>
      </c>
      <c r="AA35">
        <v>3.3650000000000002</v>
      </c>
      <c r="AB35">
        <v>3.2610000000000001</v>
      </c>
      <c r="AC35">
        <v>3.218</v>
      </c>
      <c r="AD35">
        <v>3.2</v>
      </c>
      <c r="AE35">
        <v>3.173</v>
      </c>
      <c r="AF35">
        <v>3.1619999999999999</v>
      </c>
      <c r="AG35">
        <v>3.1440000000000001</v>
      </c>
      <c r="AH35">
        <v>3.12</v>
      </c>
      <c r="AI35">
        <v>3.153</v>
      </c>
      <c r="AJ35">
        <v>3.1419999999999999</v>
      </c>
      <c r="AK35">
        <v>3.2080000000000002</v>
      </c>
      <c r="AL35">
        <v>3.21</v>
      </c>
      <c r="AM35">
        <v>3.22</v>
      </c>
      <c r="AN35">
        <v>3.18</v>
      </c>
      <c r="AO35">
        <v>3.113</v>
      </c>
      <c r="AP35">
        <v>3.0830000000000002</v>
      </c>
      <c r="AS35" t="s">
        <v>92</v>
      </c>
      <c r="AT35" t="s">
        <v>27</v>
      </c>
      <c r="AU35" t="s">
        <v>186</v>
      </c>
      <c r="AV35" t="s">
        <v>254</v>
      </c>
      <c r="AW35" t="s">
        <v>314</v>
      </c>
      <c r="AX35" t="s">
        <v>375</v>
      </c>
      <c r="AY35" t="s">
        <v>441</v>
      </c>
      <c r="AZ35" t="s">
        <v>499</v>
      </c>
    </row>
    <row r="36" spans="2:52">
      <c r="B36" s="5">
        <f t="shared" si="15"/>
        <v>45478</v>
      </c>
      <c r="C36" s="12" t="str">
        <f t="shared" si="16"/>
        <v xml:space="preserve">3.370 </v>
      </c>
      <c r="D36" s="12" t="str">
        <f t="shared" si="0"/>
        <v xml:space="preserve">3.263 </v>
      </c>
      <c r="E36" s="12" t="str">
        <f t="shared" si="1"/>
        <v xml:space="preserve">3.229 </v>
      </c>
      <c r="F36" s="12" t="str">
        <f t="shared" si="2"/>
        <v xml:space="preserve">3.210 </v>
      </c>
      <c r="G36" s="12" t="str">
        <f t="shared" si="3"/>
        <v xml:space="preserve">3.168 </v>
      </c>
      <c r="H36" s="12" t="str">
        <f t="shared" si="4"/>
        <v xml:space="preserve">3.145 </v>
      </c>
      <c r="I36" s="12" t="str">
        <f t="shared" si="5"/>
        <v xml:space="preserve">3.135 </v>
      </c>
      <c r="J36" s="12" t="str">
        <f t="shared" si="6"/>
        <v xml:space="preserve">3.115 </v>
      </c>
      <c r="K36" s="12" t="str">
        <f t="shared" si="7"/>
        <v xml:space="preserve">3.155 </v>
      </c>
      <c r="L36" s="12" t="str">
        <f t="shared" si="8"/>
        <v xml:space="preserve">3.147 </v>
      </c>
      <c r="M36" s="12" t="str">
        <f t="shared" si="9"/>
        <v xml:space="preserve">3.213 </v>
      </c>
      <c r="N36" s="12" t="str">
        <f t="shared" si="10"/>
        <v xml:space="preserve">3.215 </v>
      </c>
      <c r="O36" s="12" t="str">
        <f t="shared" si="11"/>
        <v xml:space="preserve">3.221 </v>
      </c>
      <c r="P36" s="12" t="str">
        <f t="shared" si="12"/>
        <v xml:space="preserve">3.177 </v>
      </c>
      <c r="Q36" s="12" t="str">
        <f t="shared" si="13"/>
        <v xml:space="preserve">3.112 </v>
      </c>
      <c r="R36" s="12" t="str">
        <f t="shared" si="14"/>
        <v xml:space="preserve">3.082 </v>
      </c>
      <c r="Z36" s="11">
        <v>45478</v>
      </c>
      <c r="AA36">
        <v>3.37</v>
      </c>
      <c r="AB36">
        <v>3.2629999999999999</v>
      </c>
      <c r="AC36">
        <v>3.2290000000000001</v>
      </c>
      <c r="AD36">
        <v>3.21</v>
      </c>
      <c r="AE36">
        <v>3.1680000000000001</v>
      </c>
      <c r="AF36">
        <v>3.145</v>
      </c>
      <c r="AG36">
        <v>3.1349999999999998</v>
      </c>
      <c r="AH36">
        <v>3.1150000000000002</v>
      </c>
      <c r="AI36">
        <v>3.1549999999999998</v>
      </c>
      <c r="AJ36">
        <v>3.1469999999999998</v>
      </c>
      <c r="AK36">
        <v>3.2130000000000001</v>
      </c>
      <c r="AL36">
        <v>3.2149999999999999</v>
      </c>
      <c r="AM36">
        <v>3.2210000000000001</v>
      </c>
      <c r="AN36">
        <v>3.177</v>
      </c>
      <c r="AO36">
        <v>3.1120000000000001</v>
      </c>
      <c r="AP36">
        <v>3.0819999999999999</v>
      </c>
      <c r="AS36" t="s">
        <v>93</v>
      </c>
      <c r="AT36" t="s">
        <v>28</v>
      </c>
      <c r="AU36" t="s">
        <v>187</v>
      </c>
      <c r="AV36" t="s">
        <v>255</v>
      </c>
      <c r="AW36" t="s">
        <v>315</v>
      </c>
      <c r="AX36" t="s">
        <v>376</v>
      </c>
      <c r="AY36" t="s">
        <v>442</v>
      </c>
      <c r="AZ36" t="s">
        <v>500</v>
      </c>
    </row>
    <row r="37" spans="2:52">
      <c r="B37" s="5">
        <f t="shared" si="15"/>
        <v>45477</v>
      </c>
      <c r="C37" s="12" t="str">
        <f t="shared" si="16"/>
        <v xml:space="preserve">3.376 </v>
      </c>
      <c r="D37" s="12" t="str">
        <f t="shared" si="0"/>
        <v xml:space="preserve">3.266 </v>
      </c>
      <c r="E37" s="12" t="str">
        <f t="shared" si="1"/>
        <v xml:space="preserve">3.236 </v>
      </c>
      <c r="F37" s="12" t="str">
        <f t="shared" si="2"/>
        <v xml:space="preserve">3.213 </v>
      </c>
      <c r="G37" s="12" t="str">
        <f t="shared" si="3"/>
        <v xml:space="preserve">3.177 </v>
      </c>
      <c r="H37" s="12" t="str">
        <f t="shared" si="4"/>
        <v xml:space="preserve">3.150 </v>
      </c>
      <c r="I37" s="12" t="str">
        <f t="shared" si="5"/>
        <v xml:space="preserve">3.145 </v>
      </c>
      <c r="J37" s="12" t="str">
        <f t="shared" si="6"/>
        <v xml:space="preserve">3.122 </v>
      </c>
      <c r="K37" s="12" t="str">
        <f t="shared" si="7"/>
        <v xml:space="preserve">3.166 </v>
      </c>
      <c r="L37" s="12" t="str">
        <f t="shared" si="8"/>
        <v xml:space="preserve">3.160 </v>
      </c>
      <c r="M37" s="12" t="str">
        <f t="shared" si="9"/>
        <v xml:space="preserve">3.228 </v>
      </c>
      <c r="N37" s="12" t="str">
        <f t="shared" si="10"/>
        <v xml:space="preserve">3.235 </v>
      </c>
      <c r="O37" s="12" t="str">
        <f t="shared" si="11"/>
        <v xml:space="preserve">3.246 </v>
      </c>
      <c r="P37" s="12" t="str">
        <f t="shared" si="12"/>
        <v xml:space="preserve">3.207 </v>
      </c>
      <c r="Q37" s="12" t="str">
        <f t="shared" si="13"/>
        <v xml:space="preserve">3.147 </v>
      </c>
      <c r="R37" s="12" t="str">
        <f t="shared" si="14"/>
        <v xml:space="preserve">3.117 </v>
      </c>
      <c r="Z37" s="11">
        <v>45477</v>
      </c>
      <c r="AA37">
        <v>3.3759999999999999</v>
      </c>
      <c r="AB37">
        <v>3.266</v>
      </c>
      <c r="AC37">
        <v>3.2360000000000002</v>
      </c>
      <c r="AD37">
        <v>3.2130000000000001</v>
      </c>
      <c r="AE37">
        <v>3.177</v>
      </c>
      <c r="AF37">
        <v>3.15</v>
      </c>
      <c r="AG37">
        <v>3.145</v>
      </c>
      <c r="AH37">
        <v>3.1219999999999999</v>
      </c>
      <c r="AI37">
        <v>3.1659999999999999</v>
      </c>
      <c r="AJ37">
        <v>3.16</v>
      </c>
      <c r="AK37">
        <v>3.2280000000000002</v>
      </c>
      <c r="AL37">
        <v>3.2349999999999999</v>
      </c>
      <c r="AM37">
        <v>3.246</v>
      </c>
      <c r="AN37">
        <v>3.2069999999999999</v>
      </c>
      <c r="AO37">
        <v>3.1469999999999998</v>
      </c>
      <c r="AP37">
        <v>3.117</v>
      </c>
      <c r="AS37" t="s">
        <v>94</v>
      </c>
      <c r="AT37" t="s">
        <v>29</v>
      </c>
      <c r="AU37" t="s">
        <v>188</v>
      </c>
      <c r="AV37" t="s">
        <v>256</v>
      </c>
      <c r="AW37" t="s">
        <v>316</v>
      </c>
      <c r="AX37" t="s">
        <v>377</v>
      </c>
      <c r="AY37" t="s">
        <v>443</v>
      </c>
      <c r="AZ37" t="s">
        <v>501</v>
      </c>
    </row>
    <row r="38" spans="2:52">
      <c r="B38" s="5">
        <f t="shared" si="15"/>
        <v>45476</v>
      </c>
      <c r="C38" s="12" t="str">
        <f t="shared" si="16"/>
        <v xml:space="preserve">3.396 </v>
      </c>
      <c r="D38" s="12" t="str">
        <f t="shared" si="0"/>
        <v xml:space="preserve">3.281 </v>
      </c>
      <c r="E38" s="12" t="str">
        <f t="shared" si="1"/>
        <v xml:space="preserve">3.262 </v>
      </c>
      <c r="F38" s="12" t="str">
        <f t="shared" si="2"/>
        <v xml:space="preserve">3.243 </v>
      </c>
      <c r="G38" s="12" t="str">
        <f t="shared" si="3"/>
        <v xml:space="preserve">3.209 </v>
      </c>
      <c r="H38" s="12" t="str">
        <f t="shared" si="4"/>
        <v xml:space="preserve">3.194 </v>
      </c>
      <c r="I38" s="12" t="str">
        <f t="shared" si="5"/>
        <v xml:space="preserve">3.180 </v>
      </c>
      <c r="J38" s="12" t="str">
        <f t="shared" si="6"/>
        <v xml:space="preserve">3.160 </v>
      </c>
      <c r="K38" s="12" t="str">
        <f t="shared" si="7"/>
        <v xml:space="preserve">3.197 </v>
      </c>
      <c r="L38" s="12" t="str">
        <f t="shared" si="8"/>
        <v xml:space="preserve">3.192 </v>
      </c>
      <c r="M38" s="12" t="str">
        <f t="shared" si="9"/>
        <v xml:space="preserve">3.263 </v>
      </c>
      <c r="N38" s="12" t="str">
        <f t="shared" si="10"/>
        <v xml:space="preserve">3.275 </v>
      </c>
      <c r="O38" s="12" t="str">
        <f t="shared" si="11"/>
        <v xml:space="preserve">3.281 </v>
      </c>
      <c r="P38" s="12" t="str">
        <f t="shared" si="12"/>
        <v xml:space="preserve">3.237 </v>
      </c>
      <c r="Q38" s="12" t="str">
        <f t="shared" si="13"/>
        <v xml:space="preserve">3.176 </v>
      </c>
      <c r="R38" s="12" t="str">
        <f t="shared" si="14"/>
        <v xml:space="preserve">3.146 </v>
      </c>
      <c r="Z38" s="11">
        <v>45476</v>
      </c>
      <c r="AA38">
        <v>3.3959999999999999</v>
      </c>
      <c r="AB38">
        <v>3.2810000000000001</v>
      </c>
      <c r="AC38">
        <v>3.262</v>
      </c>
      <c r="AD38">
        <v>3.2429999999999999</v>
      </c>
      <c r="AE38">
        <v>3.2090000000000001</v>
      </c>
      <c r="AF38">
        <v>3.194</v>
      </c>
      <c r="AG38">
        <v>3.18</v>
      </c>
      <c r="AH38">
        <v>3.16</v>
      </c>
      <c r="AI38">
        <v>3.1970000000000001</v>
      </c>
      <c r="AJ38">
        <v>3.1920000000000002</v>
      </c>
      <c r="AK38">
        <v>3.2629999999999999</v>
      </c>
      <c r="AL38">
        <v>3.2749999999999999</v>
      </c>
      <c r="AM38">
        <v>3.2810000000000001</v>
      </c>
      <c r="AN38">
        <v>3.2370000000000001</v>
      </c>
      <c r="AO38">
        <v>3.1760000000000002</v>
      </c>
      <c r="AP38">
        <v>3.1459999999999999</v>
      </c>
      <c r="AS38" t="s">
        <v>95</v>
      </c>
      <c r="AT38" t="s">
        <v>30</v>
      </c>
      <c r="AU38" t="s">
        <v>189</v>
      </c>
      <c r="AW38" t="s">
        <v>317</v>
      </c>
      <c r="AX38" t="s">
        <v>378</v>
      </c>
      <c r="AY38" t="s">
        <v>444</v>
      </c>
    </row>
    <row r="39" spans="2:52">
      <c r="B39" s="5">
        <f t="shared" si="15"/>
        <v>45475</v>
      </c>
      <c r="C39" s="12" t="str">
        <f t="shared" si="16"/>
        <v xml:space="preserve">3.406 </v>
      </c>
      <c r="D39" s="12" t="str">
        <f t="shared" si="0"/>
        <v xml:space="preserve">3.296 </v>
      </c>
      <c r="E39" s="12" t="str">
        <f t="shared" si="1"/>
        <v xml:space="preserve">3.281 </v>
      </c>
      <c r="F39" s="12" t="str">
        <f t="shared" si="2"/>
        <v xml:space="preserve">3.256 </v>
      </c>
      <c r="G39" s="12" t="str">
        <f t="shared" si="3"/>
        <v xml:space="preserve">3.218 </v>
      </c>
      <c r="H39" s="12" t="str">
        <f t="shared" si="4"/>
        <v xml:space="preserve">3.195 </v>
      </c>
      <c r="I39" s="12" t="str">
        <f t="shared" si="5"/>
        <v xml:space="preserve">3.185 </v>
      </c>
      <c r="J39" s="12" t="str">
        <f t="shared" si="6"/>
        <v xml:space="preserve">3.165 </v>
      </c>
      <c r="K39" s="12" t="str">
        <f t="shared" si="7"/>
        <v xml:space="preserve">3.195 </v>
      </c>
      <c r="L39" s="12" t="str">
        <f t="shared" si="8"/>
        <v xml:space="preserve">3.192 </v>
      </c>
      <c r="M39" s="12" t="str">
        <f t="shared" si="9"/>
        <v xml:space="preserve">3.266 </v>
      </c>
      <c r="N39" s="12" t="str">
        <f t="shared" si="10"/>
        <v xml:space="preserve">3.280 </v>
      </c>
      <c r="O39" s="12" t="str">
        <f t="shared" si="11"/>
        <v xml:space="preserve">3.286 </v>
      </c>
      <c r="P39" s="12" t="str">
        <f t="shared" si="12"/>
        <v xml:space="preserve">3.242 </v>
      </c>
      <c r="Q39" s="12" t="str">
        <f t="shared" si="13"/>
        <v xml:space="preserve">3.182 </v>
      </c>
      <c r="R39" s="12" t="str">
        <f t="shared" si="14"/>
        <v xml:space="preserve">3.152 </v>
      </c>
      <c r="Z39" s="11">
        <v>45475</v>
      </c>
      <c r="AA39">
        <v>3.4060000000000001</v>
      </c>
      <c r="AB39">
        <v>3.2959999999999998</v>
      </c>
      <c r="AC39">
        <v>3.2810000000000001</v>
      </c>
      <c r="AD39">
        <v>3.2559999999999998</v>
      </c>
      <c r="AE39">
        <v>3.218</v>
      </c>
      <c r="AF39">
        <v>3.1949999999999998</v>
      </c>
      <c r="AG39">
        <v>3.1850000000000001</v>
      </c>
      <c r="AH39">
        <v>3.165</v>
      </c>
      <c r="AI39">
        <v>3.1949999999999998</v>
      </c>
      <c r="AJ39">
        <v>3.1920000000000002</v>
      </c>
      <c r="AK39">
        <v>3.266</v>
      </c>
      <c r="AL39">
        <v>3.28</v>
      </c>
      <c r="AM39">
        <v>3.286</v>
      </c>
      <c r="AN39">
        <v>3.242</v>
      </c>
      <c r="AO39">
        <v>3.1819999999999999</v>
      </c>
      <c r="AP39">
        <v>3.1520000000000001</v>
      </c>
      <c r="AS39" t="s">
        <v>96</v>
      </c>
      <c r="AT39" t="s">
        <v>31</v>
      </c>
      <c r="AU39" t="s">
        <v>190</v>
      </c>
      <c r="AW39" t="s">
        <v>318</v>
      </c>
      <c r="AX39" t="s">
        <v>379</v>
      </c>
      <c r="AY39" t="s">
        <v>445</v>
      </c>
      <c r="AZ39" t="s">
        <v>502</v>
      </c>
    </row>
    <row r="40" spans="2:52">
      <c r="B40" s="5">
        <f t="shared" si="15"/>
        <v>45474</v>
      </c>
      <c r="C40" s="12" t="str">
        <f t="shared" si="16"/>
        <v xml:space="preserve">3.420 </v>
      </c>
      <c r="D40" s="12" t="str">
        <f t="shared" si="0"/>
        <v xml:space="preserve">3.321 </v>
      </c>
      <c r="E40" s="12" t="str">
        <f t="shared" si="1"/>
        <v xml:space="preserve">3.310 </v>
      </c>
      <c r="F40" s="12" t="str">
        <f t="shared" si="2"/>
        <v xml:space="preserve">3.290 </v>
      </c>
      <c r="G40" s="12" t="str">
        <f t="shared" si="3"/>
        <v xml:space="preserve">3.265 </v>
      </c>
      <c r="H40" s="12" t="str">
        <f t="shared" si="4"/>
        <v xml:space="preserve">3.257 </v>
      </c>
      <c r="I40" s="12" t="str">
        <f t="shared" si="5"/>
        <v xml:space="preserve">3.240 </v>
      </c>
      <c r="J40" s="12" t="str">
        <f t="shared" si="6"/>
        <v xml:space="preserve">3.207 </v>
      </c>
      <c r="K40" s="12" t="str">
        <f t="shared" si="7"/>
        <v xml:space="preserve">3.245 </v>
      </c>
      <c r="L40" s="12" t="str">
        <f t="shared" si="8"/>
        <v xml:space="preserve">3.235 </v>
      </c>
      <c r="M40" s="12" t="str">
        <f t="shared" si="9"/>
        <v xml:space="preserve">3.304 </v>
      </c>
      <c r="N40" s="12" t="str">
        <f t="shared" si="10"/>
        <v xml:space="preserve">3.307 </v>
      </c>
      <c r="O40" s="12" t="str">
        <f t="shared" si="11"/>
        <v xml:space="preserve">3.311 </v>
      </c>
      <c r="P40" s="12" t="str">
        <f t="shared" si="12"/>
        <v xml:space="preserve">3.265 </v>
      </c>
      <c r="Q40" s="12" t="str">
        <f t="shared" si="13"/>
        <v xml:space="preserve">3.205 </v>
      </c>
      <c r="R40" s="12" t="str">
        <f t="shared" si="14"/>
        <v xml:space="preserve">3.175 </v>
      </c>
      <c r="Z40" s="11">
        <v>45474</v>
      </c>
      <c r="AA40">
        <v>3.42</v>
      </c>
      <c r="AB40">
        <v>3.3210000000000002</v>
      </c>
      <c r="AC40">
        <v>3.31</v>
      </c>
      <c r="AD40">
        <v>3.29</v>
      </c>
      <c r="AE40">
        <v>3.2650000000000001</v>
      </c>
      <c r="AF40">
        <v>3.2570000000000001</v>
      </c>
      <c r="AG40">
        <v>3.24</v>
      </c>
      <c r="AH40">
        <v>3.2069999999999999</v>
      </c>
      <c r="AI40">
        <v>3.2450000000000001</v>
      </c>
      <c r="AJ40">
        <v>3.2349999999999999</v>
      </c>
      <c r="AK40">
        <v>3.3039999999999998</v>
      </c>
      <c r="AL40">
        <v>3.3069999999999999</v>
      </c>
      <c r="AM40">
        <v>3.3109999999999999</v>
      </c>
      <c r="AN40">
        <v>3.2650000000000001</v>
      </c>
      <c r="AO40">
        <v>3.2050000000000001</v>
      </c>
      <c r="AP40">
        <v>3.1749999999999998</v>
      </c>
      <c r="AS40" t="s">
        <v>97</v>
      </c>
      <c r="AT40" t="s">
        <v>32</v>
      </c>
      <c r="AU40" t="s">
        <v>191</v>
      </c>
      <c r="AW40" t="s">
        <v>319</v>
      </c>
      <c r="AX40" t="s">
        <v>380</v>
      </c>
      <c r="AY40" t="s">
        <v>446</v>
      </c>
    </row>
    <row r="41" spans="2:52">
      <c r="B41" s="5">
        <f t="shared" si="15"/>
        <v>45471</v>
      </c>
      <c r="C41" s="12" t="str">
        <f t="shared" si="16"/>
        <v xml:space="preserve">3.420 </v>
      </c>
      <c r="D41" s="12" t="str">
        <f t="shared" si="0"/>
        <v xml:space="preserve">3.323 </v>
      </c>
      <c r="E41" s="12" t="str">
        <f t="shared" si="1"/>
        <v xml:space="preserve">3.315 </v>
      </c>
      <c r="F41" s="12" t="str">
        <f t="shared" si="2"/>
        <v xml:space="preserve">3.293 </v>
      </c>
      <c r="G41" s="12" t="str">
        <f t="shared" si="3"/>
        <v xml:space="preserve">3.262 </v>
      </c>
      <c r="H41" s="12" t="str">
        <f t="shared" si="4"/>
        <v xml:space="preserve">3.235 </v>
      </c>
      <c r="I41" s="12" t="str">
        <f t="shared" si="5"/>
        <v xml:space="preserve">3.214 </v>
      </c>
      <c r="J41" s="12" t="str">
        <f t="shared" si="6"/>
        <v xml:space="preserve">3.177 </v>
      </c>
      <c r="K41" s="12" t="str">
        <f t="shared" si="7"/>
        <v xml:space="preserve">3.212 </v>
      </c>
      <c r="L41" s="12" t="str">
        <f t="shared" si="8"/>
        <v xml:space="preserve">3.195 </v>
      </c>
      <c r="M41" s="12" t="str">
        <f t="shared" si="9"/>
        <v xml:space="preserve">3.261 </v>
      </c>
      <c r="N41" s="12" t="str">
        <f t="shared" si="10"/>
        <v xml:space="preserve">3.260 </v>
      </c>
      <c r="O41" s="12" t="str">
        <f t="shared" si="11"/>
        <v xml:space="preserve">3.276 </v>
      </c>
      <c r="P41" s="12" t="str">
        <f t="shared" si="12"/>
        <v xml:space="preserve">3.243 </v>
      </c>
      <c r="Q41" s="12" t="str">
        <f t="shared" si="13"/>
        <v xml:space="preserve">3.197 </v>
      </c>
      <c r="R41" s="12" t="str">
        <f t="shared" si="14"/>
        <v xml:space="preserve">3.167 </v>
      </c>
      <c r="Z41" s="11">
        <v>45471</v>
      </c>
      <c r="AA41">
        <v>3.42</v>
      </c>
      <c r="AB41">
        <v>3.323</v>
      </c>
      <c r="AC41">
        <v>3.3149999999999999</v>
      </c>
      <c r="AD41">
        <v>3.2930000000000001</v>
      </c>
      <c r="AE41">
        <v>3.262</v>
      </c>
      <c r="AF41">
        <v>3.2349999999999999</v>
      </c>
      <c r="AG41">
        <v>3.214</v>
      </c>
      <c r="AH41">
        <v>3.177</v>
      </c>
      <c r="AI41">
        <v>3.2120000000000002</v>
      </c>
      <c r="AJ41">
        <v>3.1949999999999998</v>
      </c>
      <c r="AK41">
        <v>3.2610000000000001</v>
      </c>
      <c r="AL41">
        <v>3.26</v>
      </c>
      <c r="AM41">
        <v>3.2759999999999998</v>
      </c>
      <c r="AN41">
        <v>3.2429999999999999</v>
      </c>
      <c r="AO41">
        <v>3.1970000000000001</v>
      </c>
      <c r="AP41">
        <v>3.1669999999999998</v>
      </c>
      <c r="AS41" t="s">
        <v>98</v>
      </c>
      <c r="AT41" t="s">
        <v>33</v>
      </c>
      <c r="AU41" t="s">
        <v>192</v>
      </c>
      <c r="AV41" t="s">
        <v>257</v>
      </c>
      <c r="AW41" t="s">
        <v>320</v>
      </c>
      <c r="AX41" t="s">
        <v>381</v>
      </c>
      <c r="AY41" t="s">
        <v>447</v>
      </c>
    </row>
    <row r="42" spans="2:52">
      <c r="B42" s="5">
        <f t="shared" si="15"/>
        <v>45470</v>
      </c>
      <c r="C42" s="12" t="str">
        <f t="shared" si="16"/>
        <v xml:space="preserve">3.420 </v>
      </c>
      <c r="D42" s="12" t="str">
        <f t="shared" si="0"/>
        <v xml:space="preserve">3.336 </v>
      </c>
      <c r="E42" s="12" t="str">
        <f t="shared" si="1"/>
        <v xml:space="preserve">3.356 </v>
      </c>
      <c r="F42" s="12" t="str">
        <f t="shared" si="2"/>
        <v xml:space="preserve">3.335 </v>
      </c>
      <c r="G42" s="12" t="str">
        <f t="shared" si="3"/>
        <v xml:space="preserve">3.298 </v>
      </c>
      <c r="H42" s="12" t="str">
        <f t="shared" si="4"/>
        <v xml:space="preserve">3.270 </v>
      </c>
      <c r="I42" s="12" t="str">
        <f t="shared" si="5"/>
        <v xml:space="preserve">3.245 </v>
      </c>
      <c r="J42" s="12" t="str">
        <f t="shared" si="6"/>
        <v xml:space="preserve">3.212 </v>
      </c>
      <c r="K42" s="12" t="str">
        <f t="shared" si="7"/>
        <v xml:space="preserve">3.247 </v>
      </c>
      <c r="L42" s="12" t="str">
        <f t="shared" si="8"/>
        <v xml:space="preserve">3.236 </v>
      </c>
      <c r="M42" s="12" t="str">
        <f t="shared" si="9"/>
        <v xml:space="preserve">3.301 </v>
      </c>
      <c r="N42" s="12" t="str">
        <f t="shared" si="10"/>
        <v xml:space="preserve">3.295 </v>
      </c>
      <c r="O42" s="12" t="str">
        <f t="shared" si="11"/>
        <v xml:space="preserve">3.309 </v>
      </c>
      <c r="P42" s="12" t="str">
        <f t="shared" si="12"/>
        <v xml:space="preserve">3.272 </v>
      </c>
      <c r="Q42" s="12" t="str">
        <f t="shared" si="13"/>
        <v xml:space="preserve">3.220 </v>
      </c>
      <c r="R42" s="12" t="str">
        <f t="shared" si="14"/>
        <v xml:space="preserve">3.190 </v>
      </c>
      <c r="Z42" s="11">
        <v>45470</v>
      </c>
      <c r="AA42">
        <v>3.42</v>
      </c>
      <c r="AB42">
        <v>3.3359999999999999</v>
      </c>
      <c r="AC42">
        <v>3.3559999999999999</v>
      </c>
      <c r="AD42">
        <v>3.335</v>
      </c>
      <c r="AE42">
        <v>3.298</v>
      </c>
      <c r="AF42">
        <v>3.27</v>
      </c>
      <c r="AG42">
        <v>3.2450000000000001</v>
      </c>
      <c r="AH42">
        <v>3.2120000000000002</v>
      </c>
      <c r="AI42">
        <v>3.2469999999999999</v>
      </c>
      <c r="AJ42">
        <v>3.2360000000000002</v>
      </c>
      <c r="AK42">
        <v>3.3010000000000002</v>
      </c>
      <c r="AL42">
        <v>3.2949999999999999</v>
      </c>
      <c r="AM42">
        <v>3.3090000000000002</v>
      </c>
      <c r="AN42">
        <v>3.2719999999999998</v>
      </c>
      <c r="AO42">
        <v>3.22</v>
      </c>
      <c r="AP42">
        <v>3.19</v>
      </c>
      <c r="AS42" t="s">
        <v>99</v>
      </c>
      <c r="AT42" t="s">
        <v>34</v>
      </c>
      <c r="AU42" t="s">
        <v>193</v>
      </c>
      <c r="AV42" t="s">
        <v>258</v>
      </c>
      <c r="AW42" t="s">
        <v>321</v>
      </c>
      <c r="AX42" t="s">
        <v>382</v>
      </c>
      <c r="AY42" t="s">
        <v>448</v>
      </c>
    </row>
    <row r="43" spans="2:52">
      <c r="B43" s="5">
        <f t="shared" si="15"/>
        <v>45469</v>
      </c>
      <c r="C43" s="12" t="str">
        <f t="shared" si="16"/>
        <v xml:space="preserve">3.420 </v>
      </c>
      <c r="D43" s="12" t="str">
        <f t="shared" si="0"/>
        <v xml:space="preserve">3.336 </v>
      </c>
      <c r="E43" s="12" t="str">
        <f t="shared" si="1"/>
        <v xml:space="preserve">3.356 </v>
      </c>
      <c r="F43" s="12" t="str">
        <f t="shared" si="2"/>
        <v xml:space="preserve">3.335 </v>
      </c>
      <c r="G43" s="12" t="str">
        <f t="shared" si="3"/>
        <v xml:space="preserve">3.297 </v>
      </c>
      <c r="H43" s="12" t="str">
        <f t="shared" si="4"/>
        <v xml:space="preserve">3.258 </v>
      </c>
      <c r="I43" s="12" t="str">
        <f t="shared" si="5"/>
        <v xml:space="preserve">3.240 </v>
      </c>
      <c r="J43" s="12" t="str">
        <f t="shared" si="6"/>
        <v xml:space="preserve">3.208 </v>
      </c>
      <c r="K43" s="12" t="str">
        <f t="shared" si="7"/>
        <v xml:space="preserve">3.235 </v>
      </c>
      <c r="L43" s="12" t="str">
        <f t="shared" si="8"/>
        <v xml:space="preserve">3.225 </v>
      </c>
      <c r="M43" s="12" t="str">
        <f t="shared" si="9"/>
        <v xml:space="preserve">3.286 </v>
      </c>
      <c r="N43" s="12" t="str">
        <f t="shared" si="10"/>
        <v xml:space="preserve">3.275 </v>
      </c>
      <c r="O43" s="12" t="str">
        <f t="shared" si="11"/>
        <v xml:space="preserve">3.284 </v>
      </c>
      <c r="P43" s="12" t="str">
        <f t="shared" si="12"/>
        <v xml:space="preserve">3.243 </v>
      </c>
      <c r="Q43" s="12" t="str">
        <f t="shared" si="13"/>
        <v xml:space="preserve">3.190 </v>
      </c>
      <c r="R43" s="12" t="str">
        <f t="shared" si="14"/>
        <v xml:space="preserve">3.160 </v>
      </c>
      <c r="Z43" s="11">
        <v>45469</v>
      </c>
      <c r="AA43">
        <v>3.42</v>
      </c>
      <c r="AB43">
        <v>3.3359999999999999</v>
      </c>
      <c r="AC43">
        <v>3.3559999999999999</v>
      </c>
      <c r="AD43">
        <v>3.335</v>
      </c>
      <c r="AE43">
        <v>3.2970000000000002</v>
      </c>
      <c r="AF43">
        <v>3.258</v>
      </c>
      <c r="AG43">
        <v>3.24</v>
      </c>
      <c r="AH43">
        <v>3.2080000000000002</v>
      </c>
      <c r="AI43">
        <v>3.2349999999999999</v>
      </c>
      <c r="AJ43">
        <v>3.2250000000000001</v>
      </c>
      <c r="AK43">
        <v>3.286</v>
      </c>
      <c r="AL43">
        <v>3.2749999999999999</v>
      </c>
      <c r="AM43">
        <v>3.2839999999999998</v>
      </c>
      <c r="AN43">
        <v>3.2429999999999999</v>
      </c>
      <c r="AO43">
        <v>3.19</v>
      </c>
      <c r="AP43">
        <v>3.16</v>
      </c>
      <c r="AS43" t="s">
        <v>100</v>
      </c>
      <c r="AT43" t="s">
        <v>35</v>
      </c>
      <c r="AU43" t="s">
        <v>194</v>
      </c>
      <c r="AV43" t="s">
        <v>259</v>
      </c>
      <c r="AW43" t="s">
        <v>322</v>
      </c>
      <c r="AX43" t="s">
        <v>383</v>
      </c>
      <c r="AY43" t="s">
        <v>449</v>
      </c>
    </row>
    <row r="44" spans="2:52">
      <c r="B44" s="5">
        <f t="shared" si="15"/>
        <v>45468</v>
      </c>
      <c r="C44" s="12" t="str">
        <f t="shared" si="16"/>
        <v xml:space="preserve">3.420 </v>
      </c>
      <c r="D44" s="12" t="str">
        <f t="shared" si="0"/>
        <v xml:space="preserve">3.338 </v>
      </c>
      <c r="E44" s="12" t="str">
        <f t="shared" si="1"/>
        <v xml:space="preserve">3.356 </v>
      </c>
      <c r="F44" s="12" t="str">
        <f t="shared" si="2"/>
        <v xml:space="preserve">3.336 </v>
      </c>
      <c r="G44" s="12" t="str">
        <f t="shared" si="3"/>
        <v xml:space="preserve">3.297 </v>
      </c>
      <c r="H44" s="12" t="str">
        <f t="shared" si="4"/>
        <v xml:space="preserve">3.255 </v>
      </c>
      <c r="I44" s="12" t="str">
        <f t="shared" si="5"/>
        <v xml:space="preserve">3.230 </v>
      </c>
      <c r="J44" s="12" t="str">
        <f t="shared" si="6"/>
        <v xml:space="preserve">3.200 </v>
      </c>
      <c r="K44" s="12" t="str">
        <f t="shared" si="7"/>
        <v xml:space="preserve">3.227 </v>
      </c>
      <c r="L44" s="12" t="str">
        <f t="shared" si="8"/>
        <v xml:space="preserve">3.212 </v>
      </c>
      <c r="M44" s="12" t="str">
        <f t="shared" si="9"/>
        <v xml:space="preserve">3.276 </v>
      </c>
      <c r="N44" s="12" t="str">
        <f t="shared" si="10"/>
        <v xml:space="preserve">3.270 </v>
      </c>
      <c r="O44" s="12" t="str">
        <f t="shared" si="11"/>
        <v xml:space="preserve">3.282 </v>
      </c>
      <c r="P44" s="12" t="str">
        <f t="shared" si="12"/>
        <v xml:space="preserve">3.242 </v>
      </c>
      <c r="Q44" s="12" t="str">
        <f t="shared" si="13"/>
        <v xml:space="preserve">3.180 </v>
      </c>
      <c r="R44" s="12" t="str">
        <f t="shared" si="14"/>
        <v xml:space="preserve">3.150 </v>
      </c>
      <c r="Z44" s="11">
        <v>45468</v>
      </c>
      <c r="AA44">
        <v>3.42</v>
      </c>
      <c r="AB44">
        <v>3.3380000000000001</v>
      </c>
      <c r="AC44">
        <v>3.3559999999999999</v>
      </c>
      <c r="AD44">
        <v>3.3359999999999999</v>
      </c>
      <c r="AE44">
        <v>3.2970000000000002</v>
      </c>
      <c r="AF44">
        <v>3.2549999999999999</v>
      </c>
      <c r="AG44">
        <v>3.23</v>
      </c>
      <c r="AH44">
        <v>3.2</v>
      </c>
      <c r="AI44">
        <v>3.2269999999999999</v>
      </c>
      <c r="AJ44">
        <v>3.2120000000000002</v>
      </c>
      <c r="AK44">
        <v>3.2759999999999998</v>
      </c>
      <c r="AL44">
        <v>3.27</v>
      </c>
      <c r="AM44">
        <v>3.282</v>
      </c>
      <c r="AN44">
        <v>3.242</v>
      </c>
      <c r="AO44">
        <v>3.18</v>
      </c>
      <c r="AP44">
        <v>3.15</v>
      </c>
      <c r="AS44" t="s">
        <v>101</v>
      </c>
      <c r="AT44" t="s">
        <v>36</v>
      </c>
      <c r="AU44" t="s">
        <v>195</v>
      </c>
      <c r="AV44" t="s">
        <v>260</v>
      </c>
      <c r="AW44" t="s">
        <v>323</v>
      </c>
      <c r="AX44" t="s">
        <v>384</v>
      </c>
      <c r="AY44" t="s">
        <v>450</v>
      </c>
    </row>
    <row r="45" spans="2:52">
      <c r="B45" s="5">
        <f t="shared" si="15"/>
        <v>45467</v>
      </c>
      <c r="C45" s="12" t="str">
        <f t="shared" si="16"/>
        <v xml:space="preserve">3.423 </v>
      </c>
      <c r="D45" s="12" t="str">
        <f t="shared" si="0"/>
        <v xml:space="preserve">3.341 </v>
      </c>
      <c r="E45" s="12" t="str">
        <f t="shared" si="1"/>
        <v xml:space="preserve">3.358 </v>
      </c>
      <c r="F45" s="12" t="str">
        <f t="shared" si="2"/>
        <v xml:space="preserve">3.344 </v>
      </c>
      <c r="G45" s="12" t="str">
        <f t="shared" si="3"/>
        <v xml:space="preserve">3.302 </v>
      </c>
      <c r="H45" s="12" t="str">
        <f t="shared" si="4"/>
        <v xml:space="preserve">3.254 </v>
      </c>
      <c r="I45" s="12" t="str">
        <f t="shared" si="5"/>
        <v xml:space="preserve">3.220 </v>
      </c>
      <c r="J45" s="12" t="str">
        <f t="shared" si="6"/>
        <v xml:space="preserve">3.192 </v>
      </c>
      <c r="K45" s="12" t="str">
        <f t="shared" si="7"/>
        <v xml:space="preserve">3.220 </v>
      </c>
      <c r="L45" s="12" t="str">
        <f t="shared" si="8"/>
        <v xml:space="preserve">3.212 </v>
      </c>
      <c r="M45" s="12" t="str">
        <f t="shared" si="9"/>
        <v xml:space="preserve">3.271 </v>
      </c>
      <c r="N45" s="12" t="str">
        <f t="shared" si="10"/>
        <v xml:space="preserve">3.262 </v>
      </c>
      <c r="O45" s="12" t="str">
        <f t="shared" si="11"/>
        <v xml:space="preserve">3.276 </v>
      </c>
      <c r="P45" s="12" t="str">
        <f t="shared" si="12"/>
        <v xml:space="preserve">3.240 </v>
      </c>
      <c r="Q45" s="12" t="str">
        <f t="shared" si="13"/>
        <v xml:space="preserve">3.170 </v>
      </c>
      <c r="R45" s="12" t="str">
        <f t="shared" si="14"/>
        <v xml:space="preserve">3.140 </v>
      </c>
      <c r="Z45" s="11">
        <v>45467</v>
      </c>
      <c r="AA45">
        <v>3.423</v>
      </c>
      <c r="AB45">
        <v>3.3410000000000002</v>
      </c>
      <c r="AC45">
        <v>3.3580000000000001</v>
      </c>
      <c r="AD45">
        <v>3.3439999999999999</v>
      </c>
      <c r="AE45">
        <v>3.302</v>
      </c>
      <c r="AF45">
        <v>3.254</v>
      </c>
      <c r="AG45">
        <v>3.22</v>
      </c>
      <c r="AH45">
        <v>3.1920000000000002</v>
      </c>
      <c r="AI45">
        <v>3.22</v>
      </c>
      <c r="AJ45">
        <v>3.2120000000000002</v>
      </c>
      <c r="AK45">
        <v>3.2709999999999999</v>
      </c>
      <c r="AL45">
        <v>3.262</v>
      </c>
      <c r="AM45">
        <v>3.2759999999999998</v>
      </c>
      <c r="AN45">
        <v>3.24</v>
      </c>
      <c r="AO45">
        <v>3.17</v>
      </c>
      <c r="AP45">
        <v>3.14</v>
      </c>
      <c r="AS45" t="s">
        <v>102</v>
      </c>
      <c r="AT45" t="s">
        <v>37</v>
      </c>
      <c r="AU45" t="s">
        <v>196</v>
      </c>
      <c r="AV45" t="s">
        <v>261</v>
      </c>
      <c r="AW45" t="s">
        <v>324</v>
      </c>
      <c r="AX45" t="s">
        <v>385</v>
      </c>
      <c r="AY45" t="s">
        <v>451</v>
      </c>
    </row>
    <row r="46" spans="2:52">
      <c r="B46" s="5">
        <f t="shared" si="15"/>
        <v>45464</v>
      </c>
      <c r="C46" s="12" t="str">
        <f t="shared" si="16"/>
        <v xml:space="preserve">3.416 </v>
      </c>
      <c r="D46" s="12" t="str">
        <f t="shared" si="0"/>
        <v xml:space="preserve">3.336 </v>
      </c>
      <c r="E46" s="12" t="str">
        <f t="shared" si="1"/>
        <v xml:space="preserve">3.345 </v>
      </c>
      <c r="F46" s="12" t="str">
        <f t="shared" si="2"/>
        <v xml:space="preserve">3.337 </v>
      </c>
      <c r="G46" s="12" t="str">
        <f t="shared" si="3"/>
        <v xml:space="preserve">3.288 </v>
      </c>
      <c r="H46" s="12" t="str">
        <f t="shared" si="4"/>
        <v xml:space="preserve">3.231 </v>
      </c>
      <c r="I46" s="12" t="str">
        <f t="shared" si="5"/>
        <v xml:space="preserve">3.195 </v>
      </c>
      <c r="J46" s="12" t="str">
        <f t="shared" si="6"/>
        <v xml:space="preserve">3.160 </v>
      </c>
      <c r="K46" s="12" t="str">
        <f t="shared" si="7"/>
        <v xml:space="preserve">3.190 </v>
      </c>
      <c r="L46" s="12" t="str">
        <f t="shared" si="8"/>
        <v xml:space="preserve">3.190 </v>
      </c>
      <c r="M46" s="12" t="str">
        <f t="shared" si="9"/>
        <v xml:space="preserve">3.250 </v>
      </c>
      <c r="N46" s="12" t="str">
        <f t="shared" si="10"/>
        <v xml:space="preserve">3.242 </v>
      </c>
      <c r="O46" s="12" t="str">
        <f t="shared" si="11"/>
        <v xml:space="preserve">3.260 </v>
      </c>
      <c r="P46" s="12" t="str">
        <f t="shared" si="12"/>
        <v xml:space="preserve">3.227 </v>
      </c>
      <c r="Q46" s="12" t="str">
        <f t="shared" si="13"/>
        <v xml:space="preserve">3.157 </v>
      </c>
      <c r="R46" s="12" t="str">
        <f t="shared" si="14"/>
        <v xml:space="preserve">3.127 </v>
      </c>
      <c r="Z46" s="11">
        <v>45464</v>
      </c>
      <c r="AA46">
        <v>3.4159999999999999</v>
      </c>
      <c r="AB46">
        <v>3.3359999999999999</v>
      </c>
      <c r="AC46">
        <v>3.3450000000000002</v>
      </c>
      <c r="AD46">
        <v>3.3370000000000002</v>
      </c>
      <c r="AE46">
        <v>3.2879999999999998</v>
      </c>
      <c r="AF46">
        <v>3.2309999999999999</v>
      </c>
      <c r="AG46">
        <v>3.1949999999999998</v>
      </c>
      <c r="AH46">
        <v>3.16</v>
      </c>
      <c r="AI46">
        <v>3.19</v>
      </c>
      <c r="AJ46">
        <v>3.19</v>
      </c>
      <c r="AK46">
        <v>3.25</v>
      </c>
      <c r="AL46">
        <v>3.242</v>
      </c>
      <c r="AM46">
        <v>3.26</v>
      </c>
      <c r="AN46">
        <v>3.2269999999999999</v>
      </c>
      <c r="AO46">
        <v>3.157</v>
      </c>
      <c r="AP46">
        <v>3.1269999999999998</v>
      </c>
      <c r="AS46" t="s">
        <v>103</v>
      </c>
      <c r="AT46" t="s">
        <v>38</v>
      </c>
      <c r="AU46" t="s">
        <v>197</v>
      </c>
      <c r="AV46" t="s">
        <v>262</v>
      </c>
      <c r="AW46" t="s">
        <v>325</v>
      </c>
      <c r="AX46" t="s">
        <v>386</v>
      </c>
      <c r="AY46" t="s">
        <v>452</v>
      </c>
    </row>
    <row r="47" spans="2:52">
      <c r="B47" s="5">
        <f t="shared" si="15"/>
        <v>45463</v>
      </c>
      <c r="C47" s="12" t="str">
        <f t="shared" si="16"/>
        <v xml:space="preserve">3.416 </v>
      </c>
      <c r="D47" s="12" t="str">
        <f t="shared" si="0"/>
        <v xml:space="preserve">3.338 </v>
      </c>
      <c r="E47" s="12" t="str">
        <f t="shared" si="1"/>
        <v xml:space="preserve">3.345 </v>
      </c>
      <c r="F47" s="12" t="str">
        <f t="shared" si="2"/>
        <v xml:space="preserve">3.344 </v>
      </c>
      <c r="G47" s="12" t="str">
        <f t="shared" si="3"/>
        <v xml:space="preserve">3.308 </v>
      </c>
      <c r="H47" s="12" t="str">
        <f t="shared" si="4"/>
        <v xml:space="preserve">3.260 </v>
      </c>
      <c r="I47" s="12" t="str">
        <f t="shared" si="5"/>
        <v xml:space="preserve">3.225 </v>
      </c>
      <c r="J47" s="12" t="str">
        <f t="shared" si="6"/>
        <v xml:space="preserve">3.195 </v>
      </c>
      <c r="K47" s="12" t="str">
        <f t="shared" si="7"/>
        <v xml:space="preserve">3.220 </v>
      </c>
      <c r="L47" s="12" t="str">
        <f t="shared" si="8"/>
        <v xml:space="preserve">3.220 </v>
      </c>
      <c r="M47" s="12" t="str">
        <f t="shared" si="9"/>
        <v xml:space="preserve">3.279 </v>
      </c>
      <c r="N47" s="12" t="str">
        <f t="shared" si="10"/>
        <v xml:space="preserve">3.270 </v>
      </c>
      <c r="O47" s="12" t="str">
        <f t="shared" si="11"/>
        <v xml:space="preserve">3.278 </v>
      </c>
      <c r="P47" s="12" t="str">
        <f t="shared" si="12"/>
        <v xml:space="preserve">3.235 </v>
      </c>
      <c r="Q47" s="12" t="str">
        <f t="shared" si="13"/>
        <v xml:space="preserve">3.160 </v>
      </c>
      <c r="R47" s="12" t="str">
        <f t="shared" si="14"/>
        <v xml:space="preserve">3.130 </v>
      </c>
      <c r="Z47" s="11">
        <v>45463</v>
      </c>
      <c r="AA47">
        <v>3.4159999999999999</v>
      </c>
      <c r="AB47">
        <v>3.3380000000000001</v>
      </c>
      <c r="AC47">
        <v>3.3450000000000002</v>
      </c>
      <c r="AD47">
        <v>3.3439999999999999</v>
      </c>
      <c r="AE47">
        <v>3.3079999999999998</v>
      </c>
      <c r="AF47">
        <v>3.26</v>
      </c>
      <c r="AG47">
        <v>3.2250000000000001</v>
      </c>
      <c r="AH47">
        <v>3.1949999999999998</v>
      </c>
      <c r="AI47">
        <v>3.22</v>
      </c>
      <c r="AJ47">
        <v>3.22</v>
      </c>
      <c r="AK47">
        <v>3.2789999999999999</v>
      </c>
      <c r="AL47">
        <v>3.27</v>
      </c>
      <c r="AM47">
        <v>3.278</v>
      </c>
      <c r="AN47">
        <v>3.2349999999999999</v>
      </c>
      <c r="AO47">
        <v>3.16</v>
      </c>
      <c r="AP47">
        <v>3.13</v>
      </c>
      <c r="AS47" t="s">
        <v>104</v>
      </c>
      <c r="AT47" t="s">
        <v>39</v>
      </c>
      <c r="AU47" t="s">
        <v>198</v>
      </c>
      <c r="AV47" t="s">
        <v>263</v>
      </c>
      <c r="AW47" t="s">
        <v>326</v>
      </c>
      <c r="AX47" t="s">
        <v>387</v>
      </c>
      <c r="AY47" t="s">
        <v>453</v>
      </c>
    </row>
    <row r="48" spans="2:52">
      <c r="B48" s="5">
        <f t="shared" si="15"/>
        <v>45462</v>
      </c>
      <c r="C48" s="12" t="str">
        <f t="shared" si="16"/>
        <v xml:space="preserve">3.416 </v>
      </c>
      <c r="D48" s="12" t="str">
        <f t="shared" si="0"/>
        <v xml:space="preserve">3.335 </v>
      </c>
      <c r="E48" s="12" t="str">
        <f t="shared" si="1"/>
        <v xml:space="preserve">3.340 </v>
      </c>
      <c r="F48" s="12" t="str">
        <f t="shared" si="2"/>
        <v xml:space="preserve">3.332 </v>
      </c>
      <c r="G48" s="12" t="str">
        <f t="shared" si="3"/>
        <v xml:space="preserve">3.293 </v>
      </c>
      <c r="H48" s="12" t="str">
        <f t="shared" si="4"/>
        <v xml:space="preserve">3.225 </v>
      </c>
      <c r="I48" s="12" t="str">
        <f t="shared" si="5"/>
        <v xml:space="preserve">3.178 </v>
      </c>
      <c r="J48" s="12" t="str">
        <f t="shared" si="6"/>
        <v xml:space="preserve">3.150 </v>
      </c>
      <c r="K48" s="12" t="str">
        <f t="shared" si="7"/>
        <v xml:space="preserve">3.180 </v>
      </c>
      <c r="L48" s="12" t="str">
        <f t="shared" si="8"/>
        <v xml:space="preserve">3.180 </v>
      </c>
      <c r="M48" s="12" t="str">
        <f t="shared" si="9"/>
        <v xml:space="preserve">3.237 </v>
      </c>
      <c r="N48" s="12" t="str">
        <f t="shared" si="10"/>
        <v xml:space="preserve">3.225 </v>
      </c>
      <c r="O48" s="12" t="str">
        <f t="shared" si="11"/>
        <v xml:space="preserve">3.235 </v>
      </c>
      <c r="P48" s="12" t="str">
        <f t="shared" si="12"/>
        <v xml:space="preserve">3.195 </v>
      </c>
      <c r="Q48" s="12" t="str">
        <f t="shared" si="13"/>
        <v xml:space="preserve">3.117 </v>
      </c>
      <c r="R48" s="12" t="str">
        <f t="shared" si="14"/>
        <v xml:space="preserve">3.087 </v>
      </c>
      <c r="Z48" s="11">
        <v>45462</v>
      </c>
      <c r="AA48">
        <v>3.4159999999999999</v>
      </c>
      <c r="AB48">
        <v>3.335</v>
      </c>
      <c r="AC48">
        <v>3.34</v>
      </c>
      <c r="AD48">
        <v>3.3319999999999999</v>
      </c>
      <c r="AE48">
        <v>3.2930000000000001</v>
      </c>
      <c r="AF48">
        <v>3.2250000000000001</v>
      </c>
      <c r="AG48">
        <v>3.1779999999999999</v>
      </c>
      <c r="AH48">
        <v>3.15</v>
      </c>
      <c r="AI48">
        <v>3.18</v>
      </c>
      <c r="AJ48">
        <v>3.18</v>
      </c>
      <c r="AK48">
        <v>3.2370000000000001</v>
      </c>
      <c r="AL48">
        <v>3.2250000000000001</v>
      </c>
      <c r="AM48">
        <v>3.2349999999999999</v>
      </c>
      <c r="AN48">
        <v>3.1949999999999998</v>
      </c>
      <c r="AO48">
        <v>3.117</v>
      </c>
      <c r="AP48">
        <v>3.0870000000000002</v>
      </c>
      <c r="AS48" t="s">
        <v>105</v>
      </c>
      <c r="AT48" t="s">
        <v>40</v>
      </c>
      <c r="AU48" t="s">
        <v>199</v>
      </c>
      <c r="AV48" t="s">
        <v>264</v>
      </c>
      <c r="AW48" t="s">
        <v>327</v>
      </c>
      <c r="AX48" t="s">
        <v>388</v>
      </c>
      <c r="AY48" t="s">
        <v>454</v>
      </c>
    </row>
    <row r="49" spans="2:52">
      <c r="B49" s="5">
        <f t="shared" si="15"/>
        <v>45461</v>
      </c>
      <c r="C49" s="12" t="str">
        <f t="shared" si="16"/>
        <v xml:space="preserve">3.418 </v>
      </c>
      <c r="D49" s="12" t="str">
        <f t="shared" si="0"/>
        <v xml:space="preserve">3.336 </v>
      </c>
      <c r="E49" s="12" t="str">
        <f t="shared" si="1"/>
        <v xml:space="preserve">3.344 </v>
      </c>
      <c r="F49" s="12" t="str">
        <f t="shared" si="2"/>
        <v xml:space="preserve">3.336 </v>
      </c>
      <c r="G49" s="12" t="str">
        <f t="shared" si="3"/>
        <v xml:space="preserve">3.316 </v>
      </c>
      <c r="H49" s="12" t="str">
        <f t="shared" si="4"/>
        <v xml:space="preserve">3.275 </v>
      </c>
      <c r="I49" s="12" t="str">
        <f t="shared" si="5"/>
        <v xml:space="preserve">3.227 </v>
      </c>
      <c r="J49" s="12" t="str">
        <f t="shared" si="6"/>
        <v xml:space="preserve">3.207 </v>
      </c>
      <c r="K49" s="12" t="str">
        <f t="shared" si="7"/>
        <v xml:space="preserve">3.235 </v>
      </c>
      <c r="L49" s="12" t="str">
        <f t="shared" si="8"/>
        <v xml:space="preserve">3.230 </v>
      </c>
      <c r="M49" s="12" t="str">
        <f t="shared" si="9"/>
        <v xml:space="preserve">3.287 </v>
      </c>
      <c r="N49" s="12" t="str">
        <f t="shared" si="10"/>
        <v xml:space="preserve">3.277 </v>
      </c>
      <c r="O49" s="12" t="str">
        <f t="shared" si="11"/>
        <v xml:space="preserve">3.281 </v>
      </c>
      <c r="P49" s="12" t="str">
        <f t="shared" si="12"/>
        <v xml:space="preserve">3.235 </v>
      </c>
      <c r="Q49" s="12" t="str">
        <f t="shared" si="13"/>
        <v xml:space="preserve">3.150 </v>
      </c>
      <c r="R49" s="12" t="str">
        <f t="shared" si="14"/>
        <v xml:space="preserve">3.120 </v>
      </c>
      <c r="Z49" s="11">
        <v>45461</v>
      </c>
      <c r="AA49">
        <v>3.4180000000000001</v>
      </c>
      <c r="AB49">
        <v>3.3359999999999999</v>
      </c>
      <c r="AC49">
        <v>3.3439999999999999</v>
      </c>
      <c r="AD49">
        <v>3.3359999999999999</v>
      </c>
      <c r="AE49">
        <v>3.3159999999999998</v>
      </c>
      <c r="AF49">
        <v>3.2749999999999999</v>
      </c>
      <c r="AG49">
        <v>3.2269999999999999</v>
      </c>
      <c r="AH49">
        <v>3.2069999999999999</v>
      </c>
      <c r="AI49">
        <v>3.2349999999999999</v>
      </c>
      <c r="AJ49">
        <v>3.23</v>
      </c>
      <c r="AK49">
        <v>3.2869999999999999</v>
      </c>
      <c r="AL49">
        <v>3.2770000000000001</v>
      </c>
      <c r="AM49">
        <v>3.2810000000000001</v>
      </c>
      <c r="AN49">
        <v>3.2349999999999999</v>
      </c>
      <c r="AO49">
        <v>3.15</v>
      </c>
      <c r="AP49">
        <v>3.12</v>
      </c>
      <c r="AS49" t="s">
        <v>106</v>
      </c>
      <c r="AT49" t="s">
        <v>41</v>
      </c>
      <c r="AU49" t="s">
        <v>200</v>
      </c>
      <c r="AV49" t="s">
        <v>265</v>
      </c>
      <c r="AW49" t="s">
        <v>328</v>
      </c>
      <c r="AX49" t="s">
        <v>389</v>
      </c>
      <c r="AY49" t="s">
        <v>455</v>
      </c>
    </row>
    <row r="50" spans="2:52">
      <c r="B50" s="5">
        <f t="shared" si="15"/>
        <v>45460</v>
      </c>
      <c r="C50" s="12" t="str">
        <f t="shared" si="16"/>
        <v xml:space="preserve">3.416 </v>
      </c>
      <c r="D50" s="12" t="str">
        <f t="shared" si="0"/>
        <v xml:space="preserve">3.328 </v>
      </c>
      <c r="E50" s="12" t="str">
        <f t="shared" si="1"/>
        <v xml:space="preserve">3.344 </v>
      </c>
      <c r="F50" s="12" t="str">
        <f t="shared" si="2"/>
        <v xml:space="preserve">3.336 </v>
      </c>
      <c r="G50" s="12" t="str">
        <f t="shared" si="3"/>
        <v xml:space="preserve">3.316 </v>
      </c>
      <c r="H50" s="12" t="str">
        <f t="shared" si="4"/>
        <v xml:space="preserve">3.280 </v>
      </c>
      <c r="I50" s="12" t="str">
        <f t="shared" si="5"/>
        <v xml:space="preserve">3.228 </v>
      </c>
      <c r="J50" s="12" t="str">
        <f t="shared" si="6"/>
        <v xml:space="preserve">3.208 </v>
      </c>
      <c r="K50" s="12" t="str">
        <f t="shared" si="7"/>
        <v xml:space="preserve">3.235 </v>
      </c>
      <c r="L50" s="12" t="str">
        <f t="shared" si="8"/>
        <v xml:space="preserve">3.230 </v>
      </c>
      <c r="M50" s="12" t="str">
        <f t="shared" si="9"/>
        <v xml:space="preserve">3.286 </v>
      </c>
      <c r="N50" s="12" t="str">
        <f t="shared" si="10"/>
        <v xml:space="preserve">3.275 </v>
      </c>
      <c r="O50" s="12" t="str">
        <f t="shared" si="11"/>
        <v xml:space="preserve">3.286 </v>
      </c>
      <c r="P50" s="12" t="str">
        <f t="shared" si="12"/>
        <v xml:space="preserve">3.247 </v>
      </c>
      <c r="Q50" s="12" t="str">
        <f t="shared" si="13"/>
        <v xml:space="preserve">3.187 </v>
      </c>
      <c r="R50" s="12" t="str">
        <f t="shared" si="14"/>
        <v xml:space="preserve">3.157 </v>
      </c>
      <c r="Z50" s="11">
        <v>45460</v>
      </c>
      <c r="AA50">
        <v>3.4159999999999999</v>
      </c>
      <c r="AB50">
        <v>3.3279999999999998</v>
      </c>
      <c r="AC50">
        <v>3.3439999999999999</v>
      </c>
      <c r="AD50">
        <v>3.3359999999999999</v>
      </c>
      <c r="AE50">
        <v>3.3159999999999998</v>
      </c>
      <c r="AF50">
        <v>3.28</v>
      </c>
      <c r="AG50">
        <v>3.2280000000000002</v>
      </c>
      <c r="AH50">
        <v>3.2080000000000002</v>
      </c>
      <c r="AI50">
        <v>3.2349999999999999</v>
      </c>
      <c r="AJ50">
        <v>3.23</v>
      </c>
      <c r="AK50">
        <v>3.286</v>
      </c>
      <c r="AL50">
        <v>3.2749999999999999</v>
      </c>
      <c r="AM50">
        <v>3.286</v>
      </c>
      <c r="AN50">
        <v>3.2469999999999999</v>
      </c>
      <c r="AO50">
        <v>3.1869999999999998</v>
      </c>
      <c r="AP50">
        <v>3.157</v>
      </c>
      <c r="AS50" t="s">
        <v>528</v>
      </c>
      <c r="AT50" t="s">
        <v>42</v>
      </c>
      <c r="AU50" t="s">
        <v>201</v>
      </c>
      <c r="AV50" t="s">
        <v>266</v>
      </c>
      <c r="AW50" t="s">
        <v>542</v>
      </c>
      <c r="AX50" t="s">
        <v>390</v>
      </c>
      <c r="AY50" t="s">
        <v>456</v>
      </c>
      <c r="AZ50" t="s">
        <v>503</v>
      </c>
    </row>
    <row r="51" spans="2:52">
      <c r="B51" s="5">
        <f t="shared" si="15"/>
        <v>45457</v>
      </c>
      <c r="C51" s="12" t="str">
        <f t="shared" si="16"/>
        <v xml:space="preserve">3.416 </v>
      </c>
      <c r="D51" s="12" t="str">
        <f t="shared" si="0"/>
        <v xml:space="preserve">3.335 </v>
      </c>
      <c r="E51" s="12" t="str">
        <f t="shared" si="1"/>
        <v xml:space="preserve">3.354 </v>
      </c>
      <c r="F51" s="12" t="str">
        <f t="shared" si="2"/>
        <v xml:space="preserve">3.344 </v>
      </c>
      <c r="G51" s="12" t="str">
        <f t="shared" si="3"/>
        <v xml:space="preserve">3.327 </v>
      </c>
      <c r="H51" s="12" t="str">
        <f t="shared" si="4"/>
        <v xml:space="preserve">3.318 </v>
      </c>
      <c r="I51" s="12" t="str">
        <f t="shared" si="5"/>
        <v xml:space="preserve">3.265 </v>
      </c>
      <c r="J51" s="12" t="str">
        <f t="shared" si="6"/>
        <v xml:space="preserve">3.242 </v>
      </c>
      <c r="K51" s="12" t="str">
        <f t="shared" si="7"/>
        <v xml:space="preserve">3.270 </v>
      </c>
      <c r="L51" s="12" t="str">
        <f t="shared" si="8"/>
        <v xml:space="preserve">3.262 </v>
      </c>
      <c r="M51" s="12" t="str">
        <f t="shared" si="9"/>
        <v xml:space="preserve">3.315 </v>
      </c>
      <c r="N51" s="12" t="str">
        <f t="shared" si="10"/>
        <v xml:space="preserve">3.300 </v>
      </c>
      <c r="O51" s="12" t="str">
        <f t="shared" si="11"/>
        <v xml:space="preserve">3.309 </v>
      </c>
      <c r="P51" s="12" t="str">
        <f t="shared" si="12"/>
        <v xml:space="preserve">3.267 </v>
      </c>
      <c r="Q51" s="12" t="str">
        <f t="shared" si="13"/>
        <v xml:space="preserve">3.205 </v>
      </c>
      <c r="R51" s="12" t="str">
        <f t="shared" si="14"/>
        <v xml:space="preserve">3.175 </v>
      </c>
      <c r="Z51" s="11">
        <v>45457</v>
      </c>
      <c r="AA51">
        <v>3.4159999999999999</v>
      </c>
      <c r="AB51">
        <v>3.335</v>
      </c>
      <c r="AC51">
        <v>3.3540000000000001</v>
      </c>
      <c r="AD51">
        <v>3.3439999999999999</v>
      </c>
      <c r="AE51">
        <v>3.327</v>
      </c>
      <c r="AF51">
        <v>3.3180000000000001</v>
      </c>
      <c r="AG51">
        <v>3.2650000000000001</v>
      </c>
      <c r="AH51">
        <v>3.242</v>
      </c>
      <c r="AI51">
        <v>3.27</v>
      </c>
      <c r="AJ51">
        <v>3.262</v>
      </c>
      <c r="AK51">
        <v>3.3149999999999999</v>
      </c>
      <c r="AL51">
        <v>3.3</v>
      </c>
      <c r="AM51">
        <v>3.3090000000000002</v>
      </c>
      <c r="AN51">
        <v>3.2669999999999999</v>
      </c>
      <c r="AO51">
        <v>3.2050000000000001</v>
      </c>
      <c r="AP51">
        <v>3.1749999999999998</v>
      </c>
      <c r="AS51" t="s">
        <v>529</v>
      </c>
      <c r="AT51" t="s">
        <v>43</v>
      </c>
      <c r="AU51" t="s">
        <v>202</v>
      </c>
      <c r="AV51" t="s">
        <v>267</v>
      </c>
      <c r="AW51" t="s">
        <v>543</v>
      </c>
      <c r="AX51" t="s">
        <v>392</v>
      </c>
      <c r="AY51" t="s">
        <v>457</v>
      </c>
      <c r="AZ51" t="s">
        <v>504</v>
      </c>
    </row>
    <row r="52" spans="2:52">
      <c r="B52" s="5">
        <f t="shared" si="15"/>
        <v>45456</v>
      </c>
      <c r="C52" s="12" t="str">
        <f t="shared" si="16"/>
        <v xml:space="preserve">3.416 </v>
      </c>
      <c r="D52" s="12" t="str">
        <f t="shared" si="0"/>
        <v xml:space="preserve">3.343 </v>
      </c>
      <c r="E52" s="12" t="str">
        <f t="shared" si="1"/>
        <v xml:space="preserve">3.356 </v>
      </c>
      <c r="F52" s="12" t="str">
        <f t="shared" si="2"/>
        <v xml:space="preserve">3.344 </v>
      </c>
      <c r="G52" s="12" t="str">
        <f t="shared" si="3"/>
        <v xml:space="preserve">3.332 </v>
      </c>
      <c r="H52" s="12" t="str">
        <f t="shared" si="4"/>
        <v xml:space="preserve">3.345 </v>
      </c>
      <c r="I52" s="12" t="str">
        <f t="shared" si="5"/>
        <v xml:space="preserve">3.300 </v>
      </c>
      <c r="J52" s="12" t="str">
        <f t="shared" si="6"/>
        <v xml:space="preserve">3.278 </v>
      </c>
      <c r="K52" s="12" t="str">
        <f t="shared" si="7"/>
        <v xml:space="preserve">3.311 </v>
      </c>
      <c r="L52" s="12" t="str">
        <f t="shared" si="8"/>
        <v xml:space="preserve">3.300 </v>
      </c>
      <c r="M52" s="12" t="str">
        <f t="shared" si="9"/>
        <v xml:space="preserve">3.360 </v>
      </c>
      <c r="N52" s="12" t="str">
        <f t="shared" si="10"/>
        <v xml:space="preserve">3.352 </v>
      </c>
      <c r="O52" s="12" t="str">
        <f t="shared" si="11"/>
        <v xml:space="preserve">3.346 </v>
      </c>
      <c r="P52" s="12" t="str">
        <f t="shared" si="12"/>
        <v xml:space="preserve">3.290 </v>
      </c>
      <c r="Q52" s="12" t="str">
        <f t="shared" si="13"/>
        <v xml:space="preserve">3.225 </v>
      </c>
      <c r="R52" s="12" t="str">
        <f t="shared" si="14"/>
        <v xml:space="preserve">3.209 </v>
      </c>
      <c r="Z52" s="11">
        <v>45456</v>
      </c>
      <c r="AA52">
        <v>3.4159999999999999</v>
      </c>
      <c r="AB52">
        <v>3.343</v>
      </c>
      <c r="AC52">
        <v>3.3559999999999999</v>
      </c>
      <c r="AD52">
        <v>3.3439999999999999</v>
      </c>
      <c r="AE52">
        <v>3.3319999999999999</v>
      </c>
      <c r="AF52">
        <v>3.3450000000000002</v>
      </c>
      <c r="AG52">
        <v>3.3</v>
      </c>
      <c r="AH52">
        <v>3.278</v>
      </c>
      <c r="AI52">
        <v>3.3109999999999999</v>
      </c>
      <c r="AJ52">
        <v>3.3</v>
      </c>
      <c r="AK52">
        <v>3.36</v>
      </c>
      <c r="AL52">
        <v>3.3519999999999999</v>
      </c>
      <c r="AM52">
        <v>3.3460000000000001</v>
      </c>
      <c r="AN52">
        <v>3.29</v>
      </c>
      <c r="AO52">
        <v>3.2250000000000001</v>
      </c>
      <c r="AP52">
        <v>3.2090000000000001</v>
      </c>
      <c r="AS52" t="s">
        <v>530</v>
      </c>
      <c r="AT52" t="s">
        <v>44</v>
      </c>
      <c r="AU52" t="s">
        <v>203</v>
      </c>
      <c r="AV52" t="s">
        <v>268</v>
      </c>
      <c r="AW52" t="s">
        <v>544</v>
      </c>
      <c r="AX52" t="s">
        <v>394</v>
      </c>
      <c r="AY52" t="s">
        <v>458</v>
      </c>
      <c r="AZ52" t="s">
        <v>505</v>
      </c>
    </row>
    <row r="53" spans="2:52">
      <c r="B53" s="5">
        <f t="shared" si="15"/>
        <v>45455</v>
      </c>
      <c r="C53" s="12" t="str">
        <f t="shared" si="16"/>
        <v xml:space="preserve">3.420 </v>
      </c>
      <c r="D53" s="12" t="str">
        <f t="shared" si="0"/>
        <v xml:space="preserve">3.351 </v>
      </c>
      <c r="E53" s="12" t="str">
        <f t="shared" si="1"/>
        <v xml:space="preserve">3.363 </v>
      </c>
      <c r="F53" s="12" t="str">
        <f t="shared" si="2"/>
        <v xml:space="preserve">3.344 </v>
      </c>
      <c r="G53" s="12" t="str">
        <f t="shared" si="3"/>
        <v xml:space="preserve">3.334 </v>
      </c>
      <c r="H53" s="12" t="str">
        <f t="shared" si="4"/>
        <v xml:space="preserve">3.360 </v>
      </c>
      <c r="I53" s="12" t="str">
        <f t="shared" si="5"/>
        <v xml:space="preserve">3.312 </v>
      </c>
      <c r="J53" s="12" t="str">
        <f t="shared" si="6"/>
        <v xml:space="preserve">3.295 </v>
      </c>
      <c r="K53" s="12" t="str">
        <f t="shared" si="7"/>
        <v xml:space="preserve">3.330 </v>
      </c>
      <c r="L53" s="12" t="str">
        <f t="shared" si="8"/>
        <v xml:space="preserve">3.315 </v>
      </c>
      <c r="M53" s="12" t="str">
        <f t="shared" si="9"/>
        <v xml:space="preserve">3.376 </v>
      </c>
      <c r="N53" s="12" t="str">
        <f t="shared" si="10"/>
        <v xml:space="preserve">3.370 </v>
      </c>
      <c r="O53" s="12" t="str">
        <f t="shared" si="11"/>
        <v xml:space="preserve">3.366 </v>
      </c>
      <c r="P53" s="12" t="str">
        <f t="shared" si="12"/>
        <v xml:space="preserve">3.312 </v>
      </c>
      <c r="Q53" s="12" t="str">
        <f t="shared" si="13"/>
        <v xml:space="preserve">3.237 </v>
      </c>
      <c r="R53" s="12" t="str">
        <f t="shared" si="14"/>
        <v xml:space="preserve">3.222 </v>
      </c>
      <c r="Z53" s="11">
        <v>45455</v>
      </c>
      <c r="AA53">
        <v>3.42</v>
      </c>
      <c r="AB53">
        <v>3.351</v>
      </c>
      <c r="AC53">
        <v>3.363</v>
      </c>
      <c r="AD53">
        <v>3.3439999999999999</v>
      </c>
      <c r="AE53">
        <v>3.3340000000000001</v>
      </c>
      <c r="AF53">
        <v>3.36</v>
      </c>
      <c r="AG53">
        <v>3.3119999999999998</v>
      </c>
      <c r="AH53">
        <v>3.2949999999999999</v>
      </c>
      <c r="AI53">
        <v>3.33</v>
      </c>
      <c r="AJ53">
        <v>3.3149999999999999</v>
      </c>
      <c r="AK53">
        <v>3.3759999999999999</v>
      </c>
      <c r="AL53">
        <v>3.37</v>
      </c>
      <c r="AM53">
        <v>3.3660000000000001</v>
      </c>
      <c r="AN53">
        <v>3.3119999999999998</v>
      </c>
      <c r="AO53">
        <v>3.2370000000000001</v>
      </c>
      <c r="AP53">
        <v>3.222</v>
      </c>
      <c r="AS53" t="s">
        <v>531</v>
      </c>
      <c r="AT53" t="s">
        <v>45</v>
      </c>
      <c r="AU53" t="s">
        <v>204</v>
      </c>
      <c r="AV53" t="s">
        <v>269</v>
      </c>
      <c r="AW53" t="s">
        <v>545</v>
      </c>
      <c r="AX53" t="s">
        <v>396</v>
      </c>
      <c r="AY53" t="s">
        <v>459</v>
      </c>
      <c r="AZ53" t="s">
        <v>506</v>
      </c>
    </row>
    <row r="54" spans="2:52">
      <c r="B54" s="5">
        <f t="shared" si="15"/>
        <v>45454</v>
      </c>
      <c r="C54" s="12" t="str">
        <f t="shared" si="16"/>
        <v xml:space="preserve">3.418 </v>
      </c>
      <c r="D54" s="12" t="str">
        <f t="shared" si="0"/>
        <v xml:space="preserve">3.363 </v>
      </c>
      <c r="E54" s="12" t="str">
        <f t="shared" si="1"/>
        <v xml:space="preserve">3.366 </v>
      </c>
      <c r="F54" s="12" t="str">
        <f t="shared" si="2"/>
        <v xml:space="preserve">3.353 </v>
      </c>
      <c r="G54" s="12" t="str">
        <f t="shared" si="3"/>
        <v xml:space="preserve">3.346 </v>
      </c>
      <c r="H54" s="12" t="str">
        <f t="shared" si="4"/>
        <v xml:space="preserve">3.390 </v>
      </c>
      <c r="I54" s="12" t="str">
        <f t="shared" si="5"/>
        <v xml:space="preserve">3.350 </v>
      </c>
      <c r="J54" s="12" t="str">
        <f t="shared" si="6"/>
        <v xml:space="preserve">3.332 </v>
      </c>
      <c r="K54" s="12" t="str">
        <f t="shared" si="7"/>
        <v xml:space="preserve">3.370 </v>
      </c>
      <c r="L54" s="12" t="str">
        <f t="shared" si="8"/>
        <v xml:space="preserve">3.360 </v>
      </c>
      <c r="M54" s="12" t="str">
        <f t="shared" si="9"/>
        <v xml:space="preserve">3.421 </v>
      </c>
      <c r="N54" s="12" t="str">
        <f t="shared" si="10"/>
        <v xml:space="preserve">3.416 </v>
      </c>
      <c r="O54" s="12" t="str">
        <f t="shared" si="11"/>
        <v xml:space="preserve">3.406 </v>
      </c>
      <c r="P54" s="12" t="str">
        <f t="shared" si="12"/>
        <v xml:space="preserve">3.347 </v>
      </c>
      <c r="Q54" s="12" t="str">
        <f t="shared" si="13"/>
        <v xml:space="preserve">3.265 </v>
      </c>
      <c r="R54" s="12" t="str">
        <f t="shared" si="14"/>
        <v xml:space="preserve">3.249 </v>
      </c>
      <c r="Z54" s="11">
        <v>45454</v>
      </c>
      <c r="AA54">
        <v>3.4180000000000001</v>
      </c>
      <c r="AB54">
        <v>3.363</v>
      </c>
      <c r="AC54">
        <v>3.3660000000000001</v>
      </c>
      <c r="AD54">
        <v>3.3530000000000002</v>
      </c>
      <c r="AE54">
        <v>3.3460000000000001</v>
      </c>
      <c r="AF54">
        <v>3.39</v>
      </c>
      <c r="AG54">
        <v>3.35</v>
      </c>
      <c r="AH54">
        <v>3.3319999999999999</v>
      </c>
      <c r="AI54">
        <v>3.37</v>
      </c>
      <c r="AJ54">
        <v>3.36</v>
      </c>
      <c r="AK54">
        <v>3.4209999999999998</v>
      </c>
      <c r="AL54">
        <v>3.4159999999999999</v>
      </c>
      <c r="AM54">
        <v>3.4060000000000001</v>
      </c>
      <c r="AN54">
        <v>3.347</v>
      </c>
      <c r="AO54">
        <v>3.2650000000000001</v>
      </c>
      <c r="AP54">
        <v>3.2490000000000001</v>
      </c>
      <c r="AS54" t="s">
        <v>107</v>
      </c>
      <c r="AT54" t="s">
        <v>46</v>
      </c>
      <c r="AU54" t="s">
        <v>205</v>
      </c>
      <c r="AX54" t="s">
        <v>391</v>
      </c>
    </row>
    <row r="55" spans="2:52">
      <c r="B55" s="5">
        <f t="shared" si="15"/>
        <v>45453</v>
      </c>
      <c r="C55" s="12" t="str">
        <f t="shared" si="16"/>
        <v xml:space="preserve">3.418 </v>
      </c>
      <c r="D55" s="12" t="str">
        <f t="shared" si="0"/>
        <v xml:space="preserve">3.380 </v>
      </c>
      <c r="E55" s="12" t="str">
        <f t="shared" si="1"/>
        <v xml:space="preserve">3.353 </v>
      </c>
      <c r="F55" s="12" t="str">
        <f t="shared" si="2"/>
        <v xml:space="preserve">3.347 </v>
      </c>
      <c r="G55" s="12" t="str">
        <f t="shared" si="3"/>
        <v xml:space="preserve">3.352 </v>
      </c>
      <c r="H55" s="12" t="str">
        <f t="shared" si="4"/>
        <v xml:space="preserve">3.403 </v>
      </c>
      <c r="I55" s="12" t="str">
        <f t="shared" si="5"/>
        <v xml:space="preserve">3.369 </v>
      </c>
      <c r="J55" s="12" t="str">
        <f t="shared" si="6"/>
        <v xml:space="preserve">3.345 </v>
      </c>
      <c r="K55" s="12" t="str">
        <f t="shared" si="7"/>
        <v xml:space="preserve">3.385 </v>
      </c>
      <c r="L55" s="12" t="str">
        <f t="shared" si="8"/>
        <v xml:space="preserve">3.384 </v>
      </c>
      <c r="M55" s="12" t="str">
        <f t="shared" si="9"/>
        <v xml:space="preserve">3.440 </v>
      </c>
      <c r="N55" s="12" t="str">
        <f t="shared" si="10"/>
        <v xml:space="preserve">3.432 </v>
      </c>
      <c r="O55" s="12" t="str">
        <f t="shared" si="11"/>
        <v xml:space="preserve">3.426 </v>
      </c>
      <c r="P55" s="12" t="str">
        <f t="shared" si="12"/>
        <v xml:space="preserve">3.370 </v>
      </c>
      <c r="Q55" s="12" t="str">
        <f t="shared" si="13"/>
        <v xml:space="preserve">3.290 </v>
      </c>
      <c r="R55" s="12" t="str">
        <f t="shared" si="14"/>
        <v xml:space="preserve">3.274 </v>
      </c>
      <c r="Z55" s="11">
        <v>45453</v>
      </c>
      <c r="AA55">
        <v>3.4180000000000001</v>
      </c>
      <c r="AB55">
        <v>3.38</v>
      </c>
      <c r="AC55">
        <v>3.3530000000000002</v>
      </c>
      <c r="AD55">
        <v>3.347</v>
      </c>
      <c r="AE55">
        <v>3.3519999999999999</v>
      </c>
      <c r="AF55">
        <v>3.403</v>
      </c>
      <c r="AG55">
        <v>3.3690000000000002</v>
      </c>
      <c r="AH55">
        <v>3.3450000000000002</v>
      </c>
      <c r="AI55">
        <v>3.3849999999999998</v>
      </c>
      <c r="AJ55">
        <v>3.3839999999999999</v>
      </c>
      <c r="AK55">
        <v>3.44</v>
      </c>
      <c r="AL55">
        <v>3.4319999999999999</v>
      </c>
      <c r="AM55">
        <v>3.4260000000000002</v>
      </c>
      <c r="AN55">
        <v>3.37</v>
      </c>
      <c r="AO55">
        <v>3.29</v>
      </c>
      <c r="AP55">
        <v>3.274</v>
      </c>
      <c r="AS55" t="s">
        <v>108</v>
      </c>
      <c r="AT55" t="s">
        <v>47</v>
      </c>
      <c r="AU55" t="s">
        <v>206</v>
      </c>
      <c r="AX55" t="s">
        <v>393</v>
      </c>
    </row>
    <row r="56" spans="2:52">
      <c r="B56" s="5">
        <f t="shared" si="15"/>
        <v>45450</v>
      </c>
      <c r="C56" s="12" t="str">
        <f t="shared" si="16"/>
        <v xml:space="preserve">3.413 </v>
      </c>
      <c r="D56" s="12" t="str">
        <f t="shared" si="0"/>
        <v xml:space="preserve">3.410 </v>
      </c>
      <c r="E56" s="12" t="str">
        <f t="shared" si="1"/>
        <v xml:space="preserve">3.350 </v>
      </c>
      <c r="F56" s="12" t="str">
        <f t="shared" si="2"/>
        <v xml:space="preserve">3.344 </v>
      </c>
      <c r="G56" s="12" t="str">
        <f t="shared" si="3"/>
        <v xml:space="preserve">3.339 </v>
      </c>
      <c r="H56" s="12" t="str">
        <f t="shared" si="4"/>
        <v xml:space="preserve">3.355 </v>
      </c>
      <c r="I56" s="12" t="str">
        <f t="shared" si="5"/>
        <v xml:space="preserve">3.335 </v>
      </c>
      <c r="J56" s="12" t="str">
        <f t="shared" si="6"/>
        <v xml:space="preserve">3.308 </v>
      </c>
      <c r="K56" s="12" t="str">
        <f t="shared" si="7"/>
        <v xml:space="preserve">3.332 </v>
      </c>
      <c r="L56" s="12" t="str">
        <f t="shared" si="8"/>
        <v xml:space="preserve">3.330 </v>
      </c>
      <c r="M56" s="12" t="str">
        <f t="shared" si="9"/>
        <v xml:space="preserve">3.374 </v>
      </c>
      <c r="N56" s="12" t="str">
        <f t="shared" si="10"/>
        <v xml:space="preserve">3.385 </v>
      </c>
      <c r="O56" s="12" t="str">
        <f t="shared" si="11"/>
        <v xml:space="preserve">3.369 </v>
      </c>
      <c r="P56" s="12" t="str">
        <f t="shared" si="12"/>
        <v xml:space="preserve">3.327 </v>
      </c>
      <c r="Q56" s="12" t="str">
        <f t="shared" si="13"/>
        <v xml:space="preserve">3.260 </v>
      </c>
      <c r="R56" s="12" t="str">
        <f t="shared" si="14"/>
        <v xml:space="preserve">3.244 </v>
      </c>
      <c r="Z56" s="11">
        <v>45450</v>
      </c>
      <c r="AA56">
        <v>3.4129999999999998</v>
      </c>
      <c r="AB56">
        <v>3.41</v>
      </c>
      <c r="AC56">
        <v>3.35</v>
      </c>
      <c r="AD56">
        <v>3.3439999999999999</v>
      </c>
      <c r="AE56">
        <v>3.339</v>
      </c>
      <c r="AF56">
        <v>3.355</v>
      </c>
      <c r="AG56">
        <v>3.335</v>
      </c>
      <c r="AH56">
        <v>3.3079999999999998</v>
      </c>
      <c r="AI56">
        <v>3.3319999999999999</v>
      </c>
      <c r="AJ56">
        <v>3.33</v>
      </c>
      <c r="AK56">
        <v>3.3740000000000001</v>
      </c>
      <c r="AL56">
        <v>3.3849999999999998</v>
      </c>
      <c r="AM56">
        <v>3.3690000000000002</v>
      </c>
      <c r="AN56">
        <v>3.327</v>
      </c>
      <c r="AO56">
        <v>3.26</v>
      </c>
      <c r="AP56">
        <v>3.2440000000000002</v>
      </c>
      <c r="AS56" t="s">
        <v>109</v>
      </c>
      <c r="AT56" t="s">
        <v>48</v>
      </c>
      <c r="AU56" t="s">
        <v>207</v>
      </c>
      <c r="AX56" t="s">
        <v>395</v>
      </c>
    </row>
    <row r="57" spans="2:52">
      <c r="B57" s="5">
        <f t="shared" si="15"/>
        <v>45448</v>
      </c>
      <c r="C57" s="12" t="str">
        <f t="shared" si="16"/>
        <v xml:space="preserve">3.408 </v>
      </c>
      <c r="D57" s="12" t="str">
        <f t="shared" si="0"/>
        <v xml:space="preserve">3.438 </v>
      </c>
      <c r="E57" s="12" t="str">
        <f t="shared" si="1"/>
        <v xml:space="preserve">3.363 </v>
      </c>
      <c r="F57" s="12" t="str">
        <f t="shared" si="2"/>
        <v xml:space="preserve">3.352 </v>
      </c>
      <c r="G57" s="12" t="str">
        <f t="shared" si="3"/>
        <v xml:space="preserve">3.357 </v>
      </c>
      <c r="H57" s="12" t="str">
        <f t="shared" si="4"/>
        <v xml:space="preserve">3.384 </v>
      </c>
      <c r="I57" s="12" t="str">
        <f t="shared" si="5"/>
        <v xml:space="preserve">3.370 </v>
      </c>
      <c r="J57" s="12" t="str">
        <f t="shared" si="6"/>
        <v xml:space="preserve">3.343 </v>
      </c>
      <c r="K57" s="12" t="str">
        <f t="shared" si="7"/>
        <v xml:space="preserve">3.372 </v>
      </c>
      <c r="L57" s="12" t="str">
        <f t="shared" si="8"/>
        <v xml:space="preserve">3.367 </v>
      </c>
      <c r="M57" s="12" t="str">
        <f t="shared" si="9"/>
        <v xml:space="preserve">3.417 </v>
      </c>
      <c r="N57" s="12" t="str">
        <f t="shared" si="10"/>
        <v xml:space="preserve">3.432 </v>
      </c>
      <c r="O57" s="12" t="str">
        <f t="shared" si="11"/>
        <v xml:space="preserve">3.411 </v>
      </c>
      <c r="P57" s="12" t="str">
        <f t="shared" si="12"/>
        <v xml:space="preserve">3.365 </v>
      </c>
      <c r="Q57" s="12" t="str">
        <f t="shared" si="13"/>
        <v xml:space="preserve">3.295 </v>
      </c>
      <c r="R57" s="12" t="str">
        <f t="shared" si="14"/>
        <v xml:space="preserve">3.279 </v>
      </c>
      <c r="Z57" s="11">
        <v>45448</v>
      </c>
      <c r="AA57">
        <v>3.4079999999999999</v>
      </c>
      <c r="AB57">
        <v>3.4380000000000002</v>
      </c>
      <c r="AC57">
        <v>3.363</v>
      </c>
      <c r="AD57">
        <v>3.3519999999999999</v>
      </c>
      <c r="AE57">
        <v>3.3570000000000002</v>
      </c>
      <c r="AF57">
        <v>3.3839999999999999</v>
      </c>
      <c r="AG57">
        <v>3.37</v>
      </c>
      <c r="AH57">
        <v>3.343</v>
      </c>
      <c r="AI57">
        <v>3.3719999999999999</v>
      </c>
      <c r="AJ57">
        <v>3.367</v>
      </c>
      <c r="AK57">
        <v>3.4169999999999998</v>
      </c>
      <c r="AL57">
        <v>3.4319999999999999</v>
      </c>
      <c r="AM57">
        <v>3.411</v>
      </c>
      <c r="AN57">
        <v>3.3650000000000002</v>
      </c>
      <c r="AO57">
        <v>3.2949999999999999</v>
      </c>
      <c r="AP57">
        <v>3.2789999999999999</v>
      </c>
      <c r="AS57" t="s">
        <v>532</v>
      </c>
      <c r="AT57" t="s">
        <v>49</v>
      </c>
      <c r="AU57" t="s">
        <v>208</v>
      </c>
      <c r="AV57" t="s">
        <v>270</v>
      </c>
      <c r="AW57" t="s">
        <v>329</v>
      </c>
      <c r="AX57" t="s">
        <v>397</v>
      </c>
      <c r="AY57" t="s">
        <v>460</v>
      </c>
      <c r="AZ57" t="s">
        <v>507</v>
      </c>
    </row>
    <row r="58" spans="2:52">
      <c r="B58" s="5">
        <f t="shared" si="15"/>
        <v>45447</v>
      </c>
      <c r="C58" s="12" t="str">
        <f t="shared" si="16"/>
        <v xml:space="preserve">3.403 </v>
      </c>
      <c r="D58" s="12" t="str">
        <f t="shared" si="0"/>
        <v xml:space="preserve">3.453 </v>
      </c>
      <c r="E58" s="12" t="str">
        <f t="shared" si="1"/>
        <v xml:space="preserve">3.371 </v>
      </c>
      <c r="F58" s="12" t="str">
        <f t="shared" si="2"/>
        <v xml:space="preserve">3.368 </v>
      </c>
      <c r="G58" s="12" t="str">
        <f t="shared" si="3"/>
        <v xml:space="preserve">3.375 </v>
      </c>
      <c r="H58" s="12" t="str">
        <f t="shared" si="4"/>
        <v xml:space="preserve">3.415 </v>
      </c>
      <c r="I58" s="12" t="str">
        <f t="shared" si="5"/>
        <v xml:space="preserve">3.405 </v>
      </c>
      <c r="J58" s="12" t="str">
        <f t="shared" si="6"/>
        <v xml:space="preserve">3.392 </v>
      </c>
      <c r="K58" s="12" t="str">
        <f t="shared" si="7"/>
        <v xml:space="preserve">3.412 </v>
      </c>
      <c r="L58" s="12" t="str">
        <f t="shared" si="8"/>
        <v xml:space="preserve">3.417 </v>
      </c>
      <c r="M58" s="12" t="str">
        <f t="shared" si="9"/>
        <v xml:space="preserve">3.462 </v>
      </c>
      <c r="N58" s="12" t="str">
        <f t="shared" si="10"/>
        <v xml:space="preserve">3.472 </v>
      </c>
      <c r="O58" s="12" t="str">
        <f t="shared" si="11"/>
        <v xml:space="preserve">3.449 </v>
      </c>
      <c r="P58" s="12" t="str">
        <f t="shared" si="12"/>
        <v xml:space="preserve">3.400 </v>
      </c>
      <c r="Q58" s="12" t="str">
        <f t="shared" si="13"/>
        <v xml:space="preserve">3.322 </v>
      </c>
      <c r="R58" s="12" t="str">
        <f t="shared" si="14"/>
        <v xml:space="preserve">3.307 </v>
      </c>
      <c r="Z58" s="11">
        <v>45447</v>
      </c>
      <c r="AA58">
        <v>3.403</v>
      </c>
      <c r="AB58">
        <v>3.4529999999999998</v>
      </c>
      <c r="AC58">
        <v>3.371</v>
      </c>
      <c r="AD58">
        <v>3.3679999999999999</v>
      </c>
      <c r="AE58">
        <v>3.375</v>
      </c>
      <c r="AF58">
        <v>3.415</v>
      </c>
      <c r="AG58">
        <v>3.4049999999999998</v>
      </c>
      <c r="AH58">
        <v>3.3919999999999999</v>
      </c>
      <c r="AI58">
        <v>3.4119999999999999</v>
      </c>
      <c r="AJ58">
        <v>3.4169999999999998</v>
      </c>
      <c r="AK58">
        <v>3.4620000000000002</v>
      </c>
      <c r="AL58">
        <v>3.472</v>
      </c>
      <c r="AM58">
        <v>3.4489999999999998</v>
      </c>
      <c r="AN58">
        <v>3.4</v>
      </c>
      <c r="AO58">
        <v>3.3220000000000001</v>
      </c>
      <c r="AP58">
        <v>3.3069999999999999</v>
      </c>
      <c r="AS58" t="s">
        <v>533</v>
      </c>
      <c r="AT58" t="s">
        <v>50</v>
      </c>
      <c r="AU58" t="s">
        <v>209</v>
      </c>
      <c r="AV58" t="s">
        <v>271</v>
      </c>
      <c r="AW58" t="s">
        <v>330</v>
      </c>
      <c r="AX58" t="s">
        <v>398</v>
      </c>
      <c r="AY58" t="s">
        <v>461</v>
      </c>
      <c r="AZ58" t="s">
        <v>508</v>
      </c>
    </row>
    <row r="59" spans="2:52">
      <c r="B59" s="5">
        <f t="shared" si="15"/>
        <v>45446</v>
      </c>
      <c r="C59" s="12" t="str">
        <f t="shared" si="16"/>
        <v xml:space="preserve">3.403 </v>
      </c>
      <c r="D59" s="12" t="str">
        <f t="shared" si="0"/>
        <v xml:space="preserve">3.456 </v>
      </c>
      <c r="E59" s="12" t="str">
        <f t="shared" si="1"/>
        <v xml:space="preserve">3.383 </v>
      </c>
      <c r="F59" s="12" t="str">
        <f t="shared" si="2"/>
        <v xml:space="preserve">3.376 </v>
      </c>
      <c r="G59" s="12" t="str">
        <f t="shared" si="3"/>
        <v xml:space="preserve">3.395 </v>
      </c>
      <c r="H59" s="12" t="str">
        <f t="shared" si="4"/>
        <v xml:space="preserve">3.446 </v>
      </c>
      <c r="I59" s="12" t="str">
        <f t="shared" si="5"/>
        <v xml:space="preserve">3.437 </v>
      </c>
      <c r="J59" s="12" t="str">
        <f t="shared" si="6"/>
        <v xml:space="preserve">3.432 </v>
      </c>
      <c r="K59" s="12" t="str">
        <f t="shared" si="7"/>
        <v xml:space="preserve">3.460 </v>
      </c>
      <c r="L59" s="12" t="str">
        <f t="shared" si="8"/>
        <v xml:space="preserve">3.467 </v>
      </c>
      <c r="M59" s="12" t="str">
        <f t="shared" si="9"/>
        <v xml:space="preserve">3.520 </v>
      </c>
      <c r="N59" s="12" t="str">
        <f t="shared" si="10"/>
        <v xml:space="preserve">3.537 </v>
      </c>
      <c r="O59" s="12" t="str">
        <f t="shared" si="11"/>
        <v xml:space="preserve">3.504 </v>
      </c>
      <c r="P59" s="12" t="str">
        <f t="shared" si="12"/>
        <v xml:space="preserve">3.447 </v>
      </c>
      <c r="Q59" s="12" t="str">
        <f t="shared" si="13"/>
        <v xml:space="preserve">3.367 </v>
      </c>
      <c r="R59" s="12" t="str">
        <f t="shared" si="14"/>
        <v xml:space="preserve">3.352 </v>
      </c>
      <c r="Z59" s="11">
        <v>45446</v>
      </c>
      <c r="AA59">
        <v>3.403</v>
      </c>
      <c r="AB59">
        <v>3.456</v>
      </c>
      <c r="AC59">
        <v>3.383</v>
      </c>
      <c r="AD59">
        <v>3.3759999999999999</v>
      </c>
      <c r="AE59">
        <v>3.395</v>
      </c>
      <c r="AF59">
        <v>3.4460000000000002</v>
      </c>
      <c r="AG59">
        <v>3.4369999999999998</v>
      </c>
      <c r="AH59">
        <v>3.4319999999999999</v>
      </c>
      <c r="AI59">
        <v>3.46</v>
      </c>
      <c r="AJ59">
        <v>3.4670000000000001</v>
      </c>
      <c r="AK59">
        <v>3.52</v>
      </c>
      <c r="AL59">
        <v>3.5369999999999999</v>
      </c>
      <c r="AM59">
        <v>3.504</v>
      </c>
      <c r="AN59">
        <v>3.4470000000000001</v>
      </c>
      <c r="AO59">
        <v>3.367</v>
      </c>
      <c r="AP59">
        <v>3.3519999999999999</v>
      </c>
      <c r="AS59" t="s">
        <v>534</v>
      </c>
      <c r="AT59" t="s">
        <v>51</v>
      </c>
      <c r="AU59" t="s">
        <v>210</v>
      </c>
      <c r="AV59" t="s">
        <v>272</v>
      </c>
      <c r="AW59" t="s">
        <v>331</v>
      </c>
      <c r="AX59" t="s">
        <v>399</v>
      </c>
      <c r="AY59" t="s">
        <v>462</v>
      </c>
      <c r="AZ59" t="s">
        <v>509</v>
      </c>
    </row>
    <row r="60" spans="2:52">
      <c r="B60" s="5">
        <f t="shared" si="15"/>
        <v>45443</v>
      </c>
      <c r="C60" s="12" t="str">
        <f t="shared" si="16"/>
        <v xml:space="preserve">3.403 </v>
      </c>
      <c r="D60" s="12" t="str">
        <f t="shared" si="0"/>
        <v xml:space="preserve">3.459 </v>
      </c>
      <c r="E60" s="12" t="str">
        <f t="shared" si="1"/>
        <v xml:space="preserve">3.393 </v>
      </c>
      <c r="F60" s="12" t="str">
        <f t="shared" si="2"/>
        <v xml:space="preserve">3.386 </v>
      </c>
      <c r="G60" s="12" t="str">
        <f t="shared" si="3"/>
        <v xml:space="preserve">3.410 </v>
      </c>
      <c r="H60" s="12" t="str">
        <f t="shared" si="4"/>
        <v xml:space="preserve">3.463 </v>
      </c>
      <c r="I60" s="12" t="str">
        <f t="shared" si="5"/>
        <v xml:space="preserve">3.457 </v>
      </c>
      <c r="J60" s="12" t="str">
        <f t="shared" si="6"/>
        <v xml:space="preserve">3.452 </v>
      </c>
      <c r="K60" s="12" t="str">
        <f t="shared" si="7"/>
        <v xml:space="preserve">3.492 </v>
      </c>
      <c r="L60" s="12" t="str">
        <f t="shared" si="8"/>
        <v xml:space="preserve">3.502 </v>
      </c>
      <c r="M60" s="12" t="str">
        <f t="shared" si="9"/>
        <v xml:space="preserve">3.560 </v>
      </c>
      <c r="N60" s="12" t="str">
        <f t="shared" si="10"/>
        <v xml:space="preserve">3.580 </v>
      </c>
      <c r="O60" s="12" t="str">
        <f t="shared" si="11"/>
        <v xml:space="preserve">3.554 </v>
      </c>
      <c r="P60" s="12" t="str">
        <f t="shared" si="12"/>
        <v xml:space="preserve">3.505 </v>
      </c>
      <c r="Q60" s="12" t="str">
        <f t="shared" si="13"/>
        <v xml:space="preserve">3.430 </v>
      </c>
      <c r="R60" s="12" t="str">
        <f t="shared" si="14"/>
        <v xml:space="preserve">3.414 </v>
      </c>
      <c r="Z60" s="11">
        <v>45443</v>
      </c>
      <c r="AA60">
        <v>3.403</v>
      </c>
      <c r="AB60">
        <v>3.4590000000000001</v>
      </c>
      <c r="AC60">
        <v>3.3929999999999998</v>
      </c>
      <c r="AD60">
        <v>3.3860000000000001</v>
      </c>
      <c r="AE60">
        <v>3.41</v>
      </c>
      <c r="AF60">
        <v>3.4630000000000001</v>
      </c>
      <c r="AG60">
        <v>3.4569999999999999</v>
      </c>
      <c r="AH60">
        <v>3.452</v>
      </c>
      <c r="AI60">
        <v>3.492</v>
      </c>
      <c r="AJ60">
        <v>3.5019999999999998</v>
      </c>
      <c r="AK60">
        <v>3.56</v>
      </c>
      <c r="AL60">
        <v>3.58</v>
      </c>
      <c r="AM60">
        <v>3.5539999999999998</v>
      </c>
      <c r="AN60">
        <v>3.5049999999999999</v>
      </c>
      <c r="AO60">
        <v>3.43</v>
      </c>
      <c r="AP60">
        <v>3.4140000000000001</v>
      </c>
      <c r="AS60" t="s">
        <v>535</v>
      </c>
      <c r="AT60" t="s">
        <v>52</v>
      </c>
      <c r="AU60" t="s">
        <v>211</v>
      </c>
      <c r="AV60" t="s">
        <v>273</v>
      </c>
      <c r="AW60" t="s">
        <v>332</v>
      </c>
      <c r="AX60" t="s">
        <v>400</v>
      </c>
      <c r="AY60" t="s">
        <v>463</v>
      </c>
      <c r="AZ60" t="s">
        <v>510</v>
      </c>
    </row>
    <row r="61" spans="2:52">
      <c r="B61" s="5">
        <f t="shared" si="15"/>
        <v>45442</v>
      </c>
      <c r="C61" s="12" t="str">
        <f t="shared" si="16"/>
        <v xml:space="preserve">3.403 </v>
      </c>
      <c r="D61" s="12" t="str">
        <f t="shared" si="0"/>
        <v xml:space="preserve">3.455 </v>
      </c>
      <c r="E61" s="12" t="str">
        <f t="shared" si="1"/>
        <v xml:space="preserve">3.403 </v>
      </c>
      <c r="F61" s="12" t="str">
        <f t="shared" si="2"/>
        <v xml:space="preserve">3.403 </v>
      </c>
      <c r="G61" s="12" t="str">
        <f t="shared" si="3"/>
        <v xml:space="preserve">3.420 </v>
      </c>
      <c r="H61" s="12" t="str">
        <f t="shared" si="4"/>
        <v xml:space="preserve">3.459 </v>
      </c>
      <c r="I61" s="12" t="str">
        <f t="shared" si="5"/>
        <v xml:space="preserve">3.450 </v>
      </c>
      <c r="J61" s="12" t="str">
        <f t="shared" si="6"/>
        <v xml:space="preserve">3.440 </v>
      </c>
      <c r="K61" s="12" t="str">
        <f t="shared" si="7"/>
        <v xml:space="preserve">3.485 </v>
      </c>
      <c r="L61" s="12" t="str">
        <f t="shared" si="8"/>
        <v xml:space="preserve">3.490 </v>
      </c>
      <c r="M61" s="12" t="str">
        <f t="shared" si="9"/>
        <v xml:space="preserve">3.548 </v>
      </c>
      <c r="N61" s="12" t="str">
        <f t="shared" si="10"/>
        <v xml:space="preserve">3.562 </v>
      </c>
      <c r="O61" s="12" t="str">
        <f t="shared" si="11"/>
        <v xml:space="preserve">3.538 </v>
      </c>
      <c r="P61" s="12" t="str">
        <f t="shared" si="12"/>
        <v xml:space="preserve">3.490 </v>
      </c>
      <c r="Q61" s="12" t="str">
        <f t="shared" si="13"/>
        <v xml:space="preserve">3.410 </v>
      </c>
      <c r="R61" s="12" t="str">
        <f t="shared" si="14"/>
        <v xml:space="preserve">3.395 </v>
      </c>
      <c r="Z61" s="11">
        <v>45442</v>
      </c>
      <c r="AA61">
        <v>3.403</v>
      </c>
      <c r="AB61">
        <v>3.4550000000000001</v>
      </c>
      <c r="AC61">
        <v>3.403</v>
      </c>
      <c r="AD61">
        <v>3.403</v>
      </c>
      <c r="AE61">
        <v>3.42</v>
      </c>
      <c r="AF61">
        <v>3.4590000000000001</v>
      </c>
      <c r="AG61">
        <v>3.45</v>
      </c>
      <c r="AH61">
        <v>3.44</v>
      </c>
      <c r="AI61">
        <v>3.4849999999999999</v>
      </c>
      <c r="AJ61">
        <v>3.49</v>
      </c>
      <c r="AK61">
        <v>3.548</v>
      </c>
      <c r="AL61">
        <v>3.5619999999999998</v>
      </c>
      <c r="AM61">
        <v>3.5379999999999998</v>
      </c>
      <c r="AN61">
        <v>3.49</v>
      </c>
      <c r="AO61">
        <v>3.41</v>
      </c>
      <c r="AP61">
        <v>3.395</v>
      </c>
      <c r="AS61" t="s">
        <v>536</v>
      </c>
      <c r="AT61" t="s">
        <v>53</v>
      </c>
      <c r="AU61" t="s">
        <v>212</v>
      </c>
      <c r="AV61" t="s">
        <v>274</v>
      </c>
      <c r="AW61" t="s">
        <v>333</v>
      </c>
      <c r="AX61" t="s">
        <v>401</v>
      </c>
      <c r="AY61" t="s">
        <v>464</v>
      </c>
      <c r="AZ61" t="s">
        <v>511</v>
      </c>
    </row>
    <row r="62" spans="2:52">
      <c r="B62" s="5">
        <f t="shared" si="15"/>
        <v>45441</v>
      </c>
      <c r="C62" s="12" t="str">
        <f t="shared" si="16"/>
        <v xml:space="preserve">3.403 </v>
      </c>
      <c r="D62" s="12" t="str">
        <f t="shared" si="0"/>
        <v xml:space="preserve">3.455 </v>
      </c>
      <c r="E62" s="12" t="str">
        <f t="shared" si="1"/>
        <v xml:space="preserve">3.400 </v>
      </c>
      <c r="F62" s="12" t="str">
        <f t="shared" si="2"/>
        <v xml:space="preserve">3.400 </v>
      </c>
      <c r="G62" s="12" t="str">
        <f t="shared" si="3"/>
        <v xml:space="preserve">3.410 </v>
      </c>
      <c r="H62" s="12" t="str">
        <f t="shared" si="4"/>
        <v xml:space="preserve">3.445 </v>
      </c>
      <c r="I62" s="12" t="str">
        <f t="shared" si="5"/>
        <v xml:space="preserve">3.432 </v>
      </c>
      <c r="J62" s="12" t="str">
        <f t="shared" si="6"/>
        <v xml:space="preserve">3.420 </v>
      </c>
      <c r="K62" s="12" t="str">
        <f t="shared" si="7"/>
        <v xml:space="preserve">3.457 </v>
      </c>
      <c r="L62" s="12" t="str">
        <f t="shared" si="8"/>
        <v xml:space="preserve">3.465 </v>
      </c>
      <c r="M62" s="12" t="str">
        <f t="shared" si="9"/>
        <v xml:space="preserve">3.523 </v>
      </c>
      <c r="N62" s="12" t="str">
        <f t="shared" si="10"/>
        <v xml:space="preserve">3.535 </v>
      </c>
      <c r="O62" s="12" t="str">
        <f t="shared" si="11"/>
        <v xml:space="preserve">3.518 </v>
      </c>
      <c r="P62" s="12" t="str">
        <f t="shared" si="12"/>
        <v xml:space="preserve">3.477 </v>
      </c>
      <c r="Q62" s="12" t="str">
        <f t="shared" si="13"/>
        <v xml:space="preserve">3.395 </v>
      </c>
      <c r="R62" s="12" t="str">
        <f t="shared" si="14"/>
        <v xml:space="preserve">3.383 </v>
      </c>
      <c r="Z62" s="11">
        <v>45441</v>
      </c>
      <c r="AA62">
        <v>3.403</v>
      </c>
      <c r="AB62">
        <v>3.4550000000000001</v>
      </c>
      <c r="AC62">
        <v>3.4</v>
      </c>
      <c r="AD62">
        <v>3.4</v>
      </c>
      <c r="AE62">
        <v>3.41</v>
      </c>
      <c r="AF62">
        <v>3.4449999999999998</v>
      </c>
      <c r="AG62">
        <v>3.4319999999999999</v>
      </c>
      <c r="AH62">
        <v>3.42</v>
      </c>
      <c r="AI62">
        <v>3.4569999999999999</v>
      </c>
      <c r="AJ62">
        <v>3.4649999999999999</v>
      </c>
      <c r="AK62">
        <v>3.5230000000000001</v>
      </c>
      <c r="AL62">
        <v>3.5350000000000001</v>
      </c>
      <c r="AM62">
        <v>3.5179999999999998</v>
      </c>
      <c r="AN62">
        <v>3.4769999999999999</v>
      </c>
      <c r="AO62">
        <v>3.395</v>
      </c>
      <c r="AP62">
        <v>3.383</v>
      </c>
      <c r="AS62" t="s">
        <v>537</v>
      </c>
      <c r="AT62" t="s">
        <v>54</v>
      </c>
      <c r="AU62" t="s">
        <v>213</v>
      </c>
      <c r="AV62" t="s">
        <v>275</v>
      </c>
      <c r="AW62" t="s">
        <v>334</v>
      </c>
      <c r="AX62" t="s">
        <v>402</v>
      </c>
      <c r="AY62" t="s">
        <v>465</v>
      </c>
      <c r="AZ62" t="s">
        <v>512</v>
      </c>
    </row>
    <row r="63" spans="2:52">
      <c r="B63" s="5">
        <f t="shared" si="15"/>
        <v>45440</v>
      </c>
      <c r="C63" s="12" t="str">
        <f t="shared" si="16"/>
        <v xml:space="preserve">3.403 </v>
      </c>
      <c r="D63" s="12" t="str">
        <f t="shared" si="0"/>
        <v xml:space="preserve">3.453 </v>
      </c>
      <c r="E63" s="12" t="str">
        <f t="shared" si="1"/>
        <v xml:space="preserve">3.400 </v>
      </c>
      <c r="F63" s="12" t="str">
        <f t="shared" si="2"/>
        <v xml:space="preserve">3.393 </v>
      </c>
      <c r="G63" s="12" t="str">
        <f t="shared" si="3"/>
        <v xml:space="preserve">3.407 </v>
      </c>
      <c r="H63" s="12" t="str">
        <f t="shared" si="4"/>
        <v xml:space="preserve">3.423 </v>
      </c>
      <c r="I63" s="12" t="str">
        <f t="shared" si="5"/>
        <v xml:space="preserve">3.398 </v>
      </c>
      <c r="J63" s="12" t="str">
        <f t="shared" si="6"/>
        <v xml:space="preserve">3.387 </v>
      </c>
      <c r="K63" s="12" t="str">
        <f t="shared" si="7"/>
        <v xml:space="preserve">3.417 </v>
      </c>
      <c r="L63" s="12" t="str">
        <f t="shared" si="8"/>
        <v xml:space="preserve">3.415 </v>
      </c>
      <c r="M63" s="12" t="str">
        <f t="shared" si="9"/>
        <v xml:space="preserve">3.470 </v>
      </c>
      <c r="N63" s="12" t="str">
        <f t="shared" si="10"/>
        <v xml:space="preserve">3.477 </v>
      </c>
      <c r="O63" s="12" t="str">
        <f t="shared" si="11"/>
        <v xml:space="preserve">3.464 </v>
      </c>
      <c r="P63" s="12" t="str">
        <f t="shared" si="12"/>
        <v xml:space="preserve">3.427 </v>
      </c>
      <c r="Q63" s="12" t="str">
        <f t="shared" si="13"/>
        <v xml:space="preserve">3.355 </v>
      </c>
      <c r="R63" s="12" t="str">
        <f t="shared" si="14"/>
        <v xml:space="preserve">3.343 </v>
      </c>
      <c r="Z63" s="11">
        <v>45440</v>
      </c>
      <c r="AA63">
        <v>3.403</v>
      </c>
      <c r="AB63">
        <v>3.4529999999999998</v>
      </c>
      <c r="AC63">
        <v>3.4</v>
      </c>
      <c r="AD63">
        <v>3.3929999999999998</v>
      </c>
      <c r="AE63">
        <v>3.407</v>
      </c>
      <c r="AF63">
        <v>3.423</v>
      </c>
      <c r="AG63">
        <v>3.3980000000000001</v>
      </c>
      <c r="AH63">
        <v>3.387</v>
      </c>
      <c r="AI63">
        <v>3.4169999999999998</v>
      </c>
      <c r="AJ63">
        <v>3.415</v>
      </c>
      <c r="AK63">
        <v>3.47</v>
      </c>
      <c r="AL63">
        <v>3.4769999999999999</v>
      </c>
      <c r="AM63">
        <v>3.464</v>
      </c>
      <c r="AN63">
        <v>3.427</v>
      </c>
      <c r="AO63">
        <v>3.355</v>
      </c>
      <c r="AP63">
        <v>3.343</v>
      </c>
      <c r="AS63" t="s">
        <v>538</v>
      </c>
      <c r="AT63" t="s">
        <v>55</v>
      </c>
      <c r="AU63" t="s">
        <v>214</v>
      </c>
      <c r="AV63" t="s">
        <v>276</v>
      </c>
      <c r="AW63" t="s">
        <v>335</v>
      </c>
      <c r="AX63" t="s">
        <v>403</v>
      </c>
      <c r="AY63" t="s">
        <v>466</v>
      </c>
      <c r="AZ63" t="s">
        <v>513</v>
      </c>
    </row>
    <row r="64" spans="2:52">
      <c r="B64" s="5">
        <f t="shared" si="15"/>
        <v>45439</v>
      </c>
      <c r="C64" s="12" t="str">
        <f t="shared" si="16"/>
        <v xml:space="preserve">3.403 </v>
      </c>
      <c r="D64" s="12" t="str">
        <f t="shared" si="0"/>
        <v xml:space="preserve">3.456 </v>
      </c>
      <c r="E64" s="12" t="str">
        <f t="shared" si="1"/>
        <v xml:space="preserve">3.405 </v>
      </c>
      <c r="F64" s="12" t="str">
        <f t="shared" si="2"/>
        <v xml:space="preserve">3.405 </v>
      </c>
      <c r="G64" s="12" t="str">
        <f t="shared" si="3"/>
        <v xml:space="preserve">3.426 </v>
      </c>
      <c r="H64" s="12" t="str">
        <f t="shared" si="4"/>
        <v xml:space="preserve">3.445 </v>
      </c>
      <c r="I64" s="12" t="str">
        <f t="shared" si="5"/>
        <v xml:space="preserve">3.415 </v>
      </c>
      <c r="J64" s="12" t="str">
        <f t="shared" si="6"/>
        <v xml:space="preserve">3.410 </v>
      </c>
      <c r="K64" s="12" t="str">
        <f t="shared" si="7"/>
        <v xml:space="preserve">3.437 </v>
      </c>
      <c r="L64" s="12" t="str">
        <f t="shared" si="8"/>
        <v xml:space="preserve">3.437 </v>
      </c>
      <c r="M64" s="12" t="str">
        <f t="shared" si="9"/>
        <v xml:space="preserve">3.491 </v>
      </c>
      <c r="N64" s="12" t="str">
        <f t="shared" si="10"/>
        <v xml:space="preserve">3.497 </v>
      </c>
      <c r="O64" s="12" t="str">
        <f t="shared" si="11"/>
        <v xml:space="preserve">3.479 </v>
      </c>
      <c r="P64" s="12" t="str">
        <f t="shared" si="12"/>
        <v xml:space="preserve">3.440 </v>
      </c>
      <c r="Q64" s="12" t="str">
        <f t="shared" si="13"/>
        <v xml:space="preserve">3.360 </v>
      </c>
      <c r="R64" s="12" t="str">
        <f t="shared" si="14"/>
        <v xml:space="preserve">3.348 </v>
      </c>
      <c r="Z64" s="11">
        <v>45439</v>
      </c>
      <c r="AA64">
        <v>3.403</v>
      </c>
      <c r="AB64">
        <v>3.456</v>
      </c>
      <c r="AC64">
        <v>3.4049999999999998</v>
      </c>
      <c r="AD64">
        <v>3.4049999999999998</v>
      </c>
      <c r="AE64">
        <v>3.4260000000000002</v>
      </c>
      <c r="AF64">
        <v>3.4449999999999998</v>
      </c>
      <c r="AG64">
        <v>3.415</v>
      </c>
      <c r="AH64">
        <v>3.41</v>
      </c>
      <c r="AI64">
        <v>3.4369999999999998</v>
      </c>
      <c r="AJ64">
        <v>3.4369999999999998</v>
      </c>
      <c r="AK64">
        <v>3.4910000000000001</v>
      </c>
      <c r="AL64">
        <v>3.4969999999999999</v>
      </c>
      <c r="AM64">
        <v>3.4790000000000001</v>
      </c>
      <c r="AN64">
        <v>3.44</v>
      </c>
      <c r="AO64">
        <v>3.36</v>
      </c>
      <c r="AP64">
        <v>3.3479999999999999</v>
      </c>
      <c r="AS64" t="s">
        <v>539</v>
      </c>
      <c r="AT64" t="s">
        <v>56</v>
      </c>
      <c r="AU64" t="s">
        <v>215</v>
      </c>
      <c r="AV64" t="s">
        <v>277</v>
      </c>
      <c r="AW64" t="s">
        <v>336</v>
      </c>
      <c r="AX64" t="s">
        <v>404</v>
      </c>
      <c r="AY64" t="s">
        <v>467</v>
      </c>
      <c r="AZ64" t="s">
        <v>514</v>
      </c>
    </row>
    <row r="65" spans="2:52">
      <c r="B65" s="5">
        <f t="shared" si="15"/>
        <v>45436</v>
      </c>
      <c r="C65" s="12" t="str">
        <f t="shared" si="16"/>
        <v xml:space="preserve">3.405 </v>
      </c>
      <c r="D65" s="12" t="str">
        <f t="shared" si="0"/>
        <v xml:space="preserve">3.458 </v>
      </c>
      <c r="E65" s="12" t="str">
        <f t="shared" si="1"/>
        <v xml:space="preserve">3.403 </v>
      </c>
      <c r="F65" s="12" t="str">
        <f t="shared" si="2"/>
        <v xml:space="preserve">3.413 </v>
      </c>
      <c r="G65" s="12" t="str">
        <f t="shared" si="3"/>
        <v xml:space="preserve">3.435 </v>
      </c>
      <c r="H65" s="12" t="str">
        <f t="shared" si="4"/>
        <v xml:space="preserve">3.449 </v>
      </c>
      <c r="I65" s="12" t="str">
        <f t="shared" si="5"/>
        <v xml:space="preserve">3.422 </v>
      </c>
      <c r="J65" s="12" t="str">
        <f t="shared" si="6"/>
        <v xml:space="preserve">3.415 </v>
      </c>
      <c r="K65" s="12" t="str">
        <f t="shared" si="7"/>
        <v xml:space="preserve">3.440 </v>
      </c>
      <c r="L65" s="12" t="str">
        <f t="shared" si="8"/>
        <v xml:space="preserve">3.440 </v>
      </c>
      <c r="M65" s="12" t="str">
        <f t="shared" si="9"/>
        <v xml:space="preserve">3.498 </v>
      </c>
      <c r="N65" s="12" t="str">
        <f t="shared" si="10"/>
        <v xml:space="preserve">3.507 </v>
      </c>
      <c r="O65" s="12" t="str">
        <f t="shared" si="11"/>
        <v xml:space="preserve">3.484 </v>
      </c>
      <c r="P65" s="12" t="str">
        <f t="shared" si="12"/>
        <v xml:space="preserve">3.440 </v>
      </c>
      <c r="Q65" s="12" t="str">
        <f t="shared" si="13"/>
        <v xml:space="preserve">3.360 </v>
      </c>
      <c r="R65" s="12" t="str">
        <f t="shared" si="14"/>
        <v xml:space="preserve">3.348 </v>
      </c>
      <c r="Z65" s="11">
        <v>45436</v>
      </c>
      <c r="AA65">
        <v>3.4049999999999998</v>
      </c>
      <c r="AB65">
        <v>3.4580000000000002</v>
      </c>
      <c r="AC65">
        <v>3.403</v>
      </c>
      <c r="AD65">
        <v>3.4129999999999998</v>
      </c>
      <c r="AE65">
        <v>3.4350000000000001</v>
      </c>
      <c r="AF65">
        <v>3.4489999999999998</v>
      </c>
      <c r="AG65">
        <v>3.4220000000000002</v>
      </c>
      <c r="AH65">
        <v>3.415</v>
      </c>
      <c r="AI65">
        <v>3.44</v>
      </c>
      <c r="AJ65">
        <v>3.44</v>
      </c>
      <c r="AK65">
        <v>3.4980000000000002</v>
      </c>
      <c r="AL65">
        <v>3.5070000000000001</v>
      </c>
      <c r="AM65">
        <v>3.484</v>
      </c>
      <c r="AN65">
        <v>3.44</v>
      </c>
      <c r="AO65">
        <v>3.36</v>
      </c>
      <c r="AP65">
        <v>3.3479999999999999</v>
      </c>
      <c r="AS65" t="s">
        <v>540</v>
      </c>
      <c r="AT65" t="s">
        <v>57</v>
      </c>
      <c r="AU65" t="s">
        <v>216</v>
      </c>
      <c r="AV65" t="s">
        <v>278</v>
      </c>
      <c r="AW65" t="s">
        <v>337</v>
      </c>
      <c r="AX65" t="s">
        <v>405</v>
      </c>
      <c r="AY65" t="s">
        <v>468</v>
      </c>
      <c r="AZ65" t="s">
        <v>515</v>
      </c>
    </row>
    <row r="66" spans="2:52">
      <c r="B66" s="5">
        <f t="shared" si="15"/>
        <v>45435</v>
      </c>
      <c r="C66" s="12" t="str">
        <f t="shared" si="16"/>
        <v xml:space="preserve">3.405 </v>
      </c>
      <c r="D66" s="12" t="str">
        <f t="shared" si="0"/>
        <v xml:space="preserve">3.448 </v>
      </c>
      <c r="E66" s="12" t="str">
        <f t="shared" si="1"/>
        <v xml:space="preserve">3.385 </v>
      </c>
      <c r="F66" s="12" t="str">
        <f t="shared" si="2"/>
        <v xml:space="preserve">3.408 </v>
      </c>
      <c r="G66" s="12" t="str">
        <f t="shared" si="3"/>
        <v xml:space="preserve">3.426 </v>
      </c>
      <c r="H66" s="12" t="str">
        <f t="shared" si="4"/>
        <v xml:space="preserve">3.435 </v>
      </c>
      <c r="I66" s="12" t="str">
        <f t="shared" si="5"/>
        <v xml:space="preserve">3.407 </v>
      </c>
      <c r="J66" s="12" t="str">
        <f t="shared" si="6"/>
        <v xml:space="preserve">3.400 </v>
      </c>
      <c r="K66" s="12" t="str">
        <f t="shared" si="7"/>
        <v xml:space="preserve">3.420 </v>
      </c>
      <c r="L66" s="12" t="str">
        <f t="shared" si="8"/>
        <v xml:space="preserve">3.420 </v>
      </c>
      <c r="M66" s="12" t="str">
        <f t="shared" si="9"/>
        <v xml:space="preserve">3.467 </v>
      </c>
      <c r="N66" s="12" t="str">
        <f t="shared" si="10"/>
        <v xml:space="preserve">3.465 </v>
      </c>
      <c r="O66" s="12" t="str">
        <f t="shared" si="11"/>
        <v xml:space="preserve">3.450 </v>
      </c>
      <c r="P66" s="12" t="str">
        <f t="shared" si="12"/>
        <v xml:space="preserve">3.415 </v>
      </c>
      <c r="Q66" s="12" t="str">
        <f t="shared" si="13"/>
        <v xml:space="preserve">3.320 </v>
      </c>
      <c r="R66" s="12" t="str">
        <f t="shared" si="14"/>
        <v xml:space="preserve">3.308 </v>
      </c>
      <c r="Z66" s="11">
        <v>45435</v>
      </c>
      <c r="AA66">
        <v>3.4049999999999998</v>
      </c>
      <c r="AB66">
        <v>3.448</v>
      </c>
      <c r="AC66">
        <v>3.3849999999999998</v>
      </c>
      <c r="AD66">
        <v>3.4079999999999999</v>
      </c>
      <c r="AE66">
        <v>3.4260000000000002</v>
      </c>
      <c r="AF66">
        <v>3.4350000000000001</v>
      </c>
      <c r="AG66">
        <v>3.407</v>
      </c>
      <c r="AH66">
        <v>3.4</v>
      </c>
      <c r="AI66">
        <v>3.42</v>
      </c>
      <c r="AJ66">
        <v>3.42</v>
      </c>
      <c r="AK66">
        <v>3.4670000000000001</v>
      </c>
      <c r="AL66">
        <v>3.4649999999999999</v>
      </c>
      <c r="AM66">
        <v>3.45</v>
      </c>
      <c r="AN66">
        <v>3.415</v>
      </c>
      <c r="AO66">
        <v>3.32</v>
      </c>
      <c r="AP66">
        <v>3.3079999999999998</v>
      </c>
      <c r="AS66" t="s">
        <v>541</v>
      </c>
      <c r="AT66" t="s">
        <v>58</v>
      </c>
      <c r="AU66" t="s">
        <v>217</v>
      </c>
      <c r="AV66" t="s">
        <v>279</v>
      </c>
      <c r="AW66" t="s">
        <v>338</v>
      </c>
      <c r="AX66" t="s">
        <v>406</v>
      </c>
      <c r="AY66" t="s">
        <v>469</v>
      </c>
      <c r="AZ66" t="s">
        <v>516</v>
      </c>
    </row>
    <row r="67" spans="2:52">
      <c r="B67" s="5">
        <f t="shared" si="15"/>
        <v>45434</v>
      </c>
      <c r="C67" s="12" t="str">
        <f t="shared" si="16"/>
        <v xml:space="preserve">3.408 </v>
      </c>
      <c r="D67" s="12" t="str">
        <f t="shared" si="0"/>
        <v xml:space="preserve">3.451 </v>
      </c>
      <c r="E67" s="12" t="str">
        <f t="shared" si="1"/>
        <v xml:space="preserve">3.385 </v>
      </c>
      <c r="F67" s="12" t="str">
        <f t="shared" si="2"/>
        <v xml:space="preserve">3.423 </v>
      </c>
      <c r="G67" s="12" t="str">
        <f t="shared" si="3"/>
        <v xml:space="preserve">3.437 </v>
      </c>
      <c r="H67" s="12" t="str">
        <f t="shared" si="4"/>
        <v xml:space="preserve">3.445 </v>
      </c>
      <c r="I67" s="12" t="str">
        <f t="shared" si="5"/>
        <v xml:space="preserve">3.425 </v>
      </c>
      <c r="J67" s="12" t="str">
        <f t="shared" si="6"/>
        <v xml:space="preserve">3.415 </v>
      </c>
      <c r="K67" s="12" t="str">
        <f t="shared" si="7"/>
        <v xml:space="preserve">3.445 </v>
      </c>
      <c r="L67" s="12" t="str">
        <f t="shared" si="8"/>
        <v xml:space="preserve">3.445 </v>
      </c>
      <c r="M67" s="12" t="str">
        <f t="shared" si="9"/>
        <v xml:space="preserve">3.489 </v>
      </c>
      <c r="N67" s="12" t="str">
        <f t="shared" si="10"/>
        <v xml:space="preserve">3.485 </v>
      </c>
      <c r="O67" s="12" t="str">
        <f t="shared" si="11"/>
        <v xml:space="preserve">3.459 </v>
      </c>
      <c r="P67" s="12" t="str">
        <f t="shared" si="12"/>
        <v xml:space="preserve">3.412 </v>
      </c>
      <c r="Q67" s="12" t="str">
        <f t="shared" si="13"/>
        <v xml:space="preserve">3.320 </v>
      </c>
      <c r="R67" s="12" t="str">
        <f t="shared" si="14"/>
        <v xml:space="preserve">3.308 </v>
      </c>
      <c r="Z67" s="11">
        <v>45434</v>
      </c>
      <c r="AA67">
        <v>3.4079999999999999</v>
      </c>
      <c r="AB67">
        <v>3.4510000000000001</v>
      </c>
      <c r="AC67">
        <v>3.3849999999999998</v>
      </c>
      <c r="AD67">
        <v>3.423</v>
      </c>
      <c r="AE67">
        <v>3.4369999999999998</v>
      </c>
      <c r="AF67">
        <v>3.4449999999999998</v>
      </c>
      <c r="AG67">
        <v>3.4249999999999998</v>
      </c>
      <c r="AH67">
        <v>3.415</v>
      </c>
      <c r="AI67">
        <v>3.4449999999999998</v>
      </c>
      <c r="AJ67">
        <v>3.4449999999999998</v>
      </c>
      <c r="AK67">
        <v>3.4889999999999999</v>
      </c>
      <c r="AL67">
        <v>3.4849999999999999</v>
      </c>
      <c r="AM67">
        <v>3.4590000000000001</v>
      </c>
      <c r="AN67">
        <v>3.4119999999999999</v>
      </c>
      <c r="AO67">
        <v>3.32</v>
      </c>
      <c r="AP67">
        <v>3.3079999999999998</v>
      </c>
      <c r="AS67" t="s">
        <v>110</v>
      </c>
      <c r="AT67" t="s">
        <v>59</v>
      </c>
      <c r="AU67" t="s">
        <v>218</v>
      </c>
      <c r="AV67" t="s">
        <v>280</v>
      </c>
      <c r="AW67" t="s">
        <v>339</v>
      </c>
      <c r="AX67" t="s">
        <v>407</v>
      </c>
      <c r="AY67" t="s">
        <v>470</v>
      </c>
      <c r="AZ67" t="s">
        <v>517</v>
      </c>
    </row>
    <row r="68" spans="2:52">
      <c r="B68" s="5">
        <f t="shared" si="15"/>
        <v>45433</v>
      </c>
      <c r="C68" s="12" t="str">
        <f t="shared" si="16"/>
        <v xml:space="preserve">3.408 </v>
      </c>
      <c r="D68" s="12" t="str">
        <f t="shared" si="0"/>
        <v xml:space="preserve">3.451 </v>
      </c>
      <c r="E68" s="12" t="str">
        <f t="shared" si="1"/>
        <v xml:space="preserve">3.385 </v>
      </c>
      <c r="F68" s="12" t="str">
        <f t="shared" si="2"/>
        <v xml:space="preserve">3.431 </v>
      </c>
      <c r="G68" s="12" t="str">
        <f t="shared" si="3"/>
        <v xml:space="preserve">3.439 </v>
      </c>
      <c r="H68" s="12" t="str">
        <f t="shared" si="4"/>
        <v xml:space="preserve">3.444 </v>
      </c>
      <c r="I68" s="12" t="str">
        <f t="shared" si="5"/>
        <v xml:space="preserve">3.421 </v>
      </c>
      <c r="J68" s="12" t="str">
        <f t="shared" si="6"/>
        <v xml:space="preserve">3.412 </v>
      </c>
      <c r="K68" s="12" t="str">
        <f t="shared" si="7"/>
        <v xml:space="preserve">3.442 </v>
      </c>
      <c r="L68" s="12" t="str">
        <f t="shared" si="8"/>
        <v xml:space="preserve">3.445 </v>
      </c>
      <c r="M68" s="12" t="str">
        <f t="shared" si="9"/>
        <v xml:space="preserve">3.494 </v>
      </c>
      <c r="N68" s="12" t="str">
        <f t="shared" si="10"/>
        <v xml:space="preserve">3.495 </v>
      </c>
      <c r="O68" s="12" t="str">
        <f t="shared" si="11"/>
        <v xml:space="preserve">3.472 </v>
      </c>
      <c r="P68" s="12" t="str">
        <f t="shared" si="12"/>
        <v xml:space="preserve">3.430 </v>
      </c>
      <c r="Q68" s="12" t="str">
        <f t="shared" si="13"/>
        <v xml:space="preserve">3.340 </v>
      </c>
      <c r="R68" s="12" t="str">
        <f t="shared" si="14"/>
        <v xml:space="preserve">3.328 </v>
      </c>
      <c r="Z68" s="11">
        <v>45433</v>
      </c>
      <c r="AA68">
        <v>3.4079999999999999</v>
      </c>
      <c r="AB68">
        <v>3.4510000000000001</v>
      </c>
      <c r="AC68">
        <v>3.3849999999999998</v>
      </c>
      <c r="AD68">
        <v>3.431</v>
      </c>
      <c r="AE68">
        <v>3.4390000000000001</v>
      </c>
      <c r="AF68">
        <v>3.444</v>
      </c>
      <c r="AG68">
        <v>3.4209999999999998</v>
      </c>
      <c r="AH68">
        <v>3.4119999999999999</v>
      </c>
      <c r="AI68">
        <v>3.4420000000000002</v>
      </c>
      <c r="AJ68">
        <v>3.4449999999999998</v>
      </c>
      <c r="AK68">
        <v>3.4940000000000002</v>
      </c>
      <c r="AL68">
        <v>3.4950000000000001</v>
      </c>
      <c r="AM68">
        <v>3.472</v>
      </c>
      <c r="AN68">
        <v>3.43</v>
      </c>
      <c r="AO68">
        <v>3.34</v>
      </c>
      <c r="AP68">
        <v>3.3279999999999998</v>
      </c>
      <c r="AS68" t="s">
        <v>111</v>
      </c>
      <c r="AT68" t="s">
        <v>60</v>
      </c>
      <c r="AU68" t="s">
        <v>219</v>
      </c>
      <c r="AV68" t="s">
        <v>281</v>
      </c>
      <c r="AW68" t="s">
        <v>340</v>
      </c>
      <c r="AX68" t="s">
        <v>408</v>
      </c>
      <c r="AY68" t="s">
        <v>471</v>
      </c>
    </row>
    <row r="69" spans="2:52">
      <c r="B69" s="5">
        <f t="shared" si="15"/>
        <v>45432</v>
      </c>
      <c r="C69" s="12" t="str">
        <f t="shared" si="16"/>
        <v xml:space="preserve">3.408 </v>
      </c>
      <c r="D69" s="12" t="str">
        <f t="shared" si="0"/>
        <v xml:space="preserve">3.451 </v>
      </c>
      <c r="E69" s="12" t="str">
        <f t="shared" si="1"/>
        <v xml:space="preserve">3.385 </v>
      </c>
      <c r="F69" s="12" t="str">
        <f t="shared" si="2"/>
        <v xml:space="preserve">3.431 </v>
      </c>
      <c r="G69" s="12" t="str">
        <f t="shared" si="3"/>
        <v xml:space="preserve">3.440 </v>
      </c>
      <c r="H69" s="12" t="str">
        <f t="shared" si="4"/>
        <v xml:space="preserve">3.439 </v>
      </c>
      <c r="I69" s="12" t="str">
        <f t="shared" si="5"/>
        <v xml:space="preserve">3.417 </v>
      </c>
      <c r="J69" s="12" t="str">
        <f t="shared" si="6"/>
        <v xml:space="preserve">3.407 </v>
      </c>
      <c r="K69" s="12" t="str">
        <f t="shared" si="7"/>
        <v xml:space="preserve">3.440 </v>
      </c>
      <c r="L69" s="12" t="str">
        <f t="shared" si="8"/>
        <v xml:space="preserve">3.442 </v>
      </c>
      <c r="M69" s="12" t="str">
        <f t="shared" si="9"/>
        <v xml:space="preserve">3.494 </v>
      </c>
      <c r="N69" s="12" t="str">
        <f t="shared" si="10"/>
        <v xml:space="preserve">3.497 </v>
      </c>
      <c r="O69" s="12" t="str">
        <f t="shared" si="11"/>
        <v xml:space="preserve">3.485 </v>
      </c>
      <c r="P69" s="12" t="str">
        <f t="shared" si="12"/>
        <v xml:space="preserve">3.453 </v>
      </c>
      <c r="Q69" s="12" t="str">
        <f t="shared" si="13"/>
        <v xml:space="preserve">3.360 </v>
      </c>
      <c r="R69" s="12" t="str">
        <f t="shared" si="14"/>
        <v xml:space="preserve">3.348 </v>
      </c>
      <c r="Z69" s="11">
        <v>45432</v>
      </c>
      <c r="AA69">
        <v>3.4079999999999999</v>
      </c>
      <c r="AB69">
        <v>3.4510000000000001</v>
      </c>
      <c r="AC69">
        <v>3.3849999999999998</v>
      </c>
      <c r="AD69">
        <v>3.431</v>
      </c>
      <c r="AE69">
        <v>3.44</v>
      </c>
      <c r="AF69">
        <v>3.4390000000000001</v>
      </c>
      <c r="AG69">
        <v>3.4169999999999998</v>
      </c>
      <c r="AH69">
        <v>3.407</v>
      </c>
      <c r="AI69">
        <v>3.44</v>
      </c>
      <c r="AJ69">
        <v>3.4420000000000002</v>
      </c>
      <c r="AK69">
        <v>3.4940000000000002</v>
      </c>
      <c r="AL69">
        <v>3.4969999999999999</v>
      </c>
      <c r="AM69">
        <v>3.4849999999999999</v>
      </c>
      <c r="AN69">
        <v>3.4529999999999998</v>
      </c>
      <c r="AO69">
        <v>3.36</v>
      </c>
      <c r="AP69">
        <v>3.3479999999999999</v>
      </c>
      <c r="AS69" t="s">
        <v>112</v>
      </c>
      <c r="AT69" t="s">
        <v>61</v>
      </c>
      <c r="AU69" t="s">
        <v>220</v>
      </c>
      <c r="AV69" t="s">
        <v>282</v>
      </c>
      <c r="AW69" t="s">
        <v>341</v>
      </c>
      <c r="AX69" t="s">
        <v>409</v>
      </c>
      <c r="AY69" t="s">
        <v>472</v>
      </c>
      <c r="AZ69" t="s">
        <v>518</v>
      </c>
    </row>
    <row r="70" spans="2:52">
      <c r="B70" s="5">
        <f t="shared" si="15"/>
        <v>45429</v>
      </c>
      <c r="C70" s="12" t="str">
        <f t="shared" si="16"/>
        <v xml:space="preserve">3.403 </v>
      </c>
      <c r="D70" s="12" t="str">
        <f t="shared" si="0"/>
        <v xml:space="preserve">3.450 </v>
      </c>
      <c r="E70" s="12" t="str">
        <f t="shared" si="1"/>
        <v xml:space="preserve">3.381 </v>
      </c>
      <c r="F70" s="12" t="str">
        <f t="shared" si="2"/>
        <v xml:space="preserve">3.420 </v>
      </c>
      <c r="G70" s="12" t="str">
        <f t="shared" si="3"/>
        <v xml:space="preserve">3.428 </v>
      </c>
      <c r="H70" s="12" t="str">
        <f t="shared" si="4"/>
        <v xml:space="preserve">3.415 </v>
      </c>
      <c r="I70" s="12" t="str">
        <f t="shared" si="5"/>
        <v xml:space="preserve">3.384 </v>
      </c>
      <c r="J70" s="12" t="str">
        <f t="shared" si="6"/>
        <v xml:space="preserve">3.375 </v>
      </c>
      <c r="K70" s="12" t="str">
        <f t="shared" si="7"/>
        <v xml:space="preserve">3.407 </v>
      </c>
      <c r="L70" s="12" t="str">
        <f t="shared" si="8"/>
        <v xml:space="preserve">3.410 </v>
      </c>
      <c r="M70" s="12" t="str">
        <f t="shared" si="9"/>
        <v xml:space="preserve">3.457 </v>
      </c>
      <c r="N70" s="12" t="str">
        <f t="shared" si="10"/>
        <v xml:space="preserve">3.455 </v>
      </c>
      <c r="O70" s="12" t="str">
        <f t="shared" si="11"/>
        <v xml:space="preserve">3.436 </v>
      </c>
      <c r="P70" s="12" t="str">
        <f t="shared" si="12"/>
        <v xml:space="preserve">3.397 </v>
      </c>
      <c r="Q70" s="12" t="str">
        <f t="shared" si="13"/>
        <v xml:space="preserve">3.320 </v>
      </c>
      <c r="R70" s="12" t="str">
        <f t="shared" si="14"/>
        <v xml:space="preserve">3.308 </v>
      </c>
      <c r="Z70" s="11">
        <v>45429</v>
      </c>
      <c r="AA70">
        <v>3.403</v>
      </c>
      <c r="AB70">
        <v>3.45</v>
      </c>
      <c r="AC70">
        <v>3.3809999999999998</v>
      </c>
      <c r="AD70">
        <v>3.42</v>
      </c>
      <c r="AE70">
        <v>3.4279999999999999</v>
      </c>
      <c r="AF70">
        <v>3.415</v>
      </c>
      <c r="AG70">
        <v>3.3839999999999999</v>
      </c>
      <c r="AH70">
        <v>3.375</v>
      </c>
      <c r="AI70">
        <v>3.407</v>
      </c>
      <c r="AJ70">
        <v>3.41</v>
      </c>
      <c r="AK70">
        <v>3.4569999999999999</v>
      </c>
      <c r="AL70">
        <v>3.4550000000000001</v>
      </c>
      <c r="AM70">
        <v>3.4359999999999999</v>
      </c>
      <c r="AN70">
        <v>3.3969999999999998</v>
      </c>
      <c r="AO70">
        <v>3.32</v>
      </c>
      <c r="AP70">
        <v>3.3079999999999998</v>
      </c>
      <c r="AS70" t="s">
        <v>113</v>
      </c>
      <c r="AT70" t="s">
        <v>62</v>
      </c>
      <c r="AU70" t="s">
        <v>221</v>
      </c>
      <c r="AV70" t="s">
        <v>283</v>
      </c>
      <c r="AW70" t="s">
        <v>342</v>
      </c>
      <c r="AX70" t="s">
        <v>410</v>
      </c>
      <c r="AY70" t="s">
        <v>473</v>
      </c>
    </row>
    <row r="71" spans="2:52">
      <c r="B71" s="5">
        <f t="shared" si="15"/>
        <v>45428</v>
      </c>
      <c r="C71" s="12" t="str">
        <f t="shared" si="16"/>
        <v xml:space="preserve">3.403 </v>
      </c>
      <c r="D71" s="12" t="str">
        <f t="shared" ref="D71:D134" si="17">IF(AB71="", "", CHOOSE($W$7, TEXT(AB71, "#,##0.000_ ;-#,##0.000 "), TEXT(AB71*100, "#,##0.0_ ;-#,##0.0 "), TEXT(AB71, "#,##0.0_ ;-#,##0.0 ")) )</f>
        <v xml:space="preserve">3.450 </v>
      </c>
      <c r="E71" s="12" t="str">
        <f t="shared" ref="E71:E134" si="18">IF(AC71="", "", CHOOSE($W$7, TEXT(AC71, "#,##0.000_ ;-#,##0.000 "), TEXT(AC71*100, "#,##0.0_ ;-#,##0.0 "), TEXT(AC71, "#,##0.0_ ;-#,##0.0 ")) )</f>
        <v xml:space="preserve">3.390 </v>
      </c>
      <c r="F71" s="12" t="str">
        <f t="shared" ref="F71:F134" si="19">IF(AD71="", "", CHOOSE($W$7, TEXT(AD71, "#,##0.000_ ;-#,##0.000 "), TEXT(AD71*100, "#,##0.0_ ;-#,##0.0 "), TEXT(AD71, "#,##0.0_ ;-#,##0.0 ")) )</f>
        <v xml:space="preserve">3.420 </v>
      </c>
      <c r="G71" s="12" t="str">
        <f t="shared" ref="G71:G134" si="20">IF(AE71="", "", CHOOSE($W$7, TEXT(AE71, "#,##0.000_ ;-#,##0.000 "), TEXT(AE71*100, "#,##0.0_ ;-#,##0.0 "), TEXT(AE71, "#,##0.0_ ;-#,##0.0 ")) )</f>
        <v xml:space="preserve">3.420 </v>
      </c>
      <c r="H71" s="12" t="str">
        <f t="shared" ref="H71:H134" si="21">IF(AF71="", "", CHOOSE($W$7, TEXT(AF71, "#,##0.000_ ;-#,##0.000 "), TEXT(AF71*100, "#,##0.0_ ;-#,##0.0 "), TEXT(AF71, "#,##0.0_ ;-#,##0.0 ")) )</f>
        <v xml:space="preserve">3.415 </v>
      </c>
      <c r="I71" s="12" t="str">
        <f t="shared" ref="I71:I134" si="22">IF(AG71="", "", CHOOSE($W$7, TEXT(AG71, "#,##0.000_ ;-#,##0.000 "), TEXT(AG71*100, "#,##0.0_ ;-#,##0.0 "), TEXT(AG71, "#,##0.0_ ;-#,##0.0 ")) )</f>
        <v xml:space="preserve">3.390 </v>
      </c>
      <c r="J71" s="12" t="str">
        <f t="shared" ref="J71:J134" si="23">IF(AH71="", "", CHOOSE($W$7, TEXT(AH71, "#,##0.000_ ;-#,##0.000 "), TEXT(AH71*100, "#,##0.0_ ;-#,##0.0 "), TEXT(AH71, "#,##0.0_ ;-#,##0.0 ")) )</f>
        <v xml:space="preserve">3.377 </v>
      </c>
      <c r="K71" s="12" t="str">
        <f t="shared" ref="K71:K134" si="24">IF(AI71="", "", CHOOSE($W$7, TEXT(AI71, "#,##0.000_ ;-#,##0.000 "), TEXT(AI71*100, "#,##0.0_ ;-#,##0.0 "), TEXT(AI71, "#,##0.0_ ;-#,##0.0 ")) )</f>
        <v xml:space="preserve">3.410 </v>
      </c>
      <c r="L71" s="12" t="str">
        <f t="shared" ref="L71:L134" si="25">IF(AJ71="", "", CHOOSE($W$7, TEXT(AJ71, "#,##0.000_ ;-#,##0.000 "), TEXT(AJ71*100, "#,##0.0_ ;-#,##0.0 "), TEXT(AJ71, "#,##0.0_ ;-#,##0.0 ")) )</f>
        <v xml:space="preserve">3.415 </v>
      </c>
      <c r="M71" s="12" t="str">
        <f t="shared" ref="M71:M134" si="26">IF(AK71="", "", CHOOSE($W$7, TEXT(AK71, "#,##0.000_ ;-#,##0.000 "), TEXT(AK71*100, "#,##0.0_ ;-#,##0.0 "), TEXT(AK71, "#,##0.0_ ;-#,##0.0 ")) )</f>
        <v xml:space="preserve">3.465 </v>
      </c>
      <c r="N71" s="12" t="str">
        <f t="shared" ref="N71:N134" si="27">IF(AL71="", "", CHOOSE($W$7, TEXT(AL71, "#,##0.000_ ;-#,##0.000 "), TEXT(AL71*100, "#,##0.0_ ;-#,##0.0 "), TEXT(AL71, "#,##0.0_ ;-#,##0.0 ")) )</f>
        <v xml:space="preserve">3.465 </v>
      </c>
      <c r="O71" s="12" t="str">
        <f t="shared" ref="O71:O134" si="28">IF(AM71="", "", CHOOSE($W$7, TEXT(AM71, "#,##0.000_ ;-#,##0.000 "), TEXT(AM71*100, "#,##0.0_ ;-#,##0.0 "), TEXT(AM71, "#,##0.0_ ;-#,##0.0 ")) )</f>
        <v xml:space="preserve">3.441 </v>
      </c>
      <c r="P71" s="12" t="str">
        <f t="shared" ref="P71:P134" si="29">IF(AN71="", "", CHOOSE($W$7, TEXT(AN71, "#,##0.000_ ;-#,##0.000 "), TEXT(AN71*100, "#,##0.0_ ;-#,##0.0 "), TEXT(AN71, "#,##0.0_ ;-#,##0.0 ")) )</f>
        <v xml:space="preserve">3.395 </v>
      </c>
      <c r="Q71" s="12" t="str">
        <f t="shared" ref="Q71:Q134" si="30">IF(AO71="", "", CHOOSE($W$7, TEXT(AO71, "#,##0.000_ ;-#,##0.000 "), TEXT(AO71*100, "#,##0.0_ ;-#,##0.0 "), TEXT(AO71, "#,##0.0_ ;-#,##0.0 ")) )</f>
        <v xml:space="preserve">3.322 </v>
      </c>
      <c r="R71" s="12" t="str">
        <f t="shared" ref="R71:R134" si="31">IF(AP71="", "", CHOOSE($W$7, TEXT(AP71, "#,##0.000_ ;-#,##0.000 "), TEXT(AP71*100, "#,##0.0_ ;-#,##0.0 "), TEXT(AP71, "#,##0.0_ ;-#,##0.0 ")) )</f>
        <v xml:space="preserve">3.310 </v>
      </c>
      <c r="Z71" s="11">
        <v>45428</v>
      </c>
      <c r="AA71">
        <v>3.403</v>
      </c>
      <c r="AB71">
        <v>3.45</v>
      </c>
      <c r="AC71">
        <v>3.39</v>
      </c>
      <c r="AD71">
        <v>3.42</v>
      </c>
      <c r="AE71">
        <v>3.42</v>
      </c>
      <c r="AF71">
        <v>3.415</v>
      </c>
      <c r="AG71">
        <v>3.39</v>
      </c>
      <c r="AH71">
        <v>3.3769999999999998</v>
      </c>
      <c r="AI71">
        <v>3.41</v>
      </c>
      <c r="AJ71">
        <v>3.415</v>
      </c>
      <c r="AK71">
        <v>3.4649999999999999</v>
      </c>
      <c r="AL71">
        <v>3.4649999999999999</v>
      </c>
      <c r="AM71">
        <v>3.4409999999999998</v>
      </c>
      <c r="AN71">
        <v>3.395</v>
      </c>
      <c r="AO71">
        <v>3.3220000000000001</v>
      </c>
      <c r="AP71">
        <v>3.31</v>
      </c>
      <c r="AS71" t="s">
        <v>114</v>
      </c>
      <c r="AT71" t="s">
        <v>63</v>
      </c>
      <c r="AU71" t="s">
        <v>222</v>
      </c>
      <c r="AV71" t="s">
        <v>284</v>
      </c>
      <c r="AW71" t="s">
        <v>343</v>
      </c>
      <c r="AX71" t="s">
        <v>411</v>
      </c>
      <c r="AY71" t="s">
        <v>474</v>
      </c>
      <c r="AZ71" t="s">
        <v>519</v>
      </c>
    </row>
    <row r="72" spans="2:52">
      <c r="B72" s="5">
        <f t="shared" ref="B72:B135" si="32">IF(Z72="","",Z72)</f>
        <v>45426</v>
      </c>
      <c r="C72" s="12" t="str">
        <f t="shared" ref="C72:C135" si="33">IF(AA72="", "", CHOOSE($W$7, TEXT(AA72, "#,##0.000_ ;-#,##0.000 "), TEXT(AA72*100, "#,##0.0_ ;-#,##0.0 "), TEXT(AA72, "#,##0.0_ ;-#,##0.0 ")) )</f>
        <v xml:space="preserve">3.410 </v>
      </c>
      <c r="D72" s="12" t="str">
        <f t="shared" si="17"/>
        <v xml:space="preserve">3.455 </v>
      </c>
      <c r="E72" s="12" t="str">
        <f t="shared" si="18"/>
        <v xml:space="preserve">3.413 </v>
      </c>
      <c r="F72" s="12" t="str">
        <f t="shared" si="19"/>
        <v xml:space="preserve">3.456 </v>
      </c>
      <c r="G72" s="12" t="str">
        <f t="shared" si="20"/>
        <v xml:space="preserve">3.465 </v>
      </c>
      <c r="H72" s="12" t="str">
        <f t="shared" si="21"/>
        <v xml:space="preserve">3.473 </v>
      </c>
      <c r="I72" s="12" t="str">
        <f t="shared" si="22"/>
        <v xml:space="preserve">3.456 </v>
      </c>
      <c r="J72" s="12" t="str">
        <f t="shared" si="23"/>
        <v xml:space="preserve">3.452 </v>
      </c>
      <c r="K72" s="12" t="str">
        <f t="shared" si="24"/>
        <v xml:space="preserve">3.487 </v>
      </c>
      <c r="L72" s="12" t="str">
        <f t="shared" si="25"/>
        <v xml:space="preserve">3.495 </v>
      </c>
      <c r="M72" s="12" t="str">
        <f t="shared" si="26"/>
        <v xml:space="preserve">3.545 </v>
      </c>
      <c r="N72" s="12" t="str">
        <f t="shared" si="27"/>
        <v xml:space="preserve">3.545 </v>
      </c>
      <c r="O72" s="12" t="str">
        <f t="shared" si="28"/>
        <v xml:space="preserve">3.518 </v>
      </c>
      <c r="P72" s="12" t="str">
        <f t="shared" si="29"/>
        <v xml:space="preserve">3.473 </v>
      </c>
      <c r="Q72" s="12" t="str">
        <f t="shared" si="30"/>
        <v xml:space="preserve">3.392 </v>
      </c>
      <c r="R72" s="12" t="str">
        <f t="shared" si="31"/>
        <v xml:space="preserve">3.380 </v>
      </c>
      <c r="Z72" s="11">
        <v>45426</v>
      </c>
      <c r="AA72">
        <v>3.41</v>
      </c>
      <c r="AB72">
        <v>3.4550000000000001</v>
      </c>
      <c r="AC72">
        <v>3.4129999999999998</v>
      </c>
      <c r="AD72">
        <v>3.456</v>
      </c>
      <c r="AE72">
        <v>3.4649999999999999</v>
      </c>
      <c r="AF72">
        <v>3.4729999999999999</v>
      </c>
      <c r="AG72">
        <v>3.456</v>
      </c>
      <c r="AH72">
        <v>3.452</v>
      </c>
      <c r="AI72">
        <v>3.4870000000000001</v>
      </c>
      <c r="AJ72">
        <v>3.4950000000000001</v>
      </c>
      <c r="AK72">
        <v>3.5449999999999999</v>
      </c>
      <c r="AL72">
        <v>3.5449999999999999</v>
      </c>
      <c r="AM72">
        <v>3.5179999999999998</v>
      </c>
      <c r="AN72">
        <v>3.4729999999999999</v>
      </c>
      <c r="AO72">
        <v>3.3919999999999999</v>
      </c>
      <c r="AP72">
        <v>3.38</v>
      </c>
      <c r="AS72" t="s">
        <v>115</v>
      </c>
      <c r="AT72" t="s">
        <v>64</v>
      </c>
      <c r="AU72" t="s">
        <v>223</v>
      </c>
      <c r="AV72" t="s">
        <v>285</v>
      </c>
      <c r="AW72" t="s">
        <v>344</v>
      </c>
      <c r="AX72" t="s">
        <v>412</v>
      </c>
      <c r="AY72" t="s">
        <v>475</v>
      </c>
      <c r="AZ72" t="s">
        <v>520</v>
      </c>
    </row>
    <row r="73" spans="2:52">
      <c r="B73" s="5">
        <f t="shared" si="32"/>
        <v>45425</v>
      </c>
      <c r="C73" s="12" t="str">
        <f t="shared" si="33"/>
        <v xml:space="preserve">3.410 </v>
      </c>
      <c r="D73" s="12" t="str">
        <f t="shared" si="17"/>
        <v xml:space="preserve">3.458 </v>
      </c>
      <c r="E73" s="12" t="str">
        <f t="shared" si="18"/>
        <v xml:space="preserve">3.413 </v>
      </c>
      <c r="F73" s="12" t="str">
        <f t="shared" si="19"/>
        <v xml:space="preserve">3.460 </v>
      </c>
      <c r="G73" s="12" t="str">
        <f t="shared" si="20"/>
        <v xml:space="preserve">3.466 </v>
      </c>
      <c r="H73" s="12" t="str">
        <f t="shared" si="21"/>
        <v xml:space="preserve">3.472 </v>
      </c>
      <c r="I73" s="12" t="str">
        <f t="shared" si="22"/>
        <v xml:space="preserve">3.458 </v>
      </c>
      <c r="J73" s="12" t="str">
        <f t="shared" si="23"/>
        <v xml:space="preserve">3.452 </v>
      </c>
      <c r="K73" s="12" t="str">
        <f t="shared" si="24"/>
        <v xml:space="preserve">3.485 </v>
      </c>
      <c r="L73" s="12" t="str">
        <f t="shared" si="25"/>
        <v xml:space="preserve">3.495 </v>
      </c>
      <c r="M73" s="12" t="str">
        <f t="shared" si="26"/>
        <v xml:space="preserve">3.550 </v>
      </c>
      <c r="N73" s="12" t="str">
        <f t="shared" si="27"/>
        <v xml:space="preserve">3.555 </v>
      </c>
      <c r="O73" s="12" t="str">
        <f t="shared" si="28"/>
        <v xml:space="preserve">3.531 </v>
      </c>
      <c r="P73" s="12" t="str">
        <f t="shared" si="29"/>
        <v xml:space="preserve">3.490 </v>
      </c>
      <c r="Q73" s="12" t="str">
        <f t="shared" si="30"/>
        <v xml:space="preserve">3.407 </v>
      </c>
      <c r="R73" s="12" t="str">
        <f t="shared" si="31"/>
        <v xml:space="preserve">3.395 </v>
      </c>
      <c r="Z73" s="11">
        <v>45425</v>
      </c>
      <c r="AA73">
        <v>3.41</v>
      </c>
      <c r="AB73">
        <v>3.4580000000000002</v>
      </c>
      <c r="AC73">
        <v>3.4129999999999998</v>
      </c>
      <c r="AD73">
        <v>3.46</v>
      </c>
      <c r="AE73">
        <v>3.4660000000000002</v>
      </c>
      <c r="AF73">
        <v>3.472</v>
      </c>
      <c r="AG73">
        <v>3.4580000000000002</v>
      </c>
      <c r="AH73">
        <v>3.452</v>
      </c>
      <c r="AI73">
        <v>3.4849999999999999</v>
      </c>
      <c r="AJ73">
        <v>3.4950000000000001</v>
      </c>
      <c r="AK73">
        <v>3.55</v>
      </c>
      <c r="AL73">
        <v>3.5550000000000002</v>
      </c>
      <c r="AM73">
        <v>3.5310000000000001</v>
      </c>
      <c r="AN73">
        <v>3.49</v>
      </c>
      <c r="AO73">
        <v>3.407</v>
      </c>
      <c r="AP73">
        <v>3.395</v>
      </c>
      <c r="AS73" t="s">
        <v>116</v>
      </c>
      <c r="AT73" t="s">
        <v>65</v>
      </c>
      <c r="AU73" t="s">
        <v>224</v>
      </c>
      <c r="AV73" t="s">
        <v>286</v>
      </c>
      <c r="AW73" t="s">
        <v>345</v>
      </c>
      <c r="AX73" t="s">
        <v>413</v>
      </c>
      <c r="AY73" t="s">
        <v>476</v>
      </c>
      <c r="AZ73" t="s">
        <v>521</v>
      </c>
    </row>
    <row r="74" spans="2:52">
      <c r="B74" s="5">
        <f t="shared" si="32"/>
        <v>45422</v>
      </c>
      <c r="C74" s="12" t="str">
        <f t="shared" si="33"/>
        <v xml:space="preserve">3.411 </v>
      </c>
      <c r="D74" s="12" t="str">
        <f t="shared" si="17"/>
        <v xml:space="preserve">3.455 </v>
      </c>
      <c r="E74" s="12" t="str">
        <f t="shared" si="18"/>
        <v xml:space="preserve">3.418 </v>
      </c>
      <c r="F74" s="12" t="str">
        <f t="shared" si="19"/>
        <v xml:space="preserve">3.455 </v>
      </c>
      <c r="G74" s="12" t="str">
        <f t="shared" si="20"/>
        <v xml:space="preserve">3.455 </v>
      </c>
      <c r="H74" s="12" t="str">
        <f t="shared" si="21"/>
        <v xml:space="preserve">3.460 </v>
      </c>
      <c r="I74" s="12" t="str">
        <f t="shared" si="22"/>
        <v xml:space="preserve">3.441 </v>
      </c>
      <c r="J74" s="12" t="str">
        <f t="shared" si="23"/>
        <v xml:space="preserve">3.434 </v>
      </c>
      <c r="K74" s="12" t="str">
        <f t="shared" si="24"/>
        <v xml:space="preserve">3.466 </v>
      </c>
      <c r="L74" s="12" t="str">
        <f t="shared" si="25"/>
        <v xml:space="preserve">3.475 </v>
      </c>
      <c r="M74" s="12" t="str">
        <f t="shared" si="26"/>
        <v xml:space="preserve">3.530 </v>
      </c>
      <c r="N74" s="12" t="str">
        <f t="shared" si="27"/>
        <v xml:space="preserve">3.535 </v>
      </c>
      <c r="O74" s="12" t="str">
        <f t="shared" si="28"/>
        <v xml:space="preserve">3.511 </v>
      </c>
      <c r="P74" s="12" t="str">
        <f t="shared" si="29"/>
        <v xml:space="preserve">3.470 </v>
      </c>
      <c r="Q74" s="12" t="str">
        <f t="shared" si="30"/>
        <v xml:space="preserve">3.392 </v>
      </c>
      <c r="R74" s="12" t="str">
        <f t="shared" si="31"/>
        <v xml:space="preserve">3.380 </v>
      </c>
      <c r="Z74" s="11">
        <v>45422</v>
      </c>
      <c r="AA74">
        <v>3.411</v>
      </c>
      <c r="AB74">
        <v>3.4550000000000001</v>
      </c>
      <c r="AC74">
        <v>3.4180000000000001</v>
      </c>
      <c r="AD74">
        <v>3.4550000000000001</v>
      </c>
      <c r="AE74">
        <v>3.4550000000000001</v>
      </c>
      <c r="AF74">
        <v>3.46</v>
      </c>
      <c r="AG74">
        <v>3.4409999999999998</v>
      </c>
      <c r="AH74">
        <v>3.4340000000000002</v>
      </c>
      <c r="AI74">
        <v>3.4660000000000002</v>
      </c>
      <c r="AJ74">
        <v>3.4750000000000001</v>
      </c>
      <c r="AK74">
        <v>3.53</v>
      </c>
      <c r="AL74">
        <v>3.5350000000000001</v>
      </c>
      <c r="AM74">
        <v>3.5110000000000001</v>
      </c>
      <c r="AN74">
        <v>3.47</v>
      </c>
      <c r="AO74">
        <v>3.3919999999999999</v>
      </c>
      <c r="AP74">
        <v>3.38</v>
      </c>
      <c r="AS74" t="s">
        <v>117</v>
      </c>
      <c r="AT74" t="s">
        <v>66</v>
      </c>
      <c r="AU74" t="s">
        <v>225</v>
      </c>
      <c r="AV74" t="s">
        <v>287</v>
      </c>
      <c r="AW74" t="s">
        <v>346</v>
      </c>
      <c r="AX74" t="s">
        <v>414</v>
      </c>
      <c r="AY74" t="s">
        <v>477</v>
      </c>
    </row>
    <row r="75" spans="2:52">
      <c r="B75" s="5">
        <f t="shared" si="32"/>
        <v>45421</v>
      </c>
      <c r="C75" s="12" t="str">
        <f t="shared" si="33"/>
        <v xml:space="preserve">3.411 </v>
      </c>
      <c r="D75" s="12" t="str">
        <f t="shared" si="17"/>
        <v xml:space="preserve">3.455 </v>
      </c>
      <c r="E75" s="12" t="str">
        <f t="shared" si="18"/>
        <v xml:space="preserve">3.416 </v>
      </c>
      <c r="F75" s="12" t="str">
        <f t="shared" si="19"/>
        <v xml:space="preserve">3.455 </v>
      </c>
      <c r="G75" s="12" t="str">
        <f t="shared" si="20"/>
        <v xml:space="preserve">3.453 </v>
      </c>
      <c r="H75" s="12" t="str">
        <f t="shared" si="21"/>
        <v xml:space="preserve">3.473 </v>
      </c>
      <c r="I75" s="12" t="str">
        <f t="shared" si="22"/>
        <v xml:space="preserve">3.465 </v>
      </c>
      <c r="J75" s="12" t="str">
        <f t="shared" si="23"/>
        <v xml:space="preserve">3.450 </v>
      </c>
      <c r="K75" s="12" t="str">
        <f t="shared" si="24"/>
        <v xml:space="preserve">3.486 </v>
      </c>
      <c r="L75" s="12" t="str">
        <f t="shared" si="25"/>
        <v xml:space="preserve">3.495 </v>
      </c>
      <c r="M75" s="12" t="str">
        <f t="shared" si="26"/>
        <v xml:space="preserve">3.552 </v>
      </c>
      <c r="N75" s="12" t="str">
        <f t="shared" si="27"/>
        <v xml:space="preserve">3.557 </v>
      </c>
      <c r="O75" s="12" t="str">
        <f t="shared" si="28"/>
        <v xml:space="preserve">3.538 </v>
      </c>
      <c r="P75" s="12" t="str">
        <f t="shared" si="29"/>
        <v xml:space="preserve">3.502 </v>
      </c>
      <c r="Q75" s="12" t="str">
        <f t="shared" si="30"/>
        <v xml:space="preserve">3.422 </v>
      </c>
      <c r="R75" s="12" t="str">
        <f t="shared" si="31"/>
        <v xml:space="preserve">3.397 </v>
      </c>
      <c r="Z75" s="11">
        <v>45421</v>
      </c>
      <c r="AA75">
        <v>3.411</v>
      </c>
      <c r="AB75">
        <v>3.4550000000000001</v>
      </c>
      <c r="AC75">
        <v>3.4159999999999999</v>
      </c>
      <c r="AD75">
        <v>3.4550000000000001</v>
      </c>
      <c r="AE75">
        <v>3.4529999999999998</v>
      </c>
      <c r="AF75">
        <v>3.4729999999999999</v>
      </c>
      <c r="AG75">
        <v>3.4649999999999999</v>
      </c>
      <c r="AH75">
        <v>3.45</v>
      </c>
      <c r="AI75">
        <v>3.4860000000000002</v>
      </c>
      <c r="AJ75">
        <v>3.4950000000000001</v>
      </c>
      <c r="AK75">
        <v>3.552</v>
      </c>
      <c r="AL75">
        <v>3.5569999999999999</v>
      </c>
      <c r="AM75">
        <v>3.5379999999999998</v>
      </c>
      <c r="AN75">
        <v>3.5019999999999998</v>
      </c>
      <c r="AO75">
        <v>3.4220000000000002</v>
      </c>
      <c r="AP75">
        <v>3.3969999999999998</v>
      </c>
      <c r="AS75" t="s">
        <v>118</v>
      </c>
      <c r="AT75" t="s">
        <v>67</v>
      </c>
      <c r="AU75" t="s">
        <v>226</v>
      </c>
      <c r="AV75" t="s">
        <v>288</v>
      </c>
      <c r="AW75" t="s">
        <v>347</v>
      </c>
      <c r="AX75" t="s">
        <v>415</v>
      </c>
      <c r="AY75" t="s">
        <v>478</v>
      </c>
    </row>
    <row r="76" spans="2:52">
      <c r="B76" s="5">
        <f t="shared" si="32"/>
        <v>45420</v>
      </c>
      <c r="C76" s="12" t="str">
        <f t="shared" si="33"/>
        <v xml:space="preserve">3.413 </v>
      </c>
      <c r="D76" s="12" t="str">
        <f t="shared" si="17"/>
        <v xml:space="preserve">3.458 </v>
      </c>
      <c r="E76" s="12" t="str">
        <f t="shared" si="18"/>
        <v xml:space="preserve">3.418 </v>
      </c>
      <c r="F76" s="12" t="str">
        <f t="shared" si="19"/>
        <v xml:space="preserve">3.449 </v>
      </c>
      <c r="G76" s="12" t="str">
        <f t="shared" si="20"/>
        <v xml:space="preserve">3.445 </v>
      </c>
      <c r="H76" s="12" t="str">
        <f t="shared" si="21"/>
        <v xml:space="preserve">3.465 </v>
      </c>
      <c r="I76" s="12" t="str">
        <f t="shared" si="22"/>
        <v xml:space="preserve">3.455 </v>
      </c>
      <c r="J76" s="12" t="str">
        <f t="shared" si="23"/>
        <v xml:space="preserve">3.437 </v>
      </c>
      <c r="K76" s="12" t="str">
        <f t="shared" si="24"/>
        <v xml:space="preserve">3.470 </v>
      </c>
      <c r="L76" s="12" t="str">
        <f t="shared" si="25"/>
        <v xml:space="preserve">3.475 </v>
      </c>
      <c r="M76" s="12" t="str">
        <f t="shared" si="26"/>
        <v xml:space="preserve">3.530 </v>
      </c>
      <c r="N76" s="12" t="str">
        <f t="shared" si="27"/>
        <v xml:space="preserve">3.532 </v>
      </c>
      <c r="O76" s="12" t="str">
        <f t="shared" si="28"/>
        <v xml:space="preserve">3.508 </v>
      </c>
      <c r="P76" s="12" t="str">
        <f t="shared" si="29"/>
        <v xml:space="preserve">3.467 </v>
      </c>
      <c r="Q76" s="12" t="str">
        <f t="shared" si="30"/>
        <v xml:space="preserve">3.385 </v>
      </c>
      <c r="R76" s="12" t="str">
        <f t="shared" si="31"/>
        <v xml:space="preserve">3.360 </v>
      </c>
      <c r="Z76" s="11">
        <v>45420</v>
      </c>
      <c r="AA76">
        <v>3.4129999999999998</v>
      </c>
      <c r="AB76">
        <v>3.4580000000000002</v>
      </c>
      <c r="AC76">
        <v>3.4180000000000001</v>
      </c>
      <c r="AD76">
        <v>3.4489999999999998</v>
      </c>
      <c r="AE76">
        <v>3.4449999999999998</v>
      </c>
      <c r="AF76">
        <v>3.4649999999999999</v>
      </c>
      <c r="AG76">
        <v>3.4550000000000001</v>
      </c>
      <c r="AH76">
        <v>3.4369999999999998</v>
      </c>
      <c r="AI76">
        <v>3.47</v>
      </c>
      <c r="AJ76">
        <v>3.4750000000000001</v>
      </c>
      <c r="AK76">
        <v>3.53</v>
      </c>
      <c r="AL76">
        <v>3.532</v>
      </c>
      <c r="AM76">
        <v>3.508</v>
      </c>
      <c r="AN76">
        <v>3.4670000000000001</v>
      </c>
      <c r="AO76">
        <v>3.3849999999999998</v>
      </c>
      <c r="AP76">
        <v>3.36</v>
      </c>
      <c r="AS76" t="s">
        <v>119</v>
      </c>
      <c r="AT76" t="s">
        <v>68</v>
      </c>
      <c r="AU76" t="s">
        <v>227</v>
      </c>
      <c r="AV76" t="s">
        <v>289</v>
      </c>
      <c r="AW76" t="s">
        <v>348</v>
      </c>
      <c r="AX76" t="s">
        <v>416</v>
      </c>
      <c r="AY76" t="s">
        <v>479</v>
      </c>
    </row>
    <row r="77" spans="2:52">
      <c r="B77" s="5">
        <f t="shared" si="32"/>
        <v>45419</v>
      </c>
      <c r="C77" s="12" t="str">
        <f t="shared" si="33"/>
        <v xml:space="preserve">3.416 </v>
      </c>
      <c r="D77" s="12" t="str">
        <f t="shared" si="17"/>
        <v xml:space="preserve">3.468 </v>
      </c>
      <c r="E77" s="12" t="str">
        <f t="shared" si="18"/>
        <v xml:space="preserve">3.418 </v>
      </c>
      <c r="F77" s="12" t="str">
        <f t="shared" si="19"/>
        <v xml:space="preserve">3.450 </v>
      </c>
      <c r="G77" s="12" t="str">
        <f t="shared" si="20"/>
        <v xml:space="preserve">3.440 </v>
      </c>
      <c r="H77" s="12" t="str">
        <f t="shared" si="21"/>
        <v xml:space="preserve">3.471 </v>
      </c>
      <c r="I77" s="12" t="str">
        <f t="shared" si="22"/>
        <v xml:space="preserve">3.460 </v>
      </c>
      <c r="J77" s="12" t="str">
        <f t="shared" si="23"/>
        <v xml:space="preserve">3.443 </v>
      </c>
      <c r="K77" s="12" t="str">
        <f t="shared" si="24"/>
        <v xml:space="preserve">3.476 </v>
      </c>
      <c r="L77" s="12" t="str">
        <f t="shared" si="25"/>
        <v xml:space="preserve">3.480 </v>
      </c>
      <c r="M77" s="12" t="str">
        <f t="shared" si="26"/>
        <v xml:space="preserve">3.535 </v>
      </c>
      <c r="N77" s="12" t="str">
        <f t="shared" si="27"/>
        <v xml:space="preserve">3.537 </v>
      </c>
      <c r="O77" s="12" t="str">
        <f t="shared" si="28"/>
        <v xml:space="preserve">3.510 </v>
      </c>
      <c r="P77" s="12" t="str">
        <f t="shared" si="29"/>
        <v xml:space="preserve">3.465 </v>
      </c>
      <c r="Q77" s="12" t="str">
        <f t="shared" si="30"/>
        <v xml:space="preserve">3.377 </v>
      </c>
      <c r="R77" s="12" t="str">
        <f t="shared" si="31"/>
        <v xml:space="preserve">3.352 </v>
      </c>
      <c r="Z77" s="11">
        <v>45419</v>
      </c>
      <c r="AA77">
        <v>3.4159999999999999</v>
      </c>
      <c r="AB77">
        <v>3.468</v>
      </c>
      <c r="AC77">
        <v>3.4180000000000001</v>
      </c>
      <c r="AD77">
        <v>3.45</v>
      </c>
      <c r="AE77">
        <v>3.44</v>
      </c>
      <c r="AF77">
        <v>3.4710000000000001</v>
      </c>
      <c r="AG77">
        <v>3.46</v>
      </c>
      <c r="AH77">
        <v>3.4430000000000001</v>
      </c>
      <c r="AI77">
        <v>3.476</v>
      </c>
      <c r="AJ77">
        <v>3.48</v>
      </c>
      <c r="AK77">
        <v>3.5350000000000001</v>
      </c>
      <c r="AL77">
        <v>3.5369999999999999</v>
      </c>
      <c r="AM77">
        <v>3.51</v>
      </c>
      <c r="AN77">
        <v>3.4649999999999999</v>
      </c>
      <c r="AO77">
        <v>3.3769999999999998</v>
      </c>
      <c r="AP77">
        <v>3.3519999999999999</v>
      </c>
      <c r="AS77" t="s">
        <v>120</v>
      </c>
      <c r="AT77" t="s">
        <v>69</v>
      </c>
      <c r="AU77" t="s">
        <v>228</v>
      </c>
      <c r="AV77" t="s">
        <v>290</v>
      </c>
      <c r="AW77" t="s">
        <v>349</v>
      </c>
      <c r="AX77" t="s">
        <v>417</v>
      </c>
      <c r="AY77" t="s">
        <v>480</v>
      </c>
      <c r="AZ77" t="s">
        <v>522</v>
      </c>
    </row>
    <row r="78" spans="2:52">
      <c r="B78" s="5">
        <f t="shared" si="32"/>
        <v>45415</v>
      </c>
      <c r="C78" s="12" t="str">
        <f t="shared" si="33"/>
        <v xml:space="preserve">3.418 </v>
      </c>
      <c r="D78" s="12" t="str">
        <f t="shared" si="17"/>
        <v xml:space="preserve">3.457 </v>
      </c>
      <c r="E78" s="12" t="str">
        <f t="shared" si="18"/>
        <v xml:space="preserve">3.428 </v>
      </c>
      <c r="F78" s="12" t="str">
        <f t="shared" si="19"/>
        <v xml:space="preserve">3.461 </v>
      </c>
      <c r="G78" s="12" t="str">
        <f t="shared" si="20"/>
        <v xml:space="preserve">3.463 </v>
      </c>
      <c r="H78" s="12" t="str">
        <f t="shared" si="21"/>
        <v xml:space="preserve">3.507 </v>
      </c>
      <c r="I78" s="12" t="str">
        <f t="shared" si="22"/>
        <v xml:space="preserve">3.509 </v>
      </c>
      <c r="J78" s="12" t="str">
        <f t="shared" si="23"/>
        <v xml:space="preserve">3.505 </v>
      </c>
      <c r="K78" s="12" t="str">
        <f t="shared" si="24"/>
        <v xml:space="preserve">3.545 </v>
      </c>
      <c r="L78" s="12" t="str">
        <f t="shared" si="25"/>
        <v xml:space="preserve">3.552 </v>
      </c>
      <c r="M78" s="12" t="str">
        <f t="shared" si="26"/>
        <v xml:space="preserve">3.611 </v>
      </c>
      <c r="N78" s="12" t="str">
        <f t="shared" si="27"/>
        <v xml:space="preserve">3.617 </v>
      </c>
      <c r="O78" s="12" t="str">
        <f t="shared" si="28"/>
        <v xml:space="preserve">3.582 </v>
      </c>
      <c r="P78" s="12" t="str">
        <f t="shared" si="29"/>
        <v xml:space="preserve">3.530 </v>
      </c>
      <c r="Q78" s="12" t="str">
        <f t="shared" si="30"/>
        <v xml:space="preserve">3.437 </v>
      </c>
      <c r="R78" s="12" t="str">
        <f t="shared" si="31"/>
        <v xml:space="preserve">3.412 </v>
      </c>
      <c r="Z78" s="11">
        <v>45415</v>
      </c>
      <c r="AA78">
        <v>3.4180000000000001</v>
      </c>
      <c r="AB78">
        <v>3.4569999999999999</v>
      </c>
      <c r="AC78">
        <v>3.4279999999999999</v>
      </c>
      <c r="AD78">
        <v>3.4609999999999999</v>
      </c>
      <c r="AE78">
        <v>3.4630000000000001</v>
      </c>
      <c r="AF78">
        <v>3.5070000000000001</v>
      </c>
      <c r="AG78">
        <v>3.5089999999999999</v>
      </c>
      <c r="AH78">
        <v>3.5049999999999999</v>
      </c>
      <c r="AI78">
        <v>3.5449999999999999</v>
      </c>
      <c r="AJ78">
        <v>3.552</v>
      </c>
      <c r="AK78">
        <v>3.6110000000000002</v>
      </c>
      <c r="AL78">
        <v>3.617</v>
      </c>
      <c r="AM78">
        <v>3.5819999999999999</v>
      </c>
      <c r="AN78">
        <v>3.53</v>
      </c>
      <c r="AO78">
        <v>3.4369999999999998</v>
      </c>
      <c r="AP78">
        <v>3.4119999999999999</v>
      </c>
    </row>
    <row r="79" spans="2:52">
      <c r="B79" s="5">
        <f t="shared" si="32"/>
        <v>45414</v>
      </c>
      <c r="C79" s="12" t="str">
        <f t="shared" si="33"/>
        <v xml:space="preserve">3.418 </v>
      </c>
      <c r="D79" s="12" t="str">
        <f t="shared" si="17"/>
        <v xml:space="preserve">3.452 </v>
      </c>
      <c r="E79" s="12" t="str">
        <f t="shared" si="18"/>
        <v xml:space="preserve">3.430 </v>
      </c>
      <c r="F79" s="12" t="str">
        <f t="shared" si="19"/>
        <v xml:space="preserve">3.462 </v>
      </c>
      <c r="G79" s="12" t="str">
        <f t="shared" si="20"/>
        <v xml:space="preserve">3.465 </v>
      </c>
      <c r="H79" s="12" t="str">
        <f t="shared" si="21"/>
        <v xml:space="preserve">3.504 </v>
      </c>
      <c r="I79" s="12" t="str">
        <f t="shared" si="22"/>
        <v xml:space="preserve">3.510 </v>
      </c>
      <c r="J79" s="12" t="str">
        <f t="shared" si="23"/>
        <v xml:space="preserve">3.510 </v>
      </c>
      <c r="K79" s="12" t="str">
        <f t="shared" si="24"/>
        <v xml:space="preserve">3.559 </v>
      </c>
      <c r="L79" s="12" t="str">
        <f t="shared" si="25"/>
        <v xml:space="preserve">3.565 </v>
      </c>
      <c r="M79" s="12" t="str">
        <f t="shared" si="26"/>
        <v xml:space="preserve">3.630 </v>
      </c>
      <c r="N79" s="12" t="str">
        <f t="shared" si="27"/>
        <v xml:space="preserve">3.642 </v>
      </c>
      <c r="O79" s="12" t="str">
        <f t="shared" si="28"/>
        <v xml:space="preserve">3.605 </v>
      </c>
      <c r="P79" s="12" t="str">
        <f t="shared" si="29"/>
        <v xml:space="preserve">3.552 </v>
      </c>
      <c r="Q79" s="12" t="str">
        <f t="shared" si="30"/>
        <v xml:space="preserve">3.465 </v>
      </c>
      <c r="R79" s="12" t="str">
        <f t="shared" si="31"/>
        <v xml:space="preserve">3.440 </v>
      </c>
      <c r="Z79" s="11">
        <v>45414</v>
      </c>
      <c r="AA79">
        <v>3.4180000000000001</v>
      </c>
      <c r="AB79">
        <v>3.452</v>
      </c>
      <c r="AC79">
        <v>3.43</v>
      </c>
      <c r="AD79">
        <v>3.4620000000000002</v>
      </c>
      <c r="AE79">
        <v>3.4649999999999999</v>
      </c>
      <c r="AF79">
        <v>3.504</v>
      </c>
      <c r="AG79">
        <v>3.51</v>
      </c>
      <c r="AH79">
        <v>3.51</v>
      </c>
      <c r="AI79">
        <v>3.5590000000000002</v>
      </c>
      <c r="AJ79">
        <v>3.5649999999999999</v>
      </c>
      <c r="AK79">
        <v>3.63</v>
      </c>
      <c r="AL79">
        <v>3.6419999999999999</v>
      </c>
      <c r="AM79">
        <v>3.605</v>
      </c>
      <c r="AN79">
        <v>3.552</v>
      </c>
      <c r="AO79">
        <v>3.4649999999999999</v>
      </c>
      <c r="AP79">
        <v>3.44</v>
      </c>
    </row>
    <row r="80" spans="2:52">
      <c r="B80" s="5">
        <f t="shared" si="32"/>
        <v>45412</v>
      </c>
      <c r="C80" s="12" t="str">
        <f t="shared" si="33"/>
        <v xml:space="preserve">3.418 </v>
      </c>
      <c r="D80" s="12" t="str">
        <f t="shared" si="17"/>
        <v xml:space="preserve">3.442 </v>
      </c>
      <c r="E80" s="12" t="str">
        <f t="shared" si="18"/>
        <v xml:space="preserve">3.435 </v>
      </c>
      <c r="F80" s="12" t="str">
        <f t="shared" si="19"/>
        <v xml:space="preserve">3.469 </v>
      </c>
      <c r="G80" s="12" t="str">
        <f t="shared" si="20"/>
        <v xml:space="preserve">3.474 </v>
      </c>
      <c r="H80" s="12" t="str">
        <f t="shared" si="21"/>
        <v xml:space="preserve">3.519 </v>
      </c>
      <c r="I80" s="12" t="str">
        <f t="shared" si="22"/>
        <v xml:space="preserve">3.526 </v>
      </c>
      <c r="J80" s="12" t="str">
        <f t="shared" si="23"/>
        <v xml:space="preserve">3.525 </v>
      </c>
      <c r="K80" s="12" t="str">
        <f t="shared" si="24"/>
        <v xml:space="preserve">3.577 </v>
      </c>
      <c r="L80" s="12" t="str">
        <f t="shared" si="25"/>
        <v xml:space="preserve">3.585 </v>
      </c>
      <c r="M80" s="12" t="str">
        <f t="shared" si="26"/>
        <v xml:space="preserve">3.645 </v>
      </c>
      <c r="N80" s="12" t="str">
        <f t="shared" si="27"/>
        <v xml:space="preserve">3.650 </v>
      </c>
      <c r="O80" s="12" t="str">
        <f t="shared" si="28"/>
        <v xml:space="preserve">3.614 </v>
      </c>
      <c r="P80" s="12" t="str">
        <f t="shared" si="29"/>
        <v xml:space="preserve">3.562 </v>
      </c>
      <c r="Q80" s="12" t="str">
        <f t="shared" si="30"/>
        <v xml:space="preserve">3.482 </v>
      </c>
      <c r="R80" s="12" t="str">
        <f t="shared" si="31"/>
        <v xml:space="preserve">3.457 </v>
      </c>
      <c r="Z80" s="11">
        <v>45412</v>
      </c>
      <c r="AA80">
        <v>3.4180000000000001</v>
      </c>
      <c r="AB80">
        <v>3.4420000000000002</v>
      </c>
      <c r="AC80">
        <v>3.4350000000000001</v>
      </c>
      <c r="AD80">
        <v>3.4689999999999999</v>
      </c>
      <c r="AE80">
        <v>3.4740000000000002</v>
      </c>
      <c r="AF80">
        <v>3.5190000000000001</v>
      </c>
      <c r="AG80">
        <v>3.5259999999999998</v>
      </c>
      <c r="AH80">
        <v>3.5249999999999999</v>
      </c>
      <c r="AI80">
        <v>3.577</v>
      </c>
      <c r="AJ80">
        <v>3.585</v>
      </c>
      <c r="AK80">
        <v>3.645</v>
      </c>
      <c r="AL80">
        <v>3.65</v>
      </c>
      <c r="AM80">
        <v>3.6139999999999999</v>
      </c>
      <c r="AN80">
        <v>3.5619999999999998</v>
      </c>
      <c r="AO80">
        <v>3.4820000000000002</v>
      </c>
      <c r="AP80">
        <v>3.4569999999999999</v>
      </c>
    </row>
    <row r="81" spans="2:42">
      <c r="B81" s="5">
        <f t="shared" si="32"/>
        <v>45411</v>
      </c>
      <c r="C81" s="12" t="str">
        <f t="shared" si="33"/>
        <v xml:space="preserve">3.418 </v>
      </c>
      <c r="D81" s="12" t="str">
        <f t="shared" si="17"/>
        <v xml:space="preserve">3.447 </v>
      </c>
      <c r="E81" s="12" t="str">
        <f t="shared" si="18"/>
        <v xml:space="preserve">3.440 </v>
      </c>
      <c r="F81" s="12" t="str">
        <f t="shared" si="19"/>
        <v xml:space="preserve">3.475 </v>
      </c>
      <c r="G81" s="12" t="str">
        <f t="shared" si="20"/>
        <v xml:space="preserve">3.479 </v>
      </c>
      <c r="H81" s="12" t="str">
        <f t="shared" si="21"/>
        <v xml:space="preserve">3.525 </v>
      </c>
      <c r="I81" s="12" t="str">
        <f t="shared" si="22"/>
        <v xml:space="preserve">3.535 </v>
      </c>
      <c r="J81" s="12" t="str">
        <f t="shared" si="23"/>
        <v xml:space="preserve">3.537 </v>
      </c>
      <c r="K81" s="12" t="str">
        <f t="shared" si="24"/>
        <v xml:space="preserve">3.605 </v>
      </c>
      <c r="L81" s="12" t="str">
        <f t="shared" si="25"/>
        <v xml:space="preserve">3.612 </v>
      </c>
      <c r="M81" s="12" t="str">
        <f t="shared" si="26"/>
        <v xml:space="preserve">3.680 </v>
      </c>
      <c r="N81" s="12" t="str">
        <f t="shared" si="27"/>
        <v xml:space="preserve">3.690 </v>
      </c>
      <c r="O81" s="12" t="str">
        <f t="shared" si="28"/>
        <v xml:space="preserve">3.654 </v>
      </c>
      <c r="P81" s="12" t="str">
        <f t="shared" si="29"/>
        <v xml:space="preserve">3.603 </v>
      </c>
      <c r="Q81" s="12" t="str">
        <f t="shared" si="30"/>
        <v xml:space="preserve">3.517 </v>
      </c>
      <c r="R81" s="12" t="str">
        <f t="shared" si="31"/>
        <v xml:space="preserve">3.492 </v>
      </c>
      <c r="Z81" s="11">
        <v>45411</v>
      </c>
      <c r="AA81">
        <v>3.4180000000000001</v>
      </c>
      <c r="AB81">
        <v>3.4470000000000001</v>
      </c>
      <c r="AC81">
        <v>3.44</v>
      </c>
      <c r="AD81">
        <v>3.4750000000000001</v>
      </c>
      <c r="AE81">
        <v>3.4790000000000001</v>
      </c>
      <c r="AF81">
        <v>3.5249999999999999</v>
      </c>
      <c r="AG81">
        <v>3.5350000000000001</v>
      </c>
      <c r="AH81">
        <v>3.5369999999999999</v>
      </c>
      <c r="AI81">
        <v>3.605</v>
      </c>
      <c r="AJ81">
        <v>3.6120000000000001</v>
      </c>
      <c r="AK81">
        <v>3.68</v>
      </c>
      <c r="AL81">
        <v>3.69</v>
      </c>
      <c r="AM81">
        <v>3.6539999999999999</v>
      </c>
      <c r="AN81">
        <v>3.6030000000000002</v>
      </c>
      <c r="AO81">
        <v>3.5169999999999999</v>
      </c>
      <c r="AP81">
        <v>3.492</v>
      </c>
    </row>
    <row r="82" spans="2:42">
      <c r="B82" s="5">
        <f t="shared" si="32"/>
        <v>45408</v>
      </c>
      <c r="C82" s="12" t="str">
        <f t="shared" si="33"/>
        <v xml:space="preserve">3.418 </v>
      </c>
      <c r="D82" s="12" t="str">
        <f t="shared" si="17"/>
        <v xml:space="preserve">3.436 </v>
      </c>
      <c r="E82" s="12" t="str">
        <f t="shared" si="18"/>
        <v xml:space="preserve">3.431 </v>
      </c>
      <c r="F82" s="12" t="str">
        <f t="shared" si="19"/>
        <v xml:space="preserve">3.466 </v>
      </c>
      <c r="G82" s="12" t="str">
        <f t="shared" si="20"/>
        <v xml:space="preserve">3.465 </v>
      </c>
      <c r="H82" s="12" t="str">
        <f t="shared" si="21"/>
        <v xml:space="preserve">3.504 </v>
      </c>
      <c r="I82" s="12" t="str">
        <f t="shared" si="22"/>
        <v xml:space="preserve">3.515 </v>
      </c>
      <c r="J82" s="12" t="str">
        <f t="shared" si="23"/>
        <v xml:space="preserve">3.518 </v>
      </c>
      <c r="K82" s="12" t="str">
        <f t="shared" si="24"/>
        <v xml:space="preserve">3.578 </v>
      </c>
      <c r="L82" s="12" t="str">
        <f t="shared" si="25"/>
        <v xml:space="preserve">3.584 </v>
      </c>
      <c r="M82" s="12" t="str">
        <f t="shared" si="26"/>
        <v xml:space="preserve">3.664 </v>
      </c>
      <c r="N82" s="12" t="str">
        <f t="shared" si="27"/>
        <v xml:space="preserve">3.685 </v>
      </c>
      <c r="O82" s="12" t="str">
        <f t="shared" si="28"/>
        <v xml:space="preserve">3.652 </v>
      </c>
      <c r="P82" s="12" t="str">
        <f t="shared" si="29"/>
        <v xml:space="preserve">3.605 </v>
      </c>
      <c r="Q82" s="12" t="str">
        <f t="shared" si="30"/>
        <v xml:space="preserve">3.520 </v>
      </c>
      <c r="R82" s="12" t="str">
        <f t="shared" si="31"/>
        <v xml:space="preserve">3.495 </v>
      </c>
      <c r="Z82" s="11">
        <v>45408</v>
      </c>
      <c r="AA82">
        <v>3.4180000000000001</v>
      </c>
      <c r="AB82">
        <v>3.4359999999999999</v>
      </c>
      <c r="AC82">
        <v>3.431</v>
      </c>
      <c r="AD82">
        <v>3.4660000000000002</v>
      </c>
      <c r="AE82">
        <v>3.4649999999999999</v>
      </c>
      <c r="AF82">
        <v>3.504</v>
      </c>
      <c r="AG82">
        <v>3.5150000000000001</v>
      </c>
      <c r="AH82">
        <v>3.5179999999999998</v>
      </c>
      <c r="AI82">
        <v>3.5779999999999998</v>
      </c>
      <c r="AJ82">
        <v>3.5840000000000001</v>
      </c>
      <c r="AK82">
        <v>3.6640000000000001</v>
      </c>
      <c r="AL82">
        <v>3.6850000000000001</v>
      </c>
      <c r="AM82">
        <v>3.6520000000000001</v>
      </c>
      <c r="AN82">
        <v>3.605</v>
      </c>
      <c r="AO82">
        <v>3.52</v>
      </c>
      <c r="AP82">
        <v>3.4950000000000001</v>
      </c>
    </row>
    <row r="83" spans="2:42">
      <c r="B83" s="5">
        <f t="shared" si="32"/>
        <v>45407</v>
      </c>
      <c r="C83" s="12" t="str">
        <f t="shared" si="33"/>
        <v xml:space="preserve">3.418 </v>
      </c>
      <c r="D83" s="12" t="str">
        <f t="shared" si="17"/>
        <v xml:space="preserve">3.433 </v>
      </c>
      <c r="E83" s="12" t="str">
        <f t="shared" si="18"/>
        <v xml:space="preserve">3.433 </v>
      </c>
      <c r="F83" s="12" t="str">
        <f t="shared" si="19"/>
        <v xml:space="preserve">3.470 </v>
      </c>
      <c r="G83" s="12" t="str">
        <f t="shared" si="20"/>
        <v xml:space="preserve">3.468 </v>
      </c>
      <c r="H83" s="12" t="str">
        <f t="shared" si="21"/>
        <v xml:space="preserve">3.520 </v>
      </c>
      <c r="I83" s="12" t="str">
        <f t="shared" si="22"/>
        <v xml:space="preserve">3.545 </v>
      </c>
      <c r="J83" s="12" t="str">
        <f t="shared" si="23"/>
        <v xml:space="preserve">3.540 </v>
      </c>
      <c r="K83" s="12" t="str">
        <f t="shared" si="24"/>
        <v xml:space="preserve">3.610 </v>
      </c>
      <c r="L83" s="12" t="str">
        <f t="shared" si="25"/>
        <v xml:space="preserve">3.625 </v>
      </c>
      <c r="M83" s="12" t="str">
        <f t="shared" si="26"/>
        <v xml:space="preserve">3.700 </v>
      </c>
      <c r="N83" s="12" t="str">
        <f t="shared" si="27"/>
        <v xml:space="preserve">3.711 </v>
      </c>
      <c r="O83" s="12" t="str">
        <f t="shared" si="28"/>
        <v xml:space="preserve">3.670 </v>
      </c>
      <c r="P83" s="12" t="str">
        <f t="shared" si="29"/>
        <v xml:space="preserve">3.615 </v>
      </c>
      <c r="Q83" s="12" t="str">
        <f t="shared" si="30"/>
        <v xml:space="preserve">3.523 </v>
      </c>
      <c r="R83" s="12" t="str">
        <f t="shared" si="31"/>
        <v xml:space="preserve">3.498 </v>
      </c>
      <c r="Z83" s="11">
        <v>45407</v>
      </c>
      <c r="AA83">
        <v>3.4180000000000001</v>
      </c>
      <c r="AB83">
        <v>3.4329999999999998</v>
      </c>
      <c r="AC83">
        <v>3.4329999999999998</v>
      </c>
      <c r="AD83">
        <v>3.47</v>
      </c>
      <c r="AE83">
        <v>3.468</v>
      </c>
      <c r="AF83">
        <v>3.52</v>
      </c>
      <c r="AG83">
        <v>3.5449999999999999</v>
      </c>
      <c r="AH83">
        <v>3.54</v>
      </c>
      <c r="AI83">
        <v>3.61</v>
      </c>
      <c r="AJ83">
        <v>3.625</v>
      </c>
      <c r="AK83">
        <v>3.7</v>
      </c>
      <c r="AL83">
        <v>3.7109999999999999</v>
      </c>
      <c r="AM83">
        <v>3.67</v>
      </c>
      <c r="AN83">
        <v>3.6150000000000002</v>
      </c>
      <c r="AO83">
        <v>3.5230000000000001</v>
      </c>
      <c r="AP83">
        <v>3.4980000000000002</v>
      </c>
    </row>
    <row r="84" spans="2:42">
      <c r="B84" s="5">
        <f t="shared" si="32"/>
        <v>45406</v>
      </c>
      <c r="C84" s="12" t="str">
        <f t="shared" si="33"/>
        <v xml:space="preserve">3.418 </v>
      </c>
      <c r="D84" s="12" t="str">
        <f t="shared" si="17"/>
        <v xml:space="preserve">3.433 </v>
      </c>
      <c r="E84" s="12" t="str">
        <f t="shared" si="18"/>
        <v xml:space="preserve">3.435 </v>
      </c>
      <c r="F84" s="12" t="str">
        <f t="shared" si="19"/>
        <v xml:space="preserve">3.468 </v>
      </c>
      <c r="G84" s="12" t="str">
        <f t="shared" si="20"/>
        <v xml:space="preserve">3.461 </v>
      </c>
      <c r="H84" s="12" t="str">
        <f t="shared" si="21"/>
        <v xml:space="preserve">3.511 </v>
      </c>
      <c r="I84" s="12" t="str">
        <f t="shared" si="22"/>
        <v xml:space="preserve">3.525 </v>
      </c>
      <c r="J84" s="12" t="str">
        <f t="shared" si="23"/>
        <v xml:space="preserve">3.507 </v>
      </c>
      <c r="K84" s="12" t="str">
        <f t="shared" si="24"/>
        <v xml:space="preserve">3.574 </v>
      </c>
      <c r="L84" s="12" t="str">
        <f t="shared" si="25"/>
        <v xml:space="preserve">3.582 </v>
      </c>
      <c r="M84" s="12" t="str">
        <f t="shared" si="26"/>
        <v xml:space="preserve">3.650 </v>
      </c>
      <c r="N84" s="12" t="str">
        <f t="shared" si="27"/>
        <v xml:space="preserve">3.652 </v>
      </c>
      <c r="O84" s="12" t="str">
        <f t="shared" si="28"/>
        <v xml:space="preserve">3.615 </v>
      </c>
      <c r="P84" s="12" t="str">
        <f t="shared" si="29"/>
        <v xml:space="preserve">3.565 </v>
      </c>
      <c r="Q84" s="12" t="str">
        <f t="shared" si="30"/>
        <v xml:space="preserve">3.472 </v>
      </c>
      <c r="R84" s="12" t="str">
        <f t="shared" si="31"/>
        <v xml:space="preserve">3.447 </v>
      </c>
      <c r="Z84" s="11">
        <v>45406</v>
      </c>
      <c r="AA84">
        <v>3.4180000000000001</v>
      </c>
      <c r="AB84">
        <v>3.4329999999999998</v>
      </c>
      <c r="AC84">
        <v>3.4350000000000001</v>
      </c>
      <c r="AD84">
        <v>3.468</v>
      </c>
      <c r="AE84">
        <v>3.4609999999999999</v>
      </c>
      <c r="AF84">
        <v>3.5110000000000001</v>
      </c>
      <c r="AG84">
        <v>3.5249999999999999</v>
      </c>
      <c r="AH84">
        <v>3.5070000000000001</v>
      </c>
      <c r="AI84">
        <v>3.5739999999999998</v>
      </c>
      <c r="AJ84">
        <v>3.5819999999999999</v>
      </c>
      <c r="AK84">
        <v>3.65</v>
      </c>
      <c r="AL84">
        <v>3.6520000000000001</v>
      </c>
      <c r="AM84">
        <v>3.6150000000000002</v>
      </c>
      <c r="AN84">
        <v>3.5649999999999999</v>
      </c>
      <c r="AO84">
        <v>3.472</v>
      </c>
      <c r="AP84">
        <v>3.4470000000000001</v>
      </c>
    </row>
    <row r="85" spans="2:42">
      <c r="B85" s="5">
        <f t="shared" si="32"/>
        <v>45405</v>
      </c>
      <c r="C85" s="12" t="str">
        <f t="shared" si="33"/>
        <v xml:space="preserve">3.425 </v>
      </c>
      <c r="D85" s="12" t="str">
        <f t="shared" si="17"/>
        <v xml:space="preserve">3.440 </v>
      </c>
      <c r="E85" s="12" t="str">
        <f t="shared" si="18"/>
        <v xml:space="preserve">3.445 </v>
      </c>
      <c r="F85" s="12" t="str">
        <f t="shared" si="19"/>
        <v xml:space="preserve">3.468 </v>
      </c>
      <c r="G85" s="12" t="str">
        <f t="shared" si="20"/>
        <v xml:space="preserve">3.458 </v>
      </c>
      <c r="H85" s="12" t="str">
        <f t="shared" si="21"/>
        <v xml:space="preserve">3.504 </v>
      </c>
      <c r="I85" s="12" t="str">
        <f t="shared" si="22"/>
        <v xml:space="preserve">3.510 </v>
      </c>
      <c r="J85" s="12" t="str">
        <f t="shared" si="23"/>
        <v xml:space="preserve">3.487 </v>
      </c>
      <c r="K85" s="12" t="str">
        <f t="shared" si="24"/>
        <v xml:space="preserve">3.554 </v>
      </c>
      <c r="L85" s="12" t="str">
        <f t="shared" si="25"/>
        <v xml:space="preserve">3.560 </v>
      </c>
      <c r="M85" s="12" t="str">
        <f t="shared" si="26"/>
        <v xml:space="preserve">3.628 </v>
      </c>
      <c r="N85" s="12" t="str">
        <f t="shared" si="27"/>
        <v xml:space="preserve">3.635 </v>
      </c>
      <c r="O85" s="12" t="str">
        <f t="shared" si="28"/>
        <v xml:space="preserve">3.605 </v>
      </c>
      <c r="P85" s="12" t="str">
        <f t="shared" si="29"/>
        <v xml:space="preserve">3.560 </v>
      </c>
      <c r="Q85" s="12" t="str">
        <f t="shared" si="30"/>
        <v xml:space="preserve">3.460 </v>
      </c>
      <c r="R85" s="12" t="str">
        <f t="shared" si="31"/>
        <v xml:space="preserve">3.435 </v>
      </c>
      <c r="Z85" s="11">
        <v>45405</v>
      </c>
      <c r="AA85">
        <v>3.4249999999999998</v>
      </c>
      <c r="AB85">
        <v>3.44</v>
      </c>
      <c r="AC85">
        <v>3.4449999999999998</v>
      </c>
      <c r="AD85">
        <v>3.468</v>
      </c>
      <c r="AE85">
        <v>3.4580000000000002</v>
      </c>
      <c r="AF85">
        <v>3.504</v>
      </c>
      <c r="AG85">
        <v>3.51</v>
      </c>
      <c r="AH85">
        <v>3.4870000000000001</v>
      </c>
      <c r="AI85">
        <v>3.5539999999999998</v>
      </c>
      <c r="AJ85">
        <v>3.56</v>
      </c>
      <c r="AK85">
        <v>3.6280000000000001</v>
      </c>
      <c r="AL85">
        <v>3.6349999999999998</v>
      </c>
      <c r="AM85">
        <v>3.605</v>
      </c>
      <c r="AN85">
        <v>3.56</v>
      </c>
      <c r="AO85">
        <v>3.46</v>
      </c>
      <c r="AP85">
        <v>3.4350000000000001</v>
      </c>
    </row>
    <row r="86" spans="2:42">
      <c r="B86" s="5">
        <f t="shared" si="32"/>
        <v>45404</v>
      </c>
      <c r="C86" s="12" t="str">
        <f t="shared" si="33"/>
        <v xml:space="preserve">3.425 </v>
      </c>
      <c r="D86" s="12" t="str">
        <f t="shared" si="17"/>
        <v xml:space="preserve">3.445 </v>
      </c>
      <c r="E86" s="12" t="str">
        <f t="shared" si="18"/>
        <v xml:space="preserve">3.448 </v>
      </c>
      <c r="F86" s="12" t="str">
        <f t="shared" si="19"/>
        <v xml:space="preserve">3.476 </v>
      </c>
      <c r="G86" s="12" t="str">
        <f t="shared" si="20"/>
        <v xml:space="preserve">3.473 </v>
      </c>
      <c r="H86" s="12" t="str">
        <f t="shared" si="21"/>
        <v xml:space="preserve">3.522 </v>
      </c>
      <c r="I86" s="12" t="str">
        <f t="shared" si="22"/>
        <v xml:space="preserve">3.527 </v>
      </c>
      <c r="J86" s="12" t="str">
        <f t="shared" si="23"/>
        <v xml:space="preserve">3.510 </v>
      </c>
      <c r="K86" s="12" t="str">
        <f t="shared" si="24"/>
        <v xml:space="preserve">3.578 </v>
      </c>
      <c r="L86" s="12" t="str">
        <f t="shared" si="25"/>
        <v xml:space="preserve">3.585 </v>
      </c>
      <c r="M86" s="12" t="str">
        <f t="shared" si="26"/>
        <v xml:space="preserve">3.648 </v>
      </c>
      <c r="N86" s="12" t="str">
        <f t="shared" si="27"/>
        <v xml:space="preserve">3.652 </v>
      </c>
      <c r="O86" s="12" t="str">
        <f t="shared" si="28"/>
        <v xml:space="preserve">3.610 </v>
      </c>
      <c r="P86" s="12" t="str">
        <f t="shared" si="29"/>
        <v xml:space="preserve">3.555 </v>
      </c>
      <c r="Q86" s="12" t="str">
        <f t="shared" si="30"/>
        <v xml:space="preserve">3.450 </v>
      </c>
      <c r="R86" s="12" t="str">
        <f t="shared" si="31"/>
        <v xml:space="preserve">3.425 </v>
      </c>
      <c r="Z86" s="11">
        <v>45404</v>
      </c>
      <c r="AA86">
        <v>3.4249999999999998</v>
      </c>
      <c r="AB86">
        <v>3.4449999999999998</v>
      </c>
      <c r="AC86">
        <v>3.448</v>
      </c>
      <c r="AD86">
        <v>3.476</v>
      </c>
      <c r="AE86">
        <v>3.4729999999999999</v>
      </c>
      <c r="AF86">
        <v>3.5219999999999998</v>
      </c>
      <c r="AG86">
        <v>3.5270000000000001</v>
      </c>
      <c r="AH86">
        <v>3.51</v>
      </c>
      <c r="AI86">
        <v>3.5779999999999998</v>
      </c>
      <c r="AJ86">
        <v>3.585</v>
      </c>
      <c r="AK86">
        <v>3.6480000000000001</v>
      </c>
      <c r="AL86">
        <v>3.6520000000000001</v>
      </c>
      <c r="AM86">
        <v>3.61</v>
      </c>
      <c r="AN86">
        <v>3.5550000000000002</v>
      </c>
      <c r="AO86">
        <v>3.45</v>
      </c>
      <c r="AP86">
        <v>3.4249999999999998</v>
      </c>
    </row>
    <row r="87" spans="2:42">
      <c r="B87" s="5">
        <f t="shared" si="32"/>
        <v>45401</v>
      </c>
      <c r="C87" s="12" t="str">
        <f t="shared" si="33"/>
        <v xml:space="preserve">3.425 </v>
      </c>
      <c r="D87" s="12" t="str">
        <f t="shared" si="17"/>
        <v xml:space="preserve">3.446 </v>
      </c>
      <c r="E87" s="12" t="str">
        <f t="shared" si="18"/>
        <v xml:space="preserve">3.451 </v>
      </c>
      <c r="F87" s="12" t="str">
        <f t="shared" si="19"/>
        <v xml:space="preserve">3.456 </v>
      </c>
      <c r="G87" s="12" t="str">
        <f t="shared" si="20"/>
        <v xml:space="preserve">3.448 </v>
      </c>
      <c r="H87" s="12" t="str">
        <f t="shared" si="21"/>
        <v xml:space="preserve">3.497 </v>
      </c>
      <c r="I87" s="12" t="str">
        <f t="shared" si="22"/>
        <v xml:space="preserve">3.495 </v>
      </c>
      <c r="J87" s="12" t="str">
        <f t="shared" si="23"/>
        <v xml:space="preserve">3.477 </v>
      </c>
      <c r="K87" s="12" t="str">
        <f t="shared" si="24"/>
        <v xml:space="preserve">3.543 </v>
      </c>
      <c r="L87" s="12" t="str">
        <f t="shared" si="25"/>
        <v xml:space="preserve">3.550 </v>
      </c>
      <c r="M87" s="12" t="str">
        <f t="shared" si="26"/>
        <v xml:space="preserve">3.601 </v>
      </c>
      <c r="N87" s="12" t="str">
        <f t="shared" si="27"/>
        <v xml:space="preserve">3.590 </v>
      </c>
      <c r="O87" s="12" t="str">
        <f t="shared" si="28"/>
        <v xml:space="preserve">3.546 </v>
      </c>
      <c r="P87" s="12" t="str">
        <f t="shared" si="29"/>
        <v xml:space="preserve">3.490 </v>
      </c>
      <c r="Q87" s="12" t="str">
        <f t="shared" si="30"/>
        <v xml:space="preserve">3.392 </v>
      </c>
      <c r="R87" s="12" t="str">
        <f t="shared" si="31"/>
        <v xml:space="preserve">3.367 </v>
      </c>
      <c r="Z87" s="11">
        <v>45401</v>
      </c>
      <c r="AA87">
        <v>3.4249999999999998</v>
      </c>
      <c r="AB87">
        <v>3.4460000000000002</v>
      </c>
      <c r="AC87">
        <v>3.4510000000000001</v>
      </c>
      <c r="AD87">
        <v>3.456</v>
      </c>
      <c r="AE87">
        <v>3.448</v>
      </c>
      <c r="AF87">
        <v>3.4969999999999999</v>
      </c>
      <c r="AG87">
        <v>3.4950000000000001</v>
      </c>
      <c r="AH87">
        <v>3.4769999999999999</v>
      </c>
      <c r="AI87">
        <v>3.5430000000000001</v>
      </c>
      <c r="AJ87">
        <v>3.55</v>
      </c>
      <c r="AK87">
        <v>3.601</v>
      </c>
      <c r="AL87">
        <v>3.59</v>
      </c>
      <c r="AM87">
        <v>3.5459999999999998</v>
      </c>
      <c r="AN87">
        <v>3.49</v>
      </c>
      <c r="AO87">
        <v>3.3919999999999999</v>
      </c>
      <c r="AP87">
        <v>3.367</v>
      </c>
    </row>
    <row r="88" spans="2:42">
      <c r="B88" s="5">
        <f t="shared" si="32"/>
        <v>45400</v>
      </c>
      <c r="C88" s="12" t="str">
        <f t="shared" si="33"/>
        <v xml:space="preserve">3.411 </v>
      </c>
      <c r="D88" s="12" t="str">
        <f t="shared" si="17"/>
        <v xml:space="preserve">3.426 </v>
      </c>
      <c r="E88" s="12" t="str">
        <f t="shared" si="18"/>
        <v xml:space="preserve">3.433 </v>
      </c>
      <c r="F88" s="12" t="str">
        <f t="shared" si="19"/>
        <v xml:space="preserve">3.433 </v>
      </c>
      <c r="G88" s="12" t="str">
        <f t="shared" si="20"/>
        <v xml:space="preserve">3.420 </v>
      </c>
      <c r="H88" s="12" t="str">
        <f t="shared" si="21"/>
        <v xml:space="preserve">3.448 </v>
      </c>
      <c r="I88" s="12" t="str">
        <f t="shared" si="22"/>
        <v xml:space="preserve">3.448 </v>
      </c>
      <c r="J88" s="12" t="str">
        <f t="shared" si="23"/>
        <v xml:space="preserve">3.430 </v>
      </c>
      <c r="K88" s="12" t="str">
        <f t="shared" si="24"/>
        <v xml:space="preserve">3.492 </v>
      </c>
      <c r="L88" s="12" t="str">
        <f t="shared" si="25"/>
        <v xml:space="preserve">3.498 </v>
      </c>
      <c r="M88" s="12" t="str">
        <f t="shared" si="26"/>
        <v xml:space="preserve">3.559 </v>
      </c>
      <c r="N88" s="12" t="str">
        <f t="shared" si="27"/>
        <v xml:space="preserve">3.565 </v>
      </c>
      <c r="O88" s="12" t="str">
        <f t="shared" si="28"/>
        <v xml:space="preserve">3.526 </v>
      </c>
      <c r="P88" s="12" t="str">
        <f t="shared" si="29"/>
        <v xml:space="preserve">3.475 </v>
      </c>
      <c r="Q88" s="12" t="str">
        <f t="shared" si="30"/>
        <v xml:space="preserve">3.382 </v>
      </c>
      <c r="R88" s="12" t="str">
        <f t="shared" si="31"/>
        <v xml:space="preserve">3.357 </v>
      </c>
      <c r="Z88" s="11">
        <v>45400</v>
      </c>
      <c r="AA88">
        <v>3.411</v>
      </c>
      <c r="AB88">
        <v>3.4260000000000002</v>
      </c>
      <c r="AC88">
        <v>3.4329999999999998</v>
      </c>
      <c r="AD88">
        <v>3.4329999999999998</v>
      </c>
      <c r="AE88">
        <v>3.42</v>
      </c>
      <c r="AF88">
        <v>3.448</v>
      </c>
      <c r="AG88">
        <v>3.448</v>
      </c>
      <c r="AH88">
        <v>3.43</v>
      </c>
      <c r="AI88">
        <v>3.492</v>
      </c>
      <c r="AJ88">
        <v>3.4980000000000002</v>
      </c>
      <c r="AK88">
        <v>3.5590000000000002</v>
      </c>
      <c r="AL88">
        <v>3.5649999999999999</v>
      </c>
      <c r="AM88">
        <v>3.5259999999999998</v>
      </c>
      <c r="AN88">
        <v>3.4750000000000001</v>
      </c>
      <c r="AO88">
        <v>3.3820000000000001</v>
      </c>
      <c r="AP88">
        <v>3.3570000000000002</v>
      </c>
    </row>
    <row r="89" spans="2:42">
      <c r="B89" s="5">
        <f t="shared" si="32"/>
        <v>45399</v>
      </c>
      <c r="C89" s="12" t="str">
        <f t="shared" si="33"/>
        <v xml:space="preserve">3.415 </v>
      </c>
      <c r="D89" s="12" t="str">
        <f t="shared" si="17"/>
        <v xml:space="preserve">3.435 </v>
      </c>
      <c r="E89" s="12" t="str">
        <f t="shared" si="18"/>
        <v xml:space="preserve">3.440 </v>
      </c>
      <c r="F89" s="12" t="str">
        <f t="shared" si="19"/>
        <v xml:space="preserve">3.440 </v>
      </c>
      <c r="G89" s="12" t="str">
        <f t="shared" si="20"/>
        <v xml:space="preserve">3.453 </v>
      </c>
      <c r="H89" s="12" t="str">
        <f t="shared" si="21"/>
        <v xml:space="preserve">3.482 </v>
      </c>
      <c r="I89" s="12" t="str">
        <f t="shared" si="22"/>
        <v xml:space="preserve">3.479 </v>
      </c>
      <c r="J89" s="12" t="str">
        <f t="shared" si="23"/>
        <v xml:space="preserve">3.465 </v>
      </c>
      <c r="K89" s="12" t="str">
        <f t="shared" si="24"/>
        <v xml:space="preserve">3.524 </v>
      </c>
      <c r="L89" s="12" t="str">
        <f t="shared" si="25"/>
        <v xml:space="preserve">3.532 </v>
      </c>
      <c r="M89" s="12" t="str">
        <f t="shared" si="26"/>
        <v xml:space="preserve">3.606 </v>
      </c>
      <c r="N89" s="12" t="str">
        <f t="shared" si="27"/>
        <v xml:space="preserve">3.625 </v>
      </c>
      <c r="O89" s="12" t="str">
        <f t="shared" si="28"/>
        <v xml:space="preserve">3.584 </v>
      </c>
      <c r="P89" s="12" t="str">
        <f t="shared" si="29"/>
        <v xml:space="preserve">3.525 </v>
      </c>
      <c r="Q89" s="12" t="str">
        <f t="shared" si="30"/>
        <v xml:space="preserve">3.425 </v>
      </c>
      <c r="R89" s="12" t="str">
        <f t="shared" si="31"/>
        <v xml:space="preserve">3.400 </v>
      </c>
      <c r="Z89" s="11">
        <v>45399</v>
      </c>
      <c r="AA89">
        <v>3.415</v>
      </c>
      <c r="AB89">
        <v>3.4350000000000001</v>
      </c>
      <c r="AC89">
        <v>3.44</v>
      </c>
      <c r="AD89">
        <v>3.44</v>
      </c>
      <c r="AE89">
        <v>3.4529999999999998</v>
      </c>
      <c r="AF89">
        <v>3.4820000000000002</v>
      </c>
      <c r="AG89">
        <v>3.4790000000000001</v>
      </c>
      <c r="AH89">
        <v>3.4649999999999999</v>
      </c>
      <c r="AI89">
        <v>3.524</v>
      </c>
      <c r="AJ89">
        <v>3.532</v>
      </c>
      <c r="AK89">
        <v>3.6059999999999999</v>
      </c>
      <c r="AL89">
        <v>3.625</v>
      </c>
      <c r="AM89">
        <v>3.5840000000000001</v>
      </c>
      <c r="AN89">
        <v>3.5249999999999999</v>
      </c>
      <c r="AO89">
        <v>3.4249999999999998</v>
      </c>
      <c r="AP89">
        <v>3.4</v>
      </c>
    </row>
    <row r="90" spans="2:42">
      <c r="B90" s="5">
        <f t="shared" si="32"/>
        <v>45398</v>
      </c>
      <c r="C90" s="12" t="str">
        <f t="shared" si="33"/>
        <v xml:space="preserve">3.415 </v>
      </c>
      <c r="D90" s="12" t="str">
        <f t="shared" si="17"/>
        <v xml:space="preserve">3.443 </v>
      </c>
      <c r="E90" s="12" t="str">
        <f t="shared" si="18"/>
        <v xml:space="preserve">3.440 </v>
      </c>
      <c r="F90" s="12" t="str">
        <f t="shared" si="19"/>
        <v xml:space="preserve">3.441 </v>
      </c>
      <c r="G90" s="12" t="str">
        <f t="shared" si="20"/>
        <v xml:space="preserve">3.463 </v>
      </c>
      <c r="H90" s="12" t="str">
        <f t="shared" si="21"/>
        <v xml:space="preserve">3.487 </v>
      </c>
      <c r="I90" s="12" t="str">
        <f t="shared" si="22"/>
        <v xml:space="preserve">3.483 </v>
      </c>
      <c r="J90" s="12" t="str">
        <f t="shared" si="23"/>
        <v xml:space="preserve">3.470 </v>
      </c>
      <c r="K90" s="12" t="str">
        <f t="shared" si="24"/>
        <v xml:space="preserve">3.529 </v>
      </c>
      <c r="L90" s="12" t="str">
        <f t="shared" si="25"/>
        <v xml:space="preserve">3.538 </v>
      </c>
      <c r="M90" s="12" t="str">
        <f t="shared" si="26"/>
        <v xml:space="preserve">3.611 </v>
      </c>
      <c r="N90" s="12" t="str">
        <f t="shared" si="27"/>
        <v xml:space="preserve">3.627 </v>
      </c>
      <c r="O90" s="12" t="str">
        <f t="shared" si="28"/>
        <v xml:space="preserve">3.588 </v>
      </c>
      <c r="P90" s="12" t="str">
        <f t="shared" si="29"/>
        <v xml:space="preserve">3.530 </v>
      </c>
      <c r="Q90" s="12" t="str">
        <f t="shared" si="30"/>
        <v xml:space="preserve">3.437 </v>
      </c>
      <c r="R90" s="12" t="str">
        <f t="shared" si="31"/>
        <v xml:space="preserve">3.412 </v>
      </c>
      <c r="Z90" s="11">
        <v>45398</v>
      </c>
      <c r="AA90">
        <v>3.415</v>
      </c>
      <c r="AB90">
        <v>3.4430000000000001</v>
      </c>
      <c r="AC90">
        <v>3.44</v>
      </c>
      <c r="AD90">
        <v>3.4409999999999998</v>
      </c>
      <c r="AE90">
        <v>3.4630000000000001</v>
      </c>
      <c r="AF90">
        <v>3.4870000000000001</v>
      </c>
      <c r="AG90">
        <v>3.4830000000000001</v>
      </c>
      <c r="AH90">
        <v>3.47</v>
      </c>
      <c r="AI90">
        <v>3.5289999999999999</v>
      </c>
      <c r="AJ90">
        <v>3.5379999999999998</v>
      </c>
      <c r="AK90">
        <v>3.6110000000000002</v>
      </c>
      <c r="AL90">
        <v>3.6269999999999998</v>
      </c>
      <c r="AM90">
        <v>3.5880000000000001</v>
      </c>
      <c r="AN90">
        <v>3.53</v>
      </c>
      <c r="AO90">
        <v>3.4369999999999998</v>
      </c>
      <c r="AP90">
        <v>3.4119999999999999</v>
      </c>
    </row>
    <row r="91" spans="2:42">
      <c r="B91" s="5">
        <f t="shared" si="32"/>
        <v>45397</v>
      </c>
      <c r="C91" s="12" t="str">
        <f t="shared" si="33"/>
        <v xml:space="preserve">3.415 </v>
      </c>
      <c r="D91" s="12" t="str">
        <f t="shared" si="17"/>
        <v xml:space="preserve">3.443 </v>
      </c>
      <c r="E91" s="12" t="str">
        <f t="shared" si="18"/>
        <v xml:space="preserve">3.440 </v>
      </c>
      <c r="F91" s="12" t="str">
        <f t="shared" si="19"/>
        <v xml:space="preserve">3.435 </v>
      </c>
      <c r="G91" s="12" t="str">
        <f t="shared" si="20"/>
        <v xml:space="preserve">3.460 </v>
      </c>
      <c r="H91" s="12" t="str">
        <f t="shared" si="21"/>
        <v xml:space="preserve">3.466 </v>
      </c>
      <c r="I91" s="12" t="str">
        <f t="shared" si="22"/>
        <v xml:space="preserve">3.460 </v>
      </c>
      <c r="J91" s="12" t="str">
        <f t="shared" si="23"/>
        <v xml:space="preserve">3.437 </v>
      </c>
      <c r="K91" s="12" t="str">
        <f t="shared" si="24"/>
        <v xml:space="preserve">3.495 </v>
      </c>
      <c r="L91" s="12" t="str">
        <f t="shared" si="25"/>
        <v xml:space="preserve">3.494 </v>
      </c>
      <c r="M91" s="12" t="str">
        <f t="shared" si="26"/>
        <v xml:space="preserve">3.555 </v>
      </c>
      <c r="N91" s="12" t="str">
        <f t="shared" si="27"/>
        <v xml:space="preserve">3.557 </v>
      </c>
      <c r="O91" s="12" t="str">
        <f t="shared" si="28"/>
        <v xml:space="preserve">3.528 </v>
      </c>
      <c r="P91" s="12" t="str">
        <f t="shared" si="29"/>
        <v xml:space="preserve">3.480 </v>
      </c>
      <c r="Q91" s="12" t="str">
        <f t="shared" si="30"/>
        <v xml:space="preserve">3.390 </v>
      </c>
      <c r="R91" s="12" t="str">
        <f t="shared" si="31"/>
        <v xml:space="preserve">3.365 </v>
      </c>
      <c r="Z91" s="11">
        <v>45397</v>
      </c>
      <c r="AA91">
        <v>3.415</v>
      </c>
      <c r="AB91">
        <v>3.4430000000000001</v>
      </c>
      <c r="AC91">
        <v>3.44</v>
      </c>
      <c r="AD91">
        <v>3.4350000000000001</v>
      </c>
      <c r="AE91">
        <v>3.46</v>
      </c>
      <c r="AF91">
        <v>3.4660000000000002</v>
      </c>
      <c r="AG91">
        <v>3.46</v>
      </c>
      <c r="AH91">
        <v>3.4369999999999998</v>
      </c>
      <c r="AI91">
        <v>3.4950000000000001</v>
      </c>
      <c r="AJ91">
        <v>3.4940000000000002</v>
      </c>
      <c r="AK91">
        <v>3.5550000000000002</v>
      </c>
      <c r="AL91">
        <v>3.5569999999999999</v>
      </c>
      <c r="AM91">
        <v>3.528</v>
      </c>
      <c r="AN91">
        <v>3.48</v>
      </c>
      <c r="AO91">
        <v>3.39</v>
      </c>
      <c r="AP91">
        <v>3.3650000000000002</v>
      </c>
    </row>
    <row r="92" spans="2:42">
      <c r="B92" s="5">
        <f t="shared" si="32"/>
        <v>45394</v>
      </c>
      <c r="C92" s="12" t="str">
        <f t="shared" si="33"/>
        <v xml:space="preserve">3.420 </v>
      </c>
      <c r="D92" s="12" t="str">
        <f t="shared" si="17"/>
        <v xml:space="preserve">3.450 </v>
      </c>
      <c r="E92" s="12" t="str">
        <f t="shared" si="18"/>
        <v xml:space="preserve">3.428 </v>
      </c>
      <c r="F92" s="12" t="str">
        <f t="shared" si="19"/>
        <v xml:space="preserve">3.423 </v>
      </c>
      <c r="G92" s="12" t="str">
        <f t="shared" si="20"/>
        <v xml:space="preserve">3.448 </v>
      </c>
      <c r="H92" s="12" t="str">
        <f t="shared" si="21"/>
        <v xml:space="preserve">3.425 </v>
      </c>
      <c r="I92" s="12" t="str">
        <f t="shared" si="22"/>
        <v xml:space="preserve">3.424 </v>
      </c>
      <c r="J92" s="12" t="str">
        <f t="shared" si="23"/>
        <v xml:space="preserve">3.398 </v>
      </c>
      <c r="K92" s="12" t="str">
        <f t="shared" si="24"/>
        <v xml:space="preserve">3.447 </v>
      </c>
      <c r="L92" s="12" t="str">
        <f t="shared" si="25"/>
        <v xml:space="preserve">3.452 </v>
      </c>
      <c r="M92" s="12" t="str">
        <f t="shared" si="26"/>
        <v xml:space="preserve">3.526 </v>
      </c>
      <c r="N92" s="12" t="str">
        <f t="shared" si="27"/>
        <v xml:space="preserve">3.537 </v>
      </c>
      <c r="O92" s="12" t="str">
        <f t="shared" si="28"/>
        <v xml:space="preserve">3.516 </v>
      </c>
      <c r="P92" s="12" t="str">
        <f t="shared" si="29"/>
        <v xml:space="preserve">3.450 </v>
      </c>
      <c r="Q92" s="12" t="str">
        <f t="shared" si="30"/>
        <v xml:space="preserve">3.359 </v>
      </c>
      <c r="R92" s="12" t="str">
        <f t="shared" si="31"/>
        <v xml:space="preserve">3.334 </v>
      </c>
      <c r="Z92" s="11">
        <v>45394</v>
      </c>
      <c r="AA92">
        <v>3.42</v>
      </c>
      <c r="AB92">
        <v>3.45</v>
      </c>
      <c r="AC92">
        <v>3.4279999999999999</v>
      </c>
      <c r="AD92">
        <v>3.423</v>
      </c>
      <c r="AE92">
        <v>3.448</v>
      </c>
      <c r="AF92">
        <v>3.4249999999999998</v>
      </c>
      <c r="AG92">
        <v>3.4239999999999999</v>
      </c>
      <c r="AH92">
        <v>3.3980000000000001</v>
      </c>
      <c r="AI92">
        <v>3.4470000000000001</v>
      </c>
      <c r="AJ92">
        <v>3.452</v>
      </c>
      <c r="AK92">
        <v>3.5259999999999998</v>
      </c>
      <c r="AL92">
        <v>3.5369999999999999</v>
      </c>
      <c r="AM92">
        <v>3.516</v>
      </c>
      <c r="AN92">
        <v>3.45</v>
      </c>
      <c r="AO92">
        <v>3.359</v>
      </c>
      <c r="AP92">
        <v>3.3340000000000001</v>
      </c>
    </row>
    <row r="93" spans="2:42">
      <c r="B93" s="5">
        <f t="shared" si="32"/>
        <v>45393</v>
      </c>
      <c r="C93" s="12" t="str">
        <f t="shared" si="33"/>
        <v xml:space="preserve">3.425 </v>
      </c>
      <c r="D93" s="12" t="str">
        <f t="shared" si="17"/>
        <v xml:space="preserve">3.463 </v>
      </c>
      <c r="E93" s="12" t="str">
        <f t="shared" si="18"/>
        <v xml:space="preserve">3.440 </v>
      </c>
      <c r="F93" s="12" t="str">
        <f t="shared" si="19"/>
        <v xml:space="preserve">3.445 </v>
      </c>
      <c r="G93" s="12" t="str">
        <f t="shared" si="20"/>
        <v xml:space="preserve">3.482 </v>
      </c>
      <c r="H93" s="12" t="str">
        <f t="shared" si="21"/>
        <v xml:space="preserve">3.485 </v>
      </c>
      <c r="I93" s="12" t="str">
        <f t="shared" si="22"/>
        <v xml:space="preserve">3.486 </v>
      </c>
      <c r="J93" s="12" t="str">
        <f t="shared" si="23"/>
        <v xml:space="preserve">3.460 </v>
      </c>
      <c r="K93" s="12" t="str">
        <f t="shared" si="24"/>
        <v xml:space="preserve">3.517 </v>
      </c>
      <c r="L93" s="12" t="str">
        <f t="shared" si="25"/>
        <v xml:space="preserve">3.510 </v>
      </c>
      <c r="M93" s="12" t="str">
        <f t="shared" si="26"/>
        <v xml:space="preserve">3.581 </v>
      </c>
      <c r="N93" s="12" t="str">
        <f t="shared" si="27"/>
        <v xml:space="preserve">3.587 </v>
      </c>
      <c r="O93" s="12" t="str">
        <f t="shared" si="28"/>
        <v xml:space="preserve">3.562 </v>
      </c>
      <c r="P93" s="12" t="str">
        <f t="shared" si="29"/>
        <v xml:space="preserve">3.490 </v>
      </c>
      <c r="Q93" s="12" t="str">
        <f t="shared" si="30"/>
        <v xml:space="preserve">3.390 </v>
      </c>
      <c r="R93" s="12" t="str">
        <f t="shared" si="31"/>
        <v xml:space="preserve">3.377 </v>
      </c>
      <c r="Z93" s="11">
        <v>45393</v>
      </c>
      <c r="AA93">
        <v>3.4249999999999998</v>
      </c>
      <c r="AB93">
        <v>3.4630000000000001</v>
      </c>
      <c r="AC93">
        <v>3.44</v>
      </c>
      <c r="AD93">
        <v>3.4449999999999998</v>
      </c>
      <c r="AE93">
        <v>3.4820000000000002</v>
      </c>
      <c r="AF93">
        <v>3.4849999999999999</v>
      </c>
      <c r="AG93">
        <v>3.4860000000000002</v>
      </c>
      <c r="AH93">
        <v>3.46</v>
      </c>
      <c r="AI93">
        <v>3.5169999999999999</v>
      </c>
      <c r="AJ93">
        <v>3.51</v>
      </c>
      <c r="AK93">
        <v>3.581</v>
      </c>
      <c r="AL93">
        <v>3.5870000000000002</v>
      </c>
      <c r="AM93">
        <v>3.5619999999999998</v>
      </c>
      <c r="AN93">
        <v>3.49</v>
      </c>
      <c r="AO93">
        <v>3.39</v>
      </c>
      <c r="AP93">
        <v>3.3769999999999998</v>
      </c>
    </row>
    <row r="94" spans="2:42">
      <c r="B94" s="5">
        <f t="shared" si="32"/>
        <v>45391</v>
      </c>
      <c r="C94" s="12" t="str">
        <f t="shared" si="33"/>
        <v xml:space="preserve">3.421 </v>
      </c>
      <c r="D94" s="12" t="str">
        <f t="shared" si="17"/>
        <v xml:space="preserve">3.441 </v>
      </c>
      <c r="E94" s="12" t="str">
        <f t="shared" si="18"/>
        <v xml:space="preserve">3.416 </v>
      </c>
      <c r="F94" s="12" t="str">
        <f t="shared" si="19"/>
        <v xml:space="preserve">3.406 </v>
      </c>
      <c r="G94" s="12" t="str">
        <f t="shared" si="20"/>
        <v xml:space="preserve">3.421 </v>
      </c>
      <c r="H94" s="12" t="str">
        <f t="shared" si="21"/>
        <v xml:space="preserve">3.425 </v>
      </c>
      <c r="I94" s="12" t="str">
        <f t="shared" si="22"/>
        <v xml:space="preserve">3.404 </v>
      </c>
      <c r="J94" s="12" t="str">
        <f t="shared" si="23"/>
        <v xml:space="preserve">3.387 </v>
      </c>
      <c r="K94" s="12" t="str">
        <f t="shared" si="24"/>
        <v xml:space="preserve">3.443 </v>
      </c>
      <c r="L94" s="12" t="str">
        <f t="shared" si="25"/>
        <v xml:space="preserve">3.435 </v>
      </c>
      <c r="M94" s="12" t="str">
        <f t="shared" si="26"/>
        <v xml:space="preserve">3.504 </v>
      </c>
      <c r="N94" s="12" t="str">
        <f t="shared" si="27"/>
        <v xml:space="preserve">3.505 </v>
      </c>
      <c r="O94" s="12" t="str">
        <f t="shared" si="28"/>
        <v xml:space="preserve">3.494 </v>
      </c>
      <c r="P94" s="12" t="str">
        <f t="shared" si="29"/>
        <v xml:space="preserve">3.431 </v>
      </c>
      <c r="Q94" s="12" t="str">
        <f t="shared" si="30"/>
        <v xml:space="preserve">3.338 </v>
      </c>
      <c r="R94" s="12" t="str">
        <f t="shared" si="31"/>
        <v xml:space="preserve">3.325 </v>
      </c>
      <c r="Z94" s="11">
        <v>45391</v>
      </c>
      <c r="AA94">
        <v>3.4209999999999998</v>
      </c>
      <c r="AB94">
        <v>3.4409999999999998</v>
      </c>
      <c r="AC94">
        <v>3.4159999999999999</v>
      </c>
      <c r="AD94">
        <v>3.4060000000000001</v>
      </c>
      <c r="AE94">
        <v>3.4209999999999998</v>
      </c>
      <c r="AF94">
        <v>3.4249999999999998</v>
      </c>
      <c r="AG94">
        <v>3.4039999999999999</v>
      </c>
      <c r="AH94">
        <v>3.387</v>
      </c>
      <c r="AI94">
        <v>3.4430000000000001</v>
      </c>
      <c r="AJ94">
        <v>3.4350000000000001</v>
      </c>
      <c r="AK94">
        <v>3.504</v>
      </c>
      <c r="AL94">
        <v>3.5049999999999999</v>
      </c>
      <c r="AM94">
        <v>3.4940000000000002</v>
      </c>
      <c r="AN94">
        <v>3.431</v>
      </c>
      <c r="AO94">
        <v>3.3380000000000001</v>
      </c>
      <c r="AP94">
        <v>3.3250000000000002</v>
      </c>
    </row>
    <row r="95" spans="2:42">
      <c r="B95" s="5">
        <f t="shared" si="32"/>
        <v>45390</v>
      </c>
      <c r="C95" s="12" t="str">
        <f t="shared" si="33"/>
        <v xml:space="preserve">3.421 </v>
      </c>
      <c r="D95" s="12" t="str">
        <f t="shared" si="17"/>
        <v xml:space="preserve">3.441 </v>
      </c>
      <c r="E95" s="12" t="str">
        <f t="shared" si="18"/>
        <v xml:space="preserve">3.415 </v>
      </c>
      <c r="F95" s="12" t="str">
        <f t="shared" si="19"/>
        <v xml:space="preserve">3.403 </v>
      </c>
      <c r="G95" s="12" t="str">
        <f t="shared" si="20"/>
        <v xml:space="preserve">3.411 </v>
      </c>
      <c r="H95" s="12" t="str">
        <f t="shared" si="21"/>
        <v xml:space="preserve">3.423 </v>
      </c>
      <c r="I95" s="12" t="str">
        <f t="shared" si="22"/>
        <v xml:space="preserve">3.394 </v>
      </c>
      <c r="J95" s="12" t="str">
        <f t="shared" si="23"/>
        <v xml:space="preserve">3.377 </v>
      </c>
      <c r="K95" s="12" t="str">
        <f t="shared" si="24"/>
        <v xml:space="preserve">3.429 </v>
      </c>
      <c r="L95" s="12" t="str">
        <f t="shared" si="25"/>
        <v xml:space="preserve">3.420 </v>
      </c>
      <c r="M95" s="12" t="str">
        <f t="shared" si="26"/>
        <v xml:space="preserve">3.487 </v>
      </c>
      <c r="N95" s="12" t="str">
        <f t="shared" si="27"/>
        <v xml:space="preserve">3.487 </v>
      </c>
      <c r="O95" s="12" t="str">
        <f t="shared" si="28"/>
        <v xml:space="preserve">3.481 </v>
      </c>
      <c r="P95" s="12" t="str">
        <f t="shared" si="29"/>
        <v xml:space="preserve">3.425 </v>
      </c>
      <c r="Q95" s="12" t="str">
        <f t="shared" si="30"/>
        <v xml:space="preserve">3.335 </v>
      </c>
      <c r="R95" s="12" t="str">
        <f t="shared" si="31"/>
        <v xml:space="preserve">3.322 </v>
      </c>
      <c r="Z95" s="11">
        <v>45390</v>
      </c>
      <c r="AA95">
        <v>3.4209999999999998</v>
      </c>
      <c r="AB95">
        <v>3.4409999999999998</v>
      </c>
      <c r="AC95">
        <v>3.415</v>
      </c>
      <c r="AD95">
        <v>3.403</v>
      </c>
      <c r="AE95">
        <v>3.411</v>
      </c>
      <c r="AF95">
        <v>3.423</v>
      </c>
      <c r="AG95">
        <v>3.3940000000000001</v>
      </c>
      <c r="AH95">
        <v>3.3769999999999998</v>
      </c>
      <c r="AI95">
        <v>3.4289999999999998</v>
      </c>
      <c r="AJ95">
        <v>3.42</v>
      </c>
      <c r="AK95">
        <v>3.4870000000000001</v>
      </c>
      <c r="AL95">
        <v>3.4870000000000001</v>
      </c>
      <c r="AM95">
        <v>3.4809999999999999</v>
      </c>
      <c r="AN95">
        <v>3.4249999999999998</v>
      </c>
      <c r="AO95">
        <v>3.335</v>
      </c>
      <c r="AP95">
        <v>3.3220000000000001</v>
      </c>
    </row>
    <row r="96" spans="2:42">
      <c r="B96" s="5">
        <f t="shared" si="32"/>
        <v>45387</v>
      </c>
      <c r="C96" s="12" t="str">
        <f t="shared" si="33"/>
        <v xml:space="preserve">3.421 </v>
      </c>
      <c r="D96" s="12" t="str">
        <f t="shared" si="17"/>
        <v xml:space="preserve">3.441 </v>
      </c>
      <c r="E96" s="12" t="str">
        <f t="shared" si="18"/>
        <v xml:space="preserve">3.410 </v>
      </c>
      <c r="F96" s="12" t="str">
        <f t="shared" si="19"/>
        <v xml:space="preserve">3.395 </v>
      </c>
      <c r="G96" s="12" t="str">
        <f t="shared" si="20"/>
        <v xml:space="preserve">3.373 </v>
      </c>
      <c r="H96" s="12" t="str">
        <f t="shared" si="21"/>
        <v xml:space="preserve">3.366 </v>
      </c>
      <c r="I96" s="12" t="str">
        <f t="shared" si="22"/>
        <v xml:space="preserve">3.346 </v>
      </c>
      <c r="J96" s="12" t="str">
        <f t="shared" si="23"/>
        <v xml:space="preserve">3.330 </v>
      </c>
      <c r="K96" s="12" t="str">
        <f t="shared" si="24"/>
        <v xml:space="preserve">3.381 </v>
      </c>
      <c r="L96" s="12" t="str">
        <f t="shared" si="25"/>
        <v xml:space="preserve">3.372 </v>
      </c>
      <c r="M96" s="12" t="str">
        <f t="shared" si="26"/>
        <v xml:space="preserve">3.438 </v>
      </c>
      <c r="N96" s="12" t="str">
        <f t="shared" si="27"/>
        <v xml:space="preserve">3.435 </v>
      </c>
      <c r="O96" s="12" t="str">
        <f t="shared" si="28"/>
        <v xml:space="preserve">3.443 </v>
      </c>
      <c r="P96" s="12" t="str">
        <f t="shared" si="29"/>
        <v xml:space="preserve">3.390 </v>
      </c>
      <c r="Q96" s="12" t="str">
        <f t="shared" si="30"/>
        <v xml:space="preserve">3.301 </v>
      </c>
      <c r="R96" s="12" t="str">
        <f t="shared" si="31"/>
        <v xml:space="preserve">3.289 </v>
      </c>
      <c r="Z96" s="11">
        <v>45387</v>
      </c>
      <c r="AA96">
        <v>3.4209999999999998</v>
      </c>
      <c r="AB96">
        <v>3.4409999999999998</v>
      </c>
      <c r="AC96">
        <v>3.41</v>
      </c>
      <c r="AD96">
        <v>3.395</v>
      </c>
      <c r="AE96">
        <v>3.3730000000000002</v>
      </c>
      <c r="AF96">
        <v>3.3660000000000001</v>
      </c>
      <c r="AG96">
        <v>3.3460000000000001</v>
      </c>
      <c r="AH96">
        <v>3.33</v>
      </c>
      <c r="AI96">
        <v>3.3809999999999998</v>
      </c>
      <c r="AJ96">
        <v>3.3719999999999999</v>
      </c>
      <c r="AK96">
        <v>3.4380000000000002</v>
      </c>
      <c r="AL96">
        <v>3.4350000000000001</v>
      </c>
      <c r="AM96">
        <v>3.4430000000000001</v>
      </c>
      <c r="AN96">
        <v>3.39</v>
      </c>
      <c r="AO96">
        <v>3.3010000000000002</v>
      </c>
      <c r="AP96">
        <v>3.2890000000000001</v>
      </c>
    </row>
    <row r="97" spans="2:42">
      <c r="B97" s="5">
        <f t="shared" si="32"/>
        <v>45386</v>
      </c>
      <c r="C97" s="12" t="str">
        <f t="shared" si="33"/>
        <v xml:space="preserve">3.426 </v>
      </c>
      <c r="D97" s="12" t="str">
        <f t="shared" si="17"/>
        <v xml:space="preserve">3.448 </v>
      </c>
      <c r="E97" s="12" t="str">
        <f t="shared" si="18"/>
        <v xml:space="preserve">3.412 </v>
      </c>
      <c r="F97" s="12" t="str">
        <f t="shared" si="19"/>
        <v xml:space="preserve">3.398 </v>
      </c>
      <c r="G97" s="12" t="str">
        <f t="shared" si="20"/>
        <v xml:space="preserve">3.375 </v>
      </c>
      <c r="H97" s="12" t="str">
        <f t="shared" si="21"/>
        <v xml:space="preserve">3.368 </v>
      </c>
      <c r="I97" s="12" t="str">
        <f t="shared" si="22"/>
        <v xml:space="preserve">3.350 </v>
      </c>
      <c r="J97" s="12" t="str">
        <f t="shared" si="23"/>
        <v xml:space="preserve">3.335 </v>
      </c>
      <c r="K97" s="12" t="str">
        <f t="shared" si="24"/>
        <v xml:space="preserve">3.392 </v>
      </c>
      <c r="L97" s="12" t="str">
        <f t="shared" si="25"/>
        <v xml:space="preserve">3.384 </v>
      </c>
      <c r="M97" s="12" t="str">
        <f t="shared" si="26"/>
        <v xml:space="preserve">3.456 </v>
      </c>
      <c r="N97" s="12" t="str">
        <f t="shared" si="27"/>
        <v xml:space="preserve">3.459 </v>
      </c>
      <c r="O97" s="12" t="str">
        <f t="shared" si="28"/>
        <v xml:space="preserve">3.461 </v>
      </c>
      <c r="P97" s="12" t="str">
        <f t="shared" si="29"/>
        <v xml:space="preserve">3.404 </v>
      </c>
      <c r="Q97" s="12" t="str">
        <f t="shared" si="30"/>
        <v xml:space="preserve">3.320 </v>
      </c>
      <c r="R97" s="12" t="str">
        <f t="shared" si="31"/>
        <v xml:space="preserve">3.308 </v>
      </c>
      <c r="Z97" s="11">
        <v>45386</v>
      </c>
      <c r="AA97">
        <v>3.4260000000000002</v>
      </c>
      <c r="AB97">
        <v>3.448</v>
      </c>
      <c r="AC97">
        <v>3.4119999999999999</v>
      </c>
      <c r="AD97">
        <v>3.3980000000000001</v>
      </c>
      <c r="AE97">
        <v>3.375</v>
      </c>
      <c r="AF97">
        <v>3.3679999999999999</v>
      </c>
      <c r="AG97">
        <v>3.35</v>
      </c>
      <c r="AH97">
        <v>3.335</v>
      </c>
      <c r="AI97">
        <v>3.3919999999999999</v>
      </c>
      <c r="AJ97">
        <v>3.3839999999999999</v>
      </c>
      <c r="AK97">
        <v>3.456</v>
      </c>
      <c r="AL97">
        <v>3.4590000000000001</v>
      </c>
      <c r="AM97">
        <v>3.4609999999999999</v>
      </c>
      <c r="AN97">
        <v>3.4039999999999999</v>
      </c>
      <c r="AO97">
        <v>3.32</v>
      </c>
      <c r="AP97">
        <v>3.3079999999999998</v>
      </c>
    </row>
    <row r="98" spans="2:42">
      <c r="B98" s="5">
        <f t="shared" si="32"/>
        <v>45385</v>
      </c>
      <c r="C98" s="12" t="str">
        <f t="shared" si="33"/>
        <v xml:space="preserve">3.430 </v>
      </c>
      <c r="D98" s="12" t="str">
        <f t="shared" si="17"/>
        <v xml:space="preserve">3.445 </v>
      </c>
      <c r="E98" s="12" t="str">
        <f t="shared" si="18"/>
        <v xml:space="preserve">3.404 </v>
      </c>
      <c r="F98" s="12" t="str">
        <f t="shared" si="19"/>
        <v xml:space="preserve">3.395 </v>
      </c>
      <c r="G98" s="12" t="str">
        <f t="shared" si="20"/>
        <v xml:space="preserve">3.371 </v>
      </c>
      <c r="H98" s="12" t="str">
        <f t="shared" si="21"/>
        <v xml:space="preserve">3.360 </v>
      </c>
      <c r="I98" s="12" t="str">
        <f t="shared" si="22"/>
        <v xml:space="preserve">3.345 </v>
      </c>
      <c r="J98" s="12" t="str">
        <f t="shared" si="23"/>
        <v xml:space="preserve">3.327 </v>
      </c>
      <c r="K98" s="12" t="str">
        <f t="shared" si="24"/>
        <v xml:space="preserve">3.383 </v>
      </c>
      <c r="L98" s="12" t="str">
        <f t="shared" si="25"/>
        <v xml:space="preserve">3.372 </v>
      </c>
      <c r="M98" s="12" t="str">
        <f t="shared" si="26"/>
        <v xml:space="preserve">3.460 </v>
      </c>
      <c r="N98" s="12" t="str">
        <f t="shared" si="27"/>
        <v xml:space="preserve">3.450 </v>
      </c>
      <c r="O98" s="12" t="str">
        <f t="shared" si="28"/>
        <v xml:space="preserve">3.450 </v>
      </c>
      <c r="P98" s="12" t="str">
        <f t="shared" si="29"/>
        <v xml:space="preserve">3.389 </v>
      </c>
      <c r="Q98" s="12" t="str">
        <f t="shared" si="30"/>
        <v xml:space="preserve">3.310 </v>
      </c>
      <c r="R98" s="12" t="str">
        <f t="shared" si="31"/>
        <v xml:space="preserve">3.297 </v>
      </c>
      <c r="Z98" s="11">
        <v>45385</v>
      </c>
      <c r="AA98">
        <v>3.43</v>
      </c>
      <c r="AB98">
        <v>3.4449999999999998</v>
      </c>
      <c r="AC98">
        <v>3.4039999999999999</v>
      </c>
      <c r="AD98">
        <v>3.395</v>
      </c>
      <c r="AE98">
        <v>3.371</v>
      </c>
      <c r="AF98">
        <v>3.36</v>
      </c>
      <c r="AG98">
        <v>3.3450000000000002</v>
      </c>
      <c r="AH98">
        <v>3.327</v>
      </c>
      <c r="AI98">
        <v>3.383</v>
      </c>
      <c r="AJ98">
        <v>3.3719999999999999</v>
      </c>
      <c r="AK98">
        <v>3.46</v>
      </c>
      <c r="AL98">
        <v>3.45</v>
      </c>
      <c r="AM98">
        <v>3.45</v>
      </c>
      <c r="AN98">
        <v>3.3889999999999998</v>
      </c>
      <c r="AO98">
        <v>3.31</v>
      </c>
      <c r="AP98">
        <v>3.2970000000000002</v>
      </c>
    </row>
    <row r="99" spans="2:42">
      <c r="B99" s="5">
        <f t="shared" si="32"/>
        <v>45384</v>
      </c>
      <c r="C99" s="12" t="str">
        <f t="shared" si="33"/>
        <v xml:space="preserve">3.430 </v>
      </c>
      <c r="D99" s="12" t="str">
        <f t="shared" si="17"/>
        <v xml:space="preserve">3.450 </v>
      </c>
      <c r="E99" s="12" t="str">
        <f t="shared" si="18"/>
        <v xml:space="preserve">3.404 </v>
      </c>
      <c r="F99" s="12" t="str">
        <f t="shared" si="19"/>
        <v xml:space="preserve">3.395 </v>
      </c>
      <c r="G99" s="12" t="str">
        <f t="shared" si="20"/>
        <v xml:space="preserve">3.371 </v>
      </c>
      <c r="H99" s="12" t="str">
        <f t="shared" si="21"/>
        <v xml:space="preserve">3.360 </v>
      </c>
      <c r="I99" s="12" t="str">
        <f t="shared" si="22"/>
        <v xml:space="preserve">3.345 </v>
      </c>
      <c r="J99" s="12" t="str">
        <f t="shared" si="23"/>
        <v xml:space="preserve">3.325 </v>
      </c>
      <c r="K99" s="12" t="str">
        <f t="shared" si="24"/>
        <v xml:space="preserve">3.376 </v>
      </c>
      <c r="L99" s="12" t="str">
        <f t="shared" si="25"/>
        <v xml:space="preserve">3.362 </v>
      </c>
      <c r="M99" s="12" t="str">
        <f t="shared" si="26"/>
        <v xml:space="preserve">3.442 </v>
      </c>
      <c r="N99" s="12" t="str">
        <f t="shared" si="27"/>
        <v xml:space="preserve">3.425 </v>
      </c>
      <c r="O99" s="12" t="str">
        <f t="shared" si="28"/>
        <v xml:space="preserve">3.431 </v>
      </c>
      <c r="P99" s="12" t="str">
        <f t="shared" si="29"/>
        <v xml:space="preserve">3.375 </v>
      </c>
      <c r="Q99" s="12" t="str">
        <f t="shared" si="30"/>
        <v xml:space="preserve">3.300 </v>
      </c>
      <c r="R99" s="12" t="str">
        <f t="shared" si="31"/>
        <v xml:space="preserve">3.287 </v>
      </c>
      <c r="Z99" s="11">
        <v>45384</v>
      </c>
      <c r="AA99">
        <v>3.43</v>
      </c>
      <c r="AB99">
        <v>3.45</v>
      </c>
      <c r="AC99">
        <v>3.4039999999999999</v>
      </c>
      <c r="AD99">
        <v>3.395</v>
      </c>
      <c r="AE99">
        <v>3.371</v>
      </c>
      <c r="AF99">
        <v>3.36</v>
      </c>
      <c r="AG99">
        <v>3.3450000000000002</v>
      </c>
      <c r="AH99">
        <v>3.3250000000000002</v>
      </c>
      <c r="AI99">
        <v>3.3759999999999999</v>
      </c>
      <c r="AJ99">
        <v>3.3620000000000001</v>
      </c>
      <c r="AK99">
        <v>3.4420000000000002</v>
      </c>
      <c r="AL99">
        <v>3.4249999999999998</v>
      </c>
      <c r="AM99">
        <v>3.431</v>
      </c>
      <c r="AN99">
        <v>3.375</v>
      </c>
      <c r="AO99">
        <v>3.3</v>
      </c>
      <c r="AP99">
        <v>3.2869999999999999</v>
      </c>
    </row>
    <row r="100" spans="2:42">
      <c r="B100" s="5">
        <f t="shared" si="32"/>
        <v>45383</v>
      </c>
      <c r="C100" s="12" t="str">
        <f t="shared" si="33"/>
        <v xml:space="preserve">3.430 </v>
      </c>
      <c r="D100" s="12" t="str">
        <f t="shared" si="17"/>
        <v xml:space="preserve">3.453 </v>
      </c>
      <c r="E100" s="12" t="str">
        <f t="shared" si="18"/>
        <v xml:space="preserve">3.403 </v>
      </c>
      <c r="F100" s="12" t="str">
        <f t="shared" si="19"/>
        <v xml:space="preserve">3.386 </v>
      </c>
      <c r="G100" s="12" t="str">
        <f t="shared" si="20"/>
        <v xml:space="preserve">3.360 </v>
      </c>
      <c r="H100" s="12" t="str">
        <f t="shared" si="21"/>
        <v xml:space="preserve">3.346 </v>
      </c>
      <c r="I100" s="12" t="str">
        <f t="shared" si="22"/>
        <v xml:space="preserve">3.312 </v>
      </c>
      <c r="J100" s="12" t="str">
        <f t="shared" si="23"/>
        <v xml:space="preserve">3.292 </v>
      </c>
      <c r="K100" s="12" t="str">
        <f t="shared" si="24"/>
        <v xml:space="preserve">3.337 </v>
      </c>
      <c r="L100" s="12" t="str">
        <f t="shared" si="25"/>
        <v xml:space="preserve">3.320 </v>
      </c>
      <c r="M100" s="12" t="str">
        <f t="shared" si="26"/>
        <v xml:space="preserve">3.398 </v>
      </c>
      <c r="N100" s="12" t="str">
        <f t="shared" si="27"/>
        <v xml:space="preserve">3.376 </v>
      </c>
      <c r="O100" s="12" t="str">
        <f t="shared" si="28"/>
        <v xml:space="preserve">3.396 </v>
      </c>
      <c r="P100" s="12" t="str">
        <f t="shared" si="29"/>
        <v xml:space="preserve">3.350 </v>
      </c>
      <c r="Q100" s="12" t="str">
        <f t="shared" si="30"/>
        <v xml:space="preserve">3.282 </v>
      </c>
      <c r="R100" s="12" t="str">
        <f t="shared" si="31"/>
        <v xml:space="preserve">3.270 </v>
      </c>
      <c r="Z100" s="11">
        <v>45383</v>
      </c>
      <c r="AA100">
        <v>3.43</v>
      </c>
      <c r="AB100">
        <v>3.4529999999999998</v>
      </c>
      <c r="AC100">
        <v>3.403</v>
      </c>
      <c r="AD100">
        <v>3.3860000000000001</v>
      </c>
      <c r="AE100">
        <v>3.36</v>
      </c>
      <c r="AF100">
        <v>3.3460000000000001</v>
      </c>
      <c r="AG100">
        <v>3.3119999999999998</v>
      </c>
      <c r="AH100">
        <v>3.2919999999999998</v>
      </c>
      <c r="AI100">
        <v>3.3370000000000002</v>
      </c>
      <c r="AJ100">
        <v>3.32</v>
      </c>
      <c r="AK100">
        <v>3.3980000000000001</v>
      </c>
      <c r="AL100">
        <v>3.3759999999999999</v>
      </c>
      <c r="AM100">
        <v>3.3959999999999999</v>
      </c>
      <c r="AN100">
        <v>3.35</v>
      </c>
      <c r="AO100">
        <v>3.282</v>
      </c>
      <c r="AP100">
        <v>3.27</v>
      </c>
    </row>
    <row r="101" spans="2:42">
      <c r="B101" s="5">
        <f t="shared" si="32"/>
        <v>45380</v>
      </c>
      <c r="C101" s="12" t="str">
        <f t="shared" si="33"/>
        <v xml:space="preserve">3.435 </v>
      </c>
      <c r="D101" s="12" t="str">
        <f t="shared" si="17"/>
        <v xml:space="preserve">3.463 </v>
      </c>
      <c r="E101" s="12" t="str">
        <f t="shared" si="18"/>
        <v xml:space="preserve">3.410 </v>
      </c>
      <c r="F101" s="12" t="str">
        <f t="shared" si="19"/>
        <v xml:space="preserve">3.396 </v>
      </c>
      <c r="G101" s="12" t="str">
        <f t="shared" si="20"/>
        <v xml:space="preserve">3.380 </v>
      </c>
      <c r="H101" s="12" t="str">
        <f t="shared" si="21"/>
        <v xml:space="preserve">3.360 </v>
      </c>
      <c r="I101" s="12" t="str">
        <f t="shared" si="22"/>
        <v xml:space="preserve">3.340 </v>
      </c>
      <c r="J101" s="12" t="str">
        <f t="shared" si="23"/>
        <v xml:space="preserve">3.319 </v>
      </c>
      <c r="K101" s="12" t="str">
        <f t="shared" si="24"/>
        <v xml:space="preserve">3.363 </v>
      </c>
      <c r="L101" s="12" t="str">
        <f t="shared" si="25"/>
        <v xml:space="preserve">3.345 </v>
      </c>
      <c r="M101" s="12" t="str">
        <f t="shared" si="26"/>
        <v xml:space="preserve">3.423 </v>
      </c>
      <c r="N101" s="12" t="str">
        <f t="shared" si="27"/>
        <v xml:space="preserve">3.402 </v>
      </c>
      <c r="O101" s="12" t="str">
        <f t="shared" si="28"/>
        <v xml:space="preserve">3.423 </v>
      </c>
      <c r="P101" s="12" t="str">
        <f t="shared" si="29"/>
        <v xml:space="preserve">3.378 </v>
      </c>
      <c r="Q101" s="12" t="str">
        <f t="shared" si="30"/>
        <v xml:space="preserve">3.310 </v>
      </c>
      <c r="R101" s="12" t="str">
        <f t="shared" si="31"/>
        <v xml:space="preserve">3.297 </v>
      </c>
      <c r="Z101" s="11">
        <v>45380</v>
      </c>
      <c r="AA101">
        <v>3.4350000000000001</v>
      </c>
      <c r="AB101">
        <v>3.4630000000000001</v>
      </c>
      <c r="AC101">
        <v>3.41</v>
      </c>
      <c r="AD101">
        <v>3.3959999999999999</v>
      </c>
      <c r="AE101">
        <v>3.38</v>
      </c>
      <c r="AF101">
        <v>3.36</v>
      </c>
      <c r="AG101">
        <v>3.34</v>
      </c>
      <c r="AH101">
        <v>3.319</v>
      </c>
      <c r="AI101">
        <v>3.363</v>
      </c>
      <c r="AJ101">
        <v>3.3450000000000002</v>
      </c>
      <c r="AK101">
        <v>3.423</v>
      </c>
      <c r="AL101">
        <v>3.4020000000000001</v>
      </c>
      <c r="AM101">
        <v>3.423</v>
      </c>
      <c r="AN101">
        <v>3.3780000000000001</v>
      </c>
      <c r="AO101">
        <v>3.31</v>
      </c>
      <c r="AP101">
        <v>3.2970000000000002</v>
      </c>
    </row>
    <row r="102" spans="2:42">
      <c r="B102" s="5">
        <f t="shared" si="32"/>
        <v>45379</v>
      </c>
      <c r="C102" s="12" t="str">
        <f t="shared" si="33"/>
        <v xml:space="preserve">3.425 </v>
      </c>
      <c r="D102" s="12" t="str">
        <f t="shared" si="17"/>
        <v xml:space="preserve">3.455 </v>
      </c>
      <c r="E102" s="12" t="str">
        <f t="shared" si="18"/>
        <v xml:space="preserve">3.401 </v>
      </c>
      <c r="F102" s="12" t="str">
        <f t="shared" si="19"/>
        <v xml:space="preserve">3.378 </v>
      </c>
      <c r="G102" s="12" t="str">
        <f t="shared" si="20"/>
        <v xml:space="preserve">3.370 </v>
      </c>
      <c r="H102" s="12" t="str">
        <f t="shared" si="21"/>
        <v xml:space="preserve">3.340 </v>
      </c>
      <c r="I102" s="12" t="str">
        <f t="shared" si="22"/>
        <v xml:space="preserve">3.320 </v>
      </c>
      <c r="J102" s="12" t="str">
        <f t="shared" si="23"/>
        <v xml:space="preserve">3.300 </v>
      </c>
      <c r="K102" s="12" t="str">
        <f t="shared" si="24"/>
        <v xml:space="preserve">3.343 </v>
      </c>
      <c r="L102" s="12" t="str">
        <f t="shared" si="25"/>
        <v xml:space="preserve">3.325 </v>
      </c>
      <c r="M102" s="12" t="str">
        <f t="shared" si="26"/>
        <v xml:space="preserve">3.403 </v>
      </c>
      <c r="N102" s="12" t="str">
        <f t="shared" si="27"/>
        <v xml:space="preserve">3.380 </v>
      </c>
      <c r="O102" s="12" t="str">
        <f t="shared" si="28"/>
        <v xml:space="preserve">3.410 </v>
      </c>
      <c r="P102" s="12" t="str">
        <f t="shared" si="29"/>
        <v xml:space="preserve">3.370 </v>
      </c>
      <c r="Q102" s="12" t="str">
        <f t="shared" si="30"/>
        <v xml:space="preserve">3.280 </v>
      </c>
      <c r="R102" s="12" t="str">
        <f t="shared" si="31"/>
        <v xml:space="preserve">3.267 </v>
      </c>
      <c r="Z102" s="11">
        <v>45379</v>
      </c>
      <c r="AA102">
        <v>3.4249999999999998</v>
      </c>
      <c r="AB102">
        <v>3.4550000000000001</v>
      </c>
      <c r="AC102">
        <v>3.4009999999999998</v>
      </c>
      <c r="AD102">
        <v>3.3780000000000001</v>
      </c>
      <c r="AE102">
        <v>3.37</v>
      </c>
      <c r="AF102">
        <v>3.34</v>
      </c>
      <c r="AG102">
        <v>3.32</v>
      </c>
      <c r="AH102">
        <v>3.3</v>
      </c>
      <c r="AI102">
        <v>3.343</v>
      </c>
      <c r="AJ102">
        <v>3.3250000000000002</v>
      </c>
      <c r="AK102">
        <v>3.403</v>
      </c>
      <c r="AL102">
        <v>3.38</v>
      </c>
      <c r="AM102">
        <v>3.41</v>
      </c>
      <c r="AN102">
        <v>3.37</v>
      </c>
      <c r="AO102">
        <v>3.28</v>
      </c>
      <c r="AP102">
        <v>3.2669999999999999</v>
      </c>
    </row>
    <row r="103" spans="2:42">
      <c r="B103" s="5">
        <f t="shared" si="32"/>
        <v>45378</v>
      </c>
      <c r="C103" s="12" t="str">
        <f t="shared" si="33"/>
        <v xml:space="preserve">3.425 </v>
      </c>
      <c r="D103" s="12" t="str">
        <f t="shared" si="17"/>
        <v xml:space="preserve">3.456 </v>
      </c>
      <c r="E103" s="12" t="str">
        <f t="shared" si="18"/>
        <v xml:space="preserve">3.396 </v>
      </c>
      <c r="F103" s="12" t="str">
        <f t="shared" si="19"/>
        <v xml:space="preserve">3.366 </v>
      </c>
      <c r="G103" s="12" t="str">
        <f t="shared" si="20"/>
        <v xml:space="preserve">3.360 </v>
      </c>
      <c r="H103" s="12" t="str">
        <f t="shared" si="21"/>
        <v xml:space="preserve">3.323 </v>
      </c>
      <c r="I103" s="12" t="str">
        <f t="shared" si="22"/>
        <v xml:space="preserve">3.315 </v>
      </c>
      <c r="J103" s="12" t="str">
        <f t="shared" si="23"/>
        <v xml:space="preserve">3.286 </v>
      </c>
      <c r="K103" s="12" t="str">
        <f t="shared" si="24"/>
        <v xml:space="preserve">3.337 </v>
      </c>
      <c r="L103" s="12" t="str">
        <f t="shared" si="25"/>
        <v xml:space="preserve">3.314 </v>
      </c>
      <c r="M103" s="12" t="str">
        <f t="shared" si="26"/>
        <v xml:space="preserve">3.395 </v>
      </c>
      <c r="N103" s="12" t="str">
        <f t="shared" si="27"/>
        <v xml:space="preserve">3.375 </v>
      </c>
      <c r="O103" s="12" t="str">
        <f t="shared" si="28"/>
        <v xml:space="preserve">3.405 </v>
      </c>
      <c r="P103" s="12" t="str">
        <f t="shared" si="29"/>
        <v xml:space="preserve">3.365 </v>
      </c>
      <c r="Q103" s="12" t="str">
        <f t="shared" si="30"/>
        <v xml:space="preserve">3.262 </v>
      </c>
      <c r="R103" s="12" t="str">
        <f t="shared" si="31"/>
        <v xml:space="preserve">3.250 </v>
      </c>
      <c r="Z103" s="11">
        <v>45378</v>
      </c>
      <c r="AA103">
        <v>3.4249999999999998</v>
      </c>
      <c r="AB103">
        <v>3.456</v>
      </c>
      <c r="AC103">
        <v>3.3959999999999999</v>
      </c>
      <c r="AD103">
        <v>3.3660000000000001</v>
      </c>
      <c r="AE103">
        <v>3.36</v>
      </c>
      <c r="AF103">
        <v>3.323</v>
      </c>
      <c r="AG103">
        <v>3.3149999999999999</v>
      </c>
      <c r="AH103">
        <v>3.286</v>
      </c>
      <c r="AI103">
        <v>3.3370000000000002</v>
      </c>
      <c r="AJ103">
        <v>3.3140000000000001</v>
      </c>
      <c r="AK103">
        <v>3.395</v>
      </c>
      <c r="AL103">
        <v>3.375</v>
      </c>
      <c r="AM103">
        <v>3.4049999999999998</v>
      </c>
      <c r="AN103">
        <v>3.3650000000000002</v>
      </c>
      <c r="AO103">
        <v>3.262</v>
      </c>
      <c r="AP103">
        <v>3.25</v>
      </c>
    </row>
    <row r="104" spans="2:42">
      <c r="B104" s="5">
        <f t="shared" si="32"/>
        <v>45377</v>
      </c>
      <c r="C104" s="12" t="str">
        <f t="shared" si="33"/>
        <v xml:space="preserve">3.420 </v>
      </c>
      <c r="D104" s="12" t="str">
        <f t="shared" si="17"/>
        <v xml:space="preserve">3.450 </v>
      </c>
      <c r="E104" s="12" t="str">
        <f t="shared" si="18"/>
        <v xml:space="preserve">3.390 </v>
      </c>
      <c r="F104" s="12" t="str">
        <f t="shared" si="19"/>
        <v xml:space="preserve">3.350 </v>
      </c>
      <c r="G104" s="12" t="str">
        <f t="shared" si="20"/>
        <v xml:space="preserve">3.357 </v>
      </c>
      <c r="H104" s="12" t="str">
        <f t="shared" si="21"/>
        <v xml:space="preserve">3.325 </v>
      </c>
      <c r="I104" s="12" t="str">
        <f t="shared" si="22"/>
        <v xml:space="preserve">3.325 </v>
      </c>
      <c r="J104" s="12" t="str">
        <f t="shared" si="23"/>
        <v xml:space="preserve">3.302 </v>
      </c>
      <c r="K104" s="12" t="str">
        <f t="shared" si="24"/>
        <v xml:space="preserve">3.363 </v>
      </c>
      <c r="L104" s="12" t="str">
        <f t="shared" si="25"/>
        <v xml:space="preserve">3.345 </v>
      </c>
      <c r="M104" s="12" t="str">
        <f t="shared" si="26"/>
        <v xml:space="preserve">3.430 </v>
      </c>
      <c r="N104" s="12" t="str">
        <f t="shared" si="27"/>
        <v xml:space="preserve">3.412 </v>
      </c>
      <c r="O104" s="12" t="str">
        <f t="shared" si="28"/>
        <v xml:space="preserve">3.440 </v>
      </c>
      <c r="P104" s="12" t="str">
        <f t="shared" si="29"/>
        <v xml:space="preserve">3.398 </v>
      </c>
      <c r="Q104" s="12" t="str">
        <f t="shared" si="30"/>
        <v xml:space="preserve">3.302 </v>
      </c>
      <c r="R104" s="12" t="str">
        <f t="shared" si="31"/>
        <v xml:space="preserve">3.290 </v>
      </c>
      <c r="Z104" s="11">
        <v>45377</v>
      </c>
      <c r="AA104">
        <v>3.42</v>
      </c>
      <c r="AB104">
        <v>3.45</v>
      </c>
      <c r="AC104">
        <v>3.39</v>
      </c>
      <c r="AD104">
        <v>3.35</v>
      </c>
      <c r="AE104">
        <v>3.3570000000000002</v>
      </c>
      <c r="AF104">
        <v>3.3250000000000002</v>
      </c>
      <c r="AG104">
        <v>3.3250000000000002</v>
      </c>
      <c r="AH104">
        <v>3.302</v>
      </c>
      <c r="AI104">
        <v>3.363</v>
      </c>
      <c r="AJ104">
        <v>3.3450000000000002</v>
      </c>
      <c r="AK104">
        <v>3.43</v>
      </c>
      <c r="AL104">
        <v>3.4119999999999999</v>
      </c>
      <c r="AM104">
        <v>3.44</v>
      </c>
      <c r="AN104">
        <v>3.3980000000000001</v>
      </c>
      <c r="AO104">
        <v>3.302</v>
      </c>
      <c r="AP104">
        <v>3.29</v>
      </c>
    </row>
    <row r="105" spans="2:42">
      <c r="B105" s="5">
        <f t="shared" si="32"/>
        <v>45376</v>
      </c>
      <c r="C105" s="12" t="str">
        <f t="shared" si="33"/>
        <v xml:space="preserve">3.415 </v>
      </c>
      <c r="D105" s="12" t="str">
        <f t="shared" si="17"/>
        <v xml:space="preserve">3.446 </v>
      </c>
      <c r="E105" s="12" t="str">
        <f t="shared" si="18"/>
        <v xml:space="preserve">3.376 </v>
      </c>
      <c r="F105" s="12" t="str">
        <f t="shared" si="19"/>
        <v xml:space="preserve">3.340 </v>
      </c>
      <c r="G105" s="12" t="str">
        <f t="shared" si="20"/>
        <v xml:space="preserve">3.352 </v>
      </c>
      <c r="H105" s="12" t="str">
        <f t="shared" si="21"/>
        <v xml:space="preserve">3.313 </v>
      </c>
      <c r="I105" s="12" t="str">
        <f t="shared" si="22"/>
        <v xml:space="preserve">3.319 </v>
      </c>
      <c r="J105" s="12" t="str">
        <f t="shared" si="23"/>
        <v xml:space="preserve">3.291 </v>
      </c>
      <c r="K105" s="12" t="str">
        <f t="shared" si="24"/>
        <v xml:space="preserve">3.350 </v>
      </c>
      <c r="L105" s="12" t="str">
        <f t="shared" si="25"/>
        <v xml:space="preserve">3.327 </v>
      </c>
      <c r="M105" s="12" t="str">
        <f t="shared" si="26"/>
        <v xml:space="preserve">3.412 </v>
      </c>
      <c r="N105" s="12" t="str">
        <f t="shared" si="27"/>
        <v xml:space="preserve">3.380 </v>
      </c>
      <c r="O105" s="12" t="str">
        <f t="shared" si="28"/>
        <v xml:space="preserve">3.409 </v>
      </c>
      <c r="P105" s="12" t="str">
        <f t="shared" si="29"/>
        <v xml:space="preserve">3.370 </v>
      </c>
      <c r="Q105" s="12" t="str">
        <f t="shared" si="30"/>
        <v xml:space="preserve">3.277 </v>
      </c>
      <c r="R105" s="12" t="str">
        <f t="shared" si="31"/>
        <v xml:space="preserve">3.265 </v>
      </c>
      <c r="Z105" s="11">
        <v>45376</v>
      </c>
      <c r="AA105">
        <v>3.415</v>
      </c>
      <c r="AB105">
        <v>3.4460000000000002</v>
      </c>
      <c r="AC105">
        <v>3.3759999999999999</v>
      </c>
      <c r="AD105">
        <v>3.34</v>
      </c>
      <c r="AE105">
        <v>3.3519999999999999</v>
      </c>
      <c r="AF105">
        <v>3.3130000000000002</v>
      </c>
      <c r="AG105">
        <v>3.319</v>
      </c>
      <c r="AH105">
        <v>3.2909999999999999</v>
      </c>
      <c r="AI105">
        <v>3.35</v>
      </c>
      <c r="AJ105">
        <v>3.327</v>
      </c>
      <c r="AK105">
        <v>3.4119999999999999</v>
      </c>
      <c r="AL105">
        <v>3.38</v>
      </c>
      <c r="AM105">
        <v>3.4089999999999998</v>
      </c>
      <c r="AN105">
        <v>3.37</v>
      </c>
      <c r="AO105">
        <v>3.2770000000000001</v>
      </c>
      <c r="AP105">
        <v>3.2650000000000001</v>
      </c>
    </row>
    <row r="106" spans="2:42">
      <c r="B106" s="5">
        <f t="shared" si="32"/>
        <v>45373</v>
      </c>
      <c r="C106" s="12" t="str">
        <f t="shared" si="33"/>
        <v xml:space="preserve">3.415 </v>
      </c>
      <c r="D106" s="12" t="str">
        <f t="shared" si="17"/>
        <v xml:space="preserve">3.446 </v>
      </c>
      <c r="E106" s="12" t="str">
        <f t="shared" si="18"/>
        <v xml:space="preserve">3.366 </v>
      </c>
      <c r="F106" s="12" t="str">
        <f t="shared" si="19"/>
        <v xml:space="preserve">3.340 </v>
      </c>
      <c r="G106" s="12" t="str">
        <f t="shared" si="20"/>
        <v xml:space="preserve">3.350 </v>
      </c>
      <c r="H106" s="12" t="str">
        <f t="shared" si="21"/>
        <v xml:space="preserve">3.339 </v>
      </c>
      <c r="I106" s="12" t="str">
        <f t="shared" si="22"/>
        <v xml:space="preserve">3.315 </v>
      </c>
      <c r="J106" s="12" t="str">
        <f t="shared" si="23"/>
        <v xml:space="preserve">3.287 </v>
      </c>
      <c r="K106" s="12" t="str">
        <f t="shared" si="24"/>
        <v xml:space="preserve">3.345 </v>
      </c>
      <c r="L106" s="12" t="str">
        <f t="shared" si="25"/>
        <v xml:space="preserve">3.323 </v>
      </c>
      <c r="M106" s="12" t="str">
        <f t="shared" si="26"/>
        <v xml:space="preserve">3.408 </v>
      </c>
      <c r="N106" s="12" t="str">
        <f t="shared" si="27"/>
        <v xml:space="preserve">3.364 </v>
      </c>
      <c r="O106" s="12" t="str">
        <f t="shared" si="28"/>
        <v xml:space="preserve">3.393 </v>
      </c>
      <c r="P106" s="12" t="str">
        <f t="shared" si="29"/>
        <v xml:space="preserve">3.349 </v>
      </c>
      <c r="Q106" s="12" t="str">
        <f t="shared" si="30"/>
        <v xml:space="preserve">3.265 </v>
      </c>
      <c r="R106" s="12" t="str">
        <f t="shared" si="31"/>
        <v xml:space="preserve">3.253 </v>
      </c>
      <c r="Z106" s="11">
        <v>45373</v>
      </c>
      <c r="AA106">
        <v>3.415</v>
      </c>
      <c r="AB106">
        <v>3.4460000000000002</v>
      </c>
      <c r="AC106">
        <v>3.3660000000000001</v>
      </c>
      <c r="AD106">
        <v>3.34</v>
      </c>
      <c r="AE106">
        <v>3.35</v>
      </c>
      <c r="AF106">
        <v>3.339</v>
      </c>
      <c r="AG106">
        <v>3.3149999999999999</v>
      </c>
      <c r="AH106">
        <v>3.2869999999999999</v>
      </c>
      <c r="AI106">
        <v>3.3450000000000002</v>
      </c>
      <c r="AJ106">
        <v>3.323</v>
      </c>
      <c r="AK106">
        <v>3.4079999999999999</v>
      </c>
      <c r="AL106">
        <v>3.3639999999999999</v>
      </c>
      <c r="AM106">
        <v>3.3929999999999998</v>
      </c>
      <c r="AN106">
        <v>3.3490000000000002</v>
      </c>
      <c r="AO106">
        <v>3.2650000000000001</v>
      </c>
      <c r="AP106">
        <v>3.2530000000000001</v>
      </c>
    </row>
    <row r="107" spans="2:42">
      <c r="B107" s="5">
        <f t="shared" si="32"/>
        <v>45372</v>
      </c>
      <c r="C107" s="12" t="str">
        <f t="shared" si="33"/>
        <v xml:space="preserve">3.413 </v>
      </c>
      <c r="D107" s="12" t="str">
        <f t="shared" si="17"/>
        <v xml:space="preserve">3.445 </v>
      </c>
      <c r="E107" s="12" t="str">
        <f t="shared" si="18"/>
        <v xml:space="preserve">3.365 </v>
      </c>
      <c r="F107" s="12" t="str">
        <f t="shared" si="19"/>
        <v xml:space="preserve">3.336 </v>
      </c>
      <c r="G107" s="12" t="str">
        <f t="shared" si="20"/>
        <v xml:space="preserve">3.353 </v>
      </c>
      <c r="H107" s="12" t="str">
        <f t="shared" si="21"/>
        <v xml:space="preserve">3.358 </v>
      </c>
      <c r="I107" s="12" t="str">
        <f t="shared" si="22"/>
        <v xml:space="preserve">3.335 </v>
      </c>
      <c r="J107" s="12" t="str">
        <f t="shared" si="23"/>
        <v xml:space="preserve">3.305 </v>
      </c>
      <c r="K107" s="12" t="str">
        <f t="shared" si="24"/>
        <v xml:space="preserve">3.368 </v>
      </c>
      <c r="L107" s="12" t="str">
        <f t="shared" si="25"/>
        <v xml:space="preserve">3.345 </v>
      </c>
      <c r="M107" s="12" t="str">
        <f t="shared" si="26"/>
        <v xml:space="preserve">3.448 </v>
      </c>
      <c r="N107" s="12" t="str">
        <f t="shared" si="27"/>
        <v xml:space="preserve">3.408 </v>
      </c>
      <c r="O107" s="12" t="str">
        <f t="shared" si="28"/>
        <v xml:space="preserve">3.428 </v>
      </c>
      <c r="P107" s="12" t="str">
        <f t="shared" si="29"/>
        <v xml:space="preserve">3.374 </v>
      </c>
      <c r="Q107" s="12" t="str">
        <f t="shared" si="30"/>
        <v xml:space="preserve">3.287 </v>
      </c>
      <c r="R107" s="12" t="str">
        <f t="shared" si="31"/>
        <v xml:space="preserve">3.275 </v>
      </c>
      <c r="Z107" s="11">
        <v>45372</v>
      </c>
      <c r="AA107">
        <v>3.4129999999999998</v>
      </c>
      <c r="AB107">
        <v>3.4449999999999998</v>
      </c>
      <c r="AC107">
        <v>3.3650000000000002</v>
      </c>
      <c r="AD107">
        <v>3.3359999999999999</v>
      </c>
      <c r="AE107">
        <v>3.3530000000000002</v>
      </c>
      <c r="AF107">
        <v>3.3580000000000001</v>
      </c>
      <c r="AG107">
        <v>3.335</v>
      </c>
      <c r="AH107">
        <v>3.3050000000000002</v>
      </c>
      <c r="AI107">
        <v>3.3679999999999999</v>
      </c>
      <c r="AJ107">
        <v>3.3450000000000002</v>
      </c>
      <c r="AK107">
        <v>3.448</v>
      </c>
      <c r="AL107">
        <v>3.4079999999999999</v>
      </c>
      <c r="AM107">
        <v>3.4279999999999999</v>
      </c>
      <c r="AN107">
        <v>3.3740000000000001</v>
      </c>
      <c r="AO107">
        <v>3.2869999999999999</v>
      </c>
      <c r="AP107">
        <v>3.2749999999999999</v>
      </c>
    </row>
    <row r="108" spans="2:42">
      <c r="B108" s="5">
        <f t="shared" si="32"/>
        <v>45371</v>
      </c>
      <c r="C108" s="12" t="str">
        <f t="shared" si="33"/>
        <v xml:space="preserve">3.440 </v>
      </c>
      <c r="D108" s="12" t="str">
        <f t="shared" si="17"/>
        <v xml:space="preserve">3.451 </v>
      </c>
      <c r="E108" s="12" t="str">
        <f t="shared" si="18"/>
        <v xml:space="preserve">3.376 </v>
      </c>
      <c r="F108" s="12" t="str">
        <f t="shared" si="19"/>
        <v xml:space="preserve">3.345 </v>
      </c>
      <c r="G108" s="12" t="str">
        <f t="shared" si="20"/>
        <v xml:space="preserve">3.406 </v>
      </c>
      <c r="H108" s="12" t="str">
        <f t="shared" si="21"/>
        <v xml:space="preserve">3.429 </v>
      </c>
      <c r="I108" s="12" t="str">
        <f t="shared" si="22"/>
        <v xml:space="preserve">3.399 </v>
      </c>
      <c r="J108" s="12" t="str">
        <f t="shared" si="23"/>
        <v xml:space="preserve">3.365 </v>
      </c>
      <c r="K108" s="12" t="str">
        <f t="shared" si="24"/>
        <v xml:space="preserve">3.423 </v>
      </c>
      <c r="L108" s="12" t="str">
        <f t="shared" si="25"/>
        <v xml:space="preserve">3.390 </v>
      </c>
      <c r="M108" s="12" t="str">
        <f t="shared" si="26"/>
        <v xml:space="preserve">3.496 </v>
      </c>
      <c r="N108" s="12" t="str">
        <f t="shared" si="27"/>
        <v xml:space="preserve">3.440 </v>
      </c>
      <c r="O108" s="12" t="str">
        <f t="shared" si="28"/>
        <v xml:space="preserve">3.456 </v>
      </c>
      <c r="P108" s="12" t="str">
        <f t="shared" si="29"/>
        <v xml:space="preserve">3.400 </v>
      </c>
      <c r="Q108" s="12" t="str">
        <f t="shared" si="30"/>
        <v xml:space="preserve">3.315 </v>
      </c>
      <c r="R108" s="12" t="str">
        <f t="shared" si="31"/>
        <v xml:space="preserve">3.303 </v>
      </c>
      <c r="Z108" s="11">
        <v>45371</v>
      </c>
      <c r="AA108">
        <v>3.44</v>
      </c>
      <c r="AB108">
        <v>3.4510000000000001</v>
      </c>
      <c r="AC108">
        <v>3.3759999999999999</v>
      </c>
      <c r="AD108">
        <v>3.3450000000000002</v>
      </c>
      <c r="AE108">
        <v>3.4060000000000001</v>
      </c>
      <c r="AF108">
        <v>3.4289999999999998</v>
      </c>
      <c r="AG108">
        <v>3.399</v>
      </c>
      <c r="AH108">
        <v>3.3650000000000002</v>
      </c>
      <c r="AI108">
        <v>3.423</v>
      </c>
      <c r="AJ108">
        <v>3.39</v>
      </c>
      <c r="AK108">
        <v>3.496</v>
      </c>
      <c r="AL108">
        <v>3.44</v>
      </c>
      <c r="AM108">
        <v>3.456</v>
      </c>
      <c r="AN108">
        <v>3.4</v>
      </c>
      <c r="AO108">
        <v>3.3149999999999999</v>
      </c>
      <c r="AP108">
        <v>3.3029999999999999</v>
      </c>
    </row>
    <row r="109" spans="2:42">
      <c r="B109" s="5">
        <f t="shared" si="32"/>
        <v>45370</v>
      </c>
      <c r="C109" s="12" t="str">
        <f t="shared" si="33"/>
        <v xml:space="preserve">3.446 </v>
      </c>
      <c r="D109" s="12" t="str">
        <f t="shared" si="17"/>
        <v xml:space="preserve">3.461 </v>
      </c>
      <c r="E109" s="12" t="str">
        <f t="shared" si="18"/>
        <v xml:space="preserve">3.370 </v>
      </c>
      <c r="F109" s="12" t="str">
        <f t="shared" si="19"/>
        <v xml:space="preserve">3.345 </v>
      </c>
      <c r="G109" s="12" t="str">
        <f t="shared" si="20"/>
        <v xml:space="preserve">3.434 </v>
      </c>
      <c r="H109" s="12" t="str">
        <f t="shared" si="21"/>
        <v xml:space="preserve">3.442 </v>
      </c>
      <c r="I109" s="12" t="str">
        <f t="shared" si="22"/>
        <v xml:space="preserve">3.423 </v>
      </c>
      <c r="J109" s="12" t="str">
        <f t="shared" si="23"/>
        <v xml:space="preserve">3.390 </v>
      </c>
      <c r="K109" s="12" t="str">
        <f t="shared" si="24"/>
        <v xml:space="preserve">3.452 </v>
      </c>
      <c r="L109" s="12" t="str">
        <f t="shared" si="25"/>
        <v xml:space="preserve">3.422 </v>
      </c>
      <c r="M109" s="12" t="str">
        <f t="shared" si="26"/>
        <v xml:space="preserve">3.529 </v>
      </c>
      <c r="N109" s="12" t="str">
        <f t="shared" si="27"/>
        <v xml:space="preserve">3.475 </v>
      </c>
      <c r="O109" s="12" t="str">
        <f t="shared" si="28"/>
        <v xml:space="preserve">3.487 </v>
      </c>
      <c r="P109" s="12" t="str">
        <f t="shared" si="29"/>
        <v xml:space="preserve">3.425 </v>
      </c>
      <c r="Q109" s="12" t="str">
        <f t="shared" si="30"/>
        <v xml:space="preserve">3.345 </v>
      </c>
      <c r="R109" s="12" t="str">
        <f t="shared" si="31"/>
        <v xml:space="preserve">3.334 </v>
      </c>
      <c r="Z109" s="11">
        <v>45370</v>
      </c>
      <c r="AA109">
        <v>3.4460000000000002</v>
      </c>
      <c r="AB109">
        <v>3.4609999999999999</v>
      </c>
      <c r="AC109">
        <v>3.37</v>
      </c>
      <c r="AD109">
        <v>3.3450000000000002</v>
      </c>
      <c r="AE109">
        <v>3.4340000000000002</v>
      </c>
      <c r="AF109">
        <v>3.4420000000000002</v>
      </c>
      <c r="AG109">
        <v>3.423</v>
      </c>
      <c r="AH109">
        <v>3.39</v>
      </c>
      <c r="AI109">
        <v>3.452</v>
      </c>
      <c r="AJ109">
        <v>3.4220000000000002</v>
      </c>
      <c r="AK109">
        <v>3.5289999999999999</v>
      </c>
      <c r="AL109">
        <v>3.4750000000000001</v>
      </c>
      <c r="AM109">
        <v>3.4870000000000001</v>
      </c>
      <c r="AN109">
        <v>3.4249999999999998</v>
      </c>
      <c r="AO109">
        <v>3.3450000000000002</v>
      </c>
      <c r="AP109">
        <v>3.3340000000000001</v>
      </c>
    </row>
    <row r="110" spans="2:42">
      <c r="B110" s="5">
        <f t="shared" si="32"/>
        <v>45369</v>
      </c>
      <c r="C110" s="12" t="str">
        <f t="shared" si="33"/>
        <v xml:space="preserve">3.446 </v>
      </c>
      <c r="D110" s="12" t="str">
        <f t="shared" si="17"/>
        <v xml:space="preserve">3.461 </v>
      </c>
      <c r="E110" s="12" t="str">
        <f t="shared" si="18"/>
        <v xml:space="preserve">3.370 </v>
      </c>
      <c r="F110" s="12" t="str">
        <f t="shared" si="19"/>
        <v xml:space="preserve">3.345 </v>
      </c>
      <c r="G110" s="12" t="str">
        <f t="shared" si="20"/>
        <v xml:space="preserve">3.416 </v>
      </c>
      <c r="H110" s="12" t="str">
        <f t="shared" si="21"/>
        <v xml:space="preserve">3.415 </v>
      </c>
      <c r="I110" s="12" t="str">
        <f t="shared" si="22"/>
        <v xml:space="preserve">3.387 </v>
      </c>
      <c r="J110" s="12" t="str">
        <f t="shared" si="23"/>
        <v xml:space="preserve">3.350 </v>
      </c>
      <c r="K110" s="12" t="str">
        <f t="shared" si="24"/>
        <v xml:space="preserve">3.414 </v>
      </c>
      <c r="L110" s="12" t="str">
        <f t="shared" si="25"/>
        <v xml:space="preserve">3.385 </v>
      </c>
      <c r="M110" s="12" t="str">
        <f t="shared" si="26"/>
        <v xml:space="preserve">3.489 </v>
      </c>
      <c r="N110" s="12" t="str">
        <f t="shared" si="27"/>
        <v xml:space="preserve">3.432 </v>
      </c>
      <c r="O110" s="12" t="str">
        <f t="shared" si="28"/>
        <v xml:space="preserve">3.459 </v>
      </c>
      <c r="P110" s="12" t="str">
        <f t="shared" si="29"/>
        <v xml:space="preserve">3.419 </v>
      </c>
      <c r="Q110" s="12" t="str">
        <f t="shared" si="30"/>
        <v xml:space="preserve">3.325 </v>
      </c>
      <c r="R110" s="12" t="str">
        <f t="shared" si="31"/>
        <v xml:space="preserve">3.315 </v>
      </c>
      <c r="Z110" s="11">
        <v>45369</v>
      </c>
      <c r="AA110">
        <v>3.4460000000000002</v>
      </c>
      <c r="AB110">
        <v>3.4609999999999999</v>
      </c>
      <c r="AC110">
        <v>3.37</v>
      </c>
      <c r="AD110">
        <v>3.3450000000000002</v>
      </c>
      <c r="AE110">
        <v>3.4159999999999999</v>
      </c>
      <c r="AF110">
        <v>3.415</v>
      </c>
      <c r="AG110">
        <v>3.387</v>
      </c>
      <c r="AH110">
        <v>3.35</v>
      </c>
      <c r="AI110">
        <v>3.4140000000000001</v>
      </c>
      <c r="AJ110">
        <v>3.3849999999999998</v>
      </c>
      <c r="AK110">
        <v>3.4889999999999999</v>
      </c>
      <c r="AL110">
        <v>3.4319999999999999</v>
      </c>
      <c r="AM110">
        <v>3.4590000000000001</v>
      </c>
      <c r="AN110">
        <v>3.419</v>
      </c>
      <c r="AO110">
        <v>3.3250000000000002</v>
      </c>
      <c r="AP110">
        <v>3.3149999999999999</v>
      </c>
    </row>
    <row r="111" spans="2:42">
      <c r="B111" s="5">
        <f t="shared" si="32"/>
        <v>45366</v>
      </c>
      <c r="C111" s="12" t="str">
        <f t="shared" si="33"/>
        <v xml:space="preserve">3.446 </v>
      </c>
      <c r="D111" s="12" t="str">
        <f t="shared" si="17"/>
        <v xml:space="preserve">3.465 </v>
      </c>
      <c r="E111" s="12" t="str">
        <f t="shared" si="18"/>
        <v xml:space="preserve">3.360 </v>
      </c>
      <c r="F111" s="12" t="str">
        <f t="shared" si="19"/>
        <v xml:space="preserve">3.338 </v>
      </c>
      <c r="G111" s="12" t="str">
        <f t="shared" si="20"/>
        <v xml:space="preserve">3.398 </v>
      </c>
      <c r="H111" s="12" t="str">
        <f t="shared" si="21"/>
        <v xml:space="preserve">3.373 </v>
      </c>
      <c r="I111" s="12" t="str">
        <f t="shared" si="22"/>
        <v xml:space="preserve">3.352 </v>
      </c>
      <c r="J111" s="12" t="str">
        <f t="shared" si="23"/>
        <v xml:space="preserve">3.305 </v>
      </c>
      <c r="K111" s="12" t="str">
        <f t="shared" si="24"/>
        <v xml:space="preserve">3.369 </v>
      </c>
      <c r="L111" s="12" t="str">
        <f t="shared" si="25"/>
        <v xml:space="preserve">3.340 </v>
      </c>
      <c r="M111" s="12" t="str">
        <f t="shared" si="26"/>
        <v xml:space="preserve">3.454 </v>
      </c>
      <c r="N111" s="12" t="str">
        <f t="shared" si="27"/>
        <v xml:space="preserve">3.410 </v>
      </c>
      <c r="O111" s="12" t="str">
        <f t="shared" si="28"/>
        <v xml:space="preserve">3.430 </v>
      </c>
      <c r="P111" s="12" t="str">
        <f t="shared" si="29"/>
        <v xml:space="preserve">3.385 </v>
      </c>
      <c r="Q111" s="12" t="str">
        <f t="shared" si="30"/>
        <v xml:space="preserve">3.310 </v>
      </c>
      <c r="R111" s="12" t="str">
        <f t="shared" si="31"/>
        <v xml:space="preserve">3.300 </v>
      </c>
      <c r="Z111" s="11">
        <v>45366</v>
      </c>
      <c r="AA111">
        <v>3.4460000000000002</v>
      </c>
      <c r="AB111">
        <v>3.4649999999999999</v>
      </c>
      <c r="AC111">
        <v>3.36</v>
      </c>
      <c r="AD111">
        <v>3.3380000000000001</v>
      </c>
      <c r="AE111">
        <v>3.3980000000000001</v>
      </c>
      <c r="AF111">
        <v>3.3730000000000002</v>
      </c>
      <c r="AG111">
        <v>3.3519999999999999</v>
      </c>
      <c r="AH111">
        <v>3.3050000000000002</v>
      </c>
      <c r="AI111">
        <v>3.3690000000000002</v>
      </c>
      <c r="AJ111">
        <v>3.34</v>
      </c>
      <c r="AK111">
        <v>3.4540000000000002</v>
      </c>
      <c r="AL111">
        <v>3.41</v>
      </c>
      <c r="AM111">
        <v>3.43</v>
      </c>
      <c r="AN111">
        <v>3.3849999999999998</v>
      </c>
      <c r="AO111">
        <v>3.31</v>
      </c>
      <c r="AP111">
        <v>3.3</v>
      </c>
    </row>
    <row r="112" spans="2:42">
      <c r="B112" s="5">
        <f t="shared" si="32"/>
        <v>45365</v>
      </c>
      <c r="C112" s="12" t="str">
        <f t="shared" si="33"/>
        <v xml:space="preserve">3.446 </v>
      </c>
      <c r="D112" s="12" t="str">
        <f t="shared" si="17"/>
        <v xml:space="preserve">3.465 </v>
      </c>
      <c r="E112" s="12" t="str">
        <f t="shared" si="18"/>
        <v xml:space="preserve">3.365 </v>
      </c>
      <c r="F112" s="12" t="str">
        <f t="shared" si="19"/>
        <v xml:space="preserve">3.335 </v>
      </c>
      <c r="G112" s="12" t="str">
        <f t="shared" si="20"/>
        <v xml:space="preserve">3.381 </v>
      </c>
      <c r="H112" s="12" t="str">
        <f t="shared" si="21"/>
        <v xml:space="preserve">3.350 </v>
      </c>
      <c r="I112" s="12" t="str">
        <f t="shared" si="22"/>
        <v xml:space="preserve">3.312 </v>
      </c>
      <c r="J112" s="12" t="str">
        <f t="shared" si="23"/>
        <v xml:space="preserve">3.267 </v>
      </c>
      <c r="K112" s="12" t="str">
        <f t="shared" si="24"/>
        <v xml:space="preserve">3.331 </v>
      </c>
      <c r="L112" s="12" t="str">
        <f t="shared" si="25"/>
        <v xml:space="preserve">3.296 </v>
      </c>
      <c r="M112" s="12" t="str">
        <f t="shared" si="26"/>
        <v xml:space="preserve">3.404 </v>
      </c>
      <c r="N112" s="12" t="str">
        <f t="shared" si="27"/>
        <v xml:space="preserve">3.355 </v>
      </c>
      <c r="O112" s="12" t="str">
        <f t="shared" si="28"/>
        <v xml:space="preserve">3.380 </v>
      </c>
      <c r="P112" s="12" t="str">
        <f t="shared" si="29"/>
        <v xml:space="preserve">3.340 </v>
      </c>
      <c r="Q112" s="12" t="str">
        <f t="shared" si="30"/>
        <v xml:space="preserve">3.266 </v>
      </c>
      <c r="R112" s="12" t="str">
        <f t="shared" si="31"/>
        <v xml:space="preserve">3.240 </v>
      </c>
      <c r="Z112" s="11">
        <v>45365</v>
      </c>
      <c r="AA112">
        <v>3.4460000000000002</v>
      </c>
      <c r="AB112">
        <v>3.4649999999999999</v>
      </c>
      <c r="AC112">
        <v>3.3650000000000002</v>
      </c>
      <c r="AD112">
        <v>3.335</v>
      </c>
      <c r="AE112">
        <v>3.3809999999999998</v>
      </c>
      <c r="AF112">
        <v>3.35</v>
      </c>
      <c r="AG112">
        <v>3.3119999999999998</v>
      </c>
      <c r="AH112">
        <v>3.2669999999999999</v>
      </c>
      <c r="AI112">
        <v>3.331</v>
      </c>
      <c r="AJ112">
        <v>3.2959999999999998</v>
      </c>
      <c r="AK112">
        <v>3.4039999999999999</v>
      </c>
      <c r="AL112">
        <v>3.355</v>
      </c>
      <c r="AM112">
        <v>3.38</v>
      </c>
      <c r="AN112">
        <v>3.34</v>
      </c>
      <c r="AO112">
        <v>3.266</v>
      </c>
      <c r="AP112">
        <v>3.24</v>
      </c>
    </row>
    <row r="113" spans="2:42">
      <c r="B113" s="5">
        <f t="shared" si="32"/>
        <v>45364</v>
      </c>
      <c r="C113" s="12" t="str">
        <f t="shared" si="33"/>
        <v xml:space="preserve">3.445 </v>
      </c>
      <c r="D113" s="12" t="str">
        <f t="shared" si="17"/>
        <v xml:space="preserve">3.463 </v>
      </c>
      <c r="E113" s="12" t="str">
        <f t="shared" si="18"/>
        <v xml:space="preserve">3.368 </v>
      </c>
      <c r="F113" s="12" t="str">
        <f t="shared" si="19"/>
        <v xml:space="preserve">3.331 </v>
      </c>
      <c r="G113" s="12" t="str">
        <f t="shared" si="20"/>
        <v xml:space="preserve">3.367 </v>
      </c>
      <c r="H113" s="12" t="str">
        <f t="shared" si="21"/>
        <v xml:space="preserve">3.333 </v>
      </c>
      <c r="I113" s="12" t="str">
        <f t="shared" si="22"/>
        <v xml:space="preserve">3.284 </v>
      </c>
      <c r="J113" s="12" t="str">
        <f t="shared" si="23"/>
        <v xml:space="preserve">3.245 </v>
      </c>
      <c r="K113" s="12" t="str">
        <f t="shared" si="24"/>
        <v xml:space="preserve">3.296 </v>
      </c>
      <c r="L113" s="12" t="str">
        <f t="shared" si="25"/>
        <v xml:space="preserve">3.267 </v>
      </c>
      <c r="M113" s="12" t="str">
        <f t="shared" si="26"/>
        <v xml:space="preserve">3.379 </v>
      </c>
      <c r="N113" s="12" t="str">
        <f t="shared" si="27"/>
        <v xml:space="preserve">3.327 </v>
      </c>
      <c r="O113" s="12" t="str">
        <f t="shared" si="28"/>
        <v xml:space="preserve">3.351 </v>
      </c>
      <c r="P113" s="12" t="str">
        <f t="shared" si="29"/>
        <v xml:space="preserve">3.309 </v>
      </c>
      <c r="Q113" s="12" t="str">
        <f t="shared" si="30"/>
        <v xml:space="preserve">3.231 </v>
      </c>
      <c r="R113" s="12" t="str">
        <f t="shared" si="31"/>
        <v xml:space="preserve">3.204 </v>
      </c>
      <c r="Z113" s="11">
        <v>45364</v>
      </c>
      <c r="AA113">
        <v>3.4449999999999998</v>
      </c>
      <c r="AB113">
        <v>3.4630000000000001</v>
      </c>
      <c r="AC113">
        <v>3.3679999999999999</v>
      </c>
      <c r="AD113">
        <v>3.331</v>
      </c>
      <c r="AE113">
        <v>3.367</v>
      </c>
      <c r="AF113">
        <v>3.3330000000000002</v>
      </c>
      <c r="AG113">
        <v>3.2839999999999998</v>
      </c>
      <c r="AH113">
        <v>3.2450000000000001</v>
      </c>
      <c r="AI113">
        <v>3.2959999999999998</v>
      </c>
      <c r="AJ113">
        <v>3.2669999999999999</v>
      </c>
      <c r="AK113">
        <v>3.379</v>
      </c>
      <c r="AL113">
        <v>3.327</v>
      </c>
      <c r="AM113">
        <v>3.351</v>
      </c>
      <c r="AN113">
        <v>3.3090000000000002</v>
      </c>
      <c r="AO113">
        <v>3.2309999999999999</v>
      </c>
      <c r="AP113">
        <v>3.2040000000000002</v>
      </c>
    </row>
    <row r="114" spans="2:42">
      <c r="B114" s="5">
        <f t="shared" si="32"/>
        <v>45363</v>
      </c>
      <c r="C114" s="12" t="str">
        <f t="shared" si="33"/>
        <v xml:space="preserve">3.448 </v>
      </c>
      <c r="D114" s="12" t="str">
        <f t="shared" si="17"/>
        <v xml:space="preserve">3.466 </v>
      </c>
      <c r="E114" s="12" t="str">
        <f t="shared" si="18"/>
        <v xml:space="preserve">3.401 </v>
      </c>
      <c r="F114" s="12" t="str">
        <f t="shared" si="19"/>
        <v xml:space="preserve">3.345 </v>
      </c>
      <c r="G114" s="12" t="str">
        <f t="shared" si="20"/>
        <v xml:space="preserve">3.378 </v>
      </c>
      <c r="H114" s="12" t="str">
        <f t="shared" si="21"/>
        <v xml:space="preserve">3.347 </v>
      </c>
      <c r="I114" s="12" t="str">
        <f t="shared" si="22"/>
        <v xml:space="preserve">3.297 </v>
      </c>
      <c r="J114" s="12" t="str">
        <f t="shared" si="23"/>
        <v xml:space="preserve">3.270 </v>
      </c>
      <c r="K114" s="12" t="str">
        <f t="shared" si="24"/>
        <v xml:space="preserve">3.320 </v>
      </c>
      <c r="L114" s="12" t="str">
        <f t="shared" si="25"/>
        <v xml:space="preserve">3.280 </v>
      </c>
      <c r="M114" s="12" t="str">
        <f t="shared" si="26"/>
        <v xml:space="preserve">3.389 </v>
      </c>
      <c r="N114" s="12" t="str">
        <f t="shared" si="27"/>
        <v xml:space="preserve">3.333 </v>
      </c>
      <c r="O114" s="12" t="str">
        <f t="shared" si="28"/>
        <v xml:space="preserve">3.358 </v>
      </c>
      <c r="P114" s="12" t="str">
        <f t="shared" si="29"/>
        <v xml:space="preserve">3.316 </v>
      </c>
      <c r="Q114" s="12" t="str">
        <f t="shared" si="30"/>
        <v xml:space="preserve">3.245 </v>
      </c>
      <c r="R114" s="12" t="str">
        <f t="shared" si="31"/>
        <v xml:space="preserve">3.218 </v>
      </c>
      <c r="Z114" s="11">
        <v>45363</v>
      </c>
      <c r="AA114">
        <v>3.448</v>
      </c>
      <c r="AB114">
        <v>3.4660000000000002</v>
      </c>
      <c r="AC114">
        <v>3.4009999999999998</v>
      </c>
      <c r="AD114">
        <v>3.3450000000000002</v>
      </c>
      <c r="AE114">
        <v>3.3780000000000001</v>
      </c>
      <c r="AF114">
        <v>3.347</v>
      </c>
      <c r="AG114">
        <v>3.2970000000000002</v>
      </c>
      <c r="AH114">
        <v>3.27</v>
      </c>
      <c r="AI114">
        <v>3.32</v>
      </c>
      <c r="AJ114">
        <v>3.28</v>
      </c>
      <c r="AK114">
        <v>3.3889999999999998</v>
      </c>
      <c r="AL114">
        <v>3.3330000000000002</v>
      </c>
      <c r="AM114">
        <v>3.3580000000000001</v>
      </c>
      <c r="AN114">
        <v>3.3159999999999998</v>
      </c>
      <c r="AO114">
        <v>3.2450000000000001</v>
      </c>
      <c r="AP114">
        <v>3.218</v>
      </c>
    </row>
    <row r="115" spans="2:42">
      <c r="B115" s="5">
        <f t="shared" si="32"/>
        <v>45362</v>
      </c>
      <c r="C115" s="12" t="str">
        <f t="shared" si="33"/>
        <v xml:space="preserve">3.448 </v>
      </c>
      <c r="D115" s="12" t="str">
        <f t="shared" si="17"/>
        <v xml:space="preserve">3.461 </v>
      </c>
      <c r="E115" s="12" t="str">
        <f t="shared" si="18"/>
        <v xml:space="preserve">3.411 </v>
      </c>
      <c r="F115" s="12" t="str">
        <f t="shared" si="19"/>
        <v xml:space="preserve">3.350 </v>
      </c>
      <c r="G115" s="12" t="str">
        <f t="shared" si="20"/>
        <v xml:space="preserve">3.375 </v>
      </c>
      <c r="H115" s="12" t="str">
        <f t="shared" si="21"/>
        <v xml:space="preserve">3.341 </v>
      </c>
      <c r="I115" s="12" t="str">
        <f t="shared" si="22"/>
        <v xml:space="preserve">3.290 </v>
      </c>
      <c r="J115" s="12" t="str">
        <f t="shared" si="23"/>
        <v xml:space="preserve">3.275 </v>
      </c>
      <c r="K115" s="12" t="str">
        <f t="shared" si="24"/>
        <v xml:space="preserve">3.326 </v>
      </c>
      <c r="L115" s="12" t="str">
        <f t="shared" si="25"/>
        <v xml:space="preserve">3.282 </v>
      </c>
      <c r="M115" s="12" t="str">
        <f t="shared" si="26"/>
        <v xml:space="preserve">3.405 </v>
      </c>
      <c r="N115" s="12" t="str">
        <f t="shared" si="27"/>
        <v xml:space="preserve">3.347 </v>
      </c>
      <c r="O115" s="12" t="str">
        <f t="shared" si="28"/>
        <v xml:space="preserve">3.374 </v>
      </c>
      <c r="P115" s="12" t="str">
        <f t="shared" si="29"/>
        <v xml:space="preserve">3.340 </v>
      </c>
      <c r="Q115" s="12" t="str">
        <f t="shared" si="30"/>
        <v xml:space="preserve">3.270 </v>
      </c>
      <c r="R115" s="12" t="str">
        <f t="shared" si="31"/>
        <v xml:space="preserve">3.243 </v>
      </c>
      <c r="Z115" s="11">
        <v>45362</v>
      </c>
      <c r="AA115">
        <v>3.448</v>
      </c>
      <c r="AB115">
        <v>3.4609999999999999</v>
      </c>
      <c r="AC115">
        <v>3.411</v>
      </c>
      <c r="AD115">
        <v>3.35</v>
      </c>
      <c r="AE115">
        <v>3.375</v>
      </c>
      <c r="AF115">
        <v>3.3410000000000002</v>
      </c>
      <c r="AG115">
        <v>3.29</v>
      </c>
      <c r="AH115">
        <v>3.2749999999999999</v>
      </c>
      <c r="AI115">
        <v>3.3260000000000001</v>
      </c>
      <c r="AJ115">
        <v>3.282</v>
      </c>
      <c r="AK115">
        <v>3.4049999999999998</v>
      </c>
      <c r="AL115">
        <v>3.347</v>
      </c>
      <c r="AM115">
        <v>3.3740000000000001</v>
      </c>
      <c r="AN115">
        <v>3.34</v>
      </c>
      <c r="AO115">
        <v>3.27</v>
      </c>
      <c r="AP115">
        <v>3.2429999999999999</v>
      </c>
    </row>
    <row r="116" spans="2:42">
      <c r="B116" s="5">
        <f t="shared" si="32"/>
        <v>45359</v>
      </c>
      <c r="C116" s="12" t="str">
        <f t="shared" si="33"/>
        <v xml:space="preserve">3.448 </v>
      </c>
      <c r="D116" s="12" t="str">
        <f t="shared" si="17"/>
        <v xml:space="preserve">3.445 </v>
      </c>
      <c r="E116" s="12" t="str">
        <f t="shared" si="18"/>
        <v xml:space="preserve">3.471 </v>
      </c>
      <c r="F116" s="12" t="str">
        <f t="shared" si="19"/>
        <v xml:space="preserve">3.396 </v>
      </c>
      <c r="G116" s="12" t="str">
        <f t="shared" si="20"/>
        <v xml:space="preserve">3.345 </v>
      </c>
      <c r="H116" s="12" t="str">
        <f t="shared" si="21"/>
        <v xml:space="preserve">3.363 </v>
      </c>
      <c r="I116" s="12" t="str">
        <f t="shared" si="22"/>
        <v xml:space="preserve">3.280 </v>
      </c>
      <c r="J116" s="12" t="str">
        <f t="shared" si="23"/>
        <v xml:space="preserve">3.265 </v>
      </c>
      <c r="K116" s="12" t="str">
        <f t="shared" si="24"/>
        <v xml:space="preserve">3.310 </v>
      </c>
      <c r="L116" s="12" t="str">
        <f t="shared" si="25"/>
        <v xml:space="preserve">3.297 </v>
      </c>
      <c r="M116" s="12" t="str">
        <f t="shared" si="26"/>
        <v xml:space="preserve">3.381 </v>
      </c>
      <c r="N116" s="12" t="str">
        <f t="shared" si="27"/>
        <v xml:space="preserve">3.321 </v>
      </c>
      <c r="O116" s="12" t="str">
        <f t="shared" si="28"/>
        <v xml:space="preserve">3.356 </v>
      </c>
      <c r="P116" s="12" t="str">
        <f t="shared" si="29"/>
        <v xml:space="preserve">3.330 </v>
      </c>
      <c r="Q116" s="12" t="str">
        <f t="shared" si="30"/>
        <v xml:space="preserve">3.272 </v>
      </c>
      <c r="R116" s="12" t="str">
        <f t="shared" si="31"/>
        <v xml:space="preserve">3.238 </v>
      </c>
      <c r="Z116" s="11">
        <v>45359</v>
      </c>
      <c r="AA116">
        <v>3.448</v>
      </c>
      <c r="AB116">
        <v>3.4449999999999998</v>
      </c>
      <c r="AC116">
        <v>3.4710000000000001</v>
      </c>
      <c r="AD116">
        <v>3.3959999999999999</v>
      </c>
      <c r="AE116">
        <v>3.3450000000000002</v>
      </c>
      <c r="AF116">
        <v>3.363</v>
      </c>
      <c r="AG116">
        <v>3.28</v>
      </c>
      <c r="AH116">
        <v>3.2650000000000001</v>
      </c>
      <c r="AI116">
        <v>3.31</v>
      </c>
      <c r="AJ116">
        <v>3.2970000000000002</v>
      </c>
      <c r="AK116">
        <v>3.3809999999999998</v>
      </c>
      <c r="AL116">
        <v>3.3210000000000002</v>
      </c>
      <c r="AM116">
        <v>3.3559999999999999</v>
      </c>
      <c r="AN116">
        <v>3.33</v>
      </c>
      <c r="AO116">
        <v>3.2719999999999998</v>
      </c>
      <c r="AP116">
        <v>3.238</v>
      </c>
    </row>
    <row r="117" spans="2:42">
      <c r="B117" s="5">
        <f t="shared" si="32"/>
        <v>45358</v>
      </c>
      <c r="C117" s="12" t="str">
        <f t="shared" si="33"/>
        <v xml:space="preserve">3.448 </v>
      </c>
      <c r="D117" s="12" t="str">
        <f t="shared" si="17"/>
        <v xml:space="preserve">3.445 </v>
      </c>
      <c r="E117" s="12" t="str">
        <f t="shared" si="18"/>
        <v xml:space="preserve">3.488 </v>
      </c>
      <c r="F117" s="12" t="str">
        <f t="shared" si="19"/>
        <v xml:space="preserve">3.428 </v>
      </c>
      <c r="G117" s="12" t="str">
        <f t="shared" si="20"/>
        <v xml:space="preserve">3.389 </v>
      </c>
      <c r="H117" s="12" t="str">
        <f t="shared" si="21"/>
        <v xml:space="preserve">3.414 </v>
      </c>
      <c r="I117" s="12" t="str">
        <f t="shared" si="22"/>
        <v xml:space="preserve">3.335 </v>
      </c>
      <c r="J117" s="12" t="str">
        <f t="shared" si="23"/>
        <v xml:space="preserve">3.317 </v>
      </c>
      <c r="K117" s="12" t="str">
        <f t="shared" si="24"/>
        <v xml:space="preserve">3.370 </v>
      </c>
      <c r="L117" s="12" t="str">
        <f t="shared" si="25"/>
        <v xml:space="preserve">3.360 </v>
      </c>
      <c r="M117" s="12" t="str">
        <f t="shared" si="26"/>
        <v xml:space="preserve">3.447 </v>
      </c>
      <c r="N117" s="12" t="str">
        <f t="shared" si="27"/>
        <v xml:space="preserve">3.397 </v>
      </c>
      <c r="O117" s="12" t="str">
        <f t="shared" si="28"/>
        <v xml:space="preserve">3.427 </v>
      </c>
      <c r="P117" s="12" t="str">
        <f t="shared" si="29"/>
        <v xml:space="preserve">3.401 </v>
      </c>
      <c r="Q117" s="12" t="str">
        <f t="shared" si="30"/>
        <v xml:space="preserve">3.335 </v>
      </c>
      <c r="R117" s="12" t="str">
        <f t="shared" si="31"/>
        <v xml:space="preserve">3.300 </v>
      </c>
      <c r="Z117" s="11">
        <v>45358</v>
      </c>
      <c r="AA117">
        <v>3.448</v>
      </c>
      <c r="AB117">
        <v>3.4449999999999998</v>
      </c>
      <c r="AC117">
        <v>3.488</v>
      </c>
      <c r="AD117">
        <v>3.4279999999999999</v>
      </c>
      <c r="AE117">
        <v>3.3889999999999998</v>
      </c>
      <c r="AF117">
        <v>3.4140000000000001</v>
      </c>
      <c r="AG117">
        <v>3.335</v>
      </c>
      <c r="AH117">
        <v>3.3170000000000002</v>
      </c>
      <c r="AI117">
        <v>3.37</v>
      </c>
      <c r="AJ117">
        <v>3.36</v>
      </c>
      <c r="AK117">
        <v>3.4470000000000001</v>
      </c>
      <c r="AL117">
        <v>3.3969999999999998</v>
      </c>
      <c r="AM117">
        <v>3.427</v>
      </c>
      <c r="AN117">
        <v>3.4009999999999998</v>
      </c>
      <c r="AO117">
        <v>3.335</v>
      </c>
      <c r="AP117">
        <v>3.3</v>
      </c>
    </row>
    <row r="118" spans="2:42">
      <c r="B118" s="5">
        <f t="shared" si="32"/>
        <v>45357</v>
      </c>
      <c r="C118" s="12" t="str">
        <f t="shared" si="33"/>
        <v xml:space="preserve">3.448 </v>
      </c>
      <c r="D118" s="12" t="str">
        <f t="shared" si="17"/>
        <v xml:space="preserve">3.445 </v>
      </c>
      <c r="E118" s="12" t="str">
        <f t="shared" si="18"/>
        <v xml:space="preserve">3.490 </v>
      </c>
      <c r="F118" s="12" t="str">
        <f t="shared" si="19"/>
        <v xml:space="preserve">3.435 </v>
      </c>
      <c r="G118" s="12" t="str">
        <f t="shared" si="20"/>
        <v xml:space="preserve">3.400 </v>
      </c>
      <c r="H118" s="12" t="str">
        <f t="shared" si="21"/>
        <v xml:space="preserve">3.410 </v>
      </c>
      <c r="I118" s="12" t="str">
        <f t="shared" si="22"/>
        <v xml:space="preserve">3.338 </v>
      </c>
      <c r="J118" s="12" t="str">
        <f t="shared" si="23"/>
        <v xml:space="preserve">3.320 </v>
      </c>
      <c r="K118" s="12" t="str">
        <f t="shared" si="24"/>
        <v xml:space="preserve">3.370 </v>
      </c>
      <c r="L118" s="12" t="str">
        <f t="shared" si="25"/>
        <v xml:space="preserve">3.355 </v>
      </c>
      <c r="M118" s="12" t="str">
        <f t="shared" si="26"/>
        <v xml:space="preserve">3.432 </v>
      </c>
      <c r="N118" s="12" t="str">
        <f t="shared" si="27"/>
        <v xml:space="preserve">3.377 </v>
      </c>
      <c r="O118" s="12" t="str">
        <f t="shared" si="28"/>
        <v xml:space="preserve">3.403 </v>
      </c>
      <c r="P118" s="12" t="str">
        <f t="shared" si="29"/>
        <v xml:space="preserve">3.375 </v>
      </c>
      <c r="Q118" s="12" t="str">
        <f t="shared" si="30"/>
        <v xml:space="preserve">3.310 </v>
      </c>
      <c r="R118" s="12" t="str">
        <f t="shared" si="31"/>
        <v xml:space="preserve">3.275 </v>
      </c>
      <c r="Z118" s="11">
        <v>45357</v>
      </c>
      <c r="AA118">
        <v>3.448</v>
      </c>
      <c r="AB118">
        <v>3.4449999999999998</v>
      </c>
      <c r="AC118">
        <v>3.49</v>
      </c>
      <c r="AD118">
        <v>3.4350000000000001</v>
      </c>
      <c r="AE118">
        <v>3.4</v>
      </c>
      <c r="AF118">
        <v>3.41</v>
      </c>
      <c r="AG118">
        <v>3.3380000000000001</v>
      </c>
      <c r="AH118">
        <v>3.32</v>
      </c>
      <c r="AI118">
        <v>3.37</v>
      </c>
      <c r="AJ118">
        <v>3.355</v>
      </c>
      <c r="AK118">
        <v>3.4319999999999999</v>
      </c>
      <c r="AL118">
        <v>3.3769999999999998</v>
      </c>
      <c r="AM118">
        <v>3.403</v>
      </c>
      <c r="AN118">
        <v>3.375</v>
      </c>
      <c r="AO118">
        <v>3.31</v>
      </c>
      <c r="AP118">
        <v>3.2749999999999999</v>
      </c>
    </row>
    <row r="119" spans="2:42">
      <c r="B119" s="5">
        <f t="shared" si="32"/>
        <v>45356</v>
      </c>
      <c r="C119" s="12" t="str">
        <f t="shared" si="33"/>
        <v xml:space="preserve">3.451 </v>
      </c>
      <c r="D119" s="12" t="str">
        <f t="shared" si="17"/>
        <v xml:space="preserve">3.451 </v>
      </c>
      <c r="E119" s="12" t="str">
        <f t="shared" si="18"/>
        <v xml:space="preserve">3.500 </v>
      </c>
      <c r="F119" s="12" t="str">
        <f t="shared" si="19"/>
        <v xml:space="preserve">3.456 </v>
      </c>
      <c r="G119" s="12" t="str">
        <f t="shared" si="20"/>
        <v xml:space="preserve">3.426 </v>
      </c>
      <c r="H119" s="12" t="str">
        <f t="shared" si="21"/>
        <v xml:space="preserve">3.439 </v>
      </c>
      <c r="I119" s="12" t="str">
        <f t="shared" si="22"/>
        <v xml:space="preserve">3.368 </v>
      </c>
      <c r="J119" s="12" t="str">
        <f t="shared" si="23"/>
        <v xml:space="preserve">3.352 </v>
      </c>
      <c r="K119" s="12" t="str">
        <f t="shared" si="24"/>
        <v xml:space="preserve">3.406 </v>
      </c>
      <c r="L119" s="12" t="str">
        <f t="shared" si="25"/>
        <v xml:space="preserve">3.390 </v>
      </c>
      <c r="M119" s="12" t="str">
        <f t="shared" si="26"/>
        <v xml:space="preserve">3.458 </v>
      </c>
      <c r="N119" s="12" t="str">
        <f t="shared" si="27"/>
        <v xml:space="preserve">3.415 </v>
      </c>
      <c r="O119" s="12" t="str">
        <f t="shared" si="28"/>
        <v xml:space="preserve">3.427 </v>
      </c>
      <c r="P119" s="12" t="str">
        <f t="shared" si="29"/>
        <v xml:space="preserve">3.395 </v>
      </c>
      <c r="Q119" s="12" t="str">
        <f t="shared" si="30"/>
        <v xml:space="preserve">3.321 </v>
      </c>
      <c r="R119" s="12" t="str">
        <f t="shared" si="31"/>
        <v xml:space="preserve">3.287 </v>
      </c>
      <c r="Z119" s="11">
        <v>45356</v>
      </c>
      <c r="AA119">
        <v>3.4510000000000001</v>
      </c>
      <c r="AB119">
        <v>3.4510000000000001</v>
      </c>
      <c r="AC119">
        <v>3.5</v>
      </c>
      <c r="AD119">
        <v>3.456</v>
      </c>
      <c r="AE119">
        <v>3.4260000000000002</v>
      </c>
      <c r="AF119">
        <v>3.4390000000000001</v>
      </c>
      <c r="AG119">
        <v>3.3679999999999999</v>
      </c>
      <c r="AH119">
        <v>3.3519999999999999</v>
      </c>
      <c r="AI119">
        <v>3.4060000000000001</v>
      </c>
      <c r="AJ119">
        <v>3.39</v>
      </c>
      <c r="AK119">
        <v>3.4580000000000002</v>
      </c>
      <c r="AL119">
        <v>3.415</v>
      </c>
      <c r="AM119">
        <v>3.427</v>
      </c>
      <c r="AN119">
        <v>3.395</v>
      </c>
      <c r="AO119">
        <v>3.3210000000000002</v>
      </c>
      <c r="AP119">
        <v>3.2869999999999999</v>
      </c>
    </row>
    <row r="120" spans="2:42">
      <c r="B120" s="5">
        <f t="shared" si="32"/>
        <v>45355</v>
      </c>
      <c r="C120" s="12" t="str">
        <f t="shared" si="33"/>
        <v xml:space="preserve">3.451 </v>
      </c>
      <c r="D120" s="12" t="str">
        <f t="shared" si="17"/>
        <v xml:space="preserve">3.453 </v>
      </c>
      <c r="E120" s="12" t="str">
        <f t="shared" si="18"/>
        <v xml:space="preserve">3.501 </v>
      </c>
      <c r="F120" s="12" t="str">
        <f t="shared" si="19"/>
        <v xml:space="preserve">3.463 </v>
      </c>
      <c r="G120" s="12" t="str">
        <f t="shared" si="20"/>
        <v xml:space="preserve">3.436 </v>
      </c>
      <c r="H120" s="12" t="str">
        <f t="shared" si="21"/>
        <v xml:space="preserve">3.439 </v>
      </c>
      <c r="I120" s="12" t="str">
        <f t="shared" si="22"/>
        <v xml:space="preserve">3.373 </v>
      </c>
      <c r="J120" s="12" t="str">
        <f t="shared" si="23"/>
        <v xml:space="preserve">3.357 </v>
      </c>
      <c r="K120" s="12" t="str">
        <f t="shared" si="24"/>
        <v xml:space="preserve">3.418 </v>
      </c>
      <c r="L120" s="12" t="str">
        <f t="shared" si="25"/>
        <v xml:space="preserve">3.401 </v>
      </c>
      <c r="M120" s="12" t="str">
        <f t="shared" si="26"/>
        <v xml:space="preserve">3.473 </v>
      </c>
      <c r="N120" s="12" t="str">
        <f t="shared" si="27"/>
        <v xml:space="preserve">3.435 </v>
      </c>
      <c r="O120" s="12" t="str">
        <f t="shared" si="28"/>
        <v xml:space="preserve">3.450 </v>
      </c>
      <c r="P120" s="12" t="str">
        <f t="shared" si="29"/>
        <v xml:space="preserve">3.427 </v>
      </c>
      <c r="Q120" s="12" t="str">
        <f t="shared" si="30"/>
        <v xml:space="preserve">3.357 </v>
      </c>
      <c r="R120" s="12" t="str">
        <f t="shared" si="31"/>
        <v xml:space="preserve">3.323 </v>
      </c>
      <c r="Z120" s="11">
        <v>45355</v>
      </c>
      <c r="AA120">
        <v>3.4510000000000001</v>
      </c>
      <c r="AB120">
        <v>3.4529999999999998</v>
      </c>
      <c r="AC120">
        <v>3.5009999999999999</v>
      </c>
      <c r="AD120">
        <v>3.4630000000000001</v>
      </c>
      <c r="AE120">
        <v>3.4359999999999999</v>
      </c>
      <c r="AF120">
        <v>3.4390000000000001</v>
      </c>
      <c r="AG120">
        <v>3.3730000000000002</v>
      </c>
      <c r="AH120">
        <v>3.3570000000000002</v>
      </c>
      <c r="AI120">
        <v>3.4180000000000001</v>
      </c>
      <c r="AJ120">
        <v>3.4009999999999998</v>
      </c>
      <c r="AK120">
        <v>3.4729999999999999</v>
      </c>
      <c r="AL120">
        <v>3.4350000000000001</v>
      </c>
      <c r="AM120">
        <v>3.45</v>
      </c>
      <c r="AN120">
        <v>3.427</v>
      </c>
      <c r="AO120">
        <v>3.3570000000000002</v>
      </c>
      <c r="AP120">
        <v>3.323</v>
      </c>
    </row>
    <row r="121" spans="2:42">
      <c r="B121" s="5">
        <f t="shared" si="32"/>
        <v>45351</v>
      </c>
      <c r="C121" s="12" t="str">
        <f t="shared" si="33"/>
        <v xml:space="preserve">3.455 </v>
      </c>
      <c r="D121" s="12" t="str">
        <f t="shared" si="17"/>
        <v xml:space="preserve">3.456 </v>
      </c>
      <c r="E121" s="12" t="str">
        <f t="shared" si="18"/>
        <v xml:space="preserve">3.508 </v>
      </c>
      <c r="F121" s="12" t="str">
        <f t="shared" si="19"/>
        <v xml:space="preserve">3.473 </v>
      </c>
      <c r="G121" s="12" t="str">
        <f t="shared" si="20"/>
        <v xml:space="preserve">3.450 </v>
      </c>
      <c r="H121" s="12" t="str">
        <f t="shared" si="21"/>
        <v xml:space="preserve">3.465 </v>
      </c>
      <c r="I121" s="12" t="str">
        <f t="shared" si="22"/>
        <v xml:space="preserve">3.396 </v>
      </c>
      <c r="J121" s="12" t="str">
        <f t="shared" si="23"/>
        <v xml:space="preserve">3.382 </v>
      </c>
      <c r="K121" s="12" t="str">
        <f t="shared" si="24"/>
        <v xml:space="preserve">3.447 </v>
      </c>
      <c r="L121" s="12" t="str">
        <f t="shared" si="25"/>
        <v xml:space="preserve">3.430 </v>
      </c>
      <c r="M121" s="12" t="str">
        <f t="shared" si="26"/>
        <v xml:space="preserve">3.510 </v>
      </c>
      <c r="N121" s="12" t="str">
        <f t="shared" si="27"/>
        <v xml:space="preserve">3.480 </v>
      </c>
      <c r="O121" s="12" t="str">
        <f t="shared" si="28"/>
        <v xml:space="preserve">3.481 </v>
      </c>
      <c r="P121" s="12" t="str">
        <f t="shared" si="29"/>
        <v xml:space="preserve">3.460 </v>
      </c>
      <c r="Q121" s="12" t="str">
        <f t="shared" si="30"/>
        <v xml:space="preserve">3.390 </v>
      </c>
      <c r="R121" s="12" t="str">
        <f t="shared" si="31"/>
        <v xml:space="preserve">3.355 </v>
      </c>
      <c r="Z121" s="11">
        <v>45351</v>
      </c>
      <c r="AA121">
        <v>3.4550000000000001</v>
      </c>
      <c r="AB121">
        <v>3.456</v>
      </c>
      <c r="AC121">
        <v>3.508</v>
      </c>
      <c r="AD121">
        <v>3.4729999999999999</v>
      </c>
      <c r="AE121">
        <v>3.45</v>
      </c>
      <c r="AF121">
        <v>3.4649999999999999</v>
      </c>
      <c r="AG121">
        <v>3.3959999999999999</v>
      </c>
      <c r="AH121">
        <v>3.3820000000000001</v>
      </c>
      <c r="AI121">
        <v>3.4470000000000001</v>
      </c>
      <c r="AJ121">
        <v>3.43</v>
      </c>
      <c r="AK121">
        <v>3.51</v>
      </c>
      <c r="AL121">
        <v>3.48</v>
      </c>
      <c r="AM121">
        <v>3.4809999999999999</v>
      </c>
      <c r="AN121">
        <v>3.46</v>
      </c>
      <c r="AO121">
        <v>3.39</v>
      </c>
      <c r="AP121">
        <v>3.355</v>
      </c>
    </row>
    <row r="122" spans="2:42">
      <c r="B122" s="5">
        <f t="shared" si="32"/>
        <v>45350</v>
      </c>
      <c r="C122" s="12" t="str">
        <f t="shared" si="33"/>
        <v xml:space="preserve">3.453 </v>
      </c>
      <c r="D122" s="12" t="str">
        <f t="shared" si="17"/>
        <v xml:space="preserve">3.453 </v>
      </c>
      <c r="E122" s="12" t="str">
        <f t="shared" si="18"/>
        <v xml:space="preserve">3.518 </v>
      </c>
      <c r="F122" s="12" t="str">
        <f t="shared" si="19"/>
        <v xml:space="preserve">3.483 </v>
      </c>
      <c r="G122" s="12" t="str">
        <f t="shared" si="20"/>
        <v xml:space="preserve">3.457 </v>
      </c>
      <c r="H122" s="12" t="str">
        <f t="shared" si="21"/>
        <v xml:space="preserve">3.455 </v>
      </c>
      <c r="I122" s="12" t="str">
        <f t="shared" si="22"/>
        <v xml:space="preserve">3.379 </v>
      </c>
      <c r="J122" s="12" t="str">
        <f t="shared" si="23"/>
        <v xml:space="preserve">3.365 </v>
      </c>
      <c r="K122" s="12" t="str">
        <f t="shared" si="24"/>
        <v xml:space="preserve">3.428 </v>
      </c>
      <c r="L122" s="12" t="str">
        <f t="shared" si="25"/>
        <v xml:space="preserve">3.410 </v>
      </c>
      <c r="M122" s="12" t="str">
        <f t="shared" si="26"/>
        <v xml:space="preserve">3.487 </v>
      </c>
      <c r="N122" s="12" t="str">
        <f t="shared" si="27"/>
        <v xml:space="preserve">3.452 </v>
      </c>
      <c r="O122" s="12" t="str">
        <f t="shared" si="28"/>
        <v xml:space="preserve">3.453 </v>
      </c>
      <c r="P122" s="12" t="str">
        <f t="shared" si="29"/>
        <v xml:space="preserve">3.435 </v>
      </c>
      <c r="Q122" s="12" t="str">
        <f t="shared" si="30"/>
        <v xml:space="preserve">3.365 </v>
      </c>
      <c r="R122" s="12" t="str">
        <f t="shared" si="31"/>
        <v xml:space="preserve">3.330 </v>
      </c>
      <c r="Z122" s="11">
        <v>45350</v>
      </c>
      <c r="AA122">
        <v>3.4529999999999998</v>
      </c>
      <c r="AB122">
        <v>3.4529999999999998</v>
      </c>
      <c r="AC122">
        <v>3.5179999999999998</v>
      </c>
      <c r="AD122">
        <v>3.4830000000000001</v>
      </c>
      <c r="AE122">
        <v>3.4569999999999999</v>
      </c>
      <c r="AF122">
        <v>3.4550000000000001</v>
      </c>
      <c r="AG122">
        <v>3.379</v>
      </c>
      <c r="AH122">
        <v>3.3650000000000002</v>
      </c>
      <c r="AI122">
        <v>3.4279999999999999</v>
      </c>
      <c r="AJ122">
        <v>3.41</v>
      </c>
      <c r="AK122">
        <v>3.4870000000000001</v>
      </c>
      <c r="AL122">
        <v>3.452</v>
      </c>
      <c r="AM122">
        <v>3.4529999999999998</v>
      </c>
      <c r="AN122">
        <v>3.4350000000000001</v>
      </c>
      <c r="AO122">
        <v>3.3650000000000002</v>
      </c>
      <c r="AP122">
        <v>3.33</v>
      </c>
    </row>
    <row r="123" spans="2:42">
      <c r="B123" s="5">
        <f t="shared" si="32"/>
        <v>45349</v>
      </c>
      <c r="C123" s="12" t="str">
        <f t="shared" si="33"/>
        <v xml:space="preserve">3.450 </v>
      </c>
      <c r="D123" s="12" t="str">
        <f t="shared" si="17"/>
        <v xml:space="preserve">3.453 </v>
      </c>
      <c r="E123" s="12" t="str">
        <f t="shared" si="18"/>
        <v xml:space="preserve">3.518 </v>
      </c>
      <c r="F123" s="12" t="str">
        <f t="shared" si="19"/>
        <v xml:space="preserve">3.486 </v>
      </c>
      <c r="G123" s="12" t="str">
        <f t="shared" si="20"/>
        <v xml:space="preserve">3.465 </v>
      </c>
      <c r="H123" s="12" t="str">
        <f t="shared" si="21"/>
        <v xml:space="preserve">3.448 </v>
      </c>
      <c r="I123" s="12" t="str">
        <f t="shared" si="22"/>
        <v xml:space="preserve">3.376 </v>
      </c>
      <c r="J123" s="12" t="str">
        <f t="shared" si="23"/>
        <v xml:space="preserve">3.365 </v>
      </c>
      <c r="K123" s="12" t="str">
        <f t="shared" si="24"/>
        <v xml:space="preserve">3.423 </v>
      </c>
      <c r="L123" s="12" t="str">
        <f t="shared" si="25"/>
        <v xml:space="preserve">3.400 </v>
      </c>
      <c r="M123" s="12" t="str">
        <f t="shared" si="26"/>
        <v xml:space="preserve">3.473 </v>
      </c>
      <c r="N123" s="12" t="str">
        <f t="shared" si="27"/>
        <v xml:space="preserve">3.430 </v>
      </c>
      <c r="O123" s="12" t="str">
        <f t="shared" si="28"/>
        <v xml:space="preserve">3.422 </v>
      </c>
      <c r="P123" s="12" t="str">
        <f t="shared" si="29"/>
        <v xml:space="preserve">3.400 </v>
      </c>
      <c r="Q123" s="12" t="str">
        <f t="shared" si="30"/>
        <v xml:space="preserve">3.322 </v>
      </c>
      <c r="R123" s="12" t="str">
        <f t="shared" si="31"/>
        <v xml:space="preserve">3.288 </v>
      </c>
      <c r="Z123" s="11">
        <v>45349</v>
      </c>
      <c r="AA123">
        <v>3.45</v>
      </c>
      <c r="AB123">
        <v>3.4529999999999998</v>
      </c>
      <c r="AC123">
        <v>3.5179999999999998</v>
      </c>
      <c r="AD123">
        <v>3.4860000000000002</v>
      </c>
      <c r="AE123">
        <v>3.4649999999999999</v>
      </c>
      <c r="AF123">
        <v>3.448</v>
      </c>
      <c r="AG123">
        <v>3.3759999999999999</v>
      </c>
      <c r="AH123">
        <v>3.3650000000000002</v>
      </c>
      <c r="AI123">
        <v>3.423</v>
      </c>
      <c r="AJ123">
        <v>3.4</v>
      </c>
      <c r="AK123">
        <v>3.4729999999999999</v>
      </c>
      <c r="AL123">
        <v>3.43</v>
      </c>
      <c r="AM123">
        <v>3.4220000000000002</v>
      </c>
      <c r="AN123">
        <v>3.4</v>
      </c>
      <c r="AO123">
        <v>3.3220000000000001</v>
      </c>
      <c r="AP123">
        <v>3.2879999999999998</v>
      </c>
    </row>
    <row r="124" spans="2:42">
      <c r="B124" s="5">
        <f t="shared" si="32"/>
        <v>45348</v>
      </c>
      <c r="C124" s="12" t="str">
        <f t="shared" si="33"/>
        <v xml:space="preserve">3.450 </v>
      </c>
      <c r="D124" s="12" t="str">
        <f t="shared" si="17"/>
        <v xml:space="preserve">3.453 </v>
      </c>
      <c r="E124" s="12" t="str">
        <f t="shared" si="18"/>
        <v xml:space="preserve">3.515 </v>
      </c>
      <c r="F124" s="12" t="str">
        <f t="shared" si="19"/>
        <v xml:space="preserve">3.483 </v>
      </c>
      <c r="G124" s="12" t="str">
        <f t="shared" si="20"/>
        <v xml:space="preserve">3.465 </v>
      </c>
      <c r="H124" s="12" t="str">
        <f t="shared" si="21"/>
        <v xml:space="preserve">3.425 </v>
      </c>
      <c r="I124" s="12" t="str">
        <f t="shared" si="22"/>
        <v xml:space="preserve">3.350 </v>
      </c>
      <c r="J124" s="12" t="str">
        <f t="shared" si="23"/>
        <v xml:space="preserve">3.339 </v>
      </c>
      <c r="K124" s="12" t="str">
        <f t="shared" si="24"/>
        <v xml:space="preserve">3.396 </v>
      </c>
      <c r="L124" s="12" t="str">
        <f t="shared" si="25"/>
        <v xml:space="preserve">3.375 </v>
      </c>
      <c r="M124" s="12" t="str">
        <f t="shared" si="26"/>
        <v xml:space="preserve">3.445 </v>
      </c>
      <c r="N124" s="12" t="str">
        <f t="shared" si="27"/>
        <v xml:space="preserve">3.401 </v>
      </c>
      <c r="O124" s="12" t="str">
        <f t="shared" si="28"/>
        <v xml:space="preserve">3.393 </v>
      </c>
      <c r="P124" s="12" t="str">
        <f t="shared" si="29"/>
        <v xml:space="preserve">3.380 </v>
      </c>
      <c r="Q124" s="12" t="str">
        <f t="shared" si="30"/>
        <v xml:space="preserve">3.307 </v>
      </c>
      <c r="R124" s="12" t="str">
        <f t="shared" si="31"/>
        <v xml:space="preserve">3.273 </v>
      </c>
      <c r="Z124" s="11">
        <v>45348</v>
      </c>
      <c r="AA124">
        <v>3.45</v>
      </c>
      <c r="AB124">
        <v>3.4529999999999998</v>
      </c>
      <c r="AC124">
        <v>3.5150000000000001</v>
      </c>
      <c r="AD124">
        <v>3.4830000000000001</v>
      </c>
      <c r="AE124">
        <v>3.4649999999999999</v>
      </c>
      <c r="AF124">
        <v>3.4249999999999998</v>
      </c>
      <c r="AG124">
        <v>3.35</v>
      </c>
      <c r="AH124">
        <v>3.339</v>
      </c>
      <c r="AI124">
        <v>3.3959999999999999</v>
      </c>
      <c r="AJ124">
        <v>3.375</v>
      </c>
      <c r="AK124">
        <v>3.4449999999999998</v>
      </c>
      <c r="AL124">
        <v>3.4009999999999998</v>
      </c>
      <c r="AM124">
        <v>3.3929999999999998</v>
      </c>
      <c r="AN124">
        <v>3.38</v>
      </c>
      <c r="AO124">
        <v>3.3069999999999999</v>
      </c>
      <c r="AP124">
        <v>3.2730000000000001</v>
      </c>
    </row>
    <row r="125" spans="2:42">
      <c r="B125" s="5">
        <f t="shared" si="32"/>
        <v>45345</v>
      </c>
      <c r="C125" s="12" t="str">
        <f t="shared" si="33"/>
        <v xml:space="preserve">3.446 </v>
      </c>
      <c r="D125" s="12" t="str">
        <f t="shared" si="17"/>
        <v xml:space="preserve">3.453 </v>
      </c>
      <c r="E125" s="12" t="str">
        <f t="shared" si="18"/>
        <v xml:space="preserve">3.480 </v>
      </c>
      <c r="F125" s="12" t="str">
        <f t="shared" si="19"/>
        <v xml:space="preserve">3.490 </v>
      </c>
      <c r="G125" s="12" t="str">
        <f t="shared" si="20"/>
        <v xml:space="preserve">3.488 </v>
      </c>
      <c r="H125" s="12" t="str">
        <f t="shared" si="21"/>
        <v xml:space="preserve">3.450 </v>
      </c>
      <c r="I125" s="12" t="str">
        <f t="shared" si="22"/>
        <v xml:space="preserve">3.390 </v>
      </c>
      <c r="J125" s="12" t="str">
        <f t="shared" si="23"/>
        <v xml:space="preserve">3.378 </v>
      </c>
      <c r="K125" s="12" t="str">
        <f t="shared" si="24"/>
        <v xml:space="preserve">3.449 </v>
      </c>
      <c r="L125" s="12" t="str">
        <f t="shared" si="25"/>
        <v xml:space="preserve">3.440 </v>
      </c>
      <c r="M125" s="12" t="str">
        <f t="shared" si="26"/>
        <v xml:space="preserve">3.518 </v>
      </c>
      <c r="N125" s="12" t="str">
        <f t="shared" si="27"/>
        <v xml:space="preserve">3.480 </v>
      </c>
      <c r="O125" s="12" t="str">
        <f t="shared" si="28"/>
        <v xml:space="preserve">3.470 </v>
      </c>
      <c r="P125" s="12" t="str">
        <f t="shared" si="29"/>
        <v xml:space="preserve">3.453 </v>
      </c>
      <c r="Q125" s="12" t="str">
        <f t="shared" si="30"/>
        <v xml:space="preserve">3.380 </v>
      </c>
      <c r="R125" s="12" t="str">
        <f t="shared" si="31"/>
        <v xml:space="preserve">3.345 </v>
      </c>
      <c r="Z125" s="11">
        <v>45345</v>
      </c>
      <c r="AA125">
        <v>3.4460000000000002</v>
      </c>
      <c r="AB125">
        <v>3.4529999999999998</v>
      </c>
      <c r="AC125">
        <v>3.48</v>
      </c>
      <c r="AD125">
        <v>3.49</v>
      </c>
      <c r="AE125">
        <v>3.488</v>
      </c>
      <c r="AF125">
        <v>3.45</v>
      </c>
      <c r="AG125">
        <v>3.39</v>
      </c>
      <c r="AH125">
        <v>3.3780000000000001</v>
      </c>
      <c r="AI125">
        <v>3.4489999999999998</v>
      </c>
      <c r="AJ125">
        <v>3.44</v>
      </c>
      <c r="AK125">
        <v>3.5179999999999998</v>
      </c>
      <c r="AL125">
        <v>3.48</v>
      </c>
      <c r="AM125">
        <v>3.47</v>
      </c>
      <c r="AN125">
        <v>3.4529999999999998</v>
      </c>
      <c r="AO125">
        <v>3.38</v>
      </c>
      <c r="AP125">
        <v>3.3450000000000002</v>
      </c>
    </row>
    <row r="126" spans="2:42">
      <c r="B126" s="5">
        <f t="shared" si="32"/>
        <v>45344</v>
      </c>
      <c r="C126" s="12" t="str">
        <f t="shared" si="33"/>
        <v xml:space="preserve">3.446 </v>
      </c>
      <c r="D126" s="12" t="str">
        <f t="shared" si="17"/>
        <v xml:space="preserve">3.453 </v>
      </c>
      <c r="E126" s="12" t="str">
        <f t="shared" si="18"/>
        <v xml:space="preserve">3.471 </v>
      </c>
      <c r="F126" s="12" t="str">
        <f t="shared" si="19"/>
        <v xml:space="preserve">3.483 </v>
      </c>
      <c r="G126" s="12" t="str">
        <f t="shared" si="20"/>
        <v xml:space="preserve">3.475 </v>
      </c>
      <c r="H126" s="12" t="str">
        <f t="shared" si="21"/>
        <v xml:space="preserve">3.420 </v>
      </c>
      <c r="I126" s="12" t="str">
        <f t="shared" si="22"/>
        <v xml:space="preserve">3.355 </v>
      </c>
      <c r="J126" s="12" t="str">
        <f t="shared" si="23"/>
        <v xml:space="preserve">3.345 </v>
      </c>
      <c r="K126" s="12" t="str">
        <f t="shared" si="24"/>
        <v xml:space="preserve">3.411 </v>
      </c>
      <c r="L126" s="12" t="str">
        <f t="shared" si="25"/>
        <v xml:space="preserve">3.391 </v>
      </c>
      <c r="M126" s="12" t="str">
        <f t="shared" si="26"/>
        <v xml:space="preserve">3.469 </v>
      </c>
      <c r="N126" s="12" t="str">
        <f t="shared" si="27"/>
        <v xml:space="preserve">3.430 </v>
      </c>
      <c r="O126" s="12" t="str">
        <f t="shared" si="28"/>
        <v xml:space="preserve">3.431 </v>
      </c>
      <c r="P126" s="12" t="str">
        <f t="shared" si="29"/>
        <v xml:space="preserve">3.424 </v>
      </c>
      <c r="Q126" s="12" t="str">
        <f t="shared" si="30"/>
        <v xml:space="preserve">3.367 </v>
      </c>
      <c r="R126" s="12" t="str">
        <f t="shared" si="31"/>
        <v xml:space="preserve">3.333 </v>
      </c>
      <c r="Z126" s="11">
        <v>45344</v>
      </c>
      <c r="AA126">
        <v>3.4460000000000002</v>
      </c>
      <c r="AB126">
        <v>3.4529999999999998</v>
      </c>
      <c r="AC126">
        <v>3.4710000000000001</v>
      </c>
      <c r="AD126">
        <v>3.4830000000000001</v>
      </c>
      <c r="AE126">
        <v>3.4750000000000001</v>
      </c>
      <c r="AF126">
        <v>3.42</v>
      </c>
      <c r="AG126">
        <v>3.355</v>
      </c>
      <c r="AH126">
        <v>3.3450000000000002</v>
      </c>
      <c r="AI126">
        <v>3.411</v>
      </c>
      <c r="AJ126">
        <v>3.391</v>
      </c>
      <c r="AK126">
        <v>3.4689999999999999</v>
      </c>
      <c r="AL126">
        <v>3.43</v>
      </c>
      <c r="AM126">
        <v>3.431</v>
      </c>
      <c r="AN126">
        <v>3.4239999999999999</v>
      </c>
      <c r="AO126">
        <v>3.367</v>
      </c>
      <c r="AP126">
        <v>3.3330000000000002</v>
      </c>
    </row>
    <row r="127" spans="2:42">
      <c r="B127" s="5">
        <f t="shared" si="32"/>
        <v>45343</v>
      </c>
      <c r="C127" s="12" t="str">
        <f t="shared" si="33"/>
        <v xml:space="preserve">3.450 </v>
      </c>
      <c r="D127" s="12" t="str">
        <f t="shared" si="17"/>
        <v xml:space="preserve">3.456 </v>
      </c>
      <c r="E127" s="12" t="str">
        <f t="shared" si="18"/>
        <v xml:space="preserve">3.471 </v>
      </c>
      <c r="F127" s="12" t="str">
        <f t="shared" si="19"/>
        <v xml:space="preserve">3.500 </v>
      </c>
      <c r="G127" s="12" t="str">
        <f t="shared" si="20"/>
        <v xml:space="preserve">3.500 </v>
      </c>
      <c r="H127" s="12" t="str">
        <f t="shared" si="21"/>
        <v xml:space="preserve">3.461 </v>
      </c>
      <c r="I127" s="12" t="str">
        <f t="shared" si="22"/>
        <v xml:space="preserve">3.415 </v>
      </c>
      <c r="J127" s="12" t="str">
        <f t="shared" si="23"/>
        <v xml:space="preserve">3.402 </v>
      </c>
      <c r="K127" s="12" t="str">
        <f t="shared" si="24"/>
        <v xml:space="preserve">3.465 </v>
      </c>
      <c r="L127" s="12" t="str">
        <f t="shared" si="25"/>
        <v xml:space="preserve">3.440 </v>
      </c>
      <c r="M127" s="12" t="str">
        <f t="shared" si="26"/>
        <v xml:space="preserve">3.516 </v>
      </c>
      <c r="N127" s="12" t="str">
        <f t="shared" si="27"/>
        <v xml:space="preserve">3.475 </v>
      </c>
      <c r="O127" s="12" t="str">
        <f t="shared" si="28"/>
        <v xml:space="preserve">3.466 </v>
      </c>
      <c r="P127" s="12" t="str">
        <f t="shared" si="29"/>
        <v xml:space="preserve">3.450 </v>
      </c>
      <c r="Q127" s="12" t="str">
        <f t="shared" si="30"/>
        <v xml:space="preserve">3.390 </v>
      </c>
      <c r="R127" s="12" t="str">
        <f t="shared" si="31"/>
        <v xml:space="preserve">3.355 </v>
      </c>
      <c r="Z127" s="11">
        <v>45343</v>
      </c>
      <c r="AA127">
        <v>3.45</v>
      </c>
      <c r="AB127">
        <v>3.456</v>
      </c>
      <c r="AC127">
        <v>3.4710000000000001</v>
      </c>
      <c r="AD127">
        <v>3.5</v>
      </c>
      <c r="AE127">
        <v>3.5</v>
      </c>
      <c r="AF127">
        <v>3.4609999999999999</v>
      </c>
      <c r="AG127">
        <v>3.415</v>
      </c>
      <c r="AH127">
        <v>3.4020000000000001</v>
      </c>
      <c r="AI127">
        <v>3.4649999999999999</v>
      </c>
      <c r="AJ127">
        <v>3.44</v>
      </c>
      <c r="AK127">
        <v>3.516</v>
      </c>
      <c r="AL127">
        <v>3.4750000000000001</v>
      </c>
      <c r="AM127">
        <v>3.4660000000000002</v>
      </c>
      <c r="AN127">
        <v>3.45</v>
      </c>
      <c r="AO127">
        <v>3.39</v>
      </c>
      <c r="AP127">
        <v>3.355</v>
      </c>
    </row>
    <row r="128" spans="2:42">
      <c r="B128" s="5">
        <f t="shared" si="32"/>
        <v>45342</v>
      </c>
      <c r="C128" s="12" t="str">
        <f t="shared" si="33"/>
        <v xml:space="preserve">3.448 </v>
      </c>
      <c r="D128" s="12" t="str">
        <f t="shared" si="17"/>
        <v xml:space="preserve">3.455 </v>
      </c>
      <c r="E128" s="12" t="str">
        <f t="shared" si="18"/>
        <v xml:space="preserve">3.465 </v>
      </c>
      <c r="F128" s="12" t="str">
        <f t="shared" si="19"/>
        <v xml:space="preserve">3.498 </v>
      </c>
      <c r="G128" s="12" t="str">
        <f t="shared" si="20"/>
        <v xml:space="preserve">3.493 </v>
      </c>
      <c r="H128" s="12" t="str">
        <f t="shared" si="21"/>
        <v xml:space="preserve">3.466 </v>
      </c>
      <c r="I128" s="12" t="str">
        <f t="shared" si="22"/>
        <v xml:space="preserve">3.425 </v>
      </c>
      <c r="J128" s="12" t="str">
        <f t="shared" si="23"/>
        <v xml:space="preserve">3.407 </v>
      </c>
      <c r="K128" s="12" t="str">
        <f t="shared" si="24"/>
        <v xml:space="preserve">3.482 </v>
      </c>
      <c r="L128" s="12" t="str">
        <f t="shared" si="25"/>
        <v xml:space="preserve">3.460 </v>
      </c>
      <c r="M128" s="12" t="str">
        <f t="shared" si="26"/>
        <v xml:space="preserve">3.535 </v>
      </c>
      <c r="N128" s="12" t="str">
        <f t="shared" si="27"/>
        <v xml:space="preserve">3.492 </v>
      </c>
      <c r="O128" s="12" t="str">
        <f t="shared" si="28"/>
        <v xml:space="preserve">3.479 </v>
      </c>
      <c r="P128" s="12" t="str">
        <f t="shared" si="29"/>
        <v xml:space="preserve">3.460 </v>
      </c>
      <c r="Q128" s="12" t="str">
        <f t="shared" si="30"/>
        <v xml:space="preserve">3.397 </v>
      </c>
      <c r="R128" s="12" t="str">
        <f t="shared" si="31"/>
        <v xml:space="preserve">3.363 </v>
      </c>
      <c r="Z128" s="11">
        <v>45342</v>
      </c>
      <c r="AA128">
        <v>3.448</v>
      </c>
      <c r="AB128">
        <v>3.4550000000000001</v>
      </c>
      <c r="AC128">
        <v>3.4649999999999999</v>
      </c>
      <c r="AD128">
        <v>3.4980000000000002</v>
      </c>
      <c r="AE128">
        <v>3.4929999999999999</v>
      </c>
      <c r="AF128">
        <v>3.4660000000000002</v>
      </c>
      <c r="AG128">
        <v>3.4249999999999998</v>
      </c>
      <c r="AH128">
        <v>3.407</v>
      </c>
      <c r="AI128">
        <v>3.4820000000000002</v>
      </c>
      <c r="AJ128">
        <v>3.46</v>
      </c>
      <c r="AK128">
        <v>3.5350000000000001</v>
      </c>
      <c r="AL128">
        <v>3.492</v>
      </c>
      <c r="AM128">
        <v>3.4790000000000001</v>
      </c>
      <c r="AN128">
        <v>3.46</v>
      </c>
      <c r="AO128">
        <v>3.3969999999999998</v>
      </c>
      <c r="AP128">
        <v>3.363</v>
      </c>
    </row>
    <row r="129" spans="2:42">
      <c r="B129" s="5">
        <f t="shared" si="32"/>
        <v>45341</v>
      </c>
      <c r="C129" s="12" t="str">
        <f t="shared" si="33"/>
        <v xml:space="preserve">3.446 </v>
      </c>
      <c r="D129" s="12" t="str">
        <f t="shared" si="17"/>
        <v xml:space="preserve">3.451 </v>
      </c>
      <c r="E129" s="12" t="str">
        <f t="shared" si="18"/>
        <v xml:space="preserve">3.464 </v>
      </c>
      <c r="F129" s="12" t="str">
        <f t="shared" si="19"/>
        <v xml:space="preserve">3.476 </v>
      </c>
      <c r="G129" s="12" t="str">
        <f t="shared" si="20"/>
        <v xml:space="preserve">3.476 </v>
      </c>
      <c r="H129" s="12" t="str">
        <f t="shared" si="21"/>
        <v xml:space="preserve">3.453 </v>
      </c>
      <c r="I129" s="12" t="str">
        <f t="shared" si="22"/>
        <v xml:space="preserve">3.415 </v>
      </c>
      <c r="J129" s="12" t="str">
        <f t="shared" si="23"/>
        <v xml:space="preserve">3.396 </v>
      </c>
      <c r="K129" s="12" t="str">
        <f t="shared" si="24"/>
        <v xml:space="preserve">3.464 </v>
      </c>
      <c r="L129" s="12" t="str">
        <f t="shared" si="25"/>
        <v xml:space="preserve">3.440 </v>
      </c>
      <c r="M129" s="12" t="str">
        <f t="shared" si="26"/>
        <v xml:space="preserve">3.514 </v>
      </c>
      <c r="N129" s="12" t="str">
        <f t="shared" si="27"/>
        <v xml:space="preserve">3.467 </v>
      </c>
      <c r="O129" s="12" t="str">
        <f t="shared" si="28"/>
        <v xml:space="preserve">3.452 </v>
      </c>
      <c r="P129" s="12" t="str">
        <f t="shared" si="29"/>
        <v xml:space="preserve">3.430 </v>
      </c>
      <c r="Q129" s="12" t="str">
        <f t="shared" si="30"/>
        <v xml:space="preserve">3.360 </v>
      </c>
      <c r="R129" s="12" t="str">
        <f t="shared" si="31"/>
        <v xml:space="preserve">3.325 </v>
      </c>
      <c r="Z129" s="11">
        <v>45341</v>
      </c>
      <c r="AA129">
        <v>3.4460000000000002</v>
      </c>
      <c r="AB129">
        <v>3.4510000000000001</v>
      </c>
      <c r="AC129">
        <v>3.464</v>
      </c>
      <c r="AD129">
        <v>3.476</v>
      </c>
      <c r="AE129">
        <v>3.476</v>
      </c>
      <c r="AF129">
        <v>3.4529999999999998</v>
      </c>
      <c r="AG129">
        <v>3.415</v>
      </c>
      <c r="AH129">
        <v>3.3959999999999999</v>
      </c>
      <c r="AI129">
        <v>3.464</v>
      </c>
      <c r="AJ129">
        <v>3.44</v>
      </c>
      <c r="AK129">
        <v>3.5139999999999998</v>
      </c>
      <c r="AL129">
        <v>3.4670000000000001</v>
      </c>
      <c r="AM129">
        <v>3.452</v>
      </c>
      <c r="AN129">
        <v>3.43</v>
      </c>
      <c r="AO129">
        <v>3.36</v>
      </c>
      <c r="AP129">
        <v>3.3250000000000002</v>
      </c>
    </row>
    <row r="130" spans="2:42">
      <c r="B130" s="5">
        <f t="shared" si="32"/>
        <v>45338</v>
      </c>
      <c r="C130" s="12" t="str">
        <f t="shared" si="33"/>
        <v xml:space="preserve">3.446 </v>
      </c>
      <c r="D130" s="12" t="str">
        <f t="shared" si="17"/>
        <v xml:space="preserve">3.451 </v>
      </c>
      <c r="E130" s="12" t="str">
        <f t="shared" si="18"/>
        <v xml:space="preserve">3.461 </v>
      </c>
      <c r="F130" s="12" t="str">
        <f t="shared" si="19"/>
        <v xml:space="preserve">3.465 </v>
      </c>
      <c r="G130" s="12" t="str">
        <f t="shared" si="20"/>
        <v xml:space="preserve">3.460 </v>
      </c>
      <c r="H130" s="12" t="str">
        <f t="shared" si="21"/>
        <v xml:space="preserve">3.456 </v>
      </c>
      <c r="I130" s="12" t="str">
        <f t="shared" si="22"/>
        <v xml:space="preserve">3.429 </v>
      </c>
      <c r="J130" s="12" t="str">
        <f t="shared" si="23"/>
        <v xml:space="preserve">3.406 </v>
      </c>
      <c r="K130" s="12" t="str">
        <f t="shared" si="24"/>
        <v xml:space="preserve">3.468 </v>
      </c>
      <c r="L130" s="12" t="str">
        <f t="shared" si="25"/>
        <v xml:space="preserve">3.445 </v>
      </c>
      <c r="M130" s="12" t="str">
        <f t="shared" si="26"/>
        <v xml:space="preserve">3.524 </v>
      </c>
      <c r="N130" s="12" t="str">
        <f t="shared" si="27"/>
        <v xml:space="preserve">3.480 </v>
      </c>
      <c r="O130" s="12" t="str">
        <f t="shared" si="28"/>
        <v xml:space="preserve">3.455 </v>
      </c>
      <c r="P130" s="12" t="str">
        <f t="shared" si="29"/>
        <v xml:space="preserve">3.425 </v>
      </c>
      <c r="Q130" s="12" t="str">
        <f t="shared" si="30"/>
        <v xml:space="preserve">3.362 </v>
      </c>
      <c r="R130" s="12" t="str">
        <f t="shared" si="31"/>
        <v xml:space="preserve">3.333 </v>
      </c>
      <c r="Z130" s="11">
        <v>45338</v>
      </c>
      <c r="AA130">
        <v>3.4460000000000002</v>
      </c>
      <c r="AB130">
        <v>3.4510000000000001</v>
      </c>
      <c r="AC130">
        <v>3.4609999999999999</v>
      </c>
      <c r="AD130">
        <v>3.4649999999999999</v>
      </c>
      <c r="AE130">
        <v>3.46</v>
      </c>
      <c r="AF130">
        <v>3.456</v>
      </c>
      <c r="AG130">
        <v>3.4289999999999998</v>
      </c>
      <c r="AH130">
        <v>3.4060000000000001</v>
      </c>
      <c r="AI130">
        <v>3.468</v>
      </c>
      <c r="AJ130">
        <v>3.4449999999999998</v>
      </c>
      <c r="AK130">
        <v>3.524</v>
      </c>
      <c r="AL130">
        <v>3.48</v>
      </c>
      <c r="AM130">
        <v>3.4550000000000001</v>
      </c>
      <c r="AN130">
        <v>3.4249999999999998</v>
      </c>
      <c r="AO130">
        <v>3.3620000000000001</v>
      </c>
      <c r="AP130">
        <v>3.3330000000000002</v>
      </c>
    </row>
    <row r="131" spans="2:42">
      <c r="B131" s="5">
        <f t="shared" si="32"/>
        <v>45337</v>
      </c>
      <c r="C131" s="12" t="str">
        <f t="shared" si="33"/>
        <v xml:space="preserve">3.445 </v>
      </c>
      <c r="D131" s="12" t="str">
        <f t="shared" si="17"/>
        <v xml:space="preserve">3.450 </v>
      </c>
      <c r="E131" s="12" t="str">
        <f t="shared" si="18"/>
        <v xml:space="preserve">3.460 </v>
      </c>
      <c r="F131" s="12" t="str">
        <f t="shared" si="19"/>
        <v xml:space="preserve">3.455 </v>
      </c>
      <c r="G131" s="12" t="str">
        <f t="shared" si="20"/>
        <v xml:space="preserve">3.445 </v>
      </c>
      <c r="H131" s="12" t="str">
        <f t="shared" si="21"/>
        <v xml:space="preserve">3.465 </v>
      </c>
      <c r="I131" s="12" t="str">
        <f t="shared" si="22"/>
        <v xml:space="preserve">3.435 </v>
      </c>
      <c r="J131" s="12" t="str">
        <f t="shared" si="23"/>
        <v xml:space="preserve">3.407 </v>
      </c>
      <c r="K131" s="12" t="str">
        <f t="shared" si="24"/>
        <v xml:space="preserve">3.469 </v>
      </c>
      <c r="L131" s="12" t="str">
        <f t="shared" si="25"/>
        <v xml:space="preserve">3.445 </v>
      </c>
      <c r="M131" s="12" t="str">
        <f t="shared" si="26"/>
        <v xml:space="preserve">3.522 </v>
      </c>
      <c r="N131" s="12" t="str">
        <f t="shared" si="27"/>
        <v xml:space="preserve">3.480 </v>
      </c>
      <c r="O131" s="12" t="str">
        <f t="shared" si="28"/>
        <v xml:space="preserve">3.449 </v>
      </c>
      <c r="P131" s="12" t="str">
        <f t="shared" si="29"/>
        <v xml:space="preserve">3.412 </v>
      </c>
      <c r="Q131" s="12" t="str">
        <f t="shared" si="30"/>
        <v xml:space="preserve">3.350 </v>
      </c>
      <c r="R131" s="12" t="str">
        <f t="shared" si="31"/>
        <v xml:space="preserve">3.324 </v>
      </c>
      <c r="Z131" s="11">
        <v>45337</v>
      </c>
      <c r="AA131">
        <v>3.4449999999999998</v>
      </c>
      <c r="AB131">
        <v>3.45</v>
      </c>
      <c r="AC131">
        <v>3.46</v>
      </c>
      <c r="AD131">
        <v>3.4550000000000001</v>
      </c>
      <c r="AE131">
        <v>3.4449999999999998</v>
      </c>
      <c r="AF131">
        <v>3.4649999999999999</v>
      </c>
      <c r="AG131">
        <v>3.4350000000000001</v>
      </c>
      <c r="AH131">
        <v>3.407</v>
      </c>
      <c r="AI131">
        <v>3.4689999999999999</v>
      </c>
      <c r="AJ131">
        <v>3.4449999999999998</v>
      </c>
      <c r="AK131">
        <v>3.5219999999999998</v>
      </c>
      <c r="AL131">
        <v>3.48</v>
      </c>
      <c r="AM131">
        <v>3.4489999999999998</v>
      </c>
      <c r="AN131">
        <v>3.4119999999999999</v>
      </c>
      <c r="AO131">
        <v>3.35</v>
      </c>
      <c r="AP131">
        <v>3.3239999999999998</v>
      </c>
    </row>
    <row r="132" spans="2:42">
      <c r="B132" s="5">
        <f t="shared" si="32"/>
        <v>45336</v>
      </c>
      <c r="C132" s="12" t="str">
        <f t="shared" si="33"/>
        <v xml:space="preserve">3.450 </v>
      </c>
      <c r="D132" s="12" t="str">
        <f t="shared" si="17"/>
        <v xml:space="preserve">3.458 </v>
      </c>
      <c r="E132" s="12" t="str">
        <f t="shared" si="18"/>
        <v xml:space="preserve">3.461 </v>
      </c>
      <c r="F132" s="12" t="str">
        <f t="shared" si="19"/>
        <v xml:space="preserve">3.453 </v>
      </c>
      <c r="G132" s="12" t="str">
        <f t="shared" si="20"/>
        <v xml:space="preserve">3.446 </v>
      </c>
      <c r="H132" s="12" t="str">
        <f t="shared" si="21"/>
        <v xml:space="preserve">3.471 </v>
      </c>
      <c r="I132" s="12" t="str">
        <f t="shared" si="22"/>
        <v xml:space="preserve">3.440 </v>
      </c>
      <c r="J132" s="12" t="str">
        <f t="shared" si="23"/>
        <v xml:space="preserve">3.414 </v>
      </c>
      <c r="K132" s="12" t="str">
        <f t="shared" si="24"/>
        <v xml:space="preserve">3.476 </v>
      </c>
      <c r="L132" s="12" t="str">
        <f t="shared" si="25"/>
        <v xml:space="preserve">3.455 </v>
      </c>
      <c r="M132" s="12" t="str">
        <f t="shared" si="26"/>
        <v xml:space="preserve">3.535 </v>
      </c>
      <c r="N132" s="12" t="str">
        <f t="shared" si="27"/>
        <v xml:space="preserve">3.495 </v>
      </c>
      <c r="O132" s="12" t="str">
        <f t="shared" si="28"/>
        <v xml:space="preserve">3.457 </v>
      </c>
      <c r="P132" s="12" t="str">
        <f t="shared" si="29"/>
        <v xml:space="preserve">3.415 </v>
      </c>
      <c r="Q132" s="12" t="str">
        <f t="shared" si="30"/>
        <v xml:space="preserve">3.360 </v>
      </c>
      <c r="R132" s="12" t="str">
        <f t="shared" si="31"/>
        <v xml:space="preserve">3.335 </v>
      </c>
      <c r="Z132" s="11">
        <v>45336</v>
      </c>
      <c r="AA132">
        <v>3.45</v>
      </c>
      <c r="AB132">
        <v>3.4580000000000002</v>
      </c>
      <c r="AC132">
        <v>3.4609999999999999</v>
      </c>
      <c r="AD132">
        <v>3.4529999999999998</v>
      </c>
      <c r="AE132">
        <v>3.4460000000000002</v>
      </c>
      <c r="AF132">
        <v>3.4710000000000001</v>
      </c>
      <c r="AG132">
        <v>3.44</v>
      </c>
      <c r="AH132">
        <v>3.4140000000000001</v>
      </c>
      <c r="AI132">
        <v>3.476</v>
      </c>
      <c r="AJ132">
        <v>3.4550000000000001</v>
      </c>
      <c r="AK132">
        <v>3.5350000000000001</v>
      </c>
      <c r="AL132">
        <v>3.4950000000000001</v>
      </c>
      <c r="AM132">
        <v>3.4569999999999999</v>
      </c>
      <c r="AN132">
        <v>3.415</v>
      </c>
      <c r="AO132">
        <v>3.36</v>
      </c>
      <c r="AP132">
        <v>3.335</v>
      </c>
    </row>
    <row r="133" spans="2:42">
      <c r="B133" s="5">
        <f t="shared" si="32"/>
        <v>45335</v>
      </c>
      <c r="C133" s="12" t="str">
        <f t="shared" si="33"/>
        <v xml:space="preserve">3.448 </v>
      </c>
      <c r="D133" s="12" t="str">
        <f t="shared" si="17"/>
        <v xml:space="preserve">3.456 </v>
      </c>
      <c r="E133" s="12" t="str">
        <f t="shared" si="18"/>
        <v xml:space="preserve">3.460 </v>
      </c>
      <c r="F133" s="12" t="str">
        <f t="shared" si="19"/>
        <v xml:space="preserve">3.416 </v>
      </c>
      <c r="G133" s="12" t="str">
        <f t="shared" si="20"/>
        <v xml:space="preserve">3.405 </v>
      </c>
      <c r="H133" s="12" t="str">
        <f t="shared" si="21"/>
        <v xml:space="preserve">3.405 </v>
      </c>
      <c r="I133" s="12" t="str">
        <f t="shared" si="22"/>
        <v xml:space="preserve">3.370 </v>
      </c>
      <c r="J133" s="12" t="str">
        <f t="shared" si="23"/>
        <v xml:space="preserve">3.347 </v>
      </c>
      <c r="K133" s="12" t="str">
        <f t="shared" si="24"/>
        <v xml:space="preserve">3.410 </v>
      </c>
      <c r="L133" s="12" t="str">
        <f t="shared" si="25"/>
        <v xml:space="preserve">3.385 </v>
      </c>
      <c r="M133" s="12" t="str">
        <f t="shared" si="26"/>
        <v xml:space="preserve">3.480 </v>
      </c>
      <c r="N133" s="12" t="str">
        <f t="shared" si="27"/>
        <v xml:space="preserve">3.445 </v>
      </c>
      <c r="O133" s="12" t="str">
        <f t="shared" si="28"/>
        <v xml:space="preserve">3.417 </v>
      </c>
      <c r="P133" s="12" t="str">
        <f t="shared" si="29"/>
        <v xml:space="preserve">3.389 </v>
      </c>
      <c r="Q133" s="12" t="str">
        <f t="shared" si="30"/>
        <v xml:space="preserve">3.350 </v>
      </c>
      <c r="R133" s="12" t="str">
        <f t="shared" si="31"/>
        <v xml:space="preserve">3.326 </v>
      </c>
      <c r="Z133" s="11">
        <v>45335</v>
      </c>
      <c r="AA133">
        <v>3.448</v>
      </c>
      <c r="AB133">
        <v>3.456</v>
      </c>
      <c r="AC133">
        <v>3.46</v>
      </c>
      <c r="AD133">
        <v>3.4159999999999999</v>
      </c>
      <c r="AE133">
        <v>3.4049999999999998</v>
      </c>
      <c r="AF133">
        <v>3.4049999999999998</v>
      </c>
      <c r="AG133">
        <v>3.37</v>
      </c>
      <c r="AH133">
        <v>3.347</v>
      </c>
      <c r="AI133">
        <v>3.41</v>
      </c>
      <c r="AJ133">
        <v>3.3849999999999998</v>
      </c>
      <c r="AK133">
        <v>3.48</v>
      </c>
      <c r="AL133">
        <v>3.4449999999999998</v>
      </c>
      <c r="AM133">
        <v>3.4169999999999998</v>
      </c>
      <c r="AN133">
        <v>3.3889999999999998</v>
      </c>
      <c r="AO133">
        <v>3.35</v>
      </c>
      <c r="AP133">
        <v>3.3260000000000001</v>
      </c>
    </row>
    <row r="134" spans="2:42">
      <c r="B134" s="5">
        <f t="shared" si="32"/>
        <v>45330</v>
      </c>
      <c r="C134" s="12" t="str">
        <f t="shared" si="33"/>
        <v xml:space="preserve">3.445 </v>
      </c>
      <c r="D134" s="12" t="str">
        <f t="shared" si="17"/>
        <v xml:space="preserve">3.453 </v>
      </c>
      <c r="E134" s="12" t="str">
        <f t="shared" si="18"/>
        <v xml:space="preserve">3.461 </v>
      </c>
      <c r="F134" s="12" t="str">
        <f t="shared" si="19"/>
        <v xml:space="preserve">3.404 </v>
      </c>
      <c r="G134" s="12" t="str">
        <f t="shared" si="20"/>
        <v xml:space="preserve">3.378 </v>
      </c>
      <c r="H134" s="12" t="str">
        <f t="shared" si="21"/>
        <v xml:space="preserve">3.375 </v>
      </c>
      <c r="I134" s="12" t="str">
        <f t="shared" si="22"/>
        <v xml:space="preserve">3.329 </v>
      </c>
      <c r="J134" s="12" t="str">
        <f t="shared" si="23"/>
        <v xml:space="preserve">3.304 </v>
      </c>
      <c r="K134" s="12" t="str">
        <f t="shared" si="24"/>
        <v xml:space="preserve">3.368 </v>
      </c>
      <c r="L134" s="12" t="str">
        <f t="shared" si="25"/>
        <v xml:space="preserve">3.340 </v>
      </c>
      <c r="M134" s="12" t="str">
        <f t="shared" si="26"/>
        <v xml:space="preserve">3.438 </v>
      </c>
      <c r="N134" s="12" t="str">
        <f t="shared" si="27"/>
        <v xml:space="preserve">3.405 </v>
      </c>
      <c r="O134" s="12" t="str">
        <f t="shared" si="28"/>
        <v xml:space="preserve">3.384 </v>
      </c>
      <c r="P134" s="12" t="str">
        <f t="shared" si="29"/>
        <v xml:space="preserve">3.364 </v>
      </c>
      <c r="Q134" s="12" t="str">
        <f t="shared" si="30"/>
        <v xml:space="preserve">3.327 </v>
      </c>
      <c r="R134" s="12" t="str">
        <f t="shared" si="31"/>
        <v xml:space="preserve">3.304 </v>
      </c>
      <c r="Z134" s="11">
        <v>45330</v>
      </c>
      <c r="AA134">
        <v>3.4449999999999998</v>
      </c>
      <c r="AB134">
        <v>3.4529999999999998</v>
      </c>
      <c r="AC134">
        <v>3.4609999999999999</v>
      </c>
      <c r="AD134">
        <v>3.4039999999999999</v>
      </c>
      <c r="AE134">
        <v>3.3780000000000001</v>
      </c>
      <c r="AF134">
        <v>3.375</v>
      </c>
      <c r="AG134">
        <v>3.3290000000000002</v>
      </c>
      <c r="AH134">
        <v>3.3039999999999998</v>
      </c>
      <c r="AI134">
        <v>3.3679999999999999</v>
      </c>
      <c r="AJ134">
        <v>3.34</v>
      </c>
      <c r="AK134">
        <v>3.4380000000000002</v>
      </c>
      <c r="AL134">
        <v>3.4049999999999998</v>
      </c>
      <c r="AM134">
        <v>3.3839999999999999</v>
      </c>
      <c r="AN134">
        <v>3.3639999999999999</v>
      </c>
      <c r="AO134">
        <v>3.327</v>
      </c>
      <c r="AP134">
        <v>3.3039999999999998</v>
      </c>
    </row>
    <row r="135" spans="2:42">
      <c r="B135" s="5">
        <f t="shared" si="32"/>
        <v>45329</v>
      </c>
      <c r="C135" s="12" t="str">
        <f t="shared" si="33"/>
        <v xml:space="preserve">3.441 </v>
      </c>
      <c r="D135" s="12" t="str">
        <f t="shared" ref="D135:D198" si="34">IF(AB135="", "", CHOOSE($W$7, TEXT(AB135, "#,##0.000_ ;-#,##0.000 "), TEXT(AB135*100, "#,##0.0_ ;-#,##0.0 "), TEXT(AB135, "#,##0.0_ ;-#,##0.0 ")) )</f>
        <v xml:space="preserve">3.446 </v>
      </c>
      <c r="E135" s="12" t="str">
        <f t="shared" ref="E135:E198" si="35">IF(AC135="", "", CHOOSE($W$7, TEXT(AC135, "#,##0.000_ ;-#,##0.000 "), TEXT(AC135*100, "#,##0.0_ ;-#,##0.0 "), TEXT(AC135, "#,##0.0_ ;-#,##0.0 ")) )</f>
        <v xml:space="preserve">3.455 </v>
      </c>
      <c r="F135" s="12" t="str">
        <f t="shared" ref="F135:F198" si="36">IF(AD135="", "", CHOOSE($W$7, TEXT(AD135, "#,##0.000_ ;-#,##0.000 "), TEXT(AD135*100, "#,##0.0_ ;-#,##0.0 "), TEXT(AD135, "#,##0.0_ ;-#,##0.0 ")) )</f>
        <v xml:space="preserve">3.383 </v>
      </c>
      <c r="G135" s="12" t="str">
        <f t="shared" ref="G135:G198" si="37">IF(AE135="", "", CHOOSE($W$7, TEXT(AE135, "#,##0.000_ ;-#,##0.000 "), TEXT(AE135*100, "#,##0.0_ ;-#,##0.0 "), TEXT(AE135, "#,##0.0_ ;-#,##0.0 ")) )</f>
        <v xml:space="preserve">3.362 </v>
      </c>
      <c r="H135" s="12" t="str">
        <f t="shared" ref="H135:H198" si="38">IF(AF135="", "", CHOOSE($W$7, TEXT(AF135, "#,##0.000_ ;-#,##0.000 "), TEXT(AF135*100, "#,##0.0_ ;-#,##0.0 "), TEXT(AF135, "#,##0.0_ ;-#,##0.0 ")) )</f>
        <v xml:space="preserve">3.362 </v>
      </c>
      <c r="I135" s="12" t="str">
        <f t="shared" ref="I135:I198" si="39">IF(AG135="", "", CHOOSE($W$7, TEXT(AG135, "#,##0.000_ ;-#,##0.000 "), TEXT(AG135*100, "#,##0.0_ ;-#,##0.0 "), TEXT(AG135, "#,##0.0_ ;-#,##0.0 ")) )</f>
        <v xml:space="preserve">3.315 </v>
      </c>
      <c r="J135" s="12" t="str">
        <f t="shared" ref="J135:J198" si="40">IF(AH135="", "", CHOOSE($W$7, TEXT(AH135, "#,##0.000_ ;-#,##0.000 "), TEXT(AH135*100, "#,##0.0_ ;-#,##0.0 "), TEXT(AH135, "#,##0.0_ ;-#,##0.0 ")) )</f>
        <v xml:space="preserve">3.290 </v>
      </c>
      <c r="K135" s="12" t="str">
        <f t="shared" ref="K135:K198" si="41">IF(AI135="", "", CHOOSE($W$7, TEXT(AI135, "#,##0.000_ ;-#,##0.000 "), TEXT(AI135*100, "#,##0.0_ ;-#,##0.0 "), TEXT(AI135, "#,##0.0_ ;-#,##0.0 ")) )</f>
        <v xml:space="preserve">3.348 </v>
      </c>
      <c r="L135" s="12" t="str">
        <f t="shared" ref="L135:L198" si="42">IF(AJ135="", "", CHOOSE($W$7, TEXT(AJ135, "#,##0.000_ ;-#,##0.000 "), TEXT(AJ135*100, "#,##0.0_ ;-#,##0.0 "), TEXT(AJ135, "#,##0.0_ ;-#,##0.0 ")) )</f>
        <v xml:space="preserve">3.317 </v>
      </c>
      <c r="M135" s="12" t="str">
        <f t="shared" ref="M135:M198" si="43">IF(AK135="", "", CHOOSE($W$7, TEXT(AK135, "#,##0.000_ ;-#,##0.000 "), TEXT(AK135*100, "#,##0.0_ ;-#,##0.0 "), TEXT(AK135, "#,##0.0_ ;-#,##0.0 ")) )</f>
        <v xml:space="preserve">3.416 </v>
      </c>
      <c r="N135" s="12" t="str">
        <f t="shared" ref="N135:N198" si="44">IF(AL135="", "", CHOOSE($W$7, TEXT(AL135, "#,##0.000_ ;-#,##0.000 "), TEXT(AL135*100, "#,##0.0_ ;-#,##0.0 "), TEXT(AL135, "#,##0.0_ ;-#,##0.0 ")) )</f>
        <v xml:space="preserve">3.382 </v>
      </c>
      <c r="O135" s="12" t="str">
        <f t="shared" ref="O135:O198" si="45">IF(AM135="", "", CHOOSE($W$7, TEXT(AM135, "#,##0.000_ ;-#,##0.000 "), TEXT(AM135*100, "#,##0.0_ ;-#,##0.0 "), TEXT(AM135, "#,##0.0_ ;-#,##0.0 ")) )</f>
        <v xml:space="preserve">3.365 </v>
      </c>
      <c r="P135" s="12" t="str">
        <f t="shared" ref="P135:P198" si="46">IF(AN135="", "", CHOOSE($W$7, TEXT(AN135, "#,##0.000_ ;-#,##0.000 "), TEXT(AN135*100, "#,##0.0_ ;-#,##0.0 "), TEXT(AN135, "#,##0.0_ ;-#,##0.0 ")) )</f>
        <v xml:space="preserve">3.347 </v>
      </c>
      <c r="Q135" s="12" t="str">
        <f t="shared" ref="Q135:Q198" si="47">IF(AO135="", "", CHOOSE($W$7, TEXT(AO135, "#,##0.000_ ;-#,##0.000 "), TEXT(AO135*100, "#,##0.0_ ;-#,##0.0 "), TEXT(AO135, "#,##0.0_ ;-#,##0.0 ")) )</f>
        <v xml:space="preserve">3.307 </v>
      </c>
      <c r="R135" s="12" t="str">
        <f t="shared" ref="R135:R198" si="48">IF(AP135="", "", CHOOSE($W$7, TEXT(AP135, "#,##0.000_ ;-#,##0.000 "), TEXT(AP135*100, "#,##0.0_ ;-#,##0.0 "), TEXT(AP135, "#,##0.0_ ;-#,##0.0 ")) )</f>
        <v xml:space="preserve">3.280 </v>
      </c>
      <c r="Z135" s="11">
        <v>45329</v>
      </c>
      <c r="AA135">
        <v>3.4409999999999998</v>
      </c>
      <c r="AB135">
        <v>3.4460000000000002</v>
      </c>
      <c r="AC135">
        <v>3.4550000000000001</v>
      </c>
      <c r="AD135">
        <v>3.383</v>
      </c>
      <c r="AE135">
        <v>3.3620000000000001</v>
      </c>
      <c r="AF135">
        <v>3.3620000000000001</v>
      </c>
      <c r="AG135">
        <v>3.3149999999999999</v>
      </c>
      <c r="AH135">
        <v>3.29</v>
      </c>
      <c r="AI135">
        <v>3.3479999999999999</v>
      </c>
      <c r="AJ135">
        <v>3.3170000000000002</v>
      </c>
      <c r="AK135">
        <v>3.4159999999999999</v>
      </c>
      <c r="AL135">
        <v>3.3820000000000001</v>
      </c>
      <c r="AM135">
        <v>3.3650000000000002</v>
      </c>
      <c r="AN135">
        <v>3.347</v>
      </c>
      <c r="AO135">
        <v>3.3069999999999999</v>
      </c>
      <c r="AP135">
        <v>3.28</v>
      </c>
    </row>
    <row r="136" spans="2:42">
      <c r="B136" s="5">
        <f t="shared" ref="B136:B199" si="49">IF(Z136="","",Z136)</f>
        <v>45328</v>
      </c>
      <c r="C136" s="12" t="str">
        <f t="shared" ref="C136:C199" si="50">IF(AA136="", "", CHOOSE($W$7, TEXT(AA136, "#,##0.000_ ;-#,##0.000 "), TEXT(AA136*100, "#,##0.0_ ;-#,##0.0 "), TEXT(AA136, "#,##0.0_ ;-#,##0.0 ")) )</f>
        <v xml:space="preserve">3.441 </v>
      </c>
      <c r="D136" s="12" t="str">
        <f t="shared" si="34"/>
        <v xml:space="preserve">3.446 </v>
      </c>
      <c r="E136" s="12" t="str">
        <f t="shared" si="35"/>
        <v xml:space="preserve">3.457 </v>
      </c>
      <c r="F136" s="12" t="str">
        <f t="shared" si="36"/>
        <v xml:space="preserve">3.371 </v>
      </c>
      <c r="G136" s="12" t="str">
        <f t="shared" si="37"/>
        <v xml:space="preserve">3.364 </v>
      </c>
      <c r="H136" s="12" t="str">
        <f t="shared" si="38"/>
        <v xml:space="preserve">3.367 </v>
      </c>
      <c r="I136" s="12" t="str">
        <f t="shared" si="39"/>
        <v xml:space="preserve">3.320 </v>
      </c>
      <c r="J136" s="12" t="str">
        <f t="shared" si="40"/>
        <v xml:space="preserve">3.291 </v>
      </c>
      <c r="K136" s="12" t="str">
        <f t="shared" si="41"/>
        <v xml:space="preserve">3.353 </v>
      </c>
      <c r="L136" s="12" t="str">
        <f t="shared" si="42"/>
        <v xml:space="preserve">3.327 </v>
      </c>
      <c r="M136" s="12" t="str">
        <f t="shared" si="43"/>
        <v xml:space="preserve">3.421 </v>
      </c>
      <c r="N136" s="12" t="str">
        <f t="shared" si="44"/>
        <v xml:space="preserve">3.384 </v>
      </c>
      <c r="O136" s="12" t="str">
        <f t="shared" si="45"/>
        <v xml:space="preserve">3.365 </v>
      </c>
      <c r="P136" s="12" t="str">
        <f t="shared" si="46"/>
        <v xml:space="preserve">3.344 </v>
      </c>
      <c r="Q136" s="12" t="str">
        <f t="shared" si="47"/>
        <v xml:space="preserve">3.303 </v>
      </c>
      <c r="R136" s="12" t="str">
        <f t="shared" si="48"/>
        <v xml:space="preserve">3.276 </v>
      </c>
      <c r="Z136" s="11">
        <v>45328</v>
      </c>
      <c r="AA136">
        <v>3.4409999999999998</v>
      </c>
      <c r="AB136">
        <v>3.4460000000000002</v>
      </c>
      <c r="AC136">
        <v>3.4569999999999999</v>
      </c>
      <c r="AD136">
        <v>3.371</v>
      </c>
      <c r="AE136">
        <v>3.3639999999999999</v>
      </c>
      <c r="AF136">
        <v>3.367</v>
      </c>
      <c r="AG136">
        <v>3.32</v>
      </c>
      <c r="AH136">
        <v>3.2909999999999999</v>
      </c>
      <c r="AI136">
        <v>3.3530000000000002</v>
      </c>
      <c r="AJ136">
        <v>3.327</v>
      </c>
      <c r="AK136">
        <v>3.4209999999999998</v>
      </c>
      <c r="AL136">
        <v>3.3839999999999999</v>
      </c>
      <c r="AM136">
        <v>3.3650000000000002</v>
      </c>
      <c r="AN136">
        <v>3.3439999999999999</v>
      </c>
      <c r="AO136">
        <v>3.3029999999999999</v>
      </c>
      <c r="AP136">
        <v>3.2759999999999998</v>
      </c>
    </row>
    <row r="137" spans="2:42">
      <c r="B137" s="5">
        <f t="shared" si="49"/>
        <v>45327</v>
      </c>
      <c r="C137" s="12" t="str">
        <f t="shared" si="50"/>
        <v xml:space="preserve">3.443 </v>
      </c>
      <c r="D137" s="12" t="str">
        <f t="shared" si="34"/>
        <v xml:space="preserve">3.450 </v>
      </c>
      <c r="E137" s="12" t="str">
        <f t="shared" si="35"/>
        <v xml:space="preserve">3.458 </v>
      </c>
      <c r="F137" s="12" t="str">
        <f t="shared" si="36"/>
        <v xml:space="preserve">3.371 </v>
      </c>
      <c r="G137" s="12" t="str">
        <f t="shared" si="37"/>
        <v xml:space="preserve">3.374 </v>
      </c>
      <c r="H137" s="12" t="str">
        <f t="shared" si="38"/>
        <v xml:space="preserve">3.398 </v>
      </c>
      <c r="I137" s="12" t="str">
        <f t="shared" si="39"/>
        <v xml:space="preserve">3.331 </v>
      </c>
      <c r="J137" s="12" t="str">
        <f t="shared" si="40"/>
        <v xml:space="preserve">3.307 </v>
      </c>
      <c r="K137" s="12" t="str">
        <f t="shared" si="41"/>
        <v xml:space="preserve">3.361 </v>
      </c>
      <c r="L137" s="12" t="str">
        <f t="shared" si="42"/>
        <v xml:space="preserve">3.335 </v>
      </c>
      <c r="M137" s="12" t="str">
        <f t="shared" si="43"/>
        <v xml:space="preserve">3.423 </v>
      </c>
      <c r="N137" s="12" t="str">
        <f t="shared" si="44"/>
        <v xml:space="preserve">3.382 </v>
      </c>
      <c r="O137" s="12" t="str">
        <f t="shared" si="45"/>
        <v xml:space="preserve">3.353 </v>
      </c>
      <c r="P137" s="12" t="str">
        <f t="shared" si="46"/>
        <v xml:space="preserve">3.320 </v>
      </c>
      <c r="Q137" s="12" t="str">
        <f t="shared" si="47"/>
        <v xml:space="preserve">3.275 </v>
      </c>
      <c r="R137" s="12" t="str">
        <f t="shared" si="48"/>
        <v xml:space="preserve">3.248 </v>
      </c>
      <c r="Z137" s="11">
        <v>45327</v>
      </c>
      <c r="AA137">
        <v>3.4430000000000001</v>
      </c>
      <c r="AB137">
        <v>3.45</v>
      </c>
      <c r="AC137">
        <v>3.4580000000000002</v>
      </c>
      <c r="AD137">
        <v>3.371</v>
      </c>
      <c r="AE137">
        <v>3.3740000000000001</v>
      </c>
      <c r="AF137">
        <v>3.3980000000000001</v>
      </c>
      <c r="AG137">
        <v>3.331</v>
      </c>
      <c r="AH137">
        <v>3.3069999999999999</v>
      </c>
      <c r="AI137">
        <v>3.3610000000000002</v>
      </c>
      <c r="AJ137">
        <v>3.335</v>
      </c>
      <c r="AK137">
        <v>3.423</v>
      </c>
      <c r="AL137">
        <v>3.3820000000000001</v>
      </c>
      <c r="AM137">
        <v>3.3530000000000002</v>
      </c>
      <c r="AN137">
        <v>3.32</v>
      </c>
      <c r="AO137">
        <v>3.2749999999999999</v>
      </c>
      <c r="AP137">
        <v>3.2480000000000002</v>
      </c>
    </row>
    <row r="138" spans="2:42">
      <c r="B138" s="5">
        <f t="shared" si="49"/>
        <v>45324</v>
      </c>
      <c r="C138" s="12" t="str">
        <f t="shared" si="50"/>
        <v xml:space="preserve">3.433 </v>
      </c>
      <c r="D138" s="12" t="str">
        <f t="shared" si="34"/>
        <v xml:space="preserve">3.433 </v>
      </c>
      <c r="E138" s="12" t="str">
        <f t="shared" si="35"/>
        <v xml:space="preserve">3.431 </v>
      </c>
      <c r="F138" s="12" t="str">
        <f t="shared" si="36"/>
        <v xml:space="preserve">3.343 </v>
      </c>
      <c r="G138" s="12" t="str">
        <f t="shared" si="37"/>
        <v xml:space="preserve">3.320 </v>
      </c>
      <c r="H138" s="12" t="str">
        <f t="shared" si="38"/>
        <v xml:space="preserve">3.305 </v>
      </c>
      <c r="I138" s="12" t="str">
        <f t="shared" si="39"/>
        <v xml:space="preserve">3.265 </v>
      </c>
      <c r="J138" s="12" t="str">
        <f t="shared" si="40"/>
        <v xml:space="preserve">3.244 </v>
      </c>
      <c r="K138" s="12" t="str">
        <f t="shared" si="41"/>
        <v xml:space="preserve">3.289 </v>
      </c>
      <c r="L138" s="12" t="str">
        <f t="shared" si="42"/>
        <v xml:space="preserve">3.256 </v>
      </c>
      <c r="M138" s="12" t="str">
        <f t="shared" si="43"/>
        <v xml:space="preserve">3.336 </v>
      </c>
      <c r="N138" s="12" t="str">
        <f t="shared" si="44"/>
        <v xml:space="preserve">3.290 </v>
      </c>
      <c r="O138" s="12" t="str">
        <f t="shared" si="45"/>
        <v xml:space="preserve">3.272 </v>
      </c>
      <c r="P138" s="12" t="str">
        <f t="shared" si="46"/>
        <v xml:space="preserve">3.250 </v>
      </c>
      <c r="Q138" s="12" t="str">
        <f t="shared" si="47"/>
        <v xml:space="preserve">3.212 </v>
      </c>
      <c r="R138" s="12" t="str">
        <f t="shared" si="48"/>
        <v xml:space="preserve">3.185 </v>
      </c>
      <c r="Z138" s="11">
        <v>45324</v>
      </c>
      <c r="AA138">
        <v>3.4329999999999998</v>
      </c>
      <c r="AB138">
        <v>3.4329999999999998</v>
      </c>
      <c r="AC138">
        <v>3.431</v>
      </c>
      <c r="AD138">
        <v>3.343</v>
      </c>
      <c r="AE138">
        <v>3.32</v>
      </c>
      <c r="AF138">
        <v>3.3050000000000002</v>
      </c>
      <c r="AG138">
        <v>3.2650000000000001</v>
      </c>
      <c r="AH138">
        <v>3.2440000000000002</v>
      </c>
      <c r="AI138">
        <v>3.2890000000000001</v>
      </c>
      <c r="AJ138">
        <v>3.2559999999999998</v>
      </c>
      <c r="AK138">
        <v>3.3359999999999999</v>
      </c>
      <c r="AL138">
        <v>3.29</v>
      </c>
      <c r="AM138">
        <v>3.2719999999999998</v>
      </c>
      <c r="AN138">
        <v>3.25</v>
      </c>
      <c r="AO138">
        <v>3.2120000000000002</v>
      </c>
      <c r="AP138">
        <v>3.1850000000000001</v>
      </c>
    </row>
    <row r="139" spans="2:42">
      <c r="B139" s="5">
        <f t="shared" si="49"/>
        <v>45323</v>
      </c>
      <c r="C139" s="12" t="str">
        <f t="shared" si="50"/>
        <v xml:space="preserve">3.435 </v>
      </c>
      <c r="D139" s="12" t="str">
        <f t="shared" si="34"/>
        <v xml:space="preserve">3.435 </v>
      </c>
      <c r="E139" s="12" t="str">
        <f t="shared" si="35"/>
        <v xml:space="preserve">3.433 </v>
      </c>
      <c r="F139" s="12" t="str">
        <f t="shared" si="36"/>
        <v xml:space="preserve">3.346 </v>
      </c>
      <c r="G139" s="12" t="str">
        <f t="shared" si="37"/>
        <v xml:space="preserve">3.330 </v>
      </c>
      <c r="H139" s="12" t="str">
        <f t="shared" si="38"/>
        <v xml:space="preserve">3.319 </v>
      </c>
      <c r="I139" s="12" t="str">
        <f t="shared" si="39"/>
        <v xml:space="preserve">3.290 </v>
      </c>
      <c r="J139" s="12" t="str">
        <f t="shared" si="40"/>
        <v xml:space="preserve">3.270 </v>
      </c>
      <c r="K139" s="12" t="str">
        <f t="shared" si="41"/>
        <v xml:space="preserve">3.322 </v>
      </c>
      <c r="L139" s="12" t="str">
        <f t="shared" si="42"/>
        <v xml:space="preserve">3.297 </v>
      </c>
      <c r="M139" s="12" t="str">
        <f t="shared" si="43"/>
        <v xml:space="preserve">3.384 </v>
      </c>
      <c r="N139" s="12" t="str">
        <f t="shared" si="44"/>
        <v xml:space="preserve">3.345 </v>
      </c>
      <c r="O139" s="12" t="str">
        <f t="shared" si="45"/>
        <v xml:space="preserve">3.333 </v>
      </c>
      <c r="P139" s="12" t="str">
        <f t="shared" si="46"/>
        <v xml:space="preserve">3.322 </v>
      </c>
      <c r="Q139" s="12" t="str">
        <f t="shared" si="47"/>
        <v xml:space="preserve">3.285 </v>
      </c>
      <c r="R139" s="12" t="str">
        <f t="shared" si="48"/>
        <v xml:space="preserve">3.258 </v>
      </c>
      <c r="Z139" s="11">
        <v>45323</v>
      </c>
      <c r="AA139">
        <v>3.4350000000000001</v>
      </c>
      <c r="AB139">
        <v>3.4350000000000001</v>
      </c>
      <c r="AC139">
        <v>3.4329999999999998</v>
      </c>
      <c r="AD139">
        <v>3.3460000000000001</v>
      </c>
      <c r="AE139">
        <v>3.33</v>
      </c>
      <c r="AF139">
        <v>3.319</v>
      </c>
      <c r="AG139">
        <v>3.29</v>
      </c>
      <c r="AH139">
        <v>3.27</v>
      </c>
      <c r="AI139">
        <v>3.3220000000000001</v>
      </c>
      <c r="AJ139">
        <v>3.2970000000000002</v>
      </c>
      <c r="AK139">
        <v>3.3839999999999999</v>
      </c>
      <c r="AL139">
        <v>3.3450000000000002</v>
      </c>
      <c r="AM139">
        <v>3.3330000000000002</v>
      </c>
      <c r="AN139">
        <v>3.3220000000000001</v>
      </c>
      <c r="AO139">
        <v>3.2850000000000001</v>
      </c>
      <c r="AP139">
        <v>3.258</v>
      </c>
    </row>
    <row r="140" spans="2:42">
      <c r="B140" s="5">
        <f t="shared" si="49"/>
        <v>45322</v>
      </c>
      <c r="C140" s="12" t="str">
        <f t="shared" si="50"/>
        <v xml:space="preserve">3.435 </v>
      </c>
      <c r="D140" s="12" t="str">
        <f t="shared" si="34"/>
        <v xml:space="preserve">3.436 </v>
      </c>
      <c r="E140" s="12" t="str">
        <f t="shared" si="35"/>
        <v xml:space="preserve">3.433 </v>
      </c>
      <c r="F140" s="12" t="str">
        <f t="shared" si="36"/>
        <v xml:space="preserve">3.338 </v>
      </c>
      <c r="G140" s="12" t="str">
        <f t="shared" si="37"/>
        <v xml:space="preserve">3.326 </v>
      </c>
      <c r="H140" s="12" t="str">
        <f t="shared" si="38"/>
        <v xml:space="preserve">3.310 </v>
      </c>
      <c r="I140" s="12" t="str">
        <f t="shared" si="39"/>
        <v xml:space="preserve">3.285 </v>
      </c>
      <c r="J140" s="12" t="str">
        <f t="shared" si="40"/>
        <v xml:space="preserve">3.259 </v>
      </c>
      <c r="K140" s="12" t="str">
        <f t="shared" si="41"/>
        <v xml:space="preserve">3.318 </v>
      </c>
      <c r="L140" s="12" t="str">
        <f t="shared" si="42"/>
        <v xml:space="preserve">3.295 </v>
      </c>
      <c r="M140" s="12" t="str">
        <f t="shared" si="43"/>
        <v xml:space="preserve">3.385 </v>
      </c>
      <c r="N140" s="12" t="str">
        <f t="shared" si="44"/>
        <v xml:space="preserve">3.345 </v>
      </c>
      <c r="O140" s="12" t="str">
        <f t="shared" si="45"/>
        <v xml:space="preserve">3.337 </v>
      </c>
      <c r="P140" s="12" t="str">
        <f t="shared" si="46"/>
        <v xml:space="preserve">3.330 </v>
      </c>
      <c r="Q140" s="12" t="str">
        <f t="shared" si="47"/>
        <v xml:space="preserve">3.297 </v>
      </c>
      <c r="R140" s="12" t="str">
        <f t="shared" si="48"/>
        <v xml:space="preserve">3.270 </v>
      </c>
      <c r="Z140" s="11">
        <v>45322</v>
      </c>
      <c r="AA140">
        <v>3.4350000000000001</v>
      </c>
      <c r="AB140">
        <v>3.4359999999999999</v>
      </c>
      <c r="AC140">
        <v>3.4329999999999998</v>
      </c>
      <c r="AD140">
        <v>3.3380000000000001</v>
      </c>
      <c r="AE140">
        <v>3.3260000000000001</v>
      </c>
      <c r="AF140">
        <v>3.31</v>
      </c>
      <c r="AG140">
        <v>3.2850000000000001</v>
      </c>
      <c r="AH140">
        <v>3.2589999999999999</v>
      </c>
      <c r="AI140">
        <v>3.3180000000000001</v>
      </c>
      <c r="AJ140">
        <v>3.2949999999999999</v>
      </c>
      <c r="AK140">
        <v>3.3849999999999998</v>
      </c>
      <c r="AL140">
        <v>3.3450000000000002</v>
      </c>
      <c r="AM140">
        <v>3.3370000000000002</v>
      </c>
      <c r="AN140">
        <v>3.33</v>
      </c>
      <c r="AO140">
        <v>3.2970000000000002</v>
      </c>
      <c r="AP140">
        <v>3.27</v>
      </c>
    </row>
    <row r="141" spans="2:42">
      <c r="B141" s="5">
        <f t="shared" si="49"/>
        <v>45321</v>
      </c>
      <c r="C141" s="12" t="str">
        <f t="shared" si="50"/>
        <v xml:space="preserve">3.430 </v>
      </c>
      <c r="D141" s="12" t="str">
        <f t="shared" si="34"/>
        <v xml:space="preserve">3.431 </v>
      </c>
      <c r="E141" s="12" t="str">
        <f t="shared" si="35"/>
        <v xml:space="preserve">3.435 </v>
      </c>
      <c r="F141" s="12" t="str">
        <f t="shared" si="36"/>
        <v xml:space="preserve">3.340 </v>
      </c>
      <c r="G141" s="12" t="str">
        <f t="shared" si="37"/>
        <v xml:space="preserve">3.323 </v>
      </c>
      <c r="H141" s="12" t="str">
        <f t="shared" si="38"/>
        <v xml:space="preserve">3.312 </v>
      </c>
      <c r="I141" s="12" t="str">
        <f t="shared" si="39"/>
        <v xml:space="preserve">3.294 </v>
      </c>
      <c r="J141" s="12" t="str">
        <f t="shared" si="40"/>
        <v xml:space="preserve">3.270 </v>
      </c>
      <c r="K141" s="12" t="str">
        <f t="shared" si="41"/>
        <v xml:space="preserve">3.335 </v>
      </c>
      <c r="L141" s="12" t="str">
        <f t="shared" si="42"/>
        <v xml:space="preserve">3.312 </v>
      </c>
      <c r="M141" s="12" t="str">
        <f t="shared" si="43"/>
        <v xml:space="preserve">3.403 </v>
      </c>
      <c r="N141" s="12" t="str">
        <f t="shared" si="44"/>
        <v xml:space="preserve">3.361 </v>
      </c>
      <c r="O141" s="12" t="str">
        <f t="shared" si="45"/>
        <v xml:space="preserve">3.350 </v>
      </c>
      <c r="P141" s="12" t="str">
        <f t="shared" si="46"/>
        <v xml:space="preserve">3.338 </v>
      </c>
      <c r="Q141" s="12" t="str">
        <f t="shared" si="47"/>
        <v xml:space="preserve">3.297 </v>
      </c>
      <c r="R141" s="12" t="str">
        <f t="shared" si="48"/>
        <v xml:space="preserve">3.270 </v>
      </c>
      <c r="Z141" s="11">
        <v>45321</v>
      </c>
      <c r="AA141">
        <v>3.43</v>
      </c>
      <c r="AB141">
        <v>3.431</v>
      </c>
      <c r="AC141">
        <v>3.4350000000000001</v>
      </c>
      <c r="AD141">
        <v>3.34</v>
      </c>
      <c r="AE141">
        <v>3.323</v>
      </c>
      <c r="AF141">
        <v>3.3119999999999998</v>
      </c>
      <c r="AG141">
        <v>3.294</v>
      </c>
      <c r="AH141">
        <v>3.27</v>
      </c>
      <c r="AI141">
        <v>3.335</v>
      </c>
      <c r="AJ141">
        <v>3.3119999999999998</v>
      </c>
      <c r="AK141">
        <v>3.403</v>
      </c>
      <c r="AL141">
        <v>3.3610000000000002</v>
      </c>
      <c r="AM141">
        <v>3.35</v>
      </c>
      <c r="AN141">
        <v>3.3380000000000001</v>
      </c>
      <c r="AO141">
        <v>3.2970000000000002</v>
      </c>
      <c r="AP141">
        <v>3.27</v>
      </c>
    </row>
    <row r="142" spans="2:42">
      <c r="B142" s="5">
        <f t="shared" si="49"/>
        <v>45320</v>
      </c>
      <c r="C142" s="12" t="str">
        <f t="shared" si="50"/>
        <v xml:space="preserve">3.436 </v>
      </c>
      <c r="D142" s="12" t="str">
        <f t="shared" si="34"/>
        <v xml:space="preserve">3.433 </v>
      </c>
      <c r="E142" s="12" t="str">
        <f t="shared" si="35"/>
        <v xml:space="preserve">3.436 </v>
      </c>
      <c r="F142" s="12" t="str">
        <f t="shared" si="36"/>
        <v xml:space="preserve">3.346 </v>
      </c>
      <c r="G142" s="12" t="str">
        <f t="shared" si="37"/>
        <v xml:space="preserve">3.341 </v>
      </c>
      <c r="H142" s="12" t="str">
        <f t="shared" si="38"/>
        <v xml:space="preserve">3.340 </v>
      </c>
      <c r="I142" s="12" t="str">
        <f t="shared" si="39"/>
        <v xml:space="preserve">3.325 </v>
      </c>
      <c r="J142" s="12" t="str">
        <f t="shared" si="40"/>
        <v xml:space="preserve">3.304 </v>
      </c>
      <c r="K142" s="12" t="str">
        <f t="shared" si="41"/>
        <v xml:space="preserve">3.380 </v>
      </c>
      <c r="L142" s="12" t="str">
        <f t="shared" si="42"/>
        <v xml:space="preserve">3.364 </v>
      </c>
      <c r="M142" s="12" t="str">
        <f t="shared" si="43"/>
        <v xml:space="preserve">3.469 </v>
      </c>
      <c r="N142" s="12" t="str">
        <f t="shared" si="44"/>
        <v xml:space="preserve">3.441 </v>
      </c>
      <c r="O142" s="12" t="str">
        <f t="shared" si="45"/>
        <v xml:space="preserve">3.431 </v>
      </c>
      <c r="P142" s="12" t="str">
        <f t="shared" si="46"/>
        <v xml:space="preserve">3.420 </v>
      </c>
      <c r="Q142" s="12" t="str">
        <f t="shared" si="47"/>
        <v xml:space="preserve">3.366 </v>
      </c>
      <c r="R142" s="12" t="str">
        <f t="shared" si="48"/>
        <v xml:space="preserve">3.339 </v>
      </c>
      <c r="Z142" s="11">
        <v>45320</v>
      </c>
      <c r="AA142">
        <v>3.4359999999999999</v>
      </c>
      <c r="AB142">
        <v>3.4329999999999998</v>
      </c>
      <c r="AC142">
        <v>3.4359999999999999</v>
      </c>
      <c r="AD142">
        <v>3.3460000000000001</v>
      </c>
      <c r="AE142">
        <v>3.3410000000000002</v>
      </c>
      <c r="AF142">
        <v>3.34</v>
      </c>
      <c r="AG142">
        <v>3.3250000000000002</v>
      </c>
      <c r="AH142">
        <v>3.3039999999999998</v>
      </c>
      <c r="AI142">
        <v>3.38</v>
      </c>
      <c r="AJ142">
        <v>3.3639999999999999</v>
      </c>
      <c r="AK142">
        <v>3.4689999999999999</v>
      </c>
      <c r="AL142">
        <v>3.4409999999999998</v>
      </c>
      <c r="AM142">
        <v>3.431</v>
      </c>
      <c r="AN142">
        <v>3.42</v>
      </c>
      <c r="AO142">
        <v>3.3660000000000001</v>
      </c>
      <c r="AP142">
        <v>3.339</v>
      </c>
    </row>
    <row r="143" spans="2:42">
      <c r="B143" s="5">
        <f t="shared" si="49"/>
        <v>45317</v>
      </c>
      <c r="C143" s="12" t="str">
        <f t="shared" si="50"/>
        <v xml:space="preserve">3.428 </v>
      </c>
      <c r="D143" s="12" t="str">
        <f t="shared" si="34"/>
        <v xml:space="preserve">3.421 </v>
      </c>
      <c r="E143" s="12" t="str">
        <f t="shared" si="35"/>
        <v xml:space="preserve">3.428 </v>
      </c>
      <c r="F143" s="12" t="str">
        <f t="shared" si="36"/>
        <v xml:space="preserve">3.335 </v>
      </c>
      <c r="G143" s="12" t="str">
        <f t="shared" si="37"/>
        <v xml:space="preserve">3.323 </v>
      </c>
      <c r="H143" s="12" t="str">
        <f t="shared" si="38"/>
        <v xml:space="preserve">3.291 </v>
      </c>
      <c r="I143" s="12" t="str">
        <f t="shared" si="39"/>
        <v xml:space="preserve">3.285 </v>
      </c>
      <c r="J143" s="12" t="str">
        <f t="shared" si="40"/>
        <v xml:space="preserve">3.260 </v>
      </c>
      <c r="K143" s="12" t="str">
        <f t="shared" si="41"/>
        <v xml:space="preserve">3.335 </v>
      </c>
      <c r="L143" s="12" t="str">
        <f t="shared" si="42"/>
        <v xml:space="preserve">3.310 </v>
      </c>
      <c r="M143" s="12" t="str">
        <f t="shared" si="43"/>
        <v xml:space="preserve">3.414 </v>
      </c>
      <c r="N143" s="12" t="str">
        <f t="shared" si="44"/>
        <v xml:space="preserve">3.387 </v>
      </c>
      <c r="O143" s="12" t="str">
        <f t="shared" si="45"/>
        <v xml:space="preserve">3.372 </v>
      </c>
      <c r="P143" s="12" t="str">
        <f t="shared" si="46"/>
        <v xml:space="preserve">3.355 </v>
      </c>
      <c r="Q143" s="12" t="str">
        <f t="shared" si="47"/>
        <v xml:space="preserve">3.300 </v>
      </c>
      <c r="R143" s="12" t="str">
        <f t="shared" si="48"/>
        <v xml:space="preserve">3.273 </v>
      </c>
      <c r="Z143" s="11">
        <v>45317</v>
      </c>
      <c r="AA143">
        <v>3.4279999999999999</v>
      </c>
      <c r="AB143">
        <v>3.4209999999999998</v>
      </c>
      <c r="AC143">
        <v>3.4279999999999999</v>
      </c>
      <c r="AD143">
        <v>3.335</v>
      </c>
      <c r="AE143">
        <v>3.323</v>
      </c>
      <c r="AF143">
        <v>3.2909999999999999</v>
      </c>
      <c r="AG143">
        <v>3.2850000000000001</v>
      </c>
      <c r="AH143">
        <v>3.26</v>
      </c>
      <c r="AI143">
        <v>3.335</v>
      </c>
      <c r="AJ143">
        <v>3.31</v>
      </c>
      <c r="AK143">
        <v>3.4140000000000001</v>
      </c>
      <c r="AL143">
        <v>3.387</v>
      </c>
      <c r="AM143">
        <v>3.3719999999999999</v>
      </c>
      <c r="AN143">
        <v>3.355</v>
      </c>
      <c r="AO143">
        <v>3.3</v>
      </c>
      <c r="AP143">
        <v>3.2730000000000001</v>
      </c>
    </row>
    <row r="144" spans="2:42">
      <c r="B144" s="5">
        <f t="shared" si="49"/>
        <v>45316</v>
      </c>
      <c r="C144" s="12" t="str">
        <f t="shared" si="50"/>
        <v xml:space="preserve">3.435 </v>
      </c>
      <c r="D144" s="12" t="str">
        <f t="shared" si="34"/>
        <v xml:space="preserve">3.425 </v>
      </c>
      <c r="E144" s="12" t="str">
        <f t="shared" si="35"/>
        <v xml:space="preserve">3.428 </v>
      </c>
      <c r="F144" s="12" t="str">
        <f t="shared" si="36"/>
        <v xml:space="preserve">3.331 </v>
      </c>
      <c r="G144" s="12" t="str">
        <f t="shared" si="37"/>
        <v xml:space="preserve">3.340 </v>
      </c>
      <c r="H144" s="12" t="str">
        <f t="shared" si="38"/>
        <v xml:space="preserve">3.340 </v>
      </c>
      <c r="I144" s="12" t="str">
        <f t="shared" si="39"/>
        <v xml:space="preserve">3.330 </v>
      </c>
      <c r="J144" s="12" t="str">
        <f t="shared" si="40"/>
        <v xml:space="preserve">3.305 </v>
      </c>
      <c r="K144" s="12" t="str">
        <f t="shared" si="41"/>
        <v xml:space="preserve">3.375 </v>
      </c>
      <c r="L144" s="12" t="str">
        <f t="shared" si="42"/>
        <v xml:space="preserve">3.345 </v>
      </c>
      <c r="M144" s="12" t="str">
        <f t="shared" si="43"/>
        <v xml:space="preserve">3.447 </v>
      </c>
      <c r="N144" s="12" t="str">
        <f t="shared" si="44"/>
        <v xml:space="preserve">3.415 </v>
      </c>
      <c r="O144" s="12" t="str">
        <f t="shared" si="45"/>
        <v xml:space="preserve">3.391 </v>
      </c>
      <c r="P144" s="12" t="str">
        <f t="shared" si="46"/>
        <v xml:space="preserve">3.365 </v>
      </c>
      <c r="Q144" s="12" t="str">
        <f t="shared" si="47"/>
        <v xml:space="preserve">3.305 </v>
      </c>
      <c r="R144" s="12" t="str">
        <f t="shared" si="48"/>
        <v xml:space="preserve">3.278 </v>
      </c>
      <c r="Z144" s="11">
        <v>45316</v>
      </c>
      <c r="AA144">
        <v>3.4350000000000001</v>
      </c>
      <c r="AB144">
        <v>3.4249999999999998</v>
      </c>
      <c r="AC144">
        <v>3.4279999999999999</v>
      </c>
      <c r="AD144">
        <v>3.331</v>
      </c>
      <c r="AE144">
        <v>3.34</v>
      </c>
      <c r="AF144">
        <v>3.34</v>
      </c>
      <c r="AG144">
        <v>3.33</v>
      </c>
      <c r="AH144">
        <v>3.3050000000000002</v>
      </c>
      <c r="AI144">
        <v>3.375</v>
      </c>
      <c r="AJ144">
        <v>3.3450000000000002</v>
      </c>
      <c r="AK144">
        <v>3.4470000000000001</v>
      </c>
      <c r="AL144">
        <v>3.415</v>
      </c>
      <c r="AM144">
        <v>3.391</v>
      </c>
      <c r="AN144">
        <v>3.3650000000000002</v>
      </c>
      <c r="AO144">
        <v>3.3050000000000002</v>
      </c>
      <c r="AP144">
        <v>3.278</v>
      </c>
    </row>
    <row r="145" spans="2:42">
      <c r="B145" s="5">
        <f t="shared" si="49"/>
        <v>45315</v>
      </c>
      <c r="C145" s="12" t="str">
        <f t="shared" si="50"/>
        <v xml:space="preserve">3.435 </v>
      </c>
      <c r="D145" s="12" t="str">
        <f t="shared" si="34"/>
        <v xml:space="preserve">3.422 </v>
      </c>
      <c r="E145" s="12" t="str">
        <f t="shared" si="35"/>
        <v xml:space="preserve">3.430 </v>
      </c>
      <c r="F145" s="12" t="str">
        <f t="shared" si="36"/>
        <v xml:space="preserve">3.333 </v>
      </c>
      <c r="G145" s="12" t="str">
        <f t="shared" si="37"/>
        <v xml:space="preserve">3.340 </v>
      </c>
      <c r="H145" s="12" t="str">
        <f t="shared" si="38"/>
        <v xml:space="preserve">3.340 </v>
      </c>
      <c r="I145" s="12" t="str">
        <f t="shared" si="39"/>
        <v xml:space="preserve">3.320 </v>
      </c>
      <c r="J145" s="12" t="str">
        <f t="shared" si="40"/>
        <v xml:space="preserve">3.293 </v>
      </c>
      <c r="K145" s="12" t="str">
        <f t="shared" si="41"/>
        <v xml:space="preserve">3.360 </v>
      </c>
      <c r="L145" s="12" t="str">
        <f t="shared" si="42"/>
        <v xml:space="preserve">3.334 </v>
      </c>
      <c r="M145" s="12" t="str">
        <f t="shared" si="43"/>
        <v xml:space="preserve">3.434 </v>
      </c>
      <c r="N145" s="12" t="str">
        <f t="shared" si="44"/>
        <v xml:space="preserve">3.397 </v>
      </c>
      <c r="O145" s="12" t="str">
        <f t="shared" si="45"/>
        <v xml:space="preserve">3.368 </v>
      </c>
      <c r="P145" s="12" t="str">
        <f t="shared" si="46"/>
        <v xml:space="preserve">3.335 </v>
      </c>
      <c r="Q145" s="12" t="str">
        <f t="shared" si="47"/>
        <v xml:space="preserve">3.272 </v>
      </c>
      <c r="R145" s="12" t="str">
        <f t="shared" si="48"/>
        <v xml:space="preserve">3.245 </v>
      </c>
      <c r="Z145" s="11">
        <v>45315</v>
      </c>
      <c r="AA145">
        <v>3.4350000000000001</v>
      </c>
      <c r="AB145">
        <v>3.4220000000000002</v>
      </c>
      <c r="AC145">
        <v>3.43</v>
      </c>
      <c r="AD145">
        <v>3.3330000000000002</v>
      </c>
      <c r="AE145">
        <v>3.34</v>
      </c>
      <c r="AF145">
        <v>3.34</v>
      </c>
      <c r="AG145">
        <v>3.32</v>
      </c>
      <c r="AH145">
        <v>3.2930000000000001</v>
      </c>
      <c r="AI145">
        <v>3.36</v>
      </c>
      <c r="AJ145">
        <v>3.3340000000000001</v>
      </c>
      <c r="AK145">
        <v>3.4340000000000002</v>
      </c>
      <c r="AL145">
        <v>3.3969999999999998</v>
      </c>
      <c r="AM145">
        <v>3.3679999999999999</v>
      </c>
      <c r="AN145">
        <v>3.335</v>
      </c>
      <c r="AO145">
        <v>3.2719999999999998</v>
      </c>
      <c r="AP145">
        <v>3.2450000000000001</v>
      </c>
    </row>
    <row r="146" spans="2:42">
      <c r="B146" s="5">
        <f t="shared" si="49"/>
        <v>45314</v>
      </c>
      <c r="C146" s="12" t="str">
        <f t="shared" si="50"/>
        <v xml:space="preserve">3.438 </v>
      </c>
      <c r="D146" s="12" t="str">
        <f t="shared" si="34"/>
        <v xml:space="preserve">3.422 </v>
      </c>
      <c r="E146" s="12" t="str">
        <f t="shared" si="35"/>
        <v xml:space="preserve">3.429 </v>
      </c>
      <c r="F146" s="12" t="str">
        <f t="shared" si="36"/>
        <v xml:space="preserve">3.333 </v>
      </c>
      <c r="G146" s="12" t="str">
        <f t="shared" si="37"/>
        <v xml:space="preserve">3.338 </v>
      </c>
      <c r="H146" s="12" t="str">
        <f t="shared" si="38"/>
        <v xml:space="preserve">3.335 </v>
      </c>
      <c r="I146" s="12" t="str">
        <f t="shared" si="39"/>
        <v xml:space="preserve">3.320 </v>
      </c>
      <c r="J146" s="12" t="str">
        <f t="shared" si="40"/>
        <v xml:space="preserve">3.288 </v>
      </c>
      <c r="K146" s="12" t="str">
        <f t="shared" si="41"/>
        <v xml:space="preserve">3.353 </v>
      </c>
      <c r="L146" s="12" t="str">
        <f t="shared" si="42"/>
        <v xml:space="preserve">3.330 </v>
      </c>
      <c r="M146" s="12" t="str">
        <f t="shared" si="43"/>
        <v xml:space="preserve">3.420 </v>
      </c>
      <c r="N146" s="12" t="str">
        <f t="shared" si="44"/>
        <v xml:space="preserve">3.375 </v>
      </c>
      <c r="O146" s="12" t="str">
        <f t="shared" si="45"/>
        <v xml:space="preserve">3.350 </v>
      </c>
      <c r="P146" s="12" t="str">
        <f t="shared" si="46"/>
        <v xml:space="preserve">3.320 </v>
      </c>
      <c r="Q146" s="12" t="str">
        <f t="shared" si="47"/>
        <v xml:space="preserve">3.260 </v>
      </c>
      <c r="R146" s="12" t="str">
        <f t="shared" si="48"/>
        <v xml:space="preserve">3.233 </v>
      </c>
      <c r="Z146" s="11">
        <v>45314</v>
      </c>
      <c r="AA146">
        <v>3.4380000000000002</v>
      </c>
      <c r="AB146">
        <v>3.4220000000000002</v>
      </c>
      <c r="AC146">
        <v>3.4289999999999998</v>
      </c>
      <c r="AD146">
        <v>3.3330000000000002</v>
      </c>
      <c r="AE146">
        <v>3.3380000000000001</v>
      </c>
      <c r="AF146">
        <v>3.335</v>
      </c>
      <c r="AG146">
        <v>3.32</v>
      </c>
      <c r="AH146">
        <v>3.2879999999999998</v>
      </c>
      <c r="AI146">
        <v>3.3530000000000002</v>
      </c>
      <c r="AJ146">
        <v>3.33</v>
      </c>
      <c r="AK146">
        <v>3.42</v>
      </c>
      <c r="AL146">
        <v>3.375</v>
      </c>
      <c r="AM146">
        <v>3.35</v>
      </c>
      <c r="AN146">
        <v>3.32</v>
      </c>
      <c r="AO146">
        <v>3.26</v>
      </c>
      <c r="AP146">
        <v>3.2330000000000001</v>
      </c>
    </row>
    <row r="147" spans="2:42">
      <c r="B147" s="5">
        <f t="shared" si="49"/>
        <v>45313</v>
      </c>
      <c r="C147" s="12" t="str">
        <f t="shared" si="50"/>
        <v xml:space="preserve">3.435 </v>
      </c>
      <c r="D147" s="12" t="str">
        <f t="shared" si="34"/>
        <v xml:space="preserve">3.431 </v>
      </c>
      <c r="E147" s="12" t="str">
        <f t="shared" si="35"/>
        <v xml:space="preserve">3.433 </v>
      </c>
      <c r="F147" s="12" t="str">
        <f t="shared" si="36"/>
        <v xml:space="preserve">3.336 </v>
      </c>
      <c r="G147" s="12" t="str">
        <f t="shared" si="37"/>
        <v xml:space="preserve">3.338 </v>
      </c>
      <c r="H147" s="12" t="str">
        <f t="shared" si="38"/>
        <v xml:space="preserve">3.316 </v>
      </c>
      <c r="I147" s="12" t="str">
        <f t="shared" si="39"/>
        <v xml:space="preserve">3.310 </v>
      </c>
      <c r="J147" s="12" t="str">
        <f t="shared" si="40"/>
        <v xml:space="preserve">3.277 </v>
      </c>
      <c r="K147" s="12" t="str">
        <f t="shared" si="41"/>
        <v xml:space="preserve">3.350 </v>
      </c>
      <c r="L147" s="12" t="str">
        <f t="shared" si="42"/>
        <v xml:space="preserve">3.322 </v>
      </c>
      <c r="M147" s="12" t="str">
        <f t="shared" si="43"/>
        <v xml:space="preserve">3.414 </v>
      </c>
      <c r="N147" s="12" t="str">
        <f t="shared" si="44"/>
        <v xml:space="preserve">3.375 </v>
      </c>
      <c r="O147" s="12" t="str">
        <f t="shared" si="45"/>
        <v xml:space="preserve">3.346 </v>
      </c>
      <c r="P147" s="12" t="str">
        <f t="shared" si="46"/>
        <v xml:space="preserve">3.312 </v>
      </c>
      <c r="Q147" s="12" t="str">
        <f t="shared" si="47"/>
        <v xml:space="preserve">3.250 </v>
      </c>
      <c r="R147" s="12" t="str">
        <f t="shared" si="48"/>
        <v xml:space="preserve">3.223 </v>
      </c>
      <c r="Z147" s="11">
        <v>45313</v>
      </c>
      <c r="AA147">
        <v>3.4350000000000001</v>
      </c>
      <c r="AB147">
        <v>3.431</v>
      </c>
      <c r="AC147">
        <v>3.4329999999999998</v>
      </c>
      <c r="AD147">
        <v>3.3359999999999999</v>
      </c>
      <c r="AE147">
        <v>3.3380000000000001</v>
      </c>
      <c r="AF147">
        <v>3.3159999999999998</v>
      </c>
      <c r="AG147">
        <v>3.31</v>
      </c>
      <c r="AH147">
        <v>3.2770000000000001</v>
      </c>
      <c r="AI147">
        <v>3.35</v>
      </c>
      <c r="AJ147">
        <v>3.3220000000000001</v>
      </c>
      <c r="AK147">
        <v>3.4140000000000001</v>
      </c>
      <c r="AL147">
        <v>3.375</v>
      </c>
      <c r="AM147">
        <v>3.3460000000000001</v>
      </c>
      <c r="AN147">
        <v>3.3119999999999998</v>
      </c>
      <c r="AO147">
        <v>3.25</v>
      </c>
      <c r="AP147">
        <v>3.2229999999999999</v>
      </c>
    </row>
    <row r="148" spans="2:42">
      <c r="B148" s="5">
        <f t="shared" si="49"/>
        <v>45310</v>
      </c>
      <c r="C148" s="12" t="str">
        <f t="shared" si="50"/>
        <v xml:space="preserve">3.470 </v>
      </c>
      <c r="D148" s="12" t="str">
        <f t="shared" si="34"/>
        <v xml:space="preserve">3.440 </v>
      </c>
      <c r="E148" s="12" t="str">
        <f t="shared" si="35"/>
        <v xml:space="preserve">3.440 </v>
      </c>
      <c r="F148" s="12" t="str">
        <f t="shared" si="36"/>
        <v xml:space="preserve">3.336 </v>
      </c>
      <c r="G148" s="12" t="str">
        <f t="shared" si="37"/>
        <v xml:space="preserve">3.350 </v>
      </c>
      <c r="H148" s="12" t="str">
        <f t="shared" si="38"/>
        <v xml:space="preserve">3.346 </v>
      </c>
      <c r="I148" s="12" t="str">
        <f t="shared" si="39"/>
        <v xml:space="preserve">3.335 </v>
      </c>
      <c r="J148" s="12" t="str">
        <f t="shared" si="40"/>
        <v xml:space="preserve">3.303 </v>
      </c>
      <c r="K148" s="12" t="str">
        <f t="shared" si="41"/>
        <v xml:space="preserve">3.384 </v>
      </c>
      <c r="L148" s="12" t="str">
        <f t="shared" si="42"/>
        <v xml:space="preserve">3.355 </v>
      </c>
      <c r="M148" s="12" t="str">
        <f t="shared" si="43"/>
        <v xml:space="preserve">3.452 </v>
      </c>
      <c r="N148" s="12" t="str">
        <f t="shared" si="44"/>
        <v xml:space="preserve">3.415 </v>
      </c>
      <c r="O148" s="12" t="str">
        <f t="shared" si="45"/>
        <v xml:space="preserve">3.373 </v>
      </c>
      <c r="P148" s="12" t="str">
        <f t="shared" si="46"/>
        <v xml:space="preserve">3.325 </v>
      </c>
      <c r="Q148" s="12" t="str">
        <f t="shared" si="47"/>
        <v xml:space="preserve">3.265 </v>
      </c>
      <c r="R148" s="12" t="str">
        <f t="shared" si="48"/>
        <v xml:space="preserve">3.238 </v>
      </c>
      <c r="Z148" s="11">
        <v>45310</v>
      </c>
      <c r="AA148">
        <v>3.47</v>
      </c>
      <c r="AB148">
        <v>3.44</v>
      </c>
      <c r="AC148">
        <v>3.44</v>
      </c>
      <c r="AD148">
        <v>3.3359999999999999</v>
      </c>
      <c r="AE148">
        <v>3.35</v>
      </c>
      <c r="AF148">
        <v>3.3460000000000001</v>
      </c>
      <c r="AG148">
        <v>3.335</v>
      </c>
      <c r="AH148">
        <v>3.3029999999999999</v>
      </c>
      <c r="AI148">
        <v>3.3839999999999999</v>
      </c>
      <c r="AJ148">
        <v>3.355</v>
      </c>
      <c r="AK148">
        <v>3.452</v>
      </c>
      <c r="AL148">
        <v>3.415</v>
      </c>
      <c r="AM148">
        <v>3.3730000000000002</v>
      </c>
      <c r="AN148">
        <v>3.3250000000000002</v>
      </c>
      <c r="AO148">
        <v>3.2650000000000001</v>
      </c>
      <c r="AP148">
        <v>3.238</v>
      </c>
    </row>
    <row r="149" spans="2:42">
      <c r="B149" s="5">
        <f t="shared" si="49"/>
        <v>45309</v>
      </c>
      <c r="C149" s="12" t="str">
        <f t="shared" si="50"/>
        <v xml:space="preserve">3.470 </v>
      </c>
      <c r="D149" s="12" t="str">
        <f t="shared" si="34"/>
        <v xml:space="preserve">3.447 </v>
      </c>
      <c r="E149" s="12" t="str">
        <f t="shared" si="35"/>
        <v xml:space="preserve">3.441 </v>
      </c>
      <c r="F149" s="12" t="str">
        <f t="shared" si="36"/>
        <v xml:space="preserve">3.338 </v>
      </c>
      <c r="G149" s="12" t="str">
        <f t="shared" si="37"/>
        <v xml:space="preserve">3.338 </v>
      </c>
      <c r="H149" s="12" t="str">
        <f t="shared" si="38"/>
        <v xml:space="preserve">3.327 </v>
      </c>
      <c r="I149" s="12" t="str">
        <f t="shared" si="39"/>
        <v xml:space="preserve">3.296 </v>
      </c>
      <c r="J149" s="12" t="str">
        <f t="shared" si="40"/>
        <v xml:space="preserve">3.270 </v>
      </c>
      <c r="K149" s="12" t="str">
        <f t="shared" si="41"/>
        <v xml:space="preserve">3.348 </v>
      </c>
      <c r="L149" s="12" t="str">
        <f t="shared" si="42"/>
        <v xml:space="preserve">3.315 </v>
      </c>
      <c r="M149" s="12" t="str">
        <f t="shared" si="43"/>
        <v xml:space="preserve">3.400 </v>
      </c>
      <c r="N149" s="12" t="str">
        <f t="shared" si="44"/>
        <v xml:space="preserve">3.372 </v>
      </c>
      <c r="O149" s="12" t="str">
        <f t="shared" si="45"/>
        <v xml:space="preserve">3.333 </v>
      </c>
      <c r="P149" s="12" t="str">
        <f t="shared" si="46"/>
        <v xml:space="preserve">3.287 </v>
      </c>
      <c r="Q149" s="12" t="str">
        <f t="shared" si="47"/>
        <v xml:space="preserve">3.225 </v>
      </c>
      <c r="R149" s="12" t="str">
        <f t="shared" si="48"/>
        <v xml:space="preserve">3.198 </v>
      </c>
      <c r="Z149" s="11">
        <v>45309</v>
      </c>
      <c r="AA149">
        <v>3.47</v>
      </c>
      <c r="AB149">
        <v>3.4470000000000001</v>
      </c>
      <c r="AC149">
        <v>3.4409999999999998</v>
      </c>
      <c r="AD149">
        <v>3.3380000000000001</v>
      </c>
      <c r="AE149">
        <v>3.3380000000000001</v>
      </c>
      <c r="AF149">
        <v>3.327</v>
      </c>
      <c r="AG149">
        <v>3.2959999999999998</v>
      </c>
      <c r="AH149">
        <v>3.27</v>
      </c>
      <c r="AI149">
        <v>3.3479999999999999</v>
      </c>
      <c r="AJ149">
        <v>3.3149999999999999</v>
      </c>
      <c r="AK149">
        <v>3.4</v>
      </c>
      <c r="AL149">
        <v>3.3719999999999999</v>
      </c>
      <c r="AM149">
        <v>3.3330000000000002</v>
      </c>
      <c r="AN149">
        <v>3.2869999999999999</v>
      </c>
      <c r="AO149">
        <v>3.2250000000000001</v>
      </c>
      <c r="AP149">
        <v>3.198</v>
      </c>
    </row>
    <row r="150" spans="2:42">
      <c r="B150" s="5">
        <f t="shared" si="49"/>
        <v>45308</v>
      </c>
      <c r="C150" s="12" t="str">
        <f t="shared" si="50"/>
        <v xml:space="preserve">3.470 </v>
      </c>
      <c r="D150" s="12" t="str">
        <f t="shared" si="34"/>
        <v xml:space="preserve">3.449 </v>
      </c>
      <c r="E150" s="12" t="str">
        <f t="shared" si="35"/>
        <v xml:space="preserve">3.445 </v>
      </c>
      <c r="F150" s="12" t="str">
        <f t="shared" si="36"/>
        <v xml:space="preserve">3.346 </v>
      </c>
      <c r="G150" s="12" t="str">
        <f t="shared" si="37"/>
        <v xml:space="preserve">3.341 </v>
      </c>
      <c r="H150" s="12" t="str">
        <f t="shared" si="38"/>
        <v xml:space="preserve">3.329 </v>
      </c>
      <c r="I150" s="12" t="str">
        <f t="shared" si="39"/>
        <v xml:space="preserve">3.292 </v>
      </c>
      <c r="J150" s="12" t="str">
        <f t="shared" si="40"/>
        <v xml:space="preserve">3.270 </v>
      </c>
      <c r="K150" s="12" t="str">
        <f t="shared" si="41"/>
        <v xml:space="preserve">3.340 </v>
      </c>
      <c r="L150" s="12" t="str">
        <f t="shared" si="42"/>
        <v xml:space="preserve">3.312 </v>
      </c>
      <c r="M150" s="12" t="str">
        <f t="shared" si="43"/>
        <v xml:space="preserve">3.395 </v>
      </c>
      <c r="N150" s="12" t="str">
        <f t="shared" si="44"/>
        <v xml:space="preserve">3.360 </v>
      </c>
      <c r="O150" s="12" t="str">
        <f t="shared" si="45"/>
        <v xml:space="preserve">3.327 </v>
      </c>
      <c r="P150" s="12" t="str">
        <f t="shared" si="46"/>
        <v xml:space="preserve">3.284 </v>
      </c>
      <c r="Q150" s="12" t="str">
        <f t="shared" si="47"/>
        <v xml:space="preserve">3.215 </v>
      </c>
      <c r="R150" s="12" t="str">
        <f t="shared" si="48"/>
        <v xml:space="preserve">3.189 </v>
      </c>
      <c r="Z150" s="11">
        <v>45308</v>
      </c>
      <c r="AA150">
        <v>3.47</v>
      </c>
      <c r="AB150">
        <v>3.4489999999999998</v>
      </c>
      <c r="AC150">
        <v>3.4449999999999998</v>
      </c>
      <c r="AD150">
        <v>3.3460000000000001</v>
      </c>
      <c r="AE150">
        <v>3.3410000000000002</v>
      </c>
      <c r="AF150">
        <v>3.3290000000000002</v>
      </c>
      <c r="AG150">
        <v>3.2919999999999998</v>
      </c>
      <c r="AH150">
        <v>3.27</v>
      </c>
      <c r="AI150">
        <v>3.34</v>
      </c>
      <c r="AJ150">
        <v>3.3119999999999998</v>
      </c>
      <c r="AK150">
        <v>3.395</v>
      </c>
      <c r="AL150">
        <v>3.36</v>
      </c>
      <c r="AM150">
        <v>3.327</v>
      </c>
      <c r="AN150">
        <v>3.2839999999999998</v>
      </c>
      <c r="AO150">
        <v>3.2149999999999999</v>
      </c>
      <c r="AP150">
        <v>3.1890000000000001</v>
      </c>
    </row>
    <row r="151" spans="2:42">
      <c r="B151" s="5">
        <f t="shared" si="49"/>
        <v>45307</v>
      </c>
      <c r="C151" s="12" t="str">
        <f t="shared" si="50"/>
        <v xml:space="preserve">3.473 </v>
      </c>
      <c r="D151" s="12" t="str">
        <f t="shared" si="34"/>
        <v xml:space="preserve">3.449 </v>
      </c>
      <c r="E151" s="12" t="str">
        <f t="shared" si="35"/>
        <v xml:space="preserve">3.445 </v>
      </c>
      <c r="F151" s="12" t="str">
        <f t="shared" si="36"/>
        <v xml:space="preserve">3.343 </v>
      </c>
      <c r="G151" s="12" t="str">
        <f t="shared" si="37"/>
        <v xml:space="preserve">3.323 </v>
      </c>
      <c r="H151" s="12" t="str">
        <f t="shared" si="38"/>
        <v xml:space="preserve">3.300 </v>
      </c>
      <c r="I151" s="12" t="str">
        <f t="shared" si="39"/>
        <v xml:space="preserve">3.252 </v>
      </c>
      <c r="J151" s="12" t="str">
        <f t="shared" si="40"/>
        <v xml:space="preserve">3.231 </v>
      </c>
      <c r="K151" s="12" t="str">
        <f t="shared" si="41"/>
        <v xml:space="preserve">3.297 </v>
      </c>
      <c r="L151" s="12" t="str">
        <f t="shared" si="42"/>
        <v xml:space="preserve">3.265 </v>
      </c>
      <c r="M151" s="12" t="str">
        <f t="shared" si="43"/>
        <v xml:space="preserve">3.346 </v>
      </c>
      <c r="N151" s="12" t="str">
        <f t="shared" si="44"/>
        <v xml:space="preserve">3.315 </v>
      </c>
      <c r="O151" s="12" t="str">
        <f t="shared" si="45"/>
        <v xml:space="preserve">3.293 </v>
      </c>
      <c r="P151" s="12" t="str">
        <f t="shared" si="46"/>
        <v xml:space="preserve">3.261 </v>
      </c>
      <c r="Q151" s="12" t="str">
        <f t="shared" si="47"/>
        <v xml:space="preserve">3.215 </v>
      </c>
      <c r="R151" s="12" t="str">
        <f t="shared" si="48"/>
        <v xml:space="preserve">3.188 </v>
      </c>
      <c r="Z151" s="11">
        <v>45307</v>
      </c>
      <c r="AA151">
        <v>3.4729999999999999</v>
      </c>
      <c r="AB151">
        <v>3.4489999999999998</v>
      </c>
      <c r="AC151">
        <v>3.4449999999999998</v>
      </c>
      <c r="AD151">
        <v>3.343</v>
      </c>
      <c r="AE151">
        <v>3.323</v>
      </c>
      <c r="AF151">
        <v>3.3</v>
      </c>
      <c r="AG151">
        <v>3.2519999999999998</v>
      </c>
      <c r="AH151">
        <v>3.2309999999999999</v>
      </c>
      <c r="AI151">
        <v>3.2970000000000002</v>
      </c>
      <c r="AJ151">
        <v>3.2650000000000001</v>
      </c>
      <c r="AK151">
        <v>3.3460000000000001</v>
      </c>
      <c r="AL151">
        <v>3.3149999999999999</v>
      </c>
      <c r="AM151">
        <v>3.2930000000000001</v>
      </c>
      <c r="AN151">
        <v>3.2610000000000001</v>
      </c>
      <c r="AO151">
        <v>3.2149999999999999</v>
      </c>
      <c r="AP151">
        <v>3.1880000000000002</v>
      </c>
    </row>
    <row r="152" spans="2:42">
      <c r="B152" s="5">
        <f t="shared" si="49"/>
        <v>45306</v>
      </c>
      <c r="C152" s="12" t="str">
        <f t="shared" si="50"/>
        <v xml:space="preserve">3.473 </v>
      </c>
      <c r="D152" s="12" t="str">
        <f t="shared" si="34"/>
        <v xml:space="preserve">3.450 </v>
      </c>
      <c r="E152" s="12" t="str">
        <f t="shared" si="35"/>
        <v xml:space="preserve">3.447 </v>
      </c>
      <c r="F152" s="12" t="str">
        <f t="shared" si="36"/>
        <v xml:space="preserve">3.350 </v>
      </c>
      <c r="G152" s="12" t="str">
        <f t="shared" si="37"/>
        <v xml:space="preserve">3.318 </v>
      </c>
      <c r="H152" s="12" t="str">
        <f t="shared" si="38"/>
        <v xml:space="preserve">3.265 </v>
      </c>
      <c r="I152" s="12" t="str">
        <f t="shared" si="39"/>
        <v xml:space="preserve">3.216 </v>
      </c>
      <c r="J152" s="12" t="str">
        <f t="shared" si="40"/>
        <v xml:space="preserve">3.195 </v>
      </c>
      <c r="K152" s="12" t="str">
        <f t="shared" si="41"/>
        <v xml:space="preserve">3.261 </v>
      </c>
      <c r="L152" s="12" t="str">
        <f t="shared" si="42"/>
        <v xml:space="preserve">3.227 </v>
      </c>
      <c r="M152" s="12" t="str">
        <f t="shared" si="43"/>
        <v xml:space="preserve">3.324 </v>
      </c>
      <c r="N152" s="12" t="str">
        <f t="shared" si="44"/>
        <v xml:space="preserve">3.295 </v>
      </c>
      <c r="O152" s="12" t="str">
        <f t="shared" si="45"/>
        <v xml:space="preserve">3.276 </v>
      </c>
      <c r="P152" s="12" t="str">
        <f t="shared" si="46"/>
        <v xml:space="preserve">3.243 </v>
      </c>
      <c r="Q152" s="12" t="str">
        <f t="shared" si="47"/>
        <v xml:space="preserve">3.199 </v>
      </c>
      <c r="R152" s="12" t="str">
        <f t="shared" si="48"/>
        <v xml:space="preserve">3.172 </v>
      </c>
      <c r="Z152" s="11">
        <v>45306</v>
      </c>
      <c r="AA152">
        <v>3.4729999999999999</v>
      </c>
      <c r="AB152">
        <v>3.45</v>
      </c>
      <c r="AC152">
        <v>3.4470000000000001</v>
      </c>
      <c r="AD152">
        <v>3.35</v>
      </c>
      <c r="AE152">
        <v>3.3180000000000001</v>
      </c>
      <c r="AF152">
        <v>3.2650000000000001</v>
      </c>
      <c r="AG152">
        <v>3.2160000000000002</v>
      </c>
      <c r="AH152">
        <v>3.1949999999999998</v>
      </c>
      <c r="AI152">
        <v>3.2610000000000001</v>
      </c>
      <c r="AJ152">
        <v>3.2269999999999999</v>
      </c>
      <c r="AK152">
        <v>3.3239999999999998</v>
      </c>
      <c r="AL152">
        <v>3.2949999999999999</v>
      </c>
      <c r="AM152">
        <v>3.2759999999999998</v>
      </c>
      <c r="AN152">
        <v>3.2429999999999999</v>
      </c>
      <c r="AO152">
        <v>3.1989999999999998</v>
      </c>
      <c r="AP152">
        <v>3.1720000000000002</v>
      </c>
    </row>
    <row r="153" spans="2:42">
      <c r="B153" s="5">
        <f t="shared" si="49"/>
        <v>45303</v>
      </c>
      <c r="C153" s="12" t="str">
        <f t="shared" si="50"/>
        <v xml:space="preserve">3.475 </v>
      </c>
      <c r="D153" s="12" t="str">
        <f t="shared" si="34"/>
        <v xml:space="preserve">3.450 </v>
      </c>
      <c r="E153" s="12" t="str">
        <f t="shared" si="35"/>
        <v xml:space="preserve">3.451 </v>
      </c>
      <c r="F153" s="12" t="str">
        <f t="shared" si="36"/>
        <v xml:space="preserve">3.358 </v>
      </c>
      <c r="G153" s="12" t="str">
        <f t="shared" si="37"/>
        <v xml:space="preserve">3.333 </v>
      </c>
      <c r="H153" s="12" t="str">
        <f t="shared" si="38"/>
        <v xml:space="preserve">3.278 </v>
      </c>
      <c r="I153" s="12" t="str">
        <f t="shared" si="39"/>
        <v xml:space="preserve">3.222 </v>
      </c>
      <c r="J153" s="12" t="str">
        <f t="shared" si="40"/>
        <v xml:space="preserve">3.197 </v>
      </c>
      <c r="K153" s="12" t="str">
        <f t="shared" si="41"/>
        <v xml:space="preserve">3.265 </v>
      </c>
      <c r="L153" s="12" t="str">
        <f t="shared" si="42"/>
        <v xml:space="preserve">3.232 </v>
      </c>
      <c r="M153" s="12" t="str">
        <f t="shared" si="43"/>
        <v xml:space="preserve">3.331 </v>
      </c>
      <c r="N153" s="12" t="str">
        <f t="shared" si="44"/>
        <v xml:space="preserve">3.305 </v>
      </c>
      <c r="O153" s="12" t="str">
        <f t="shared" si="45"/>
        <v xml:space="preserve">3.289 </v>
      </c>
      <c r="P153" s="12" t="str">
        <f t="shared" si="46"/>
        <v xml:space="preserve">3.257 </v>
      </c>
      <c r="Q153" s="12" t="str">
        <f t="shared" si="47"/>
        <v xml:space="preserve">3.215 </v>
      </c>
      <c r="R153" s="12" t="str">
        <f t="shared" si="48"/>
        <v xml:space="preserve">3.188 </v>
      </c>
      <c r="Z153" s="11">
        <v>45303</v>
      </c>
      <c r="AA153">
        <v>3.4750000000000001</v>
      </c>
      <c r="AB153">
        <v>3.45</v>
      </c>
      <c r="AC153">
        <v>3.4510000000000001</v>
      </c>
      <c r="AD153">
        <v>3.3580000000000001</v>
      </c>
      <c r="AE153">
        <v>3.3330000000000002</v>
      </c>
      <c r="AF153">
        <v>3.278</v>
      </c>
      <c r="AG153">
        <v>3.222</v>
      </c>
      <c r="AH153">
        <v>3.1970000000000001</v>
      </c>
      <c r="AI153">
        <v>3.2650000000000001</v>
      </c>
      <c r="AJ153">
        <v>3.2320000000000002</v>
      </c>
      <c r="AK153">
        <v>3.331</v>
      </c>
      <c r="AL153">
        <v>3.3050000000000002</v>
      </c>
      <c r="AM153">
        <v>3.2890000000000001</v>
      </c>
      <c r="AN153">
        <v>3.2570000000000001</v>
      </c>
      <c r="AO153">
        <v>3.2149999999999999</v>
      </c>
      <c r="AP153">
        <v>3.1880000000000002</v>
      </c>
    </row>
    <row r="154" spans="2:42">
      <c r="B154" s="5">
        <f t="shared" si="49"/>
        <v>45302</v>
      </c>
      <c r="C154" s="12" t="str">
        <f t="shared" si="50"/>
        <v xml:space="preserve">3.491 </v>
      </c>
      <c r="D154" s="12" t="str">
        <f t="shared" si="34"/>
        <v xml:space="preserve">3.458 </v>
      </c>
      <c r="E154" s="12" t="str">
        <f t="shared" si="35"/>
        <v xml:space="preserve">3.463 </v>
      </c>
      <c r="F154" s="12" t="str">
        <f t="shared" si="36"/>
        <v xml:space="preserve">3.376 </v>
      </c>
      <c r="G154" s="12" t="str">
        <f t="shared" si="37"/>
        <v xml:space="preserve">3.368 </v>
      </c>
      <c r="H154" s="12" t="str">
        <f t="shared" si="38"/>
        <v xml:space="preserve">3.307 </v>
      </c>
      <c r="I154" s="12" t="str">
        <f t="shared" si="39"/>
        <v xml:space="preserve">3.245 </v>
      </c>
      <c r="J154" s="12" t="str">
        <f t="shared" si="40"/>
        <v xml:space="preserve">3.222 </v>
      </c>
      <c r="K154" s="12" t="str">
        <f t="shared" si="41"/>
        <v xml:space="preserve">3.290 </v>
      </c>
      <c r="L154" s="12" t="str">
        <f t="shared" si="42"/>
        <v xml:space="preserve">3.253 </v>
      </c>
      <c r="M154" s="12" t="str">
        <f t="shared" si="43"/>
        <v xml:space="preserve">3.347 </v>
      </c>
      <c r="N154" s="12" t="str">
        <f t="shared" si="44"/>
        <v xml:space="preserve">3.317 </v>
      </c>
      <c r="O154" s="12" t="str">
        <f t="shared" si="45"/>
        <v xml:space="preserve">3.290 </v>
      </c>
      <c r="P154" s="12" t="str">
        <f t="shared" si="46"/>
        <v xml:space="preserve">3.245 </v>
      </c>
      <c r="Q154" s="12" t="str">
        <f t="shared" si="47"/>
        <v xml:space="preserve">3.202 </v>
      </c>
      <c r="R154" s="12" t="str">
        <f t="shared" si="48"/>
        <v xml:space="preserve">3.177 </v>
      </c>
      <c r="Z154" s="11">
        <v>45302</v>
      </c>
      <c r="AA154">
        <v>3.4910000000000001</v>
      </c>
      <c r="AB154">
        <v>3.4580000000000002</v>
      </c>
      <c r="AC154">
        <v>3.4630000000000001</v>
      </c>
      <c r="AD154">
        <v>3.3759999999999999</v>
      </c>
      <c r="AE154">
        <v>3.3679999999999999</v>
      </c>
      <c r="AF154">
        <v>3.3069999999999999</v>
      </c>
      <c r="AG154">
        <v>3.2450000000000001</v>
      </c>
      <c r="AH154">
        <v>3.222</v>
      </c>
      <c r="AI154">
        <v>3.29</v>
      </c>
      <c r="AJ154">
        <v>3.2530000000000001</v>
      </c>
      <c r="AK154">
        <v>3.347</v>
      </c>
      <c r="AL154">
        <v>3.3170000000000002</v>
      </c>
      <c r="AM154">
        <v>3.29</v>
      </c>
      <c r="AN154">
        <v>3.2450000000000001</v>
      </c>
      <c r="AO154">
        <v>3.202</v>
      </c>
      <c r="AP154">
        <v>3.177</v>
      </c>
    </row>
    <row r="155" spans="2:42">
      <c r="B155" s="5">
        <f t="shared" si="49"/>
        <v>45301</v>
      </c>
      <c r="C155" s="12" t="str">
        <f t="shared" si="50"/>
        <v xml:space="preserve">3.491 </v>
      </c>
      <c r="D155" s="12" t="str">
        <f t="shared" si="34"/>
        <v xml:space="preserve">3.461 </v>
      </c>
      <c r="E155" s="12" t="str">
        <f t="shared" si="35"/>
        <v xml:space="preserve">3.466 </v>
      </c>
      <c r="F155" s="12" t="str">
        <f t="shared" si="36"/>
        <v xml:space="preserve">3.406 </v>
      </c>
      <c r="G155" s="12" t="str">
        <f t="shared" si="37"/>
        <v xml:space="preserve">3.400 </v>
      </c>
      <c r="H155" s="12" t="str">
        <f t="shared" si="38"/>
        <v xml:space="preserve">3.353 </v>
      </c>
      <c r="I155" s="12" t="str">
        <f t="shared" si="39"/>
        <v xml:space="preserve">3.288 </v>
      </c>
      <c r="J155" s="12" t="str">
        <f t="shared" si="40"/>
        <v xml:space="preserve">3.267 </v>
      </c>
      <c r="K155" s="12" t="str">
        <f t="shared" si="41"/>
        <v xml:space="preserve">3.334 </v>
      </c>
      <c r="L155" s="12" t="str">
        <f t="shared" si="42"/>
        <v xml:space="preserve">3.295 </v>
      </c>
      <c r="M155" s="12" t="str">
        <f t="shared" si="43"/>
        <v xml:space="preserve">3.386 </v>
      </c>
      <c r="N155" s="12" t="str">
        <f t="shared" si="44"/>
        <v xml:space="preserve">3.347 </v>
      </c>
      <c r="O155" s="12" t="str">
        <f t="shared" si="45"/>
        <v xml:space="preserve">3.312 </v>
      </c>
      <c r="P155" s="12" t="str">
        <f t="shared" si="46"/>
        <v xml:space="preserve">3.257 </v>
      </c>
      <c r="Q155" s="12" t="str">
        <f t="shared" si="47"/>
        <v xml:space="preserve">3.215 </v>
      </c>
      <c r="R155" s="12" t="str">
        <f t="shared" si="48"/>
        <v xml:space="preserve">3.190 </v>
      </c>
      <c r="Z155" s="11">
        <v>45301</v>
      </c>
      <c r="AA155">
        <v>3.4910000000000001</v>
      </c>
      <c r="AB155">
        <v>3.4609999999999999</v>
      </c>
      <c r="AC155">
        <v>3.4660000000000002</v>
      </c>
      <c r="AD155">
        <v>3.4060000000000001</v>
      </c>
      <c r="AE155">
        <v>3.4</v>
      </c>
      <c r="AF155">
        <v>3.3530000000000002</v>
      </c>
      <c r="AG155">
        <v>3.2879999999999998</v>
      </c>
      <c r="AH155">
        <v>3.2669999999999999</v>
      </c>
      <c r="AI155">
        <v>3.3340000000000001</v>
      </c>
      <c r="AJ155">
        <v>3.2949999999999999</v>
      </c>
      <c r="AK155">
        <v>3.3860000000000001</v>
      </c>
      <c r="AL155">
        <v>3.347</v>
      </c>
      <c r="AM155">
        <v>3.3119999999999998</v>
      </c>
      <c r="AN155">
        <v>3.2570000000000001</v>
      </c>
      <c r="AO155">
        <v>3.2149999999999999</v>
      </c>
      <c r="AP155">
        <v>3.19</v>
      </c>
    </row>
    <row r="156" spans="2:42">
      <c r="B156" s="5">
        <f t="shared" si="49"/>
        <v>45300</v>
      </c>
      <c r="C156" s="12" t="str">
        <f t="shared" si="50"/>
        <v xml:space="preserve">3.488 </v>
      </c>
      <c r="D156" s="12" t="str">
        <f t="shared" si="34"/>
        <v xml:space="preserve">3.465 </v>
      </c>
      <c r="E156" s="12" t="str">
        <f t="shared" si="35"/>
        <v xml:space="preserve">3.475 </v>
      </c>
      <c r="F156" s="12" t="str">
        <f t="shared" si="36"/>
        <v xml:space="preserve">3.411 </v>
      </c>
      <c r="G156" s="12" t="str">
        <f t="shared" si="37"/>
        <v xml:space="preserve">3.408 </v>
      </c>
      <c r="H156" s="12" t="str">
        <f t="shared" si="38"/>
        <v xml:space="preserve">3.361 </v>
      </c>
      <c r="I156" s="12" t="str">
        <f t="shared" si="39"/>
        <v xml:space="preserve">3.280 </v>
      </c>
      <c r="J156" s="12" t="str">
        <f t="shared" si="40"/>
        <v xml:space="preserve">3.247 </v>
      </c>
      <c r="K156" s="12" t="str">
        <f t="shared" si="41"/>
        <v xml:space="preserve">3.312 </v>
      </c>
      <c r="L156" s="12" t="str">
        <f t="shared" si="42"/>
        <v xml:space="preserve">3.268 </v>
      </c>
      <c r="M156" s="12" t="str">
        <f t="shared" si="43"/>
        <v xml:space="preserve">3.345 </v>
      </c>
      <c r="N156" s="12" t="str">
        <f t="shared" si="44"/>
        <v xml:space="preserve">3.315 </v>
      </c>
      <c r="O156" s="12" t="str">
        <f t="shared" si="45"/>
        <v xml:space="preserve">3.282 </v>
      </c>
      <c r="P156" s="12" t="str">
        <f t="shared" si="46"/>
        <v xml:space="preserve">3.227 </v>
      </c>
      <c r="Q156" s="12" t="str">
        <f t="shared" si="47"/>
        <v xml:space="preserve">3.180 </v>
      </c>
      <c r="R156" s="12" t="str">
        <f t="shared" si="48"/>
        <v xml:space="preserve">3.155 </v>
      </c>
      <c r="Z156" s="11">
        <v>45300</v>
      </c>
      <c r="AA156">
        <v>3.488</v>
      </c>
      <c r="AB156">
        <v>3.4649999999999999</v>
      </c>
      <c r="AC156">
        <v>3.4750000000000001</v>
      </c>
      <c r="AD156">
        <v>3.411</v>
      </c>
      <c r="AE156">
        <v>3.4079999999999999</v>
      </c>
      <c r="AF156">
        <v>3.3610000000000002</v>
      </c>
      <c r="AG156">
        <v>3.28</v>
      </c>
      <c r="AH156">
        <v>3.2469999999999999</v>
      </c>
      <c r="AI156">
        <v>3.3119999999999998</v>
      </c>
      <c r="AJ156">
        <v>3.2679999999999998</v>
      </c>
      <c r="AK156">
        <v>3.3450000000000002</v>
      </c>
      <c r="AL156">
        <v>3.3149999999999999</v>
      </c>
      <c r="AM156">
        <v>3.282</v>
      </c>
      <c r="AN156">
        <v>3.2269999999999999</v>
      </c>
      <c r="AO156">
        <v>3.18</v>
      </c>
      <c r="AP156">
        <v>3.1549999999999998</v>
      </c>
    </row>
    <row r="157" spans="2:42">
      <c r="B157" s="5">
        <f t="shared" si="49"/>
        <v>45299</v>
      </c>
      <c r="C157" s="12" t="str">
        <f t="shared" si="50"/>
        <v xml:space="preserve">3.488 </v>
      </c>
      <c r="D157" s="12" t="str">
        <f t="shared" si="34"/>
        <v xml:space="preserve">3.471 </v>
      </c>
      <c r="E157" s="12" t="str">
        <f t="shared" si="35"/>
        <v xml:space="preserve">3.483 </v>
      </c>
      <c r="F157" s="12" t="str">
        <f t="shared" si="36"/>
        <v xml:space="preserve">3.430 </v>
      </c>
      <c r="G157" s="12" t="str">
        <f t="shared" si="37"/>
        <v xml:space="preserve">3.436 </v>
      </c>
      <c r="H157" s="12" t="str">
        <f t="shared" si="38"/>
        <v xml:space="preserve">3.390 </v>
      </c>
      <c r="I157" s="12" t="str">
        <f t="shared" si="39"/>
        <v xml:space="preserve">3.325 </v>
      </c>
      <c r="J157" s="12" t="str">
        <f t="shared" si="40"/>
        <v xml:space="preserve">3.290 </v>
      </c>
      <c r="K157" s="12" t="str">
        <f t="shared" si="41"/>
        <v xml:space="preserve">3.352 </v>
      </c>
      <c r="L157" s="12" t="str">
        <f t="shared" si="42"/>
        <v xml:space="preserve">3.306 </v>
      </c>
      <c r="M157" s="12" t="str">
        <f t="shared" si="43"/>
        <v xml:space="preserve">3.378 </v>
      </c>
      <c r="N157" s="12" t="str">
        <f t="shared" si="44"/>
        <v xml:space="preserve">3.355 </v>
      </c>
      <c r="O157" s="12" t="str">
        <f t="shared" si="45"/>
        <v xml:space="preserve">3.312 </v>
      </c>
      <c r="P157" s="12" t="str">
        <f t="shared" si="46"/>
        <v xml:space="preserve">3.245 </v>
      </c>
      <c r="Q157" s="12" t="str">
        <f t="shared" si="47"/>
        <v xml:space="preserve">3.190 </v>
      </c>
      <c r="R157" s="12" t="str">
        <f t="shared" si="48"/>
        <v xml:space="preserve">3.165 </v>
      </c>
      <c r="Z157" s="11">
        <v>45299</v>
      </c>
      <c r="AA157">
        <v>3.488</v>
      </c>
      <c r="AB157">
        <v>3.4710000000000001</v>
      </c>
      <c r="AC157">
        <v>3.4830000000000001</v>
      </c>
      <c r="AD157">
        <v>3.43</v>
      </c>
      <c r="AE157">
        <v>3.4359999999999999</v>
      </c>
      <c r="AF157">
        <v>3.39</v>
      </c>
      <c r="AG157">
        <v>3.3250000000000002</v>
      </c>
      <c r="AH157">
        <v>3.29</v>
      </c>
      <c r="AI157">
        <v>3.3519999999999999</v>
      </c>
      <c r="AJ157">
        <v>3.306</v>
      </c>
      <c r="AK157">
        <v>3.3780000000000001</v>
      </c>
      <c r="AL157">
        <v>3.355</v>
      </c>
      <c r="AM157">
        <v>3.3119999999999998</v>
      </c>
      <c r="AN157">
        <v>3.2450000000000001</v>
      </c>
      <c r="AO157">
        <v>3.19</v>
      </c>
      <c r="AP157">
        <v>3.165</v>
      </c>
    </row>
    <row r="158" spans="2:42">
      <c r="B158" s="5">
        <f t="shared" si="49"/>
        <v>45296</v>
      </c>
      <c r="C158" s="12" t="str">
        <f t="shared" si="50"/>
        <v xml:space="preserve">3.488 </v>
      </c>
      <c r="D158" s="12" t="str">
        <f t="shared" si="34"/>
        <v xml:space="preserve">3.473 </v>
      </c>
      <c r="E158" s="12" t="str">
        <f t="shared" si="35"/>
        <v xml:space="preserve">3.486 </v>
      </c>
      <c r="F158" s="12" t="str">
        <f t="shared" si="36"/>
        <v xml:space="preserve">3.433 </v>
      </c>
      <c r="G158" s="12" t="str">
        <f t="shared" si="37"/>
        <v xml:space="preserve">3.437 </v>
      </c>
      <c r="H158" s="12" t="str">
        <f t="shared" si="38"/>
        <v xml:space="preserve">3.376 </v>
      </c>
      <c r="I158" s="12" t="str">
        <f t="shared" si="39"/>
        <v xml:space="preserve">3.322 </v>
      </c>
      <c r="J158" s="12" t="str">
        <f t="shared" si="40"/>
        <v xml:space="preserve">3.280 </v>
      </c>
      <c r="K158" s="12" t="str">
        <f t="shared" si="41"/>
        <v xml:space="preserve">3.345 </v>
      </c>
      <c r="L158" s="12" t="str">
        <f t="shared" si="42"/>
        <v xml:space="preserve">3.302 </v>
      </c>
      <c r="M158" s="12" t="str">
        <f t="shared" si="43"/>
        <v xml:space="preserve">3.370 </v>
      </c>
      <c r="N158" s="12" t="str">
        <f t="shared" si="44"/>
        <v xml:space="preserve">3.337 </v>
      </c>
      <c r="O158" s="12" t="str">
        <f t="shared" si="45"/>
        <v xml:space="preserve">3.301 </v>
      </c>
      <c r="P158" s="12" t="str">
        <f t="shared" si="46"/>
        <v xml:space="preserve">3.240 </v>
      </c>
      <c r="Q158" s="12" t="str">
        <f t="shared" si="47"/>
        <v xml:space="preserve">3.200 </v>
      </c>
      <c r="R158" s="12" t="str">
        <f t="shared" si="48"/>
        <v xml:space="preserve">3.175 </v>
      </c>
      <c r="Z158" s="11">
        <v>45296</v>
      </c>
      <c r="AA158">
        <v>3.488</v>
      </c>
      <c r="AB158">
        <v>3.4729999999999999</v>
      </c>
      <c r="AC158">
        <v>3.4860000000000002</v>
      </c>
      <c r="AD158">
        <v>3.4329999999999998</v>
      </c>
      <c r="AE158">
        <v>3.4369999999999998</v>
      </c>
      <c r="AF158">
        <v>3.3759999999999999</v>
      </c>
      <c r="AG158">
        <v>3.3220000000000001</v>
      </c>
      <c r="AH158">
        <v>3.28</v>
      </c>
      <c r="AI158">
        <v>3.3450000000000002</v>
      </c>
      <c r="AJ158">
        <v>3.302</v>
      </c>
      <c r="AK158">
        <v>3.37</v>
      </c>
      <c r="AL158">
        <v>3.3370000000000002</v>
      </c>
      <c r="AM158">
        <v>3.3010000000000002</v>
      </c>
      <c r="AN158">
        <v>3.24</v>
      </c>
      <c r="AO158">
        <v>3.2</v>
      </c>
      <c r="AP158">
        <v>3.1749999999999998</v>
      </c>
    </row>
    <row r="159" spans="2:42">
      <c r="B159" s="5">
        <f t="shared" si="49"/>
        <v>45295</v>
      </c>
      <c r="C159" s="12" t="str">
        <f t="shared" si="50"/>
        <v xml:space="preserve">3.485 </v>
      </c>
      <c r="D159" s="12" t="str">
        <f t="shared" si="34"/>
        <v xml:space="preserve">3.473 </v>
      </c>
      <c r="E159" s="12" t="str">
        <f t="shared" si="35"/>
        <v xml:space="preserve">3.483 </v>
      </c>
      <c r="F159" s="12" t="str">
        <f t="shared" si="36"/>
        <v xml:space="preserve">3.440 </v>
      </c>
      <c r="G159" s="12" t="str">
        <f t="shared" si="37"/>
        <v xml:space="preserve">3.431 </v>
      </c>
      <c r="H159" s="12" t="str">
        <f t="shared" si="38"/>
        <v xml:space="preserve">3.334 </v>
      </c>
      <c r="I159" s="12" t="str">
        <f t="shared" si="39"/>
        <v xml:space="preserve">3.271 </v>
      </c>
      <c r="J159" s="12" t="str">
        <f t="shared" si="40"/>
        <v xml:space="preserve">3.224 </v>
      </c>
      <c r="K159" s="12" t="str">
        <f t="shared" si="41"/>
        <v xml:space="preserve">3.296 </v>
      </c>
      <c r="L159" s="12" t="str">
        <f t="shared" si="42"/>
        <v xml:space="preserve">3.257 </v>
      </c>
      <c r="M159" s="12" t="str">
        <f t="shared" si="43"/>
        <v xml:space="preserve">3.313 </v>
      </c>
      <c r="N159" s="12" t="str">
        <f t="shared" si="44"/>
        <v xml:space="preserve">3.285 </v>
      </c>
      <c r="O159" s="12" t="str">
        <f t="shared" si="45"/>
        <v xml:space="preserve">3.261 </v>
      </c>
      <c r="P159" s="12" t="str">
        <f t="shared" si="46"/>
        <v xml:space="preserve">3.213 </v>
      </c>
      <c r="Q159" s="12" t="str">
        <f t="shared" si="47"/>
        <v xml:space="preserve">3.185 </v>
      </c>
      <c r="R159" s="12" t="str">
        <f t="shared" si="48"/>
        <v xml:space="preserve">3.160 </v>
      </c>
      <c r="Z159" s="11">
        <v>45295</v>
      </c>
      <c r="AA159">
        <v>3.4849999999999999</v>
      </c>
      <c r="AB159">
        <v>3.4729999999999999</v>
      </c>
      <c r="AC159">
        <v>3.4830000000000001</v>
      </c>
      <c r="AD159">
        <v>3.44</v>
      </c>
      <c r="AE159">
        <v>3.431</v>
      </c>
      <c r="AF159">
        <v>3.3340000000000001</v>
      </c>
      <c r="AG159">
        <v>3.2709999999999999</v>
      </c>
      <c r="AH159">
        <v>3.2240000000000002</v>
      </c>
      <c r="AI159">
        <v>3.2959999999999998</v>
      </c>
      <c r="AJ159">
        <v>3.2570000000000001</v>
      </c>
      <c r="AK159">
        <v>3.3130000000000002</v>
      </c>
      <c r="AL159">
        <v>3.2850000000000001</v>
      </c>
      <c r="AM159">
        <v>3.2610000000000001</v>
      </c>
      <c r="AN159">
        <v>3.2130000000000001</v>
      </c>
      <c r="AO159">
        <v>3.1850000000000001</v>
      </c>
      <c r="AP159">
        <v>3.16</v>
      </c>
    </row>
    <row r="160" spans="2:42">
      <c r="B160" s="5">
        <f t="shared" si="49"/>
        <v>45294</v>
      </c>
      <c r="C160" s="12" t="str">
        <f t="shared" si="50"/>
        <v xml:space="preserve">3.485 </v>
      </c>
      <c r="D160" s="12" t="str">
        <f t="shared" si="34"/>
        <v xml:space="preserve">3.485 </v>
      </c>
      <c r="E160" s="12" t="str">
        <f t="shared" si="35"/>
        <v xml:space="preserve">3.500 </v>
      </c>
      <c r="F160" s="12" t="str">
        <f t="shared" si="36"/>
        <v xml:space="preserve">3.466 </v>
      </c>
      <c r="G160" s="12" t="str">
        <f t="shared" si="37"/>
        <v xml:space="preserve">3.461 </v>
      </c>
      <c r="H160" s="12" t="str">
        <f t="shared" si="38"/>
        <v xml:space="preserve">3.368 </v>
      </c>
      <c r="I160" s="12" t="str">
        <f t="shared" si="39"/>
        <v xml:space="preserve">3.324 </v>
      </c>
      <c r="J160" s="12" t="str">
        <f t="shared" si="40"/>
        <v xml:space="preserve">3.275 </v>
      </c>
      <c r="K160" s="12" t="str">
        <f t="shared" si="41"/>
        <v xml:space="preserve">3.350 </v>
      </c>
      <c r="L160" s="12" t="str">
        <f t="shared" si="42"/>
        <v xml:space="preserve">3.308 </v>
      </c>
      <c r="M160" s="12" t="str">
        <f t="shared" si="43"/>
        <v xml:space="preserve">3.363 </v>
      </c>
      <c r="N160" s="12" t="str">
        <f t="shared" si="44"/>
        <v xml:space="preserve">3.335 </v>
      </c>
      <c r="O160" s="12" t="str">
        <f t="shared" si="45"/>
        <v xml:space="preserve">3.305 </v>
      </c>
      <c r="P160" s="12" t="str">
        <f t="shared" si="46"/>
        <v xml:space="preserve">3.250 </v>
      </c>
      <c r="Q160" s="12" t="str">
        <f t="shared" si="47"/>
        <v xml:space="preserve">3.230 </v>
      </c>
      <c r="R160" s="12" t="str">
        <f t="shared" si="48"/>
        <v xml:space="preserve">3.205 </v>
      </c>
      <c r="Z160" s="11">
        <v>45294</v>
      </c>
      <c r="AA160">
        <v>3.4849999999999999</v>
      </c>
      <c r="AB160">
        <v>3.4849999999999999</v>
      </c>
      <c r="AC160">
        <v>3.5</v>
      </c>
      <c r="AD160">
        <v>3.4660000000000002</v>
      </c>
      <c r="AE160">
        <v>3.4609999999999999</v>
      </c>
      <c r="AF160">
        <v>3.3679999999999999</v>
      </c>
      <c r="AG160">
        <v>3.3239999999999998</v>
      </c>
      <c r="AH160">
        <v>3.2749999999999999</v>
      </c>
      <c r="AI160">
        <v>3.35</v>
      </c>
      <c r="AJ160">
        <v>3.3079999999999998</v>
      </c>
      <c r="AK160">
        <v>3.363</v>
      </c>
      <c r="AL160">
        <v>3.335</v>
      </c>
      <c r="AM160">
        <v>3.3050000000000002</v>
      </c>
      <c r="AN160">
        <v>3.25</v>
      </c>
      <c r="AO160">
        <v>3.23</v>
      </c>
      <c r="AP160">
        <v>3.2050000000000001</v>
      </c>
    </row>
    <row r="161" spans="2:42">
      <c r="B161" s="5">
        <f t="shared" si="49"/>
        <v>45293</v>
      </c>
      <c r="C161" s="12" t="str">
        <f t="shared" si="50"/>
        <v xml:space="preserve">3.481 </v>
      </c>
      <c r="D161" s="12" t="str">
        <f t="shared" si="34"/>
        <v xml:space="preserve">3.476 </v>
      </c>
      <c r="E161" s="12" t="str">
        <f t="shared" si="35"/>
        <v xml:space="preserve">3.491 </v>
      </c>
      <c r="F161" s="12" t="str">
        <f t="shared" si="36"/>
        <v xml:space="preserve">3.448 </v>
      </c>
      <c r="G161" s="12" t="str">
        <f t="shared" si="37"/>
        <v xml:space="preserve">3.441 </v>
      </c>
      <c r="H161" s="12" t="str">
        <f t="shared" si="38"/>
        <v xml:space="preserve">3.330 </v>
      </c>
      <c r="I161" s="12" t="str">
        <f t="shared" si="39"/>
        <v xml:space="preserve">3.275 </v>
      </c>
      <c r="J161" s="12" t="str">
        <f t="shared" si="40"/>
        <v xml:space="preserve">3.245 </v>
      </c>
      <c r="K161" s="12" t="str">
        <f t="shared" si="41"/>
        <v xml:space="preserve">3.305 </v>
      </c>
      <c r="L161" s="12" t="str">
        <f t="shared" si="42"/>
        <v xml:space="preserve">3.270 </v>
      </c>
      <c r="M161" s="12" t="str">
        <f t="shared" si="43"/>
        <v xml:space="preserve">3.328 </v>
      </c>
      <c r="N161" s="12" t="str">
        <f t="shared" si="44"/>
        <v xml:space="preserve">3.305 </v>
      </c>
      <c r="O161" s="12" t="str">
        <f t="shared" si="45"/>
        <v xml:space="preserve">3.285 </v>
      </c>
      <c r="P161" s="12" t="str">
        <f t="shared" si="46"/>
        <v xml:space="preserve">3.240 </v>
      </c>
      <c r="Q161" s="12" t="str">
        <f t="shared" si="47"/>
        <v xml:space="preserve">3.222 </v>
      </c>
      <c r="R161" s="12" t="str">
        <f t="shared" si="48"/>
        <v xml:space="preserve">3.197 </v>
      </c>
      <c r="Z161" s="11">
        <v>45293</v>
      </c>
      <c r="AA161">
        <v>3.4809999999999999</v>
      </c>
      <c r="AB161">
        <v>3.476</v>
      </c>
      <c r="AC161">
        <v>3.4910000000000001</v>
      </c>
      <c r="AD161">
        <v>3.448</v>
      </c>
      <c r="AE161">
        <v>3.4409999999999998</v>
      </c>
      <c r="AF161">
        <v>3.33</v>
      </c>
      <c r="AG161">
        <v>3.2749999999999999</v>
      </c>
      <c r="AH161">
        <v>3.2450000000000001</v>
      </c>
      <c r="AI161">
        <v>3.3050000000000002</v>
      </c>
      <c r="AJ161">
        <v>3.27</v>
      </c>
      <c r="AK161">
        <v>3.3279999999999998</v>
      </c>
      <c r="AL161">
        <v>3.3050000000000002</v>
      </c>
      <c r="AM161">
        <v>3.2850000000000001</v>
      </c>
      <c r="AN161">
        <v>3.24</v>
      </c>
      <c r="AO161">
        <v>3.222</v>
      </c>
      <c r="AP161">
        <v>3.1970000000000001</v>
      </c>
    </row>
    <row r="162" spans="2:42">
      <c r="B162" s="5">
        <f t="shared" si="49"/>
        <v>45289</v>
      </c>
      <c r="C162" s="12" t="str">
        <f t="shared" si="50"/>
        <v xml:space="preserve">3.493 </v>
      </c>
      <c r="D162" s="12" t="str">
        <f t="shared" si="34"/>
        <v xml:space="preserve">3.468 </v>
      </c>
      <c r="E162" s="12" t="str">
        <f t="shared" si="35"/>
        <v xml:space="preserve">3.478 </v>
      </c>
      <c r="F162" s="12" t="str">
        <f t="shared" si="36"/>
        <v xml:space="preserve">3.431 </v>
      </c>
      <c r="G162" s="12" t="str">
        <f t="shared" si="37"/>
        <v xml:space="preserve">3.376 </v>
      </c>
      <c r="H162" s="12" t="str">
        <f t="shared" si="38"/>
        <v xml:space="preserve">3.242 </v>
      </c>
      <c r="I162" s="12" t="str">
        <f t="shared" si="39"/>
        <v xml:space="preserve">3.175 </v>
      </c>
      <c r="J162" s="12" t="str">
        <f t="shared" si="40"/>
        <v xml:space="preserve">3.145 </v>
      </c>
      <c r="K162" s="12" t="str">
        <f t="shared" si="41"/>
        <v xml:space="preserve">3.196 </v>
      </c>
      <c r="L162" s="12" t="str">
        <f t="shared" si="42"/>
        <v xml:space="preserve">3.155 </v>
      </c>
      <c r="M162" s="12" t="str">
        <f t="shared" si="43"/>
        <v xml:space="preserve">3.207 </v>
      </c>
      <c r="N162" s="12" t="str">
        <f t="shared" si="44"/>
        <v xml:space="preserve">3.175 </v>
      </c>
      <c r="O162" s="12" t="str">
        <f t="shared" si="45"/>
        <v xml:space="preserve">3.148 </v>
      </c>
      <c r="P162" s="12" t="str">
        <f t="shared" si="46"/>
        <v xml:space="preserve">3.095 </v>
      </c>
      <c r="Q162" s="12" t="str">
        <f t="shared" si="47"/>
        <v xml:space="preserve">3.080 </v>
      </c>
      <c r="R162" s="12" t="str">
        <f t="shared" si="48"/>
        <v xml:space="preserve">3.055 </v>
      </c>
      <c r="Z162" s="11">
        <v>45289</v>
      </c>
      <c r="AA162">
        <v>3.4929999999999999</v>
      </c>
      <c r="AB162">
        <v>3.468</v>
      </c>
      <c r="AC162">
        <v>3.4780000000000002</v>
      </c>
      <c r="AD162">
        <v>3.431</v>
      </c>
      <c r="AE162">
        <v>3.3759999999999999</v>
      </c>
      <c r="AF162">
        <v>3.242</v>
      </c>
      <c r="AG162">
        <v>3.1749999999999998</v>
      </c>
      <c r="AH162">
        <v>3.145</v>
      </c>
      <c r="AI162">
        <v>3.1960000000000002</v>
      </c>
      <c r="AJ162">
        <v>3.1549999999999998</v>
      </c>
      <c r="AK162">
        <v>3.2069999999999999</v>
      </c>
      <c r="AL162">
        <v>3.1749999999999998</v>
      </c>
      <c r="AM162">
        <v>3.1480000000000001</v>
      </c>
      <c r="AN162">
        <v>3.0950000000000002</v>
      </c>
      <c r="AO162">
        <v>3.08</v>
      </c>
      <c r="AP162">
        <v>3.0550000000000002</v>
      </c>
    </row>
    <row r="163" spans="2:42">
      <c r="B163" s="5">
        <f t="shared" si="49"/>
        <v>45288</v>
      </c>
      <c r="C163" s="12" t="str">
        <f t="shared" si="50"/>
        <v xml:space="preserve">3.493 </v>
      </c>
      <c r="D163" s="12" t="str">
        <f t="shared" si="34"/>
        <v xml:space="preserve">3.468 </v>
      </c>
      <c r="E163" s="12" t="str">
        <f t="shared" si="35"/>
        <v xml:space="preserve">3.478 </v>
      </c>
      <c r="F163" s="12" t="str">
        <f t="shared" si="36"/>
        <v xml:space="preserve">3.431 </v>
      </c>
      <c r="G163" s="12" t="str">
        <f t="shared" si="37"/>
        <v xml:space="preserve">3.376 </v>
      </c>
      <c r="H163" s="12" t="str">
        <f t="shared" si="38"/>
        <v xml:space="preserve">3.242 </v>
      </c>
      <c r="I163" s="12" t="str">
        <f t="shared" si="39"/>
        <v xml:space="preserve">3.175 </v>
      </c>
      <c r="J163" s="12" t="str">
        <f t="shared" si="40"/>
        <v xml:space="preserve">3.145 </v>
      </c>
      <c r="K163" s="12" t="str">
        <f t="shared" si="41"/>
        <v xml:space="preserve">3.196 </v>
      </c>
      <c r="L163" s="12" t="str">
        <f t="shared" si="42"/>
        <v xml:space="preserve">3.155 </v>
      </c>
      <c r="M163" s="12" t="str">
        <f t="shared" si="43"/>
        <v xml:space="preserve">3.207 </v>
      </c>
      <c r="N163" s="12" t="str">
        <f t="shared" si="44"/>
        <v xml:space="preserve">3.175 </v>
      </c>
      <c r="O163" s="12" t="str">
        <f t="shared" si="45"/>
        <v xml:space="preserve">3.148 </v>
      </c>
      <c r="P163" s="12" t="str">
        <f t="shared" si="46"/>
        <v xml:space="preserve">3.095 </v>
      </c>
      <c r="Q163" s="12" t="str">
        <f t="shared" si="47"/>
        <v xml:space="preserve">3.080 </v>
      </c>
      <c r="R163" s="12" t="str">
        <f t="shared" si="48"/>
        <v xml:space="preserve">3.055 </v>
      </c>
      <c r="Z163" s="11">
        <v>45288</v>
      </c>
      <c r="AA163">
        <v>3.4929999999999999</v>
      </c>
      <c r="AB163">
        <v>3.468</v>
      </c>
      <c r="AC163">
        <v>3.4780000000000002</v>
      </c>
      <c r="AD163">
        <v>3.431</v>
      </c>
      <c r="AE163">
        <v>3.3759999999999999</v>
      </c>
      <c r="AF163">
        <v>3.242</v>
      </c>
      <c r="AG163">
        <v>3.1749999999999998</v>
      </c>
      <c r="AH163">
        <v>3.145</v>
      </c>
      <c r="AI163">
        <v>3.1960000000000002</v>
      </c>
      <c r="AJ163">
        <v>3.1549999999999998</v>
      </c>
      <c r="AK163">
        <v>3.2069999999999999</v>
      </c>
      <c r="AL163">
        <v>3.1749999999999998</v>
      </c>
      <c r="AM163">
        <v>3.1480000000000001</v>
      </c>
      <c r="AN163">
        <v>3.0950000000000002</v>
      </c>
      <c r="AO163">
        <v>3.08</v>
      </c>
      <c r="AP163">
        <v>3.0550000000000002</v>
      </c>
    </row>
    <row r="164" spans="2:42">
      <c r="B164" s="5">
        <f t="shared" si="49"/>
        <v>45287</v>
      </c>
      <c r="C164" s="12" t="str">
        <f t="shared" si="50"/>
        <v xml:space="preserve">3.503 </v>
      </c>
      <c r="D164" s="12" t="str">
        <f t="shared" si="34"/>
        <v xml:space="preserve">3.478 </v>
      </c>
      <c r="E164" s="12" t="str">
        <f t="shared" si="35"/>
        <v xml:space="preserve">3.493 </v>
      </c>
      <c r="F164" s="12" t="str">
        <f t="shared" si="36"/>
        <v xml:space="preserve">3.455 </v>
      </c>
      <c r="G164" s="12" t="str">
        <f t="shared" si="37"/>
        <v xml:space="preserve">3.412 </v>
      </c>
      <c r="H164" s="12" t="str">
        <f t="shared" si="38"/>
        <v xml:space="preserve">3.296 </v>
      </c>
      <c r="I164" s="12" t="str">
        <f t="shared" si="39"/>
        <v xml:space="preserve">3.250 </v>
      </c>
      <c r="J164" s="12" t="str">
        <f t="shared" si="40"/>
        <v xml:space="preserve">3.212 </v>
      </c>
      <c r="K164" s="12" t="str">
        <f t="shared" si="41"/>
        <v xml:space="preserve">3.260 </v>
      </c>
      <c r="L164" s="12" t="str">
        <f t="shared" si="42"/>
        <v xml:space="preserve">3.215 </v>
      </c>
      <c r="M164" s="12" t="str">
        <f t="shared" si="43"/>
        <v xml:space="preserve">3.293 </v>
      </c>
      <c r="N164" s="12" t="str">
        <f t="shared" si="44"/>
        <v xml:space="preserve">3.255 </v>
      </c>
      <c r="O164" s="12" t="str">
        <f t="shared" si="45"/>
        <v xml:space="preserve">3.225 </v>
      </c>
      <c r="P164" s="12" t="str">
        <f t="shared" si="46"/>
        <v xml:space="preserve">3.170 </v>
      </c>
      <c r="Q164" s="12" t="str">
        <f t="shared" si="47"/>
        <v xml:space="preserve">3.150 </v>
      </c>
      <c r="R164" s="12" t="str">
        <f t="shared" si="48"/>
        <v xml:space="preserve">3.120 </v>
      </c>
      <c r="Z164" s="11">
        <v>45287</v>
      </c>
      <c r="AA164">
        <v>3.5030000000000001</v>
      </c>
      <c r="AB164">
        <v>3.4780000000000002</v>
      </c>
      <c r="AC164">
        <v>3.4929999999999999</v>
      </c>
      <c r="AD164">
        <v>3.4550000000000001</v>
      </c>
      <c r="AE164">
        <v>3.4119999999999999</v>
      </c>
      <c r="AF164">
        <v>3.2959999999999998</v>
      </c>
      <c r="AG164">
        <v>3.25</v>
      </c>
      <c r="AH164">
        <v>3.2120000000000002</v>
      </c>
      <c r="AI164">
        <v>3.26</v>
      </c>
      <c r="AJ164">
        <v>3.2149999999999999</v>
      </c>
      <c r="AK164">
        <v>3.2930000000000001</v>
      </c>
      <c r="AL164">
        <v>3.2549999999999999</v>
      </c>
      <c r="AM164">
        <v>3.2250000000000001</v>
      </c>
      <c r="AN164">
        <v>3.17</v>
      </c>
      <c r="AO164">
        <v>3.15</v>
      </c>
      <c r="AP164">
        <v>3.12</v>
      </c>
    </row>
    <row r="165" spans="2:42">
      <c r="B165" s="5">
        <f t="shared" si="49"/>
        <v>45286</v>
      </c>
      <c r="C165" s="12" t="str">
        <f t="shared" si="50"/>
        <v xml:space="preserve">3.485 </v>
      </c>
      <c r="D165" s="12" t="str">
        <f t="shared" si="34"/>
        <v xml:space="preserve">3.488 </v>
      </c>
      <c r="E165" s="12" t="str">
        <f t="shared" si="35"/>
        <v xml:space="preserve">3.493 </v>
      </c>
      <c r="F165" s="12" t="str">
        <f t="shared" si="36"/>
        <v xml:space="preserve">3.456 </v>
      </c>
      <c r="G165" s="12" t="str">
        <f t="shared" si="37"/>
        <v xml:space="preserve">3.420 </v>
      </c>
      <c r="H165" s="12" t="str">
        <f t="shared" si="38"/>
        <v xml:space="preserve">3.298 </v>
      </c>
      <c r="I165" s="12" t="str">
        <f t="shared" si="39"/>
        <v xml:space="preserve">3.265 </v>
      </c>
      <c r="J165" s="12" t="str">
        <f t="shared" si="40"/>
        <v xml:space="preserve">3.216 </v>
      </c>
      <c r="K165" s="12" t="str">
        <f t="shared" si="41"/>
        <v xml:space="preserve">3.269 </v>
      </c>
      <c r="L165" s="12" t="str">
        <f t="shared" si="42"/>
        <v xml:space="preserve">3.222 </v>
      </c>
      <c r="M165" s="12" t="str">
        <f t="shared" si="43"/>
        <v xml:space="preserve">3.303 </v>
      </c>
      <c r="N165" s="12" t="str">
        <f t="shared" si="44"/>
        <v xml:space="preserve">3.266 </v>
      </c>
      <c r="O165" s="12" t="str">
        <f t="shared" si="45"/>
        <v xml:space="preserve">3.254 </v>
      </c>
      <c r="P165" s="12" t="str">
        <f t="shared" si="46"/>
        <v xml:space="preserve">3.219 </v>
      </c>
      <c r="Q165" s="12" t="str">
        <f t="shared" si="47"/>
        <v xml:space="preserve">3.190 </v>
      </c>
      <c r="R165" s="12" t="str">
        <f t="shared" si="48"/>
        <v xml:space="preserve">3.160 </v>
      </c>
      <c r="Z165" s="11">
        <v>45286</v>
      </c>
      <c r="AA165">
        <v>3.4849999999999999</v>
      </c>
      <c r="AB165">
        <v>3.488</v>
      </c>
      <c r="AC165">
        <v>3.4929999999999999</v>
      </c>
      <c r="AD165">
        <v>3.456</v>
      </c>
      <c r="AE165">
        <v>3.42</v>
      </c>
      <c r="AF165">
        <v>3.298</v>
      </c>
      <c r="AG165">
        <v>3.2650000000000001</v>
      </c>
      <c r="AH165">
        <v>3.2160000000000002</v>
      </c>
      <c r="AI165">
        <v>3.2690000000000001</v>
      </c>
      <c r="AJ165">
        <v>3.222</v>
      </c>
      <c r="AK165">
        <v>3.3029999999999999</v>
      </c>
      <c r="AL165">
        <v>3.266</v>
      </c>
      <c r="AM165">
        <v>3.254</v>
      </c>
      <c r="AN165">
        <v>3.2189999999999999</v>
      </c>
      <c r="AO165">
        <v>3.19</v>
      </c>
      <c r="AP165">
        <v>3.16</v>
      </c>
    </row>
    <row r="166" spans="2:42">
      <c r="B166" s="5">
        <f t="shared" si="49"/>
        <v>45282</v>
      </c>
      <c r="C166" s="12" t="str">
        <f t="shared" si="50"/>
        <v xml:space="preserve">3.481 </v>
      </c>
      <c r="D166" s="12" t="str">
        <f t="shared" si="34"/>
        <v xml:space="preserve">3.506 </v>
      </c>
      <c r="E166" s="12" t="str">
        <f t="shared" si="35"/>
        <v xml:space="preserve">3.501 </v>
      </c>
      <c r="F166" s="12" t="str">
        <f t="shared" si="36"/>
        <v xml:space="preserve">3.460 </v>
      </c>
      <c r="G166" s="12" t="str">
        <f t="shared" si="37"/>
        <v xml:space="preserve">3.425 </v>
      </c>
      <c r="H166" s="12" t="str">
        <f t="shared" si="38"/>
        <v xml:space="preserve">3.301 </v>
      </c>
      <c r="I166" s="12" t="str">
        <f t="shared" si="39"/>
        <v xml:space="preserve">3.275 </v>
      </c>
      <c r="J166" s="12" t="str">
        <f t="shared" si="40"/>
        <v xml:space="preserve">3.225 </v>
      </c>
      <c r="K166" s="12" t="str">
        <f t="shared" si="41"/>
        <v xml:space="preserve">3.289 </v>
      </c>
      <c r="L166" s="12" t="str">
        <f t="shared" si="42"/>
        <v xml:space="preserve">3.243 </v>
      </c>
      <c r="M166" s="12" t="str">
        <f t="shared" si="43"/>
        <v xml:space="preserve">3.325 </v>
      </c>
      <c r="N166" s="12" t="str">
        <f t="shared" si="44"/>
        <v xml:space="preserve">3.291 </v>
      </c>
      <c r="O166" s="12" t="str">
        <f t="shared" si="45"/>
        <v xml:space="preserve">3.280 </v>
      </c>
      <c r="P166" s="12" t="str">
        <f t="shared" si="46"/>
        <v xml:space="preserve">3.241 </v>
      </c>
      <c r="Q166" s="12" t="str">
        <f t="shared" si="47"/>
        <v xml:space="preserve">3.209 </v>
      </c>
      <c r="R166" s="12" t="str">
        <f t="shared" si="48"/>
        <v xml:space="preserve">3.179 </v>
      </c>
      <c r="Z166" s="11">
        <v>45282</v>
      </c>
      <c r="AA166">
        <v>3.4809999999999999</v>
      </c>
      <c r="AB166">
        <v>3.5059999999999998</v>
      </c>
      <c r="AC166">
        <v>3.5009999999999999</v>
      </c>
      <c r="AD166">
        <v>3.46</v>
      </c>
      <c r="AE166">
        <v>3.4249999999999998</v>
      </c>
      <c r="AF166">
        <v>3.3010000000000002</v>
      </c>
      <c r="AG166">
        <v>3.2749999999999999</v>
      </c>
      <c r="AH166">
        <v>3.2250000000000001</v>
      </c>
      <c r="AI166">
        <v>3.2890000000000001</v>
      </c>
      <c r="AJ166">
        <v>3.2429999999999999</v>
      </c>
      <c r="AK166">
        <v>3.3250000000000002</v>
      </c>
      <c r="AL166">
        <v>3.2909999999999999</v>
      </c>
      <c r="AM166">
        <v>3.28</v>
      </c>
      <c r="AN166">
        <v>3.2410000000000001</v>
      </c>
      <c r="AO166">
        <v>3.2090000000000001</v>
      </c>
      <c r="AP166">
        <v>3.1789999999999998</v>
      </c>
    </row>
    <row r="167" spans="2:42">
      <c r="B167" s="5">
        <f t="shared" si="49"/>
        <v>45281</v>
      </c>
      <c r="C167" s="12" t="str">
        <f t="shared" si="50"/>
        <v xml:space="preserve">3.475 </v>
      </c>
      <c r="D167" s="12" t="str">
        <f t="shared" si="34"/>
        <v xml:space="preserve">3.525 </v>
      </c>
      <c r="E167" s="12" t="str">
        <f t="shared" si="35"/>
        <v xml:space="preserve">3.505 </v>
      </c>
      <c r="F167" s="12" t="str">
        <f t="shared" si="36"/>
        <v xml:space="preserve">3.456 </v>
      </c>
      <c r="G167" s="12" t="str">
        <f t="shared" si="37"/>
        <v xml:space="preserve">3.425 </v>
      </c>
      <c r="H167" s="12" t="str">
        <f t="shared" si="38"/>
        <v xml:space="preserve">3.320 </v>
      </c>
      <c r="I167" s="12" t="str">
        <f t="shared" si="39"/>
        <v xml:space="preserve">3.280 </v>
      </c>
      <c r="J167" s="12" t="str">
        <f t="shared" si="40"/>
        <v xml:space="preserve">3.233 </v>
      </c>
      <c r="K167" s="12" t="str">
        <f t="shared" si="41"/>
        <v xml:space="preserve">3.295 </v>
      </c>
      <c r="L167" s="12" t="str">
        <f t="shared" si="42"/>
        <v xml:space="preserve">3.251 </v>
      </c>
      <c r="M167" s="12" t="str">
        <f t="shared" si="43"/>
        <v xml:space="preserve">3.327 </v>
      </c>
      <c r="N167" s="12" t="str">
        <f t="shared" si="44"/>
        <v xml:space="preserve">3.292 </v>
      </c>
      <c r="O167" s="12" t="str">
        <f t="shared" si="45"/>
        <v xml:space="preserve">3.282 </v>
      </c>
      <c r="P167" s="12" t="str">
        <f t="shared" si="46"/>
        <v xml:space="preserve">3.250 </v>
      </c>
      <c r="Q167" s="12" t="str">
        <f t="shared" si="47"/>
        <v xml:space="preserve">3.227 </v>
      </c>
      <c r="R167" s="12" t="str">
        <f t="shared" si="48"/>
        <v xml:space="preserve">3.193 </v>
      </c>
      <c r="Z167" s="11">
        <v>45281</v>
      </c>
      <c r="AA167">
        <v>3.4750000000000001</v>
      </c>
      <c r="AB167">
        <v>3.5249999999999999</v>
      </c>
      <c r="AC167">
        <v>3.5049999999999999</v>
      </c>
      <c r="AD167">
        <v>3.456</v>
      </c>
      <c r="AE167">
        <v>3.4249999999999998</v>
      </c>
      <c r="AF167">
        <v>3.32</v>
      </c>
      <c r="AG167">
        <v>3.28</v>
      </c>
      <c r="AH167">
        <v>3.2330000000000001</v>
      </c>
      <c r="AI167">
        <v>3.2949999999999999</v>
      </c>
      <c r="AJ167">
        <v>3.2509999999999999</v>
      </c>
      <c r="AK167">
        <v>3.327</v>
      </c>
      <c r="AL167">
        <v>3.2919999999999998</v>
      </c>
      <c r="AM167">
        <v>3.282</v>
      </c>
      <c r="AN167">
        <v>3.25</v>
      </c>
      <c r="AO167">
        <v>3.2269999999999999</v>
      </c>
      <c r="AP167">
        <v>3.1930000000000001</v>
      </c>
    </row>
    <row r="168" spans="2:42">
      <c r="B168" s="5">
        <f t="shared" si="49"/>
        <v>45280</v>
      </c>
      <c r="C168" s="12" t="str">
        <f t="shared" si="50"/>
        <v xml:space="preserve">3.480 </v>
      </c>
      <c r="D168" s="12" t="str">
        <f t="shared" si="34"/>
        <v xml:space="preserve">3.520 </v>
      </c>
      <c r="E168" s="12" t="str">
        <f t="shared" si="35"/>
        <v xml:space="preserve">3.505 </v>
      </c>
      <c r="F168" s="12" t="str">
        <f t="shared" si="36"/>
        <v xml:space="preserve">3.451 </v>
      </c>
      <c r="G168" s="12" t="str">
        <f t="shared" si="37"/>
        <v xml:space="preserve">3.413 </v>
      </c>
      <c r="H168" s="12" t="str">
        <f t="shared" si="38"/>
        <v xml:space="preserve">3.320 </v>
      </c>
      <c r="I168" s="12" t="str">
        <f t="shared" si="39"/>
        <v xml:space="preserve">3.280 </v>
      </c>
      <c r="J168" s="12" t="str">
        <f t="shared" si="40"/>
        <v xml:space="preserve">3.223 </v>
      </c>
      <c r="K168" s="12" t="str">
        <f t="shared" si="41"/>
        <v xml:space="preserve">3.295 </v>
      </c>
      <c r="L168" s="12" t="str">
        <f t="shared" si="42"/>
        <v xml:space="preserve">3.245 </v>
      </c>
      <c r="M168" s="12" t="str">
        <f t="shared" si="43"/>
        <v xml:space="preserve">3.314 </v>
      </c>
      <c r="N168" s="12" t="str">
        <f t="shared" si="44"/>
        <v xml:space="preserve">3.277 </v>
      </c>
      <c r="O168" s="12" t="str">
        <f t="shared" si="45"/>
        <v xml:space="preserve">3.266 </v>
      </c>
      <c r="P168" s="12" t="str">
        <f t="shared" si="46"/>
        <v xml:space="preserve">3.232 </v>
      </c>
      <c r="Q168" s="12" t="str">
        <f t="shared" si="47"/>
        <v xml:space="preserve">3.202 </v>
      </c>
      <c r="R168" s="12" t="str">
        <f t="shared" si="48"/>
        <v xml:space="preserve">3.164 </v>
      </c>
      <c r="Z168" s="11">
        <v>45280</v>
      </c>
      <c r="AA168">
        <v>3.48</v>
      </c>
      <c r="AB168">
        <v>3.52</v>
      </c>
      <c r="AC168">
        <v>3.5049999999999999</v>
      </c>
      <c r="AD168">
        <v>3.4510000000000001</v>
      </c>
      <c r="AE168">
        <v>3.4129999999999998</v>
      </c>
      <c r="AF168">
        <v>3.32</v>
      </c>
      <c r="AG168">
        <v>3.28</v>
      </c>
      <c r="AH168">
        <v>3.2229999999999999</v>
      </c>
      <c r="AI168">
        <v>3.2949999999999999</v>
      </c>
      <c r="AJ168">
        <v>3.2450000000000001</v>
      </c>
      <c r="AK168">
        <v>3.3140000000000001</v>
      </c>
      <c r="AL168">
        <v>3.2770000000000001</v>
      </c>
      <c r="AM168">
        <v>3.266</v>
      </c>
      <c r="AN168">
        <v>3.2320000000000002</v>
      </c>
      <c r="AO168">
        <v>3.202</v>
      </c>
      <c r="AP168">
        <v>3.1640000000000001</v>
      </c>
    </row>
    <row r="169" spans="2:42">
      <c r="B169" s="5">
        <f t="shared" si="49"/>
        <v>45279</v>
      </c>
      <c r="C169" s="12" t="str">
        <f t="shared" si="50"/>
        <v xml:space="preserve">3.480 </v>
      </c>
      <c r="D169" s="12" t="str">
        <f t="shared" si="34"/>
        <v xml:space="preserve">3.521 </v>
      </c>
      <c r="E169" s="12" t="str">
        <f t="shared" si="35"/>
        <v xml:space="preserve">3.510 </v>
      </c>
      <c r="F169" s="12" t="str">
        <f t="shared" si="36"/>
        <v xml:space="preserve">3.472 </v>
      </c>
      <c r="G169" s="12" t="str">
        <f t="shared" si="37"/>
        <v xml:space="preserve">3.438 </v>
      </c>
      <c r="H169" s="12" t="str">
        <f t="shared" si="38"/>
        <v xml:space="preserve">3.369 </v>
      </c>
      <c r="I169" s="12" t="str">
        <f t="shared" si="39"/>
        <v xml:space="preserve">3.329 </v>
      </c>
      <c r="J169" s="12" t="str">
        <f t="shared" si="40"/>
        <v xml:space="preserve">3.274 </v>
      </c>
      <c r="K169" s="12" t="str">
        <f t="shared" si="41"/>
        <v xml:space="preserve">3.346 </v>
      </c>
      <c r="L169" s="12" t="str">
        <f t="shared" si="42"/>
        <v xml:space="preserve">3.295 </v>
      </c>
      <c r="M169" s="12" t="str">
        <f t="shared" si="43"/>
        <v xml:space="preserve">3.351 </v>
      </c>
      <c r="N169" s="12" t="str">
        <f t="shared" si="44"/>
        <v xml:space="preserve">3.305 </v>
      </c>
      <c r="O169" s="12" t="str">
        <f t="shared" si="45"/>
        <v xml:space="preserve">3.284 </v>
      </c>
      <c r="P169" s="12" t="str">
        <f t="shared" si="46"/>
        <v xml:space="preserve">3.240 </v>
      </c>
      <c r="Q169" s="12" t="str">
        <f t="shared" si="47"/>
        <v xml:space="preserve">3.225 </v>
      </c>
      <c r="R169" s="12" t="str">
        <f t="shared" si="48"/>
        <v xml:space="preserve">3.185 </v>
      </c>
      <c r="Z169" s="11">
        <v>45279</v>
      </c>
      <c r="AA169">
        <v>3.48</v>
      </c>
      <c r="AB169">
        <v>3.5209999999999999</v>
      </c>
      <c r="AC169">
        <v>3.51</v>
      </c>
      <c r="AD169">
        <v>3.472</v>
      </c>
      <c r="AE169">
        <v>3.4380000000000002</v>
      </c>
      <c r="AF169">
        <v>3.3690000000000002</v>
      </c>
      <c r="AG169">
        <v>3.3290000000000002</v>
      </c>
      <c r="AH169">
        <v>3.274</v>
      </c>
      <c r="AI169">
        <v>3.3460000000000001</v>
      </c>
      <c r="AJ169">
        <v>3.2949999999999999</v>
      </c>
      <c r="AK169">
        <v>3.351</v>
      </c>
      <c r="AL169">
        <v>3.3050000000000002</v>
      </c>
      <c r="AM169">
        <v>3.2839999999999998</v>
      </c>
      <c r="AN169">
        <v>3.24</v>
      </c>
      <c r="AO169">
        <v>3.2250000000000001</v>
      </c>
      <c r="AP169">
        <v>3.1850000000000001</v>
      </c>
    </row>
    <row r="170" spans="2:42">
      <c r="B170" s="5">
        <f t="shared" si="49"/>
        <v>45278</v>
      </c>
      <c r="C170" s="12" t="str">
        <f t="shared" si="50"/>
        <v xml:space="preserve">3.468 </v>
      </c>
      <c r="D170" s="12" t="str">
        <f t="shared" si="34"/>
        <v xml:space="preserve">3.520 </v>
      </c>
      <c r="E170" s="12" t="str">
        <f t="shared" si="35"/>
        <v xml:space="preserve">3.508 </v>
      </c>
      <c r="F170" s="12" t="str">
        <f t="shared" si="36"/>
        <v xml:space="preserve">3.474 </v>
      </c>
      <c r="G170" s="12" t="str">
        <f t="shared" si="37"/>
        <v xml:space="preserve">3.430 </v>
      </c>
      <c r="H170" s="12" t="str">
        <f t="shared" si="38"/>
        <v xml:space="preserve">3.365 </v>
      </c>
      <c r="I170" s="12" t="str">
        <f t="shared" si="39"/>
        <v xml:space="preserve">3.325 </v>
      </c>
      <c r="J170" s="12" t="str">
        <f t="shared" si="40"/>
        <v xml:space="preserve">3.279 </v>
      </c>
      <c r="K170" s="12" t="str">
        <f t="shared" si="41"/>
        <v xml:space="preserve">3.357 </v>
      </c>
      <c r="L170" s="12" t="str">
        <f t="shared" si="42"/>
        <v xml:space="preserve">3.302 </v>
      </c>
      <c r="M170" s="12" t="str">
        <f t="shared" si="43"/>
        <v xml:space="preserve">3.370 </v>
      </c>
      <c r="N170" s="12" t="str">
        <f t="shared" si="44"/>
        <v xml:space="preserve">3.338 </v>
      </c>
      <c r="O170" s="12" t="str">
        <f t="shared" si="45"/>
        <v xml:space="preserve">3.308 </v>
      </c>
      <c r="P170" s="12" t="str">
        <f t="shared" si="46"/>
        <v xml:space="preserve">3.259 </v>
      </c>
      <c r="Q170" s="12" t="str">
        <f t="shared" si="47"/>
        <v xml:space="preserve">3.249 </v>
      </c>
      <c r="R170" s="12" t="str">
        <f t="shared" si="48"/>
        <v xml:space="preserve">3.209 </v>
      </c>
      <c r="Z170" s="11">
        <v>45278</v>
      </c>
      <c r="AA170">
        <v>3.468</v>
      </c>
      <c r="AB170">
        <v>3.52</v>
      </c>
      <c r="AC170">
        <v>3.508</v>
      </c>
      <c r="AD170">
        <v>3.4740000000000002</v>
      </c>
      <c r="AE170">
        <v>3.43</v>
      </c>
      <c r="AF170">
        <v>3.3650000000000002</v>
      </c>
      <c r="AG170">
        <v>3.3250000000000002</v>
      </c>
      <c r="AH170">
        <v>3.2789999999999999</v>
      </c>
      <c r="AI170">
        <v>3.3570000000000002</v>
      </c>
      <c r="AJ170">
        <v>3.302</v>
      </c>
      <c r="AK170">
        <v>3.37</v>
      </c>
      <c r="AL170">
        <v>3.3380000000000001</v>
      </c>
      <c r="AM170">
        <v>3.3079999999999998</v>
      </c>
      <c r="AN170">
        <v>3.2589999999999999</v>
      </c>
      <c r="AO170">
        <v>3.2490000000000001</v>
      </c>
      <c r="AP170">
        <v>3.2090000000000001</v>
      </c>
    </row>
    <row r="171" spans="2:42">
      <c r="B171" s="5">
        <f t="shared" si="49"/>
        <v>45275</v>
      </c>
      <c r="C171" s="12" t="str">
        <f t="shared" si="50"/>
        <v xml:space="preserve">3.465 </v>
      </c>
      <c r="D171" s="12" t="str">
        <f t="shared" si="34"/>
        <v xml:space="preserve">3.523 </v>
      </c>
      <c r="E171" s="12" t="str">
        <f t="shared" si="35"/>
        <v xml:space="preserve">3.513 </v>
      </c>
      <c r="F171" s="12" t="str">
        <f t="shared" si="36"/>
        <v xml:space="preserve">3.475 </v>
      </c>
      <c r="G171" s="12" t="str">
        <f t="shared" si="37"/>
        <v xml:space="preserve">3.431 </v>
      </c>
      <c r="H171" s="12" t="str">
        <f t="shared" si="38"/>
        <v xml:space="preserve">3.354 </v>
      </c>
      <c r="I171" s="12" t="str">
        <f t="shared" si="39"/>
        <v xml:space="preserve">3.315 </v>
      </c>
      <c r="J171" s="12" t="str">
        <f t="shared" si="40"/>
        <v xml:space="preserve">3.275 </v>
      </c>
      <c r="K171" s="12" t="str">
        <f t="shared" si="41"/>
        <v xml:space="preserve">3.355 </v>
      </c>
      <c r="L171" s="12" t="str">
        <f t="shared" si="42"/>
        <v xml:space="preserve">3.301 </v>
      </c>
      <c r="M171" s="12" t="str">
        <f t="shared" si="43"/>
        <v xml:space="preserve">3.378 </v>
      </c>
      <c r="N171" s="12" t="str">
        <f t="shared" si="44"/>
        <v xml:space="preserve">3.348 </v>
      </c>
      <c r="O171" s="12" t="str">
        <f t="shared" si="45"/>
        <v xml:space="preserve">3.324 </v>
      </c>
      <c r="P171" s="12" t="str">
        <f t="shared" si="46"/>
        <v xml:space="preserve">3.285 </v>
      </c>
      <c r="Q171" s="12" t="str">
        <f t="shared" si="47"/>
        <v xml:space="preserve">3.275 </v>
      </c>
      <c r="R171" s="12" t="str">
        <f t="shared" si="48"/>
        <v xml:space="preserve">3.235 </v>
      </c>
      <c r="Z171" s="11">
        <v>45275</v>
      </c>
      <c r="AA171">
        <v>3.4649999999999999</v>
      </c>
      <c r="AB171">
        <v>3.5230000000000001</v>
      </c>
      <c r="AC171">
        <v>3.5129999999999999</v>
      </c>
      <c r="AD171">
        <v>3.4750000000000001</v>
      </c>
      <c r="AE171">
        <v>3.431</v>
      </c>
      <c r="AF171">
        <v>3.3540000000000001</v>
      </c>
      <c r="AG171">
        <v>3.3149999999999999</v>
      </c>
      <c r="AH171">
        <v>3.2749999999999999</v>
      </c>
      <c r="AI171">
        <v>3.355</v>
      </c>
      <c r="AJ171">
        <v>3.3010000000000002</v>
      </c>
      <c r="AK171">
        <v>3.3780000000000001</v>
      </c>
      <c r="AL171">
        <v>3.3479999999999999</v>
      </c>
      <c r="AM171">
        <v>3.3239999999999998</v>
      </c>
      <c r="AN171">
        <v>3.2850000000000001</v>
      </c>
      <c r="AO171">
        <v>3.2749999999999999</v>
      </c>
      <c r="AP171">
        <v>3.2349999999999999</v>
      </c>
    </row>
    <row r="172" spans="2:42">
      <c r="B172" s="5">
        <f t="shared" si="49"/>
        <v>45274</v>
      </c>
      <c r="C172" s="12" t="str">
        <f t="shared" si="50"/>
        <v xml:space="preserve">3.450 </v>
      </c>
      <c r="D172" s="12" t="str">
        <f t="shared" si="34"/>
        <v xml:space="preserve">3.513 </v>
      </c>
      <c r="E172" s="12" t="str">
        <f t="shared" si="35"/>
        <v xml:space="preserve">3.503 </v>
      </c>
      <c r="F172" s="12" t="str">
        <f t="shared" si="36"/>
        <v xml:space="preserve">3.463 </v>
      </c>
      <c r="G172" s="12" t="str">
        <f t="shared" si="37"/>
        <v xml:space="preserve">3.403 </v>
      </c>
      <c r="H172" s="12" t="str">
        <f t="shared" si="38"/>
        <v xml:space="preserve">3.323 </v>
      </c>
      <c r="I172" s="12" t="str">
        <f t="shared" si="39"/>
        <v xml:space="preserve">3.270 </v>
      </c>
      <c r="J172" s="12" t="str">
        <f t="shared" si="40"/>
        <v xml:space="preserve">3.237 </v>
      </c>
      <c r="K172" s="12" t="str">
        <f t="shared" si="41"/>
        <v xml:space="preserve">3.310 </v>
      </c>
      <c r="L172" s="12" t="str">
        <f t="shared" si="42"/>
        <v xml:space="preserve">3.260 </v>
      </c>
      <c r="M172" s="12" t="str">
        <f t="shared" si="43"/>
        <v xml:space="preserve">3.334 </v>
      </c>
      <c r="N172" s="12" t="str">
        <f t="shared" si="44"/>
        <v xml:space="preserve">3.301 </v>
      </c>
      <c r="O172" s="12" t="str">
        <f t="shared" si="45"/>
        <v xml:space="preserve">3.269 </v>
      </c>
      <c r="P172" s="12" t="str">
        <f t="shared" si="46"/>
        <v xml:space="preserve">3.220 </v>
      </c>
      <c r="Q172" s="12" t="str">
        <f t="shared" si="47"/>
        <v xml:space="preserve">3.210 </v>
      </c>
      <c r="R172" s="12" t="str">
        <f t="shared" si="48"/>
        <v xml:space="preserve">3.170 </v>
      </c>
      <c r="Z172" s="11">
        <v>45274</v>
      </c>
      <c r="AA172">
        <v>3.45</v>
      </c>
      <c r="AB172">
        <v>3.5129999999999999</v>
      </c>
      <c r="AC172">
        <v>3.5030000000000001</v>
      </c>
      <c r="AD172">
        <v>3.4630000000000001</v>
      </c>
      <c r="AE172">
        <v>3.403</v>
      </c>
      <c r="AF172">
        <v>3.323</v>
      </c>
      <c r="AG172">
        <v>3.27</v>
      </c>
      <c r="AH172">
        <v>3.2370000000000001</v>
      </c>
      <c r="AI172">
        <v>3.31</v>
      </c>
      <c r="AJ172">
        <v>3.26</v>
      </c>
      <c r="AK172">
        <v>3.3340000000000001</v>
      </c>
      <c r="AL172">
        <v>3.3010000000000002</v>
      </c>
      <c r="AM172">
        <v>3.2690000000000001</v>
      </c>
      <c r="AN172">
        <v>3.22</v>
      </c>
      <c r="AO172">
        <v>3.21</v>
      </c>
      <c r="AP172">
        <v>3.17</v>
      </c>
    </row>
    <row r="173" spans="2:42">
      <c r="B173" s="5">
        <f t="shared" si="49"/>
        <v>45273</v>
      </c>
      <c r="C173" s="12" t="str">
        <f t="shared" si="50"/>
        <v xml:space="preserve">3.513 </v>
      </c>
      <c r="D173" s="12" t="str">
        <f t="shared" si="34"/>
        <v xml:space="preserve">3.583 </v>
      </c>
      <c r="E173" s="12" t="str">
        <f t="shared" si="35"/>
        <v xml:space="preserve">3.586 </v>
      </c>
      <c r="F173" s="12" t="str">
        <f t="shared" si="36"/>
        <v xml:space="preserve">3.586 </v>
      </c>
      <c r="G173" s="12" t="str">
        <f t="shared" si="37"/>
        <v xml:space="preserve">3.586 </v>
      </c>
      <c r="H173" s="12" t="str">
        <f t="shared" si="38"/>
        <v xml:space="preserve">3.538 </v>
      </c>
      <c r="I173" s="12" t="str">
        <f t="shared" si="39"/>
        <v xml:space="preserve">3.501 </v>
      </c>
      <c r="J173" s="12" t="str">
        <f t="shared" si="40"/>
        <v xml:space="preserve">3.460 </v>
      </c>
      <c r="K173" s="12" t="str">
        <f t="shared" si="41"/>
        <v xml:space="preserve">3.524 </v>
      </c>
      <c r="L173" s="12" t="str">
        <f t="shared" si="42"/>
        <v xml:space="preserve">3.495 </v>
      </c>
      <c r="M173" s="12" t="str">
        <f t="shared" si="43"/>
        <v xml:space="preserve">3.562 </v>
      </c>
      <c r="N173" s="12" t="str">
        <f t="shared" si="44"/>
        <v xml:space="preserve">3.526 </v>
      </c>
      <c r="O173" s="12" t="str">
        <f t="shared" si="45"/>
        <v xml:space="preserve">3.465 </v>
      </c>
      <c r="P173" s="12" t="str">
        <f t="shared" si="46"/>
        <v xml:space="preserve">3.395 </v>
      </c>
      <c r="Q173" s="12" t="str">
        <f t="shared" si="47"/>
        <v xml:space="preserve">3.379 </v>
      </c>
      <c r="R173" s="12" t="str">
        <f t="shared" si="48"/>
        <v xml:space="preserve">3.339 </v>
      </c>
      <c r="Z173" s="11">
        <v>45273</v>
      </c>
      <c r="AA173">
        <v>3.5129999999999999</v>
      </c>
      <c r="AB173">
        <v>3.5830000000000002</v>
      </c>
      <c r="AC173">
        <v>3.5859999999999999</v>
      </c>
      <c r="AD173">
        <v>3.5859999999999999</v>
      </c>
      <c r="AE173">
        <v>3.5859999999999999</v>
      </c>
      <c r="AF173">
        <v>3.5379999999999998</v>
      </c>
      <c r="AG173">
        <v>3.5009999999999999</v>
      </c>
      <c r="AH173">
        <v>3.46</v>
      </c>
      <c r="AI173">
        <v>3.524</v>
      </c>
      <c r="AJ173">
        <v>3.4950000000000001</v>
      </c>
      <c r="AK173">
        <v>3.5619999999999998</v>
      </c>
      <c r="AL173">
        <v>3.5259999999999998</v>
      </c>
      <c r="AM173">
        <v>3.4649999999999999</v>
      </c>
      <c r="AN173">
        <v>3.395</v>
      </c>
      <c r="AO173">
        <v>3.379</v>
      </c>
      <c r="AP173">
        <v>3.339</v>
      </c>
    </row>
    <row r="174" spans="2:42">
      <c r="B174" s="5">
        <f t="shared" si="49"/>
        <v>45272</v>
      </c>
      <c r="C174" s="12" t="str">
        <f t="shared" si="50"/>
        <v xml:space="preserve">3.505 </v>
      </c>
      <c r="D174" s="12" t="str">
        <f t="shared" si="34"/>
        <v xml:space="preserve">3.580 </v>
      </c>
      <c r="E174" s="12" t="str">
        <f t="shared" si="35"/>
        <v xml:space="preserve">3.576 </v>
      </c>
      <c r="F174" s="12" t="str">
        <f t="shared" si="36"/>
        <v xml:space="preserve">3.578 </v>
      </c>
      <c r="G174" s="12" t="str">
        <f t="shared" si="37"/>
        <v xml:space="preserve">3.575 </v>
      </c>
      <c r="H174" s="12" t="str">
        <f t="shared" si="38"/>
        <v xml:space="preserve">3.525 </v>
      </c>
      <c r="I174" s="12" t="str">
        <f t="shared" si="39"/>
        <v xml:space="preserve">3.481 </v>
      </c>
      <c r="J174" s="12" t="str">
        <f t="shared" si="40"/>
        <v xml:space="preserve">3.447 </v>
      </c>
      <c r="K174" s="12" t="str">
        <f t="shared" si="41"/>
        <v xml:space="preserve">3.511 </v>
      </c>
      <c r="L174" s="12" t="str">
        <f t="shared" si="42"/>
        <v xml:space="preserve">3.485 </v>
      </c>
      <c r="M174" s="12" t="str">
        <f t="shared" si="43"/>
        <v xml:space="preserve">3.558 </v>
      </c>
      <c r="N174" s="12" t="str">
        <f t="shared" si="44"/>
        <v xml:space="preserve">3.530 </v>
      </c>
      <c r="O174" s="12" t="str">
        <f t="shared" si="45"/>
        <v xml:space="preserve">3.492 </v>
      </c>
      <c r="P174" s="12" t="str">
        <f t="shared" si="46"/>
        <v xml:space="preserve">3.442 </v>
      </c>
      <c r="Q174" s="12" t="str">
        <f t="shared" si="47"/>
        <v xml:space="preserve">3.432 </v>
      </c>
      <c r="R174" s="12" t="str">
        <f t="shared" si="48"/>
        <v xml:space="preserve">3.392 </v>
      </c>
      <c r="Z174" s="11">
        <v>45272</v>
      </c>
      <c r="AA174">
        <v>3.5049999999999999</v>
      </c>
      <c r="AB174">
        <v>3.58</v>
      </c>
      <c r="AC174">
        <v>3.5760000000000001</v>
      </c>
      <c r="AD174">
        <v>3.5779999999999998</v>
      </c>
      <c r="AE174">
        <v>3.5750000000000002</v>
      </c>
      <c r="AF174">
        <v>3.5249999999999999</v>
      </c>
      <c r="AG174">
        <v>3.4809999999999999</v>
      </c>
      <c r="AH174">
        <v>3.4470000000000001</v>
      </c>
      <c r="AI174">
        <v>3.5110000000000001</v>
      </c>
      <c r="AJ174">
        <v>3.4849999999999999</v>
      </c>
      <c r="AK174">
        <v>3.5579999999999998</v>
      </c>
      <c r="AL174">
        <v>3.53</v>
      </c>
      <c r="AM174">
        <v>3.492</v>
      </c>
      <c r="AN174">
        <v>3.4420000000000002</v>
      </c>
      <c r="AO174">
        <v>3.4319999999999999</v>
      </c>
      <c r="AP174">
        <v>3.3919999999999999</v>
      </c>
    </row>
    <row r="175" spans="2:42">
      <c r="B175" s="5">
        <f t="shared" si="49"/>
        <v>45271</v>
      </c>
      <c r="C175" s="12" t="str">
        <f t="shared" si="50"/>
        <v xml:space="preserve">3.525 </v>
      </c>
      <c r="D175" s="12" t="str">
        <f t="shared" si="34"/>
        <v xml:space="preserve">3.576 </v>
      </c>
      <c r="E175" s="12" t="str">
        <f t="shared" si="35"/>
        <v xml:space="preserve">3.575 </v>
      </c>
      <c r="F175" s="12" t="str">
        <f t="shared" si="36"/>
        <v xml:space="preserve">3.573 </v>
      </c>
      <c r="G175" s="12" t="str">
        <f t="shared" si="37"/>
        <v xml:space="preserve">3.593 </v>
      </c>
      <c r="H175" s="12" t="str">
        <f t="shared" si="38"/>
        <v xml:space="preserve">3.555 </v>
      </c>
      <c r="I175" s="12" t="str">
        <f t="shared" si="39"/>
        <v xml:space="preserve">3.515 </v>
      </c>
      <c r="J175" s="12" t="str">
        <f t="shared" si="40"/>
        <v xml:space="preserve">3.470 </v>
      </c>
      <c r="K175" s="12" t="str">
        <f t="shared" si="41"/>
        <v xml:space="preserve">3.540 </v>
      </c>
      <c r="L175" s="12" t="str">
        <f t="shared" si="42"/>
        <v xml:space="preserve">3.515 </v>
      </c>
      <c r="M175" s="12" t="str">
        <f t="shared" si="43"/>
        <v xml:space="preserve">3.588 </v>
      </c>
      <c r="N175" s="12" t="str">
        <f t="shared" si="44"/>
        <v xml:space="preserve">3.560 </v>
      </c>
      <c r="O175" s="12" t="str">
        <f t="shared" si="45"/>
        <v xml:space="preserve">3.531 </v>
      </c>
      <c r="P175" s="12" t="str">
        <f t="shared" si="46"/>
        <v xml:space="preserve">3.491 </v>
      </c>
      <c r="Q175" s="12" t="str">
        <f t="shared" si="47"/>
        <v xml:space="preserve">3.477 </v>
      </c>
      <c r="R175" s="12" t="str">
        <f t="shared" si="48"/>
        <v xml:space="preserve">3.437 </v>
      </c>
      <c r="Z175" s="11">
        <v>45271</v>
      </c>
      <c r="AA175">
        <v>3.5249999999999999</v>
      </c>
      <c r="AB175">
        <v>3.5760000000000001</v>
      </c>
      <c r="AC175">
        <v>3.5750000000000002</v>
      </c>
      <c r="AD175">
        <v>3.573</v>
      </c>
      <c r="AE175">
        <v>3.593</v>
      </c>
      <c r="AF175">
        <v>3.5550000000000002</v>
      </c>
      <c r="AG175">
        <v>3.5150000000000001</v>
      </c>
      <c r="AH175">
        <v>3.47</v>
      </c>
      <c r="AI175">
        <v>3.54</v>
      </c>
      <c r="AJ175">
        <v>3.5150000000000001</v>
      </c>
      <c r="AK175">
        <v>3.5880000000000001</v>
      </c>
      <c r="AL175">
        <v>3.56</v>
      </c>
      <c r="AM175">
        <v>3.5310000000000001</v>
      </c>
      <c r="AN175">
        <v>3.4910000000000001</v>
      </c>
      <c r="AO175">
        <v>3.4769999999999999</v>
      </c>
      <c r="AP175">
        <v>3.4369999999999998</v>
      </c>
    </row>
    <row r="176" spans="2:42">
      <c r="B176" s="5">
        <f t="shared" si="49"/>
        <v>45268</v>
      </c>
      <c r="C176" s="12" t="str">
        <f t="shared" si="50"/>
        <v xml:space="preserve">3.411 </v>
      </c>
      <c r="D176" s="12" t="str">
        <f t="shared" si="34"/>
        <v xml:space="preserve">3.580 </v>
      </c>
      <c r="E176" s="12" t="str">
        <f t="shared" si="35"/>
        <v xml:space="preserve">3.572 </v>
      </c>
      <c r="F176" s="12" t="str">
        <f t="shared" si="36"/>
        <v xml:space="preserve">3.558 </v>
      </c>
      <c r="G176" s="12" t="str">
        <f t="shared" si="37"/>
        <v xml:space="preserve">3.561 </v>
      </c>
      <c r="H176" s="12" t="str">
        <f t="shared" si="38"/>
        <v xml:space="preserve">3.516 </v>
      </c>
      <c r="I176" s="12" t="str">
        <f t="shared" si="39"/>
        <v xml:space="preserve">3.470 </v>
      </c>
      <c r="J176" s="12" t="str">
        <f t="shared" si="40"/>
        <v xml:space="preserve">3.460 </v>
      </c>
      <c r="K176" s="12" t="str">
        <f t="shared" si="41"/>
        <v xml:space="preserve">3.486 </v>
      </c>
      <c r="L176" s="12" t="str">
        <f t="shared" si="42"/>
        <v xml:space="preserve">3.460 </v>
      </c>
      <c r="M176" s="12" t="str">
        <f t="shared" si="43"/>
        <v xml:space="preserve">3.527 </v>
      </c>
      <c r="N176" s="12" t="str">
        <f t="shared" si="44"/>
        <v xml:space="preserve">3.534 </v>
      </c>
      <c r="O176" s="12" t="str">
        <f t="shared" si="45"/>
        <v xml:space="preserve">3.487 </v>
      </c>
      <c r="P176" s="12" t="str">
        <f t="shared" si="46"/>
        <v xml:space="preserve">3.452 </v>
      </c>
      <c r="Q176" s="12" t="str">
        <f t="shared" si="47"/>
        <v xml:space="preserve">3.440 </v>
      </c>
      <c r="R176" s="12" t="str">
        <f t="shared" si="48"/>
        <v xml:space="preserve">3.400 </v>
      </c>
      <c r="Z176" s="11">
        <v>45268</v>
      </c>
      <c r="AA176">
        <v>3.411</v>
      </c>
      <c r="AB176">
        <v>3.58</v>
      </c>
      <c r="AC176">
        <v>3.5720000000000001</v>
      </c>
      <c r="AD176">
        <v>3.5579999999999998</v>
      </c>
      <c r="AE176">
        <v>3.5609999999999999</v>
      </c>
      <c r="AF176">
        <v>3.516</v>
      </c>
      <c r="AG176">
        <v>3.47</v>
      </c>
      <c r="AH176">
        <v>3.46</v>
      </c>
      <c r="AI176">
        <v>3.4860000000000002</v>
      </c>
      <c r="AJ176">
        <v>3.46</v>
      </c>
      <c r="AK176">
        <v>3.5270000000000001</v>
      </c>
      <c r="AL176">
        <v>3.5339999999999998</v>
      </c>
      <c r="AM176">
        <v>3.4870000000000001</v>
      </c>
      <c r="AN176">
        <v>3.452</v>
      </c>
      <c r="AO176">
        <v>3.44</v>
      </c>
      <c r="AP176">
        <v>3.4</v>
      </c>
    </row>
    <row r="177" spans="2:42">
      <c r="B177" s="5">
        <f t="shared" si="49"/>
        <v>45267</v>
      </c>
      <c r="C177" s="12" t="str">
        <f t="shared" si="50"/>
        <v xml:space="preserve">3.396 </v>
      </c>
      <c r="D177" s="12" t="str">
        <f t="shared" si="34"/>
        <v xml:space="preserve">3.586 </v>
      </c>
      <c r="E177" s="12" t="str">
        <f t="shared" si="35"/>
        <v xml:space="preserve">3.580 </v>
      </c>
      <c r="F177" s="12" t="str">
        <f t="shared" si="36"/>
        <v xml:space="preserve">3.568 </v>
      </c>
      <c r="G177" s="12" t="str">
        <f t="shared" si="37"/>
        <v xml:space="preserve">3.580 </v>
      </c>
      <c r="H177" s="12" t="str">
        <f t="shared" si="38"/>
        <v xml:space="preserve">3.545 </v>
      </c>
      <c r="I177" s="12" t="str">
        <f t="shared" si="39"/>
        <v xml:space="preserve">3.503 </v>
      </c>
      <c r="J177" s="12" t="str">
        <f t="shared" si="40"/>
        <v xml:space="preserve">3.505 </v>
      </c>
      <c r="K177" s="12" t="str">
        <f t="shared" si="41"/>
        <v xml:space="preserve">3.541 </v>
      </c>
      <c r="L177" s="12" t="str">
        <f t="shared" si="42"/>
        <v xml:space="preserve">3.520 </v>
      </c>
      <c r="M177" s="12" t="str">
        <f t="shared" si="43"/>
        <v xml:space="preserve">3.577 </v>
      </c>
      <c r="N177" s="12" t="str">
        <f t="shared" si="44"/>
        <v xml:space="preserve">3.575 </v>
      </c>
      <c r="O177" s="12" t="str">
        <f t="shared" si="45"/>
        <v xml:space="preserve">3.520 </v>
      </c>
      <c r="P177" s="12" t="str">
        <f t="shared" si="46"/>
        <v xml:space="preserve">3.477 </v>
      </c>
      <c r="Q177" s="12" t="str">
        <f t="shared" si="47"/>
        <v xml:space="preserve">3.460 </v>
      </c>
      <c r="R177" s="12" t="str">
        <f t="shared" si="48"/>
        <v xml:space="preserve">3.420 </v>
      </c>
      <c r="Z177" s="11">
        <v>45267</v>
      </c>
      <c r="AA177">
        <v>3.3959999999999999</v>
      </c>
      <c r="AB177">
        <v>3.5859999999999999</v>
      </c>
      <c r="AC177">
        <v>3.58</v>
      </c>
      <c r="AD177">
        <v>3.5680000000000001</v>
      </c>
      <c r="AE177">
        <v>3.58</v>
      </c>
      <c r="AF177">
        <v>3.5449999999999999</v>
      </c>
      <c r="AG177">
        <v>3.5030000000000001</v>
      </c>
      <c r="AH177">
        <v>3.5049999999999999</v>
      </c>
      <c r="AI177">
        <v>3.5409999999999999</v>
      </c>
      <c r="AJ177">
        <v>3.52</v>
      </c>
      <c r="AK177">
        <v>3.577</v>
      </c>
      <c r="AL177">
        <v>3.5750000000000002</v>
      </c>
      <c r="AM177">
        <v>3.52</v>
      </c>
      <c r="AN177">
        <v>3.4769999999999999</v>
      </c>
      <c r="AO177">
        <v>3.46</v>
      </c>
      <c r="AP177">
        <v>3.42</v>
      </c>
    </row>
    <row r="178" spans="2:42">
      <c r="B178" s="5">
        <f t="shared" si="49"/>
        <v>45266</v>
      </c>
      <c r="C178" s="12" t="str">
        <f t="shared" si="50"/>
        <v xml:space="preserve">3.396 </v>
      </c>
      <c r="D178" s="12" t="str">
        <f t="shared" si="34"/>
        <v xml:space="preserve">3.593 </v>
      </c>
      <c r="E178" s="12" t="str">
        <f t="shared" si="35"/>
        <v xml:space="preserve">3.588 </v>
      </c>
      <c r="F178" s="12" t="str">
        <f t="shared" si="36"/>
        <v xml:space="preserve">3.561 </v>
      </c>
      <c r="G178" s="12" t="str">
        <f t="shared" si="37"/>
        <v xml:space="preserve">3.558 </v>
      </c>
      <c r="H178" s="12" t="str">
        <f t="shared" si="38"/>
        <v xml:space="preserve">3.522 </v>
      </c>
      <c r="I178" s="12" t="str">
        <f t="shared" si="39"/>
        <v xml:space="preserve">3.453 </v>
      </c>
      <c r="J178" s="12" t="str">
        <f t="shared" si="40"/>
        <v xml:space="preserve">3.470 </v>
      </c>
      <c r="K178" s="12" t="str">
        <f t="shared" si="41"/>
        <v xml:space="preserve">3.499 </v>
      </c>
      <c r="L178" s="12" t="str">
        <f t="shared" si="42"/>
        <v xml:space="preserve">3.486 </v>
      </c>
      <c r="M178" s="12" t="str">
        <f t="shared" si="43"/>
        <v xml:space="preserve">3.543 </v>
      </c>
      <c r="N178" s="12" t="str">
        <f t="shared" si="44"/>
        <v xml:space="preserve">3.540 </v>
      </c>
      <c r="O178" s="12" t="str">
        <f t="shared" si="45"/>
        <v xml:space="preserve">3.487 </v>
      </c>
      <c r="P178" s="12" t="str">
        <f t="shared" si="46"/>
        <v xml:space="preserve">3.448 </v>
      </c>
      <c r="Q178" s="12" t="str">
        <f t="shared" si="47"/>
        <v xml:space="preserve">3.436 </v>
      </c>
      <c r="R178" s="12" t="str">
        <f t="shared" si="48"/>
        <v xml:space="preserve">3.396 </v>
      </c>
      <c r="Z178" s="11">
        <v>45266</v>
      </c>
      <c r="AA178">
        <v>3.3959999999999999</v>
      </c>
      <c r="AB178">
        <v>3.593</v>
      </c>
      <c r="AC178">
        <v>3.5880000000000001</v>
      </c>
      <c r="AD178">
        <v>3.5609999999999999</v>
      </c>
      <c r="AE178">
        <v>3.5579999999999998</v>
      </c>
      <c r="AF178">
        <v>3.5219999999999998</v>
      </c>
      <c r="AG178">
        <v>3.4529999999999998</v>
      </c>
      <c r="AH178">
        <v>3.47</v>
      </c>
      <c r="AI178">
        <v>3.4990000000000001</v>
      </c>
      <c r="AJ178">
        <v>3.4860000000000002</v>
      </c>
      <c r="AK178">
        <v>3.5430000000000001</v>
      </c>
      <c r="AL178">
        <v>3.54</v>
      </c>
      <c r="AM178">
        <v>3.4870000000000001</v>
      </c>
      <c r="AN178">
        <v>3.448</v>
      </c>
      <c r="AO178">
        <v>3.4359999999999999</v>
      </c>
      <c r="AP178">
        <v>3.3959999999999999</v>
      </c>
    </row>
    <row r="179" spans="2:42">
      <c r="B179" s="5">
        <f t="shared" si="49"/>
        <v>45265</v>
      </c>
      <c r="C179" s="12" t="str">
        <f t="shared" si="50"/>
        <v xml:space="preserve">3.396 </v>
      </c>
      <c r="D179" s="12" t="str">
        <f t="shared" si="34"/>
        <v xml:space="preserve">3.598 </v>
      </c>
      <c r="E179" s="12" t="str">
        <f t="shared" si="35"/>
        <v xml:space="preserve">3.595 </v>
      </c>
      <c r="F179" s="12" t="str">
        <f t="shared" si="36"/>
        <v xml:space="preserve">3.568 </v>
      </c>
      <c r="G179" s="12" t="str">
        <f t="shared" si="37"/>
        <v xml:space="preserve">3.567 </v>
      </c>
      <c r="H179" s="12" t="str">
        <f t="shared" si="38"/>
        <v xml:space="preserve">3.524 </v>
      </c>
      <c r="I179" s="12" t="str">
        <f t="shared" si="39"/>
        <v xml:space="preserve">3.470 </v>
      </c>
      <c r="J179" s="12" t="str">
        <f t="shared" si="40"/>
        <v xml:space="preserve">3.482 </v>
      </c>
      <c r="K179" s="12" t="str">
        <f t="shared" si="41"/>
        <v xml:space="preserve">3.527 </v>
      </c>
      <c r="L179" s="12" t="str">
        <f t="shared" si="42"/>
        <v xml:space="preserve">3.517 </v>
      </c>
      <c r="M179" s="12" t="str">
        <f t="shared" si="43"/>
        <v xml:space="preserve">3.575 </v>
      </c>
      <c r="N179" s="12" t="str">
        <f t="shared" si="44"/>
        <v xml:space="preserve">3.575 </v>
      </c>
      <c r="O179" s="12" t="str">
        <f t="shared" si="45"/>
        <v xml:space="preserve">3.525 </v>
      </c>
      <c r="P179" s="12" t="str">
        <f t="shared" si="46"/>
        <v xml:space="preserve">3.489 </v>
      </c>
      <c r="Q179" s="12" t="str">
        <f t="shared" si="47"/>
        <v xml:space="preserve">3.473 </v>
      </c>
      <c r="R179" s="12" t="str">
        <f t="shared" si="48"/>
        <v xml:space="preserve">3.433 </v>
      </c>
      <c r="Z179" s="11">
        <v>45265</v>
      </c>
      <c r="AA179">
        <v>3.3959999999999999</v>
      </c>
      <c r="AB179">
        <v>3.5979999999999999</v>
      </c>
      <c r="AC179">
        <v>3.5950000000000002</v>
      </c>
      <c r="AD179">
        <v>3.5680000000000001</v>
      </c>
      <c r="AE179">
        <v>3.5670000000000002</v>
      </c>
      <c r="AF179">
        <v>3.524</v>
      </c>
      <c r="AG179">
        <v>3.47</v>
      </c>
      <c r="AH179">
        <v>3.4820000000000002</v>
      </c>
      <c r="AI179">
        <v>3.5270000000000001</v>
      </c>
      <c r="AJ179">
        <v>3.5169999999999999</v>
      </c>
      <c r="AK179">
        <v>3.5750000000000002</v>
      </c>
      <c r="AL179">
        <v>3.5750000000000002</v>
      </c>
      <c r="AM179">
        <v>3.5249999999999999</v>
      </c>
      <c r="AN179">
        <v>3.4889999999999999</v>
      </c>
      <c r="AO179">
        <v>3.4729999999999999</v>
      </c>
      <c r="AP179">
        <v>3.4329999999999998</v>
      </c>
    </row>
    <row r="180" spans="2:42">
      <c r="B180" s="5">
        <f t="shared" si="49"/>
        <v>45264</v>
      </c>
      <c r="C180" s="12" t="str">
        <f t="shared" si="50"/>
        <v xml:space="preserve">3.398 </v>
      </c>
      <c r="D180" s="12" t="str">
        <f t="shared" si="34"/>
        <v xml:space="preserve">3.606 </v>
      </c>
      <c r="E180" s="12" t="str">
        <f t="shared" si="35"/>
        <v xml:space="preserve">3.613 </v>
      </c>
      <c r="F180" s="12" t="str">
        <f t="shared" si="36"/>
        <v xml:space="preserve">3.585 </v>
      </c>
      <c r="G180" s="12" t="str">
        <f t="shared" si="37"/>
        <v xml:space="preserve">3.589 </v>
      </c>
      <c r="H180" s="12" t="str">
        <f t="shared" si="38"/>
        <v xml:space="preserve">3.565 </v>
      </c>
      <c r="I180" s="12" t="str">
        <f t="shared" si="39"/>
        <v xml:space="preserve">3.516 </v>
      </c>
      <c r="J180" s="12" t="str">
        <f t="shared" si="40"/>
        <v xml:space="preserve">3.532 </v>
      </c>
      <c r="K180" s="12" t="str">
        <f t="shared" si="41"/>
        <v xml:space="preserve">3.573 </v>
      </c>
      <c r="L180" s="12" t="str">
        <f t="shared" si="42"/>
        <v xml:space="preserve">3.562 </v>
      </c>
      <c r="M180" s="12" t="str">
        <f t="shared" si="43"/>
        <v xml:space="preserve">3.621 </v>
      </c>
      <c r="N180" s="12" t="str">
        <f t="shared" si="44"/>
        <v xml:space="preserve">3.625 </v>
      </c>
      <c r="O180" s="12" t="str">
        <f t="shared" si="45"/>
        <v xml:space="preserve">3.569 </v>
      </c>
      <c r="P180" s="12" t="str">
        <f t="shared" si="46"/>
        <v xml:space="preserve">3.525 </v>
      </c>
      <c r="Q180" s="12" t="str">
        <f t="shared" si="47"/>
        <v xml:space="preserve">3.512 </v>
      </c>
      <c r="R180" s="12" t="str">
        <f t="shared" si="48"/>
        <v xml:space="preserve">3.472 </v>
      </c>
      <c r="Z180" s="11">
        <v>45264</v>
      </c>
      <c r="AA180">
        <v>3.3980000000000001</v>
      </c>
      <c r="AB180">
        <v>3.6059999999999999</v>
      </c>
      <c r="AC180">
        <v>3.613</v>
      </c>
      <c r="AD180">
        <v>3.585</v>
      </c>
      <c r="AE180">
        <v>3.589</v>
      </c>
      <c r="AF180">
        <v>3.5649999999999999</v>
      </c>
      <c r="AG180">
        <v>3.516</v>
      </c>
      <c r="AH180">
        <v>3.532</v>
      </c>
      <c r="AI180">
        <v>3.573</v>
      </c>
      <c r="AJ180">
        <v>3.5619999999999998</v>
      </c>
      <c r="AK180">
        <v>3.621</v>
      </c>
      <c r="AL180">
        <v>3.625</v>
      </c>
      <c r="AM180">
        <v>3.569</v>
      </c>
      <c r="AN180">
        <v>3.5249999999999999</v>
      </c>
      <c r="AO180">
        <v>3.512</v>
      </c>
      <c r="AP180">
        <v>3.472</v>
      </c>
    </row>
    <row r="181" spans="2:42">
      <c r="B181" s="5">
        <f t="shared" si="49"/>
        <v>45261</v>
      </c>
      <c r="C181" s="12" t="str">
        <f t="shared" si="50"/>
        <v xml:space="preserve">3.403 </v>
      </c>
      <c r="D181" s="12" t="str">
        <f t="shared" si="34"/>
        <v xml:space="preserve">3.608 </v>
      </c>
      <c r="E181" s="12" t="str">
        <f t="shared" si="35"/>
        <v xml:space="preserve">3.620 </v>
      </c>
      <c r="F181" s="12" t="str">
        <f t="shared" si="36"/>
        <v xml:space="preserve">3.610 </v>
      </c>
      <c r="G181" s="12" t="str">
        <f t="shared" si="37"/>
        <v xml:space="preserve">3.625 </v>
      </c>
      <c r="H181" s="12" t="str">
        <f t="shared" si="38"/>
        <v xml:space="preserve">3.601 </v>
      </c>
      <c r="I181" s="12" t="str">
        <f t="shared" si="39"/>
        <v xml:space="preserve">3.570 </v>
      </c>
      <c r="J181" s="12" t="str">
        <f t="shared" si="40"/>
        <v xml:space="preserve">3.585 </v>
      </c>
      <c r="K181" s="12" t="str">
        <f t="shared" si="41"/>
        <v xml:space="preserve">3.631 </v>
      </c>
      <c r="L181" s="12" t="str">
        <f t="shared" si="42"/>
        <v xml:space="preserve">3.620 </v>
      </c>
      <c r="M181" s="12" t="str">
        <f t="shared" si="43"/>
        <v xml:space="preserve">3.685 </v>
      </c>
      <c r="N181" s="12" t="str">
        <f t="shared" si="44"/>
        <v xml:space="preserve">3.700 </v>
      </c>
      <c r="O181" s="12" t="str">
        <f t="shared" si="45"/>
        <v xml:space="preserve">3.630 </v>
      </c>
      <c r="P181" s="12" t="str">
        <f t="shared" si="46"/>
        <v xml:space="preserve">3.577 </v>
      </c>
      <c r="Q181" s="12" t="str">
        <f t="shared" si="47"/>
        <v xml:space="preserve">3.560 </v>
      </c>
      <c r="R181" s="12" t="str">
        <f t="shared" si="48"/>
        <v xml:space="preserve">3.520 </v>
      </c>
      <c r="Z181" s="11">
        <v>45261</v>
      </c>
      <c r="AA181">
        <v>3.403</v>
      </c>
      <c r="AB181">
        <v>3.6080000000000001</v>
      </c>
      <c r="AC181">
        <v>3.62</v>
      </c>
      <c r="AD181">
        <v>3.61</v>
      </c>
      <c r="AE181">
        <v>3.625</v>
      </c>
      <c r="AF181">
        <v>3.601</v>
      </c>
      <c r="AG181">
        <v>3.57</v>
      </c>
      <c r="AH181">
        <v>3.585</v>
      </c>
      <c r="AI181">
        <v>3.6309999999999998</v>
      </c>
      <c r="AJ181">
        <v>3.62</v>
      </c>
      <c r="AK181">
        <v>3.6850000000000001</v>
      </c>
      <c r="AL181">
        <v>3.7</v>
      </c>
      <c r="AM181">
        <v>3.63</v>
      </c>
      <c r="AN181">
        <v>3.577</v>
      </c>
      <c r="AO181">
        <v>3.56</v>
      </c>
      <c r="AP181">
        <v>3.52</v>
      </c>
    </row>
    <row r="182" spans="2:42">
      <c r="B182" s="5">
        <f t="shared" si="49"/>
        <v>45260</v>
      </c>
      <c r="C182" s="12" t="str">
        <f t="shared" si="50"/>
        <v xml:space="preserve">3.413 </v>
      </c>
      <c r="D182" s="12" t="str">
        <f t="shared" si="34"/>
        <v xml:space="preserve">3.611 </v>
      </c>
      <c r="E182" s="12" t="str">
        <f t="shared" si="35"/>
        <v xml:space="preserve">3.629 </v>
      </c>
      <c r="F182" s="12" t="str">
        <f t="shared" si="36"/>
        <v xml:space="preserve">3.633 </v>
      </c>
      <c r="G182" s="12" t="str">
        <f t="shared" si="37"/>
        <v xml:space="preserve">3.631 </v>
      </c>
      <c r="H182" s="12" t="str">
        <f t="shared" si="38"/>
        <v xml:space="preserve">3.606 </v>
      </c>
      <c r="I182" s="12" t="str">
        <f t="shared" si="39"/>
        <v xml:space="preserve">3.575 </v>
      </c>
      <c r="J182" s="12" t="str">
        <f t="shared" si="40"/>
        <v xml:space="preserve">3.582 </v>
      </c>
      <c r="K182" s="12" t="str">
        <f t="shared" si="41"/>
        <v xml:space="preserve">3.632 </v>
      </c>
      <c r="L182" s="12" t="str">
        <f t="shared" si="42"/>
        <v xml:space="preserve">3.620 </v>
      </c>
      <c r="M182" s="12" t="str">
        <f t="shared" si="43"/>
        <v xml:space="preserve">3.685 </v>
      </c>
      <c r="N182" s="12" t="str">
        <f t="shared" si="44"/>
        <v xml:space="preserve">3.697 </v>
      </c>
      <c r="O182" s="12" t="str">
        <f t="shared" si="45"/>
        <v xml:space="preserve">3.637 </v>
      </c>
      <c r="P182" s="12" t="str">
        <f t="shared" si="46"/>
        <v xml:space="preserve">3.595 </v>
      </c>
      <c r="Q182" s="12" t="str">
        <f t="shared" si="47"/>
        <v xml:space="preserve">3.567 </v>
      </c>
      <c r="R182" s="12" t="str">
        <f t="shared" si="48"/>
        <v xml:space="preserve">3.527 </v>
      </c>
      <c r="Z182" s="11">
        <v>45260</v>
      </c>
      <c r="AA182">
        <v>3.4129999999999998</v>
      </c>
      <c r="AB182">
        <v>3.6110000000000002</v>
      </c>
      <c r="AC182">
        <v>3.629</v>
      </c>
      <c r="AD182">
        <v>3.633</v>
      </c>
      <c r="AE182">
        <v>3.6309999999999998</v>
      </c>
      <c r="AF182">
        <v>3.6059999999999999</v>
      </c>
      <c r="AG182">
        <v>3.5750000000000002</v>
      </c>
      <c r="AH182">
        <v>3.5819999999999999</v>
      </c>
      <c r="AI182">
        <v>3.6320000000000001</v>
      </c>
      <c r="AJ182">
        <v>3.62</v>
      </c>
      <c r="AK182">
        <v>3.6850000000000001</v>
      </c>
      <c r="AL182">
        <v>3.6970000000000001</v>
      </c>
      <c r="AM182">
        <v>3.637</v>
      </c>
      <c r="AN182">
        <v>3.5950000000000002</v>
      </c>
      <c r="AO182">
        <v>3.5670000000000002</v>
      </c>
      <c r="AP182">
        <v>3.5270000000000001</v>
      </c>
    </row>
    <row r="183" spans="2:42">
      <c r="B183" s="5">
        <f t="shared" si="49"/>
        <v>45259</v>
      </c>
      <c r="C183" s="12" t="str">
        <f t="shared" si="50"/>
        <v xml:space="preserve">3.396 </v>
      </c>
      <c r="D183" s="12" t="str">
        <f t="shared" si="34"/>
        <v xml:space="preserve">3.608 </v>
      </c>
      <c r="E183" s="12" t="str">
        <f t="shared" si="35"/>
        <v xml:space="preserve">3.625 </v>
      </c>
      <c r="F183" s="12" t="str">
        <f t="shared" si="36"/>
        <v xml:space="preserve">3.635 </v>
      </c>
      <c r="G183" s="12" t="str">
        <f t="shared" si="37"/>
        <v xml:space="preserve">3.628 </v>
      </c>
      <c r="H183" s="12" t="str">
        <f t="shared" si="38"/>
        <v xml:space="preserve">3.581 </v>
      </c>
      <c r="I183" s="12" t="str">
        <f t="shared" si="39"/>
        <v xml:space="preserve">3.546 </v>
      </c>
      <c r="J183" s="12" t="str">
        <f t="shared" si="40"/>
        <v xml:space="preserve">3.550 </v>
      </c>
      <c r="K183" s="12" t="str">
        <f t="shared" si="41"/>
        <v xml:space="preserve">3.594 </v>
      </c>
      <c r="L183" s="12" t="str">
        <f t="shared" si="42"/>
        <v xml:space="preserve">3.576 </v>
      </c>
      <c r="M183" s="12" t="str">
        <f t="shared" si="43"/>
        <v xml:space="preserve">3.634 </v>
      </c>
      <c r="N183" s="12" t="str">
        <f t="shared" si="44"/>
        <v xml:space="preserve">3.640 </v>
      </c>
      <c r="O183" s="12" t="str">
        <f t="shared" si="45"/>
        <v xml:space="preserve">3.586 </v>
      </c>
      <c r="P183" s="12" t="str">
        <f t="shared" si="46"/>
        <v xml:space="preserve">3.550 </v>
      </c>
      <c r="Q183" s="12" t="str">
        <f t="shared" si="47"/>
        <v xml:space="preserve">3.515 </v>
      </c>
      <c r="R183" s="12" t="str">
        <f t="shared" si="48"/>
        <v xml:space="preserve">3.475 </v>
      </c>
      <c r="Z183" s="11">
        <v>45259</v>
      </c>
      <c r="AA183">
        <v>3.3959999999999999</v>
      </c>
      <c r="AB183">
        <v>3.6080000000000001</v>
      </c>
      <c r="AC183">
        <v>3.625</v>
      </c>
      <c r="AD183">
        <v>3.6349999999999998</v>
      </c>
      <c r="AE183">
        <v>3.6280000000000001</v>
      </c>
      <c r="AF183">
        <v>3.581</v>
      </c>
      <c r="AG183">
        <v>3.5459999999999998</v>
      </c>
      <c r="AH183">
        <v>3.55</v>
      </c>
      <c r="AI183">
        <v>3.5939999999999999</v>
      </c>
      <c r="AJ183">
        <v>3.5760000000000001</v>
      </c>
      <c r="AK183">
        <v>3.6339999999999999</v>
      </c>
      <c r="AL183">
        <v>3.64</v>
      </c>
      <c r="AM183">
        <v>3.5859999999999999</v>
      </c>
      <c r="AN183">
        <v>3.55</v>
      </c>
      <c r="AO183">
        <v>3.5150000000000001</v>
      </c>
      <c r="AP183">
        <v>3.4750000000000001</v>
      </c>
    </row>
    <row r="184" spans="2:42">
      <c r="B184" s="5">
        <f t="shared" si="49"/>
        <v>45258</v>
      </c>
      <c r="C184" s="12" t="str">
        <f t="shared" si="50"/>
        <v xml:space="preserve">3.410 </v>
      </c>
      <c r="D184" s="12" t="str">
        <f t="shared" si="34"/>
        <v xml:space="preserve">3.626 </v>
      </c>
      <c r="E184" s="12" t="str">
        <f t="shared" si="35"/>
        <v xml:space="preserve">3.641 </v>
      </c>
      <c r="F184" s="12" t="str">
        <f t="shared" si="36"/>
        <v xml:space="preserve">3.693 </v>
      </c>
      <c r="G184" s="12" t="str">
        <f t="shared" si="37"/>
        <v xml:space="preserve">3.699 </v>
      </c>
      <c r="H184" s="12" t="str">
        <f t="shared" si="38"/>
        <v xml:space="preserve">3.684 </v>
      </c>
      <c r="I184" s="12" t="str">
        <f t="shared" si="39"/>
        <v xml:space="preserve">3.650 </v>
      </c>
      <c r="J184" s="12" t="str">
        <f t="shared" si="40"/>
        <v xml:space="preserve">3.650 </v>
      </c>
      <c r="K184" s="12" t="str">
        <f t="shared" si="41"/>
        <v xml:space="preserve">3.685 </v>
      </c>
      <c r="L184" s="12" t="str">
        <f t="shared" si="42"/>
        <v xml:space="preserve">3.672 </v>
      </c>
      <c r="M184" s="12" t="str">
        <f t="shared" si="43"/>
        <v xml:space="preserve">3.729 </v>
      </c>
      <c r="N184" s="12" t="str">
        <f t="shared" si="44"/>
        <v xml:space="preserve">3.735 </v>
      </c>
      <c r="O184" s="12" t="str">
        <f t="shared" si="45"/>
        <v xml:space="preserve">3.681 </v>
      </c>
      <c r="P184" s="12" t="str">
        <f t="shared" si="46"/>
        <v xml:space="preserve">3.645 </v>
      </c>
      <c r="Q184" s="12" t="str">
        <f t="shared" si="47"/>
        <v xml:space="preserve">3.609 </v>
      </c>
      <c r="R184" s="12" t="str">
        <f t="shared" si="48"/>
        <v xml:space="preserve">3.569 </v>
      </c>
      <c r="Z184" s="11">
        <v>45258</v>
      </c>
      <c r="AA184">
        <v>3.41</v>
      </c>
      <c r="AB184">
        <v>3.6259999999999999</v>
      </c>
      <c r="AC184">
        <v>3.641</v>
      </c>
      <c r="AD184">
        <v>3.6930000000000001</v>
      </c>
      <c r="AE184">
        <v>3.6989999999999998</v>
      </c>
      <c r="AF184">
        <v>3.6840000000000002</v>
      </c>
      <c r="AG184">
        <v>3.65</v>
      </c>
      <c r="AH184">
        <v>3.65</v>
      </c>
      <c r="AI184">
        <v>3.6850000000000001</v>
      </c>
      <c r="AJ184">
        <v>3.6720000000000002</v>
      </c>
      <c r="AK184">
        <v>3.7290000000000001</v>
      </c>
      <c r="AL184">
        <v>3.7349999999999999</v>
      </c>
      <c r="AM184">
        <v>3.681</v>
      </c>
      <c r="AN184">
        <v>3.645</v>
      </c>
      <c r="AO184">
        <v>3.609</v>
      </c>
      <c r="AP184">
        <v>3.569</v>
      </c>
    </row>
    <row r="185" spans="2:42">
      <c r="B185" s="5">
        <f t="shared" si="49"/>
        <v>45257</v>
      </c>
      <c r="C185" s="12" t="str">
        <f t="shared" si="50"/>
        <v xml:space="preserve">3.410 </v>
      </c>
      <c r="D185" s="12" t="str">
        <f t="shared" si="34"/>
        <v xml:space="preserve">3.628 </v>
      </c>
      <c r="E185" s="12" t="str">
        <f t="shared" si="35"/>
        <v xml:space="preserve">3.643 </v>
      </c>
      <c r="F185" s="12" t="str">
        <f t="shared" si="36"/>
        <v xml:space="preserve">3.711 </v>
      </c>
      <c r="G185" s="12" t="str">
        <f t="shared" si="37"/>
        <v xml:space="preserve">3.731 </v>
      </c>
      <c r="H185" s="12" t="str">
        <f t="shared" si="38"/>
        <v xml:space="preserve">3.725 </v>
      </c>
      <c r="I185" s="12" t="str">
        <f t="shared" si="39"/>
        <v xml:space="preserve">3.690 </v>
      </c>
      <c r="J185" s="12" t="str">
        <f t="shared" si="40"/>
        <v xml:space="preserve">3.687 </v>
      </c>
      <c r="K185" s="12" t="str">
        <f t="shared" si="41"/>
        <v xml:space="preserve">3.724 </v>
      </c>
      <c r="L185" s="12" t="str">
        <f t="shared" si="42"/>
        <v xml:space="preserve">3.715 </v>
      </c>
      <c r="M185" s="12" t="str">
        <f t="shared" si="43"/>
        <v xml:space="preserve">3.763 </v>
      </c>
      <c r="N185" s="12" t="str">
        <f t="shared" si="44"/>
        <v xml:space="preserve">3.762 </v>
      </c>
      <c r="O185" s="12" t="str">
        <f t="shared" si="45"/>
        <v xml:space="preserve">3.723 </v>
      </c>
      <c r="P185" s="12" t="str">
        <f t="shared" si="46"/>
        <v xml:space="preserve">3.702 </v>
      </c>
      <c r="Q185" s="12" t="str">
        <f t="shared" si="47"/>
        <v xml:space="preserve">3.667 </v>
      </c>
      <c r="R185" s="12" t="str">
        <f t="shared" si="48"/>
        <v xml:space="preserve">3.627 </v>
      </c>
      <c r="Z185" s="11">
        <v>45257</v>
      </c>
      <c r="AA185">
        <v>3.41</v>
      </c>
      <c r="AB185">
        <v>3.6280000000000001</v>
      </c>
      <c r="AC185">
        <v>3.6429999999999998</v>
      </c>
      <c r="AD185">
        <v>3.7109999999999999</v>
      </c>
      <c r="AE185">
        <v>3.7309999999999999</v>
      </c>
      <c r="AF185">
        <v>3.7250000000000001</v>
      </c>
      <c r="AG185">
        <v>3.69</v>
      </c>
      <c r="AH185">
        <v>3.6869999999999998</v>
      </c>
      <c r="AI185">
        <v>3.7240000000000002</v>
      </c>
      <c r="AJ185">
        <v>3.7149999999999999</v>
      </c>
      <c r="AK185">
        <v>3.7629999999999999</v>
      </c>
      <c r="AL185">
        <v>3.762</v>
      </c>
      <c r="AM185">
        <v>3.7229999999999999</v>
      </c>
      <c r="AN185">
        <v>3.702</v>
      </c>
      <c r="AO185">
        <v>3.6669999999999998</v>
      </c>
      <c r="AP185">
        <v>3.6269999999999998</v>
      </c>
    </row>
    <row r="186" spans="2:42">
      <c r="B186" s="5">
        <f t="shared" si="49"/>
        <v>45254</v>
      </c>
      <c r="C186" s="12" t="str">
        <f t="shared" si="50"/>
        <v xml:space="preserve">3.410 </v>
      </c>
      <c r="D186" s="12" t="str">
        <f t="shared" si="34"/>
        <v xml:space="preserve">3.631 </v>
      </c>
      <c r="E186" s="12" t="str">
        <f t="shared" si="35"/>
        <v xml:space="preserve">3.643 </v>
      </c>
      <c r="F186" s="12" t="str">
        <f t="shared" si="36"/>
        <v xml:space="preserve">3.711 </v>
      </c>
      <c r="G186" s="12" t="str">
        <f t="shared" si="37"/>
        <v xml:space="preserve">3.728 </v>
      </c>
      <c r="H186" s="12" t="str">
        <f t="shared" si="38"/>
        <v xml:space="preserve">3.716 </v>
      </c>
      <c r="I186" s="12" t="str">
        <f t="shared" si="39"/>
        <v xml:space="preserve">3.678 </v>
      </c>
      <c r="J186" s="12" t="str">
        <f t="shared" si="40"/>
        <v xml:space="preserve">3.674 </v>
      </c>
      <c r="K186" s="12" t="str">
        <f t="shared" si="41"/>
        <v xml:space="preserve">3.720 </v>
      </c>
      <c r="L186" s="12" t="str">
        <f t="shared" si="42"/>
        <v xml:space="preserve">3.720 </v>
      </c>
      <c r="M186" s="12" t="str">
        <f t="shared" si="43"/>
        <v xml:space="preserve">3.767 </v>
      </c>
      <c r="N186" s="12" t="str">
        <f t="shared" si="44"/>
        <v xml:space="preserve">3.775 </v>
      </c>
      <c r="O186" s="12" t="str">
        <f t="shared" si="45"/>
        <v xml:space="preserve">3.733 </v>
      </c>
      <c r="P186" s="12" t="str">
        <f t="shared" si="46"/>
        <v xml:space="preserve">3.710 </v>
      </c>
      <c r="Q186" s="12" t="str">
        <f t="shared" si="47"/>
        <v xml:space="preserve">3.670 </v>
      </c>
      <c r="R186" s="12" t="str">
        <f t="shared" si="48"/>
        <v xml:space="preserve">3.630 </v>
      </c>
      <c r="Z186" s="11">
        <v>45254</v>
      </c>
      <c r="AA186">
        <v>3.41</v>
      </c>
      <c r="AB186">
        <v>3.6309999999999998</v>
      </c>
      <c r="AC186">
        <v>3.6429999999999998</v>
      </c>
      <c r="AD186">
        <v>3.7109999999999999</v>
      </c>
      <c r="AE186">
        <v>3.7280000000000002</v>
      </c>
      <c r="AF186">
        <v>3.7160000000000002</v>
      </c>
      <c r="AG186">
        <v>3.6779999999999999</v>
      </c>
      <c r="AH186">
        <v>3.6739999999999999</v>
      </c>
      <c r="AI186">
        <v>3.72</v>
      </c>
      <c r="AJ186">
        <v>3.72</v>
      </c>
      <c r="AK186">
        <v>3.7669999999999999</v>
      </c>
      <c r="AL186">
        <v>3.7749999999999999</v>
      </c>
      <c r="AM186">
        <v>3.7330000000000001</v>
      </c>
      <c r="AN186">
        <v>3.71</v>
      </c>
      <c r="AO186">
        <v>3.67</v>
      </c>
      <c r="AP186">
        <v>3.63</v>
      </c>
    </row>
    <row r="187" spans="2:42">
      <c r="B187" s="5">
        <f t="shared" si="49"/>
        <v>45253</v>
      </c>
      <c r="C187" s="12" t="str">
        <f t="shared" si="50"/>
        <v xml:space="preserve">3.405 </v>
      </c>
      <c r="D187" s="12" t="str">
        <f t="shared" si="34"/>
        <v xml:space="preserve">3.621 </v>
      </c>
      <c r="E187" s="12" t="str">
        <f t="shared" si="35"/>
        <v xml:space="preserve">3.615 </v>
      </c>
      <c r="F187" s="12" t="str">
        <f t="shared" si="36"/>
        <v xml:space="preserve">3.693 </v>
      </c>
      <c r="G187" s="12" t="str">
        <f t="shared" si="37"/>
        <v xml:space="preserve">3.703 </v>
      </c>
      <c r="H187" s="12" t="str">
        <f t="shared" si="38"/>
        <v xml:space="preserve">3.695 </v>
      </c>
      <c r="I187" s="12" t="str">
        <f t="shared" si="39"/>
        <v xml:space="preserve">3.655 </v>
      </c>
      <c r="J187" s="12" t="str">
        <f t="shared" si="40"/>
        <v xml:space="preserve">3.642 </v>
      </c>
      <c r="K187" s="12" t="str">
        <f t="shared" si="41"/>
        <v xml:space="preserve">3.676 </v>
      </c>
      <c r="L187" s="12" t="str">
        <f t="shared" si="42"/>
        <v xml:space="preserve">3.675 </v>
      </c>
      <c r="M187" s="12" t="str">
        <f t="shared" si="43"/>
        <v xml:space="preserve">3.715 </v>
      </c>
      <c r="N187" s="12" t="str">
        <f t="shared" si="44"/>
        <v xml:space="preserve">3.710 </v>
      </c>
      <c r="O187" s="12" t="str">
        <f t="shared" si="45"/>
        <v xml:space="preserve">3.668 </v>
      </c>
      <c r="P187" s="12" t="str">
        <f t="shared" si="46"/>
        <v xml:space="preserve">3.645 </v>
      </c>
      <c r="Q187" s="12" t="str">
        <f t="shared" si="47"/>
        <v xml:space="preserve">3.605 </v>
      </c>
      <c r="R187" s="12" t="str">
        <f t="shared" si="48"/>
        <v xml:space="preserve">3.565 </v>
      </c>
      <c r="Z187" s="11">
        <v>45253</v>
      </c>
      <c r="AA187">
        <v>3.4049999999999998</v>
      </c>
      <c r="AB187">
        <v>3.621</v>
      </c>
      <c r="AC187">
        <v>3.6150000000000002</v>
      </c>
      <c r="AD187">
        <v>3.6930000000000001</v>
      </c>
      <c r="AE187">
        <v>3.7029999999999998</v>
      </c>
      <c r="AF187">
        <v>3.6949999999999998</v>
      </c>
      <c r="AG187">
        <v>3.6549999999999998</v>
      </c>
      <c r="AH187">
        <v>3.6419999999999999</v>
      </c>
      <c r="AI187">
        <v>3.6760000000000002</v>
      </c>
      <c r="AJ187">
        <v>3.6749999999999998</v>
      </c>
      <c r="AK187">
        <v>3.7149999999999999</v>
      </c>
      <c r="AL187">
        <v>3.71</v>
      </c>
      <c r="AM187">
        <v>3.6680000000000001</v>
      </c>
      <c r="AN187">
        <v>3.645</v>
      </c>
      <c r="AO187">
        <v>3.605</v>
      </c>
      <c r="AP187">
        <v>3.5649999999999999</v>
      </c>
    </row>
    <row r="188" spans="2:42">
      <c r="B188" s="5">
        <f t="shared" si="49"/>
        <v>45252</v>
      </c>
      <c r="C188" s="12" t="str">
        <f t="shared" si="50"/>
        <v xml:space="preserve">3.410 </v>
      </c>
      <c r="D188" s="12" t="str">
        <f t="shared" si="34"/>
        <v xml:space="preserve">3.626 </v>
      </c>
      <c r="E188" s="12" t="str">
        <f t="shared" si="35"/>
        <v xml:space="preserve">3.618 </v>
      </c>
      <c r="F188" s="12" t="str">
        <f t="shared" si="36"/>
        <v xml:space="preserve">3.705 </v>
      </c>
      <c r="G188" s="12" t="str">
        <f t="shared" si="37"/>
        <v xml:space="preserve">3.713 </v>
      </c>
      <c r="H188" s="12" t="str">
        <f t="shared" si="38"/>
        <v xml:space="preserve">3.714 </v>
      </c>
      <c r="I188" s="12" t="str">
        <f t="shared" si="39"/>
        <v xml:space="preserve">3.677 </v>
      </c>
      <c r="J188" s="12" t="str">
        <f t="shared" si="40"/>
        <v xml:space="preserve">3.665 </v>
      </c>
      <c r="K188" s="12" t="str">
        <f t="shared" si="41"/>
        <v xml:space="preserve">3.705 </v>
      </c>
      <c r="L188" s="12" t="str">
        <f t="shared" si="42"/>
        <v xml:space="preserve">3.705 </v>
      </c>
      <c r="M188" s="12" t="str">
        <f t="shared" si="43"/>
        <v xml:space="preserve">3.749 </v>
      </c>
      <c r="N188" s="12" t="str">
        <f t="shared" si="44"/>
        <v xml:space="preserve">3.760 </v>
      </c>
      <c r="O188" s="12" t="str">
        <f t="shared" si="45"/>
        <v xml:space="preserve">3.709 </v>
      </c>
      <c r="P188" s="12" t="str">
        <f t="shared" si="46"/>
        <v xml:space="preserve">3.675 </v>
      </c>
      <c r="Q188" s="12" t="str">
        <f t="shared" si="47"/>
        <v xml:space="preserve">3.635 </v>
      </c>
      <c r="R188" s="12" t="str">
        <f t="shared" si="48"/>
        <v xml:space="preserve">3.595 </v>
      </c>
      <c r="Z188" s="11">
        <v>45252</v>
      </c>
      <c r="AA188">
        <v>3.41</v>
      </c>
      <c r="AB188">
        <v>3.6259999999999999</v>
      </c>
      <c r="AC188">
        <v>3.6179999999999999</v>
      </c>
      <c r="AD188">
        <v>3.7050000000000001</v>
      </c>
      <c r="AE188">
        <v>3.7130000000000001</v>
      </c>
      <c r="AF188">
        <v>3.714</v>
      </c>
      <c r="AG188">
        <v>3.677</v>
      </c>
      <c r="AH188">
        <v>3.665</v>
      </c>
      <c r="AI188">
        <v>3.7050000000000001</v>
      </c>
      <c r="AJ188">
        <v>3.7050000000000001</v>
      </c>
      <c r="AK188">
        <v>3.7490000000000001</v>
      </c>
      <c r="AL188">
        <v>3.76</v>
      </c>
      <c r="AM188">
        <v>3.7090000000000001</v>
      </c>
      <c r="AN188">
        <v>3.6749999999999998</v>
      </c>
      <c r="AO188">
        <v>3.6349999999999998</v>
      </c>
      <c r="AP188">
        <v>3.5950000000000002</v>
      </c>
    </row>
    <row r="189" spans="2:42">
      <c r="B189" s="5">
        <f t="shared" si="49"/>
        <v>45251</v>
      </c>
      <c r="C189" s="12" t="str">
        <f t="shared" si="50"/>
        <v xml:space="preserve">3.398 </v>
      </c>
      <c r="D189" s="12" t="str">
        <f t="shared" si="34"/>
        <v xml:space="preserve">3.625 </v>
      </c>
      <c r="E189" s="12" t="str">
        <f t="shared" si="35"/>
        <v xml:space="preserve">3.601 </v>
      </c>
      <c r="F189" s="12" t="str">
        <f t="shared" si="36"/>
        <v xml:space="preserve">3.711 </v>
      </c>
      <c r="G189" s="12" t="str">
        <f t="shared" si="37"/>
        <v xml:space="preserve">3.713 </v>
      </c>
      <c r="H189" s="12" t="str">
        <f t="shared" si="38"/>
        <v xml:space="preserve">3.685 </v>
      </c>
      <c r="I189" s="12" t="str">
        <f t="shared" si="39"/>
        <v xml:space="preserve">3.656 </v>
      </c>
      <c r="J189" s="12" t="str">
        <f t="shared" si="40"/>
        <v xml:space="preserve">3.639 </v>
      </c>
      <c r="K189" s="12" t="str">
        <f t="shared" si="41"/>
        <v xml:space="preserve">3.675 </v>
      </c>
      <c r="L189" s="12" t="str">
        <f t="shared" si="42"/>
        <v xml:space="preserve">3.669 </v>
      </c>
      <c r="M189" s="12" t="str">
        <f t="shared" si="43"/>
        <v xml:space="preserve">3.711 </v>
      </c>
      <c r="N189" s="12" t="str">
        <f t="shared" si="44"/>
        <v xml:space="preserve">3.710 </v>
      </c>
      <c r="O189" s="12" t="str">
        <f t="shared" si="45"/>
        <v xml:space="preserve">3.658 </v>
      </c>
      <c r="P189" s="12" t="str">
        <f t="shared" si="46"/>
        <v xml:space="preserve">3.628 </v>
      </c>
      <c r="Q189" s="12" t="str">
        <f t="shared" si="47"/>
        <v xml:space="preserve">3.588 </v>
      </c>
      <c r="R189" s="12" t="str">
        <f t="shared" si="48"/>
        <v xml:space="preserve">3.548 </v>
      </c>
      <c r="Z189" s="11">
        <v>45251</v>
      </c>
      <c r="AA189">
        <v>3.3980000000000001</v>
      </c>
      <c r="AB189">
        <v>3.625</v>
      </c>
      <c r="AC189">
        <v>3.601</v>
      </c>
      <c r="AD189">
        <v>3.7109999999999999</v>
      </c>
      <c r="AE189">
        <v>3.7130000000000001</v>
      </c>
      <c r="AF189">
        <v>3.6850000000000001</v>
      </c>
      <c r="AG189">
        <v>3.6560000000000001</v>
      </c>
      <c r="AH189">
        <v>3.6389999999999998</v>
      </c>
      <c r="AI189">
        <v>3.6749999999999998</v>
      </c>
      <c r="AJ189">
        <v>3.669</v>
      </c>
      <c r="AK189">
        <v>3.7109999999999999</v>
      </c>
      <c r="AL189">
        <v>3.71</v>
      </c>
      <c r="AM189">
        <v>3.6579999999999999</v>
      </c>
      <c r="AN189">
        <v>3.6280000000000001</v>
      </c>
      <c r="AO189">
        <v>3.5880000000000001</v>
      </c>
      <c r="AP189">
        <v>3.548</v>
      </c>
    </row>
    <row r="190" spans="2:42">
      <c r="B190" s="5">
        <f t="shared" si="49"/>
        <v>45250</v>
      </c>
      <c r="C190" s="12" t="str">
        <f t="shared" si="50"/>
        <v xml:space="preserve">3.401 </v>
      </c>
      <c r="D190" s="12" t="str">
        <f t="shared" si="34"/>
        <v xml:space="preserve">3.631 </v>
      </c>
      <c r="E190" s="12" t="str">
        <f t="shared" si="35"/>
        <v xml:space="preserve">3.603 </v>
      </c>
      <c r="F190" s="12" t="str">
        <f t="shared" si="36"/>
        <v xml:space="preserve">3.720 </v>
      </c>
      <c r="G190" s="12" t="str">
        <f t="shared" si="37"/>
        <v xml:space="preserve">3.740 </v>
      </c>
      <c r="H190" s="12" t="str">
        <f t="shared" si="38"/>
        <v xml:space="preserve">3.703 </v>
      </c>
      <c r="I190" s="12" t="str">
        <f t="shared" si="39"/>
        <v xml:space="preserve">3.672 </v>
      </c>
      <c r="J190" s="12" t="str">
        <f t="shared" si="40"/>
        <v xml:space="preserve">3.659 </v>
      </c>
      <c r="K190" s="12" t="str">
        <f t="shared" si="41"/>
        <v xml:space="preserve">3.695 </v>
      </c>
      <c r="L190" s="12" t="str">
        <f t="shared" si="42"/>
        <v xml:space="preserve">3.687 </v>
      </c>
      <c r="M190" s="12" t="str">
        <f t="shared" si="43"/>
        <v xml:space="preserve">3.733 </v>
      </c>
      <c r="N190" s="12" t="str">
        <f t="shared" si="44"/>
        <v xml:space="preserve">3.745 </v>
      </c>
      <c r="O190" s="12" t="str">
        <f t="shared" si="45"/>
        <v xml:space="preserve">3.690 </v>
      </c>
      <c r="P190" s="12" t="str">
        <f t="shared" si="46"/>
        <v xml:space="preserve">3.660 </v>
      </c>
      <c r="Q190" s="12" t="str">
        <f t="shared" si="47"/>
        <v xml:space="preserve">3.629 </v>
      </c>
      <c r="R190" s="12" t="str">
        <f t="shared" si="48"/>
        <v xml:space="preserve">3.589 </v>
      </c>
      <c r="Z190" s="11">
        <v>45250</v>
      </c>
      <c r="AA190">
        <v>3.4009999999999998</v>
      </c>
      <c r="AB190">
        <v>3.6309999999999998</v>
      </c>
      <c r="AC190">
        <v>3.6030000000000002</v>
      </c>
      <c r="AD190">
        <v>3.72</v>
      </c>
      <c r="AE190">
        <v>3.74</v>
      </c>
      <c r="AF190">
        <v>3.7029999999999998</v>
      </c>
      <c r="AG190">
        <v>3.6720000000000002</v>
      </c>
      <c r="AH190">
        <v>3.6589999999999998</v>
      </c>
      <c r="AI190">
        <v>3.6949999999999998</v>
      </c>
      <c r="AJ190">
        <v>3.6869999999999998</v>
      </c>
      <c r="AK190">
        <v>3.7330000000000001</v>
      </c>
      <c r="AL190">
        <v>3.7450000000000001</v>
      </c>
      <c r="AM190">
        <v>3.69</v>
      </c>
      <c r="AN190">
        <v>3.66</v>
      </c>
      <c r="AO190">
        <v>3.629</v>
      </c>
      <c r="AP190">
        <v>3.589</v>
      </c>
    </row>
    <row r="191" spans="2:42">
      <c r="B191" s="5">
        <f t="shared" si="49"/>
        <v>45247</v>
      </c>
      <c r="C191" s="12" t="str">
        <f t="shared" si="50"/>
        <v xml:space="preserve">3.405 </v>
      </c>
      <c r="D191" s="12" t="str">
        <f t="shared" si="34"/>
        <v xml:space="preserve">3.645 </v>
      </c>
      <c r="E191" s="12" t="str">
        <f t="shared" si="35"/>
        <v xml:space="preserve">3.606 </v>
      </c>
      <c r="F191" s="12" t="str">
        <f t="shared" si="36"/>
        <v xml:space="preserve">3.735 </v>
      </c>
      <c r="G191" s="12" t="str">
        <f t="shared" si="37"/>
        <v xml:space="preserve">3.761 </v>
      </c>
      <c r="H191" s="12" t="str">
        <f t="shared" si="38"/>
        <v xml:space="preserve">3.726 </v>
      </c>
      <c r="I191" s="12" t="str">
        <f t="shared" si="39"/>
        <v xml:space="preserve">3.697 </v>
      </c>
      <c r="J191" s="12" t="str">
        <f t="shared" si="40"/>
        <v xml:space="preserve">3.685 </v>
      </c>
      <c r="K191" s="12" t="str">
        <f t="shared" si="41"/>
        <v xml:space="preserve">3.718 </v>
      </c>
      <c r="L191" s="12" t="str">
        <f t="shared" si="42"/>
        <v xml:space="preserve">3.720 </v>
      </c>
      <c r="M191" s="12" t="str">
        <f t="shared" si="43"/>
        <v xml:space="preserve">3.780 </v>
      </c>
      <c r="N191" s="12" t="str">
        <f t="shared" si="44"/>
        <v xml:space="preserve">3.805 </v>
      </c>
      <c r="O191" s="12" t="str">
        <f t="shared" si="45"/>
        <v xml:space="preserve">3.742 </v>
      </c>
      <c r="P191" s="12" t="str">
        <f t="shared" si="46"/>
        <v xml:space="preserve">3.706 </v>
      </c>
      <c r="Q191" s="12" t="str">
        <f t="shared" si="47"/>
        <v xml:space="preserve">3.670 </v>
      </c>
      <c r="R191" s="12" t="str">
        <f t="shared" si="48"/>
        <v xml:space="preserve">3.630 </v>
      </c>
      <c r="Z191" s="11">
        <v>45247</v>
      </c>
      <c r="AA191">
        <v>3.4049999999999998</v>
      </c>
      <c r="AB191">
        <v>3.645</v>
      </c>
      <c r="AC191">
        <v>3.6059999999999999</v>
      </c>
      <c r="AD191">
        <v>3.7349999999999999</v>
      </c>
      <c r="AE191">
        <v>3.7610000000000001</v>
      </c>
      <c r="AF191">
        <v>3.726</v>
      </c>
      <c r="AG191">
        <v>3.6970000000000001</v>
      </c>
      <c r="AH191">
        <v>3.6850000000000001</v>
      </c>
      <c r="AI191">
        <v>3.718</v>
      </c>
      <c r="AJ191">
        <v>3.72</v>
      </c>
      <c r="AK191">
        <v>3.78</v>
      </c>
      <c r="AL191">
        <v>3.8050000000000002</v>
      </c>
      <c r="AM191">
        <v>3.742</v>
      </c>
      <c r="AN191">
        <v>3.706</v>
      </c>
      <c r="AO191">
        <v>3.67</v>
      </c>
      <c r="AP191">
        <v>3.63</v>
      </c>
    </row>
    <row r="192" spans="2:42">
      <c r="B192" s="5">
        <f t="shared" si="49"/>
        <v>45246</v>
      </c>
      <c r="C192" s="12" t="str">
        <f t="shared" si="50"/>
        <v xml:space="preserve">3.386 </v>
      </c>
      <c r="D192" s="12" t="str">
        <f t="shared" si="34"/>
        <v xml:space="preserve">3.613 </v>
      </c>
      <c r="E192" s="12" t="str">
        <f t="shared" si="35"/>
        <v xml:space="preserve">3.555 </v>
      </c>
      <c r="F192" s="12" t="str">
        <f t="shared" si="36"/>
        <v xml:space="preserve">3.755 </v>
      </c>
      <c r="G192" s="12" t="str">
        <f t="shared" si="37"/>
        <v xml:space="preserve">3.782 </v>
      </c>
      <c r="H192" s="12" t="str">
        <f t="shared" si="38"/>
        <v xml:space="preserve">3.746 </v>
      </c>
      <c r="I192" s="12" t="str">
        <f t="shared" si="39"/>
        <v xml:space="preserve">3.714 </v>
      </c>
      <c r="J192" s="12" t="str">
        <f t="shared" si="40"/>
        <v xml:space="preserve">3.697 </v>
      </c>
      <c r="K192" s="12" t="str">
        <f t="shared" si="41"/>
        <v xml:space="preserve">3.720 </v>
      </c>
      <c r="L192" s="12" t="str">
        <f t="shared" si="42"/>
        <v xml:space="preserve">3.718 </v>
      </c>
      <c r="M192" s="12" t="str">
        <f t="shared" si="43"/>
        <v xml:space="preserve">3.772 </v>
      </c>
      <c r="N192" s="12" t="str">
        <f t="shared" si="44"/>
        <v xml:space="preserve">3.790 </v>
      </c>
      <c r="O192" s="12" t="str">
        <f t="shared" si="45"/>
        <v xml:space="preserve">3.716 </v>
      </c>
      <c r="P192" s="12" t="str">
        <f t="shared" si="46"/>
        <v xml:space="preserve">3.660 </v>
      </c>
      <c r="Q192" s="12" t="str">
        <f t="shared" si="47"/>
        <v xml:space="preserve">3.623 </v>
      </c>
      <c r="R192" s="12" t="str">
        <f t="shared" si="48"/>
        <v xml:space="preserve">3.583 </v>
      </c>
      <c r="Z192" s="11">
        <v>45246</v>
      </c>
      <c r="AA192">
        <v>3.3860000000000001</v>
      </c>
      <c r="AB192">
        <v>3.613</v>
      </c>
      <c r="AC192">
        <v>3.5550000000000002</v>
      </c>
      <c r="AD192">
        <v>3.7549999999999999</v>
      </c>
      <c r="AE192">
        <v>3.782</v>
      </c>
      <c r="AF192">
        <v>3.746</v>
      </c>
      <c r="AG192">
        <v>3.714</v>
      </c>
      <c r="AH192">
        <v>3.6970000000000001</v>
      </c>
      <c r="AI192">
        <v>3.72</v>
      </c>
      <c r="AJ192">
        <v>3.718</v>
      </c>
      <c r="AK192">
        <v>3.7719999999999998</v>
      </c>
      <c r="AL192">
        <v>3.79</v>
      </c>
      <c r="AM192">
        <v>3.7160000000000002</v>
      </c>
      <c r="AN192">
        <v>3.66</v>
      </c>
      <c r="AO192">
        <v>3.6230000000000002</v>
      </c>
      <c r="AP192">
        <v>3.5830000000000002</v>
      </c>
    </row>
    <row r="193" spans="2:42">
      <c r="B193" s="5">
        <f t="shared" si="49"/>
        <v>45245</v>
      </c>
      <c r="C193" s="12" t="str">
        <f t="shared" si="50"/>
        <v xml:space="preserve">3.381 </v>
      </c>
      <c r="D193" s="12" t="str">
        <f t="shared" si="34"/>
        <v xml:space="preserve">3.613 </v>
      </c>
      <c r="E193" s="12" t="str">
        <f t="shared" si="35"/>
        <v xml:space="preserve">3.555 </v>
      </c>
      <c r="F193" s="12" t="str">
        <f t="shared" si="36"/>
        <v xml:space="preserve">3.766 </v>
      </c>
      <c r="G193" s="12" t="str">
        <f t="shared" si="37"/>
        <v xml:space="preserve">3.805 </v>
      </c>
      <c r="H193" s="12" t="str">
        <f t="shared" si="38"/>
        <v xml:space="preserve">3.788 </v>
      </c>
      <c r="I193" s="12" t="str">
        <f t="shared" si="39"/>
        <v xml:space="preserve">3.763 </v>
      </c>
      <c r="J193" s="12" t="str">
        <f t="shared" si="40"/>
        <v xml:space="preserve">3.745 </v>
      </c>
      <c r="K193" s="12" t="str">
        <f t="shared" si="41"/>
        <v xml:space="preserve">3.765 </v>
      </c>
      <c r="L193" s="12" t="str">
        <f t="shared" si="42"/>
        <v xml:space="preserve">3.763 </v>
      </c>
      <c r="M193" s="12" t="str">
        <f t="shared" si="43"/>
        <v xml:space="preserve">3.809 </v>
      </c>
      <c r="N193" s="12" t="str">
        <f t="shared" si="44"/>
        <v xml:space="preserve">3.817 </v>
      </c>
      <c r="O193" s="12" t="str">
        <f t="shared" si="45"/>
        <v xml:space="preserve">3.749 </v>
      </c>
      <c r="P193" s="12" t="str">
        <f t="shared" si="46"/>
        <v xml:space="preserve">3.697 </v>
      </c>
      <c r="Q193" s="12" t="str">
        <f t="shared" si="47"/>
        <v xml:space="preserve">3.652 </v>
      </c>
      <c r="R193" s="12" t="str">
        <f t="shared" si="48"/>
        <v xml:space="preserve">3.612 </v>
      </c>
      <c r="Z193" s="11">
        <v>45245</v>
      </c>
      <c r="AA193">
        <v>3.3809999999999998</v>
      </c>
      <c r="AB193">
        <v>3.613</v>
      </c>
      <c r="AC193">
        <v>3.5550000000000002</v>
      </c>
      <c r="AD193">
        <v>3.766</v>
      </c>
      <c r="AE193">
        <v>3.8050000000000002</v>
      </c>
      <c r="AF193">
        <v>3.7879999999999998</v>
      </c>
      <c r="AG193">
        <v>3.7629999999999999</v>
      </c>
      <c r="AH193">
        <v>3.7450000000000001</v>
      </c>
      <c r="AI193">
        <v>3.7650000000000001</v>
      </c>
      <c r="AJ193">
        <v>3.7629999999999999</v>
      </c>
      <c r="AK193">
        <v>3.8090000000000002</v>
      </c>
      <c r="AL193">
        <v>3.8170000000000002</v>
      </c>
      <c r="AM193">
        <v>3.7490000000000001</v>
      </c>
      <c r="AN193">
        <v>3.6970000000000001</v>
      </c>
      <c r="AO193">
        <v>3.6520000000000001</v>
      </c>
      <c r="AP193">
        <v>3.6120000000000001</v>
      </c>
    </row>
    <row r="194" spans="2:42">
      <c r="B194" s="5">
        <f t="shared" si="49"/>
        <v>45244</v>
      </c>
      <c r="C194" s="12" t="str">
        <f t="shared" si="50"/>
        <v xml:space="preserve">3.395 </v>
      </c>
      <c r="D194" s="12" t="str">
        <f t="shared" si="34"/>
        <v xml:space="preserve">3.613 </v>
      </c>
      <c r="E194" s="12" t="str">
        <f t="shared" si="35"/>
        <v xml:space="preserve">3.565 </v>
      </c>
      <c r="F194" s="12" t="str">
        <f t="shared" si="36"/>
        <v xml:space="preserve">3.793 </v>
      </c>
      <c r="G194" s="12" t="str">
        <f t="shared" si="37"/>
        <v xml:space="preserve">3.862 </v>
      </c>
      <c r="H194" s="12" t="str">
        <f t="shared" si="38"/>
        <v xml:space="preserve">3.889 </v>
      </c>
      <c r="I194" s="12" t="str">
        <f t="shared" si="39"/>
        <v xml:space="preserve">3.868 </v>
      </c>
      <c r="J194" s="12" t="str">
        <f t="shared" si="40"/>
        <v xml:space="preserve">3.857 </v>
      </c>
      <c r="K194" s="12" t="str">
        <f t="shared" si="41"/>
        <v xml:space="preserve">3.900 </v>
      </c>
      <c r="L194" s="12" t="str">
        <f t="shared" si="42"/>
        <v xml:space="preserve">3.902 </v>
      </c>
      <c r="M194" s="12" t="str">
        <f t="shared" si="43"/>
        <v xml:space="preserve">3.962 </v>
      </c>
      <c r="N194" s="12" t="str">
        <f t="shared" si="44"/>
        <v xml:space="preserve">3.980 </v>
      </c>
      <c r="O194" s="12" t="str">
        <f t="shared" si="45"/>
        <v xml:space="preserve">3.901 </v>
      </c>
      <c r="P194" s="12" t="str">
        <f t="shared" si="46"/>
        <v xml:space="preserve">3.837 </v>
      </c>
      <c r="Q194" s="12" t="str">
        <f t="shared" si="47"/>
        <v xml:space="preserve">3.800 </v>
      </c>
      <c r="R194" s="12" t="str">
        <f t="shared" si="48"/>
        <v xml:space="preserve">3.760 </v>
      </c>
      <c r="Z194" s="11">
        <v>45244</v>
      </c>
      <c r="AA194">
        <v>3.395</v>
      </c>
      <c r="AB194">
        <v>3.613</v>
      </c>
      <c r="AC194">
        <v>3.5649999999999999</v>
      </c>
      <c r="AD194">
        <v>3.7930000000000001</v>
      </c>
      <c r="AE194">
        <v>3.8620000000000001</v>
      </c>
      <c r="AF194">
        <v>3.8889999999999998</v>
      </c>
      <c r="AG194">
        <v>3.8679999999999999</v>
      </c>
      <c r="AH194">
        <v>3.8570000000000002</v>
      </c>
      <c r="AI194">
        <v>3.9</v>
      </c>
      <c r="AJ194">
        <v>3.9020000000000001</v>
      </c>
      <c r="AK194">
        <v>3.9620000000000002</v>
      </c>
      <c r="AL194">
        <v>3.98</v>
      </c>
      <c r="AM194">
        <v>3.9009999999999998</v>
      </c>
      <c r="AN194">
        <v>3.8370000000000002</v>
      </c>
      <c r="AO194">
        <v>3.8</v>
      </c>
      <c r="AP194">
        <v>3.76</v>
      </c>
    </row>
    <row r="195" spans="2:42">
      <c r="B195" s="5">
        <f t="shared" si="49"/>
        <v>45243</v>
      </c>
      <c r="C195" s="12" t="str">
        <f t="shared" si="50"/>
        <v xml:space="preserve">3.400 </v>
      </c>
      <c r="D195" s="12" t="str">
        <f t="shared" si="34"/>
        <v xml:space="preserve">3.616 </v>
      </c>
      <c r="E195" s="12" t="str">
        <f t="shared" si="35"/>
        <v xml:space="preserve">3.568 </v>
      </c>
      <c r="F195" s="12" t="str">
        <f t="shared" si="36"/>
        <v xml:space="preserve">3.800 </v>
      </c>
      <c r="G195" s="12" t="str">
        <f t="shared" si="37"/>
        <v xml:space="preserve">3.874 </v>
      </c>
      <c r="H195" s="12" t="str">
        <f t="shared" si="38"/>
        <v xml:space="preserve">3.895 </v>
      </c>
      <c r="I195" s="12" t="str">
        <f t="shared" si="39"/>
        <v xml:space="preserve">3.875 </v>
      </c>
      <c r="J195" s="12" t="str">
        <f t="shared" si="40"/>
        <v xml:space="preserve">3.872 </v>
      </c>
      <c r="K195" s="12" t="str">
        <f t="shared" si="41"/>
        <v xml:space="preserve">3.921 </v>
      </c>
      <c r="L195" s="12" t="str">
        <f t="shared" si="42"/>
        <v xml:space="preserve">3.923 </v>
      </c>
      <c r="M195" s="12" t="str">
        <f t="shared" si="43"/>
        <v xml:space="preserve">3.983 </v>
      </c>
      <c r="N195" s="12" t="str">
        <f t="shared" si="44"/>
        <v xml:space="preserve">4.007 </v>
      </c>
      <c r="O195" s="12" t="str">
        <f t="shared" si="45"/>
        <v xml:space="preserve">3.911 </v>
      </c>
      <c r="P195" s="12" t="str">
        <f t="shared" si="46"/>
        <v xml:space="preserve">3.830 </v>
      </c>
      <c r="Q195" s="12" t="str">
        <f t="shared" si="47"/>
        <v xml:space="preserve">3.785 </v>
      </c>
      <c r="R195" s="12" t="str">
        <f t="shared" si="48"/>
        <v xml:space="preserve">3.745 </v>
      </c>
      <c r="Z195" s="11">
        <v>45243</v>
      </c>
      <c r="AA195">
        <v>3.4</v>
      </c>
      <c r="AB195">
        <v>3.6160000000000001</v>
      </c>
      <c r="AC195">
        <v>3.5680000000000001</v>
      </c>
      <c r="AD195">
        <v>3.8</v>
      </c>
      <c r="AE195">
        <v>3.8740000000000001</v>
      </c>
      <c r="AF195">
        <v>3.895</v>
      </c>
      <c r="AG195">
        <v>3.875</v>
      </c>
      <c r="AH195">
        <v>3.8719999999999999</v>
      </c>
      <c r="AI195">
        <v>3.9209999999999998</v>
      </c>
      <c r="AJ195">
        <v>3.923</v>
      </c>
      <c r="AK195">
        <v>3.9830000000000001</v>
      </c>
      <c r="AL195">
        <v>4.0069999999999997</v>
      </c>
      <c r="AM195">
        <v>3.911</v>
      </c>
      <c r="AN195">
        <v>3.83</v>
      </c>
      <c r="AO195">
        <v>3.7850000000000001</v>
      </c>
      <c r="AP195">
        <v>3.7450000000000001</v>
      </c>
    </row>
    <row r="196" spans="2:42">
      <c r="B196" s="5">
        <f t="shared" si="49"/>
        <v>45240</v>
      </c>
      <c r="C196" s="12" t="str">
        <f t="shared" si="50"/>
        <v xml:space="preserve">3.401 </v>
      </c>
      <c r="D196" s="12" t="str">
        <f t="shared" si="34"/>
        <v xml:space="preserve">3.615 </v>
      </c>
      <c r="E196" s="12" t="str">
        <f t="shared" si="35"/>
        <v xml:space="preserve">3.550 </v>
      </c>
      <c r="F196" s="12" t="str">
        <f t="shared" si="36"/>
        <v xml:space="preserve">3.787 </v>
      </c>
      <c r="G196" s="12" t="str">
        <f t="shared" si="37"/>
        <v xml:space="preserve">3.851 </v>
      </c>
      <c r="H196" s="12" t="str">
        <f t="shared" si="38"/>
        <v xml:space="preserve">3.874 </v>
      </c>
      <c r="I196" s="12" t="str">
        <f t="shared" si="39"/>
        <v xml:space="preserve">3.860 </v>
      </c>
      <c r="J196" s="12" t="str">
        <f t="shared" si="40"/>
        <v xml:space="preserve">3.854 </v>
      </c>
      <c r="K196" s="12" t="str">
        <f t="shared" si="41"/>
        <v xml:space="preserve">3.896 </v>
      </c>
      <c r="L196" s="12" t="str">
        <f t="shared" si="42"/>
        <v xml:space="preserve">3.892 </v>
      </c>
      <c r="M196" s="12" t="str">
        <f t="shared" si="43"/>
        <v xml:space="preserve">3.943 </v>
      </c>
      <c r="N196" s="12" t="str">
        <f t="shared" si="44"/>
        <v xml:space="preserve">3.960 </v>
      </c>
      <c r="O196" s="12" t="str">
        <f t="shared" si="45"/>
        <v xml:space="preserve">3.871 </v>
      </c>
      <c r="P196" s="12" t="str">
        <f t="shared" si="46"/>
        <v xml:space="preserve">3.795 </v>
      </c>
      <c r="Q196" s="12" t="str">
        <f t="shared" si="47"/>
        <v xml:space="preserve">3.737 </v>
      </c>
      <c r="R196" s="12" t="str">
        <f t="shared" si="48"/>
        <v xml:space="preserve">3.697 </v>
      </c>
      <c r="Z196" s="11">
        <v>45240</v>
      </c>
      <c r="AA196">
        <v>3.4009999999999998</v>
      </c>
      <c r="AB196">
        <v>3.6150000000000002</v>
      </c>
      <c r="AC196">
        <v>3.55</v>
      </c>
      <c r="AD196">
        <v>3.7869999999999999</v>
      </c>
      <c r="AE196">
        <v>3.851</v>
      </c>
      <c r="AF196">
        <v>3.8740000000000001</v>
      </c>
      <c r="AG196">
        <v>3.86</v>
      </c>
      <c r="AH196">
        <v>3.8540000000000001</v>
      </c>
      <c r="AI196">
        <v>3.8959999999999999</v>
      </c>
      <c r="AJ196">
        <v>3.8919999999999999</v>
      </c>
      <c r="AK196">
        <v>3.9430000000000001</v>
      </c>
      <c r="AL196">
        <v>3.96</v>
      </c>
      <c r="AM196">
        <v>3.871</v>
      </c>
      <c r="AN196">
        <v>3.7949999999999999</v>
      </c>
      <c r="AO196">
        <v>3.7370000000000001</v>
      </c>
      <c r="AP196">
        <v>3.6970000000000001</v>
      </c>
    </row>
    <row r="197" spans="2:42">
      <c r="B197" s="5">
        <f t="shared" si="49"/>
        <v>45239</v>
      </c>
      <c r="C197" s="12" t="str">
        <f t="shared" si="50"/>
        <v xml:space="preserve">3.398 </v>
      </c>
      <c r="D197" s="12" t="str">
        <f t="shared" si="34"/>
        <v xml:space="preserve">3.601 </v>
      </c>
      <c r="E197" s="12" t="str">
        <f t="shared" si="35"/>
        <v xml:space="preserve">3.528 </v>
      </c>
      <c r="F197" s="12" t="str">
        <f t="shared" si="36"/>
        <v xml:space="preserve">3.765 </v>
      </c>
      <c r="G197" s="12" t="str">
        <f t="shared" si="37"/>
        <v xml:space="preserve">3.830 </v>
      </c>
      <c r="H197" s="12" t="str">
        <f t="shared" si="38"/>
        <v xml:space="preserve">3.851 </v>
      </c>
      <c r="I197" s="12" t="str">
        <f t="shared" si="39"/>
        <v xml:space="preserve">3.840 </v>
      </c>
      <c r="J197" s="12" t="str">
        <f t="shared" si="40"/>
        <v xml:space="preserve">3.839 </v>
      </c>
      <c r="K197" s="12" t="str">
        <f t="shared" si="41"/>
        <v xml:space="preserve">3.880 </v>
      </c>
      <c r="L197" s="12" t="str">
        <f t="shared" si="42"/>
        <v xml:space="preserve">3.873 </v>
      </c>
      <c r="M197" s="12" t="str">
        <f t="shared" si="43"/>
        <v xml:space="preserve">3.920 </v>
      </c>
      <c r="N197" s="12" t="str">
        <f t="shared" si="44"/>
        <v xml:space="preserve">3.935 </v>
      </c>
      <c r="O197" s="12" t="str">
        <f t="shared" si="45"/>
        <v xml:space="preserve">3.851 </v>
      </c>
      <c r="P197" s="12" t="str">
        <f t="shared" si="46"/>
        <v xml:space="preserve">3.780 </v>
      </c>
      <c r="Q197" s="12" t="str">
        <f t="shared" si="47"/>
        <v xml:space="preserve">3.722 </v>
      </c>
      <c r="R197" s="12" t="str">
        <f t="shared" si="48"/>
        <v xml:space="preserve">3.677 </v>
      </c>
      <c r="Z197" s="11">
        <v>45239</v>
      </c>
      <c r="AA197">
        <v>3.3980000000000001</v>
      </c>
      <c r="AB197">
        <v>3.601</v>
      </c>
      <c r="AC197">
        <v>3.528</v>
      </c>
      <c r="AD197">
        <v>3.7650000000000001</v>
      </c>
      <c r="AE197">
        <v>3.83</v>
      </c>
      <c r="AF197">
        <v>3.851</v>
      </c>
      <c r="AG197">
        <v>3.84</v>
      </c>
      <c r="AH197">
        <v>3.839</v>
      </c>
      <c r="AI197">
        <v>3.88</v>
      </c>
      <c r="AJ197">
        <v>3.8730000000000002</v>
      </c>
      <c r="AK197">
        <v>3.92</v>
      </c>
      <c r="AL197">
        <v>3.9350000000000001</v>
      </c>
      <c r="AM197">
        <v>3.851</v>
      </c>
      <c r="AN197">
        <v>3.78</v>
      </c>
      <c r="AO197">
        <v>3.722</v>
      </c>
      <c r="AP197">
        <v>3.677</v>
      </c>
    </row>
    <row r="198" spans="2:42">
      <c r="B198" s="5">
        <f t="shared" si="49"/>
        <v>45238</v>
      </c>
      <c r="C198" s="12" t="str">
        <f t="shared" si="50"/>
        <v xml:space="preserve">3.401 </v>
      </c>
      <c r="D198" s="12" t="str">
        <f t="shared" si="34"/>
        <v xml:space="preserve">3.601 </v>
      </c>
      <c r="E198" s="12" t="str">
        <f t="shared" si="35"/>
        <v xml:space="preserve">3.516 </v>
      </c>
      <c r="F198" s="12" t="str">
        <f t="shared" si="36"/>
        <v xml:space="preserve">3.766 </v>
      </c>
      <c r="G198" s="12" t="str">
        <f t="shared" si="37"/>
        <v xml:space="preserve">3.822 </v>
      </c>
      <c r="H198" s="12" t="str">
        <f t="shared" si="38"/>
        <v xml:space="preserve">3.867 </v>
      </c>
      <c r="I198" s="12" t="str">
        <f t="shared" si="39"/>
        <v xml:space="preserve">3.857 </v>
      </c>
      <c r="J198" s="12" t="str">
        <f t="shared" si="40"/>
        <v xml:space="preserve">3.871 </v>
      </c>
      <c r="K198" s="12" t="str">
        <f t="shared" si="41"/>
        <v xml:space="preserve">3.928 </v>
      </c>
      <c r="L198" s="12" t="str">
        <f t="shared" si="42"/>
        <v xml:space="preserve">3.930 </v>
      </c>
      <c r="M198" s="12" t="str">
        <f t="shared" si="43"/>
        <v xml:space="preserve">4.003 </v>
      </c>
      <c r="N198" s="12" t="str">
        <f t="shared" si="44"/>
        <v xml:space="preserve">4.030 </v>
      </c>
      <c r="O198" s="12" t="str">
        <f t="shared" si="45"/>
        <v xml:space="preserve">3.947 </v>
      </c>
      <c r="P198" s="12" t="str">
        <f t="shared" si="46"/>
        <v xml:space="preserve">3.880 </v>
      </c>
      <c r="Q198" s="12" t="str">
        <f t="shared" si="47"/>
        <v xml:space="preserve">3.817 </v>
      </c>
      <c r="R198" s="12" t="str">
        <f t="shared" si="48"/>
        <v xml:space="preserve">3.772 </v>
      </c>
      <c r="Z198" s="11">
        <v>45238</v>
      </c>
      <c r="AA198">
        <v>3.4009999999999998</v>
      </c>
      <c r="AB198">
        <v>3.601</v>
      </c>
      <c r="AC198">
        <v>3.516</v>
      </c>
      <c r="AD198">
        <v>3.766</v>
      </c>
      <c r="AE198">
        <v>3.8220000000000001</v>
      </c>
      <c r="AF198">
        <v>3.867</v>
      </c>
      <c r="AG198">
        <v>3.8570000000000002</v>
      </c>
      <c r="AH198">
        <v>3.871</v>
      </c>
      <c r="AI198">
        <v>3.9279999999999999</v>
      </c>
      <c r="AJ198">
        <v>3.93</v>
      </c>
      <c r="AK198">
        <v>4.0030000000000001</v>
      </c>
      <c r="AL198">
        <v>4.03</v>
      </c>
      <c r="AM198">
        <v>3.9470000000000001</v>
      </c>
      <c r="AN198">
        <v>3.88</v>
      </c>
      <c r="AO198">
        <v>3.8170000000000002</v>
      </c>
      <c r="AP198">
        <v>3.7719999999999998</v>
      </c>
    </row>
    <row r="199" spans="2:42">
      <c r="B199" s="5">
        <f t="shared" si="49"/>
        <v>45237</v>
      </c>
      <c r="C199" s="12" t="str">
        <f t="shared" si="50"/>
        <v xml:space="preserve">3.396 </v>
      </c>
      <c r="D199" s="12" t="str">
        <f t="shared" ref="D199:D262" si="51">IF(AB199="", "", CHOOSE($W$7, TEXT(AB199, "#,##0.000_ ;-#,##0.000 "), TEXT(AB199*100, "#,##0.0_ ;-#,##0.0 "), TEXT(AB199, "#,##0.0_ ;-#,##0.0 ")) )</f>
        <v xml:space="preserve">3.600 </v>
      </c>
      <c r="E199" s="12" t="str">
        <f t="shared" ref="E199:E262" si="52">IF(AC199="", "", CHOOSE($W$7, TEXT(AC199, "#,##0.000_ ;-#,##0.000 "), TEXT(AC199*100, "#,##0.0_ ;-#,##0.0 "), TEXT(AC199, "#,##0.0_ ;-#,##0.0 ")) )</f>
        <v xml:space="preserve">3.488 </v>
      </c>
      <c r="F199" s="12" t="str">
        <f t="shared" ref="F199:F262" si="53">IF(AD199="", "", CHOOSE($W$7, TEXT(AD199, "#,##0.000_ ;-#,##0.000 "), TEXT(AD199*100, "#,##0.0_ ;-#,##0.0 "), TEXT(AD199, "#,##0.0_ ;-#,##0.0 ")) )</f>
        <v xml:space="preserve">3.748 </v>
      </c>
      <c r="G199" s="12" t="str">
        <f t="shared" ref="G199:G262" si="54">IF(AE199="", "", CHOOSE($W$7, TEXT(AE199, "#,##0.000_ ;-#,##0.000 "), TEXT(AE199*100, "#,##0.0_ ;-#,##0.0 "), TEXT(AE199, "#,##0.0_ ;-#,##0.0 ")) )</f>
        <v xml:space="preserve">3.815 </v>
      </c>
      <c r="H199" s="12" t="str">
        <f t="shared" ref="H199:H262" si="55">IF(AF199="", "", CHOOSE($W$7, TEXT(AF199, "#,##0.000_ ;-#,##0.000 "), TEXT(AF199*100, "#,##0.0_ ;-#,##0.0 "), TEXT(AF199, "#,##0.0_ ;-#,##0.0 ")) )</f>
        <v xml:space="preserve">3.869 </v>
      </c>
      <c r="I199" s="12" t="str">
        <f t="shared" ref="I199:I262" si="56">IF(AG199="", "", CHOOSE($W$7, TEXT(AG199, "#,##0.000_ ;-#,##0.000 "), TEXT(AG199*100, "#,##0.0_ ;-#,##0.0 "), TEXT(AG199, "#,##0.0_ ;-#,##0.0 ")) )</f>
        <v xml:space="preserve">3.860 </v>
      </c>
      <c r="J199" s="12" t="str">
        <f t="shared" ref="J199:J262" si="57">IF(AH199="", "", CHOOSE($W$7, TEXT(AH199, "#,##0.000_ ;-#,##0.000 "), TEXT(AH199*100, "#,##0.0_ ;-#,##0.0 "), TEXT(AH199, "#,##0.0_ ;-#,##0.0 ")) )</f>
        <v xml:space="preserve">3.883 </v>
      </c>
      <c r="K199" s="12" t="str">
        <f t="shared" ref="K199:K262" si="58">IF(AI199="", "", CHOOSE($W$7, TEXT(AI199, "#,##0.000_ ;-#,##0.000 "), TEXT(AI199*100, "#,##0.0_ ;-#,##0.0 "), TEXT(AI199, "#,##0.0_ ;-#,##0.0 ")) )</f>
        <v xml:space="preserve">3.947 </v>
      </c>
      <c r="L199" s="12" t="str">
        <f t="shared" ref="L199:L262" si="59">IF(AJ199="", "", CHOOSE($W$7, TEXT(AJ199, "#,##0.000_ ;-#,##0.000 "), TEXT(AJ199*100, "#,##0.0_ ;-#,##0.0 "), TEXT(AJ199, "#,##0.0_ ;-#,##0.0 ")) )</f>
        <v xml:space="preserve">3.951 </v>
      </c>
      <c r="M199" s="12" t="str">
        <f t="shared" ref="M199:M262" si="60">IF(AK199="", "", CHOOSE($W$7, TEXT(AK199, "#,##0.000_ ;-#,##0.000 "), TEXT(AK199*100, "#,##0.0_ ;-#,##0.0 "), TEXT(AK199, "#,##0.0_ ;-#,##0.0 ")) )</f>
        <v xml:space="preserve">4.026 </v>
      </c>
      <c r="N199" s="12" t="str">
        <f t="shared" ref="N199:N262" si="61">IF(AL199="", "", CHOOSE($W$7, TEXT(AL199, "#,##0.000_ ;-#,##0.000 "), TEXT(AL199*100, "#,##0.0_ ;-#,##0.0 "), TEXT(AL199, "#,##0.0_ ;-#,##0.0 ")) )</f>
        <v xml:space="preserve">4.056 </v>
      </c>
      <c r="O199" s="12" t="str">
        <f t="shared" ref="O199:O262" si="62">IF(AM199="", "", CHOOSE($W$7, TEXT(AM199, "#,##0.000_ ;-#,##0.000 "), TEXT(AM199*100, "#,##0.0_ ;-#,##0.0 "), TEXT(AM199, "#,##0.0_ ;-#,##0.0 ")) )</f>
        <v xml:space="preserve">3.982 </v>
      </c>
      <c r="P199" s="12" t="str">
        <f t="shared" ref="P199:P262" si="63">IF(AN199="", "", CHOOSE($W$7, TEXT(AN199, "#,##0.000_ ;-#,##0.000 "), TEXT(AN199*100, "#,##0.0_ ;-#,##0.0 "), TEXT(AN199, "#,##0.0_ ;-#,##0.0 ")) )</f>
        <v xml:space="preserve">3.925 </v>
      </c>
      <c r="Q199" s="12" t="str">
        <f t="shared" ref="Q199:Q262" si="64">IF(AO199="", "", CHOOSE($W$7, TEXT(AO199, "#,##0.000_ ;-#,##0.000 "), TEXT(AO199*100, "#,##0.0_ ;-#,##0.0 "), TEXT(AO199, "#,##0.0_ ;-#,##0.0 ")) )</f>
        <v xml:space="preserve">3.872 </v>
      </c>
      <c r="R199" s="12" t="str">
        <f t="shared" ref="R199:R262" si="65">IF(AP199="", "", CHOOSE($W$7, TEXT(AP199, "#,##0.000_ ;-#,##0.000 "), TEXT(AP199*100, "#,##0.0_ ;-#,##0.0 "), TEXT(AP199, "#,##0.0_ ;-#,##0.0 ")) )</f>
        <v xml:space="preserve">3.827 </v>
      </c>
      <c r="Z199" s="11">
        <v>45237</v>
      </c>
      <c r="AA199">
        <v>3.3959999999999999</v>
      </c>
      <c r="AB199">
        <v>3.6</v>
      </c>
      <c r="AC199">
        <v>3.488</v>
      </c>
      <c r="AD199">
        <v>3.7480000000000002</v>
      </c>
      <c r="AE199">
        <v>3.8149999999999999</v>
      </c>
      <c r="AF199">
        <v>3.8690000000000002</v>
      </c>
      <c r="AG199">
        <v>3.86</v>
      </c>
      <c r="AH199">
        <v>3.883</v>
      </c>
      <c r="AI199">
        <v>3.9470000000000001</v>
      </c>
      <c r="AJ199">
        <v>3.9510000000000001</v>
      </c>
      <c r="AK199">
        <v>4.0259999999999998</v>
      </c>
      <c r="AL199">
        <v>4.056</v>
      </c>
      <c r="AM199">
        <v>3.9820000000000002</v>
      </c>
      <c r="AN199">
        <v>3.9249999999999998</v>
      </c>
      <c r="AO199">
        <v>3.8719999999999999</v>
      </c>
      <c r="AP199">
        <v>3.827</v>
      </c>
    </row>
    <row r="200" spans="2:42">
      <c r="B200" s="5">
        <f t="shared" ref="B200:B263" si="66">IF(Z200="","",Z200)</f>
        <v>45236</v>
      </c>
      <c r="C200" s="12" t="str">
        <f t="shared" ref="C200:C263" si="67">IF(AA200="", "", CHOOSE($W$7, TEXT(AA200, "#,##0.000_ ;-#,##0.000 "), TEXT(AA200*100, "#,##0.0_ ;-#,##0.0 "), TEXT(AA200, "#,##0.0_ ;-#,##0.0 ")) )</f>
        <v xml:space="preserve">3.390 </v>
      </c>
      <c r="D200" s="12" t="str">
        <f t="shared" si="51"/>
        <v xml:space="preserve">3.590 </v>
      </c>
      <c r="E200" s="12" t="str">
        <f t="shared" si="52"/>
        <v xml:space="preserve">3.433 </v>
      </c>
      <c r="F200" s="12" t="str">
        <f t="shared" si="53"/>
        <v xml:space="preserve">3.730 </v>
      </c>
      <c r="G200" s="12" t="str">
        <f t="shared" si="54"/>
        <v xml:space="preserve">3.796 </v>
      </c>
      <c r="H200" s="12" t="str">
        <f t="shared" si="55"/>
        <v xml:space="preserve">3.860 </v>
      </c>
      <c r="I200" s="12" t="str">
        <f t="shared" si="56"/>
        <v xml:space="preserve">3.857 </v>
      </c>
      <c r="J200" s="12" t="str">
        <f t="shared" si="57"/>
        <v xml:space="preserve">3.880 </v>
      </c>
      <c r="K200" s="12" t="str">
        <f t="shared" si="58"/>
        <v xml:space="preserve">3.946 </v>
      </c>
      <c r="L200" s="12" t="str">
        <f t="shared" si="59"/>
        <v xml:space="preserve">3.952 </v>
      </c>
      <c r="M200" s="12" t="str">
        <f t="shared" si="60"/>
        <v xml:space="preserve">4.026 </v>
      </c>
      <c r="N200" s="12" t="str">
        <f t="shared" si="61"/>
        <v xml:space="preserve">4.057 </v>
      </c>
      <c r="O200" s="12" t="str">
        <f t="shared" si="62"/>
        <v xml:space="preserve">4.001 </v>
      </c>
      <c r="P200" s="12" t="str">
        <f t="shared" si="63"/>
        <v xml:space="preserve">3.963 </v>
      </c>
      <c r="Q200" s="12" t="str">
        <f t="shared" si="64"/>
        <v xml:space="preserve">3.910 </v>
      </c>
      <c r="R200" s="12" t="str">
        <f t="shared" si="65"/>
        <v xml:space="preserve">3.865 </v>
      </c>
      <c r="Z200" s="11">
        <v>45236</v>
      </c>
      <c r="AA200">
        <v>3.39</v>
      </c>
      <c r="AB200">
        <v>3.59</v>
      </c>
      <c r="AC200">
        <v>3.4329999999999998</v>
      </c>
      <c r="AD200">
        <v>3.73</v>
      </c>
      <c r="AE200">
        <v>3.7959999999999998</v>
      </c>
      <c r="AF200">
        <v>3.86</v>
      </c>
      <c r="AG200">
        <v>3.8570000000000002</v>
      </c>
      <c r="AH200">
        <v>3.88</v>
      </c>
      <c r="AI200">
        <v>3.9460000000000002</v>
      </c>
      <c r="AJ200">
        <v>3.952</v>
      </c>
      <c r="AK200">
        <v>4.0259999999999998</v>
      </c>
      <c r="AL200">
        <v>4.0570000000000004</v>
      </c>
      <c r="AM200">
        <v>4.0010000000000003</v>
      </c>
      <c r="AN200">
        <v>3.9630000000000001</v>
      </c>
      <c r="AO200">
        <v>3.91</v>
      </c>
      <c r="AP200">
        <v>3.8650000000000002</v>
      </c>
    </row>
    <row r="201" spans="2:42">
      <c r="B201" s="5">
        <f t="shared" si="66"/>
        <v>45233</v>
      </c>
      <c r="C201" s="12" t="str">
        <f t="shared" si="67"/>
        <v xml:space="preserve">3.390 </v>
      </c>
      <c r="D201" s="12" t="str">
        <f t="shared" si="51"/>
        <v xml:space="preserve">3.585 </v>
      </c>
      <c r="E201" s="12" t="str">
        <f t="shared" si="52"/>
        <v xml:space="preserve">3.430 </v>
      </c>
      <c r="F201" s="12" t="str">
        <f t="shared" si="53"/>
        <v xml:space="preserve">3.730 </v>
      </c>
      <c r="G201" s="12" t="str">
        <f t="shared" si="54"/>
        <v xml:space="preserve">3.815 </v>
      </c>
      <c r="H201" s="12" t="str">
        <f t="shared" si="55"/>
        <v xml:space="preserve">3.891 </v>
      </c>
      <c r="I201" s="12" t="str">
        <f t="shared" si="56"/>
        <v xml:space="preserve">3.920 </v>
      </c>
      <c r="J201" s="12" t="str">
        <f t="shared" si="57"/>
        <v xml:space="preserve">3.945 </v>
      </c>
      <c r="K201" s="12" t="str">
        <f t="shared" si="58"/>
        <v xml:space="preserve">4.010 </v>
      </c>
      <c r="L201" s="12" t="str">
        <f t="shared" si="59"/>
        <v xml:space="preserve">4.015 </v>
      </c>
      <c r="M201" s="12" t="str">
        <f t="shared" si="60"/>
        <v xml:space="preserve">4.080 </v>
      </c>
      <c r="N201" s="12" t="str">
        <f t="shared" si="61"/>
        <v xml:space="preserve">4.100 </v>
      </c>
      <c r="O201" s="12" t="str">
        <f t="shared" si="62"/>
        <v xml:space="preserve">4.039 </v>
      </c>
      <c r="P201" s="12" t="str">
        <f t="shared" si="63"/>
        <v xml:space="preserve">3.993 </v>
      </c>
      <c r="Q201" s="12" t="str">
        <f t="shared" si="64"/>
        <v xml:space="preserve">3.945 </v>
      </c>
      <c r="R201" s="12" t="str">
        <f t="shared" si="65"/>
        <v xml:space="preserve">3.900 </v>
      </c>
      <c r="Z201" s="11">
        <v>45233</v>
      </c>
      <c r="AA201">
        <v>3.39</v>
      </c>
      <c r="AB201">
        <v>3.585</v>
      </c>
      <c r="AC201">
        <v>3.43</v>
      </c>
      <c r="AD201">
        <v>3.73</v>
      </c>
      <c r="AE201">
        <v>3.8149999999999999</v>
      </c>
      <c r="AF201">
        <v>3.891</v>
      </c>
      <c r="AG201">
        <v>3.92</v>
      </c>
      <c r="AH201">
        <v>3.9449999999999998</v>
      </c>
      <c r="AI201">
        <v>4.01</v>
      </c>
      <c r="AJ201">
        <v>4.0149999999999997</v>
      </c>
      <c r="AK201">
        <v>4.08</v>
      </c>
      <c r="AL201">
        <v>4.0999999999999996</v>
      </c>
      <c r="AM201">
        <v>4.0389999999999997</v>
      </c>
      <c r="AN201">
        <v>3.9929999999999999</v>
      </c>
      <c r="AO201">
        <v>3.9449999999999998</v>
      </c>
      <c r="AP201">
        <v>3.9</v>
      </c>
    </row>
    <row r="202" spans="2:42">
      <c r="B202" s="5">
        <f t="shared" si="66"/>
        <v>45232</v>
      </c>
      <c r="C202" s="12" t="str">
        <f t="shared" si="67"/>
        <v xml:space="preserve">3.396 </v>
      </c>
      <c r="D202" s="12" t="str">
        <f t="shared" si="51"/>
        <v xml:space="preserve">3.582 </v>
      </c>
      <c r="E202" s="12" t="str">
        <f t="shared" si="52"/>
        <v xml:space="preserve">3.426 </v>
      </c>
      <c r="F202" s="12" t="str">
        <f t="shared" si="53"/>
        <v xml:space="preserve">3.723 </v>
      </c>
      <c r="G202" s="12" t="str">
        <f t="shared" si="54"/>
        <v xml:space="preserve">3.810 </v>
      </c>
      <c r="H202" s="12" t="str">
        <f t="shared" si="55"/>
        <v xml:space="preserve">3.906 </v>
      </c>
      <c r="I202" s="12" t="str">
        <f t="shared" si="56"/>
        <v xml:space="preserve">3.948 </v>
      </c>
      <c r="J202" s="12" t="str">
        <f t="shared" si="57"/>
        <v xml:space="preserve">3.980 </v>
      </c>
      <c r="K202" s="12" t="str">
        <f t="shared" si="58"/>
        <v xml:space="preserve">4.059 </v>
      </c>
      <c r="L202" s="12" t="str">
        <f t="shared" si="59"/>
        <v xml:space="preserve">4.056 </v>
      </c>
      <c r="M202" s="12" t="str">
        <f t="shared" si="60"/>
        <v xml:space="preserve">4.130 </v>
      </c>
      <c r="N202" s="12" t="str">
        <f t="shared" si="61"/>
        <v xml:space="preserve">4.160 </v>
      </c>
      <c r="O202" s="12" t="str">
        <f t="shared" si="62"/>
        <v xml:space="preserve">4.096 </v>
      </c>
      <c r="P202" s="12" t="str">
        <f t="shared" si="63"/>
        <v xml:space="preserve">4.050 </v>
      </c>
      <c r="Q202" s="12" t="str">
        <f t="shared" si="64"/>
        <v xml:space="preserve">4.005 </v>
      </c>
      <c r="R202" s="12" t="str">
        <f t="shared" si="65"/>
        <v xml:space="preserve">3.960 </v>
      </c>
      <c r="Z202" s="11">
        <v>45232</v>
      </c>
      <c r="AA202">
        <v>3.3959999999999999</v>
      </c>
      <c r="AB202">
        <v>3.5819999999999999</v>
      </c>
      <c r="AC202">
        <v>3.4260000000000002</v>
      </c>
      <c r="AD202">
        <v>3.7229999999999999</v>
      </c>
      <c r="AE202">
        <v>3.81</v>
      </c>
      <c r="AF202">
        <v>3.9060000000000001</v>
      </c>
      <c r="AG202">
        <v>3.948</v>
      </c>
      <c r="AH202">
        <v>3.98</v>
      </c>
      <c r="AI202">
        <v>4.0590000000000002</v>
      </c>
      <c r="AJ202">
        <v>4.056</v>
      </c>
      <c r="AK202">
        <v>4.13</v>
      </c>
      <c r="AL202">
        <v>4.16</v>
      </c>
      <c r="AM202">
        <v>4.0960000000000001</v>
      </c>
      <c r="AN202">
        <v>4.05</v>
      </c>
      <c r="AO202">
        <v>4.0049999999999999</v>
      </c>
      <c r="AP202">
        <v>3.96</v>
      </c>
    </row>
    <row r="203" spans="2:42">
      <c r="B203" s="5">
        <f t="shared" si="66"/>
        <v>45231</v>
      </c>
      <c r="C203" s="12" t="str">
        <f t="shared" si="67"/>
        <v xml:space="preserve">3.396 </v>
      </c>
      <c r="D203" s="12" t="str">
        <f t="shared" si="51"/>
        <v xml:space="preserve">3.586 </v>
      </c>
      <c r="E203" s="12" t="str">
        <f t="shared" si="52"/>
        <v xml:space="preserve">3.441 </v>
      </c>
      <c r="F203" s="12" t="str">
        <f t="shared" si="53"/>
        <v xml:space="preserve">3.716 </v>
      </c>
      <c r="G203" s="12" t="str">
        <f t="shared" si="54"/>
        <v xml:space="preserve">3.817 </v>
      </c>
      <c r="H203" s="12" t="str">
        <f t="shared" si="55"/>
        <v xml:space="preserve">3.963 </v>
      </c>
      <c r="I203" s="12" t="str">
        <f t="shared" si="56"/>
        <v xml:space="preserve">4.010 </v>
      </c>
      <c r="J203" s="12" t="str">
        <f t="shared" si="57"/>
        <v xml:space="preserve">4.065 </v>
      </c>
      <c r="K203" s="12" t="str">
        <f t="shared" si="58"/>
        <v xml:space="preserve">4.156 </v>
      </c>
      <c r="L203" s="12" t="str">
        <f t="shared" si="59"/>
        <v xml:space="preserve">4.165 </v>
      </c>
      <c r="M203" s="12" t="str">
        <f t="shared" si="60"/>
        <v xml:space="preserve">4.242 </v>
      </c>
      <c r="N203" s="12" t="str">
        <f t="shared" si="61"/>
        <v xml:space="preserve">4.285 </v>
      </c>
      <c r="O203" s="12" t="str">
        <f t="shared" si="62"/>
        <v xml:space="preserve">4.176 </v>
      </c>
      <c r="P203" s="12" t="str">
        <f t="shared" si="63"/>
        <v xml:space="preserve">4.088 </v>
      </c>
      <c r="Q203" s="12" t="str">
        <f t="shared" si="64"/>
        <v xml:space="preserve">4.020 </v>
      </c>
      <c r="R203" s="12" t="str">
        <f t="shared" si="65"/>
        <v xml:space="preserve">3.975 </v>
      </c>
      <c r="Z203" s="11">
        <v>45231</v>
      </c>
      <c r="AA203">
        <v>3.3959999999999999</v>
      </c>
      <c r="AB203">
        <v>3.5859999999999999</v>
      </c>
      <c r="AC203">
        <v>3.4409999999999998</v>
      </c>
      <c r="AD203">
        <v>3.7160000000000002</v>
      </c>
      <c r="AE203">
        <v>3.8170000000000002</v>
      </c>
      <c r="AF203">
        <v>3.9630000000000001</v>
      </c>
      <c r="AG203">
        <v>4.01</v>
      </c>
      <c r="AH203">
        <v>4.0650000000000004</v>
      </c>
      <c r="AI203">
        <v>4.1559999999999997</v>
      </c>
      <c r="AJ203">
        <v>4.165</v>
      </c>
      <c r="AK203">
        <v>4.242</v>
      </c>
      <c r="AL203">
        <v>4.2850000000000001</v>
      </c>
      <c r="AM203">
        <v>4.1760000000000002</v>
      </c>
      <c r="AN203">
        <v>4.0880000000000001</v>
      </c>
      <c r="AO203">
        <v>4.0199999999999996</v>
      </c>
      <c r="AP203">
        <v>3.9750000000000001</v>
      </c>
    </row>
    <row r="204" spans="2:42">
      <c r="B204" s="5">
        <f t="shared" si="66"/>
        <v>45230</v>
      </c>
      <c r="C204" s="12" t="str">
        <f t="shared" si="67"/>
        <v xml:space="preserve">3.406 </v>
      </c>
      <c r="D204" s="12" t="str">
        <f t="shared" si="51"/>
        <v xml:space="preserve">3.605 </v>
      </c>
      <c r="E204" s="12" t="str">
        <f t="shared" si="52"/>
        <v xml:space="preserve">3.461 </v>
      </c>
      <c r="F204" s="12" t="str">
        <f t="shared" si="53"/>
        <v xml:space="preserve">3.731 </v>
      </c>
      <c r="G204" s="12" t="str">
        <f t="shared" si="54"/>
        <v xml:space="preserve">3.823 </v>
      </c>
      <c r="H204" s="12" t="str">
        <f t="shared" si="55"/>
        <v xml:space="preserve">3.981 </v>
      </c>
      <c r="I204" s="12" t="str">
        <f t="shared" si="56"/>
        <v xml:space="preserve">4.030 </v>
      </c>
      <c r="J204" s="12" t="str">
        <f t="shared" si="57"/>
        <v xml:space="preserve">4.084 </v>
      </c>
      <c r="K204" s="12" t="str">
        <f t="shared" si="58"/>
        <v xml:space="preserve">4.187 </v>
      </c>
      <c r="L204" s="12" t="str">
        <f t="shared" si="59"/>
        <v xml:space="preserve">4.203 </v>
      </c>
      <c r="M204" s="12" t="str">
        <f t="shared" si="60"/>
        <v xml:space="preserve">4.288 </v>
      </c>
      <c r="N204" s="12" t="str">
        <f t="shared" si="61"/>
        <v xml:space="preserve">4.335 </v>
      </c>
      <c r="O204" s="12" t="str">
        <f t="shared" si="62"/>
        <v xml:space="preserve">4.226 </v>
      </c>
      <c r="P204" s="12" t="str">
        <f t="shared" si="63"/>
        <v xml:space="preserve">4.140 </v>
      </c>
      <c r="Q204" s="12" t="str">
        <f t="shared" si="64"/>
        <v xml:space="preserve">4.070 </v>
      </c>
      <c r="R204" s="12" t="str">
        <f t="shared" si="65"/>
        <v xml:space="preserve">4.025 </v>
      </c>
      <c r="Z204" s="11">
        <v>45230</v>
      </c>
      <c r="AA204">
        <v>3.4060000000000001</v>
      </c>
      <c r="AB204">
        <v>3.605</v>
      </c>
      <c r="AC204">
        <v>3.4609999999999999</v>
      </c>
      <c r="AD204">
        <v>3.7309999999999999</v>
      </c>
      <c r="AE204">
        <v>3.823</v>
      </c>
      <c r="AF204">
        <v>3.9809999999999999</v>
      </c>
      <c r="AG204">
        <v>4.03</v>
      </c>
      <c r="AH204">
        <v>4.0839999999999996</v>
      </c>
      <c r="AI204">
        <v>4.1870000000000003</v>
      </c>
      <c r="AJ204">
        <v>4.2030000000000003</v>
      </c>
      <c r="AK204">
        <v>4.2880000000000003</v>
      </c>
      <c r="AL204">
        <v>4.335</v>
      </c>
      <c r="AM204">
        <v>4.226</v>
      </c>
      <c r="AN204">
        <v>4.1399999999999997</v>
      </c>
      <c r="AO204">
        <v>4.07</v>
      </c>
      <c r="AP204">
        <v>4.0250000000000004</v>
      </c>
    </row>
    <row r="205" spans="2:42">
      <c r="B205" s="5">
        <f t="shared" si="66"/>
        <v>45229</v>
      </c>
      <c r="C205" s="12" t="str">
        <f t="shared" si="67"/>
        <v xml:space="preserve">3.410 </v>
      </c>
      <c r="D205" s="12" t="str">
        <f t="shared" si="51"/>
        <v xml:space="preserve">3.605 </v>
      </c>
      <c r="E205" s="12" t="str">
        <f t="shared" si="52"/>
        <v xml:space="preserve">3.471 </v>
      </c>
      <c r="F205" s="12" t="str">
        <f t="shared" si="53"/>
        <v xml:space="preserve">3.730 </v>
      </c>
      <c r="G205" s="12" t="str">
        <f t="shared" si="54"/>
        <v xml:space="preserve">3.801 </v>
      </c>
      <c r="H205" s="12" t="str">
        <f t="shared" si="55"/>
        <v xml:space="preserve">3.976 </v>
      </c>
      <c r="I205" s="12" t="str">
        <f t="shared" si="56"/>
        <v xml:space="preserve">4.040 </v>
      </c>
      <c r="J205" s="12" t="str">
        <f t="shared" si="57"/>
        <v xml:space="preserve">4.085 </v>
      </c>
      <c r="K205" s="12" t="str">
        <f t="shared" si="58"/>
        <v xml:space="preserve">4.180 </v>
      </c>
      <c r="L205" s="12" t="str">
        <f t="shared" si="59"/>
        <v xml:space="preserve">4.188 </v>
      </c>
      <c r="M205" s="12" t="str">
        <f t="shared" si="60"/>
        <v xml:space="preserve">4.266 </v>
      </c>
      <c r="N205" s="12" t="str">
        <f t="shared" si="61"/>
        <v xml:space="preserve">4.305 </v>
      </c>
      <c r="O205" s="12" t="str">
        <f t="shared" si="62"/>
        <v xml:space="preserve">4.206 </v>
      </c>
      <c r="P205" s="12" t="str">
        <f t="shared" si="63"/>
        <v xml:space="preserve">4.132 </v>
      </c>
      <c r="Q205" s="12" t="str">
        <f t="shared" si="64"/>
        <v xml:space="preserve">4.093 </v>
      </c>
      <c r="R205" s="12" t="str">
        <f t="shared" si="65"/>
        <v xml:space="preserve">4.048 </v>
      </c>
      <c r="Z205" s="11">
        <v>45229</v>
      </c>
      <c r="AA205">
        <v>3.41</v>
      </c>
      <c r="AB205">
        <v>3.605</v>
      </c>
      <c r="AC205">
        <v>3.4710000000000001</v>
      </c>
      <c r="AD205">
        <v>3.73</v>
      </c>
      <c r="AE205">
        <v>3.8010000000000002</v>
      </c>
      <c r="AF205">
        <v>3.976</v>
      </c>
      <c r="AG205">
        <v>4.04</v>
      </c>
      <c r="AH205">
        <v>4.085</v>
      </c>
      <c r="AI205">
        <v>4.18</v>
      </c>
      <c r="AJ205">
        <v>4.1879999999999997</v>
      </c>
      <c r="AK205">
        <v>4.266</v>
      </c>
      <c r="AL205">
        <v>4.3049999999999997</v>
      </c>
      <c r="AM205">
        <v>4.2060000000000004</v>
      </c>
      <c r="AN205">
        <v>4.1319999999999997</v>
      </c>
      <c r="AO205">
        <v>4.093</v>
      </c>
      <c r="AP205">
        <v>4.048</v>
      </c>
    </row>
    <row r="206" spans="2:42">
      <c r="B206" s="5">
        <f t="shared" si="66"/>
        <v>45226</v>
      </c>
      <c r="C206" s="12" t="str">
        <f t="shared" si="67"/>
        <v xml:space="preserve">3.408 </v>
      </c>
      <c r="D206" s="12" t="str">
        <f t="shared" si="51"/>
        <v xml:space="preserve">3.588 </v>
      </c>
      <c r="E206" s="12" t="str">
        <f t="shared" si="52"/>
        <v xml:space="preserve">3.471 </v>
      </c>
      <c r="F206" s="12" t="str">
        <f t="shared" si="53"/>
        <v xml:space="preserve">3.730 </v>
      </c>
      <c r="G206" s="12" t="str">
        <f t="shared" si="54"/>
        <v xml:space="preserve">3.806 </v>
      </c>
      <c r="H206" s="12" t="str">
        <f t="shared" si="55"/>
        <v xml:space="preserve">3.973 </v>
      </c>
      <c r="I206" s="12" t="str">
        <f t="shared" si="56"/>
        <v xml:space="preserve">4.031 </v>
      </c>
      <c r="J206" s="12" t="str">
        <f t="shared" si="57"/>
        <v xml:space="preserve">4.077 </v>
      </c>
      <c r="K206" s="12" t="str">
        <f t="shared" si="58"/>
        <v xml:space="preserve">4.169 </v>
      </c>
      <c r="L206" s="12" t="str">
        <f t="shared" si="59"/>
        <v xml:space="preserve">4.173 </v>
      </c>
      <c r="M206" s="12" t="str">
        <f t="shared" si="60"/>
        <v xml:space="preserve">4.251 </v>
      </c>
      <c r="N206" s="12" t="str">
        <f t="shared" si="61"/>
        <v xml:space="preserve">4.290 </v>
      </c>
      <c r="O206" s="12" t="str">
        <f t="shared" si="62"/>
        <v xml:space="preserve">4.175 </v>
      </c>
      <c r="P206" s="12" t="str">
        <f t="shared" si="63"/>
        <v xml:space="preserve">4.085 </v>
      </c>
      <c r="Q206" s="12" t="str">
        <f t="shared" si="64"/>
        <v xml:space="preserve">4.040 </v>
      </c>
      <c r="R206" s="12" t="str">
        <f t="shared" si="65"/>
        <v xml:space="preserve">3.995 </v>
      </c>
      <c r="Z206" s="11">
        <v>45226</v>
      </c>
      <c r="AA206">
        <v>3.4079999999999999</v>
      </c>
      <c r="AB206">
        <v>3.5880000000000001</v>
      </c>
      <c r="AC206">
        <v>3.4710000000000001</v>
      </c>
      <c r="AD206">
        <v>3.73</v>
      </c>
      <c r="AE206">
        <v>3.806</v>
      </c>
      <c r="AF206">
        <v>3.9729999999999999</v>
      </c>
      <c r="AG206">
        <v>4.0309999999999997</v>
      </c>
      <c r="AH206">
        <v>4.077</v>
      </c>
      <c r="AI206">
        <v>4.1689999999999996</v>
      </c>
      <c r="AJ206">
        <v>4.173</v>
      </c>
      <c r="AK206">
        <v>4.2510000000000003</v>
      </c>
      <c r="AL206">
        <v>4.29</v>
      </c>
      <c r="AM206">
        <v>4.1749999999999998</v>
      </c>
      <c r="AN206">
        <v>4.085</v>
      </c>
      <c r="AO206">
        <v>4.04</v>
      </c>
      <c r="AP206">
        <v>3.9950000000000001</v>
      </c>
    </row>
    <row r="207" spans="2:42">
      <c r="B207" s="5">
        <f t="shared" si="66"/>
        <v>45225</v>
      </c>
      <c r="C207" s="12" t="str">
        <f t="shared" si="67"/>
        <v xml:space="preserve">3.420 </v>
      </c>
      <c r="D207" s="12" t="str">
        <f t="shared" si="51"/>
        <v xml:space="preserve">3.611 </v>
      </c>
      <c r="E207" s="12" t="str">
        <f t="shared" si="52"/>
        <v xml:space="preserve">3.493 </v>
      </c>
      <c r="F207" s="12" t="str">
        <f t="shared" si="53"/>
        <v xml:space="preserve">3.765 </v>
      </c>
      <c r="G207" s="12" t="str">
        <f t="shared" si="54"/>
        <v xml:space="preserve">3.858 </v>
      </c>
      <c r="H207" s="12" t="str">
        <f t="shared" si="55"/>
        <v xml:space="preserve">3.996 </v>
      </c>
      <c r="I207" s="12" t="str">
        <f t="shared" si="56"/>
        <v xml:space="preserve">4.056 </v>
      </c>
      <c r="J207" s="12" t="str">
        <f t="shared" si="57"/>
        <v xml:space="preserve">4.112 </v>
      </c>
      <c r="K207" s="12" t="str">
        <f t="shared" si="58"/>
        <v xml:space="preserve">4.218 </v>
      </c>
      <c r="L207" s="12" t="str">
        <f t="shared" si="59"/>
        <v xml:space="preserve">4.245 </v>
      </c>
      <c r="M207" s="12" t="str">
        <f t="shared" si="60"/>
        <v xml:space="preserve">4.342 </v>
      </c>
      <c r="N207" s="12" t="str">
        <f t="shared" si="61"/>
        <v xml:space="preserve">4.400 </v>
      </c>
      <c r="O207" s="12" t="str">
        <f t="shared" si="62"/>
        <v xml:space="preserve">4.320 </v>
      </c>
      <c r="P207" s="12" t="str">
        <f t="shared" si="63"/>
        <v xml:space="preserve">4.265 </v>
      </c>
      <c r="Q207" s="12" t="str">
        <f t="shared" si="64"/>
        <v xml:space="preserve">4.260 </v>
      </c>
      <c r="R207" s="12" t="str">
        <f t="shared" si="65"/>
        <v xml:space="preserve">4.215 </v>
      </c>
      <c r="Z207" s="11">
        <v>45225</v>
      </c>
      <c r="AA207">
        <v>3.42</v>
      </c>
      <c r="AB207">
        <v>3.6110000000000002</v>
      </c>
      <c r="AC207">
        <v>3.4929999999999999</v>
      </c>
      <c r="AD207">
        <v>3.7650000000000001</v>
      </c>
      <c r="AE207">
        <v>3.8580000000000001</v>
      </c>
      <c r="AF207">
        <v>3.996</v>
      </c>
      <c r="AG207">
        <v>4.056</v>
      </c>
      <c r="AH207">
        <v>4.1120000000000001</v>
      </c>
      <c r="AI207">
        <v>4.218</v>
      </c>
      <c r="AJ207">
        <v>4.2450000000000001</v>
      </c>
      <c r="AK207">
        <v>4.3419999999999996</v>
      </c>
      <c r="AL207">
        <v>4.4000000000000004</v>
      </c>
      <c r="AM207">
        <v>4.32</v>
      </c>
      <c r="AN207">
        <v>4.2649999999999997</v>
      </c>
      <c r="AO207">
        <v>4.26</v>
      </c>
      <c r="AP207">
        <v>4.2149999999999999</v>
      </c>
    </row>
    <row r="208" spans="2:42">
      <c r="B208" s="5">
        <f t="shared" si="66"/>
        <v>45224</v>
      </c>
      <c r="C208" s="12" t="str">
        <f t="shared" si="67"/>
        <v xml:space="preserve">3.411 </v>
      </c>
      <c r="D208" s="12" t="str">
        <f t="shared" si="51"/>
        <v xml:space="preserve">3.601 </v>
      </c>
      <c r="E208" s="12" t="str">
        <f t="shared" si="52"/>
        <v xml:space="preserve">3.490 </v>
      </c>
      <c r="F208" s="12" t="str">
        <f t="shared" si="53"/>
        <v xml:space="preserve">3.740 </v>
      </c>
      <c r="G208" s="12" t="str">
        <f t="shared" si="54"/>
        <v xml:space="preserve">3.823 </v>
      </c>
      <c r="H208" s="12" t="str">
        <f t="shared" si="55"/>
        <v xml:space="preserve">3.956 </v>
      </c>
      <c r="I208" s="12" t="str">
        <f t="shared" si="56"/>
        <v xml:space="preserve">3.995 </v>
      </c>
      <c r="J208" s="12" t="str">
        <f t="shared" si="57"/>
        <v xml:space="preserve">4.045 </v>
      </c>
      <c r="K208" s="12" t="str">
        <f t="shared" si="58"/>
        <v xml:space="preserve">4.138 </v>
      </c>
      <c r="L208" s="12" t="str">
        <f t="shared" si="59"/>
        <v xml:space="preserve">4.160 </v>
      </c>
      <c r="M208" s="12" t="str">
        <f t="shared" si="60"/>
        <v xml:space="preserve">4.242 </v>
      </c>
      <c r="N208" s="12" t="str">
        <f t="shared" si="61"/>
        <v xml:space="preserve">4.287 </v>
      </c>
      <c r="O208" s="12" t="str">
        <f t="shared" si="62"/>
        <v xml:space="preserve">4.236 </v>
      </c>
      <c r="P208" s="12" t="str">
        <f t="shared" si="63"/>
        <v xml:space="preserve">4.210 </v>
      </c>
      <c r="Q208" s="12" t="str">
        <f t="shared" si="64"/>
        <v xml:space="preserve">4.205 </v>
      </c>
      <c r="R208" s="12" t="str">
        <f t="shared" si="65"/>
        <v xml:space="preserve">4.160 </v>
      </c>
      <c r="Z208" s="11">
        <v>45224</v>
      </c>
      <c r="AA208">
        <v>3.411</v>
      </c>
      <c r="AB208">
        <v>3.601</v>
      </c>
      <c r="AC208">
        <v>3.49</v>
      </c>
      <c r="AD208">
        <v>3.74</v>
      </c>
      <c r="AE208">
        <v>3.823</v>
      </c>
      <c r="AF208">
        <v>3.956</v>
      </c>
      <c r="AG208">
        <v>3.9950000000000001</v>
      </c>
      <c r="AH208">
        <v>4.0449999999999999</v>
      </c>
      <c r="AI208">
        <v>4.1379999999999999</v>
      </c>
      <c r="AJ208">
        <v>4.16</v>
      </c>
      <c r="AK208">
        <v>4.242</v>
      </c>
      <c r="AL208">
        <v>4.2869999999999999</v>
      </c>
      <c r="AM208">
        <v>4.2359999999999998</v>
      </c>
      <c r="AN208">
        <v>4.21</v>
      </c>
      <c r="AO208">
        <v>4.2050000000000001</v>
      </c>
      <c r="AP208">
        <v>4.16</v>
      </c>
    </row>
    <row r="209" spans="2:42">
      <c r="B209" s="5">
        <f t="shared" si="66"/>
        <v>45223</v>
      </c>
      <c r="C209" s="12" t="str">
        <f t="shared" si="67"/>
        <v xml:space="preserve">3.416 </v>
      </c>
      <c r="D209" s="12" t="str">
        <f t="shared" si="51"/>
        <v xml:space="preserve">3.606 </v>
      </c>
      <c r="E209" s="12" t="str">
        <f t="shared" si="52"/>
        <v xml:space="preserve">3.513 </v>
      </c>
      <c r="F209" s="12" t="str">
        <f t="shared" si="53"/>
        <v xml:space="preserve">3.730 </v>
      </c>
      <c r="G209" s="12" t="str">
        <f t="shared" si="54"/>
        <v xml:space="preserve">3.765 </v>
      </c>
      <c r="H209" s="12" t="str">
        <f t="shared" si="55"/>
        <v xml:space="preserve">3.913 </v>
      </c>
      <c r="I209" s="12" t="str">
        <f t="shared" si="56"/>
        <v xml:space="preserve">3.945 </v>
      </c>
      <c r="J209" s="12" t="str">
        <f t="shared" si="57"/>
        <v xml:space="preserve">3.995 </v>
      </c>
      <c r="K209" s="12" t="str">
        <f t="shared" si="58"/>
        <v xml:space="preserve">4.110 </v>
      </c>
      <c r="L209" s="12" t="str">
        <f t="shared" si="59"/>
        <v xml:space="preserve">4.131 </v>
      </c>
      <c r="M209" s="12" t="str">
        <f t="shared" si="60"/>
        <v xml:space="preserve">4.214 </v>
      </c>
      <c r="N209" s="12" t="str">
        <f t="shared" si="61"/>
        <v xml:space="preserve">4.260 </v>
      </c>
      <c r="O209" s="12" t="str">
        <f t="shared" si="62"/>
        <v xml:space="preserve">4.232 </v>
      </c>
      <c r="P209" s="12" t="str">
        <f t="shared" si="63"/>
        <v xml:space="preserve">4.230 </v>
      </c>
      <c r="Q209" s="12" t="str">
        <f t="shared" si="64"/>
        <v xml:space="preserve">4.227 </v>
      </c>
      <c r="R209" s="12" t="str">
        <f t="shared" si="65"/>
        <v xml:space="preserve">4.182 </v>
      </c>
      <c r="Z209" s="11">
        <v>45223</v>
      </c>
      <c r="AA209">
        <v>3.4159999999999999</v>
      </c>
      <c r="AB209">
        <v>3.6059999999999999</v>
      </c>
      <c r="AC209">
        <v>3.5129999999999999</v>
      </c>
      <c r="AD209">
        <v>3.73</v>
      </c>
      <c r="AE209">
        <v>3.7650000000000001</v>
      </c>
      <c r="AF209">
        <v>3.9129999999999998</v>
      </c>
      <c r="AG209">
        <v>3.9449999999999998</v>
      </c>
      <c r="AH209">
        <v>3.9950000000000001</v>
      </c>
      <c r="AI209">
        <v>4.1100000000000003</v>
      </c>
      <c r="AJ209">
        <v>4.1310000000000002</v>
      </c>
      <c r="AK209">
        <v>4.2140000000000004</v>
      </c>
      <c r="AL209">
        <v>4.26</v>
      </c>
      <c r="AM209">
        <v>4.2320000000000002</v>
      </c>
      <c r="AN209">
        <v>4.2300000000000004</v>
      </c>
      <c r="AO209">
        <v>4.2270000000000003</v>
      </c>
      <c r="AP209">
        <v>4.1820000000000004</v>
      </c>
    </row>
    <row r="210" spans="2:42">
      <c r="B210" s="5">
        <f t="shared" si="66"/>
        <v>45222</v>
      </c>
      <c r="C210" s="12" t="str">
        <f t="shared" si="67"/>
        <v xml:space="preserve">3.426 </v>
      </c>
      <c r="D210" s="12" t="str">
        <f t="shared" si="51"/>
        <v xml:space="preserve">3.623 </v>
      </c>
      <c r="E210" s="12" t="str">
        <f t="shared" si="52"/>
        <v xml:space="preserve">3.550 </v>
      </c>
      <c r="F210" s="12" t="str">
        <f t="shared" si="53"/>
        <v xml:space="preserve">3.755 </v>
      </c>
      <c r="G210" s="12" t="str">
        <f t="shared" si="54"/>
        <v xml:space="preserve">3.793 </v>
      </c>
      <c r="H210" s="12" t="str">
        <f t="shared" si="55"/>
        <v xml:space="preserve">3.961 </v>
      </c>
      <c r="I210" s="12" t="str">
        <f t="shared" si="56"/>
        <v xml:space="preserve">3.991 </v>
      </c>
      <c r="J210" s="12" t="str">
        <f t="shared" si="57"/>
        <v xml:space="preserve">4.060 </v>
      </c>
      <c r="K210" s="12" t="str">
        <f t="shared" si="58"/>
        <v xml:space="preserve">4.201 </v>
      </c>
      <c r="L210" s="12" t="str">
        <f t="shared" si="59"/>
        <v xml:space="preserve">4.233 </v>
      </c>
      <c r="M210" s="12" t="str">
        <f t="shared" si="60"/>
        <v xml:space="preserve">4.324 </v>
      </c>
      <c r="N210" s="12" t="str">
        <f t="shared" si="61"/>
        <v xml:space="preserve">4.375 </v>
      </c>
      <c r="O210" s="12" t="str">
        <f t="shared" si="62"/>
        <v xml:space="preserve">4.342 </v>
      </c>
      <c r="P210" s="12" t="str">
        <f t="shared" si="63"/>
        <v xml:space="preserve">4.335 </v>
      </c>
      <c r="Q210" s="12" t="str">
        <f t="shared" si="64"/>
        <v xml:space="preserve">4.320 </v>
      </c>
      <c r="R210" s="12" t="str">
        <f t="shared" si="65"/>
        <v xml:space="preserve">4.275 </v>
      </c>
      <c r="Z210" s="11">
        <v>45222</v>
      </c>
      <c r="AA210">
        <v>3.4260000000000002</v>
      </c>
      <c r="AB210">
        <v>3.6230000000000002</v>
      </c>
      <c r="AC210">
        <v>3.55</v>
      </c>
      <c r="AD210">
        <v>3.7549999999999999</v>
      </c>
      <c r="AE210">
        <v>3.7930000000000001</v>
      </c>
      <c r="AF210">
        <v>3.9609999999999999</v>
      </c>
      <c r="AG210">
        <v>3.9910000000000001</v>
      </c>
      <c r="AH210">
        <v>4.0599999999999996</v>
      </c>
      <c r="AI210">
        <v>4.2009999999999996</v>
      </c>
      <c r="AJ210">
        <v>4.2329999999999997</v>
      </c>
      <c r="AK210">
        <v>4.3239999999999998</v>
      </c>
      <c r="AL210">
        <v>4.375</v>
      </c>
      <c r="AM210">
        <v>4.3419999999999996</v>
      </c>
      <c r="AN210">
        <v>4.335</v>
      </c>
      <c r="AO210">
        <v>4.32</v>
      </c>
      <c r="AP210">
        <v>4.2750000000000004</v>
      </c>
    </row>
    <row r="211" spans="2:42">
      <c r="B211" s="5">
        <f t="shared" si="66"/>
        <v>45219</v>
      </c>
      <c r="C211" s="12" t="str">
        <f t="shared" si="67"/>
        <v xml:space="preserve">3.426 </v>
      </c>
      <c r="D211" s="12" t="str">
        <f t="shared" si="51"/>
        <v xml:space="preserve">3.621 </v>
      </c>
      <c r="E211" s="12" t="str">
        <f t="shared" si="52"/>
        <v xml:space="preserve">3.556 </v>
      </c>
      <c r="F211" s="12" t="str">
        <f t="shared" si="53"/>
        <v xml:space="preserve">3.751 </v>
      </c>
      <c r="G211" s="12" t="str">
        <f t="shared" si="54"/>
        <v xml:space="preserve">3.773 </v>
      </c>
      <c r="H211" s="12" t="str">
        <f t="shared" si="55"/>
        <v xml:space="preserve">3.930 </v>
      </c>
      <c r="I211" s="12" t="str">
        <f t="shared" si="56"/>
        <v xml:space="preserve">3.960 </v>
      </c>
      <c r="J211" s="12" t="str">
        <f t="shared" si="57"/>
        <v xml:space="preserve">4.027 </v>
      </c>
      <c r="K211" s="12" t="str">
        <f t="shared" si="58"/>
        <v xml:space="preserve">4.149 </v>
      </c>
      <c r="L211" s="12" t="str">
        <f t="shared" si="59"/>
        <v xml:space="preserve">4.176 </v>
      </c>
      <c r="M211" s="12" t="str">
        <f t="shared" si="60"/>
        <v xml:space="preserve">4.268 </v>
      </c>
      <c r="N211" s="12" t="str">
        <f t="shared" si="61"/>
        <v xml:space="preserve">4.317 </v>
      </c>
      <c r="O211" s="12" t="str">
        <f t="shared" si="62"/>
        <v xml:space="preserve">4.278 </v>
      </c>
      <c r="P211" s="12" t="str">
        <f t="shared" si="63"/>
        <v xml:space="preserve">4.265 </v>
      </c>
      <c r="Q211" s="12" t="str">
        <f t="shared" si="64"/>
        <v xml:space="preserve">4.247 </v>
      </c>
      <c r="R211" s="12" t="str">
        <f t="shared" si="65"/>
        <v xml:space="preserve">4.202 </v>
      </c>
      <c r="Z211" s="11">
        <v>45219</v>
      </c>
      <c r="AA211">
        <v>3.4260000000000002</v>
      </c>
      <c r="AB211">
        <v>3.621</v>
      </c>
      <c r="AC211">
        <v>3.556</v>
      </c>
      <c r="AD211">
        <v>3.7509999999999999</v>
      </c>
      <c r="AE211">
        <v>3.7730000000000001</v>
      </c>
      <c r="AF211">
        <v>3.93</v>
      </c>
      <c r="AG211">
        <v>3.96</v>
      </c>
      <c r="AH211">
        <v>4.0270000000000001</v>
      </c>
      <c r="AI211">
        <v>4.149</v>
      </c>
      <c r="AJ211">
        <v>4.1760000000000002</v>
      </c>
      <c r="AK211">
        <v>4.2679999999999998</v>
      </c>
      <c r="AL211">
        <v>4.3170000000000002</v>
      </c>
      <c r="AM211">
        <v>4.2779999999999996</v>
      </c>
      <c r="AN211">
        <v>4.2649999999999997</v>
      </c>
      <c r="AO211">
        <v>4.2469999999999999</v>
      </c>
      <c r="AP211">
        <v>4.202</v>
      </c>
    </row>
    <row r="212" spans="2:42">
      <c r="B212" s="5">
        <f t="shared" si="66"/>
        <v>45218</v>
      </c>
      <c r="C212" s="12" t="str">
        <f t="shared" si="67"/>
        <v xml:space="preserve">3.428 </v>
      </c>
      <c r="D212" s="12" t="str">
        <f t="shared" si="51"/>
        <v xml:space="preserve">3.623 </v>
      </c>
      <c r="E212" s="12" t="str">
        <f t="shared" si="52"/>
        <v xml:space="preserve">3.561 </v>
      </c>
      <c r="F212" s="12" t="str">
        <f t="shared" si="53"/>
        <v xml:space="preserve">3.761 </v>
      </c>
      <c r="G212" s="12" t="str">
        <f t="shared" si="54"/>
        <v xml:space="preserve">3.793 </v>
      </c>
      <c r="H212" s="12" t="str">
        <f t="shared" si="55"/>
        <v xml:space="preserve">3.966 </v>
      </c>
      <c r="I212" s="12" t="str">
        <f t="shared" si="56"/>
        <v xml:space="preserve">3.995 </v>
      </c>
      <c r="J212" s="12" t="str">
        <f t="shared" si="57"/>
        <v xml:space="preserve">4.065 </v>
      </c>
      <c r="K212" s="12" t="str">
        <f t="shared" si="58"/>
        <v xml:space="preserve">4.184 </v>
      </c>
      <c r="L212" s="12" t="str">
        <f t="shared" si="59"/>
        <v xml:space="preserve">4.210 </v>
      </c>
      <c r="M212" s="12" t="str">
        <f t="shared" si="60"/>
        <v xml:space="preserve">4.307 </v>
      </c>
      <c r="N212" s="12" t="str">
        <f t="shared" si="61"/>
        <v xml:space="preserve">4.360 </v>
      </c>
      <c r="O212" s="12" t="str">
        <f t="shared" si="62"/>
        <v xml:space="preserve">4.318 </v>
      </c>
      <c r="P212" s="12" t="str">
        <f t="shared" si="63"/>
        <v xml:space="preserve">4.300 </v>
      </c>
      <c r="Q212" s="12" t="str">
        <f t="shared" si="64"/>
        <v xml:space="preserve">4.277 </v>
      </c>
      <c r="R212" s="12" t="str">
        <f t="shared" si="65"/>
        <v xml:space="preserve">4.232 </v>
      </c>
      <c r="Z212" s="11">
        <v>45218</v>
      </c>
      <c r="AA212">
        <v>3.4279999999999999</v>
      </c>
      <c r="AB212">
        <v>3.6230000000000002</v>
      </c>
      <c r="AC212">
        <v>3.5609999999999999</v>
      </c>
      <c r="AD212">
        <v>3.7610000000000001</v>
      </c>
      <c r="AE212">
        <v>3.7930000000000001</v>
      </c>
      <c r="AF212">
        <v>3.9660000000000002</v>
      </c>
      <c r="AG212">
        <v>3.9950000000000001</v>
      </c>
      <c r="AH212">
        <v>4.0650000000000004</v>
      </c>
      <c r="AI212">
        <v>4.1840000000000002</v>
      </c>
      <c r="AJ212">
        <v>4.21</v>
      </c>
      <c r="AK212">
        <v>4.3070000000000004</v>
      </c>
      <c r="AL212">
        <v>4.3600000000000003</v>
      </c>
      <c r="AM212">
        <v>4.3179999999999996</v>
      </c>
      <c r="AN212">
        <v>4.3</v>
      </c>
      <c r="AO212">
        <v>4.2770000000000001</v>
      </c>
      <c r="AP212">
        <v>4.2320000000000002</v>
      </c>
    </row>
    <row r="213" spans="2:42">
      <c r="B213" s="5">
        <f t="shared" si="66"/>
        <v>45217</v>
      </c>
      <c r="C213" s="12" t="str">
        <f t="shared" si="67"/>
        <v xml:space="preserve">3.421 </v>
      </c>
      <c r="D213" s="12" t="str">
        <f t="shared" si="51"/>
        <v xml:space="preserve">3.616 </v>
      </c>
      <c r="E213" s="12" t="str">
        <f t="shared" si="52"/>
        <v xml:space="preserve">3.558 </v>
      </c>
      <c r="F213" s="12" t="str">
        <f t="shared" si="53"/>
        <v xml:space="preserve">3.753 </v>
      </c>
      <c r="G213" s="12" t="str">
        <f t="shared" si="54"/>
        <v xml:space="preserve">3.771 </v>
      </c>
      <c r="H213" s="12" t="str">
        <f t="shared" si="55"/>
        <v xml:space="preserve">3.954 </v>
      </c>
      <c r="I213" s="12" t="str">
        <f t="shared" si="56"/>
        <v xml:space="preserve">3.974 </v>
      </c>
      <c r="J213" s="12" t="str">
        <f t="shared" si="57"/>
        <v xml:space="preserve">4.027 </v>
      </c>
      <c r="K213" s="12" t="str">
        <f t="shared" si="58"/>
        <v xml:space="preserve">4.130 </v>
      </c>
      <c r="L213" s="12" t="str">
        <f t="shared" si="59"/>
        <v xml:space="preserve">4.150 </v>
      </c>
      <c r="M213" s="12" t="str">
        <f t="shared" si="60"/>
        <v xml:space="preserve">4.240 </v>
      </c>
      <c r="N213" s="12" t="str">
        <f t="shared" si="61"/>
        <v xml:space="preserve">4.285 </v>
      </c>
      <c r="O213" s="12" t="str">
        <f t="shared" si="62"/>
        <v xml:space="preserve">4.245 </v>
      </c>
      <c r="P213" s="12" t="str">
        <f t="shared" si="63"/>
        <v xml:space="preserve">4.230 </v>
      </c>
      <c r="Q213" s="12" t="str">
        <f t="shared" si="64"/>
        <v xml:space="preserve">4.210 </v>
      </c>
      <c r="R213" s="12" t="str">
        <f t="shared" si="65"/>
        <v xml:space="preserve">4.164 </v>
      </c>
      <c r="Z213" s="11">
        <v>45217</v>
      </c>
      <c r="AA213">
        <v>3.4209999999999998</v>
      </c>
      <c r="AB213">
        <v>3.6160000000000001</v>
      </c>
      <c r="AC213">
        <v>3.5579999999999998</v>
      </c>
      <c r="AD213">
        <v>3.7530000000000001</v>
      </c>
      <c r="AE213">
        <v>3.7709999999999999</v>
      </c>
      <c r="AF213">
        <v>3.9540000000000002</v>
      </c>
      <c r="AG213">
        <v>3.9740000000000002</v>
      </c>
      <c r="AH213">
        <v>4.0270000000000001</v>
      </c>
      <c r="AI213">
        <v>4.13</v>
      </c>
      <c r="AJ213">
        <v>4.1500000000000004</v>
      </c>
      <c r="AK213">
        <v>4.24</v>
      </c>
      <c r="AL213">
        <v>4.2850000000000001</v>
      </c>
      <c r="AM213">
        <v>4.2450000000000001</v>
      </c>
      <c r="AN213">
        <v>4.2300000000000004</v>
      </c>
      <c r="AO213">
        <v>4.21</v>
      </c>
      <c r="AP213">
        <v>4.1639999999999997</v>
      </c>
    </row>
    <row r="214" spans="2:42">
      <c r="B214" s="5">
        <f t="shared" si="66"/>
        <v>45216</v>
      </c>
      <c r="C214" s="12" t="str">
        <f t="shared" si="67"/>
        <v xml:space="preserve">3.410 </v>
      </c>
      <c r="D214" s="12" t="str">
        <f t="shared" si="51"/>
        <v xml:space="preserve">3.608 </v>
      </c>
      <c r="E214" s="12" t="str">
        <f t="shared" si="52"/>
        <v xml:space="preserve">3.548 </v>
      </c>
      <c r="F214" s="12" t="str">
        <f t="shared" si="53"/>
        <v xml:space="preserve">3.741 </v>
      </c>
      <c r="G214" s="12" t="str">
        <f t="shared" si="54"/>
        <v xml:space="preserve">3.761 </v>
      </c>
      <c r="H214" s="12" t="str">
        <f t="shared" si="55"/>
        <v xml:space="preserve">3.933 </v>
      </c>
      <c r="I214" s="12" t="str">
        <f t="shared" si="56"/>
        <v xml:space="preserve">3.947 </v>
      </c>
      <c r="J214" s="12" t="str">
        <f t="shared" si="57"/>
        <v xml:space="preserve">3.994 </v>
      </c>
      <c r="K214" s="12" t="str">
        <f t="shared" si="58"/>
        <v xml:space="preserve">4.080 </v>
      </c>
      <c r="L214" s="12" t="str">
        <f t="shared" si="59"/>
        <v xml:space="preserve">4.095 </v>
      </c>
      <c r="M214" s="12" t="str">
        <f t="shared" si="60"/>
        <v xml:space="preserve">4.181 </v>
      </c>
      <c r="N214" s="12" t="str">
        <f t="shared" si="61"/>
        <v xml:space="preserve">4.225 </v>
      </c>
      <c r="O214" s="12" t="str">
        <f t="shared" si="62"/>
        <v xml:space="preserve">4.194 </v>
      </c>
      <c r="P214" s="12" t="str">
        <f t="shared" si="63"/>
        <v xml:space="preserve">4.185 </v>
      </c>
      <c r="Q214" s="12" t="str">
        <f t="shared" si="64"/>
        <v xml:space="preserve">4.167 </v>
      </c>
      <c r="R214" s="12" t="str">
        <f t="shared" si="65"/>
        <v xml:space="preserve">4.121 </v>
      </c>
      <c r="Z214" s="11">
        <v>45216</v>
      </c>
      <c r="AA214">
        <v>3.41</v>
      </c>
      <c r="AB214">
        <v>3.6080000000000001</v>
      </c>
      <c r="AC214">
        <v>3.548</v>
      </c>
      <c r="AD214">
        <v>3.7410000000000001</v>
      </c>
      <c r="AE214">
        <v>3.7610000000000001</v>
      </c>
      <c r="AF214">
        <v>3.9329999999999998</v>
      </c>
      <c r="AG214">
        <v>3.9470000000000001</v>
      </c>
      <c r="AH214">
        <v>3.9940000000000002</v>
      </c>
      <c r="AI214">
        <v>4.08</v>
      </c>
      <c r="AJ214">
        <v>4.0949999999999998</v>
      </c>
      <c r="AK214">
        <v>4.181</v>
      </c>
      <c r="AL214">
        <v>4.2249999999999996</v>
      </c>
      <c r="AM214">
        <v>4.194</v>
      </c>
      <c r="AN214">
        <v>4.1849999999999996</v>
      </c>
      <c r="AO214">
        <v>4.1669999999999998</v>
      </c>
      <c r="AP214">
        <v>4.1210000000000004</v>
      </c>
    </row>
    <row r="215" spans="2:42">
      <c r="B215" s="5">
        <f t="shared" si="66"/>
        <v>45215</v>
      </c>
      <c r="C215" s="12" t="str">
        <f t="shared" si="67"/>
        <v xml:space="preserve">3.406 </v>
      </c>
      <c r="D215" s="12" t="str">
        <f t="shared" si="51"/>
        <v xml:space="preserve">3.633 </v>
      </c>
      <c r="E215" s="12" t="str">
        <f t="shared" si="52"/>
        <v xml:space="preserve">3.556 </v>
      </c>
      <c r="F215" s="12" t="str">
        <f t="shared" si="53"/>
        <v xml:space="preserve">3.733 </v>
      </c>
      <c r="G215" s="12" t="str">
        <f t="shared" si="54"/>
        <v xml:space="preserve">3.766 </v>
      </c>
      <c r="H215" s="12" t="str">
        <f t="shared" si="55"/>
        <v xml:space="preserve">3.921 </v>
      </c>
      <c r="I215" s="12" t="str">
        <f t="shared" si="56"/>
        <v xml:space="preserve">3.935 </v>
      </c>
      <c r="J215" s="12" t="str">
        <f t="shared" si="57"/>
        <v xml:space="preserve">3.975 </v>
      </c>
      <c r="K215" s="12" t="str">
        <f t="shared" si="58"/>
        <v xml:space="preserve">4.051 </v>
      </c>
      <c r="L215" s="12" t="str">
        <f t="shared" si="59"/>
        <v xml:space="preserve">4.065 </v>
      </c>
      <c r="M215" s="12" t="str">
        <f t="shared" si="60"/>
        <v xml:space="preserve">4.153 </v>
      </c>
      <c r="N215" s="12" t="str">
        <f t="shared" si="61"/>
        <v xml:space="preserve">4.197 </v>
      </c>
      <c r="O215" s="12" t="str">
        <f t="shared" si="62"/>
        <v xml:space="preserve">4.166 </v>
      </c>
      <c r="P215" s="12" t="str">
        <f t="shared" si="63"/>
        <v xml:space="preserve">4.160 </v>
      </c>
      <c r="Q215" s="12" t="str">
        <f t="shared" si="64"/>
        <v xml:space="preserve">4.144 </v>
      </c>
      <c r="R215" s="12" t="str">
        <f t="shared" si="65"/>
        <v xml:space="preserve">4.098 </v>
      </c>
      <c r="Z215" s="11">
        <v>45215</v>
      </c>
      <c r="AA215">
        <v>3.4060000000000001</v>
      </c>
      <c r="AB215">
        <v>3.633</v>
      </c>
      <c r="AC215">
        <v>3.556</v>
      </c>
      <c r="AD215">
        <v>3.7330000000000001</v>
      </c>
      <c r="AE215">
        <v>3.766</v>
      </c>
      <c r="AF215">
        <v>3.9209999999999998</v>
      </c>
      <c r="AG215">
        <v>3.9350000000000001</v>
      </c>
      <c r="AH215">
        <v>3.9750000000000001</v>
      </c>
      <c r="AI215">
        <v>4.0510000000000002</v>
      </c>
      <c r="AJ215">
        <v>4.0650000000000004</v>
      </c>
      <c r="AK215">
        <v>4.1529999999999996</v>
      </c>
      <c r="AL215">
        <v>4.1970000000000001</v>
      </c>
      <c r="AM215">
        <v>4.1660000000000004</v>
      </c>
      <c r="AN215">
        <v>4.16</v>
      </c>
      <c r="AO215">
        <v>4.1440000000000001</v>
      </c>
      <c r="AP215">
        <v>4.0979999999999999</v>
      </c>
    </row>
    <row r="216" spans="2:42">
      <c r="B216" s="5">
        <f t="shared" si="66"/>
        <v>45212</v>
      </c>
      <c r="C216" s="12" t="str">
        <f t="shared" si="67"/>
        <v xml:space="preserve">3.410 </v>
      </c>
      <c r="D216" s="12" t="str">
        <f t="shared" si="51"/>
        <v xml:space="preserve">3.661 </v>
      </c>
      <c r="E216" s="12" t="str">
        <f t="shared" si="52"/>
        <v xml:space="preserve">3.563 </v>
      </c>
      <c r="F216" s="12" t="str">
        <f t="shared" si="53"/>
        <v xml:space="preserve">3.738 </v>
      </c>
      <c r="G216" s="12" t="str">
        <f t="shared" si="54"/>
        <v xml:space="preserve">3.774 </v>
      </c>
      <c r="H216" s="12" t="str">
        <f t="shared" si="55"/>
        <v xml:space="preserve">3.904 </v>
      </c>
      <c r="I216" s="12" t="str">
        <f t="shared" si="56"/>
        <v xml:space="preserve">3.912 </v>
      </c>
      <c r="J216" s="12" t="str">
        <f t="shared" si="57"/>
        <v xml:space="preserve">3.952 </v>
      </c>
      <c r="K216" s="12" t="str">
        <f t="shared" si="58"/>
        <v xml:space="preserve">4.023 </v>
      </c>
      <c r="L216" s="12" t="str">
        <f t="shared" si="59"/>
        <v xml:space="preserve">4.037 </v>
      </c>
      <c r="M216" s="12" t="str">
        <f t="shared" si="60"/>
        <v xml:space="preserve">4.125 </v>
      </c>
      <c r="N216" s="12" t="str">
        <f t="shared" si="61"/>
        <v xml:space="preserve">4.165 </v>
      </c>
      <c r="O216" s="12" t="str">
        <f t="shared" si="62"/>
        <v xml:space="preserve">4.129 </v>
      </c>
      <c r="P216" s="12" t="str">
        <f t="shared" si="63"/>
        <v xml:space="preserve">4.117 </v>
      </c>
      <c r="Q216" s="12" t="str">
        <f t="shared" si="64"/>
        <v xml:space="preserve">4.095 </v>
      </c>
      <c r="R216" s="12" t="str">
        <f t="shared" si="65"/>
        <v xml:space="preserve">4.049 </v>
      </c>
      <c r="Z216" s="11">
        <v>45212</v>
      </c>
      <c r="AA216">
        <v>3.41</v>
      </c>
      <c r="AB216">
        <v>3.661</v>
      </c>
      <c r="AC216">
        <v>3.5630000000000002</v>
      </c>
      <c r="AD216">
        <v>3.738</v>
      </c>
      <c r="AE216">
        <v>3.774</v>
      </c>
      <c r="AF216">
        <v>3.9039999999999999</v>
      </c>
      <c r="AG216">
        <v>3.9119999999999999</v>
      </c>
      <c r="AH216">
        <v>3.952</v>
      </c>
      <c r="AI216">
        <v>4.0229999999999997</v>
      </c>
      <c r="AJ216">
        <v>4.0369999999999999</v>
      </c>
      <c r="AK216">
        <v>4.125</v>
      </c>
      <c r="AL216">
        <v>4.165</v>
      </c>
      <c r="AM216">
        <v>4.1289999999999996</v>
      </c>
      <c r="AN216">
        <v>4.117</v>
      </c>
      <c r="AO216">
        <v>4.0949999999999998</v>
      </c>
      <c r="AP216">
        <v>4.0490000000000004</v>
      </c>
    </row>
    <row r="217" spans="2:42">
      <c r="B217" s="5">
        <f t="shared" si="66"/>
        <v>45211</v>
      </c>
      <c r="C217" s="12" t="str">
        <f t="shared" si="67"/>
        <v xml:space="preserve">3.416 </v>
      </c>
      <c r="D217" s="12" t="str">
        <f t="shared" si="51"/>
        <v xml:space="preserve">3.678 </v>
      </c>
      <c r="E217" s="12" t="str">
        <f t="shared" si="52"/>
        <v xml:space="preserve">3.578 </v>
      </c>
      <c r="F217" s="12" t="str">
        <f t="shared" si="53"/>
        <v xml:space="preserve">3.721 </v>
      </c>
      <c r="G217" s="12" t="str">
        <f t="shared" si="54"/>
        <v xml:space="preserve">3.750 </v>
      </c>
      <c r="H217" s="12" t="str">
        <f t="shared" si="55"/>
        <v xml:space="preserve">3.881 </v>
      </c>
      <c r="I217" s="12" t="str">
        <f t="shared" si="56"/>
        <v xml:space="preserve">3.894 </v>
      </c>
      <c r="J217" s="12" t="str">
        <f t="shared" si="57"/>
        <v xml:space="preserve">3.927 </v>
      </c>
      <c r="K217" s="12" t="str">
        <f t="shared" si="58"/>
        <v xml:space="preserve">3.988 </v>
      </c>
      <c r="L217" s="12" t="str">
        <f t="shared" si="59"/>
        <v xml:space="preserve">3.990 </v>
      </c>
      <c r="M217" s="12" t="str">
        <f t="shared" si="60"/>
        <v xml:space="preserve">4.062 </v>
      </c>
      <c r="N217" s="12" t="str">
        <f t="shared" si="61"/>
        <v xml:space="preserve">4.092 </v>
      </c>
      <c r="O217" s="12" t="str">
        <f t="shared" si="62"/>
        <v xml:space="preserve">4.056 </v>
      </c>
      <c r="P217" s="12" t="str">
        <f t="shared" si="63"/>
        <v xml:space="preserve">4.042 </v>
      </c>
      <c r="Q217" s="12" t="str">
        <f t="shared" si="64"/>
        <v xml:space="preserve">4.020 </v>
      </c>
      <c r="R217" s="12" t="str">
        <f t="shared" si="65"/>
        <v xml:space="preserve">3.995 </v>
      </c>
      <c r="Z217" s="11">
        <v>45211</v>
      </c>
      <c r="AA217">
        <v>3.4159999999999999</v>
      </c>
      <c r="AB217">
        <v>3.6779999999999999</v>
      </c>
      <c r="AC217">
        <v>3.5779999999999998</v>
      </c>
      <c r="AD217">
        <v>3.7210000000000001</v>
      </c>
      <c r="AE217">
        <v>3.75</v>
      </c>
      <c r="AF217">
        <v>3.8809999999999998</v>
      </c>
      <c r="AG217">
        <v>3.8940000000000001</v>
      </c>
      <c r="AH217">
        <v>3.927</v>
      </c>
      <c r="AI217">
        <v>3.988</v>
      </c>
      <c r="AJ217">
        <v>3.99</v>
      </c>
      <c r="AK217">
        <v>4.0620000000000003</v>
      </c>
      <c r="AL217">
        <v>4.0919999999999996</v>
      </c>
      <c r="AM217">
        <v>4.056</v>
      </c>
      <c r="AN217">
        <v>4.0419999999999998</v>
      </c>
      <c r="AO217">
        <v>4.0199999999999996</v>
      </c>
      <c r="AP217">
        <v>3.9950000000000001</v>
      </c>
    </row>
    <row r="218" spans="2:42">
      <c r="B218" s="5">
        <f t="shared" si="66"/>
        <v>45210</v>
      </c>
      <c r="C218" s="12" t="str">
        <f t="shared" si="67"/>
        <v xml:space="preserve">3.416 </v>
      </c>
      <c r="D218" s="12" t="str">
        <f t="shared" si="51"/>
        <v xml:space="preserve">3.678 </v>
      </c>
      <c r="E218" s="12" t="str">
        <f t="shared" si="52"/>
        <v xml:space="preserve">3.578 </v>
      </c>
      <c r="F218" s="12" t="str">
        <f t="shared" si="53"/>
        <v xml:space="preserve">3.710 </v>
      </c>
      <c r="G218" s="12" t="str">
        <f t="shared" si="54"/>
        <v xml:space="preserve">3.774 </v>
      </c>
      <c r="H218" s="12" t="str">
        <f t="shared" si="55"/>
        <v xml:space="preserve">3.905 </v>
      </c>
      <c r="I218" s="12" t="str">
        <f t="shared" si="56"/>
        <v xml:space="preserve">3.920 </v>
      </c>
      <c r="J218" s="12" t="str">
        <f t="shared" si="57"/>
        <v xml:space="preserve">3.947 </v>
      </c>
      <c r="K218" s="12" t="str">
        <f t="shared" si="58"/>
        <v xml:space="preserve">4.015 </v>
      </c>
      <c r="L218" s="12" t="str">
        <f t="shared" si="59"/>
        <v xml:space="preserve">4.025 </v>
      </c>
      <c r="M218" s="12" t="str">
        <f t="shared" si="60"/>
        <v xml:space="preserve">4.094 </v>
      </c>
      <c r="N218" s="12" t="str">
        <f t="shared" si="61"/>
        <v xml:space="preserve">4.137 </v>
      </c>
      <c r="O218" s="12" t="str">
        <f t="shared" si="62"/>
        <v xml:space="preserve">4.108 </v>
      </c>
      <c r="P218" s="12" t="str">
        <f t="shared" si="63"/>
        <v xml:space="preserve">4.100 </v>
      </c>
      <c r="Q218" s="12" t="str">
        <f t="shared" si="64"/>
        <v xml:space="preserve">4.085 </v>
      </c>
      <c r="R218" s="12" t="str">
        <f t="shared" si="65"/>
        <v xml:space="preserve">4.060 </v>
      </c>
      <c r="Z218" s="11">
        <v>45210</v>
      </c>
      <c r="AA218">
        <v>3.4159999999999999</v>
      </c>
      <c r="AB218">
        <v>3.6779999999999999</v>
      </c>
      <c r="AC218">
        <v>3.5779999999999998</v>
      </c>
      <c r="AD218">
        <v>3.71</v>
      </c>
      <c r="AE218">
        <v>3.774</v>
      </c>
      <c r="AF218">
        <v>3.9049999999999998</v>
      </c>
      <c r="AG218">
        <v>3.92</v>
      </c>
      <c r="AH218">
        <v>3.9470000000000001</v>
      </c>
      <c r="AI218">
        <v>4.0149999999999997</v>
      </c>
      <c r="AJ218">
        <v>4.0250000000000004</v>
      </c>
      <c r="AK218">
        <v>4.0940000000000003</v>
      </c>
      <c r="AL218">
        <v>4.1369999999999996</v>
      </c>
      <c r="AM218">
        <v>4.1079999999999997</v>
      </c>
      <c r="AN218">
        <v>4.0999999999999996</v>
      </c>
      <c r="AO218">
        <v>4.085</v>
      </c>
      <c r="AP218">
        <v>4.0599999999999996</v>
      </c>
    </row>
    <row r="219" spans="2:42">
      <c r="B219" s="5">
        <f t="shared" si="66"/>
        <v>45209</v>
      </c>
      <c r="C219" s="12" t="str">
        <f t="shared" si="67"/>
        <v xml:space="preserve">3.430 </v>
      </c>
      <c r="D219" s="12" t="str">
        <f t="shared" si="51"/>
        <v xml:space="preserve">3.688 </v>
      </c>
      <c r="E219" s="12" t="str">
        <f t="shared" si="52"/>
        <v xml:space="preserve">3.610 </v>
      </c>
      <c r="F219" s="12" t="str">
        <f t="shared" si="53"/>
        <v xml:space="preserve">3.730 </v>
      </c>
      <c r="G219" s="12" t="str">
        <f t="shared" si="54"/>
        <v xml:space="preserve">3.808 </v>
      </c>
      <c r="H219" s="12" t="str">
        <f t="shared" si="55"/>
        <v xml:space="preserve">3.949 </v>
      </c>
      <c r="I219" s="12" t="str">
        <f t="shared" si="56"/>
        <v xml:space="preserve">3.983 </v>
      </c>
      <c r="J219" s="12" t="str">
        <f t="shared" si="57"/>
        <v xml:space="preserve">4.000 </v>
      </c>
      <c r="K219" s="12" t="str">
        <f t="shared" si="58"/>
        <v xml:space="preserve">4.076 </v>
      </c>
      <c r="L219" s="12" t="str">
        <f t="shared" si="59"/>
        <v xml:space="preserve">4.089 </v>
      </c>
      <c r="M219" s="12" t="str">
        <f t="shared" si="60"/>
        <v xml:space="preserve">4.178 </v>
      </c>
      <c r="N219" s="12" t="str">
        <f t="shared" si="61"/>
        <v xml:space="preserve">4.225 </v>
      </c>
      <c r="O219" s="12" t="str">
        <f t="shared" si="62"/>
        <v xml:space="preserve">4.185 </v>
      </c>
      <c r="P219" s="12" t="str">
        <f t="shared" si="63"/>
        <v xml:space="preserve">4.165 </v>
      </c>
      <c r="Q219" s="12" t="str">
        <f t="shared" si="64"/>
        <v xml:space="preserve">4.133 </v>
      </c>
      <c r="R219" s="12" t="str">
        <f t="shared" si="65"/>
        <v xml:space="preserve">4.108 </v>
      </c>
      <c r="Z219" s="11">
        <v>45209</v>
      </c>
      <c r="AA219">
        <v>3.43</v>
      </c>
      <c r="AB219">
        <v>3.6880000000000002</v>
      </c>
      <c r="AC219">
        <v>3.61</v>
      </c>
      <c r="AD219">
        <v>3.73</v>
      </c>
      <c r="AE219">
        <v>3.8079999999999998</v>
      </c>
      <c r="AF219">
        <v>3.9489999999999998</v>
      </c>
      <c r="AG219">
        <v>3.9830000000000001</v>
      </c>
      <c r="AH219">
        <v>4</v>
      </c>
      <c r="AI219">
        <v>4.0759999999999996</v>
      </c>
      <c r="AJ219">
        <v>4.0890000000000004</v>
      </c>
      <c r="AK219">
        <v>4.1779999999999999</v>
      </c>
      <c r="AL219">
        <v>4.2249999999999996</v>
      </c>
      <c r="AM219">
        <v>4.1849999999999996</v>
      </c>
      <c r="AN219">
        <v>4.165</v>
      </c>
      <c r="AO219">
        <v>4.133</v>
      </c>
      <c r="AP219">
        <v>4.1079999999999997</v>
      </c>
    </row>
    <row r="220" spans="2:42">
      <c r="B220" s="5">
        <f t="shared" si="66"/>
        <v>45205</v>
      </c>
      <c r="C220" s="12" t="str">
        <f t="shared" si="67"/>
        <v xml:space="preserve">3.435 </v>
      </c>
      <c r="D220" s="12" t="str">
        <f t="shared" si="51"/>
        <v xml:space="preserve">3.693 </v>
      </c>
      <c r="E220" s="12" t="str">
        <f t="shared" si="52"/>
        <v xml:space="preserve">3.625 </v>
      </c>
      <c r="F220" s="12" t="str">
        <f t="shared" si="53"/>
        <v xml:space="preserve">3.740 </v>
      </c>
      <c r="G220" s="12" t="str">
        <f t="shared" si="54"/>
        <v xml:space="preserve">3.820 </v>
      </c>
      <c r="H220" s="12" t="str">
        <f t="shared" si="55"/>
        <v xml:space="preserve">3.967 </v>
      </c>
      <c r="I220" s="12" t="str">
        <f t="shared" si="56"/>
        <v xml:space="preserve">3.994 </v>
      </c>
      <c r="J220" s="12" t="str">
        <f t="shared" si="57"/>
        <v xml:space="preserve">4.010 </v>
      </c>
      <c r="K220" s="12" t="str">
        <f t="shared" si="58"/>
        <v xml:space="preserve">4.089 </v>
      </c>
      <c r="L220" s="12" t="str">
        <f t="shared" si="59"/>
        <v xml:space="preserve">4.100 </v>
      </c>
      <c r="M220" s="12" t="str">
        <f t="shared" si="60"/>
        <v xml:space="preserve">4.194 </v>
      </c>
      <c r="N220" s="12" t="str">
        <f t="shared" si="61"/>
        <v xml:space="preserve">4.244 </v>
      </c>
      <c r="O220" s="12" t="str">
        <f t="shared" si="62"/>
        <v xml:space="preserve">4.199 </v>
      </c>
      <c r="P220" s="12" t="str">
        <f t="shared" si="63"/>
        <v xml:space="preserve">4.174 </v>
      </c>
      <c r="Q220" s="12" t="str">
        <f t="shared" si="64"/>
        <v xml:space="preserve">4.136 </v>
      </c>
      <c r="R220" s="12" t="str">
        <f t="shared" si="65"/>
        <v xml:space="preserve">4.111 </v>
      </c>
      <c r="Z220" s="11">
        <v>45205</v>
      </c>
      <c r="AA220">
        <v>3.4350000000000001</v>
      </c>
      <c r="AB220">
        <v>3.6930000000000001</v>
      </c>
      <c r="AC220">
        <v>3.625</v>
      </c>
      <c r="AD220">
        <v>3.74</v>
      </c>
      <c r="AE220">
        <v>3.82</v>
      </c>
      <c r="AF220">
        <v>3.9670000000000001</v>
      </c>
      <c r="AG220">
        <v>3.9940000000000002</v>
      </c>
      <c r="AH220">
        <v>4.01</v>
      </c>
      <c r="AI220">
        <v>4.0890000000000004</v>
      </c>
      <c r="AJ220">
        <v>4.0999999999999996</v>
      </c>
      <c r="AK220">
        <v>4.194</v>
      </c>
      <c r="AL220">
        <v>4.2439999999999998</v>
      </c>
      <c r="AM220">
        <v>4.1989999999999998</v>
      </c>
      <c r="AN220">
        <v>4.1740000000000004</v>
      </c>
      <c r="AO220">
        <v>4.1360000000000001</v>
      </c>
      <c r="AP220">
        <v>4.1109999999999998</v>
      </c>
    </row>
    <row r="221" spans="2:42">
      <c r="B221" s="5">
        <f t="shared" si="66"/>
        <v>45204</v>
      </c>
      <c r="C221" s="12" t="str">
        <f t="shared" si="67"/>
        <v xml:space="preserve">3.443 </v>
      </c>
      <c r="D221" s="12" t="str">
        <f t="shared" si="51"/>
        <v xml:space="preserve">3.701 </v>
      </c>
      <c r="E221" s="12" t="str">
        <f t="shared" si="52"/>
        <v xml:space="preserve">3.633 </v>
      </c>
      <c r="F221" s="12" t="str">
        <f t="shared" si="53"/>
        <v xml:space="preserve">3.746 </v>
      </c>
      <c r="G221" s="12" t="str">
        <f t="shared" si="54"/>
        <v xml:space="preserve">3.878 </v>
      </c>
      <c r="H221" s="12" t="str">
        <f t="shared" si="55"/>
        <v xml:space="preserve">4.039 </v>
      </c>
      <c r="I221" s="12" t="str">
        <f t="shared" si="56"/>
        <v xml:space="preserve">4.076 </v>
      </c>
      <c r="J221" s="12" t="str">
        <f t="shared" si="57"/>
        <v xml:space="preserve">4.085 </v>
      </c>
      <c r="K221" s="12" t="str">
        <f t="shared" si="58"/>
        <v xml:space="preserve">4.170 </v>
      </c>
      <c r="L221" s="12" t="str">
        <f t="shared" si="59"/>
        <v xml:space="preserve">4.188 </v>
      </c>
      <c r="M221" s="12" t="str">
        <f t="shared" si="60"/>
        <v xml:space="preserve">4.284 </v>
      </c>
      <c r="N221" s="12" t="str">
        <f t="shared" si="61"/>
        <v xml:space="preserve">4.335 </v>
      </c>
      <c r="O221" s="12" t="str">
        <f t="shared" si="62"/>
        <v xml:space="preserve">4.281 </v>
      </c>
      <c r="P221" s="12" t="str">
        <f t="shared" si="63"/>
        <v xml:space="preserve">4.248 </v>
      </c>
      <c r="Q221" s="12" t="str">
        <f t="shared" si="64"/>
        <v xml:space="preserve">4.220 </v>
      </c>
      <c r="R221" s="12" t="str">
        <f t="shared" si="65"/>
        <v xml:space="preserve">4.195 </v>
      </c>
      <c r="Z221" s="11">
        <v>45204</v>
      </c>
      <c r="AA221">
        <v>3.4430000000000001</v>
      </c>
      <c r="AB221">
        <v>3.7010000000000001</v>
      </c>
      <c r="AC221">
        <v>3.633</v>
      </c>
      <c r="AD221">
        <v>3.746</v>
      </c>
      <c r="AE221">
        <v>3.8780000000000001</v>
      </c>
      <c r="AF221">
        <v>4.0389999999999997</v>
      </c>
      <c r="AG221">
        <v>4.0759999999999996</v>
      </c>
      <c r="AH221">
        <v>4.085</v>
      </c>
      <c r="AI221">
        <v>4.17</v>
      </c>
      <c r="AJ221">
        <v>4.1879999999999997</v>
      </c>
      <c r="AK221">
        <v>4.2839999999999998</v>
      </c>
      <c r="AL221">
        <v>4.335</v>
      </c>
      <c r="AM221">
        <v>4.2809999999999997</v>
      </c>
      <c r="AN221">
        <v>4.2480000000000002</v>
      </c>
      <c r="AO221">
        <v>4.22</v>
      </c>
      <c r="AP221">
        <v>4.1950000000000003</v>
      </c>
    </row>
    <row r="222" spans="2:42">
      <c r="B222" s="5">
        <f t="shared" si="66"/>
        <v>45203</v>
      </c>
      <c r="C222" s="12" t="str">
        <f t="shared" si="67"/>
        <v xml:space="preserve">3.461 </v>
      </c>
      <c r="D222" s="12" t="str">
        <f t="shared" si="51"/>
        <v xml:space="preserve">3.723 </v>
      </c>
      <c r="E222" s="12" t="str">
        <f t="shared" si="52"/>
        <v xml:space="preserve">3.648 </v>
      </c>
      <c r="F222" s="12" t="str">
        <f t="shared" si="53"/>
        <v xml:space="preserve">3.766 </v>
      </c>
      <c r="G222" s="12" t="str">
        <f t="shared" si="54"/>
        <v xml:space="preserve">3.938 </v>
      </c>
      <c r="H222" s="12" t="str">
        <f t="shared" si="55"/>
        <v xml:space="preserve">4.094 </v>
      </c>
      <c r="I222" s="12" t="str">
        <f t="shared" si="56"/>
        <v xml:space="preserve">4.135 </v>
      </c>
      <c r="J222" s="12" t="str">
        <f t="shared" si="57"/>
        <v xml:space="preserve">4.140 </v>
      </c>
      <c r="K222" s="12" t="str">
        <f t="shared" si="58"/>
        <v xml:space="preserve">4.215 </v>
      </c>
      <c r="L222" s="12" t="str">
        <f t="shared" si="59"/>
        <v xml:space="preserve">4.233 </v>
      </c>
      <c r="M222" s="12" t="str">
        <f t="shared" si="60"/>
        <v xml:space="preserve">4.332 </v>
      </c>
      <c r="N222" s="12" t="str">
        <f t="shared" si="61"/>
        <v xml:space="preserve">4.385 </v>
      </c>
      <c r="O222" s="12" t="str">
        <f t="shared" si="62"/>
        <v xml:space="preserve">4.321 </v>
      </c>
      <c r="P222" s="12" t="str">
        <f t="shared" si="63"/>
        <v xml:space="preserve">4.275 </v>
      </c>
      <c r="Q222" s="12" t="str">
        <f t="shared" si="64"/>
        <v xml:space="preserve">4.249 </v>
      </c>
      <c r="R222" s="12" t="str">
        <f t="shared" si="65"/>
        <v xml:space="preserve">4.224 </v>
      </c>
      <c r="Z222" s="11">
        <v>45203</v>
      </c>
      <c r="AA222">
        <v>3.4609999999999999</v>
      </c>
      <c r="AB222">
        <v>3.7229999999999999</v>
      </c>
      <c r="AC222">
        <v>3.6480000000000001</v>
      </c>
      <c r="AD222">
        <v>3.766</v>
      </c>
      <c r="AE222">
        <v>3.9380000000000002</v>
      </c>
      <c r="AF222">
        <v>4.0940000000000003</v>
      </c>
      <c r="AG222">
        <v>4.1349999999999998</v>
      </c>
      <c r="AH222">
        <v>4.1399999999999997</v>
      </c>
      <c r="AI222">
        <v>4.2149999999999999</v>
      </c>
      <c r="AJ222">
        <v>4.2329999999999997</v>
      </c>
      <c r="AK222">
        <v>4.3319999999999999</v>
      </c>
      <c r="AL222">
        <v>4.3849999999999998</v>
      </c>
      <c r="AM222">
        <v>4.3209999999999997</v>
      </c>
      <c r="AN222">
        <v>4.2750000000000004</v>
      </c>
      <c r="AO222">
        <v>4.2489999999999997</v>
      </c>
      <c r="AP222">
        <v>4.2240000000000002</v>
      </c>
    </row>
    <row r="223" spans="2:42">
      <c r="B223" s="5">
        <f t="shared" si="66"/>
        <v>45196</v>
      </c>
      <c r="C223" s="12" t="str">
        <f t="shared" si="67"/>
        <v xml:space="preserve">3.418 </v>
      </c>
      <c r="D223" s="12" t="str">
        <f t="shared" si="51"/>
        <v xml:space="preserve">3.675 </v>
      </c>
      <c r="E223" s="12" t="str">
        <f t="shared" si="52"/>
        <v xml:space="preserve">3.565 </v>
      </c>
      <c r="F223" s="12" t="str">
        <f t="shared" si="53"/>
        <v xml:space="preserve">3.683 </v>
      </c>
      <c r="G223" s="12" t="str">
        <f t="shared" si="54"/>
        <v xml:space="preserve">3.798 </v>
      </c>
      <c r="H223" s="12" t="str">
        <f t="shared" si="55"/>
        <v xml:space="preserve">3.859 </v>
      </c>
      <c r="I223" s="12" t="str">
        <f t="shared" si="56"/>
        <v xml:space="preserve">3.880 </v>
      </c>
      <c r="J223" s="12" t="str">
        <f t="shared" si="57"/>
        <v xml:space="preserve">3.875 </v>
      </c>
      <c r="K223" s="12" t="str">
        <f t="shared" si="58"/>
        <v xml:space="preserve">3.926 </v>
      </c>
      <c r="L223" s="12" t="str">
        <f t="shared" si="59"/>
        <v xml:space="preserve">3.925 </v>
      </c>
      <c r="M223" s="12" t="str">
        <f t="shared" si="60"/>
        <v xml:space="preserve">3.995 </v>
      </c>
      <c r="N223" s="12" t="str">
        <f t="shared" si="61"/>
        <v xml:space="preserve">4.012 </v>
      </c>
      <c r="O223" s="12" t="str">
        <f t="shared" si="62"/>
        <v xml:space="preserve">3.964 </v>
      </c>
      <c r="P223" s="12" t="str">
        <f t="shared" si="63"/>
        <v xml:space="preserve">3.931 </v>
      </c>
      <c r="Q223" s="12" t="str">
        <f t="shared" si="64"/>
        <v xml:space="preserve">3.882 </v>
      </c>
      <c r="R223" s="12" t="str">
        <f t="shared" si="65"/>
        <v xml:space="preserve">3.857 </v>
      </c>
      <c r="Z223" s="11">
        <v>45196</v>
      </c>
      <c r="AA223">
        <v>3.4180000000000001</v>
      </c>
      <c r="AB223">
        <v>3.6749999999999998</v>
      </c>
      <c r="AC223">
        <v>3.5649999999999999</v>
      </c>
      <c r="AD223">
        <v>3.6829999999999998</v>
      </c>
      <c r="AE223">
        <v>3.798</v>
      </c>
      <c r="AF223">
        <v>3.859</v>
      </c>
      <c r="AG223">
        <v>3.88</v>
      </c>
      <c r="AH223">
        <v>3.875</v>
      </c>
      <c r="AI223">
        <v>3.9260000000000002</v>
      </c>
      <c r="AJ223">
        <v>3.9249999999999998</v>
      </c>
      <c r="AK223">
        <v>3.9950000000000001</v>
      </c>
      <c r="AL223">
        <v>4.0119999999999996</v>
      </c>
      <c r="AM223">
        <v>3.964</v>
      </c>
      <c r="AN223">
        <v>3.931</v>
      </c>
      <c r="AO223">
        <v>3.8820000000000001</v>
      </c>
      <c r="AP223">
        <v>3.8570000000000002</v>
      </c>
    </row>
    <row r="224" spans="2:42">
      <c r="B224" s="5">
        <f t="shared" si="66"/>
        <v>45195</v>
      </c>
      <c r="C224" s="12" t="str">
        <f t="shared" si="67"/>
        <v xml:space="preserve">3.421 </v>
      </c>
      <c r="D224" s="12" t="str">
        <f t="shared" si="51"/>
        <v xml:space="preserve">3.681 </v>
      </c>
      <c r="E224" s="12" t="str">
        <f t="shared" si="52"/>
        <v xml:space="preserve">3.580 </v>
      </c>
      <c r="F224" s="12" t="str">
        <f t="shared" si="53"/>
        <v xml:space="preserve">3.666 </v>
      </c>
      <c r="G224" s="12" t="str">
        <f t="shared" si="54"/>
        <v xml:space="preserve">3.818 </v>
      </c>
      <c r="H224" s="12" t="str">
        <f t="shared" si="55"/>
        <v xml:space="preserve">3.879 </v>
      </c>
      <c r="I224" s="12" t="str">
        <f t="shared" si="56"/>
        <v xml:space="preserve">3.895 </v>
      </c>
      <c r="J224" s="12" t="str">
        <f t="shared" si="57"/>
        <v xml:space="preserve">3.897 </v>
      </c>
      <c r="K224" s="12" t="str">
        <f t="shared" si="58"/>
        <v xml:space="preserve">3.955 </v>
      </c>
      <c r="L224" s="12" t="str">
        <f t="shared" si="59"/>
        <v xml:space="preserve">3.955 </v>
      </c>
      <c r="M224" s="12" t="str">
        <f t="shared" si="60"/>
        <v xml:space="preserve">4.033 </v>
      </c>
      <c r="N224" s="12" t="str">
        <f t="shared" si="61"/>
        <v xml:space="preserve">4.055 </v>
      </c>
      <c r="O224" s="12" t="str">
        <f t="shared" si="62"/>
        <v xml:space="preserve">4.005 </v>
      </c>
      <c r="P224" s="12" t="str">
        <f t="shared" si="63"/>
        <v xml:space="preserve">3.963 </v>
      </c>
      <c r="Q224" s="12" t="str">
        <f t="shared" si="64"/>
        <v xml:space="preserve">3.915 </v>
      </c>
      <c r="R224" s="12" t="str">
        <f t="shared" si="65"/>
        <v xml:space="preserve">3.890 </v>
      </c>
      <c r="Z224" s="11">
        <v>45195</v>
      </c>
      <c r="AA224">
        <v>3.4209999999999998</v>
      </c>
      <c r="AB224">
        <v>3.681</v>
      </c>
      <c r="AC224">
        <v>3.58</v>
      </c>
      <c r="AD224">
        <v>3.6659999999999999</v>
      </c>
      <c r="AE224">
        <v>3.8180000000000001</v>
      </c>
      <c r="AF224">
        <v>3.879</v>
      </c>
      <c r="AG224">
        <v>3.895</v>
      </c>
      <c r="AH224">
        <v>3.8969999999999998</v>
      </c>
      <c r="AI224">
        <v>3.9550000000000001</v>
      </c>
      <c r="AJ224">
        <v>3.9550000000000001</v>
      </c>
      <c r="AK224">
        <v>4.0330000000000004</v>
      </c>
      <c r="AL224">
        <v>4.0549999999999997</v>
      </c>
      <c r="AM224">
        <v>4.0049999999999999</v>
      </c>
      <c r="AN224">
        <v>3.9630000000000001</v>
      </c>
      <c r="AO224">
        <v>3.915</v>
      </c>
      <c r="AP224">
        <v>3.89</v>
      </c>
    </row>
    <row r="225" spans="2:42">
      <c r="B225" s="5">
        <f t="shared" si="66"/>
        <v>45194</v>
      </c>
      <c r="C225" s="12" t="str">
        <f t="shared" si="67"/>
        <v xml:space="preserve">3.428 </v>
      </c>
      <c r="D225" s="12" t="str">
        <f t="shared" si="51"/>
        <v xml:space="preserve">3.668 </v>
      </c>
      <c r="E225" s="12" t="str">
        <f t="shared" si="52"/>
        <v xml:space="preserve">3.578 </v>
      </c>
      <c r="F225" s="12" t="str">
        <f t="shared" si="53"/>
        <v xml:space="preserve">3.656 </v>
      </c>
      <c r="G225" s="12" t="str">
        <f t="shared" si="54"/>
        <v xml:space="preserve">3.815 </v>
      </c>
      <c r="H225" s="12" t="str">
        <f t="shared" si="55"/>
        <v xml:space="preserve">3.868 </v>
      </c>
      <c r="I225" s="12" t="str">
        <f t="shared" si="56"/>
        <v xml:space="preserve">3.883 </v>
      </c>
      <c r="J225" s="12" t="str">
        <f t="shared" si="57"/>
        <v xml:space="preserve">3.881 </v>
      </c>
      <c r="K225" s="12" t="str">
        <f t="shared" si="58"/>
        <v xml:space="preserve">3.938 </v>
      </c>
      <c r="L225" s="12" t="str">
        <f t="shared" si="59"/>
        <v xml:space="preserve">3.930 </v>
      </c>
      <c r="M225" s="12" t="str">
        <f t="shared" si="60"/>
        <v xml:space="preserve">4.002 </v>
      </c>
      <c r="N225" s="12" t="str">
        <f t="shared" si="61"/>
        <v xml:space="preserve">4.015 </v>
      </c>
      <c r="O225" s="12" t="str">
        <f t="shared" si="62"/>
        <v xml:space="preserve">3.962 </v>
      </c>
      <c r="P225" s="12" t="str">
        <f t="shared" si="63"/>
        <v xml:space="preserve">3.916 </v>
      </c>
      <c r="Q225" s="12" t="str">
        <f t="shared" si="64"/>
        <v xml:space="preserve">3.870 </v>
      </c>
      <c r="R225" s="12" t="str">
        <f t="shared" si="65"/>
        <v xml:space="preserve">3.845 </v>
      </c>
      <c r="Z225" s="11">
        <v>45194</v>
      </c>
      <c r="AA225">
        <v>3.4279999999999999</v>
      </c>
      <c r="AB225">
        <v>3.6680000000000001</v>
      </c>
      <c r="AC225">
        <v>3.5779999999999998</v>
      </c>
      <c r="AD225">
        <v>3.6560000000000001</v>
      </c>
      <c r="AE225">
        <v>3.8149999999999999</v>
      </c>
      <c r="AF225">
        <v>3.8679999999999999</v>
      </c>
      <c r="AG225">
        <v>3.883</v>
      </c>
      <c r="AH225">
        <v>3.8809999999999998</v>
      </c>
      <c r="AI225">
        <v>3.9380000000000002</v>
      </c>
      <c r="AJ225">
        <v>3.93</v>
      </c>
      <c r="AK225">
        <v>4.0019999999999998</v>
      </c>
      <c r="AL225">
        <v>4.0149999999999997</v>
      </c>
      <c r="AM225">
        <v>3.9620000000000002</v>
      </c>
      <c r="AN225">
        <v>3.9159999999999999</v>
      </c>
      <c r="AO225">
        <v>3.87</v>
      </c>
      <c r="AP225">
        <v>3.8450000000000002</v>
      </c>
    </row>
    <row r="226" spans="2:42">
      <c r="B226" s="5">
        <f t="shared" si="66"/>
        <v>45191</v>
      </c>
      <c r="C226" s="12" t="str">
        <f t="shared" si="67"/>
        <v xml:space="preserve">3.428 </v>
      </c>
      <c r="D226" s="12" t="str">
        <f t="shared" si="51"/>
        <v xml:space="preserve">3.666 </v>
      </c>
      <c r="E226" s="12" t="str">
        <f t="shared" si="52"/>
        <v xml:space="preserve">3.575 </v>
      </c>
      <c r="F226" s="12" t="str">
        <f t="shared" si="53"/>
        <v xml:space="preserve">3.646 </v>
      </c>
      <c r="G226" s="12" t="str">
        <f t="shared" si="54"/>
        <v xml:space="preserve">3.815 </v>
      </c>
      <c r="H226" s="12" t="str">
        <f t="shared" si="55"/>
        <v xml:space="preserve">3.860 </v>
      </c>
      <c r="I226" s="12" t="str">
        <f t="shared" si="56"/>
        <v xml:space="preserve">3.875 </v>
      </c>
      <c r="J226" s="12" t="str">
        <f t="shared" si="57"/>
        <v xml:space="preserve">3.866 </v>
      </c>
      <c r="K226" s="12" t="str">
        <f t="shared" si="58"/>
        <v xml:space="preserve">3.928 </v>
      </c>
      <c r="L226" s="12" t="str">
        <f t="shared" si="59"/>
        <v xml:space="preserve">3.912 </v>
      </c>
      <c r="M226" s="12" t="str">
        <f t="shared" si="60"/>
        <v xml:space="preserve">3.985 </v>
      </c>
      <c r="N226" s="12" t="str">
        <f t="shared" si="61"/>
        <v xml:space="preserve">3.995 </v>
      </c>
      <c r="O226" s="12" t="str">
        <f t="shared" si="62"/>
        <v xml:space="preserve">3.934 </v>
      </c>
      <c r="P226" s="12" t="str">
        <f t="shared" si="63"/>
        <v xml:space="preserve">3.880 </v>
      </c>
      <c r="Q226" s="12" t="str">
        <f t="shared" si="64"/>
        <v xml:space="preserve">3.830 </v>
      </c>
      <c r="R226" s="12" t="str">
        <f t="shared" si="65"/>
        <v xml:space="preserve">3.805 </v>
      </c>
      <c r="Z226" s="11">
        <v>45191</v>
      </c>
      <c r="AA226">
        <v>3.4279999999999999</v>
      </c>
      <c r="AB226">
        <v>3.6659999999999999</v>
      </c>
      <c r="AC226">
        <v>3.5750000000000002</v>
      </c>
      <c r="AD226">
        <v>3.6459999999999999</v>
      </c>
      <c r="AE226">
        <v>3.8149999999999999</v>
      </c>
      <c r="AF226">
        <v>3.86</v>
      </c>
      <c r="AG226">
        <v>3.875</v>
      </c>
      <c r="AH226">
        <v>3.8660000000000001</v>
      </c>
      <c r="AI226">
        <v>3.9279999999999999</v>
      </c>
      <c r="AJ226">
        <v>3.9119999999999999</v>
      </c>
      <c r="AK226">
        <v>3.9849999999999999</v>
      </c>
      <c r="AL226">
        <v>3.9950000000000001</v>
      </c>
      <c r="AM226">
        <v>3.9340000000000002</v>
      </c>
      <c r="AN226">
        <v>3.88</v>
      </c>
      <c r="AO226">
        <v>3.83</v>
      </c>
      <c r="AP226">
        <v>3.8050000000000002</v>
      </c>
    </row>
    <row r="227" spans="2:42">
      <c r="B227" s="5">
        <f t="shared" si="66"/>
        <v>45190</v>
      </c>
      <c r="C227" s="12" t="str">
        <f t="shared" si="67"/>
        <v xml:space="preserve">3.435 </v>
      </c>
      <c r="D227" s="12" t="str">
        <f t="shared" si="51"/>
        <v xml:space="preserve">3.690 </v>
      </c>
      <c r="E227" s="12" t="str">
        <f t="shared" si="52"/>
        <v xml:space="preserve">3.598 </v>
      </c>
      <c r="F227" s="12" t="str">
        <f t="shared" si="53"/>
        <v xml:space="preserve">3.680 </v>
      </c>
      <c r="G227" s="12" t="str">
        <f t="shared" si="54"/>
        <v xml:space="preserve">3.878 </v>
      </c>
      <c r="H227" s="12" t="str">
        <f t="shared" si="55"/>
        <v xml:space="preserve">3.925 </v>
      </c>
      <c r="I227" s="12" t="str">
        <f t="shared" si="56"/>
        <v xml:space="preserve">3.935 </v>
      </c>
      <c r="J227" s="12" t="str">
        <f t="shared" si="57"/>
        <v xml:space="preserve">3.925 </v>
      </c>
      <c r="K227" s="12" t="str">
        <f t="shared" si="58"/>
        <v xml:space="preserve">3.985 </v>
      </c>
      <c r="L227" s="12" t="str">
        <f t="shared" si="59"/>
        <v xml:space="preserve">3.960 </v>
      </c>
      <c r="M227" s="12" t="str">
        <f t="shared" si="60"/>
        <v xml:space="preserve">4.027 </v>
      </c>
      <c r="N227" s="12" t="str">
        <f t="shared" si="61"/>
        <v xml:space="preserve">4.030 </v>
      </c>
      <c r="O227" s="12" t="str">
        <f t="shared" si="62"/>
        <v xml:space="preserve">3.962 </v>
      </c>
      <c r="P227" s="12" t="str">
        <f t="shared" si="63"/>
        <v xml:space="preserve">3.900 </v>
      </c>
      <c r="Q227" s="12" t="str">
        <f t="shared" si="64"/>
        <v xml:space="preserve">3.849 </v>
      </c>
      <c r="R227" s="12" t="str">
        <f t="shared" si="65"/>
        <v xml:space="preserve">3.824 </v>
      </c>
      <c r="Z227" s="11">
        <v>45190</v>
      </c>
      <c r="AA227">
        <v>3.4350000000000001</v>
      </c>
      <c r="AB227">
        <v>3.69</v>
      </c>
      <c r="AC227">
        <v>3.5979999999999999</v>
      </c>
      <c r="AD227">
        <v>3.68</v>
      </c>
      <c r="AE227">
        <v>3.8780000000000001</v>
      </c>
      <c r="AF227">
        <v>3.9249999999999998</v>
      </c>
      <c r="AG227">
        <v>3.9350000000000001</v>
      </c>
      <c r="AH227">
        <v>3.9249999999999998</v>
      </c>
      <c r="AI227">
        <v>3.9849999999999999</v>
      </c>
      <c r="AJ227">
        <v>3.96</v>
      </c>
      <c r="AK227">
        <v>4.0270000000000001</v>
      </c>
      <c r="AL227">
        <v>4.03</v>
      </c>
      <c r="AM227">
        <v>3.9620000000000002</v>
      </c>
      <c r="AN227">
        <v>3.9</v>
      </c>
      <c r="AO227">
        <v>3.8490000000000002</v>
      </c>
      <c r="AP227">
        <v>3.8239999999999998</v>
      </c>
    </row>
    <row r="228" spans="2:42">
      <c r="B228" s="5">
        <f t="shared" si="66"/>
        <v>45189</v>
      </c>
      <c r="C228" s="12" t="str">
        <f t="shared" si="67"/>
        <v xml:space="preserve">3.421 </v>
      </c>
      <c r="D228" s="12" t="str">
        <f t="shared" si="51"/>
        <v xml:space="preserve">3.675 </v>
      </c>
      <c r="E228" s="12" t="str">
        <f t="shared" si="52"/>
        <v xml:space="preserve">3.580 </v>
      </c>
      <c r="F228" s="12" t="str">
        <f t="shared" si="53"/>
        <v xml:space="preserve">3.655 </v>
      </c>
      <c r="G228" s="12" t="str">
        <f t="shared" si="54"/>
        <v xml:space="preserve">3.855 </v>
      </c>
      <c r="H228" s="12" t="str">
        <f t="shared" si="55"/>
        <v xml:space="preserve">3.893 </v>
      </c>
      <c r="I228" s="12" t="str">
        <f t="shared" si="56"/>
        <v xml:space="preserve">3.900 </v>
      </c>
      <c r="J228" s="12" t="str">
        <f t="shared" si="57"/>
        <v xml:space="preserve">3.880 </v>
      </c>
      <c r="K228" s="12" t="str">
        <f t="shared" si="58"/>
        <v xml:space="preserve">3.930 </v>
      </c>
      <c r="L228" s="12" t="str">
        <f t="shared" si="59"/>
        <v xml:space="preserve">3.904 </v>
      </c>
      <c r="M228" s="12" t="str">
        <f t="shared" si="60"/>
        <v xml:space="preserve">3.961 </v>
      </c>
      <c r="N228" s="12" t="str">
        <f t="shared" si="61"/>
        <v xml:space="preserve">3.952 </v>
      </c>
      <c r="O228" s="12" t="str">
        <f t="shared" si="62"/>
        <v xml:space="preserve">3.899 </v>
      </c>
      <c r="P228" s="12" t="str">
        <f t="shared" si="63"/>
        <v xml:space="preserve">3.850 </v>
      </c>
      <c r="Q228" s="12" t="str">
        <f t="shared" si="64"/>
        <v xml:space="preserve">3.805 </v>
      </c>
      <c r="R228" s="12" t="str">
        <f t="shared" si="65"/>
        <v xml:space="preserve">3.780 </v>
      </c>
      <c r="Z228" s="11">
        <v>45189</v>
      </c>
      <c r="AA228">
        <v>3.4209999999999998</v>
      </c>
      <c r="AB228">
        <v>3.6749999999999998</v>
      </c>
      <c r="AC228">
        <v>3.58</v>
      </c>
      <c r="AD228">
        <v>3.6549999999999998</v>
      </c>
      <c r="AE228">
        <v>3.855</v>
      </c>
      <c r="AF228">
        <v>3.8929999999999998</v>
      </c>
      <c r="AG228">
        <v>3.9</v>
      </c>
      <c r="AH228">
        <v>3.88</v>
      </c>
      <c r="AI228">
        <v>3.93</v>
      </c>
      <c r="AJ228">
        <v>3.9039999999999999</v>
      </c>
      <c r="AK228">
        <v>3.9609999999999999</v>
      </c>
      <c r="AL228">
        <v>3.952</v>
      </c>
      <c r="AM228">
        <v>3.899</v>
      </c>
      <c r="AN228">
        <v>3.85</v>
      </c>
      <c r="AO228">
        <v>3.8050000000000002</v>
      </c>
      <c r="AP228">
        <v>3.78</v>
      </c>
    </row>
    <row r="229" spans="2:42">
      <c r="B229" s="5">
        <f t="shared" si="66"/>
        <v>45188</v>
      </c>
      <c r="C229" s="12" t="str">
        <f t="shared" si="67"/>
        <v xml:space="preserve">3.421 </v>
      </c>
      <c r="D229" s="12" t="str">
        <f t="shared" si="51"/>
        <v xml:space="preserve">3.675 </v>
      </c>
      <c r="E229" s="12" t="str">
        <f t="shared" si="52"/>
        <v xml:space="preserve">3.580 </v>
      </c>
      <c r="F229" s="12" t="str">
        <f t="shared" si="53"/>
        <v xml:space="preserve">3.650 </v>
      </c>
      <c r="G229" s="12" t="str">
        <f t="shared" si="54"/>
        <v xml:space="preserve">3.861 </v>
      </c>
      <c r="H229" s="12" t="str">
        <f t="shared" si="55"/>
        <v xml:space="preserve">3.899 </v>
      </c>
      <c r="I229" s="12" t="str">
        <f t="shared" si="56"/>
        <v xml:space="preserve">3.905 </v>
      </c>
      <c r="J229" s="12" t="str">
        <f t="shared" si="57"/>
        <v xml:space="preserve">3.885 </v>
      </c>
      <c r="K229" s="12" t="str">
        <f t="shared" si="58"/>
        <v xml:space="preserve">3.935 </v>
      </c>
      <c r="L229" s="12" t="str">
        <f t="shared" si="59"/>
        <v xml:space="preserve">3.910 </v>
      </c>
      <c r="M229" s="12" t="str">
        <f t="shared" si="60"/>
        <v xml:space="preserve">3.964 </v>
      </c>
      <c r="N229" s="12" t="str">
        <f t="shared" si="61"/>
        <v xml:space="preserve">3.952 </v>
      </c>
      <c r="O229" s="12" t="str">
        <f t="shared" si="62"/>
        <v xml:space="preserve">3.899 </v>
      </c>
      <c r="P229" s="12" t="str">
        <f t="shared" si="63"/>
        <v xml:space="preserve">3.850 </v>
      </c>
      <c r="Q229" s="12" t="str">
        <f t="shared" si="64"/>
        <v xml:space="preserve">3.815 </v>
      </c>
      <c r="R229" s="12" t="str">
        <f t="shared" si="65"/>
        <v xml:space="preserve">3.790 </v>
      </c>
      <c r="Z229" s="11">
        <v>45188</v>
      </c>
      <c r="AA229">
        <v>3.4209999999999998</v>
      </c>
      <c r="AB229">
        <v>3.6749999999999998</v>
      </c>
      <c r="AC229">
        <v>3.58</v>
      </c>
      <c r="AD229">
        <v>3.65</v>
      </c>
      <c r="AE229">
        <v>3.8610000000000002</v>
      </c>
      <c r="AF229">
        <v>3.899</v>
      </c>
      <c r="AG229">
        <v>3.9049999999999998</v>
      </c>
      <c r="AH229">
        <v>3.8849999999999998</v>
      </c>
      <c r="AI229">
        <v>3.9350000000000001</v>
      </c>
      <c r="AJ229">
        <v>3.91</v>
      </c>
      <c r="AK229">
        <v>3.964</v>
      </c>
      <c r="AL229">
        <v>3.952</v>
      </c>
      <c r="AM229">
        <v>3.899</v>
      </c>
      <c r="AN229">
        <v>3.85</v>
      </c>
      <c r="AO229">
        <v>3.8149999999999999</v>
      </c>
      <c r="AP229">
        <v>3.79</v>
      </c>
    </row>
    <row r="230" spans="2:42">
      <c r="B230" s="5">
        <f t="shared" si="66"/>
        <v>45187</v>
      </c>
      <c r="C230" s="12" t="str">
        <f t="shared" si="67"/>
        <v xml:space="preserve">3.423 </v>
      </c>
      <c r="D230" s="12" t="str">
        <f t="shared" si="51"/>
        <v xml:space="preserve">3.681 </v>
      </c>
      <c r="E230" s="12" t="str">
        <f t="shared" si="52"/>
        <v xml:space="preserve">3.580 </v>
      </c>
      <c r="F230" s="12" t="str">
        <f t="shared" si="53"/>
        <v xml:space="preserve">3.646 </v>
      </c>
      <c r="G230" s="12" t="str">
        <f t="shared" si="54"/>
        <v xml:space="preserve">3.877 </v>
      </c>
      <c r="H230" s="12" t="str">
        <f t="shared" si="55"/>
        <v xml:space="preserve">3.908 </v>
      </c>
      <c r="I230" s="12" t="str">
        <f t="shared" si="56"/>
        <v xml:space="preserve">3.913 </v>
      </c>
      <c r="J230" s="12" t="str">
        <f t="shared" si="57"/>
        <v xml:space="preserve">3.894 </v>
      </c>
      <c r="K230" s="12" t="str">
        <f t="shared" si="58"/>
        <v xml:space="preserve">3.948 </v>
      </c>
      <c r="L230" s="12" t="str">
        <f t="shared" si="59"/>
        <v xml:space="preserve">3.930 </v>
      </c>
      <c r="M230" s="12" t="str">
        <f t="shared" si="60"/>
        <v xml:space="preserve">3.985 </v>
      </c>
      <c r="N230" s="12" t="str">
        <f t="shared" si="61"/>
        <v xml:space="preserve">3.975 </v>
      </c>
      <c r="O230" s="12" t="str">
        <f t="shared" si="62"/>
        <v xml:space="preserve">3.914 </v>
      </c>
      <c r="P230" s="12" t="str">
        <f t="shared" si="63"/>
        <v xml:space="preserve">3.855 </v>
      </c>
      <c r="Q230" s="12" t="str">
        <f t="shared" si="64"/>
        <v xml:space="preserve">3.815 </v>
      </c>
      <c r="R230" s="12" t="str">
        <f t="shared" si="65"/>
        <v xml:space="preserve">3.790 </v>
      </c>
      <c r="Z230" s="11">
        <v>45187</v>
      </c>
      <c r="AA230">
        <v>3.423</v>
      </c>
      <c r="AB230">
        <v>3.681</v>
      </c>
      <c r="AC230">
        <v>3.58</v>
      </c>
      <c r="AD230">
        <v>3.6459999999999999</v>
      </c>
      <c r="AE230">
        <v>3.8769999999999998</v>
      </c>
      <c r="AF230">
        <v>3.9079999999999999</v>
      </c>
      <c r="AG230">
        <v>3.9129999999999998</v>
      </c>
      <c r="AH230">
        <v>3.8940000000000001</v>
      </c>
      <c r="AI230">
        <v>3.948</v>
      </c>
      <c r="AJ230">
        <v>3.93</v>
      </c>
      <c r="AK230">
        <v>3.9849999999999999</v>
      </c>
      <c r="AL230">
        <v>3.9750000000000001</v>
      </c>
      <c r="AM230">
        <v>3.9140000000000001</v>
      </c>
      <c r="AN230">
        <v>3.855</v>
      </c>
      <c r="AO230">
        <v>3.8149999999999999</v>
      </c>
      <c r="AP230">
        <v>3.79</v>
      </c>
    </row>
    <row r="231" spans="2:42">
      <c r="B231" s="5">
        <f t="shared" si="66"/>
        <v>45184</v>
      </c>
      <c r="C231" s="12" t="str">
        <f t="shared" si="67"/>
        <v xml:space="preserve">3.410 </v>
      </c>
      <c r="D231" s="12" t="str">
        <f t="shared" si="51"/>
        <v xml:space="preserve">3.668 </v>
      </c>
      <c r="E231" s="12" t="str">
        <f t="shared" si="52"/>
        <v xml:space="preserve">3.586 </v>
      </c>
      <c r="F231" s="12" t="str">
        <f t="shared" si="53"/>
        <v xml:space="preserve">3.645 </v>
      </c>
      <c r="G231" s="12" t="str">
        <f t="shared" si="54"/>
        <v xml:space="preserve">3.851 </v>
      </c>
      <c r="H231" s="12" t="str">
        <f t="shared" si="55"/>
        <v xml:space="preserve">3.865 </v>
      </c>
      <c r="I231" s="12" t="str">
        <f t="shared" si="56"/>
        <v xml:space="preserve">3.872 </v>
      </c>
      <c r="J231" s="12" t="str">
        <f t="shared" si="57"/>
        <v xml:space="preserve">3.847 </v>
      </c>
      <c r="K231" s="12" t="str">
        <f t="shared" si="58"/>
        <v xml:space="preserve">3.898 </v>
      </c>
      <c r="L231" s="12" t="str">
        <f t="shared" si="59"/>
        <v xml:space="preserve">3.879 </v>
      </c>
      <c r="M231" s="12" t="str">
        <f t="shared" si="60"/>
        <v xml:space="preserve">3.937 </v>
      </c>
      <c r="N231" s="12" t="str">
        <f t="shared" si="61"/>
        <v xml:space="preserve">3.927 </v>
      </c>
      <c r="O231" s="12" t="str">
        <f t="shared" si="62"/>
        <v xml:space="preserve">3.870 </v>
      </c>
      <c r="P231" s="12" t="str">
        <f t="shared" si="63"/>
        <v xml:space="preserve">3.815 </v>
      </c>
      <c r="Q231" s="12" t="str">
        <f t="shared" si="64"/>
        <v xml:space="preserve">3.775 </v>
      </c>
      <c r="R231" s="12" t="str">
        <f t="shared" si="65"/>
        <v xml:space="preserve">3.750 </v>
      </c>
      <c r="Z231" s="11">
        <v>45184</v>
      </c>
      <c r="AA231">
        <v>3.41</v>
      </c>
      <c r="AB231">
        <v>3.6680000000000001</v>
      </c>
      <c r="AC231">
        <v>3.5859999999999999</v>
      </c>
      <c r="AD231">
        <v>3.645</v>
      </c>
      <c r="AE231">
        <v>3.851</v>
      </c>
      <c r="AF231">
        <v>3.8650000000000002</v>
      </c>
      <c r="AG231">
        <v>3.8719999999999999</v>
      </c>
      <c r="AH231">
        <v>3.847</v>
      </c>
      <c r="AI231">
        <v>3.8980000000000001</v>
      </c>
      <c r="AJ231">
        <v>3.879</v>
      </c>
      <c r="AK231">
        <v>3.9369999999999998</v>
      </c>
      <c r="AL231">
        <v>3.927</v>
      </c>
      <c r="AM231">
        <v>3.87</v>
      </c>
      <c r="AN231">
        <v>3.8149999999999999</v>
      </c>
      <c r="AO231">
        <v>3.7749999999999999</v>
      </c>
      <c r="AP231">
        <v>3.75</v>
      </c>
    </row>
    <row r="232" spans="2:42">
      <c r="B232" s="5">
        <f t="shared" si="66"/>
        <v>45183</v>
      </c>
      <c r="C232" s="12" t="str">
        <f t="shared" si="67"/>
        <v xml:space="preserve">3.410 </v>
      </c>
      <c r="D232" s="12" t="str">
        <f t="shared" si="51"/>
        <v xml:space="preserve">3.650 </v>
      </c>
      <c r="E232" s="12" t="str">
        <f t="shared" si="52"/>
        <v xml:space="preserve">3.583 </v>
      </c>
      <c r="F232" s="12" t="str">
        <f t="shared" si="53"/>
        <v xml:space="preserve">3.640 </v>
      </c>
      <c r="G232" s="12" t="str">
        <f t="shared" si="54"/>
        <v xml:space="preserve">3.850 </v>
      </c>
      <c r="H232" s="12" t="str">
        <f t="shared" si="55"/>
        <v xml:space="preserve">3.855 </v>
      </c>
      <c r="I232" s="12" t="str">
        <f t="shared" si="56"/>
        <v xml:space="preserve">3.862 </v>
      </c>
      <c r="J232" s="12" t="str">
        <f t="shared" si="57"/>
        <v xml:space="preserve">3.835 </v>
      </c>
      <c r="K232" s="12" t="str">
        <f t="shared" si="58"/>
        <v xml:space="preserve">3.883 </v>
      </c>
      <c r="L232" s="12" t="str">
        <f t="shared" si="59"/>
        <v xml:space="preserve">3.859 </v>
      </c>
      <c r="M232" s="12" t="str">
        <f t="shared" si="60"/>
        <v xml:space="preserve">3.925 </v>
      </c>
      <c r="N232" s="12" t="str">
        <f t="shared" si="61"/>
        <v xml:space="preserve">3.917 </v>
      </c>
      <c r="O232" s="12" t="str">
        <f t="shared" si="62"/>
        <v xml:space="preserve">3.856 </v>
      </c>
      <c r="P232" s="12" t="str">
        <f t="shared" si="63"/>
        <v xml:space="preserve">3.794 </v>
      </c>
      <c r="Q232" s="12" t="str">
        <f t="shared" si="64"/>
        <v xml:space="preserve">3.747 </v>
      </c>
      <c r="R232" s="12" t="str">
        <f t="shared" si="65"/>
        <v xml:space="preserve">3.722 </v>
      </c>
      <c r="Z232" s="11">
        <v>45183</v>
      </c>
      <c r="AA232">
        <v>3.41</v>
      </c>
      <c r="AB232">
        <v>3.65</v>
      </c>
      <c r="AC232">
        <v>3.5830000000000002</v>
      </c>
      <c r="AD232">
        <v>3.64</v>
      </c>
      <c r="AE232">
        <v>3.85</v>
      </c>
      <c r="AF232">
        <v>3.855</v>
      </c>
      <c r="AG232">
        <v>3.8620000000000001</v>
      </c>
      <c r="AH232">
        <v>3.835</v>
      </c>
      <c r="AI232">
        <v>3.883</v>
      </c>
      <c r="AJ232">
        <v>3.859</v>
      </c>
      <c r="AK232">
        <v>3.9249999999999998</v>
      </c>
      <c r="AL232">
        <v>3.9169999999999998</v>
      </c>
      <c r="AM232">
        <v>3.8559999999999999</v>
      </c>
      <c r="AN232">
        <v>3.794</v>
      </c>
      <c r="AO232">
        <v>3.7469999999999999</v>
      </c>
      <c r="AP232">
        <v>3.722</v>
      </c>
    </row>
    <row r="233" spans="2:42">
      <c r="B233" s="5">
        <f t="shared" si="66"/>
        <v>45182</v>
      </c>
      <c r="C233" s="12" t="str">
        <f t="shared" si="67"/>
        <v xml:space="preserve">3.418 </v>
      </c>
      <c r="D233" s="12" t="str">
        <f t="shared" si="51"/>
        <v xml:space="preserve">3.644 </v>
      </c>
      <c r="E233" s="12" t="str">
        <f t="shared" si="52"/>
        <v xml:space="preserve">3.583 </v>
      </c>
      <c r="F233" s="12" t="str">
        <f t="shared" si="53"/>
        <v xml:space="preserve">3.643 </v>
      </c>
      <c r="G233" s="12" t="str">
        <f t="shared" si="54"/>
        <v xml:space="preserve">3.856 </v>
      </c>
      <c r="H233" s="12" t="str">
        <f t="shared" si="55"/>
        <v xml:space="preserve">3.866 </v>
      </c>
      <c r="I233" s="12" t="str">
        <f t="shared" si="56"/>
        <v xml:space="preserve">3.873 </v>
      </c>
      <c r="J233" s="12" t="str">
        <f t="shared" si="57"/>
        <v xml:space="preserve">3.850 </v>
      </c>
      <c r="K233" s="12" t="str">
        <f t="shared" si="58"/>
        <v xml:space="preserve">3.902 </v>
      </c>
      <c r="L233" s="12" t="str">
        <f t="shared" si="59"/>
        <v xml:space="preserve">3.875 </v>
      </c>
      <c r="M233" s="12" t="str">
        <f t="shared" si="60"/>
        <v xml:space="preserve">3.949 </v>
      </c>
      <c r="N233" s="12" t="str">
        <f t="shared" si="61"/>
        <v xml:space="preserve">3.947 </v>
      </c>
      <c r="O233" s="12" t="str">
        <f t="shared" si="62"/>
        <v xml:space="preserve">3.880 </v>
      </c>
      <c r="P233" s="12" t="str">
        <f t="shared" si="63"/>
        <v xml:space="preserve">3.811 </v>
      </c>
      <c r="Q233" s="12" t="str">
        <f t="shared" si="64"/>
        <v xml:space="preserve">3.780 </v>
      </c>
      <c r="R233" s="12" t="str">
        <f t="shared" si="65"/>
        <v xml:space="preserve">3.755 </v>
      </c>
      <c r="Z233" s="11">
        <v>45182</v>
      </c>
      <c r="AA233">
        <v>3.4180000000000001</v>
      </c>
      <c r="AB233">
        <v>3.6440000000000001</v>
      </c>
      <c r="AC233">
        <v>3.5830000000000002</v>
      </c>
      <c r="AD233">
        <v>3.6429999999999998</v>
      </c>
      <c r="AE233">
        <v>3.8559999999999999</v>
      </c>
      <c r="AF233">
        <v>3.8660000000000001</v>
      </c>
      <c r="AG233">
        <v>3.8730000000000002</v>
      </c>
      <c r="AH233">
        <v>3.85</v>
      </c>
      <c r="AI233">
        <v>3.9020000000000001</v>
      </c>
      <c r="AJ233">
        <v>3.875</v>
      </c>
      <c r="AK233">
        <v>3.9489999999999998</v>
      </c>
      <c r="AL233">
        <v>3.9470000000000001</v>
      </c>
      <c r="AM233">
        <v>3.88</v>
      </c>
      <c r="AN233">
        <v>3.8109999999999999</v>
      </c>
      <c r="AO233">
        <v>3.78</v>
      </c>
      <c r="AP233">
        <v>3.7549999999999999</v>
      </c>
    </row>
    <row r="234" spans="2:42">
      <c r="B234" s="5">
        <f t="shared" si="66"/>
        <v>45181</v>
      </c>
      <c r="C234" s="12" t="str">
        <f t="shared" si="67"/>
        <v xml:space="preserve">3.430 </v>
      </c>
      <c r="D234" s="12" t="str">
        <f t="shared" si="51"/>
        <v xml:space="preserve">3.636 </v>
      </c>
      <c r="E234" s="12" t="str">
        <f t="shared" si="52"/>
        <v xml:space="preserve">3.580 </v>
      </c>
      <c r="F234" s="12" t="str">
        <f t="shared" si="53"/>
        <v xml:space="preserve">3.643 </v>
      </c>
      <c r="G234" s="12" t="str">
        <f t="shared" si="54"/>
        <v xml:space="preserve">3.866 </v>
      </c>
      <c r="H234" s="12" t="str">
        <f t="shared" si="55"/>
        <v xml:space="preserve">3.878 </v>
      </c>
      <c r="I234" s="12" t="str">
        <f t="shared" si="56"/>
        <v xml:space="preserve">3.890 </v>
      </c>
      <c r="J234" s="12" t="str">
        <f t="shared" si="57"/>
        <v xml:space="preserve">3.862 </v>
      </c>
      <c r="K234" s="12" t="str">
        <f t="shared" si="58"/>
        <v xml:space="preserve">3.921 </v>
      </c>
      <c r="L234" s="12" t="str">
        <f t="shared" si="59"/>
        <v xml:space="preserve">3.887 </v>
      </c>
      <c r="M234" s="12" t="str">
        <f t="shared" si="60"/>
        <v xml:space="preserve">3.966 </v>
      </c>
      <c r="N234" s="12" t="str">
        <f t="shared" si="61"/>
        <v xml:space="preserve">3.970 </v>
      </c>
      <c r="O234" s="12" t="str">
        <f t="shared" si="62"/>
        <v xml:space="preserve">3.913 </v>
      </c>
      <c r="P234" s="12" t="str">
        <f t="shared" si="63"/>
        <v xml:space="preserve">3.851 </v>
      </c>
      <c r="Q234" s="12" t="str">
        <f t="shared" si="64"/>
        <v xml:space="preserve">3.825 </v>
      </c>
      <c r="R234" s="12" t="str">
        <f t="shared" si="65"/>
        <v xml:space="preserve">3.800 </v>
      </c>
      <c r="Z234" s="11">
        <v>45181</v>
      </c>
      <c r="AA234">
        <v>3.43</v>
      </c>
      <c r="AB234">
        <v>3.6360000000000001</v>
      </c>
      <c r="AC234">
        <v>3.58</v>
      </c>
      <c r="AD234">
        <v>3.6429999999999998</v>
      </c>
      <c r="AE234">
        <v>3.8660000000000001</v>
      </c>
      <c r="AF234">
        <v>3.8780000000000001</v>
      </c>
      <c r="AG234">
        <v>3.89</v>
      </c>
      <c r="AH234">
        <v>3.8620000000000001</v>
      </c>
      <c r="AI234">
        <v>3.9209999999999998</v>
      </c>
      <c r="AJ234">
        <v>3.887</v>
      </c>
      <c r="AK234">
        <v>3.9660000000000002</v>
      </c>
      <c r="AL234">
        <v>3.97</v>
      </c>
      <c r="AM234">
        <v>3.9129999999999998</v>
      </c>
      <c r="AN234">
        <v>3.851</v>
      </c>
      <c r="AO234">
        <v>3.8250000000000002</v>
      </c>
      <c r="AP234">
        <v>3.8</v>
      </c>
    </row>
    <row r="235" spans="2:42">
      <c r="B235" s="5">
        <f t="shared" si="66"/>
        <v>45180</v>
      </c>
      <c r="C235" s="12" t="str">
        <f t="shared" si="67"/>
        <v xml:space="preserve">3.436 </v>
      </c>
      <c r="D235" s="12" t="str">
        <f t="shared" si="51"/>
        <v xml:space="preserve">3.628 </v>
      </c>
      <c r="E235" s="12" t="str">
        <f t="shared" si="52"/>
        <v xml:space="preserve">3.575 </v>
      </c>
      <c r="F235" s="12" t="str">
        <f t="shared" si="53"/>
        <v xml:space="preserve">3.636 </v>
      </c>
      <c r="G235" s="12" t="str">
        <f t="shared" si="54"/>
        <v xml:space="preserve">3.877 </v>
      </c>
      <c r="H235" s="12" t="str">
        <f t="shared" si="55"/>
        <v xml:space="preserve">3.874 </v>
      </c>
      <c r="I235" s="12" t="str">
        <f t="shared" si="56"/>
        <v xml:space="preserve">3.887 </v>
      </c>
      <c r="J235" s="12" t="str">
        <f t="shared" si="57"/>
        <v xml:space="preserve">3.860 </v>
      </c>
      <c r="K235" s="12" t="str">
        <f t="shared" si="58"/>
        <v xml:space="preserve">3.916 </v>
      </c>
      <c r="L235" s="12" t="str">
        <f t="shared" si="59"/>
        <v xml:space="preserve">3.880 </v>
      </c>
      <c r="M235" s="12" t="str">
        <f t="shared" si="60"/>
        <v xml:space="preserve">3.955 </v>
      </c>
      <c r="N235" s="12" t="str">
        <f t="shared" si="61"/>
        <v xml:space="preserve">3.955 </v>
      </c>
      <c r="O235" s="12" t="str">
        <f t="shared" si="62"/>
        <v xml:space="preserve">3.901 </v>
      </c>
      <c r="P235" s="12" t="str">
        <f t="shared" si="63"/>
        <v xml:space="preserve">3.844 </v>
      </c>
      <c r="Q235" s="12" t="str">
        <f t="shared" si="64"/>
        <v xml:space="preserve">3.817 </v>
      </c>
      <c r="R235" s="12" t="str">
        <f t="shared" si="65"/>
        <v xml:space="preserve">3.792 </v>
      </c>
      <c r="Z235" s="11">
        <v>45180</v>
      </c>
      <c r="AA235">
        <v>3.4359999999999999</v>
      </c>
      <c r="AB235">
        <v>3.6280000000000001</v>
      </c>
      <c r="AC235">
        <v>3.5750000000000002</v>
      </c>
      <c r="AD235">
        <v>3.6360000000000001</v>
      </c>
      <c r="AE235">
        <v>3.8769999999999998</v>
      </c>
      <c r="AF235">
        <v>3.8740000000000001</v>
      </c>
      <c r="AG235">
        <v>3.887</v>
      </c>
      <c r="AH235">
        <v>3.86</v>
      </c>
      <c r="AI235">
        <v>3.9159999999999999</v>
      </c>
      <c r="AJ235">
        <v>3.88</v>
      </c>
      <c r="AK235">
        <v>3.9550000000000001</v>
      </c>
      <c r="AL235">
        <v>3.9550000000000001</v>
      </c>
      <c r="AM235">
        <v>3.9009999999999998</v>
      </c>
      <c r="AN235">
        <v>3.8439999999999999</v>
      </c>
      <c r="AO235">
        <v>3.8170000000000002</v>
      </c>
      <c r="AP235">
        <v>3.7919999999999998</v>
      </c>
    </row>
    <row r="236" spans="2:42">
      <c r="B236" s="5">
        <f t="shared" si="66"/>
        <v>45177</v>
      </c>
      <c r="C236" s="12" t="str">
        <f t="shared" si="67"/>
        <v xml:space="preserve">3.463 </v>
      </c>
      <c r="D236" s="12" t="str">
        <f t="shared" si="51"/>
        <v xml:space="preserve">3.505 </v>
      </c>
      <c r="E236" s="12" t="str">
        <f t="shared" si="52"/>
        <v xml:space="preserve">3.588 </v>
      </c>
      <c r="F236" s="12" t="str">
        <f t="shared" si="53"/>
        <v xml:space="preserve">3.580 </v>
      </c>
      <c r="G236" s="12" t="str">
        <f t="shared" si="54"/>
        <v xml:space="preserve">3.763 </v>
      </c>
      <c r="H236" s="12" t="str">
        <f t="shared" si="55"/>
        <v xml:space="preserve">3.823 </v>
      </c>
      <c r="I236" s="12" t="str">
        <f t="shared" si="56"/>
        <v xml:space="preserve">3.821 </v>
      </c>
      <c r="J236" s="12" t="str">
        <f t="shared" si="57"/>
        <v xml:space="preserve">3.790 </v>
      </c>
      <c r="K236" s="12" t="str">
        <f t="shared" si="58"/>
        <v xml:space="preserve">3.834 </v>
      </c>
      <c r="L236" s="12" t="str">
        <f t="shared" si="59"/>
        <v xml:space="preserve">3.830 </v>
      </c>
      <c r="M236" s="12" t="str">
        <f t="shared" si="60"/>
        <v xml:space="preserve">3.880 </v>
      </c>
      <c r="N236" s="12" t="str">
        <f t="shared" si="61"/>
        <v xml:space="preserve">3.886 </v>
      </c>
      <c r="O236" s="12" t="str">
        <f t="shared" si="62"/>
        <v xml:space="preserve">3.854 </v>
      </c>
      <c r="P236" s="12" t="str">
        <f t="shared" si="63"/>
        <v xml:space="preserve">3.816 </v>
      </c>
      <c r="Q236" s="12" t="str">
        <f t="shared" si="64"/>
        <v xml:space="preserve">3.755 </v>
      </c>
      <c r="R236" s="12" t="str">
        <f t="shared" si="65"/>
        <v xml:space="preserve">3.720 </v>
      </c>
      <c r="Z236" s="11">
        <v>45177</v>
      </c>
      <c r="AA236">
        <v>3.4630000000000001</v>
      </c>
      <c r="AB236">
        <v>3.5049999999999999</v>
      </c>
      <c r="AC236">
        <v>3.5880000000000001</v>
      </c>
      <c r="AD236">
        <v>3.58</v>
      </c>
      <c r="AE236">
        <v>3.7629999999999999</v>
      </c>
      <c r="AF236">
        <v>3.823</v>
      </c>
      <c r="AG236">
        <v>3.8210000000000002</v>
      </c>
      <c r="AH236">
        <v>3.79</v>
      </c>
      <c r="AI236">
        <v>3.8340000000000001</v>
      </c>
      <c r="AJ236">
        <v>3.83</v>
      </c>
      <c r="AK236">
        <v>3.88</v>
      </c>
      <c r="AL236">
        <v>3.8860000000000001</v>
      </c>
      <c r="AM236">
        <v>3.8540000000000001</v>
      </c>
      <c r="AN236">
        <v>3.8159999999999998</v>
      </c>
      <c r="AO236">
        <v>3.7549999999999999</v>
      </c>
      <c r="AP236">
        <v>3.72</v>
      </c>
    </row>
    <row r="237" spans="2:42">
      <c r="B237" s="5">
        <f t="shared" si="66"/>
        <v>45176</v>
      </c>
      <c r="C237" s="12" t="str">
        <f t="shared" si="67"/>
        <v xml:space="preserve">3.490 </v>
      </c>
      <c r="D237" s="12" t="str">
        <f t="shared" si="51"/>
        <v xml:space="preserve">3.495 </v>
      </c>
      <c r="E237" s="12" t="str">
        <f t="shared" si="52"/>
        <v xml:space="preserve">3.618 </v>
      </c>
      <c r="F237" s="12" t="str">
        <f t="shared" si="53"/>
        <v xml:space="preserve">3.583 </v>
      </c>
      <c r="G237" s="12" t="str">
        <f t="shared" si="54"/>
        <v xml:space="preserve">3.786 </v>
      </c>
      <c r="H237" s="12" t="str">
        <f t="shared" si="55"/>
        <v xml:space="preserve">3.859 </v>
      </c>
      <c r="I237" s="12" t="str">
        <f t="shared" si="56"/>
        <v xml:space="preserve">3.865 </v>
      </c>
      <c r="J237" s="12" t="str">
        <f t="shared" si="57"/>
        <v xml:space="preserve">3.840 </v>
      </c>
      <c r="K237" s="12" t="str">
        <f t="shared" si="58"/>
        <v xml:space="preserve">3.884 </v>
      </c>
      <c r="L237" s="12" t="str">
        <f t="shared" si="59"/>
        <v xml:space="preserve">3.885 </v>
      </c>
      <c r="M237" s="12" t="str">
        <f t="shared" si="60"/>
        <v xml:space="preserve">3.950 </v>
      </c>
      <c r="N237" s="12" t="str">
        <f t="shared" si="61"/>
        <v xml:space="preserve">3.965 </v>
      </c>
      <c r="O237" s="12" t="str">
        <f t="shared" si="62"/>
        <v xml:space="preserve">3.915 </v>
      </c>
      <c r="P237" s="12" t="str">
        <f t="shared" si="63"/>
        <v xml:space="preserve">3.860 </v>
      </c>
      <c r="Q237" s="12" t="str">
        <f t="shared" si="64"/>
        <v xml:space="preserve">3.811 </v>
      </c>
      <c r="R237" s="12" t="str">
        <f t="shared" si="65"/>
        <v xml:space="preserve">3.776 </v>
      </c>
      <c r="Z237" s="11">
        <v>45176</v>
      </c>
      <c r="AA237">
        <v>3.49</v>
      </c>
      <c r="AB237">
        <v>3.4950000000000001</v>
      </c>
      <c r="AC237">
        <v>3.6179999999999999</v>
      </c>
      <c r="AD237">
        <v>3.5830000000000002</v>
      </c>
      <c r="AE237">
        <v>3.786</v>
      </c>
      <c r="AF237">
        <v>3.859</v>
      </c>
      <c r="AG237">
        <v>3.8650000000000002</v>
      </c>
      <c r="AH237">
        <v>3.84</v>
      </c>
      <c r="AI237">
        <v>3.8839999999999999</v>
      </c>
      <c r="AJ237">
        <v>3.8849999999999998</v>
      </c>
      <c r="AK237">
        <v>3.95</v>
      </c>
      <c r="AL237">
        <v>3.9649999999999999</v>
      </c>
      <c r="AM237">
        <v>3.915</v>
      </c>
      <c r="AN237">
        <v>3.86</v>
      </c>
      <c r="AO237">
        <v>3.8109999999999999</v>
      </c>
      <c r="AP237">
        <v>3.7759999999999998</v>
      </c>
    </row>
    <row r="238" spans="2:42">
      <c r="B238" s="5">
        <f t="shared" si="66"/>
        <v>45175</v>
      </c>
      <c r="C238" s="12" t="str">
        <f t="shared" si="67"/>
        <v xml:space="preserve">3.490 </v>
      </c>
      <c r="D238" s="12" t="str">
        <f t="shared" si="51"/>
        <v xml:space="preserve">3.450 </v>
      </c>
      <c r="E238" s="12" t="str">
        <f t="shared" si="52"/>
        <v xml:space="preserve">3.618 </v>
      </c>
      <c r="F238" s="12" t="str">
        <f t="shared" si="53"/>
        <v xml:space="preserve">3.545 </v>
      </c>
      <c r="G238" s="12" t="str">
        <f t="shared" si="54"/>
        <v xml:space="preserve">3.752 </v>
      </c>
      <c r="H238" s="12" t="str">
        <f t="shared" si="55"/>
        <v xml:space="preserve">3.800 </v>
      </c>
      <c r="I238" s="12" t="str">
        <f t="shared" si="56"/>
        <v xml:space="preserve">3.797 </v>
      </c>
      <c r="J238" s="12" t="str">
        <f t="shared" si="57"/>
        <v xml:space="preserve">3.775 </v>
      </c>
      <c r="K238" s="12" t="str">
        <f t="shared" si="58"/>
        <v xml:space="preserve">3.822 </v>
      </c>
      <c r="L238" s="12" t="str">
        <f t="shared" si="59"/>
        <v xml:space="preserve">3.825 </v>
      </c>
      <c r="M238" s="12" t="str">
        <f t="shared" si="60"/>
        <v xml:space="preserve">3.890 </v>
      </c>
      <c r="N238" s="12" t="str">
        <f t="shared" si="61"/>
        <v xml:space="preserve">3.905 </v>
      </c>
      <c r="O238" s="12" t="str">
        <f t="shared" si="62"/>
        <v xml:space="preserve">3.868 </v>
      </c>
      <c r="P238" s="12" t="str">
        <f t="shared" si="63"/>
        <v xml:space="preserve">3.826 </v>
      </c>
      <c r="Q238" s="12" t="str">
        <f t="shared" si="64"/>
        <v xml:space="preserve">3.777 </v>
      </c>
      <c r="R238" s="12" t="str">
        <f t="shared" si="65"/>
        <v xml:space="preserve">3.742 </v>
      </c>
      <c r="Z238" s="11">
        <v>45175</v>
      </c>
      <c r="AA238">
        <v>3.49</v>
      </c>
      <c r="AB238">
        <v>3.45</v>
      </c>
      <c r="AC238">
        <v>3.6179999999999999</v>
      </c>
      <c r="AD238">
        <v>3.5449999999999999</v>
      </c>
      <c r="AE238">
        <v>3.7519999999999998</v>
      </c>
      <c r="AF238">
        <v>3.8</v>
      </c>
      <c r="AG238">
        <v>3.7970000000000002</v>
      </c>
      <c r="AH238">
        <v>3.7749999999999999</v>
      </c>
      <c r="AI238">
        <v>3.8220000000000001</v>
      </c>
      <c r="AJ238">
        <v>3.8250000000000002</v>
      </c>
      <c r="AK238">
        <v>3.89</v>
      </c>
      <c r="AL238">
        <v>3.9049999999999998</v>
      </c>
      <c r="AM238">
        <v>3.8679999999999999</v>
      </c>
      <c r="AN238">
        <v>3.8260000000000001</v>
      </c>
      <c r="AO238">
        <v>3.7770000000000001</v>
      </c>
      <c r="AP238">
        <v>3.742</v>
      </c>
    </row>
    <row r="239" spans="2:42">
      <c r="B239" s="5">
        <f t="shared" si="66"/>
        <v>45174</v>
      </c>
      <c r="C239" s="12" t="str">
        <f t="shared" si="67"/>
        <v xml:space="preserve">3.493 </v>
      </c>
      <c r="D239" s="12" t="str">
        <f t="shared" si="51"/>
        <v xml:space="preserve">3.413 </v>
      </c>
      <c r="E239" s="12" t="str">
        <f t="shared" si="52"/>
        <v xml:space="preserve">3.635 </v>
      </c>
      <c r="F239" s="12" t="str">
        <f t="shared" si="53"/>
        <v xml:space="preserve">3.511 </v>
      </c>
      <c r="G239" s="12" t="str">
        <f t="shared" si="54"/>
        <v xml:space="preserve">3.744 </v>
      </c>
      <c r="H239" s="12" t="str">
        <f t="shared" si="55"/>
        <v xml:space="preserve">3.800 </v>
      </c>
      <c r="I239" s="12" t="str">
        <f t="shared" si="56"/>
        <v xml:space="preserve">3.783 </v>
      </c>
      <c r="J239" s="12" t="str">
        <f t="shared" si="57"/>
        <v xml:space="preserve">3.765 </v>
      </c>
      <c r="K239" s="12" t="str">
        <f t="shared" si="58"/>
        <v xml:space="preserve">3.812 </v>
      </c>
      <c r="L239" s="12" t="str">
        <f t="shared" si="59"/>
        <v xml:space="preserve">3.815 </v>
      </c>
      <c r="M239" s="12" t="str">
        <f t="shared" si="60"/>
        <v xml:space="preserve">3.878 </v>
      </c>
      <c r="N239" s="12" t="str">
        <f t="shared" si="61"/>
        <v xml:space="preserve">3.887 </v>
      </c>
      <c r="O239" s="12" t="str">
        <f t="shared" si="62"/>
        <v xml:space="preserve">3.848 </v>
      </c>
      <c r="P239" s="12" t="str">
        <f t="shared" si="63"/>
        <v xml:space="preserve">3.805 </v>
      </c>
      <c r="Q239" s="12" t="str">
        <f t="shared" si="64"/>
        <v xml:space="preserve">3.742 </v>
      </c>
      <c r="R239" s="12" t="str">
        <f t="shared" si="65"/>
        <v xml:space="preserve">3.707 </v>
      </c>
      <c r="Z239" s="11">
        <v>45174</v>
      </c>
      <c r="AA239">
        <v>3.4929999999999999</v>
      </c>
      <c r="AB239">
        <v>3.4129999999999998</v>
      </c>
      <c r="AC239">
        <v>3.6349999999999998</v>
      </c>
      <c r="AD239">
        <v>3.5110000000000001</v>
      </c>
      <c r="AE239">
        <v>3.7440000000000002</v>
      </c>
      <c r="AF239">
        <v>3.8</v>
      </c>
      <c r="AG239">
        <v>3.7829999999999999</v>
      </c>
      <c r="AH239">
        <v>3.7650000000000001</v>
      </c>
      <c r="AI239">
        <v>3.8119999999999998</v>
      </c>
      <c r="AJ239">
        <v>3.8149999999999999</v>
      </c>
      <c r="AK239">
        <v>3.8780000000000001</v>
      </c>
      <c r="AL239">
        <v>3.887</v>
      </c>
      <c r="AM239">
        <v>3.8479999999999999</v>
      </c>
      <c r="AN239">
        <v>3.8050000000000002</v>
      </c>
      <c r="AO239">
        <v>3.742</v>
      </c>
      <c r="AP239">
        <v>3.7069999999999999</v>
      </c>
    </row>
    <row r="240" spans="2:42">
      <c r="B240" s="5">
        <f t="shared" si="66"/>
        <v>45173</v>
      </c>
      <c r="C240" s="12" t="str">
        <f t="shared" si="67"/>
        <v xml:space="preserve">3.486 </v>
      </c>
      <c r="D240" s="12" t="str">
        <f t="shared" si="51"/>
        <v xml:space="preserve">3.406 </v>
      </c>
      <c r="E240" s="12" t="str">
        <f t="shared" si="52"/>
        <v xml:space="preserve">3.615 </v>
      </c>
      <c r="F240" s="12" t="str">
        <f t="shared" si="53"/>
        <v xml:space="preserve">3.513 </v>
      </c>
      <c r="G240" s="12" t="str">
        <f t="shared" si="54"/>
        <v xml:space="preserve">3.733 </v>
      </c>
      <c r="H240" s="12" t="str">
        <f t="shared" si="55"/>
        <v xml:space="preserve">3.753 </v>
      </c>
      <c r="I240" s="12" t="str">
        <f t="shared" si="56"/>
        <v xml:space="preserve">3.743 </v>
      </c>
      <c r="J240" s="12" t="str">
        <f t="shared" si="57"/>
        <v xml:space="preserve">3.732 </v>
      </c>
      <c r="K240" s="12" t="str">
        <f t="shared" si="58"/>
        <v xml:space="preserve">3.774 </v>
      </c>
      <c r="L240" s="12" t="str">
        <f t="shared" si="59"/>
        <v xml:space="preserve">3.775 </v>
      </c>
      <c r="M240" s="12" t="str">
        <f t="shared" si="60"/>
        <v xml:space="preserve">3.842 </v>
      </c>
      <c r="N240" s="12" t="str">
        <f t="shared" si="61"/>
        <v xml:space="preserve">3.855 </v>
      </c>
      <c r="O240" s="12" t="str">
        <f t="shared" si="62"/>
        <v xml:space="preserve">3.811 </v>
      </c>
      <c r="P240" s="12" t="str">
        <f t="shared" si="63"/>
        <v xml:space="preserve">3.762 </v>
      </c>
      <c r="Q240" s="12" t="str">
        <f t="shared" si="64"/>
        <v xml:space="preserve">3.717 </v>
      </c>
      <c r="R240" s="12" t="str">
        <f t="shared" si="65"/>
        <v xml:space="preserve">3.682 </v>
      </c>
      <c r="Z240" s="11">
        <v>45173</v>
      </c>
      <c r="AA240">
        <v>3.4860000000000002</v>
      </c>
      <c r="AB240">
        <v>3.4060000000000001</v>
      </c>
      <c r="AC240">
        <v>3.6150000000000002</v>
      </c>
      <c r="AD240">
        <v>3.5129999999999999</v>
      </c>
      <c r="AE240">
        <v>3.7330000000000001</v>
      </c>
      <c r="AF240">
        <v>3.7530000000000001</v>
      </c>
      <c r="AG240">
        <v>3.7429999999999999</v>
      </c>
      <c r="AH240">
        <v>3.7320000000000002</v>
      </c>
      <c r="AI240">
        <v>3.774</v>
      </c>
      <c r="AJ240">
        <v>3.7749999999999999</v>
      </c>
      <c r="AK240">
        <v>3.8420000000000001</v>
      </c>
      <c r="AL240">
        <v>3.855</v>
      </c>
      <c r="AM240">
        <v>3.8109999999999999</v>
      </c>
      <c r="AN240">
        <v>3.762</v>
      </c>
      <c r="AO240">
        <v>3.7170000000000001</v>
      </c>
      <c r="AP240">
        <v>3.6819999999999999</v>
      </c>
    </row>
    <row r="241" spans="2:42">
      <c r="B241" s="5">
        <f t="shared" si="66"/>
        <v>45170</v>
      </c>
      <c r="C241" s="12" t="str">
        <f t="shared" si="67"/>
        <v xml:space="preserve">3.473 </v>
      </c>
      <c r="D241" s="12" t="str">
        <f t="shared" si="51"/>
        <v xml:space="preserve">3.383 </v>
      </c>
      <c r="E241" s="12" t="str">
        <f t="shared" si="52"/>
        <v xml:space="preserve">3.581 </v>
      </c>
      <c r="F241" s="12" t="str">
        <f t="shared" si="53"/>
        <v xml:space="preserve">3.493 </v>
      </c>
      <c r="G241" s="12" t="str">
        <f t="shared" si="54"/>
        <v xml:space="preserve">3.696 </v>
      </c>
      <c r="H241" s="12" t="str">
        <f t="shared" si="55"/>
        <v xml:space="preserve">3.708 </v>
      </c>
      <c r="I241" s="12" t="str">
        <f t="shared" si="56"/>
        <v xml:space="preserve">3.695 </v>
      </c>
      <c r="J241" s="12" t="str">
        <f t="shared" si="57"/>
        <v xml:space="preserve">3.687 </v>
      </c>
      <c r="K241" s="12" t="str">
        <f t="shared" si="58"/>
        <v xml:space="preserve">3.722 </v>
      </c>
      <c r="L241" s="12" t="str">
        <f t="shared" si="59"/>
        <v xml:space="preserve">3.715 </v>
      </c>
      <c r="M241" s="12" t="str">
        <f t="shared" si="60"/>
        <v xml:space="preserve">3.778 </v>
      </c>
      <c r="N241" s="12" t="str">
        <f t="shared" si="61"/>
        <v xml:space="preserve">3.780 </v>
      </c>
      <c r="O241" s="12" t="str">
        <f t="shared" si="62"/>
        <v xml:space="preserve">3.754 </v>
      </c>
      <c r="P241" s="12" t="str">
        <f t="shared" si="63"/>
        <v xml:space="preserve">3.720 </v>
      </c>
      <c r="Q241" s="12" t="str">
        <f t="shared" si="64"/>
        <v xml:space="preserve">3.686 </v>
      </c>
      <c r="R241" s="12" t="str">
        <f t="shared" si="65"/>
        <v xml:space="preserve">3.651 </v>
      </c>
      <c r="Z241" s="11">
        <v>45170</v>
      </c>
      <c r="AA241">
        <v>3.4729999999999999</v>
      </c>
      <c r="AB241">
        <v>3.383</v>
      </c>
      <c r="AC241">
        <v>3.581</v>
      </c>
      <c r="AD241">
        <v>3.4929999999999999</v>
      </c>
      <c r="AE241">
        <v>3.6960000000000002</v>
      </c>
      <c r="AF241">
        <v>3.7080000000000002</v>
      </c>
      <c r="AG241">
        <v>3.6949999999999998</v>
      </c>
      <c r="AH241">
        <v>3.6869999999999998</v>
      </c>
      <c r="AI241">
        <v>3.722</v>
      </c>
      <c r="AJ241">
        <v>3.7149999999999999</v>
      </c>
      <c r="AK241">
        <v>3.778</v>
      </c>
      <c r="AL241">
        <v>3.78</v>
      </c>
      <c r="AM241">
        <v>3.754</v>
      </c>
      <c r="AN241">
        <v>3.72</v>
      </c>
      <c r="AO241">
        <v>3.6859999999999999</v>
      </c>
      <c r="AP241">
        <v>3.6509999999999998</v>
      </c>
    </row>
    <row r="242" spans="2:42">
      <c r="B242" s="5">
        <f t="shared" si="66"/>
        <v>45169</v>
      </c>
      <c r="C242" s="12" t="str">
        <f t="shared" si="67"/>
        <v xml:space="preserve">3.473 </v>
      </c>
      <c r="D242" s="12" t="str">
        <f t="shared" si="51"/>
        <v xml:space="preserve">3.383 </v>
      </c>
      <c r="E242" s="12" t="str">
        <f t="shared" si="52"/>
        <v xml:space="preserve">3.576 </v>
      </c>
      <c r="F242" s="12" t="str">
        <f t="shared" si="53"/>
        <v xml:space="preserve">3.508 </v>
      </c>
      <c r="G242" s="12" t="str">
        <f t="shared" si="54"/>
        <v xml:space="preserve">3.705 </v>
      </c>
      <c r="H242" s="12" t="str">
        <f t="shared" si="55"/>
        <v xml:space="preserve">3.720 </v>
      </c>
      <c r="I242" s="12" t="str">
        <f t="shared" si="56"/>
        <v xml:space="preserve">3.713 </v>
      </c>
      <c r="J242" s="12" t="str">
        <f t="shared" si="57"/>
        <v xml:space="preserve">3.717 </v>
      </c>
      <c r="K242" s="12" t="str">
        <f t="shared" si="58"/>
        <v xml:space="preserve">3.763 </v>
      </c>
      <c r="L242" s="12" t="str">
        <f t="shared" si="59"/>
        <v xml:space="preserve">3.755 </v>
      </c>
      <c r="M242" s="12" t="str">
        <f t="shared" si="60"/>
        <v xml:space="preserve">3.820 </v>
      </c>
      <c r="N242" s="12" t="str">
        <f t="shared" si="61"/>
        <v xml:space="preserve">3.825 </v>
      </c>
      <c r="O242" s="12" t="str">
        <f t="shared" si="62"/>
        <v xml:space="preserve">3.801 </v>
      </c>
      <c r="P242" s="12" t="str">
        <f t="shared" si="63"/>
        <v xml:space="preserve">3.770 </v>
      </c>
      <c r="Q242" s="12" t="str">
        <f t="shared" si="64"/>
        <v xml:space="preserve">3.735 </v>
      </c>
      <c r="R242" s="12" t="str">
        <f t="shared" si="65"/>
        <v xml:space="preserve">3.700 </v>
      </c>
      <c r="Z242" s="11">
        <v>45169</v>
      </c>
      <c r="AA242">
        <v>3.4729999999999999</v>
      </c>
      <c r="AB242">
        <v>3.383</v>
      </c>
      <c r="AC242">
        <v>3.5760000000000001</v>
      </c>
      <c r="AD242">
        <v>3.508</v>
      </c>
      <c r="AE242">
        <v>3.7050000000000001</v>
      </c>
      <c r="AF242">
        <v>3.72</v>
      </c>
      <c r="AG242">
        <v>3.7130000000000001</v>
      </c>
      <c r="AH242">
        <v>3.7170000000000001</v>
      </c>
      <c r="AI242">
        <v>3.7629999999999999</v>
      </c>
      <c r="AJ242">
        <v>3.7549999999999999</v>
      </c>
      <c r="AK242">
        <v>3.82</v>
      </c>
      <c r="AL242">
        <v>3.8250000000000002</v>
      </c>
      <c r="AM242">
        <v>3.8010000000000002</v>
      </c>
      <c r="AN242">
        <v>3.77</v>
      </c>
      <c r="AO242">
        <v>3.7349999999999999</v>
      </c>
      <c r="AP242">
        <v>3.7</v>
      </c>
    </row>
    <row r="243" spans="2:42">
      <c r="B243" s="5">
        <f t="shared" si="66"/>
        <v>45168</v>
      </c>
      <c r="C243" s="12" t="str">
        <f t="shared" si="67"/>
        <v xml:space="preserve">3.476 </v>
      </c>
      <c r="D243" s="12" t="str">
        <f t="shared" si="51"/>
        <v xml:space="preserve">3.383 </v>
      </c>
      <c r="E243" s="12" t="str">
        <f t="shared" si="52"/>
        <v xml:space="preserve">3.576 </v>
      </c>
      <c r="F243" s="12" t="str">
        <f t="shared" si="53"/>
        <v xml:space="preserve">3.511 </v>
      </c>
      <c r="G243" s="12" t="str">
        <f t="shared" si="54"/>
        <v xml:space="preserve">3.730 </v>
      </c>
      <c r="H243" s="12" t="str">
        <f t="shared" si="55"/>
        <v xml:space="preserve">3.740 </v>
      </c>
      <c r="I243" s="12" t="str">
        <f t="shared" si="56"/>
        <v xml:space="preserve">3.738 </v>
      </c>
      <c r="J243" s="12" t="str">
        <f t="shared" si="57"/>
        <v xml:space="preserve">3.740 </v>
      </c>
      <c r="K243" s="12" t="str">
        <f t="shared" si="58"/>
        <v xml:space="preserve">3.789 </v>
      </c>
      <c r="L243" s="12" t="str">
        <f t="shared" si="59"/>
        <v xml:space="preserve">3.785 </v>
      </c>
      <c r="M243" s="12" t="str">
        <f t="shared" si="60"/>
        <v xml:space="preserve">3.851 </v>
      </c>
      <c r="N243" s="12" t="str">
        <f t="shared" si="61"/>
        <v xml:space="preserve">3.857 </v>
      </c>
      <c r="O243" s="12" t="str">
        <f t="shared" si="62"/>
        <v xml:space="preserve">3.842 </v>
      </c>
      <c r="P243" s="12" t="str">
        <f t="shared" si="63"/>
        <v xml:space="preserve">3.815 </v>
      </c>
      <c r="Q243" s="12" t="str">
        <f t="shared" si="64"/>
        <v xml:space="preserve">3.784 </v>
      </c>
      <c r="R243" s="12" t="str">
        <f t="shared" si="65"/>
        <v xml:space="preserve">3.749 </v>
      </c>
      <c r="Z243" s="11">
        <v>45168</v>
      </c>
      <c r="AA243">
        <v>3.476</v>
      </c>
      <c r="AB243">
        <v>3.383</v>
      </c>
      <c r="AC243">
        <v>3.5760000000000001</v>
      </c>
      <c r="AD243">
        <v>3.5110000000000001</v>
      </c>
      <c r="AE243">
        <v>3.73</v>
      </c>
      <c r="AF243">
        <v>3.74</v>
      </c>
      <c r="AG243">
        <v>3.738</v>
      </c>
      <c r="AH243">
        <v>3.74</v>
      </c>
      <c r="AI243">
        <v>3.7890000000000001</v>
      </c>
      <c r="AJ243">
        <v>3.7850000000000001</v>
      </c>
      <c r="AK243">
        <v>3.851</v>
      </c>
      <c r="AL243">
        <v>3.8570000000000002</v>
      </c>
      <c r="AM243">
        <v>3.8420000000000001</v>
      </c>
      <c r="AN243">
        <v>3.8149999999999999</v>
      </c>
      <c r="AO243">
        <v>3.7839999999999998</v>
      </c>
      <c r="AP243">
        <v>3.7490000000000001</v>
      </c>
    </row>
    <row r="244" spans="2:42">
      <c r="B244" s="5">
        <f t="shared" si="66"/>
        <v>45167</v>
      </c>
      <c r="C244" s="12" t="str">
        <f t="shared" si="67"/>
        <v xml:space="preserve">3.476 </v>
      </c>
      <c r="D244" s="12" t="str">
        <f t="shared" si="51"/>
        <v xml:space="preserve">3.383 </v>
      </c>
      <c r="E244" s="12" t="str">
        <f t="shared" si="52"/>
        <v xml:space="preserve">3.576 </v>
      </c>
      <c r="F244" s="12" t="str">
        <f t="shared" si="53"/>
        <v xml:space="preserve">3.516 </v>
      </c>
      <c r="G244" s="12" t="str">
        <f t="shared" si="54"/>
        <v xml:space="preserve">3.733 </v>
      </c>
      <c r="H244" s="12" t="str">
        <f t="shared" si="55"/>
        <v xml:space="preserve">3.751 </v>
      </c>
      <c r="I244" s="12" t="str">
        <f t="shared" si="56"/>
        <v xml:space="preserve">3.749 </v>
      </c>
      <c r="J244" s="12" t="str">
        <f t="shared" si="57"/>
        <v xml:space="preserve">3.740 </v>
      </c>
      <c r="K244" s="12" t="str">
        <f t="shared" si="58"/>
        <v xml:space="preserve">3.787 </v>
      </c>
      <c r="L244" s="12" t="str">
        <f t="shared" si="59"/>
        <v xml:space="preserve">3.780 </v>
      </c>
      <c r="M244" s="12" t="str">
        <f t="shared" si="60"/>
        <v xml:space="preserve">3.844 </v>
      </c>
      <c r="N244" s="12" t="str">
        <f t="shared" si="61"/>
        <v xml:space="preserve">3.845 </v>
      </c>
      <c r="O244" s="12" t="str">
        <f t="shared" si="62"/>
        <v xml:space="preserve">3.836 </v>
      </c>
      <c r="P244" s="12" t="str">
        <f t="shared" si="63"/>
        <v xml:space="preserve">3.815 </v>
      </c>
      <c r="Q244" s="12" t="str">
        <f t="shared" si="64"/>
        <v xml:space="preserve">3.780 </v>
      </c>
      <c r="R244" s="12" t="str">
        <f t="shared" si="65"/>
        <v xml:space="preserve">3.745 </v>
      </c>
      <c r="Z244" s="11">
        <v>45167</v>
      </c>
      <c r="AA244">
        <v>3.476</v>
      </c>
      <c r="AB244">
        <v>3.383</v>
      </c>
      <c r="AC244">
        <v>3.5760000000000001</v>
      </c>
      <c r="AD244">
        <v>3.516</v>
      </c>
      <c r="AE244">
        <v>3.7330000000000001</v>
      </c>
      <c r="AF244">
        <v>3.7509999999999999</v>
      </c>
      <c r="AG244">
        <v>3.7490000000000001</v>
      </c>
      <c r="AH244">
        <v>3.74</v>
      </c>
      <c r="AI244">
        <v>3.7869999999999999</v>
      </c>
      <c r="AJ244">
        <v>3.78</v>
      </c>
      <c r="AK244">
        <v>3.8439999999999999</v>
      </c>
      <c r="AL244">
        <v>3.8450000000000002</v>
      </c>
      <c r="AM244">
        <v>3.8359999999999999</v>
      </c>
      <c r="AN244">
        <v>3.8149999999999999</v>
      </c>
      <c r="AO244">
        <v>3.78</v>
      </c>
      <c r="AP244">
        <v>3.7450000000000001</v>
      </c>
    </row>
    <row r="245" spans="2:42">
      <c r="B245" s="5">
        <f t="shared" si="66"/>
        <v>45166</v>
      </c>
      <c r="C245" s="12" t="str">
        <f t="shared" si="67"/>
        <v xml:space="preserve">3.476 </v>
      </c>
      <c r="D245" s="12" t="str">
        <f t="shared" si="51"/>
        <v xml:space="preserve">3.388 </v>
      </c>
      <c r="E245" s="12" t="str">
        <f t="shared" si="52"/>
        <v xml:space="preserve">3.576 </v>
      </c>
      <c r="F245" s="12" t="str">
        <f t="shared" si="53"/>
        <v xml:space="preserve">3.533 </v>
      </c>
      <c r="G245" s="12" t="str">
        <f t="shared" si="54"/>
        <v xml:space="preserve">3.745 </v>
      </c>
      <c r="H245" s="12" t="str">
        <f t="shared" si="55"/>
        <v xml:space="preserve">3.765 </v>
      </c>
      <c r="I245" s="12" t="str">
        <f t="shared" si="56"/>
        <v xml:space="preserve">3.767 </v>
      </c>
      <c r="J245" s="12" t="str">
        <f t="shared" si="57"/>
        <v xml:space="preserve">3.760 </v>
      </c>
      <c r="K245" s="12" t="str">
        <f t="shared" si="58"/>
        <v xml:space="preserve">3.808 </v>
      </c>
      <c r="L245" s="12" t="str">
        <f t="shared" si="59"/>
        <v xml:space="preserve">3.795 </v>
      </c>
      <c r="M245" s="12" t="str">
        <f t="shared" si="60"/>
        <v xml:space="preserve">3.865 </v>
      </c>
      <c r="N245" s="12" t="str">
        <f t="shared" si="61"/>
        <v xml:space="preserve">3.872 </v>
      </c>
      <c r="O245" s="12" t="str">
        <f t="shared" si="62"/>
        <v xml:space="preserve">3.860 </v>
      </c>
      <c r="P245" s="12" t="str">
        <f t="shared" si="63"/>
        <v xml:space="preserve">3.835 </v>
      </c>
      <c r="Q245" s="12" t="str">
        <f t="shared" si="64"/>
        <v xml:space="preserve">3.800 </v>
      </c>
      <c r="R245" s="12" t="str">
        <f t="shared" si="65"/>
        <v xml:space="preserve">3.765 </v>
      </c>
      <c r="Z245" s="11">
        <v>45166</v>
      </c>
      <c r="AA245">
        <v>3.476</v>
      </c>
      <c r="AB245">
        <v>3.3879999999999999</v>
      </c>
      <c r="AC245">
        <v>3.5760000000000001</v>
      </c>
      <c r="AD245">
        <v>3.5329999999999999</v>
      </c>
      <c r="AE245">
        <v>3.7450000000000001</v>
      </c>
      <c r="AF245">
        <v>3.7650000000000001</v>
      </c>
      <c r="AG245">
        <v>3.7669999999999999</v>
      </c>
      <c r="AH245">
        <v>3.76</v>
      </c>
      <c r="AI245">
        <v>3.8079999999999998</v>
      </c>
      <c r="AJ245">
        <v>3.7949999999999999</v>
      </c>
      <c r="AK245">
        <v>3.8650000000000002</v>
      </c>
      <c r="AL245">
        <v>3.8719999999999999</v>
      </c>
      <c r="AM245">
        <v>3.86</v>
      </c>
      <c r="AN245">
        <v>3.835</v>
      </c>
      <c r="AO245">
        <v>3.8</v>
      </c>
      <c r="AP245">
        <v>3.7650000000000001</v>
      </c>
    </row>
    <row r="246" spans="2:42">
      <c r="B246" s="5">
        <f t="shared" si="66"/>
        <v>45163</v>
      </c>
      <c r="C246" s="12" t="str">
        <f t="shared" si="67"/>
        <v xml:space="preserve">3.480 </v>
      </c>
      <c r="D246" s="12" t="str">
        <f t="shared" si="51"/>
        <v xml:space="preserve">3.391 </v>
      </c>
      <c r="E246" s="12" t="str">
        <f t="shared" si="52"/>
        <v xml:space="preserve">3.580 </v>
      </c>
      <c r="F246" s="12" t="str">
        <f t="shared" si="53"/>
        <v xml:space="preserve">3.543 </v>
      </c>
      <c r="G246" s="12" t="str">
        <f t="shared" si="54"/>
        <v xml:space="preserve">3.760 </v>
      </c>
      <c r="H246" s="12" t="str">
        <f t="shared" si="55"/>
        <v xml:space="preserve">3.783 </v>
      </c>
      <c r="I246" s="12" t="str">
        <f t="shared" si="56"/>
        <v xml:space="preserve">3.788 </v>
      </c>
      <c r="J246" s="12" t="str">
        <f t="shared" si="57"/>
        <v xml:space="preserve">3.790 </v>
      </c>
      <c r="K246" s="12" t="str">
        <f t="shared" si="58"/>
        <v xml:space="preserve">3.853 </v>
      </c>
      <c r="L246" s="12" t="str">
        <f t="shared" si="59"/>
        <v xml:space="preserve">3.842 </v>
      </c>
      <c r="M246" s="12" t="str">
        <f t="shared" si="60"/>
        <v xml:space="preserve">3.919 </v>
      </c>
      <c r="N246" s="12" t="str">
        <f t="shared" si="61"/>
        <v xml:space="preserve">3.933 </v>
      </c>
      <c r="O246" s="12" t="str">
        <f t="shared" si="62"/>
        <v xml:space="preserve">3.913 </v>
      </c>
      <c r="P246" s="12" t="str">
        <f t="shared" si="63"/>
        <v xml:space="preserve">3.880 </v>
      </c>
      <c r="Q246" s="12" t="str">
        <f t="shared" si="64"/>
        <v xml:space="preserve">3.837 </v>
      </c>
      <c r="R246" s="12" t="str">
        <f t="shared" si="65"/>
        <v xml:space="preserve">3.802 </v>
      </c>
      <c r="Z246" s="11">
        <v>45163</v>
      </c>
      <c r="AA246">
        <v>3.48</v>
      </c>
      <c r="AB246">
        <v>3.391</v>
      </c>
      <c r="AC246">
        <v>3.58</v>
      </c>
      <c r="AD246">
        <v>3.5430000000000001</v>
      </c>
      <c r="AE246">
        <v>3.76</v>
      </c>
      <c r="AF246">
        <v>3.7829999999999999</v>
      </c>
      <c r="AG246">
        <v>3.7879999999999998</v>
      </c>
      <c r="AH246">
        <v>3.79</v>
      </c>
      <c r="AI246">
        <v>3.8530000000000002</v>
      </c>
      <c r="AJ246">
        <v>3.8420000000000001</v>
      </c>
      <c r="AK246">
        <v>3.919</v>
      </c>
      <c r="AL246">
        <v>3.9329999999999998</v>
      </c>
      <c r="AM246">
        <v>3.9129999999999998</v>
      </c>
      <c r="AN246">
        <v>3.88</v>
      </c>
      <c r="AO246">
        <v>3.8370000000000002</v>
      </c>
      <c r="AP246">
        <v>3.802</v>
      </c>
    </row>
    <row r="247" spans="2:42">
      <c r="B247" s="5">
        <f t="shared" si="66"/>
        <v>45162</v>
      </c>
      <c r="C247" s="12" t="str">
        <f t="shared" si="67"/>
        <v xml:space="preserve">3.483 </v>
      </c>
      <c r="D247" s="12" t="str">
        <f t="shared" si="51"/>
        <v xml:space="preserve">3.406 </v>
      </c>
      <c r="E247" s="12" t="str">
        <f t="shared" si="52"/>
        <v xml:space="preserve">3.571 </v>
      </c>
      <c r="F247" s="12" t="str">
        <f t="shared" si="53"/>
        <v xml:space="preserve">3.531 </v>
      </c>
      <c r="G247" s="12" t="str">
        <f t="shared" si="54"/>
        <v xml:space="preserve">3.735 </v>
      </c>
      <c r="H247" s="12" t="str">
        <f t="shared" si="55"/>
        <v xml:space="preserve">3.755 </v>
      </c>
      <c r="I247" s="12" t="str">
        <f t="shared" si="56"/>
        <v xml:space="preserve">3.761 </v>
      </c>
      <c r="J247" s="12" t="str">
        <f t="shared" si="57"/>
        <v xml:space="preserve">3.754 </v>
      </c>
      <c r="K247" s="12" t="str">
        <f t="shared" si="58"/>
        <v xml:space="preserve">3.813 </v>
      </c>
      <c r="L247" s="12" t="str">
        <f t="shared" si="59"/>
        <v xml:space="preserve">3.800 </v>
      </c>
      <c r="M247" s="12" t="str">
        <f t="shared" si="60"/>
        <v xml:space="preserve">3.870 </v>
      </c>
      <c r="N247" s="12" t="str">
        <f t="shared" si="61"/>
        <v xml:space="preserve">3.877 </v>
      </c>
      <c r="O247" s="12" t="str">
        <f t="shared" si="62"/>
        <v xml:space="preserve">3.865 </v>
      </c>
      <c r="P247" s="12" t="str">
        <f t="shared" si="63"/>
        <v xml:space="preserve">3.840 </v>
      </c>
      <c r="Q247" s="12" t="str">
        <f t="shared" si="64"/>
        <v xml:space="preserve">3.794 </v>
      </c>
      <c r="R247" s="12" t="str">
        <f t="shared" si="65"/>
        <v xml:space="preserve">3.759 </v>
      </c>
      <c r="Z247" s="11">
        <v>45162</v>
      </c>
      <c r="AA247">
        <v>3.4830000000000001</v>
      </c>
      <c r="AB247">
        <v>3.4060000000000001</v>
      </c>
      <c r="AC247">
        <v>3.5710000000000002</v>
      </c>
      <c r="AD247">
        <v>3.5310000000000001</v>
      </c>
      <c r="AE247">
        <v>3.7349999999999999</v>
      </c>
      <c r="AF247">
        <v>3.7549999999999999</v>
      </c>
      <c r="AG247">
        <v>3.7610000000000001</v>
      </c>
      <c r="AH247">
        <v>3.754</v>
      </c>
      <c r="AI247">
        <v>3.8130000000000002</v>
      </c>
      <c r="AJ247">
        <v>3.8</v>
      </c>
      <c r="AK247">
        <v>3.87</v>
      </c>
      <c r="AL247">
        <v>3.8769999999999998</v>
      </c>
      <c r="AM247">
        <v>3.8650000000000002</v>
      </c>
      <c r="AN247">
        <v>3.84</v>
      </c>
      <c r="AO247">
        <v>3.794</v>
      </c>
      <c r="AP247">
        <v>3.7589999999999999</v>
      </c>
    </row>
    <row r="248" spans="2:42">
      <c r="B248" s="5">
        <f t="shared" si="66"/>
        <v>45161</v>
      </c>
      <c r="C248" s="12" t="str">
        <f t="shared" si="67"/>
        <v xml:space="preserve">3.490 </v>
      </c>
      <c r="D248" s="12" t="str">
        <f t="shared" si="51"/>
        <v xml:space="preserve">3.433 </v>
      </c>
      <c r="E248" s="12" t="str">
        <f t="shared" si="52"/>
        <v xml:space="preserve">3.565 </v>
      </c>
      <c r="F248" s="12" t="str">
        <f t="shared" si="53"/>
        <v xml:space="preserve">3.523 </v>
      </c>
      <c r="G248" s="12" t="str">
        <f t="shared" si="54"/>
        <v xml:space="preserve">3.739 </v>
      </c>
      <c r="H248" s="12" t="str">
        <f t="shared" si="55"/>
        <v xml:space="preserve">3.765 </v>
      </c>
      <c r="I248" s="12" t="str">
        <f t="shared" si="56"/>
        <v xml:space="preserve">3.775 </v>
      </c>
      <c r="J248" s="12" t="str">
        <f t="shared" si="57"/>
        <v xml:space="preserve">3.770 </v>
      </c>
      <c r="K248" s="12" t="str">
        <f t="shared" si="58"/>
        <v xml:space="preserve">3.824 </v>
      </c>
      <c r="L248" s="12" t="str">
        <f t="shared" si="59"/>
        <v xml:space="preserve">3.821 </v>
      </c>
      <c r="M248" s="12" t="str">
        <f t="shared" si="60"/>
        <v xml:space="preserve">3.904 </v>
      </c>
      <c r="N248" s="12" t="str">
        <f t="shared" si="61"/>
        <v xml:space="preserve">3.920 </v>
      </c>
      <c r="O248" s="12" t="str">
        <f t="shared" si="62"/>
        <v xml:space="preserve">3.904 </v>
      </c>
      <c r="P248" s="12" t="str">
        <f t="shared" si="63"/>
        <v xml:space="preserve">3.875 </v>
      </c>
      <c r="Q248" s="12" t="str">
        <f t="shared" si="64"/>
        <v xml:space="preserve">3.815 </v>
      </c>
      <c r="R248" s="12" t="str">
        <f t="shared" si="65"/>
        <v xml:space="preserve">3.780 </v>
      </c>
      <c r="Z248" s="11">
        <v>45161</v>
      </c>
      <c r="AA248">
        <v>3.49</v>
      </c>
      <c r="AB248">
        <v>3.4329999999999998</v>
      </c>
      <c r="AC248">
        <v>3.5649999999999999</v>
      </c>
      <c r="AD248">
        <v>3.5230000000000001</v>
      </c>
      <c r="AE248">
        <v>3.7389999999999999</v>
      </c>
      <c r="AF248">
        <v>3.7650000000000001</v>
      </c>
      <c r="AG248">
        <v>3.7749999999999999</v>
      </c>
      <c r="AH248">
        <v>3.77</v>
      </c>
      <c r="AI248">
        <v>3.8239999999999998</v>
      </c>
      <c r="AJ248">
        <v>3.8210000000000002</v>
      </c>
      <c r="AK248">
        <v>3.9039999999999999</v>
      </c>
      <c r="AL248">
        <v>3.92</v>
      </c>
      <c r="AM248">
        <v>3.9039999999999999</v>
      </c>
      <c r="AN248">
        <v>3.875</v>
      </c>
      <c r="AO248">
        <v>3.8149999999999999</v>
      </c>
      <c r="AP248">
        <v>3.78</v>
      </c>
    </row>
    <row r="249" spans="2:42">
      <c r="B249" s="5">
        <f t="shared" si="66"/>
        <v>45160</v>
      </c>
      <c r="C249" s="12" t="str">
        <f t="shared" si="67"/>
        <v xml:space="preserve">3.500 </v>
      </c>
      <c r="D249" s="12" t="str">
        <f t="shared" si="51"/>
        <v xml:space="preserve">3.443 </v>
      </c>
      <c r="E249" s="12" t="str">
        <f t="shared" si="52"/>
        <v xml:space="preserve">3.575 </v>
      </c>
      <c r="F249" s="12" t="str">
        <f t="shared" si="53"/>
        <v xml:space="preserve">3.518 </v>
      </c>
      <c r="G249" s="12" t="str">
        <f t="shared" si="54"/>
        <v xml:space="preserve">3.751 </v>
      </c>
      <c r="H249" s="12" t="str">
        <f t="shared" si="55"/>
        <v xml:space="preserve">3.784 </v>
      </c>
      <c r="I249" s="12" t="str">
        <f t="shared" si="56"/>
        <v xml:space="preserve">3.796 </v>
      </c>
      <c r="J249" s="12" t="str">
        <f t="shared" si="57"/>
        <v xml:space="preserve">3.798 </v>
      </c>
      <c r="K249" s="12" t="str">
        <f t="shared" si="58"/>
        <v xml:space="preserve">3.859 </v>
      </c>
      <c r="L249" s="12" t="str">
        <f t="shared" si="59"/>
        <v xml:space="preserve">3.865 </v>
      </c>
      <c r="M249" s="12" t="str">
        <f t="shared" si="60"/>
        <v xml:space="preserve">3.958 </v>
      </c>
      <c r="N249" s="12" t="str">
        <f t="shared" si="61"/>
        <v xml:space="preserve">3.984 </v>
      </c>
      <c r="O249" s="12" t="str">
        <f t="shared" si="62"/>
        <v xml:space="preserve">3.956 </v>
      </c>
      <c r="P249" s="12" t="str">
        <f t="shared" si="63"/>
        <v xml:space="preserve">3.917 </v>
      </c>
      <c r="Q249" s="12" t="str">
        <f t="shared" si="64"/>
        <v xml:space="preserve">3.855 </v>
      </c>
      <c r="R249" s="12" t="str">
        <f t="shared" si="65"/>
        <v xml:space="preserve">3.820 </v>
      </c>
      <c r="Z249" s="11">
        <v>45160</v>
      </c>
      <c r="AA249">
        <v>3.5</v>
      </c>
      <c r="AB249">
        <v>3.4430000000000001</v>
      </c>
      <c r="AC249">
        <v>3.5750000000000002</v>
      </c>
      <c r="AD249">
        <v>3.5179999999999998</v>
      </c>
      <c r="AE249">
        <v>3.7509999999999999</v>
      </c>
      <c r="AF249">
        <v>3.7839999999999998</v>
      </c>
      <c r="AG249">
        <v>3.7959999999999998</v>
      </c>
      <c r="AH249">
        <v>3.798</v>
      </c>
      <c r="AI249">
        <v>3.859</v>
      </c>
      <c r="AJ249">
        <v>3.8650000000000002</v>
      </c>
      <c r="AK249">
        <v>3.9580000000000002</v>
      </c>
      <c r="AL249">
        <v>3.984</v>
      </c>
      <c r="AM249">
        <v>3.956</v>
      </c>
      <c r="AN249">
        <v>3.9169999999999998</v>
      </c>
      <c r="AO249">
        <v>3.855</v>
      </c>
      <c r="AP249">
        <v>3.82</v>
      </c>
    </row>
    <row r="250" spans="2:42">
      <c r="B250" s="5">
        <f t="shared" si="66"/>
        <v>45159</v>
      </c>
      <c r="C250" s="12" t="str">
        <f t="shared" si="67"/>
        <v xml:space="preserve">3.498 </v>
      </c>
      <c r="D250" s="12" t="str">
        <f t="shared" si="51"/>
        <v xml:space="preserve">3.440 </v>
      </c>
      <c r="E250" s="12" t="str">
        <f t="shared" si="52"/>
        <v xml:space="preserve">3.570 </v>
      </c>
      <c r="F250" s="12" t="str">
        <f t="shared" si="53"/>
        <v xml:space="preserve">3.510 </v>
      </c>
      <c r="G250" s="12" t="str">
        <f t="shared" si="54"/>
        <v xml:space="preserve">3.745 </v>
      </c>
      <c r="H250" s="12" t="str">
        <f t="shared" si="55"/>
        <v xml:space="preserve">3.775 </v>
      </c>
      <c r="I250" s="12" t="str">
        <f t="shared" si="56"/>
        <v xml:space="preserve">3.790 </v>
      </c>
      <c r="J250" s="12" t="str">
        <f t="shared" si="57"/>
        <v xml:space="preserve">3.790 </v>
      </c>
      <c r="K250" s="12" t="str">
        <f t="shared" si="58"/>
        <v xml:space="preserve">3.851 </v>
      </c>
      <c r="L250" s="12" t="str">
        <f t="shared" si="59"/>
        <v xml:space="preserve">3.857 </v>
      </c>
      <c r="M250" s="12" t="str">
        <f t="shared" si="60"/>
        <v xml:space="preserve">3.946 </v>
      </c>
      <c r="N250" s="12" t="str">
        <f t="shared" si="61"/>
        <v xml:space="preserve">3.967 </v>
      </c>
      <c r="O250" s="12" t="str">
        <f t="shared" si="62"/>
        <v xml:space="preserve">3.924 </v>
      </c>
      <c r="P250" s="12" t="str">
        <f t="shared" si="63"/>
        <v xml:space="preserve">3.867 </v>
      </c>
      <c r="Q250" s="12" t="str">
        <f t="shared" si="64"/>
        <v xml:space="preserve">3.804 </v>
      </c>
      <c r="R250" s="12" t="str">
        <f t="shared" si="65"/>
        <v xml:space="preserve">3.769 </v>
      </c>
      <c r="Z250" s="11">
        <v>45159</v>
      </c>
      <c r="AA250">
        <v>3.4980000000000002</v>
      </c>
      <c r="AB250">
        <v>3.44</v>
      </c>
      <c r="AC250">
        <v>3.57</v>
      </c>
      <c r="AD250">
        <v>3.51</v>
      </c>
      <c r="AE250">
        <v>3.7450000000000001</v>
      </c>
      <c r="AF250">
        <v>3.7749999999999999</v>
      </c>
      <c r="AG250">
        <v>3.79</v>
      </c>
      <c r="AH250">
        <v>3.79</v>
      </c>
      <c r="AI250">
        <v>3.851</v>
      </c>
      <c r="AJ250">
        <v>3.8570000000000002</v>
      </c>
      <c r="AK250">
        <v>3.9460000000000002</v>
      </c>
      <c r="AL250">
        <v>3.9670000000000001</v>
      </c>
      <c r="AM250">
        <v>3.9239999999999999</v>
      </c>
      <c r="AN250">
        <v>3.867</v>
      </c>
      <c r="AO250">
        <v>3.8039999999999998</v>
      </c>
      <c r="AP250">
        <v>3.7690000000000001</v>
      </c>
    </row>
    <row r="251" spans="2:42">
      <c r="B251" s="5" t="str">
        <f t="shared" si="66"/>
        <v/>
      </c>
      <c r="C251" s="12" t="str">
        <f t="shared" si="67"/>
        <v/>
      </c>
      <c r="D251" s="12" t="str">
        <f t="shared" si="51"/>
        <v/>
      </c>
      <c r="E251" s="12" t="str">
        <f t="shared" si="52"/>
        <v/>
      </c>
      <c r="F251" s="12" t="str">
        <f t="shared" si="53"/>
        <v/>
      </c>
      <c r="G251" s="12" t="str">
        <f t="shared" si="54"/>
        <v/>
      </c>
      <c r="H251" s="12" t="str">
        <f t="shared" si="55"/>
        <v/>
      </c>
      <c r="I251" s="12" t="str">
        <f t="shared" si="56"/>
        <v/>
      </c>
      <c r="J251" s="12" t="str">
        <f t="shared" si="57"/>
        <v/>
      </c>
      <c r="K251" s="12" t="str">
        <f t="shared" si="58"/>
        <v/>
      </c>
      <c r="L251" s="12" t="str">
        <f t="shared" si="59"/>
        <v/>
      </c>
      <c r="M251" s="12" t="str">
        <f t="shared" si="60"/>
        <v/>
      </c>
      <c r="N251" s="12" t="str">
        <f t="shared" si="61"/>
        <v/>
      </c>
      <c r="O251" s="12" t="str">
        <f t="shared" si="62"/>
        <v/>
      </c>
      <c r="P251" s="12" t="str">
        <f t="shared" si="63"/>
        <v/>
      </c>
      <c r="Q251" s="12" t="str">
        <f t="shared" si="64"/>
        <v/>
      </c>
      <c r="R251" s="12" t="str">
        <f t="shared" si="65"/>
        <v/>
      </c>
      <c r="Z251" s="11"/>
    </row>
    <row r="252" spans="2:42">
      <c r="B252" s="5" t="str">
        <f t="shared" si="66"/>
        <v/>
      </c>
      <c r="C252" s="12" t="str">
        <f t="shared" si="67"/>
        <v/>
      </c>
      <c r="D252" s="12" t="str">
        <f t="shared" si="51"/>
        <v/>
      </c>
      <c r="E252" s="12" t="str">
        <f t="shared" si="52"/>
        <v/>
      </c>
      <c r="F252" s="12" t="str">
        <f t="shared" si="53"/>
        <v/>
      </c>
      <c r="G252" s="12" t="str">
        <f t="shared" si="54"/>
        <v/>
      </c>
      <c r="H252" s="12" t="str">
        <f t="shared" si="55"/>
        <v/>
      </c>
      <c r="I252" s="12" t="str">
        <f t="shared" si="56"/>
        <v/>
      </c>
      <c r="J252" s="12" t="str">
        <f t="shared" si="57"/>
        <v/>
      </c>
      <c r="K252" s="12" t="str">
        <f t="shared" si="58"/>
        <v/>
      </c>
      <c r="L252" s="12" t="str">
        <f t="shared" si="59"/>
        <v/>
      </c>
      <c r="M252" s="12" t="str">
        <f t="shared" si="60"/>
        <v/>
      </c>
      <c r="N252" s="12" t="str">
        <f t="shared" si="61"/>
        <v/>
      </c>
      <c r="O252" s="12" t="str">
        <f t="shared" si="62"/>
        <v/>
      </c>
      <c r="P252" s="12" t="str">
        <f t="shared" si="63"/>
        <v/>
      </c>
      <c r="Q252" s="12" t="str">
        <f t="shared" si="64"/>
        <v/>
      </c>
      <c r="R252" s="12" t="str">
        <f t="shared" si="65"/>
        <v/>
      </c>
      <c r="Z252" s="11"/>
    </row>
    <row r="253" spans="2:42">
      <c r="B253" s="5" t="str">
        <f t="shared" si="66"/>
        <v/>
      </c>
      <c r="C253" s="12" t="str">
        <f t="shared" si="67"/>
        <v/>
      </c>
      <c r="D253" s="12" t="str">
        <f t="shared" si="51"/>
        <v/>
      </c>
      <c r="E253" s="12" t="str">
        <f t="shared" si="52"/>
        <v/>
      </c>
      <c r="F253" s="12" t="str">
        <f t="shared" si="53"/>
        <v/>
      </c>
      <c r="G253" s="12" t="str">
        <f t="shared" si="54"/>
        <v/>
      </c>
      <c r="H253" s="12" t="str">
        <f t="shared" si="55"/>
        <v/>
      </c>
      <c r="I253" s="12" t="str">
        <f t="shared" si="56"/>
        <v/>
      </c>
      <c r="J253" s="12" t="str">
        <f t="shared" si="57"/>
        <v/>
      </c>
      <c r="K253" s="12" t="str">
        <f t="shared" si="58"/>
        <v/>
      </c>
      <c r="L253" s="12" t="str">
        <f t="shared" si="59"/>
        <v/>
      </c>
      <c r="M253" s="12" t="str">
        <f t="shared" si="60"/>
        <v/>
      </c>
      <c r="N253" s="12" t="str">
        <f t="shared" si="61"/>
        <v/>
      </c>
      <c r="O253" s="12" t="str">
        <f t="shared" si="62"/>
        <v/>
      </c>
      <c r="P253" s="12" t="str">
        <f t="shared" si="63"/>
        <v/>
      </c>
      <c r="Q253" s="12" t="str">
        <f t="shared" si="64"/>
        <v/>
      </c>
      <c r="R253" s="12" t="str">
        <f t="shared" si="65"/>
        <v/>
      </c>
      <c r="Z253" s="11"/>
    </row>
    <row r="254" spans="2:42">
      <c r="B254" s="5" t="str">
        <f t="shared" si="66"/>
        <v/>
      </c>
      <c r="C254" s="12" t="str">
        <f t="shared" si="67"/>
        <v/>
      </c>
      <c r="D254" s="12" t="str">
        <f t="shared" si="51"/>
        <v/>
      </c>
      <c r="E254" s="12" t="str">
        <f t="shared" si="52"/>
        <v/>
      </c>
      <c r="F254" s="12" t="str">
        <f t="shared" si="53"/>
        <v/>
      </c>
      <c r="G254" s="12" t="str">
        <f t="shared" si="54"/>
        <v/>
      </c>
      <c r="H254" s="12" t="str">
        <f t="shared" si="55"/>
        <v/>
      </c>
      <c r="I254" s="12" t="str">
        <f t="shared" si="56"/>
        <v/>
      </c>
      <c r="J254" s="12" t="str">
        <f t="shared" si="57"/>
        <v/>
      </c>
      <c r="K254" s="12" t="str">
        <f t="shared" si="58"/>
        <v/>
      </c>
      <c r="L254" s="12" t="str">
        <f t="shared" si="59"/>
        <v/>
      </c>
      <c r="M254" s="12" t="str">
        <f t="shared" si="60"/>
        <v/>
      </c>
      <c r="N254" s="12" t="str">
        <f t="shared" si="61"/>
        <v/>
      </c>
      <c r="O254" s="12" t="str">
        <f t="shared" si="62"/>
        <v/>
      </c>
      <c r="P254" s="12" t="str">
        <f t="shared" si="63"/>
        <v/>
      </c>
      <c r="Q254" s="12" t="str">
        <f t="shared" si="64"/>
        <v/>
      </c>
      <c r="R254" s="12" t="str">
        <f t="shared" si="65"/>
        <v/>
      </c>
      <c r="Z254" s="11"/>
    </row>
    <row r="255" spans="2:42">
      <c r="B255" s="5" t="str">
        <f t="shared" si="66"/>
        <v/>
      </c>
      <c r="C255" s="12" t="str">
        <f t="shared" si="67"/>
        <v/>
      </c>
      <c r="D255" s="12" t="str">
        <f t="shared" si="51"/>
        <v/>
      </c>
      <c r="E255" s="12" t="str">
        <f t="shared" si="52"/>
        <v/>
      </c>
      <c r="F255" s="12" t="str">
        <f t="shared" si="53"/>
        <v/>
      </c>
      <c r="G255" s="12" t="str">
        <f t="shared" si="54"/>
        <v/>
      </c>
      <c r="H255" s="12" t="str">
        <f t="shared" si="55"/>
        <v/>
      </c>
      <c r="I255" s="12" t="str">
        <f t="shared" si="56"/>
        <v/>
      </c>
      <c r="J255" s="12" t="str">
        <f t="shared" si="57"/>
        <v/>
      </c>
      <c r="K255" s="12" t="str">
        <f t="shared" si="58"/>
        <v/>
      </c>
      <c r="L255" s="12" t="str">
        <f t="shared" si="59"/>
        <v/>
      </c>
      <c r="M255" s="12" t="str">
        <f t="shared" si="60"/>
        <v/>
      </c>
      <c r="N255" s="12" t="str">
        <f t="shared" si="61"/>
        <v/>
      </c>
      <c r="O255" s="12" t="str">
        <f t="shared" si="62"/>
        <v/>
      </c>
      <c r="P255" s="12" t="str">
        <f t="shared" si="63"/>
        <v/>
      </c>
      <c r="Q255" s="12" t="str">
        <f t="shared" si="64"/>
        <v/>
      </c>
      <c r="R255" s="12" t="str">
        <f t="shared" si="65"/>
        <v/>
      </c>
      <c r="Z255" s="11"/>
    </row>
    <row r="256" spans="2:42">
      <c r="B256" s="5" t="str">
        <f t="shared" si="66"/>
        <v/>
      </c>
      <c r="C256" s="12" t="str">
        <f t="shared" si="67"/>
        <v/>
      </c>
      <c r="D256" s="12" t="str">
        <f t="shared" si="51"/>
        <v/>
      </c>
      <c r="E256" s="12" t="str">
        <f t="shared" si="52"/>
        <v/>
      </c>
      <c r="F256" s="12" t="str">
        <f t="shared" si="53"/>
        <v/>
      </c>
      <c r="G256" s="12" t="str">
        <f t="shared" si="54"/>
        <v/>
      </c>
      <c r="H256" s="12" t="str">
        <f t="shared" si="55"/>
        <v/>
      </c>
      <c r="I256" s="12" t="str">
        <f t="shared" si="56"/>
        <v/>
      </c>
      <c r="J256" s="12" t="str">
        <f t="shared" si="57"/>
        <v/>
      </c>
      <c r="K256" s="12" t="str">
        <f t="shared" si="58"/>
        <v/>
      </c>
      <c r="L256" s="12" t="str">
        <f t="shared" si="59"/>
        <v/>
      </c>
      <c r="M256" s="12" t="str">
        <f t="shared" si="60"/>
        <v/>
      </c>
      <c r="N256" s="12" t="str">
        <f t="shared" si="61"/>
        <v/>
      </c>
      <c r="O256" s="12" t="str">
        <f t="shared" si="62"/>
        <v/>
      </c>
      <c r="P256" s="12" t="str">
        <f t="shared" si="63"/>
        <v/>
      </c>
      <c r="Q256" s="12" t="str">
        <f t="shared" si="64"/>
        <v/>
      </c>
      <c r="R256" s="12" t="str">
        <f t="shared" si="65"/>
        <v/>
      </c>
      <c r="Z256" s="11"/>
    </row>
    <row r="257" spans="2:26">
      <c r="B257" s="5" t="str">
        <f t="shared" si="66"/>
        <v/>
      </c>
      <c r="C257" s="12" t="str">
        <f t="shared" si="67"/>
        <v/>
      </c>
      <c r="D257" s="12" t="str">
        <f t="shared" si="51"/>
        <v/>
      </c>
      <c r="E257" s="12" t="str">
        <f t="shared" si="52"/>
        <v/>
      </c>
      <c r="F257" s="12" t="str">
        <f t="shared" si="53"/>
        <v/>
      </c>
      <c r="G257" s="12" t="str">
        <f t="shared" si="54"/>
        <v/>
      </c>
      <c r="H257" s="12" t="str">
        <f t="shared" si="55"/>
        <v/>
      </c>
      <c r="I257" s="12" t="str">
        <f t="shared" si="56"/>
        <v/>
      </c>
      <c r="J257" s="12" t="str">
        <f t="shared" si="57"/>
        <v/>
      </c>
      <c r="K257" s="12" t="str">
        <f t="shared" si="58"/>
        <v/>
      </c>
      <c r="L257" s="12" t="str">
        <f t="shared" si="59"/>
        <v/>
      </c>
      <c r="M257" s="12" t="str">
        <f t="shared" si="60"/>
        <v/>
      </c>
      <c r="N257" s="12" t="str">
        <f t="shared" si="61"/>
        <v/>
      </c>
      <c r="O257" s="12" t="str">
        <f t="shared" si="62"/>
        <v/>
      </c>
      <c r="P257" s="12" t="str">
        <f t="shared" si="63"/>
        <v/>
      </c>
      <c r="Q257" s="12" t="str">
        <f t="shared" si="64"/>
        <v/>
      </c>
      <c r="R257" s="12" t="str">
        <f t="shared" si="65"/>
        <v/>
      </c>
      <c r="Z257" s="11"/>
    </row>
    <row r="258" spans="2:26">
      <c r="B258" s="5" t="str">
        <f t="shared" si="66"/>
        <v/>
      </c>
      <c r="C258" s="12" t="str">
        <f t="shared" si="67"/>
        <v/>
      </c>
      <c r="D258" s="12" t="str">
        <f t="shared" si="51"/>
        <v/>
      </c>
      <c r="E258" s="12" t="str">
        <f t="shared" si="52"/>
        <v/>
      </c>
      <c r="F258" s="12" t="str">
        <f t="shared" si="53"/>
        <v/>
      </c>
      <c r="G258" s="12" t="str">
        <f t="shared" si="54"/>
        <v/>
      </c>
      <c r="H258" s="12" t="str">
        <f t="shared" si="55"/>
        <v/>
      </c>
      <c r="I258" s="12" t="str">
        <f t="shared" si="56"/>
        <v/>
      </c>
      <c r="J258" s="12" t="str">
        <f t="shared" si="57"/>
        <v/>
      </c>
      <c r="K258" s="12" t="str">
        <f t="shared" si="58"/>
        <v/>
      </c>
      <c r="L258" s="12" t="str">
        <f t="shared" si="59"/>
        <v/>
      </c>
      <c r="M258" s="12" t="str">
        <f t="shared" si="60"/>
        <v/>
      </c>
      <c r="N258" s="12" t="str">
        <f t="shared" si="61"/>
        <v/>
      </c>
      <c r="O258" s="12" t="str">
        <f t="shared" si="62"/>
        <v/>
      </c>
      <c r="P258" s="12" t="str">
        <f t="shared" si="63"/>
        <v/>
      </c>
      <c r="Q258" s="12" t="str">
        <f t="shared" si="64"/>
        <v/>
      </c>
      <c r="R258" s="12" t="str">
        <f t="shared" si="65"/>
        <v/>
      </c>
      <c r="Z258" s="11"/>
    </row>
    <row r="259" spans="2:26">
      <c r="B259" s="5" t="str">
        <f t="shared" si="66"/>
        <v/>
      </c>
      <c r="C259" s="12" t="str">
        <f t="shared" si="67"/>
        <v/>
      </c>
      <c r="D259" s="12" t="str">
        <f t="shared" si="51"/>
        <v/>
      </c>
      <c r="E259" s="12" t="str">
        <f t="shared" si="52"/>
        <v/>
      </c>
      <c r="F259" s="12" t="str">
        <f t="shared" si="53"/>
        <v/>
      </c>
      <c r="G259" s="12" t="str">
        <f t="shared" si="54"/>
        <v/>
      </c>
      <c r="H259" s="12" t="str">
        <f t="shared" si="55"/>
        <v/>
      </c>
      <c r="I259" s="12" t="str">
        <f t="shared" si="56"/>
        <v/>
      </c>
      <c r="J259" s="12" t="str">
        <f t="shared" si="57"/>
        <v/>
      </c>
      <c r="K259" s="12" t="str">
        <f t="shared" si="58"/>
        <v/>
      </c>
      <c r="L259" s="12" t="str">
        <f t="shared" si="59"/>
        <v/>
      </c>
      <c r="M259" s="12" t="str">
        <f t="shared" si="60"/>
        <v/>
      </c>
      <c r="N259" s="12" t="str">
        <f t="shared" si="61"/>
        <v/>
      </c>
      <c r="O259" s="12" t="str">
        <f t="shared" si="62"/>
        <v/>
      </c>
      <c r="P259" s="12" t="str">
        <f t="shared" si="63"/>
        <v/>
      </c>
      <c r="Q259" s="12" t="str">
        <f t="shared" si="64"/>
        <v/>
      </c>
      <c r="R259" s="12" t="str">
        <f t="shared" si="65"/>
        <v/>
      </c>
      <c r="Z259" s="11"/>
    </row>
    <row r="260" spans="2:26">
      <c r="B260" s="5" t="str">
        <f t="shared" si="66"/>
        <v/>
      </c>
      <c r="C260" s="12" t="str">
        <f t="shared" si="67"/>
        <v/>
      </c>
      <c r="D260" s="12" t="str">
        <f t="shared" si="51"/>
        <v/>
      </c>
      <c r="E260" s="12" t="str">
        <f t="shared" si="52"/>
        <v/>
      </c>
      <c r="F260" s="12" t="str">
        <f t="shared" si="53"/>
        <v/>
      </c>
      <c r="G260" s="12" t="str">
        <f t="shared" si="54"/>
        <v/>
      </c>
      <c r="H260" s="12" t="str">
        <f t="shared" si="55"/>
        <v/>
      </c>
      <c r="I260" s="12" t="str">
        <f t="shared" si="56"/>
        <v/>
      </c>
      <c r="J260" s="12" t="str">
        <f t="shared" si="57"/>
        <v/>
      </c>
      <c r="K260" s="12" t="str">
        <f t="shared" si="58"/>
        <v/>
      </c>
      <c r="L260" s="12" t="str">
        <f t="shared" si="59"/>
        <v/>
      </c>
      <c r="M260" s="12" t="str">
        <f t="shared" si="60"/>
        <v/>
      </c>
      <c r="N260" s="12" t="str">
        <f t="shared" si="61"/>
        <v/>
      </c>
      <c r="O260" s="12" t="str">
        <f t="shared" si="62"/>
        <v/>
      </c>
      <c r="P260" s="12" t="str">
        <f t="shared" si="63"/>
        <v/>
      </c>
      <c r="Q260" s="12" t="str">
        <f t="shared" si="64"/>
        <v/>
      </c>
      <c r="R260" s="12" t="str">
        <f t="shared" si="65"/>
        <v/>
      </c>
      <c r="Z260" s="11"/>
    </row>
    <row r="261" spans="2:26">
      <c r="B261" s="5" t="str">
        <f t="shared" si="66"/>
        <v/>
      </c>
      <c r="C261" s="12" t="str">
        <f t="shared" si="67"/>
        <v/>
      </c>
      <c r="D261" s="12" t="str">
        <f t="shared" si="51"/>
        <v/>
      </c>
      <c r="E261" s="12" t="str">
        <f t="shared" si="52"/>
        <v/>
      </c>
      <c r="F261" s="12" t="str">
        <f t="shared" si="53"/>
        <v/>
      </c>
      <c r="G261" s="12" t="str">
        <f t="shared" si="54"/>
        <v/>
      </c>
      <c r="H261" s="12" t="str">
        <f t="shared" si="55"/>
        <v/>
      </c>
      <c r="I261" s="12" t="str">
        <f t="shared" si="56"/>
        <v/>
      </c>
      <c r="J261" s="12" t="str">
        <f t="shared" si="57"/>
        <v/>
      </c>
      <c r="K261" s="12" t="str">
        <f t="shared" si="58"/>
        <v/>
      </c>
      <c r="L261" s="12" t="str">
        <f t="shared" si="59"/>
        <v/>
      </c>
      <c r="M261" s="12" t="str">
        <f t="shared" si="60"/>
        <v/>
      </c>
      <c r="N261" s="12" t="str">
        <f t="shared" si="61"/>
        <v/>
      </c>
      <c r="O261" s="12" t="str">
        <f t="shared" si="62"/>
        <v/>
      </c>
      <c r="P261" s="12" t="str">
        <f t="shared" si="63"/>
        <v/>
      </c>
      <c r="Q261" s="12" t="str">
        <f t="shared" si="64"/>
        <v/>
      </c>
      <c r="R261" s="12" t="str">
        <f t="shared" si="65"/>
        <v/>
      </c>
      <c r="Z261" s="11"/>
    </row>
    <row r="262" spans="2:26">
      <c r="B262" s="5" t="str">
        <f t="shared" si="66"/>
        <v/>
      </c>
      <c r="C262" s="12" t="str">
        <f t="shared" si="67"/>
        <v/>
      </c>
      <c r="D262" s="12" t="str">
        <f t="shared" si="51"/>
        <v/>
      </c>
      <c r="E262" s="12" t="str">
        <f t="shared" si="52"/>
        <v/>
      </c>
      <c r="F262" s="12" t="str">
        <f t="shared" si="53"/>
        <v/>
      </c>
      <c r="G262" s="12" t="str">
        <f t="shared" si="54"/>
        <v/>
      </c>
      <c r="H262" s="12" t="str">
        <f t="shared" si="55"/>
        <v/>
      </c>
      <c r="I262" s="12" t="str">
        <f t="shared" si="56"/>
        <v/>
      </c>
      <c r="J262" s="12" t="str">
        <f t="shared" si="57"/>
        <v/>
      </c>
      <c r="K262" s="12" t="str">
        <f t="shared" si="58"/>
        <v/>
      </c>
      <c r="L262" s="12" t="str">
        <f t="shared" si="59"/>
        <v/>
      </c>
      <c r="M262" s="12" t="str">
        <f t="shared" si="60"/>
        <v/>
      </c>
      <c r="N262" s="12" t="str">
        <f t="shared" si="61"/>
        <v/>
      </c>
      <c r="O262" s="12" t="str">
        <f t="shared" si="62"/>
        <v/>
      </c>
      <c r="P262" s="12" t="str">
        <f t="shared" si="63"/>
        <v/>
      </c>
      <c r="Q262" s="12" t="str">
        <f t="shared" si="64"/>
        <v/>
      </c>
      <c r="R262" s="12" t="str">
        <f t="shared" si="65"/>
        <v/>
      </c>
      <c r="Z262" s="11"/>
    </row>
    <row r="263" spans="2:26">
      <c r="B263" s="5" t="str">
        <f t="shared" si="66"/>
        <v/>
      </c>
      <c r="C263" s="12" t="str">
        <f t="shared" si="67"/>
        <v/>
      </c>
      <c r="D263" s="12" t="str">
        <f t="shared" ref="D263:D267" si="68">IF(AB263="", "", CHOOSE($W$7, TEXT(AB263, "#,##0.000_ ;-#,##0.000 "), TEXT(AB263*100, "#,##0.0_ ;-#,##0.0 "), TEXT(AB263, "#,##0.0_ ;-#,##0.0 ")) )</f>
        <v/>
      </c>
      <c r="E263" s="12" t="str">
        <f t="shared" ref="E263:E267" si="69">IF(AC263="", "", CHOOSE($W$7, TEXT(AC263, "#,##0.000_ ;-#,##0.000 "), TEXT(AC263*100, "#,##0.0_ ;-#,##0.0 "), TEXT(AC263, "#,##0.0_ ;-#,##0.0 ")) )</f>
        <v/>
      </c>
      <c r="F263" s="12" t="str">
        <f t="shared" ref="F263:F267" si="70">IF(AD263="", "", CHOOSE($W$7, TEXT(AD263, "#,##0.000_ ;-#,##0.000 "), TEXT(AD263*100, "#,##0.0_ ;-#,##0.0 "), TEXT(AD263, "#,##0.0_ ;-#,##0.0 ")) )</f>
        <v/>
      </c>
      <c r="G263" s="12" t="str">
        <f t="shared" ref="G263:G267" si="71">IF(AE263="", "", CHOOSE($W$7, TEXT(AE263, "#,##0.000_ ;-#,##0.000 "), TEXT(AE263*100, "#,##0.0_ ;-#,##0.0 "), TEXT(AE263, "#,##0.0_ ;-#,##0.0 ")) )</f>
        <v/>
      </c>
      <c r="H263" s="12" t="str">
        <f t="shared" ref="H263:H267" si="72">IF(AF263="", "", CHOOSE($W$7, TEXT(AF263, "#,##0.000_ ;-#,##0.000 "), TEXT(AF263*100, "#,##0.0_ ;-#,##0.0 "), TEXT(AF263, "#,##0.0_ ;-#,##0.0 ")) )</f>
        <v/>
      </c>
      <c r="I263" s="12" t="str">
        <f t="shared" ref="I263:I267" si="73">IF(AG263="", "", CHOOSE($W$7, TEXT(AG263, "#,##0.000_ ;-#,##0.000 "), TEXT(AG263*100, "#,##0.0_ ;-#,##0.0 "), TEXT(AG263, "#,##0.0_ ;-#,##0.0 ")) )</f>
        <v/>
      </c>
      <c r="J263" s="12" t="str">
        <f t="shared" ref="J263:J267" si="74">IF(AH263="", "", CHOOSE($W$7, TEXT(AH263, "#,##0.000_ ;-#,##0.000 "), TEXT(AH263*100, "#,##0.0_ ;-#,##0.0 "), TEXT(AH263, "#,##0.0_ ;-#,##0.0 ")) )</f>
        <v/>
      </c>
      <c r="K263" s="12" t="str">
        <f t="shared" ref="K263:K267" si="75">IF(AI263="", "", CHOOSE($W$7, TEXT(AI263, "#,##0.000_ ;-#,##0.000 "), TEXT(AI263*100, "#,##0.0_ ;-#,##0.0 "), TEXT(AI263, "#,##0.0_ ;-#,##0.0 ")) )</f>
        <v/>
      </c>
      <c r="L263" s="12" t="str">
        <f t="shared" ref="L263:L267" si="76">IF(AJ263="", "", CHOOSE($W$7, TEXT(AJ263, "#,##0.000_ ;-#,##0.000 "), TEXT(AJ263*100, "#,##0.0_ ;-#,##0.0 "), TEXT(AJ263, "#,##0.0_ ;-#,##0.0 ")) )</f>
        <v/>
      </c>
      <c r="M263" s="12" t="str">
        <f t="shared" ref="M263:M267" si="77">IF(AK263="", "", CHOOSE($W$7, TEXT(AK263, "#,##0.000_ ;-#,##0.000 "), TEXT(AK263*100, "#,##0.0_ ;-#,##0.0 "), TEXT(AK263, "#,##0.0_ ;-#,##0.0 ")) )</f>
        <v/>
      </c>
      <c r="N263" s="12" t="str">
        <f t="shared" ref="N263:N267" si="78">IF(AL263="", "", CHOOSE($W$7, TEXT(AL263, "#,##0.000_ ;-#,##0.000 "), TEXT(AL263*100, "#,##0.0_ ;-#,##0.0 "), TEXT(AL263, "#,##0.0_ ;-#,##0.0 ")) )</f>
        <v/>
      </c>
      <c r="O263" s="12" t="str">
        <f t="shared" ref="O263:O267" si="79">IF(AM263="", "", CHOOSE($W$7, TEXT(AM263, "#,##0.000_ ;-#,##0.000 "), TEXT(AM263*100, "#,##0.0_ ;-#,##0.0 "), TEXT(AM263, "#,##0.0_ ;-#,##0.0 ")) )</f>
        <v/>
      </c>
      <c r="P263" s="12" t="str">
        <f t="shared" ref="P263:P267" si="80">IF(AN263="", "", CHOOSE($W$7, TEXT(AN263, "#,##0.000_ ;-#,##0.000 "), TEXT(AN263*100, "#,##0.0_ ;-#,##0.0 "), TEXT(AN263, "#,##0.0_ ;-#,##0.0 ")) )</f>
        <v/>
      </c>
      <c r="Q263" s="12" t="str">
        <f t="shared" ref="Q263:Q267" si="81">IF(AO263="", "", CHOOSE($W$7, TEXT(AO263, "#,##0.000_ ;-#,##0.000 "), TEXT(AO263*100, "#,##0.0_ ;-#,##0.0 "), TEXT(AO263, "#,##0.0_ ;-#,##0.0 ")) )</f>
        <v/>
      </c>
      <c r="R263" s="12" t="str">
        <f t="shared" ref="R263:R267" si="82">IF(AP263="", "", CHOOSE($W$7, TEXT(AP263, "#,##0.000_ ;-#,##0.000 "), TEXT(AP263*100, "#,##0.0_ ;-#,##0.0 "), TEXT(AP263, "#,##0.0_ ;-#,##0.0 ")) )</f>
        <v/>
      </c>
      <c r="Z263" s="11"/>
    </row>
    <row r="264" spans="2:26">
      <c r="B264" s="5" t="str">
        <f t="shared" ref="B264:B267" si="83">IF(Z264="","",Z264)</f>
        <v/>
      </c>
      <c r="C264" s="12" t="str">
        <f t="shared" ref="C264:C267" si="84">IF(AA264="", "", CHOOSE($W$7, TEXT(AA264, "#,##0.000_ ;-#,##0.000 "), TEXT(AA264*100, "#,##0.0_ ;-#,##0.0 "), TEXT(AA264, "#,##0.0_ ;-#,##0.0 ")) )</f>
        <v/>
      </c>
      <c r="D264" s="12" t="str">
        <f t="shared" si="68"/>
        <v/>
      </c>
      <c r="E264" s="12" t="str">
        <f t="shared" si="69"/>
        <v/>
      </c>
      <c r="F264" s="12" t="str">
        <f t="shared" si="70"/>
        <v/>
      </c>
      <c r="G264" s="12" t="str">
        <f t="shared" si="71"/>
        <v/>
      </c>
      <c r="H264" s="12" t="str">
        <f t="shared" si="72"/>
        <v/>
      </c>
      <c r="I264" s="12" t="str">
        <f t="shared" si="73"/>
        <v/>
      </c>
      <c r="J264" s="12" t="str">
        <f t="shared" si="74"/>
        <v/>
      </c>
      <c r="K264" s="12" t="str">
        <f t="shared" si="75"/>
        <v/>
      </c>
      <c r="L264" s="12" t="str">
        <f t="shared" si="76"/>
        <v/>
      </c>
      <c r="M264" s="12" t="str">
        <f t="shared" si="77"/>
        <v/>
      </c>
      <c r="N264" s="12" t="str">
        <f t="shared" si="78"/>
        <v/>
      </c>
      <c r="O264" s="12" t="str">
        <f t="shared" si="79"/>
        <v/>
      </c>
      <c r="P264" s="12" t="str">
        <f t="shared" si="80"/>
        <v/>
      </c>
      <c r="Q264" s="12" t="str">
        <f t="shared" si="81"/>
        <v/>
      </c>
      <c r="R264" s="12" t="str">
        <f t="shared" si="82"/>
        <v/>
      </c>
      <c r="Z264" s="11"/>
    </row>
    <row r="265" spans="2:26">
      <c r="B265" s="5" t="str">
        <f t="shared" si="83"/>
        <v/>
      </c>
      <c r="C265" s="12" t="str">
        <f t="shared" si="84"/>
        <v/>
      </c>
      <c r="D265" s="12" t="str">
        <f t="shared" si="68"/>
        <v/>
      </c>
      <c r="E265" s="12" t="str">
        <f t="shared" si="69"/>
        <v/>
      </c>
      <c r="F265" s="12" t="str">
        <f t="shared" si="70"/>
        <v/>
      </c>
      <c r="G265" s="12" t="str">
        <f t="shared" si="71"/>
        <v/>
      </c>
      <c r="H265" s="12" t="str">
        <f t="shared" si="72"/>
        <v/>
      </c>
      <c r="I265" s="12" t="str">
        <f t="shared" si="73"/>
        <v/>
      </c>
      <c r="J265" s="12" t="str">
        <f t="shared" si="74"/>
        <v/>
      </c>
      <c r="K265" s="12" t="str">
        <f t="shared" si="75"/>
        <v/>
      </c>
      <c r="L265" s="12" t="str">
        <f t="shared" si="76"/>
        <v/>
      </c>
      <c r="M265" s="12" t="str">
        <f t="shared" si="77"/>
        <v/>
      </c>
      <c r="N265" s="12" t="str">
        <f t="shared" si="78"/>
        <v/>
      </c>
      <c r="O265" s="12" t="str">
        <f t="shared" si="79"/>
        <v/>
      </c>
      <c r="P265" s="12" t="str">
        <f t="shared" si="80"/>
        <v/>
      </c>
      <c r="Q265" s="12" t="str">
        <f t="shared" si="81"/>
        <v/>
      </c>
      <c r="R265" s="12" t="str">
        <f t="shared" si="82"/>
        <v/>
      </c>
      <c r="Z265" s="11"/>
    </row>
    <row r="266" spans="2:26">
      <c r="B266" s="5" t="str">
        <f t="shared" si="83"/>
        <v/>
      </c>
      <c r="C266" s="12" t="str">
        <f t="shared" si="84"/>
        <v/>
      </c>
      <c r="D266" s="12" t="str">
        <f t="shared" si="68"/>
        <v/>
      </c>
      <c r="E266" s="12" t="str">
        <f t="shared" si="69"/>
        <v/>
      </c>
      <c r="F266" s="12" t="str">
        <f t="shared" si="70"/>
        <v/>
      </c>
      <c r="G266" s="12" t="str">
        <f t="shared" si="71"/>
        <v/>
      </c>
      <c r="H266" s="12" t="str">
        <f t="shared" si="72"/>
        <v/>
      </c>
      <c r="I266" s="12" t="str">
        <f t="shared" si="73"/>
        <v/>
      </c>
      <c r="J266" s="12" t="str">
        <f t="shared" si="74"/>
        <v/>
      </c>
      <c r="K266" s="12" t="str">
        <f t="shared" si="75"/>
        <v/>
      </c>
      <c r="L266" s="12" t="str">
        <f t="shared" si="76"/>
        <v/>
      </c>
      <c r="M266" s="12" t="str">
        <f t="shared" si="77"/>
        <v/>
      </c>
      <c r="N266" s="12" t="str">
        <f t="shared" si="78"/>
        <v/>
      </c>
      <c r="O266" s="12" t="str">
        <f t="shared" si="79"/>
        <v/>
      </c>
      <c r="P266" s="12" t="str">
        <f t="shared" si="80"/>
        <v/>
      </c>
      <c r="Q266" s="12" t="str">
        <f t="shared" si="81"/>
        <v/>
      </c>
      <c r="R266" s="12" t="str">
        <f t="shared" si="82"/>
        <v/>
      </c>
      <c r="Z266" s="11"/>
    </row>
    <row r="267" spans="2:26">
      <c r="B267" s="5" t="str">
        <f t="shared" si="83"/>
        <v/>
      </c>
      <c r="C267" s="12" t="str">
        <f t="shared" si="84"/>
        <v/>
      </c>
      <c r="D267" s="12" t="str">
        <f t="shared" si="68"/>
        <v/>
      </c>
      <c r="E267" s="12" t="str">
        <f t="shared" si="69"/>
        <v/>
      </c>
      <c r="F267" s="12" t="str">
        <f t="shared" si="70"/>
        <v/>
      </c>
      <c r="G267" s="12" t="str">
        <f t="shared" si="71"/>
        <v/>
      </c>
      <c r="H267" s="12" t="str">
        <f t="shared" si="72"/>
        <v/>
      </c>
      <c r="I267" s="12" t="str">
        <f t="shared" si="73"/>
        <v/>
      </c>
      <c r="J267" s="12" t="str">
        <f t="shared" si="74"/>
        <v/>
      </c>
      <c r="K267" s="12" t="str">
        <f t="shared" si="75"/>
        <v/>
      </c>
      <c r="L267" s="12" t="str">
        <f t="shared" si="76"/>
        <v/>
      </c>
      <c r="M267" s="12" t="str">
        <f t="shared" si="77"/>
        <v/>
      </c>
      <c r="N267" s="12" t="str">
        <f t="shared" si="78"/>
        <v/>
      </c>
      <c r="O267" s="12" t="str">
        <f t="shared" si="79"/>
        <v/>
      </c>
      <c r="P267" s="12" t="str">
        <f t="shared" si="80"/>
        <v/>
      </c>
      <c r="Q267" s="12" t="str">
        <f t="shared" si="81"/>
        <v/>
      </c>
      <c r="R267" s="12" t="str">
        <f t="shared" si="82"/>
        <v/>
      </c>
      <c r="Z267" s="11"/>
    </row>
    <row r="268" spans="2:26">
      <c r="Z268" s="11"/>
    </row>
    <row r="269" spans="2:26" hidden="1">
      <c r="Z269" s="11"/>
    </row>
    <row r="270" spans="2:26" hidden="1">
      <c r="Z270" s="11"/>
    </row>
    <row r="271" spans="2:26" hidden="1">
      <c r="Z271" s="11"/>
    </row>
    <row r="272" spans="2:26" hidden="1">
      <c r="Z272" s="11"/>
    </row>
    <row r="273" spans="26:26" hidden="1">
      <c r="Z273" s="11"/>
    </row>
    <row r="274" spans="26:26" hidden="1">
      <c r="Z274" s="11"/>
    </row>
    <row r="275" spans="26:26" hidden="1">
      <c r="Z275" s="11"/>
    </row>
    <row r="276" spans="26:26" hidden="1">
      <c r="Z276" s="11"/>
    </row>
    <row r="277" spans="26:26" hidden="1">
      <c r="Z277" s="11"/>
    </row>
    <row r="278" spans="26:26" hidden="1">
      <c r="Z278" s="11"/>
    </row>
    <row r="279" spans="26:26" hidden="1">
      <c r="Z279" s="11"/>
    </row>
    <row r="280" spans="26:26" hidden="1">
      <c r="Z280" s="11"/>
    </row>
    <row r="281" spans="26:26" hidden="1">
      <c r="Z281" s="11"/>
    </row>
    <row r="282" spans="26:26" hidden="1">
      <c r="Z282" s="11"/>
    </row>
    <row r="283" spans="26:26" hidden="1">
      <c r="Z283" s="11"/>
    </row>
    <row r="284" spans="26:26" hidden="1">
      <c r="Z284" s="11"/>
    </row>
    <row r="285" spans="26:26" hidden="1">
      <c r="Z285" s="11"/>
    </row>
    <row r="286" spans="26:26" hidden="1">
      <c r="Z286" s="11"/>
    </row>
    <row r="287" spans="26:26" hidden="1">
      <c r="Z287" s="11"/>
    </row>
    <row r="288" spans="26:26" hidden="1">
      <c r="Z288" s="11"/>
    </row>
    <row r="289" spans="26:26" hidden="1">
      <c r="Z289" s="11"/>
    </row>
    <row r="290" spans="26:26" hidden="1">
      <c r="Z290" s="11"/>
    </row>
    <row r="291" spans="26:26" hidden="1">
      <c r="Z291" s="11"/>
    </row>
    <row r="292" spans="26:26" hidden="1">
      <c r="Z292" s="11"/>
    </row>
    <row r="293" spans="26:26" hidden="1">
      <c r="Z293" s="11"/>
    </row>
    <row r="294" spans="26:26" hidden="1">
      <c r="Z294" s="11"/>
    </row>
    <row r="295" spans="26:26" hidden="1">
      <c r="Z295" s="11"/>
    </row>
    <row r="296" spans="26:26" hidden="1">
      <c r="Z296" s="11"/>
    </row>
    <row r="297" spans="26:26" hidden="1">
      <c r="Z297" s="11"/>
    </row>
    <row r="298" spans="26:26" hidden="1">
      <c r="Z298" s="11"/>
    </row>
    <row r="299" spans="26:26" hidden="1">
      <c r="Z299" s="11"/>
    </row>
    <row r="300" spans="26:26" hidden="1">
      <c r="Z300" s="11"/>
    </row>
    <row r="301" spans="26:26" hidden="1">
      <c r="Z301" s="11"/>
    </row>
    <row r="302" spans="26:26" hidden="1">
      <c r="Z302" s="11"/>
    </row>
    <row r="303" spans="26:26" hidden="1">
      <c r="Z303" s="11"/>
    </row>
    <row r="304" spans="26:26" hidden="1">
      <c r="Z304" s="11"/>
    </row>
    <row r="305" spans="26:26" hidden="1">
      <c r="Z305" s="11"/>
    </row>
    <row r="306" spans="26:26" hidden="1">
      <c r="Z306" s="11"/>
    </row>
    <row r="307" spans="26:26" hidden="1">
      <c r="Z307" s="11"/>
    </row>
    <row r="308" spans="26:26" hidden="1">
      <c r="Z308" s="11"/>
    </row>
    <row r="309" spans="26:26" hidden="1">
      <c r="Z309" s="11"/>
    </row>
    <row r="310" spans="26:26" hidden="1">
      <c r="Z310" s="11"/>
    </row>
    <row r="311" spans="26:26" hidden="1">
      <c r="Z311" s="11"/>
    </row>
    <row r="312" spans="26:26" hidden="1">
      <c r="Z312" s="11"/>
    </row>
    <row r="313" spans="26:26" hidden="1">
      <c r="Z313" s="11"/>
    </row>
    <row r="314" spans="26:26" hidden="1">
      <c r="Z314" s="11"/>
    </row>
    <row r="315" spans="26:26" hidden="1">
      <c r="Z315" s="11"/>
    </row>
    <row r="316" spans="26:26" hidden="1">
      <c r="Z316" s="11"/>
    </row>
    <row r="317" spans="26:26" hidden="1">
      <c r="Z317" s="11"/>
    </row>
    <row r="318" spans="26:26" hidden="1">
      <c r="Z318" s="11"/>
    </row>
    <row r="319" spans="26:26" hidden="1">
      <c r="Z319" s="11"/>
    </row>
    <row r="320" spans="26:26" hidden="1">
      <c r="Z320" s="11"/>
    </row>
    <row r="321" spans="26:26" hidden="1">
      <c r="Z321" s="11"/>
    </row>
    <row r="322" spans="26:26" hidden="1">
      <c r="Z322" s="11"/>
    </row>
    <row r="323" spans="26:26" hidden="1">
      <c r="Z323" s="11"/>
    </row>
    <row r="324" spans="26:26" hidden="1">
      <c r="Z324" s="11"/>
    </row>
    <row r="325" spans="26:26" hidden="1">
      <c r="Z325" s="11"/>
    </row>
    <row r="326" spans="26:26" hidden="1">
      <c r="Z326" s="11"/>
    </row>
    <row r="327" spans="26:26" hidden="1">
      <c r="Z327" s="11"/>
    </row>
    <row r="328" spans="26:26" hidden="1">
      <c r="Z328" s="11"/>
    </row>
    <row r="329" spans="26:26" hidden="1">
      <c r="Z329" s="11"/>
    </row>
    <row r="330" spans="26:26" hidden="1">
      <c r="Z330" s="11"/>
    </row>
    <row r="331" spans="26:26" hidden="1">
      <c r="Z331" s="11"/>
    </row>
    <row r="332" spans="26:26" hidden="1">
      <c r="Z332" s="11"/>
    </row>
    <row r="333" spans="26:26" hidden="1">
      <c r="Z333" s="11"/>
    </row>
    <row r="334" spans="26:26" hidden="1">
      <c r="Z334" s="11"/>
    </row>
    <row r="335" spans="26:26" hidden="1">
      <c r="Z335" s="11"/>
    </row>
    <row r="336" spans="26:26" hidden="1">
      <c r="Z336" s="11"/>
    </row>
    <row r="337" spans="26:26" hidden="1">
      <c r="Z337" s="11"/>
    </row>
    <row r="338" spans="26:26" hidden="1">
      <c r="Z338" s="11"/>
    </row>
    <row r="339" spans="26:26" hidden="1">
      <c r="Z339" s="11"/>
    </row>
    <row r="340" spans="26:26" hidden="1">
      <c r="Z340" s="11"/>
    </row>
    <row r="341" spans="26:26" hidden="1">
      <c r="Z341" s="11"/>
    </row>
    <row r="342" spans="26:26" hidden="1">
      <c r="Z342" s="11"/>
    </row>
    <row r="343" spans="26:26" hidden="1">
      <c r="Z343" s="11"/>
    </row>
    <row r="344" spans="26:26" hidden="1">
      <c r="Z344" s="11"/>
    </row>
    <row r="345" spans="26:26" hidden="1">
      <c r="Z345" s="11"/>
    </row>
    <row r="346" spans="26:26" hidden="1">
      <c r="Z346" s="11"/>
    </row>
    <row r="347" spans="26:26" hidden="1">
      <c r="Z347" s="11"/>
    </row>
    <row r="348" spans="26:26" hidden="1">
      <c r="Z348" s="11"/>
    </row>
    <row r="349" spans="26:26" hidden="1">
      <c r="Z349" s="11"/>
    </row>
    <row r="350" spans="26:26" hidden="1">
      <c r="Z350" s="11"/>
    </row>
    <row r="351" spans="26:26" hidden="1">
      <c r="Z351" s="11"/>
    </row>
    <row r="352" spans="26:26" hidden="1">
      <c r="Z352" s="11"/>
    </row>
    <row r="353" spans="26:26" hidden="1">
      <c r="Z353" s="11"/>
    </row>
    <row r="354" spans="26:26" hidden="1">
      <c r="Z354" s="11"/>
    </row>
    <row r="355" spans="26:26" hidden="1">
      <c r="Z355" s="11"/>
    </row>
    <row r="356" spans="26:26" hidden="1">
      <c r="Z356" s="11"/>
    </row>
    <row r="357" spans="26:26" hidden="1">
      <c r="Z357" s="11"/>
    </row>
    <row r="358" spans="26:26" hidden="1">
      <c r="Z358" s="11"/>
    </row>
    <row r="359" spans="26:26" hidden="1">
      <c r="Z359" s="11"/>
    </row>
    <row r="360" spans="26:26" hidden="1">
      <c r="Z360" s="11"/>
    </row>
    <row r="361" spans="26:26" hidden="1">
      <c r="Z361" s="11"/>
    </row>
    <row r="362" spans="26:26" hidden="1">
      <c r="Z362" s="11"/>
    </row>
    <row r="363" spans="26:26" hidden="1">
      <c r="Z363" s="11"/>
    </row>
    <row r="364" spans="26:26" hidden="1">
      <c r="Z364" s="11"/>
    </row>
    <row r="365" spans="26:26" hidden="1">
      <c r="Z365" s="11"/>
    </row>
    <row r="366" spans="26:26" hidden="1">
      <c r="Z366" s="11"/>
    </row>
    <row r="367" spans="26:26" hidden="1">
      <c r="Z367" s="11"/>
    </row>
    <row r="368" spans="26:26" hidden="1">
      <c r="Z368" s="11"/>
    </row>
    <row r="369" spans="26:26" hidden="1">
      <c r="Z369" s="11"/>
    </row>
    <row r="370" spans="26:26" hidden="1">
      <c r="Z370" s="11"/>
    </row>
    <row r="371" spans="26:26" hidden="1">
      <c r="Z371" s="11"/>
    </row>
    <row r="372" spans="26:26" hidden="1">
      <c r="Z372" s="11"/>
    </row>
    <row r="373" spans="26:26" hidden="1">
      <c r="Z373" s="11"/>
    </row>
    <row r="374" spans="26:26" hidden="1">
      <c r="Z374" s="11"/>
    </row>
    <row r="375" spans="26:26" hidden="1">
      <c r="Z375" s="11"/>
    </row>
    <row r="376" spans="26:26" hidden="1">
      <c r="Z376" s="11"/>
    </row>
    <row r="377" spans="26:26" hidden="1">
      <c r="Z377" s="11"/>
    </row>
    <row r="378" spans="26:26" hidden="1">
      <c r="Z378" s="11"/>
    </row>
    <row r="379" spans="26:26" hidden="1">
      <c r="Z379" s="11"/>
    </row>
    <row r="380" spans="26:26" hidden="1">
      <c r="Z380" s="11"/>
    </row>
    <row r="381" spans="26:26" hidden="1">
      <c r="Z381" s="11"/>
    </row>
    <row r="382" spans="26:26" hidden="1">
      <c r="Z382" s="11"/>
    </row>
    <row r="383" spans="26:26" hidden="1">
      <c r="Z383" s="11"/>
    </row>
    <row r="384" spans="26:26" hidden="1">
      <c r="Z384" s="11"/>
    </row>
    <row r="385" spans="26:26" hidden="1">
      <c r="Z385" s="11"/>
    </row>
    <row r="386" spans="26:26" hidden="1">
      <c r="Z386" s="11"/>
    </row>
    <row r="387" spans="26:26" hidden="1">
      <c r="Z387" s="11"/>
    </row>
    <row r="388" spans="26:26" hidden="1">
      <c r="Z388" s="11"/>
    </row>
    <row r="389" spans="26:26" hidden="1">
      <c r="Z389" s="11"/>
    </row>
    <row r="390" spans="26:26" hidden="1">
      <c r="Z390" s="11"/>
    </row>
    <row r="391" spans="26:26" hidden="1">
      <c r="Z391" s="11"/>
    </row>
    <row r="392" spans="26:26" hidden="1">
      <c r="Z392" s="11"/>
    </row>
    <row r="393" spans="26:26" hidden="1">
      <c r="Z393" s="11"/>
    </row>
    <row r="394" spans="26:26" hidden="1">
      <c r="Z394" s="11"/>
    </row>
    <row r="395" spans="26:26" hidden="1">
      <c r="Z395" s="11"/>
    </row>
    <row r="396" spans="26:26" hidden="1">
      <c r="Z396" s="11"/>
    </row>
    <row r="397" spans="26:26" hidden="1">
      <c r="Z397" s="11"/>
    </row>
    <row r="398" spans="26:26" hidden="1">
      <c r="Z398" s="11"/>
    </row>
    <row r="399" spans="26:26" hidden="1">
      <c r="Z399" s="11"/>
    </row>
    <row r="400" spans="26:26" hidden="1">
      <c r="Z400" s="11"/>
    </row>
    <row r="401" spans="26:26" hidden="1">
      <c r="Z401" s="11"/>
    </row>
    <row r="402" spans="26:26" hidden="1">
      <c r="Z402" s="11"/>
    </row>
    <row r="403" spans="26:26" hidden="1">
      <c r="Z403" s="11"/>
    </row>
    <row r="404" spans="26:26" hidden="1">
      <c r="Z404" s="11"/>
    </row>
    <row r="405" spans="26:26" hidden="1">
      <c r="Z405" s="11"/>
    </row>
    <row r="406" spans="26:26" hidden="1">
      <c r="Z406" s="11"/>
    </row>
    <row r="407" spans="26:26" hidden="1">
      <c r="Z407" s="11"/>
    </row>
    <row r="408" spans="26:26" hidden="1">
      <c r="Z408" s="11"/>
    </row>
    <row r="409" spans="26:26" hidden="1">
      <c r="Z409" s="11"/>
    </row>
    <row r="410" spans="26:26" hidden="1">
      <c r="Z410" s="11"/>
    </row>
    <row r="411" spans="26:26" hidden="1">
      <c r="Z411" s="11"/>
    </row>
    <row r="412" spans="26:26" hidden="1">
      <c r="Z412" s="11"/>
    </row>
    <row r="413" spans="26:26" hidden="1">
      <c r="Z413" s="11"/>
    </row>
    <row r="414" spans="26:26" hidden="1">
      <c r="Z414" s="11"/>
    </row>
    <row r="415" spans="26:26" hidden="1">
      <c r="Z415" s="11"/>
    </row>
    <row r="416" spans="26:26" hidden="1">
      <c r="Z416" s="11"/>
    </row>
    <row r="417" spans="26:26" hidden="1">
      <c r="Z417" s="11"/>
    </row>
    <row r="418" spans="26:26" hidden="1">
      <c r="Z418" s="11"/>
    </row>
    <row r="419" spans="26:26" hidden="1">
      <c r="Z419" s="11"/>
    </row>
    <row r="420" spans="26:26" hidden="1">
      <c r="Z420" s="11"/>
    </row>
    <row r="421" spans="26:26" hidden="1">
      <c r="Z421" s="11"/>
    </row>
    <row r="422" spans="26:26" hidden="1">
      <c r="Z422" s="11"/>
    </row>
    <row r="423" spans="26:26" hidden="1">
      <c r="Z423" s="11"/>
    </row>
    <row r="424" spans="26:26" hidden="1">
      <c r="Z424" s="11"/>
    </row>
    <row r="425" spans="26:26" hidden="1">
      <c r="Z425" s="11"/>
    </row>
    <row r="426" spans="26:26" hidden="1">
      <c r="Z426" s="11"/>
    </row>
    <row r="427" spans="26:26" hidden="1">
      <c r="Z427" s="11"/>
    </row>
    <row r="428" spans="26:26" hidden="1">
      <c r="Z428" s="11"/>
    </row>
    <row r="429" spans="26:26" hidden="1">
      <c r="Z429" s="11"/>
    </row>
    <row r="430" spans="26:26" hidden="1">
      <c r="Z430" s="11"/>
    </row>
    <row r="431" spans="26:26" hidden="1">
      <c r="Z431" s="11"/>
    </row>
    <row r="432" spans="26:26" hidden="1">
      <c r="Z432" s="11"/>
    </row>
    <row r="433" spans="26:26" hidden="1">
      <c r="Z433" s="11"/>
    </row>
    <row r="434" spans="26:26" hidden="1">
      <c r="Z434" s="11"/>
    </row>
    <row r="435" spans="26:26" hidden="1">
      <c r="Z435" s="11"/>
    </row>
    <row r="436" spans="26:26" hidden="1">
      <c r="Z436" s="11"/>
    </row>
    <row r="437" spans="26:26" hidden="1">
      <c r="Z437" s="11"/>
    </row>
    <row r="438" spans="26:26" hidden="1">
      <c r="Z438" s="11"/>
    </row>
    <row r="439" spans="26:26" hidden="1">
      <c r="Z439" s="11"/>
    </row>
    <row r="440" spans="26:26" hidden="1">
      <c r="Z440" s="11"/>
    </row>
    <row r="441" spans="26:26" hidden="1">
      <c r="Z441" s="11"/>
    </row>
    <row r="442" spans="26:26" hidden="1">
      <c r="Z442" s="11"/>
    </row>
    <row r="443" spans="26:26" hidden="1">
      <c r="Z443" s="11"/>
    </row>
    <row r="444" spans="26:26" hidden="1">
      <c r="Z444" s="11"/>
    </row>
    <row r="445" spans="26:26" hidden="1">
      <c r="Z445" s="11"/>
    </row>
    <row r="446" spans="26:26" hidden="1">
      <c r="Z446" s="11"/>
    </row>
    <row r="447" spans="26:26" hidden="1">
      <c r="Z447" s="11"/>
    </row>
    <row r="448" spans="26:26" hidden="1">
      <c r="Z448" s="11"/>
    </row>
    <row r="449" spans="26:26" hidden="1">
      <c r="Z449" s="11"/>
    </row>
    <row r="450" spans="26:26" hidden="1">
      <c r="Z450" s="11"/>
    </row>
    <row r="451" spans="26:26" hidden="1">
      <c r="Z451" s="11"/>
    </row>
    <row r="452" spans="26:26" hidden="1">
      <c r="Z452" s="11"/>
    </row>
    <row r="453" spans="26:26" hidden="1">
      <c r="Z453" s="11"/>
    </row>
    <row r="454" spans="26:26" hidden="1">
      <c r="Z454" s="11"/>
    </row>
    <row r="455" spans="26:26" hidden="1">
      <c r="Z455" s="11"/>
    </row>
    <row r="456" spans="26:26" hidden="1">
      <c r="Z456" s="11"/>
    </row>
    <row r="457" spans="26:26" hidden="1">
      <c r="Z457" s="11"/>
    </row>
    <row r="458" spans="26:26" hidden="1">
      <c r="Z458" s="11"/>
    </row>
    <row r="459" spans="26:26" hidden="1">
      <c r="Z459" s="11"/>
    </row>
    <row r="460" spans="26:26" hidden="1">
      <c r="Z460" s="11"/>
    </row>
    <row r="461" spans="26:26" hidden="1">
      <c r="Z461" s="11"/>
    </row>
    <row r="462" spans="26:26" hidden="1">
      <c r="Z462" s="11"/>
    </row>
    <row r="463" spans="26:26" hidden="1">
      <c r="Z463" s="11"/>
    </row>
    <row r="464" spans="26:26" hidden="1">
      <c r="Z464" s="11"/>
    </row>
    <row r="465" spans="26:26" hidden="1">
      <c r="Z465" s="11"/>
    </row>
    <row r="466" spans="26:26" hidden="1">
      <c r="Z466" s="11"/>
    </row>
    <row r="467" spans="26:26" hidden="1">
      <c r="Z467" s="11"/>
    </row>
    <row r="468" spans="26:26" hidden="1">
      <c r="Z468" s="11"/>
    </row>
    <row r="469" spans="26:26" hidden="1">
      <c r="Z469" s="11"/>
    </row>
    <row r="470" spans="26:26" hidden="1">
      <c r="Z470" s="11"/>
    </row>
    <row r="471" spans="26:26" hidden="1">
      <c r="Z471" s="11"/>
    </row>
    <row r="472" spans="26:26" hidden="1">
      <c r="Z472" s="11"/>
    </row>
    <row r="473" spans="26:26" hidden="1">
      <c r="Z473" s="11"/>
    </row>
    <row r="474" spans="26:26" hidden="1">
      <c r="Z474" s="11"/>
    </row>
    <row r="475" spans="26:26" hidden="1">
      <c r="Z475" s="11"/>
    </row>
    <row r="476" spans="26:26" hidden="1">
      <c r="Z476" s="11"/>
    </row>
    <row r="477" spans="26:26" hidden="1">
      <c r="Z477" s="11"/>
    </row>
    <row r="478" spans="26:26" hidden="1">
      <c r="Z478" s="11"/>
    </row>
    <row r="479" spans="26:26" hidden="1">
      <c r="Z479" s="11"/>
    </row>
    <row r="480" spans="26:26" hidden="1">
      <c r="Z480" s="11"/>
    </row>
    <row r="481" spans="26:26" hidden="1">
      <c r="Z481" s="11"/>
    </row>
    <row r="482" spans="26:26" hidden="1">
      <c r="Z482" s="11"/>
    </row>
    <row r="483" spans="26:26" hidden="1">
      <c r="Z483" s="11"/>
    </row>
    <row r="484" spans="26:26" hidden="1">
      <c r="Z484" s="11"/>
    </row>
    <row r="485" spans="26:26" hidden="1">
      <c r="Z485" s="11"/>
    </row>
    <row r="486" spans="26:26" hidden="1">
      <c r="Z486" s="11"/>
    </row>
    <row r="487" spans="26:26" hidden="1">
      <c r="Z487" s="11"/>
    </row>
    <row r="488" spans="26:26" hidden="1">
      <c r="Z488" s="11"/>
    </row>
    <row r="489" spans="26:26" hidden="1">
      <c r="Z489" s="11"/>
    </row>
    <row r="490" spans="26:26" hidden="1">
      <c r="Z490" s="11"/>
    </row>
    <row r="491" spans="26:26" hidden="1">
      <c r="Z491" s="11"/>
    </row>
    <row r="492" spans="26:26" hidden="1">
      <c r="Z492" s="11"/>
    </row>
    <row r="493" spans="26:26" hidden="1">
      <c r="Z493" s="11"/>
    </row>
    <row r="494" spans="26:26" hidden="1">
      <c r="Z494" s="11"/>
    </row>
    <row r="495" spans="26:26" hidden="1">
      <c r="Z495" s="11"/>
    </row>
    <row r="496" spans="26:26" hidden="1">
      <c r="Z496" s="11"/>
    </row>
    <row r="497" spans="26:26" hidden="1">
      <c r="Z497" s="11"/>
    </row>
    <row r="498" spans="26:26" hidden="1">
      <c r="Z498" s="11"/>
    </row>
    <row r="499" spans="26:26" hidden="1">
      <c r="Z499" s="11"/>
    </row>
    <row r="500" spans="26:26" hidden="1">
      <c r="Z500" s="11"/>
    </row>
    <row r="501" spans="26:26" hidden="1">
      <c r="Z501" s="11"/>
    </row>
    <row r="502" spans="26:26" hidden="1">
      <c r="Z502" s="11"/>
    </row>
    <row r="503" spans="26:26" hidden="1">
      <c r="Z503" s="11"/>
    </row>
    <row r="504" spans="26:26" hidden="1">
      <c r="Z504" s="11"/>
    </row>
    <row r="505" spans="26:26" hidden="1">
      <c r="Z505" s="11"/>
    </row>
    <row r="506" spans="26:26" hidden="1">
      <c r="Z506" s="11"/>
    </row>
    <row r="507" spans="26:26" hidden="1">
      <c r="Z507" s="11"/>
    </row>
    <row r="508" spans="26:26" hidden="1">
      <c r="Z508" s="11"/>
    </row>
    <row r="509" spans="26:26" hidden="1">
      <c r="Z509" s="11"/>
    </row>
    <row r="510" spans="26:26" hidden="1">
      <c r="Z510" s="11"/>
    </row>
    <row r="511" spans="26:26" hidden="1">
      <c r="Z511" s="11"/>
    </row>
    <row r="512" spans="26:26" hidden="1">
      <c r="Z512" s="11"/>
    </row>
    <row r="513" spans="26:26" hidden="1">
      <c r="Z513" s="11"/>
    </row>
    <row r="514" spans="26:26" hidden="1">
      <c r="Z514" s="11"/>
    </row>
    <row r="515" spans="26:26" hidden="1">
      <c r="Z515" s="11"/>
    </row>
    <row r="516" spans="26:26" hidden="1">
      <c r="Z516" s="11"/>
    </row>
    <row r="517" spans="26:26" hidden="1">
      <c r="Z517" s="11"/>
    </row>
    <row r="518" spans="26:26" hidden="1">
      <c r="Z518" s="11"/>
    </row>
    <row r="519" spans="26:26" hidden="1">
      <c r="Z519" s="11"/>
    </row>
    <row r="520" spans="26:26" hidden="1">
      <c r="Z520" s="11"/>
    </row>
    <row r="521" spans="26:26" hidden="1">
      <c r="Z521" s="11"/>
    </row>
    <row r="522" spans="26:26" hidden="1">
      <c r="Z522" s="11"/>
    </row>
    <row r="523" spans="26:26" hidden="1">
      <c r="Z523" s="11"/>
    </row>
    <row r="524" spans="26:26" hidden="1">
      <c r="Z524" s="11"/>
    </row>
    <row r="525" spans="26:26" hidden="1">
      <c r="Z525" s="11"/>
    </row>
    <row r="526" spans="26:26" hidden="1">
      <c r="Z526" s="11"/>
    </row>
    <row r="527" spans="26:26" hidden="1">
      <c r="Z527" s="11"/>
    </row>
    <row r="528" spans="26:26" hidden="1">
      <c r="Z528" s="11"/>
    </row>
    <row r="529" spans="26:26" hidden="1">
      <c r="Z529" s="11"/>
    </row>
    <row r="530" spans="26:26" hidden="1">
      <c r="Z530" s="11"/>
    </row>
    <row r="531" spans="26:26" hidden="1">
      <c r="Z531" s="11"/>
    </row>
    <row r="532" spans="26:26" hidden="1">
      <c r="Z532" s="11"/>
    </row>
    <row r="533" spans="26:26" hidden="1">
      <c r="Z533" s="11"/>
    </row>
    <row r="534" spans="26:26" hidden="1">
      <c r="Z534" s="11"/>
    </row>
    <row r="535" spans="26:26" hidden="1">
      <c r="Z535" s="11"/>
    </row>
    <row r="536" spans="26:26" hidden="1">
      <c r="Z536" s="11"/>
    </row>
    <row r="537" spans="26:26" hidden="1">
      <c r="Z537" s="11"/>
    </row>
    <row r="538" spans="26:26" hidden="1">
      <c r="Z538" s="11"/>
    </row>
    <row r="539" spans="26:26" hidden="1">
      <c r="Z539" s="11"/>
    </row>
    <row r="540" spans="26:26" hidden="1">
      <c r="Z540" s="11"/>
    </row>
    <row r="541" spans="26:26" hidden="1">
      <c r="Z541" s="11"/>
    </row>
    <row r="542" spans="26:26" hidden="1">
      <c r="Z542" s="11"/>
    </row>
    <row r="543" spans="26:26" hidden="1">
      <c r="Z543" s="11"/>
    </row>
    <row r="544" spans="26:26" hidden="1">
      <c r="Z544" s="11"/>
    </row>
    <row r="545" spans="26:26" hidden="1">
      <c r="Z545" s="11"/>
    </row>
    <row r="546" spans="26:26" hidden="1">
      <c r="Z546" s="11"/>
    </row>
    <row r="547" spans="26:26" hidden="1">
      <c r="Z547" s="11"/>
    </row>
    <row r="548" spans="26:26" hidden="1">
      <c r="Z548" s="11"/>
    </row>
    <row r="549" spans="26:26" hidden="1">
      <c r="Z549" s="11"/>
    </row>
    <row r="550" spans="26:26" hidden="1">
      <c r="Z550" s="11"/>
    </row>
    <row r="551" spans="26:26" hidden="1">
      <c r="Z551" s="11"/>
    </row>
    <row r="552" spans="26:26" hidden="1">
      <c r="Z552" s="11"/>
    </row>
    <row r="553" spans="26:26" hidden="1">
      <c r="Z553" s="11"/>
    </row>
    <row r="554" spans="26:26" hidden="1">
      <c r="Z554" s="11"/>
    </row>
    <row r="555" spans="26:26" hidden="1">
      <c r="Z555" s="11"/>
    </row>
    <row r="556" spans="26:26" hidden="1">
      <c r="Z556" s="11"/>
    </row>
    <row r="557" spans="26:26" hidden="1">
      <c r="Z557" s="11"/>
    </row>
    <row r="558" spans="26:26" hidden="1">
      <c r="Z558" s="11"/>
    </row>
    <row r="559" spans="26:26" hidden="1">
      <c r="Z559" s="11"/>
    </row>
    <row r="560" spans="26:26" hidden="1">
      <c r="Z560" s="11"/>
    </row>
    <row r="561" spans="26:26" hidden="1">
      <c r="Z561" s="11"/>
    </row>
    <row r="562" spans="26:26" hidden="1">
      <c r="Z562" s="11"/>
    </row>
    <row r="563" spans="26:26" hidden="1">
      <c r="Z563" s="11"/>
    </row>
    <row r="564" spans="26:26" hidden="1">
      <c r="Z564" s="11"/>
    </row>
    <row r="565" spans="26:26" hidden="1">
      <c r="Z565" s="11"/>
    </row>
    <row r="566" spans="26:26" hidden="1">
      <c r="Z566" s="11"/>
    </row>
    <row r="567" spans="26:26" hidden="1">
      <c r="Z567" s="11"/>
    </row>
    <row r="568" spans="26:26" hidden="1">
      <c r="Z568" s="11"/>
    </row>
    <row r="569" spans="26:26" hidden="1">
      <c r="Z569" s="11"/>
    </row>
    <row r="570" spans="26:26" hidden="1">
      <c r="Z570" s="11"/>
    </row>
    <row r="571" spans="26:26" hidden="1">
      <c r="Z571" s="11"/>
    </row>
    <row r="572" spans="26:26" hidden="1">
      <c r="Z572" s="11"/>
    </row>
    <row r="573" spans="26:26" hidden="1">
      <c r="Z573" s="11"/>
    </row>
    <row r="574" spans="26:26" hidden="1">
      <c r="Z574" s="11"/>
    </row>
    <row r="575" spans="26:26" hidden="1">
      <c r="Z575" s="11"/>
    </row>
    <row r="576" spans="26:26" hidden="1">
      <c r="Z576" s="11"/>
    </row>
    <row r="577" spans="26:26" hidden="1">
      <c r="Z577" s="11"/>
    </row>
    <row r="578" spans="26:26" hidden="1">
      <c r="Z578" s="11"/>
    </row>
    <row r="579" spans="26:26" hidden="1">
      <c r="Z579" s="11"/>
    </row>
    <row r="580" spans="26:26" hidden="1">
      <c r="Z580" s="11"/>
    </row>
    <row r="581" spans="26:26" hidden="1">
      <c r="Z581" s="11"/>
    </row>
    <row r="582" spans="26:26" hidden="1">
      <c r="Z582" s="11"/>
    </row>
    <row r="583" spans="26:26" hidden="1">
      <c r="Z583" s="11"/>
    </row>
    <row r="584" spans="26:26" hidden="1">
      <c r="Z584" s="11"/>
    </row>
    <row r="585" spans="26:26" hidden="1">
      <c r="Z585" s="11"/>
    </row>
    <row r="586" spans="26:26" hidden="1">
      <c r="Z586" s="11"/>
    </row>
    <row r="587" spans="26:26" hidden="1">
      <c r="Z587" s="11"/>
    </row>
    <row r="588" spans="26:26" hidden="1">
      <c r="Z588" s="11"/>
    </row>
    <row r="589" spans="26:26" hidden="1">
      <c r="Z589" s="11"/>
    </row>
    <row r="590" spans="26:26" hidden="1">
      <c r="Z590" s="11"/>
    </row>
    <row r="591" spans="26:26" hidden="1">
      <c r="Z591" s="11"/>
    </row>
    <row r="592" spans="26:26" hidden="1">
      <c r="Z592" s="11"/>
    </row>
    <row r="593" spans="26:26" hidden="1">
      <c r="Z593" s="11"/>
    </row>
    <row r="594" spans="26:26" hidden="1">
      <c r="Z594" s="11"/>
    </row>
    <row r="595" spans="26:26" hidden="1">
      <c r="Z595" s="11"/>
    </row>
    <row r="596" spans="26:26" hidden="1">
      <c r="Z596" s="11"/>
    </row>
    <row r="597" spans="26:26" hidden="1">
      <c r="Z597" s="11"/>
    </row>
    <row r="598" spans="26:26" hidden="1">
      <c r="Z598" s="11"/>
    </row>
    <row r="599" spans="26:26" hidden="1">
      <c r="Z599" s="11"/>
    </row>
    <row r="600" spans="26:26" hidden="1">
      <c r="Z600" s="11"/>
    </row>
    <row r="601" spans="26:26" hidden="1">
      <c r="Z601" s="11"/>
    </row>
    <row r="602" spans="26:26" hidden="1">
      <c r="Z602" s="11"/>
    </row>
    <row r="603" spans="26:26" hidden="1">
      <c r="Z603" s="11"/>
    </row>
    <row r="604" spans="26:26" hidden="1">
      <c r="Z604" s="11"/>
    </row>
    <row r="605" spans="26:26" hidden="1">
      <c r="Z605" s="11"/>
    </row>
    <row r="606" spans="26:26" hidden="1">
      <c r="Z606" s="11"/>
    </row>
    <row r="607" spans="26:26" hidden="1">
      <c r="Z607" s="11"/>
    </row>
    <row r="608" spans="26:26" hidden="1">
      <c r="Z608" s="11"/>
    </row>
    <row r="609" spans="26:26" hidden="1">
      <c r="Z609" s="11"/>
    </row>
    <row r="610" spans="26:26" hidden="1">
      <c r="Z610" s="11"/>
    </row>
    <row r="611" spans="26:26" hidden="1">
      <c r="Z611" s="11"/>
    </row>
    <row r="612" spans="26:26" hidden="1">
      <c r="Z612" s="11"/>
    </row>
    <row r="613" spans="26:26" hidden="1">
      <c r="Z613" s="11"/>
    </row>
    <row r="614" spans="26:26" hidden="1">
      <c r="Z614" s="11"/>
    </row>
    <row r="615" spans="26:26" hidden="1">
      <c r="Z615" s="11"/>
    </row>
    <row r="616" spans="26:26" hidden="1">
      <c r="Z616" s="11"/>
    </row>
    <row r="617" spans="26:26" hidden="1">
      <c r="Z617" s="11"/>
    </row>
    <row r="618" spans="26:26" hidden="1">
      <c r="Z618" s="11"/>
    </row>
    <row r="619" spans="26:26" hidden="1">
      <c r="Z619" s="11"/>
    </row>
    <row r="620" spans="26:26" hidden="1">
      <c r="Z620" s="11"/>
    </row>
    <row r="621" spans="26:26" hidden="1">
      <c r="Z621" s="11"/>
    </row>
    <row r="622" spans="26:26" hidden="1">
      <c r="Z622" s="11"/>
    </row>
    <row r="623" spans="26:26" hidden="1">
      <c r="Z623" s="11"/>
    </row>
    <row r="624" spans="26:26" hidden="1">
      <c r="Z624" s="11"/>
    </row>
    <row r="625" spans="26:26" hidden="1">
      <c r="Z625" s="11"/>
    </row>
    <row r="626" spans="26:26" hidden="1">
      <c r="Z626" s="11"/>
    </row>
    <row r="627" spans="26:26" hidden="1">
      <c r="Z627" s="11"/>
    </row>
    <row r="628" spans="26:26" hidden="1">
      <c r="Z628" s="11"/>
    </row>
    <row r="629" spans="26:26" hidden="1">
      <c r="Z629" s="11"/>
    </row>
    <row r="630" spans="26:26" hidden="1">
      <c r="Z630" s="11"/>
    </row>
    <row r="631" spans="26:26" hidden="1">
      <c r="Z631" s="11"/>
    </row>
    <row r="632" spans="26:26" hidden="1">
      <c r="Z632" s="11"/>
    </row>
    <row r="633" spans="26:26" hidden="1">
      <c r="Z633" s="11"/>
    </row>
    <row r="634" spans="26:26" hidden="1">
      <c r="Z634" s="11"/>
    </row>
    <row r="635" spans="26:26" hidden="1">
      <c r="Z635" s="11"/>
    </row>
    <row r="636" spans="26:26" hidden="1">
      <c r="Z636" s="11"/>
    </row>
    <row r="637" spans="26:26" hidden="1">
      <c r="Z637" s="11"/>
    </row>
    <row r="638" spans="26:26" hidden="1">
      <c r="Z638" s="11"/>
    </row>
    <row r="639" spans="26:26" hidden="1">
      <c r="Z639" s="11"/>
    </row>
    <row r="640" spans="26:26" hidden="1">
      <c r="Z640" s="11"/>
    </row>
    <row r="641" spans="26:26" hidden="1">
      <c r="Z641" s="11"/>
    </row>
    <row r="642" spans="26:26" hidden="1">
      <c r="Z642" s="11"/>
    </row>
    <row r="643" spans="26:26" hidden="1">
      <c r="Z643" s="11"/>
    </row>
    <row r="644" spans="26:26" hidden="1">
      <c r="Z644" s="11"/>
    </row>
    <row r="645" spans="26:26" hidden="1">
      <c r="Z645" s="11"/>
    </row>
    <row r="646" spans="26:26" hidden="1">
      <c r="Z646" s="11"/>
    </row>
    <row r="647" spans="26:26" hidden="1">
      <c r="Z647" s="11"/>
    </row>
    <row r="648" spans="26:26" hidden="1">
      <c r="Z648" s="11"/>
    </row>
    <row r="649" spans="26:26" hidden="1">
      <c r="Z649" s="11"/>
    </row>
    <row r="650" spans="26:26" hidden="1">
      <c r="Z650" s="11"/>
    </row>
    <row r="651" spans="26:26" hidden="1">
      <c r="Z651" s="11"/>
    </row>
    <row r="652" spans="26:26" hidden="1">
      <c r="Z652" s="11"/>
    </row>
    <row r="653" spans="26:26" hidden="1">
      <c r="Z653" s="11"/>
    </row>
    <row r="654" spans="26:26" hidden="1">
      <c r="Z654" s="11"/>
    </row>
    <row r="655" spans="26:26" hidden="1">
      <c r="Z655" s="11"/>
    </row>
    <row r="656" spans="26:26" hidden="1">
      <c r="Z656" s="11"/>
    </row>
    <row r="657" spans="26:26" hidden="1">
      <c r="Z657" s="11"/>
    </row>
    <row r="658" spans="26:26" hidden="1">
      <c r="Z658" s="11"/>
    </row>
    <row r="659" spans="26:26" hidden="1">
      <c r="Z659" s="11"/>
    </row>
    <row r="660" spans="26:26" hidden="1">
      <c r="Z660" s="11"/>
    </row>
    <row r="661" spans="26:26" hidden="1">
      <c r="Z661" s="11"/>
    </row>
    <row r="662" spans="26:26" hidden="1">
      <c r="Z662" s="11"/>
    </row>
    <row r="663" spans="26:26" hidden="1">
      <c r="Z663" s="11"/>
    </row>
    <row r="664" spans="26:26" hidden="1">
      <c r="Z664" s="11"/>
    </row>
    <row r="665" spans="26:26" hidden="1">
      <c r="Z665" s="11"/>
    </row>
    <row r="666" spans="26:26" hidden="1">
      <c r="Z666" s="11"/>
    </row>
    <row r="667" spans="26:26" hidden="1">
      <c r="Z667" s="11"/>
    </row>
    <row r="668" spans="26:26" hidden="1">
      <c r="Z668" s="11"/>
    </row>
    <row r="669" spans="26:26" hidden="1">
      <c r="Z669" s="11"/>
    </row>
    <row r="670" spans="26:26" hidden="1">
      <c r="Z670" s="11"/>
    </row>
    <row r="671" spans="26:26" hidden="1">
      <c r="Z671" s="11"/>
    </row>
    <row r="672" spans="26:26" hidden="1">
      <c r="Z672" s="11"/>
    </row>
    <row r="673" spans="26:26" hidden="1">
      <c r="Z673" s="11"/>
    </row>
    <row r="674" spans="26:26" hidden="1">
      <c r="Z674" s="11"/>
    </row>
    <row r="675" spans="26:26" hidden="1">
      <c r="Z675" s="11"/>
    </row>
    <row r="676" spans="26:26" hidden="1">
      <c r="Z676" s="11"/>
    </row>
    <row r="677" spans="26:26" hidden="1">
      <c r="Z677" s="11"/>
    </row>
    <row r="678" spans="26:26" hidden="1">
      <c r="Z678" s="11"/>
    </row>
    <row r="679" spans="26:26" hidden="1">
      <c r="Z679" s="11"/>
    </row>
    <row r="680" spans="26:26" hidden="1">
      <c r="Z680" s="11"/>
    </row>
    <row r="681" spans="26:26" hidden="1">
      <c r="Z681" s="11"/>
    </row>
    <row r="682" spans="26:26" hidden="1">
      <c r="Z682" s="11"/>
    </row>
    <row r="683" spans="26:26" hidden="1">
      <c r="Z683" s="11"/>
    </row>
    <row r="684" spans="26:26" hidden="1">
      <c r="Z684" s="11"/>
    </row>
    <row r="685" spans="26:26" hidden="1">
      <c r="Z685" s="11"/>
    </row>
    <row r="686" spans="26:26" hidden="1">
      <c r="Z686" s="11"/>
    </row>
    <row r="687" spans="26:26" hidden="1">
      <c r="Z687" s="11"/>
    </row>
    <row r="688" spans="26:26" hidden="1">
      <c r="Z688" s="11"/>
    </row>
    <row r="689" spans="26:26" hidden="1">
      <c r="Z689" s="11"/>
    </row>
    <row r="690" spans="26:26" hidden="1">
      <c r="Z690" s="11"/>
    </row>
    <row r="691" spans="26:26" hidden="1">
      <c r="Z691" s="11"/>
    </row>
    <row r="692" spans="26:26" hidden="1">
      <c r="Z692" s="11"/>
    </row>
    <row r="693" spans="26:26" hidden="1">
      <c r="Z693" s="11"/>
    </row>
    <row r="694" spans="26:26" hidden="1">
      <c r="Z694" s="11"/>
    </row>
    <row r="695" spans="26:26" hidden="1">
      <c r="Z695" s="11"/>
    </row>
    <row r="696" spans="26:26" hidden="1">
      <c r="Z696" s="11"/>
    </row>
    <row r="697" spans="26:26" hidden="1">
      <c r="Z697" s="11"/>
    </row>
    <row r="698" spans="26:26" hidden="1">
      <c r="Z698" s="11"/>
    </row>
    <row r="699" spans="26:26" hidden="1">
      <c r="Z699" s="11"/>
    </row>
    <row r="700" spans="26:26" hidden="1">
      <c r="Z700" s="11"/>
    </row>
    <row r="701" spans="26:26" hidden="1">
      <c r="Z701" s="11"/>
    </row>
    <row r="702" spans="26:26" hidden="1">
      <c r="Z702" s="11"/>
    </row>
    <row r="703" spans="26:26" hidden="1">
      <c r="Z703" s="11"/>
    </row>
    <row r="704" spans="26:26" hidden="1">
      <c r="Z704" s="11"/>
    </row>
    <row r="705" spans="26:26" hidden="1">
      <c r="Z705" s="11"/>
    </row>
    <row r="706" spans="26:26" hidden="1">
      <c r="Z706" s="11"/>
    </row>
    <row r="707" spans="26:26" hidden="1">
      <c r="Z707" s="11"/>
    </row>
    <row r="708" spans="26:26" hidden="1">
      <c r="Z708" s="11"/>
    </row>
    <row r="709" spans="26:26" hidden="1">
      <c r="Z709" s="11"/>
    </row>
    <row r="710" spans="26:26" hidden="1">
      <c r="Z710" s="11"/>
    </row>
    <row r="711" spans="26:26" hidden="1">
      <c r="Z711" s="11"/>
    </row>
    <row r="712" spans="26:26" hidden="1">
      <c r="Z712" s="11"/>
    </row>
    <row r="713" spans="26:26" hidden="1">
      <c r="Z713" s="11"/>
    </row>
    <row r="714" spans="26:26" hidden="1">
      <c r="Z714" s="11"/>
    </row>
    <row r="715" spans="26:26" hidden="1">
      <c r="Z715" s="11"/>
    </row>
    <row r="716" spans="26:26" hidden="1">
      <c r="Z716" s="11"/>
    </row>
    <row r="717" spans="26:26" hidden="1">
      <c r="Z717" s="11"/>
    </row>
    <row r="718" spans="26:26" hidden="1">
      <c r="Z718" s="11"/>
    </row>
    <row r="719" spans="26:26" hidden="1">
      <c r="Z719" s="11"/>
    </row>
    <row r="720" spans="26:26" hidden="1">
      <c r="Z720" s="11"/>
    </row>
    <row r="721" spans="26:26" hidden="1">
      <c r="Z721" s="11"/>
    </row>
    <row r="722" spans="26:26" hidden="1">
      <c r="Z722" s="11"/>
    </row>
    <row r="723" spans="26:26" hidden="1">
      <c r="Z723" s="11"/>
    </row>
    <row r="724" spans="26:26" hidden="1">
      <c r="Z724" s="11"/>
    </row>
    <row r="725" spans="26:26" hidden="1">
      <c r="Z725" s="11"/>
    </row>
    <row r="726" spans="26:26" hidden="1">
      <c r="Z726" s="11"/>
    </row>
    <row r="727" spans="26:26" hidden="1">
      <c r="Z727" s="11"/>
    </row>
    <row r="728" spans="26:26" hidden="1">
      <c r="Z728" s="11"/>
    </row>
    <row r="729" spans="26:26" hidden="1">
      <c r="Z729" s="11"/>
    </row>
    <row r="730" spans="26:26" hidden="1">
      <c r="Z730" s="11"/>
    </row>
    <row r="731" spans="26:26" hidden="1">
      <c r="Z731" s="11"/>
    </row>
    <row r="732" spans="26:26" hidden="1">
      <c r="Z732" s="11"/>
    </row>
    <row r="733" spans="26:26" hidden="1">
      <c r="Z733" s="11"/>
    </row>
    <row r="734" spans="26:26" hidden="1">
      <c r="Z734" s="11"/>
    </row>
    <row r="735" spans="26:26" hidden="1">
      <c r="Z735" s="11"/>
    </row>
    <row r="736" spans="26:26" hidden="1">
      <c r="Z736" s="11"/>
    </row>
    <row r="737" spans="26:26" hidden="1">
      <c r="Z737" s="11"/>
    </row>
    <row r="738" spans="26:26" hidden="1">
      <c r="Z738" s="11"/>
    </row>
    <row r="739" spans="26:26" hidden="1">
      <c r="Z739" s="11"/>
    </row>
    <row r="740" spans="26:26" hidden="1">
      <c r="Z740" s="11"/>
    </row>
    <row r="741" spans="26:26" hidden="1">
      <c r="Z741" s="11"/>
    </row>
    <row r="742" spans="26:26" hidden="1">
      <c r="Z742" s="11"/>
    </row>
    <row r="743" spans="26:26" hidden="1">
      <c r="Z743" s="11"/>
    </row>
    <row r="744" spans="26:26" hidden="1">
      <c r="Z744" s="11"/>
    </row>
    <row r="745" spans="26:26" hidden="1">
      <c r="Z745" s="11"/>
    </row>
    <row r="746" spans="26:26" hidden="1">
      <c r="Z746" s="11"/>
    </row>
    <row r="747" spans="26:26" hidden="1">
      <c r="Z747" s="11"/>
    </row>
    <row r="748" spans="26:26" hidden="1">
      <c r="Z748" s="11"/>
    </row>
    <row r="749" spans="26:26" hidden="1">
      <c r="Z749" s="11"/>
    </row>
    <row r="750" spans="26:26" hidden="1">
      <c r="Z750" s="11"/>
    </row>
    <row r="751" spans="26:26" hidden="1">
      <c r="Z751" s="11"/>
    </row>
    <row r="752" spans="26:26" hidden="1">
      <c r="Z752" s="11"/>
    </row>
    <row r="753" spans="26:26" hidden="1">
      <c r="Z753" s="11"/>
    </row>
    <row r="754" spans="26:26" hidden="1">
      <c r="Z754" s="11"/>
    </row>
    <row r="755" spans="26:26" hidden="1">
      <c r="Z755" s="11"/>
    </row>
    <row r="756" spans="26:26" hidden="1">
      <c r="Z756" s="11"/>
    </row>
    <row r="757" spans="26:26" hidden="1">
      <c r="Z757" s="11"/>
    </row>
    <row r="758" spans="26:26" hidden="1">
      <c r="Z758" s="11"/>
    </row>
    <row r="759" spans="26:26" hidden="1">
      <c r="Z759" s="11"/>
    </row>
    <row r="760" spans="26:26" hidden="1">
      <c r="Z760" s="11"/>
    </row>
    <row r="761" spans="26:26" hidden="1">
      <c r="Z761" s="11"/>
    </row>
    <row r="762" spans="26:26" hidden="1">
      <c r="Z762" s="11"/>
    </row>
    <row r="763" spans="26:26" hidden="1">
      <c r="Z763" s="11"/>
    </row>
    <row r="764" spans="26:26" hidden="1">
      <c r="Z764" s="11"/>
    </row>
    <row r="765" spans="26:26" hidden="1">
      <c r="Z765" s="11"/>
    </row>
    <row r="766" spans="26:26" hidden="1">
      <c r="Z766" s="11"/>
    </row>
    <row r="767" spans="26:26" hidden="1">
      <c r="Z767" s="11"/>
    </row>
    <row r="768" spans="26:26" hidden="1">
      <c r="Z768" s="11"/>
    </row>
    <row r="769" spans="26:26" hidden="1">
      <c r="Z769" s="11"/>
    </row>
    <row r="770" spans="26:26" hidden="1">
      <c r="Z770" s="11"/>
    </row>
    <row r="771" spans="26:26" hidden="1">
      <c r="Z771" s="11"/>
    </row>
    <row r="772" spans="26:26" hidden="1">
      <c r="Z772" s="11"/>
    </row>
    <row r="773" spans="26:26" hidden="1">
      <c r="Z773" s="11"/>
    </row>
    <row r="774" spans="26:26" hidden="1">
      <c r="Z774" s="11"/>
    </row>
    <row r="775" spans="26:26" hidden="1">
      <c r="Z775" s="11"/>
    </row>
    <row r="776" spans="26:26" hidden="1">
      <c r="Z776" s="11"/>
    </row>
    <row r="777" spans="26:26" hidden="1">
      <c r="Z777" s="11"/>
    </row>
    <row r="778" spans="26:26" hidden="1">
      <c r="Z778" s="11"/>
    </row>
    <row r="779" spans="26:26" hidden="1">
      <c r="Z779" s="11"/>
    </row>
    <row r="780" spans="26:26" hidden="1">
      <c r="Z780" s="11"/>
    </row>
    <row r="781" spans="26:26" hidden="1">
      <c r="Z781" s="11"/>
    </row>
    <row r="782" spans="26:26" hidden="1">
      <c r="Z782" s="11"/>
    </row>
    <row r="783" spans="26:26" hidden="1">
      <c r="Z783" s="11"/>
    </row>
    <row r="784" spans="26:26" hidden="1">
      <c r="Z784" s="11"/>
    </row>
    <row r="785" spans="26:26" hidden="1">
      <c r="Z785" s="11"/>
    </row>
    <row r="786" spans="26:26" hidden="1">
      <c r="Z786" s="11"/>
    </row>
    <row r="787" spans="26:26" hidden="1">
      <c r="Z787" s="11"/>
    </row>
    <row r="788" spans="26:26" hidden="1">
      <c r="Z788" s="11"/>
    </row>
    <row r="789" spans="26:26" hidden="1">
      <c r="Z789" s="11"/>
    </row>
    <row r="790" spans="26:26" hidden="1">
      <c r="Z790" s="11"/>
    </row>
    <row r="791" spans="26:26" hidden="1">
      <c r="Z791" s="11"/>
    </row>
    <row r="792" spans="26:26" hidden="1">
      <c r="Z792" s="11"/>
    </row>
    <row r="793" spans="26:26" hidden="1">
      <c r="Z793" s="11"/>
    </row>
    <row r="794" spans="26:26" hidden="1">
      <c r="Z794" s="11"/>
    </row>
    <row r="795" spans="26:26" hidden="1">
      <c r="Z795" s="11"/>
    </row>
    <row r="796" spans="26:26" hidden="1">
      <c r="Z796" s="11"/>
    </row>
    <row r="797" spans="26:26" hidden="1">
      <c r="Z797" s="11"/>
    </row>
    <row r="798" spans="26:26" hidden="1">
      <c r="Z798" s="11"/>
    </row>
    <row r="799" spans="26:26" hidden="1">
      <c r="Z799" s="11"/>
    </row>
    <row r="800" spans="26:26" hidden="1">
      <c r="Z800" s="11"/>
    </row>
    <row r="801" spans="26:26" hidden="1">
      <c r="Z801" s="11"/>
    </row>
    <row r="802" spans="26:26" hidden="1">
      <c r="Z802" s="11"/>
    </row>
    <row r="803" spans="26:26" hidden="1">
      <c r="Z803" s="11"/>
    </row>
    <row r="804" spans="26:26" hidden="1">
      <c r="Z804" s="11"/>
    </row>
    <row r="805" spans="26:26" hidden="1">
      <c r="Z805" s="11"/>
    </row>
    <row r="806" spans="26:26" hidden="1">
      <c r="Z806" s="11"/>
    </row>
    <row r="807" spans="26:26" hidden="1">
      <c r="Z807" s="11"/>
    </row>
    <row r="808" spans="26:26" hidden="1">
      <c r="Z808" s="11"/>
    </row>
    <row r="809" spans="26:26" hidden="1">
      <c r="Z809" s="11"/>
    </row>
    <row r="810" spans="26:26" hidden="1">
      <c r="Z810" s="11"/>
    </row>
    <row r="811" spans="26:26" hidden="1">
      <c r="Z811" s="11"/>
    </row>
    <row r="812" spans="26:26" hidden="1">
      <c r="Z812" s="11"/>
    </row>
    <row r="813" spans="26:26" hidden="1">
      <c r="Z813" s="11"/>
    </row>
    <row r="814" spans="26:26" hidden="1">
      <c r="Z814" s="11"/>
    </row>
    <row r="815" spans="26:26" hidden="1">
      <c r="Z815" s="11"/>
    </row>
    <row r="816" spans="26:26" hidden="1">
      <c r="Z816" s="11"/>
    </row>
    <row r="817" spans="26:26" hidden="1">
      <c r="Z817" s="11"/>
    </row>
    <row r="818" spans="26:26" hidden="1">
      <c r="Z818" s="11"/>
    </row>
    <row r="819" spans="26:26" hidden="1">
      <c r="Z819" s="11"/>
    </row>
    <row r="820" spans="26:26" hidden="1">
      <c r="Z820" s="11"/>
    </row>
    <row r="821" spans="26:26" hidden="1">
      <c r="Z821" s="11"/>
    </row>
    <row r="822" spans="26:26" hidden="1">
      <c r="Z822" s="11"/>
    </row>
    <row r="823" spans="26:26" hidden="1">
      <c r="Z823" s="11"/>
    </row>
    <row r="824" spans="26:26" hidden="1">
      <c r="Z824" s="11"/>
    </row>
    <row r="825" spans="26:26" hidden="1">
      <c r="Z825" s="11"/>
    </row>
    <row r="826" spans="26:26" hidden="1">
      <c r="Z826" s="11"/>
    </row>
    <row r="827" spans="26:26" hidden="1">
      <c r="Z827" s="11"/>
    </row>
    <row r="828" spans="26:26" hidden="1">
      <c r="Z828" s="11"/>
    </row>
    <row r="829" spans="26:26" hidden="1">
      <c r="Z829" s="11"/>
    </row>
    <row r="830" spans="26:26" hidden="1">
      <c r="Z830" s="11"/>
    </row>
    <row r="831" spans="26:26" hidden="1">
      <c r="Z831" s="11"/>
    </row>
    <row r="832" spans="26:26" hidden="1">
      <c r="Z832" s="11"/>
    </row>
    <row r="833" spans="26:26" hidden="1">
      <c r="Z833" s="11"/>
    </row>
    <row r="834" spans="26:26" hidden="1">
      <c r="Z834" s="11"/>
    </row>
    <row r="835" spans="26:26" hidden="1">
      <c r="Z835" s="11"/>
    </row>
    <row r="836" spans="26:26" hidden="1">
      <c r="Z836" s="11"/>
    </row>
    <row r="837" spans="26:26" hidden="1">
      <c r="Z837" s="11"/>
    </row>
    <row r="838" spans="26:26" hidden="1">
      <c r="Z838" s="11"/>
    </row>
    <row r="839" spans="26:26" hidden="1">
      <c r="Z839" s="11"/>
    </row>
    <row r="840" spans="26:26" hidden="1">
      <c r="Z840" s="11"/>
    </row>
    <row r="841" spans="26:26" hidden="1">
      <c r="Z841" s="11"/>
    </row>
    <row r="842" spans="26:26" hidden="1">
      <c r="Z842" s="11"/>
    </row>
    <row r="843" spans="26:26" hidden="1">
      <c r="Z843" s="11"/>
    </row>
    <row r="844" spans="26:26" hidden="1">
      <c r="Z844" s="11"/>
    </row>
    <row r="845" spans="26:26" hidden="1">
      <c r="Z845" s="11"/>
    </row>
    <row r="846" spans="26:26" hidden="1">
      <c r="Z846" s="11"/>
    </row>
    <row r="847" spans="26:26" hidden="1">
      <c r="Z847" s="11"/>
    </row>
    <row r="848" spans="26:26" hidden="1">
      <c r="Z848" s="11"/>
    </row>
    <row r="849" spans="26:26" hidden="1">
      <c r="Z849" s="11"/>
    </row>
    <row r="850" spans="26:26" hidden="1">
      <c r="Z850" s="11"/>
    </row>
    <row r="851" spans="26:26" hidden="1">
      <c r="Z851" s="11"/>
    </row>
    <row r="852" spans="26:26" hidden="1">
      <c r="Z852" s="11"/>
    </row>
    <row r="853" spans="26:26" hidden="1">
      <c r="Z853" s="11"/>
    </row>
    <row r="854" spans="26:26" hidden="1">
      <c r="Z854" s="11"/>
    </row>
    <row r="855" spans="26:26" hidden="1">
      <c r="Z855" s="11"/>
    </row>
    <row r="856" spans="26:26" hidden="1">
      <c r="Z856" s="11"/>
    </row>
    <row r="857" spans="26:26" hidden="1">
      <c r="Z857" s="11"/>
    </row>
    <row r="858" spans="26:26" hidden="1">
      <c r="Z858" s="11"/>
    </row>
    <row r="859" spans="26:26" hidden="1">
      <c r="Z859" s="11"/>
    </row>
    <row r="860" spans="26:26" hidden="1">
      <c r="Z860" s="11"/>
    </row>
    <row r="861" spans="26:26" hidden="1">
      <c r="Z861" s="11"/>
    </row>
    <row r="862" spans="26:26" hidden="1">
      <c r="Z862" s="11"/>
    </row>
    <row r="863" spans="26:26" hidden="1">
      <c r="Z863" s="11"/>
    </row>
    <row r="864" spans="26:26" hidden="1">
      <c r="Z864" s="11"/>
    </row>
    <row r="865" spans="26:26" hidden="1">
      <c r="Z865" s="11"/>
    </row>
    <row r="866" spans="26:26" hidden="1">
      <c r="Z866" s="11"/>
    </row>
    <row r="867" spans="26:26" hidden="1">
      <c r="Z867" s="11"/>
    </row>
    <row r="868" spans="26:26" hidden="1">
      <c r="Z868" s="11"/>
    </row>
    <row r="869" spans="26:26" hidden="1">
      <c r="Z869" s="11"/>
    </row>
    <row r="870" spans="26:26" hidden="1">
      <c r="Z870" s="11"/>
    </row>
    <row r="871" spans="26:26" hidden="1">
      <c r="Z871" s="11"/>
    </row>
    <row r="872" spans="26:26" hidden="1">
      <c r="Z872" s="11"/>
    </row>
    <row r="873" spans="26:26" hidden="1">
      <c r="Z873" s="11"/>
    </row>
    <row r="874" spans="26:26" hidden="1">
      <c r="Z874" s="11"/>
    </row>
    <row r="875" spans="26:26" hidden="1">
      <c r="Z875" s="11"/>
    </row>
    <row r="876" spans="26:26" hidden="1">
      <c r="Z876" s="11"/>
    </row>
    <row r="877" spans="26:26" hidden="1">
      <c r="Z877" s="11"/>
    </row>
    <row r="878" spans="26:26" hidden="1">
      <c r="Z878" s="11"/>
    </row>
    <row r="879" spans="26:26" hidden="1">
      <c r="Z879" s="11"/>
    </row>
    <row r="880" spans="26:26" hidden="1">
      <c r="Z880" s="11"/>
    </row>
    <row r="881" spans="26:26" hidden="1">
      <c r="Z881" s="11"/>
    </row>
    <row r="882" spans="26:26" hidden="1">
      <c r="Z882" s="11"/>
    </row>
    <row r="883" spans="26:26" hidden="1">
      <c r="Z883" s="11"/>
    </row>
    <row r="884" spans="26:26" hidden="1">
      <c r="Z884" s="11"/>
    </row>
    <row r="885" spans="26:26" hidden="1">
      <c r="Z885" s="11"/>
    </row>
    <row r="886" spans="26:26" hidden="1">
      <c r="Z886" s="11"/>
    </row>
    <row r="887" spans="26:26" hidden="1">
      <c r="Z887" s="11"/>
    </row>
    <row r="888" spans="26:26" hidden="1">
      <c r="Z888" s="11"/>
    </row>
    <row r="889" spans="26:26" hidden="1">
      <c r="Z889" s="11"/>
    </row>
    <row r="890" spans="26:26" hidden="1">
      <c r="Z890" s="11"/>
    </row>
    <row r="891" spans="26:26" hidden="1">
      <c r="Z891" s="11"/>
    </row>
    <row r="892" spans="26:26" hidden="1">
      <c r="Z892" s="11"/>
    </row>
    <row r="893" spans="26:26" hidden="1">
      <c r="Z893" s="11"/>
    </row>
    <row r="894" spans="26:26" hidden="1">
      <c r="Z894" s="11"/>
    </row>
    <row r="895" spans="26:26" hidden="1">
      <c r="Z895" s="11"/>
    </row>
    <row r="896" spans="26:26" hidden="1">
      <c r="Z896" s="11"/>
    </row>
    <row r="897" spans="26:26" hidden="1">
      <c r="Z897" s="11"/>
    </row>
    <row r="898" spans="26:26" hidden="1">
      <c r="Z898" s="11"/>
    </row>
    <row r="899" spans="26:26" hidden="1">
      <c r="Z899" s="11"/>
    </row>
    <row r="900" spans="26:26" hidden="1">
      <c r="Z900" s="11"/>
    </row>
    <row r="901" spans="26:26" hidden="1">
      <c r="Z901" s="11"/>
    </row>
    <row r="902" spans="26:26" hidden="1">
      <c r="Z902" s="11"/>
    </row>
    <row r="903" spans="26:26" hidden="1">
      <c r="Z903" s="11"/>
    </row>
    <row r="904" spans="26:26" hidden="1">
      <c r="Z904" s="11"/>
    </row>
    <row r="905" spans="26:26" hidden="1">
      <c r="Z905" s="11"/>
    </row>
    <row r="906" spans="26:26" hidden="1">
      <c r="Z906" s="11"/>
    </row>
    <row r="907" spans="26:26" hidden="1">
      <c r="Z907" s="11"/>
    </row>
    <row r="908" spans="26:26" hidden="1">
      <c r="Z908" s="11"/>
    </row>
    <row r="909" spans="26:26" hidden="1">
      <c r="Z909" s="11"/>
    </row>
    <row r="910" spans="26:26" hidden="1">
      <c r="Z910" s="11"/>
    </row>
    <row r="911" spans="26:26" hidden="1">
      <c r="Z911" s="11"/>
    </row>
    <row r="912" spans="26:26" hidden="1">
      <c r="Z912" s="11"/>
    </row>
    <row r="913" spans="26:26" hidden="1">
      <c r="Z913" s="11"/>
    </row>
    <row r="914" spans="26:26" hidden="1">
      <c r="Z914" s="11"/>
    </row>
    <row r="915" spans="26:26" hidden="1">
      <c r="Z915" s="11"/>
    </row>
    <row r="916" spans="26:26" hidden="1">
      <c r="Z916" s="11"/>
    </row>
    <row r="917" spans="26:26" hidden="1">
      <c r="Z917" s="11"/>
    </row>
    <row r="918" spans="26:26" hidden="1">
      <c r="Z918" s="11"/>
    </row>
    <row r="919" spans="26:26" hidden="1">
      <c r="Z919" s="11"/>
    </row>
    <row r="920" spans="26:26" hidden="1">
      <c r="Z920" s="11"/>
    </row>
    <row r="921" spans="26:26" hidden="1">
      <c r="Z921" s="11"/>
    </row>
    <row r="922" spans="26:26" hidden="1">
      <c r="Z922" s="11"/>
    </row>
    <row r="923" spans="26:26" hidden="1">
      <c r="Z923" s="11"/>
    </row>
    <row r="924" spans="26:26" hidden="1">
      <c r="Z924" s="11"/>
    </row>
    <row r="925" spans="26:26" hidden="1">
      <c r="Z925" s="11"/>
    </row>
    <row r="926" spans="26:26" hidden="1">
      <c r="Z926" s="11"/>
    </row>
    <row r="927" spans="26:26" hidden="1">
      <c r="Z927" s="11"/>
    </row>
    <row r="928" spans="26:26" hidden="1">
      <c r="Z928" s="11"/>
    </row>
    <row r="929" spans="26:26" hidden="1">
      <c r="Z929" s="11"/>
    </row>
    <row r="930" spans="26:26" hidden="1">
      <c r="Z930" s="11"/>
    </row>
    <row r="931" spans="26:26" hidden="1">
      <c r="Z931" s="11"/>
    </row>
    <row r="932" spans="26:26" hidden="1">
      <c r="Z932" s="11"/>
    </row>
    <row r="933" spans="26:26" hidden="1">
      <c r="Z933" s="11"/>
    </row>
    <row r="934" spans="26:26" hidden="1">
      <c r="Z934" s="11"/>
    </row>
    <row r="935" spans="26:26" hidden="1">
      <c r="Z935" s="11"/>
    </row>
    <row r="936" spans="26:26" hidden="1">
      <c r="Z936" s="11"/>
    </row>
    <row r="937" spans="26:26" hidden="1">
      <c r="Z937" s="11"/>
    </row>
    <row r="938" spans="26:26" hidden="1">
      <c r="Z938" s="11"/>
    </row>
    <row r="939" spans="26:26" hidden="1">
      <c r="Z939" s="11"/>
    </row>
    <row r="940" spans="26:26" hidden="1">
      <c r="Z940" s="11"/>
    </row>
    <row r="941" spans="26:26" hidden="1">
      <c r="Z941" s="11"/>
    </row>
    <row r="942" spans="26:26" hidden="1">
      <c r="Z942" s="11"/>
    </row>
    <row r="943" spans="26:26" hidden="1">
      <c r="Z943" s="11"/>
    </row>
    <row r="944" spans="26:26" hidden="1">
      <c r="Z944" s="11"/>
    </row>
    <row r="945" spans="26:26" hidden="1">
      <c r="Z945" s="11"/>
    </row>
    <row r="946" spans="26:26" hidden="1">
      <c r="Z946" s="11"/>
    </row>
    <row r="947" spans="26:26" hidden="1">
      <c r="Z947" s="11"/>
    </row>
    <row r="948" spans="26:26" hidden="1">
      <c r="Z948" s="11"/>
    </row>
    <row r="949" spans="26:26" hidden="1">
      <c r="Z949" s="11"/>
    </row>
    <row r="950" spans="26:26" hidden="1">
      <c r="Z950" s="11"/>
    </row>
    <row r="951" spans="26:26" hidden="1">
      <c r="Z951" s="11"/>
    </row>
    <row r="952" spans="26:26" hidden="1">
      <c r="Z952" s="11"/>
    </row>
    <row r="953" spans="26:26" hidden="1">
      <c r="Z953" s="11"/>
    </row>
    <row r="954" spans="26:26" hidden="1">
      <c r="Z954" s="11"/>
    </row>
    <row r="955" spans="26:26" hidden="1">
      <c r="Z955" s="11"/>
    </row>
    <row r="956" spans="26:26" hidden="1">
      <c r="Z956" s="11"/>
    </row>
    <row r="957" spans="26:26" hidden="1">
      <c r="Z957" s="11"/>
    </row>
    <row r="958" spans="26:26" hidden="1">
      <c r="Z958" s="11"/>
    </row>
    <row r="959" spans="26:26" hidden="1">
      <c r="Z959" s="11"/>
    </row>
    <row r="960" spans="26:26" hidden="1">
      <c r="Z960" s="11"/>
    </row>
    <row r="961" spans="26:26" hidden="1">
      <c r="Z961" s="11"/>
    </row>
    <row r="962" spans="26:26" hidden="1">
      <c r="Z962" s="11"/>
    </row>
    <row r="963" spans="26:26" hidden="1">
      <c r="Z963" s="11"/>
    </row>
    <row r="964" spans="26:26" hidden="1">
      <c r="Z964" s="11"/>
    </row>
    <row r="965" spans="26:26" hidden="1">
      <c r="Z965" s="11"/>
    </row>
    <row r="966" spans="26:26" hidden="1">
      <c r="Z966" s="11"/>
    </row>
    <row r="967" spans="26:26" hidden="1">
      <c r="Z967" s="11"/>
    </row>
    <row r="968" spans="26:26" hidden="1">
      <c r="Z968" s="11"/>
    </row>
    <row r="969" spans="26:26" hidden="1">
      <c r="Z969" s="11"/>
    </row>
    <row r="970" spans="26:26" hidden="1">
      <c r="Z970" s="11"/>
    </row>
    <row r="971" spans="26:26" hidden="1">
      <c r="Z971" s="11"/>
    </row>
    <row r="972" spans="26:26" hidden="1">
      <c r="Z972" s="11"/>
    </row>
    <row r="973" spans="26:26" hidden="1">
      <c r="Z973" s="11"/>
    </row>
    <row r="974" spans="26:26" hidden="1">
      <c r="Z974" s="11"/>
    </row>
    <row r="975" spans="26:26" hidden="1">
      <c r="Z975" s="11"/>
    </row>
    <row r="976" spans="26:26" hidden="1">
      <c r="Z976" s="11"/>
    </row>
    <row r="977" spans="26:26" hidden="1">
      <c r="Z977" s="11"/>
    </row>
    <row r="978" spans="26:26" hidden="1">
      <c r="Z978" s="11"/>
    </row>
    <row r="979" spans="26:26" hidden="1">
      <c r="Z979" s="11"/>
    </row>
    <row r="980" spans="26:26" hidden="1">
      <c r="Z980" s="11"/>
    </row>
    <row r="981" spans="26:26" hidden="1">
      <c r="Z981" s="11"/>
    </row>
    <row r="982" spans="26:26" hidden="1">
      <c r="Z982" s="11"/>
    </row>
    <row r="983" spans="26:26" hidden="1">
      <c r="Z983" s="11"/>
    </row>
    <row r="984" spans="26:26" hidden="1">
      <c r="Z984" s="11"/>
    </row>
    <row r="985" spans="26:26" hidden="1">
      <c r="Z985" s="11"/>
    </row>
    <row r="986" spans="26:26" hidden="1">
      <c r="Z986" s="11"/>
    </row>
    <row r="987" spans="26:26" hidden="1">
      <c r="Z987" s="11"/>
    </row>
    <row r="988" spans="26:26" hidden="1">
      <c r="Z988" s="11"/>
    </row>
    <row r="989" spans="26:26" hidden="1">
      <c r="Z989" s="11"/>
    </row>
    <row r="990" spans="26:26" hidden="1">
      <c r="Z990" s="11"/>
    </row>
    <row r="991" spans="26:26" hidden="1">
      <c r="Z991" s="11"/>
    </row>
    <row r="992" spans="26:26" hidden="1">
      <c r="Z992" s="11"/>
    </row>
    <row r="993" spans="26:26" hidden="1">
      <c r="Z993" s="11"/>
    </row>
    <row r="994" spans="26:26" hidden="1">
      <c r="Z994" s="11"/>
    </row>
    <row r="995" spans="26:26" hidden="1">
      <c r="Z995" s="11"/>
    </row>
    <row r="996" spans="26:26" hidden="1">
      <c r="Z996" s="11"/>
    </row>
    <row r="997" spans="26:26" hidden="1">
      <c r="Z997" s="11"/>
    </row>
    <row r="998" spans="26:26" hidden="1">
      <c r="Z998" s="11"/>
    </row>
    <row r="999" spans="26:26" hidden="1">
      <c r="Z999" s="11"/>
    </row>
    <row r="1000" spans="26:26" hidden="1">
      <c r="Z1000" s="11"/>
    </row>
    <row r="1001" spans="26:26" hidden="1">
      <c r="Z1001" s="11"/>
    </row>
    <row r="1002" spans="26:26" hidden="1">
      <c r="Z1002" s="11"/>
    </row>
    <row r="1003" spans="26:26" hidden="1">
      <c r="Z1003" s="11"/>
    </row>
    <row r="1004" spans="26:26" hidden="1">
      <c r="Z1004" s="11"/>
    </row>
    <row r="1005" spans="26:26" hidden="1">
      <c r="Z1005" s="11"/>
    </row>
    <row r="1006" spans="26:26" hidden="1">
      <c r="Z1006" s="11"/>
    </row>
    <row r="1007" spans="26:26" hidden="1">
      <c r="Z1007" s="11"/>
    </row>
    <row r="1008" spans="26:26" hidden="1">
      <c r="Z1008" s="11"/>
    </row>
    <row r="1009" spans="26:26" hidden="1">
      <c r="Z1009" s="11"/>
    </row>
    <row r="1010" spans="26:26" hidden="1">
      <c r="Z1010" s="11"/>
    </row>
    <row r="1011" spans="26:26" hidden="1">
      <c r="Z1011" s="11"/>
    </row>
    <row r="1012" spans="26:26" hidden="1">
      <c r="Z1012" s="11"/>
    </row>
    <row r="1013" spans="26:26" hidden="1">
      <c r="Z1013" s="11"/>
    </row>
    <row r="1014" spans="26:26" hidden="1">
      <c r="Z1014" s="11"/>
    </row>
    <row r="1015" spans="26:26" hidden="1">
      <c r="Z1015" s="11"/>
    </row>
    <row r="1016" spans="26:26" hidden="1">
      <c r="Z1016" s="11"/>
    </row>
    <row r="1017" spans="26:26" hidden="1">
      <c r="Z1017" s="11"/>
    </row>
    <row r="1018" spans="26:26" hidden="1">
      <c r="Z1018" s="11"/>
    </row>
    <row r="1019" spans="26:26" hidden="1">
      <c r="Z1019" s="11"/>
    </row>
    <row r="1020" spans="26:26" hidden="1">
      <c r="Z1020" s="11"/>
    </row>
    <row r="1021" spans="26:26" hidden="1">
      <c r="Z1021" s="11"/>
    </row>
    <row r="1022" spans="26:26" hidden="1">
      <c r="Z1022" s="11"/>
    </row>
    <row r="1023" spans="26:26" hidden="1">
      <c r="Z1023" s="11"/>
    </row>
    <row r="1024" spans="26:26" hidden="1">
      <c r="Z1024" s="11"/>
    </row>
    <row r="1025" spans="26:26" hidden="1">
      <c r="Z1025" s="11"/>
    </row>
    <row r="1026" spans="26:26" hidden="1">
      <c r="Z1026" s="11"/>
    </row>
    <row r="1027" spans="26:26" hidden="1">
      <c r="Z1027" s="11"/>
    </row>
    <row r="1028" spans="26:26" hidden="1">
      <c r="Z1028" s="11"/>
    </row>
    <row r="1029" spans="26:26" hidden="1">
      <c r="Z1029" s="11"/>
    </row>
    <row r="1030" spans="26:26" hidden="1">
      <c r="Z1030" s="11"/>
    </row>
    <row r="1031" spans="26:26" hidden="1">
      <c r="Z1031" s="11"/>
    </row>
    <row r="1032" spans="26:26" hidden="1">
      <c r="Z1032" s="11"/>
    </row>
    <row r="1033" spans="26:26" hidden="1">
      <c r="Z1033" s="11"/>
    </row>
    <row r="1034" spans="26:26" hidden="1">
      <c r="Z1034" s="11"/>
    </row>
    <row r="1035" spans="26:26" hidden="1">
      <c r="Z1035" s="11"/>
    </row>
    <row r="1036" spans="26:26" hidden="1">
      <c r="Z1036" s="11"/>
    </row>
    <row r="1037" spans="26:26" hidden="1">
      <c r="Z1037" s="11"/>
    </row>
    <row r="1038" spans="26:26" hidden="1">
      <c r="Z1038" s="11"/>
    </row>
    <row r="1039" spans="26:26" hidden="1">
      <c r="Z1039" s="11"/>
    </row>
    <row r="1040" spans="26:26" hidden="1">
      <c r="Z1040" s="11"/>
    </row>
    <row r="1041" spans="26:26" hidden="1">
      <c r="Z1041" s="11"/>
    </row>
    <row r="1042" spans="26:26" hidden="1">
      <c r="Z1042" s="11"/>
    </row>
    <row r="1043" spans="26:26" hidden="1">
      <c r="Z1043" s="11"/>
    </row>
    <row r="1044" spans="26:26" hidden="1">
      <c r="Z1044" s="11"/>
    </row>
    <row r="1045" spans="26:26" hidden="1">
      <c r="Z1045" s="11"/>
    </row>
    <row r="1046" spans="26:26" hidden="1">
      <c r="Z1046" s="11"/>
    </row>
    <row r="1047" spans="26:26" hidden="1">
      <c r="Z1047" s="11"/>
    </row>
    <row r="1048" spans="26:26" hidden="1">
      <c r="Z1048" s="11"/>
    </row>
    <row r="1049" spans="26:26" hidden="1">
      <c r="Z1049" s="11"/>
    </row>
    <row r="1050" spans="26:26" hidden="1">
      <c r="Z1050" s="11"/>
    </row>
    <row r="1051" spans="26:26" hidden="1">
      <c r="Z1051" s="11"/>
    </row>
    <row r="1052" spans="26:26" hidden="1">
      <c r="Z1052" s="11"/>
    </row>
    <row r="1053" spans="26:26" hidden="1">
      <c r="Z1053" s="11"/>
    </row>
    <row r="1054" spans="26:26" hidden="1">
      <c r="Z1054" s="11"/>
    </row>
    <row r="1055" spans="26:26" hidden="1">
      <c r="Z1055" s="11"/>
    </row>
    <row r="1056" spans="26:26" hidden="1">
      <c r="Z1056" s="11"/>
    </row>
    <row r="1057" spans="26:26" hidden="1">
      <c r="Z1057" s="11"/>
    </row>
    <row r="1058" spans="26:26" hidden="1">
      <c r="Z1058" s="11"/>
    </row>
    <row r="1059" spans="26:26" hidden="1">
      <c r="Z1059" s="11"/>
    </row>
    <row r="1060" spans="26:26" hidden="1">
      <c r="Z1060" s="11"/>
    </row>
    <row r="1061" spans="26:26" hidden="1">
      <c r="Z1061" s="11"/>
    </row>
    <row r="1062" spans="26:26" hidden="1">
      <c r="Z1062" s="11"/>
    </row>
    <row r="1063" spans="26:26" hidden="1">
      <c r="Z1063" s="11"/>
    </row>
    <row r="1064" spans="26:26" hidden="1">
      <c r="Z1064" s="11"/>
    </row>
    <row r="1065" spans="26:26" hidden="1">
      <c r="Z1065" s="11"/>
    </row>
    <row r="1066" spans="26:26" hidden="1">
      <c r="Z1066" s="11"/>
    </row>
    <row r="1067" spans="26:26" hidden="1">
      <c r="Z1067" s="11"/>
    </row>
    <row r="1068" spans="26:26" hidden="1">
      <c r="Z1068" s="11"/>
    </row>
    <row r="1069" spans="26:26" hidden="1">
      <c r="Z1069" s="11"/>
    </row>
    <row r="1070" spans="26:26" hidden="1">
      <c r="Z1070" s="11"/>
    </row>
    <row r="1071" spans="26:26" hidden="1">
      <c r="Z1071" s="11"/>
    </row>
    <row r="1072" spans="26:26" hidden="1">
      <c r="Z1072" s="11"/>
    </row>
    <row r="1073" spans="26:26" hidden="1">
      <c r="Z1073" s="11"/>
    </row>
    <row r="1074" spans="26:26" hidden="1">
      <c r="Z1074" s="11"/>
    </row>
    <row r="1075" spans="26:26" hidden="1">
      <c r="Z1075" s="11"/>
    </row>
    <row r="1076" spans="26:26" hidden="1">
      <c r="Z1076" s="11"/>
    </row>
    <row r="1077" spans="26:26" hidden="1">
      <c r="Z1077" s="11"/>
    </row>
    <row r="1078" spans="26:26" hidden="1">
      <c r="Z1078" s="11"/>
    </row>
    <row r="1079" spans="26:26" hidden="1">
      <c r="Z1079" s="11"/>
    </row>
    <row r="1080" spans="26:26" hidden="1">
      <c r="Z1080" s="11"/>
    </row>
    <row r="1081" spans="26:26" hidden="1">
      <c r="Z1081" s="11"/>
    </row>
    <row r="1082" spans="26:26" hidden="1">
      <c r="Z1082" s="11"/>
    </row>
    <row r="1083" spans="26:26" hidden="1">
      <c r="Z1083" s="11"/>
    </row>
    <row r="1084" spans="26:26" hidden="1">
      <c r="Z1084" s="11"/>
    </row>
    <row r="1085" spans="26:26" hidden="1">
      <c r="Z1085" s="11"/>
    </row>
    <row r="1086" spans="26:26" hidden="1">
      <c r="Z1086" s="11"/>
    </row>
    <row r="1087" spans="26:26" hidden="1">
      <c r="Z1087" s="11"/>
    </row>
    <row r="1088" spans="26:26" hidden="1">
      <c r="Z1088" s="11"/>
    </row>
    <row r="1089" spans="26:26" hidden="1">
      <c r="Z1089" s="11"/>
    </row>
    <row r="1090" spans="26:26" hidden="1">
      <c r="Z1090" s="11"/>
    </row>
    <row r="1091" spans="26:26" hidden="1">
      <c r="Z1091" s="11"/>
    </row>
    <row r="1092" spans="26:26" hidden="1">
      <c r="Z1092" s="11"/>
    </row>
    <row r="1093" spans="26:26" hidden="1">
      <c r="Z1093" s="11"/>
    </row>
    <row r="1094" spans="26:26" hidden="1">
      <c r="Z1094" s="11"/>
    </row>
    <row r="1095" spans="26:26" hidden="1">
      <c r="Z1095" s="11"/>
    </row>
    <row r="1096" spans="26:26" hidden="1">
      <c r="Z1096" s="11"/>
    </row>
    <row r="1097" spans="26:26" hidden="1">
      <c r="Z1097" s="11"/>
    </row>
    <row r="1098" spans="26:26" hidden="1">
      <c r="Z1098" s="11"/>
    </row>
    <row r="1099" spans="26:26" hidden="1">
      <c r="Z1099" s="11"/>
    </row>
    <row r="1100" spans="26:26" hidden="1">
      <c r="Z1100" s="11"/>
    </row>
    <row r="1101" spans="26:26" hidden="1">
      <c r="Z1101" s="11"/>
    </row>
    <row r="1102" spans="26:26" hidden="1">
      <c r="Z1102" s="11"/>
    </row>
    <row r="1103" spans="26:26" hidden="1">
      <c r="Z1103" s="11"/>
    </row>
    <row r="1104" spans="26:26" hidden="1">
      <c r="Z1104" s="11"/>
    </row>
    <row r="1105" spans="26:26" hidden="1">
      <c r="Z1105" s="11"/>
    </row>
    <row r="1106" spans="26:26" hidden="1">
      <c r="Z1106" s="11"/>
    </row>
    <row r="1107" spans="26:26" hidden="1">
      <c r="Z1107" s="11"/>
    </row>
    <row r="1108" spans="26:26" hidden="1">
      <c r="Z1108" s="11"/>
    </row>
    <row r="1109" spans="26:26" hidden="1">
      <c r="Z1109" s="11"/>
    </row>
    <row r="1110" spans="26:26" hidden="1">
      <c r="Z1110" s="11"/>
    </row>
    <row r="1111" spans="26:26" hidden="1">
      <c r="Z1111" s="11"/>
    </row>
    <row r="1112" spans="26:26" hidden="1">
      <c r="Z1112" s="11"/>
    </row>
    <row r="1113" spans="26:26" hidden="1">
      <c r="Z1113" s="11"/>
    </row>
    <row r="1114" spans="26:26" hidden="1">
      <c r="Z1114" s="11"/>
    </row>
    <row r="1115" spans="26:26" hidden="1">
      <c r="Z1115" s="11"/>
    </row>
    <row r="1116" spans="26:26" hidden="1">
      <c r="Z1116" s="11"/>
    </row>
    <row r="1117" spans="26:26" hidden="1">
      <c r="Z1117" s="11"/>
    </row>
    <row r="1118" spans="26:26" hidden="1">
      <c r="Z1118" s="11"/>
    </row>
    <row r="1119" spans="26:26" hidden="1">
      <c r="Z1119" s="11"/>
    </row>
    <row r="1120" spans="26:26" hidden="1">
      <c r="Z1120" s="11"/>
    </row>
    <row r="1121" spans="26:26" hidden="1">
      <c r="Z1121" s="11"/>
    </row>
    <row r="1122" spans="26:26" hidden="1">
      <c r="Z1122" s="11"/>
    </row>
    <row r="1123" spans="26:26" hidden="1">
      <c r="Z1123" s="11"/>
    </row>
    <row r="1124" spans="26:26" hidden="1">
      <c r="Z1124" s="11"/>
    </row>
    <row r="1125" spans="26:26" hidden="1">
      <c r="Z1125" s="11"/>
    </row>
    <row r="1126" spans="26:26" hidden="1">
      <c r="Z1126" s="11"/>
    </row>
    <row r="1127" spans="26:26" hidden="1">
      <c r="Z1127" s="11"/>
    </row>
    <row r="1128" spans="26:26" hidden="1">
      <c r="Z1128" s="11"/>
    </row>
    <row r="1129" spans="26:26" hidden="1">
      <c r="Z1129" s="11"/>
    </row>
    <row r="1130" spans="26:26" hidden="1">
      <c r="Z1130" s="11"/>
    </row>
    <row r="1131" spans="26:26" hidden="1">
      <c r="Z1131" s="11"/>
    </row>
    <row r="1132" spans="26:26" hidden="1">
      <c r="Z1132" s="11"/>
    </row>
    <row r="1133" spans="26:26" hidden="1">
      <c r="Z1133" s="11"/>
    </row>
    <row r="1134" spans="26:26" hidden="1">
      <c r="Z1134" s="11"/>
    </row>
    <row r="1135" spans="26:26" hidden="1">
      <c r="Z1135" s="11"/>
    </row>
    <row r="1136" spans="26:26" hidden="1">
      <c r="Z1136" s="11"/>
    </row>
    <row r="1137" spans="26:26" hidden="1">
      <c r="Z1137" s="11"/>
    </row>
    <row r="1138" spans="26:26" hidden="1">
      <c r="Z1138" s="11"/>
    </row>
    <row r="1139" spans="26:26" hidden="1">
      <c r="Z1139" s="11"/>
    </row>
    <row r="1140" spans="26:26" hidden="1">
      <c r="Z1140" s="11"/>
    </row>
    <row r="1141" spans="26:26" hidden="1">
      <c r="Z1141" s="11"/>
    </row>
    <row r="1142" spans="26:26" hidden="1">
      <c r="Z1142" s="11"/>
    </row>
    <row r="1143" spans="26:26" hidden="1">
      <c r="Z1143" s="11"/>
    </row>
    <row r="1144" spans="26:26" hidden="1">
      <c r="Z1144" s="11"/>
    </row>
    <row r="1145" spans="26:26" hidden="1">
      <c r="Z1145" s="11"/>
    </row>
    <row r="1146" spans="26:26" hidden="1">
      <c r="Z1146" s="11"/>
    </row>
    <row r="1147" spans="26:26" hidden="1">
      <c r="Z1147" s="11"/>
    </row>
    <row r="1148" spans="26:26" hidden="1">
      <c r="Z1148" s="11"/>
    </row>
    <row r="1149" spans="26:26" hidden="1">
      <c r="Z1149" s="11"/>
    </row>
    <row r="1150" spans="26:26" hidden="1">
      <c r="Z1150" s="11"/>
    </row>
    <row r="1151" spans="26:26" hidden="1">
      <c r="Z1151" s="11"/>
    </row>
    <row r="1152" spans="26:26" hidden="1">
      <c r="Z1152" s="11"/>
    </row>
    <row r="1153" spans="26:26" hidden="1">
      <c r="Z1153" s="11"/>
    </row>
    <row r="1154" spans="26:26" hidden="1">
      <c r="Z1154" s="11"/>
    </row>
    <row r="1155" spans="26:26" hidden="1">
      <c r="Z1155" s="11"/>
    </row>
    <row r="1156" spans="26:26" hidden="1">
      <c r="Z1156" s="11"/>
    </row>
    <row r="1157" spans="26:26" hidden="1">
      <c r="Z1157" s="11"/>
    </row>
    <row r="1158" spans="26:26" hidden="1">
      <c r="Z1158" s="11"/>
    </row>
    <row r="1159" spans="26:26" hidden="1">
      <c r="Z1159" s="11"/>
    </row>
    <row r="1160" spans="26:26" hidden="1">
      <c r="Z1160" s="11"/>
    </row>
    <row r="1161" spans="26:26" hidden="1">
      <c r="Z1161" s="11"/>
    </row>
    <row r="1162" spans="26:26" hidden="1">
      <c r="Z1162" s="11"/>
    </row>
    <row r="1163" spans="26:26" hidden="1">
      <c r="Z1163" s="11"/>
    </row>
    <row r="1164" spans="26:26" hidden="1">
      <c r="Z1164" s="11"/>
    </row>
    <row r="1165" spans="26:26" hidden="1">
      <c r="Z1165" s="11"/>
    </row>
    <row r="1166" spans="26:26" hidden="1">
      <c r="Z1166" s="11"/>
    </row>
    <row r="1167" spans="26:26" hidden="1">
      <c r="Z1167" s="11"/>
    </row>
    <row r="1168" spans="26:26" hidden="1">
      <c r="Z1168" s="11"/>
    </row>
    <row r="1169" spans="26:26" hidden="1">
      <c r="Z1169" s="11"/>
    </row>
    <row r="1170" spans="26:26" hidden="1">
      <c r="Z1170" s="11"/>
    </row>
    <row r="1171" spans="26:26" hidden="1">
      <c r="Z1171" s="11"/>
    </row>
    <row r="1172" spans="26:26" hidden="1">
      <c r="Z1172" s="11"/>
    </row>
    <row r="1173" spans="26:26" hidden="1">
      <c r="Z1173" s="11"/>
    </row>
    <row r="1174" spans="26:26" hidden="1">
      <c r="Z1174" s="11"/>
    </row>
    <row r="1175" spans="26:26" hidden="1">
      <c r="Z1175" s="11"/>
    </row>
    <row r="1176" spans="26:26" hidden="1">
      <c r="Z1176" s="11"/>
    </row>
    <row r="1177" spans="26:26" hidden="1">
      <c r="Z1177" s="11"/>
    </row>
    <row r="1178" spans="26:26" hidden="1">
      <c r="Z1178" s="11"/>
    </row>
    <row r="1179" spans="26:26" hidden="1">
      <c r="Z1179" s="11"/>
    </row>
    <row r="1180" spans="26:26" hidden="1">
      <c r="Z1180" s="11"/>
    </row>
    <row r="1181" spans="26:26" hidden="1">
      <c r="Z1181" s="11"/>
    </row>
    <row r="1182" spans="26:26" hidden="1">
      <c r="Z1182" s="11"/>
    </row>
    <row r="1183" spans="26:26" hidden="1">
      <c r="Z1183" s="11"/>
    </row>
    <row r="1184" spans="26:26" hidden="1">
      <c r="Z1184" s="11"/>
    </row>
    <row r="1185" spans="26:26" hidden="1">
      <c r="Z1185" s="11"/>
    </row>
    <row r="1186" spans="26:26" hidden="1">
      <c r="Z1186" s="11"/>
    </row>
    <row r="1187" spans="26:26" hidden="1">
      <c r="Z1187" s="11"/>
    </row>
    <row r="1188" spans="26:26" hidden="1">
      <c r="Z1188" s="11"/>
    </row>
    <row r="1189" spans="26:26" hidden="1">
      <c r="Z1189" s="11"/>
    </row>
    <row r="1190" spans="26:26" hidden="1">
      <c r="Z1190" s="11"/>
    </row>
    <row r="1191" spans="26:26" hidden="1">
      <c r="Z1191" s="11"/>
    </row>
    <row r="1192" spans="26:26" hidden="1">
      <c r="Z1192" s="11"/>
    </row>
    <row r="1193" spans="26:26" hidden="1">
      <c r="Z1193" s="11"/>
    </row>
    <row r="1194" spans="26:26" hidden="1">
      <c r="Z1194" s="11"/>
    </row>
    <row r="1195" spans="26:26" hidden="1">
      <c r="Z1195" s="11"/>
    </row>
    <row r="1196" spans="26:26" hidden="1">
      <c r="Z1196" s="11"/>
    </row>
    <row r="1197" spans="26:26" hidden="1">
      <c r="Z1197" s="11"/>
    </row>
    <row r="1198" spans="26:26" hidden="1">
      <c r="Z1198" s="11"/>
    </row>
    <row r="1199" spans="26:26" hidden="1">
      <c r="Z1199" s="11"/>
    </row>
    <row r="1200" spans="26:26" hidden="1">
      <c r="Z1200" s="11"/>
    </row>
    <row r="1201" spans="26:26" hidden="1">
      <c r="Z1201" s="11"/>
    </row>
    <row r="1202" spans="26:26" hidden="1">
      <c r="Z1202" s="11"/>
    </row>
    <row r="1203" spans="26:26" hidden="1">
      <c r="Z1203" s="11"/>
    </row>
    <row r="1204" spans="26:26" hidden="1">
      <c r="Z1204" s="11"/>
    </row>
    <row r="1205" spans="26:26" hidden="1">
      <c r="Z1205" s="11"/>
    </row>
    <row r="1206" spans="26:26" hidden="1">
      <c r="Z1206" s="11"/>
    </row>
    <row r="1207" spans="26:26" hidden="1">
      <c r="Z1207" s="11"/>
    </row>
    <row r="1208" spans="26:26" hidden="1">
      <c r="Z1208" s="11"/>
    </row>
    <row r="1209" spans="26:26" hidden="1">
      <c r="Z1209" s="11"/>
    </row>
    <row r="1210" spans="26:26" hidden="1">
      <c r="Z1210" s="11"/>
    </row>
    <row r="1211" spans="26:26" hidden="1">
      <c r="Z1211" s="11"/>
    </row>
    <row r="1212" spans="26:26" hidden="1">
      <c r="Z1212" s="11"/>
    </row>
    <row r="1213" spans="26:26" hidden="1">
      <c r="Z1213" s="11"/>
    </row>
    <row r="1214" spans="26:26" hidden="1">
      <c r="Z1214" s="11"/>
    </row>
    <row r="1215" spans="26:26" hidden="1">
      <c r="Z1215" s="11"/>
    </row>
    <row r="1216" spans="26:26" hidden="1">
      <c r="Z1216" s="11"/>
    </row>
    <row r="1217" spans="26:26" hidden="1">
      <c r="Z1217" s="11"/>
    </row>
    <row r="1218" spans="26:26" hidden="1">
      <c r="Z1218" s="11"/>
    </row>
    <row r="1219" spans="26:26" hidden="1">
      <c r="Z1219" s="11"/>
    </row>
    <row r="1220" spans="26:26" hidden="1">
      <c r="Z1220" s="11"/>
    </row>
    <row r="1221" spans="26:26" hidden="1">
      <c r="Z1221" s="11"/>
    </row>
    <row r="1222" spans="26:26" hidden="1">
      <c r="Z1222" s="11"/>
    </row>
    <row r="1223" spans="26:26" hidden="1">
      <c r="Z1223" s="11"/>
    </row>
    <row r="1224" spans="26:26" hidden="1">
      <c r="Z1224" s="11"/>
    </row>
    <row r="1225" spans="26:26" hidden="1">
      <c r="Z1225" s="11"/>
    </row>
    <row r="1226" spans="26:26" hidden="1">
      <c r="Z1226" s="11"/>
    </row>
    <row r="1227" spans="26:26" hidden="1">
      <c r="Z1227" s="11"/>
    </row>
    <row r="1228" spans="26:26" hidden="1">
      <c r="Z1228" s="11"/>
    </row>
    <row r="1229" spans="26:26" hidden="1">
      <c r="Z1229" s="11"/>
    </row>
    <row r="1230" spans="26:26" hidden="1">
      <c r="Z1230" s="11"/>
    </row>
    <row r="1231" spans="26:26" hidden="1">
      <c r="Z1231" s="11"/>
    </row>
    <row r="1232" spans="26:26" hidden="1">
      <c r="Z1232" s="11"/>
    </row>
    <row r="1233" spans="26:26" hidden="1">
      <c r="Z1233" s="11"/>
    </row>
    <row r="1234" spans="26:26" hidden="1">
      <c r="Z1234" s="11"/>
    </row>
    <row r="1235" spans="26:26" hidden="1">
      <c r="Z1235" s="11"/>
    </row>
    <row r="1236" spans="26:26" hidden="1">
      <c r="Z1236" s="11"/>
    </row>
    <row r="1237" spans="26:26" hidden="1">
      <c r="Z1237" s="11"/>
    </row>
    <row r="1238" spans="26:26" hidden="1">
      <c r="Z1238" s="11"/>
    </row>
    <row r="1239" spans="26:26" hidden="1">
      <c r="Z1239" s="11"/>
    </row>
    <row r="1240" spans="26:26" hidden="1">
      <c r="Z1240" s="11"/>
    </row>
    <row r="1241" spans="26:26" hidden="1">
      <c r="Z1241" s="11"/>
    </row>
    <row r="1242" spans="26:26" hidden="1">
      <c r="Z1242" s="11"/>
    </row>
    <row r="1243" spans="26:26" hidden="1">
      <c r="Z1243" s="11"/>
    </row>
    <row r="1244" spans="26:26" hidden="1">
      <c r="Z1244" s="11"/>
    </row>
    <row r="1245" spans="26:26" hidden="1">
      <c r="Z1245" s="11"/>
    </row>
    <row r="1246" spans="26:26" hidden="1">
      <c r="Z1246" s="11"/>
    </row>
    <row r="1247" spans="26:26" hidden="1">
      <c r="Z1247" s="11"/>
    </row>
    <row r="1248" spans="26:26" hidden="1">
      <c r="Z1248" s="11"/>
    </row>
    <row r="1249" spans="26:26" hidden="1">
      <c r="Z1249" s="11"/>
    </row>
    <row r="1250" spans="26:26" hidden="1">
      <c r="Z1250" s="11"/>
    </row>
    <row r="1251" spans="26:26" hidden="1">
      <c r="Z1251" s="11"/>
    </row>
    <row r="1252" spans="26:26" hidden="1">
      <c r="Z1252" s="11"/>
    </row>
    <row r="1253" spans="26:26" hidden="1">
      <c r="Z1253" s="11"/>
    </row>
    <row r="1254" spans="26:26" hidden="1">
      <c r="Z1254" s="11"/>
    </row>
    <row r="1255" spans="26:26" hidden="1">
      <c r="Z1255" s="11"/>
    </row>
    <row r="1256" spans="26:26" hidden="1">
      <c r="Z1256" s="11"/>
    </row>
    <row r="1257" spans="26:26" hidden="1">
      <c r="Z1257" s="11"/>
    </row>
    <row r="1258" spans="26:26" hidden="1">
      <c r="Z1258" s="11"/>
    </row>
    <row r="1259" spans="26:26" hidden="1">
      <c r="Z1259" s="11"/>
    </row>
    <row r="1260" spans="26:26" hidden="1">
      <c r="Z1260" s="11"/>
    </row>
    <row r="1261" spans="26:26" hidden="1">
      <c r="Z1261" s="11"/>
    </row>
    <row r="1262" spans="26:26" hidden="1">
      <c r="Z1262" s="11"/>
    </row>
    <row r="1263" spans="26:26" hidden="1">
      <c r="Z1263" s="11"/>
    </row>
    <row r="1264" spans="26:26" hidden="1">
      <c r="Z1264" s="11"/>
    </row>
    <row r="1265" spans="26:26" hidden="1">
      <c r="Z1265" s="11"/>
    </row>
    <row r="1266" spans="26:26" hidden="1">
      <c r="Z1266" s="11"/>
    </row>
    <row r="1267" spans="26:26" hidden="1">
      <c r="Z1267" s="11"/>
    </row>
    <row r="1268" spans="26:26" hidden="1">
      <c r="Z1268" s="11"/>
    </row>
    <row r="1269" spans="26:26" hidden="1">
      <c r="Z1269" s="11"/>
    </row>
    <row r="1270" spans="26:26" hidden="1">
      <c r="Z1270" s="11"/>
    </row>
    <row r="1271" spans="26:26" hidden="1">
      <c r="Z1271" s="11"/>
    </row>
    <row r="1272" spans="26:26" hidden="1">
      <c r="Z1272" s="11"/>
    </row>
    <row r="1273" spans="26:26" hidden="1">
      <c r="Z1273" s="11"/>
    </row>
    <row r="1274" spans="26:26" hidden="1">
      <c r="Z1274" s="11"/>
    </row>
    <row r="1275" spans="26:26" hidden="1">
      <c r="Z1275" s="11"/>
    </row>
    <row r="1276" spans="26:26" hidden="1">
      <c r="Z1276" s="11"/>
    </row>
    <row r="1277" spans="26:26" hidden="1">
      <c r="Z1277" s="11"/>
    </row>
    <row r="1278" spans="26:26" hidden="1">
      <c r="Z1278" s="11"/>
    </row>
    <row r="1279" spans="26:26" hidden="1">
      <c r="Z1279" s="11"/>
    </row>
    <row r="1280" spans="26:26" hidden="1">
      <c r="Z1280" s="11"/>
    </row>
    <row r="1281" spans="26:26" hidden="1">
      <c r="Z1281" s="11"/>
    </row>
    <row r="1282" spans="26:26" hidden="1">
      <c r="Z1282" s="11"/>
    </row>
    <row r="1283" spans="26:26" hidden="1">
      <c r="Z1283" s="11"/>
    </row>
    <row r="1284" spans="26:26" hidden="1">
      <c r="Z1284" s="11"/>
    </row>
    <row r="1285" spans="26:26" hidden="1">
      <c r="Z1285" s="11"/>
    </row>
    <row r="1286" spans="26:26" hidden="1">
      <c r="Z1286" s="11"/>
    </row>
    <row r="1287" spans="26:26" hidden="1">
      <c r="Z1287" s="11"/>
    </row>
    <row r="1288" spans="26:26" hidden="1">
      <c r="Z1288" s="11"/>
    </row>
    <row r="1289" spans="26:26" hidden="1">
      <c r="Z1289" s="11"/>
    </row>
    <row r="1290" spans="26:26" hidden="1">
      <c r="Z1290" s="11"/>
    </row>
    <row r="1291" spans="26:26" hidden="1">
      <c r="Z1291" s="11"/>
    </row>
    <row r="1292" spans="26:26" hidden="1">
      <c r="Z1292" s="11"/>
    </row>
    <row r="1293" spans="26:26" hidden="1">
      <c r="Z1293" s="11"/>
    </row>
    <row r="1294" spans="26:26" hidden="1">
      <c r="Z1294" s="11"/>
    </row>
    <row r="1295" spans="26:26" hidden="1">
      <c r="Z1295" s="11"/>
    </row>
    <row r="1296" spans="26:26" hidden="1">
      <c r="Z1296" s="11"/>
    </row>
    <row r="1297" spans="26:26" hidden="1">
      <c r="Z1297" s="11"/>
    </row>
    <row r="1298" spans="26:26" hidden="1">
      <c r="Z1298" s="11"/>
    </row>
    <row r="1299" spans="26:26" hidden="1">
      <c r="Z1299" s="11"/>
    </row>
    <row r="1300" spans="26:26" hidden="1">
      <c r="Z1300" s="11"/>
    </row>
    <row r="1301" spans="26:26" hidden="1">
      <c r="Z1301" s="11"/>
    </row>
    <row r="1302" spans="26:26" hidden="1">
      <c r="Z1302" s="11"/>
    </row>
    <row r="1303" spans="26:26" hidden="1">
      <c r="Z1303" s="11"/>
    </row>
    <row r="1304" spans="26:26" hidden="1">
      <c r="Z1304" s="11"/>
    </row>
    <row r="1305" spans="26:26" hidden="1">
      <c r="Z1305" s="11"/>
    </row>
    <row r="1306" spans="26:26" hidden="1">
      <c r="Z1306" s="11"/>
    </row>
    <row r="1307" spans="26:26" hidden="1">
      <c r="Z1307" s="11"/>
    </row>
    <row r="1308" spans="26:26" hidden="1">
      <c r="Z1308" s="11"/>
    </row>
    <row r="1309" spans="26:26" hidden="1">
      <c r="Z1309" s="11"/>
    </row>
    <row r="1310" spans="26:26" hidden="1">
      <c r="Z1310" s="11"/>
    </row>
    <row r="1311" spans="26:26" hidden="1">
      <c r="Z1311" s="11"/>
    </row>
    <row r="1312" spans="26:26" hidden="1">
      <c r="Z1312" s="11"/>
    </row>
    <row r="1313" spans="26:26" hidden="1">
      <c r="Z1313" s="11"/>
    </row>
    <row r="1314" spans="26:26" hidden="1">
      <c r="Z1314" s="11"/>
    </row>
    <row r="1315" spans="26:26" hidden="1">
      <c r="Z1315" s="11"/>
    </row>
    <row r="1316" spans="26:26" hidden="1">
      <c r="Z1316" s="11"/>
    </row>
    <row r="1317" spans="26:26" hidden="1">
      <c r="Z1317" s="11"/>
    </row>
    <row r="1318" spans="26:26" hidden="1">
      <c r="Z1318" s="11"/>
    </row>
    <row r="1319" spans="26:26" hidden="1">
      <c r="Z1319" s="11"/>
    </row>
    <row r="1320" spans="26:26" hidden="1">
      <c r="Z1320" s="11"/>
    </row>
    <row r="1321" spans="26:26" hidden="1">
      <c r="Z1321" s="11"/>
    </row>
    <row r="1322" spans="26:26" hidden="1">
      <c r="Z1322" s="11"/>
    </row>
    <row r="1323" spans="26:26" hidden="1">
      <c r="Z1323" s="11"/>
    </row>
    <row r="1324" spans="26:26" hidden="1">
      <c r="Z1324" s="11"/>
    </row>
    <row r="1325" spans="26:26" hidden="1">
      <c r="Z1325" s="11"/>
    </row>
    <row r="1326" spans="26:26" hidden="1">
      <c r="Z1326" s="11"/>
    </row>
    <row r="1327" spans="26:26" hidden="1">
      <c r="Z1327" s="11"/>
    </row>
    <row r="1328" spans="26:26" hidden="1">
      <c r="Z1328" s="11"/>
    </row>
    <row r="1329" spans="26:26" hidden="1">
      <c r="Z1329" s="11"/>
    </row>
    <row r="1330" spans="26:26" hidden="1">
      <c r="Z1330" s="11"/>
    </row>
    <row r="1331" spans="26:26" hidden="1">
      <c r="Z1331" s="11"/>
    </row>
    <row r="1332" spans="26:26" hidden="1">
      <c r="Z1332" s="11"/>
    </row>
    <row r="1333" spans="26:26" hidden="1">
      <c r="Z1333" s="11"/>
    </row>
    <row r="1334" spans="26:26" hidden="1">
      <c r="Z1334" s="11"/>
    </row>
    <row r="1335" spans="26:26" hidden="1">
      <c r="Z1335" s="11"/>
    </row>
    <row r="1336" spans="26:26" hidden="1">
      <c r="Z1336" s="11"/>
    </row>
    <row r="1337" spans="26:26" hidden="1">
      <c r="Z1337" s="11"/>
    </row>
    <row r="1338" spans="26:26" hidden="1">
      <c r="Z1338" s="11"/>
    </row>
    <row r="1339" spans="26:26" hidden="1">
      <c r="Z1339" s="11"/>
    </row>
    <row r="1340" spans="26:26" hidden="1">
      <c r="Z1340" s="11"/>
    </row>
    <row r="1341" spans="26:26" hidden="1">
      <c r="Z1341" s="11"/>
    </row>
    <row r="1342" spans="26:26" hidden="1">
      <c r="Z1342" s="11"/>
    </row>
    <row r="1343" spans="26:26" hidden="1">
      <c r="Z1343" s="11"/>
    </row>
    <row r="1344" spans="26:26" hidden="1">
      <c r="Z1344" s="11"/>
    </row>
    <row r="1345" spans="26:26" hidden="1">
      <c r="Z1345" s="11"/>
    </row>
    <row r="1346" spans="26:26" hidden="1">
      <c r="Z1346" s="11"/>
    </row>
    <row r="1347" spans="26:26" hidden="1">
      <c r="Z1347" s="11"/>
    </row>
    <row r="1348" spans="26:26" hidden="1">
      <c r="Z1348" s="11"/>
    </row>
    <row r="1349" spans="26:26" hidden="1">
      <c r="Z1349" s="11"/>
    </row>
    <row r="1350" spans="26:26" hidden="1">
      <c r="Z1350" s="11"/>
    </row>
    <row r="1351" spans="26:26" hidden="1">
      <c r="Z1351" s="11"/>
    </row>
    <row r="1352" spans="26:26" hidden="1">
      <c r="Z1352" s="11"/>
    </row>
    <row r="1353" spans="26:26" hidden="1">
      <c r="Z1353" s="11"/>
    </row>
    <row r="1354" spans="26:26" hidden="1">
      <c r="Z1354" s="11"/>
    </row>
    <row r="1355" spans="26:26" hidden="1">
      <c r="Z1355" s="11"/>
    </row>
    <row r="1356" spans="26:26" hidden="1">
      <c r="Z1356" s="11"/>
    </row>
    <row r="1357" spans="26:26" hidden="1">
      <c r="Z1357" s="11"/>
    </row>
    <row r="1358" spans="26:26" hidden="1">
      <c r="Z1358" s="11"/>
    </row>
    <row r="1359" spans="26:26" hidden="1">
      <c r="Z1359" s="11"/>
    </row>
    <row r="1360" spans="26:26" hidden="1">
      <c r="Z1360" s="11"/>
    </row>
    <row r="1361" spans="26:26" hidden="1">
      <c r="Z1361" s="11"/>
    </row>
    <row r="1362" spans="26:26" hidden="1">
      <c r="Z1362" s="11"/>
    </row>
    <row r="1363" spans="26:26" hidden="1">
      <c r="Z1363" s="11"/>
    </row>
    <row r="1364" spans="26:26" hidden="1">
      <c r="Z1364" s="11"/>
    </row>
    <row r="1365" spans="26:26" hidden="1">
      <c r="Z1365" s="11"/>
    </row>
    <row r="1366" spans="26:26" hidden="1">
      <c r="Z1366" s="11"/>
    </row>
    <row r="1367" spans="26:26" hidden="1">
      <c r="Z1367" s="11"/>
    </row>
    <row r="1368" spans="26:26" hidden="1">
      <c r="Z1368" s="11"/>
    </row>
    <row r="1369" spans="26:26" hidden="1">
      <c r="Z1369" s="11"/>
    </row>
    <row r="1370" spans="26:26" hidden="1">
      <c r="Z1370" s="11"/>
    </row>
    <row r="1371" spans="26:26" hidden="1">
      <c r="Z1371" s="11"/>
    </row>
    <row r="1372" spans="26:26" hidden="1">
      <c r="Z1372" s="11"/>
    </row>
    <row r="1373" spans="26:26" hidden="1">
      <c r="Z1373" s="11"/>
    </row>
    <row r="1374" spans="26:26" hidden="1">
      <c r="Z1374" s="11"/>
    </row>
    <row r="1375" spans="26:26" hidden="1">
      <c r="Z1375" s="11"/>
    </row>
    <row r="1376" spans="26:26" hidden="1">
      <c r="Z1376" s="11"/>
    </row>
    <row r="1377" spans="26:26" hidden="1">
      <c r="Z1377" s="11"/>
    </row>
    <row r="1378" spans="26:26" hidden="1">
      <c r="Z1378" s="11"/>
    </row>
    <row r="1379" spans="26:26" hidden="1">
      <c r="Z1379" s="11"/>
    </row>
    <row r="1380" spans="26:26" hidden="1">
      <c r="Z1380" s="11"/>
    </row>
    <row r="1381" spans="26:26" hidden="1">
      <c r="Z1381" s="11"/>
    </row>
    <row r="1382" spans="26:26" hidden="1">
      <c r="Z1382" s="11"/>
    </row>
    <row r="1383" spans="26:26" hidden="1">
      <c r="Z1383" s="11"/>
    </row>
    <row r="1384" spans="26:26" hidden="1">
      <c r="Z1384" s="11"/>
    </row>
    <row r="1385" spans="26:26" hidden="1">
      <c r="Z1385" s="11"/>
    </row>
    <row r="1386" spans="26:26" hidden="1">
      <c r="Z1386" s="11"/>
    </row>
    <row r="1387" spans="26:26" hidden="1">
      <c r="Z1387" s="11"/>
    </row>
    <row r="1388" spans="26:26" hidden="1">
      <c r="Z1388" s="11"/>
    </row>
    <row r="1389" spans="26:26" hidden="1">
      <c r="Z1389" s="11"/>
    </row>
    <row r="1390" spans="26:26" hidden="1">
      <c r="Z1390" s="11"/>
    </row>
    <row r="1391" spans="26:26" hidden="1">
      <c r="Z1391" s="11"/>
    </row>
    <row r="1392" spans="26:26" hidden="1">
      <c r="Z1392" s="11"/>
    </row>
    <row r="1393" spans="26:26" hidden="1">
      <c r="Z1393" s="11"/>
    </row>
    <row r="1394" spans="26:26" hidden="1">
      <c r="Z1394" s="11"/>
    </row>
    <row r="1395" spans="26:26" hidden="1">
      <c r="Z1395" s="11"/>
    </row>
    <row r="1396" spans="26:26" hidden="1">
      <c r="Z1396" s="11"/>
    </row>
    <row r="1397" spans="26:26" hidden="1">
      <c r="Z1397" s="11"/>
    </row>
    <row r="1398" spans="26:26" hidden="1">
      <c r="Z1398" s="11"/>
    </row>
    <row r="1399" spans="26:26" hidden="1">
      <c r="Z1399" s="11"/>
    </row>
    <row r="1400" spans="26:26" hidden="1">
      <c r="Z1400" s="11"/>
    </row>
    <row r="1401" spans="26:26" hidden="1">
      <c r="Z1401" s="11"/>
    </row>
    <row r="1402" spans="26:26" hidden="1">
      <c r="Z1402" s="11"/>
    </row>
    <row r="1403" spans="26:26" hidden="1">
      <c r="Z1403" s="11"/>
    </row>
    <row r="1404" spans="26:26" hidden="1">
      <c r="Z1404" s="11"/>
    </row>
    <row r="1405" spans="26:26" hidden="1">
      <c r="Z1405" s="11"/>
    </row>
    <row r="1406" spans="26:26" hidden="1">
      <c r="Z1406" s="11"/>
    </row>
    <row r="1407" spans="26:26" hidden="1">
      <c r="Z1407" s="11"/>
    </row>
    <row r="1408" spans="26:26" hidden="1">
      <c r="Z1408" s="11"/>
    </row>
    <row r="1409" spans="26:26" hidden="1">
      <c r="Z1409" s="11"/>
    </row>
    <row r="1410" spans="26:26" hidden="1">
      <c r="Z1410" s="11"/>
    </row>
    <row r="1411" spans="26:26" hidden="1">
      <c r="Z1411" s="11"/>
    </row>
    <row r="1412" spans="26:26" hidden="1">
      <c r="Z1412" s="11"/>
    </row>
    <row r="1413" spans="26:26" hidden="1">
      <c r="Z1413" s="11"/>
    </row>
    <row r="1414" spans="26:26" hidden="1">
      <c r="Z1414" s="11"/>
    </row>
    <row r="1415" spans="26:26" hidden="1">
      <c r="Z1415" s="11"/>
    </row>
    <row r="1416" spans="26:26" hidden="1">
      <c r="Z1416" s="11"/>
    </row>
    <row r="1417" spans="26:26" hidden="1">
      <c r="Z1417" s="11"/>
    </row>
    <row r="1418" spans="26:26" hidden="1">
      <c r="Z1418" s="11"/>
    </row>
    <row r="1419" spans="26:26" hidden="1">
      <c r="Z1419" s="11"/>
    </row>
    <row r="1420" spans="26:26" hidden="1">
      <c r="Z1420" s="11"/>
    </row>
    <row r="1421" spans="26:26" hidden="1">
      <c r="Z1421" s="11"/>
    </row>
    <row r="1422" spans="26:26" hidden="1">
      <c r="Z1422" s="11"/>
    </row>
    <row r="1423" spans="26:26" hidden="1">
      <c r="Z1423" s="11"/>
    </row>
    <row r="1424" spans="26:26" hidden="1">
      <c r="Z1424" s="11"/>
    </row>
    <row r="1425" spans="26:26" hidden="1">
      <c r="Z1425" s="11"/>
    </row>
    <row r="1426" spans="26:26" hidden="1">
      <c r="Z1426" s="11"/>
    </row>
    <row r="1427" spans="26:26" hidden="1">
      <c r="Z1427" s="11"/>
    </row>
    <row r="1428" spans="26:26" hidden="1">
      <c r="Z1428" s="11"/>
    </row>
    <row r="1429" spans="26:26" hidden="1">
      <c r="Z1429" s="11"/>
    </row>
    <row r="1430" spans="26:26" hidden="1">
      <c r="Z1430" s="11"/>
    </row>
    <row r="1431" spans="26:26" hidden="1">
      <c r="Z1431" s="11"/>
    </row>
    <row r="1432" spans="26:26" hidden="1">
      <c r="Z1432" s="11"/>
    </row>
    <row r="1433" spans="26:26" hidden="1">
      <c r="Z1433" s="11"/>
    </row>
    <row r="1434" spans="26:26" hidden="1">
      <c r="Z1434" s="11"/>
    </row>
    <row r="1435" spans="26:26" hidden="1">
      <c r="Z1435" s="11"/>
    </row>
    <row r="1436" spans="26:26" hidden="1">
      <c r="Z1436" s="11"/>
    </row>
    <row r="1437" spans="26:26" hidden="1">
      <c r="Z1437" s="11"/>
    </row>
    <row r="1438" spans="26:26" hidden="1">
      <c r="Z1438" s="11"/>
    </row>
    <row r="1439" spans="26:26" hidden="1">
      <c r="Z1439" s="11"/>
    </row>
    <row r="1440" spans="26:26" hidden="1">
      <c r="Z1440" s="11"/>
    </row>
    <row r="1441" spans="26:26" hidden="1">
      <c r="Z1441" s="11"/>
    </row>
    <row r="1442" spans="26:26" hidden="1">
      <c r="Z1442" s="11"/>
    </row>
    <row r="1443" spans="26:26" hidden="1">
      <c r="Z1443" s="11"/>
    </row>
    <row r="1444" spans="26:26" hidden="1">
      <c r="Z1444" s="11"/>
    </row>
    <row r="1445" spans="26:26" hidden="1">
      <c r="Z1445" s="11"/>
    </row>
    <row r="1446" spans="26:26" hidden="1">
      <c r="Z1446" s="11"/>
    </row>
    <row r="1447" spans="26:26" hidden="1">
      <c r="Z1447" s="11"/>
    </row>
    <row r="1448" spans="26:26" hidden="1">
      <c r="Z1448" s="11"/>
    </row>
    <row r="1449" spans="26:26" hidden="1">
      <c r="Z1449" s="11"/>
    </row>
    <row r="1450" spans="26:26" hidden="1">
      <c r="Z1450" s="11"/>
    </row>
    <row r="1451" spans="26:26" hidden="1">
      <c r="Z1451" s="11"/>
    </row>
    <row r="1452" spans="26:26" hidden="1">
      <c r="Z1452" s="11"/>
    </row>
    <row r="1453" spans="26:26" hidden="1">
      <c r="Z1453" s="11"/>
    </row>
    <row r="1454" spans="26:26" hidden="1">
      <c r="Z1454" s="11"/>
    </row>
    <row r="1455" spans="26:26" hidden="1">
      <c r="Z1455" s="11"/>
    </row>
    <row r="1456" spans="26:26" hidden="1">
      <c r="Z1456" s="11"/>
    </row>
    <row r="1457" spans="26:26" hidden="1">
      <c r="Z1457" s="11"/>
    </row>
    <row r="1458" spans="26:26" hidden="1">
      <c r="Z1458" s="11"/>
    </row>
    <row r="1459" spans="26:26" hidden="1">
      <c r="Z1459" s="11"/>
    </row>
    <row r="1460" spans="26:26" hidden="1">
      <c r="Z1460" s="11"/>
    </row>
    <row r="1461" spans="26:26" hidden="1">
      <c r="Z1461" s="11"/>
    </row>
    <row r="1462" spans="26:26" hidden="1">
      <c r="Z1462" s="11"/>
    </row>
    <row r="1463" spans="26:26" hidden="1">
      <c r="Z1463" s="11"/>
    </row>
    <row r="1464" spans="26:26" hidden="1">
      <c r="Z1464" s="11"/>
    </row>
    <row r="1465" spans="26:26" hidden="1">
      <c r="Z1465" s="11"/>
    </row>
    <row r="1466" spans="26:26" hidden="1">
      <c r="Z1466" s="11"/>
    </row>
    <row r="1467" spans="26:26" hidden="1">
      <c r="Z1467" s="11"/>
    </row>
    <row r="1468" spans="26:26" hidden="1">
      <c r="Z1468" s="11"/>
    </row>
    <row r="1469" spans="26:26" hidden="1">
      <c r="Z1469" s="11"/>
    </row>
    <row r="1470" spans="26:26" hidden="1">
      <c r="Z1470" s="11"/>
    </row>
    <row r="1471" spans="26:26" hidden="1">
      <c r="Z1471" s="11"/>
    </row>
    <row r="1472" spans="26:26" hidden="1">
      <c r="Z1472" s="11"/>
    </row>
    <row r="1473" spans="26:26" hidden="1">
      <c r="Z1473" s="11"/>
    </row>
    <row r="1474" spans="26:26" hidden="1">
      <c r="Z1474" s="11"/>
    </row>
    <row r="1475" spans="26:26" hidden="1">
      <c r="Z1475" s="11"/>
    </row>
    <row r="1476" spans="26:26" hidden="1">
      <c r="Z1476" s="11"/>
    </row>
    <row r="1477" spans="26:26" hidden="1">
      <c r="Z1477" s="11"/>
    </row>
    <row r="1478" spans="26:26" hidden="1">
      <c r="Z1478" s="11"/>
    </row>
    <row r="1479" spans="26:26" hidden="1">
      <c r="Z1479" s="11"/>
    </row>
    <row r="1480" spans="26:26" hidden="1">
      <c r="Z1480" s="11"/>
    </row>
    <row r="1481" spans="26:26" hidden="1">
      <c r="Z1481" s="11"/>
    </row>
    <row r="1482" spans="26:26" hidden="1">
      <c r="Z1482" s="11"/>
    </row>
    <row r="1483" spans="26:26" hidden="1">
      <c r="Z1483" s="11"/>
    </row>
    <row r="1484" spans="26:26" hidden="1">
      <c r="Z1484" s="11"/>
    </row>
    <row r="1485" spans="26:26" hidden="1">
      <c r="Z1485" s="11"/>
    </row>
    <row r="1486" spans="26:26" hidden="1">
      <c r="Z1486" s="11"/>
    </row>
    <row r="1487" spans="26:26" hidden="1">
      <c r="Z1487" s="11"/>
    </row>
    <row r="1488" spans="26:26" hidden="1">
      <c r="Z1488" s="11"/>
    </row>
    <row r="1489" spans="26:26" hidden="1">
      <c r="Z1489" s="11"/>
    </row>
    <row r="1490" spans="26:26" hidden="1">
      <c r="Z1490" s="11"/>
    </row>
    <row r="1491" spans="26:26" hidden="1">
      <c r="Z1491" s="11"/>
    </row>
    <row r="1492" spans="26:26" hidden="1">
      <c r="Z1492" s="11"/>
    </row>
    <row r="1493" spans="26:26" hidden="1">
      <c r="Z1493" s="11"/>
    </row>
    <row r="1494" spans="26:26" hidden="1">
      <c r="Z1494" s="11"/>
    </row>
    <row r="1495" spans="26:26" hidden="1">
      <c r="Z1495" s="11"/>
    </row>
    <row r="1496" spans="26:26" hidden="1">
      <c r="Z1496" s="11"/>
    </row>
    <row r="1497" spans="26:26" hidden="1">
      <c r="Z1497" s="11"/>
    </row>
    <row r="1498" spans="26:26" hidden="1">
      <c r="Z1498" s="11"/>
    </row>
    <row r="1499" spans="26:26" hidden="1">
      <c r="Z1499" s="11"/>
    </row>
    <row r="1500" spans="26:26" hidden="1">
      <c r="Z1500" s="11"/>
    </row>
    <row r="1501" spans="26:26" hidden="1">
      <c r="Z1501" s="11"/>
    </row>
    <row r="1502" spans="26:26" hidden="1">
      <c r="Z1502" s="11"/>
    </row>
    <row r="1503" spans="26:26" hidden="1">
      <c r="Z1503" s="11"/>
    </row>
    <row r="1504" spans="26:26" hidden="1">
      <c r="Z1504" s="11"/>
    </row>
    <row r="1505" spans="26:26" hidden="1">
      <c r="Z1505" s="11"/>
    </row>
    <row r="1506" spans="26:26" hidden="1">
      <c r="Z1506" s="11"/>
    </row>
    <row r="1507" spans="26:26" hidden="1">
      <c r="Z1507" s="11"/>
    </row>
    <row r="1508" spans="26:26" hidden="1">
      <c r="Z1508" s="11"/>
    </row>
    <row r="1509" spans="26:26" hidden="1">
      <c r="Z1509" s="11"/>
    </row>
    <row r="1510" spans="26:26" hidden="1">
      <c r="Z1510" s="11"/>
    </row>
    <row r="1511" spans="26:26" hidden="1">
      <c r="Z1511" s="11"/>
    </row>
    <row r="1512" spans="26:26" hidden="1">
      <c r="Z1512" s="11"/>
    </row>
    <row r="1513" spans="26:26" hidden="1">
      <c r="Z1513" s="11"/>
    </row>
    <row r="1514" spans="26:26" hidden="1">
      <c r="Z1514" s="11"/>
    </row>
    <row r="1515" spans="26:26" hidden="1">
      <c r="Z1515" s="11"/>
    </row>
    <row r="1516" spans="26:26" hidden="1">
      <c r="Z1516" s="11"/>
    </row>
    <row r="1517" spans="26:26" hidden="1">
      <c r="Z1517" s="11"/>
    </row>
    <row r="1518" spans="26:26" hidden="1">
      <c r="Z1518" s="11"/>
    </row>
    <row r="1519" spans="26:26" hidden="1">
      <c r="Z1519" s="11"/>
    </row>
    <row r="1520" spans="26:26" hidden="1">
      <c r="Z1520" s="11"/>
    </row>
    <row r="1521" spans="26:26" hidden="1">
      <c r="Z1521" s="11"/>
    </row>
    <row r="1522" spans="26:26" hidden="1">
      <c r="Z1522" s="11"/>
    </row>
    <row r="1523" spans="26:26" hidden="1">
      <c r="Z1523" s="11"/>
    </row>
    <row r="1524" spans="26:26" hidden="1">
      <c r="Z1524" s="11"/>
    </row>
    <row r="1525" spans="26:26" hidden="1">
      <c r="Z1525" s="11"/>
    </row>
    <row r="1526" spans="26:26" hidden="1">
      <c r="Z1526" s="11"/>
    </row>
    <row r="1527" spans="26:26" hidden="1">
      <c r="Z1527" s="11"/>
    </row>
    <row r="1528" spans="26:26" hidden="1">
      <c r="Z1528" s="11"/>
    </row>
    <row r="1529" spans="26:26" hidden="1">
      <c r="Z1529" s="11"/>
    </row>
    <row r="1530" spans="26:26" hidden="1">
      <c r="Z1530" s="11"/>
    </row>
    <row r="1531" spans="26:26" hidden="1">
      <c r="Z1531" s="11"/>
    </row>
    <row r="1532" spans="26:26" hidden="1">
      <c r="Z1532" s="11"/>
    </row>
    <row r="1533" spans="26:26" hidden="1">
      <c r="Z1533" s="11"/>
    </row>
    <row r="1534" spans="26:26" hidden="1">
      <c r="Z1534" s="11"/>
    </row>
    <row r="1535" spans="26:26" hidden="1">
      <c r="Z1535" s="11"/>
    </row>
    <row r="1536" spans="26:26" hidden="1">
      <c r="Z1536" s="11"/>
    </row>
    <row r="1537" spans="26:26" hidden="1">
      <c r="Z1537" s="11"/>
    </row>
    <row r="1538" spans="26:26" hidden="1">
      <c r="Z1538" s="11"/>
    </row>
    <row r="1539" spans="26:26" hidden="1">
      <c r="Z1539" s="11"/>
    </row>
    <row r="1540" spans="26:26" hidden="1">
      <c r="Z1540" s="11"/>
    </row>
    <row r="1541" spans="26:26" hidden="1">
      <c r="Z1541" s="11"/>
    </row>
    <row r="1542" spans="26:26" hidden="1">
      <c r="Z1542" s="11"/>
    </row>
    <row r="1543" spans="26:26" hidden="1">
      <c r="Z1543" s="11"/>
    </row>
    <row r="1544" spans="26:26" hidden="1">
      <c r="Z1544" s="11"/>
    </row>
    <row r="1545" spans="26:26" hidden="1">
      <c r="Z1545" s="11"/>
    </row>
    <row r="1546" spans="26:26" hidden="1">
      <c r="Z1546" s="11"/>
    </row>
    <row r="1547" spans="26:26" hidden="1">
      <c r="Z1547" s="11"/>
    </row>
    <row r="1548" spans="26:26" hidden="1">
      <c r="Z1548" s="11"/>
    </row>
    <row r="1549" spans="26:26" hidden="1">
      <c r="Z1549" s="11"/>
    </row>
    <row r="1550" spans="26:26" hidden="1">
      <c r="Z1550" s="11"/>
    </row>
    <row r="1551" spans="26:26" hidden="1">
      <c r="Z1551" s="11"/>
    </row>
    <row r="1552" spans="26:26" hidden="1">
      <c r="Z1552" s="11"/>
    </row>
    <row r="1553" spans="26:26" hidden="1">
      <c r="Z1553" s="11"/>
    </row>
    <row r="1554" spans="26:26" hidden="1">
      <c r="Z1554" s="11"/>
    </row>
    <row r="1555" spans="26:26" hidden="1">
      <c r="Z1555" s="11"/>
    </row>
    <row r="1556" spans="26:26" hidden="1">
      <c r="Z1556" s="11"/>
    </row>
    <row r="1557" spans="26:26" hidden="1">
      <c r="Z1557" s="11"/>
    </row>
    <row r="1558" spans="26:26" hidden="1">
      <c r="Z1558" s="11"/>
    </row>
    <row r="1559" spans="26:26" hidden="1">
      <c r="Z1559" s="11"/>
    </row>
    <row r="1560" spans="26:26" hidden="1">
      <c r="Z1560" s="11"/>
    </row>
    <row r="1561" spans="26:26" hidden="1">
      <c r="Z1561" s="11"/>
    </row>
    <row r="1562" spans="26:26" hidden="1">
      <c r="Z1562" s="11"/>
    </row>
    <row r="1563" spans="26:26" hidden="1">
      <c r="Z1563" s="11"/>
    </row>
    <row r="1564" spans="26:26" hidden="1">
      <c r="Z1564" s="11"/>
    </row>
    <row r="1565" spans="26:26" hidden="1">
      <c r="Z1565" s="11"/>
    </row>
    <row r="1566" spans="26:26" hidden="1">
      <c r="Z1566" s="11"/>
    </row>
    <row r="1567" spans="26:26" hidden="1">
      <c r="Z1567" s="11"/>
    </row>
    <row r="1568" spans="26:26" hidden="1">
      <c r="Z1568" s="11"/>
    </row>
    <row r="1569" spans="26:26" hidden="1">
      <c r="Z1569" s="11"/>
    </row>
    <row r="1570" spans="26:26" hidden="1">
      <c r="Z1570" s="11"/>
    </row>
    <row r="1571" spans="26:26" hidden="1">
      <c r="Z1571" s="11"/>
    </row>
    <row r="1572" spans="26:26" hidden="1">
      <c r="Z1572" s="11"/>
    </row>
    <row r="1573" spans="26:26" hidden="1">
      <c r="Z1573" s="11"/>
    </row>
    <row r="1574" spans="26:26" hidden="1">
      <c r="Z1574" s="11"/>
    </row>
    <row r="1575" spans="26:26" hidden="1">
      <c r="Z1575" s="11"/>
    </row>
    <row r="1576" spans="26:26" hidden="1">
      <c r="Z1576" s="11"/>
    </row>
    <row r="1577" spans="26:26" hidden="1">
      <c r="Z1577" s="11"/>
    </row>
    <row r="1578" spans="26:26" hidden="1">
      <c r="Z1578" s="11"/>
    </row>
    <row r="1579" spans="26:26" hidden="1">
      <c r="Z1579" s="11"/>
    </row>
    <row r="1580" spans="26:26" hidden="1">
      <c r="Z1580" s="11"/>
    </row>
    <row r="1581" spans="26:26" hidden="1">
      <c r="Z1581" s="11"/>
    </row>
    <row r="1582" spans="26:26" hidden="1">
      <c r="Z1582" s="11"/>
    </row>
    <row r="1583" spans="26:26" hidden="1">
      <c r="Z1583" s="11"/>
    </row>
    <row r="1584" spans="26:26" hidden="1">
      <c r="Z1584" s="11"/>
    </row>
    <row r="1585" spans="26:26" hidden="1">
      <c r="Z1585" s="11"/>
    </row>
    <row r="1586" spans="26:26" hidden="1">
      <c r="Z1586" s="11"/>
    </row>
    <row r="1587" spans="26:26" hidden="1">
      <c r="Z1587" s="11"/>
    </row>
    <row r="1588" spans="26:26" hidden="1">
      <c r="Z1588" s="11"/>
    </row>
    <row r="1589" spans="26:26" hidden="1">
      <c r="Z1589" s="11"/>
    </row>
    <row r="1590" spans="26:26" hidden="1">
      <c r="Z1590" s="11"/>
    </row>
    <row r="1591" spans="26:26" hidden="1">
      <c r="Z1591" s="11"/>
    </row>
    <row r="1592" spans="26:26" hidden="1">
      <c r="Z1592" s="11"/>
    </row>
    <row r="1593" spans="26:26" hidden="1">
      <c r="Z1593" s="11"/>
    </row>
    <row r="1594" spans="26:26" hidden="1">
      <c r="Z1594" s="11"/>
    </row>
    <row r="1595" spans="26:26" hidden="1">
      <c r="Z1595" s="11"/>
    </row>
    <row r="1596" spans="26:26" hidden="1">
      <c r="Z1596" s="11"/>
    </row>
    <row r="1597" spans="26:26" hidden="1">
      <c r="Z1597" s="11"/>
    </row>
    <row r="1598" spans="26:26" hidden="1">
      <c r="Z1598" s="11"/>
    </row>
    <row r="1599" spans="26:26" hidden="1">
      <c r="Z1599" s="11"/>
    </row>
    <row r="1600" spans="26:26" hidden="1">
      <c r="Z1600" s="11"/>
    </row>
    <row r="1601" spans="26:26" hidden="1">
      <c r="Z1601" s="11"/>
    </row>
    <row r="1602" spans="26:26" hidden="1">
      <c r="Z1602" s="11"/>
    </row>
    <row r="1603" spans="26:26" hidden="1">
      <c r="Z1603" s="11"/>
    </row>
    <row r="1604" spans="26:26" hidden="1">
      <c r="Z1604" s="11"/>
    </row>
    <row r="1605" spans="26:26" hidden="1">
      <c r="Z1605" s="11"/>
    </row>
    <row r="1606" spans="26:26" hidden="1">
      <c r="Z1606" s="11"/>
    </row>
    <row r="1607" spans="26:26" hidden="1">
      <c r="Z1607" s="11"/>
    </row>
    <row r="1608" spans="26:26" hidden="1">
      <c r="Z1608" s="11"/>
    </row>
    <row r="1609" spans="26:26" hidden="1">
      <c r="Z1609" s="11"/>
    </row>
    <row r="1610" spans="26:26" hidden="1">
      <c r="Z1610" s="11"/>
    </row>
    <row r="1611" spans="26:26" hidden="1">
      <c r="Z1611" s="11"/>
    </row>
    <row r="1612" spans="26:26" hidden="1">
      <c r="Z1612" s="11"/>
    </row>
    <row r="1613" spans="26:26" hidden="1">
      <c r="Z1613" s="11"/>
    </row>
    <row r="1614" spans="26:26" hidden="1">
      <c r="Z1614" s="11"/>
    </row>
    <row r="1615" spans="26:26" hidden="1">
      <c r="Z1615" s="11"/>
    </row>
    <row r="1616" spans="26:26" hidden="1">
      <c r="Z1616" s="11"/>
    </row>
    <row r="1617" spans="26:26" hidden="1">
      <c r="Z1617" s="11"/>
    </row>
    <row r="1618" spans="26:26" hidden="1">
      <c r="Z1618" s="11"/>
    </row>
    <row r="1619" spans="26:26" hidden="1">
      <c r="Z1619" s="11"/>
    </row>
    <row r="1620" spans="26:26" hidden="1">
      <c r="Z1620" s="11"/>
    </row>
    <row r="1621" spans="26:26" hidden="1">
      <c r="Z1621" s="11"/>
    </row>
    <row r="1622" spans="26:26" hidden="1">
      <c r="Z1622" s="11"/>
    </row>
    <row r="1623" spans="26:26" hidden="1">
      <c r="Z1623" s="11"/>
    </row>
    <row r="1624" spans="26:26" hidden="1">
      <c r="Z1624" s="11"/>
    </row>
    <row r="1625" spans="26:26" hidden="1">
      <c r="Z1625" s="11"/>
    </row>
    <row r="1626" spans="26:26" hidden="1">
      <c r="Z1626" s="11"/>
    </row>
    <row r="1627" spans="26:26" hidden="1">
      <c r="Z1627" s="11"/>
    </row>
    <row r="1628" spans="26:26" hidden="1">
      <c r="Z1628" s="11"/>
    </row>
    <row r="1629" spans="26:26" hidden="1">
      <c r="Z1629" s="11"/>
    </row>
    <row r="1630" spans="26:26" hidden="1">
      <c r="Z1630" s="11"/>
    </row>
    <row r="1631" spans="26:26" hidden="1">
      <c r="Z1631" s="11"/>
    </row>
    <row r="1632" spans="26:26" hidden="1">
      <c r="Z1632" s="11"/>
    </row>
    <row r="1633" spans="26:26" hidden="1">
      <c r="Z1633" s="11"/>
    </row>
    <row r="1634" spans="26:26" hidden="1">
      <c r="Z1634" s="11"/>
    </row>
    <row r="1635" spans="26:26" hidden="1">
      <c r="Z1635" s="11"/>
    </row>
    <row r="1636" spans="26:26" hidden="1">
      <c r="Z1636" s="11"/>
    </row>
    <row r="1637" spans="26:26" hidden="1">
      <c r="Z1637" s="11"/>
    </row>
    <row r="1638" spans="26:26" hidden="1">
      <c r="Z1638" s="11"/>
    </row>
    <row r="1639" spans="26:26" hidden="1">
      <c r="Z1639" s="11"/>
    </row>
    <row r="1640" spans="26:26" hidden="1">
      <c r="Z1640" s="11"/>
    </row>
    <row r="1641" spans="26:26" hidden="1">
      <c r="Z1641" s="11"/>
    </row>
    <row r="1642" spans="26:26" hidden="1">
      <c r="Z1642" s="11"/>
    </row>
    <row r="1643" spans="26:26" hidden="1">
      <c r="Z1643" s="11"/>
    </row>
    <row r="1644" spans="26:26" hidden="1">
      <c r="Z1644" s="11"/>
    </row>
    <row r="1645" spans="26:26" hidden="1">
      <c r="Z1645" s="11"/>
    </row>
    <row r="1646" spans="26:26" hidden="1">
      <c r="Z1646" s="11"/>
    </row>
    <row r="1647" spans="26:26" hidden="1">
      <c r="Z1647" s="11"/>
    </row>
    <row r="1648" spans="26:26" hidden="1">
      <c r="Z1648" s="11"/>
    </row>
    <row r="1649" spans="26:26" hidden="1">
      <c r="Z1649" s="11"/>
    </row>
    <row r="1650" spans="26:26" hidden="1">
      <c r="Z1650" s="11"/>
    </row>
    <row r="1651" spans="26:26" hidden="1">
      <c r="Z1651" s="11"/>
    </row>
    <row r="1652" spans="26:26" hidden="1">
      <c r="Z1652" s="11"/>
    </row>
    <row r="1653" spans="26:26" hidden="1">
      <c r="Z1653" s="11"/>
    </row>
    <row r="1654" spans="26:26" hidden="1">
      <c r="Z1654" s="11"/>
    </row>
    <row r="1655" spans="26:26" hidden="1">
      <c r="Z1655" s="11"/>
    </row>
    <row r="1656" spans="26:26" hidden="1">
      <c r="Z1656" s="11"/>
    </row>
    <row r="1657" spans="26:26" hidden="1">
      <c r="Z1657" s="11"/>
    </row>
    <row r="1658" spans="26:26" hidden="1">
      <c r="Z1658" s="11"/>
    </row>
    <row r="1659" spans="26:26" hidden="1">
      <c r="Z1659" s="11"/>
    </row>
    <row r="1660" spans="26:26" hidden="1">
      <c r="Z1660" s="11"/>
    </row>
    <row r="1661" spans="26:26" hidden="1">
      <c r="Z1661" s="11"/>
    </row>
    <row r="1662" spans="26:26" hidden="1">
      <c r="Z1662" s="11"/>
    </row>
    <row r="1663" spans="26:26" hidden="1">
      <c r="Z1663" s="11"/>
    </row>
    <row r="1664" spans="26:26" hidden="1">
      <c r="Z1664" s="11"/>
    </row>
    <row r="1665" spans="26:26" hidden="1">
      <c r="Z1665" s="11"/>
    </row>
    <row r="1666" spans="26:26" hidden="1">
      <c r="Z1666" s="11"/>
    </row>
    <row r="1667" spans="26:26" hidden="1">
      <c r="Z1667" s="11"/>
    </row>
    <row r="1668" spans="26:26" hidden="1">
      <c r="Z1668" s="11"/>
    </row>
    <row r="1669" spans="26:26" hidden="1">
      <c r="Z1669" s="11"/>
    </row>
    <row r="1670" spans="26:26" hidden="1">
      <c r="Z1670" s="11"/>
    </row>
    <row r="1671" spans="26:26" hidden="1">
      <c r="Z1671" s="11"/>
    </row>
    <row r="1672" spans="26:26" hidden="1">
      <c r="Z1672" s="11"/>
    </row>
    <row r="1673" spans="26:26" hidden="1">
      <c r="Z1673" s="11"/>
    </row>
    <row r="1674" spans="26:26" hidden="1">
      <c r="Z1674" s="11"/>
    </row>
    <row r="1675" spans="26:26" hidden="1">
      <c r="Z1675" s="11"/>
    </row>
    <row r="1676" spans="26:26" hidden="1">
      <c r="Z1676" s="11"/>
    </row>
    <row r="1677" spans="26:26" hidden="1">
      <c r="Z1677" s="11"/>
    </row>
    <row r="1678" spans="26:26" hidden="1">
      <c r="Z1678" s="11"/>
    </row>
    <row r="1679" spans="26:26" hidden="1">
      <c r="Z1679" s="11"/>
    </row>
    <row r="1680" spans="26:26" hidden="1">
      <c r="Z1680" s="11"/>
    </row>
    <row r="1681" spans="26:26" hidden="1">
      <c r="Z1681" s="11"/>
    </row>
    <row r="1682" spans="26:26" hidden="1">
      <c r="Z1682" s="11"/>
    </row>
    <row r="1683" spans="26:26" hidden="1">
      <c r="Z1683" s="11"/>
    </row>
    <row r="1684" spans="26:26" hidden="1">
      <c r="Z1684" s="11"/>
    </row>
    <row r="1685" spans="26:26" hidden="1">
      <c r="Z1685" s="11"/>
    </row>
    <row r="1686" spans="26:26" hidden="1">
      <c r="Z1686" s="11"/>
    </row>
    <row r="1687" spans="26:26" hidden="1">
      <c r="Z1687" s="11"/>
    </row>
    <row r="1688" spans="26:26" hidden="1">
      <c r="Z1688" s="11"/>
    </row>
    <row r="1689" spans="26:26" hidden="1">
      <c r="Z1689" s="11"/>
    </row>
    <row r="1690" spans="26:26" hidden="1">
      <c r="Z1690" s="11"/>
    </row>
    <row r="1691" spans="26:26" hidden="1">
      <c r="Z1691" s="11"/>
    </row>
    <row r="1692" spans="26:26" hidden="1">
      <c r="Z1692" s="11"/>
    </row>
    <row r="1693" spans="26:26" hidden="1">
      <c r="Z1693" s="11"/>
    </row>
    <row r="1694" spans="26:26" hidden="1">
      <c r="Z1694" s="11"/>
    </row>
    <row r="1695" spans="26:26" hidden="1">
      <c r="Z1695" s="11"/>
    </row>
    <row r="1696" spans="26:26" hidden="1">
      <c r="Z1696" s="11"/>
    </row>
    <row r="1697" spans="26:26" hidden="1">
      <c r="Z1697" s="11"/>
    </row>
    <row r="1698" spans="26:26" hidden="1">
      <c r="Z1698" s="11"/>
    </row>
    <row r="1699" spans="26:26" hidden="1">
      <c r="Z1699" s="11"/>
    </row>
    <row r="1700" spans="26:26" hidden="1">
      <c r="Z1700" s="11"/>
    </row>
    <row r="1701" spans="26:26" hidden="1">
      <c r="Z1701" s="11"/>
    </row>
    <row r="1702" spans="26:26" hidden="1">
      <c r="Z1702" s="11"/>
    </row>
    <row r="1703" spans="26:26" hidden="1">
      <c r="Z1703" s="11"/>
    </row>
    <row r="1704" spans="26:26" hidden="1">
      <c r="Z1704" s="11"/>
    </row>
    <row r="1705" spans="26:26" hidden="1">
      <c r="Z1705" s="11"/>
    </row>
    <row r="1706" spans="26:26" hidden="1">
      <c r="Z1706" s="11"/>
    </row>
    <row r="1707" spans="26:26" hidden="1">
      <c r="Z1707" s="11"/>
    </row>
    <row r="1708" spans="26:26" hidden="1">
      <c r="Z1708" s="11"/>
    </row>
    <row r="1709" spans="26:26" hidden="1">
      <c r="Z1709" s="11"/>
    </row>
    <row r="1710" spans="26:26" hidden="1">
      <c r="Z1710" s="11"/>
    </row>
    <row r="1711" spans="26:26" hidden="1">
      <c r="Z1711" s="11"/>
    </row>
    <row r="1712" spans="26:26" hidden="1">
      <c r="Z1712" s="11"/>
    </row>
    <row r="1713" spans="26:26" hidden="1">
      <c r="Z1713" s="11"/>
    </row>
    <row r="1714" spans="26:26" hidden="1">
      <c r="Z1714" s="11"/>
    </row>
    <row r="1715" spans="26:26" hidden="1">
      <c r="Z1715" s="11"/>
    </row>
    <row r="1716" spans="26:26" hidden="1">
      <c r="Z1716" s="11"/>
    </row>
    <row r="1717" spans="26:26" hidden="1">
      <c r="Z1717" s="11"/>
    </row>
    <row r="1718" spans="26:26" hidden="1">
      <c r="Z1718" s="11"/>
    </row>
    <row r="1719" spans="26:26" hidden="1">
      <c r="Z1719" s="11"/>
    </row>
    <row r="1720" spans="26:26" hidden="1">
      <c r="Z1720" s="11"/>
    </row>
    <row r="1721" spans="26:26" hidden="1">
      <c r="Z1721" s="11"/>
    </row>
    <row r="1722" spans="26:26" hidden="1">
      <c r="Z1722" s="11"/>
    </row>
    <row r="1723" spans="26:26" hidden="1">
      <c r="Z1723" s="11"/>
    </row>
    <row r="1724" spans="26:26" hidden="1">
      <c r="Z1724" s="11"/>
    </row>
    <row r="1725" spans="26:26" hidden="1">
      <c r="Z1725" s="11"/>
    </row>
    <row r="1726" spans="26:26" hidden="1">
      <c r="Z1726" s="11"/>
    </row>
    <row r="1727" spans="26:26" hidden="1">
      <c r="Z1727" s="11"/>
    </row>
    <row r="1728" spans="26:26" hidden="1">
      <c r="Z1728" s="11"/>
    </row>
    <row r="1729" spans="26:26" hidden="1">
      <c r="Z1729" s="11"/>
    </row>
    <row r="1730" spans="26:26" hidden="1">
      <c r="Z1730" s="11"/>
    </row>
    <row r="1731" spans="26:26" hidden="1">
      <c r="Z1731" s="11"/>
    </row>
    <row r="1732" spans="26:26" hidden="1">
      <c r="Z1732" s="11"/>
    </row>
    <row r="1733" spans="26:26" hidden="1">
      <c r="Z1733" s="11"/>
    </row>
    <row r="1734" spans="26:26" hidden="1">
      <c r="Z1734" s="11"/>
    </row>
    <row r="1735" spans="26:26" hidden="1">
      <c r="Z1735" s="11"/>
    </row>
    <row r="1736" spans="26:26" hidden="1">
      <c r="Z1736" s="11"/>
    </row>
    <row r="1737" spans="26:26" hidden="1">
      <c r="Z1737" s="11"/>
    </row>
    <row r="1738" spans="26:26" hidden="1">
      <c r="Z1738" s="11"/>
    </row>
    <row r="1739" spans="26:26" hidden="1">
      <c r="Z1739" s="11"/>
    </row>
    <row r="1740" spans="26:26" hidden="1">
      <c r="Z1740" s="11"/>
    </row>
    <row r="1741" spans="26:26" hidden="1">
      <c r="Z1741" s="11"/>
    </row>
    <row r="1742" spans="26:26" hidden="1">
      <c r="Z1742" s="11"/>
    </row>
    <row r="1743" spans="26:26" hidden="1">
      <c r="Z1743" s="11"/>
    </row>
    <row r="1744" spans="26:26" hidden="1">
      <c r="Z1744" s="11"/>
    </row>
    <row r="1745" spans="26:26" hidden="1">
      <c r="Z1745" s="11"/>
    </row>
    <row r="1746" spans="26:26" hidden="1">
      <c r="Z1746" s="11"/>
    </row>
    <row r="1747" spans="26:26" hidden="1">
      <c r="Z1747" s="11"/>
    </row>
    <row r="1748" spans="26:26" hidden="1">
      <c r="Z1748" s="11"/>
    </row>
    <row r="1749" spans="26:26" hidden="1">
      <c r="Z1749" s="11"/>
    </row>
    <row r="1750" spans="26:26" hidden="1">
      <c r="Z1750" s="11"/>
    </row>
    <row r="1751" spans="26:26" hidden="1">
      <c r="Z1751" s="11"/>
    </row>
    <row r="1752" spans="26:26" hidden="1">
      <c r="Z1752" s="11"/>
    </row>
    <row r="1753" spans="26:26" hidden="1">
      <c r="Z1753" s="11"/>
    </row>
    <row r="1754" spans="26:26" hidden="1">
      <c r="Z1754" s="11"/>
    </row>
    <row r="1755" spans="26:26" hidden="1">
      <c r="Z1755" s="11"/>
    </row>
    <row r="1756" spans="26:26" hidden="1">
      <c r="Z1756" s="11"/>
    </row>
    <row r="1757" spans="26:26" hidden="1">
      <c r="Z1757" s="11"/>
    </row>
    <row r="1758" spans="26:26" hidden="1">
      <c r="Z1758" s="11"/>
    </row>
    <row r="1759" spans="26:26" hidden="1">
      <c r="Z1759" s="11"/>
    </row>
    <row r="1760" spans="26:26" hidden="1">
      <c r="Z1760" s="11"/>
    </row>
    <row r="1761" spans="26:26" hidden="1">
      <c r="Z1761" s="11"/>
    </row>
    <row r="1762" spans="26:26" hidden="1">
      <c r="Z1762" s="11"/>
    </row>
    <row r="1763" spans="26:26" hidden="1">
      <c r="Z1763" s="11"/>
    </row>
    <row r="1764" spans="26:26" hidden="1">
      <c r="Z1764" s="11"/>
    </row>
    <row r="1765" spans="26:26" hidden="1">
      <c r="Z1765" s="11"/>
    </row>
    <row r="1766" spans="26:26" hidden="1">
      <c r="Z1766" s="11"/>
    </row>
    <row r="1767" spans="26:26" hidden="1">
      <c r="Z1767" s="11"/>
    </row>
    <row r="1768" spans="26:26" hidden="1">
      <c r="Z1768" s="11"/>
    </row>
    <row r="1769" spans="26:26" hidden="1">
      <c r="Z1769" s="11"/>
    </row>
    <row r="1770" spans="26:26" hidden="1">
      <c r="Z1770" s="11"/>
    </row>
    <row r="1771" spans="26:26" hidden="1">
      <c r="Z1771" s="11"/>
    </row>
    <row r="1772" spans="26:26" hidden="1">
      <c r="Z1772" s="11"/>
    </row>
    <row r="1773" spans="26:26" hidden="1">
      <c r="Z1773" s="11"/>
    </row>
    <row r="1774" spans="26:26" hidden="1">
      <c r="Z1774" s="11"/>
    </row>
    <row r="1775" spans="26:26" hidden="1">
      <c r="Z1775" s="11"/>
    </row>
    <row r="1776" spans="26:26" hidden="1">
      <c r="Z1776" s="11"/>
    </row>
    <row r="1777" spans="26:26" hidden="1">
      <c r="Z1777" s="11"/>
    </row>
    <row r="1778" spans="26:26" hidden="1">
      <c r="Z1778" s="11"/>
    </row>
    <row r="1779" spans="26:26" hidden="1">
      <c r="Z1779" s="11"/>
    </row>
    <row r="1780" spans="26:26" hidden="1">
      <c r="Z1780" s="11"/>
    </row>
    <row r="1781" spans="26:26" hidden="1">
      <c r="Z1781" s="11"/>
    </row>
    <row r="1782" spans="26:26" hidden="1">
      <c r="Z1782" s="11"/>
    </row>
    <row r="1783" spans="26:26" hidden="1">
      <c r="Z1783" s="11"/>
    </row>
    <row r="1784" spans="26:26" hidden="1">
      <c r="Z1784" s="11"/>
    </row>
    <row r="1785" spans="26:26" hidden="1">
      <c r="Z1785" s="11"/>
    </row>
    <row r="1786" spans="26:26" hidden="1">
      <c r="Z1786" s="11"/>
    </row>
    <row r="1787" spans="26:26" hidden="1">
      <c r="Z1787" s="11"/>
    </row>
    <row r="1788" spans="26:26" hidden="1">
      <c r="Z1788" s="11"/>
    </row>
    <row r="1789" spans="26:26" hidden="1">
      <c r="Z1789" s="11"/>
    </row>
    <row r="1790" spans="26:26" hidden="1">
      <c r="Z1790" s="11"/>
    </row>
    <row r="1791" spans="26:26" hidden="1">
      <c r="Z1791" s="11"/>
    </row>
    <row r="1792" spans="26:26" hidden="1">
      <c r="Z1792" s="11"/>
    </row>
    <row r="1793" spans="26:26" hidden="1">
      <c r="Z1793" s="11"/>
    </row>
    <row r="1794" spans="26:26" hidden="1">
      <c r="Z1794" s="11"/>
    </row>
    <row r="1795" spans="26:26" hidden="1">
      <c r="Z1795" s="11"/>
    </row>
    <row r="1796" spans="26:26" hidden="1">
      <c r="Z1796" s="11"/>
    </row>
    <row r="1797" spans="26:26" hidden="1">
      <c r="Z1797" s="11"/>
    </row>
    <row r="1798" spans="26:26" hidden="1">
      <c r="Z1798" s="11"/>
    </row>
    <row r="1799" spans="26:26" hidden="1">
      <c r="Z1799" s="11"/>
    </row>
    <row r="1800" spans="26:26" hidden="1">
      <c r="Z1800" s="11"/>
    </row>
    <row r="1801" spans="26:26" hidden="1">
      <c r="Z1801" s="11"/>
    </row>
    <row r="1802" spans="26:26" hidden="1">
      <c r="Z1802" s="11"/>
    </row>
    <row r="1803" spans="26:26" hidden="1">
      <c r="Z1803" s="11"/>
    </row>
    <row r="1804" spans="26:26" hidden="1">
      <c r="Z1804" s="11"/>
    </row>
    <row r="1805" spans="26:26" hidden="1">
      <c r="Z1805" s="11"/>
    </row>
    <row r="1806" spans="26:26" hidden="1">
      <c r="Z1806" s="11"/>
    </row>
    <row r="1807" spans="26:26" hidden="1">
      <c r="Z1807" s="11"/>
    </row>
    <row r="1808" spans="26:26" hidden="1">
      <c r="Z1808" s="11"/>
    </row>
    <row r="1809" spans="26:26" hidden="1">
      <c r="Z1809" s="11"/>
    </row>
    <row r="1810" spans="26:26" hidden="1">
      <c r="Z1810" s="11"/>
    </row>
    <row r="1811" spans="26:26" hidden="1">
      <c r="Z1811" s="11"/>
    </row>
    <row r="1812" spans="26:26" hidden="1">
      <c r="Z1812" s="11"/>
    </row>
    <row r="1813" spans="26:26" hidden="1">
      <c r="Z1813" s="11"/>
    </row>
    <row r="1814" spans="26:26" hidden="1">
      <c r="Z1814" s="11"/>
    </row>
    <row r="1815" spans="26:26" hidden="1">
      <c r="Z1815" s="11"/>
    </row>
    <row r="1816" spans="26:26" hidden="1">
      <c r="Z1816" s="11"/>
    </row>
    <row r="1817" spans="26:26" hidden="1">
      <c r="Z1817" s="11"/>
    </row>
    <row r="1818" spans="26:26" hidden="1">
      <c r="Z1818" s="11"/>
    </row>
    <row r="1819" spans="26:26" hidden="1">
      <c r="Z1819" s="11"/>
    </row>
    <row r="1820" spans="26:26" hidden="1">
      <c r="Z1820" s="11"/>
    </row>
    <row r="1821" spans="26:26" hidden="1">
      <c r="Z1821" s="11"/>
    </row>
    <row r="1822" spans="26:26" hidden="1">
      <c r="Z1822" s="11"/>
    </row>
    <row r="1823" spans="26:26" hidden="1">
      <c r="Z1823" s="11"/>
    </row>
    <row r="1824" spans="26:26" hidden="1">
      <c r="Z1824" s="11"/>
    </row>
    <row r="1825" spans="26:26" hidden="1">
      <c r="Z1825" s="11"/>
    </row>
    <row r="1826" spans="26:26" hidden="1">
      <c r="Z1826" s="11"/>
    </row>
    <row r="1827" spans="26:26" hidden="1">
      <c r="Z1827" s="11"/>
    </row>
    <row r="1828" spans="26:26" hidden="1">
      <c r="Z1828" s="11"/>
    </row>
    <row r="1829" spans="26:26" hidden="1">
      <c r="Z1829" s="11"/>
    </row>
    <row r="1830" spans="26:26" hidden="1">
      <c r="Z1830" s="11"/>
    </row>
    <row r="1831" spans="26:26" hidden="1">
      <c r="Z1831" s="11"/>
    </row>
    <row r="1832" spans="26:26" hidden="1">
      <c r="Z1832" s="11"/>
    </row>
    <row r="1833" spans="26:26" hidden="1">
      <c r="Z1833" s="11"/>
    </row>
    <row r="1834" spans="26:26" hidden="1">
      <c r="Z1834" s="11"/>
    </row>
    <row r="1835" spans="26:26" hidden="1">
      <c r="Z1835" s="11"/>
    </row>
    <row r="1836" spans="26:26" hidden="1">
      <c r="Z1836" s="11"/>
    </row>
    <row r="1837" spans="26:26" hidden="1">
      <c r="Z1837" s="11"/>
    </row>
    <row r="1838" spans="26:26" hidden="1">
      <c r="Z1838" s="11"/>
    </row>
    <row r="1839" spans="26:26" hidden="1">
      <c r="Z1839" s="11"/>
    </row>
    <row r="1840" spans="26:26" hidden="1">
      <c r="Z1840" s="11"/>
    </row>
    <row r="1841" spans="26:26" hidden="1">
      <c r="Z1841" s="11"/>
    </row>
    <row r="1842" spans="26:26" hidden="1">
      <c r="Z1842" s="11"/>
    </row>
    <row r="1843" spans="26:26" hidden="1">
      <c r="Z1843" s="11"/>
    </row>
    <row r="1844" spans="26:26" hidden="1">
      <c r="Z1844" s="11"/>
    </row>
    <row r="1845" spans="26:26" hidden="1">
      <c r="Z1845" s="11"/>
    </row>
    <row r="1846" spans="26:26" hidden="1">
      <c r="Z1846" s="11"/>
    </row>
    <row r="1847" spans="26:26" hidden="1">
      <c r="Z1847" s="11"/>
    </row>
    <row r="1848" spans="26:26" hidden="1">
      <c r="Z1848" s="11"/>
    </row>
    <row r="1849" spans="26:26" hidden="1">
      <c r="Z1849" s="11"/>
    </row>
    <row r="1850" spans="26:26" hidden="1">
      <c r="Z1850" s="11"/>
    </row>
    <row r="1851" spans="26:26" hidden="1">
      <c r="Z1851" s="11"/>
    </row>
    <row r="1852" spans="26:26" hidden="1">
      <c r="Z1852" s="11"/>
    </row>
    <row r="1853" spans="26:26" hidden="1">
      <c r="Z1853" s="11"/>
    </row>
    <row r="1854" spans="26:26" hidden="1">
      <c r="Z1854" s="11"/>
    </row>
    <row r="1855" spans="26:26" hidden="1">
      <c r="Z1855" s="11"/>
    </row>
    <row r="1856" spans="26:26" hidden="1">
      <c r="Z1856" s="11"/>
    </row>
    <row r="1857" spans="26:26" hidden="1">
      <c r="Z1857" s="11"/>
    </row>
    <row r="1858" spans="26:26" hidden="1">
      <c r="Z1858" s="11"/>
    </row>
    <row r="1859" spans="26:26" hidden="1">
      <c r="Z1859" s="11"/>
    </row>
    <row r="1860" spans="26:26" hidden="1">
      <c r="Z1860" s="11"/>
    </row>
    <row r="1861" spans="26:26" hidden="1">
      <c r="Z1861" s="11"/>
    </row>
    <row r="1862" spans="26:26" hidden="1">
      <c r="Z1862" s="11"/>
    </row>
    <row r="1863" spans="26:26" hidden="1">
      <c r="Z1863" s="11"/>
    </row>
    <row r="1864" spans="26:26" hidden="1">
      <c r="Z1864" s="11"/>
    </row>
    <row r="1865" spans="26:26" hidden="1">
      <c r="Z1865" s="11"/>
    </row>
    <row r="1866" spans="26:26" hidden="1">
      <c r="Z1866" s="11"/>
    </row>
    <row r="1867" spans="26:26" hidden="1">
      <c r="Z1867" s="11"/>
    </row>
    <row r="1868" spans="26:26" hidden="1">
      <c r="Z1868" s="11"/>
    </row>
    <row r="1869" spans="26:26" hidden="1">
      <c r="Z1869" s="11"/>
    </row>
    <row r="1870" spans="26:26" hidden="1">
      <c r="Z1870" s="11"/>
    </row>
    <row r="1871" spans="26:26" hidden="1">
      <c r="Z1871" s="11"/>
    </row>
    <row r="1872" spans="26:26" hidden="1">
      <c r="Z1872" s="11"/>
    </row>
    <row r="1873" spans="26:26" hidden="1">
      <c r="Z1873" s="11"/>
    </row>
    <row r="1874" spans="26:26" hidden="1">
      <c r="Z1874" s="11"/>
    </row>
    <row r="1875" spans="26:26" hidden="1">
      <c r="Z1875" s="11"/>
    </row>
    <row r="1876" spans="26:26" hidden="1">
      <c r="Z1876" s="11"/>
    </row>
    <row r="1877" spans="26:26" hidden="1">
      <c r="Z1877" s="11"/>
    </row>
    <row r="1878" spans="26:26" hidden="1">
      <c r="Z1878" s="11"/>
    </row>
    <row r="1879" spans="26:26" hidden="1">
      <c r="Z1879" s="11"/>
    </row>
    <row r="1880" spans="26:26" hidden="1">
      <c r="Z1880" s="11"/>
    </row>
    <row r="1881" spans="26:26" hidden="1">
      <c r="Z1881" s="11"/>
    </row>
    <row r="1882" spans="26:26" hidden="1">
      <c r="Z1882" s="11"/>
    </row>
    <row r="1883" spans="26:26" hidden="1">
      <c r="Z1883" s="11"/>
    </row>
    <row r="1884" spans="26:26" hidden="1">
      <c r="Z1884" s="11"/>
    </row>
    <row r="1885" spans="26:26" hidden="1">
      <c r="Z1885" s="11"/>
    </row>
    <row r="1886" spans="26:26" hidden="1">
      <c r="Z1886" s="11"/>
    </row>
    <row r="1887" spans="26:26" hidden="1">
      <c r="Z1887" s="11"/>
    </row>
    <row r="1888" spans="26:26" hidden="1">
      <c r="Z1888" s="11"/>
    </row>
    <row r="1889" spans="26:26" hidden="1">
      <c r="Z1889" s="11"/>
    </row>
    <row r="1890" spans="26:26" hidden="1">
      <c r="Z1890" s="11"/>
    </row>
    <row r="1891" spans="26:26" hidden="1">
      <c r="Z1891" s="11"/>
    </row>
    <row r="1892" spans="26:26" hidden="1">
      <c r="Z1892" s="11"/>
    </row>
    <row r="1893" spans="26:26" hidden="1">
      <c r="Z1893" s="11"/>
    </row>
    <row r="1894" spans="26:26" hidden="1">
      <c r="Z1894" s="11"/>
    </row>
    <row r="1895" spans="26:26" hidden="1">
      <c r="Z1895" s="11"/>
    </row>
    <row r="1896" spans="26:26" hidden="1">
      <c r="Z1896" s="11"/>
    </row>
    <row r="1897" spans="26:26" hidden="1">
      <c r="Z1897" s="11"/>
    </row>
    <row r="1898" spans="26:26" hidden="1">
      <c r="Z1898" s="11"/>
    </row>
    <row r="1899" spans="26:26" hidden="1">
      <c r="Z1899" s="11"/>
    </row>
    <row r="1900" spans="26:26" hidden="1">
      <c r="Z1900" s="11"/>
    </row>
    <row r="1901" spans="26:26" hidden="1">
      <c r="Z1901" s="11"/>
    </row>
    <row r="1902" spans="26:26" hidden="1">
      <c r="Z1902" s="11"/>
    </row>
    <row r="1903" spans="26:26" hidden="1">
      <c r="Z1903" s="11"/>
    </row>
    <row r="1904" spans="26:26" hidden="1">
      <c r="Z1904" s="11"/>
    </row>
    <row r="1905" spans="26:26" hidden="1">
      <c r="Z1905" s="11"/>
    </row>
    <row r="1906" spans="26:26" hidden="1">
      <c r="Z1906" s="11"/>
    </row>
    <row r="1907" spans="26:26" hidden="1">
      <c r="Z1907" s="11"/>
    </row>
    <row r="1908" spans="26:26" hidden="1">
      <c r="Z1908" s="11"/>
    </row>
    <row r="1909" spans="26:26" hidden="1">
      <c r="Z1909" s="11"/>
    </row>
    <row r="1910" spans="26:26" hidden="1">
      <c r="Z1910" s="11"/>
    </row>
    <row r="1911" spans="26:26" hidden="1">
      <c r="Z1911" s="11"/>
    </row>
    <row r="1912" spans="26:26" hidden="1">
      <c r="Z1912" s="11"/>
    </row>
    <row r="1913" spans="26:26" hidden="1">
      <c r="Z1913" s="11"/>
    </row>
    <row r="1914" spans="26:26" hidden="1">
      <c r="Z1914" s="11"/>
    </row>
    <row r="1915" spans="26:26" hidden="1">
      <c r="Z1915" s="11"/>
    </row>
    <row r="1916" spans="26:26" hidden="1">
      <c r="Z1916" s="11"/>
    </row>
    <row r="1917" spans="26:26" hidden="1">
      <c r="Z1917" s="11"/>
    </row>
    <row r="1918" spans="26:26" hidden="1">
      <c r="Z1918" s="11"/>
    </row>
    <row r="1919" spans="26:26" hidden="1">
      <c r="Z1919" s="11"/>
    </row>
    <row r="1920" spans="26:26" hidden="1">
      <c r="Z1920" s="11"/>
    </row>
    <row r="1921" spans="26:26" hidden="1">
      <c r="Z1921" s="11"/>
    </row>
    <row r="1922" spans="26:26" hidden="1">
      <c r="Z1922" s="11"/>
    </row>
    <row r="1923" spans="26:26" hidden="1">
      <c r="Z1923" s="11"/>
    </row>
    <row r="1924" spans="26:26" hidden="1">
      <c r="Z1924" s="11"/>
    </row>
    <row r="1925" spans="26:26" hidden="1">
      <c r="Z1925" s="11"/>
    </row>
    <row r="1926" spans="26:26" hidden="1">
      <c r="Z1926" s="11"/>
    </row>
    <row r="1927" spans="26:26" hidden="1">
      <c r="Z1927" s="11"/>
    </row>
    <row r="1928" spans="26:26" hidden="1">
      <c r="Z1928" s="11"/>
    </row>
    <row r="1929" spans="26:26" hidden="1">
      <c r="Z1929" s="11"/>
    </row>
    <row r="1930" spans="26:26" hidden="1">
      <c r="Z1930" s="11"/>
    </row>
    <row r="1931" spans="26:26" hidden="1">
      <c r="Z1931" s="11"/>
    </row>
    <row r="1932" spans="26:26" hidden="1">
      <c r="Z1932" s="11"/>
    </row>
    <row r="1933" spans="26:26" hidden="1">
      <c r="Z1933" s="11"/>
    </row>
    <row r="1934" spans="26:26" hidden="1">
      <c r="Z1934" s="11"/>
    </row>
    <row r="1935" spans="26:26" hidden="1">
      <c r="Z1935" s="11"/>
    </row>
    <row r="1936" spans="26:26" hidden="1">
      <c r="Z1936" s="11"/>
    </row>
    <row r="1937" spans="26:26" hidden="1">
      <c r="Z1937" s="11"/>
    </row>
    <row r="1938" spans="26:26" hidden="1">
      <c r="Z1938" s="11"/>
    </row>
    <row r="1939" spans="26:26" hidden="1">
      <c r="Z1939" s="11"/>
    </row>
    <row r="1940" spans="26:26" hidden="1">
      <c r="Z1940" s="11"/>
    </row>
    <row r="1941" spans="26:26" hidden="1">
      <c r="Z1941" s="11"/>
    </row>
    <row r="1942" spans="26:26" hidden="1">
      <c r="Z1942" s="11"/>
    </row>
    <row r="1943" spans="26:26" hidden="1">
      <c r="Z1943" s="11"/>
    </row>
    <row r="1944" spans="26:26" hidden="1">
      <c r="Z1944" s="11"/>
    </row>
    <row r="1945" spans="26:26" hidden="1">
      <c r="Z1945" s="11"/>
    </row>
    <row r="1946" spans="26:26" hidden="1">
      <c r="Z1946" s="11"/>
    </row>
    <row r="1947" spans="26:26" hidden="1">
      <c r="Z1947" s="11"/>
    </row>
    <row r="1948" spans="26:26" hidden="1">
      <c r="Z1948" s="11"/>
    </row>
    <row r="1949" spans="26:26" hidden="1">
      <c r="Z1949" s="11"/>
    </row>
    <row r="1950" spans="26:26" hidden="1">
      <c r="Z1950" s="11"/>
    </row>
    <row r="1951" spans="26:26" hidden="1">
      <c r="Z1951" s="11"/>
    </row>
    <row r="1952" spans="26:26" hidden="1">
      <c r="Z1952" s="11"/>
    </row>
    <row r="1953" spans="26:26" hidden="1">
      <c r="Z1953" s="11"/>
    </row>
    <row r="1954" spans="26:26" hidden="1">
      <c r="Z1954" s="11"/>
    </row>
    <row r="1955" spans="26:26" hidden="1">
      <c r="Z1955" s="11"/>
    </row>
    <row r="1956" spans="26:26" hidden="1">
      <c r="Z1956" s="11"/>
    </row>
    <row r="1957" spans="26:26" hidden="1">
      <c r="Z1957" s="11"/>
    </row>
    <row r="1958" spans="26:26" hidden="1">
      <c r="Z1958" s="11"/>
    </row>
    <row r="1959" spans="26:26" hidden="1">
      <c r="Z1959" s="11"/>
    </row>
    <row r="1960" spans="26:26" hidden="1">
      <c r="Z1960" s="11"/>
    </row>
    <row r="1961" spans="26:26" hidden="1">
      <c r="Z1961" s="11"/>
    </row>
    <row r="1962" spans="26:26" hidden="1">
      <c r="Z1962" s="11"/>
    </row>
    <row r="1963" spans="26:26" hidden="1">
      <c r="Z1963" s="11"/>
    </row>
    <row r="1964" spans="26:26" hidden="1">
      <c r="Z1964" s="11"/>
    </row>
    <row r="1965" spans="26:26" hidden="1">
      <c r="Z1965" s="11"/>
    </row>
    <row r="1966" spans="26:26" hidden="1">
      <c r="Z1966" s="11"/>
    </row>
    <row r="1967" spans="26:26" hidden="1">
      <c r="Z1967" s="11"/>
    </row>
    <row r="1968" spans="26:26" hidden="1">
      <c r="Z1968" s="11"/>
    </row>
    <row r="1969" spans="26:26" hidden="1">
      <c r="Z1969" s="11"/>
    </row>
    <row r="1970" spans="26:26" hidden="1">
      <c r="Z1970" s="11"/>
    </row>
    <row r="1971" spans="26:26" hidden="1">
      <c r="Z1971" s="11"/>
    </row>
    <row r="1972" spans="26:26" hidden="1">
      <c r="Z1972" s="11"/>
    </row>
    <row r="1973" spans="26:26" hidden="1">
      <c r="Z1973" s="11"/>
    </row>
    <row r="1974" spans="26:26" hidden="1">
      <c r="Z1974" s="11"/>
    </row>
    <row r="1975" spans="26:26" hidden="1">
      <c r="Z1975" s="11"/>
    </row>
    <row r="1976" spans="26:26" hidden="1">
      <c r="Z1976" s="11"/>
    </row>
    <row r="1977" spans="26:26" hidden="1">
      <c r="Z1977" s="11"/>
    </row>
    <row r="1978" spans="26:26" hidden="1">
      <c r="Z1978" s="11"/>
    </row>
    <row r="1979" spans="26:26" hidden="1">
      <c r="Z1979" s="11"/>
    </row>
    <row r="1980" spans="26:26" hidden="1">
      <c r="Z1980" s="11"/>
    </row>
    <row r="1981" spans="26:26" hidden="1">
      <c r="Z1981" s="11"/>
    </row>
    <row r="1982" spans="26:26" hidden="1">
      <c r="Z1982" s="11"/>
    </row>
    <row r="1983" spans="26:26" hidden="1">
      <c r="Z1983" s="11"/>
    </row>
    <row r="1984" spans="26:26" hidden="1">
      <c r="Z1984" s="11"/>
    </row>
    <row r="1985" spans="26:26" hidden="1">
      <c r="Z1985" s="11"/>
    </row>
    <row r="1986" spans="26:26" hidden="1">
      <c r="Z1986" s="11"/>
    </row>
    <row r="1987" spans="26:26" hidden="1">
      <c r="Z1987" s="11"/>
    </row>
    <row r="1988" spans="26:26" hidden="1">
      <c r="Z1988" s="11"/>
    </row>
    <row r="1989" spans="26:26" hidden="1">
      <c r="Z1989" s="11"/>
    </row>
    <row r="1990" spans="26:26" hidden="1">
      <c r="Z1990" s="11"/>
    </row>
    <row r="1991" spans="26:26" hidden="1">
      <c r="Z1991" s="11"/>
    </row>
    <row r="1992" spans="26:26" hidden="1">
      <c r="Z1992" s="11"/>
    </row>
    <row r="1993" spans="26:26" hidden="1">
      <c r="Z1993" s="11"/>
    </row>
    <row r="1994" spans="26:26" hidden="1">
      <c r="Z1994" s="11"/>
    </row>
    <row r="1995" spans="26:26" hidden="1">
      <c r="Z1995" s="11"/>
    </row>
    <row r="1996" spans="26:26" hidden="1">
      <c r="Z1996" s="11"/>
    </row>
    <row r="1997" spans="26:26" hidden="1">
      <c r="Z1997" s="11"/>
    </row>
    <row r="1998" spans="26:26" hidden="1">
      <c r="Z1998" s="11"/>
    </row>
    <row r="1999" spans="26:26" hidden="1">
      <c r="Z1999" s="11"/>
    </row>
    <row r="2000" spans="26:26" hidden="1">
      <c r="Z2000" s="11"/>
    </row>
    <row r="2001" spans="26:26" hidden="1">
      <c r="Z2001" s="11"/>
    </row>
    <row r="2002" spans="26:26" hidden="1">
      <c r="Z2002" s="11"/>
    </row>
    <row r="2003" spans="26:26" hidden="1">
      <c r="Z2003" s="11"/>
    </row>
    <row r="2004" spans="26:26" hidden="1">
      <c r="Z2004" s="11"/>
    </row>
    <row r="2005" spans="26:26" hidden="1">
      <c r="Z2005" s="11"/>
    </row>
    <row r="2006" spans="26:26" hidden="1">
      <c r="Z2006" s="11"/>
    </row>
    <row r="2007" spans="26:26" hidden="1">
      <c r="Z2007" s="11"/>
    </row>
    <row r="2008" spans="26:26" hidden="1">
      <c r="Z2008" s="11"/>
    </row>
    <row r="2009" spans="26:26" hidden="1">
      <c r="Z2009" s="11"/>
    </row>
    <row r="2010" spans="26:26" hidden="1">
      <c r="Z2010" s="11"/>
    </row>
    <row r="2011" spans="26:26" hidden="1">
      <c r="Z2011" s="11"/>
    </row>
    <row r="2012" spans="26:26" hidden="1">
      <c r="Z2012" s="11"/>
    </row>
    <row r="2013" spans="26:26" hidden="1">
      <c r="Z2013" s="11"/>
    </row>
    <row r="2014" spans="26:26" hidden="1">
      <c r="Z2014" s="11"/>
    </row>
    <row r="2015" spans="26:26" hidden="1">
      <c r="Z2015" s="11"/>
    </row>
    <row r="2016" spans="26:26" hidden="1">
      <c r="Z2016" s="11"/>
    </row>
    <row r="2017" spans="26:26" hidden="1">
      <c r="Z2017" s="11"/>
    </row>
    <row r="2018" spans="26:26" hidden="1">
      <c r="Z2018" s="11"/>
    </row>
    <row r="2019" spans="26:26" hidden="1">
      <c r="Z2019" s="11"/>
    </row>
    <row r="2020" spans="26:26" hidden="1">
      <c r="Z2020" s="11"/>
    </row>
    <row r="2021" spans="26:26" hidden="1">
      <c r="Z2021" s="11"/>
    </row>
    <row r="2022" spans="26:26" hidden="1">
      <c r="Z2022" s="11"/>
    </row>
    <row r="2023" spans="26:26" hidden="1">
      <c r="Z2023" s="11"/>
    </row>
    <row r="2024" spans="26:26" hidden="1">
      <c r="Z2024" s="11"/>
    </row>
    <row r="2025" spans="26:26" hidden="1">
      <c r="Z2025" s="11"/>
    </row>
    <row r="2026" spans="26:26" hidden="1">
      <c r="Z2026" s="11"/>
    </row>
    <row r="2027" spans="26:26" hidden="1">
      <c r="Z2027" s="11"/>
    </row>
    <row r="2028" spans="26:26" hidden="1">
      <c r="Z2028" s="11"/>
    </row>
    <row r="2029" spans="26:26" hidden="1">
      <c r="Z2029" s="11"/>
    </row>
    <row r="2030" spans="26:26" hidden="1">
      <c r="Z2030" s="11"/>
    </row>
    <row r="2031" spans="26:26" hidden="1">
      <c r="Z2031" s="11"/>
    </row>
    <row r="2032" spans="26:26" hidden="1">
      <c r="Z2032" s="11"/>
    </row>
    <row r="2033" spans="26:26" hidden="1">
      <c r="Z2033" s="11"/>
    </row>
    <row r="2034" spans="26:26" hidden="1">
      <c r="Z2034" s="11"/>
    </row>
    <row r="2035" spans="26:26" hidden="1">
      <c r="Z2035" s="11"/>
    </row>
    <row r="2036" spans="26:26" hidden="1">
      <c r="Z2036" s="11"/>
    </row>
    <row r="2037" spans="26:26" hidden="1">
      <c r="Z2037" s="11"/>
    </row>
    <row r="2038" spans="26:26" hidden="1">
      <c r="Z2038" s="11"/>
    </row>
    <row r="2039" spans="26:26" hidden="1">
      <c r="Z2039" s="11"/>
    </row>
    <row r="2040" spans="26:26" hidden="1">
      <c r="Z2040" s="11"/>
    </row>
    <row r="2041" spans="26:26" hidden="1">
      <c r="Z2041" s="11"/>
    </row>
    <row r="2042" spans="26:26" hidden="1">
      <c r="Z2042" s="11"/>
    </row>
    <row r="2043" spans="26:26" hidden="1">
      <c r="Z2043" s="11"/>
    </row>
    <row r="2044" spans="26:26" hidden="1">
      <c r="Z2044" s="11"/>
    </row>
    <row r="2045" spans="26:26" hidden="1">
      <c r="Z2045" s="11"/>
    </row>
    <row r="2046" spans="26:26" hidden="1">
      <c r="Z2046" s="11"/>
    </row>
    <row r="2047" spans="26:26" hidden="1">
      <c r="Z2047" s="11"/>
    </row>
    <row r="2048" spans="26:26" hidden="1">
      <c r="Z2048" s="11"/>
    </row>
    <row r="2049" spans="26:26" hidden="1">
      <c r="Z2049" s="11"/>
    </row>
    <row r="2050" spans="26:26" hidden="1">
      <c r="Z2050" s="11"/>
    </row>
    <row r="2051" spans="26:26" hidden="1">
      <c r="Z2051" s="11"/>
    </row>
    <row r="2052" spans="26:26" hidden="1">
      <c r="Z2052" s="11"/>
    </row>
    <row r="2053" spans="26:26" hidden="1">
      <c r="Z2053" s="11"/>
    </row>
    <row r="2054" spans="26:26" hidden="1">
      <c r="Z2054" s="11"/>
    </row>
    <row r="2055" spans="26:26" hidden="1">
      <c r="Z2055" s="11"/>
    </row>
    <row r="2056" spans="26:26" hidden="1">
      <c r="Z2056" s="11"/>
    </row>
    <row r="2057" spans="26:26" hidden="1">
      <c r="Z2057" s="11"/>
    </row>
    <row r="2058" spans="26:26" hidden="1">
      <c r="Z2058" s="11"/>
    </row>
    <row r="2059" spans="26:26" hidden="1">
      <c r="Z2059" s="11"/>
    </row>
    <row r="2060" spans="26:26" hidden="1">
      <c r="Z2060" s="11"/>
    </row>
    <row r="2061" spans="26:26" hidden="1">
      <c r="Z2061" s="11"/>
    </row>
    <row r="2062" spans="26:26" hidden="1">
      <c r="Z2062" s="11"/>
    </row>
    <row r="2063" spans="26:26" hidden="1">
      <c r="Z2063" s="11"/>
    </row>
    <row r="2064" spans="26:26" hidden="1">
      <c r="Z2064" s="11"/>
    </row>
    <row r="2065" spans="26:26" hidden="1">
      <c r="Z2065" s="11"/>
    </row>
    <row r="2066" spans="26:26" hidden="1">
      <c r="Z2066" s="11"/>
    </row>
    <row r="2067" spans="26:26" hidden="1">
      <c r="Z2067" s="11"/>
    </row>
    <row r="2068" spans="26:26" hidden="1">
      <c r="Z2068" s="11"/>
    </row>
    <row r="2069" spans="26:26" hidden="1">
      <c r="Z2069" s="11"/>
    </row>
    <row r="2070" spans="26:26" hidden="1">
      <c r="Z2070" s="11"/>
    </row>
    <row r="2071" spans="26:26" hidden="1">
      <c r="Z2071" s="11"/>
    </row>
    <row r="2072" spans="26:26" hidden="1">
      <c r="Z2072" s="11"/>
    </row>
    <row r="2073" spans="26:26" hidden="1">
      <c r="Z2073" s="11"/>
    </row>
    <row r="2074" spans="26:26" hidden="1">
      <c r="Z2074" s="11"/>
    </row>
    <row r="2075" spans="26:26" hidden="1">
      <c r="Z2075" s="11"/>
    </row>
    <row r="2076" spans="26:26" hidden="1">
      <c r="Z2076" s="11"/>
    </row>
    <row r="2077" spans="26:26" hidden="1">
      <c r="Z2077" s="11"/>
    </row>
    <row r="2078" spans="26:26" hidden="1">
      <c r="Z2078" s="11"/>
    </row>
    <row r="2079" spans="26:26" hidden="1">
      <c r="Z2079" s="11"/>
    </row>
    <row r="2080" spans="26:26" hidden="1">
      <c r="Z2080" s="11"/>
    </row>
    <row r="2081" spans="26:26" hidden="1">
      <c r="Z2081" s="11"/>
    </row>
    <row r="2082" spans="26:26" hidden="1">
      <c r="Z2082" s="11"/>
    </row>
    <row r="2083" spans="26:26" hidden="1">
      <c r="Z2083" s="11"/>
    </row>
    <row r="2084" spans="26:26" hidden="1">
      <c r="Z2084" s="11"/>
    </row>
    <row r="2085" spans="26:26" hidden="1">
      <c r="Z2085" s="11"/>
    </row>
    <row r="2086" spans="26:26" hidden="1">
      <c r="Z2086" s="11"/>
    </row>
    <row r="2087" spans="26:26" hidden="1">
      <c r="Z2087" s="11"/>
    </row>
    <row r="2088" spans="26:26" hidden="1">
      <c r="Z2088" s="11"/>
    </row>
    <row r="2089" spans="26:26" hidden="1">
      <c r="Z2089" s="11"/>
    </row>
    <row r="2090" spans="26:26" hidden="1">
      <c r="Z2090" s="11"/>
    </row>
    <row r="2091" spans="26:26" hidden="1">
      <c r="Z2091" s="11"/>
    </row>
    <row r="2092" spans="26:26" hidden="1">
      <c r="Z2092" s="11"/>
    </row>
    <row r="2093" spans="26:26" hidden="1">
      <c r="Z2093" s="11"/>
    </row>
    <row r="2094" spans="26:26" hidden="1">
      <c r="Z2094" s="11"/>
    </row>
    <row r="2095" spans="26:26" hidden="1">
      <c r="Z2095" s="11"/>
    </row>
    <row r="2096" spans="26:26" hidden="1">
      <c r="Z2096" s="11"/>
    </row>
    <row r="2097" spans="26:26" hidden="1">
      <c r="Z2097" s="11"/>
    </row>
    <row r="2098" spans="26:26" hidden="1">
      <c r="Z2098" s="11"/>
    </row>
    <row r="2099" spans="26:26" hidden="1">
      <c r="Z2099" s="11"/>
    </row>
    <row r="2100" spans="26:26" hidden="1">
      <c r="Z2100" s="11"/>
    </row>
    <row r="2101" spans="26:26" hidden="1">
      <c r="Z2101" s="11"/>
    </row>
    <row r="2102" spans="26:26" hidden="1">
      <c r="Z2102" s="11"/>
    </row>
    <row r="2103" spans="26:26" hidden="1">
      <c r="Z2103" s="11"/>
    </row>
    <row r="2104" spans="26:26" hidden="1">
      <c r="Z2104" s="11"/>
    </row>
    <row r="2105" spans="26:26" hidden="1">
      <c r="Z2105" s="11"/>
    </row>
    <row r="2106" spans="26:26" hidden="1">
      <c r="Z2106" s="11"/>
    </row>
    <row r="2107" spans="26:26" hidden="1">
      <c r="Z2107" s="11"/>
    </row>
    <row r="2108" spans="26:26" hidden="1">
      <c r="Z2108" s="11"/>
    </row>
    <row r="2109" spans="26:26" hidden="1">
      <c r="Z2109" s="11"/>
    </row>
    <row r="2110" spans="26:26" hidden="1">
      <c r="Z2110" s="11"/>
    </row>
    <row r="2111" spans="26:26" hidden="1">
      <c r="Z2111" s="11"/>
    </row>
    <row r="2112" spans="26:26" hidden="1">
      <c r="Z2112" s="11"/>
    </row>
    <row r="2113" spans="26:26" hidden="1">
      <c r="Z2113" s="11"/>
    </row>
    <row r="2114" spans="26:26" hidden="1">
      <c r="Z2114" s="11"/>
    </row>
    <row r="2115" spans="26:26" hidden="1">
      <c r="Z2115" s="11"/>
    </row>
    <row r="2116" spans="26:26" hidden="1">
      <c r="Z2116" s="11"/>
    </row>
    <row r="2117" spans="26:26" hidden="1">
      <c r="Z2117" s="11"/>
    </row>
    <row r="2118" spans="26:26" hidden="1">
      <c r="Z2118" s="11"/>
    </row>
    <row r="2119" spans="26:26" hidden="1">
      <c r="Z2119" s="11"/>
    </row>
    <row r="2120" spans="26:26" hidden="1">
      <c r="Z2120" s="11"/>
    </row>
    <row r="2121" spans="26:26" hidden="1">
      <c r="Z2121" s="11"/>
    </row>
    <row r="2122" spans="26:26" hidden="1">
      <c r="Z2122" s="11"/>
    </row>
    <row r="2123" spans="26:26" hidden="1">
      <c r="Z2123" s="11"/>
    </row>
    <row r="2124" spans="26:26" hidden="1">
      <c r="Z2124" s="11"/>
    </row>
    <row r="2125" spans="26:26" hidden="1">
      <c r="Z2125" s="11"/>
    </row>
    <row r="2126" spans="26:26" hidden="1">
      <c r="Z2126" s="11"/>
    </row>
    <row r="2127" spans="26:26" hidden="1">
      <c r="Z2127" s="11"/>
    </row>
    <row r="2128" spans="26:26" hidden="1">
      <c r="Z2128" s="11"/>
    </row>
    <row r="2129" spans="26:26" hidden="1">
      <c r="Z2129" s="11"/>
    </row>
    <row r="2130" spans="26:26" hidden="1">
      <c r="Z2130" s="11"/>
    </row>
    <row r="2131" spans="26:26" hidden="1">
      <c r="Z2131" s="11"/>
    </row>
    <row r="2132" spans="26:26" hidden="1">
      <c r="Z2132" s="11"/>
    </row>
    <row r="2133" spans="26:26" hidden="1">
      <c r="Z2133" s="11"/>
    </row>
    <row r="2134" spans="26:26" hidden="1">
      <c r="Z2134" s="11"/>
    </row>
    <row r="2135" spans="26:26" hidden="1">
      <c r="Z2135" s="11"/>
    </row>
    <row r="2136" spans="26:26" hidden="1">
      <c r="Z2136" s="11"/>
    </row>
    <row r="2137" spans="26:26" hidden="1">
      <c r="Z2137" s="11"/>
    </row>
    <row r="2138" spans="26:26" hidden="1">
      <c r="Z2138" s="11"/>
    </row>
    <row r="2139" spans="26:26" hidden="1">
      <c r="Z2139" s="11"/>
    </row>
    <row r="2140" spans="26:26" hidden="1">
      <c r="Z2140" s="11"/>
    </row>
    <row r="2141" spans="26:26" hidden="1">
      <c r="Z2141" s="11"/>
    </row>
    <row r="2142" spans="26:26" hidden="1">
      <c r="Z2142" s="11"/>
    </row>
    <row r="2143" spans="26:26" hidden="1">
      <c r="Z2143" s="11"/>
    </row>
    <row r="2144" spans="26:26" hidden="1">
      <c r="Z2144" s="11"/>
    </row>
    <row r="2145" spans="26:26" hidden="1">
      <c r="Z2145" s="11"/>
    </row>
    <row r="2146" spans="26:26" hidden="1">
      <c r="Z2146" s="11"/>
    </row>
    <row r="2147" spans="26:26" hidden="1">
      <c r="Z2147" s="11"/>
    </row>
    <row r="2148" spans="26:26" hidden="1">
      <c r="Z2148" s="11"/>
    </row>
    <row r="2149" spans="26:26" hidden="1">
      <c r="Z2149" s="11"/>
    </row>
    <row r="2150" spans="26:26" hidden="1">
      <c r="Z2150" s="11"/>
    </row>
    <row r="2151" spans="26:26" hidden="1">
      <c r="Z2151" s="11"/>
    </row>
    <row r="2152" spans="26:26" hidden="1">
      <c r="Z2152" s="11"/>
    </row>
    <row r="2153" spans="26:26" hidden="1">
      <c r="Z2153" s="11"/>
    </row>
    <row r="2154" spans="26:26" hidden="1">
      <c r="Z2154" s="11"/>
    </row>
    <row r="2155" spans="26:26" hidden="1">
      <c r="Z2155" s="11"/>
    </row>
    <row r="2156" spans="26:26" hidden="1">
      <c r="Z2156" s="11"/>
    </row>
    <row r="2157" spans="26:26" hidden="1">
      <c r="Z2157" s="11"/>
    </row>
    <row r="2158" spans="26:26" hidden="1">
      <c r="Z2158" s="11"/>
    </row>
    <row r="2159" spans="26:26" hidden="1">
      <c r="Z2159" s="11"/>
    </row>
    <row r="2160" spans="26:26" hidden="1">
      <c r="Z2160" s="11"/>
    </row>
    <row r="2161" spans="26:26" hidden="1">
      <c r="Z2161" s="11"/>
    </row>
    <row r="2162" spans="26:26" hidden="1">
      <c r="Z2162" s="11"/>
    </row>
    <row r="2163" spans="26:26" hidden="1">
      <c r="Z2163" s="11"/>
    </row>
    <row r="2164" spans="26:26" hidden="1">
      <c r="Z2164" s="11"/>
    </row>
    <row r="2165" spans="26:26" hidden="1">
      <c r="Z2165" s="11"/>
    </row>
    <row r="2166" spans="26:26" hidden="1">
      <c r="Z2166" s="11"/>
    </row>
    <row r="2167" spans="26:26" hidden="1">
      <c r="Z2167" s="11"/>
    </row>
    <row r="2168" spans="26:26" hidden="1">
      <c r="Z2168" s="11"/>
    </row>
    <row r="2169" spans="26:26" hidden="1">
      <c r="Z2169" s="11"/>
    </row>
    <row r="2170" spans="26:26" hidden="1">
      <c r="Z2170" s="11"/>
    </row>
    <row r="2171" spans="26:26" hidden="1">
      <c r="Z2171" s="11"/>
    </row>
    <row r="2172" spans="26:26" hidden="1">
      <c r="Z2172" s="11"/>
    </row>
    <row r="2173" spans="26:26" hidden="1">
      <c r="Z2173" s="11"/>
    </row>
    <row r="2174" spans="26:26" hidden="1">
      <c r="Z2174" s="11"/>
    </row>
    <row r="2175" spans="26:26" hidden="1">
      <c r="Z2175" s="11"/>
    </row>
    <row r="2176" spans="26:26" hidden="1">
      <c r="Z2176" s="11"/>
    </row>
    <row r="2177" spans="26:26" hidden="1">
      <c r="Z2177" s="11"/>
    </row>
    <row r="2178" spans="26:26" hidden="1">
      <c r="Z2178" s="11"/>
    </row>
    <row r="2179" spans="26:26" hidden="1">
      <c r="Z2179" s="11"/>
    </row>
    <row r="2180" spans="26:26" hidden="1">
      <c r="Z2180" s="11"/>
    </row>
    <row r="2181" spans="26:26" hidden="1">
      <c r="Z2181" s="11"/>
    </row>
    <row r="2182" spans="26:26" hidden="1">
      <c r="Z2182" s="11"/>
    </row>
    <row r="2183" spans="26:26" hidden="1">
      <c r="Z2183" s="11"/>
    </row>
    <row r="2184" spans="26:26" hidden="1">
      <c r="Z2184" s="11"/>
    </row>
    <row r="2185" spans="26:26" hidden="1">
      <c r="Z2185" s="11"/>
    </row>
    <row r="2186" spans="26:26" hidden="1">
      <c r="Z2186" s="11"/>
    </row>
    <row r="2187" spans="26:26" hidden="1">
      <c r="Z2187" s="11"/>
    </row>
    <row r="2188" spans="26:26" hidden="1">
      <c r="Z2188" s="11"/>
    </row>
    <row r="2189" spans="26:26" hidden="1">
      <c r="Z2189" s="11"/>
    </row>
    <row r="2190" spans="26:26" hidden="1">
      <c r="Z2190" s="11"/>
    </row>
    <row r="2191" spans="26:26" hidden="1">
      <c r="Z2191" s="11"/>
    </row>
    <row r="2192" spans="26:26" hidden="1">
      <c r="Z2192" s="11"/>
    </row>
    <row r="2193" spans="26:26" hidden="1">
      <c r="Z2193" s="11"/>
    </row>
    <row r="2194" spans="26:26" hidden="1">
      <c r="Z2194" s="11"/>
    </row>
    <row r="2195" spans="26:26" hidden="1">
      <c r="Z2195" s="11"/>
    </row>
    <row r="2196" spans="26:26" hidden="1">
      <c r="Z2196" s="11"/>
    </row>
    <row r="2197" spans="26:26" hidden="1">
      <c r="Z2197" s="11"/>
    </row>
    <row r="2198" spans="26:26" hidden="1">
      <c r="Z2198" s="11"/>
    </row>
    <row r="2199" spans="26:26" hidden="1">
      <c r="Z2199" s="11"/>
    </row>
    <row r="2200" spans="26:26" hidden="1">
      <c r="Z2200" s="11"/>
    </row>
    <row r="2201" spans="26:26" hidden="1">
      <c r="Z2201" s="11"/>
    </row>
    <row r="2202" spans="26:26" hidden="1">
      <c r="Z2202" s="11"/>
    </row>
    <row r="2203" spans="26:26" hidden="1">
      <c r="Z2203" s="11"/>
    </row>
    <row r="2204" spans="26:26" hidden="1">
      <c r="Z2204" s="11"/>
    </row>
    <row r="2205" spans="26:26" hidden="1">
      <c r="Z2205" s="11"/>
    </row>
    <row r="2206" spans="26:26" hidden="1">
      <c r="Z2206" s="11"/>
    </row>
    <row r="2207" spans="26:26" hidden="1">
      <c r="Z2207" s="11"/>
    </row>
    <row r="2208" spans="26:26" hidden="1">
      <c r="Z2208" s="11"/>
    </row>
    <row r="2209" spans="26:26" hidden="1">
      <c r="Z2209" s="11"/>
    </row>
    <row r="2210" spans="26:26" hidden="1">
      <c r="Z2210" s="11"/>
    </row>
    <row r="2211" spans="26:26" hidden="1">
      <c r="Z2211" s="11"/>
    </row>
    <row r="2212" spans="26:26" hidden="1">
      <c r="Z2212" s="11"/>
    </row>
    <row r="2213" spans="26:26" hidden="1">
      <c r="Z2213" s="11"/>
    </row>
    <row r="2214" spans="26:26" hidden="1">
      <c r="Z2214" s="11"/>
    </row>
    <row r="2215" spans="26:26" hidden="1">
      <c r="Z2215" s="11"/>
    </row>
    <row r="2216" spans="26:26" hidden="1">
      <c r="Z2216" s="11"/>
    </row>
    <row r="2217" spans="26:26" hidden="1">
      <c r="Z2217" s="11"/>
    </row>
    <row r="2218" spans="26:26" hidden="1">
      <c r="Z2218" s="11"/>
    </row>
    <row r="2219" spans="26:26" hidden="1">
      <c r="Z2219" s="11"/>
    </row>
    <row r="2220" spans="26:26" hidden="1">
      <c r="Z2220" s="11"/>
    </row>
    <row r="2221" spans="26:26" hidden="1">
      <c r="Z2221" s="11"/>
    </row>
    <row r="2222" spans="26:26" hidden="1">
      <c r="Z2222" s="11"/>
    </row>
    <row r="2223" spans="26:26" hidden="1">
      <c r="Z2223" s="11"/>
    </row>
    <row r="2224" spans="26:26" hidden="1">
      <c r="Z2224" s="11"/>
    </row>
    <row r="2225" spans="26:26" hidden="1">
      <c r="Z2225" s="11"/>
    </row>
    <row r="2226" spans="26:26" hidden="1">
      <c r="Z2226" s="11"/>
    </row>
    <row r="2227" spans="26:26" hidden="1">
      <c r="Z2227" s="11"/>
    </row>
    <row r="2228" spans="26:26" hidden="1">
      <c r="Z2228" s="11"/>
    </row>
    <row r="2229" spans="26:26" hidden="1">
      <c r="Z2229" s="11"/>
    </row>
    <row r="2230" spans="26:26" hidden="1">
      <c r="Z2230" s="11"/>
    </row>
    <row r="2231" spans="26:26" hidden="1">
      <c r="Z2231" s="11"/>
    </row>
    <row r="2232" spans="26:26" hidden="1">
      <c r="Z2232" s="11"/>
    </row>
    <row r="2233" spans="26:26" hidden="1">
      <c r="Z2233" s="11"/>
    </row>
    <row r="2234" spans="26:26" hidden="1">
      <c r="Z2234" s="11"/>
    </row>
    <row r="2235" spans="26:26" hidden="1">
      <c r="Z2235" s="11"/>
    </row>
    <row r="2236" spans="26:26" hidden="1">
      <c r="Z2236" s="11"/>
    </row>
    <row r="2237" spans="26:26" hidden="1">
      <c r="Z2237" s="11"/>
    </row>
    <row r="2238" spans="26:26" hidden="1">
      <c r="Z2238" s="11"/>
    </row>
    <row r="2239" spans="26:26" hidden="1">
      <c r="Z2239" s="11"/>
    </row>
    <row r="2240" spans="26:26" hidden="1">
      <c r="Z2240" s="11"/>
    </row>
    <row r="2241" spans="26:26" hidden="1">
      <c r="Z2241" s="11"/>
    </row>
    <row r="2242" spans="26:26" hidden="1">
      <c r="Z2242" s="11"/>
    </row>
    <row r="2243" spans="26:26" hidden="1">
      <c r="Z2243" s="11"/>
    </row>
    <row r="2244" spans="26:26" hidden="1">
      <c r="Z2244" s="11"/>
    </row>
    <row r="2245" spans="26:26" hidden="1">
      <c r="Z2245" s="11"/>
    </row>
    <row r="2246" spans="26:26" hidden="1">
      <c r="Z2246" s="11"/>
    </row>
    <row r="2247" spans="26:26" hidden="1">
      <c r="Z2247" s="11"/>
    </row>
    <row r="2248" spans="26:26" hidden="1">
      <c r="Z2248" s="11"/>
    </row>
    <row r="2249" spans="26:26" hidden="1">
      <c r="Z2249" s="11"/>
    </row>
    <row r="2250" spans="26:26" hidden="1">
      <c r="Z2250" s="11"/>
    </row>
    <row r="2251" spans="26:26" hidden="1">
      <c r="Z2251" s="11"/>
    </row>
    <row r="2252" spans="26:26" hidden="1">
      <c r="Z2252" s="11"/>
    </row>
    <row r="2253" spans="26:26" hidden="1">
      <c r="Z2253" s="11"/>
    </row>
    <row r="2254" spans="26:26" hidden="1">
      <c r="Z2254" s="11"/>
    </row>
    <row r="2255" spans="26:26" hidden="1">
      <c r="Z2255" s="11"/>
    </row>
    <row r="2256" spans="26:26" hidden="1">
      <c r="Z2256" s="11"/>
    </row>
    <row r="2257" spans="26:26" hidden="1">
      <c r="Z2257" s="11"/>
    </row>
    <row r="2258" spans="26:26" hidden="1">
      <c r="Z2258" s="11"/>
    </row>
    <row r="2259" spans="26:26" hidden="1">
      <c r="Z2259" s="11"/>
    </row>
    <row r="2260" spans="26:26" hidden="1">
      <c r="Z2260" s="11"/>
    </row>
    <row r="2261" spans="26:26" hidden="1">
      <c r="Z2261" s="11"/>
    </row>
    <row r="2262" spans="26:26" hidden="1">
      <c r="Z2262" s="11"/>
    </row>
    <row r="2263" spans="26:26" hidden="1">
      <c r="Z2263" s="11"/>
    </row>
    <row r="2264" spans="26:26" hidden="1">
      <c r="Z2264" s="11"/>
    </row>
    <row r="2265" spans="26:26" hidden="1">
      <c r="Z2265" s="11"/>
    </row>
    <row r="2266" spans="26:26" hidden="1">
      <c r="Z2266" s="11"/>
    </row>
    <row r="2267" spans="26:26" hidden="1">
      <c r="Z2267" s="11"/>
    </row>
    <row r="2268" spans="26:26" hidden="1">
      <c r="Z2268" s="11"/>
    </row>
    <row r="2269" spans="26:26" hidden="1">
      <c r="Z2269" s="11"/>
    </row>
    <row r="2270" spans="26:26" hidden="1">
      <c r="Z2270" s="11"/>
    </row>
    <row r="2271" spans="26:26" hidden="1">
      <c r="Z2271" s="11"/>
    </row>
    <row r="2272" spans="26:26" hidden="1">
      <c r="Z2272" s="11"/>
    </row>
    <row r="2273" spans="26:26" hidden="1">
      <c r="Z2273" s="11"/>
    </row>
    <row r="2274" spans="26:26" hidden="1">
      <c r="Z2274" s="11"/>
    </row>
    <row r="2275" spans="26:26" hidden="1">
      <c r="Z2275" s="11"/>
    </row>
    <row r="2276" spans="26:26" hidden="1">
      <c r="Z2276" s="11"/>
    </row>
    <row r="2277" spans="26:26" hidden="1">
      <c r="Z2277" s="11"/>
    </row>
    <row r="2278" spans="26:26" hidden="1">
      <c r="Z2278" s="11"/>
    </row>
    <row r="2279" spans="26:26" hidden="1">
      <c r="Z2279" s="11"/>
    </row>
    <row r="2280" spans="26:26" hidden="1">
      <c r="Z2280" s="11"/>
    </row>
    <row r="2281" spans="26:26" hidden="1">
      <c r="Z2281" s="11"/>
    </row>
    <row r="2282" spans="26:26" hidden="1">
      <c r="Z2282" s="11"/>
    </row>
    <row r="2283" spans="26:26" hidden="1">
      <c r="Z2283" s="11"/>
    </row>
    <row r="2284" spans="26:26" hidden="1">
      <c r="Z2284" s="11"/>
    </row>
    <row r="2285" spans="26:26" hidden="1">
      <c r="Z2285" s="11"/>
    </row>
    <row r="2286" spans="26:26" hidden="1">
      <c r="Z2286" s="11"/>
    </row>
    <row r="2287" spans="26:26" hidden="1">
      <c r="Z2287" s="11"/>
    </row>
    <row r="2288" spans="26:26" hidden="1">
      <c r="Z2288" s="11"/>
    </row>
    <row r="2289" spans="26:26" hidden="1">
      <c r="Z2289" s="11"/>
    </row>
    <row r="2290" spans="26:26" hidden="1">
      <c r="Z2290" s="11"/>
    </row>
    <row r="2291" spans="26:26" hidden="1">
      <c r="Z2291" s="11"/>
    </row>
    <row r="2292" spans="26:26" hidden="1">
      <c r="Z2292" s="11"/>
    </row>
    <row r="2293" spans="26:26" hidden="1">
      <c r="Z2293" s="11"/>
    </row>
    <row r="2294" spans="26:26" hidden="1">
      <c r="Z2294" s="11"/>
    </row>
    <row r="2295" spans="26:26" hidden="1">
      <c r="Z2295" s="11"/>
    </row>
    <row r="2296" spans="26:26" hidden="1">
      <c r="Z2296" s="11"/>
    </row>
    <row r="2297" spans="26:26" hidden="1">
      <c r="Z2297" s="11"/>
    </row>
    <row r="2298" spans="26:26" hidden="1">
      <c r="Z2298" s="11"/>
    </row>
    <row r="2299" spans="26:26" hidden="1">
      <c r="Z2299" s="11"/>
    </row>
    <row r="2300" spans="26:26" hidden="1">
      <c r="Z2300" s="11"/>
    </row>
    <row r="2301" spans="26:26" hidden="1">
      <c r="Z2301" s="11"/>
    </row>
    <row r="2302" spans="26:26" hidden="1">
      <c r="Z2302" s="11"/>
    </row>
    <row r="2303" spans="26:26" hidden="1">
      <c r="Z2303" s="11"/>
    </row>
    <row r="2304" spans="26:26" hidden="1">
      <c r="Z2304" s="11"/>
    </row>
    <row r="2305" spans="26:26" hidden="1">
      <c r="Z2305" s="11"/>
    </row>
    <row r="2306" spans="26:26" hidden="1">
      <c r="Z2306" s="11"/>
    </row>
    <row r="2307" spans="26:26" hidden="1">
      <c r="Z2307" s="11"/>
    </row>
    <row r="2308" spans="26:26" hidden="1">
      <c r="Z2308" s="11"/>
    </row>
    <row r="2309" spans="26:26" hidden="1">
      <c r="Z2309" s="11"/>
    </row>
    <row r="2310" spans="26:26" hidden="1">
      <c r="Z2310" s="11"/>
    </row>
    <row r="2311" spans="26:26" hidden="1">
      <c r="Z2311" s="11"/>
    </row>
    <row r="2312" spans="26:26" hidden="1">
      <c r="Z2312" s="11"/>
    </row>
    <row r="2313" spans="26:26" hidden="1">
      <c r="Z2313" s="11"/>
    </row>
    <row r="2314" spans="26:26" hidden="1">
      <c r="Z2314" s="11"/>
    </row>
    <row r="2315" spans="26:26" hidden="1">
      <c r="Z2315" s="11"/>
    </row>
    <row r="2316" spans="26:26" hidden="1">
      <c r="Z2316" s="11"/>
    </row>
    <row r="2317" spans="26:26" hidden="1">
      <c r="Z2317" s="11"/>
    </row>
    <row r="2318" spans="26:26" hidden="1">
      <c r="Z2318" s="11"/>
    </row>
    <row r="2319" spans="26:26" hidden="1">
      <c r="Z2319" s="11"/>
    </row>
    <row r="2320" spans="26:26" hidden="1">
      <c r="Z2320" s="11"/>
    </row>
    <row r="2321" spans="26:26" hidden="1">
      <c r="Z2321" s="11"/>
    </row>
    <row r="2322" spans="26:26" hidden="1">
      <c r="Z2322" s="11"/>
    </row>
    <row r="2323" spans="26:26" hidden="1">
      <c r="Z2323" s="11"/>
    </row>
    <row r="2324" spans="26:26" hidden="1">
      <c r="Z2324" s="11"/>
    </row>
    <row r="2325" spans="26:26" hidden="1">
      <c r="Z2325" s="11"/>
    </row>
    <row r="2326" spans="26:26" hidden="1">
      <c r="Z2326" s="11"/>
    </row>
    <row r="2327" spans="26:26" hidden="1">
      <c r="Z2327" s="11"/>
    </row>
    <row r="2328" spans="26:26" hidden="1">
      <c r="Z2328" s="11"/>
    </row>
    <row r="2329" spans="26:26" hidden="1">
      <c r="Z2329" s="11"/>
    </row>
    <row r="2330" spans="26:26" hidden="1">
      <c r="Z2330" s="11"/>
    </row>
    <row r="2331" spans="26:26" hidden="1">
      <c r="Z2331" s="11"/>
    </row>
    <row r="2332" spans="26:26" hidden="1">
      <c r="Z2332" s="11"/>
    </row>
    <row r="2333" spans="26:26" hidden="1">
      <c r="Z2333" s="11"/>
    </row>
    <row r="2334" spans="26:26" hidden="1">
      <c r="Z2334" s="11"/>
    </row>
    <row r="2335" spans="26:26" hidden="1">
      <c r="Z2335" s="11"/>
    </row>
    <row r="2336" spans="26:26" hidden="1">
      <c r="Z2336" s="11"/>
    </row>
    <row r="2337" spans="26:26" hidden="1">
      <c r="Z2337" s="11"/>
    </row>
    <row r="2338" spans="26:26" hidden="1">
      <c r="Z2338" s="11"/>
    </row>
    <row r="2339" spans="26:26" hidden="1">
      <c r="Z2339" s="11"/>
    </row>
    <row r="2340" spans="26:26" hidden="1">
      <c r="Z2340" s="11"/>
    </row>
    <row r="2341" spans="26:26" hidden="1">
      <c r="Z2341" s="11"/>
    </row>
    <row r="2342" spans="26:26" hidden="1">
      <c r="Z2342" s="11"/>
    </row>
    <row r="2343" spans="26:26" hidden="1">
      <c r="Z2343" s="11"/>
    </row>
    <row r="2344" spans="26:26" hidden="1">
      <c r="Z2344" s="11"/>
    </row>
    <row r="2345" spans="26:26" hidden="1">
      <c r="Z2345" s="11"/>
    </row>
    <row r="2346" spans="26:26" hidden="1">
      <c r="Z2346" s="11"/>
    </row>
    <row r="2347" spans="26:26" hidden="1">
      <c r="Z2347" s="11"/>
    </row>
    <row r="2348" spans="26:26" hidden="1">
      <c r="Z2348" s="11"/>
    </row>
    <row r="2349" spans="26:26" hidden="1">
      <c r="Z2349" s="11"/>
    </row>
    <row r="2350" spans="26:26" hidden="1">
      <c r="Z2350" s="11"/>
    </row>
    <row r="2351" spans="26:26" hidden="1">
      <c r="Z2351" s="11"/>
    </row>
    <row r="2352" spans="26:26" hidden="1">
      <c r="Z2352" s="11"/>
    </row>
    <row r="2353" spans="26:26" hidden="1">
      <c r="Z2353" s="11"/>
    </row>
    <row r="2354" spans="26:26" hidden="1">
      <c r="Z2354" s="11"/>
    </row>
    <row r="2355" spans="26:26" hidden="1">
      <c r="Z2355" s="11"/>
    </row>
    <row r="2356" spans="26:26" hidden="1">
      <c r="Z2356" s="11"/>
    </row>
    <row r="2357" spans="26:26" hidden="1">
      <c r="Z2357" s="11"/>
    </row>
    <row r="2358" spans="26:26" hidden="1">
      <c r="Z2358" s="11"/>
    </row>
    <row r="2359" spans="26:26" hidden="1">
      <c r="Z2359" s="11"/>
    </row>
    <row r="2360" spans="26:26" hidden="1">
      <c r="Z2360" s="11"/>
    </row>
    <row r="2361" spans="26:26" hidden="1">
      <c r="Z2361" s="11"/>
    </row>
    <row r="2362" spans="26:26" hidden="1">
      <c r="Z2362" s="11"/>
    </row>
    <row r="2363" spans="26:26" hidden="1">
      <c r="Z2363" s="11"/>
    </row>
    <row r="2364" spans="26:26" hidden="1">
      <c r="Z2364" s="11"/>
    </row>
    <row r="2365" spans="26:26" hidden="1">
      <c r="Z2365" s="11"/>
    </row>
    <row r="2366" spans="26:26" hidden="1">
      <c r="Z2366" s="11"/>
    </row>
    <row r="2367" spans="26:26" hidden="1">
      <c r="Z2367" s="11"/>
    </row>
    <row r="2368" spans="26:26" hidden="1">
      <c r="Z2368" s="11"/>
    </row>
    <row r="2369" spans="26:26" hidden="1">
      <c r="Z2369" s="11"/>
    </row>
    <row r="2370" spans="26:26" hidden="1">
      <c r="Z2370" s="11"/>
    </row>
    <row r="2371" spans="26:26" hidden="1">
      <c r="Z2371" s="11"/>
    </row>
    <row r="2372" spans="26:26" hidden="1">
      <c r="Z2372" s="11"/>
    </row>
    <row r="2373" spans="26:26" hidden="1">
      <c r="Z2373" s="11"/>
    </row>
    <row r="2374" spans="26:26" hidden="1">
      <c r="Z2374" s="11"/>
    </row>
    <row r="2375" spans="26:26" hidden="1">
      <c r="Z2375" s="11"/>
    </row>
    <row r="2376" spans="26:26" hidden="1">
      <c r="Z2376" s="11"/>
    </row>
    <row r="2377" spans="26:26" hidden="1">
      <c r="Z2377" s="11"/>
    </row>
    <row r="2378" spans="26:26" hidden="1">
      <c r="Z2378" s="11"/>
    </row>
    <row r="2379" spans="26:26" hidden="1">
      <c r="Z2379" s="11"/>
    </row>
    <row r="2380" spans="26:26" hidden="1">
      <c r="Z2380" s="11"/>
    </row>
    <row r="2381" spans="26:26" hidden="1">
      <c r="Z2381" s="11"/>
    </row>
    <row r="2382" spans="26:26" hidden="1">
      <c r="Z2382" s="11"/>
    </row>
    <row r="2383" spans="26:26" hidden="1">
      <c r="Z2383" s="11"/>
    </row>
    <row r="2384" spans="26:26" hidden="1">
      <c r="Z2384" s="11"/>
    </row>
    <row r="2385" spans="26:26" hidden="1">
      <c r="Z2385" s="11"/>
    </row>
    <row r="2386" spans="26:26" hidden="1">
      <c r="Z2386" s="11"/>
    </row>
    <row r="2387" spans="26:26" hidden="1">
      <c r="Z2387" s="11"/>
    </row>
    <row r="2388" spans="26:26" hidden="1">
      <c r="Z2388" s="11"/>
    </row>
    <row r="2389" spans="26:26" hidden="1">
      <c r="Z2389" s="11"/>
    </row>
    <row r="2390" spans="26:26" hidden="1">
      <c r="Z2390" s="11"/>
    </row>
    <row r="2391" spans="26:26" hidden="1">
      <c r="Z2391" s="11"/>
    </row>
    <row r="2392" spans="26:26" hidden="1">
      <c r="Z2392" s="11"/>
    </row>
    <row r="2393" spans="26:26" hidden="1">
      <c r="Z2393" s="11"/>
    </row>
    <row r="2394" spans="26:26" hidden="1">
      <c r="Z2394" s="11"/>
    </row>
    <row r="2395" spans="26:26" hidden="1">
      <c r="Z2395" s="11"/>
    </row>
    <row r="2396" spans="26:26" hidden="1">
      <c r="Z2396" s="11"/>
    </row>
    <row r="2397" spans="26:26" hidden="1">
      <c r="Z2397" s="11"/>
    </row>
    <row r="2398" spans="26:26" hidden="1">
      <c r="Z2398" s="11"/>
    </row>
    <row r="2399" spans="26:26" hidden="1">
      <c r="Z2399" s="11"/>
    </row>
    <row r="2400" spans="26:26" hidden="1">
      <c r="Z2400" s="11"/>
    </row>
    <row r="2401" spans="26:26" hidden="1">
      <c r="Z2401" s="11"/>
    </row>
    <row r="2402" spans="26:26" hidden="1">
      <c r="Z2402" s="11"/>
    </row>
    <row r="2403" spans="26:26" hidden="1">
      <c r="Z2403" s="11"/>
    </row>
    <row r="2404" spans="26:26" hidden="1">
      <c r="Z2404" s="11"/>
    </row>
    <row r="2405" spans="26:26" hidden="1">
      <c r="Z2405" s="11"/>
    </row>
    <row r="2406" spans="26:26" hidden="1">
      <c r="Z2406" s="11"/>
    </row>
    <row r="2407" spans="26:26" hidden="1">
      <c r="Z2407" s="11"/>
    </row>
    <row r="2408" spans="26:26" hidden="1">
      <c r="Z2408" s="11"/>
    </row>
    <row r="2409" spans="26:26" hidden="1">
      <c r="Z2409" s="11"/>
    </row>
    <row r="2410" spans="26:26" hidden="1">
      <c r="Z2410" s="11"/>
    </row>
    <row r="2411" spans="26:26" hidden="1">
      <c r="Z2411" s="11"/>
    </row>
    <row r="2412" spans="26:26" hidden="1">
      <c r="Z2412" s="11"/>
    </row>
    <row r="2413" spans="26:26" hidden="1">
      <c r="Z2413" s="11"/>
    </row>
    <row r="2414" spans="26:26" hidden="1">
      <c r="Z2414" s="11"/>
    </row>
    <row r="2415" spans="26:26" hidden="1">
      <c r="Z2415" s="11"/>
    </row>
    <row r="2416" spans="26:26" hidden="1">
      <c r="Z2416" s="11"/>
    </row>
    <row r="2417" spans="26:26" hidden="1">
      <c r="Z2417" s="11"/>
    </row>
    <row r="2418" spans="26:26" hidden="1">
      <c r="Z2418" s="11"/>
    </row>
    <row r="2419" spans="26:26" hidden="1">
      <c r="Z2419" s="11"/>
    </row>
    <row r="2420" spans="26:26" hidden="1">
      <c r="Z2420" s="11"/>
    </row>
    <row r="2421" spans="26:26" hidden="1">
      <c r="Z2421" s="11"/>
    </row>
    <row r="2422" spans="26:26" hidden="1">
      <c r="Z2422" s="11"/>
    </row>
    <row r="2423" spans="26:26" hidden="1">
      <c r="Z2423" s="11"/>
    </row>
    <row r="2424" spans="26:26" hidden="1">
      <c r="Z2424" s="11"/>
    </row>
    <row r="2425" spans="26:26" hidden="1">
      <c r="Z2425" s="11"/>
    </row>
    <row r="2426" spans="26:26" hidden="1">
      <c r="Z2426" s="11"/>
    </row>
    <row r="2427" spans="26:26" hidden="1">
      <c r="Z2427" s="11"/>
    </row>
    <row r="2428" spans="26:26" hidden="1">
      <c r="Z2428" s="11"/>
    </row>
    <row r="2429" spans="26:26" hidden="1">
      <c r="Z2429" s="11"/>
    </row>
    <row r="2430" spans="26:26" hidden="1">
      <c r="Z2430" s="11"/>
    </row>
    <row r="2431" spans="26:26" hidden="1">
      <c r="Z2431" s="11"/>
    </row>
    <row r="2432" spans="26:26" hidden="1">
      <c r="Z2432" s="11"/>
    </row>
    <row r="2433" spans="26:26" hidden="1">
      <c r="Z2433" s="11"/>
    </row>
    <row r="2434" spans="26:26" hidden="1">
      <c r="Z2434" s="11"/>
    </row>
    <row r="2435" spans="26:26" hidden="1">
      <c r="Z2435" s="11"/>
    </row>
    <row r="2436" spans="26:26" hidden="1">
      <c r="Z2436" s="11"/>
    </row>
    <row r="2437" spans="26:26" hidden="1">
      <c r="Z2437" s="11"/>
    </row>
    <row r="2438" spans="26:26" hidden="1">
      <c r="Z2438" s="11"/>
    </row>
    <row r="2439" spans="26:26" hidden="1">
      <c r="Z2439" s="11"/>
    </row>
    <row r="2440" spans="26:26" hidden="1">
      <c r="Z2440" s="11"/>
    </row>
    <row r="2441" spans="26:26" hidden="1">
      <c r="Z2441" s="11"/>
    </row>
    <row r="2442" spans="26:26" hidden="1">
      <c r="Z2442" s="11"/>
    </row>
    <row r="2443" spans="26:26" hidden="1">
      <c r="Z2443" s="11"/>
    </row>
    <row r="2444" spans="26:26" hidden="1">
      <c r="Z2444" s="11"/>
    </row>
    <row r="2445" spans="26:26" hidden="1">
      <c r="Z2445" s="11"/>
    </row>
    <row r="2446" spans="26:26" hidden="1">
      <c r="Z2446" s="11"/>
    </row>
    <row r="2447" spans="26:26" hidden="1">
      <c r="Z2447" s="11"/>
    </row>
    <row r="2448" spans="26:26" hidden="1">
      <c r="Z2448" s="11"/>
    </row>
    <row r="2449" spans="26:26" hidden="1">
      <c r="Z2449" s="11"/>
    </row>
    <row r="2450" spans="26:26" hidden="1">
      <c r="Z2450" s="11"/>
    </row>
    <row r="2451" spans="26:26" hidden="1">
      <c r="Z2451" s="11"/>
    </row>
    <row r="2452" spans="26:26" hidden="1">
      <c r="Z2452" s="11"/>
    </row>
    <row r="2453" spans="26:26" hidden="1">
      <c r="Z2453" s="11"/>
    </row>
    <row r="2454" spans="26:26" hidden="1">
      <c r="Z2454" s="11"/>
    </row>
    <row r="2455" spans="26:26" hidden="1">
      <c r="Z2455" s="11"/>
    </row>
    <row r="2456" spans="26:26" hidden="1">
      <c r="Z2456" s="11"/>
    </row>
    <row r="2457" spans="26:26" hidden="1">
      <c r="Z2457" s="11"/>
    </row>
    <row r="2458" spans="26:26" hidden="1">
      <c r="Z2458" s="11"/>
    </row>
    <row r="2459" spans="26:26" hidden="1">
      <c r="Z2459" s="11"/>
    </row>
    <row r="2460" spans="26:26" hidden="1">
      <c r="Z2460" s="11"/>
    </row>
    <row r="2461" spans="26:26" hidden="1">
      <c r="Z2461" s="11"/>
    </row>
    <row r="2462" spans="26:26" hidden="1">
      <c r="Z2462" s="11"/>
    </row>
    <row r="2463" spans="26:26" hidden="1">
      <c r="Z2463" s="11"/>
    </row>
    <row r="2464" spans="26:26" hidden="1">
      <c r="Z2464" s="11"/>
    </row>
    <row r="2465" spans="26:26" hidden="1">
      <c r="Z2465" s="11"/>
    </row>
    <row r="2466" spans="26:26" hidden="1">
      <c r="Z2466" s="11"/>
    </row>
    <row r="2467" spans="26:26" hidden="1">
      <c r="Z2467" s="11"/>
    </row>
    <row r="2468" spans="26:26" hidden="1">
      <c r="Z2468" s="11"/>
    </row>
    <row r="2469" spans="26:26" hidden="1">
      <c r="Z2469" s="11"/>
    </row>
    <row r="2470" spans="26:26" hidden="1">
      <c r="Z2470" s="11"/>
    </row>
    <row r="2471" spans="26:26" hidden="1">
      <c r="Z2471" s="11"/>
    </row>
    <row r="2472" spans="26:26" hidden="1">
      <c r="Z2472" s="11"/>
    </row>
    <row r="2473" spans="26:26" hidden="1">
      <c r="Z2473" s="11"/>
    </row>
    <row r="2474" spans="26:26" hidden="1">
      <c r="Z2474" s="11"/>
    </row>
    <row r="2475" spans="26:26" hidden="1">
      <c r="Z2475" s="11"/>
    </row>
    <row r="2476" spans="26:26" hidden="1">
      <c r="Z2476" s="11"/>
    </row>
    <row r="2477" spans="26:26" hidden="1">
      <c r="Z2477" s="11"/>
    </row>
    <row r="2478" spans="26:26" hidden="1">
      <c r="Z2478" s="11"/>
    </row>
    <row r="2479" spans="26:26" hidden="1">
      <c r="Z2479" s="11"/>
    </row>
    <row r="2480" spans="26:26" hidden="1">
      <c r="Z2480" s="11"/>
    </row>
    <row r="2481" spans="26:26" hidden="1">
      <c r="Z2481" s="11"/>
    </row>
    <row r="2482" spans="26:26" hidden="1">
      <c r="Z2482" s="11"/>
    </row>
    <row r="2483" spans="26:26" hidden="1">
      <c r="Z2483" s="11"/>
    </row>
    <row r="2484" spans="26:26" hidden="1">
      <c r="Z2484" s="11"/>
    </row>
    <row r="2485" spans="26:26" hidden="1">
      <c r="Z2485" s="11"/>
    </row>
    <row r="2486" spans="26:26" hidden="1">
      <c r="Z2486" s="11"/>
    </row>
    <row r="2487" spans="26:26" hidden="1">
      <c r="Z2487" s="11"/>
    </row>
    <row r="2488" spans="26:26" hidden="1">
      <c r="Z2488" s="11"/>
    </row>
    <row r="2489" spans="26:26" hidden="1">
      <c r="Z2489" s="11"/>
    </row>
    <row r="2490" spans="26:26" hidden="1">
      <c r="Z2490" s="11"/>
    </row>
    <row r="2491" spans="26:26" hidden="1">
      <c r="Z2491" s="11"/>
    </row>
    <row r="2492" spans="26:26" hidden="1">
      <c r="Z2492" s="11"/>
    </row>
    <row r="2493" spans="26:26" hidden="1">
      <c r="Z2493" s="11"/>
    </row>
    <row r="2494" spans="26:26" hidden="1">
      <c r="Z2494" s="11"/>
    </row>
    <row r="2495" spans="26:26" hidden="1">
      <c r="Z2495" s="11"/>
    </row>
    <row r="2496" spans="26:26" hidden="1">
      <c r="Z2496" s="11"/>
    </row>
    <row r="2497" spans="26:26" hidden="1">
      <c r="Z2497" s="11"/>
    </row>
    <row r="2498" spans="26:26" hidden="1">
      <c r="Z2498" s="11"/>
    </row>
    <row r="2499" spans="26:26" hidden="1">
      <c r="Z2499" s="11"/>
    </row>
    <row r="2500" spans="26:26" hidden="1">
      <c r="Z2500" s="11"/>
    </row>
    <row r="2501" spans="26:26" hidden="1">
      <c r="Z2501" s="11"/>
    </row>
    <row r="2502" spans="26:26" hidden="1">
      <c r="Z2502" s="11"/>
    </row>
    <row r="2503" spans="26:26" hidden="1">
      <c r="Z2503" s="11"/>
    </row>
    <row r="2504" spans="26:26" hidden="1">
      <c r="Z2504" s="11"/>
    </row>
    <row r="2505" spans="26:26" hidden="1">
      <c r="Z2505" s="11"/>
    </row>
    <row r="2506" spans="26:26" hidden="1">
      <c r="Z2506" s="11"/>
    </row>
    <row r="2507" spans="26:26" hidden="1">
      <c r="Z2507" s="11"/>
    </row>
    <row r="2508" spans="26:26" hidden="1">
      <c r="Z2508" s="11"/>
    </row>
    <row r="2509" spans="26:26" hidden="1">
      <c r="Z2509" s="11"/>
    </row>
    <row r="2510" spans="26:26" hidden="1">
      <c r="Z2510" s="11"/>
    </row>
    <row r="2511" spans="26:26" hidden="1">
      <c r="Z2511" s="11"/>
    </row>
    <row r="2512" spans="26:26" hidden="1">
      <c r="Z2512" s="11"/>
    </row>
    <row r="2513" spans="26:26" hidden="1">
      <c r="Z2513" s="11"/>
    </row>
    <row r="2514" spans="26:26" hidden="1">
      <c r="Z2514" s="11"/>
    </row>
    <row r="2515" spans="26:26" hidden="1">
      <c r="Z2515" s="11"/>
    </row>
    <row r="2516" spans="26:26" hidden="1">
      <c r="Z2516" s="11"/>
    </row>
    <row r="2517" spans="26:26" hidden="1">
      <c r="Z2517" s="11"/>
    </row>
    <row r="2518" spans="26:26" hidden="1">
      <c r="Z2518" s="11"/>
    </row>
    <row r="2519" spans="26:26" hidden="1">
      <c r="Z2519" s="11"/>
    </row>
    <row r="2520" spans="26:26" hidden="1">
      <c r="Z2520" s="11"/>
    </row>
    <row r="2521" spans="26:26" hidden="1">
      <c r="Z2521" s="11"/>
    </row>
    <row r="2522" spans="26:26" hidden="1">
      <c r="Z2522" s="11"/>
    </row>
    <row r="2523" spans="26:26" hidden="1">
      <c r="Z2523" s="11"/>
    </row>
    <row r="2524" spans="26:26" hidden="1">
      <c r="Z2524" s="11"/>
    </row>
    <row r="2525" spans="26:26" hidden="1">
      <c r="Z2525" s="11"/>
    </row>
    <row r="2526" spans="26:26" hidden="1">
      <c r="Z2526" s="11"/>
    </row>
    <row r="2527" spans="26:26" hidden="1">
      <c r="Z2527" s="11"/>
    </row>
    <row r="2528" spans="26:26" hidden="1">
      <c r="Z2528" s="11"/>
    </row>
    <row r="2529" spans="26:26" hidden="1">
      <c r="Z2529" s="11"/>
    </row>
    <row r="2530" spans="26:26" hidden="1">
      <c r="Z2530" s="11"/>
    </row>
    <row r="2531" spans="26:26" hidden="1">
      <c r="Z2531" s="11"/>
    </row>
    <row r="2532" spans="26:26" hidden="1">
      <c r="Z2532" s="11"/>
    </row>
    <row r="2533" spans="26:26" hidden="1">
      <c r="Z2533" s="11"/>
    </row>
    <row r="2534" spans="26:26" hidden="1">
      <c r="Z2534" s="11"/>
    </row>
    <row r="2535" spans="26:26" hidden="1">
      <c r="Z2535" s="11"/>
    </row>
    <row r="2536" spans="26:26" hidden="1">
      <c r="Z2536" s="11"/>
    </row>
    <row r="2537" spans="26:26" hidden="1">
      <c r="Z2537" s="11"/>
    </row>
    <row r="2538" spans="26:26" hidden="1">
      <c r="Z2538" s="11"/>
    </row>
    <row r="2539" spans="26:26" hidden="1">
      <c r="Z2539" s="11"/>
    </row>
    <row r="2540" spans="26:26" hidden="1">
      <c r="Z2540" s="11"/>
    </row>
    <row r="2541" spans="26:26" hidden="1">
      <c r="Z2541" s="11"/>
    </row>
    <row r="2542" spans="26:26" hidden="1">
      <c r="Z2542" s="11"/>
    </row>
    <row r="2543" spans="26:26" hidden="1">
      <c r="Z2543" s="11"/>
    </row>
    <row r="2544" spans="26:26" hidden="1">
      <c r="Z2544" s="11"/>
    </row>
    <row r="2545" spans="26:26" hidden="1">
      <c r="Z2545" s="11"/>
    </row>
    <row r="2546" spans="26:26" hidden="1">
      <c r="Z2546" s="11"/>
    </row>
    <row r="2547" spans="26:26" hidden="1">
      <c r="Z2547" s="11"/>
    </row>
    <row r="2548" spans="26:26" hidden="1">
      <c r="Z2548" s="11"/>
    </row>
    <row r="2549" spans="26:26" hidden="1">
      <c r="Z2549" s="11"/>
    </row>
    <row r="2550" spans="26:26" hidden="1">
      <c r="Z2550" s="11"/>
    </row>
    <row r="2551" spans="26:26" hidden="1">
      <c r="Z2551" s="11"/>
    </row>
    <row r="2552" spans="26:26" hidden="1">
      <c r="Z2552" s="11"/>
    </row>
    <row r="2553" spans="26:26" hidden="1">
      <c r="Z2553" s="11"/>
    </row>
    <row r="2554" spans="26:26" hidden="1">
      <c r="Z2554" s="11"/>
    </row>
    <row r="2555" spans="26:26" hidden="1">
      <c r="Z2555" s="11"/>
    </row>
    <row r="2556" spans="26:26" hidden="1">
      <c r="Z2556" s="11"/>
    </row>
    <row r="2557" spans="26:26" hidden="1">
      <c r="Z2557" s="11"/>
    </row>
    <row r="2558" spans="26:26" hidden="1">
      <c r="Z2558" s="11"/>
    </row>
    <row r="2559" spans="26:26" hidden="1">
      <c r="Z2559" s="11"/>
    </row>
    <row r="2560" spans="26:26" hidden="1">
      <c r="Z2560" s="11"/>
    </row>
    <row r="2561" spans="26:26" hidden="1">
      <c r="Z2561" s="11"/>
    </row>
    <row r="2562" spans="26:26" hidden="1">
      <c r="Z2562" s="11"/>
    </row>
    <row r="2563" spans="26:26" hidden="1">
      <c r="Z2563" s="11"/>
    </row>
    <row r="2564" spans="26:26" hidden="1">
      <c r="Z2564" s="11"/>
    </row>
    <row r="2565" spans="26:26" hidden="1">
      <c r="Z2565" s="11"/>
    </row>
    <row r="2566" spans="26:26" hidden="1">
      <c r="Z2566" s="11"/>
    </row>
    <row r="2567" spans="26:26" hidden="1">
      <c r="Z2567" s="11"/>
    </row>
    <row r="2568" spans="26:26" hidden="1">
      <c r="Z2568" s="11"/>
    </row>
    <row r="2569" spans="26:26" hidden="1">
      <c r="Z2569" s="11"/>
    </row>
    <row r="2570" spans="26:26" hidden="1">
      <c r="Z2570" s="11"/>
    </row>
    <row r="2571" spans="26:26" hidden="1">
      <c r="Z2571" s="11"/>
    </row>
    <row r="2572" spans="26:26" hidden="1">
      <c r="Z2572" s="11"/>
    </row>
    <row r="2573" spans="26:26" hidden="1">
      <c r="Z2573" s="11"/>
    </row>
    <row r="2574" spans="26:26" hidden="1">
      <c r="Z2574" s="11"/>
    </row>
    <row r="2575" spans="26:26" hidden="1">
      <c r="Z2575" s="11"/>
    </row>
    <row r="2576" spans="26:26" hidden="1">
      <c r="Z2576" s="11"/>
    </row>
    <row r="2577" spans="26:26" hidden="1">
      <c r="Z2577" s="11"/>
    </row>
    <row r="2578" spans="26:26" hidden="1">
      <c r="Z2578" s="11"/>
    </row>
    <row r="2579" spans="26:26" hidden="1">
      <c r="Z2579" s="11"/>
    </row>
    <row r="2580" spans="26:26" hidden="1">
      <c r="Z2580" s="11"/>
    </row>
    <row r="2581" spans="26:26" hidden="1">
      <c r="Z2581" s="11"/>
    </row>
    <row r="2582" spans="26:26" hidden="1">
      <c r="Z2582" s="11"/>
    </row>
    <row r="2583" spans="26:26" hidden="1">
      <c r="Z2583" s="11"/>
    </row>
    <row r="2584" spans="26:26" hidden="1">
      <c r="Z2584" s="11"/>
    </row>
    <row r="2585" spans="26:26" hidden="1">
      <c r="Z2585" s="11"/>
    </row>
    <row r="2586" spans="26:26" hidden="1">
      <c r="Z2586" s="11"/>
    </row>
    <row r="2587" spans="26:26" hidden="1">
      <c r="Z2587" s="11"/>
    </row>
    <row r="2588" spans="26:26" hidden="1">
      <c r="Z2588" s="11"/>
    </row>
    <row r="2589" spans="26:26" hidden="1">
      <c r="Z2589" s="11"/>
    </row>
    <row r="2590" spans="26:26" hidden="1">
      <c r="Z2590" s="11"/>
    </row>
    <row r="2591" spans="26:26" hidden="1">
      <c r="Z2591" s="11"/>
    </row>
    <row r="2592" spans="26:26" hidden="1">
      <c r="Z2592" s="11"/>
    </row>
    <row r="2593" spans="26:26" hidden="1">
      <c r="Z2593" s="11"/>
    </row>
    <row r="2594" spans="26:26" hidden="1">
      <c r="Z2594" s="11"/>
    </row>
    <row r="2595" spans="26:26" hidden="1">
      <c r="Z2595" s="11"/>
    </row>
    <row r="2596" spans="26:26" hidden="1">
      <c r="Z2596" s="11"/>
    </row>
    <row r="2597" spans="26:26" hidden="1">
      <c r="Z2597" s="11"/>
    </row>
    <row r="2598" spans="26:26" hidden="1">
      <c r="Z2598" s="11"/>
    </row>
    <row r="2599" spans="26:26" hidden="1">
      <c r="Z2599" s="11"/>
    </row>
    <row r="2600" spans="26:26" hidden="1">
      <c r="Z2600" s="11"/>
    </row>
    <row r="2601" spans="26:26" hidden="1">
      <c r="Z2601" s="11"/>
    </row>
    <row r="2602" spans="26:26" hidden="1">
      <c r="Z2602" s="11"/>
    </row>
    <row r="2603" spans="26:26" hidden="1">
      <c r="Z2603" s="11"/>
    </row>
    <row r="2604" spans="26:26" hidden="1">
      <c r="Z2604" s="11"/>
    </row>
    <row r="2605" spans="26:26" hidden="1">
      <c r="Z2605" s="11"/>
    </row>
    <row r="2606" spans="26:26" hidden="1">
      <c r="Z2606" s="11"/>
    </row>
    <row r="2607" spans="26:26" hidden="1">
      <c r="Z2607" s="11"/>
    </row>
    <row r="2608" spans="26:26" hidden="1">
      <c r="Z2608" s="11"/>
    </row>
    <row r="2609" spans="26:26" hidden="1">
      <c r="Z2609" s="11"/>
    </row>
    <row r="2610" spans="26:26" hidden="1">
      <c r="Z2610" s="11"/>
    </row>
    <row r="2611" spans="26:26" hidden="1">
      <c r="Z2611" s="11"/>
    </row>
    <row r="2612" spans="26:26" hidden="1">
      <c r="Z2612" s="11"/>
    </row>
    <row r="2613" spans="26:26" hidden="1">
      <c r="Z2613" s="11"/>
    </row>
    <row r="2614" spans="26:26" hidden="1">
      <c r="Z2614" s="11"/>
    </row>
    <row r="2615" spans="26:26" hidden="1">
      <c r="Z2615" s="11"/>
    </row>
    <row r="2616" spans="26:26" hidden="1">
      <c r="Z2616" s="11"/>
    </row>
    <row r="2617" spans="26:26" hidden="1">
      <c r="Z2617" s="11"/>
    </row>
    <row r="2618" spans="26:26" hidden="1">
      <c r="Z2618" s="11"/>
    </row>
    <row r="2619" spans="26:26" hidden="1">
      <c r="Z2619" s="11"/>
    </row>
    <row r="2620" spans="26:26" hidden="1">
      <c r="Z2620" s="11"/>
    </row>
    <row r="2621" spans="26:26" hidden="1">
      <c r="Z2621" s="11"/>
    </row>
    <row r="2622" spans="26:26" hidden="1">
      <c r="Z2622" s="11"/>
    </row>
    <row r="2623" spans="26:26" hidden="1">
      <c r="Z2623" s="11"/>
    </row>
    <row r="2624" spans="26:26" hidden="1">
      <c r="Z2624" s="11"/>
    </row>
    <row r="2625" spans="26:26" hidden="1">
      <c r="Z2625" s="11"/>
    </row>
    <row r="2626" spans="26:26" hidden="1">
      <c r="Z2626" s="11"/>
    </row>
    <row r="2627" spans="26:26" hidden="1">
      <c r="Z2627" s="11"/>
    </row>
    <row r="2628" spans="26:26" hidden="1">
      <c r="Z2628" s="11"/>
    </row>
    <row r="2629" spans="26:26" hidden="1">
      <c r="Z2629" s="11"/>
    </row>
    <row r="2630" spans="26:26" hidden="1">
      <c r="Z2630" s="11"/>
    </row>
    <row r="2631" spans="26:26" hidden="1">
      <c r="Z2631" s="11"/>
    </row>
    <row r="2632" spans="26:26" hidden="1">
      <c r="Z2632" s="11"/>
    </row>
    <row r="2633" spans="26:26" hidden="1">
      <c r="Z2633" s="11"/>
    </row>
    <row r="2634" spans="26:26" hidden="1">
      <c r="Z2634" s="11"/>
    </row>
    <row r="2635" spans="26:26" hidden="1">
      <c r="Z2635" s="11"/>
    </row>
    <row r="2636" spans="26:26" hidden="1">
      <c r="Z2636" s="11"/>
    </row>
    <row r="2637" spans="26:26" hidden="1">
      <c r="Z2637" s="11"/>
    </row>
    <row r="2638" spans="26:26" hidden="1">
      <c r="Z2638" s="11"/>
    </row>
    <row r="2639" spans="26:26" hidden="1">
      <c r="Z2639" s="11"/>
    </row>
    <row r="2640" spans="26:26" hidden="1">
      <c r="Z2640" s="11"/>
    </row>
    <row r="2641" spans="26:26" hidden="1">
      <c r="Z2641" s="11"/>
    </row>
    <row r="2642" spans="26:26" hidden="1">
      <c r="Z2642" s="11"/>
    </row>
    <row r="2643" spans="26:26" hidden="1">
      <c r="Z2643" s="11"/>
    </row>
    <row r="2644" spans="26:26" hidden="1">
      <c r="Z2644" s="11"/>
    </row>
    <row r="2645" spans="26:26" hidden="1">
      <c r="Z2645" s="11"/>
    </row>
    <row r="2646" spans="26:26" hidden="1">
      <c r="Z2646" s="11"/>
    </row>
    <row r="2647" spans="26:26" hidden="1">
      <c r="Z2647" s="11"/>
    </row>
    <row r="2648" spans="26:26" hidden="1">
      <c r="Z2648" s="11"/>
    </row>
    <row r="2649" spans="26:26" hidden="1">
      <c r="Z2649" s="11"/>
    </row>
    <row r="2650" spans="26:26" hidden="1">
      <c r="Z2650" s="11"/>
    </row>
    <row r="2651" spans="26:26" hidden="1">
      <c r="Z2651" s="11"/>
    </row>
    <row r="2652" spans="26:26" hidden="1">
      <c r="Z2652" s="11"/>
    </row>
    <row r="2653" spans="26:26" hidden="1">
      <c r="Z2653" s="11"/>
    </row>
    <row r="2654" spans="26:26" hidden="1">
      <c r="Z2654" s="11"/>
    </row>
    <row r="2655" spans="26:26" hidden="1">
      <c r="Z2655" s="11"/>
    </row>
    <row r="2656" spans="26:26" hidden="1">
      <c r="Z2656" s="11"/>
    </row>
    <row r="2657" spans="26:26" hidden="1">
      <c r="Z2657" s="11"/>
    </row>
    <row r="2658" spans="26:26" hidden="1">
      <c r="Z2658" s="11"/>
    </row>
    <row r="2659" spans="26:26" hidden="1">
      <c r="Z2659" s="11"/>
    </row>
    <row r="2660" spans="26:26" hidden="1">
      <c r="Z2660" s="11"/>
    </row>
    <row r="2661" spans="26:26" hidden="1">
      <c r="Z2661" s="11"/>
    </row>
    <row r="2662" spans="26:26" hidden="1">
      <c r="Z2662" s="11"/>
    </row>
    <row r="2663" spans="26:26" hidden="1">
      <c r="Z2663" s="11"/>
    </row>
    <row r="2664" spans="26:26" hidden="1">
      <c r="Z2664" s="11"/>
    </row>
    <row r="2665" spans="26:26" hidden="1">
      <c r="Z2665" s="11"/>
    </row>
    <row r="2666" spans="26:26" hidden="1">
      <c r="Z2666" s="11"/>
    </row>
    <row r="2667" spans="26:26" hidden="1">
      <c r="Z2667" s="11"/>
    </row>
    <row r="2668" spans="26:26" hidden="1">
      <c r="Z2668" s="11"/>
    </row>
    <row r="2669" spans="26:26" hidden="1">
      <c r="Z2669" s="11"/>
    </row>
    <row r="2670" spans="26:26" hidden="1">
      <c r="Z2670" s="11"/>
    </row>
    <row r="2671" spans="26:26" hidden="1">
      <c r="Z2671" s="11"/>
    </row>
    <row r="2672" spans="26:26" hidden="1">
      <c r="Z2672" s="11"/>
    </row>
    <row r="2673" spans="26:26" hidden="1">
      <c r="Z2673" s="11"/>
    </row>
    <row r="2674" spans="26:26" hidden="1">
      <c r="Z2674" s="11"/>
    </row>
    <row r="2675" spans="26:26" hidden="1">
      <c r="Z2675" s="11"/>
    </row>
    <row r="2676" spans="26:26" hidden="1">
      <c r="Z2676" s="11"/>
    </row>
    <row r="2677" spans="26:26" hidden="1">
      <c r="Z2677" s="11"/>
    </row>
    <row r="2678" spans="26:26" hidden="1">
      <c r="Z2678" s="11"/>
    </row>
    <row r="2679" spans="26:26" hidden="1">
      <c r="Z2679" s="11"/>
    </row>
    <row r="2680" spans="26:26" hidden="1">
      <c r="Z2680" s="11"/>
    </row>
    <row r="2681" spans="26:26" hidden="1">
      <c r="Z2681" s="11"/>
    </row>
    <row r="2682" spans="26:26" hidden="1">
      <c r="Z2682" s="11"/>
    </row>
    <row r="2683" spans="26:26" hidden="1">
      <c r="Z2683" s="11"/>
    </row>
    <row r="2684" spans="26:26" hidden="1">
      <c r="Z2684" s="11"/>
    </row>
    <row r="2685" spans="26:26" hidden="1">
      <c r="Z2685" s="11"/>
    </row>
    <row r="2686" spans="26:26" hidden="1">
      <c r="Z2686" s="11"/>
    </row>
    <row r="2687" spans="26:26" hidden="1">
      <c r="Z2687" s="11"/>
    </row>
    <row r="2688" spans="26:26" hidden="1">
      <c r="Z2688" s="11"/>
    </row>
    <row r="2689" spans="26:26" hidden="1">
      <c r="Z2689" s="11"/>
    </row>
    <row r="2690" spans="26:26" hidden="1">
      <c r="Z2690" s="11"/>
    </row>
    <row r="2691" spans="26:26" hidden="1">
      <c r="Z2691" s="11"/>
    </row>
    <row r="2692" spans="26:26" hidden="1">
      <c r="Z2692" s="11"/>
    </row>
    <row r="2693" spans="26:26" hidden="1">
      <c r="Z2693" s="11"/>
    </row>
    <row r="2694" spans="26:26" hidden="1">
      <c r="Z2694" s="11"/>
    </row>
    <row r="2695" spans="26:26" hidden="1">
      <c r="Z2695" s="11"/>
    </row>
    <row r="2696" spans="26:26" hidden="1">
      <c r="Z2696" s="11"/>
    </row>
    <row r="2697" spans="26:26" hidden="1">
      <c r="Z2697" s="11"/>
    </row>
    <row r="2698" spans="26:26" hidden="1">
      <c r="Z2698" s="11"/>
    </row>
    <row r="2699" spans="26:26" hidden="1">
      <c r="Z2699" s="11"/>
    </row>
    <row r="2700" spans="26:26" hidden="1">
      <c r="Z2700" s="11"/>
    </row>
    <row r="2701" spans="26:26" hidden="1">
      <c r="Z2701" s="11"/>
    </row>
    <row r="2702" spans="26:26" hidden="1">
      <c r="Z2702" s="11"/>
    </row>
    <row r="2703" spans="26:26" hidden="1">
      <c r="Z2703" s="11"/>
    </row>
    <row r="2704" spans="26:26" hidden="1">
      <c r="Z2704" s="11"/>
    </row>
    <row r="2705" spans="26:26" hidden="1">
      <c r="Z2705" s="11"/>
    </row>
    <row r="2706" spans="26:26" hidden="1">
      <c r="Z2706" s="11"/>
    </row>
    <row r="2707" spans="26:26" hidden="1">
      <c r="Z2707" s="11"/>
    </row>
    <row r="2708" spans="26:26" hidden="1">
      <c r="Z2708" s="11"/>
    </row>
    <row r="2709" spans="26:26" hidden="1">
      <c r="Z2709" s="11"/>
    </row>
    <row r="2710" spans="26:26" hidden="1">
      <c r="Z2710" s="11"/>
    </row>
    <row r="2711" spans="26:26" hidden="1">
      <c r="Z2711" s="11"/>
    </row>
    <row r="2712" spans="26:26" hidden="1">
      <c r="Z2712" s="11"/>
    </row>
    <row r="2713" spans="26:26" hidden="1">
      <c r="Z2713" s="11"/>
    </row>
    <row r="2714" spans="26:26" hidden="1">
      <c r="Z2714" s="11"/>
    </row>
    <row r="2715" spans="26:26" hidden="1">
      <c r="Z2715" s="11"/>
    </row>
    <row r="2716" spans="26:26" hidden="1">
      <c r="Z2716" s="11"/>
    </row>
    <row r="2717" spans="26:26" hidden="1">
      <c r="Z2717" s="11"/>
    </row>
    <row r="2718" spans="26:26" hidden="1">
      <c r="Z2718" s="11"/>
    </row>
    <row r="2719" spans="26:26" hidden="1">
      <c r="Z2719" s="11"/>
    </row>
    <row r="2720" spans="26:26" hidden="1">
      <c r="Z2720" s="11"/>
    </row>
    <row r="2721" spans="26:26" hidden="1">
      <c r="Z2721" s="11"/>
    </row>
    <row r="2722" spans="26:26" hidden="1">
      <c r="Z2722" s="11"/>
    </row>
    <row r="2723" spans="26:26" hidden="1">
      <c r="Z2723" s="11"/>
    </row>
    <row r="2724" spans="26:26" hidden="1">
      <c r="Z2724" s="11"/>
    </row>
    <row r="2725" spans="26:26" hidden="1">
      <c r="Z2725" s="11"/>
    </row>
    <row r="2726" spans="26:26" hidden="1">
      <c r="Z2726" s="11"/>
    </row>
    <row r="2727" spans="26:26" hidden="1">
      <c r="Z2727" s="11"/>
    </row>
    <row r="2728" spans="26:26" hidden="1">
      <c r="Z2728" s="11"/>
    </row>
    <row r="2729" spans="26:26" hidden="1">
      <c r="Z2729" s="11"/>
    </row>
    <row r="2730" spans="26:26" hidden="1">
      <c r="Z2730" s="11"/>
    </row>
    <row r="2731" spans="26:26" hidden="1">
      <c r="Z2731" s="11"/>
    </row>
    <row r="2732" spans="26:26" hidden="1">
      <c r="Z2732" s="11"/>
    </row>
    <row r="2733" spans="26:26" hidden="1">
      <c r="Z2733" s="11"/>
    </row>
    <row r="2734" spans="26:26" hidden="1">
      <c r="Z2734" s="11"/>
    </row>
    <row r="2735" spans="26:26" hidden="1">
      <c r="Z2735" s="11"/>
    </row>
    <row r="2736" spans="26:26" hidden="1">
      <c r="Z2736" s="11"/>
    </row>
    <row r="2737" spans="26:26" hidden="1">
      <c r="Z2737" s="11"/>
    </row>
    <row r="2738" spans="26:26" hidden="1">
      <c r="Z2738" s="11"/>
    </row>
    <row r="2739" spans="26:26" hidden="1">
      <c r="Z2739" s="11"/>
    </row>
    <row r="2740" spans="26:26" hidden="1">
      <c r="Z2740" s="11"/>
    </row>
    <row r="2741" spans="26:26" hidden="1">
      <c r="Z2741" s="11"/>
    </row>
    <row r="2742" spans="26:26" hidden="1">
      <c r="Z2742" s="11"/>
    </row>
    <row r="2743" spans="26:26" hidden="1">
      <c r="Z2743" s="11"/>
    </row>
    <row r="2744" spans="26:26" hidden="1">
      <c r="Z2744" s="11"/>
    </row>
    <row r="2745" spans="26:26" hidden="1">
      <c r="Z2745" s="11"/>
    </row>
    <row r="2746" spans="26:26" hidden="1">
      <c r="Z2746" s="11"/>
    </row>
    <row r="2747" spans="26:26" hidden="1">
      <c r="Z2747" s="11"/>
    </row>
    <row r="2748" spans="26:26" hidden="1">
      <c r="Z2748" s="11"/>
    </row>
    <row r="2749" spans="26:26" hidden="1">
      <c r="Z2749" s="11"/>
    </row>
    <row r="2750" spans="26:26" hidden="1">
      <c r="Z2750" s="11"/>
    </row>
    <row r="2751" spans="26:26" hidden="1">
      <c r="Z2751" s="11"/>
    </row>
    <row r="2752" spans="26:26" hidden="1">
      <c r="Z2752" s="11"/>
    </row>
    <row r="2753" spans="26:26" hidden="1">
      <c r="Z2753" s="11"/>
    </row>
    <row r="2754" spans="26:26" hidden="1">
      <c r="Z2754" s="11"/>
    </row>
    <row r="2755" spans="26:26" hidden="1">
      <c r="Z2755" s="11"/>
    </row>
    <row r="2756" spans="26:26" hidden="1">
      <c r="Z2756" s="11"/>
    </row>
    <row r="2757" spans="26:26" hidden="1">
      <c r="Z2757" s="11"/>
    </row>
    <row r="2758" spans="26:26" hidden="1">
      <c r="Z2758" s="11"/>
    </row>
    <row r="2759" spans="26:26" hidden="1">
      <c r="Z2759" s="11"/>
    </row>
    <row r="2760" spans="26:26" hidden="1">
      <c r="Z2760" s="11"/>
    </row>
    <row r="2761" spans="26:26" hidden="1">
      <c r="Z2761" s="11"/>
    </row>
    <row r="2762" spans="26:26" hidden="1">
      <c r="Z2762" s="11"/>
    </row>
    <row r="2763" spans="26:26" hidden="1">
      <c r="Z2763" s="11"/>
    </row>
    <row r="2764" spans="26:26" hidden="1">
      <c r="Z2764" s="11"/>
    </row>
    <row r="2765" spans="26:26" hidden="1">
      <c r="Z2765" s="11"/>
    </row>
    <row r="2766" spans="26:26" hidden="1">
      <c r="Z2766" s="11"/>
    </row>
    <row r="2767" spans="26:26" hidden="1">
      <c r="Z2767" s="11"/>
    </row>
    <row r="2768" spans="26:26" hidden="1">
      <c r="Z2768" s="11"/>
    </row>
    <row r="2769" spans="26:26" hidden="1">
      <c r="Z2769" s="11"/>
    </row>
    <row r="2770" spans="26:26" hidden="1">
      <c r="Z2770" s="11"/>
    </row>
    <row r="2771" spans="26:26" hidden="1">
      <c r="Z2771" s="11"/>
    </row>
    <row r="2772" spans="26:26" hidden="1">
      <c r="Z2772" s="11"/>
    </row>
    <row r="2773" spans="26:26" hidden="1">
      <c r="Z2773" s="11"/>
    </row>
    <row r="2774" spans="26:26" hidden="1">
      <c r="Z2774" s="11"/>
    </row>
    <row r="2775" spans="26:26" hidden="1">
      <c r="Z2775" s="11"/>
    </row>
    <row r="2776" spans="26:26" hidden="1">
      <c r="Z2776" s="11"/>
    </row>
    <row r="2777" spans="26:26" hidden="1">
      <c r="Z2777" s="11"/>
    </row>
    <row r="2778" spans="26:26" hidden="1">
      <c r="Z2778" s="11"/>
    </row>
    <row r="2779" spans="26:26" hidden="1">
      <c r="Z2779" s="11"/>
    </row>
    <row r="2780" spans="26:26" hidden="1">
      <c r="Z2780" s="11"/>
    </row>
    <row r="2781" spans="26:26" hidden="1">
      <c r="Z2781" s="11"/>
    </row>
    <row r="2782" spans="26:26" hidden="1">
      <c r="Z2782" s="11"/>
    </row>
    <row r="2783" spans="26:26" hidden="1">
      <c r="Z2783" s="11"/>
    </row>
    <row r="2784" spans="26:26" hidden="1">
      <c r="Z2784" s="11"/>
    </row>
    <row r="2785" spans="26:26" hidden="1">
      <c r="Z2785" s="11"/>
    </row>
    <row r="2786" spans="26:26" hidden="1">
      <c r="Z2786" s="11"/>
    </row>
    <row r="2787" spans="26:26" hidden="1">
      <c r="Z2787" s="11"/>
    </row>
    <row r="2788" spans="26:26" hidden="1">
      <c r="Z2788" s="11"/>
    </row>
    <row r="2789" spans="26:26" hidden="1">
      <c r="Z2789" s="11"/>
    </row>
    <row r="2790" spans="26:26" hidden="1">
      <c r="Z2790" s="11"/>
    </row>
    <row r="2791" spans="26:26" hidden="1">
      <c r="Z2791" s="11"/>
    </row>
    <row r="2792" spans="26:26" hidden="1">
      <c r="Z2792" s="11"/>
    </row>
    <row r="2793" spans="26:26" hidden="1">
      <c r="Z2793" s="11"/>
    </row>
    <row r="2794" spans="26:26" hidden="1">
      <c r="Z2794" s="11"/>
    </row>
    <row r="2795" spans="26:26" hidden="1">
      <c r="Z2795" s="11"/>
    </row>
    <row r="2796" spans="26:26" hidden="1">
      <c r="Z2796" s="11"/>
    </row>
    <row r="2797" spans="26:26" hidden="1">
      <c r="Z2797" s="11"/>
    </row>
    <row r="2798" spans="26:26" hidden="1">
      <c r="Z2798" s="11"/>
    </row>
    <row r="2799" spans="26:26" hidden="1">
      <c r="Z2799" s="11"/>
    </row>
    <row r="2800" spans="26:26" hidden="1">
      <c r="Z2800" s="11"/>
    </row>
    <row r="2801" spans="26:26" hidden="1">
      <c r="Z2801" s="11"/>
    </row>
    <row r="2802" spans="26:26" hidden="1">
      <c r="Z2802" s="11"/>
    </row>
    <row r="2803" spans="26:26" hidden="1">
      <c r="Z2803" s="11"/>
    </row>
    <row r="2804" spans="26:26" hidden="1">
      <c r="Z2804" s="11"/>
    </row>
    <row r="2805" spans="26:26" hidden="1">
      <c r="Z2805" s="11"/>
    </row>
    <row r="2806" spans="26:26" hidden="1">
      <c r="Z2806" s="11"/>
    </row>
    <row r="2807" spans="26:26" hidden="1">
      <c r="Z2807" s="11"/>
    </row>
    <row r="2808" spans="26:26" hidden="1">
      <c r="Z2808" s="11"/>
    </row>
    <row r="2809" spans="26:26" hidden="1">
      <c r="Z2809" s="11"/>
    </row>
    <row r="2810" spans="26:26" hidden="1">
      <c r="Z2810" s="11"/>
    </row>
    <row r="2811" spans="26:26" hidden="1">
      <c r="Z2811" s="11"/>
    </row>
    <row r="2812" spans="26:26" hidden="1">
      <c r="Z2812" s="11"/>
    </row>
    <row r="2813" spans="26:26" hidden="1">
      <c r="Z2813" s="11"/>
    </row>
    <row r="2814" spans="26:26" hidden="1">
      <c r="Z2814" s="11"/>
    </row>
    <row r="2815" spans="26:26" hidden="1">
      <c r="Z2815" s="11"/>
    </row>
    <row r="2816" spans="26:26" hidden="1">
      <c r="Z2816" s="11"/>
    </row>
    <row r="2817" spans="26:26" hidden="1">
      <c r="Z2817" s="11"/>
    </row>
    <row r="2818" spans="26:26" hidden="1">
      <c r="Z2818" s="11"/>
    </row>
    <row r="2819" spans="26:26" hidden="1">
      <c r="Z2819" s="11"/>
    </row>
    <row r="2820" spans="26:26" hidden="1">
      <c r="Z2820" s="11"/>
    </row>
    <row r="2821" spans="26:26" hidden="1">
      <c r="Z2821" s="11"/>
    </row>
    <row r="2822" spans="26:26" hidden="1">
      <c r="Z2822" s="11"/>
    </row>
    <row r="2823" spans="26:26" hidden="1">
      <c r="Z2823" s="11"/>
    </row>
    <row r="2824" spans="26:26" hidden="1">
      <c r="Z2824" s="11"/>
    </row>
    <row r="2825" spans="26:26" hidden="1">
      <c r="Z2825" s="11"/>
    </row>
    <row r="2826" spans="26:26" hidden="1">
      <c r="Z2826" s="11"/>
    </row>
    <row r="2827" spans="26:26" hidden="1">
      <c r="Z2827" s="11"/>
    </row>
    <row r="2828" spans="26:26" hidden="1">
      <c r="Z2828" s="11"/>
    </row>
    <row r="2829" spans="26:26" hidden="1">
      <c r="Z2829" s="11"/>
    </row>
    <row r="2830" spans="26:26" hidden="1">
      <c r="Z2830" s="11"/>
    </row>
    <row r="2831" spans="26:26" hidden="1">
      <c r="Z2831" s="11"/>
    </row>
    <row r="2832" spans="26:26" hidden="1">
      <c r="Z2832" s="11"/>
    </row>
    <row r="2833" spans="26:26" hidden="1">
      <c r="Z2833" s="11"/>
    </row>
    <row r="2834" spans="26:26" hidden="1">
      <c r="Z2834" s="11"/>
    </row>
    <row r="2835" spans="26:26" hidden="1">
      <c r="Z2835" s="11"/>
    </row>
    <row r="2836" spans="26:26" hidden="1">
      <c r="Z2836" s="11"/>
    </row>
    <row r="2837" spans="26:26" hidden="1">
      <c r="Z2837" s="11"/>
    </row>
    <row r="2838" spans="26:26" hidden="1">
      <c r="Z2838" s="11"/>
    </row>
    <row r="2839" spans="26:26" hidden="1">
      <c r="Z2839" s="11"/>
    </row>
    <row r="2840" spans="26:26" hidden="1">
      <c r="Z2840" s="11"/>
    </row>
    <row r="2841" spans="26:26" hidden="1">
      <c r="Z2841" s="11"/>
    </row>
    <row r="2842" spans="26:26" hidden="1">
      <c r="Z2842" s="11"/>
    </row>
    <row r="2843" spans="26:26" hidden="1">
      <c r="Z2843" s="11"/>
    </row>
    <row r="2844" spans="26:26" hidden="1">
      <c r="Z2844" s="11"/>
    </row>
    <row r="2845" spans="26:26" hidden="1">
      <c r="Z2845" s="11"/>
    </row>
    <row r="2846" spans="26:26" hidden="1">
      <c r="Z2846" s="11"/>
    </row>
    <row r="2847" spans="26:26" hidden="1">
      <c r="Z2847" s="11"/>
    </row>
    <row r="2848" spans="26:26" hidden="1">
      <c r="Z2848" s="11"/>
    </row>
    <row r="2849" spans="26:26" hidden="1">
      <c r="Z2849" s="11"/>
    </row>
    <row r="2850" spans="26:26" hidden="1">
      <c r="Z2850" s="11"/>
    </row>
    <row r="2851" spans="26:26" hidden="1">
      <c r="Z2851" s="11"/>
    </row>
    <row r="2852" spans="26:26" hidden="1">
      <c r="Z2852" s="11"/>
    </row>
    <row r="2853" spans="26:26" hidden="1">
      <c r="Z2853" s="11"/>
    </row>
    <row r="2854" spans="26:26" hidden="1">
      <c r="Z2854" s="11"/>
    </row>
    <row r="2855" spans="26:26" hidden="1">
      <c r="Z2855" s="11"/>
    </row>
    <row r="2856" spans="26:26" hidden="1">
      <c r="Z2856" s="11"/>
    </row>
    <row r="2857" spans="26:26" hidden="1">
      <c r="Z2857" s="11"/>
    </row>
    <row r="2858" spans="26:26" hidden="1">
      <c r="Z2858" s="11"/>
    </row>
    <row r="2859" spans="26:26" hidden="1">
      <c r="Z2859" s="11"/>
    </row>
    <row r="2860" spans="26:26" hidden="1">
      <c r="Z2860" s="11"/>
    </row>
    <row r="2861" spans="26:26" hidden="1">
      <c r="Z2861" s="11"/>
    </row>
    <row r="2862" spans="26:26" hidden="1">
      <c r="Z2862" s="11"/>
    </row>
    <row r="2863" spans="26:26" hidden="1">
      <c r="Z2863" s="11"/>
    </row>
    <row r="2864" spans="26:26" hidden="1">
      <c r="Z2864" s="11"/>
    </row>
    <row r="2865" spans="26:26" hidden="1">
      <c r="Z2865" s="11"/>
    </row>
    <row r="2866" spans="26:26" hidden="1">
      <c r="Z2866" s="11"/>
    </row>
    <row r="2867" spans="26:26" hidden="1">
      <c r="Z2867" s="11"/>
    </row>
    <row r="2868" spans="26:26" hidden="1">
      <c r="Z2868" s="11"/>
    </row>
    <row r="2869" spans="26:26" hidden="1">
      <c r="Z2869" s="11"/>
    </row>
    <row r="2870" spans="26:26" hidden="1">
      <c r="Z2870" s="11"/>
    </row>
    <row r="2871" spans="26:26" hidden="1">
      <c r="Z2871" s="11"/>
    </row>
    <row r="2872" spans="26:26" hidden="1">
      <c r="Z2872" s="11"/>
    </row>
    <row r="2873" spans="26:26" hidden="1">
      <c r="Z2873" s="11"/>
    </row>
    <row r="2874" spans="26:26" hidden="1">
      <c r="Z2874" s="11"/>
    </row>
    <row r="2875" spans="26:26" hidden="1">
      <c r="Z2875" s="11"/>
    </row>
    <row r="2876" spans="26:26" hidden="1">
      <c r="Z2876" s="11"/>
    </row>
    <row r="2877" spans="26:26" hidden="1">
      <c r="Z2877" s="11"/>
    </row>
    <row r="2878" spans="26:26" hidden="1">
      <c r="Z2878" s="11"/>
    </row>
    <row r="2879" spans="26:26" hidden="1">
      <c r="Z2879" s="11"/>
    </row>
    <row r="2880" spans="26:26" hidden="1">
      <c r="Z2880" s="11"/>
    </row>
    <row r="2881" spans="26:26" hidden="1">
      <c r="Z2881" s="11"/>
    </row>
    <row r="2882" spans="26:26" hidden="1">
      <c r="Z2882" s="11"/>
    </row>
    <row r="2883" spans="26:26" hidden="1">
      <c r="Z2883" s="11"/>
    </row>
    <row r="2884" spans="26:26" hidden="1">
      <c r="Z2884" s="11"/>
    </row>
    <row r="2885" spans="26:26" hidden="1">
      <c r="Z2885" s="11"/>
    </row>
    <row r="2886" spans="26:26" hidden="1">
      <c r="Z2886" s="11"/>
    </row>
    <row r="2887" spans="26:26" hidden="1">
      <c r="Z2887" s="11"/>
    </row>
    <row r="2888" spans="26:26" hidden="1">
      <c r="Z2888" s="11"/>
    </row>
    <row r="2889" spans="26:26" hidden="1">
      <c r="Z2889" s="11"/>
    </row>
    <row r="2890" spans="26:26" hidden="1">
      <c r="Z2890" s="11"/>
    </row>
    <row r="2891" spans="26:26" hidden="1">
      <c r="Z2891" s="11"/>
    </row>
    <row r="2892" spans="26:26" hidden="1">
      <c r="Z2892" s="11"/>
    </row>
    <row r="2893" spans="26:26" hidden="1">
      <c r="Z2893" s="11"/>
    </row>
    <row r="2894" spans="26:26" hidden="1">
      <c r="Z2894" s="11"/>
    </row>
    <row r="2895" spans="26:26" hidden="1">
      <c r="Z2895" s="11"/>
    </row>
    <row r="2896" spans="26:26" hidden="1">
      <c r="Z2896" s="11"/>
    </row>
    <row r="2897" spans="26:26" hidden="1">
      <c r="Z2897" s="11"/>
    </row>
    <row r="2898" spans="26:26" hidden="1">
      <c r="Z2898" s="11"/>
    </row>
    <row r="2899" spans="26:26" hidden="1">
      <c r="Z2899" s="11"/>
    </row>
    <row r="2900" spans="26:26" hidden="1">
      <c r="Z2900" s="11"/>
    </row>
    <row r="2901" spans="26:26" hidden="1">
      <c r="Z2901" s="11"/>
    </row>
    <row r="2902" spans="26:26" hidden="1">
      <c r="Z2902" s="11"/>
    </row>
    <row r="2903" spans="26:26" hidden="1">
      <c r="Z2903" s="11"/>
    </row>
    <row r="2904" spans="26:26" hidden="1">
      <c r="Z2904" s="11"/>
    </row>
    <row r="2905" spans="26:26" hidden="1">
      <c r="Z2905" s="11"/>
    </row>
    <row r="2906" spans="26:26" hidden="1">
      <c r="Z2906" s="11"/>
    </row>
    <row r="2907" spans="26:26" hidden="1">
      <c r="Z2907" s="11"/>
    </row>
    <row r="2908" spans="26:26" hidden="1">
      <c r="Z2908" s="11"/>
    </row>
    <row r="2909" spans="26:26" hidden="1">
      <c r="Z2909" s="11"/>
    </row>
    <row r="2910" spans="26:26" hidden="1">
      <c r="Z2910" s="11"/>
    </row>
    <row r="2911" spans="26:26" hidden="1">
      <c r="Z2911" s="11"/>
    </row>
    <row r="2912" spans="26:26" hidden="1">
      <c r="Z2912" s="11"/>
    </row>
    <row r="2913" spans="26:26" hidden="1">
      <c r="Z2913" s="11"/>
    </row>
    <row r="2914" spans="26:26" hidden="1">
      <c r="Z2914" s="11"/>
    </row>
    <row r="2915" spans="26:26" hidden="1">
      <c r="Z2915" s="11"/>
    </row>
    <row r="2916" spans="26:26" hidden="1">
      <c r="Z2916" s="11"/>
    </row>
    <row r="2917" spans="26:26" hidden="1">
      <c r="Z2917" s="11"/>
    </row>
    <row r="2918" spans="26:26" hidden="1">
      <c r="Z2918" s="11"/>
    </row>
    <row r="2919" spans="26:26" hidden="1">
      <c r="Z2919" s="11"/>
    </row>
    <row r="2920" spans="26:26" hidden="1">
      <c r="Z2920" s="11"/>
    </row>
    <row r="2921" spans="26:26" hidden="1">
      <c r="Z2921" s="11"/>
    </row>
    <row r="2922" spans="26:26" hidden="1">
      <c r="Z2922" s="11"/>
    </row>
    <row r="2923" spans="26:26" hidden="1">
      <c r="Z2923" s="11"/>
    </row>
    <row r="2924" spans="26:26" hidden="1">
      <c r="Z2924" s="11"/>
    </row>
    <row r="2925" spans="26:26" hidden="1">
      <c r="Z2925" s="11"/>
    </row>
    <row r="2926" spans="26:26" hidden="1">
      <c r="Z2926" s="11"/>
    </row>
    <row r="2927" spans="26:26" hidden="1">
      <c r="Z2927" s="11"/>
    </row>
    <row r="2928" spans="26:26" hidden="1">
      <c r="Z2928" s="11"/>
    </row>
    <row r="2929" spans="26:26" hidden="1">
      <c r="Z2929" s="11"/>
    </row>
    <row r="2930" spans="26:26" hidden="1">
      <c r="Z2930" s="11"/>
    </row>
    <row r="2931" spans="26:26" hidden="1">
      <c r="Z2931" s="11"/>
    </row>
    <row r="2932" spans="26:26" hidden="1">
      <c r="Z2932" s="11"/>
    </row>
    <row r="2933" spans="26:26" hidden="1">
      <c r="Z2933" s="11"/>
    </row>
    <row r="2934" spans="26:26" hidden="1">
      <c r="Z2934" s="11"/>
    </row>
    <row r="2935" spans="26:26" hidden="1">
      <c r="Z2935" s="11"/>
    </row>
    <row r="2936" spans="26:26" hidden="1">
      <c r="Z2936" s="11"/>
    </row>
    <row r="2937" spans="26:26" hidden="1">
      <c r="Z2937" s="11"/>
    </row>
    <row r="2938" spans="26:26" hidden="1">
      <c r="Z2938" s="11"/>
    </row>
    <row r="2939" spans="26:26" hidden="1">
      <c r="Z2939" s="11"/>
    </row>
    <row r="2940" spans="26:26" hidden="1">
      <c r="Z2940" s="11"/>
    </row>
    <row r="2941" spans="26:26" hidden="1">
      <c r="Z2941" s="11"/>
    </row>
    <row r="2942" spans="26:26" hidden="1">
      <c r="Z2942" s="11"/>
    </row>
    <row r="2943" spans="26:26" hidden="1">
      <c r="Z2943" s="11"/>
    </row>
    <row r="2944" spans="26:26" hidden="1">
      <c r="Z2944" s="11"/>
    </row>
    <row r="2945" spans="26:26" hidden="1">
      <c r="Z2945" s="11"/>
    </row>
    <row r="2946" spans="26:26" hidden="1">
      <c r="Z2946" s="11"/>
    </row>
    <row r="2947" spans="26:26" hidden="1">
      <c r="Z2947" s="11"/>
    </row>
    <row r="2948" spans="26:26" hidden="1">
      <c r="Z2948" s="11"/>
    </row>
    <row r="2949" spans="26:26" hidden="1">
      <c r="Z2949" s="11"/>
    </row>
    <row r="2950" spans="26:26" hidden="1">
      <c r="Z2950" s="11"/>
    </row>
    <row r="2951" spans="26:26" hidden="1">
      <c r="Z2951" s="11"/>
    </row>
    <row r="2952" spans="26:26" hidden="1">
      <c r="Z2952" s="11"/>
    </row>
    <row r="2953" spans="26:26" hidden="1">
      <c r="Z2953" s="11"/>
    </row>
    <row r="2954" spans="26:26" hidden="1">
      <c r="Z2954" s="11"/>
    </row>
    <row r="2955" spans="26:26" hidden="1">
      <c r="Z2955" s="11"/>
    </row>
    <row r="2956" spans="26:26" hidden="1">
      <c r="Z2956" s="11"/>
    </row>
    <row r="2957" spans="26:26" hidden="1">
      <c r="Z2957" s="11"/>
    </row>
    <row r="2958" spans="26:26" hidden="1">
      <c r="Z2958" s="11"/>
    </row>
    <row r="2959" spans="26:26" hidden="1">
      <c r="Z2959" s="11"/>
    </row>
    <row r="2960" spans="26:26" hidden="1">
      <c r="Z2960" s="11"/>
    </row>
    <row r="2961" spans="26:26" hidden="1">
      <c r="Z2961" s="11"/>
    </row>
    <row r="2962" spans="26:26" hidden="1">
      <c r="Z2962" s="11"/>
    </row>
    <row r="2963" spans="26:26" hidden="1">
      <c r="Z2963" s="11"/>
    </row>
    <row r="2964" spans="26:26" hidden="1">
      <c r="Z2964" s="11"/>
    </row>
    <row r="2965" spans="26:26" hidden="1">
      <c r="Z2965" s="11"/>
    </row>
    <row r="2966" spans="26:26" hidden="1">
      <c r="Z2966" s="11"/>
    </row>
    <row r="2967" spans="26:26" hidden="1">
      <c r="Z2967" s="11"/>
    </row>
    <row r="2968" spans="26:26" hidden="1">
      <c r="Z2968" s="11"/>
    </row>
    <row r="2969" spans="26:26" hidden="1">
      <c r="Z2969" s="11"/>
    </row>
    <row r="2970" spans="26:26" hidden="1">
      <c r="Z2970" s="11"/>
    </row>
    <row r="2971" spans="26:26" hidden="1">
      <c r="Z2971" s="11"/>
    </row>
    <row r="2972" spans="26:26" hidden="1">
      <c r="Z2972" s="11"/>
    </row>
    <row r="2973" spans="26:26" hidden="1">
      <c r="Z2973" s="11"/>
    </row>
    <row r="2974" spans="26:26" hidden="1">
      <c r="Z2974" s="11"/>
    </row>
    <row r="2975" spans="26:26" hidden="1">
      <c r="Z2975" s="11"/>
    </row>
    <row r="2976" spans="26:26" hidden="1">
      <c r="Z2976" s="11"/>
    </row>
    <row r="2977" spans="26:26" hidden="1">
      <c r="Z2977" s="11"/>
    </row>
    <row r="2978" spans="26:26" hidden="1">
      <c r="Z2978" s="11"/>
    </row>
    <row r="2979" spans="26:26" hidden="1">
      <c r="Z2979" s="11"/>
    </row>
    <row r="2980" spans="26:26" hidden="1">
      <c r="Z2980" s="11"/>
    </row>
    <row r="2981" spans="26:26" hidden="1">
      <c r="Z2981" s="11"/>
    </row>
    <row r="2982" spans="26:26" hidden="1">
      <c r="Z2982" s="11"/>
    </row>
    <row r="2983" spans="26:26" hidden="1">
      <c r="Z2983" s="11"/>
    </row>
    <row r="2984" spans="26:26" hidden="1">
      <c r="Z2984" s="11"/>
    </row>
    <row r="2985" spans="26:26" hidden="1">
      <c r="Z2985" s="11"/>
    </row>
    <row r="2986" spans="26:26" hidden="1">
      <c r="Z2986" s="11"/>
    </row>
    <row r="2987" spans="26:26" hidden="1">
      <c r="Z2987" s="11"/>
    </row>
    <row r="2988" spans="26:26" hidden="1">
      <c r="Z2988" s="11"/>
    </row>
    <row r="2989" spans="26:26" hidden="1">
      <c r="Z2989" s="11"/>
    </row>
    <row r="2990" spans="26:26" hidden="1">
      <c r="Z2990" s="11"/>
    </row>
    <row r="2991" spans="26:26" hidden="1">
      <c r="Z2991" s="11"/>
    </row>
    <row r="2992" spans="26:26" hidden="1">
      <c r="Z2992" s="11"/>
    </row>
    <row r="2993" spans="26:26" hidden="1">
      <c r="Z2993" s="11"/>
    </row>
    <row r="2994" spans="26:26" hidden="1">
      <c r="Z2994" s="11"/>
    </row>
    <row r="2995" spans="26:26" hidden="1">
      <c r="Z2995" s="11"/>
    </row>
    <row r="2996" spans="26:26" hidden="1">
      <c r="Z2996" s="11"/>
    </row>
    <row r="2997" spans="26:26" hidden="1">
      <c r="Z2997" s="11"/>
    </row>
    <row r="2998" spans="26:26" hidden="1">
      <c r="Z2998" s="11"/>
    </row>
    <row r="2999" spans="26:26" hidden="1">
      <c r="Z2999" s="11"/>
    </row>
    <row r="3000" spans="26:26" hidden="1">
      <c r="Z3000" s="11"/>
    </row>
    <row r="3001" spans="26:26" hidden="1">
      <c r="Z3001" s="11"/>
    </row>
    <row r="3002" spans="26:26" hidden="1">
      <c r="Z3002" s="11"/>
    </row>
    <row r="3003" spans="26:26" hidden="1">
      <c r="Z3003" s="11"/>
    </row>
    <row r="3004" spans="26:26" hidden="1">
      <c r="Z3004" s="11"/>
    </row>
    <row r="3005" spans="26:26" hidden="1">
      <c r="Z3005" s="11"/>
    </row>
    <row r="3006" spans="26:26" hidden="1">
      <c r="Z3006" s="11"/>
    </row>
    <row r="3007" spans="26:26" hidden="1">
      <c r="Z3007" s="11"/>
    </row>
    <row r="3008" spans="26:26" hidden="1">
      <c r="Z3008" s="11"/>
    </row>
    <row r="3009" spans="26:26" hidden="1">
      <c r="Z3009" s="11"/>
    </row>
    <row r="3010" spans="26:26" hidden="1">
      <c r="Z3010" s="11"/>
    </row>
    <row r="3011" spans="26:26" hidden="1">
      <c r="Z3011" s="11"/>
    </row>
    <row r="3012" spans="26:26" hidden="1">
      <c r="Z3012" s="11"/>
    </row>
    <row r="3013" spans="26:26" hidden="1">
      <c r="Z3013" s="11"/>
    </row>
    <row r="3014" spans="26:26" hidden="1">
      <c r="Z3014" s="11"/>
    </row>
    <row r="3015" spans="26:26" hidden="1">
      <c r="Z3015" s="11"/>
    </row>
    <row r="3016" spans="26:26" hidden="1">
      <c r="Z3016" s="11"/>
    </row>
    <row r="3017" spans="26:26" hidden="1">
      <c r="Z3017" s="11"/>
    </row>
    <row r="3018" spans="26:26" hidden="1">
      <c r="Z3018" s="11"/>
    </row>
    <row r="3019" spans="26:26" hidden="1">
      <c r="Z3019" s="11"/>
    </row>
    <row r="3020" spans="26:26" hidden="1">
      <c r="Z3020" s="11"/>
    </row>
    <row r="3021" spans="26:26" hidden="1">
      <c r="Z3021" s="11"/>
    </row>
    <row r="3022" spans="26:26" hidden="1">
      <c r="Z3022" s="11"/>
    </row>
    <row r="3023" spans="26:26" hidden="1">
      <c r="Z3023" s="11"/>
    </row>
    <row r="3024" spans="26:26" hidden="1">
      <c r="Z3024" s="11"/>
    </row>
    <row r="3025" spans="26:26" hidden="1">
      <c r="Z3025" s="11"/>
    </row>
    <row r="3026" spans="26:26" hidden="1">
      <c r="Z3026" s="11"/>
    </row>
    <row r="3027" spans="26:26" hidden="1">
      <c r="Z3027" s="11"/>
    </row>
    <row r="3028" spans="26:26" hidden="1">
      <c r="Z3028" s="11"/>
    </row>
    <row r="3029" spans="26:26" hidden="1">
      <c r="Z3029" s="11"/>
    </row>
    <row r="3030" spans="26:26" hidden="1">
      <c r="Z3030" s="11"/>
    </row>
    <row r="3031" spans="26:26" hidden="1">
      <c r="Z3031" s="11"/>
    </row>
    <row r="3032" spans="26:26" hidden="1">
      <c r="Z3032" s="11"/>
    </row>
    <row r="3033" spans="26:26" hidden="1">
      <c r="Z3033" s="11"/>
    </row>
    <row r="3034" spans="26:26" hidden="1">
      <c r="Z3034" s="11"/>
    </row>
    <row r="3035" spans="26:26" hidden="1">
      <c r="Z3035" s="11"/>
    </row>
    <row r="3036" spans="26:26" hidden="1">
      <c r="Z3036" s="11"/>
    </row>
    <row r="3037" spans="26:26" hidden="1">
      <c r="Z3037" s="11"/>
    </row>
    <row r="3038" spans="26:26" hidden="1">
      <c r="Z3038" s="11"/>
    </row>
    <row r="3039" spans="26:26" hidden="1">
      <c r="Z3039" s="11"/>
    </row>
    <row r="3040" spans="26:26" hidden="1">
      <c r="Z3040" s="11"/>
    </row>
    <row r="3041" spans="26:26" hidden="1">
      <c r="Z3041" s="11"/>
    </row>
    <row r="3042" spans="26:26" hidden="1">
      <c r="Z3042" s="11"/>
    </row>
    <row r="3043" spans="26:26" hidden="1">
      <c r="Z3043" s="11"/>
    </row>
    <row r="3044" spans="26:26" hidden="1">
      <c r="Z3044" s="11"/>
    </row>
    <row r="3045" spans="26:26" hidden="1">
      <c r="Z3045" s="11"/>
    </row>
    <row r="3046" spans="26:26" hidden="1">
      <c r="Z3046" s="11"/>
    </row>
    <row r="3047" spans="26:26" hidden="1">
      <c r="Z3047" s="11"/>
    </row>
    <row r="3048" spans="26:26" hidden="1">
      <c r="Z3048" s="11"/>
    </row>
    <row r="3049" spans="26:26" hidden="1">
      <c r="Z3049" s="11"/>
    </row>
    <row r="3050" spans="26:26" hidden="1">
      <c r="Z3050" s="11"/>
    </row>
    <row r="3051" spans="26:26" hidden="1">
      <c r="Z3051" s="11"/>
    </row>
    <row r="3052" spans="26:26" hidden="1">
      <c r="Z3052" s="11"/>
    </row>
    <row r="3053" spans="26:26" hidden="1">
      <c r="Z3053" s="11"/>
    </row>
    <row r="3054" spans="26:26" hidden="1">
      <c r="Z3054" s="11"/>
    </row>
    <row r="3055" spans="26:26" hidden="1">
      <c r="Z3055" s="11"/>
    </row>
    <row r="3056" spans="26:26" hidden="1">
      <c r="Z3056" s="11"/>
    </row>
    <row r="3057" spans="26:26" hidden="1">
      <c r="Z3057" s="11"/>
    </row>
    <row r="3058" spans="26:26" hidden="1">
      <c r="Z3058" s="11"/>
    </row>
    <row r="3059" spans="26:26" hidden="1">
      <c r="Z3059" s="11"/>
    </row>
    <row r="3060" spans="26:26" hidden="1">
      <c r="Z3060" s="11"/>
    </row>
    <row r="3061" spans="26:26" hidden="1">
      <c r="Z3061" s="11"/>
    </row>
    <row r="3062" spans="26:26" hidden="1">
      <c r="Z3062" s="11"/>
    </row>
    <row r="3063" spans="26:26" hidden="1">
      <c r="Z3063" s="11"/>
    </row>
    <row r="3064" spans="26:26" hidden="1">
      <c r="Z3064" s="11"/>
    </row>
    <row r="3065" spans="26:26" hidden="1">
      <c r="Z3065" s="11"/>
    </row>
    <row r="3066" spans="26:26" hidden="1">
      <c r="Z3066" s="11"/>
    </row>
    <row r="3067" spans="26:26" hidden="1">
      <c r="Z3067" s="11"/>
    </row>
    <row r="3068" spans="26:26" hidden="1">
      <c r="Z3068" s="11"/>
    </row>
    <row r="3069" spans="26:26" hidden="1">
      <c r="Z3069" s="11"/>
    </row>
    <row r="3070" spans="26:26" hidden="1">
      <c r="Z3070" s="11"/>
    </row>
    <row r="3071" spans="26:26" hidden="1">
      <c r="Z3071" s="11"/>
    </row>
    <row r="3072" spans="26:26" hidden="1">
      <c r="Z3072" s="11"/>
    </row>
    <row r="3073" spans="26:26" hidden="1">
      <c r="Z3073" s="11"/>
    </row>
    <row r="3074" spans="26:26" hidden="1">
      <c r="Z3074" s="11"/>
    </row>
    <row r="3075" spans="26:26" hidden="1">
      <c r="Z3075" s="11"/>
    </row>
    <row r="3076" spans="26:26" hidden="1">
      <c r="Z3076" s="11"/>
    </row>
    <row r="3077" spans="26:26" hidden="1">
      <c r="Z3077" s="11"/>
    </row>
    <row r="3078" spans="26:26" hidden="1">
      <c r="Z3078" s="11"/>
    </row>
    <row r="3079" spans="26:26" hidden="1">
      <c r="Z3079" s="11"/>
    </row>
    <row r="3080" spans="26:26" hidden="1">
      <c r="Z3080" s="11"/>
    </row>
    <row r="3081" spans="26:26" hidden="1">
      <c r="Z3081" s="11"/>
    </row>
    <row r="3082" spans="26:26" hidden="1">
      <c r="Z3082" s="11"/>
    </row>
    <row r="3083" spans="26:26" hidden="1">
      <c r="Z3083" s="11"/>
    </row>
    <row r="3084" spans="26:26" hidden="1">
      <c r="Z3084" s="11"/>
    </row>
    <row r="3085" spans="26:26" hidden="1">
      <c r="Z3085" s="11"/>
    </row>
    <row r="3086" spans="26:26" hidden="1">
      <c r="Z3086" s="11"/>
    </row>
    <row r="3087" spans="26:26" hidden="1">
      <c r="Z3087" s="11"/>
    </row>
    <row r="3088" spans="26:26" hidden="1">
      <c r="Z3088" s="11"/>
    </row>
    <row r="3089" spans="26:26" hidden="1">
      <c r="Z3089" s="11"/>
    </row>
    <row r="3090" spans="26:26" hidden="1">
      <c r="Z3090" s="11"/>
    </row>
    <row r="3091" spans="26:26" hidden="1">
      <c r="Z3091" s="11"/>
    </row>
    <row r="3092" spans="26:26" hidden="1">
      <c r="Z3092" s="11"/>
    </row>
    <row r="3093" spans="26:26" hidden="1">
      <c r="Z3093" s="11"/>
    </row>
    <row r="3094" spans="26:26" hidden="1">
      <c r="Z3094" s="11"/>
    </row>
    <row r="3095" spans="26:26" hidden="1">
      <c r="Z3095" s="11"/>
    </row>
    <row r="3096" spans="26:26" hidden="1">
      <c r="Z3096" s="11"/>
    </row>
    <row r="3097" spans="26:26" hidden="1">
      <c r="Z3097" s="11"/>
    </row>
    <row r="3098" spans="26:26" hidden="1">
      <c r="Z3098" s="11"/>
    </row>
    <row r="3099" spans="26:26" hidden="1">
      <c r="Z3099" s="11"/>
    </row>
    <row r="3100" spans="26:26" hidden="1">
      <c r="Z3100" s="11"/>
    </row>
    <row r="3101" spans="26:26" hidden="1">
      <c r="Z3101" s="11"/>
    </row>
    <row r="3102" spans="26:26" hidden="1">
      <c r="Z3102" s="11"/>
    </row>
    <row r="3103" spans="26:26" hidden="1">
      <c r="Z3103" s="11"/>
    </row>
    <row r="3104" spans="26:26" hidden="1">
      <c r="Z3104" s="11"/>
    </row>
    <row r="3105" spans="26:26" hidden="1">
      <c r="Z3105" s="11"/>
    </row>
    <row r="3106" spans="26:26" hidden="1">
      <c r="Z3106" s="11"/>
    </row>
    <row r="3107" spans="26:26" hidden="1">
      <c r="Z3107" s="11"/>
    </row>
    <row r="3108" spans="26:26" hidden="1">
      <c r="Z3108" s="11"/>
    </row>
    <row r="3109" spans="26:26" hidden="1">
      <c r="Z3109" s="11"/>
    </row>
    <row r="3110" spans="26:26" hidden="1">
      <c r="Z3110" s="11"/>
    </row>
    <row r="3111" spans="26:26" hidden="1">
      <c r="Z3111" s="11"/>
    </row>
    <row r="3112" spans="26:26" hidden="1">
      <c r="Z3112" s="11"/>
    </row>
    <row r="3113" spans="26:26" hidden="1">
      <c r="Z3113" s="11"/>
    </row>
    <row r="3114" spans="26:26" hidden="1">
      <c r="Z3114" s="11"/>
    </row>
    <row r="3115" spans="26:26" hidden="1">
      <c r="Z3115" s="11"/>
    </row>
    <row r="3116" spans="26:26" hidden="1">
      <c r="Z3116" s="11"/>
    </row>
    <row r="3117" spans="26:26" hidden="1">
      <c r="Z3117" s="11"/>
    </row>
    <row r="3118" spans="26:26" hidden="1">
      <c r="Z3118" s="11"/>
    </row>
    <row r="3119" spans="26:26" hidden="1">
      <c r="Z3119" s="11"/>
    </row>
    <row r="3120" spans="26:26" hidden="1">
      <c r="Z3120" s="11"/>
    </row>
    <row r="3121" spans="26:26" hidden="1">
      <c r="Z3121" s="11"/>
    </row>
    <row r="3122" spans="26:26" hidden="1">
      <c r="Z3122" s="11"/>
    </row>
    <row r="3123" spans="26:26" hidden="1">
      <c r="Z3123" s="11"/>
    </row>
    <row r="3124" spans="26:26" hidden="1">
      <c r="Z3124" s="11"/>
    </row>
    <row r="3125" spans="26:26" hidden="1">
      <c r="Z3125" s="11"/>
    </row>
    <row r="3126" spans="26:26" hidden="1">
      <c r="Z3126" s="11"/>
    </row>
    <row r="3127" spans="26:26" hidden="1">
      <c r="Z3127" s="11"/>
    </row>
    <row r="3128" spans="26:26" hidden="1">
      <c r="Z3128" s="11"/>
    </row>
    <row r="3129" spans="26:26" hidden="1">
      <c r="Z3129" s="11"/>
    </row>
    <row r="3130" spans="26:26" hidden="1">
      <c r="Z3130" s="11"/>
    </row>
    <row r="3131" spans="26:26" hidden="1">
      <c r="Z3131" s="11"/>
    </row>
    <row r="3132" spans="26:26" hidden="1">
      <c r="Z3132" s="11"/>
    </row>
    <row r="3133" spans="26:26" hidden="1">
      <c r="Z3133" s="11"/>
    </row>
    <row r="3134" spans="26:26" hidden="1">
      <c r="Z3134" s="11"/>
    </row>
    <row r="3135" spans="26:26" hidden="1">
      <c r="Z3135" s="11"/>
    </row>
    <row r="3136" spans="26:26" hidden="1">
      <c r="Z3136" s="11"/>
    </row>
    <row r="3137" spans="26:26" hidden="1">
      <c r="Z3137" s="11"/>
    </row>
    <row r="3138" spans="26:26" hidden="1">
      <c r="Z3138" s="11"/>
    </row>
    <row r="3139" spans="26:26" hidden="1">
      <c r="Z3139" s="11"/>
    </row>
    <row r="3140" spans="26:26" hidden="1">
      <c r="Z3140" s="11"/>
    </row>
    <row r="3141" spans="26:26" hidden="1">
      <c r="Z3141" s="11"/>
    </row>
    <row r="3142" spans="26:26" hidden="1">
      <c r="Z3142" s="11"/>
    </row>
    <row r="3143" spans="26:26" hidden="1">
      <c r="Z3143" s="11"/>
    </row>
    <row r="3144" spans="26:26" hidden="1">
      <c r="Z3144" s="11"/>
    </row>
    <row r="3145" spans="26:26" hidden="1">
      <c r="Z3145" s="11"/>
    </row>
    <row r="3146" spans="26:26" hidden="1">
      <c r="Z3146" s="11"/>
    </row>
    <row r="3147" spans="26:26" hidden="1">
      <c r="Z3147" s="11"/>
    </row>
    <row r="3148" spans="26:26" hidden="1">
      <c r="Z3148" s="11"/>
    </row>
    <row r="3149" spans="26:26" hidden="1">
      <c r="Z3149" s="11"/>
    </row>
    <row r="3150" spans="26:26" hidden="1">
      <c r="Z3150" s="11"/>
    </row>
    <row r="3151" spans="26:26" hidden="1">
      <c r="Z3151" s="11"/>
    </row>
    <row r="3152" spans="26:26" hidden="1">
      <c r="Z3152" s="11"/>
    </row>
    <row r="3153" spans="26:26" hidden="1">
      <c r="Z3153" s="11"/>
    </row>
    <row r="3154" spans="26:26" hidden="1">
      <c r="Z3154" s="11"/>
    </row>
    <row r="3155" spans="26:26" hidden="1">
      <c r="Z3155" s="11"/>
    </row>
    <row r="3156" spans="26:26" hidden="1">
      <c r="Z3156" s="11"/>
    </row>
    <row r="3157" spans="26:26" hidden="1">
      <c r="Z3157" s="11"/>
    </row>
    <row r="3158" spans="26:26" hidden="1">
      <c r="Z3158" s="11"/>
    </row>
    <row r="3159" spans="26:26" hidden="1">
      <c r="Z3159" s="11"/>
    </row>
    <row r="3160" spans="26:26" hidden="1">
      <c r="Z3160" s="11"/>
    </row>
    <row r="3161" spans="26:26" hidden="1">
      <c r="Z3161" s="11"/>
    </row>
    <row r="3162" spans="26:26" hidden="1">
      <c r="Z3162" s="11"/>
    </row>
    <row r="3163" spans="26:26" hidden="1">
      <c r="Z3163" s="11"/>
    </row>
    <row r="3164" spans="26:26" hidden="1">
      <c r="Z3164" s="11"/>
    </row>
    <row r="3165" spans="26:26" hidden="1">
      <c r="Z3165" s="11"/>
    </row>
    <row r="3166" spans="26:26" hidden="1">
      <c r="Z3166" s="11"/>
    </row>
    <row r="3167" spans="26:26" hidden="1">
      <c r="Z3167" s="11"/>
    </row>
    <row r="3168" spans="26:26" hidden="1">
      <c r="Z3168" s="11"/>
    </row>
    <row r="3169" spans="26:26" hidden="1">
      <c r="Z3169" s="11"/>
    </row>
    <row r="3170" spans="26:26" hidden="1">
      <c r="Z3170" s="11"/>
    </row>
    <row r="3171" spans="26:26" hidden="1">
      <c r="Z3171" s="11"/>
    </row>
    <row r="3172" spans="26:26" hidden="1">
      <c r="Z3172" s="11"/>
    </row>
    <row r="3173" spans="26:26" hidden="1">
      <c r="Z3173" s="11"/>
    </row>
    <row r="3174" spans="26:26" hidden="1">
      <c r="Z3174" s="11"/>
    </row>
    <row r="3175" spans="26:26" hidden="1">
      <c r="Z3175" s="11"/>
    </row>
    <row r="3176" spans="26:26" hidden="1">
      <c r="Z3176" s="11"/>
    </row>
    <row r="3177" spans="26:26" hidden="1">
      <c r="Z3177" s="11"/>
    </row>
    <row r="3178" spans="26:26" hidden="1">
      <c r="Z3178" s="11"/>
    </row>
    <row r="3179" spans="26:26" hidden="1">
      <c r="Z3179" s="11"/>
    </row>
    <row r="3180" spans="26:26" hidden="1">
      <c r="Z3180" s="11"/>
    </row>
    <row r="3181" spans="26:26" hidden="1">
      <c r="Z3181" s="11"/>
    </row>
    <row r="3182" spans="26:26" hidden="1">
      <c r="Z3182" s="11"/>
    </row>
    <row r="3183" spans="26:26" hidden="1">
      <c r="Z3183" s="11"/>
    </row>
    <row r="3184" spans="26:26" hidden="1">
      <c r="Z3184" s="11"/>
    </row>
    <row r="3185" spans="26:26" hidden="1">
      <c r="Z3185" s="11"/>
    </row>
    <row r="3186" spans="26:26" hidden="1">
      <c r="Z3186" s="11"/>
    </row>
    <row r="3187" spans="26:26" hidden="1">
      <c r="Z3187" s="11"/>
    </row>
    <row r="3188" spans="26:26" hidden="1">
      <c r="Z3188" s="11"/>
    </row>
    <row r="3189" spans="26:26" hidden="1">
      <c r="Z3189" s="11"/>
    </row>
    <row r="3190" spans="26:26" hidden="1">
      <c r="Z3190" s="11"/>
    </row>
    <row r="3191" spans="26:26" hidden="1">
      <c r="Z3191" s="11"/>
    </row>
    <row r="3192" spans="26:26" hidden="1">
      <c r="Z3192" s="11"/>
    </row>
    <row r="3193" spans="26:26" hidden="1">
      <c r="Z3193" s="11"/>
    </row>
    <row r="3194" spans="26:26" hidden="1">
      <c r="Z3194" s="11"/>
    </row>
    <row r="3195" spans="26:26" hidden="1">
      <c r="Z3195" s="11"/>
    </row>
    <row r="3196" spans="26:26" hidden="1">
      <c r="Z3196" s="11"/>
    </row>
    <row r="3197" spans="26:26" hidden="1">
      <c r="Z3197" s="11"/>
    </row>
    <row r="3198" spans="26:26" hidden="1">
      <c r="Z3198" s="11"/>
    </row>
    <row r="3199" spans="26:26" hidden="1">
      <c r="Z3199" s="11"/>
    </row>
    <row r="3200" spans="26:26" hidden="1">
      <c r="Z3200" s="11"/>
    </row>
    <row r="3201" spans="26:26" hidden="1">
      <c r="Z3201" s="11"/>
    </row>
    <row r="3202" spans="26:26" hidden="1">
      <c r="Z3202" s="11"/>
    </row>
    <row r="3203" spans="26:26" hidden="1">
      <c r="Z3203" s="11"/>
    </row>
    <row r="3204" spans="26:26" hidden="1">
      <c r="Z3204" s="11"/>
    </row>
    <row r="3205" spans="26:26" hidden="1">
      <c r="Z3205" s="11"/>
    </row>
    <row r="3206" spans="26:26" hidden="1">
      <c r="Z3206" s="11"/>
    </row>
    <row r="3207" spans="26:26" hidden="1">
      <c r="Z3207" s="11"/>
    </row>
    <row r="3208" spans="26:26" hidden="1">
      <c r="Z3208" s="11"/>
    </row>
    <row r="3209" spans="26:26" hidden="1">
      <c r="Z3209" s="11"/>
    </row>
    <row r="3210" spans="26:26" hidden="1">
      <c r="Z3210" s="11"/>
    </row>
    <row r="3211" spans="26:26" hidden="1">
      <c r="Z3211" s="11"/>
    </row>
    <row r="3212" spans="26:26" hidden="1">
      <c r="Z3212" s="11"/>
    </row>
    <row r="3213" spans="26:26" hidden="1">
      <c r="Z3213" s="11"/>
    </row>
    <row r="3214" spans="26:26" hidden="1">
      <c r="Z3214" s="11"/>
    </row>
    <row r="3215" spans="26:26" hidden="1">
      <c r="Z3215" s="11"/>
    </row>
    <row r="3216" spans="26:26" hidden="1">
      <c r="Z3216" s="11"/>
    </row>
    <row r="3217" spans="26:26" hidden="1">
      <c r="Z3217" s="11"/>
    </row>
    <row r="3218" spans="26:26" hidden="1">
      <c r="Z3218" s="11"/>
    </row>
    <row r="3219" spans="26:26" hidden="1">
      <c r="Z3219" s="11"/>
    </row>
    <row r="3220" spans="26:26" hidden="1">
      <c r="Z3220" s="11"/>
    </row>
    <row r="3221" spans="26:26" hidden="1">
      <c r="Z3221" s="11"/>
    </row>
    <row r="3222" spans="26:26" hidden="1">
      <c r="Z3222" s="11"/>
    </row>
    <row r="3223" spans="26:26" hidden="1">
      <c r="Z3223" s="11"/>
    </row>
    <row r="3224" spans="26:26" hidden="1">
      <c r="Z3224" s="11"/>
    </row>
    <row r="3225" spans="26:26" hidden="1">
      <c r="Z3225" s="11"/>
    </row>
    <row r="3226" spans="26:26" hidden="1">
      <c r="Z3226" s="11"/>
    </row>
    <row r="3227" spans="26:26" hidden="1">
      <c r="Z3227" s="11"/>
    </row>
    <row r="3228" spans="26:26" hidden="1">
      <c r="Z3228" s="11"/>
    </row>
    <row r="3229" spans="26:26" hidden="1">
      <c r="Z3229" s="11"/>
    </row>
    <row r="3230" spans="26:26" hidden="1">
      <c r="Z3230" s="11"/>
    </row>
    <row r="3231" spans="26:26" hidden="1">
      <c r="Z3231" s="11"/>
    </row>
    <row r="3232" spans="26:26" hidden="1">
      <c r="Z3232" s="11"/>
    </row>
    <row r="3233" spans="26:26" hidden="1">
      <c r="Z3233" s="11"/>
    </row>
    <row r="3234" spans="26:26" hidden="1">
      <c r="Z3234" s="11"/>
    </row>
    <row r="3235" spans="26:26" hidden="1">
      <c r="Z3235" s="11"/>
    </row>
    <row r="3236" spans="26:26" hidden="1">
      <c r="Z3236" s="11"/>
    </row>
    <row r="3237" spans="26:26" hidden="1">
      <c r="Z3237" s="11"/>
    </row>
    <row r="3238" spans="26:26" hidden="1">
      <c r="Z3238" s="11"/>
    </row>
    <row r="3239" spans="26:26" hidden="1">
      <c r="Z3239" s="11"/>
    </row>
    <row r="3240" spans="26:26" hidden="1">
      <c r="Z3240" s="11"/>
    </row>
    <row r="3241" spans="26:26" hidden="1">
      <c r="Z3241" s="11"/>
    </row>
    <row r="3242" spans="26:26" hidden="1">
      <c r="Z3242" s="11"/>
    </row>
    <row r="3243" spans="26:26" hidden="1">
      <c r="Z3243" s="11"/>
    </row>
    <row r="3244" spans="26:26" hidden="1">
      <c r="Z3244" s="11"/>
    </row>
    <row r="3245" spans="26:26" hidden="1">
      <c r="Z3245" s="11"/>
    </row>
    <row r="3246" spans="26:26" hidden="1">
      <c r="Z3246" s="11"/>
    </row>
    <row r="3247" spans="26:26" hidden="1">
      <c r="Z3247" s="11"/>
    </row>
    <row r="3248" spans="26:26" hidden="1">
      <c r="Z3248" s="11"/>
    </row>
    <row r="3249" spans="26:26" hidden="1">
      <c r="Z3249" s="11"/>
    </row>
    <row r="3250" spans="26:26" hidden="1">
      <c r="Z3250" s="11"/>
    </row>
    <row r="3251" spans="26:26" hidden="1">
      <c r="Z3251" s="11"/>
    </row>
    <row r="3252" spans="26:26" hidden="1">
      <c r="Z3252" s="11"/>
    </row>
    <row r="3253" spans="26:26" hidden="1">
      <c r="Z3253" s="11"/>
    </row>
    <row r="3254" spans="26:26" hidden="1">
      <c r="Z3254" s="11"/>
    </row>
    <row r="3255" spans="26:26" hidden="1">
      <c r="Z3255" s="11"/>
    </row>
    <row r="3256" spans="26:26" hidden="1">
      <c r="Z3256" s="11"/>
    </row>
    <row r="3257" spans="26:26" hidden="1">
      <c r="Z3257" s="11"/>
    </row>
    <row r="3258" spans="26:26" hidden="1">
      <c r="Z3258" s="11"/>
    </row>
    <row r="3259" spans="26:26" hidden="1">
      <c r="Z3259" s="11"/>
    </row>
    <row r="3260" spans="26:26" hidden="1">
      <c r="Z3260" s="11"/>
    </row>
    <row r="3261" spans="26:26" hidden="1">
      <c r="Z3261" s="11"/>
    </row>
    <row r="3262" spans="26:26" hidden="1">
      <c r="Z3262" s="11"/>
    </row>
    <row r="3263" spans="26:26" hidden="1">
      <c r="Z3263" s="11"/>
    </row>
    <row r="3264" spans="26:26" hidden="1">
      <c r="Z3264" s="11"/>
    </row>
    <row r="3265" spans="26:26" hidden="1">
      <c r="Z3265" s="11"/>
    </row>
    <row r="3266" spans="26:26" hidden="1">
      <c r="Z3266" s="11"/>
    </row>
    <row r="3267" spans="26:26" hidden="1">
      <c r="Z3267" s="11"/>
    </row>
    <row r="3268" spans="26:26" hidden="1">
      <c r="Z3268" s="11"/>
    </row>
    <row r="3269" spans="26:26" hidden="1">
      <c r="Z3269" s="11"/>
    </row>
    <row r="3270" spans="26:26" hidden="1">
      <c r="Z3270" s="11"/>
    </row>
    <row r="3271" spans="26:26" hidden="1">
      <c r="Z3271" s="11"/>
    </row>
    <row r="3272" spans="26:26" hidden="1">
      <c r="Z3272" s="11"/>
    </row>
    <row r="3273" spans="26:26" hidden="1">
      <c r="Z3273" s="11"/>
    </row>
    <row r="3274" spans="26:26" hidden="1">
      <c r="Z3274" s="11"/>
    </row>
    <row r="3275" spans="26:26" hidden="1">
      <c r="Z3275" s="11"/>
    </row>
    <row r="3276" spans="26:26" hidden="1">
      <c r="Z3276" s="11"/>
    </row>
    <row r="3277" spans="26:26" hidden="1">
      <c r="Z3277" s="11"/>
    </row>
    <row r="3278" spans="26:26" hidden="1">
      <c r="Z3278" s="11"/>
    </row>
    <row r="3279" spans="26:26" hidden="1">
      <c r="Z3279" s="11"/>
    </row>
    <row r="3280" spans="26:26" hidden="1">
      <c r="Z3280" s="11"/>
    </row>
    <row r="3281" spans="26:26" hidden="1">
      <c r="Z3281" s="11"/>
    </row>
    <row r="3282" spans="26:26" hidden="1">
      <c r="Z3282" s="11"/>
    </row>
    <row r="3283" spans="26:26" hidden="1">
      <c r="Z3283" s="11"/>
    </row>
    <row r="3284" spans="26:26" hidden="1">
      <c r="Z3284" s="11"/>
    </row>
    <row r="3285" spans="26:26" hidden="1">
      <c r="Z3285" s="11"/>
    </row>
    <row r="3286" spans="26:26" hidden="1">
      <c r="Z3286" s="11"/>
    </row>
    <row r="3287" spans="26:26" hidden="1">
      <c r="Z3287" s="11"/>
    </row>
    <row r="3288" spans="26:26" hidden="1">
      <c r="Z3288" s="11"/>
    </row>
    <row r="3289" spans="26:26" hidden="1">
      <c r="Z3289" s="11"/>
    </row>
    <row r="3290" spans="26:26" hidden="1">
      <c r="Z3290" s="11"/>
    </row>
    <row r="3291" spans="26:26" hidden="1">
      <c r="Z3291" s="11"/>
    </row>
    <row r="3292" spans="26:26" hidden="1">
      <c r="Z3292" s="11"/>
    </row>
    <row r="3293" spans="26:26" hidden="1">
      <c r="Z3293" s="11"/>
    </row>
    <row r="3294" spans="26:26" hidden="1">
      <c r="Z3294" s="11"/>
    </row>
    <row r="3295" spans="26:26" hidden="1">
      <c r="Z3295" s="11"/>
    </row>
    <row r="3296" spans="26:26" hidden="1">
      <c r="Z3296" s="11"/>
    </row>
    <row r="3297" spans="26:26" hidden="1">
      <c r="Z3297" s="11"/>
    </row>
    <row r="3298" spans="26:26" hidden="1">
      <c r="Z3298" s="11"/>
    </row>
    <row r="3299" spans="26:26" hidden="1">
      <c r="Z3299" s="11"/>
    </row>
    <row r="3300" spans="26:26" hidden="1">
      <c r="Z3300" s="11"/>
    </row>
    <row r="3301" spans="26:26" hidden="1">
      <c r="Z3301" s="11"/>
    </row>
    <row r="3302" spans="26:26" hidden="1">
      <c r="Z3302" s="11"/>
    </row>
    <row r="3303" spans="26:26" hidden="1">
      <c r="Z3303" s="11"/>
    </row>
    <row r="3304" spans="26:26" hidden="1">
      <c r="Z3304" s="11"/>
    </row>
    <row r="3305" spans="26:26" hidden="1">
      <c r="Z3305" s="11"/>
    </row>
    <row r="3306" spans="26:26" hidden="1">
      <c r="Z3306" s="11"/>
    </row>
    <row r="3307" spans="26:26" hidden="1">
      <c r="Z3307" s="11"/>
    </row>
    <row r="3308" spans="26:26" hidden="1">
      <c r="Z3308" s="11"/>
    </row>
    <row r="3309" spans="26:26" hidden="1">
      <c r="Z3309" s="11"/>
    </row>
    <row r="3310" spans="26:26" hidden="1">
      <c r="Z3310" s="11"/>
    </row>
    <row r="3311" spans="26:26" hidden="1">
      <c r="Z3311" s="11"/>
    </row>
    <row r="3312" spans="26:26" hidden="1">
      <c r="Z3312" s="11"/>
    </row>
    <row r="3313" spans="26:26" hidden="1">
      <c r="Z3313" s="11"/>
    </row>
    <row r="3314" spans="26:26" hidden="1">
      <c r="Z3314" s="11"/>
    </row>
    <row r="3315" spans="26:26" hidden="1">
      <c r="Z3315" s="11"/>
    </row>
    <row r="3316" spans="26:26" hidden="1">
      <c r="Z3316" s="11"/>
    </row>
    <row r="3317" spans="26:26" hidden="1">
      <c r="Z3317" s="11"/>
    </row>
    <row r="3318" spans="26:26" hidden="1">
      <c r="Z3318" s="11"/>
    </row>
    <row r="3319" spans="26:26" hidden="1">
      <c r="Z3319" s="11"/>
    </row>
    <row r="3320" spans="26:26" hidden="1">
      <c r="Z3320" s="11"/>
    </row>
    <row r="3321" spans="26:26" hidden="1">
      <c r="Z3321" s="11"/>
    </row>
    <row r="3322" spans="26:26" hidden="1">
      <c r="Z3322" s="11"/>
    </row>
    <row r="3323" spans="26:26" hidden="1">
      <c r="Z3323" s="11"/>
    </row>
    <row r="3324" spans="26:26" hidden="1">
      <c r="Z3324" s="11"/>
    </row>
    <row r="3325" spans="26:26" hidden="1">
      <c r="Z3325" s="11"/>
    </row>
    <row r="3326" spans="26:26" hidden="1">
      <c r="Z3326" s="11"/>
    </row>
    <row r="3327" spans="26:26" hidden="1">
      <c r="Z3327" s="11"/>
    </row>
    <row r="3328" spans="26:26" hidden="1">
      <c r="Z3328" s="11"/>
    </row>
    <row r="3329" spans="26:26" hidden="1">
      <c r="Z3329" s="11"/>
    </row>
    <row r="3330" spans="26:26" hidden="1">
      <c r="Z3330" s="11"/>
    </row>
    <row r="3331" spans="26:26" hidden="1">
      <c r="Z3331" s="11"/>
    </row>
    <row r="3332" spans="26:26" hidden="1">
      <c r="Z3332" s="11"/>
    </row>
    <row r="3333" spans="26:26" hidden="1">
      <c r="Z3333" s="11"/>
    </row>
    <row r="3334" spans="26:26" hidden="1">
      <c r="Z3334" s="11"/>
    </row>
    <row r="3335" spans="26:26" hidden="1">
      <c r="Z3335" s="11"/>
    </row>
    <row r="3336" spans="26:26" hidden="1">
      <c r="Z3336" s="11"/>
    </row>
    <row r="3337" spans="26:26" hidden="1">
      <c r="Z3337" s="11"/>
    </row>
    <row r="3338" spans="26:26" hidden="1">
      <c r="Z3338" s="11"/>
    </row>
    <row r="3339" spans="26:26" hidden="1">
      <c r="Z3339" s="11"/>
    </row>
    <row r="3340" spans="26:26" hidden="1">
      <c r="Z3340" s="11"/>
    </row>
    <row r="3341" spans="26:26" hidden="1">
      <c r="Z3341" s="11"/>
    </row>
    <row r="3342" spans="26:26" hidden="1">
      <c r="Z3342" s="11"/>
    </row>
    <row r="3343" spans="26:26" hidden="1">
      <c r="Z3343" s="11"/>
    </row>
    <row r="3344" spans="26:26" hidden="1">
      <c r="Z3344" s="11"/>
    </row>
    <row r="3345" spans="26:26" hidden="1">
      <c r="Z3345" s="11"/>
    </row>
    <row r="3346" spans="26:26" hidden="1">
      <c r="Z3346" s="11"/>
    </row>
    <row r="3347" spans="26:26" hidden="1">
      <c r="Z3347" s="11"/>
    </row>
    <row r="3348" spans="26:26" hidden="1">
      <c r="Z3348" s="11"/>
    </row>
    <row r="3349" spans="26:26" hidden="1">
      <c r="Z3349" s="11"/>
    </row>
    <row r="3350" spans="26:26" hidden="1">
      <c r="Z3350" s="11"/>
    </row>
    <row r="3351" spans="26:26" hidden="1">
      <c r="Z3351" s="11"/>
    </row>
    <row r="3352" spans="26:26" hidden="1">
      <c r="Z3352" s="11"/>
    </row>
    <row r="3353" spans="26:26" hidden="1">
      <c r="Z3353" s="11"/>
    </row>
    <row r="3354" spans="26:26" hidden="1">
      <c r="Z3354" s="11"/>
    </row>
    <row r="3355" spans="26:26" hidden="1">
      <c r="Z3355" s="11"/>
    </row>
    <row r="3356" spans="26:26" hidden="1">
      <c r="Z3356" s="11"/>
    </row>
    <row r="3357" spans="26:26" hidden="1">
      <c r="Z3357" s="11"/>
    </row>
    <row r="3358" spans="26:26" hidden="1">
      <c r="Z3358" s="11"/>
    </row>
    <row r="3359" spans="26:26" hidden="1">
      <c r="Z3359" s="11"/>
    </row>
    <row r="3360" spans="26:26" hidden="1">
      <c r="Z3360" s="11"/>
    </row>
    <row r="3361" spans="26:26" hidden="1">
      <c r="Z3361" s="11"/>
    </row>
    <row r="3362" spans="26:26" hidden="1">
      <c r="Z3362" s="11"/>
    </row>
    <row r="3363" spans="26:26" hidden="1">
      <c r="Z3363" s="11"/>
    </row>
    <row r="3364" spans="26:26" hidden="1">
      <c r="Z3364" s="11"/>
    </row>
    <row r="3365" spans="26:26" hidden="1">
      <c r="Z3365" s="11"/>
    </row>
    <row r="3366" spans="26:26" hidden="1">
      <c r="Z3366" s="11"/>
    </row>
    <row r="3367" spans="26:26" hidden="1">
      <c r="Z3367" s="11"/>
    </row>
    <row r="3368" spans="26:26" hidden="1">
      <c r="Z3368" s="11"/>
    </row>
    <row r="3369" spans="26:26" hidden="1">
      <c r="Z3369" s="11"/>
    </row>
    <row r="3370" spans="26:26" hidden="1">
      <c r="Z3370" s="11"/>
    </row>
    <row r="3371" spans="26:26" hidden="1">
      <c r="Z3371" s="11"/>
    </row>
    <row r="3372" spans="26:26" hidden="1">
      <c r="Z3372" s="11"/>
    </row>
    <row r="3373" spans="26:26" hidden="1">
      <c r="Z3373" s="11"/>
    </row>
    <row r="3374" spans="26:26" hidden="1">
      <c r="Z3374" s="11"/>
    </row>
    <row r="3375" spans="26:26" hidden="1">
      <c r="Z3375" s="11"/>
    </row>
    <row r="3376" spans="26:26" hidden="1">
      <c r="Z3376" s="11"/>
    </row>
    <row r="3377" spans="26:26" hidden="1">
      <c r="Z3377" s="11"/>
    </row>
    <row r="3378" spans="26:26" hidden="1">
      <c r="Z3378" s="11"/>
    </row>
    <row r="3379" spans="26:26" hidden="1">
      <c r="Z3379" s="11"/>
    </row>
    <row r="3380" spans="26:26" hidden="1">
      <c r="Z3380" s="11"/>
    </row>
    <row r="3381" spans="26:26" hidden="1">
      <c r="Z3381" s="11"/>
    </row>
    <row r="3382" spans="26:26" hidden="1">
      <c r="Z3382" s="11"/>
    </row>
    <row r="3383" spans="26:26" hidden="1">
      <c r="Z3383" s="11"/>
    </row>
    <row r="3384" spans="26:26" hidden="1">
      <c r="Z3384" s="11"/>
    </row>
    <row r="3385" spans="26:26" hidden="1">
      <c r="Z3385" s="11"/>
    </row>
    <row r="3386" spans="26:26" hidden="1">
      <c r="Z3386" s="11"/>
    </row>
    <row r="3387" spans="26:26" hidden="1">
      <c r="Z3387" s="11"/>
    </row>
    <row r="3388" spans="26:26" hidden="1">
      <c r="Z3388" s="11"/>
    </row>
    <row r="3389" spans="26:26" hidden="1">
      <c r="Z3389" s="11"/>
    </row>
    <row r="3390" spans="26:26" hidden="1">
      <c r="Z3390" s="11"/>
    </row>
    <row r="3391" spans="26:26" hidden="1">
      <c r="Z3391" s="11"/>
    </row>
    <row r="3392" spans="26:26" hidden="1">
      <c r="Z3392" s="11"/>
    </row>
    <row r="3393" spans="26:26" hidden="1">
      <c r="Z3393" s="11"/>
    </row>
    <row r="3394" spans="26:26" hidden="1">
      <c r="Z3394" s="11"/>
    </row>
    <row r="3395" spans="26:26" hidden="1">
      <c r="Z3395" s="11"/>
    </row>
    <row r="3396" spans="26:26" hidden="1">
      <c r="Z3396" s="11"/>
    </row>
    <row r="3397" spans="26:26" hidden="1">
      <c r="Z3397" s="11"/>
    </row>
    <row r="3398" spans="26:26" hidden="1">
      <c r="Z3398" s="11"/>
    </row>
    <row r="3399" spans="26:26" hidden="1">
      <c r="Z3399" s="11"/>
    </row>
    <row r="3400" spans="26:26" hidden="1">
      <c r="Z3400" s="11"/>
    </row>
    <row r="3401" spans="26:26" hidden="1">
      <c r="Z3401" s="11"/>
    </row>
    <row r="3402" spans="26:26" hidden="1">
      <c r="Z3402" s="11"/>
    </row>
    <row r="3403" spans="26:26" hidden="1">
      <c r="Z3403" s="11"/>
    </row>
    <row r="3404" spans="26:26" hidden="1">
      <c r="Z3404" s="11"/>
    </row>
    <row r="3405" spans="26:26" hidden="1">
      <c r="Z3405" s="11"/>
    </row>
    <row r="3406" spans="26:26" hidden="1">
      <c r="Z3406" s="11"/>
    </row>
    <row r="3407" spans="26:26" hidden="1">
      <c r="Z3407" s="11"/>
    </row>
    <row r="3408" spans="26:26" hidden="1">
      <c r="Z3408" s="11"/>
    </row>
    <row r="3409" spans="26:26" hidden="1">
      <c r="Z3409" s="11"/>
    </row>
    <row r="3410" spans="26:26" hidden="1">
      <c r="Z3410" s="11"/>
    </row>
    <row r="3411" spans="26:26" hidden="1">
      <c r="Z3411" s="11"/>
    </row>
    <row r="3412" spans="26:26" hidden="1">
      <c r="Z3412" s="11"/>
    </row>
    <row r="3413" spans="26:26" hidden="1">
      <c r="Z3413" s="11"/>
    </row>
    <row r="3414" spans="26:26" hidden="1">
      <c r="Z3414" s="11"/>
    </row>
    <row r="3415" spans="26:26" hidden="1">
      <c r="Z3415" s="11"/>
    </row>
    <row r="3416" spans="26:26" hidden="1">
      <c r="Z3416" s="11"/>
    </row>
    <row r="3417" spans="26:26" hidden="1">
      <c r="Z3417" s="11"/>
    </row>
    <row r="3418" spans="26:26" hidden="1">
      <c r="Z3418" s="11"/>
    </row>
    <row r="3419" spans="26:26" hidden="1">
      <c r="Z3419" s="11"/>
    </row>
    <row r="3420" spans="26:26" hidden="1">
      <c r="Z3420" s="11"/>
    </row>
    <row r="3421" spans="26:26" hidden="1">
      <c r="Z3421" s="11"/>
    </row>
    <row r="3422" spans="26:26" hidden="1">
      <c r="Z3422" s="11"/>
    </row>
    <row r="3423" spans="26:26" hidden="1">
      <c r="Z3423" s="11"/>
    </row>
    <row r="3424" spans="26:26" hidden="1">
      <c r="Z3424" s="11"/>
    </row>
    <row r="3425" spans="26:26" hidden="1">
      <c r="Z3425" s="11"/>
    </row>
    <row r="3426" spans="26:26" hidden="1">
      <c r="Z3426" s="11"/>
    </row>
    <row r="3427" spans="26:26" hidden="1">
      <c r="Z3427" s="11"/>
    </row>
    <row r="3428" spans="26:26" hidden="1">
      <c r="Z3428" s="11"/>
    </row>
    <row r="3429" spans="26:26" hidden="1">
      <c r="Z3429" s="11"/>
    </row>
    <row r="3430" spans="26:26" hidden="1">
      <c r="Z3430" s="11"/>
    </row>
    <row r="3431" spans="26:26" hidden="1">
      <c r="Z3431" s="11"/>
    </row>
    <row r="3432" spans="26:26" hidden="1">
      <c r="Z3432" s="11"/>
    </row>
    <row r="3433" spans="26:26" hidden="1">
      <c r="Z3433" s="11"/>
    </row>
    <row r="3434" spans="26:26" hidden="1">
      <c r="Z3434" s="11"/>
    </row>
    <row r="3435" spans="26:26" hidden="1">
      <c r="Z3435" s="11"/>
    </row>
    <row r="3436" spans="26:26" hidden="1">
      <c r="Z3436" s="11"/>
    </row>
    <row r="3437" spans="26:26" hidden="1">
      <c r="Z3437" s="11"/>
    </row>
    <row r="3438" spans="26:26" hidden="1">
      <c r="Z3438" s="11"/>
    </row>
    <row r="3439" spans="26:26" hidden="1">
      <c r="Z3439" s="11"/>
    </row>
    <row r="3440" spans="26:26" hidden="1">
      <c r="Z3440" s="11"/>
    </row>
    <row r="3441" spans="26:26" hidden="1">
      <c r="Z3441" s="11"/>
    </row>
    <row r="3442" spans="26:26" hidden="1">
      <c r="Z3442" s="11"/>
    </row>
    <row r="3443" spans="26:26" hidden="1">
      <c r="Z3443" s="11"/>
    </row>
    <row r="3444" spans="26:26" hidden="1">
      <c r="Z3444" s="11"/>
    </row>
    <row r="3445" spans="26:26" hidden="1">
      <c r="Z3445" s="11"/>
    </row>
    <row r="3446" spans="26:26" hidden="1">
      <c r="Z3446" s="11"/>
    </row>
    <row r="3447" spans="26:26" hidden="1">
      <c r="Z3447" s="11"/>
    </row>
    <row r="3448" spans="26:26" hidden="1">
      <c r="Z3448" s="11"/>
    </row>
    <row r="3449" spans="26:26" hidden="1">
      <c r="Z3449" s="11"/>
    </row>
    <row r="3450" spans="26:26" hidden="1">
      <c r="Z3450" s="11"/>
    </row>
    <row r="3451" spans="26:26" hidden="1">
      <c r="Z3451" s="11"/>
    </row>
    <row r="3452" spans="26:26" hidden="1">
      <c r="Z3452" s="11"/>
    </row>
    <row r="3453" spans="26:26" hidden="1">
      <c r="Z3453" s="11"/>
    </row>
    <row r="3454" spans="26:26" hidden="1">
      <c r="Z3454" s="11"/>
    </row>
    <row r="3455" spans="26:26" hidden="1">
      <c r="Z3455" s="11"/>
    </row>
    <row r="3456" spans="26:26" hidden="1">
      <c r="Z3456" s="11"/>
    </row>
    <row r="3457" spans="26:26" hidden="1">
      <c r="Z3457" s="11"/>
    </row>
    <row r="3458" spans="26:26" hidden="1">
      <c r="Z3458" s="11"/>
    </row>
    <row r="3459" spans="26:26" hidden="1">
      <c r="Z3459" s="11"/>
    </row>
    <row r="3460" spans="26:26" hidden="1">
      <c r="Z3460" s="11"/>
    </row>
    <row r="3461" spans="26:26" hidden="1">
      <c r="Z3461" s="11"/>
    </row>
    <row r="3462" spans="26:26" hidden="1">
      <c r="Z3462" s="11"/>
    </row>
    <row r="3463" spans="26:26" hidden="1">
      <c r="Z3463" s="11"/>
    </row>
    <row r="3464" spans="26:26" hidden="1">
      <c r="Z3464" s="11"/>
    </row>
    <row r="3465" spans="26:26" hidden="1">
      <c r="Z3465" s="11"/>
    </row>
    <row r="3466" spans="26:26" hidden="1">
      <c r="Z3466" s="11"/>
    </row>
    <row r="3467" spans="26:26" hidden="1">
      <c r="Z3467" s="11"/>
    </row>
    <row r="3468" spans="26:26" hidden="1">
      <c r="Z3468" s="11"/>
    </row>
    <row r="3469" spans="26:26" hidden="1">
      <c r="Z3469" s="11"/>
    </row>
    <row r="3470" spans="26:26" hidden="1">
      <c r="Z3470" s="11"/>
    </row>
    <row r="3471" spans="26:26" hidden="1">
      <c r="Z3471" s="11"/>
    </row>
    <row r="3472" spans="26:26" hidden="1">
      <c r="Z3472" s="11"/>
    </row>
    <row r="3473" spans="26:26" hidden="1">
      <c r="Z3473" s="11"/>
    </row>
    <row r="3474" spans="26:26" hidden="1">
      <c r="Z3474" s="11"/>
    </row>
    <row r="3475" spans="26:26" hidden="1">
      <c r="Z3475" s="11"/>
    </row>
    <row r="3476" spans="26:26" hidden="1">
      <c r="Z3476" s="11"/>
    </row>
    <row r="3477" spans="26:26" hidden="1">
      <c r="Z3477" s="11"/>
    </row>
    <row r="3478" spans="26:26" hidden="1">
      <c r="Z3478" s="11"/>
    </row>
    <row r="3479" spans="26:26" hidden="1">
      <c r="Z3479" s="11"/>
    </row>
    <row r="3480" spans="26:26" hidden="1">
      <c r="Z3480" s="11"/>
    </row>
    <row r="3481" spans="26:26" hidden="1">
      <c r="Z3481" s="11"/>
    </row>
    <row r="3482" spans="26:26" hidden="1">
      <c r="Z3482" s="11"/>
    </row>
    <row r="3483" spans="26:26" hidden="1">
      <c r="Z3483" s="11"/>
    </row>
    <row r="3484" spans="26:26" hidden="1">
      <c r="Z3484" s="11"/>
    </row>
    <row r="3485" spans="26:26" hidden="1">
      <c r="Z3485" s="11"/>
    </row>
    <row r="3486" spans="26:26" hidden="1">
      <c r="Z3486" s="11"/>
    </row>
    <row r="3487" spans="26:26" hidden="1">
      <c r="Z3487" s="11"/>
    </row>
    <row r="3488" spans="26:26" hidden="1">
      <c r="Z3488" s="11"/>
    </row>
    <row r="3489" spans="26:26" hidden="1">
      <c r="Z3489" s="11"/>
    </row>
    <row r="3490" spans="26:26" hidden="1">
      <c r="Z3490" s="11"/>
    </row>
    <row r="3491" spans="26:26" hidden="1">
      <c r="Z3491" s="11"/>
    </row>
    <row r="3492" spans="26:26" hidden="1">
      <c r="Z3492" s="11"/>
    </row>
    <row r="3493" spans="26:26" hidden="1">
      <c r="Z3493" s="11"/>
    </row>
    <row r="3494" spans="26:26" hidden="1">
      <c r="Z3494" s="11"/>
    </row>
    <row r="3495" spans="26:26" hidden="1">
      <c r="Z3495" s="11"/>
    </row>
    <row r="3496" spans="26:26" hidden="1">
      <c r="Z3496" s="11"/>
    </row>
    <row r="3497" spans="26:26" hidden="1">
      <c r="Z3497" s="11"/>
    </row>
    <row r="3498" spans="26:26" hidden="1">
      <c r="Z3498" s="11"/>
    </row>
    <row r="3499" spans="26:26" hidden="1">
      <c r="Z3499" s="11"/>
    </row>
    <row r="3500" spans="26:26" hidden="1">
      <c r="Z3500" s="11"/>
    </row>
    <row r="3501" spans="26:26" hidden="1">
      <c r="Z3501" s="11"/>
    </row>
    <row r="3502" spans="26:26" hidden="1">
      <c r="Z3502" s="11"/>
    </row>
    <row r="3503" spans="26:26" hidden="1">
      <c r="Z3503" s="11"/>
    </row>
    <row r="3504" spans="26:26" hidden="1">
      <c r="Z3504" s="11"/>
    </row>
    <row r="3505" spans="26:26" hidden="1">
      <c r="Z3505" s="11"/>
    </row>
    <row r="3506" spans="26:26" hidden="1">
      <c r="Z3506" s="11"/>
    </row>
    <row r="3507" spans="26:26" hidden="1">
      <c r="Z3507" s="11"/>
    </row>
    <row r="3508" spans="26:26" hidden="1">
      <c r="Z3508" s="11"/>
    </row>
    <row r="3509" spans="26:26" hidden="1">
      <c r="Z3509" s="11"/>
    </row>
    <row r="3510" spans="26:26" hidden="1">
      <c r="Z3510" s="11"/>
    </row>
    <row r="3511" spans="26:26" hidden="1">
      <c r="Z3511" s="11"/>
    </row>
    <row r="3512" spans="26:26" hidden="1">
      <c r="Z3512" s="11"/>
    </row>
    <row r="3513" spans="26:26" hidden="1">
      <c r="Z3513" s="11"/>
    </row>
    <row r="3514" spans="26:26" hidden="1">
      <c r="Z3514" s="11"/>
    </row>
    <row r="3515" spans="26:26" hidden="1">
      <c r="Z3515" s="11"/>
    </row>
    <row r="3516" spans="26:26" hidden="1">
      <c r="Z3516" s="11"/>
    </row>
    <row r="3517" spans="26:26" hidden="1">
      <c r="Z3517" s="11"/>
    </row>
    <row r="3518" spans="26:26" hidden="1">
      <c r="Z3518" s="11"/>
    </row>
    <row r="3519" spans="26:26" hidden="1">
      <c r="Z3519" s="11"/>
    </row>
    <row r="3520" spans="26:26" hidden="1">
      <c r="Z3520" s="11"/>
    </row>
    <row r="3521" spans="26:26" hidden="1">
      <c r="Z3521" s="11"/>
    </row>
    <row r="3522" spans="26:26" hidden="1">
      <c r="Z3522" s="11"/>
    </row>
    <row r="3523" spans="26:26" hidden="1">
      <c r="Z3523" s="11"/>
    </row>
    <row r="3524" spans="26:26" hidden="1">
      <c r="Z3524" s="11"/>
    </row>
    <row r="3525" spans="26:26" hidden="1">
      <c r="Z3525" s="11"/>
    </row>
    <row r="3526" spans="26:26" hidden="1">
      <c r="Z3526" s="11"/>
    </row>
    <row r="3527" spans="26:26" hidden="1">
      <c r="Z3527" s="11"/>
    </row>
    <row r="3528" spans="26:26" hidden="1">
      <c r="Z3528" s="11"/>
    </row>
    <row r="3529" spans="26:26" hidden="1">
      <c r="Z3529" s="11"/>
    </row>
    <row r="3530" spans="26:26" hidden="1">
      <c r="Z3530" s="11"/>
    </row>
    <row r="3531" spans="26:26" hidden="1">
      <c r="Z3531" s="11"/>
    </row>
    <row r="3532" spans="26:26" hidden="1">
      <c r="Z3532" s="11"/>
    </row>
    <row r="3533" spans="26:26" hidden="1">
      <c r="Z3533" s="11"/>
    </row>
    <row r="3534" spans="26:26" hidden="1">
      <c r="Z3534" s="11"/>
    </row>
    <row r="3535" spans="26:26" hidden="1">
      <c r="Z3535" s="11"/>
    </row>
    <row r="3536" spans="26:26" hidden="1">
      <c r="Z3536" s="11"/>
    </row>
    <row r="3537" spans="26:26" hidden="1">
      <c r="Z3537" s="11"/>
    </row>
    <row r="3538" spans="26:26" hidden="1">
      <c r="Z3538" s="11"/>
    </row>
    <row r="3539" spans="26:26" hidden="1">
      <c r="Z3539" s="11"/>
    </row>
    <row r="3540" spans="26:26" hidden="1">
      <c r="Z3540" s="11"/>
    </row>
    <row r="3541" spans="26:26" hidden="1">
      <c r="Z3541" s="11"/>
    </row>
    <row r="3542" spans="26:26" hidden="1">
      <c r="Z3542" s="11"/>
    </row>
    <row r="3543" spans="26:26" hidden="1">
      <c r="Z3543" s="11"/>
    </row>
    <row r="3544" spans="26:26" hidden="1">
      <c r="Z3544" s="11"/>
    </row>
    <row r="3545" spans="26:26" hidden="1">
      <c r="Z3545" s="11"/>
    </row>
    <row r="3546" spans="26:26" hidden="1">
      <c r="Z3546" s="11"/>
    </row>
    <row r="3547" spans="26:26" hidden="1">
      <c r="Z3547" s="11"/>
    </row>
    <row r="3548" spans="26:26" hidden="1">
      <c r="Z3548" s="11"/>
    </row>
    <row r="3549" spans="26:26" hidden="1">
      <c r="Z3549" s="11"/>
    </row>
    <row r="3550" spans="26:26" hidden="1">
      <c r="Z3550" s="11"/>
    </row>
    <row r="3551" spans="26:26" hidden="1">
      <c r="Z3551" s="11"/>
    </row>
    <row r="3552" spans="26:26" hidden="1">
      <c r="Z3552" s="11"/>
    </row>
    <row r="3553" spans="26:26" hidden="1">
      <c r="Z3553" s="11"/>
    </row>
    <row r="3554" spans="26:26" hidden="1">
      <c r="Z3554" s="11"/>
    </row>
    <row r="3555" spans="26:26" hidden="1">
      <c r="Z3555" s="11"/>
    </row>
    <row r="3556" spans="26:26" hidden="1">
      <c r="Z3556" s="11"/>
    </row>
    <row r="3557" spans="26:26" hidden="1">
      <c r="Z3557" s="11"/>
    </row>
    <row r="3558" spans="26:26" hidden="1">
      <c r="Z3558" s="11"/>
    </row>
    <row r="3559" spans="26:26" hidden="1">
      <c r="Z3559" s="11"/>
    </row>
    <row r="3560" spans="26:26" hidden="1">
      <c r="Z3560" s="11"/>
    </row>
    <row r="3561" spans="26:26" hidden="1">
      <c r="Z3561" s="11"/>
    </row>
    <row r="3562" spans="26:26" hidden="1">
      <c r="Z3562" s="11"/>
    </row>
    <row r="3563" spans="26:26" hidden="1">
      <c r="Z3563" s="11"/>
    </row>
    <row r="3564" spans="26:26" hidden="1">
      <c r="Z3564" s="11"/>
    </row>
    <row r="3565" spans="26:26" hidden="1">
      <c r="Z3565" s="11"/>
    </row>
    <row r="3566" spans="26:26" hidden="1">
      <c r="Z3566" s="11"/>
    </row>
    <row r="3567" spans="26:26" hidden="1">
      <c r="Z3567" s="11"/>
    </row>
    <row r="3568" spans="26:26" hidden="1">
      <c r="Z3568" s="11"/>
    </row>
    <row r="3569" spans="26:26" hidden="1">
      <c r="Z3569" s="11"/>
    </row>
    <row r="3570" spans="26:26" hidden="1">
      <c r="Z3570" s="11"/>
    </row>
    <row r="3571" spans="26:26" hidden="1">
      <c r="Z3571" s="11"/>
    </row>
    <row r="3572" spans="26:26" hidden="1">
      <c r="Z3572" s="11"/>
    </row>
    <row r="3573" spans="26:26" hidden="1">
      <c r="Z3573" s="11"/>
    </row>
    <row r="3574" spans="26:26" hidden="1">
      <c r="Z3574" s="11"/>
    </row>
    <row r="3575" spans="26:26" hidden="1">
      <c r="Z3575" s="11"/>
    </row>
    <row r="3576" spans="26:26" hidden="1">
      <c r="Z3576" s="11"/>
    </row>
    <row r="3577" spans="26:26" hidden="1">
      <c r="Z3577" s="11"/>
    </row>
    <row r="3578" spans="26:26" hidden="1">
      <c r="Z3578" s="11"/>
    </row>
    <row r="3579" spans="26:26" hidden="1">
      <c r="Z3579" s="11"/>
    </row>
    <row r="3580" spans="26:26" hidden="1">
      <c r="Z3580" s="11"/>
    </row>
    <row r="3581" spans="26:26" hidden="1">
      <c r="Z3581" s="11"/>
    </row>
    <row r="3582" spans="26:26" hidden="1">
      <c r="Z3582" s="11"/>
    </row>
    <row r="3583" spans="26:26" hidden="1">
      <c r="Z3583" s="11"/>
    </row>
    <row r="3584" spans="26:26" hidden="1">
      <c r="Z3584" s="11"/>
    </row>
    <row r="3585" spans="26:26" hidden="1">
      <c r="Z3585" s="11"/>
    </row>
    <row r="3586" spans="26:26" hidden="1">
      <c r="Z3586" s="11"/>
    </row>
    <row r="3587" spans="26:26" hidden="1">
      <c r="Z3587" s="11"/>
    </row>
    <row r="3588" spans="26:26" hidden="1">
      <c r="Z3588" s="11"/>
    </row>
    <row r="3589" spans="26:26" hidden="1">
      <c r="Z3589" s="11"/>
    </row>
    <row r="3590" spans="26:26" hidden="1">
      <c r="Z3590" s="11"/>
    </row>
    <row r="3591" spans="26:26" hidden="1">
      <c r="Z3591" s="11"/>
    </row>
    <row r="3592" spans="26:26" hidden="1">
      <c r="Z3592" s="11"/>
    </row>
    <row r="3593" spans="26:26" hidden="1">
      <c r="Z3593" s="11"/>
    </row>
    <row r="3594" spans="26:26" hidden="1">
      <c r="Z3594" s="11"/>
    </row>
    <row r="3595" spans="26:26" hidden="1">
      <c r="Z3595" s="11"/>
    </row>
    <row r="3596" spans="26:26" hidden="1">
      <c r="Z3596" s="11"/>
    </row>
    <row r="3597" spans="26:26" hidden="1">
      <c r="Z3597" s="11"/>
    </row>
    <row r="3598" spans="26:26" hidden="1">
      <c r="Z3598" s="11"/>
    </row>
    <row r="3599" spans="26:26" hidden="1">
      <c r="Z3599" s="11"/>
    </row>
    <row r="3600" spans="26:26" hidden="1">
      <c r="Z3600" s="11"/>
    </row>
    <row r="3601" spans="26:26" hidden="1">
      <c r="Z3601" s="11"/>
    </row>
    <row r="3602" spans="26:26" hidden="1">
      <c r="Z3602" s="11"/>
    </row>
    <row r="3603" spans="26:26" hidden="1">
      <c r="Z3603" s="11"/>
    </row>
    <row r="3604" spans="26:26" hidden="1">
      <c r="Z3604" s="11"/>
    </row>
    <row r="3605" spans="26:26" hidden="1">
      <c r="Z3605" s="11"/>
    </row>
    <row r="3606" spans="26:26" hidden="1">
      <c r="Z3606" s="11"/>
    </row>
    <row r="3607" spans="26:26" hidden="1">
      <c r="Z3607" s="11"/>
    </row>
    <row r="3608" spans="26:26" hidden="1">
      <c r="Z3608" s="11"/>
    </row>
    <row r="3609" spans="26:26" hidden="1">
      <c r="Z3609" s="11"/>
    </row>
    <row r="3610" spans="26:26" hidden="1">
      <c r="Z3610" s="11"/>
    </row>
    <row r="3611" spans="26:26" hidden="1">
      <c r="Z3611" s="11"/>
    </row>
    <row r="3612" spans="26:26" hidden="1">
      <c r="Z3612" s="11"/>
    </row>
    <row r="3613" spans="26:26" hidden="1">
      <c r="Z3613" s="11"/>
    </row>
    <row r="3614" spans="26:26" hidden="1">
      <c r="Z3614" s="11"/>
    </row>
    <row r="3615" spans="26:26" hidden="1">
      <c r="Z3615" s="11"/>
    </row>
    <row r="3616" spans="26:26" hidden="1">
      <c r="Z3616" s="11"/>
    </row>
    <row r="3617" spans="26:26" hidden="1">
      <c r="Z3617" s="11"/>
    </row>
    <row r="3618" spans="26:26" hidden="1">
      <c r="Z3618" s="11"/>
    </row>
    <row r="3619" spans="26:26" hidden="1">
      <c r="Z3619" s="11"/>
    </row>
    <row r="3620" spans="26:26" hidden="1">
      <c r="Z3620" s="11"/>
    </row>
    <row r="3621" spans="26:26" hidden="1">
      <c r="Z3621" s="11"/>
    </row>
    <row r="3622" spans="26:26" hidden="1">
      <c r="Z3622" s="11"/>
    </row>
    <row r="3623" spans="26:26" hidden="1">
      <c r="Z3623" s="11"/>
    </row>
    <row r="3624" spans="26:26" hidden="1">
      <c r="Z3624" s="11"/>
    </row>
    <row r="3625" spans="26:26" hidden="1">
      <c r="Z3625" s="11"/>
    </row>
    <row r="3626" spans="26:26" hidden="1">
      <c r="Z3626" s="11"/>
    </row>
    <row r="3627" spans="26:26" hidden="1">
      <c r="Z3627" s="11"/>
    </row>
    <row r="3628" spans="26:26" hidden="1">
      <c r="Z3628" s="11"/>
    </row>
    <row r="3629" spans="26:26" hidden="1">
      <c r="Z3629" s="11"/>
    </row>
    <row r="3630" spans="26:26" hidden="1">
      <c r="Z3630" s="11"/>
    </row>
    <row r="3631" spans="26:26" hidden="1">
      <c r="Z3631" s="11"/>
    </row>
    <row r="3632" spans="26:26" hidden="1">
      <c r="Z3632" s="11"/>
    </row>
    <row r="3633" spans="26:26" hidden="1">
      <c r="Z3633" s="11"/>
    </row>
    <row r="3634" spans="26:26" hidden="1">
      <c r="Z3634" s="11"/>
    </row>
    <row r="3635" spans="26:26" hidden="1">
      <c r="Z3635" s="11"/>
    </row>
    <row r="3636" spans="26:26" hidden="1">
      <c r="Z3636" s="11"/>
    </row>
    <row r="3637" spans="26:26" hidden="1">
      <c r="Z3637" s="11"/>
    </row>
    <row r="3638" spans="26:26" hidden="1">
      <c r="Z3638" s="11"/>
    </row>
    <row r="3639" spans="26:26" hidden="1">
      <c r="Z3639" s="11"/>
    </row>
    <row r="3640" spans="26:26" hidden="1">
      <c r="Z3640" s="11"/>
    </row>
    <row r="3641" spans="26:26" hidden="1">
      <c r="Z3641" s="11"/>
    </row>
    <row r="3642" spans="26:26" hidden="1">
      <c r="Z3642" s="11"/>
    </row>
    <row r="3643" spans="26:26" hidden="1">
      <c r="Z3643" s="11"/>
    </row>
    <row r="3644" spans="26:26" hidden="1">
      <c r="Z3644" s="11"/>
    </row>
    <row r="3645" spans="26:26" hidden="1">
      <c r="Z3645" s="11"/>
    </row>
    <row r="3646" spans="26:26" hidden="1">
      <c r="Z3646" s="11"/>
    </row>
    <row r="3647" spans="26:26" hidden="1">
      <c r="Z3647" s="11"/>
    </row>
    <row r="3648" spans="26:26" hidden="1">
      <c r="Z3648" s="11"/>
    </row>
    <row r="3649" spans="26:26" hidden="1">
      <c r="Z3649" s="11"/>
    </row>
    <row r="3650" spans="26:26" hidden="1">
      <c r="Z3650" s="11"/>
    </row>
    <row r="3651" spans="26:26" hidden="1">
      <c r="Z3651" s="11"/>
    </row>
    <row r="3652" spans="26:26" hidden="1">
      <c r="Z3652" s="11"/>
    </row>
    <row r="3653" spans="26:26" hidden="1">
      <c r="Z3653" s="11"/>
    </row>
    <row r="3654" spans="26:26" hidden="1">
      <c r="Z3654" s="11"/>
    </row>
    <row r="3655" spans="26:26" hidden="1">
      <c r="Z3655" s="11"/>
    </row>
    <row r="3656" spans="26:26" hidden="1">
      <c r="Z3656" s="11"/>
    </row>
    <row r="3657" spans="26:26" hidden="1">
      <c r="Z3657" s="11"/>
    </row>
    <row r="3658" spans="26:26" hidden="1">
      <c r="Z3658" s="11"/>
    </row>
    <row r="3659" spans="26:26" hidden="1">
      <c r="Z3659" s="11"/>
    </row>
    <row r="3660" spans="26:26" hidden="1">
      <c r="Z3660" s="11"/>
    </row>
    <row r="3661" spans="26:26" hidden="1">
      <c r="Z3661" s="11"/>
    </row>
    <row r="3662" spans="26:26" hidden="1">
      <c r="Z3662" s="11"/>
    </row>
    <row r="3663" spans="26:26" hidden="1">
      <c r="Z3663" s="11"/>
    </row>
    <row r="3664" spans="26:26" hidden="1">
      <c r="Z3664" s="11"/>
    </row>
    <row r="3665" spans="26:26" hidden="1">
      <c r="Z3665" s="11"/>
    </row>
    <row r="3666" spans="26:26" hidden="1">
      <c r="Z3666" s="11"/>
    </row>
    <row r="3667" spans="26:26" hidden="1">
      <c r="Z3667" s="11"/>
    </row>
    <row r="3668" spans="26:26" hidden="1">
      <c r="Z3668" s="11"/>
    </row>
    <row r="3669" spans="26:26" hidden="1">
      <c r="Z3669" s="11"/>
    </row>
    <row r="3670" spans="26:26" hidden="1">
      <c r="Z3670" s="11"/>
    </row>
    <row r="3671" spans="26:26" hidden="1">
      <c r="Z3671" s="11"/>
    </row>
    <row r="3672" spans="26:26" hidden="1">
      <c r="Z3672" s="11"/>
    </row>
    <row r="3673" spans="26:26" hidden="1">
      <c r="Z3673" s="11"/>
    </row>
    <row r="3674" spans="26:26" hidden="1">
      <c r="Z3674" s="11"/>
    </row>
    <row r="3675" spans="26:26" hidden="1">
      <c r="Z3675" s="11"/>
    </row>
    <row r="3676" spans="26:26" hidden="1">
      <c r="Z3676" s="11"/>
    </row>
    <row r="3677" spans="26:26" hidden="1">
      <c r="Z3677" s="11"/>
    </row>
    <row r="3678" spans="26:26" hidden="1">
      <c r="Z3678" s="11"/>
    </row>
    <row r="3679" spans="26:26" hidden="1">
      <c r="Z3679" s="11"/>
    </row>
    <row r="3680" spans="26:26" hidden="1">
      <c r="Z3680" s="11"/>
    </row>
    <row r="3681" spans="26:26" hidden="1">
      <c r="Z3681" s="11"/>
    </row>
    <row r="3682" spans="26:26" hidden="1">
      <c r="Z3682" s="11"/>
    </row>
    <row r="3683" spans="26:26" hidden="1">
      <c r="Z3683" s="11"/>
    </row>
    <row r="3684" spans="26:26" hidden="1">
      <c r="Z3684" s="11"/>
    </row>
    <row r="3685" spans="26:26" hidden="1">
      <c r="Z3685" s="11"/>
    </row>
    <row r="3686" spans="26:26" hidden="1">
      <c r="Z3686" s="11"/>
    </row>
    <row r="3687" spans="26:26" hidden="1">
      <c r="Z3687" s="11"/>
    </row>
    <row r="3688" spans="26:26" hidden="1">
      <c r="Z3688" s="11"/>
    </row>
    <row r="3689" spans="26:26" hidden="1">
      <c r="Z3689" s="11"/>
    </row>
    <row r="3690" spans="26:26" hidden="1">
      <c r="Z3690" s="11"/>
    </row>
    <row r="3691" spans="26:26" hidden="1">
      <c r="Z3691" s="11"/>
    </row>
    <row r="3692" spans="26:26" hidden="1">
      <c r="Z3692" s="11"/>
    </row>
    <row r="3693" spans="26:26" hidden="1">
      <c r="Z3693" s="11"/>
    </row>
    <row r="3694" spans="26:26" hidden="1">
      <c r="Z3694" s="11"/>
    </row>
    <row r="3695" spans="26:26" hidden="1">
      <c r="Z3695" s="11"/>
    </row>
    <row r="3696" spans="26:26" hidden="1">
      <c r="Z3696" s="11"/>
    </row>
    <row r="3697" spans="26:26" hidden="1">
      <c r="Z3697" s="11"/>
    </row>
    <row r="3698" spans="26:26" hidden="1">
      <c r="Z3698" s="11"/>
    </row>
    <row r="3699" spans="26:26" hidden="1">
      <c r="Z3699" s="11"/>
    </row>
    <row r="3700" spans="26:26" hidden="1">
      <c r="Z3700" s="11"/>
    </row>
    <row r="3701" spans="26:26" hidden="1">
      <c r="Z3701" s="11"/>
    </row>
    <row r="3702" spans="26:26" hidden="1">
      <c r="Z3702" s="11"/>
    </row>
    <row r="3703" spans="26:26" hidden="1">
      <c r="Z3703" s="11"/>
    </row>
    <row r="3704" spans="26:26" hidden="1">
      <c r="Z3704" s="11"/>
    </row>
    <row r="3705" spans="26:26" hidden="1">
      <c r="Z3705" s="11"/>
    </row>
    <row r="3706" spans="26:26" hidden="1">
      <c r="Z3706" s="11"/>
    </row>
    <row r="3707" spans="26:26" hidden="1">
      <c r="Z3707" s="11"/>
    </row>
    <row r="3708" spans="26:26" hidden="1">
      <c r="Z3708" s="11"/>
    </row>
    <row r="3709" spans="26:26" hidden="1">
      <c r="Z3709" s="11"/>
    </row>
    <row r="3710" spans="26:26" hidden="1">
      <c r="Z3710" s="11"/>
    </row>
    <row r="3711" spans="26:26" hidden="1">
      <c r="Z3711" s="11"/>
    </row>
    <row r="3712" spans="26:26" hidden="1">
      <c r="Z3712" s="11"/>
    </row>
    <row r="3713" spans="26:26" hidden="1">
      <c r="Z3713" s="11"/>
    </row>
    <row r="3714" spans="26:26" hidden="1">
      <c r="Z3714" s="11"/>
    </row>
    <row r="3715" spans="26:26" hidden="1">
      <c r="Z3715" s="11"/>
    </row>
    <row r="3716" spans="26:26" hidden="1">
      <c r="Z3716" s="11"/>
    </row>
    <row r="3717" spans="26:26" hidden="1">
      <c r="Z3717" s="11"/>
    </row>
    <row r="3718" spans="26:26" hidden="1">
      <c r="Z3718" s="11"/>
    </row>
    <row r="3719" spans="26:26" hidden="1">
      <c r="Z3719" s="11"/>
    </row>
    <row r="3720" spans="26:26" hidden="1">
      <c r="Z3720" s="11"/>
    </row>
    <row r="3721" spans="26:26" hidden="1">
      <c r="Z3721" s="11"/>
    </row>
    <row r="3722" spans="26:26" hidden="1">
      <c r="Z3722" s="11"/>
    </row>
    <row r="3723" spans="26:26" hidden="1">
      <c r="Z3723" s="11"/>
    </row>
    <row r="3724" spans="26:26" hidden="1">
      <c r="Z3724" s="11"/>
    </row>
    <row r="3725" spans="26:26" hidden="1">
      <c r="Z3725" s="11"/>
    </row>
    <row r="3726" spans="26:26" hidden="1">
      <c r="Z3726" s="11"/>
    </row>
    <row r="3727" spans="26:26" hidden="1">
      <c r="Z3727" s="11"/>
    </row>
    <row r="3728" spans="26:26" hidden="1">
      <c r="Z3728" s="11"/>
    </row>
    <row r="3729" spans="26:26" hidden="1">
      <c r="Z3729" s="11"/>
    </row>
    <row r="3730" spans="26:26" hidden="1">
      <c r="Z3730" s="11"/>
    </row>
    <row r="3731" spans="26:26" hidden="1">
      <c r="Z3731" s="11"/>
    </row>
    <row r="3732" spans="26:26" hidden="1">
      <c r="Z3732" s="11"/>
    </row>
    <row r="3733" spans="26:26" hidden="1">
      <c r="Z3733" s="11"/>
    </row>
    <row r="3734" spans="26:26" hidden="1">
      <c r="Z3734" s="11"/>
    </row>
    <row r="3735" spans="26:26" hidden="1">
      <c r="Z3735" s="11"/>
    </row>
    <row r="3736" spans="26:26" hidden="1">
      <c r="Z3736" s="11"/>
    </row>
    <row r="3737" spans="26:26" hidden="1">
      <c r="Z3737" s="11"/>
    </row>
    <row r="3738" spans="26:26" hidden="1">
      <c r="Z3738" s="11"/>
    </row>
    <row r="3739" spans="26:26" hidden="1">
      <c r="Z3739" s="11"/>
    </row>
    <row r="3740" spans="26:26" hidden="1">
      <c r="Z3740" s="11"/>
    </row>
    <row r="3741" spans="26:26" hidden="1">
      <c r="Z3741" s="11"/>
    </row>
    <row r="3742" spans="26:26" hidden="1">
      <c r="Z3742" s="11"/>
    </row>
    <row r="3743" spans="26:26" hidden="1">
      <c r="Z3743" s="11"/>
    </row>
    <row r="3744" spans="26:26" hidden="1">
      <c r="Z3744" s="11"/>
    </row>
    <row r="3745" spans="26:26" hidden="1">
      <c r="Z3745" s="11"/>
    </row>
    <row r="3746" spans="26:26" hidden="1">
      <c r="Z3746" s="11"/>
    </row>
    <row r="3747" spans="26:26" hidden="1">
      <c r="Z3747" s="11"/>
    </row>
    <row r="3748" spans="26:26" hidden="1">
      <c r="Z3748" s="11"/>
    </row>
    <row r="3749" spans="26:26" hidden="1">
      <c r="Z3749" s="11"/>
    </row>
    <row r="3750" spans="26:26" hidden="1">
      <c r="Z3750" s="11"/>
    </row>
    <row r="3751" spans="26:26" hidden="1">
      <c r="Z3751" s="11"/>
    </row>
    <row r="3752" spans="26:26" hidden="1">
      <c r="Z3752" s="11"/>
    </row>
    <row r="3753" spans="26:26" hidden="1">
      <c r="Z3753" s="11"/>
    </row>
    <row r="3754" spans="26:26" hidden="1">
      <c r="Z3754" s="11"/>
    </row>
    <row r="3755" spans="26:26" hidden="1">
      <c r="Z3755" s="11"/>
    </row>
    <row r="3756" spans="26:26" hidden="1">
      <c r="Z3756" s="11"/>
    </row>
    <row r="3757" spans="26:26" hidden="1">
      <c r="Z3757" s="11"/>
    </row>
    <row r="3758" spans="26:26" hidden="1">
      <c r="Z3758" s="11"/>
    </row>
    <row r="3759" spans="26:26" hidden="1">
      <c r="Z3759" s="11"/>
    </row>
    <row r="3760" spans="26:26" hidden="1">
      <c r="Z3760" s="11"/>
    </row>
    <row r="3761" spans="26:26" hidden="1">
      <c r="Z3761" s="11"/>
    </row>
    <row r="3762" spans="26:26" hidden="1">
      <c r="Z3762" s="11"/>
    </row>
    <row r="3763" spans="26:26" hidden="1">
      <c r="Z3763" s="11"/>
    </row>
    <row r="3764" spans="26:26" hidden="1">
      <c r="Z3764" s="11"/>
    </row>
    <row r="3765" spans="26:26" hidden="1">
      <c r="Z3765" s="11"/>
    </row>
    <row r="3766" spans="26:26" hidden="1">
      <c r="Z3766" s="11"/>
    </row>
    <row r="3767" spans="26:26" hidden="1">
      <c r="Z3767" s="11"/>
    </row>
    <row r="3768" spans="26:26" hidden="1">
      <c r="Z3768" s="11"/>
    </row>
    <row r="3769" spans="26:26" hidden="1">
      <c r="Z3769" s="11"/>
    </row>
    <row r="3770" spans="26:26" hidden="1">
      <c r="Z3770" s="11"/>
    </row>
    <row r="3771" spans="26:26" hidden="1">
      <c r="Z3771" s="11"/>
    </row>
    <row r="3772" spans="26:26" hidden="1">
      <c r="Z3772" s="11"/>
    </row>
    <row r="3773" spans="26:26" hidden="1">
      <c r="Z3773" s="11"/>
    </row>
    <row r="3774" spans="26:26" hidden="1">
      <c r="Z3774" s="11"/>
    </row>
    <row r="3775" spans="26:26" hidden="1">
      <c r="Z3775" s="11"/>
    </row>
    <row r="3776" spans="26:26" hidden="1">
      <c r="Z3776" s="11"/>
    </row>
    <row r="3777" spans="26:26" hidden="1">
      <c r="Z3777" s="11"/>
    </row>
    <row r="3778" spans="26:26" hidden="1">
      <c r="Z3778" s="11"/>
    </row>
    <row r="3779" spans="26:26" hidden="1">
      <c r="Z3779" s="11"/>
    </row>
    <row r="3780" spans="26:26" hidden="1">
      <c r="Z3780" s="11"/>
    </row>
    <row r="3781" spans="26:26" hidden="1">
      <c r="Z3781" s="11"/>
    </row>
    <row r="3782" spans="26:26" hidden="1">
      <c r="Z3782" s="11"/>
    </row>
    <row r="3783" spans="26:26" hidden="1">
      <c r="Z3783" s="11"/>
    </row>
    <row r="3784" spans="26:26" hidden="1">
      <c r="Z3784" s="11"/>
    </row>
    <row r="3785" spans="26:26" hidden="1">
      <c r="Z3785" s="11"/>
    </row>
    <row r="3786" spans="26:26" hidden="1">
      <c r="Z3786" s="11"/>
    </row>
    <row r="3787" spans="26:26" hidden="1">
      <c r="Z3787" s="11"/>
    </row>
    <row r="3788" spans="26:26" hidden="1">
      <c r="Z3788" s="11"/>
    </row>
    <row r="3789" spans="26:26" hidden="1">
      <c r="Z3789" s="11"/>
    </row>
    <row r="3790" spans="26:26" hidden="1">
      <c r="Z3790" s="11"/>
    </row>
    <row r="3791" spans="26:26" hidden="1">
      <c r="Z3791" s="11"/>
    </row>
    <row r="3792" spans="26:26" hidden="1">
      <c r="Z3792" s="11"/>
    </row>
    <row r="3793" spans="26:26" hidden="1">
      <c r="Z3793" s="11"/>
    </row>
    <row r="3794" spans="26:26" hidden="1">
      <c r="Z3794" s="11"/>
    </row>
    <row r="3795" spans="26:26" hidden="1">
      <c r="Z3795" s="11"/>
    </row>
    <row r="3796" spans="26:26" hidden="1">
      <c r="Z3796" s="11"/>
    </row>
    <row r="3797" spans="26:26" hidden="1">
      <c r="Z3797" s="11"/>
    </row>
    <row r="3798" spans="26:26" hidden="1">
      <c r="Z3798" s="11"/>
    </row>
    <row r="3799" spans="26:26" hidden="1">
      <c r="Z3799" s="11"/>
    </row>
    <row r="3800" spans="26:26" hidden="1">
      <c r="Z3800" s="11"/>
    </row>
    <row r="3801" spans="26:26" hidden="1">
      <c r="Z3801" s="11"/>
    </row>
    <row r="3802" spans="26:26" hidden="1">
      <c r="Z3802" s="11"/>
    </row>
    <row r="3803" spans="26:26" hidden="1">
      <c r="Z3803" s="11"/>
    </row>
    <row r="3804" spans="26:26" hidden="1">
      <c r="Z3804" s="11"/>
    </row>
    <row r="3805" spans="26:26" hidden="1">
      <c r="Z3805" s="11"/>
    </row>
    <row r="3806" spans="26:26" hidden="1">
      <c r="Z3806" s="11"/>
    </row>
    <row r="3807" spans="26:26" hidden="1">
      <c r="Z3807" s="11"/>
    </row>
    <row r="3808" spans="26:26" hidden="1">
      <c r="Z3808" s="11"/>
    </row>
    <row r="3809" spans="26:26" hidden="1">
      <c r="Z3809" s="11"/>
    </row>
    <row r="3810" spans="26:26" hidden="1">
      <c r="Z3810" s="11"/>
    </row>
    <row r="3811" spans="26:26" hidden="1">
      <c r="Z3811" s="11"/>
    </row>
    <row r="3812" spans="26:26" hidden="1">
      <c r="Z3812" s="11"/>
    </row>
    <row r="3813" spans="26:26" hidden="1">
      <c r="Z3813" s="11"/>
    </row>
    <row r="3814" spans="26:26" hidden="1">
      <c r="Z3814" s="11"/>
    </row>
    <row r="3815" spans="26:26" hidden="1">
      <c r="Z3815" s="11"/>
    </row>
    <row r="3816" spans="26:26" hidden="1">
      <c r="Z3816" s="11"/>
    </row>
    <row r="3817" spans="26:26" hidden="1">
      <c r="Z3817" s="11"/>
    </row>
    <row r="3818" spans="26:26" hidden="1">
      <c r="Z3818" s="11"/>
    </row>
    <row r="3819" spans="26:26" hidden="1">
      <c r="Z3819" s="11"/>
    </row>
    <row r="3820" spans="26:26" hidden="1">
      <c r="Z3820" s="11"/>
    </row>
    <row r="3821" spans="26:26" hidden="1">
      <c r="Z3821" s="11"/>
    </row>
    <row r="3822" spans="26:26" hidden="1">
      <c r="Z3822" s="11"/>
    </row>
    <row r="3823" spans="26:26" hidden="1">
      <c r="Z3823" s="11"/>
    </row>
    <row r="3824" spans="26:26" hidden="1">
      <c r="Z3824" s="11"/>
    </row>
    <row r="3825" spans="26:26" hidden="1">
      <c r="Z3825" s="11"/>
    </row>
    <row r="3826" spans="26:26" hidden="1">
      <c r="Z3826" s="11"/>
    </row>
    <row r="3827" spans="26:26" hidden="1">
      <c r="Z3827" s="11"/>
    </row>
    <row r="3828" spans="26:26" hidden="1">
      <c r="Z3828" s="11"/>
    </row>
    <row r="3829" spans="26:26" hidden="1">
      <c r="Z3829" s="11"/>
    </row>
    <row r="3830" spans="26:26" hidden="1">
      <c r="Z3830" s="11"/>
    </row>
    <row r="3831" spans="26:26" hidden="1">
      <c r="Z3831" s="11"/>
    </row>
    <row r="3832" spans="26:26" hidden="1">
      <c r="Z3832" s="11"/>
    </row>
    <row r="3833" spans="26:26" hidden="1">
      <c r="Z3833" s="11"/>
    </row>
    <row r="3834" spans="26:26" hidden="1">
      <c r="Z3834" s="11"/>
    </row>
    <row r="3835" spans="26:26" hidden="1">
      <c r="Z3835" s="11"/>
    </row>
    <row r="3836" spans="26:26" hidden="1">
      <c r="Z3836" s="11"/>
    </row>
    <row r="3837" spans="26:26" hidden="1">
      <c r="Z3837" s="11"/>
    </row>
    <row r="3838" spans="26:26" hidden="1">
      <c r="Z3838" s="11"/>
    </row>
    <row r="3839" spans="26:26" hidden="1">
      <c r="Z3839" s="11"/>
    </row>
    <row r="3840" spans="26:26" hidden="1">
      <c r="Z3840" s="11"/>
    </row>
    <row r="3841" spans="26:26" hidden="1">
      <c r="Z3841" s="11"/>
    </row>
    <row r="3842" spans="26:26" hidden="1">
      <c r="Z3842" s="11"/>
    </row>
    <row r="3843" spans="26:26" hidden="1">
      <c r="Z3843" s="11"/>
    </row>
    <row r="3844" spans="26:26" hidden="1">
      <c r="Z3844" s="11"/>
    </row>
    <row r="3845" spans="26:26" hidden="1">
      <c r="Z3845" s="11"/>
    </row>
    <row r="3846" spans="26:26" hidden="1">
      <c r="Z3846" s="11"/>
    </row>
    <row r="3847" spans="26:26" hidden="1">
      <c r="Z3847" s="11"/>
    </row>
    <row r="3848" spans="26:26" hidden="1">
      <c r="Z3848" s="11"/>
    </row>
    <row r="3849" spans="26:26" hidden="1">
      <c r="Z3849" s="11"/>
    </row>
    <row r="3850" spans="26:26" hidden="1">
      <c r="Z3850" s="11"/>
    </row>
    <row r="3851" spans="26:26" hidden="1">
      <c r="Z3851" s="11"/>
    </row>
    <row r="3852" spans="26:26" hidden="1">
      <c r="Z3852" s="11"/>
    </row>
    <row r="3853" spans="26:26" hidden="1">
      <c r="Z3853" s="11"/>
    </row>
    <row r="3854" spans="26:26" hidden="1">
      <c r="Z3854" s="11"/>
    </row>
    <row r="3855" spans="26:26" hidden="1">
      <c r="Z3855" s="11"/>
    </row>
    <row r="3856" spans="26:26" hidden="1">
      <c r="Z3856" s="11"/>
    </row>
    <row r="3857" spans="26:26" hidden="1">
      <c r="Z3857" s="11"/>
    </row>
    <row r="3858" spans="26:26" hidden="1">
      <c r="Z3858" s="11"/>
    </row>
    <row r="3859" spans="26:26" hidden="1">
      <c r="Z3859" s="11"/>
    </row>
    <row r="3860" spans="26:26" hidden="1">
      <c r="Z3860" s="11"/>
    </row>
    <row r="3861" spans="26:26" hidden="1">
      <c r="Z3861" s="11"/>
    </row>
    <row r="3862" spans="26:26" hidden="1">
      <c r="Z3862" s="11"/>
    </row>
    <row r="3863" spans="26:26" hidden="1">
      <c r="Z3863" s="11"/>
    </row>
    <row r="3864" spans="26:26" hidden="1">
      <c r="Z3864" s="11"/>
    </row>
    <row r="3865" spans="26:26" hidden="1">
      <c r="Z3865" s="11"/>
    </row>
    <row r="3866" spans="26:26" hidden="1">
      <c r="Z3866" s="11"/>
    </row>
    <row r="3867" spans="26:26" hidden="1">
      <c r="Z3867" s="11"/>
    </row>
    <row r="3868" spans="26:26" hidden="1">
      <c r="Z3868" s="11"/>
    </row>
    <row r="3869" spans="26:26" hidden="1">
      <c r="Z3869" s="11"/>
    </row>
    <row r="3870" spans="26:26" hidden="1">
      <c r="Z3870" s="11"/>
    </row>
    <row r="3871" spans="26:26" hidden="1">
      <c r="Z3871" s="11"/>
    </row>
    <row r="3872" spans="26:26" hidden="1">
      <c r="Z3872" s="11"/>
    </row>
    <row r="3873" spans="26:26" hidden="1">
      <c r="Z3873" s="11"/>
    </row>
    <row r="3874" spans="26:26" hidden="1">
      <c r="Z3874" s="11"/>
    </row>
    <row r="3875" spans="26:26" hidden="1">
      <c r="Z3875" s="11"/>
    </row>
    <row r="3876" spans="26:26" hidden="1">
      <c r="Z3876" s="11"/>
    </row>
    <row r="3877" spans="26:26" hidden="1">
      <c r="Z3877" s="11"/>
    </row>
    <row r="3878" spans="26:26" hidden="1">
      <c r="Z3878" s="11"/>
    </row>
    <row r="3879" spans="26:26" hidden="1">
      <c r="Z3879" s="11"/>
    </row>
    <row r="3880" spans="26:26" hidden="1">
      <c r="Z3880" s="11"/>
    </row>
    <row r="3881" spans="26:26" hidden="1">
      <c r="Z3881" s="11"/>
    </row>
    <row r="3882" spans="26:26" hidden="1">
      <c r="Z3882" s="11"/>
    </row>
    <row r="3883" spans="26:26" hidden="1">
      <c r="Z3883" s="11"/>
    </row>
    <row r="3884" spans="26:26" hidden="1">
      <c r="Z3884" s="11"/>
    </row>
    <row r="3885" spans="26:26" hidden="1">
      <c r="Z3885" s="11"/>
    </row>
    <row r="3886" spans="26:26" hidden="1">
      <c r="Z3886" s="11"/>
    </row>
    <row r="3887" spans="26:26" hidden="1">
      <c r="Z3887" s="11"/>
    </row>
    <row r="3888" spans="26:26" hidden="1">
      <c r="Z3888" s="11"/>
    </row>
    <row r="3889" spans="26:26" hidden="1">
      <c r="Z3889" s="11"/>
    </row>
    <row r="3890" spans="26:26" hidden="1">
      <c r="Z3890" s="11"/>
    </row>
    <row r="3891" spans="26:26" hidden="1">
      <c r="Z3891" s="11"/>
    </row>
    <row r="3892" spans="26:26" hidden="1">
      <c r="Z3892" s="11"/>
    </row>
    <row r="3893" spans="26:26" hidden="1">
      <c r="Z3893" s="11"/>
    </row>
    <row r="3894" spans="26:26" hidden="1">
      <c r="Z3894" s="11"/>
    </row>
    <row r="3895" spans="26:26" hidden="1">
      <c r="Z3895" s="11"/>
    </row>
    <row r="3896" spans="26:26" hidden="1">
      <c r="Z3896" s="11"/>
    </row>
    <row r="3897" spans="26:26" hidden="1">
      <c r="Z3897" s="11"/>
    </row>
    <row r="3898" spans="26:26" hidden="1">
      <c r="Z3898" s="11"/>
    </row>
    <row r="3899" spans="26:26" hidden="1">
      <c r="Z3899" s="11"/>
    </row>
    <row r="3900" spans="26:26" hidden="1">
      <c r="Z3900" s="11"/>
    </row>
    <row r="3901" spans="26:26" hidden="1">
      <c r="Z3901" s="11"/>
    </row>
    <row r="3902" spans="26:26" hidden="1">
      <c r="Z3902" s="11"/>
    </row>
    <row r="3903" spans="26:26" hidden="1">
      <c r="Z3903" s="11"/>
    </row>
    <row r="3904" spans="26:26" hidden="1">
      <c r="Z3904" s="11"/>
    </row>
    <row r="3905" spans="26:26" hidden="1">
      <c r="Z3905" s="11"/>
    </row>
    <row r="3906" spans="26:26" hidden="1">
      <c r="Z3906" s="11"/>
    </row>
    <row r="3907" spans="26:26" hidden="1">
      <c r="Z3907" s="11"/>
    </row>
    <row r="3908" spans="26:26" hidden="1">
      <c r="Z3908" s="11"/>
    </row>
    <row r="3909" spans="26:26" hidden="1">
      <c r="Z3909" s="11"/>
    </row>
    <row r="3910" spans="26:26" hidden="1">
      <c r="Z3910" s="11"/>
    </row>
    <row r="3911" spans="26:26" hidden="1">
      <c r="Z3911" s="11"/>
    </row>
    <row r="3912" spans="26:26" hidden="1">
      <c r="Z3912" s="11"/>
    </row>
    <row r="3913" spans="26:26" hidden="1">
      <c r="Z3913" s="11"/>
    </row>
    <row r="3914" spans="26:26" hidden="1">
      <c r="Z3914" s="11"/>
    </row>
    <row r="3915" spans="26:26" hidden="1">
      <c r="Z3915" s="11"/>
    </row>
    <row r="3916" spans="26:26" hidden="1">
      <c r="Z3916" s="11"/>
    </row>
    <row r="3917" spans="26:26" hidden="1">
      <c r="Z3917" s="11"/>
    </row>
    <row r="3918" spans="26:26" hidden="1">
      <c r="Z3918" s="11"/>
    </row>
    <row r="3919" spans="26:26" hidden="1">
      <c r="Z3919" s="11"/>
    </row>
    <row r="3920" spans="26:26" hidden="1">
      <c r="Z3920" s="11"/>
    </row>
    <row r="3921" spans="26:26" hidden="1">
      <c r="Z3921" s="11"/>
    </row>
    <row r="3922" spans="26:26" hidden="1">
      <c r="Z3922" s="11"/>
    </row>
    <row r="3923" spans="26:26" hidden="1">
      <c r="Z3923" s="11"/>
    </row>
    <row r="3924" spans="26:26" hidden="1">
      <c r="Z3924" s="11"/>
    </row>
    <row r="3925" spans="26:26" hidden="1">
      <c r="Z3925" s="11"/>
    </row>
    <row r="3926" spans="26:26" hidden="1">
      <c r="Z3926" s="11"/>
    </row>
    <row r="3927" spans="26:26" hidden="1">
      <c r="Z3927" s="11"/>
    </row>
    <row r="3928" spans="26:26" hidden="1">
      <c r="Z3928" s="11"/>
    </row>
    <row r="3929" spans="26:26" hidden="1">
      <c r="Z3929" s="11"/>
    </row>
    <row r="3930" spans="26:26" hidden="1">
      <c r="Z3930" s="11"/>
    </row>
    <row r="3931" spans="26:26" hidden="1">
      <c r="Z3931" s="11"/>
    </row>
    <row r="3932" spans="26:26" hidden="1">
      <c r="Z3932" s="11"/>
    </row>
    <row r="3933" spans="26:26" hidden="1">
      <c r="Z3933" s="11"/>
    </row>
    <row r="3934" spans="26:26" hidden="1">
      <c r="Z3934" s="11"/>
    </row>
    <row r="3935" spans="26:26" hidden="1">
      <c r="Z3935" s="11"/>
    </row>
    <row r="3936" spans="26:26" hidden="1">
      <c r="Z3936" s="11"/>
    </row>
    <row r="3937" spans="26:26" hidden="1">
      <c r="Z3937" s="11"/>
    </row>
    <row r="3938" spans="26:26" hidden="1">
      <c r="Z3938" s="11"/>
    </row>
    <row r="3939" spans="26:26" hidden="1">
      <c r="Z3939" s="11"/>
    </row>
    <row r="3940" spans="26:26" hidden="1">
      <c r="Z3940" s="11"/>
    </row>
    <row r="3941" spans="26:26" hidden="1">
      <c r="Z3941" s="11"/>
    </row>
    <row r="3942" spans="26:26" hidden="1">
      <c r="Z3942" s="11"/>
    </row>
    <row r="3943" spans="26:26" hidden="1">
      <c r="Z3943" s="11"/>
    </row>
    <row r="3944" spans="26:26" hidden="1">
      <c r="Z3944" s="11"/>
    </row>
    <row r="3945" spans="26:26" hidden="1">
      <c r="Z3945" s="11"/>
    </row>
    <row r="3946" spans="26:26" hidden="1">
      <c r="Z3946" s="11"/>
    </row>
    <row r="3947" spans="26:26" hidden="1">
      <c r="Z3947" s="11"/>
    </row>
    <row r="3948" spans="26:26" hidden="1">
      <c r="Z3948" s="11"/>
    </row>
    <row r="3949" spans="26:26" hidden="1">
      <c r="Z3949" s="11"/>
    </row>
    <row r="3950" spans="26:26" hidden="1">
      <c r="Z3950" s="11"/>
    </row>
    <row r="3951" spans="26:26" hidden="1">
      <c r="Z3951" s="11"/>
    </row>
    <row r="3952" spans="26:26" hidden="1">
      <c r="Z3952" s="11"/>
    </row>
    <row r="3953" spans="26:26" hidden="1">
      <c r="Z3953" s="11"/>
    </row>
    <row r="3954" spans="26:26" hidden="1">
      <c r="Z3954" s="11"/>
    </row>
    <row r="3955" spans="26:26" hidden="1">
      <c r="Z3955" s="11"/>
    </row>
    <row r="3956" spans="26:26" hidden="1">
      <c r="Z3956" s="11"/>
    </row>
    <row r="3957" spans="26:26" hidden="1">
      <c r="Z3957" s="11"/>
    </row>
    <row r="3958" spans="26:26" hidden="1">
      <c r="Z3958" s="11"/>
    </row>
    <row r="3959" spans="26:26" hidden="1">
      <c r="Z3959" s="11"/>
    </row>
    <row r="3960" spans="26:26" hidden="1">
      <c r="Z3960" s="11"/>
    </row>
    <row r="3961" spans="26:26" hidden="1">
      <c r="Z3961" s="11"/>
    </row>
    <row r="3962" spans="26:26" hidden="1">
      <c r="Z3962" s="11"/>
    </row>
    <row r="3963" spans="26:26" hidden="1">
      <c r="Z3963" s="11"/>
    </row>
    <row r="3964" spans="26:26" hidden="1">
      <c r="Z3964" s="11"/>
    </row>
    <row r="3965" spans="26:26" hidden="1">
      <c r="Z3965" s="11"/>
    </row>
    <row r="3966" spans="26:26" hidden="1">
      <c r="Z3966" s="11"/>
    </row>
    <row r="3967" spans="26:26" hidden="1">
      <c r="Z3967" s="11"/>
    </row>
    <row r="3968" spans="26:26" hidden="1">
      <c r="Z3968" s="11"/>
    </row>
    <row r="3969" spans="26:26" hidden="1">
      <c r="Z3969" s="11"/>
    </row>
    <row r="3970" spans="26:26" hidden="1">
      <c r="Z3970" s="11"/>
    </row>
    <row r="3971" spans="26:26" hidden="1">
      <c r="Z3971" s="11"/>
    </row>
    <row r="3972" spans="26:26" hidden="1">
      <c r="Z3972" s="11"/>
    </row>
    <row r="3973" spans="26:26" hidden="1">
      <c r="Z3973" s="11"/>
    </row>
    <row r="3974" spans="26:26" hidden="1">
      <c r="Z3974" s="11"/>
    </row>
    <row r="3975" spans="26:26" hidden="1">
      <c r="Z3975" s="11"/>
    </row>
    <row r="3976" spans="26:26" hidden="1">
      <c r="Z3976" s="11"/>
    </row>
    <row r="3977" spans="26:26" hidden="1">
      <c r="Z3977" s="11"/>
    </row>
    <row r="3978" spans="26:26" hidden="1">
      <c r="Z3978" s="11"/>
    </row>
    <row r="3979" spans="26:26" hidden="1">
      <c r="Z3979" s="11"/>
    </row>
    <row r="3980" spans="26:26" hidden="1">
      <c r="Z3980" s="11"/>
    </row>
    <row r="3981" spans="26:26" hidden="1">
      <c r="Z3981" s="11"/>
    </row>
    <row r="3982" spans="26:26" hidden="1">
      <c r="Z3982" s="11"/>
    </row>
    <row r="3983" spans="26:26" hidden="1">
      <c r="Z3983" s="11"/>
    </row>
    <row r="3984" spans="26:26" hidden="1">
      <c r="Z3984" s="11"/>
    </row>
    <row r="3985" spans="26:26" hidden="1">
      <c r="Z3985" s="11"/>
    </row>
    <row r="3986" spans="26:26" hidden="1">
      <c r="Z3986" s="11"/>
    </row>
    <row r="3987" spans="26:26" hidden="1">
      <c r="Z3987" s="11"/>
    </row>
    <row r="3988" spans="26:26" hidden="1">
      <c r="Z3988" s="11"/>
    </row>
    <row r="3989" spans="26:26" hidden="1">
      <c r="Z3989" s="11"/>
    </row>
    <row r="3990" spans="26:26" hidden="1">
      <c r="Z3990" s="11"/>
    </row>
    <row r="3991" spans="26:26" hidden="1">
      <c r="Z3991" s="11"/>
    </row>
    <row r="3992" spans="26:26" hidden="1">
      <c r="Z3992" s="11"/>
    </row>
    <row r="3993" spans="26:26" hidden="1">
      <c r="Z3993" s="11"/>
    </row>
    <row r="3994" spans="26:26" hidden="1">
      <c r="Z3994" s="11"/>
    </row>
    <row r="3995" spans="26:26" hidden="1">
      <c r="Z3995" s="11"/>
    </row>
    <row r="3996" spans="26:26" hidden="1">
      <c r="Z3996" s="11"/>
    </row>
    <row r="3997" spans="26:26" hidden="1">
      <c r="Z3997" s="11"/>
    </row>
    <row r="3998" spans="26:26" hidden="1">
      <c r="Z3998" s="11"/>
    </row>
    <row r="3999" spans="26:26" hidden="1">
      <c r="Z3999" s="11"/>
    </row>
    <row r="4000" spans="26:26" hidden="1">
      <c r="Z4000" s="11"/>
    </row>
    <row r="4001" spans="26:26" hidden="1">
      <c r="Z4001" s="11"/>
    </row>
    <row r="4002" spans="26:26" hidden="1">
      <c r="Z4002" s="11"/>
    </row>
    <row r="4003" spans="26:26" hidden="1">
      <c r="Z4003" s="11"/>
    </row>
    <row r="4004" spans="26:26" hidden="1">
      <c r="Z4004" s="11"/>
    </row>
    <row r="4005" spans="26:26" hidden="1">
      <c r="Z4005" s="11"/>
    </row>
    <row r="4006" spans="26:26" hidden="1">
      <c r="Z4006" s="11"/>
    </row>
    <row r="4007" spans="26:26" hidden="1">
      <c r="Z4007" s="11"/>
    </row>
    <row r="4008" spans="26:26" hidden="1">
      <c r="Z4008" s="11"/>
    </row>
    <row r="4009" spans="26:26" hidden="1">
      <c r="Z4009" s="11"/>
    </row>
    <row r="4010" spans="26:26" hidden="1">
      <c r="Z4010" s="11"/>
    </row>
    <row r="4011" spans="26:26" hidden="1">
      <c r="Z4011" s="11"/>
    </row>
    <row r="4012" spans="26:26" hidden="1">
      <c r="Z4012" s="11"/>
    </row>
    <row r="4013" spans="26:26" hidden="1">
      <c r="Z4013" s="11"/>
    </row>
    <row r="4014" spans="26:26" hidden="1">
      <c r="Z4014" s="11"/>
    </row>
    <row r="4015" spans="26:26" hidden="1">
      <c r="Z4015" s="11"/>
    </row>
    <row r="4016" spans="26:26" hidden="1">
      <c r="Z4016" s="11"/>
    </row>
    <row r="4017" spans="26:26" hidden="1">
      <c r="Z4017" s="11"/>
    </row>
    <row r="4018" spans="26:26" hidden="1">
      <c r="Z4018" s="11"/>
    </row>
    <row r="4019" spans="26:26" hidden="1">
      <c r="Z4019" s="11"/>
    </row>
    <row r="4020" spans="26:26" hidden="1">
      <c r="Z4020" s="11"/>
    </row>
    <row r="4021" spans="26:26" hidden="1">
      <c r="Z4021" s="11"/>
    </row>
    <row r="4022" spans="26:26" hidden="1">
      <c r="Z4022" s="11"/>
    </row>
    <row r="4023" spans="26:26" hidden="1">
      <c r="Z4023" s="11"/>
    </row>
    <row r="4024" spans="26:26" hidden="1">
      <c r="Z4024" s="11"/>
    </row>
    <row r="4025" spans="26:26" hidden="1">
      <c r="Z4025" s="11"/>
    </row>
    <row r="4026" spans="26:26" hidden="1">
      <c r="Z4026" s="11"/>
    </row>
    <row r="4027" spans="26:26" hidden="1">
      <c r="Z4027" s="11"/>
    </row>
    <row r="4028" spans="26:26" hidden="1">
      <c r="Z4028" s="11"/>
    </row>
    <row r="4029" spans="26:26" hidden="1">
      <c r="Z4029" s="11"/>
    </row>
    <row r="4030" spans="26:26" hidden="1">
      <c r="Z4030" s="11"/>
    </row>
    <row r="4031" spans="26:26" hidden="1">
      <c r="Z4031" s="11"/>
    </row>
    <row r="4032" spans="26:26" hidden="1">
      <c r="Z4032" s="11"/>
    </row>
    <row r="4033" spans="26:26" hidden="1">
      <c r="Z4033" s="11"/>
    </row>
    <row r="4034" spans="26:26" hidden="1">
      <c r="Z4034" s="11"/>
    </row>
    <row r="4035" spans="26:26" hidden="1">
      <c r="Z4035" s="11"/>
    </row>
    <row r="4036" spans="26:26" hidden="1">
      <c r="Z4036" s="11"/>
    </row>
    <row r="4037" spans="26:26" hidden="1">
      <c r="Z4037" s="11"/>
    </row>
    <row r="4038" spans="26:26" hidden="1">
      <c r="Z4038" s="11"/>
    </row>
    <row r="4039" spans="26:26" hidden="1">
      <c r="Z4039" s="11"/>
    </row>
    <row r="4040" spans="26:26" hidden="1">
      <c r="Z4040" s="11"/>
    </row>
    <row r="4041" spans="26:26" hidden="1">
      <c r="Z4041" s="11"/>
    </row>
    <row r="4042" spans="26:26" hidden="1">
      <c r="Z4042" s="11"/>
    </row>
    <row r="4043" spans="26:26" hidden="1">
      <c r="Z4043" s="11"/>
    </row>
    <row r="4044" spans="26:26" hidden="1">
      <c r="Z4044" s="11"/>
    </row>
    <row r="4045" spans="26:26" hidden="1">
      <c r="Z4045" s="11"/>
    </row>
    <row r="4046" spans="26:26" hidden="1">
      <c r="Z4046" s="11"/>
    </row>
    <row r="4047" spans="26:26" hidden="1">
      <c r="Z4047" s="11"/>
    </row>
    <row r="4048" spans="26:26" hidden="1">
      <c r="Z4048" s="11"/>
    </row>
    <row r="4049" spans="26:26" hidden="1">
      <c r="Z4049" s="11"/>
    </row>
    <row r="4050" spans="26:26" hidden="1">
      <c r="Z4050" s="11"/>
    </row>
    <row r="4051" spans="26:26" hidden="1">
      <c r="Z4051" s="11"/>
    </row>
    <row r="4052" spans="26:26" hidden="1">
      <c r="Z4052" s="11"/>
    </row>
    <row r="4053" spans="26:26" hidden="1">
      <c r="Z4053" s="11"/>
    </row>
    <row r="4054" spans="26:26" hidden="1">
      <c r="Z4054" s="11"/>
    </row>
    <row r="4055" spans="26:26" hidden="1">
      <c r="Z4055" s="11"/>
    </row>
    <row r="4056" spans="26:26" hidden="1">
      <c r="Z4056" s="11"/>
    </row>
    <row r="4057" spans="26:26" hidden="1">
      <c r="Z4057" s="11"/>
    </row>
    <row r="4058" spans="26:26" hidden="1">
      <c r="Z4058" s="11"/>
    </row>
    <row r="4059" spans="26:26" hidden="1">
      <c r="Z4059" s="11"/>
    </row>
    <row r="4060" spans="26:26" hidden="1">
      <c r="Z4060" s="11"/>
    </row>
    <row r="4061" spans="26:26" hidden="1">
      <c r="Z4061" s="11"/>
    </row>
    <row r="4062" spans="26:26" hidden="1">
      <c r="Z4062" s="11"/>
    </row>
    <row r="4063" spans="26:26" hidden="1">
      <c r="Z4063" s="11"/>
    </row>
    <row r="4064" spans="26:26" hidden="1">
      <c r="Z4064" s="11"/>
    </row>
    <row r="4065" spans="26:26" hidden="1">
      <c r="Z4065" s="11"/>
    </row>
    <row r="4066" spans="26:26" hidden="1">
      <c r="Z4066" s="11"/>
    </row>
    <row r="4067" spans="26:26" hidden="1">
      <c r="Z4067" s="11"/>
    </row>
    <row r="4068" spans="26:26" hidden="1">
      <c r="Z4068" s="11"/>
    </row>
    <row r="4069" spans="26:26" hidden="1">
      <c r="Z4069" s="11"/>
    </row>
    <row r="4070" spans="26:26" hidden="1">
      <c r="Z4070" s="11"/>
    </row>
    <row r="4071" spans="26:26" hidden="1">
      <c r="Z4071" s="11"/>
    </row>
    <row r="4072" spans="26:26" hidden="1">
      <c r="Z4072" s="11"/>
    </row>
    <row r="4073" spans="26:26" hidden="1">
      <c r="Z4073" s="11"/>
    </row>
    <row r="4074" spans="26:26" hidden="1">
      <c r="Z4074" s="11"/>
    </row>
    <row r="4075" spans="26:26" hidden="1">
      <c r="Z4075" s="11"/>
    </row>
    <row r="4076" spans="26:26" hidden="1">
      <c r="Z4076" s="11"/>
    </row>
    <row r="4077" spans="26:26" hidden="1">
      <c r="Z4077" s="11"/>
    </row>
    <row r="4078" spans="26:26" hidden="1">
      <c r="Z4078" s="11"/>
    </row>
    <row r="4079" spans="26:26" hidden="1">
      <c r="Z4079" s="11"/>
    </row>
    <row r="4080" spans="26:26" hidden="1">
      <c r="Z4080" s="11"/>
    </row>
    <row r="4081" spans="26:26" hidden="1">
      <c r="Z4081" s="11"/>
    </row>
    <row r="4082" spans="26:26" hidden="1">
      <c r="Z4082" s="11"/>
    </row>
    <row r="4083" spans="26:26" hidden="1">
      <c r="Z4083" s="11"/>
    </row>
    <row r="4084" spans="26:26" hidden="1">
      <c r="Z4084" s="11"/>
    </row>
    <row r="4085" spans="26:26" hidden="1">
      <c r="Z4085" s="11"/>
    </row>
    <row r="4086" spans="26:26" hidden="1">
      <c r="Z4086" s="11"/>
    </row>
    <row r="4087" spans="26:26" hidden="1">
      <c r="Z4087" s="11"/>
    </row>
    <row r="4088" spans="26:26" hidden="1">
      <c r="Z4088" s="11"/>
    </row>
    <row r="4089" spans="26:26" hidden="1">
      <c r="Z4089" s="11"/>
    </row>
    <row r="4090" spans="26:26" hidden="1">
      <c r="Z4090" s="11"/>
    </row>
    <row r="4091" spans="26:26" hidden="1">
      <c r="Z4091" s="11"/>
    </row>
    <row r="4092" spans="26:26" hidden="1">
      <c r="Z4092" s="11"/>
    </row>
    <row r="4093" spans="26:26" hidden="1">
      <c r="Z4093" s="11"/>
    </row>
    <row r="4094" spans="26:26" hidden="1">
      <c r="Z4094" s="11"/>
    </row>
    <row r="4095" spans="26:26" hidden="1">
      <c r="Z4095" s="11"/>
    </row>
    <row r="4096" spans="26:26" hidden="1">
      <c r="Z4096" s="11"/>
    </row>
    <row r="4097" spans="26:26" hidden="1">
      <c r="Z4097" s="11"/>
    </row>
    <row r="4098" spans="26:26" hidden="1">
      <c r="Z4098" s="11"/>
    </row>
    <row r="4099" spans="26:26" hidden="1">
      <c r="Z4099" s="11"/>
    </row>
    <row r="4100" spans="26:26" hidden="1">
      <c r="Z4100" s="11"/>
    </row>
    <row r="4101" spans="26:26" hidden="1">
      <c r="Z4101" s="11"/>
    </row>
    <row r="4102" spans="26:26" hidden="1">
      <c r="Z4102" s="11"/>
    </row>
    <row r="4103" spans="26:26" hidden="1">
      <c r="Z4103" s="11"/>
    </row>
    <row r="4104" spans="26:26" hidden="1">
      <c r="Z4104" s="11"/>
    </row>
    <row r="4105" spans="26:26" hidden="1">
      <c r="Z4105" s="11"/>
    </row>
    <row r="4106" spans="26:26" hidden="1">
      <c r="Z4106" s="11"/>
    </row>
    <row r="4107" spans="26:26" hidden="1">
      <c r="Z4107" s="11"/>
    </row>
    <row r="4108" spans="26:26" hidden="1">
      <c r="Z4108" s="11"/>
    </row>
    <row r="4109" spans="26:26" hidden="1">
      <c r="Z4109" s="11"/>
    </row>
    <row r="4110" spans="26:26" hidden="1">
      <c r="Z4110" s="11"/>
    </row>
    <row r="4111" spans="26:26" hidden="1">
      <c r="Z4111" s="11"/>
    </row>
    <row r="4112" spans="26:26" hidden="1">
      <c r="Z4112" s="11"/>
    </row>
    <row r="4113" spans="26:26" hidden="1">
      <c r="Z4113" s="11"/>
    </row>
    <row r="4114" spans="26:26" hidden="1">
      <c r="Z4114" s="11"/>
    </row>
    <row r="4115" spans="26:26" hidden="1">
      <c r="Z4115" s="11"/>
    </row>
    <row r="4116" spans="26:26" hidden="1">
      <c r="Z4116" s="11"/>
    </row>
    <row r="4117" spans="26:26" hidden="1">
      <c r="Z4117" s="11"/>
    </row>
    <row r="4118" spans="26:26" hidden="1">
      <c r="Z4118" s="11"/>
    </row>
    <row r="4119" spans="26:26" hidden="1">
      <c r="Z4119" s="11"/>
    </row>
    <row r="4120" spans="26:26" hidden="1">
      <c r="Z4120" s="11"/>
    </row>
    <row r="4121" spans="26:26" hidden="1">
      <c r="Z4121" s="11"/>
    </row>
    <row r="4122" spans="26:26" hidden="1">
      <c r="Z4122" s="11"/>
    </row>
    <row r="4123" spans="26:26" hidden="1">
      <c r="Z4123" s="11"/>
    </row>
    <row r="4124" spans="26:26" hidden="1">
      <c r="Z4124" s="11"/>
    </row>
    <row r="4125" spans="26:26" hidden="1">
      <c r="Z4125" s="11"/>
    </row>
    <row r="4126" spans="26:26" hidden="1">
      <c r="Z4126" s="11"/>
    </row>
    <row r="4127" spans="26:26" hidden="1">
      <c r="Z4127" s="11"/>
    </row>
    <row r="4128" spans="26:26" hidden="1">
      <c r="Z4128" s="11"/>
    </row>
    <row r="4129" spans="26:26" hidden="1">
      <c r="Z4129" s="11"/>
    </row>
    <row r="4130" spans="26:26" hidden="1">
      <c r="Z4130" s="11"/>
    </row>
    <row r="4131" spans="26:26" hidden="1">
      <c r="Z4131" s="11"/>
    </row>
    <row r="4132" spans="26:26" hidden="1">
      <c r="Z4132" s="11"/>
    </row>
    <row r="4133" spans="26:26" hidden="1">
      <c r="Z4133" s="11"/>
    </row>
    <row r="4134" spans="26:26" hidden="1">
      <c r="Z4134" s="11"/>
    </row>
    <row r="4135" spans="26:26" hidden="1">
      <c r="Z4135" s="11"/>
    </row>
    <row r="4136" spans="26:26" hidden="1">
      <c r="Z4136" s="11"/>
    </row>
    <row r="4137" spans="26:26" hidden="1">
      <c r="Z4137" s="11"/>
    </row>
    <row r="4138" spans="26:26" hidden="1">
      <c r="Z4138" s="11"/>
    </row>
    <row r="4139" spans="26:26" hidden="1">
      <c r="Z4139" s="11"/>
    </row>
    <row r="4140" spans="26:26" hidden="1">
      <c r="Z4140" s="11"/>
    </row>
    <row r="4141" spans="26:26" hidden="1">
      <c r="Z4141" s="11"/>
    </row>
    <row r="4142" spans="26:26" hidden="1">
      <c r="Z4142" s="11"/>
    </row>
    <row r="4143" spans="26:26" hidden="1">
      <c r="Z4143" s="11"/>
    </row>
    <row r="4144" spans="26:26" hidden="1">
      <c r="Z4144" s="11"/>
    </row>
    <row r="4145" spans="26:26" hidden="1">
      <c r="Z4145" s="11"/>
    </row>
    <row r="4146" spans="26:26" hidden="1">
      <c r="Z4146" s="11"/>
    </row>
    <row r="4147" spans="26:26" hidden="1">
      <c r="Z4147" s="11"/>
    </row>
    <row r="4148" spans="26:26" hidden="1">
      <c r="Z4148" s="11"/>
    </row>
    <row r="4149" spans="26:26" hidden="1">
      <c r="Z4149" s="11"/>
    </row>
    <row r="4150" spans="26:26" hidden="1">
      <c r="Z4150" s="11"/>
    </row>
    <row r="4151" spans="26:26" hidden="1">
      <c r="Z4151" s="11"/>
    </row>
    <row r="4152" spans="26:26" hidden="1">
      <c r="Z4152" s="11"/>
    </row>
    <row r="4153" spans="26:26" hidden="1">
      <c r="Z4153" s="11"/>
    </row>
    <row r="4154" spans="26:26" hidden="1">
      <c r="Z4154" s="11"/>
    </row>
    <row r="4155" spans="26:26" hidden="1">
      <c r="Z4155" s="11"/>
    </row>
    <row r="4156" spans="26:26" hidden="1">
      <c r="Z4156" s="11"/>
    </row>
    <row r="4157" spans="26:26" hidden="1">
      <c r="Z4157" s="11"/>
    </row>
    <row r="4158" spans="26:26" hidden="1">
      <c r="Z4158" s="11"/>
    </row>
    <row r="4159" spans="26:26" hidden="1">
      <c r="Z4159" s="11"/>
    </row>
    <row r="4160" spans="26:26" hidden="1">
      <c r="Z4160" s="11"/>
    </row>
    <row r="4161" spans="26:26" hidden="1">
      <c r="Z4161" s="11"/>
    </row>
    <row r="4162" spans="26:26" hidden="1">
      <c r="Z4162" s="11"/>
    </row>
    <row r="4163" spans="26:26" hidden="1">
      <c r="Z4163" s="11"/>
    </row>
    <row r="4164" spans="26:26" hidden="1">
      <c r="Z4164" s="11"/>
    </row>
    <row r="4165" spans="26:26" hidden="1">
      <c r="Z4165" s="11"/>
    </row>
    <row r="4166" spans="26:26" hidden="1">
      <c r="Z4166" s="11"/>
    </row>
    <row r="4167" spans="26:26" hidden="1">
      <c r="Z4167" s="11"/>
    </row>
    <row r="4168" spans="26:26" hidden="1">
      <c r="Z4168" s="11"/>
    </row>
    <row r="4169" spans="26:26" hidden="1">
      <c r="Z4169" s="11"/>
    </row>
    <row r="4170" spans="26:26" hidden="1">
      <c r="Z4170" s="11"/>
    </row>
    <row r="4171" spans="26:26" hidden="1">
      <c r="Z4171" s="11"/>
    </row>
    <row r="4172" spans="26:26" hidden="1">
      <c r="Z4172" s="11"/>
    </row>
    <row r="4173" spans="26:26" hidden="1">
      <c r="Z4173" s="11"/>
    </row>
    <row r="4174" spans="26:26" hidden="1">
      <c r="Z4174" s="11"/>
    </row>
    <row r="4175" spans="26:26" hidden="1">
      <c r="Z4175" s="11"/>
    </row>
    <row r="4176" spans="26:26" hidden="1">
      <c r="Z4176" s="11"/>
    </row>
    <row r="4177" spans="26:26" hidden="1">
      <c r="Z4177" s="11"/>
    </row>
    <row r="4178" spans="26:26" hidden="1">
      <c r="Z4178" s="11"/>
    </row>
    <row r="4179" spans="26:26" hidden="1">
      <c r="Z4179" s="11"/>
    </row>
    <row r="4180" spans="26:26" hidden="1">
      <c r="Z4180" s="11"/>
    </row>
    <row r="4181" spans="26:26" hidden="1">
      <c r="Z4181" s="11"/>
    </row>
    <row r="4182" spans="26:26" hidden="1">
      <c r="Z4182" s="11"/>
    </row>
    <row r="4183" spans="26:26" hidden="1">
      <c r="Z4183" s="11"/>
    </row>
    <row r="4184" spans="26:26" hidden="1">
      <c r="Z4184" s="11"/>
    </row>
    <row r="4185" spans="26:26" hidden="1">
      <c r="Z4185" s="11"/>
    </row>
    <row r="4186" spans="26:26" hidden="1">
      <c r="Z4186" s="11"/>
    </row>
    <row r="4187" spans="26:26" hidden="1">
      <c r="Z4187" s="11"/>
    </row>
    <row r="4188" spans="26:26" hidden="1">
      <c r="Z4188" s="11"/>
    </row>
    <row r="4189" spans="26:26" hidden="1">
      <c r="Z4189" s="11"/>
    </row>
    <row r="4190" spans="26:26" hidden="1">
      <c r="Z4190" s="11"/>
    </row>
    <row r="4191" spans="26:26" hidden="1">
      <c r="Z4191" s="11"/>
    </row>
    <row r="4192" spans="26:26" hidden="1">
      <c r="Z4192" s="11"/>
    </row>
    <row r="4193" spans="26:26" hidden="1">
      <c r="Z4193" s="11"/>
    </row>
    <row r="4194" spans="26:26" hidden="1">
      <c r="Z4194" s="11"/>
    </row>
    <row r="4195" spans="26:26" hidden="1">
      <c r="Z4195" s="11"/>
    </row>
    <row r="4196" spans="26:26" hidden="1">
      <c r="Z4196" s="11"/>
    </row>
    <row r="4197" spans="26:26" hidden="1">
      <c r="Z4197" s="11"/>
    </row>
    <row r="4198" spans="26:26" hidden="1">
      <c r="Z4198" s="11"/>
    </row>
    <row r="4199" spans="26:26" hidden="1">
      <c r="Z4199" s="11"/>
    </row>
    <row r="4200" spans="26:26" hidden="1">
      <c r="Z4200" s="11"/>
    </row>
    <row r="4201" spans="26:26" hidden="1">
      <c r="Z4201" s="11"/>
    </row>
    <row r="4202" spans="26:26" hidden="1">
      <c r="Z4202" s="11"/>
    </row>
    <row r="4203" spans="26:26" hidden="1">
      <c r="Z4203" s="11"/>
    </row>
    <row r="4204" spans="26:26" hidden="1">
      <c r="Z4204" s="11"/>
    </row>
    <row r="4205" spans="26:26" hidden="1">
      <c r="Z4205" s="11"/>
    </row>
    <row r="4206" spans="26:26" hidden="1">
      <c r="Z4206" s="11"/>
    </row>
    <row r="4207" spans="26:26" hidden="1">
      <c r="Z4207" s="11"/>
    </row>
    <row r="4208" spans="26:26" hidden="1">
      <c r="Z4208" s="11"/>
    </row>
    <row r="4209" spans="26:26" hidden="1">
      <c r="Z4209" s="11"/>
    </row>
    <row r="4210" spans="26:26" hidden="1">
      <c r="Z4210" s="11"/>
    </row>
    <row r="4211" spans="26:26" hidden="1">
      <c r="Z4211" s="11"/>
    </row>
    <row r="4212" spans="26:26" hidden="1">
      <c r="Z4212" s="11"/>
    </row>
    <row r="4213" spans="26:26" hidden="1">
      <c r="Z4213" s="11"/>
    </row>
    <row r="4214" spans="26:26" hidden="1">
      <c r="Z4214" s="11"/>
    </row>
    <row r="4215" spans="26:26" hidden="1">
      <c r="Z4215" s="11"/>
    </row>
    <row r="4216" spans="26:26" hidden="1">
      <c r="Z4216" s="11"/>
    </row>
    <row r="4217" spans="26:26" hidden="1">
      <c r="Z4217" s="11"/>
    </row>
    <row r="4218" spans="26:26" hidden="1">
      <c r="Z4218" s="11"/>
    </row>
    <row r="4219" spans="26:26" hidden="1">
      <c r="Z4219" s="11"/>
    </row>
    <row r="4220" spans="26:26" hidden="1">
      <c r="Z4220" s="11"/>
    </row>
    <row r="4221" spans="26:26" hidden="1">
      <c r="Z4221" s="11"/>
    </row>
    <row r="4222" spans="26:26" hidden="1">
      <c r="Z4222" s="11"/>
    </row>
    <row r="4223" spans="26:26" hidden="1">
      <c r="Z4223" s="11"/>
    </row>
    <row r="4224" spans="26:26" hidden="1">
      <c r="Z4224" s="11"/>
    </row>
    <row r="4225" spans="26:26" hidden="1">
      <c r="Z4225" s="11"/>
    </row>
    <row r="4226" spans="26:26" hidden="1">
      <c r="Z4226" s="11"/>
    </row>
    <row r="4227" spans="26:26" hidden="1">
      <c r="Z4227" s="11"/>
    </row>
    <row r="4228" spans="26:26" hidden="1">
      <c r="Z4228" s="11"/>
    </row>
    <row r="4229" spans="26:26" hidden="1">
      <c r="Z4229" s="11"/>
    </row>
    <row r="4230" spans="26:26" hidden="1">
      <c r="Z4230" s="11"/>
    </row>
    <row r="4231" spans="26:26" hidden="1">
      <c r="Z4231" s="11"/>
    </row>
    <row r="4232" spans="26:26" hidden="1">
      <c r="Z4232" s="11"/>
    </row>
    <row r="4233" spans="26:26" hidden="1">
      <c r="Z4233" s="11"/>
    </row>
    <row r="4234" spans="26:26" hidden="1">
      <c r="Z4234" s="11"/>
    </row>
    <row r="4235" spans="26:26" hidden="1">
      <c r="Z4235" s="11"/>
    </row>
    <row r="4236" spans="26:26" hidden="1">
      <c r="Z4236" s="11"/>
    </row>
    <row r="4237" spans="26:26" hidden="1">
      <c r="Z4237" s="11"/>
    </row>
    <row r="4238" spans="26:26" hidden="1">
      <c r="Z4238" s="11"/>
    </row>
    <row r="4239" spans="26:26" hidden="1">
      <c r="Z4239" s="11"/>
    </row>
    <row r="4240" spans="26:26" hidden="1">
      <c r="Z4240" s="11"/>
    </row>
    <row r="4241" spans="26:26" hidden="1">
      <c r="Z4241" s="11"/>
    </row>
    <row r="4242" spans="26:26" hidden="1">
      <c r="Z4242" s="11"/>
    </row>
    <row r="4243" spans="26:26" hidden="1">
      <c r="Z4243" s="11"/>
    </row>
    <row r="4244" spans="26:26" hidden="1">
      <c r="Z4244" s="11"/>
    </row>
    <row r="4245" spans="26:26" hidden="1">
      <c r="Z4245" s="11"/>
    </row>
    <row r="4246" spans="26:26" hidden="1">
      <c r="Z4246" s="11"/>
    </row>
    <row r="4247" spans="26:26" hidden="1">
      <c r="Z4247" s="11"/>
    </row>
    <row r="4248" spans="26:26" hidden="1">
      <c r="Z4248" s="11"/>
    </row>
    <row r="4249" spans="26:26" hidden="1">
      <c r="Z4249" s="11"/>
    </row>
    <row r="4250" spans="26:26" hidden="1">
      <c r="Z4250" s="11"/>
    </row>
    <row r="4251" spans="26:26" hidden="1">
      <c r="Z4251" s="11"/>
    </row>
    <row r="4252" spans="26:26" hidden="1">
      <c r="Z4252" s="11"/>
    </row>
    <row r="4253" spans="26:26" hidden="1">
      <c r="Z4253" s="11"/>
    </row>
    <row r="4254" spans="26:26" hidden="1">
      <c r="Z4254" s="11"/>
    </row>
    <row r="4255" spans="26:26" hidden="1">
      <c r="Z4255" s="11"/>
    </row>
    <row r="4256" spans="26:26" hidden="1">
      <c r="Z4256" s="11"/>
    </row>
    <row r="4257" spans="26:26" hidden="1">
      <c r="Z4257" s="11"/>
    </row>
    <row r="4258" spans="26:26" hidden="1">
      <c r="Z4258" s="11"/>
    </row>
    <row r="4259" spans="26:26" hidden="1">
      <c r="Z4259" s="11"/>
    </row>
    <row r="4260" spans="26:26" hidden="1">
      <c r="Z4260" s="11"/>
    </row>
    <row r="4261" spans="26:26" hidden="1">
      <c r="Z4261" s="11"/>
    </row>
    <row r="4262" spans="26:26" hidden="1">
      <c r="Z4262" s="11"/>
    </row>
    <row r="4263" spans="26:26" hidden="1">
      <c r="Z4263" s="11"/>
    </row>
    <row r="4264" spans="26:26" hidden="1">
      <c r="Z4264" s="11"/>
    </row>
    <row r="4265" spans="26:26" hidden="1">
      <c r="Z4265" s="11"/>
    </row>
    <row r="4266" spans="26:26" hidden="1">
      <c r="Z4266" s="11"/>
    </row>
    <row r="4267" spans="26:26" hidden="1">
      <c r="Z4267" s="11"/>
    </row>
    <row r="4268" spans="26:26" hidden="1">
      <c r="Z4268" s="11"/>
    </row>
    <row r="4269" spans="26:26" hidden="1">
      <c r="Z4269" s="11"/>
    </row>
    <row r="4270" spans="26:26" hidden="1">
      <c r="Z4270" s="11"/>
    </row>
    <row r="4271" spans="26:26" hidden="1">
      <c r="Z4271" s="11"/>
    </row>
    <row r="4272" spans="26:26" hidden="1">
      <c r="Z4272" s="11"/>
    </row>
    <row r="4273" spans="26:26" hidden="1">
      <c r="Z4273" s="11"/>
    </row>
    <row r="4274" spans="26:26" hidden="1">
      <c r="Z4274" s="11"/>
    </row>
    <row r="4275" spans="26:26" hidden="1">
      <c r="Z4275" s="11"/>
    </row>
    <row r="4276" spans="26:26" hidden="1">
      <c r="Z4276" s="11"/>
    </row>
    <row r="4277" spans="26:26" hidden="1">
      <c r="Z4277" s="11"/>
    </row>
    <row r="4278" spans="26:26" hidden="1">
      <c r="Z4278" s="11"/>
    </row>
    <row r="4279" spans="26:26" hidden="1">
      <c r="Z4279" s="11"/>
    </row>
    <row r="4280" spans="26:26" hidden="1">
      <c r="Z4280" s="11"/>
    </row>
    <row r="4281" spans="26:26" hidden="1">
      <c r="Z4281" s="11"/>
    </row>
    <row r="4282" spans="26:26" hidden="1">
      <c r="Z4282" s="11"/>
    </row>
    <row r="4283" spans="26:26" hidden="1">
      <c r="Z4283" s="11"/>
    </row>
    <row r="4284" spans="26:26" hidden="1">
      <c r="Z4284" s="11"/>
    </row>
    <row r="4285" spans="26:26" hidden="1">
      <c r="Z4285" s="11"/>
    </row>
    <row r="4286" spans="26:26" hidden="1">
      <c r="Z4286" s="11"/>
    </row>
    <row r="4287" spans="26:26" hidden="1">
      <c r="Z4287" s="11"/>
    </row>
    <row r="4288" spans="26:26" hidden="1">
      <c r="Z4288" s="11"/>
    </row>
    <row r="4289" spans="26:26" hidden="1">
      <c r="Z4289" s="11"/>
    </row>
    <row r="4290" spans="26:26" hidden="1">
      <c r="Z4290" s="11"/>
    </row>
    <row r="4291" spans="26:26" hidden="1">
      <c r="Z4291" s="11"/>
    </row>
    <row r="4292" spans="26:26" hidden="1">
      <c r="Z4292" s="11"/>
    </row>
    <row r="4293" spans="26:26" hidden="1">
      <c r="Z4293" s="11"/>
    </row>
    <row r="4294" spans="26:26" hidden="1">
      <c r="Z4294" s="11"/>
    </row>
    <row r="4295" spans="26:26" hidden="1">
      <c r="Z4295" s="11"/>
    </row>
    <row r="4296" spans="26:26" hidden="1">
      <c r="Z4296" s="11"/>
    </row>
    <row r="4297" spans="26:26" hidden="1">
      <c r="Z4297" s="11"/>
    </row>
    <row r="4298" spans="26:26" hidden="1">
      <c r="Z4298" s="11"/>
    </row>
    <row r="4299" spans="26:26" hidden="1">
      <c r="Z4299" s="11"/>
    </row>
    <row r="4300" spans="26:26" hidden="1">
      <c r="Z4300" s="11"/>
    </row>
    <row r="4301" spans="26:26" hidden="1">
      <c r="Z4301" s="11"/>
    </row>
    <row r="4302" spans="26:26" hidden="1">
      <c r="Z4302" s="11"/>
    </row>
    <row r="4303" spans="26:26" hidden="1">
      <c r="Z4303" s="11"/>
    </row>
    <row r="4304" spans="26:26" hidden="1">
      <c r="Z4304" s="11"/>
    </row>
    <row r="4305" spans="26:26" hidden="1">
      <c r="Z4305" s="11"/>
    </row>
    <row r="4306" spans="26:26" hidden="1">
      <c r="Z4306" s="11"/>
    </row>
    <row r="4307" spans="26:26" hidden="1">
      <c r="Z4307" s="11"/>
    </row>
    <row r="4308" spans="26:26" hidden="1">
      <c r="Z4308" s="11"/>
    </row>
    <row r="4309" spans="26:26" hidden="1">
      <c r="Z4309" s="11"/>
    </row>
    <row r="4310" spans="26:26" hidden="1">
      <c r="Z4310" s="11"/>
    </row>
    <row r="4311" spans="26:26" hidden="1">
      <c r="Z4311" s="11"/>
    </row>
    <row r="4312" spans="26:26" hidden="1">
      <c r="Z4312" s="11"/>
    </row>
    <row r="4313" spans="26:26" hidden="1">
      <c r="Z4313" s="11"/>
    </row>
    <row r="4314" spans="26:26" hidden="1">
      <c r="Z4314" s="11"/>
    </row>
    <row r="4315" spans="26:26" hidden="1">
      <c r="Z4315" s="11"/>
    </row>
    <row r="4316" spans="26:26" hidden="1">
      <c r="Z4316" s="11"/>
    </row>
    <row r="4317" spans="26:26" hidden="1">
      <c r="Z4317" s="11"/>
    </row>
    <row r="4318" spans="26:26" hidden="1">
      <c r="Z4318" s="11"/>
    </row>
    <row r="4319" spans="26:26" hidden="1">
      <c r="Z4319" s="11"/>
    </row>
    <row r="4320" spans="26:26" hidden="1">
      <c r="Z4320" s="11"/>
    </row>
    <row r="4321" spans="26:26" hidden="1">
      <c r="Z4321" s="11"/>
    </row>
    <row r="4322" spans="26:26" hidden="1">
      <c r="Z4322" s="11"/>
    </row>
    <row r="4323" spans="26:26" hidden="1">
      <c r="Z4323" s="11"/>
    </row>
    <row r="4324" spans="26:26" hidden="1">
      <c r="Z4324" s="11"/>
    </row>
    <row r="4325" spans="26:26" hidden="1">
      <c r="Z4325" s="11"/>
    </row>
    <row r="4326" spans="26:26" hidden="1">
      <c r="Z4326" s="11"/>
    </row>
    <row r="4327" spans="26:26" hidden="1">
      <c r="Z4327" s="11"/>
    </row>
    <row r="4328" spans="26:26" hidden="1">
      <c r="Z4328" s="11"/>
    </row>
    <row r="4329" spans="26:26" hidden="1">
      <c r="Z4329" s="11"/>
    </row>
    <row r="4330" spans="26:26" hidden="1">
      <c r="Z4330" s="11"/>
    </row>
    <row r="4331" spans="26:26" hidden="1">
      <c r="Z4331" s="11"/>
    </row>
    <row r="4332" spans="26:26" hidden="1">
      <c r="Z4332" s="11"/>
    </row>
    <row r="4333" spans="26:26" hidden="1">
      <c r="Z4333" s="11"/>
    </row>
    <row r="4334" spans="26:26" hidden="1">
      <c r="Z4334" s="11"/>
    </row>
    <row r="4335" spans="26:26" hidden="1">
      <c r="Z4335" s="11"/>
    </row>
    <row r="4336" spans="26:26" hidden="1">
      <c r="Z4336" s="11"/>
    </row>
    <row r="4337" spans="26:26" hidden="1">
      <c r="Z4337" s="11"/>
    </row>
    <row r="4338" spans="26:26" hidden="1">
      <c r="Z4338" s="11"/>
    </row>
    <row r="4339" spans="26:26" hidden="1">
      <c r="Z4339" s="11"/>
    </row>
    <row r="4340" spans="26:26" hidden="1">
      <c r="Z4340" s="11"/>
    </row>
    <row r="4341" spans="26:26" hidden="1">
      <c r="Z4341" s="11"/>
    </row>
    <row r="4342" spans="26:26" hidden="1">
      <c r="Z4342" s="11"/>
    </row>
    <row r="4343" spans="26:26" hidden="1">
      <c r="Z4343" s="11"/>
    </row>
    <row r="4344" spans="26:26" hidden="1">
      <c r="Z4344" s="11"/>
    </row>
    <row r="4345" spans="26:26" hidden="1">
      <c r="Z4345" s="11"/>
    </row>
    <row r="4346" spans="26:26" hidden="1">
      <c r="Z4346" s="11"/>
    </row>
    <row r="4347" spans="26:26" hidden="1">
      <c r="Z4347" s="11"/>
    </row>
    <row r="4348" spans="26:26" hidden="1">
      <c r="Z4348" s="11"/>
    </row>
    <row r="4349" spans="26:26" hidden="1">
      <c r="Z4349" s="11"/>
    </row>
    <row r="4350" spans="26:26" hidden="1">
      <c r="Z4350" s="11"/>
    </row>
    <row r="4351" spans="26:26" hidden="1">
      <c r="Z4351" s="11"/>
    </row>
    <row r="4352" spans="26:26" hidden="1">
      <c r="Z4352" s="11"/>
    </row>
    <row r="4353" spans="26:26" hidden="1">
      <c r="Z4353" s="11"/>
    </row>
    <row r="4354" spans="26:26" hidden="1">
      <c r="Z4354" s="11"/>
    </row>
    <row r="4355" spans="26:26" hidden="1">
      <c r="Z4355" s="11"/>
    </row>
    <row r="4356" spans="26:26" hidden="1">
      <c r="Z4356" s="11"/>
    </row>
    <row r="4357" spans="26:26" hidden="1">
      <c r="Z4357" s="11"/>
    </row>
    <row r="4358" spans="26:26" hidden="1">
      <c r="Z4358" s="11"/>
    </row>
    <row r="4359" spans="26:26" hidden="1">
      <c r="Z4359" s="11"/>
    </row>
    <row r="4360" spans="26:26" hidden="1">
      <c r="Z4360" s="11"/>
    </row>
    <row r="4361" spans="26:26" hidden="1">
      <c r="Z4361" s="11"/>
    </row>
    <row r="4362" spans="26:26" hidden="1">
      <c r="Z4362" s="11"/>
    </row>
    <row r="4363" spans="26:26" hidden="1">
      <c r="Z4363" s="11"/>
    </row>
    <row r="4364" spans="26:26" hidden="1">
      <c r="Z4364" s="11"/>
    </row>
    <row r="4365" spans="26:26" hidden="1">
      <c r="Z4365" s="11"/>
    </row>
    <row r="4366" spans="26:26" hidden="1">
      <c r="Z4366" s="11"/>
    </row>
    <row r="4367" spans="26:26" hidden="1">
      <c r="Z4367" s="11"/>
    </row>
    <row r="4368" spans="26:26" hidden="1">
      <c r="Z4368" s="11"/>
    </row>
    <row r="4369" spans="26:26" hidden="1">
      <c r="Z4369" s="11"/>
    </row>
    <row r="4370" spans="26:26" hidden="1">
      <c r="Z4370" s="11"/>
    </row>
    <row r="4371" spans="26:26" hidden="1">
      <c r="Z4371" s="11"/>
    </row>
    <row r="4372" spans="26:26" hidden="1">
      <c r="Z4372" s="11"/>
    </row>
    <row r="4373" spans="26:26" hidden="1">
      <c r="Z4373" s="11"/>
    </row>
    <row r="4374" spans="26:26" hidden="1">
      <c r="Z4374" s="11"/>
    </row>
    <row r="4375" spans="26:26" hidden="1">
      <c r="Z4375" s="11"/>
    </row>
    <row r="4376" spans="26:26" hidden="1">
      <c r="Z4376" s="11"/>
    </row>
    <row r="4377" spans="26:26" hidden="1">
      <c r="Z4377" s="11"/>
    </row>
    <row r="4378" spans="26:26" hidden="1">
      <c r="Z4378" s="11"/>
    </row>
    <row r="4379" spans="26:26" hidden="1">
      <c r="Z4379" s="11"/>
    </row>
    <row r="4380" spans="26:26" hidden="1">
      <c r="Z4380" s="11"/>
    </row>
    <row r="4381" spans="26:26" hidden="1">
      <c r="Z4381" s="11"/>
    </row>
    <row r="4382" spans="26:26" hidden="1">
      <c r="Z4382" s="11"/>
    </row>
    <row r="4383" spans="26:26" hidden="1">
      <c r="Z4383" s="11"/>
    </row>
    <row r="4384" spans="26:26" hidden="1">
      <c r="Z4384" s="11"/>
    </row>
    <row r="4385" spans="26:26" hidden="1">
      <c r="Z4385" s="11"/>
    </row>
    <row r="4386" spans="26:26" hidden="1">
      <c r="Z4386" s="11"/>
    </row>
    <row r="4387" spans="26:26" hidden="1">
      <c r="Z4387" s="11"/>
    </row>
    <row r="4388" spans="26:26" hidden="1">
      <c r="Z4388" s="11"/>
    </row>
    <row r="4389" spans="26:26" hidden="1">
      <c r="Z4389" s="11"/>
    </row>
    <row r="4390" spans="26:26" hidden="1">
      <c r="Z4390" s="11"/>
    </row>
    <row r="4391" spans="26:26" hidden="1">
      <c r="Z4391" s="11"/>
    </row>
    <row r="4392" spans="26:26" hidden="1">
      <c r="Z4392" s="11"/>
    </row>
    <row r="4393" spans="26:26" hidden="1">
      <c r="Z4393" s="11"/>
    </row>
    <row r="4394" spans="26:26" hidden="1">
      <c r="Z4394" s="11"/>
    </row>
    <row r="4395" spans="26:26" hidden="1">
      <c r="Z4395" s="11"/>
    </row>
    <row r="4396" spans="26:26" hidden="1">
      <c r="Z4396" s="11"/>
    </row>
    <row r="4397" spans="26:26" hidden="1">
      <c r="Z4397" s="11"/>
    </row>
    <row r="4398" spans="26:26" hidden="1">
      <c r="Z4398" s="11"/>
    </row>
    <row r="4399" spans="26:26" hidden="1">
      <c r="Z4399" s="11"/>
    </row>
    <row r="4400" spans="26:26" hidden="1">
      <c r="Z4400" s="11"/>
    </row>
    <row r="4401" spans="26:26" hidden="1">
      <c r="Z4401" s="11"/>
    </row>
    <row r="4402" spans="26:26" hidden="1">
      <c r="Z4402" s="11"/>
    </row>
    <row r="4403" spans="26:26" hidden="1">
      <c r="Z4403" s="11"/>
    </row>
    <row r="4404" spans="26:26" hidden="1">
      <c r="Z4404" s="11"/>
    </row>
    <row r="4405" spans="26:26" hidden="1">
      <c r="Z4405" s="11"/>
    </row>
    <row r="4406" spans="26:26" hidden="1">
      <c r="Z4406" s="11"/>
    </row>
    <row r="4407" spans="26:26" hidden="1">
      <c r="Z4407" s="11"/>
    </row>
    <row r="4408" spans="26:26" hidden="1">
      <c r="Z4408" s="11"/>
    </row>
    <row r="4409" spans="26:26" hidden="1">
      <c r="Z4409" s="11"/>
    </row>
    <row r="4410" spans="26:26" hidden="1">
      <c r="Z4410" s="11"/>
    </row>
    <row r="4411" spans="26:26" hidden="1">
      <c r="Z4411" s="11"/>
    </row>
    <row r="4412" spans="26:26" hidden="1">
      <c r="Z4412" s="11"/>
    </row>
    <row r="4413" spans="26:26" hidden="1">
      <c r="Z4413" s="11"/>
    </row>
    <row r="4414" spans="26:26" hidden="1">
      <c r="Z4414" s="11"/>
    </row>
    <row r="4415" spans="26:26" hidden="1">
      <c r="Z4415" s="11"/>
    </row>
    <row r="4416" spans="26:26" hidden="1">
      <c r="Z4416" s="11"/>
    </row>
    <row r="4417" spans="26:26" hidden="1">
      <c r="Z4417" s="11"/>
    </row>
    <row r="4418" spans="26:26" hidden="1">
      <c r="Z4418" s="11"/>
    </row>
    <row r="4419" spans="26:26" hidden="1">
      <c r="Z4419" s="11"/>
    </row>
    <row r="4420" spans="26:26" hidden="1">
      <c r="Z4420" s="11"/>
    </row>
    <row r="4421" spans="26:26" hidden="1">
      <c r="Z4421" s="11"/>
    </row>
    <row r="4422" spans="26:26" hidden="1">
      <c r="Z4422" s="11"/>
    </row>
    <row r="4423" spans="26:26" hidden="1">
      <c r="Z4423" s="11"/>
    </row>
    <row r="4424" spans="26:26" hidden="1">
      <c r="Z4424" s="11"/>
    </row>
    <row r="4425" spans="26:26" hidden="1">
      <c r="Z4425" s="11"/>
    </row>
    <row r="4426" spans="26:26" hidden="1">
      <c r="Z4426" s="11"/>
    </row>
    <row r="4427" spans="26:26" hidden="1">
      <c r="Z4427" s="11"/>
    </row>
    <row r="4428" spans="26:26" hidden="1">
      <c r="Z4428" s="11"/>
    </row>
    <row r="4429" spans="26:26" hidden="1">
      <c r="Z4429" s="11"/>
    </row>
    <row r="4430" spans="26:26" hidden="1">
      <c r="Z4430" s="11"/>
    </row>
    <row r="4431" spans="26:26" hidden="1">
      <c r="Z4431" s="11"/>
    </row>
    <row r="4432" spans="26:26" hidden="1">
      <c r="Z4432" s="11"/>
    </row>
    <row r="4433" spans="26:26" hidden="1">
      <c r="Z4433" s="11"/>
    </row>
    <row r="4434" spans="26:26" hidden="1">
      <c r="Z4434" s="11"/>
    </row>
    <row r="4435" spans="26:26" hidden="1">
      <c r="Z4435" s="11"/>
    </row>
    <row r="4436" spans="26:26" hidden="1">
      <c r="Z4436" s="11"/>
    </row>
    <row r="4437" spans="26:26" hidden="1">
      <c r="Z4437" s="11"/>
    </row>
    <row r="4438" spans="26:26" hidden="1">
      <c r="Z4438" s="11"/>
    </row>
    <row r="4439" spans="26:26" hidden="1">
      <c r="Z4439" s="11"/>
    </row>
    <row r="4440" spans="26:26" hidden="1">
      <c r="Z4440" s="11"/>
    </row>
    <row r="4441" spans="26:26" hidden="1">
      <c r="Z4441" s="11"/>
    </row>
    <row r="4442" spans="26:26" hidden="1">
      <c r="Z4442" s="11"/>
    </row>
    <row r="4443" spans="26:26" hidden="1">
      <c r="Z4443" s="11"/>
    </row>
    <row r="4444" spans="26:26" hidden="1">
      <c r="Z4444" s="11"/>
    </row>
    <row r="4445" spans="26:26" hidden="1">
      <c r="Z4445" s="11"/>
    </row>
    <row r="4446" spans="26:26" hidden="1">
      <c r="Z4446" s="11"/>
    </row>
    <row r="4447" spans="26:26" hidden="1">
      <c r="Z4447" s="11"/>
    </row>
    <row r="4448" spans="26:26" hidden="1">
      <c r="Z4448" s="11"/>
    </row>
    <row r="4449" spans="26:26" hidden="1">
      <c r="Z4449" s="11"/>
    </row>
    <row r="4450" spans="26:26" hidden="1">
      <c r="Z4450" s="11"/>
    </row>
    <row r="4451" spans="26:26" hidden="1">
      <c r="Z4451" s="11"/>
    </row>
    <row r="4452" spans="26:26" hidden="1">
      <c r="Z4452" s="11"/>
    </row>
    <row r="4453" spans="26:26" hidden="1">
      <c r="Z4453" s="11"/>
    </row>
    <row r="4454" spans="26:26" hidden="1">
      <c r="Z4454" s="11"/>
    </row>
    <row r="4455" spans="26:26" hidden="1">
      <c r="Z4455" s="11"/>
    </row>
    <row r="4456" spans="26:26" hidden="1">
      <c r="Z4456" s="11"/>
    </row>
    <row r="4457" spans="26:26" hidden="1">
      <c r="Z4457" s="11"/>
    </row>
    <row r="4458" spans="26:26" hidden="1">
      <c r="Z4458" s="11"/>
    </row>
    <row r="4459" spans="26:26" hidden="1">
      <c r="Z4459" s="11"/>
    </row>
    <row r="4460" spans="26:26" hidden="1">
      <c r="Z4460" s="11"/>
    </row>
    <row r="4461" spans="26:26" hidden="1">
      <c r="Z4461" s="11"/>
    </row>
    <row r="4462" spans="26:26" hidden="1">
      <c r="Z4462" s="11"/>
    </row>
    <row r="4463" spans="26:26" hidden="1">
      <c r="Z4463" s="11"/>
    </row>
    <row r="4464" spans="26:26" hidden="1">
      <c r="Z4464" s="11"/>
    </row>
    <row r="4465" spans="26:26" hidden="1">
      <c r="Z4465" s="11"/>
    </row>
    <row r="4466" spans="26:26" hidden="1">
      <c r="Z4466" s="11"/>
    </row>
    <row r="4467" spans="26:26" hidden="1">
      <c r="Z4467" s="11"/>
    </row>
    <row r="4468" spans="26:26" hidden="1">
      <c r="Z4468" s="11"/>
    </row>
    <row r="4469" spans="26:26" hidden="1">
      <c r="Z4469" s="11"/>
    </row>
    <row r="4470" spans="26:26" hidden="1">
      <c r="Z4470" s="11"/>
    </row>
    <row r="4471" spans="26:26" hidden="1">
      <c r="Z4471" s="11"/>
    </row>
    <row r="4472" spans="26:26" hidden="1">
      <c r="Z4472" s="11"/>
    </row>
    <row r="4473" spans="26:26" hidden="1">
      <c r="Z4473" s="11"/>
    </row>
    <row r="4474" spans="26:26" hidden="1">
      <c r="Z4474" s="11"/>
    </row>
    <row r="4475" spans="26:26" hidden="1">
      <c r="Z4475" s="11"/>
    </row>
    <row r="4476" spans="26:26" hidden="1">
      <c r="Z4476" s="11"/>
    </row>
    <row r="4477" spans="26:26" hidden="1">
      <c r="Z4477" s="11"/>
    </row>
    <row r="4478" spans="26:26" hidden="1">
      <c r="Z4478" s="11"/>
    </row>
    <row r="4479" spans="26:26" hidden="1">
      <c r="Z4479" s="11"/>
    </row>
    <row r="4480" spans="26:26" hidden="1">
      <c r="Z4480" s="11"/>
    </row>
    <row r="4481" spans="26:26" hidden="1">
      <c r="Z4481" s="11"/>
    </row>
    <row r="4482" spans="26:26" hidden="1">
      <c r="Z4482" s="11"/>
    </row>
    <row r="4483" spans="26:26" hidden="1">
      <c r="Z4483" s="11"/>
    </row>
    <row r="4484" spans="26:26" hidden="1">
      <c r="Z4484" s="11"/>
    </row>
    <row r="4485" spans="26:26" hidden="1">
      <c r="Z4485" s="11"/>
    </row>
    <row r="4486" spans="26:26" hidden="1">
      <c r="Z4486" s="11"/>
    </row>
    <row r="4487" spans="26:26" hidden="1">
      <c r="Z4487" s="11"/>
    </row>
    <row r="4488" spans="26:26" hidden="1">
      <c r="Z4488" s="11"/>
    </row>
    <row r="4489" spans="26:26" hidden="1">
      <c r="Z4489" s="11"/>
    </row>
    <row r="4490" spans="26:26" hidden="1">
      <c r="Z4490" s="11"/>
    </row>
    <row r="4491" spans="26:26" hidden="1">
      <c r="Z4491" s="11"/>
    </row>
    <row r="4492" spans="26:26" hidden="1">
      <c r="Z4492" s="11"/>
    </row>
    <row r="4493" spans="26:26" hidden="1">
      <c r="Z4493" s="11"/>
    </row>
    <row r="4494" spans="26:26" hidden="1">
      <c r="Z4494" s="11"/>
    </row>
    <row r="4495" spans="26:26" hidden="1">
      <c r="Z4495" s="11"/>
    </row>
    <row r="4496" spans="26:26" hidden="1">
      <c r="Z4496" s="11"/>
    </row>
    <row r="4497" spans="26:26" hidden="1">
      <c r="Z4497" s="11"/>
    </row>
    <row r="4498" spans="26:26" hidden="1">
      <c r="Z4498" s="11"/>
    </row>
    <row r="4499" spans="26:26" hidden="1">
      <c r="Z4499" s="11"/>
    </row>
    <row r="4500" spans="26:26" hidden="1">
      <c r="Z4500" s="11"/>
    </row>
    <row r="4501" spans="26:26" hidden="1">
      <c r="Z4501" s="11"/>
    </row>
    <row r="4502" spans="26:26" hidden="1">
      <c r="Z4502" s="11"/>
    </row>
    <row r="4503" spans="26:26" hidden="1">
      <c r="Z4503" s="11"/>
    </row>
    <row r="4504" spans="26:26" hidden="1">
      <c r="Z4504" s="11"/>
    </row>
    <row r="4505" spans="26:26" hidden="1">
      <c r="Z4505" s="11"/>
    </row>
    <row r="4506" spans="26:26" hidden="1">
      <c r="Z4506" s="11"/>
    </row>
    <row r="4507" spans="26:26" hidden="1">
      <c r="Z4507" s="11"/>
    </row>
    <row r="4508" spans="26:26" hidden="1">
      <c r="Z4508" s="11"/>
    </row>
    <row r="4509" spans="26:26" hidden="1">
      <c r="Z4509" s="11"/>
    </row>
    <row r="4510" spans="26:26" hidden="1">
      <c r="Z4510" s="11"/>
    </row>
    <row r="4511" spans="26:26" hidden="1">
      <c r="Z4511" s="11"/>
    </row>
    <row r="4512" spans="26:26" hidden="1">
      <c r="Z4512" s="11"/>
    </row>
    <row r="4513" spans="26:26" hidden="1">
      <c r="Z4513" s="11"/>
    </row>
    <row r="4514" spans="26:26" hidden="1">
      <c r="Z4514" s="11"/>
    </row>
    <row r="4515" spans="26:26" hidden="1">
      <c r="Z4515" s="11"/>
    </row>
    <row r="4516" spans="26:26" hidden="1">
      <c r="Z4516" s="11"/>
    </row>
    <row r="4517" spans="26:26" hidden="1">
      <c r="Z4517" s="11"/>
    </row>
    <row r="4518" spans="26:26" hidden="1">
      <c r="Z4518" s="11"/>
    </row>
    <row r="4519" spans="26:26" hidden="1">
      <c r="Z4519" s="11"/>
    </row>
    <row r="4520" spans="26:26" hidden="1">
      <c r="Z4520" s="11"/>
    </row>
    <row r="4521" spans="26:26" hidden="1">
      <c r="Z4521" s="11"/>
    </row>
    <row r="4522" spans="26:26" hidden="1">
      <c r="Z4522" s="11"/>
    </row>
    <row r="4523" spans="26:26" hidden="1">
      <c r="Z4523" s="11"/>
    </row>
    <row r="4524" spans="26:26" hidden="1">
      <c r="Z4524" s="11"/>
    </row>
    <row r="4525" spans="26:26" hidden="1">
      <c r="Z4525" s="11"/>
    </row>
    <row r="4526" spans="26:26" hidden="1">
      <c r="Z4526" s="11"/>
    </row>
    <row r="4527" spans="26:26" hidden="1">
      <c r="Z4527" s="11"/>
    </row>
    <row r="4528" spans="26:26" hidden="1">
      <c r="Z4528" s="11"/>
    </row>
    <row r="4529" spans="26:26" hidden="1">
      <c r="Z4529" s="11"/>
    </row>
    <row r="4530" spans="26:26" hidden="1">
      <c r="Z4530" s="11"/>
    </row>
    <row r="4531" spans="26:26" hidden="1">
      <c r="Z4531" s="11"/>
    </row>
    <row r="4532" spans="26:26" hidden="1">
      <c r="Z4532" s="11"/>
    </row>
    <row r="4533" spans="26:26" hidden="1">
      <c r="Z4533" s="11"/>
    </row>
    <row r="4534" spans="26:26" hidden="1">
      <c r="Z4534" s="11"/>
    </row>
    <row r="4535" spans="26:26" hidden="1">
      <c r="Z4535" s="11"/>
    </row>
    <row r="4536" spans="26:26" hidden="1">
      <c r="Z4536" s="11"/>
    </row>
    <row r="4537" spans="26:26" hidden="1">
      <c r="Z4537" s="11"/>
    </row>
    <row r="4538" spans="26:26" hidden="1">
      <c r="Z4538" s="11"/>
    </row>
    <row r="4539" spans="26:26" hidden="1">
      <c r="Z4539" s="11"/>
    </row>
    <row r="4540" spans="26:26" hidden="1">
      <c r="Z4540" s="11"/>
    </row>
    <row r="4541" spans="26:26" hidden="1">
      <c r="Z4541" s="11"/>
    </row>
    <row r="4542" spans="26:26" hidden="1">
      <c r="Z4542" s="11"/>
    </row>
    <row r="4543" spans="26:26" hidden="1">
      <c r="Z4543" s="11"/>
    </row>
    <row r="4544" spans="26:26" hidden="1">
      <c r="Z4544" s="11"/>
    </row>
    <row r="4545" spans="26:26" hidden="1">
      <c r="Z4545" s="11"/>
    </row>
    <row r="4546" spans="26:26" hidden="1">
      <c r="Z4546" s="11"/>
    </row>
    <row r="4547" spans="26:26" hidden="1">
      <c r="Z4547" s="11"/>
    </row>
    <row r="4548" spans="26:26" hidden="1">
      <c r="Z4548" s="11"/>
    </row>
    <row r="4549" spans="26:26" hidden="1">
      <c r="Z4549" s="11"/>
    </row>
    <row r="4550" spans="26:26" hidden="1">
      <c r="Z4550" s="11"/>
    </row>
    <row r="4551" spans="26:26" hidden="1">
      <c r="Z4551" s="11"/>
    </row>
    <row r="4552" spans="26:26" hidden="1">
      <c r="Z4552" s="11"/>
    </row>
    <row r="4553" spans="26:26" hidden="1">
      <c r="Z4553" s="11"/>
    </row>
    <row r="4554" spans="26:26" hidden="1">
      <c r="Z4554" s="11"/>
    </row>
    <row r="4555" spans="26:26" hidden="1">
      <c r="Z4555" s="11"/>
    </row>
    <row r="4556" spans="26:26" hidden="1">
      <c r="Z4556" s="11"/>
    </row>
    <row r="4557" spans="26:26" hidden="1">
      <c r="Z4557" s="11"/>
    </row>
    <row r="4558" spans="26:26" hidden="1">
      <c r="Z4558" s="11"/>
    </row>
    <row r="4559" spans="26:26" hidden="1">
      <c r="Z4559" s="11"/>
    </row>
    <row r="4560" spans="26:26" hidden="1">
      <c r="Z4560" s="11"/>
    </row>
    <row r="4561" spans="26:26" hidden="1">
      <c r="Z4561" s="11"/>
    </row>
    <row r="4562" spans="26:26" hidden="1">
      <c r="Z4562" s="11"/>
    </row>
    <row r="4563" spans="26:26" hidden="1">
      <c r="Z4563" s="11"/>
    </row>
    <row r="4564" spans="26:26" hidden="1">
      <c r="Z4564" s="11"/>
    </row>
    <row r="4565" spans="26:26" hidden="1">
      <c r="Z4565" s="11"/>
    </row>
    <row r="4566" spans="26:26" hidden="1">
      <c r="Z4566" s="11"/>
    </row>
    <row r="4567" spans="26:26" hidden="1">
      <c r="Z4567" s="11"/>
    </row>
    <row r="4568" spans="26:26" hidden="1">
      <c r="Z4568" s="11"/>
    </row>
    <row r="4569" spans="26:26" hidden="1">
      <c r="Z4569" s="11"/>
    </row>
    <row r="4570" spans="26:26" hidden="1">
      <c r="Z4570" s="11"/>
    </row>
    <row r="4571" spans="26:26" hidden="1">
      <c r="Z4571" s="11"/>
    </row>
    <row r="4572" spans="26:26" hidden="1">
      <c r="Z4572" s="11"/>
    </row>
    <row r="4573" spans="26:26" hidden="1">
      <c r="Z4573" s="11"/>
    </row>
    <row r="4574" spans="26:26" hidden="1">
      <c r="Z4574" s="11"/>
    </row>
    <row r="4575" spans="26:26" hidden="1">
      <c r="Z4575" s="11"/>
    </row>
    <row r="4576" spans="26:26" hidden="1">
      <c r="Z4576" s="11"/>
    </row>
    <row r="4577" spans="26:26" hidden="1">
      <c r="Z4577" s="11"/>
    </row>
    <row r="4578" spans="26:26" hidden="1">
      <c r="Z4578" s="11"/>
    </row>
    <row r="4579" spans="26:26" hidden="1">
      <c r="Z4579" s="11"/>
    </row>
    <row r="4580" spans="26:26" hidden="1">
      <c r="Z4580" s="11"/>
    </row>
    <row r="4581" spans="26:26" hidden="1">
      <c r="Z4581" s="11"/>
    </row>
    <row r="4582" spans="26:26" hidden="1">
      <c r="Z4582" s="11"/>
    </row>
    <row r="4583" spans="26:26" hidden="1">
      <c r="Z4583" s="11"/>
    </row>
    <row r="4584" spans="26:26" hidden="1">
      <c r="Z4584" s="11"/>
    </row>
    <row r="4585" spans="26:26" hidden="1">
      <c r="Z4585" s="11"/>
    </row>
    <row r="4586" spans="26:26" hidden="1">
      <c r="Z4586" s="11"/>
    </row>
    <row r="4587" spans="26:26" hidden="1">
      <c r="Z4587" s="11"/>
    </row>
    <row r="4588" spans="26:26" hidden="1">
      <c r="Z4588" s="11"/>
    </row>
    <row r="4589" spans="26:26" hidden="1">
      <c r="Z4589" s="11"/>
    </row>
    <row r="4590" spans="26:26" hidden="1">
      <c r="Z4590" s="11"/>
    </row>
    <row r="4591" spans="26:26" hidden="1">
      <c r="Z4591" s="11"/>
    </row>
    <row r="4592" spans="26:26" hidden="1">
      <c r="Z4592" s="11"/>
    </row>
    <row r="4593" spans="26:26" hidden="1">
      <c r="Z4593" s="11"/>
    </row>
    <row r="4594" spans="26:26" hidden="1">
      <c r="Z4594" s="11"/>
    </row>
    <row r="4595" spans="26:26" hidden="1">
      <c r="Z4595" s="11"/>
    </row>
    <row r="4596" spans="26:26" hidden="1">
      <c r="Z4596" s="11"/>
    </row>
    <row r="4597" spans="26:26" hidden="1">
      <c r="Z4597" s="11"/>
    </row>
    <row r="4598" spans="26:26" hidden="1">
      <c r="Z4598" s="11"/>
    </row>
    <row r="4599" spans="26:26" hidden="1">
      <c r="Z4599" s="11"/>
    </row>
    <row r="4600" spans="26:26" hidden="1">
      <c r="Z4600" s="11"/>
    </row>
    <row r="4601" spans="26:26" hidden="1">
      <c r="Z4601" s="11"/>
    </row>
    <row r="4602" spans="26:26" hidden="1">
      <c r="Z4602" s="11"/>
    </row>
    <row r="4603" spans="26:26" hidden="1">
      <c r="Z4603" s="11"/>
    </row>
    <row r="4604" spans="26:26" hidden="1">
      <c r="Z4604" s="11"/>
    </row>
    <row r="4605" spans="26:26" hidden="1">
      <c r="Z4605" s="11"/>
    </row>
    <row r="4606" spans="26:26" hidden="1">
      <c r="Z4606" s="11"/>
    </row>
    <row r="4607" spans="26:26" hidden="1">
      <c r="Z4607" s="11"/>
    </row>
    <row r="4608" spans="26:26" hidden="1">
      <c r="Z4608" s="11"/>
    </row>
    <row r="4609" spans="26:26" hidden="1">
      <c r="Z4609" s="11"/>
    </row>
    <row r="4610" spans="26:26" hidden="1">
      <c r="Z4610" s="11"/>
    </row>
    <row r="4611" spans="26:26" hidden="1">
      <c r="Z4611" s="11"/>
    </row>
    <row r="4612" spans="26:26" hidden="1">
      <c r="Z4612" s="11"/>
    </row>
    <row r="4613" spans="26:26" hidden="1">
      <c r="Z4613" s="11"/>
    </row>
    <row r="4614" spans="26:26" hidden="1">
      <c r="Z4614" s="11"/>
    </row>
    <row r="4615" spans="26:26" hidden="1">
      <c r="Z4615" s="11"/>
    </row>
    <row r="4616" spans="26:26" hidden="1">
      <c r="Z4616" s="11"/>
    </row>
    <row r="4617" spans="26:26" hidden="1">
      <c r="Z4617" s="11"/>
    </row>
    <row r="4618" spans="26:26" hidden="1">
      <c r="Z4618" s="11"/>
    </row>
    <row r="4619" spans="26:26" hidden="1">
      <c r="Z4619" s="11"/>
    </row>
    <row r="4620" spans="26:26" hidden="1">
      <c r="Z4620" s="11"/>
    </row>
    <row r="4621" spans="26:26" hidden="1">
      <c r="Z4621" s="11"/>
    </row>
    <row r="4622" spans="26:26" hidden="1">
      <c r="Z4622" s="11"/>
    </row>
    <row r="4623" spans="26:26" hidden="1">
      <c r="Z4623" s="11"/>
    </row>
    <row r="4624" spans="26:26" hidden="1">
      <c r="Z4624" s="11"/>
    </row>
    <row r="4625" spans="26:26" hidden="1">
      <c r="Z4625" s="11"/>
    </row>
    <row r="4626" spans="26:26" hidden="1">
      <c r="Z4626" s="11"/>
    </row>
    <row r="4627" spans="26:26" hidden="1">
      <c r="Z4627" s="11"/>
    </row>
    <row r="4628" spans="26:26" hidden="1">
      <c r="Z4628" s="11"/>
    </row>
    <row r="4629" spans="26:26" hidden="1">
      <c r="Z4629" s="11"/>
    </row>
    <row r="4630" spans="26:26" hidden="1">
      <c r="Z4630" s="11"/>
    </row>
    <row r="4631" spans="26:26" hidden="1">
      <c r="Z4631" s="11"/>
    </row>
    <row r="4632" spans="26:26" hidden="1">
      <c r="Z4632" s="11"/>
    </row>
    <row r="4633" spans="26:26" hidden="1">
      <c r="Z4633" s="11"/>
    </row>
    <row r="4634" spans="26:26" hidden="1">
      <c r="Z4634" s="11"/>
    </row>
    <row r="4635" spans="26:26" hidden="1">
      <c r="Z4635" s="11"/>
    </row>
    <row r="4636" spans="26:26" hidden="1">
      <c r="Z4636" s="11"/>
    </row>
    <row r="4637" spans="26:26" hidden="1">
      <c r="Z4637" s="11"/>
    </row>
    <row r="4638" spans="26:26" hidden="1">
      <c r="Z4638" s="11"/>
    </row>
    <row r="4639" spans="26:26" hidden="1">
      <c r="Z4639" s="11"/>
    </row>
    <row r="4640" spans="26:26" hidden="1">
      <c r="Z4640" s="11"/>
    </row>
    <row r="4641" spans="26:26" hidden="1">
      <c r="Z4641" s="11"/>
    </row>
    <row r="4642" spans="26:26" hidden="1">
      <c r="Z4642" s="11"/>
    </row>
    <row r="4643" spans="26:26" hidden="1">
      <c r="Z4643" s="11"/>
    </row>
    <row r="4644" spans="26:26" hidden="1">
      <c r="Z4644" s="11"/>
    </row>
    <row r="4645" spans="26:26" hidden="1">
      <c r="Z4645" s="11"/>
    </row>
    <row r="4646" spans="26:26" hidden="1">
      <c r="Z4646" s="11"/>
    </row>
    <row r="4647" spans="26:26" hidden="1">
      <c r="Z4647" s="11"/>
    </row>
    <row r="4648" spans="26:26" hidden="1">
      <c r="Z4648" s="11"/>
    </row>
    <row r="4649" spans="26:26" hidden="1">
      <c r="Z4649" s="11"/>
    </row>
    <row r="4650" spans="26:26" hidden="1">
      <c r="Z4650" s="11"/>
    </row>
    <row r="4651" spans="26:26" hidden="1">
      <c r="Z4651" s="11"/>
    </row>
    <row r="4652" spans="26:26" hidden="1">
      <c r="Z4652" s="11"/>
    </row>
    <row r="4653" spans="26:26" hidden="1">
      <c r="Z4653" s="11"/>
    </row>
    <row r="4654" spans="26:26" hidden="1">
      <c r="Z4654" s="11"/>
    </row>
    <row r="4655" spans="26:26" hidden="1">
      <c r="Z4655" s="11"/>
    </row>
    <row r="4656" spans="26:26" hidden="1">
      <c r="Z4656" s="11"/>
    </row>
    <row r="4657" spans="26:26" hidden="1">
      <c r="Z4657" s="11"/>
    </row>
    <row r="4658" spans="26:26" hidden="1">
      <c r="Z4658" s="11"/>
    </row>
    <row r="4659" spans="26:26" hidden="1">
      <c r="Z4659" s="11"/>
    </row>
    <row r="4660" spans="26:26" hidden="1">
      <c r="Z4660" s="11"/>
    </row>
    <row r="4661" spans="26:26" hidden="1">
      <c r="Z4661" s="11"/>
    </row>
    <row r="4662" spans="26:26" hidden="1">
      <c r="Z4662" s="11"/>
    </row>
    <row r="4663" spans="26:26" hidden="1">
      <c r="Z4663" s="11"/>
    </row>
    <row r="4664" spans="26:26" hidden="1">
      <c r="Z4664" s="11"/>
    </row>
    <row r="4665" spans="26:26" hidden="1">
      <c r="Z4665" s="11"/>
    </row>
    <row r="4666" spans="26:26" hidden="1">
      <c r="Z4666" s="11"/>
    </row>
    <row r="4667" spans="26:26" hidden="1">
      <c r="Z4667" s="11"/>
    </row>
    <row r="4668" spans="26:26" hidden="1">
      <c r="Z4668" s="11"/>
    </row>
    <row r="4669" spans="26:26" hidden="1">
      <c r="Z4669" s="11"/>
    </row>
    <row r="4670" spans="26:26" hidden="1">
      <c r="Z4670" s="11"/>
    </row>
    <row r="4671" spans="26:26" hidden="1">
      <c r="Z4671" s="11"/>
    </row>
    <row r="4672" spans="26:26" hidden="1">
      <c r="Z4672" s="11"/>
    </row>
    <row r="4673" spans="26:26" hidden="1">
      <c r="Z4673" s="11"/>
    </row>
    <row r="4674" spans="26:26" hidden="1">
      <c r="Z4674" s="11"/>
    </row>
    <row r="4675" spans="26:26" hidden="1">
      <c r="Z4675" s="11"/>
    </row>
    <row r="4676" spans="26:26" hidden="1">
      <c r="Z4676" s="11"/>
    </row>
    <row r="4677" spans="26:26" hidden="1">
      <c r="Z4677" s="11"/>
    </row>
    <row r="4678" spans="26:26" hidden="1">
      <c r="Z4678" s="11"/>
    </row>
    <row r="4679" spans="26:26" hidden="1">
      <c r="Z4679" s="11"/>
    </row>
    <row r="4680" spans="26:26" hidden="1">
      <c r="Z4680" s="11"/>
    </row>
    <row r="4681" spans="26:26" hidden="1">
      <c r="Z4681" s="11"/>
    </row>
    <row r="4682" spans="26:26" hidden="1">
      <c r="Z4682" s="11"/>
    </row>
    <row r="4683" spans="26:26" hidden="1">
      <c r="Z4683" s="11"/>
    </row>
    <row r="4684" spans="26:26" hidden="1">
      <c r="Z4684" s="11"/>
    </row>
    <row r="4685" spans="26:26" hidden="1">
      <c r="Z4685" s="11"/>
    </row>
    <row r="4686" spans="26:26" hidden="1">
      <c r="Z4686" s="11"/>
    </row>
    <row r="4687" spans="26:26" hidden="1">
      <c r="Z4687" s="11"/>
    </row>
    <row r="4688" spans="26:26" hidden="1">
      <c r="Z4688" s="11"/>
    </row>
    <row r="4689" spans="26:26" hidden="1">
      <c r="Z4689" s="11"/>
    </row>
    <row r="4690" spans="26:26" hidden="1">
      <c r="Z4690" s="11"/>
    </row>
    <row r="4691" spans="26:26" hidden="1">
      <c r="Z4691" s="11"/>
    </row>
    <row r="4692" spans="26:26" hidden="1">
      <c r="Z4692" s="11"/>
    </row>
    <row r="4693" spans="26:26" hidden="1">
      <c r="Z4693" s="11"/>
    </row>
    <row r="4694" spans="26:26" hidden="1">
      <c r="Z4694" s="11"/>
    </row>
    <row r="4695" spans="26:26" hidden="1">
      <c r="Z4695" s="11"/>
    </row>
    <row r="4696" spans="26:26" hidden="1">
      <c r="Z4696" s="11"/>
    </row>
    <row r="4697" spans="26:26" hidden="1">
      <c r="Z4697" s="11"/>
    </row>
    <row r="4698" spans="26:26" hidden="1">
      <c r="Z4698" s="11"/>
    </row>
    <row r="4699" spans="26:26" hidden="1">
      <c r="Z4699" s="11"/>
    </row>
    <row r="4700" spans="26:26" hidden="1">
      <c r="Z4700" s="11"/>
    </row>
    <row r="4701" spans="26:26" hidden="1">
      <c r="Z4701" s="11"/>
    </row>
    <row r="4702" spans="26:26" hidden="1">
      <c r="Z4702" s="11"/>
    </row>
    <row r="4703" spans="26:26" hidden="1">
      <c r="Z4703" s="11"/>
    </row>
    <row r="4704" spans="26:26" hidden="1">
      <c r="Z4704" s="11"/>
    </row>
    <row r="4705" spans="26:26" hidden="1">
      <c r="Z4705" s="11"/>
    </row>
    <row r="4706" spans="26:26" hidden="1">
      <c r="Z4706" s="11"/>
    </row>
    <row r="4707" spans="26:26" hidden="1">
      <c r="Z4707" s="11"/>
    </row>
    <row r="4708" spans="26:26" hidden="1">
      <c r="Z4708" s="11"/>
    </row>
    <row r="4709" spans="26:26" hidden="1">
      <c r="Z4709" s="11"/>
    </row>
    <row r="4710" spans="26:26" hidden="1">
      <c r="Z4710" s="11"/>
    </row>
    <row r="4711" spans="26:26" hidden="1">
      <c r="Z4711" s="11"/>
    </row>
    <row r="4712" spans="26:26" hidden="1">
      <c r="Z4712" s="11"/>
    </row>
    <row r="4713" spans="26:26" hidden="1">
      <c r="Z4713" s="11"/>
    </row>
    <row r="4714" spans="26:26" hidden="1">
      <c r="Z4714" s="11"/>
    </row>
    <row r="4715" spans="26:26" hidden="1">
      <c r="Z4715" s="11"/>
    </row>
    <row r="4716" spans="26:26" hidden="1">
      <c r="Z4716" s="11"/>
    </row>
    <row r="4717" spans="26:26" hidden="1">
      <c r="Z4717" s="11"/>
    </row>
    <row r="4718" spans="26:26" hidden="1">
      <c r="Z4718" s="11"/>
    </row>
    <row r="4719" spans="26:26" hidden="1">
      <c r="Z4719" s="11"/>
    </row>
    <row r="4720" spans="26:26" hidden="1">
      <c r="Z4720" s="11"/>
    </row>
    <row r="4721" spans="26:26" hidden="1">
      <c r="Z4721" s="11"/>
    </row>
    <row r="4722" spans="26:26" hidden="1">
      <c r="Z4722" s="11"/>
    </row>
    <row r="4723" spans="26:26" hidden="1">
      <c r="Z4723" s="11"/>
    </row>
    <row r="4724" spans="26:26" hidden="1">
      <c r="Z4724" s="11"/>
    </row>
    <row r="4725" spans="26:26" hidden="1">
      <c r="Z4725" s="11"/>
    </row>
    <row r="4726" spans="26:26" hidden="1">
      <c r="Z4726" s="11"/>
    </row>
    <row r="4727" spans="26:26" hidden="1">
      <c r="Z4727" s="11"/>
    </row>
    <row r="4728" spans="26:26" hidden="1">
      <c r="Z4728" s="11"/>
    </row>
    <row r="4729" spans="26:26" hidden="1">
      <c r="Z4729" s="11"/>
    </row>
    <row r="4730" spans="26:26" hidden="1">
      <c r="Z4730" s="11"/>
    </row>
    <row r="4731" spans="26:26" hidden="1">
      <c r="Z4731" s="11"/>
    </row>
    <row r="4732" spans="26:26" hidden="1">
      <c r="Z4732" s="11"/>
    </row>
    <row r="4733" spans="26:26" hidden="1">
      <c r="Z4733" s="11"/>
    </row>
    <row r="4734" spans="26:26" hidden="1">
      <c r="Z4734" s="11"/>
    </row>
    <row r="4735" spans="26:26" hidden="1">
      <c r="Z4735" s="11"/>
    </row>
    <row r="4736" spans="26:26" hidden="1">
      <c r="Z4736" s="11"/>
    </row>
    <row r="4737" spans="26:26" hidden="1">
      <c r="Z4737" s="11"/>
    </row>
    <row r="4738" spans="26:26" hidden="1">
      <c r="Z4738" s="11"/>
    </row>
    <row r="4739" spans="26:26" hidden="1">
      <c r="Z4739" s="11"/>
    </row>
    <row r="4740" spans="26:26" hidden="1">
      <c r="Z4740" s="11"/>
    </row>
    <row r="4741" spans="26:26" hidden="1">
      <c r="Z4741" s="11"/>
    </row>
    <row r="4742" spans="26:26" hidden="1">
      <c r="Z4742" s="11"/>
    </row>
    <row r="4743" spans="26:26" hidden="1">
      <c r="Z4743" s="11"/>
    </row>
    <row r="4744" spans="26:26" hidden="1">
      <c r="Z4744" s="11"/>
    </row>
    <row r="4745" spans="26:26" hidden="1">
      <c r="Z4745" s="11"/>
    </row>
    <row r="4746" spans="26:26" hidden="1">
      <c r="Z4746" s="11"/>
    </row>
    <row r="4747" spans="26:26" hidden="1">
      <c r="Z4747" s="11"/>
    </row>
    <row r="4748" spans="26:26" hidden="1">
      <c r="Z4748" s="11"/>
    </row>
    <row r="4749" spans="26:26" hidden="1">
      <c r="Z4749" s="11"/>
    </row>
    <row r="4750" spans="26:26" hidden="1">
      <c r="Z4750" s="11"/>
    </row>
    <row r="4751" spans="26:26" hidden="1">
      <c r="Z4751" s="11"/>
    </row>
    <row r="4752" spans="26:26" hidden="1">
      <c r="Z4752" s="11"/>
    </row>
    <row r="4753" spans="26:26" hidden="1">
      <c r="Z4753" s="11"/>
    </row>
    <row r="4754" spans="26:26" hidden="1">
      <c r="Z4754" s="11"/>
    </row>
    <row r="4755" spans="26:26" hidden="1">
      <c r="Z4755" s="11"/>
    </row>
    <row r="4756" spans="26:26" hidden="1">
      <c r="Z4756" s="11"/>
    </row>
    <row r="4757" spans="26:26" hidden="1">
      <c r="Z4757" s="11"/>
    </row>
    <row r="4758" spans="26:26" hidden="1">
      <c r="Z4758" s="11"/>
    </row>
    <row r="4759" spans="26:26" hidden="1">
      <c r="Z4759" s="11"/>
    </row>
    <row r="4760" spans="26:26" hidden="1">
      <c r="Z4760" s="11"/>
    </row>
    <row r="4761" spans="26:26" hidden="1">
      <c r="Z4761" s="11"/>
    </row>
    <row r="4762" spans="26:26" hidden="1">
      <c r="Z4762" s="11"/>
    </row>
    <row r="4763" spans="26:26" hidden="1">
      <c r="Z4763" s="11"/>
    </row>
    <row r="4764" spans="26:26" hidden="1">
      <c r="Z4764" s="11"/>
    </row>
    <row r="4765" spans="26:26" hidden="1">
      <c r="Z4765" s="11"/>
    </row>
    <row r="4766" spans="26:26" hidden="1">
      <c r="Z4766" s="11"/>
    </row>
    <row r="4767" spans="26:26" hidden="1">
      <c r="Z4767" s="11"/>
    </row>
    <row r="4768" spans="26:26" hidden="1">
      <c r="Z4768" s="11"/>
    </row>
    <row r="4769" spans="26:26" hidden="1">
      <c r="Z4769" s="11"/>
    </row>
    <row r="4770" spans="26:26" hidden="1">
      <c r="Z4770" s="11"/>
    </row>
    <row r="4771" spans="26:26" hidden="1">
      <c r="Z4771" s="11"/>
    </row>
    <row r="4772" spans="26:26" hidden="1">
      <c r="Z4772" s="11"/>
    </row>
    <row r="4773" spans="26:26" hidden="1">
      <c r="Z4773" s="11"/>
    </row>
    <row r="4774" spans="26:26" hidden="1">
      <c r="Z4774" s="11"/>
    </row>
    <row r="4775" spans="26:26" hidden="1">
      <c r="Z4775" s="11"/>
    </row>
    <row r="4776" spans="26:26" hidden="1">
      <c r="Z4776" s="11"/>
    </row>
    <row r="4777" spans="26:26" hidden="1">
      <c r="Z4777" s="11"/>
    </row>
    <row r="4778" spans="26:26" hidden="1">
      <c r="Z4778" s="11"/>
    </row>
    <row r="4779" spans="26:26" hidden="1">
      <c r="Z4779" s="11"/>
    </row>
    <row r="4780" spans="26:26" hidden="1">
      <c r="Z4780" s="11"/>
    </row>
    <row r="4781" spans="26:26" hidden="1">
      <c r="Z4781" s="11"/>
    </row>
    <row r="4782" spans="26:26" hidden="1">
      <c r="Z4782" s="11"/>
    </row>
    <row r="4783" spans="26:26" hidden="1">
      <c r="Z4783" s="11"/>
    </row>
    <row r="4784" spans="26:26" hidden="1">
      <c r="Z4784" s="11"/>
    </row>
    <row r="4785" spans="26:26" hidden="1">
      <c r="Z4785" s="11"/>
    </row>
    <row r="4786" spans="26:26" hidden="1">
      <c r="Z4786" s="11"/>
    </row>
    <row r="4787" spans="26:26" hidden="1">
      <c r="Z4787" s="11"/>
    </row>
    <row r="4788" spans="26:26" hidden="1">
      <c r="Z4788" s="11"/>
    </row>
    <row r="4789" spans="26:26" hidden="1">
      <c r="Z4789" s="11"/>
    </row>
    <row r="4790" spans="26:26" hidden="1">
      <c r="Z4790" s="11"/>
    </row>
    <row r="4791" spans="26:26" hidden="1">
      <c r="Z4791" s="11"/>
    </row>
    <row r="4792" spans="26:26" hidden="1">
      <c r="Z4792" s="11"/>
    </row>
    <row r="4793" spans="26:26" hidden="1">
      <c r="Z4793" s="11"/>
    </row>
    <row r="4794" spans="26:26" hidden="1">
      <c r="Z4794" s="11"/>
    </row>
    <row r="4795" spans="26:26" hidden="1">
      <c r="Z4795" s="11"/>
    </row>
    <row r="4796" spans="26:26" hidden="1">
      <c r="Z4796" s="11"/>
    </row>
    <row r="4797" spans="26:26" hidden="1">
      <c r="Z4797" s="11"/>
    </row>
    <row r="4798" spans="26:26" hidden="1">
      <c r="Z4798" s="11"/>
    </row>
    <row r="4799" spans="26:26" hidden="1">
      <c r="Z4799" s="11"/>
    </row>
    <row r="4800" spans="26:26" hidden="1">
      <c r="Z4800" s="11"/>
    </row>
    <row r="4801" spans="26:26" hidden="1">
      <c r="Z4801" s="11"/>
    </row>
    <row r="4802" spans="26:26" hidden="1">
      <c r="Z4802" s="11"/>
    </row>
    <row r="4803" spans="26:26" hidden="1">
      <c r="Z4803" s="11"/>
    </row>
    <row r="4804" spans="26:26" hidden="1">
      <c r="Z4804" s="11"/>
    </row>
    <row r="4805" spans="26:26" hidden="1">
      <c r="Z4805" s="11"/>
    </row>
    <row r="4806" spans="26:26" hidden="1">
      <c r="Z4806" s="11"/>
    </row>
    <row r="4807" spans="26:26" hidden="1">
      <c r="Z4807" s="11"/>
    </row>
    <row r="4808" spans="26:26" hidden="1">
      <c r="Z4808" s="11"/>
    </row>
    <row r="4809" spans="26:26" hidden="1">
      <c r="Z4809" s="11"/>
    </row>
    <row r="4810" spans="26:26" hidden="1">
      <c r="Z4810" s="11"/>
    </row>
    <row r="4811" spans="26:26" hidden="1">
      <c r="Z4811" s="11"/>
    </row>
    <row r="4812" spans="26:26" hidden="1">
      <c r="Z4812" s="11"/>
    </row>
    <row r="4813" spans="26:26" hidden="1">
      <c r="Z4813" s="11"/>
    </row>
    <row r="4814" spans="26:26" hidden="1">
      <c r="Z4814" s="11"/>
    </row>
    <row r="4815" spans="26:26" hidden="1">
      <c r="Z4815" s="11"/>
    </row>
    <row r="4816" spans="26:26" hidden="1">
      <c r="Z4816" s="11"/>
    </row>
    <row r="4817" spans="26:26" hidden="1">
      <c r="Z4817" s="11"/>
    </row>
    <row r="4818" spans="26:26" hidden="1">
      <c r="Z4818" s="11"/>
    </row>
    <row r="4819" spans="26:26" hidden="1">
      <c r="Z4819" s="11"/>
    </row>
    <row r="4820" spans="26:26" hidden="1">
      <c r="Z4820" s="11"/>
    </row>
    <row r="4821" spans="26:26" hidden="1">
      <c r="Z4821" s="11"/>
    </row>
    <row r="4822" spans="26:26" hidden="1">
      <c r="Z4822" s="11"/>
    </row>
    <row r="4823" spans="26:26" hidden="1">
      <c r="Z4823" s="11"/>
    </row>
    <row r="4824" spans="26:26" hidden="1">
      <c r="Z4824" s="11"/>
    </row>
    <row r="4825" spans="26:26" hidden="1">
      <c r="Z4825" s="11"/>
    </row>
    <row r="4826" spans="26:26" hidden="1">
      <c r="Z4826" s="11"/>
    </row>
    <row r="4827" spans="26:26" hidden="1">
      <c r="Z4827" s="11"/>
    </row>
    <row r="4828" spans="26:26" hidden="1">
      <c r="Z4828" s="11"/>
    </row>
    <row r="4829" spans="26:26" hidden="1">
      <c r="Z4829" s="11"/>
    </row>
    <row r="4830" spans="26:26" hidden="1">
      <c r="Z4830" s="11"/>
    </row>
    <row r="4831" spans="26:26" hidden="1">
      <c r="Z4831" s="11"/>
    </row>
    <row r="4832" spans="26:26" hidden="1">
      <c r="Z4832" s="11"/>
    </row>
    <row r="4833" spans="26:26" hidden="1">
      <c r="Z4833" s="11"/>
    </row>
    <row r="4834" spans="26:26" hidden="1">
      <c r="Z4834" s="11"/>
    </row>
    <row r="4835" spans="26:26" hidden="1">
      <c r="Z4835" s="11"/>
    </row>
    <row r="4836" spans="26:26" hidden="1">
      <c r="Z4836" s="11"/>
    </row>
    <row r="4837" spans="26:26" hidden="1">
      <c r="Z4837" s="11"/>
    </row>
    <row r="4838" spans="26:26" hidden="1">
      <c r="Z4838" s="11"/>
    </row>
    <row r="4839" spans="26:26" hidden="1">
      <c r="Z4839" s="11"/>
    </row>
    <row r="4840" spans="26:26" hidden="1">
      <c r="Z4840" s="11"/>
    </row>
    <row r="4841" spans="26:26" hidden="1">
      <c r="Z4841" s="11"/>
    </row>
    <row r="4842" spans="26:26" hidden="1">
      <c r="Z4842" s="11"/>
    </row>
    <row r="4843" spans="26:26" hidden="1">
      <c r="Z4843" s="11"/>
    </row>
    <row r="4844" spans="26:26" hidden="1">
      <c r="Z4844" s="11"/>
    </row>
    <row r="4845" spans="26:26" hidden="1">
      <c r="Z4845" s="11"/>
    </row>
    <row r="4846" spans="26:26" hidden="1">
      <c r="Z4846" s="11"/>
    </row>
    <row r="4847" spans="26:26" hidden="1">
      <c r="Z4847" s="11"/>
    </row>
    <row r="4848" spans="26:26" hidden="1">
      <c r="Z4848" s="11"/>
    </row>
    <row r="4849" spans="26:26" hidden="1">
      <c r="Z4849" s="11"/>
    </row>
    <row r="4850" spans="26:26" hidden="1">
      <c r="Z4850" s="11"/>
    </row>
    <row r="4851" spans="26:26" hidden="1">
      <c r="Z4851" s="11"/>
    </row>
    <row r="4852" spans="26:26" hidden="1">
      <c r="Z4852" s="11"/>
    </row>
    <row r="4853" spans="26:26" hidden="1">
      <c r="Z4853" s="11"/>
    </row>
    <row r="4854" spans="26:26" hidden="1">
      <c r="Z4854" s="11"/>
    </row>
    <row r="4855" spans="26:26" hidden="1">
      <c r="Z4855" s="11"/>
    </row>
    <row r="4856" spans="26:26" hidden="1">
      <c r="Z4856" s="11"/>
    </row>
    <row r="4857" spans="26:26" hidden="1">
      <c r="Z4857" s="11"/>
    </row>
    <row r="4858" spans="26:26" hidden="1">
      <c r="Z4858" s="11"/>
    </row>
    <row r="4859" spans="26:26" hidden="1">
      <c r="Z4859" s="11"/>
    </row>
    <row r="4860" spans="26:26" hidden="1">
      <c r="Z4860" s="11"/>
    </row>
    <row r="4861" spans="26:26" hidden="1">
      <c r="Z4861" s="11"/>
    </row>
    <row r="4862" spans="26:26" hidden="1">
      <c r="Z4862" s="11"/>
    </row>
    <row r="4863" spans="26:26" hidden="1">
      <c r="Z4863" s="11"/>
    </row>
    <row r="4864" spans="26:26" hidden="1">
      <c r="Z4864" s="11"/>
    </row>
    <row r="4865" spans="26:26" hidden="1">
      <c r="Z4865" s="11"/>
    </row>
    <row r="4866" spans="26:26" hidden="1">
      <c r="Z4866" s="11"/>
    </row>
    <row r="4867" spans="26:26" hidden="1">
      <c r="Z4867" s="11"/>
    </row>
    <row r="4868" spans="26:26" hidden="1">
      <c r="Z4868" s="11"/>
    </row>
    <row r="4869" spans="26:26" hidden="1">
      <c r="Z4869" s="11"/>
    </row>
    <row r="4870" spans="26:26" hidden="1">
      <c r="Z4870" s="11"/>
    </row>
    <row r="4871" spans="26:26" hidden="1">
      <c r="Z4871" s="11"/>
    </row>
    <row r="4872" spans="26:26" hidden="1">
      <c r="Z4872" s="11"/>
    </row>
    <row r="4873" spans="26:26" hidden="1">
      <c r="Z4873" s="11"/>
    </row>
    <row r="4874" spans="26:26" hidden="1">
      <c r="Z4874" s="11"/>
    </row>
    <row r="4875" spans="26:26" hidden="1">
      <c r="Z4875" s="11"/>
    </row>
    <row r="4876" spans="26:26" hidden="1">
      <c r="Z4876" s="11"/>
    </row>
    <row r="4877" spans="26:26" hidden="1">
      <c r="Z4877" s="11"/>
    </row>
    <row r="4878" spans="26:26" hidden="1">
      <c r="Z4878" s="11"/>
    </row>
    <row r="4879" spans="26:26" hidden="1">
      <c r="Z4879" s="11"/>
    </row>
    <row r="4880" spans="26:26" hidden="1">
      <c r="Z4880" s="11"/>
    </row>
    <row r="4881" spans="26:26" hidden="1">
      <c r="Z4881" s="11"/>
    </row>
    <row r="4882" spans="26:26" hidden="1">
      <c r="Z4882" s="11"/>
    </row>
    <row r="4883" spans="26:26" hidden="1">
      <c r="Z4883" s="11"/>
    </row>
    <row r="4884" spans="26:26" hidden="1">
      <c r="Z4884" s="11"/>
    </row>
    <row r="4885" spans="26:26" hidden="1">
      <c r="Z4885" s="11"/>
    </row>
    <row r="4886" spans="26:26" hidden="1">
      <c r="Z4886" s="11"/>
    </row>
    <row r="4887" spans="26:26" hidden="1">
      <c r="Z4887" s="11"/>
    </row>
    <row r="4888" spans="26:26" hidden="1">
      <c r="Z4888" s="11"/>
    </row>
    <row r="4889" spans="26:26" hidden="1">
      <c r="Z4889" s="11"/>
    </row>
    <row r="4890" spans="26:26" hidden="1">
      <c r="Z4890" s="11"/>
    </row>
    <row r="4891" spans="26:26" hidden="1">
      <c r="Z4891" s="11"/>
    </row>
    <row r="4892" spans="26:26" hidden="1">
      <c r="Z4892" s="11"/>
    </row>
    <row r="4893" spans="26:26" hidden="1">
      <c r="Z4893" s="11"/>
    </row>
    <row r="4894" spans="26:26" hidden="1">
      <c r="Z4894" s="11"/>
    </row>
    <row r="4895" spans="26:26" hidden="1">
      <c r="Z4895" s="11"/>
    </row>
    <row r="4896" spans="26:26" hidden="1">
      <c r="Z4896" s="11"/>
    </row>
    <row r="4897" spans="26:26" hidden="1">
      <c r="Z4897" s="11"/>
    </row>
    <row r="4898" spans="26:26" hidden="1">
      <c r="Z4898" s="11"/>
    </row>
    <row r="4899" spans="26:26" hidden="1">
      <c r="Z4899" s="11"/>
    </row>
    <row r="4900" spans="26:26" hidden="1">
      <c r="Z4900" s="11"/>
    </row>
    <row r="4901" spans="26:26" hidden="1">
      <c r="Z4901" s="11"/>
    </row>
    <row r="4902" spans="26:26" hidden="1">
      <c r="Z4902" s="11"/>
    </row>
    <row r="4903" spans="26:26" hidden="1">
      <c r="Z4903" s="11"/>
    </row>
    <row r="4904" spans="26:26" hidden="1">
      <c r="Z4904" s="11"/>
    </row>
    <row r="4905" spans="26:26" hidden="1">
      <c r="Z4905" s="11"/>
    </row>
    <row r="4906" spans="26:26" hidden="1">
      <c r="Z4906" s="11"/>
    </row>
    <row r="4907" spans="26:26" hidden="1">
      <c r="Z4907" s="11"/>
    </row>
    <row r="4908" spans="26:26" hidden="1">
      <c r="Z4908" s="11"/>
    </row>
    <row r="4909" spans="26:26" hidden="1">
      <c r="Z4909" s="11"/>
    </row>
    <row r="4910" spans="26:26" hidden="1">
      <c r="Z4910" s="11"/>
    </row>
    <row r="4911" spans="26:26" hidden="1">
      <c r="Z4911" s="11"/>
    </row>
    <row r="4912" spans="26:26" hidden="1">
      <c r="Z4912" s="11"/>
    </row>
    <row r="4913" spans="26:26" hidden="1">
      <c r="Z4913" s="11"/>
    </row>
    <row r="4914" spans="26:26" hidden="1">
      <c r="Z4914" s="11"/>
    </row>
    <row r="4915" spans="26:26" hidden="1">
      <c r="Z4915" s="11"/>
    </row>
    <row r="4916" spans="26:26" hidden="1">
      <c r="Z4916" s="11"/>
    </row>
    <row r="4917" spans="26:26" hidden="1">
      <c r="Z4917" s="11"/>
    </row>
    <row r="4918" spans="26:26" hidden="1">
      <c r="Z4918" s="11"/>
    </row>
    <row r="4919" spans="26:26" hidden="1">
      <c r="Z4919" s="11"/>
    </row>
    <row r="4920" spans="26:26" hidden="1">
      <c r="Z4920" s="11"/>
    </row>
    <row r="4921" spans="26:26" hidden="1">
      <c r="Z4921" s="11"/>
    </row>
    <row r="4922" spans="26:26" hidden="1">
      <c r="Z4922" s="11"/>
    </row>
    <row r="4923" spans="26:26" hidden="1">
      <c r="Z4923" s="11"/>
    </row>
    <row r="4924" spans="26:26" hidden="1">
      <c r="Z4924" s="11"/>
    </row>
    <row r="4925" spans="26:26" hidden="1">
      <c r="Z4925" s="11"/>
    </row>
    <row r="4926" spans="26:26" hidden="1">
      <c r="Z4926" s="11"/>
    </row>
    <row r="4927" spans="26:26" hidden="1">
      <c r="Z4927" s="11"/>
    </row>
    <row r="4928" spans="26:26" hidden="1">
      <c r="Z4928" s="11"/>
    </row>
    <row r="4929" spans="26:26" hidden="1">
      <c r="Z4929" s="11"/>
    </row>
    <row r="4930" spans="26:26" hidden="1">
      <c r="Z4930" s="11"/>
    </row>
    <row r="4931" spans="26:26" hidden="1">
      <c r="Z4931" s="11"/>
    </row>
    <row r="4932" spans="26:26" hidden="1">
      <c r="Z4932" s="11"/>
    </row>
    <row r="4933" spans="26:26" hidden="1">
      <c r="Z4933" s="11"/>
    </row>
    <row r="4934" spans="26:26" hidden="1">
      <c r="Z4934" s="11"/>
    </row>
    <row r="4935" spans="26:26" hidden="1">
      <c r="Z4935" s="11"/>
    </row>
    <row r="4936" spans="26:26" hidden="1">
      <c r="Z4936" s="11"/>
    </row>
    <row r="4937" spans="26:26" hidden="1">
      <c r="Z4937" s="11"/>
    </row>
    <row r="4938" spans="26:26" hidden="1">
      <c r="Z4938" s="11"/>
    </row>
    <row r="4939" spans="26:26" hidden="1">
      <c r="Z4939" s="11"/>
    </row>
    <row r="4940" spans="26:26" hidden="1">
      <c r="Z4940" s="11"/>
    </row>
    <row r="4941" spans="26:26" hidden="1">
      <c r="Z4941" s="11"/>
    </row>
    <row r="4942" spans="26:26" hidden="1">
      <c r="Z4942" s="11"/>
    </row>
    <row r="4943" spans="26:26" hidden="1">
      <c r="Z4943" s="11"/>
    </row>
    <row r="4944" spans="26:26" hidden="1">
      <c r="Z4944" s="11"/>
    </row>
    <row r="4945" spans="26:26" hidden="1">
      <c r="Z4945" s="11"/>
    </row>
    <row r="4946" spans="26:26" hidden="1">
      <c r="Z4946" s="11"/>
    </row>
    <row r="4947" spans="26:26" hidden="1">
      <c r="Z4947" s="11"/>
    </row>
    <row r="4948" spans="26:26" hidden="1">
      <c r="Z4948" s="11"/>
    </row>
    <row r="4949" spans="26:26" hidden="1">
      <c r="Z4949" s="11"/>
    </row>
    <row r="4950" spans="26:26" hidden="1">
      <c r="Z4950" s="11"/>
    </row>
    <row r="4951" spans="26:26" hidden="1">
      <c r="Z4951" s="11"/>
    </row>
    <row r="4952" spans="26:26" hidden="1">
      <c r="Z4952" s="11"/>
    </row>
    <row r="4953" spans="26:26" hidden="1">
      <c r="Z4953" s="11"/>
    </row>
    <row r="4954" spans="26:26" hidden="1">
      <c r="Z4954" s="11"/>
    </row>
    <row r="4955" spans="26:26" hidden="1">
      <c r="Z4955" s="11"/>
    </row>
    <row r="4956" spans="26:26" hidden="1">
      <c r="Z4956" s="11"/>
    </row>
    <row r="4957" spans="26:26" hidden="1">
      <c r="Z4957" s="11"/>
    </row>
    <row r="4958" spans="26:26" hidden="1">
      <c r="Z4958" s="11"/>
    </row>
    <row r="4959" spans="26:26" hidden="1">
      <c r="Z4959" s="11"/>
    </row>
    <row r="4960" spans="26:26" hidden="1">
      <c r="Z4960" s="11"/>
    </row>
    <row r="4961" spans="26:26" hidden="1">
      <c r="Z4961" s="11"/>
    </row>
    <row r="4962" spans="26:26" hidden="1">
      <c r="Z4962" s="11"/>
    </row>
    <row r="4963" spans="26:26" hidden="1">
      <c r="Z4963" s="11"/>
    </row>
    <row r="4964" spans="26:26" hidden="1">
      <c r="Z4964" s="11"/>
    </row>
    <row r="4965" spans="26:26" hidden="1">
      <c r="Z4965" s="11"/>
    </row>
    <row r="4966" spans="26:26" hidden="1">
      <c r="Z4966" s="11"/>
    </row>
    <row r="4967" spans="26:26" hidden="1">
      <c r="Z4967" s="11"/>
    </row>
    <row r="4968" spans="26:26" hidden="1">
      <c r="Z4968" s="11"/>
    </row>
    <row r="4969" spans="26:26" hidden="1">
      <c r="Z4969" s="11"/>
    </row>
    <row r="4970" spans="26:26" hidden="1">
      <c r="Z4970" s="11"/>
    </row>
    <row r="4971" spans="26:26" hidden="1">
      <c r="Z4971" s="11"/>
    </row>
    <row r="4972" spans="26:26" hidden="1">
      <c r="Z4972" s="11"/>
    </row>
    <row r="4973" spans="26:26" hidden="1">
      <c r="Z4973" s="11"/>
    </row>
    <row r="4974" spans="26:26" hidden="1">
      <c r="Z4974" s="11"/>
    </row>
    <row r="4975" spans="26:26" hidden="1">
      <c r="Z4975" s="11"/>
    </row>
    <row r="4976" spans="26:26" hidden="1">
      <c r="Z4976" s="11"/>
    </row>
    <row r="4977" spans="26:26" hidden="1">
      <c r="Z4977" s="11"/>
    </row>
    <row r="4978" spans="26:26" hidden="1">
      <c r="Z4978" s="11"/>
    </row>
    <row r="4979" spans="26:26" hidden="1">
      <c r="Z4979" s="11"/>
    </row>
    <row r="4980" spans="26:26" hidden="1">
      <c r="Z4980" s="11"/>
    </row>
    <row r="4981" spans="26:26" hidden="1">
      <c r="Z4981" s="11"/>
    </row>
    <row r="4982" spans="26:26" hidden="1">
      <c r="Z4982" s="11"/>
    </row>
    <row r="4983" spans="26:26" hidden="1">
      <c r="Z4983" s="11"/>
    </row>
    <row r="4984" spans="26:26" hidden="1">
      <c r="Z4984" s="11"/>
    </row>
    <row r="4985" spans="26:26" hidden="1">
      <c r="Z4985" s="11"/>
    </row>
    <row r="4986" spans="26:26" hidden="1">
      <c r="Z4986" s="11"/>
    </row>
    <row r="4987" spans="26:26" hidden="1">
      <c r="Z4987" s="11"/>
    </row>
    <row r="4988" spans="26:26" hidden="1">
      <c r="Z4988" s="11"/>
    </row>
    <row r="4989" spans="26:26" hidden="1">
      <c r="Z4989" s="11"/>
    </row>
    <row r="4990" spans="26:26" hidden="1">
      <c r="Z4990" s="11"/>
    </row>
    <row r="4991" spans="26:26" hidden="1">
      <c r="Z4991" s="11"/>
    </row>
    <row r="4992" spans="26:26" hidden="1">
      <c r="Z4992" s="11"/>
    </row>
    <row r="4993" spans="26:26" hidden="1">
      <c r="Z4993" s="11"/>
    </row>
    <row r="4994" spans="26:26" hidden="1">
      <c r="Z4994" s="11"/>
    </row>
    <row r="4995" spans="26:26" hidden="1">
      <c r="Z4995" s="11"/>
    </row>
    <row r="4996" spans="26:26" hidden="1">
      <c r="Z4996" s="11"/>
    </row>
    <row r="4997" spans="26:26" hidden="1">
      <c r="Z4997" s="11"/>
    </row>
    <row r="4998" spans="26:26" hidden="1">
      <c r="Z4998" s="11"/>
    </row>
    <row r="4999" spans="26:26" hidden="1">
      <c r="Z4999" s="11"/>
    </row>
    <row r="5000" spans="26:26" hidden="1">
      <c r="Z5000" s="11"/>
    </row>
    <row r="5001" spans="26:26" hidden="1">
      <c r="Z5001" s="11"/>
    </row>
    <row r="5002" spans="26:26" hidden="1">
      <c r="Z5002" s="11"/>
    </row>
    <row r="5003" spans="26:26" hidden="1">
      <c r="Z5003" s="11"/>
    </row>
    <row r="5004" spans="26:26" hidden="1">
      <c r="Z5004" s="11"/>
    </row>
    <row r="5005" spans="26:26" hidden="1">
      <c r="Z5005" s="11"/>
    </row>
    <row r="5006" spans="26:26" hidden="1">
      <c r="Z5006" s="11"/>
    </row>
    <row r="5007" spans="26:26" hidden="1">
      <c r="Z5007" s="11"/>
    </row>
    <row r="5008" spans="26:26" hidden="1">
      <c r="Z5008" s="11"/>
    </row>
    <row r="5009" spans="26:26" hidden="1">
      <c r="Z5009" s="11"/>
    </row>
    <row r="5010" spans="26:26" hidden="1">
      <c r="Z5010" s="11"/>
    </row>
    <row r="5011" spans="26:26" hidden="1">
      <c r="Z5011" s="11"/>
    </row>
    <row r="5012" spans="26:26" hidden="1">
      <c r="Z5012" s="11"/>
    </row>
    <row r="5013" spans="26:26" hidden="1">
      <c r="Z5013" s="11"/>
    </row>
    <row r="5014" spans="26:26" hidden="1">
      <c r="Z5014" s="11"/>
    </row>
    <row r="5015" spans="26:26" hidden="1">
      <c r="Z5015" s="11"/>
    </row>
    <row r="5016" spans="26:26" hidden="1">
      <c r="Z5016" s="11"/>
    </row>
    <row r="5017" spans="26:26" hidden="1">
      <c r="Z5017" s="11"/>
    </row>
    <row r="5018" spans="26:26" hidden="1">
      <c r="Z5018" s="11"/>
    </row>
    <row r="5019" spans="26:26" hidden="1">
      <c r="Z5019" s="11"/>
    </row>
    <row r="5020" spans="26:26" hidden="1">
      <c r="Z5020" s="11"/>
    </row>
    <row r="5021" spans="26:26" hidden="1">
      <c r="Z5021" s="11"/>
    </row>
    <row r="5022" spans="26:26" hidden="1">
      <c r="Z5022" s="11"/>
    </row>
    <row r="5023" spans="26:26" hidden="1">
      <c r="Z5023" s="11"/>
    </row>
    <row r="5024" spans="26:26" hidden="1">
      <c r="Z5024" s="11"/>
    </row>
    <row r="5025" spans="26:26" hidden="1">
      <c r="Z5025" s="11"/>
    </row>
    <row r="5026" spans="26:26" hidden="1">
      <c r="Z5026" s="11"/>
    </row>
    <row r="5027" spans="26:26" hidden="1">
      <c r="Z5027" s="11"/>
    </row>
    <row r="5028" spans="26:26" hidden="1">
      <c r="Z5028" s="11"/>
    </row>
    <row r="5029" spans="26:26" hidden="1">
      <c r="Z5029" s="11"/>
    </row>
    <row r="5030" spans="26:26" hidden="1">
      <c r="Z5030" s="11"/>
    </row>
    <row r="5031" spans="26:26" hidden="1">
      <c r="Z5031" s="11"/>
    </row>
    <row r="5032" spans="26:26" hidden="1">
      <c r="Z5032" s="11"/>
    </row>
    <row r="5033" spans="26:26" hidden="1">
      <c r="Z5033" s="11"/>
    </row>
    <row r="5034" spans="26:26" hidden="1">
      <c r="Z5034" s="11"/>
    </row>
    <row r="5035" spans="26:26" hidden="1">
      <c r="Z5035" s="11"/>
    </row>
    <row r="5036" spans="26:26" hidden="1">
      <c r="Z5036" s="11"/>
    </row>
    <row r="5037" spans="26:26" hidden="1">
      <c r="Z5037" s="11"/>
    </row>
    <row r="5038" spans="26:26" hidden="1">
      <c r="Z5038" s="11"/>
    </row>
    <row r="5039" spans="26:26" hidden="1">
      <c r="Z5039" s="11"/>
    </row>
    <row r="5040" spans="26:26" hidden="1">
      <c r="Z5040" s="11"/>
    </row>
    <row r="5041" spans="26:26" hidden="1">
      <c r="Z5041" s="11"/>
    </row>
    <row r="5042" spans="26:26" hidden="1">
      <c r="Z5042" s="11"/>
    </row>
    <row r="5043" spans="26:26" hidden="1">
      <c r="Z5043" s="11"/>
    </row>
    <row r="5044" spans="26:26" hidden="1">
      <c r="Z5044" s="11"/>
    </row>
    <row r="5045" spans="26:26" hidden="1">
      <c r="Z5045" s="11"/>
    </row>
    <row r="5046" spans="26:26" hidden="1">
      <c r="Z5046" s="11"/>
    </row>
    <row r="5047" spans="26:26" hidden="1">
      <c r="Z5047" s="11"/>
    </row>
    <row r="5048" spans="26:26" hidden="1">
      <c r="Z5048" s="11"/>
    </row>
    <row r="5049" spans="26:26" hidden="1">
      <c r="Z5049" s="11"/>
    </row>
    <row r="5050" spans="26:26" hidden="1">
      <c r="Z5050" s="11"/>
    </row>
    <row r="5051" spans="26:26" hidden="1">
      <c r="Z5051" s="11"/>
    </row>
    <row r="5052" spans="26:26" hidden="1">
      <c r="Z5052" s="11"/>
    </row>
    <row r="5053" spans="26:26" hidden="1">
      <c r="Z5053" s="11"/>
    </row>
    <row r="5054" spans="26:26" hidden="1">
      <c r="Z5054" s="11"/>
    </row>
    <row r="5055" spans="26:26" hidden="1">
      <c r="Z5055" s="11"/>
    </row>
    <row r="5056" spans="26:26" hidden="1">
      <c r="Z5056" s="11"/>
    </row>
    <row r="5057" spans="26:26" hidden="1">
      <c r="Z5057" s="11"/>
    </row>
    <row r="5058" spans="26:26" hidden="1">
      <c r="Z5058" s="11"/>
    </row>
    <row r="5059" spans="26:26" hidden="1">
      <c r="Z5059" s="11"/>
    </row>
    <row r="5060" spans="26:26" hidden="1">
      <c r="Z5060" s="11"/>
    </row>
    <row r="5061" spans="26:26" hidden="1">
      <c r="Z5061" s="11"/>
    </row>
    <row r="5062" spans="26:26" hidden="1">
      <c r="Z5062" s="11"/>
    </row>
    <row r="5063" spans="26:26" hidden="1">
      <c r="Z5063" s="11"/>
    </row>
    <row r="5064" spans="26:26" hidden="1">
      <c r="Z5064" s="11"/>
    </row>
    <row r="5065" spans="26:26" hidden="1">
      <c r="Z5065" s="11"/>
    </row>
    <row r="5066" spans="26:26" hidden="1">
      <c r="Z5066" s="11"/>
    </row>
    <row r="5067" spans="26:26" hidden="1">
      <c r="Z5067" s="11"/>
    </row>
    <row r="5068" spans="26:26" hidden="1">
      <c r="Z5068" s="11"/>
    </row>
    <row r="5069" spans="26:26" hidden="1">
      <c r="Z5069" s="11"/>
    </row>
    <row r="5070" spans="26:26" hidden="1">
      <c r="Z5070" s="11"/>
    </row>
    <row r="5071" spans="26:26" hidden="1">
      <c r="Z5071" s="11"/>
    </row>
    <row r="5072" spans="26:26" hidden="1">
      <c r="Z5072" s="11"/>
    </row>
    <row r="5073" spans="26:26" hidden="1">
      <c r="Z5073" s="11"/>
    </row>
    <row r="5074" spans="26:26" hidden="1">
      <c r="Z5074" s="11"/>
    </row>
    <row r="5075" spans="26:26" hidden="1">
      <c r="Z5075" s="11"/>
    </row>
    <row r="5076" spans="26:26" hidden="1">
      <c r="Z5076" s="11"/>
    </row>
    <row r="5077" spans="26:26" hidden="1">
      <c r="Z5077" s="11"/>
    </row>
    <row r="5078" spans="26:26" hidden="1">
      <c r="Z5078" s="11"/>
    </row>
    <row r="5079" spans="26:26" hidden="1">
      <c r="Z5079" s="11"/>
    </row>
    <row r="5080" spans="26:26" hidden="1">
      <c r="Z5080" s="11"/>
    </row>
    <row r="5081" spans="26:26" hidden="1">
      <c r="Z5081" s="11"/>
    </row>
    <row r="5082" spans="26:26" hidden="1">
      <c r="Z5082" s="11"/>
    </row>
    <row r="5083" spans="26:26" hidden="1">
      <c r="Z5083" s="11"/>
    </row>
    <row r="5084" spans="26:26" hidden="1">
      <c r="Z5084" s="11"/>
    </row>
    <row r="5085" spans="26:26" hidden="1">
      <c r="Z5085" s="11"/>
    </row>
    <row r="5086" spans="26:26" hidden="1">
      <c r="Z5086" s="11"/>
    </row>
    <row r="5087" spans="26:26" hidden="1">
      <c r="Z5087" s="11"/>
    </row>
    <row r="5088" spans="26:26" hidden="1">
      <c r="Z5088" s="11"/>
    </row>
    <row r="5089" spans="26:26" hidden="1">
      <c r="Z5089" s="11"/>
    </row>
    <row r="5090" spans="26:26" hidden="1">
      <c r="Z5090" s="11"/>
    </row>
    <row r="5091" spans="26:26" hidden="1">
      <c r="Z5091" s="11"/>
    </row>
    <row r="5092" spans="26:26" hidden="1">
      <c r="Z5092" s="11"/>
    </row>
    <row r="5093" spans="26:26" hidden="1">
      <c r="Z5093" s="11"/>
    </row>
    <row r="5094" spans="26:26" hidden="1">
      <c r="Z5094" s="11"/>
    </row>
    <row r="5095" spans="26:26" hidden="1">
      <c r="Z5095" s="11"/>
    </row>
    <row r="5096" spans="26:26" hidden="1">
      <c r="Z5096" s="11"/>
    </row>
    <row r="5097" spans="26:26" hidden="1">
      <c r="Z5097" s="11"/>
    </row>
    <row r="5098" spans="26:26" hidden="1">
      <c r="Z5098" s="11"/>
    </row>
    <row r="5099" spans="26:26" hidden="1">
      <c r="Z5099" s="11"/>
    </row>
    <row r="5100" spans="26:26" hidden="1">
      <c r="Z5100" s="11"/>
    </row>
    <row r="5101" spans="26:26" hidden="1">
      <c r="Z5101" s="11"/>
    </row>
    <row r="5102" spans="26:26" hidden="1">
      <c r="Z5102" s="11"/>
    </row>
    <row r="5103" spans="26:26" hidden="1">
      <c r="Z5103" s="11"/>
    </row>
    <row r="5104" spans="26:26" hidden="1">
      <c r="Z5104" s="11"/>
    </row>
    <row r="5105" spans="26:26" hidden="1">
      <c r="Z5105" s="11"/>
    </row>
    <row r="5106" spans="26:26" hidden="1">
      <c r="Z5106" s="11"/>
    </row>
    <row r="5107" spans="26:26" hidden="1">
      <c r="Z5107" s="11"/>
    </row>
    <row r="5108" spans="26:26" hidden="1">
      <c r="Z5108" s="11"/>
    </row>
    <row r="5109" spans="26:26" hidden="1">
      <c r="Z5109" s="11"/>
    </row>
    <row r="5110" spans="26:26" hidden="1">
      <c r="Z5110" s="11"/>
    </row>
    <row r="5111" spans="26:26" hidden="1">
      <c r="Z5111" s="11"/>
    </row>
    <row r="5112" spans="26:26" hidden="1">
      <c r="Z5112" s="11"/>
    </row>
    <row r="5113" spans="26:26" hidden="1">
      <c r="Z5113" s="11"/>
    </row>
    <row r="5114" spans="26:26" hidden="1">
      <c r="Z5114" s="11"/>
    </row>
    <row r="5115" spans="26:26" hidden="1">
      <c r="Z5115" s="11"/>
    </row>
    <row r="5116" spans="26:26" hidden="1">
      <c r="Z5116" s="11"/>
    </row>
    <row r="5117" spans="26:26" hidden="1">
      <c r="Z5117" s="11"/>
    </row>
    <row r="5118" spans="26:26" hidden="1">
      <c r="Z5118" s="11"/>
    </row>
    <row r="5119" spans="26:26" hidden="1">
      <c r="Z5119" s="11"/>
    </row>
    <row r="5120" spans="26:26" hidden="1">
      <c r="Z5120" s="11"/>
    </row>
    <row r="5121" spans="26:26" hidden="1">
      <c r="Z5121" s="11"/>
    </row>
    <row r="5122" spans="26:26" hidden="1">
      <c r="Z5122" s="11"/>
    </row>
    <row r="5123" spans="26:26" hidden="1">
      <c r="Z5123" s="11"/>
    </row>
    <row r="5124" spans="26:26" hidden="1">
      <c r="Z5124" s="11"/>
    </row>
    <row r="5125" spans="26:26" hidden="1">
      <c r="Z5125" s="11"/>
    </row>
    <row r="5126" spans="26:26" hidden="1">
      <c r="Z5126" s="11"/>
    </row>
    <row r="5127" spans="26:26" hidden="1">
      <c r="Z5127" s="11"/>
    </row>
    <row r="5128" spans="26:26" hidden="1">
      <c r="Z5128" s="11"/>
    </row>
    <row r="5129" spans="26:26" hidden="1">
      <c r="Z5129" s="11"/>
    </row>
    <row r="5130" spans="26:26" hidden="1">
      <c r="Z5130" s="11"/>
    </row>
    <row r="5131" spans="26:26" hidden="1">
      <c r="Z5131" s="11"/>
    </row>
    <row r="5132" spans="26:26" hidden="1">
      <c r="Z5132" s="11"/>
    </row>
    <row r="5133" spans="26:26" hidden="1">
      <c r="Z5133" s="11"/>
    </row>
    <row r="5134" spans="26:26" hidden="1">
      <c r="Z5134" s="11"/>
    </row>
    <row r="5135" spans="26:26" hidden="1">
      <c r="Z5135" s="11"/>
    </row>
    <row r="5136" spans="26:26" hidden="1">
      <c r="Z5136" s="11"/>
    </row>
    <row r="5137" spans="26:26" hidden="1">
      <c r="Z5137" s="11"/>
    </row>
    <row r="5138" spans="26:26" hidden="1">
      <c r="Z5138" s="11"/>
    </row>
    <row r="5139" spans="26:26" hidden="1">
      <c r="Z5139" s="11"/>
    </row>
    <row r="5140" spans="26:26" hidden="1">
      <c r="Z5140" s="11"/>
    </row>
    <row r="5141" spans="26:26" hidden="1">
      <c r="Z5141" s="11"/>
    </row>
    <row r="5142" spans="26:26" hidden="1">
      <c r="Z5142" s="11"/>
    </row>
    <row r="5143" spans="26:26" hidden="1">
      <c r="Z5143" s="11"/>
    </row>
    <row r="5144" spans="26:26" hidden="1">
      <c r="Z5144" s="11"/>
    </row>
    <row r="5145" spans="26:26" hidden="1">
      <c r="Z5145" s="11"/>
    </row>
    <row r="5146" spans="26:26" hidden="1">
      <c r="Z5146" s="11"/>
    </row>
    <row r="5147" spans="26:26" hidden="1">
      <c r="Z5147" s="11"/>
    </row>
    <row r="5148" spans="26:26" hidden="1">
      <c r="Z5148" s="11"/>
    </row>
    <row r="5149" spans="26:26" hidden="1">
      <c r="Z5149" s="11"/>
    </row>
    <row r="5150" spans="26:26" hidden="1">
      <c r="Z5150" s="11"/>
    </row>
    <row r="5151" spans="26:26" hidden="1">
      <c r="Z5151" s="11"/>
    </row>
    <row r="5152" spans="26:26" hidden="1">
      <c r="Z5152" s="11"/>
    </row>
    <row r="5153" spans="26:26" hidden="1">
      <c r="Z5153" s="11"/>
    </row>
    <row r="5154" spans="26:26" hidden="1">
      <c r="Z5154" s="11"/>
    </row>
    <row r="5155" spans="26:26" hidden="1">
      <c r="Z5155" s="11"/>
    </row>
    <row r="5156" spans="26:26" hidden="1">
      <c r="Z5156" s="11"/>
    </row>
    <row r="5157" spans="26:26" hidden="1">
      <c r="Z5157" s="11"/>
    </row>
    <row r="5158" spans="26:26" hidden="1">
      <c r="Z5158" s="11"/>
    </row>
    <row r="5159" spans="26:26" hidden="1">
      <c r="Z5159" s="11"/>
    </row>
    <row r="5160" spans="26:26" hidden="1">
      <c r="Z5160" s="11"/>
    </row>
    <row r="5161" spans="26:26" hidden="1">
      <c r="Z5161" s="11"/>
    </row>
    <row r="5162" spans="26:26" hidden="1">
      <c r="Z5162" s="11"/>
    </row>
    <row r="5163" spans="26:26" hidden="1">
      <c r="Z5163" s="11"/>
    </row>
    <row r="5164" spans="26:26" hidden="1">
      <c r="Z5164" s="11"/>
    </row>
    <row r="5165" spans="26:26" hidden="1">
      <c r="Z5165" s="11"/>
    </row>
    <row r="5166" spans="26:26" hidden="1">
      <c r="Z5166" s="11"/>
    </row>
    <row r="5167" spans="26:26" hidden="1">
      <c r="Z5167" s="11"/>
    </row>
    <row r="5168" spans="26:26" hidden="1">
      <c r="Z5168" s="11"/>
    </row>
    <row r="5169" spans="26:26" hidden="1">
      <c r="Z5169" s="11"/>
    </row>
    <row r="5170" spans="26:26" hidden="1">
      <c r="Z5170" s="11"/>
    </row>
    <row r="5171" spans="26:26" hidden="1">
      <c r="Z5171" s="11"/>
    </row>
    <row r="5172" spans="26:26" hidden="1">
      <c r="Z5172" s="11"/>
    </row>
    <row r="5173" spans="26:26" hidden="1">
      <c r="Z5173" s="11"/>
    </row>
    <row r="5174" spans="26:26" hidden="1">
      <c r="Z5174" s="11"/>
    </row>
    <row r="5175" spans="26:26" hidden="1">
      <c r="Z5175" s="11"/>
    </row>
    <row r="5176" spans="26:26" hidden="1">
      <c r="Z5176" s="11"/>
    </row>
    <row r="5177" spans="26:26" hidden="1">
      <c r="Z5177" s="11"/>
    </row>
    <row r="5178" spans="26:26" hidden="1">
      <c r="Z5178" s="11"/>
    </row>
    <row r="5179" spans="26:26" hidden="1">
      <c r="Z5179" s="11"/>
    </row>
    <row r="5180" spans="26:26" hidden="1">
      <c r="Z5180" s="11"/>
    </row>
    <row r="5181" spans="26:26" hidden="1">
      <c r="Z5181" s="11"/>
    </row>
    <row r="5182" spans="26:26" hidden="1">
      <c r="Z5182" s="11"/>
    </row>
    <row r="5183" spans="26:26" hidden="1">
      <c r="Z5183" s="11"/>
    </row>
    <row r="5184" spans="26:26" hidden="1">
      <c r="Z5184" s="11"/>
    </row>
    <row r="5185" spans="26:26" hidden="1">
      <c r="Z5185" s="11"/>
    </row>
    <row r="5186" spans="26:26" hidden="1">
      <c r="Z5186" s="11"/>
    </row>
    <row r="5187" spans="26:26" hidden="1">
      <c r="Z5187" s="11"/>
    </row>
    <row r="5188" spans="26:26" hidden="1">
      <c r="Z5188" s="11"/>
    </row>
    <row r="5189" spans="26:26" hidden="1">
      <c r="Z5189" s="11"/>
    </row>
    <row r="5190" spans="26:26" hidden="1">
      <c r="Z5190" s="11"/>
    </row>
    <row r="5191" spans="26:26" hidden="1">
      <c r="Z5191" s="11"/>
    </row>
    <row r="5192" spans="26:26" hidden="1">
      <c r="Z5192" s="11"/>
    </row>
    <row r="5193" spans="26:26" hidden="1">
      <c r="Z5193" s="11"/>
    </row>
    <row r="5194" spans="26:26" hidden="1">
      <c r="Z5194" s="11"/>
    </row>
    <row r="5195" spans="26:26" hidden="1">
      <c r="Z5195" s="11"/>
    </row>
    <row r="5196" spans="26:26" hidden="1">
      <c r="Z5196" s="11"/>
    </row>
    <row r="5197" spans="26:26" hidden="1">
      <c r="Z5197" s="11"/>
    </row>
    <row r="5198" spans="26:26" hidden="1">
      <c r="Z5198" s="11"/>
    </row>
    <row r="5199" spans="26:26" hidden="1">
      <c r="Z5199" s="11"/>
    </row>
    <row r="5200" spans="26:26" hidden="1">
      <c r="Z5200" s="11"/>
    </row>
    <row r="5201" spans="26:26" hidden="1">
      <c r="Z5201" s="11"/>
    </row>
    <row r="5202" spans="26:26" hidden="1">
      <c r="Z5202" s="11"/>
    </row>
    <row r="5203" spans="26:26" hidden="1">
      <c r="Z5203" s="11"/>
    </row>
    <row r="5204" spans="26:26" hidden="1">
      <c r="Z5204" s="11"/>
    </row>
    <row r="5205" spans="26:26" hidden="1">
      <c r="Z5205" s="11"/>
    </row>
    <row r="5206" spans="26:26" hidden="1">
      <c r="Z5206" s="11"/>
    </row>
    <row r="5207" spans="26:26" hidden="1">
      <c r="Z5207" s="11"/>
    </row>
    <row r="5208" spans="26:26" hidden="1">
      <c r="Z5208" s="11"/>
    </row>
    <row r="5209" spans="26:26" hidden="1">
      <c r="Z5209" s="11"/>
    </row>
    <row r="5210" spans="26:26" hidden="1">
      <c r="Z5210" s="11"/>
    </row>
    <row r="5211" spans="26:26" hidden="1">
      <c r="Z5211" s="11"/>
    </row>
    <row r="5212" spans="26:26" hidden="1">
      <c r="Z5212" s="11"/>
    </row>
    <row r="5213" spans="26:26" hidden="1">
      <c r="Z5213" s="11"/>
    </row>
    <row r="5214" spans="26:26" hidden="1">
      <c r="Z5214" s="11"/>
    </row>
    <row r="5215" spans="26:26" hidden="1">
      <c r="Z5215" s="11"/>
    </row>
    <row r="5216" spans="26:26" hidden="1">
      <c r="Z5216" s="11"/>
    </row>
    <row r="5217" spans="26:26" hidden="1">
      <c r="Z5217" s="11"/>
    </row>
    <row r="5218" spans="26:26" hidden="1">
      <c r="Z5218" s="11"/>
    </row>
    <row r="5219" spans="26:26" hidden="1">
      <c r="Z5219" s="11"/>
    </row>
    <row r="5220" spans="26:26" hidden="1">
      <c r="Z5220" s="11"/>
    </row>
    <row r="5221" spans="26:26" hidden="1">
      <c r="Z5221" s="11"/>
    </row>
    <row r="5222" spans="26:26" hidden="1">
      <c r="Z5222" s="11"/>
    </row>
    <row r="5223" spans="26:26" hidden="1">
      <c r="Z5223" s="11"/>
    </row>
    <row r="5224" spans="26:26" hidden="1">
      <c r="Z5224" s="11"/>
    </row>
    <row r="5225" spans="26:26" hidden="1">
      <c r="Z5225" s="11"/>
    </row>
    <row r="5226" spans="26:26" hidden="1">
      <c r="Z5226" s="11"/>
    </row>
    <row r="5227" spans="26:26" hidden="1">
      <c r="Z5227" s="11"/>
    </row>
    <row r="5228" spans="26:26" hidden="1">
      <c r="Z5228" s="11"/>
    </row>
    <row r="5229" spans="26:26" hidden="1">
      <c r="Z5229" s="11"/>
    </row>
    <row r="5230" spans="26:26" hidden="1">
      <c r="Z5230" s="11"/>
    </row>
    <row r="5231" spans="26:26" hidden="1">
      <c r="Z5231" s="11"/>
    </row>
    <row r="5232" spans="26:26" hidden="1">
      <c r="Z5232" s="11"/>
    </row>
    <row r="5233" spans="26:26" hidden="1">
      <c r="Z5233" s="11"/>
    </row>
    <row r="5234" spans="26:26" hidden="1">
      <c r="Z5234" s="11"/>
    </row>
    <row r="5235" spans="26:26" hidden="1">
      <c r="Z5235" s="11"/>
    </row>
    <row r="5236" spans="26:26" hidden="1">
      <c r="Z5236" s="11"/>
    </row>
    <row r="5237" spans="26:26" hidden="1">
      <c r="Z5237" s="11"/>
    </row>
    <row r="5238" spans="26:26" hidden="1">
      <c r="Z5238" s="11"/>
    </row>
    <row r="5239" spans="26:26" hidden="1">
      <c r="Z5239" s="11"/>
    </row>
    <row r="5240" spans="26:26" hidden="1">
      <c r="Z5240" s="11"/>
    </row>
    <row r="5241" spans="26:26" hidden="1">
      <c r="Z5241" s="11"/>
    </row>
    <row r="5242" spans="26:26" hidden="1">
      <c r="Z5242" s="11"/>
    </row>
    <row r="5243" spans="26:26" hidden="1">
      <c r="Z5243" s="11"/>
    </row>
    <row r="5244" spans="26:26" hidden="1">
      <c r="Z5244" s="11"/>
    </row>
    <row r="5245" spans="26:26" hidden="1">
      <c r="Z5245" s="11"/>
    </row>
    <row r="5246" spans="26:26" hidden="1">
      <c r="Z5246" s="11"/>
    </row>
    <row r="5247" spans="26:26" hidden="1">
      <c r="Z5247" s="11"/>
    </row>
    <row r="5248" spans="26:26" hidden="1">
      <c r="Z5248" s="11"/>
    </row>
    <row r="5249" spans="26:26" hidden="1">
      <c r="Z5249" s="11"/>
    </row>
    <row r="5250" spans="26:26" hidden="1">
      <c r="Z5250" s="11"/>
    </row>
    <row r="5251" spans="26:26" hidden="1">
      <c r="Z5251" s="11"/>
    </row>
    <row r="5252" spans="26:26" hidden="1">
      <c r="Z5252" s="11"/>
    </row>
    <row r="5253" spans="26:26" hidden="1">
      <c r="Z5253" s="11"/>
    </row>
    <row r="5254" spans="26:26" hidden="1">
      <c r="Z5254" s="11"/>
    </row>
    <row r="5255" spans="26:26" hidden="1">
      <c r="Z5255" s="11"/>
    </row>
    <row r="5256" spans="26:26" hidden="1">
      <c r="Z5256" s="11"/>
    </row>
    <row r="5257" spans="26:26" hidden="1">
      <c r="Z5257" s="11"/>
    </row>
    <row r="5258" spans="26:26" hidden="1">
      <c r="Z5258" s="11"/>
    </row>
    <row r="5259" spans="26:26" hidden="1">
      <c r="Z5259" s="11"/>
    </row>
    <row r="5260" spans="26:26" hidden="1">
      <c r="Z5260" s="11"/>
    </row>
    <row r="5261" spans="26:26" hidden="1">
      <c r="Z5261" s="11"/>
    </row>
    <row r="5262" spans="26:26" hidden="1">
      <c r="Z5262" s="11"/>
    </row>
    <row r="5263" spans="26:26" hidden="1">
      <c r="Z5263" s="11"/>
    </row>
    <row r="5264" spans="26:26" hidden="1">
      <c r="Z5264" s="11"/>
    </row>
    <row r="5265" spans="26:26" hidden="1">
      <c r="Z5265" s="11"/>
    </row>
    <row r="5266" spans="26:26" hidden="1">
      <c r="Z5266" s="11"/>
    </row>
    <row r="5267" spans="26:26" hidden="1">
      <c r="Z5267" s="11"/>
    </row>
    <row r="5268" spans="26:26" hidden="1">
      <c r="Z5268" s="11"/>
    </row>
    <row r="5269" spans="26:26" hidden="1">
      <c r="Z5269" s="11"/>
    </row>
    <row r="5270" spans="26:26" hidden="1">
      <c r="Z5270" s="11"/>
    </row>
    <row r="5271" spans="26:26" hidden="1">
      <c r="Z5271" s="11"/>
    </row>
    <row r="5272" spans="26:26" hidden="1">
      <c r="Z5272" s="11"/>
    </row>
    <row r="5273" spans="26:26" hidden="1">
      <c r="Z5273" s="11"/>
    </row>
    <row r="5274" spans="26:26" hidden="1">
      <c r="Z5274" s="11"/>
    </row>
    <row r="5275" spans="26:26" hidden="1">
      <c r="Z5275" s="11"/>
    </row>
    <row r="5276" spans="26:26" hidden="1">
      <c r="Z5276" s="11"/>
    </row>
    <row r="5277" spans="26:26" hidden="1">
      <c r="Z5277" s="11"/>
    </row>
    <row r="5278" spans="26:26" hidden="1">
      <c r="Z5278" s="11"/>
    </row>
    <row r="5279" spans="26:26" hidden="1">
      <c r="Z5279" s="11"/>
    </row>
    <row r="5280" spans="26:26" hidden="1">
      <c r="Z5280" s="11"/>
    </row>
    <row r="5281" spans="26:26" hidden="1">
      <c r="Z5281" s="11"/>
    </row>
    <row r="5282" spans="26:26" hidden="1">
      <c r="Z5282" s="11"/>
    </row>
    <row r="5283" spans="26:26" hidden="1">
      <c r="Z5283" s="11"/>
    </row>
    <row r="5284" spans="26:26" hidden="1">
      <c r="Z5284" s="11"/>
    </row>
    <row r="5285" spans="26:26" hidden="1">
      <c r="Z5285" s="11"/>
    </row>
    <row r="5286" spans="26:26" hidden="1">
      <c r="Z5286" s="11"/>
    </row>
    <row r="5287" spans="26:26" hidden="1">
      <c r="Z5287" s="11"/>
    </row>
    <row r="5288" spans="26:26" hidden="1">
      <c r="Z5288" s="11"/>
    </row>
    <row r="5289" spans="26:26" hidden="1">
      <c r="Z5289" s="11"/>
    </row>
    <row r="5290" spans="26:26" hidden="1">
      <c r="Z5290" s="11"/>
    </row>
    <row r="5291" spans="26:26" hidden="1">
      <c r="Z5291" s="11"/>
    </row>
    <row r="5292" spans="26:26" hidden="1">
      <c r="Z5292" s="11"/>
    </row>
    <row r="5293" spans="26:26" hidden="1">
      <c r="Z5293" s="11"/>
    </row>
    <row r="5294" spans="26:26" hidden="1">
      <c r="Z5294" s="11"/>
    </row>
    <row r="5295" spans="26:26" hidden="1">
      <c r="Z5295" s="11"/>
    </row>
    <row r="5296" spans="26:26" hidden="1">
      <c r="Z5296" s="11"/>
    </row>
    <row r="5297" spans="26:26" hidden="1">
      <c r="Z5297" s="11"/>
    </row>
    <row r="5298" spans="26:26" hidden="1">
      <c r="Z5298" s="11"/>
    </row>
    <row r="5299" spans="26:26" hidden="1">
      <c r="Z5299" s="11"/>
    </row>
    <row r="5300" spans="26:26" hidden="1">
      <c r="Z5300" s="11"/>
    </row>
    <row r="5301" spans="26:26" hidden="1">
      <c r="Z5301" s="11"/>
    </row>
    <row r="5302" spans="26:26" hidden="1">
      <c r="Z5302" s="11"/>
    </row>
    <row r="5303" spans="26:26" hidden="1">
      <c r="Z5303" s="11"/>
    </row>
    <row r="5304" spans="26:26" hidden="1">
      <c r="Z5304" s="11"/>
    </row>
    <row r="5305" spans="26:26" hidden="1">
      <c r="Z5305" s="11"/>
    </row>
    <row r="5306" spans="26:26" hidden="1">
      <c r="Z5306" s="11"/>
    </row>
    <row r="5307" spans="26:26" hidden="1">
      <c r="Z5307" s="11"/>
    </row>
    <row r="5308" spans="26:26" hidden="1">
      <c r="Z5308" s="11"/>
    </row>
    <row r="5309" spans="26:26" hidden="1">
      <c r="Z5309" s="11"/>
    </row>
    <row r="5310" spans="26:26" hidden="1">
      <c r="Z5310" s="11"/>
    </row>
    <row r="5311" spans="26:26" hidden="1">
      <c r="Z5311" s="11"/>
    </row>
    <row r="5312" spans="26:26" hidden="1">
      <c r="Z5312" s="11"/>
    </row>
    <row r="5313" spans="26:26" hidden="1">
      <c r="Z5313" s="11"/>
    </row>
    <row r="5314" spans="26:26" hidden="1">
      <c r="Z5314" s="11"/>
    </row>
    <row r="5315" spans="26:26" hidden="1">
      <c r="Z5315" s="11"/>
    </row>
    <row r="5316" spans="26:26" hidden="1">
      <c r="Z5316" s="11"/>
    </row>
    <row r="5317" spans="26:26" hidden="1">
      <c r="Z5317" s="11"/>
    </row>
    <row r="5318" spans="26:26" hidden="1">
      <c r="Z5318" s="11"/>
    </row>
    <row r="5319" spans="26:26" hidden="1">
      <c r="Z5319" s="11"/>
    </row>
    <row r="5320" spans="26:26" hidden="1">
      <c r="Z5320" s="11"/>
    </row>
    <row r="5321" spans="26:26" hidden="1">
      <c r="Z5321" s="11"/>
    </row>
    <row r="5322" spans="26:26" hidden="1">
      <c r="Z5322" s="11"/>
    </row>
    <row r="5323" spans="26:26" hidden="1">
      <c r="Z5323" s="11"/>
    </row>
    <row r="5324" spans="26:26" hidden="1">
      <c r="Z5324" s="11"/>
    </row>
    <row r="5325" spans="26:26" hidden="1">
      <c r="Z5325" s="11"/>
    </row>
    <row r="5326" spans="26:26" hidden="1">
      <c r="Z5326" s="11"/>
    </row>
    <row r="5327" spans="26:26" hidden="1">
      <c r="Z5327" s="11"/>
    </row>
    <row r="5328" spans="26:26" hidden="1">
      <c r="Z5328" s="11"/>
    </row>
    <row r="5329" spans="26:26" hidden="1">
      <c r="Z5329" s="11"/>
    </row>
    <row r="5330" spans="26:26" hidden="1">
      <c r="Z5330" s="11"/>
    </row>
    <row r="5331" spans="26:26" hidden="1">
      <c r="Z5331" s="11"/>
    </row>
    <row r="5332" spans="26:26" hidden="1">
      <c r="Z5332" s="11"/>
    </row>
    <row r="5333" spans="26:26" hidden="1">
      <c r="Z5333" s="11"/>
    </row>
    <row r="5334" spans="26:26" hidden="1">
      <c r="Z5334" s="11"/>
    </row>
    <row r="5335" spans="26:26" hidden="1">
      <c r="Z5335" s="11"/>
    </row>
    <row r="5336" spans="26:26" hidden="1">
      <c r="Z5336" s="11"/>
    </row>
    <row r="5337" spans="26:26" hidden="1">
      <c r="Z5337" s="11"/>
    </row>
    <row r="5338" spans="26:26" hidden="1">
      <c r="Z5338" s="11"/>
    </row>
    <row r="5339" spans="26:26" hidden="1">
      <c r="Z5339" s="11"/>
    </row>
    <row r="5340" spans="26:26" hidden="1">
      <c r="Z5340" s="11"/>
    </row>
    <row r="5341" spans="26:26" hidden="1">
      <c r="Z5341" s="11"/>
    </row>
    <row r="5342" spans="26:26" hidden="1">
      <c r="Z5342" s="11"/>
    </row>
    <row r="5343" spans="26:26" hidden="1">
      <c r="Z5343" s="11"/>
    </row>
    <row r="5344" spans="26:26" hidden="1">
      <c r="Z5344" s="11"/>
    </row>
    <row r="5345" spans="26:26" hidden="1">
      <c r="Z5345" s="11"/>
    </row>
    <row r="5346" spans="26:26" hidden="1">
      <c r="Z5346" s="11"/>
    </row>
    <row r="5347" spans="26:26" hidden="1">
      <c r="Z5347" s="11"/>
    </row>
    <row r="5348" spans="26:26" hidden="1">
      <c r="Z5348" s="11"/>
    </row>
    <row r="5349" spans="26:26" hidden="1">
      <c r="Z5349" s="11"/>
    </row>
    <row r="5350" spans="26:26" hidden="1">
      <c r="Z5350" s="11"/>
    </row>
    <row r="5351" spans="26:26" hidden="1">
      <c r="Z5351" s="11"/>
    </row>
    <row r="5352" spans="26:26" hidden="1">
      <c r="Z5352" s="11"/>
    </row>
    <row r="5353" spans="26:26" hidden="1">
      <c r="Z5353" s="11"/>
    </row>
    <row r="5354" spans="26:26" hidden="1">
      <c r="Z5354" s="11"/>
    </row>
    <row r="5355" spans="26:26" hidden="1">
      <c r="Z5355" s="11"/>
    </row>
    <row r="5356" spans="26:26" hidden="1">
      <c r="Z5356" s="11"/>
    </row>
    <row r="5357" spans="26:26" hidden="1">
      <c r="Z5357" s="11"/>
    </row>
    <row r="5358" spans="26:26" hidden="1">
      <c r="Z5358" s="11"/>
    </row>
    <row r="5359" spans="26:26" hidden="1">
      <c r="Z5359" s="11"/>
    </row>
    <row r="5360" spans="26:26" hidden="1">
      <c r="Z5360" s="11"/>
    </row>
    <row r="5361" spans="26:26" hidden="1">
      <c r="Z5361" s="11"/>
    </row>
    <row r="5362" spans="26:26" hidden="1">
      <c r="Z5362" s="11"/>
    </row>
    <row r="5363" spans="26:26" hidden="1">
      <c r="Z5363" s="11"/>
    </row>
    <row r="5364" spans="26:26" hidden="1">
      <c r="Z5364" s="11"/>
    </row>
    <row r="5365" spans="26:26" hidden="1">
      <c r="Z5365" s="11"/>
    </row>
    <row r="5366" spans="26:26" hidden="1">
      <c r="Z5366" s="11"/>
    </row>
    <row r="5367" spans="26:26" hidden="1">
      <c r="Z5367" s="11"/>
    </row>
    <row r="5368" spans="26:26" hidden="1">
      <c r="Z5368" s="11"/>
    </row>
    <row r="5369" spans="26:26" hidden="1">
      <c r="Z5369" s="11"/>
    </row>
    <row r="5370" spans="26:26" hidden="1">
      <c r="Z5370" s="11"/>
    </row>
    <row r="5371" spans="26:26" hidden="1">
      <c r="Z5371" s="11"/>
    </row>
    <row r="5372" spans="26:26" hidden="1">
      <c r="Z5372" s="11"/>
    </row>
    <row r="5373" spans="26:26" hidden="1">
      <c r="Z5373" s="11"/>
    </row>
    <row r="5374" spans="26:26" hidden="1">
      <c r="Z5374" s="11"/>
    </row>
    <row r="5375" spans="26:26" hidden="1">
      <c r="Z5375" s="11"/>
    </row>
    <row r="5376" spans="26:26" hidden="1">
      <c r="Z5376" s="11"/>
    </row>
    <row r="5377" spans="26:26" hidden="1">
      <c r="Z5377" s="11"/>
    </row>
    <row r="5378" spans="26:26" hidden="1">
      <c r="Z5378" s="11"/>
    </row>
    <row r="5379" spans="26:26" hidden="1">
      <c r="Z5379" s="11"/>
    </row>
    <row r="5380" spans="26:26" hidden="1">
      <c r="Z5380" s="11"/>
    </row>
    <row r="5381" spans="26:26" hidden="1">
      <c r="Z5381" s="11"/>
    </row>
    <row r="5382" spans="26:26" hidden="1">
      <c r="Z5382" s="11"/>
    </row>
    <row r="5383" spans="26:26" hidden="1">
      <c r="Z5383" s="11"/>
    </row>
    <row r="5384" spans="26:26" hidden="1">
      <c r="Z5384" s="11"/>
    </row>
    <row r="5385" spans="26:26" hidden="1">
      <c r="Z5385" s="11"/>
    </row>
    <row r="5386" spans="26:26" hidden="1">
      <c r="Z5386" s="11"/>
    </row>
    <row r="5387" spans="26:26" hidden="1">
      <c r="Z5387" s="11"/>
    </row>
    <row r="5388" spans="26:26" hidden="1">
      <c r="Z5388" s="11"/>
    </row>
    <row r="5389" spans="26:26" hidden="1">
      <c r="Z5389" s="11"/>
    </row>
    <row r="5390" spans="26:26" hidden="1">
      <c r="Z5390" s="11"/>
    </row>
    <row r="5391" spans="26:26" hidden="1">
      <c r="Z5391" s="11"/>
    </row>
    <row r="5392" spans="26:26" hidden="1">
      <c r="Z5392" s="11"/>
    </row>
    <row r="5393" spans="26:26" hidden="1">
      <c r="Z5393" s="11"/>
    </row>
    <row r="5394" spans="26:26" hidden="1">
      <c r="Z5394" s="11"/>
    </row>
    <row r="5395" spans="26:26" hidden="1">
      <c r="Z5395" s="11"/>
    </row>
    <row r="5396" spans="26:26" hidden="1">
      <c r="Z5396" s="11"/>
    </row>
    <row r="5397" spans="26:26" hidden="1">
      <c r="Z5397" s="11"/>
    </row>
    <row r="5398" spans="26:26" hidden="1">
      <c r="Z5398" s="11"/>
    </row>
    <row r="5399" spans="26:26" hidden="1">
      <c r="Z5399" s="11"/>
    </row>
    <row r="5400" spans="26:26" hidden="1">
      <c r="Z5400" s="11"/>
    </row>
    <row r="5401" spans="26:26" hidden="1">
      <c r="Z5401" s="11"/>
    </row>
    <row r="5402" spans="26:26" hidden="1">
      <c r="Z5402" s="11"/>
    </row>
    <row r="5403" spans="26:26" hidden="1">
      <c r="Z5403" s="11"/>
    </row>
    <row r="5404" spans="26:26" hidden="1">
      <c r="Z5404" s="11"/>
    </row>
    <row r="5405" spans="26:26" hidden="1">
      <c r="Z5405" s="11"/>
    </row>
    <row r="5406" spans="26:26" hidden="1">
      <c r="Z5406" s="11"/>
    </row>
    <row r="5407" spans="26:26" hidden="1">
      <c r="Z5407" s="11"/>
    </row>
    <row r="5408" spans="26:26" hidden="1">
      <c r="Z5408" s="11"/>
    </row>
    <row r="5409" spans="26:26" hidden="1">
      <c r="Z5409" s="11"/>
    </row>
    <row r="5410" spans="26:26" hidden="1">
      <c r="Z5410" s="11"/>
    </row>
    <row r="5411" spans="26:26" hidden="1">
      <c r="Z5411" s="11"/>
    </row>
    <row r="5412" spans="26:26" hidden="1">
      <c r="Z5412" s="11"/>
    </row>
    <row r="5413" spans="26:26" hidden="1">
      <c r="Z5413" s="11"/>
    </row>
    <row r="5414" spans="26:26" hidden="1">
      <c r="Z5414" s="11"/>
    </row>
    <row r="5415" spans="26:26" hidden="1">
      <c r="Z5415" s="11"/>
    </row>
    <row r="5416" spans="26:26" hidden="1">
      <c r="Z5416" s="11"/>
    </row>
    <row r="5417" spans="26:26" hidden="1">
      <c r="Z5417" s="11"/>
    </row>
    <row r="5418" spans="26:26" hidden="1">
      <c r="Z5418" s="11"/>
    </row>
    <row r="5419" spans="26:26" hidden="1">
      <c r="Z5419" s="11"/>
    </row>
    <row r="5420" spans="26:26" hidden="1">
      <c r="Z5420" s="11"/>
    </row>
    <row r="5421" spans="26:26" hidden="1">
      <c r="Z5421" s="11"/>
    </row>
    <row r="5422" spans="26:26" hidden="1">
      <c r="Z5422" s="11"/>
    </row>
    <row r="5423" spans="26:26" hidden="1">
      <c r="Z5423" s="11"/>
    </row>
    <row r="5424" spans="26:26" hidden="1">
      <c r="Z5424" s="11"/>
    </row>
    <row r="5425" spans="26:26" hidden="1">
      <c r="Z5425" s="11"/>
    </row>
    <row r="5426" spans="26:26" hidden="1">
      <c r="Z5426" s="11"/>
    </row>
    <row r="5427" spans="26:26" hidden="1">
      <c r="Z5427" s="11"/>
    </row>
    <row r="5428" spans="26:26" hidden="1">
      <c r="Z5428" s="11"/>
    </row>
    <row r="5429" spans="26:26" hidden="1">
      <c r="Z5429" s="11"/>
    </row>
    <row r="5430" spans="26:26" hidden="1">
      <c r="Z5430" s="11"/>
    </row>
    <row r="5431" spans="26:26" hidden="1">
      <c r="Z5431" s="11"/>
    </row>
    <row r="5432" spans="26:26" hidden="1">
      <c r="Z5432" s="11"/>
    </row>
    <row r="5433" spans="26:26" hidden="1">
      <c r="Z5433" s="11"/>
    </row>
    <row r="5434" spans="26:26" hidden="1">
      <c r="Z5434" s="11"/>
    </row>
    <row r="5435" spans="26:26" hidden="1">
      <c r="Z5435" s="11"/>
    </row>
    <row r="5436" spans="26:26" hidden="1">
      <c r="Z5436" s="11"/>
    </row>
    <row r="5437" spans="26:26" hidden="1">
      <c r="Z5437" s="11"/>
    </row>
    <row r="5438" spans="26:26" hidden="1">
      <c r="Z5438" s="11"/>
    </row>
    <row r="5439" spans="26:26" hidden="1">
      <c r="Z5439" s="11"/>
    </row>
    <row r="5440" spans="26:26" hidden="1">
      <c r="Z5440" s="11"/>
    </row>
    <row r="5441" spans="26:26" hidden="1">
      <c r="Z5441" s="11"/>
    </row>
    <row r="5442" spans="26:26" hidden="1">
      <c r="Z5442" s="11"/>
    </row>
    <row r="5443" spans="26:26" hidden="1">
      <c r="Z5443" s="11"/>
    </row>
    <row r="5444" spans="26:26" hidden="1">
      <c r="Z5444" s="11"/>
    </row>
    <row r="5445" spans="26:26" hidden="1">
      <c r="Z5445" s="11"/>
    </row>
    <row r="5446" spans="26:26" hidden="1">
      <c r="Z5446" s="11"/>
    </row>
    <row r="5447" spans="26:26" hidden="1">
      <c r="Z5447" s="11"/>
    </row>
    <row r="5448" spans="26:26" hidden="1">
      <c r="Z5448" s="11"/>
    </row>
    <row r="5449" spans="26:26" hidden="1">
      <c r="Z5449" s="11"/>
    </row>
    <row r="5450" spans="26:26" hidden="1">
      <c r="Z5450" s="11"/>
    </row>
    <row r="5451" spans="26:26" hidden="1">
      <c r="Z5451" s="11"/>
    </row>
    <row r="5452" spans="26:26" hidden="1">
      <c r="Z5452" s="11"/>
    </row>
    <row r="5453" spans="26:26" hidden="1">
      <c r="Z5453" s="11"/>
    </row>
    <row r="5454" spans="26:26" hidden="1">
      <c r="Z5454" s="11"/>
    </row>
    <row r="5455" spans="26:26" hidden="1">
      <c r="Z5455" s="11"/>
    </row>
    <row r="5456" spans="26:26" hidden="1">
      <c r="Z5456" s="11"/>
    </row>
    <row r="5457" spans="26:26" hidden="1">
      <c r="Z5457" s="11"/>
    </row>
    <row r="5458" spans="26:26" hidden="1">
      <c r="Z5458" s="11"/>
    </row>
    <row r="5459" spans="26:26" hidden="1">
      <c r="Z5459" s="11"/>
    </row>
    <row r="5460" spans="26:26" hidden="1">
      <c r="Z5460" s="11"/>
    </row>
    <row r="5461" spans="26:26" hidden="1">
      <c r="Z5461" s="11"/>
    </row>
    <row r="5462" spans="26:26" hidden="1">
      <c r="Z5462" s="11"/>
    </row>
    <row r="5463" spans="26:26" hidden="1">
      <c r="Z5463" s="11"/>
    </row>
    <row r="5464" spans="26:26" hidden="1">
      <c r="Z5464" s="11"/>
    </row>
    <row r="5465" spans="26:26" hidden="1">
      <c r="Z5465" s="11"/>
    </row>
    <row r="5466" spans="26:26" hidden="1">
      <c r="Z5466" s="11"/>
    </row>
    <row r="5467" spans="26:26" hidden="1">
      <c r="Z5467" s="11"/>
    </row>
    <row r="5468" spans="26:26" hidden="1">
      <c r="Z5468" s="11"/>
    </row>
    <row r="5469" spans="26:26" hidden="1">
      <c r="Z5469" s="11"/>
    </row>
    <row r="5470" spans="26:26" hidden="1">
      <c r="Z5470" s="11"/>
    </row>
    <row r="5471" spans="26:26" hidden="1">
      <c r="Z5471" s="11"/>
    </row>
    <row r="5472" spans="26:26" hidden="1">
      <c r="Z5472" s="11"/>
    </row>
    <row r="5473" spans="26:26" hidden="1">
      <c r="Z5473" s="11"/>
    </row>
    <row r="5474" spans="26:26" hidden="1">
      <c r="Z5474" s="11"/>
    </row>
    <row r="5475" spans="26:26" hidden="1">
      <c r="Z5475" s="11"/>
    </row>
    <row r="5476" spans="26:26" hidden="1">
      <c r="Z5476" s="11"/>
    </row>
    <row r="5477" spans="26:26" hidden="1">
      <c r="Z5477" s="11"/>
    </row>
    <row r="5478" spans="26:26" hidden="1">
      <c r="Z5478" s="11"/>
    </row>
    <row r="5479" spans="26:26" hidden="1">
      <c r="Z5479" s="11"/>
    </row>
    <row r="5480" spans="26:26" hidden="1">
      <c r="Z5480" s="11"/>
    </row>
    <row r="5481" spans="26:26" hidden="1">
      <c r="Z5481" s="11"/>
    </row>
    <row r="5482" spans="26:26" hidden="1">
      <c r="Z5482" s="11"/>
    </row>
    <row r="5483" spans="26:26" hidden="1">
      <c r="Z5483" s="11"/>
    </row>
    <row r="5484" spans="26:26" hidden="1">
      <c r="Z5484" s="11"/>
    </row>
    <row r="5485" spans="26:26" hidden="1">
      <c r="Z5485" s="11"/>
    </row>
    <row r="5486" spans="26:26" hidden="1">
      <c r="Z5486" s="11"/>
    </row>
    <row r="5487" spans="26:26" hidden="1">
      <c r="Z5487" s="11"/>
    </row>
    <row r="5488" spans="26:26" hidden="1">
      <c r="Z5488" s="11"/>
    </row>
    <row r="5489" spans="26:26" hidden="1">
      <c r="Z5489" s="11"/>
    </row>
    <row r="5490" spans="26:26" hidden="1">
      <c r="Z5490" s="11"/>
    </row>
    <row r="5491" spans="26:26" hidden="1">
      <c r="Z5491" s="11"/>
    </row>
    <row r="5492" spans="26:26" hidden="1">
      <c r="Z5492" s="11"/>
    </row>
    <row r="5493" spans="26:26" hidden="1">
      <c r="Z5493" s="11"/>
    </row>
    <row r="5494" spans="26:26" hidden="1">
      <c r="Z5494" s="11"/>
    </row>
    <row r="5495" spans="26:26" hidden="1">
      <c r="Z5495" s="11"/>
    </row>
    <row r="5496" spans="26:26" hidden="1">
      <c r="Z5496" s="11"/>
    </row>
    <row r="5497" spans="26:26" hidden="1">
      <c r="Z5497" s="11"/>
    </row>
    <row r="5498" spans="26:26" hidden="1">
      <c r="Z5498" s="11"/>
    </row>
    <row r="5499" spans="26:26" hidden="1">
      <c r="Z5499" s="11"/>
    </row>
    <row r="5500" spans="26:26" hidden="1">
      <c r="Z5500" s="11"/>
    </row>
    <row r="5501" spans="26:26" hidden="1">
      <c r="Z5501" s="11"/>
    </row>
    <row r="5502" spans="26:26" hidden="1">
      <c r="Z5502" s="11"/>
    </row>
    <row r="5503" spans="26:26" hidden="1">
      <c r="Z5503" s="11"/>
    </row>
    <row r="5504" spans="26:26" hidden="1">
      <c r="Z5504" s="11"/>
    </row>
    <row r="5505" spans="26:26" hidden="1">
      <c r="Z5505" s="11"/>
    </row>
    <row r="5506" spans="26:26" hidden="1">
      <c r="Z5506" s="11"/>
    </row>
    <row r="5507" spans="26:26" hidden="1">
      <c r="Z5507" s="11"/>
    </row>
    <row r="5508" spans="26:26" hidden="1">
      <c r="Z5508" s="11"/>
    </row>
    <row r="5509" spans="26:26" hidden="1">
      <c r="Z5509" s="11"/>
    </row>
    <row r="5510" spans="26:26" hidden="1">
      <c r="Z5510" s="11"/>
    </row>
    <row r="5511" spans="26:26" hidden="1">
      <c r="Z5511" s="11"/>
    </row>
    <row r="5512" spans="26:26" hidden="1">
      <c r="Z5512" s="11"/>
    </row>
    <row r="5513" spans="26:26" hidden="1">
      <c r="Z5513" s="11"/>
    </row>
    <row r="5514" spans="26:26" hidden="1">
      <c r="Z5514" s="11"/>
    </row>
    <row r="5515" spans="26:26" hidden="1">
      <c r="Z5515" s="11"/>
    </row>
    <row r="5516" spans="26:26" hidden="1">
      <c r="Z5516" s="11"/>
    </row>
    <row r="5517" spans="26:26" hidden="1">
      <c r="Z5517" s="11"/>
    </row>
    <row r="5518" spans="26:26" hidden="1">
      <c r="Z5518" s="11"/>
    </row>
    <row r="5519" spans="26:26" hidden="1">
      <c r="Z5519" s="11"/>
    </row>
    <row r="5520" spans="26:26" hidden="1">
      <c r="Z5520" s="11"/>
    </row>
    <row r="5521" spans="26:26" hidden="1">
      <c r="Z5521" s="11"/>
    </row>
    <row r="5522" spans="26:26" hidden="1">
      <c r="Z5522" s="11"/>
    </row>
    <row r="5523" spans="26:26" hidden="1">
      <c r="Z5523" s="11"/>
    </row>
    <row r="5524" spans="26:26" hidden="1">
      <c r="Z5524" s="11"/>
    </row>
    <row r="5525" spans="26:26" hidden="1">
      <c r="Z5525" s="11"/>
    </row>
    <row r="5526" spans="26:26" hidden="1">
      <c r="Z5526" s="11"/>
    </row>
    <row r="5527" spans="26:26" hidden="1">
      <c r="Z5527" s="11"/>
    </row>
    <row r="5528" spans="26:26" hidden="1">
      <c r="Z5528" s="11"/>
    </row>
    <row r="5529" spans="26:26" hidden="1">
      <c r="Z5529" s="11"/>
    </row>
    <row r="5530" spans="26:26" hidden="1">
      <c r="Z5530" s="11"/>
    </row>
    <row r="5531" spans="26:26" hidden="1">
      <c r="Z5531" s="11"/>
    </row>
    <row r="5532" spans="26:26" hidden="1">
      <c r="Z5532" s="11"/>
    </row>
    <row r="5533" spans="26:26" hidden="1">
      <c r="Z5533" s="11"/>
    </row>
    <row r="5534" spans="26:26" hidden="1">
      <c r="Z5534" s="11"/>
    </row>
    <row r="5535" spans="26:26" hidden="1">
      <c r="Z5535" s="11"/>
    </row>
    <row r="5536" spans="26:26" hidden="1">
      <c r="Z5536" s="11"/>
    </row>
    <row r="5537" spans="26:26" hidden="1">
      <c r="Z5537" s="11"/>
    </row>
    <row r="5538" spans="26:26" hidden="1">
      <c r="Z5538" s="11"/>
    </row>
    <row r="5539" spans="26:26" hidden="1">
      <c r="Z5539" s="11"/>
    </row>
    <row r="5540" spans="26:26" hidden="1">
      <c r="Z5540" s="11"/>
    </row>
    <row r="5541" spans="26:26" hidden="1">
      <c r="Z5541" s="11"/>
    </row>
    <row r="5542" spans="26:26" hidden="1">
      <c r="Z5542" s="11"/>
    </row>
    <row r="5543" spans="26:26" hidden="1">
      <c r="Z5543" s="11"/>
    </row>
    <row r="5544" spans="26:26" hidden="1">
      <c r="Z5544" s="11"/>
    </row>
    <row r="5545" spans="26:26" hidden="1">
      <c r="Z5545" s="11"/>
    </row>
    <row r="5546" spans="26:26" hidden="1">
      <c r="Z5546" s="11"/>
    </row>
    <row r="5547" spans="26:26" hidden="1">
      <c r="Z5547" s="11"/>
    </row>
    <row r="5548" spans="26:26" hidden="1">
      <c r="Z5548" s="11"/>
    </row>
    <row r="5549" spans="26:26" hidden="1">
      <c r="Z5549" s="11"/>
    </row>
    <row r="5550" spans="26:26" hidden="1">
      <c r="Z5550" s="11"/>
    </row>
    <row r="5551" spans="26:26" hidden="1">
      <c r="Z5551" s="11"/>
    </row>
    <row r="5552" spans="26:26" hidden="1">
      <c r="Z5552" s="11"/>
    </row>
    <row r="5553" spans="26:26" hidden="1">
      <c r="Z5553" s="11"/>
    </row>
    <row r="5554" spans="26:26" hidden="1">
      <c r="Z5554" s="11"/>
    </row>
    <row r="5555" spans="26:26" hidden="1">
      <c r="Z5555" s="11"/>
    </row>
    <row r="5556" spans="26:26" hidden="1">
      <c r="Z5556" s="11"/>
    </row>
    <row r="5557" spans="26:26" hidden="1">
      <c r="Z5557" s="11"/>
    </row>
    <row r="5558" spans="26:26" hidden="1">
      <c r="Z5558" s="11"/>
    </row>
    <row r="5559" spans="26:26" hidden="1">
      <c r="Z5559" s="11"/>
    </row>
    <row r="5560" spans="26:26" hidden="1">
      <c r="Z5560" s="11"/>
    </row>
    <row r="5561" spans="26:26" hidden="1">
      <c r="Z5561" s="11"/>
    </row>
    <row r="5562" spans="26:26" hidden="1">
      <c r="Z5562" s="11"/>
    </row>
    <row r="5563" spans="26:26" hidden="1">
      <c r="Z5563" s="11"/>
    </row>
    <row r="5564" spans="26:26" hidden="1">
      <c r="Z5564" s="11"/>
    </row>
    <row r="5565" spans="26:26" hidden="1">
      <c r="Z5565" s="11"/>
    </row>
    <row r="5566" spans="26:26" hidden="1">
      <c r="Z5566" s="11"/>
    </row>
    <row r="5567" spans="26:26" hidden="1">
      <c r="Z5567" s="11"/>
    </row>
    <row r="5568" spans="26:26" hidden="1">
      <c r="Z5568" s="11"/>
    </row>
    <row r="5569" spans="26:26" hidden="1">
      <c r="Z5569" s="11"/>
    </row>
    <row r="5570" spans="26:26" hidden="1">
      <c r="Z5570" s="11"/>
    </row>
    <row r="5571" spans="26:26" hidden="1">
      <c r="Z5571" s="11"/>
    </row>
    <row r="5572" spans="26:26" hidden="1">
      <c r="Z5572" s="11"/>
    </row>
    <row r="5573" spans="26:26" hidden="1">
      <c r="Z5573" s="11"/>
    </row>
    <row r="5574" spans="26:26" hidden="1">
      <c r="Z5574" s="11"/>
    </row>
    <row r="5575" spans="26:26" hidden="1">
      <c r="Z5575" s="11"/>
    </row>
    <row r="5576" spans="26:26" hidden="1">
      <c r="Z5576" s="11"/>
    </row>
    <row r="5577" spans="26:26" hidden="1">
      <c r="Z5577" s="11"/>
    </row>
    <row r="5578" spans="26:26" hidden="1">
      <c r="Z5578" s="11"/>
    </row>
    <row r="5579" spans="26:26" hidden="1">
      <c r="Z5579" s="11"/>
    </row>
    <row r="5580" spans="26:26" hidden="1">
      <c r="Z5580" s="11"/>
    </row>
    <row r="5581" spans="26:26" hidden="1">
      <c r="Z5581" s="11"/>
    </row>
    <row r="5582" spans="26:26" hidden="1">
      <c r="Z5582" s="11"/>
    </row>
    <row r="5583" spans="26:26" hidden="1">
      <c r="Z5583" s="11"/>
    </row>
    <row r="5584" spans="26:26" hidden="1">
      <c r="Z5584" s="11"/>
    </row>
    <row r="5585" spans="26:26" hidden="1">
      <c r="Z5585" s="11"/>
    </row>
    <row r="5586" spans="26:26" hidden="1">
      <c r="Z5586" s="11"/>
    </row>
    <row r="5587" spans="26:26" hidden="1">
      <c r="Z5587" s="11"/>
    </row>
    <row r="5588" spans="26:26" hidden="1">
      <c r="Z5588" s="11"/>
    </row>
    <row r="5589" spans="26:26" hidden="1">
      <c r="Z5589" s="11"/>
    </row>
    <row r="5590" spans="26:26" hidden="1">
      <c r="Z5590" s="11"/>
    </row>
    <row r="5591" spans="26:26" hidden="1">
      <c r="Z5591" s="11"/>
    </row>
    <row r="5592" spans="26:26" hidden="1">
      <c r="Z5592" s="11"/>
    </row>
    <row r="5593" spans="26:26" hidden="1">
      <c r="Z5593" s="11"/>
    </row>
    <row r="5594" spans="26:26" hidden="1">
      <c r="Z5594" s="11"/>
    </row>
    <row r="5595" spans="26:26" hidden="1">
      <c r="Z5595" s="11"/>
    </row>
    <row r="5596" spans="26:26" hidden="1">
      <c r="Z5596" s="11"/>
    </row>
    <row r="5597" spans="26:26" hidden="1">
      <c r="Z5597" s="11"/>
    </row>
    <row r="5598" spans="26:26" hidden="1">
      <c r="Z5598" s="11"/>
    </row>
    <row r="5599" spans="26:26" hidden="1">
      <c r="Z5599" s="11"/>
    </row>
    <row r="5600" spans="26:26" hidden="1">
      <c r="Z5600" s="11"/>
    </row>
    <row r="5601" spans="26:26" hidden="1">
      <c r="Z5601" s="11"/>
    </row>
    <row r="5602" spans="26:26" hidden="1">
      <c r="Z5602" s="11"/>
    </row>
    <row r="5603" spans="26:26" hidden="1">
      <c r="Z5603" s="11"/>
    </row>
    <row r="5604" spans="26:26" hidden="1">
      <c r="Z5604" s="11"/>
    </row>
    <row r="5605" spans="26:26" hidden="1">
      <c r="Z5605" s="11"/>
    </row>
    <row r="5606" spans="26:26" hidden="1">
      <c r="Z5606" s="11"/>
    </row>
    <row r="5607" spans="26:26" hidden="1">
      <c r="Z5607" s="11"/>
    </row>
    <row r="5608" spans="26:26" hidden="1">
      <c r="Z5608" s="11"/>
    </row>
    <row r="5609" spans="26:26" hidden="1">
      <c r="Z5609" s="11"/>
    </row>
    <row r="5610" spans="26:26" hidden="1">
      <c r="Z5610" s="11"/>
    </row>
    <row r="5611" spans="26:26" hidden="1">
      <c r="Z5611" s="11"/>
    </row>
    <row r="5612" spans="26:26" hidden="1">
      <c r="Z5612" s="11"/>
    </row>
    <row r="5613" spans="26:26" hidden="1">
      <c r="Z5613" s="11"/>
    </row>
    <row r="5614" spans="26:26" hidden="1">
      <c r="Z5614" s="11"/>
    </row>
    <row r="5615" spans="26:26" hidden="1">
      <c r="Z5615" s="11"/>
    </row>
    <row r="5616" spans="26:26" hidden="1">
      <c r="Z5616" s="11"/>
    </row>
    <row r="5617" spans="26:26" hidden="1">
      <c r="Z5617" s="11"/>
    </row>
    <row r="5618" spans="26:26" hidden="1">
      <c r="Z5618" s="11"/>
    </row>
    <row r="5619" spans="26:26" hidden="1">
      <c r="Z5619" s="11"/>
    </row>
    <row r="5620" spans="26:26" hidden="1">
      <c r="Z5620" s="11"/>
    </row>
    <row r="5621" spans="26:26" hidden="1">
      <c r="Z5621" s="11"/>
    </row>
    <row r="5622" spans="26:26" hidden="1">
      <c r="Z5622" s="11"/>
    </row>
    <row r="5623" spans="26:26" hidden="1">
      <c r="Z5623" s="11"/>
    </row>
    <row r="5624" spans="26:26" hidden="1">
      <c r="Z5624" s="11"/>
    </row>
    <row r="5625" spans="26:26" hidden="1">
      <c r="Z5625" s="11"/>
    </row>
    <row r="5626" spans="26:26" hidden="1">
      <c r="Z5626" s="11"/>
    </row>
    <row r="5627" spans="26:26" hidden="1">
      <c r="Z5627" s="11"/>
    </row>
    <row r="5628" spans="26:26" hidden="1">
      <c r="Z5628" s="11"/>
    </row>
    <row r="5629" spans="26:26" hidden="1">
      <c r="Z5629" s="11"/>
    </row>
    <row r="5630" spans="26:26" hidden="1">
      <c r="Z5630" s="11"/>
    </row>
    <row r="5631" spans="26:26" hidden="1">
      <c r="Z5631" s="11"/>
    </row>
    <row r="5632" spans="26:26" hidden="1">
      <c r="Z5632" s="11"/>
    </row>
    <row r="5633" spans="26:26" hidden="1">
      <c r="Z5633" s="11"/>
    </row>
    <row r="5634" spans="26:26" hidden="1">
      <c r="Z5634" s="11"/>
    </row>
    <row r="5635" spans="26:26" hidden="1">
      <c r="Z5635" s="11"/>
    </row>
    <row r="5636" spans="26:26" hidden="1">
      <c r="Z5636" s="11"/>
    </row>
    <row r="5637" spans="26:26" hidden="1">
      <c r="Z5637" s="11"/>
    </row>
    <row r="5638" spans="26:26" hidden="1">
      <c r="Z5638" s="11"/>
    </row>
    <row r="5639" spans="26:26" hidden="1">
      <c r="Z5639" s="11"/>
    </row>
    <row r="5640" spans="26:26" hidden="1">
      <c r="Z5640" s="11"/>
    </row>
    <row r="5641" spans="26:26" hidden="1">
      <c r="Z5641" s="11"/>
    </row>
    <row r="5642" spans="26:26" hidden="1">
      <c r="Z5642" s="11"/>
    </row>
    <row r="5643" spans="26:26" hidden="1">
      <c r="Z5643" s="11"/>
    </row>
    <row r="5644" spans="26:26" hidden="1">
      <c r="Z5644" s="11"/>
    </row>
    <row r="5645" spans="26:26" hidden="1">
      <c r="Z5645" s="11"/>
    </row>
    <row r="5646" spans="26:26" hidden="1">
      <c r="Z5646" s="11"/>
    </row>
    <row r="5647" spans="26:26" hidden="1">
      <c r="Z5647" s="11"/>
    </row>
    <row r="5648" spans="26:26" hidden="1">
      <c r="Z5648" s="11"/>
    </row>
    <row r="5649" spans="26:26" hidden="1">
      <c r="Z5649" s="11"/>
    </row>
    <row r="5650" spans="26:26" hidden="1">
      <c r="Z5650" s="11"/>
    </row>
    <row r="5651" spans="26:26" hidden="1">
      <c r="Z5651" s="11"/>
    </row>
    <row r="5652" spans="26:26" hidden="1">
      <c r="Z5652" s="11"/>
    </row>
    <row r="5653" spans="26:26" hidden="1">
      <c r="Z5653" s="11"/>
    </row>
    <row r="5654" spans="26:26" hidden="1">
      <c r="Z5654" s="11"/>
    </row>
    <row r="5655" spans="26:26" hidden="1">
      <c r="Z5655" s="11"/>
    </row>
    <row r="5656" spans="26:26" hidden="1">
      <c r="Z5656" s="11"/>
    </row>
    <row r="5657" spans="26:26" hidden="1">
      <c r="Z5657" s="11"/>
    </row>
    <row r="5658" spans="26:26" hidden="1">
      <c r="Z5658" s="11"/>
    </row>
    <row r="5659" spans="26:26" hidden="1">
      <c r="Z5659" s="11"/>
    </row>
    <row r="5660" spans="26:26" hidden="1">
      <c r="Z5660" s="11"/>
    </row>
    <row r="5661" spans="26:26" hidden="1">
      <c r="Z5661" s="11"/>
    </row>
    <row r="5662" spans="26:26" hidden="1">
      <c r="Z5662" s="11"/>
    </row>
    <row r="5663" spans="26:26" hidden="1">
      <c r="Z5663" s="11"/>
    </row>
    <row r="5664" spans="26:26" hidden="1">
      <c r="Z5664" s="11"/>
    </row>
    <row r="5665" spans="26:26" hidden="1">
      <c r="Z5665" s="11"/>
    </row>
    <row r="5666" spans="26:26" hidden="1">
      <c r="Z5666" s="11"/>
    </row>
    <row r="5667" spans="26:26" hidden="1">
      <c r="Z5667" s="11"/>
    </row>
    <row r="5668" spans="26:26" hidden="1">
      <c r="Z5668" s="11"/>
    </row>
    <row r="5669" spans="26:26" hidden="1">
      <c r="Z5669" s="11"/>
    </row>
    <row r="5670" spans="26:26" hidden="1">
      <c r="Z5670" s="11"/>
    </row>
    <row r="5671" spans="26:26" hidden="1">
      <c r="Z5671" s="11"/>
    </row>
    <row r="5672" spans="26:26" hidden="1">
      <c r="Z5672" s="11"/>
    </row>
    <row r="5673" spans="26:26" hidden="1">
      <c r="Z5673" s="11"/>
    </row>
    <row r="5674" spans="26:26" hidden="1">
      <c r="Z5674" s="11"/>
    </row>
    <row r="5675" spans="26:26" hidden="1">
      <c r="Z5675" s="11"/>
    </row>
    <row r="5676" spans="26:26" hidden="1">
      <c r="Z5676" s="11"/>
    </row>
    <row r="5677" spans="26:26" hidden="1">
      <c r="Z5677" s="11"/>
    </row>
    <row r="5678" spans="26:26" hidden="1">
      <c r="Z5678" s="11"/>
    </row>
    <row r="5679" spans="26:26" hidden="1">
      <c r="Z5679" s="11"/>
    </row>
    <row r="5680" spans="26:26" hidden="1">
      <c r="Z5680" s="11"/>
    </row>
    <row r="5681" spans="26:26" hidden="1">
      <c r="Z5681" s="11"/>
    </row>
    <row r="5682" spans="26:26" hidden="1">
      <c r="Z5682" s="11"/>
    </row>
    <row r="5683" spans="26:26" hidden="1">
      <c r="Z5683" s="11"/>
    </row>
    <row r="5684" spans="26:26" hidden="1">
      <c r="Z5684" s="11"/>
    </row>
    <row r="5685" spans="26:26" hidden="1">
      <c r="Z5685" s="11"/>
    </row>
    <row r="5686" spans="26:26" hidden="1">
      <c r="Z5686" s="11"/>
    </row>
    <row r="5687" spans="26:26" hidden="1">
      <c r="Z5687" s="11"/>
    </row>
    <row r="5688" spans="26:26" hidden="1">
      <c r="Z5688" s="11"/>
    </row>
    <row r="5689" spans="26:26" hidden="1">
      <c r="Z5689" s="11"/>
    </row>
    <row r="5690" spans="26:26" hidden="1">
      <c r="Z5690" s="11"/>
    </row>
    <row r="5691" spans="26:26" hidden="1">
      <c r="Z5691" s="11"/>
    </row>
    <row r="5692" spans="26:26" hidden="1">
      <c r="Z5692" s="11"/>
    </row>
    <row r="5693" spans="26:26" hidden="1">
      <c r="Z5693" s="11"/>
    </row>
    <row r="5694" spans="26:26" hidden="1">
      <c r="Z5694" s="11"/>
    </row>
    <row r="5695" spans="26:26" hidden="1">
      <c r="Z5695" s="11"/>
    </row>
    <row r="5696" spans="26:26" hidden="1">
      <c r="Z5696" s="11"/>
    </row>
    <row r="5697" spans="26:26" hidden="1">
      <c r="Z5697" s="11"/>
    </row>
    <row r="5698" spans="26:26" hidden="1">
      <c r="Z5698" s="11"/>
    </row>
    <row r="5699" spans="26:26" hidden="1">
      <c r="Z5699" s="11"/>
    </row>
    <row r="5700" spans="26:26" hidden="1">
      <c r="Z5700" s="11"/>
    </row>
    <row r="5701" spans="26:26" hidden="1">
      <c r="Z5701" s="11"/>
    </row>
    <row r="5702" spans="26:26" hidden="1">
      <c r="Z5702" s="11"/>
    </row>
    <row r="5703" spans="26:26" hidden="1">
      <c r="Z5703" s="11"/>
    </row>
    <row r="5704" spans="26:26" hidden="1">
      <c r="Z5704" s="11"/>
    </row>
    <row r="5705" spans="26:26" hidden="1">
      <c r="Z5705" s="11"/>
    </row>
    <row r="5706" spans="26:26" hidden="1">
      <c r="Z5706" s="11"/>
    </row>
    <row r="5707" spans="26:26" hidden="1">
      <c r="Z5707" s="11"/>
    </row>
    <row r="5708" spans="26:26" hidden="1">
      <c r="Z5708" s="11"/>
    </row>
    <row r="5709" spans="26:26" hidden="1">
      <c r="Z5709" s="11"/>
    </row>
    <row r="5710" spans="26:26" hidden="1">
      <c r="Z5710" s="11"/>
    </row>
    <row r="5711" spans="26:26" hidden="1">
      <c r="Z5711" s="11"/>
    </row>
    <row r="5712" spans="26:26" hidden="1">
      <c r="Z5712" s="11"/>
    </row>
    <row r="5713" spans="26:26" hidden="1">
      <c r="Z5713" s="11"/>
    </row>
    <row r="5714" spans="26:26" hidden="1">
      <c r="Z5714" s="11"/>
    </row>
    <row r="5715" spans="26:26" hidden="1">
      <c r="Z5715" s="11"/>
    </row>
    <row r="5716" spans="26:26" hidden="1">
      <c r="Z5716" s="11"/>
    </row>
    <row r="5717" spans="26:26" hidden="1">
      <c r="Z5717" s="11"/>
    </row>
    <row r="5718" spans="26:26" hidden="1">
      <c r="Z5718" s="11"/>
    </row>
    <row r="5719" spans="26:26" hidden="1">
      <c r="Z5719" s="11"/>
    </row>
    <row r="5720" spans="26:26" hidden="1">
      <c r="Z5720" s="11"/>
    </row>
    <row r="5721" spans="26:26" hidden="1">
      <c r="Z5721" s="11"/>
    </row>
    <row r="5722" spans="26:26" hidden="1">
      <c r="Z5722" s="11"/>
    </row>
    <row r="5723" spans="26:26" hidden="1">
      <c r="Z5723" s="11"/>
    </row>
    <row r="5724" spans="26:26" hidden="1">
      <c r="Z5724" s="11"/>
    </row>
    <row r="5725" spans="26:26" hidden="1">
      <c r="Z5725" s="11"/>
    </row>
    <row r="5726" spans="26:26" hidden="1">
      <c r="Z5726" s="11"/>
    </row>
    <row r="5727" spans="26:26" hidden="1">
      <c r="Z5727" s="11"/>
    </row>
    <row r="5728" spans="26:26" hidden="1">
      <c r="Z5728" s="11"/>
    </row>
    <row r="5729" spans="26:26" hidden="1">
      <c r="Z5729" s="11"/>
    </row>
    <row r="5730" spans="26:26" hidden="1">
      <c r="Z5730" s="11"/>
    </row>
    <row r="5731" spans="26:26" hidden="1">
      <c r="Z5731" s="11"/>
    </row>
    <row r="5732" spans="26:26" hidden="1">
      <c r="Z5732" s="11"/>
    </row>
    <row r="5733" spans="26:26" hidden="1">
      <c r="Z5733" s="11"/>
    </row>
    <row r="5734" spans="26:26" hidden="1">
      <c r="Z5734" s="11"/>
    </row>
    <row r="5735" spans="26:26" hidden="1">
      <c r="Z5735" s="11"/>
    </row>
    <row r="5736" spans="26:26" hidden="1">
      <c r="Z5736" s="11"/>
    </row>
    <row r="5737" spans="26:26" hidden="1">
      <c r="Z5737" s="11"/>
    </row>
    <row r="5738" spans="26:26" hidden="1">
      <c r="Z5738" s="11"/>
    </row>
    <row r="5739" spans="26:26" hidden="1">
      <c r="Z5739" s="11"/>
    </row>
    <row r="5740" spans="26:26" hidden="1">
      <c r="Z5740" s="11"/>
    </row>
    <row r="5741" spans="26:26" hidden="1">
      <c r="Z5741" s="11"/>
    </row>
    <row r="5742" spans="26:26" hidden="1">
      <c r="Z5742" s="11"/>
    </row>
    <row r="5743" spans="26:26" hidden="1">
      <c r="Z5743" s="11"/>
    </row>
    <row r="5744" spans="26:26" hidden="1">
      <c r="Z5744" s="11"/>
    </row>
    <row r="5745" spans="26:26" hidden="1">
      <c r="Z5745" s="11"/>
    </row>
    <row r="5746" spans="26:26" hidden="1">
      <c r="Z5746" s="11"/>
    </row>
    <row r="5747" spans="26:26" hidden="1">
      <c r="Z5747" s="11"/>
    </row>
    <row r="5748" spans="26:26" hidden="1">
      <c r="Z5748" s="11"/>
    </row>
    <row r="5749" spans="26:26" hidden="1">
      <c r="Z5749" s="11"/>
    </row>
    <row r="5750" spans="26:26" hidden="1">
      <c r="Z5750" s="11"/>
    </row>
    <row r="5751" spans="26:26" hidden="1">
      <c r="Z5751" s="11"/>
    </row>
    <row r="5752" spans="26:26" hidden="1">
      <c r="Z5752" s="11"/>
    </row>
    <row r="5753" spans="26:26" hidden="1">
      <c r="Z5753" s="11"/>
    </row>
    <row r="5754" spans="26:26" hidden="1">
      <c r="Z5754" s="11"/>
    </row>
    <row r="5755" spans="26:26" hidden="1">
      <c r="Z5755" s="11"/>
    </row>
    <row r="5756" spans="26:26" hidden="1">
      <c r="Z5756" s="11"/>
    </row>
    <row r="5757" spans="26:26" hidden="1">
      <c r="Z5757" s="11"/>
    </row>
    <row r="5758" spans="26:26" hidden="1">
      <c r="Z5758" s="11"/>
    </row>
    <row r="5759" spans="26:26" hidden="1">
      <c r="Z5759" s="11"/>
    </row>
    <row r="5760" spans="26:26" hidden="1">
      <c r="Z5760" s="11"/>
    </row>
    <row r="5761" spans="26:26" hidden="1">
      <c r="Z5761" s="11"/>
    </row>
    <row r="5762" spans="26:26" hidden="1">
      <c r="Z5762" s="11"/>
    </row>
    <row r="5763" spans="26:26" hidden="1">
      <c r="Z5763" s="11"/>
    </row>
    <row r="5764" spans="26:26" hidden="1">
      <c r="Z5764" s="11"/>
    </row>
    <row r="5765" spans="26:26" hidden="1">
      <c r="Z5765" s="11"/>
    </row>
    <row r="5766" spans="26:26" hidden="1">
      <c r="Z5766" s="11"/>
    </row>
    <row r="5767" spans="26:26" hidden="1">
      <c r="Z5767" s="11"/>
    </row>
    <row r="5768" spans="26:26" hidden="1">
      <c r="Z5768" s="11"/>
    </row>
    <row r="5769" spans="26:26" hidden="1">
      <c r="Z5769" s="11"/>
    </row>
    <row r="5770" spans="26:26" hidden="1">
      <c r="Z5770" s="11"/>
    </row>
    <row r="5771" spans="26:26" hidden="1">
      <c r="Z5771" s="11"/>
    </row>
    <row r="5772" spans="26:26" hidden="1">
      <c r="Z5772" s="11"/>
    </row>
    <row r="5773" spans="26:26" hidden="1">
      <c r="Z5773" s="11"/>
    </row>
    <row r="5774" spans="26:26" hidden="1">
      <c r="Z5774" s="11"/>
    </row>
    <row r="5775" spans="26:26" hidden="1">
      <c r="Z5775" s="11"/>
    </row>
    <row r="5776" spans="26:26" hidden="1">
      <c r="Z5776" s="11"/>
    </row>
    <row r="5777" spans="26:26" hidden="1">
      <c r="Z5777" s="11"/>
    </row>
    <row r="5778" spans="26:26" hidden="1">
      <c r="Z5778" s="11"/>
    </row>
    <row r="5779" spans="26:26" hidden="1">
      <c r="Z5779" s="11"/>
    </row>
    <row r="5780" spans="26:26" hidden="1">
      <c r="Z5780" s="11"/>
    </row>
    <row r="5781" spans="26:26" hidden="1">
      <c r="Z5781" s="11"/>
    </row>
    <row r="5782" spans="26:26" hidden="1">
      <c r="Z5782" s="11"/>
    </row>
    <row r="5783" spans="26:26" hidden="1">
      <c r="Z5783" s="11"/>
    </row>
    <row r="5784" spans="26:26" hidden="1">
      <c r="Z5784" s="11"/>
    </row>
    <row r="5785" spans="26:26" hidden="1">
      <c r="Z5785" s="11"/>
    </row>
    <row r="5786" spans="26:26" hidden="1">
      <c r="Z5786" s="11"/>
    </row>
    <row r="5787" spans="26:26" hidden="1">
      <c r="Z5787" s="11"/>
    </row>
    <row r="5788" spans="26:26" hidden="1">
      <c r="Z5788" s="11"/>
    </row>
    <row r="5789" spans="26:26" hidden="1">
      <c r="Z5789" s="11"/>
    </row>
    <row r="5790" spans="26:26" hidden="1">
      <c r="Z5790" s="11"/>
    </row>
    <row r="5791" spans="26:26" hidden="1">
      <c r="Z5791" s="11"/>
    </row>
    <row r="5792" spans="26:26" hidden="1">
      <c r="Z5792" s="11"/>
    </row>
    <row r="5793" spans="26:26" hidden="1">
      <c r="Z5793" s="11"/>
    </row>
    <row r="5794" spans="26:26" hidden="1">
      <c r="Z5794" s="11"/>
    </row>
    <row r="5795" spans="26:26" hidden="1">
      <c r="Z5795" s="11"/>
    </row>
    <row r="5796" spans="26:26" hidden="1">
      <c r="Z5796" s="11"/>
    </row>
    <row r="5797" spans="26:26" hidden="1">
      <c r="Z5797" s="11"/>
    </row>
    <row r="5798" spans="26:26" hidden="1">
      <c r="Z5798" s="11"/>
    </row>
    <row r="5799" spans="26:26" hidden="1">
      <c r="Z5799" s="11"/>
    </row>
    <row r="5800" spans="26:26" hidden="1">
      <c r="Z5800" s="11"/>
    </row>
    <row r="5801" spans="26:26" hidden="1">
      <c r="Z5801" s="11"/>
    </row>
    <row r="5802" spans="26:26" hidden="1">
      <c r="Z5802" s="11"/>
    </row>
    <row r="5803" spans="26:26" hidden="1">
      <c r="Z5803" s="11"/>
    </row>
    <row r="5804" spans="26:26" hidden="1">
      <c r="Z5804" s="11"/>
    </row>
    <row r="5805" spans="26:26" hidden="1">
      <c r="Z5805" s="11"/>
    </row>
    <row r="5806" spans="26:26" hidden="1">
      <c r="Z5806" s="11"/>
    </row>
    <row r="5807" spans="26:26" hidden="1">
      <c r="Z5807" s="11"/>
    </row>
    <row r="5808" spans="26:26" hidden="1">
      <c r="Z5808" s="11"/>
    </row>
    <row r="5809" spans="26:26" hidden="1">
      <c r="Z5809" s="11"/>
    </row>
    <row r="5810" spans="26:26" hidden="1">
      <c r="Z5810" s="11"/>
    </row>
    <row r="5811" spans="26:26" hidden="1">
      <c r="Z5811" s="11"/>
    </row>
    <row r="5812" spans="26:26" hidden="1">
      <c r="Z5812" s="11"/>
    </row>
    <row r="5813" spans="26:26" hidden="1">
      <c r="Z5813" s="11"/>
    </row>
    <row r="5814" spans="26:26" hidden="1">
      <c r="Z5814" s="11"/>
    </row>
    <row r="5815" spans="26:26" hidden="1">
      <c r="Z5815" s="11"/>
    </row>
    <row r="5816" spans="26:26" hidden="1">
      <c r="Z5816" s="11"/>
    </row>
    <row r="5817" spans="26:26" hidden="1">
      <c r="Z5817" s="11"/>
    </row>
    <row r="5818" spans="26:26" hidden="1">
      <c r="Z5818" s="11"/>
    </row>
    <row r="5819" spans="26:26" hidden="1">
      <c r="Z5819" s="11"/>
    </row>
    <row r="5820" spans="26:26" hidden="1">
      <c r="Z5820" s="11"/>
    </row>
    <row r="5821" spans="26:26" hidden="1">
      <c r="Z5821" s="11"/>
    </row>
    <row r="5822" spans="26:26" hidden="1">
      <c r="Z5822" s="11"/>
    </row>
    <row r="5823" spans="26:26" hidden="1">
      <c r="Z5823" s="11"/>
    </row>
    <row r="5824" spans="26:26" hidden="1">
      <c r="Z5824" s="11"/>
    </row>
    <row r="5825" spans="26:26" hidden="1">
      <c r="Z5825" s="11"/>
    </row>
    <row r="5826" spans="26:26" hidden="1">
      <c r="Z5826" s="11"/>
    </row>
    <row r="5827" spans="26:26" hidden="1">
      <c r="Z5827" s="11"/>
    </row>
    <row r="5828" spans="26:26" hidden="1">
      <c r="Z5828" s="11"/>
    </row>
    <row r="5829" spans="26:26" hidden="1">
      <c r="Z5829" s="11"/>
    </row>
    <row r="5830" spans="26:26" hidden="1">
      <c r="Z5830" s="11"/>
    </row>
    <row r="5831" spans="26:26" hidden="1">
      <c r="Z5831" s="11"/>
    </row>
    <row r="5832" spans="26:26" hidden="1">
      <c r="Z5832" s="11"/>
    </row>
    <row r="5833" spans="26:26" hidden="1">
      <c r="Z5833" s="11"/>
    </row>
    <row r="5834" spans="26:26" hidden="1">
      <c r="Z5834" s="11"/>
    </row>
    <row r="5835" spans="26:26" hidden="1">
      <c r="Z5835" s="11"/>
    </row>
    <row r="5836" spans="26:26" hidden="1">
      <c r="Z5836" s="11"/>
    </row>
    <row r="5837" spans="26:26" hidden="1">
      <c r="Z5837" s="11"/>
    </row>
    <row r="5838" spans="26:26" hidden="1">
      <c r="Z5838" s="11"/>
    </row>
    <row r="5839" spans="26:26" hidden="1">
      <c r="Z5839" s="11"/>
    </row>
    <row r="5840" spans="26:26" hidden="1">
      <c r="Z5840" s="11"/>
    </row>
    <row r="5841" spans="26:26" hidden="1">
      <c r="Z5841" s="11"/>
    </row>
    <row r="5842" spans="26:26" hidden="1">
      <c r="Z5842" s="11"/>
    </row>
    <row r="5843" spans="26:26" hidden="1">
      <c r="Z5843" s="11"/>
    </row>
    <row r="5844" spans="26:26" hidden="1">
      <c r="Z5844" s="11"/>
    </row>
    <row r="5845" spans="26:26" hidden="1">
      <c r="Z5845" s="11"/>
    </row>
    <row r="5846" spans="26:26" hidden="1">
      <c r="Z5846" s="11"/>
    </row>
    <row r="5847" spans="26:26" hidden="1">
      <c r="Z5847" s="11"/>
    </row>
    <row r="5848" spans="26:26" hidden="1">
      <c r="Z5848" s="11"/>
    </row>
    <row r="5849" spans="26:26" hidden="1">
      <c r="Z5849" s="11"/>
    </row>
    <row r="5850" spans="26:26" hidden="1">
      <c r="Z5850" s="11"/>
    </row>
    <row r="5851" spans="26:26" hidden="1">
      <c r="Z5851" s="11"/>
    </row>
    <row r="5852" spans="26:26" hidden="1">
      <c r="Z5852" s="11"/>
    </row>
    <row r="5853" spans="26:26" hidden="1">
      <c r="Z5853" s="11"/>
    </row>
    <row r="5854" spans="26:26" hidden="1">
      <c r="Z5854" s="11"/>
    </row>
    <row r="5855" spans="26:26" hidden="1">
      <c r="Z5855" s="11"/>
    </row>
    <row r="5856" spans="26:26" hidden="1">
      <c r="Z5856" s="11"/>
    </row>
    <row r="5857" spans="26:26" hidden="1">
      <c r="Z5857" s="11"/>
    </row>
    <row r="5858" spans="26:26" hidden="1">
      <c r="Z5858" s="11"/>
    </row>
    <row r="5859" spans="26:26" hidden="1">
      <c r="Z5859" s="11"/>
    </row>
    <row r="5860" spans="26:26" hidden="1">
      <c r="Z5860" s="11"/>
    </row>
    <row r="5861" spans="26:26" hidden="1">
      <c r="Z5861" s="11"/>
    </row>
    <row r="5862" spans="26:26" hidden="1">
      <c r="Z5862" s="11"/>
    </row>
    <row r="5863" spans="26:26" hidden="1">
      <c r="Z5863" s="11"/>
    </row>
    <row r="5864" spans="26:26" hidden="1">
      <c r="Z5864" s="11"/>
    </row>
    <row r="5865" spans="26:26" hidden="1">
      <c r="Z5865" s="11"/>
    </row>
    <row r="5866" spans="26:26" hidden="1">
      <c r="Z5866" s="11"/>
    </row>
    <row r="5867" spans="26:26" hidden="1">
      <c r="Z5867" s="11"/>
    </row>
    <row r="5868" spans="26:26" hidden="1">
      <c r="Z5868" s="11"/>
    </row>
    <row r="5869" spans="26:26" hidden="1">
      <c r="Z5869" s="11"/>
    </row>
    <row r="5870" spans="26:26" hidden="1">
      <c r="Z5870" s="11"/>
    </row>
    <row r="5871" spans="26:26" hidden="1">
      <c r="Z5871" s="11"/>
    </row>
    <row r="5872" spans="26:26" hidden="1">
      <c r="Z5872" s="11"/>
    </row>
    <row r="5873" spans="26:26" hidden="1">
      <c r="Z5873" s="11"/>
    </row>
    <row r="5874" spans="26:26" hidden="1">
      <c r="Z5874" s="11"/>
    </row>
    <row r="5875" spans="26:26" hidden="1">
      <c r="Z5875" s="11"/>
    </row>
    <row r="5876" spans="26:26" hidden="1">
      <c r="Z5876" s="11"/>
    </row>
    <row r="5877" spans="26:26" hidden="1">
      <c r="Z5877" s="11"/>
    </row>
    <row r="5878" spans="26:26" hidden="1">
      <c r="Z5878" s="11"/>
    </row>
    <row r="5879" spans="26:26" hidden="1">
      <c r="Z5879" s="11"/>
    </row>
    <row r="5880" spans="26:26" hidden="1">
      <c r="Z5880" s="11"/>
    </row>
    <row r="5881" spans="26:26" hidden="1">
      <c r="Z5881" s="11"/>
    </row>
    <row r="5882" spans="26:26" hidden="1">
      <c r="Z5882" s="11"/>
    </row>
    <row r="5883" spans="26:26" hidden="1">
      <c r="Z5883" s="11"/>
    </row>
    <row r="5884" spans="26:26" hidden="1">
      <c r="Z5884" s="11"/>
    </row>
    <row r="5885" spans="26:26" hidden="1">
      <c r="Z5885" s="11"/>
    </row>
    <row r="5886" spans="26:26" hidden="1">
      <c r="Z5886" s="11"/>
    </row>
    <row r="5887" spans="26:26" hidden="1">
      <c r="Z5887" s="11"/>
    </row>
    <row r="5888" spans="26:26" hidden="1">
      <c r="Z5888" s="11"/>
    </row>
    <row r="5889" spans="26:26" hidden="1">
      <c r="Z5889" s="11"/>
    </row>
    <row r="5890" spans="26:26" hidden="1">
      <c r="Z5890" s="11"/>
    </row>
    <row r="5891" spans="26:26" hidden="1">
      <c r="Z5891" s="11"/>
    </row>
    <row r="5892" spans="26:26" hidden="1">
      <c r="Z5892" s="11"/>
    </row>
    <row r="5893" spans="26:26" hidden="1">
      <c r="Z5893" s="11"/>
    </row>
    <row r="5894" spans="26:26" hidden="1">
      <c r="Z5894" s="11"/>
    </row>
    <row r="5895" spans="26:26" hidden="1">
      <c r="Z5895" s="11"/>
    </row>
    <row r="5896" spans="26:26" hidden="1">
      <c r="Z5896" s="11"/>
    </row>
    <row r="5897" spans="26:26" hidden="1">
      <c r="Z5897" s="11"/>
    </row>
    <row r="5898" spans="26:26" hidden="1">
      <c r="Z5898" s="11"/>
    </row>
    <row r="5899" spans="26:26" hidden="1">
      <c r="Z5899" s="11"/>
    </row>
    <row r="5900" spans="26:26" hidden="1">
      <c r="Z5900" s="11"/>
    </row>
    <row r="5901" spans="26:26" hidden="1">
      <c r="Z5901" s="11"/>
    </row>
    <row r="5902" spans="26:26" hidden="1">
      <c r="Z5902" s="11"/>
    </row>
    <row r="5903" spans="26:26" hidden="1">
      <c r="Z5903" s="11"/>
    </row>
    <row r="5904" spans="26:26" hidden="1">
      <c r="Z5904" s="11"/>
    </row>
    <row r="5905" spans="26:26" hidden="1">
      <c r="Z5905" s="11"/>
    </row>
    <row r="5906" spans="26:26" hidden="1">
      <c r="Z5906" s="11"/>
    </row>
    <row r="5907" spans="26:26" hidden="1">
      <c r="Z5907" s="11"/>
    </row>
    <row r="5908" spans="26:26" hidden="1">
      <c r="Z5908" s="11"/>
    </row>
    <row r="5909" spans="26:26" hidden="1">
      <c r="Z5909" s="11"/>
    </row>
    <row r="5910" spans="26:26" hidden="1">
      <c r="Z5910" s="11"/>
    </row>
    <row r="5911" spans="26:26" hidden="1">
      <c r="Z5911" s="11"/>
    </row>
    <row r="5912" spans="26:26" hidden="1">
      <c r="Z5912" s="11"/>
    </row>
    <row r="5913" spans="26:26" hidden="1">
      <c r="Z5913" s="11"/>
    </row>
    <row r="5914" spans="26:26" hidden="1">
      <c r="Z5914" s="11"/>
    </row>
    <row r="5915" spans="26:26" hidden="1">
      <c r="Z5915" s="11"/>
    </row>
    <row r="5916" spans="26:26" hidden="1">
      <c r="Z5916" s="11"/>
    </row>
    <row r="5917" spans="26:26" hidden="1">
      <c r="Z5917" s="11"/>
    </row>
    <row r="5918" spans="26:26" hidden="1">
      <c r="Z5918" s="11"/>
    </row>
    <row r="5919" spans="26:26" hidden="1">
      <c r="Z5919" s="11"/>
    </row>
    <row r="5920" spans="26:26" hidden="1">
      <c r="Z5920" s="11"/>
    </row>
    <row r="5921" spans="26:26" hidden="1">
      <c r="Z5921" s="11"/>
    </row>
    <row r="5922" spans="26:26" hidden="1">
      <c r="Z5922" s="11"/>
    </row>
    <row r="5923" spans="26:26" hidden="1">
      <c r="Z5923" s="11"/>
    </row>
    <row r="5924" spans="26:26" hidden="1">
      <c r="Z5924" s="11"/>
    </row>
    <row r="5925" spans="26:26" hidden="1">
      <c r="Z5925" s="11"/>
    </row>
    <row r="5926" spans="26:26" hidden="1">
      <c r="Z5926" s="11"/>
    </row>
    <row r="5927" spans="26:26" hidden="1">
      <c r="Z5927" s="11"/>
    </row>
    <row r="5928" spans="26:26" hidden="1">
      <c r="Z5928" s="11"/>
    </row>
    <row r="5929" spans="26:26" hidden="1">
      <c r="Z5929" s="11"/>
    </row>
    <row r="5930" spans="26:26" hidden="1">
      <c r="Z5930" s="11"/>
    </row>
    <row r="5931" spans="26:26" hidden="1">
      <c r="Z5931" s="11"/>
    </row>
    <row r="5932" spans="26:26" hidden="1">
      <c r="Z5932" s="11"/>
    </row>
    <row r="5933" spans="26:26" hidden="1">
      <c r="Z5933" s="11"/>
    </row>
    <row r="5934" spans="26:26" hidden="1">
      <c r="Z5934" s="11"/>
    </row>
    <row r="5935" spans="26:26" hidden="1">
      <c r="Z5935" s="11"/>
    </row>
    <row r="5936" spans="26:26" hidden="1">
      <c r="Z5936" s="11"/>
    </row>
    <row r="5937" spans="26:26" hidden="1">
      <c r="Z5937" s="11"/>
    </row>
    <row r="5938" spans="26:26" hidden="1">
      <c r="Z5938" s="11"/>
    </row>
    <row r="5939" spans="26:26" hidden="1">
      <c r="Z5939" s="11"/>
    </row>
    <row r="5940" spans="26:26" hidden="1">
      <c r="Z5940" s="11"/>
    </row>
    <row r="5941" spans="26:26" hidden="1">
      <c r="Z5941" s="11"/>
    </row>
    <row r="5942" spans="26:26" hidden="1">
      <c r="Z5942" s="11"/>
    </row>
    <row r="5943" spans="26:26" hidden="1">
      <c r="Z5943" s="11"/>
    </row>
    <row r="5944" spans="26:26" hidden="1">
      <c r="Z5944" s="11"/>
    </row>
    <row r="5945" spans="26:26" hidden="1">
      <c r="Z5945" s="11"/>
    </row>
    <row r="5946" spans="26:26" hidden="1">
      <c r="Z5946" s="11"/>
    </row>
    <row r="5947" spans="26:26" hidden="1">
      <c r="Z5947" s="11"/>
    </row>
    <row r="5948" spans="26:26" hidden="1">
      <c r="Z5948" s="11"/>
    </row>
    <row r="5949" spans="26:26" hidden="1">
      <c r="Z5949" s="11"/>
    </row>
    <row r="5950" spans="26:26" hidden="1">
      <c r="Z5950" s="11"/>
    </row>
    <row r="5951" spans="26:26" hidden="1">
      <c r="Z5951" s="11"/>
    </row>
    <row r="5952" spans="26:26" hidden="1">
      <c r="Z5952" s="11"/>
    </row>
    <row r="5953" spans="26:26" hidden="1">
      <c r="Z5953" s="11"/>
    </row>
    <row r="5954" spans="26:26" hidden="1">
      <c r="Z5954" s="11"/>
    </row>
    <row r="5955" spans="26:26" hidden="1">
      <c r="Z5955" s="11"/>
    </row>
    <row r="5956" spans="26:26" hidden="1">
      <c r="Z5956" s="11"/>
    </row>
    <row r="5957" spans="26:26" hidden="1">
      <c r="Z5957" s="11"/>
    </row>
    <row r="5958" spans="26:26" hidden="1">
      <c r="Z5958" s="11"/>
    </row>
    <row r="5959" spans="26:26" hidden="1">
      <c r="Z5959" s="11"/>
    </row>
    <row r="5960" spans="26:26" hidden="1">
      <c r="Z5960" s="11"/>
    </row>
    <row r="5961" spans="26:26" hidden="1">
      <c r="Z5961" s="11"/>
    </row>
    <row r="5962" spans="26:26" hidden="1">
      <c r="Z5962" s="11"/>
    </row>
    <row r="5963" spans="26:26" hidden="1">
      <c r="Z5963" s="11"/>
    </row>
    <row r="5964" spans="26:26" hidden="1">
      <c r="Z5964" s="11"/>
    </row>
    <row r="5965" spans="26:26" hidden="1">
      <c r="Z5965" s="11"/>
    </row>
    <row r="5966" spans="26:26" hidden="1">
      <c r="Z5966" s="11"/>
    </row>
    <row r="5967" spans="26:26" hidden="1">
      <c r="Z5967" s="11"/>
    </row>
    <row r="5968" spans="26:26" hidden="1">
      <c r="Z5968" s="11"/>
    </row>
    <row r="5969" spans="26:26" hidden="1">
      <c r="Z5969" s="11"/>
    </row>
    <row r="5970" spans="26:26" hidden="1">
      <c r="Z5970" s="11"/>
    </row>
    <row r="5971" spans="26:26" hidden="1">
      <c r="Z5971" s="11"/>
    </row>
    <row r="5972" spans="26:26" hidden="1">
      <c r="Z5972" s="11"/>
    </row>
    <row r="5973" spans="26:26" hidden="1">
      <c r="Z5973" s="11"/>
    </row>
    <row r="5974" spans="26:26" hidden="1">
      <c r="Z5974" s="11"/>
    </row>
    <row r="5975" spans="26:26" hidden="1">
      <c r="Z5975" s="11"/>
    </row>
    <row r="5976" spans="26:26" hidden="1">
      <c r="Z5976" s="11"/>
    </row>
    <row r="5977" spans="26:26" hidden="1">
      <c r="Z5977" s="11"/>
    </row>
    <row r="5978" spans="26:26" hidden="1">
      <c r="Z5978" s="11"/>
    </row>
    <row r="5979" spans="26:26" hidden="1">
      <c r="Z5979" s="11"/>
    </row>
    <row r="5980" spans="26:26" hidden="1">
      <c r="Z5980" s="11"/>
    </row>
    <row r="5981" spans="26:26" hidden="1">
      <c r="Z5981" s="11"/>
    </row>
    <row r="5982" spans="26:26" hidden="1">
      <c r="Z5982" s="11"/>
    </row>
    <row r="5983" spans="26:26" hidden="1">
      <c r="Z5983" s="11"/>
    </row>
    <row r="5984" spans="26:26" hidden="1">
      <c r="Z5984" s="11"/>
    </row>
    <row r="5985" spans="26:26" hidden="1">
      <c r="Z5985" s="11"/>
    </row>
    <row r="5986" spans="26:26" hidden="1">
      <c r="Z5986" s="11"/>
    </row>
    <row r="5987" spans="26:26" hidden="1">
      <c r="Z5987" s="11"/>
    </row>
    <row r="5988" spans="26:26" hidden="1">
      <c r="Z5988" s="11"/>
    </row>
    <row r="5989" spans="26:26" hidden="1">
      <c r="Z5989" s="11"/>
    </row>
    <row r="5990" spans="26:26" hidden="1">
      <c r="Z5990" s="11"/>
    </row>
    <row r="5991" spans="26:26" hidden="1">
      <c r="Z5991" s="11"/>
    </row>
    <row r="5992" spans="26:26" hidden="1">
      <c r="Z5992" s="11"/>
    </row>
    <row r="5993" spans="26:26" hidden="1">
      <c r="Z5993" s="11"/>
    </row>
    <row r="5994" spans="26:26" hidden="1">
      <c r="Z5994" s="11"/>
    </row>
    <row r="5995" spans="26:26" hidden="1">
      <c r="Z5995" s="11"/>
    </row>
    <row r="5996" spans="26:26" hidden="1">
      <c r="Z5996" s="11"/>
    </row>
    <row r="5997" spans="26:26" hidden="1">
      <c r="Z5997" s="11"/>
    </row>
    <row r="5998" spans="26:26" hidden="1">
      <c r="Z5998" s="11"/>
    </row>
    <row r="5999" spans="26:26" hidden="1">
      <c r="Z5999" s="11"/>
    </row>
    <row r="6000" spans="26:26" hidden="1">
      <c r="Z6000" s="11"/>
    </row>
    <row r="6001" spans="26:26" hidden="1">
      <c r="Z6001" s="11"/>
    </row>
    <row r="6002" spans="26:26" hidden="1">
      <c r="Z6002" s="11"/>
    </row>
    <row r="6003" spans="26:26" hidden="1">
      <c r="Z6003" s="11"/>
    </row>
    <row r="6004" spans="26:26" hidden="1">
      <c r="Z6004" s="11"/>
    </row>
    <row r="6005" spans="26:26" hidden="1">
      <c r="Z6005" s="11"/>
    </row>
    <row r="6006" spans="26:26" hidden="1">
      <c r="Z6006" s="11"/>
    </row>
    <row r="6007" spans="26:26" hidden="1">
      <c r="Z6007" s="11"/>
    </row>
    <row r="6008" spans="26:26" hidden="1">
      <c r="Z6008" s="11"/>
    </row>
    <row r="6009" spans="26:26" hidden="1">
      <c r="Z6009" s="11"/>
    </row>
    <row r="6010" spans="26:26" hidden="1">
      <c r="Z6010" s="11"/>
    </row>
    <row r="6011" spans="26:26" hidden="1">
      <c r="Z6011" s="11"/>
    </row>
    <row r="6012" spans="26:26" hidden="1">
      <c r="Z6012" s="11"/>
    </row>
    <row r="6013" spans="26:26" hidden="1">
      <c r="Z6013" s="11"/>
    </row>
    <row r="6014" spans="26:26" hidden="1">
      <c r="Z6014" s="11"/>
    </row>
    <row r="6015" spans="26:26" hidden="1">
      <c r="Z6015" s="11"/>
    </row>
    <row r="6016" spans="26:26" hidden="1">
      <c r="Z6016" s="11"/>
    </row>
    <row r="6017" spans="26:26" hidden="1">
      <c r="Z6017" s="11"/>
    </row>
    <row r="6018" spans="26:26" hidden="1">
      <c r="Z6018" s="11"/>
    </row>
    <row r="6019" spans="26:26" hidden="1">
      <c r="Z6019" s="11"/>
    </row>
    <row r="6020" spans="26:26" hidden="1">
      <c r="Z6020" s="11"/>
    </row>
    <row r="6021" spans="26:26" hidden="1">
      <c r="Z6021" s="11"/>
    </row>
    <row r="6022" spans="26:26" hidden="1">
      <c r="Z6022" s="11"/>
    </row>
    <row r="6023" spans="26:26" hidden="1">
      <c r="Z6023" s="11"/>
    </row>
    <row r="6024" spans="26:26" hidden="1">
      <c r="Z6024" s="11"/>
    </row>
    <row r="6025" spans="26:26" hidden="1">
      <c r="Z6025" s="11"/>
    </row>
    <row r="6026" spans="26:26" hidden="1">
      <c r="Z6026" s="11"/>
    </row>
    <row r="6027" spans="26:26" hidden="1">
      <c r="Z6027" s="11"/>
    </row>
    <row r="6028" spans="26:26" hidden="1">
      <c r="Z6028" s="11"/>
    </row>
    <row r="6029" spans="26:26" hidden="1">
      <c r="Z6029" s="11"/>
    </row>
    <row r="6030" spans="26:26" hidden="1">
      <c r="Z6030" s="11"/>
    </row>
    <row r="6031" spans="26:26" hidden="1">
      <c r="Z6031" s="11"/>
    </row>
    <row r="6032" spans="26:26" hidden="1">
      <c r="Z6032" s="11"/>
    </row>
    <row r="6033" spans="26:26" hidden="1">
      <c r="Z6033" s="11"/>
    </row>
    <row r="6034" spans="26:26" hidden="1">
      <c r="Z6034" s="11"/>
    </row>
    <row r="6035" spans="26:26" hidden="1">
      <c r="Z6035" s="11"/>
    </row>
    <row r="6036" spans="26:26" hidden="1">
      <c r="Z6036" s="11"/>
    </row>
    <row r="6037" spans="26:26" hidden="1">
      <c r="Z6037" s="11"/>
    </row>
    <row r="6038" spans="26:26" hidden="1">
      <c r="Z6038" s="11"/>
    </row>
    <row r="6039" spans="26:26" hidden="1">
      <c r="Z6039" s="11"/>
    </row>
    <row r="6040" spans="26:26" hidden="1">
      <c r="Z6040" s="11"/>
    </row>
    <row r="6041" spans="26:26" hidden="1">
      <c r="Z6041" s="11"/>
    </row>
    <row r="6042" spans="26:26" hidden="1">
      <c r="Z6042" s="11"/>
    </row>
    <row r="6043" spans="26:26" hidden="1">
      <c r="Z6043" s="11"/>
    </row>
    <row r="6044" spans="26:26" hidden="1">
      <c r="Z6044" s="11"/>
    </row>
    <row r="6045" spans="26:26" hidden="1">
      <c r="Z6045" s="11"/>
    </row>
    <row r="6046" spans="26:26" hidden="1">
      <c r="Z6046" s="11"/>
    </row>
    <row r="6047" spans="26:26" hidden="1">
      <c r="Z6047" s="11"/>
    </row>
    <row r="6048" spans="26:26" hidden="1">
      <c r="Z6048" s="11"/>
    </row>
    <row r="6049" spans="26:26" hidden="1">
      <c r="Z6049" s="11"/>
    </row>
    <row r="6050" spans="26:26" hidden="1">
      <c r="Z6050" s="11"/>
    </row>
    <row r="6051" spans="26:26" hidden="1">
      <c r="Z6051" s="11"/>
    </row>
    <row r="6052" spans="26:26" hidden="1">
      <c r="Z6052" s="11"/>
    </row>
    <row r="6053" spans="26:26" hidden="1">
      <c r="Z6053" s="11"/>
    </row>
    <row r="6054" spans="26:26" hidden="1">
      <c r="Z6054" s="11"/>
    </row>
    <row r="6055" spans="26:26" hidden="1">
      <c r="Z6055" s="11"/>
    </row>
    <row r="6056" spans="26:26" hidden="1">
      <c r="Z6056" s="11"/>
    </row>
    <row r="6057" spans="26:26" hidden="1">
      <c r="Z6057" s="11"/>
    </row>
    <row r="6058" spans="26:26" hidden="1">
      <c r="Z6058" s="11"/>
    </row>
    <row r="6059" spans="26:26" hidden="1">
      <c r="Z6059" s="11"/>
    </row>
    <row r="6060" spans="26:26" hidden="1">
      <c r="Z6060" s="11"/>
    </row>
    <row r="6061" spans="26:26" hidden="1">
      <c r="Z6061" s="11"/>
    </row>
    <row r="6062" spans="26:26" hidden="1">
      <c r="Z6062" s="11"/>
    </row>
    <row r="6063" spans="26:26" hidden="1">
      <c r="Z6063" s="11"/>
    </row>
    <row r="6064" spans="26:26" hidden="1">
      <c r="Z6064" s="11"/>
    </row>
    <row r="6065" spans="26:26" hidden="1">
      <c r="Z6065" s="11"/>
    </row>
    <row r="6066" spans="26:26" hidden="1">
      <c r="Z6066" s="11"/>
    </row>
    <row r="6067" spans="26:26" hidden="1">
      <c r="Z6067" s="11"/>
    </row>
    <row r="6068" spans="26:26" hidden="1">
      <c r="Z6068" s="11"/>
    </row>
    <row r="6069" spans="26:26" hidden="1">
      <c r="Z6069" s="11"/>
    </row>
    <row r="6070" spans="26:26" hidden="1">
      <c r="Z6070" s="11"/>
    </row>
    <row r="6071" spans="26:26" hidden="1">
      <c r="Z6071" s="11"/>
    </row>
    <row r="6072" spans="26:26" hidden="1">
      <c r="Z6072" s="11"/>
    </row>
    <row r="6073" spans="26:26" hidden="1">
      <c r="Z6073" s="11"/>
    </row>
    <row r="6074" spans="26:26" hidden="1">
      <c r="Z6074" s="11"/>
    </row>
    <row r="6075" spans="26:26" hidden="1">
      <c r="Z6075" s="11"/>
    </row>
    <row r="6076" spans="26:26" hidden="1">
      <c r="Z6076" s="11"/>
    </row>
    <row r="6077" spans="26:26" hidden="1">
      <c r="Z6077" s="11"/>
    </row>
    <row r="6078" spans="26:26" hidden="1">
      <c r="Z6078" s="11"/>
    </row>
    <row r="6079" spans="26:26" hidden="1">
      <c r="Z6079" s="11"/>
    </row>
    <row r="6080" spans="26:26" hidden="1">
      <c r="Z6080" s="11"/>
    </row>
    <row r="6081" spans="26:26" hidden="1">
      <c r="Z6081" s="11"/>
    </row>
    <row r="6082" spans="26:26" hidden="1">
      <c r="Z6082" s="11"/>
    </row>
    <row r="6083" spans="26:26" hidden="1">
      <c r="Z6083" s="11"/>
    </row>
    <row r="6084" spans="26:26" hidden="1">
      <c r="Z6084" s="11"/>
    </row>
    <row r="6085" spans="26:26" hidden="1">
      <c r="Z6085" s="11"/>
    </row>
    <row r="6086" spans="26:26" hidden="1">
      <c r="Z6086" s="11"/>
    </row>
    <row r="6087" spans="26:26" hidden="1">
      <c r="Z6087" s="11"/>
    </row>
    <row r="6088" spans="26:26" hidden="1">
      <c r="Z6088" s="11"/>
    </row>
    <row r="6089" spans="26:26" hidden="1">
      <c r="Z6089" s="11"/>
    </row>
    <row r="6090" spans="26:26" hidden="1">
      <c r="Z6090" s="11"/>
    </row>
    <row r="6091" spans="26:26" hidden="1">
      <c r="Z6091" s="11"/>
    </row>
    <row r="6092" spans="26:26" hidden="1">
      <c r="Z6092" s="11"/>
    </row>
    <row r="6093" spans="26:26" hidden="1">
      <c r="Z6093" s="11"/>
    </row>
    <row r="6094" spans="26:26" hidden="1">
      <c r="Z6094" s="11"/>
    </row>
    <row r="6095" spans="26:26" hidden="1">
      <c r="Z6095" s="11"/>
    </row>
    <row r="6096" spans="26:26" hidden="1">
      <c r="Z6096" s="11"/>
    </row>
    <row r="6097" spans="26:26" hidden="1">
      <c r="Z6097" s="11"/>
    </row>
    <row r="6098" spans="26:26" hidden="1">
      <c r="Z6098" s="11"/>
    </row>
    <row r="6099" spans="26:26" hidden="1">
      <c r="Z6099" s="11"/>
    </row>
    <row r="6100" spans="26:26" hidden="1">
      <c r="Z6100" s="11"/>
    </row>
    <row r="6101" spans="26:26" hidden="1">
      <c r="Z6101" s="11"/>
    </row>
    <row r="6102" spans="26:26" hidden="1">
      <c r="Z6102" s="11"/>
    </row>
    <row r="6103" spans="26:26" hidden="1">
      <c r="Z6103" s="11"/>
    </row>
    <row r="6104" spans="26:26" hidden="1">
      <c r="Z6104" s="11"/>
    </row>
    <row r="6105" spans="26:26" hidden="1">
      <c r="Z6105" s="11"/>
    </row>
    <row r="6106" spans="26:26" hidden="1">
      <c r="Z6106" s="11"/>
    </row>
    <row r="6107" spans="26:26" hidden="1">
      <c r="Z6107" s="11"/>
    </row>
    <row r="6108" spans="26:26" hidden="1">
      <c r="Z6108" s="11"/>
    </row>
    <row r="6109" spans="26:26" hidden="1">
      <c r="Z6109" s="11"/>
    </row>
    <row r="6110" spans="26:26" hidden="1">
      <c r="Z6110" s="11"/>
    </row>
    <row r="6111" spans="26:26" hidden="1">
      <c r="Z6111" s="11"/>
    </row>
    <row r="6112" spans="26:26" hidden="1">
      <c r="Z6112" s="11"/>
    </row>
    <row r="6113" spans="26:26" hidden="1">
      <c r="Z6113" s="11"/>
    </row>
    <row r="6114" spans="26:26" hidden="1">
      <c r="Z6114" s="11"/>
    </row>
    <row r="6115" spans="26:26" hidden="1">
      <c r="Z6115" s="11"/>
    </row>
    <row r="6116" spans="26:26" hidden="1">
      <c r="Z6116" s="11"/>
    </row>
    <row r="6117" spans="26:26" hidden="1">
      <c r="Z6117" s="11"/>
    </row>
    <row r="6118" spans="26:26" hidden="1">
      <c r="Z6118" s="11"/>
    </row>
    <row r="6119" spans="26:26" hidden="1">
      <c r="Z6119" s="11"/>
    </row>
    <row r="6120" spans="26:26" hidden="1">
      <c r="Z6120" s="11"/>
    </row>
    <row r="6121" spans="26:26" hidden="1">
      <c r="Z6121" s="11"/>
    </row>
    <row r="6122" spans="26:26" hidden="1">
      <c r="Z6122" s="11"/>
    </row>
    <row r="6123" spans="26:26" hidden="1">
      <c r="Z6123" s="11"/>
    </row>
    <row r="6124" spans="26:26" hidden="1">
      <c r="Z6124" s="11"/>
    </row>
    <row r="6125" spans="26:26" hidden="1">
      <c r="Z6125" s="11"/>
    </row>
    <row r="6126" spans="26:26" hidden="1">
      <c r="Z6126" s="11"/>
    </row>
    <row r="6127" spans="26:26" hidden="1">
      <c r="Z6127" s="11"/>
    </row>
    <row r="6128" spans="26:26" hidden="1">
      <c r="Z6128" s="11"/>
    </row>
    <row r="6129" spans="26:26" hidden="1">
      <c r="Z6129" s="11"/>
    </row>
    <row r="6130" spans="26:26" hidden="1">
      <c r="Z6130" s="11"/>
    </row>
    <row r="6131" spans="26:26" hidden="1">
      <c r="Z6131" s="11"/>
    </row>
    <row r="6132" spans="26:26" hidden="1">
      <c r="Z6132" s="11"/>
    </row>
    <row r="6133" spans="26:26" hidden="1">
      <c r="Z6133" s="11"/>
    </row>
    <row r="6134" spans="26:26" hidden="1">
      <c r="Z6134" s="11"/>
    </row>
    <row r="6135" spans="26:26" hidden="1">
      <c r="Z6135" s="11"/>
    </row>
    <row r="6136" spans="26:26" hidden="1">
      <c r="Z6136" s="11"/>
    </row>
    <row r="6137" spans="26:26" hidden="1">
      <c r="Z6137" s="11"/>
    </row>
    <row r="6138" spans="26:26" hidden="1">
      <c r="Z6138" s="11"/>
    </row>
    <row r="6139" spans="26:26" hidden="1">
      <c r="Z6139" s="11"/>
    </row>
    <row r="6140" spans="26:26" hidden="1">
      <c r="Z6140" s="11"/>
    </row>
    <row r="6141" spans="26:26" hidden="1">
      <c r="Z6141" s="11"/>
    </row>
    <row r="6142" spans="26:26" hidden="1">
      <c r="Z6142" s="11"/>
    </row>
    <row r="6143" spans="26:26" hidden="1">
      <c r="Z6143" s="11"/>
    </row>
    <row r="6144" spans="26:26" hidden="1">
      <c r="Z6144" s="11"/>
    </row>
    <row r="6145" spans="26:26" hidden="1">
      <c r="Z6145" s="11"/>
    </row>
    <row r="6146" spans="26:26" hidden="1">
      <c r="Z6146" s="11"/>
    </row>
    <row r="6147" spans="26:26" hidden="1">
      <c r="Z6147" s="11"/>
    </row>
    <row r="6148" spans="26:26" hidden="1">
      <c r="Z6148" s="11"/>
    </row>
    <row r="6149" spans="26:26" hidden="1">
      <c r="Z6149" s="11"/>
    </row>
    <row r="6150" spans="26:26" hidden="1">
      <c r="Z6150" s="11"/>
    </row>
    <row r="6151" spans="26:26" hidden="1">
      <c r="Z6151" s="11"/>
    </row>
    <row r="6152" spans="26:26" hidden="1">
      <c r="Z6152" s="11"/>
    </row>
    <row r="6153" spans="26:26" hidden="1">
      <c r="Z6153" s="11"/>
    </row>
    <row r="6154" spans="26:26" hidden="1">
      <c r="Z6154" s="11"/>
    </row>
    <row r="6155" spans="26:26" hidden="1">
      <c r="Z6155" s="11"/>
    </row>
    <row r="6156" spans="26:26" hidden="1">
      <c r="Z6156" s="11"/>
    </row>
    <row r="6157" spans="26:26" hidden="1">
      <c r="Z6157" s="11"/>
    </row>
    <row r="6158" spans="26:26" hidden="1">
      <c r="Z6158" s="11"/>
    </row>
    <row r="6159" spans="26:26" hidden="1">
      <c r="Z6159" s="11"/>
    </row>
    <row r="6160" spans="26:26" hidden="1">
      <c r="Z6160" s="11"/>
    </row>
    <row r="6161" spans="26:26" hidden="1">
      <c r="Z6161" s="11"/>
    </row>
    <row r="6162" spans="26:26" hidden="1">
      <c r="Z6162" s="11"/>
    </row>
    <row r="6163" spans="26:26" hidden="1">
      <c r="Z6163" s="11"/>
    </row>
    <row r="6164" spans="26:26" hidden="1">
      <c r="Z6164" s="11"/>
    </row>
    <row r="6165" spans="26:26" hidden="1">
      <c r="Z6165" s="11"/>
    </row>
    <row r="6166" spans="26:26" hidden="1">
      <c r="Z6166" s="11"/>
    </row>
    <row r="6167" spans="26:26" hidden="1">
      <c r="Z6167" s="11"/>
    </row>
    <row r="6168" spans="26:26" hidden="1">
      <c r="Z6168" s="11"/>
    </row>
    <row r="6169" spans="26:26" hidden="1">
      <c r="Z6169" s="11"/>
    </row>
    <row r="6170" spans="26:26" hidden="1">
      <c r="Z6170" s="11"/>
    </row>
    <row r="6171" spans="26:26" hidden="1">
      <c r="Z6171" s="11"/>
    </row>
    <row r="6172" spans="26:26" hidden="1">
      <c r="Z6172" s="11"/>
    </row>
    <row r="6173" spans="26:26" hidden="1">
      <c r="Z6173" s="11"/>
    </row>
    <row r="6174" spans="26:26" hidden="1">
      <c r="Z6174" s="11"/>
    </row>
    <row r="6175" spans="26:26" hidden="1">
      <c r="Z6175" s="11"/>
    </row>
    <row r="6176" spans="26:26" hidden="1">
      <c r="Z6176" s="11"/>
    </row>
    <row r="6177" spans="26:26" hidden="1">
      <c r="Z6177" s="11"/>
    </row>
    <row r="6178" spans="26:26" hidden="1">
      <c r="Z6178" s="11"/>
    </row>
    <row r="6179" spans="26:26" hidden="1">
      <c r="Z6179" s="11"/>
    </row>
    <row r="6180" spans="26:26" hidden="1">
      <c r="Z6180" s="11"/>
    </row>
    <row r="6181" spans="26:26" hidden="1">
      <c r="Z6181" s="11"/>
    </row>
    <row r="6182" spans="26:26" hidden="1">
      <c r="Z6182" s="11"/>
    </row>
    <row r="6183" spans="26:26" hidden="1">
      <c r="Z6183" s="11"/>
    </row>
    <row r="6184" spans="26:26" hidden="1">
      <c r="Z6184" s="11"/>
    </row>
    <row r="6185" spans="26:26" hidden="1">
      <c r="Z6185" s="11"/>
    </row>
    <row r="6186" spans="26:26" hidden="1">
      <c r="Z6186" s="11"/>
    </row>
    <row r="6187" spans="26:26" hidden="1">
      <c r="Z6187" s="11"/>
    </row>
    <row r="6188" spans="26:26" hidden="1">
      <c r="Z6188" s="11"/>
    </row>
    <row r="6189" spans="26:26" hidden="1">
      <c r="Z6189" s="11"/>
    </row>
    <row r="6190" spans="26:26" hidden="1">
      <c r="Z6190" s="11"/>
    </row>
    <row r="6191" spans="26:26" hidden="1">
      <c r="Z6191" s="11"/>
    </row>
    <row r="6192" spans="26:26" hidden="1">
      <c r="Z6192" s="11"/>
    </row>
    <row r="6193" spans="26:26" hidden="1">
      <c r="Z6193" s="11"/>
    </row>
    <row r="6194" spans="26:26" hidden="1">
      <c r="Z6194" s="11"/>
    </row>
    <row r="6195" spans="26:26" hidden="1">
      <c r="Z6195" s="11"/>
    </row>
    <row r="6196" spans="26:26" hidden="1">
      <c r="Z6196" s="11"/>
    </row>
    <row r="6197" spans="26:26" hidden="1">
      <c r="Z6197" s="11"/>
    </row>
    <row r="6198" spans="26:26" hidden="1">
      <c r="Z6198" s="11"/>
    </row>
    <row r="6199" spans="26:26" hidden="1">
      <c r="Z6199" s="11"/>
    </row>
    <row r="6200" spans="26:26" hidden="1">
      <c r="Z6200" s="11"/>
    </row>
    <row r="6201" spans="26:26" hidden="1">
      <c r="Z6201" s="11"/>
    </row>
    <row r="6202" spans="26:26" hidden="1">
      <c r="Z6202" s="11"/>
    </row>
    <row r="6203" spans="26:26" hidden="1">
      <c r="Z6203" s="11"/>
    </row>
    <row r="6204" spans="26:26" hidden="1">
      <c r="Z6204" s="11"/>
    </row>
    <row r="6205" spans="26:26" hidden="1">
      <c r="Z6205" s="11"/>
    </row>
    <row r="6206" spans="26:26" hidden="1">
      <c r="Z6206" s="11"/>
    </row>
    <row r="6207" spans="26:26" hidden="1">
      <c r="Z6207" s="11"/>
    </row>
    <row r="6208" spans="26:26" hidden="1">
      <c r="Z6208" s="11"/>
    </row>
    <row r="6209" spans="26:26" hidden="1">
      <c r="Z6209" s="11"/>
    </row>
    <row r="6210" spans="26:26" hidden="1">
      <c r="Z6210" s="11"/>
    </row>
    <row r="6211" spans="26:26" hidden="1">
      <c r="Z6211" s="11"/>
    </row>
    <row r="6212" spans="26:26" hidden="1">
      <c r="Z6212" s="11"/>
    </row>
    <row r="6213" spans="26:26" hidden="1">
      <c r="Z6213" s="11"/>
    </row>
    <row r="6214" spans="26:26" hidden="1">
      <c r="Z6214" s="11"/>
    </row>
    <row r="6215" spans="26:26" hidden="1">
      <c r="Z6215" s="11"/>
    </row>
    <row r="6216" spans="26:26" hidden="1">
      <c r="Z6216" s="11"/>
    </row>
    <row r="6217" spans="26:26" hidden="1">
      <c r="Z6217" s="11"/>
    </row>
    <row r="6218" spans="26:26" hidden="1">
      <c r="Z6218" s="11"/>
    </row>
    <row r="6219" spans="26:26" hidden="1">
      <c r="Z6219" s="11"/>
    </row>
    <row r="6220" spans="26:26" hidden="1">
      <c r="Z6220" s="11"/>
    </row>
    <row r="6221" spans="26:26" hidden="1">
      <c r="Z6221" s="11"/>
    </row>
    <row r="6222" spans="26:26" hidden="1">
      <c r="Z6222" s="11"/>
    </row>
    <row r="6223" spans="26:26" hidden="1">
      <c r="Z6223" s="11"/>
    </row>
    <row r="6224" spans="26:26" hidden="1">
      <c r="Z6224" s="11"/>
    </row>
    <row r="6225" spans="26:26" hidden="1">
      <c r="Z6225" s="11"/>
    </row>
    <row r="6226" spans="26:26" hidden="1">
      <c r="Z6226" s="11"/>
    </row>
    <row r="6227" spans="26:26" hidden="1">
      <c r="Z6227" s="11"/>
    </row>
    <row r="6228" spans="26:26" hidden="1">
      <c r="Z6228" s="11"/>
    </row>
    <row r="6229" spans="26:26" hidden="1">
      <c r="Z6229" s="11"/>
    </row>
    <row r="6230" spans="26:26" hidden="1">
      <c r="Z6230" s="11"/>
    </row>
    <row r="6231" spans="26:26" hidden="1">
      <c r="Z6231" s="11"/>
    </row>
    <row r="6232" spans="26:26" hidden="1">
      <c r="Z6232" s="11"/>
    </row>
    <row r="6233" spans="26:26" hidden="1">
      <c r="Z6233" s="11"/>
    </row>
    <row r="6234" spans="26:26" hidden="1">
      <c r="Z6234" s="11"/>
    </row>
    <row r="6235" spans="26:26" hidden="1">
      <c r="Z6235" s="11"/>
    </row>
    <row r="6236" spans="26:26" hidden="1">
      <c r="Z6236" s="11"/>
    </row>
    <row r="6237" spans="26:26" hidden="1">
      <c r="Z6237" s="11"/>
    </row>
    <row r="6238" spans="26:26" hidden="1">
      <c r="Z6238" s="11"/>
    </row>
    <row r="6239" spans="26:26" hidden="1">
      <c r="Z6239" s="11"/>
    </row>
    <row r="6240" spans="26:26" hidden="1">
      <c r="Z6240" s="11"/>
    </row>
    <row r="6241" spans="26:26" hidden="1">
      <c r="Z6241" s="11"/>
    </row>
    <row r="6242" spans="26:26" hidden="1">
      <c r="Z6242" s="11"/>
    </row>
    <row r="6243" spans="26:26" hidden="1">
      <c r="Z6243" s="11"/>
    </row>
    <row r="6244" spans="26:26" hidden="1">
      <c r="Z6244" s="11"/>
    </row>
    <row r="6245" spans="26:26" hidden="1">
      <c r="Z6245" s="11"/>
    </row>
    <row r="6246" spans="26:26" hidden="1">
      <c r="Z6246" s="11"/>
    </row>
    <row r="6247" spans="26:26" hidden="1">
      <c r="Z6247" s="11"/>
    </row>
    <row r="6248" spans="26:26" hidden="1">
      <c r="Z6248" s="11"/>
    </row>
    <row r="6249" spans="26:26" hidden="1">
      <c r="Z6249" s="11"/>
    </row>
    <row r="6250" spans="26:26" hidden="1">
      <c r="Z6250" s="11"/>
    </row>
    <row r="6251" spans="26:26" hidden="1">
      <c r="Z6251" s="11"/>
    </row>
    <row r="6252" spans="26:26" hidden="1">
      <c r="Z6252" s="11"/>
    </row>
    <row r="6253" spans="26:26" hidden="1">
      <c r="Z6253" s="11"/>
    </row>
    <row r="6254" spans="26:26" hidden="1">
      <c r="Z6254" s="11"/>
    </row>
    <row r="6255" spans="26:26" hidden="1">
      <c r="Z6255" s="11"/>
    </row>
    <row r="6256" spans="26:26" hidden="1">
      <c r="Z6256" s="11"/>
    </row>
    <row r="6257" spans="26:26" hidden="1">
      <c r="Z6257" s="11"/>
    </row>
    <row r="6258" spans="26:26" hidden="1">
      <c r="Z6258" s="11"/>
    </row>
    <row r="6259" spans="26:26" hidden="1">
      <c r="Z6259" s="11"/>
    </row>
    <row r="6260" spans="26:26" hidden="1">
      <c r="Z6260" s="11"/>
    </row>
    <row r="6261" spans="26:26" hidden="1">
      <c r="Z6261" s="11"/>
    </row>
    <row r="6262" spans="26:26" hidden="1">
      <c r="Z6262" s="11"/>
    </row>
    <row r="6263" spans="26:26" hidden="1">
      <c r="Z6263" s="11"/>
    </row>
    <row r="6264" spans="26:26" hidden="1">
      <c r="Z6264" s="11"/>
    </row>
    <row r="6265" spans="26:26" hidden="1">
      <c r="Z6265" s="11"/>
    </row>
    <row r="6266" spans="26:26" hidden="1">
      <c r="Z6266" s="11"/>
    </row>
    <row r="6267" spans="26:26" hidden="1">
      <c r="Z6267" s="11"/>
    </row>
    <row r="6268" spans="26:26" hidden="1">
      <c r="Z6268" s="11"/>
    </row>
    <row r="6269" spans="26:26" hidden="1">
      <c r="Z6269" s="11"/>
    </row>
    <row r="6270" spans="26:26" hidden="1">
      <c r="Z6270" s="11"/>
    </row>
    <row r="6271" spans="26:26" hidden="1">
      <c r="Z6271" s="11"/>
    </row>
    <row r="6272" spans="26:26" hidden="1">
      <c r="Z6272" s="11"/>
    </row>
    <row r="6273" spans="26:26" hidden="1">
      <c r="Z6273" s="11"/>
    </row>
    <row r="6274" spans="26:26" hidden="1">
      <c r="Z6274" s="11"/>
    </row>
    <row r="6275" spans="26:26" hidden="1">
      <c r="Z6275" s="11"/>
    </row>
    <row r="6276" spans="26:26" hidden="1">
      <c r="Z6276" s="11"/>
    </row>
    <row r="6277" spans="26:26" hidden="1">
      <c r="Z6277" s="11"/>
    </row>
    <row r="6278" spans="26:26" hidden="1">
      <c r="Z6278" s="11"/>
    </row>
    <row r="6279" spans="26:26" hidden="1">
      <c r="Z6279" s="11"/>
    </row>
    <row r="6280" spans="26:26" hidden="1">
      <c r="Z6280" s="11"/>
    </row>
    <row r="6281" spans="26:26" hidden="1">
      <c r="Z6281" s="11"/>
    </row>
    <row r="6282" spans="26:26" hidden="1">
      <c r="Z6282" s="11"/>
    </row>
    <row r="6283" spans="26:26" hidden="1">
      <c r="Z6283" s="11"/>
    </row>
    <row r="6284" spans="26:26" hidden="1">
      <c r="Z6284" s="11"/>
    </row>
    <row r="6285" spans="26:26" hidden="1">
      <c r="Z6285" s="11"/>
    </row>
    <row r="6286" spans="26:26" hidden="1">
      <c r="Z6286" s="11"/>
    </row>
    <row r="6287" spans="26:26" hidden="1">
      <c r="Z6287" s="11"/>
    </row>
    <row r="6288" spans="26:26" hidden="1">
      <c r="Z6288" s="11"/>
    </row>
    <row r="6289" spans="26:26" hidden="1">
      <c r="Z6289" s="11"/>
    </row>
    <row r="6290" spans="26:26" hidden="1">
      <c r="Z6290" s="11"/>
    </row>
    <row r="6291" spans="26:26" hidden="1">
      <c r="Z6291" s="11"/>
    </row>
    <row r="6292" spans="26:26" hidden="1">
      <c r="Z6292" s="11"/>
    </row>
    <row r="6293" spans="26:26" hidden="1">
      <c r="Z6293" s="11"/>
    </row>
    <row r="6294" spans="26:26" hidden="1">
      <c r="Z6294" s="11"/>
    </row>
    <row r="6295" spans="26:26" hidden="1">
      <c r="Z6295" s="11"/>
    </row>
    <row r="6296" spans="26:26" hidden="1">
      <c r="Z6296" s="11"/>
    </row>
    <row r="6297" spans="26:26" hidden="1">
      <c r="Z6297" s="11"/>
    </row>
    <row r="6298" spans="26:26" hidden="1">
      <c r="Z6298" s="11"/>
    </row>
    <row r="6299" spans="26:26" hidden="1">
      <c r="Z6299" s="11"/>
    </row>
    <row r="6300" spans="26:26" hidden="1">
      <c r="Z6300" s="11"/>
    </row>
    <row r="6301" spans="26:26" hidden="1">
      <c r="Z6301" s="11"/>
    </row>
    <row r="6302" spans="26:26" hidden="1">
      <c r="Z6302" s="11"/>
    </row>
    <row r="6303" spans="26:26" hidden="1">
      <c r="Z6303" s="11"/>
    </row>
    <row r="6304" spans="26:26" hidden="1">
      <c r="Z6304" s="11"/>
    </row>
    <row r="6305" spans="26:26" hidden="1">
      <c r="Z6305" s="11"/>
    </row>
    <row r="6306" spans="26:26" hidden="1">
      <c r="Z6306" s="11"/>
    </row>
    <row r="6307" spans="26:26" hidden="1">
      <c r="Z6307" s="11"/>
    </row>
    <row r="6308" spans="26:26" hidden="1">
      <c r="Z6308" s="11"/>
    </row>
    <row r="6309" spans="26:26" hidden="1">
      <c r="Z6309" s="11"/>
    </row>
    <row r="6310" spans="26:26" hidden="1">
      <c r="Z6310" s="11"/>
    </row>
    <row r="6311" spans="26:26" hidden="1">
      <c r="Z6311" s="11"/>
    </row>
    <row r="6312" spans="26:26" hidden="1">
      <c r="Z6312" s="11"/>
    </row>
    <row r="6313" spans="26:26" hidden="1">
      <c r="Z6313" s="11"/>
    </row>
    <row r="6314" spans="26:26" hidden="1">
      <c r="Z6314" s="11"/>
    </row>
    <row r="6315" spans="26:26" hidden="1">
      <c r="Z6315" s="11"/>
    </row>
    <row r="6316" spans="26:26" hidden="1">
      <c r="Z6316" s="11"/>
    </row>
    <row r="6317" spans="26:26" hidden="1">
      <c r="Z6317" s="11"/>
    </row>
    <row r="6318" spans="26:26" hidden="1">
      <c r="Z6318" s="11"/>
    </row>
    <row r="6319" spans="26:26" hidden="1">
      <c r="Z6319" s="11"/>
    </row>
    <row r="6320" spans="26:26" hidden="1">
      <c r="Z6320" s="11"/>
    </row>
    <row r="6321" spans="26:26" hidden="1">
      <c r="Z6321" s="11"/>
    </row>
    <row r="6322" spans="26:26" hidden="1">
      <c r="Z6322" s="11"/>
    </row>
    <row r="6323" spans="26:26" hidden="1">
      <c r="Z6323" s="11"/>
    </row>
    <row r="6324" spans="26:26" hidden="1">
      <c r="Z6324" s="11"/>
    </row>
    <row r="6325" spans="26:26" hidden="1">
      <c r="Z6325" s="11"/>
    </row>
    <row r="6326" spans="26:26" hidden="1">
      <c r="Z6326" s="11"/>
    </row>
    <row r="6327" spans="26:26" hidden="1">
      <c r="Z6327" s="11"/>
    </row>
    <row r="6328" spans="26:26" hidden="1">
      <c r="Z6328" s="11"/>
    </row>
    <row r="6329" spans="26:26" hidden="1">
      <c r="Z6329" s="11"/>
    </row>
    <row r="6330" spans="26:26" hidden="1">
      <c r="Z6330" s="11"/>
    </row>
    <row r="6331" spans="26:26" hidden="1">
      <c r="Z6331" s="11"/>
    </row>
    <row r="6332" spans="26:26" hidden="1">
      <c r="Z6332" s="11"/>
    </row>
    <row r="6333" spans="26:26" hidden="1">
      <c r="Z6333" s="11"/>
    </row>
    <row r="6334" spans="26:26" hidden="1">
      <c r="Z6334" s="11"/>
    </row>
    <row r="6335" spans="26:26" hidden="1">
      <c r="Z6335" s="11"/>
    </row>
    <row r="6336" spans="26:26" hidden="1">
      <c r="Z6336" s="11"/>
    </row>
    <row r="6337" spans="26:26" hidden="1">
      <c r="Z6337" s="11"/>
    </row>
    <row r="6338" spans="26:26" hidden="1">
      <c r="Z6338" s="11"/>
    </row>
    <row r="6339" spans="26:26" hidden="1">
      <c r="Z6339" s="11"/>
    </row>
    <row r="6340" spans="26:26" hidden="1">
      <c r="Z6340" s="11"/>
    </row>
    <row r="6341" spans="26:26" hidden="1">
      <c r="Z6341" s="11"/>
    </row>
    <row r="6342" spans="26:26" hidden="1">
      <c r="Z6342" s="11"/>
    </row>
    <row r="6343" spans="26:26" hidden="1">
      <c r="Z6343" s="11"/>
    </row>
    <row r="6344" spans="26:26" hidden="1">
      <c r="Z6344" s="11"/>
    </row>
    <row r="6345" spans="26:26" hidden="1">
      <c r="Z6345" s="11"/>
    </row>
    <row r="6346" spans="26:26" hidden="1">
      <c r="Z6346" s="11"/>
    </row>
    <row r="6347" spans="26:26" hidden="1">
      <c r="Z6347" s="11"/>
    </row>
    <row r="6348" spans="26:26" hidden="1">
      <c r="Z6348" s="11"/>
    </row>
    <row r="6349" spans="26:26" hidden="1">
      <c r="Z6349" s="11"/>
    </row>
    <row r="6350" spans="26:26" hidden="1">
      <c r="Z6350" s="11"/>
    </row>
    <row r="6351" spans="26:26" hidden="1">
      <c r="Z6351" s="11"/>
    </row>
    <row r="6352" spans="26:26" hidden="1">
      <c r="Z6352" s="11"/>
    </row>
    <row r="6353" spans="26:26" hidden="1">
      <c r="Z6353" s="11"/>
    </row>
    <row r="6354" spans="26:26" hidden="1">
      <c r="Z6354" s="11"/>
    </row>
    <row r="6355" spans="26:26" hidden="1">
      <c r="Z6355" s="11"/>
    </row>
    <row r="6356" spans="26:26" hidden="1">
      <c r="Z6356" s="11"/>
    </row>
    <row r="6357" spans="26:26" hidden="1">
      <c r="Z6357" s="11"/>
    </row>
    <row r="6358" spans="26:26" hidden="1">
      <c r="Z6358" s="11"/>
    </row>
    <row r="6359" spans="26:26" hidden="1">
      <c r="Z6359" s="11"/>
    </row>
    <row r="6360" spans="26:26" hidden="1">
      <c r="Z6360" s="11"/>
    </row>
    <row r="6361" spans="26:26" hidden="1">
      <c r="Z6361" s="11"/>
    </row>
    <row r="6362" spans="26:26" hidden="1">
      <c r="Z6362" s="11"/>
    </row>
    <row r="6363" spans="26:26" hidden="1">
      <c r="Z6363" s="11"/>
    </row>
    <row r="6364" spans="26:26" hidden="1">
      <c r="Z6364" s="11"/>
    </row>
    <row r="6365" spans="26:26" hidden="1">
      <c r="Z6365" s="11"/>
    </row>
    <row r="6366" spans="26:26" hidden="1">
      <c r="Z6366" s="11"/>
    </row>
    <row r="6367" spans="26:26" hidden="1">
      <c r="Z6367" s="11"/>
    </row>
    <row r="6368" spans="26:26" hidden="1">
      <c r="Z6368" s="11"/>
    </row>
    <row r="6369" spans="26:26" hidden="1">
      <c r="Z6369" s="11"/>
    </row>
    <row r="6370" spans="26:26" hidden="1">
      <c r="Z6370" s="11"/>
    </row>
    <row r="6371" spans="26:26" hidden="1">
      <c r="Z6371" s="11"/>
    </row>
    <row r="6372" spans="26:26" hidden="1">
      <c r="Z6372" s="11"/>
    </row>
    <row r="6373" spans="26:26" hidden="1">
      <c r="Z6373" s="11"/>
    </row>
    <row r="6374" spans="26:26" hidden="1">
      <c r="Z6374" s="11"/>
    </row>
    <row r="6375" spans="26:26" hidden="1">
      <c r="Z6375" s="11"/>
    </row>
    <row r="6376" spans="26:26" hidden="1">
      <c r="Z6376" s="11"/>
    </row>
    <row r="6377" spans="26:26" hidden="1">
      <c r="Z6377" s="11"/>
    </row>
    <row r="6378" spans="26:26" hidden="1">
      <c r="Z6378" s="11"/>
    </row>
    <row r="6379" spans="26:26" hidden="1">
      <c r="Z6379" s="11"/>
    </row>
    <row r="6380" spans="26:26" hidden="1">
      <c r="Z6380" s="11"/>
    </row>
    <row r="6381" spans="26:26" hidden="1">
      <c r="Z6381" s="11"/>
    </row>
    <row r="6382" spans="26:26" hidden="1">
      <c r="Z6382" s="11"/>
    </row>
    <row r="6383" spans="26:26" hidden="1">
      <c r="Z6383" s="11"/>
    </row>
    <row r="6384" spans="26:26" hidden="1">
      <c r="Z6384" s="11"/>
    </row>
    <row r="6385" spans="26:26" hidden="1">
      <c r="Z6385" s="11"/>
    </row>
    <row r="6386" spans="26:26" hidden="1">
      <c r="Z6386" s="11"/>
    </row>
    <row r="6387" spans="26:26" hidden="1">
      <c r="Z6387" s="11"/>
    </row>
    <row r="6388" spans="26:26" hidden="1">
      <c r="Z6388" s="11"/>
    </row>
    <row r="6389" spans="26:26" hidden="1">
      <c r="Z6389" s="11"/>
    </row>
    <row r="6390" spans="26:26" hidden="1">
      <c r="Z6390" s="11"/>
    </row>
    <row r="6391" spans="26:26" hidden="1">
      <c r="Z6391" s="11"/>
    </row>
    <row r="6392" spans="26:26" hidden="1">
      <c r="Z6392" s="11"/>
    </row>
    <row r="6393" spans="26:26" hidden="1">
      <c r="Z6393" s="11"/>
    </row>
    <row r="6394" spans="26:26" hidden="1">
      <c r="Z6394" s="11"/>
    </row>
    <row r="6395" spans="26:26" hidden="1">
      <c r="Z6395" s="11"/>
    </row>
    <row r="6396" spans="26:26" hidden="1">
      <c r="Z6396" s="11"/>
    </row>
    <row r="6397" spans="26:26" hidden="1">
      <c r="Z6397" s="11"/>
    </row>
    <row r="6398" spans="26:26" hidden="1">
      <c r="Z6398" s="11"/>
    </row>
    <row r="6399" spans="26:26" hidden="1">
      <c r="Z6399" s="11"/>
    </row>
    <row r="6400" spans="26:26" hidden="1">
      <c r="Z6400" s="11"/>
    </row>
    <row r="6401" spans="26:26" hidden="1">
      <c r="Z6401" s="11"/>
    </row>
    <row r="6402" spans="26:26" hidden="1">
      <c r="Z6402" s="11"/>
    </row>
    <row r="6403" spans="26:26" hidden="1">
      <c r="Z6403" s="11"/>
    </row>
    <row r="6404" spans="26:26" hidden="1">
      <c r="Z6404" s="11"/>
    </row>
    <row r="6405" spans="26:26" hidden="1">
      <c r="Z6405" s="11"/>
    </row>
    <row r="6406" spans="26:26" hidden="1">
      <c r="Z6406" s="11"/>
    </row>
    <row r="6407" spans="26:26" hidden="1">
      <c r="Z6407" s="11"/>
    </row>
    <row r="6408" spans="26:26" hidden="1">
      <c r="Z6408" s="11"/>
    </row>
    <row r="6409" spans="26:26" hidden="1">
      <c r="Z6409" s="11"/>
    </row>
    <row r="6410" spans="26:26" hidden="1">
      <c r="Z6410" s="11"/>
    </row>
    <row r="6411" spans="26:26" hidden="1">
      <c r="Z6411" s="11"/>
    </row>
    <row r="6412" spans="26:26" hidden="1">
      <c r="Z6412" s="11"/>
    </row>
    <row r="6413" spans="26:26" hidden="1">
      <c r="Z6413" s="11"/>
    </row>
    <row r="6414" spans="26:26" hidden="1">
      <c r="Z6414" s="11"/>
    </row>
    <row r="6415" spans="26:26" hidden="1">
      <c r="Z6415" s="11"/>
    </row>
    <row r="6416" spans="26:26" hidden="1">
      <c r="Z6416" s="11"/>
    </row>
    <row r="6417" spans="26:26" hidden="1">
      <c r="Z6417" s="11"/>
    </row>
    <row r="6418" spans="26:26" hidden="1">
      <c r="Z6418" s="11"/>
    </row>
    <row r="6419" spans="26:26" hidden="1">
      <c r="Z6419" s="11"/>
    </row>
    <row r="6420" spans="26:26" hidden="1">
      <c r="Z6420" s="11"/>
    </row>
    <row r="6421" spans="26:26" hidden="1">
      <c r="Z6421" s="11"/>
    </row>
    <row r="6422" spans="26:26" hidden="1">
      <c r="Z6422" s="11"/>
    </row>
    <row r="6423" spans="26:26" hidden="1">
      <c r="Z6423" s="11"/>
    </row>
    <row r="6424" spans="26:26" hidden="1">
      <c r="Z6424" s="11"/>
    </row>
    <row r="6425" spans="26:26" hidden="1">
      <c r="Z6425" s="11"/>
    </row>
    <row r="6426" spans="26:26" hidden="1">
      <c r="Z6426" s="11"/>
    </row>
    <row r="6427" spans="26:26" hidden="1">
      <c r="Z6427" s="11"/>
    </row>
    <row r="6428" spans="26:26" hidden="1">
      <c r="Z6428" s="11"/>
    </row>
    <row r="6429" spans="26:26" hidden="1">
      <c r="Z6429" s="11"/>
    </row>
    <row r="6430" spans="26:26" hidden="1">
      <c r="Z6430" s="11"/>
    </row>
    <row r="6431" spans="26:26" hidden="1">
      <c r="Z6431" s="11"/>
    </row>
    <row r="6432" spans="26:26" hidden="1">
      <c r="Z6432" s="11"/>
    </row>
    <row r="6433" spans="26:26" hidden="1">
      <c r="Z6433" s="11"/>
    </row>
    <row r="6434" spans="26:26" hidden="1">
      <c r="Z6434" s="11"/>
    </row>
    <row r="6435" spans="26:26" hidden="1">
      <c r="Z6435" s="11"/>
    </row>
    <row r="6436" spans="26:26" hidden="1">
      <c r="Z6436" s="11"/>
    </row>
    <row r="6437" spans="26:26" hidden="1">
      <c r="Z6437" s="11"/>
    </row>
    <row r="6438" spans="26:26" hidden="1">
      <c r="Z6438" s="11"/>
    </row>
    <row r="6439" spans="26:26" hidden="1">
      <c r="Z6439" s="11"/>
    </row>
    <row r="6440" spans="26:26" hidden="1">
      <c r="Z6440" s="11"/>
    </row>
    <row r="6441" spans="26:26" hidden="1">
      <c r="Z6441" s="11"/>
    </row>
    <row r="6442" spans="26:26" hidden="1">
      <c r="Z6442" s="11"/>
    </row>
    <row r="6443" spans="26:26" hidden="1">
      <c r="Z6443" s="11"/>
    </row>
    <row r="6444" spans="26:26" hidden="1">
      <c r="Z6444" s="11"/>
    </row>
    <row r="6445" spans="26:26" hidden="1">
      <c r="Z6445" s="11"/>
    </row>
    <row r="6446" spans="26:26" hidden="1">
      <c r="Z6446" s="11"/>
    </row>
    <row r="6447" spans="26:26" hidden="1">
      <c r="Z6447" s="11"/>
    </row>
    <row r="6448" spans="26:26" hidden="1">
      <c r="Z6448" s="11"/>
    </row>
    <row r="6449" spans="26:26" hidden="1">
      <c r="Z6449" s="11"/>
    </row>
    <row r="6450" spans="26:26" hidden="1">
      <c r="Z6450" s="11"/>
    </row>
    <row r="6451" spans="26:26" hidden="1">
      <c r="Z6451" s="11"/>
    </row>
    <row r="6452" spans="26:26" hidden="1">
      <c r="Z6452" s="11"/>
    </row>
    <row r="6453" spans="26:26" hidden="1">
      <c r="Z6453" s="11"/>
    </row>
    <row r="6454" spans="26:26" hidden="1">
      <c r="Z6454" s="11"/>
    </row>
    <row r="6455" spans="26:26" hidden="1">
      <c r="Z6455" s="11"/>
    </row>
    <row r="6456" spans="26:26" hidden="1">
      <c r="Z6456" s="11"/>
    </row>
    <row r="6457" spans="26:26" hidden="1">
      <c r="Z6457" s="11"/>
    </row>
    <row r="6458" spans="26:26" hidden="1">
      <c r="Z6458" s="11"/>
    </row>
    <row r="6459" spans="26:26" hidden="1">
      <c r="Z6459" s="11"/>
    </row>
    <row r="6460" spans="26:26" hidden="1">
      <c r="Z6460" s="11"/>
    </row>
    <row r="6461" spans="26:26" hidden="1">
      <c r="Z6461" s="11"/>
    </row>
    <row r="6462" spans="26:26" hidden="1">
      <c r="Z6462" s="11"/>
    </row>
    <row r="6463" spans="26:26" hidden="1">
      <c r="Z6463" s="11"/>
    </row>
    <row r="6464" spans="26:26" hidden="1">
      <c r="Z6464" s="11"/>
    </row>
    <row r="6465" spans="26:26" hidden="1">
      <c r="Z6465" s="11"/>
    </row>
    <row r="6466" spans="26:26" hidden="1">
      <c r="Z6466" s="11"/>
    </row>
    <row r="6467" spans="26:26" hidden="1">
      <c r="Z6467" s="11"/>
    </row>
    <row r="6468" spans="26:26" hidden="1">
      <c r="Z6468" s="11"/>
    </row>
    <row r="6469" spans="26:26" hidden="1">
      <c r="Z6469" s="11"/>
    </row>
    <row r="6470" spans="26:26" hidden="1">
      <c r="Z6470" s="11"/>
    </row>
    <row r="6471" spans="26:26" hidden="1">
      <c r="Z6471" s="11"/>
    </row>
    <row r="6472" spans="26:26" hidden="1">
      <c r="Z6472" s="11"/>
    </row>
    <row r="6473" spans="26:26" hidden="1">
      <c r="Z6473" s="11"/>
    </row>
    <row r="6474" spans="26:26" hidden="1">
      <c r="Z6474" s="11"/>
    </row>
    <row r="6475" spans="26:26" hidden="1">
      <c r="Z6475" s="11"/>
    </row>
    <row r="6476" spans="26:26" hidden="1">
      <c r="Z6476" s="11"/>
    </row>
    <row r="6477" spans="26:26" hidden="1">
      <c r="Z6477" s="11"/>
    </row>
    <row r="6478" spans="26:26" hidden="1">
      <c r="Z6478" s="11"/>
    </row>
    <row r="6479" spans="26:26" hidden="1">
      <c r="Z6479" s="11"/>
    </row>
    <row r="6480" spans="26:26" hidden="1">
      <c r="Z6480" s="11"/>
    </row>
    <row r="6481" spans="26:26" hidden="1">
      <c r="Z6481" s="11"/>
    </row>
    <row r="6482" spans="26:26" hidden="1">
      <c r="Z6482" s="11"/>
    </row>
    <row r="6483" spans="26:26" hidden="1">
      <c r="Z6483" s="11"/>
    </row>
    <row r="6484" spans="26:26" hidden="1">
      <c r="Z6484" s="11"/>
    </row>
    <row r="6485" spans="26:26" hidden="1">
      <c r="Z6485" s="11"/>
    </row>
    <row r="6486" spans="26:26" hidden="1">
      <c r="Z6486" s="11"/>
    </row>
    <row r="6487" spans="26:26" hidden="1">
      <c r="Z6487" s="11"/>
    </row>
    <row r="6488" spans="26:26" hidden="1">
      <c r="Z6488" s="11"/>
    </row>
    <row r="6489" spans="26:26" hidden="1">
      <c r="Z6489" s="11"/>
    </row>
    <row r="6490" spans="26:26" hidden="1">
      <c r="Z6490" s="11"/>
    </row>
    <row r="6491" spans="26:26" hidden="1">
      <c r="Z6491" s="11"/>
    </row>
    <row r="6492" spans="26:26" hidden="1">
      <c r="Z6492" s="11"/>
    </row>
    <row r="6493" spans="26:26" hidden="1">
      <c r="Z6493" s="11"/>
    </row>
    <row r="6494" spans="26:26" hidden="1">
      <c r="Z6494" s="11"/>
    </row>
    <row r="6495" spans="26:26" hidden="1">
      <c r="Z6495" s="11"/>
    </row>
    <row r="6496" spans="26:26" hidden="1">
      <c r="Z6496" s="11"/>
    </row>
    <row r="6497" spans="26:26" hidden="1">
      <c r="Z6497" s="11"/>
    </row>
    <row r="6498" spans="26:26" hidden="1">
      <c r="Z6498" s="11"/>
    </row>
    <row r="6499" spans="26:26" hidden="1">
      <c r="Z6499" s="11"/>
    </row>
    <row r="6500" spans="26:26" hidden="1">
      <c r="Z6500" s="11"/>
    </row>
    <row r="6501" spans="26:26" hidden="1">
      <c r="Z6501" s="11"/>
    </row>
    <row r="6502" spans="26:26" hidden="1">
      <c r="Z6502" s="11"/>
    </row>
    <row r="6503" spans="26:26" hidden="1">
      <c r="Z6503" s="11"/>
    </row>
    <row r="6504" spans="26:26" hidden="1">
      <c r="Z6504" s="11"/>
    </row>
    <row r="6505" spans="26:26" hidden="1">
      <c r="Z6505" s="11"/>
    </row>
    <row r="6506" spans="26:26" hidden="1">
      <c r="Z6506" s="11"/>
    </row>
    <row r="6507" spans="26:26" hidden="1">
      <c r="Z6507" s="11"/>
    </row>
    <row r="6508" spans="26:26" hidden="1">
      <c r="Z6508" s="11"/>
    </row>
    <row r="6509" spans="26:26" hidden="1">
      <c r="Z6509" s="11"/>
    </row>
    <row r="6510" spans="26:26" hidden="1">
      <c r="Z6510" s="11"/>
    </row>
    <row r="6511" spans="26:26" hidden="1">
      <c r="Z6511" s="11"/>
    </row>
    <row r="6512" spans="26:26" hidden="1">
      <c r="Z6512" s="11"/>
    </row>
    <row r="6513" spans="26:26" hidden="1">
      <c r="Z6513" s="11"/>
    </row>
    <row r="6514" spans="26:26" hidden="1">
      <c r="Z6514" s="11"/>
    </row>
    <row r="6515" spans="26:26" hidden="1">
      <c r="Z6515" s="11"/>
    </row>
    <row r="6516" spans="26:26" hidden="1">
      <c r="Z6516" s="11"/>
    </row>
    <row r="6517" spans="26:26" hidden="1">
      <c r="Z6517" s="11"/>
    </row>
    <row r="6518" spans="26:26" hidden="1">
      <c r="Z6518" s="11"/>
    </row>
    <row r="6519" spans="26:26" hidden="1">
      <c r="Z6519" s="11"/>
    </row>
    <row r="6520" spans="26:26" hidden="1">
      <c r="Z6520" s="11"/>
    </row>
    <row r="6521" spans="26:26" hidden="1">
      <c r="Z6521" s="11"/>
    </row>
    <row r="6522" spans="26:26" hidden="1">
      <c r="Z6522" s="11"/>
    </row>
    <row r="6523" spans="26:26" hidden="1">
      <c r="Z6523" s="11"/>
    </row>
    <row r="6524" spans="26:26" hidden="1">
      <c r="Z6524" s="11"/>
    </row>
    <row r="6525" spans="26:26" hidden="1">
      <c r="Z6525" s="11"/>
    </row>
    <row r="6526" spans="26:26" hidden="1">
      <c r="Z6526" s="11"/>
    </row>
    <row r="6527" spans="26:26" hidden="1">
      <c r="Z6527" s="11"/>
    </row>
    <row r="6528" spans="26:26" hidden="1">
      <c r="Z6528" s="11"/>
    </row>
    <row r="6529" spans="26:26" hidden="1">
      <c r="Z6529" s="11"/>
    </row>
    <row r="6530" spans="26:26" hidden="1">
      <c r="Z6530" s="11"/>
    </row>
    <row r="6531" spans="26:26" hidden="1">
      <c r="Z6531" s="11"/>
    </row>
    <row r="6532" spans="26:26" hidden="1">
      <c r="Z6532" s="11"/>
    </row>
    <row r="6533" spans="26:26" hidden="1">
      <c r="Z6533" s="11"/>
    </row>
    <row r="6534" spans="26:26" hidden="1">
      <c r="Z6534" s="11"/>
    </row>
    <row r="6535" spans="26:26" hidden="1">
      <c r="Z6535" s="11"/>
    </row>
    <row r="6536" spans="26:26" hidden="1">
      <c r="Z6536" s="11"/>
    </row>
    <row r="6537" spans="26:26" hidden="1">
      <c r="Z6537" s="11"/>
    </row>
    <row r="6538" spans="26:26" hidden="1">
      <c r="Z6538" s="11"/>
    </row>
    <row r="6539" spans="26:26" hidden="1">
      <c r="Z6539" s="11"/>
    </row>
    <row r="6540" spans="26:26" hidden="1">
      <c r="Z6540" s="11"/>
    </row>
    <row r="6541" spans="26:26" hidden="1">
      <c r="Z6541" s="11"/>
    </row>
    <row r="6542" spans="26:26" hidden="1">
      <c r="Z6542" s="11"/>
    </row>
    <row r="6543" spans="26:26" hidden="1">
      <c r="Z6543" s="11"/>
    </row>
    <row r="6544" spans="26:26" hidden="1">
      <c r="Z6544" s="11"/>
    </row>
    <row r="6545" spans="26:26" hidden="1">
      <c r="Z6545" s="11"/>
    </row>
    <row r="6546" spans="26:26" hidden="1">
      <c r="Z6546" s="11"/>
    </row>
    <row r="6547" spans="26:26" hidden="1">
      <c r="Z6547" s="11"/>
    </row>
    <row r="6548" spans="26:26" hidden="1">
      <c r="Z6548" s="11"/>
    </row>
    <row r="6549" spans="26:26" hidden="1">
      <c r="Z6549" s="11"/>
    </row>
    <row r="6550" spans="26:26" hidden="1">
      <c r="Z6550" s="11"/>
    </row>
    <row r="6551" spans="26:26" hidden="1">
      <c r="Z6551" s="11"/>
    </row>
    <row r="6552" spans="26:26" hidden="1">
      <c r="Z6552" s="11"/>
    </row>
    <row r="6553" spans="26:26" hidden="1">
      <c r="Z6553" s="11"/>
    </row>
    <row r="6554" spans="26:26" hidden="1">
      <c r="Z6554" s="11"/>
    </row>
    <row r="6555" spans="26:26" hidden="1">
      <c r="Z6555" s="11"/>
    </row>
    <row r="6556" spans="26:26" hidden="1">
      <c r="Z6556" s="11"/>
    </row>
    <row r="6557" spans="26:26" hidden="1">
      <c r="Z6557" s="11"/>
    </row>
    <row r="6558" spans="26:26" hidden="1">
      <c r="Z6558" s="11"/>
    </row>
    <row r="6559" spans="26:26" hidden="1">
      <c r="Z6559" s="11"/>
    </row>
    <row r="6560" spans="26:26" hidden="1">
      <c r="Z6560" s="11"/>
    </row>
    <row r="6561" spans="26:26" hidden="1">
      <c r="Z6561" s="11"/>
    </row>
    <row r="6562" spans="26:26" hidden="1">
      <c r="Z6562" s="11"/>
    </row>
    <row r="6563" spans="26:26" hidden="1">
      <c r="Z6563" s="11"/>
    </row>
    <row r="6564" spans="26:26" hidden="1">
      <c r="Z6564" s="11"/>
    </row>
    <row r="6565" spans="26:26" hidden="1">
      <c r="Z6565" s="11"/>
    </row>
    <row r="6566" spans="26:26" hidden="1">
      <c r="Z6566" s="11"/>
    </row>
    <row r="6567" spans="26:26" hidden="1">
      <c r="Z6567" s="11"/>
    </row>
    <row r="6568" spans="26:26" hidden="1">
      <c r="Z6568" s="11"/>
    </row>
    <row r="6569" spans="26:26" hidden="1">
      <c r="Z6569" s="11"/>
    </row>
    <row r="6570" spans="26:26" hidden="1">
      <c r="Z6570" s="11"/>
    </row>
    <row r="6571" spans="26:26" hidden="1">
      <c r="Z6571" s="11"/>
    </row>
    <row r="6572" spans="26:26" hidden="1">
      <c r="Z6572" s="11"/>
    </row>
    <row r="6573" spans="26:26" hidden="1">
      <c r="Z6573" s="11"/>
    </row>
    <row r="6574" spans="26:26" hidden="1">
      <c r="Z6574" s="11"/>
    </row>
    <row r="6575" spans="26:26" hidden="1">
      <c r="Z6575" s="11"/>
    </row>
    <row r="6576" spans="26:26" hidden="1">
      <c r="Z6576" s="11"/>
    </row>
    <row r="6577" spans="26:26" hidden="1">
      <c r="Z6577" s="11"/>
    </row>
    <row r="6578" spans="26:26" hidden="1">
      <c r="Z6578" s="11"/>
    </row>
    <row r="6579" spans="26:26" hidden="1">
      <c r="Z6579" s="11"/>
    </row>
    <row r="6580" spans="26:26" hidden="1">
      <c r="Z6580" s="11"/>
    </row>
    <row r="6581" spans="26:26" hidden="1">
      <c r="Z6581" s="11"/>
    </row>
    <row r="6582" spans="26:26" hidden="1">
      <c r="Z6582" s="11"/>
    </row>
    <row r="6583" spans="26:26" hidden="1">
      <c r="Z6583" s="11"/>
    </row>
    <row r="6584" spans="26:26" hidden="1">
      <c r="Z6584" s="11"/>
    </row>
    <row r="6585" spans="26:26" hidden="1">
      <c r="Z6585" s="11"/>
    </row>
    <row r="6586" spans="26:26" hidden="1">
      <c r="Z6586" s="11"/>
    </row>
    <row r="6587" spans="26:26" hidden="1">
      <c r="Z6587" s="11"/>
    </row>
    <row r="6588" spans="26:26" hidden="1">
      <c r="Z6588" s="11"/>
    </row>
    <row r="6589" spans="26:26" hidden="1">
      <c r="Z6589" s="11"/>
    </row>
    <row r="6590" spans="26:26" hidden="1">
      <c r="Z6590" s="11"/>
    </row>
    <row r="6591" spans="26:26" hidden="1">
      <c r="Z6591" s="11"/>
    </row>
    <row r="6592" spans="26:26" hidden="1">
      <c r="Z6592" s="11"/>
    </row>
    <row r="6593" spans="26:26" hidden="1">
      <c r="Z6593" s="11"/>
    </row>
    <row r="6594" spans="26:26" hidden="1">
      <c r="Z6594" s="11"/>
    </row>
    <row r="6595" spans="26:26" hidden="1">
      <c r="Z6595" s="11"/>
    </row>
    <row r="6596" spans="26:26" hidden="1">
      <c r="Z6596" s="11"/>
    </row>
    <row r="6597" spans="26:26" hidden="1">
      <c r="Z6597" s="11"/>
    </row>
    <row r="6598" spans="26:26" hidden="1">
      <c r="Z6598" s="11"/>
    </row>
    <row r="6599" spans="26:26" hidden="1">
      <c r="Z6599" s="11"/>
    </row>
    <row r="6600" spans="26:26" hidden="1">
      <c r="Z6600" s="11"/>
    </row>
    <row r="6601" spans="26:26" hidden="1">
      <c r="Z6601" s="11"/>
    </row>
    <row r="6602" spans="26:26" hidden="1">
      <c r="Z6602" s="11"/>
    </row>
    <row r="6603" spans="26:26" hidden="1">
      <c r="Z6603" s="11"/>
    </row>
    <row r="6604" spans="26:26" hidden="1">
      <c r="Z6604" s="11"/>
    </row>
    <row r="6605" spans="26:26" hidden="1">
      <c r="Z6605" s="11"/>
    </row>
    <row r="6606" spans="26:26" hidden="1">
      <c r="Z6606" s="11"/>
    </row>
    <row r="6607" spans="26:26" hidden="1">
      <c r="Z6607" s="11"/>
    </row>
    <row r="6608" spans="26:26" hidden="1">
      <c r="Z6608" s="11"/>
    </row>
    <row r="6609" spans="26:26" hidden="1">
      <c r="Z6609" s="11"/>
    </row>
    <row r="6610" spans="26:26" hidden="1">
      <c r="Z6610" s="11"/>
    </row>
    <row r="6611" spans="26:26" hidden="1">
      <c r="Z6611" s="11"/>
    </row>
    <row r="6612" spans="26:26" hidden="1">
      <c r="Z6612" s="11"/>
    </row>
    <row r="6613" spans="26:26" hidden="1">
      <c r="Z6613" s="11"/>
    </row>
    <row r="6614" spans="26:26" hidden="1">
      <c r="Z6614" s="11"/>
    </row>
    <row r="6615" spans="26:26" hidden="1">
      <c r="Z6615" s="11"/>
    </row>
    <row r="6616" spans="26:26" hidden="1">
      <c r="Z6616" s="11"/>
    </row>
    <row r="6617" spans="26:26" hidden="1">
      <c r="Z6617" s="11"/>
    </row>
    <row r="6618" spans="26:26" hidden="1">
      <c r="Z6618" s="11"/>
    </row>
    <row r="6619" spans="26:26" hidden="1">
      <c r="Z6619" s="11"/>
    </row>
    <row r="6620" spans="26:26" hidden="1">
      <c r="Z6620" s="11"/>
    </row>
    <row r="6621" spans="26:26" hidden="1">
      <c r="Z6621" s="11"/>
    </row>
    <row r="6622" spans="26:26" hidden="1">
      <c r="Z6622" s="11"/>
    </row>
    <row r="6623" spans="26:26" hidden="1">
      <c r="Z6623" s="11"/>
    </row>
    <row r="6624" spans="26:26" hidden="1">
      <c r="Z6624" s="11"/>
    </row>
    <row r="6625" spans="26:26" hidden="1">
      <c r="Z6625" s="11"/>
    </row>
    <row r="6626" spans="26:26" hidden="1">
      <c r="Z6626" s="11"/>
    </row>
    <row r="6627" spans="26:26" hidden="1">
      <c r="Z6627" s="11"/>
    </row>
    <row r="6628" spans="26:26" hidden="1">
      <c r="Z6628" s="11"/>
    </row>
    <row r="6629" spans="26:26" hidden="1">
      <c r="Z6629" s="11"/>
    </row>
    <row r="6630" spans="26:26" hidden="1">
      <c r="Z6630" s="11"/>
    </row>
    <row r="6631" spans="26:26" hidden="1">
      <c r="Z6631" s="11"/>
    </row>
    <row r="6632" spans="26:26" hidden="1">
      <c r="Z6632" s="11"/>
    </row>
    <row r="6633" spans="26:26" hidden="1">
      <c r="Z6633" s="11"/>
    </row>
    <row r="6634" spans="26:26" hidden="1">
      <c r="Z6634" s="11"/>
    </row>
    <row r="6635" spans="26:26" hidden="1">
      <c r="Z6635" s="11"/>
    </row>
    <row r="6636" spans="26:26" hidden="1">
      <c r="Z6636" s="11"/>
    </row>
    <row r="6637" spans="26:26" hidden="1">
      <c r="Z6637" s="11"/>
    </row>
    <row r="6638" spans="26:26" hidden="1">
      <c r="Z6638" s="11"/>
    </row>
    <row r="6639" spans="26:26" hidden="1">
      <c r="Z6639" s="11"/>
    </row>
    <row r="6640" spans="26:26" hidden="1">
      <c r="Z6640" s="11"/>
    </row>
    <row r="6641" spans="26:26" hidden="1">
      <c r="Z6641" s="11"/>
    </row>
    <row r="6642" spans="26:26" hidden="1">
      <c r="Z6642" s="11"/>
    </row>
    <row r="6643" spans="26:26" hidden="1">
      <c r="Z6643" s="11"/>
    </row>
    <row r="6644" spans="26:26" hidden="1">
      <c r="Z6644" s="11"/>
    </row>
    <row r="6645" spans="26:26" hidden="1">
      <c r="Z6645" s="11"/>
    </row>
    <row r="6646" spans="26:26" hidden="1">
      <c r="Z6646" s="11"/>
    </row>
    <row r="6647" spans="26:26" hidden="1">
      <c r="Z6647" s="11"/>
    </row>
    <row r="6648" spans="26:26" hidden="1">
      <c r="Z6648" s="11"/>
    </row>
    <row r="6649" spans="26:26" hidden="1">
      <c r="Z6649" s="11"/>
    </row>
    <row r="6650" spans="26:26" hidden="1">
      <c r="Z6650" s="11"/>
    </row>
    <row r="6651" spans="26:26" hidden="1">
      <c r="Z6651" s="11"/>
    </row>
    <row r="6652" spans="26:26" hidden="1">
      <c r="Z6652" s="11"/>
    </row>
    <row r="6653" spans="26:26" hidden="1">
      <c r="Z6653" s="11"/>
    </row>
    <row r="6654" spans="26:26" hidden="1">
      <c r="Z6654" s="11"/>
    </row>
    <row r="6655" spans="26:26" hidden="1">
      <c r="Z6655" s="11"/>
    </row>
    <row r="6656" spans="26:26" hidden="1">
      <c r="Z6656" s="11"/>
    </row>
    <row r="6657" spans="26:26" hidden="1">
      <c r="Z6657" s="11"/>
    </row>
    <row r="6658" spans="26:26" hidden="1">
      <c r="Z6658" s="11"/>
    </row>
    <row r="6659" spans="26:26" hidden="1">
      <c r="Z6659" s="11"/>
    </row>
    <row r="6660" spans="26:26" hidden="1">
      <c r="Z6660" s="11"/>
    </row>
    <row r="6661" spans="26:26" hidden="1">
      <c r="Z6661" s="11"/>
    </row>
    <row r="6662" spans="26:26" hidden="1">
      <c r="Z6662" s="11"/>
    </row>
    <row r="6663" spans="26:26" hidden="1">
      <c r="Z6663" s="11"/>
    </row>
    <row r="6664" spans="26:26" hidden="1">
      <c r="Z6664" s="11"/>
    </row>
    <row r="6665" spans="26:26" hidden="1">
      <c r="Z6665" s="11"/>
    </row>
    <row r="6666" spans="26:26" hidden="1">
      <c r="Z6666" s="11"/>
    </row>
    <row r="6667" spans="26:26" hidden="1">
      <c r="Z6667" s="11"/>
    </row>
    <row r="6668" spans="26:26" hidden="1">
      <c r="Z6668" s="11"/>
    </row>
    <row r="6669" spans="26:26" hidden="1">
      <c r="Z6669" s="11"/>
    </row>
    <row r="6670" spans="26:26" hidden="1">
      <c r="Z6670" s="11"/>
    </row>
    <row r="6671" spans="26:26" hidden="1">
      <c r="Z6671" s="11"/>
    </row>
    <row r="6672" spans="26:26" hidden="1">
      <c r="Z6672" s="11"/>
    </row>
    <row r="6673" spans="26:26" hidden="1">
      <c r="Z6673" s="11"/>
    </row>
    <row r="6674" spans="26:26" hidden="1">
      <c r="Z6674" s="11"/>
    </row>
    <row r="6675" spans="26:26" hidden="1">
      <c r="Z6675" s="11"/>
    </row>
    <row r="6676" spans="26:26" hidden="1">
      <c r="Z6676" s="11"/>
    </row>
    <row r="6677" spans="26:26" hidden="1">
      <c r="Z6677" s="11"/>
    </row>
    <row r="6678" spans="26:26" hidden="1">
      <c r="Z6678" s="11"/>
    </row>
    <row r="6679" spans="26:26" hidden="1">
      <c r="Z6679" s="11"/>
    </row>
    <row r="6680" spans="26:26" hidden="1">
      <c r="Z6680" s="11"/>
    </row>
    <row r="6681" spans="26:26" hidden="1">
      <c r="Z6681" s="11"/>
    </row>
    <row r="6682" spans="26:26" hidden="1">
      <c r="Z6682" s="11"/>
    </row>
    <row r="6683" spans="26:26" hidden="1">
      <c r="Z6683" s="11"/>
    </row>
    <row r="6684" spans="26:26" hidden="1">
      <c r="Z6684" s="11"/>
    </row>
    <row r="6685" spans="26:26" hidden="1">
      <c r="Z6685" s="11"/>
    </row>
    <row r="6686" spans="26:26" hidden="1">
      <c r="Z6686" s="11"/>
    </row>
    <row r="6687" spans="26:26" hidden="1">
      <c r="Z6687" s="11"/>
    </row>
    <row r="6688" spans="26:26" hidden="1">
      <c r="Z6688" s="11"/>
    </row>
    <row r="6689" spans="26:26" hidden="1">
      <c r="Z6689" s="11"/>
    </row>
    <row r="6690" spans="26:26" hidden="1">
      <c r="Z6690" s="11"/>
    </row>
    <row r="6691" spans="26:26" hidden="1">
      <c r="Z6691" s="11"/>
    </row>
    <row r="6692" spans="26:26" hidden="1">
      <c r="Z6692" s="11"/>
    </row>
    <row r="6693" spans="26:26" hidden="1">
      <c r="Z6693" s="11"/>
    </row>
    <row r="6694" spans="26:26" hidden="1">
      <c r="Z6694" s="11"/>
    </row>
    <row r="6695" spans="26:26" hidden="1">
      <c r="Z6695" s="11"/>
    </row>
    <row r="6696" spans="26:26" hidden="1">
      <c r="Z6696" s="11"/>
    </row>
    <row r="6697" spans="26:26" hidden="1">
      <c r="Z6697" s="11"/>
    </row>
    <row r="6698" spans="26:26" hidden="1">
      <c r="Z6698" s="11"/>
    </row>
    <row r="6699" spans="26:26" hidden="1">
      <c r="Z6699" s="11"/>
    </row>
    <row r="6700" spans="26:26" hidden="1">
      <c r="Z6700" s="11"/>
    </row>
    <row r="6701" spans="26:26" hidden="1">
      <c r="Z6701" s="11"/>
    </row>
    <row r="6702" spans="26:26" hidden="1">
      <c r="Z6702" s="11"/>
    </row>
    <row r="6703" spans="26:26" hidden="1">
      <c r="Z6703" s="11"/>
    </row>
    <row r="6704" spans="26:26" hidden="1">
      <c r="Z6704" s="11"/>
    </row>
    <row r="6705" spans="26:26" hidden="1">
      <c r="Z6705" s="11"/>
    </row>
    <row r="6706" spans="26:26" hidden="1">
      <c r="Z6706" s="11"/>
    </row>
    <row r="6707" spans="26:26" hidden="1">
      <c r="Z6707" s="11"/>
    </row>
    <row r="6708" spans="26:26" hidden="1">
      <c r="Z6708" s="11"/>
    </row>
    <row r="6709" spans="26:26" hidden="1">
      <c r="Z6709" s="11"/>
    </row>
    <row r="6710" spans="26:26" hidden="1">
      <c r="Z6710" s="11"/>
    </row>
    <row r="6711" spans="26:26" hidden="1">
      <c r="Z6711" s="11"/>
    </row>
    <row r="6712" spans="26:26" hidden="1">
      <c r="Z6712" s="11"/>
    </row>
    <row r="6713" spans="26:26" hidden="1">
      <c r="Z6713" s="11"/>
    </row>
    <row r="6714" spans="26:26" hidden="1">
      <c r="Z6714" s="11"/>
    </row>
    <row r="6715" spans="26:26" hidden="1">
      <c r="Z6715" s="11"/>
    </row>
    <row r="6716" spans="26:26" hidden="1">
      <c r="Z6716" s="11"/>
    </row>
    <row r="6717" spans="26:26" hidden="1">
      <c r="Z6717" s="11"/>
    </row>
    <row r="6718" spans="26:26" hidden="1">
      <c r="Z6718" s="11"/>
    </row>
    <row r="6719" spans="26:26" hidden="1">
      <c r="Z6719" s="11"/>
    </row>
    <row r="6720" spans="26:26" hidden="1">
      <c r="Z6720" s="11"/>
    </row>
    <row r="6721" spans="26:26" hidden="1">
      <c r="Z6721" s="11"/>
    </row>
    <row r="6722" spans="26:26" hidden="1">
      <c r="Z6722" s="11"/>
    </row>
    <row r="6723" spans="26:26" hidden="1">
      <c r="Z6723" s="11"/>
    </row>
    <row r="6724" spans="26:26" hidden="1">
      <c r="Z6724" s="11"/>
    </row>
    <row r="6725" spans="26:26" hidden="1">
      <c r="Z6725" s="11"/>
    </row>
    <row r="6726" spans="26:26" hidden="1">
      <c r="Z6726" s="11"/>
    </row>
    <row r="6727" spans="26:26" hidden="1">
      <c r="Z6727" s="11"/>
    </row>
    <row r="6728" spans="26:26" hidden="1">
      <c r="Z6728" s="11"/>
    </row>
    <row r="6729" spans="26:26" hidden="1">
      <c r="Z6729" s="11"/>
    </row>
    <row r="6730" spans="26:26" hidden="1">
      <c r="Z6730" s="11"/>
    </row>
    <row r="6731" spans="26:26" hidden="1">
      <c r="Z6731" s="11"/>
    </row>
    <row r="6732" spans="26:26" hidden="1">
      <c r="Z6732" s="11"/>
    </row>
    <row r="6733" spans="26:26" hidden="1">
      <c r="Z6733" s="11"/>
    </row>
    <row r="6734" spans="26:26" hidden="1">
      <c r="Z6734" s="11"/>
    </row>
    <row r="6735" spans="26:26" hidden="1">
      <c r="Z6735" s="11"/>
    </row>
    <row r="6736" spans="26:26" hidden="1">
      <c r="Z6736" s="11"/>
    </row>
    <row r="6737" spans="26:26" hidden="1">
      <c r="Z6737" s="11"/>
    </row>
    <row r="6738" spans="26:26" hidden="1">
      <c r="Z6738" s="11"/>
    </row>
    <row r="6739" spans="26:26" hidden="1">
      <c r="Z6739" s="11"/>
    </row>
    <row r="6740" spans="26:26" hidden="1">
      <c r="Z6740" s="11"/>
    </row>
    <row r="6741" spans="26:26" hidden="1">
      <c r="Z6741" s="11"/>
    </row>
    <row r="6742" spans="26:26" hidden="1">
      <c r="Z6742" s="11"/>
    </row>
    <row r="6743" spans="26:26" hidden="1">
      <c r="Z6743" s="11"/>
    </row>
    <row r="6744" spans="26:26" hidden="1">
      <c r="Z6744" s="11"/>
    </row>
    <row r="6745" spans="26:26" hidden="1">
      <c r="Z6745" s="11"/>
    </row>
    <row r="6746" spans="26:26" hidden="1">
      <c r="Z6746" s="11"/>
    </row>
    <row r="6747" spans="26:26" hidden="1">
      <c r="Z6747" s="11"/>
    </row>
    <row r="6748" spans="26:26" hidden="1">
      <c r="Z6748" s="11"/>
    </row>
    <row r="6749" spans="26:26" hidden="1">
      <c r="Z6749" s="11"/>
    </row>
    <row r="6750" spans="26:26" hidden="1">
      <c r="Z6750" s="11"/>
    </row>
    <row r="6751" spans="26:26" hidden="1">
      <c r="Z6751" s="11"/>
    </row>
    <row r="6752" spans="26:26" hidden="1">
      <c r="Z6752" s="11"/>
    </row>
    <row r="6753" spans="26:26" hidden="1">
      <c r="Z6753" s="11"/>
    </row>
    <row r="6754" spans="26:26" hidden="1">
      <c r="Z6754" s="11"/>
    </row>
    <row r="6755" spans="26:26" hidden="1">
      <c r="Z6755" s="11"/>
    </row>
    <row r="6756" spans="26:26" hidden="1">
      <c r="Z6756" s="11"/>
    </row>
    <row r="6757" spans="26:26" hidden="1">
      <c r="Z6757" s="11"/>
    </row>
    <row r="6758" spans="26:26" hidden="1">
      <c r="Z6758" s="11"/>
    </row>
    <row r="6759" spans="26:26" hidden="1">
      <c r="Z6759" s="11"/>
    </row>
    <row r="6760" spans="26:26" hidden="1">
      <c r="Z6760" s="11"/>
    </row>
    <row r="6761" spans="26:26" hidden="1">
      <c r="Z6761" s="11"/>
    </row>
    <row r="6762" spans="26:26" hidden="1">
      <c r="Z6762" s="11"/>
    </row>
    <row r="6763" spans="26:26" hidden="1">
      <c r="Z6763" s="11"/>
    </row>
    <row r="6764" spans="26:26" hidden="1">
      <c r="Z6764" s="11"/>
    </row>
    <row r="6765" spans="26:26" hidden="1">
      <c r="Z6765" s="11"/>
    </row>
    <row r="6766" spans="26:26" hidden="1">
      <c r="Z6766" s="11"/>
    </row>
    <row r="6767" spans="26:26" hidden="1">
      <c r="Z6767" s="11"/>
    </row>
    <row r="6768" spans="26:26" hidden="1">
      <c r="Z6768" s="11"/>
    </row>
    <row r="6769" spans="26:26" hidden="1">
      <c r="Z6769" s="11"/>
    </row>
    <row r="6770" spans="26:26" hidden="1">
      <c r="Z6770" s="11"/>
    </row>
    <row r="6771" spans="26:26" hidden="1">
      <c r="Z6771" s="11"/>
    </row>
    <row r="6772" spans="26:26" hidden="1">
      <c r="Z6772" s="11"/>
    </row>
    <row r="6773" spans="26:26" hidden="1">
      <c r="Z6773" s="11"/>
    </row>
    <row r="6774" spans="26:26" hidden="1">
      <c r="Z6774" s="11"/>
    </row>
    <row r="6775" spans="26:26" hidden="1">
      <c r="Z6775" s="11"/>
    </row>
    <row r="6776" spans="26:26" hidden="1">
      <c r="Z6776" s="11"/>
    </row>
    <row r="6777" spans="26:26" hidden="1">
      <c r="Z6777" s="11"/>
    </row>
    <row r="6778" spans="26:26" hidden="1">
      <c r="Z6778" s="11"/>
    </row>
    <row r="6779" spans="26:26" hidden="1">
      <c r="Z6779" s="11"/>
    </row>
    <row r="6780" spans="26:26" hidden="1">
      <c r="Z6780" s="11"/>
    </row>
    <row r="6781" spans="26:26" hidden="1">
      <c r="Z6781" s="11"/>
    </row>
    <row r="6782" spans="26:26" hidden="1">
      <c r="Z6782" s="11"/>
    </row>
    <row r="6783" spans="26:26" hidden="1">
      <c r="Z6783" s="11"/>
    </row>
    <row r="6784" spans="26:26" hidden="1">
      <c r="Z6784" s="11"/>
    </row>
    <row r="6785" spans="26:26" hidden="1">
      <c r="Z6785" s="11"/>
    </row>
    <row r="6786" spans="26:26" hidden="1">
      <c r="Z6786" s="11"/>
    </row>
    <row r="6787" spans="26:26" hidden="1">
      <c r="Z6787" s="11"/>
    </row>
    <row r="6788" spans="26:26" hidden="1">
      <c r="Z6788" s="11"/>
    </row>
    <row r="6789" spans="26:26" hidden="1">
      <c r="Z6789" s="11"/>
    </row>
    <row r="6790" spans="26:26" hidden="1">
      <c r="Z6790" s="11"/>
    </row>
    <row r="6791" spans="26:26" hidden="1">
      <c r="Z6791" s="11"/>
    </row>
    <row r="6792" spans="26:26" hidden="1">
      <c r="Z6792" s="11"/>
    </row>
    <row r="6793" spans="26:26" hidden="1">
      <c r="Z6793" s="11"/>
    </row>
    <row r="6794" spans="26:26" hidden="1">
      <c r="Z6794" s="11"/>
    </row>
    <row r="6795" spans="26:26" hidden="1">
      <c r="Z6795" s="11"/>
    </row>
    <row r="6796" spans="26:26" hidden="1">
      <c r="Z6796" s="11"/>
    </row>
    <row r="6797" spans="26:26" hidden="1">
      <c r="Z6797" s="11"/>
    </row>
    <row r="6798" spans="26:26" hidden="1">
      <c r="Z6798" s="11"/>
    </row>
    <row r="6799" spans="26:26" hidden="1">
      <c r="Z6799" s="11"/>
    </row>
    <row r="6800" spans="26:26" hidden="1">
      <c r="Z6800" s="11"/>
    </row>
    <row r="6801" spans="26:26" hidden="1">
      <c r="Z6801" s="11"/>
    </row>
    <row r="6802" spans="26:26" hidden="1">
      <c r="Z6802" s="11"/>
    </row>
    <row r="6803" spans="26:26" hidden="1">
      <c r="Z6803" s="11"/>
    </row>
    <row r="6804" spans="26:26" hidden="1">
      <c r="Z6804" s="11"/>
    </row>
    <row r="6805" spans="26:26" hidden="1">
      <c r="Z6805" s="11"/>
    </row>
    <row r="6806" spans="26:26" hidden="1">
      <c r="Z6806" s="11"/>
    </row>
    <row r="6807" spans="26:26" hidden="1">
      <c r="Z6807" s="11"/>
    </row>
    <row r="6808" spans="26:26" hidden="1">
      <c r="Z6808" s="11"/>
    </row>
    <row r="6809" spans="26:26" hidden="1">
      <c r="Z6809" s="11"/>
    </row>
    <row r="6810" spans="26:26" hidden="1">
      <c r="Z6810" s="11"/>
    </row>
    <row r="6811" spans="26:26" hidden="1">
      <c r="Z6811" s="11"/>
    </row>
    <row r="6812" spans="26:26" hidden="1">
      <c r="Z6812" s="11"/>
    </row>
    <row r="6813" spans="26:26" hidden="1">
      <c r="Z6813" s="11"/>
    </row>
    <row r="6814" spans="26:26" hidden="1">
      <c r="Z6814" s="11"/>
    </row>
    <row r="6815" spans="26:26" hidden="1">
      <c r="Z6815" s="11"/>
    </row>
    <row r="6816" spans="26:26" hidden="1">
      <c r="Z6816" s="11"/>
    </row>
    <row r="6817" spans="26:26" hidden="1">
      <c r="Z6817" s="11"/>
    </row>
    <row r="6818" spans="26:26" hidden="1">
      <c r="Z6818" s="11"/>
    </row>
    <row r="6819" spans="26:26" hidden="1">
      <c r="Z6819" s="11"/>
    </row>
    <row r="6820" spans="26:26" hidden="1">
      <c r="Z6820" s="11"/>
    </row>
    <row r="6821" spans="26:26" hidden="1">
      <c r="Z6821" s="11"/>
    </row>
    <row r="6822" spans="26:26" hidden="1">
      <c r="Z6822" s="11"/>
    </row>
    <row r="6823" spans="26:26" hidden="1">
      <c r="Z6823" s="11"/>
    </row>
    <row r="6824" spans="26:26" hidden="1">
      <c r="Z6824" s="11"/>
    </row>
    <row r="6825" spans="26:26" hidden="1">
      <c r="Z6825" s="11"/>
    </row>
    <row r="6826" spans="26:26" hidden="1">
      <c r="Z6826" s="11"/>
    </row>
    <row r="6827" spans="26:26" hidden="1">
      <c r="Z6827" s="11"/>
    </row>
    <row r="6828" spans="26:26" hidden="1">
      <c r="Z6828" s="11"/>
    </row>
    <row r="6829" spans="26:26" hidden="1">
      <c r="Z6829" s="11"/>
    </row>
    <row r="6830" spans="26:26" hidden="1">
      <c r="Z6830" s="11"/>
    </row>
    <row r="6831" spans="26:26" hidden="1">
      <c r="Z6831" s="11"/>
    </row>
    <row r="6832" spans="26:26" hidden="1">
      <c r="Z6832" s="11"/>
    </row>
    <row r="6833" spans="26:26" hidden="1">
      <c r="Z6833" s="11"/>
    </row>
    <row r="6834" spans="26:26" hidden="1">
      <c r="Z6834" s="11"/>
    </row>
    <row r="6835" spans="26:26" hidden="1">
      <c r="Z6835" s="11"/>
    </row>
    <row r="6836" spans="26:26" hidden="1">
      <c r="Z6836" s="11"/>
    </row>
    <row r="6837" spans="26:26" hidden="1">
      <c r="Z6837" s="11"/>
    </row>
    <row r="6838" spans="26:26" hidden="1">
      <c r="Z6838" s="11"/>
    </row>
    <row r="6839" spans="26:26" hidden="1">
      <c r="Z6839" s="11"/>
    </row>
    <row r="6840" spans="26:26" hidden="1">
      <c r="Z6840" s="11"/>
    </row>
    <row r="6841" spans="26:26" hidden="1">
      <c r="Z6841" s="11"/>
    </row>
    <row r="6842" spans="26:26" hidden="1">
      <c r="Z6842" s="11"/>
    </row>
    <row r="6843" spans="26:26" hidden="1">
      <c r="Z6843" s="11"/>
    </row>
    <row r="6844" spans="26:26" hidden="1">
      <c r="Z6844" s="11"/>
    </row>
    <row r="6845" spans="26:26" hidden="1">
      <c r="Z6845" s="11"/>
    </row>
    <row r="6846" spans="26:26" hidden="1">
      <c r="Z6846" s="11"/>
    </row>
    <row r="6847" spans="26:26" hidden="1">
      <c r="Z6847" s="11"/>
    </row>
    <row r="6848" spans="26:26" hidden="1">
      <c r="Z6848" s="11"/>
    </row>
    <row r="6849" spans="26:26" hidden="1">
      <c r="Z6849" s="11"/>
    </row>
    <row r="6850" spans="26:26" hidden="1">
      <c r="Z6850" s="11"/>
    </row>
    <row r="6851" spans="26:26" hidden="1">
      <c r="Z6851" s="11"/>
    </row>
    <row r="6852" spans="26:26" hidden="1">
      <c r="Z6852" s="11"/>
    </row>
    <row r="6853" spans="26:26" hidden="1">
      <c r="Z6853" s="11"/>
    </row>
    <row r="6854" spans="26:26" hidden="1">
      <c r="Z6854" s="11"/>
    </row>
    <row r="6855" spans="26:26" hidden="1">
      <c r="Z6855" s="11"/>
    </row>
    <row r="6856" spans="26:26" hidden="1">
      <c r="Z6856" s="11"/>
    </row>
    <row r="6857" spans="26:26" hidden="1">
      <c r="Z6857" s="11"/>
    </row>
    <row r="6858" spans="26:26" hidden="1">
      <c r="Z6858" s="11"/>
    </row>
    <row r="6859" spans="26:26" hidden="1">
      <c r="Z6859" s="11"/>
    </row>
    <row r="6860" spans="26:26" hidden="1">
      <c r="Z6860" s="11"/>
    </row>
    <row r="6861" spans="26:26" hidden="1">
      <c r="Z6861" s="11"/>
    </row>
    <row r="6862" spans="26:26" hidden="1">
      <c r="Z6862" s="11"/>
    </row>
    <row r="6863" spans="26:26" hidden="1">
      <c r="Z6863" s="11"/>
    </row>
    <row r="6864" spans="26:26" hidden="1">
      <c r="Z6864" s="11"/>
    </row>
    <row r="6865" spans="26:26" hidden="1">
      <c r="Z6865" s="11"/>
    </row>
    <row r="6866" spans="26:26" hidden="1">
      <c r="Z6866" s="11"/>
    </row>
    <row r="6867" spans="26:26" hidden="1">
      <c r="Z6867" s="11"/>
    </row>
    <row r="6868" spans="26:26" hidden="1">
      <c r="Z6868" s="11"/>
    </row>
    <row r="6869" spans="26:26" hidden="1">
      <c r="Z6869" s="11"/>
    </row>
    <row r="6870" spans="26:26" hidden="1">
      <c r="Z6870" s="11"/>
    </row>
    <row r="6871" spans="26:26" hidden="1">
      <c r="Z6871" s="11"/>
    </row>
    <row r="6872" spans="26:26" hidden="1">
      <c r="Z6872" s="11"/>
    </row>
    <row r="6873" spans="26:26" hidden="1">
      <c r="Z6873" s="11"/>
    </row>
    <row r="6874" spans="26:26" hidden="1">
      <c r="Z6874" s="11"/>
    </row>
    <row r="6875" spans="26:26" hidden="1">
      <c r="Z6875" s="11"/>
    </row>
    <row r="6876" spans="26:26" hidden="1">
      <c r="Z6876" s="11"/>
    </row>
    <row r="6877" spans="26:26" hidden="1">
      <c r="Z6877" s="11"/>
    </row>
    <row r="6878" spans="26:26" hidden="1">
      <c r="Z6878" s="11"/>
    </row>
    <row r="6879" spans="26:26" hidden="1">
      <c r="Z6879" s="11"/>
    </row>
    <row r="6880" spans="26:26" hidden="1">
      <c r="Z6880" s="11"/>
    </row>
    <row r="6881" spans="26:26" hidden="1">
      <c r="Z6881" s="11"/>
    </row>
    <row r="6882" spans="26:26" hidden="1">
      <c r="Z6882" s="11"/>
    </row>
    <row r="6883" spans="26:26" hidden="1">
      <c r="Z6883" s="11"/>
    </row>
    <row r="6884" spans="26:26" hidden="1">
      <c r="Z6884" s="11"/>
    </row>
    <row r="6885" spans="26:26" hidden="1">
      <c r="Z6885" s="11"/>
    </row>
    <row r="6886" spans="26:26" hidden="1">
      <c r="Z6886" s="11"/>
    </row>
    <row r="6887" spans="26:26" hidden="1">
      <c r="Z6887" s="11"/>
    </row>
    <row r="6888" spans="26:26" hidden="1">
      <c r="Z6888" s="11"/>
    </row>
    <row r="6889" spans="26:26" hidden="1">
      <c r="Z6889" s="11"/>
    </row>
    <row r="6890" spans="26:26" hidden="1">
      <c r="Z6890" s="11"/>
    </row>
    <row r="6891" spans="26:26" hidden="1">
      <c r="Z6891" s="11"/>
    </row>
    <row r="6892" spans="26:26" hidden="1">
      <c r="Z6892" s="11"/>
    </row>
    <row r="6893" spans="26:26" hidden="1">
      <c r="Z6893" s="11"/>
    </row>
    <row r="6894" spans="26:26" hidden="1">
      <c r="Z6894" s="11"/>
    </row>
    <row r="6895" spans="26:26" hidden="1">
      <c r="Z6895" s="11"/>
    </row>
    <row r="6896" spans="26:26" hidden="1">
      <c r="Z6896" s="11"/>
    </row>
    <row r="6897" spans="26:26" hidden="1">
      <c r="Z6897" s="11"/>
    </row>
    <row r="6898" spans="26:26" hidden="1">
      <c r="Z6898" s="11"/>
    </row>
    <row r="6899" spans="26:26" hidden="1">
      <c r="Z6899" s="11"/>
    </row>
    <row r="6900" spans="26:26" hidden="1">
      <c r="Z6900" s="11"/>
    </row>
    <row r="6901" spans="26:26" hidden="1">
      <c r="Z6901" s="11"/>
    </row>
    <row r="6902" spans="26:26" hidden="1">
      <c r="Z6902" s="11"/>
    </row>
    <row r="6903" spans="26:26" hidden="1">
      <c r="Z6903" s="11"/>
    </row>
    <row r="6904" spans="26:26" hidden="1">
      <c r="Z6904" s="11"/>
    </row>
    <row r="6905" spans="26:26" hidden="1">
      <c r="Z6905" s="11"/>
    </row>
    <row r="6906" spans="26:26" hidden="1">
      <c r="Z6906" s="11"/>
    </row>
    <row r="6907" spans="26:26" hidden="1">
      <c r="Z6907" s="11"/>
    </row>
    <row r="6908" spans="26:26" hidden="1">
      <c r="Z6908" s="11"/>
    </row>
    <row r="6909" spans="26:26" hidden="1">
      <c r="Z6909" s="11"/>
    </row>
    <row r="6910" spans="26:26" hidden="1">
      <c r="Z6910" s="11"/>
    </row>
    <row r="6911" spans="26:26" hidden="1">
      <c r="Z6911" s="11"/>
    </row>
    <row r="6912" spans="26:26" hidden="1">
      <c r="Z6912" s="11"/>
    </row>
    <row r="6913" spans="26:26" hidden="1">
      <c r="Z6913" s="11"/>
    </row>
    <row r="6914" spans="26:26" hidden="1">
      <c r="Z6914" s="11"/>
    </row>
    <row r="6915" spans="26:26" hidden="1">
      <c r="Z6915" s="11"/>
    </row>
    <row r="6916" spans="26:26" hidden="1">
      <c r="Z6916" s="11"/>
    </row>
    <row r="6917" spans="26:26" hidden="1">
      <c r="Z6917" s="11"/>
    </row>
    <row r="6918" spans="26:26" hidden="1">
      <c r="Z6918" s="11"/>
    </row>
    <row r="6919" spans="26:26" hidden="1">
      <c r="Z6919" s="11"/>
    </row>
    <row r="6920" spans="26:26" hidden="1">
      <c r="Z6920" s="11"/>
    </row>
    <row r="6921" spans="26:26" hidden="1">
      <c r="Z6921" s="11"/>
    </row>
    <row r="6922" spans="26:26" hidden="1">
      <c r="Z6922" s="11"/>
    </row>
    <row r="6923" spans="26:26" hidden="1">
      <c r="Z6923" s="11"/>
    </row>
    <row r="6924" spans="26:26" hidden="1">
      <c r="Z6924" s="11"/>
    </row>
    <row r="6925" spans="26:26" hidden="1">
      <c r="Z6925" s="11"/>
    </row>
    <row r="6926" spans="26:26" hidden="1">
      <c r="Z6926" s="11"/>
    </row>
    <row r="6927" spans="26:26" hidden="1">
      <c r="Z6927" s="11"/>
    </row>
    <row r="6928" spans="26:26" hidden="1">
      <c r="Z6928" s="11"/>
    </row>
    <row r="6929" spans="26:26" hidden="1">
      <c r="Z6929" s="11"/>
    </row>
    <row r="6930" spans="26:26" hidden="1">
      <c r="Z6930" s="11"/>
    </row>
    <row r="6931" spans="26:26" hidden="1">
      <c r="Z6931" s="11"/>
    </row>
    <row r="6932" spans="26:26" hidden="1">
      <c r="Z6932" s="11"/>
    </row>
    <row r="6933" spans="26:26" hidden="1">
      <c r="Z6933" s="11"/>
    </row>
    <row r="6934" spans="26:26" hidden="1">
      <c r="Z6934" s="11"/>
    </row>
    <row r="6935" spans="26:26" hidden="1">
      <c r="Z6935" s="11"/>
    </row>
    <row r="6936" spans="26:26" hidden="1">
      <c r="Z6936" s="11"/>
    </row>
    <row r="6937" spans="26:26" hidden="1">
      <c r="Z6937" s="11"/>
    </row>
    <row r="6938" spans="26:26" hidden="1">
      <c r="Z6938" s="11"/>
    </row>
    <row r="6939" spans="26:26" hidden="1">
      <c r="Z6939" s="11"/>
    </row>
    <row r="6940" spans="26:26" hidden="1">
      <c r="Z6940" s="11"/>
    </row>
    <row r="6941" spans="26:26" hidden="1">
      <c r="Z6941" s="11"/>
    </row>
    <row r="6942" spans="26:26" hidden="1">
      <c r="Z6942" s="11"/>
    </row>
    <row r="6943" spans="26:26" hidden="1">
      <c r="Z6943" s="11"/>
    </row>
    <row r="6944" spans="26:26" hidden="1">
      <c r="Z6944" s="11"/>
    </row>
    <row r="6945" spans="26:26" hidden="1">
      <c r="Z6945" s="11"/>
    </row>
    <row r="6946" spans="26:26" hidden="1">
      <c r="Z6946" s="11"/>
    </row>
    <row r="6947" spans="26:26" hidden="1">
      <c r="Z6947" s="11"/>
    </row>
    <row r="6948" spans="26:26" hidden="1">
      <c r="Z6948" s="11"/>
    </row>
    <row r="6949" spans="26:26" hidden="1">
      <c r="Z6949" s="11"/>
    </row>
    <row r="6950" spans="26:26" hidden="1">
      <c r="Z6950" s="11"/>
    </row>
    <row r="6951" spans="26:26" hidden="1">
      <c r="Z6951" s="11"/>
    </row>
    <row r="6952" spans="26:26" hidden="1">
      <c r="Z6952" s="11"/>
    </row>
    <row r="6953" spans="26:26" hidden="1">
      <c r="Z6953" s="11"/>
    </row>
    <row r="6954" spans="26:26" hidden="1">
      <c r="Z6954" s="11"/>
    </row>
    <row r="6955" spans="26:26" hidden="1">
      <c r="Z6955" s="11"/>
    </row>
    <row r="6956" spans="26:26" hidden="1">
      <c r="Z6956" s="11"/>
    </row>
    <row r="6957" spans="26:26" hidden="1">
      <c r="Z6957" s="11"/>
    </row>
    <row r="6958" spans="26:26" hidden="1">
      <c r="Z6958" s="11"/>
    </row>
    <row r="6959" spans="26:26" hidden="1">
      <c r="Z6959" s="11"/>
    </row>
    <row r="6960" spans="26:26" hidden="1">
      <c r="Z6960" s="11"/>
    </row>
    <row r="6961" spans="26:26" hidden="1">
      <c r="Z6961" s="11"/>
    </row>
    <row r="6962" spans="26:26" hidden="1">
      <c r="Z6962" s="11"/>
    </row>
    <row r="6963" spans="26:26" hidden="1">
      <c r="Z6963" s="11"/>
    </row>
    <row r="6964" spans="26:26" hidden="1">
      <c r="Z6964" s="11"/>
    </row>
    <row r="6965" spans="26:26" hidden="1">
      <c r="Z6965" s="11"/>
    </row>
    <row r="6966" spans="26:26" hidden="1">
      <c r="Z6966" s="11"/>
    </row>
    <row r="6967" spans="26:26" hidden="1">
      <c r="Z6967" s="11"/>
    </row>
    <row r="6968" spans="26:26" hidden="1">
      <c r="Z6968" s="11"/>
    </row>
    <row r="6969" spans="26:26" hidden="1">
      <c r="Z6969" s="11"/>
    </row>
    <row r="6970" spans="26:26" hidden="1">
      <c r="Z6970" s="11"/>
    </row>
    <row r="6971" spans="26:26" hidden="1">
      <c r="Z6971" s="11"/>
    </row>
    <row r="6972" spans="26:26" hidden="1">
      <c r="Z6972" s="11"/>
    </row>
    <row r="6973" spans="26:26" hidden="1">
      <c r="Z6973" s="11"/>
    </row>
    <row r="6974" spans="26:26" hidden="1">
      <c r="Z6974" s="11"/>
    </row>
    <row r="6975" spans="26:26" hidden="1">
      <c r="Z6975" s="11"/>
    </row>
    <row r="6976" spans="26:26" hidden="1">
      <c r="Z6976" s="11"/>
    </row>
    <row r="6977" spans="26:26" hidden="1">
      <c r="Z6977" s="11"/>
    </row>
    <row r="6978" spans="26:26" hidden="1">
      <c r="Z6978" s="11"/>
    </row>
    <row r="6979" spans="26:26" hidden="1">
      <c r="Z6979" s="11"/>
    </row>
    <row r="6980" spans="26:26" hidden="1">
      <c r="Z6980" s="11"/>
    </row>
    <row r="6981" spans="26:26" hidden="1">
      <c r="Z6981" s="11"/>
    </row>
    <row r="6982" spans="26:26" hidden="1">
      <c r="Z6982" s="11"/>
    </row>
    <row r="6983" spans="26:26" hidden="1">
      <c r="Z6983" s="11"/>
    </row>
    <row r="6984" spans="26:26" hidden="1">
      <c r="Z6984" s="11"/>
    </row>
    <row r="6985" spans="26:26" hidden="1">
      <c r="Z6985" s="11"/>
    </row>
    <row r="6986" spans="26:26" hidden="1">
      <c r="Z6986" s="11"/>
    </row>
    <row r="6987" spans="26:26" hidden="1">
      <c r="Z6987" s="11"/>
    </row>
    <row r="6988" spans="26:26" hidden="1">
      <c r="Z6988" s="11"/>
    </row>
    <row r="6989" spans="26:26" hidden="1">
      <c r="Z6989" s="11"/>
    </row>
    <row r="6990" spans="26:26" hidden="1">
      <c r="Z6990" s="11"/>
    </row>
    <row r="6991" spans="26:26" hidden="1">
      <c r="Z6991" s="11"/>
    </row>
    <row r="6992" spans="26:26" hidden="1">
      <c r="Z6992" s="11"/>
    </row>
    <row r="6993" spans="26:26" hidden="1">
      <c r="Z6993" s="11"/>
    </row>
    <row r="6994" spans="26:26" hidden="1">
      <c r="Z6994" s="11"/>
    </row>
    <row r="6995" spans="26:26" hidden="1">
      <c r="Z6995" s="11"/>
    </row>
    <row r="6996" spans="26:26" hidden="1">
      <c r="Z6996" s="11"/>
    </row>
    <row r="6997" spans="26:26" hidden="1">
      <c r="Z6997" s="11"/>
    </row>
    <row r="6998" spans="26:26" hidden="1">
      <c r="Z6998" s="11"/>
    </row>
    <row r="6999" spans="26:26" hidden="1">
      <c r="Z6999" s="11"/>
    </row>
    <row r="7000" spans="26:26" hidden="1">
      <c r="Z7000" s="11"/>
    </row>
    <row r="7001" spans="26:26" hidden="1">
      <c r="Z7001" s="11"/>
    </row>
    <row r="7002" spans="26:26" hidden="1">
      <c r="Z7002" s="11"/>
    </row>
    <row r="7003" spans="26:26" hidden="1">
      <c r="Z7003" s="11"/>
    </row>
    <row r="7004" spans="26:26" hidden="1">
      <c r="Z7004" s="11"/>
    </row>
    <row r="7005" spans="26:26" hidden="1">
      <c r="Z7005" s="11"/>
    </row>
    <row r="7006" spans="26:26" hidden="1">
      <c r="Z7006" s="11"/>
    </row>
    <row r="7007" spans="26:26" hidden="1">
      <c r="Z7007" s="11"/>
    </row>
    <row r="7008" spans="26:26" hidden="1">
      <c r="Z7008" s="11"/>
    </row>
    <row r="7009" spans="26:26" hidden="1">
      <c r="Z7009" s="11"/>
    </row>
    <row r="7010" spans="26:26" hidden="1">
      <c r="Z7010" s="11"/>
    </row>
    <row r="7011" spans="26:26" hidden="1">
      <c r="Z7011" s="11"/>
    </row>
    <row r="7012" spans="26:26" hidden="1">
      <c r="Z7012" s="11"/>
    </row>
    <row r="7013" spans="26:26" hidden="1">
      <c r="Z7013" s="11"/>
    </row>
    <row r="7014" spans="26:26" hidden="1">
      <c r="Z7014" s="11"/>
    </row>
    <row r="7015" spans="26:26" hidden="1">
      <c r="Z7015" s="11"/>
    </row>
    <row r="7016" spans="26:26" hidden="1">
      <c r="Z7016" s="11"/>
    </row>
    <row r="7017" spans="26:26" hidden="1">
      <c r="Z7017" s="11"/>
    </row>
    <row r="7018" spans="26:26" hidden="1">
      <c r="Z7018" s="11"/>
    </row>
    <row r="7019" spans="26:26" hidden="1">
      <c r="Z7019" s="11"/>
    </row>
    <row r="7020" spans="26:26" hidden="1">
      <c r="Z7020" s="11"/>
    </row>
    <row r="7021" spans="26:26" hidden="1">
      <c r="Z7021" s="11"/>
    </row>
    <row r="7022" spans="26:26" hidden="1">
      <c r="Z7022" s="11"/>
    </row>
    <row r="7023" spans="26:26" hidden="1">
      <c r="Z7023" s="11"/>
    </row>
    <row r="7024" spans="26:26" hidden="1">
      <c r="Z7024" s="11"/>
    </row>
    <row r="7025" spans="26:26" hidden="1">
      <c r="Z7025" s="11"/>
    </row>
    <row r="7026" spans="26:26" hidden="1">
      <c r="Z7026" s="11"/>
    </row>
    <row r="7027" spans="26:26" hidden="1">
      <c r="Z7027" s="11"/>
    </row>
    <row r="7028" spans="26:26" hidden="1">
      <c r="Z7028" s="11"/>
    </row>
    <row r="7029" spans="26:26" hidden="1">
      <c r="Z7029" s="11"/>
    </row>
    <row r="7030" spans="26:26" hidden="1">
      <c r="Z7030" s="11"/>
    </row>
    <row r="7031" spans="26:26" hidden="1">
      <c r="Z7031" s="11"/>
    </row>
    <row r="7032" spans="26:26" hidden="1">
      <c r="Z7032" s="11"/>
    </row>
    <row r="7033" spans="26:26" hidden="1">
      <c r="Z7033" s="11"/>
    </row>
    <row r="7034" spans="26:26" hidden="1">
      <c r="Z7034" s="11"/>
    </row>
    <row r="7035" spans="26:26" hidden="1">
      <c r="Z7035" s="11"/>
    </row>
    <row r="7036" spans="26:26" hidden="1">
      <c r="Z7036" s="11"/>
    </row>
    <row r="7037" spans="26:26" hidden="1">
      <c r="Z7037" s="11"/>
    </row>
    <row r="7038" spans="26:26" hidden="1">
      <c r="Z7038" s="11"/>
    </row>
    <row r="7039" spans="26:26" hidden="1">
      <c r="Z7039" s="11"/>
    </row>
    <row r="7040" spans="26:26" hidden="1">
      <c r="Z7040" s="11"/>
    </row>
    <row r="7041" spans="26:26" hidden="1">
      <c r="Z7041" s="11"/>
    </row>
    <row r="7042" spans="26:26" hidden="1">
      <c r="Z7042" s="11"/>
    </row>
    <row r="7043" spans="26:26" hidden="1">
      <c r="Z7043" s="11"/>
    </row>
    <row r="7044" spans="26:26" hidden="1">
      <c r="Z7044" s="11"/>
    </row>
    <row r="7045" spans="26:26" hidden="1">
      <c r="Z7045" s="11"/>
    </row>
    <row r="7046" spans="26:26" hidden="1">
      <c r="Z7046" s="11"/>
    </row>
    <row r="7047" spans="26:26" hidden="1">
      <c r="Z7047" s="11"/>
    </row>
    <row r="7048" spans="26:26" hidden="1">
      <c r="Z7048" s="11"/>
    </row>
    <row r="7049" spans="26:26" hidden="1">
      <c r="Z7049" s="11"/>
    </row>
    <row r="7050" spans="26:26" hidden="1">
      <c r="Z7050" s="11"/>
    </row>
    <row r="7051" spans="26:26" hidden="1">
      <c r="Z7051" s="11"/>
    </row>
    <row r="7052" spans="26:26" hidden="1">
      <c r="Z7052" s="11"/>
    </row>
    <row r="7053" spans="26:26" hidden="1">
      <c r="Z7053" s="11"/>
    </row>
    <row r="7054" spans="26:26" hidden="1">
      <c r="Z7054" s="11"/>
    </row>
    <row r="7055" spans="26:26" hidden="1">
      <c r="Z7055" s="11"/>
    </row>
    <row r="7056" spans="26:26" hidden="1">
      <c r="Z7056" s="11"/>
    </row>
    <row r="7057" spans="26:26" hidden="1">
      <c r="Z7057" s="11"/>
    </row>
    <row r="7058" spans="26:26" hidden="1">
      <c r="Z7058" s="11"/>
    </row>
    <row r="7059" spans="26:26" hidden="1">
      <c r="Z7059" s="11"/>
    </row>
    <row r="7060" spans="26:26" hidden="1">
      <c r="Z7060" s="11"/>
    </row>
    <row r="7061" spans="26:26" hidden="1">
      <c r="Z7061" s="11"/>
    </row>
    <row r="7062" spans="26:26" hidden="1">
      <c r="Z7062" s="11"/>
    </row>
    <row r="7063" spans="26:26" hidden="1">
      <c r="Z7063" s="11"/>
    </row>
    <row r="7064" spans="26:26" hidden="1">
      <c r="Z7064" s="11"/>
    </row>
    <row r="7065" spans="26:26" hidden="1">
      <c r="Z7065" s="11"/>
    </row>
    <row r="7066" spans="26:26" hidden="1">
      <c r="Z7066" s="11"/>
    </row>
    <row r="7067" spans="26:26" hidden="1">
      <c r="Z7067" s="11"/>
    </row>
    <row r="7068" spans="26:26" hidden="1">
      <c r="Z7068" s="11"/>
    </row>
    <row r="7069" spans="26:26" hidden="1">
      <c r="Z7069" s="11"/>
    </row>
    <row r="7070" spans="26:26" hidden="1">
      <c r="Z7070" s="11"/>
    </row>
    <row r="7071" spans="26:26" hidden="1">
      <c r="Z7071" s="11"/>
    </row>
    <row r="7072" spans="26:26" hidden="1">
      <c r="Z7072" s="11"/>
    </row>
    <row r="7073" spans="26:26" hidden="1">
      <c r="Z7073" s="11"/>
    </row>
    <row r="7074" spans="26:26" hidden="1">
      <c r="Z7074" s="11"/>
    </row>
    <row r="7075" spans="26:26" hidden="1">
      <c r="Z7075" s="11"/>
    </row>
    <row r="7076" spans="26:26" hidden="1">
      <c r="Z7076" s="11"/>
    </row>
    <row r="7077" spans="26:26" hidden="1">
      <c r="Z7077" s="11"/>
    </row>
    <row r="7078" spans="26:26" hidden="1">
      <c r="Z7078" s="11"/>
    </row>
    <row r="7079" spans="26:26" hidden="1">
      <c r="Z7079" s="11"/>
    </row>
    <row r="7080" spans="26:26" hidden="1">
      <c r="Z7080" s="11"/>
    </row>
    <row r="7081" spans="26:26" hidden="1">
      <c r="Z7081" s="11"/>
    </row>
    <row r="7082" spans="26:26" hidden="1">
      <c r="Z7082" s="11"/>
    </row>
    <row r="7083" spans="26:26" hidden="1">
      <c r="Z7083" s="11"/>
    </row>
    <row r="7084" spans="26:26" hidden="1">
      <c r="Z7084" s="11"/>
    </row>
    <row r="7085" spans="26:26" hidden="1">
      <c r="Z7085" s="11"/>
    </row>
    <row r="7086" spans="26:26" hidden="1">
      <c r="Z7086" s="11"/>
    </row>
    <row r="7087" spans="26:26" hidden="1">
      <c r="Z7087" s="11"/>
    </row>
    <row r="7088" spans="26:26" hidden="1">
      <c r="Z7088" s="11"/>
    </row>
    <row r="7089" spans="26:26" hidden="1">
      <c r="Z7089" s="11"/>
    </row>
    <row r="7090" spans="26:26" hidden="1">
      <c r="Z7090" s="11"/>
    </row>
    <row r="7091" spans="26:26" hidden="1">
      <c r="Z7091" s="11"/>
    </row>
    <row r="7092" spans="26:26" hidden="1">
      <c r="Z7092" s="11"/>
    </row>
    <row r="7093" spans="26:26" hidden="1">
      <c r="Z7093" s="11"/>
    </row>
    <row r="7094" spans="26:26" hidden="1">
      <c r="Z7094" s="11"/>
    </row>
    <row r="7095" spans="26:26" hidden="1">
      <c r="Z7095" s="11"/>
    </row>
    <row r="7096" spans="26:26" hidden="1">
      <c r="Z7096" s="11"/>
    </row>
    <row r="7097" spans="26:26" hidden="1">
      <c r="Z7097" s="11"/>
    </row>
    <row r="7098" spans="26:26" hidden="1">
      <c r="Z7098" s="11"/>
    </row>
    <row r="7099" spans="26:26" hidden="1">
      <c r="Z7099" s="11"/>
    </row>
    <row r="7100" spans="26:26" hidden="1">
      <c r="Z7100" s="11"/>
    </row>
    <row r="7101" spans="26:26" hidden="1">
      <c r="Z7101" s="11"/>
    </row>
    <row r="7102" spans="26:26" hidden="1">
      <c r="Z7102" s="11"/>
    </row>
    <row r="7103" spans="26:26" hidden="1">
      <c r="Z7103" s="11"/>
    </row>
    <row r="7104" spans="26:26" hidden="1">
      <c r="Z7104" s="11"/>
    </row>
    <row r="7105" spans="26:26" hidden="1">
      <c r="Z7105" s="11"/>
    </row>
    <row r="7106" spans="26:26" hidden="1">
      <c r="Z7106" s="11"/>
    </row>
    <row r="7107" spans="26:26" hidden="1">
      <c r="Z7107" s="11"/>
    </row>
    <row r="7108" spans="26:26" hidden="1">
      <c r="Z7108" s="11"/>
    </row>
    <row r="7109" spans="26:26" hidden="1">
      <c r="Z7109" s="11"/>
    </row>
    <row r="7110" spans="26:26" hidden="1">
      <c r="Z7110" s="11"/>
    </row>
    <row r="7111" spans="26:26" hidden="1">
      <c r="Z7111" s="11"/>
    </row>
    <row r="7112" spans="26:26" hidden="1">
      <c r="Z7112" s="11"/>
    </row>
    <row r="7113" spans="26:26" hidden="1">
      <c r="Z7113" s="11"/>
    </row>
    <row r="7114" spans="26:26" hidden="1">
      <c r="Z7114" s="11"/>
    </row>
    <row r="7115" spans="26:26" hidden="1">
      <c r="Z7115" s="11"/>
    </row>
    <row r="7116" spans="26:26" hidden="1">
      <c r="Z7116" s="11"/>
    </row>
    <row r="7117" spans="26:26" hidden="1">
      <c r="Z7117" s="11"/>
    </row>
    <row r="7118" spans="26:26" hidden="1">
      <c r="Z7118" s="11"/>
    </row>
    <row r="7119" spans="26:26" hidden="1">
      <c r="Z7119" s="11"/>
    </row>
    <row r="7120" spans="26:26" hidden="1">
      <c r="Z7120" s="11"/>
    </row>
    <row r="7121" spans="26:26" hidden="1">
      <c r="Z7121" s="11"/>
    </row>
    <row r="7122" spans="26:26" hidden="1">
      <c r="Z7122" s="11"/>
    </row>
    <row r="7123" spans="26:26" hidden="1">
      <c r="Z7123" s="11"/>
    </row>
    <row r="7124" spans="26:26" hidden="1">
      <c r="Z7124" s="11"/>
    </row>
    <row r="7125" spans="26:26" hidden="1">
      <c r="Z7125" s="11"/>
    </row>
    <row r="7126" spans="26:26" hidden="1">
      <c r="Z7126" s="11"/>
    </row>
    <row r="7127" spans="26:26" hidden="1">
      <c r="Z7127" s="11"/>
    </row>
    <row r="7128" spans="26:26" hidden="1">
      <c r="Z7128" s="11"/>
    </row>
    <row r="7129" spans="26:26" hidden="1">
      <c r="Z7129" s="11"/>
    </row>
    <row r="7130" spans="26:26" hidden="1">
      <c r="Z7130" s="11"/>
    </row>
    <row r="7131" spans="26:26" hidden="1">
      <c r="Z7131" s="11"/>
    </row>
    <row r="7132" spans="26:26" hidden="1">
      <c r="Z7132" s="11"/>
    </row>
    <row r="7133" spans="26:26" hidden="1">
      <c r="Z7133" s="11"/>
    </row>
    <row r="7134" spans="26:26" hidden="1">
      <c r="Z7134" s="11"/>
    </row>
    <row r="7135" spans="26:26" hidden="1">
      <c r="Z7135" s="11"/>
    </row>
    <row r="7136" spans="26:26" hidden="1">
      <c r="Z7136" s="11"/>
    </row>
    <row r="7137" spans="26:26" hidden="1">
      <c r="Z7137" s="11"/>
    </row>
    <row r="7138" spans="26:26" hidden="1">
      <c r="Z7138" s="11"/>
    </row>
    <row r="7139" spans="26:26" hidden="1">
      <c r="Z7139" s="11"/>
    </row>
    <row r="7140" spans="26:26" hidden="1">
      <c r="Z7140" s="11"/>
    </row>
    <row r="7141" spans="26:26" hidden="1">
      <c r="Z7141" s="11"/>
    </row>
    <row r="7142" spans="26:26" hidden="1">
      <c r="Z7142" s="11"/>
    </row>
    <row r="7143" spans="26:26" hidden="1">
      <c r="Z7143" s="11"/>
    </row>
    <row r="7144" spans="26:26" hidden="1">
      <c r="Z7144" s="11"/>
    </row>
    <row r="7145" spans="26:26" hidden="1">
      <c r="Z7145" s="11"/>
    </row>
    <row r="7146" spans="26:26" hidden="1">
      <c r="Z7146" s="11"/>
    </row>
    <row r="7147" spans="26:26" hidden="1">
      <c r="Z7147" s="11"/>
    </row>
    <row r="7148" spans="26:26" hidden="1">
      <c r="Z7148" s="11"/>
    </row>
    <row r="7149" spans="26:26" hidden="1">
      <c r="Z7149" s="11"/>
    </row>
    <row r="7150" spans="26:26" hidden="1">
      <c r="Z7150" s="11"/>
    </row>
    <row r="7151" spans="26:26" hidden="1">
      <c r="Z7151" s="11"/>
    </row>
    <row r="7152" spans="26:26" hidden="1">
      <c r="Z7152" s="11"/>
    </row>
    <row r="7153" spans="26:26" hidden="1">
      <c r="Z7153" s="11"/>
    </row>
    <row r="7154" spans="26:26" hidden="1">
      <c r="Z7154" s="11"/>
    </row>
    <row r="7155" spans="26:26" hidden="1">
      <c r="Z7155" s="11"/>
    </row>
    <row r="7156" spans="26:26" hidden="1">
      <c r="Z7156" s="11"/>
    </row>
    <row r="7157" spans="26:26" hidden="1">
      <c r="Z7157" s="11"/>
    </row>
    <row r="7158" spans="26:26" hidden="1">
      <c r="Z7158" s="11"/>
    </row>
    <row r="7159" spans="26:26" hidden="1">
      <c r="Z7159" s="11"/>
    </row>
    <row r="7160" spans="26:26" hidden="1">
      <c r="Z7160" s="11"/>
    </row>
    <row r="7161" spans="26:26" hidden="1">
      <c r="Z7161" s="11"/>
    </row>
    <row r="7162" spans="26:26" hidden="1">
      <c r="Z7162" s="11"/>
    </row>
    <row r="7163" spans="26:26" hidden="1">
      <c r="Z7163" s="11"/>
    </row>
    <row r="7164" spans="26:26" hidden="1">
      <c r="Z7164" s="11"/>
    </row>
    <row r="7165" spans="26:26" hidden="1">
      <c r="Z7165" s="11"/>
    </row>
    <row r="7166" spans="26:26" hidden="1">
      <c r="Z7166" s="11"/>
    </row>
    <row r="7167" spans="26:26" hidden="1">
      <c r="Z7167" s="11"/>
    </row>
    <row r="7168" spans="26:26" hidden="1">
      <c r="Z7168" s="11"/>
    </row>
    <row r="7169" spans="26:26" hidden="1">
      <c r="Z7169" s="11"/>
    </row>
    <row r="7170" spans="26:26" hidden="1">
      <c r="Z7170" s="11"/>
    </row>
    <row r="7171" spans="26:26" hidden="1">
      <c r="Z7171" s="11"/>
    </row>
    <row r="7172" spans="26:26" hidden="1">
      <c r="Z7172" s="11"/>
    </row>
    <row r="7173" spans="26:26" hidden="1">
      <c r="Z7173" s="11"/>
    </row>
    <row r="7174" spans="26:26" hidden="1">
      <c r="Z7174" s="11"/>
    </row>
    <row r="7175" spans="26:26" hidden="1">
      <c r="Z7175" s="11"/>
    </row>
    <row r="7176" spans="26:26" hidden="1">
      <c r="Z7176" s="11"/>
    </row>
    <row r="7177" spans="26:26" hidden="1">
      <c r="Z7177" s="11"/>
    </row>
    <row r="7178" spans="26:26" hidden="1">
      <c r="Z7178" s="11"/>
    </row>
    <row r="7179" spans="26:26" hidden="1">
      <c r="Z7179" s="11"/>
    </row>
    <row r="7180" spans="26:26" hidden="1">
      <c r="Z7180" s="11"/>
    </row>
    <row r="7181" spans="26:26" hidden="1">
      <c r="Z7181" s="11"/>
    </row>
    <row r="7182" spans="26:26" hidden="1">
      <c r="Z7182" s="11"/>
    </row>
    <row r="7183" spans="26:26" hidden="1">
      <c r="Z7183" s="11"/>
    </row>
    <row r="7184" spans="26:26" hidden="1">
      <c r="Z7184" s="11"/>
    </row>
    <row r="7185" spans="26:26" hidden="1">
      <c r="Z7185" s="11"/>
    </row>
    <row r="7186" spans="26:26" hidden="1">
      <c r="Z7186" s="11"/>
    </row>
    <row r="7187" spans="26:26" hidden="1">
      <c r="Z7187" s="11"/>
    </row>
    <row r="7188" spans="26:26" hidden="1">
      <c r="Z7188" s="11"/>
    </row>
    <row r="7189" spans="26:26" hidden="1">
      <c r="Z7189" s="11"/>
    </row>
    <row r="7190" spans="26:26" hidden="1">
      <c r="Z7190" s="11"/>
    </row>
    <row r="7191" spans="26:26" hidden="1">
      <c r="Z7191" s="11"/>
    </row>
    <row r="7192" spans="26:26" hidden="1">
      <c r="Z7192" s="11"/>
    </row>
    <row r="7193" spans="26:26" hidden="1">
      <c r="Z7193" s="11"/>
    </row>
    <row r="7194" spans="26:26" hidden="1">
      <c r="Z7194" s="11"/>
    </row>
    <row r="7195" spans="26:26" hidden="1">
      <c r="Z7195" s="11"/>
    </row>
    <row r="7196" spans="26:26" hidden="1">
      <c r="Z7196" s="11"/>
    </row>
    <row r="7197" spans="26:26" hidden="1">
      <c r="Z7197" s="11"/>
    </row>
    <row r="7198" spans="26:26" hidden="1">
      <c r="Z7198" s="11"/>
    </row>
    <row r="7199" spans="26:26" hidden="1">
      <c r="Z7199" s="11"/>
    </row>
    <row r="7200" spans="26:26" hidden="1">
      <c r="Z7200" s="11"/>
    </row>
    <row r="7201" spans="26:26" hidden="1">
      <c r="Z7201" s="11"/>
    </row>
    <row r="7202" spans="26:26" hidden="1">
      <c r="Z7202" s="11"/>
    </row>
    <row r="7203" spans="26:26" hidden="1">
      <c r="Z7203" s="11"/>
    </row>
    <row r="7204" spans="26:26" hidden="1">
      <c r="Z7204" s="11"/>
    </row>
    <row r="7205" spans="26:26" hidden="1">
      <c r="Z7205" s="11"/>
    </row>
    <row r="7206" spans="26:26" hidden="1">
      <c r="Z7206" s="11"/>
    </row>
    <row r="7207" spans="26:26" hidden="1">
      <c r="Z7207" s="11"/>
    </row>
    <row r="7208" spans="26:26" hidden="1">
      <c r="Z7208" s="11"/>
    </row>
    <row r="7209" spans="26:26" hidden="1">
      <c r="Z7209" s="11"/>
    </row>
    <row r="7210" spans="26:26" hidden="1">
      <c r="Z7210" s="11"/>
    </row>
    <row r="7211" spans="26:26" hidden="1">
      <c r="Z7211" s="11"/>
    </row>
    <row r="7212" spans="26:26" hidden="1">
      <c r="Z7212" s="11"/>
    </row>
    <row r="7213" spans="26:26" hidden="1">
      <c r="Z7213" s="11"/>
    </row>
    <row r="7214" spans="26:26" hidden="1">
      <c r="Z7214" s="11"/>
    </row>
    <row r="7215" spans="26:26" hidden="1">
      <c r="Z7215" s="11"/>
    </row>
    <row r="7216" spans="26:26" hidden="1">
      <c r="Z7216" s="11"/>
    </row>
    <row r="7217" spans="26:26" hidden="1">
      <c r="Z7217" s="11"/>
    </row>
    <row r="7218" spans="26:26" hidden="1">
      <c r="Z7218" s="11"/>
    </row>
    <row r="7219" spans="26:26" hidden="1">
      <c r="Z7219" s="11"/>
    </row>
    <row r="7220" spans="26:26" hidden="1">
      <c r="Z7220" s="11"/>
    </row>
    <row r="7221" spans="26:26" hidden="1">
      <c r="Z7221" s="11"/>
    </row>
    <row r="7222" spans="26:26" hidden="1">
      <c r="Z7222" s="11"/>
    </row>
    <row r="7223" spans="26:26" hidden="1">
      <c r="Z7223" s="11"/>
    </row>
    <row r="7224" spans="26:26" hidden="1">
      <c r="Z7224" s="11"/>
    </row>
    <row r="7225" spans="26:26" hidden="1">
      <c r="Z7225" s="11"/>
    </row>
    <row r="7226" spans="26:26" hidden="1">
      <c r="Z7226" s="11"/>
    </row>
    <row r="7227" spans="26:26" hidden="1">
      <c r="Z7227" s="11"/>
    </row>
    <row r="7228" spans="26:26" hidden="1">
      <c r="Z7228" s="11"/>
    </row>
    <row r="7229" spans="26:26" hidden="1">
      <c r="Z7229" s="11"/>
    </row>
    <row r="7230" spans="26:26" hidden="1">
      <c r="Z7230" s="11"/>
    </row>
    <row r="7231" spans="26:26" hidden="1">
      <c r="Z7231" s="11"/>
    </row>
    <row r="7232" spans="26:26" hidden="1">
      <c r="Z7232" s="11"/>
    </row>
    <row r="7233" spans="26:26" hidden="1">
      <c r="Z7233" s="11"/>
    </row>
    <row r="7234" spans="26:26" hidden="1">
      <c r="Z7234" s="11"/>
    </row>
    <row r="7235" spans="26:26" hidden="1">
      <c r="Z7235" s="11"/>
    </row>
    <row r="7236" spans="26:26" hidden="1">
      <c r="Z7236" s="11"/>
    </row>
    <row r="7237" spans="26:26" hidden="1">
      <c r="Z7237" s="11"/>
    </row>
    <row r="7238" spans="26:26" hidden="1">
      <c r="Z7238" s="11"/>
    </row>
    <row r="7239" spans="26:26" hidden="1">
      <c r="Z7239" s="11"/>
    </row>
    <row r="7240" spans="26:26" hidden="1">
      <c r="Z7240" s="11"/>
    </row>
    <row r="7241" spans="26:26" hidden="1">
      <c r="Z7241" s="11"/>
    </row>
    <row r="7242" spans="26:26" hidden="1">
      <c r="Z7242" s="11"/>
    </row>
    <row r="7243" spans="26:26" hidden="1">
      <c r="Z7243" s="11"/>
    </row>
    <row r="7244" spans="26:26" hidden="1">
      <c r="Z7244" s="11"/>
    </row>
    <row r="7245" spans="26:26" hidden="1">
      <c r="Z7245" s="11"/>
    </row>
    <row r="7246" spans="26:26" hidden="1">
      <c r="Z7246" s="11"/>
    </row>
    <row r="7247" spans="26:26" hidden="1">
      <c r="Z7247" s="11"/>
    </row>
    <row r="7248" spans="26:26" hidden="1">
      <c r="Z7248" s="11"/>
    </row>
    <row r="7249" spans="26:26" hidden="1">
      <c r="Z7249" s="11"/>
    </row>
    <row r="7250" spans="26:26" hidden="1">
      <c r="Z7250" s="11"/>
    </row>
    <row r="7251" spans="26:26" hidden="1">
      <c r="Z7251" s="11"/>
    </row>
    <row r="7252" spans="26:26" hidden="1">
      <c r="Z7252" s="11"/>
    </row>
    <row r="7253" spans="26:26" hidden="1">
      <c r="Z7253" s="11"/>
    </row>
    <row r="7254" spans="26:26" hidden="1">
      <c r="Z7254" s="11"/>
    </row>
    <row r="7255" spans="26:26" hidden="1">
      <c r="Z7255" s="11"/>
    </row>
    <row r="7256" spans="26:26" hidden="1">
      <c r="Z7256" s="11"/>
    </row>
    <row r="7257" spans="26:26" hidden="1">
      <c r="Z7257" s="11"/>
    </row>
    <row r="7258" spans="26:26" hidden="1">
      <c r="Z7258" s="11"/>
    </row>
    <row r="7259" spans="26:26" hidden="1">
      <c r="Z7259" s="11"/>
    </row>
    <row r="7260" spans="26:26" hidden="1">
      <c r="Z7260" s="11"/>
    </row>
    <row r="7261" spans="26:26" hidden="1">
      <c r="Z7261" s="11"/>
    </row>
    <row r="7262" spans="26:26" hidden="1">
      <c r="Z7262" s="11"/>
    </row>
    <row r="7263" spans="26:26" hidden="1">
      <c r="Z7263" s="11"/>
    </row>
    <row r="7264" spans="26:26" hidden="1">
      <c r="Z7264" s="11"/>
    </row>
    <row r="7265" spans="26:26" hidden="1">
      <c r="Z7265" s="11"/>
    </row>
    <row r="7266" spans="26:26" hidden="1">
      <c r="Z7266" s="11"/>
    </row>
    <row r="7267" spans="26:26" hidden="1">
      <c r="Z7267" s="11"/>
    </row>
    <row r="7268" spans="26:26" hidden="1">
      <c r="Z7268" s="11"/>
    </row>
    <row r="7269" spans="26:26" hidden="1">
      <c r="Z7269" s="11"/>
    </row>
    <row r="7270" spans="26:26" hidden="1">
      <c r="Z7270" s="11"/>
    </row>
    <row r="7271" spans="26:26" hidden="1">
      <c r="Z7271" s="11"/>
    </row>
    <row r="7272" spans="26:26" hidden="1">
      <c r="Z7272" s="11"/>
    </row>
    <row r="7273" spans="26:26" hidden="1">
      <c r="Z7273" s="11"/>
    </row>
    <row r="7274" spans="26:26" hidden="1">
      <c r="Z7274" s="11"/>
    </row>
    <row r="7275" spans="26:26" hidden="1">
      <c r="Z7275" s="11"/>
    </row>
    <row r="7276" spans="26:26" hidden="1">
      <c r="Z7276" s="11"/>
    </row>
    <row r="7277" spans="26:26" hidden="1">
      <c r="Z7277" s="11"/>
    </row>
    <row r="7278" spans="26:26" hidden="1">
      <c r="Z7278" s="11"/>
    </row>
    <row r="7279" spans="26:26" hidden="1">
      <c r="Z7279" s="11"/>
    </row>
    <row r="7280" spans="26:26" hidden="1">
      <c r="Z7280" s="11"/>
    </row>
    <row r="7281" spans="26:26" hidden="1">
      <c r="Z7281" s="11"/>
    </row>
    <row r="7282" spans="26:26" hidden="1">
      <c r="Z7282" s="11"/>
    </row>
    <row r="7283" spans="26:26" hidden="1">
      <c r="Z7283" s="11"/>
    </row>
    <row r="7284" spans="26:26" hidden="1">
      <c r="Z7284" s="11"/>
    </row>
    <row r="7285" spans="26:26" hidden="1">
      <c r="Z7285" s="11"/>
    </row>
    <row r="7286" spans="26:26" hidden="1">
      <c r="Z7286" s="11"/>
    </row>
    <row r="7287" spans="26:26" hidden="1">
      <c r="Z7287" s="11"/>
    </row>
    <row r="7288" spans="26:26" hidden="1">
      <c r="Z7288" s="11"/>
    </row>
    <row r="7289" spans="26:26" hidden="1">
      <c r="Z7289" s="11"/>
    </row>
    <row r="7290" spans="26:26" hidden="1">
      <c r="Z7290" s="11"/>
    </row>
    <row r="7291" spans="26:26" hidden="1">
      <c r="Z7291" s="11"/>
    </row>
    <row r="7292" spans="26:26" hidden="1">
      <c r="Z7292" s="11"/>
    </row>
    <row r="7293" spans="26:26" hidden="1">
      <c r="Z7293" s="11"/>
    </row>
    <row r="7294" spans="26:26" hidden="1">
      <c r="Z7294" s="11"/>
    </row>
    <row r="7295" spans="26:26" hidden="1">
      <c r="Z7295" s="11"/>
    </row>
    <row r="7296" spans="26:26" hidden="1">
      <c r="Z7296" s="11"/>
    </row>
    <row r="7297" spans="26:26" hidden="1">
      <c r="Z7297" s="11"/>
    </row>
    <row r="7298" spans="26:26" hidden="1">
      <c r="Z7298" s="11"/>
    </row>
    <row r="7299" spans="26:26" hidden="1">
      <c r="Z7299" s="11"/>
    </row>
    <row r="7300" spans="26:26" hidden="1">
      <c r="Z7300" s="11"/>
    </row>
    <row r="7301" spans="26:26" hidden="1">
      <c r="Z7301" s="11"/>
    </row>
    <row r="7302" spans="26:26" hidden="1">
      <c r="Z7302" s="11"/>
    </row>
    <row r="7303" spans="26:26" hidden="1">
      <c r="Z7303" s="11"/>
    </row>
    <row r="7304" spans="26:26" hidden="1">
      <c r="Z7304" s="11"/>
    </row>
    <row r="7305" spans="26:26" hidden="1">
      <c r="Z7305" s="11"/>
    </row>
    <row r="7306" spans="26:26" hidden="1">
      <c r="Z7306" s="11"/>
    </row>
    <row r="7307" spans="26:26" hidden="1">
      <c r="Z7307" s="11"/>
    </row>
    <row r="7308" spans="26:26" hidden="1">
      <c r="Z7308" s="11"/>
    </row>
    <row r="7309" spans="26:26" hidden="1">
      <c r="Z7309" s="11"/>
    </row>
    <row r="7310" spans="26:26" hidden="1">
      <c r="Z7310" s="11"/>
    </row>
    <row r="7311" spans="26:26" hidden="1">
      <c r="Z7311" s="11"/>
    </row>
    <row r="7312" spans="26:26" hidden="1">
      <c r="Z7312" s="11"/>
    </row>
    <row r="7313" spans="26:26" hidden="1">
      <c r="Z7313" s="11"/>
    </row>
    <row r="7314" spans="26:26" hidden="1">
      <c r="Z7314" s="11"/>
    </row>
    <row r="7315" spans="26:26" hidden="1">
      <c r="Z7315" s="11"/>
    </row>
    <row r="7316" spans="26:26" hidden="1">
      <c r="Z7316" s="11"/>
    </row>
    <row r="7317" spans="26:26" hidden="1">
      <c r="Z7317" s="11"/>
    </row>
    <row r="7318" spans="26:26" hidden="1">
      <c r="Z7318" s="11"/>
    </row>
    <row r="7319" spans="26:26" hidden="1">
      <c r="Z7319" s="11"/>
    </row>
    <row r="7320" spans="26:26" hidden="1">
      <c r="Z7320" s="11"/>
    </row>
    <row r="7321" spans="26:26" hidden="1">
      <c r="Z7321" s="11"/>
    </row>
    <row r="7322" spans="26:26" hidden="1">
      <c r="Z7322" s="11"/>
    </row>
    <row r="7323" spans="26:26" hidden="1">
      <c r="Z7323" s="11"/>
    </row>
    <row r="7324" spans="26:26" hidden="1">
      <c r="Z7324" s="11"/>
    </row>
    <row r="7325" spans="26:26" hidden="1">
      <c r="Z7325" s="11"/>
    </row>
    <row r="7326" spans="26:26" hidden="1">
      <c r="Z7326" s="11"/>
    </row>
    <row r="7327" spans="26:26" hidden="1">
      <c r="Z7327" s="11"/>
    </row>
    <row r="7328" spans="26:26" hidden="1">
      <c r="Z7328" s="11"/>
    </row>
    <row r="7329" spans="26:26" hidden="1">
      <c r="Z7329" s="11"/>
    </row>
    <row r="7330" spans="26:26" hidden="1">
      <c r="Z7330" s="11"/>
    </row>
    <row r="7331" spans="26:26" hidden="1">
      <c r="Z7331" s="11"/>
    </row>
    <row r="7332" spans="26:26" hidden="1">
      <c r="Z7332" s="11"/>
    </row>
    <row r="7333" spans="26:26" hidden="1">
      <c r="Z7333" s="11"/>
    </row>
    <row r="7334" spans="26:26" hidden="1">
      <c r="Z7334" s="11"/>
    </row>
    <row r="7335" spans="26:26" hidden="1">
      <c r="Z7335" s="11"/>
    </row>
    <row r="7336" spans="26:26" hidden="1">
      <c r="Z7336" s="11"/>
    </row>
    <row r="7337" spans="26:26" hidden="1">
      <c r="Z7337" s="11"/>
    </row>
    <row r="7338" spans="26:26" hidden="1">
      <c r="Z7338" s="11"/>
    </row>
    <row r="7339" spans="26:26" hidden="1">
      <c r="Z7339" s="11"/>
    </row>
    <row r="7340" spans="26:26" hidden="1">
      <c r="Z7340" s="11"/>
    </row>
    <row r="7341" spans="26:26" hidden="1">
      <c r="Z7341" s="11"/>
    </row>
    <row r="7342" spans="26:26" hidden="1">
      <c r="Z7342" s="11"/>
    </row>
    <row r="7343" spans="26:26" hidden="1">
      <c r="Z7343" s="11"/>
    </row>
    <row r="7344" spans="26:26" hidden="1">
      <c r="Z7344" s="11"/>
    </row>
    <row r="7345" spans="26:26" hidden="1">
      <c r="Z7345" s="11"/>
    </row>
    <row r="7346" spans="26:26" hidden="1">
      <c r="Z7346" s="11"/>
    </row>
    <row r="7347" spans="26:26" hidden="1">
      <c r="Z7347" s="11"/>
    </row>
    <row r="7348" spans="26:26" hidden="1">
      <c r="Z7348" s="11"/>
    </row>
    <row r="7349" spans="26:26" hidden="1">
      <c r="Z7349" s="11"/>
    </row>
    <row r="7350" spans="26:26" hidden="1">
      <c r="Z7350" s="11"/>
    </row>
    <row r="7351" spans="26:26" hidden="1">
      <c r="Z7351" s="11"/>
    </row>
    <row r="7352" spans="26:26" hidden="1">
      <c r="Z7352" s="11"/>
    </row>
    <row r="7353" spans="26:26" hidden="1">
      <c r="Z7353" s="11"/>
    </row>
    <row r="7354" spans="26:26" hidden="1">
      <c r="Z7354" s="11"/>
    </row>
    <row r="7355" spans="26:26" hidden="1">
      <c r="Z7355" s="11"/>
    </row>
    <row r="7356" spans="26:26" hidden="1">
      <c r="Z7356" s="11"/>
    </row>
    <row r="7357" spans="26:26" hidden="1">
      <c r="Z7357" s="11"/>
    </row>
    <row r="7358" spans="26:26" hidden="1">
      <c r="Z7358" s="11"/>
    </row>
    <row r="7359" spans="26:26" hidden="1">
      <c r="Z7359" s="11"/>
    </row>
    <row r="7360" spans="26:26" hidden="1">
      <c r="Z7360" s="11"/>
    </row>
    <row r="7361" spans="26:26" hidden="1">
      <c r="Z7361" s="11"/>
    </row>
    <row r="7362" spans="26:26" hidden="1">
      <c r="Z7362" s="11"/>
    </row>
    <row r="7363" spans="26:26" hidden="1">
      <c r="Z7363" s="11"/>
    </row>
    <row r="7364" spans="26:26" hidden="1">
      <c r="Z7364" s="11"/>
    </row>
    <row r="7365" spans="26:26" hidden="1">
      <c r="Z7365" s="11"/>
    </row>
    <row r="7366" spans="26:26" hidden="1">
      <c r="Z7366" s="11"/>
    </row>
    <row r="7367" spans="26:26" hidden="1">
      <c r="Z7367" s="11"/>
    </row>
    <row r="7368" spans="26:26" hidden="1">
      <c r="Z7368" s="11"/>
    </row>
    <row r="7369" spans="26:26" hidden="1">
      <c r="Z7369" s="11"/>
    </row>
    <row r="7370" spans="26:26" hidden="1">
      <c r="Z7370" s="11"/>
    </row>
    <row r="7371" spans="26:26" hidden="1">
      <c r="Z7371" s="11"/>
    </row>
    <row r="7372" spans="26:26" hidden="1">
      <c r="Z7372" s="11"/>
    </row>
    <row r="7373" spans="26:26" hidden="1">
      <c r="Z7373" s="11"/>
    </row>
    <row r="7374" spans="26:26" hidden="1">
      <c r="Z7374" s="11"/>
    </row>
    <row r="7375" spans="26:26" hidden="1">
      <c r="Z7375" s="11"/>
    </row>
    <row r="7376" spans="26:26" hidden="1">
      <c r="Z7376" s="11"/>
    </row>
    <row r="7377" spans="26:26" hidden="1">
      <c r="Z7377" s="11"/>
    </row>
    <row r="7378" spans="26:26" hidden="1">
      <c r="Z7378" s="11"/>
    </row>
    <row r="7379" spans="26:26" hidden="1">
      <c r="Z7379" s="11"/>
    </row>
    <row r="7380" spans="26:26" hidden="1">
      <c r="Z7380" s="11"/>
    </row>
    <row r="7381" spans="26:26" hidden="1">
      <c r="Z7381" s="11"/>
    </row>
    <row r="7382" spans="26:26" hidden="1">
      <c r="Z7382" s="11"/>
    </row>
    <row r="7383" spans="26:26" hidden="1">
      <c r="Z7383" s="11"/>
    </row>
    <row r="7384" spans="26:26" hidden="1">
      <c r="Z7384" s="11"/>
    </row>
    <row r="7385" spans="26:26" hidden="1">
      <c r="Z7385" s="11"/>
    </row>
    <row r="7386" spans="26:26" hidden="1">
      <c r="Z7386" s="11"/>
    </row>
    <row r="7387" spans="26:26" hidden="1">
      <c r="Z7387" s="11"/>
    </row>
    <row r="7388" spans="26:26" hidden="1">
      <c r="Z7388" s="11"/>
    </row>
    <row r="7389" spans="26:26" hidden="1">
      <c r="Z7389" s="11"/>
    </row>
    <row r="7390" spans="26:26" hidden="1">
      <c r="Z7390" s="11"/>
    </row>
    <row r="7391" spans="26:26" hidden="1">
      <c r="Z7391" s="11"/>
    </row>
    <row r="7392" spans="26:26" hidden="1">
      <c r="Z7392" s="11"/>
    </row>
    <row r="7393" spans="26:26" hidden="1">
      <c r="Z7393" s="11"/>
    </row>
    <row r="7394" spans="26:26" hidden="1">
      <c r="Z7394" s="11"/>
    </row>
    <row r="7395" spans="26:26" hidden="1">
      <c r="Z7395" s="11"/>
    </row>
    <row r="7396" spans="26:26" hidden="1">
      <c r="Z7396" s="11"/>
    </row>
    <row r="7397" spans="26:26" hidden="1">
      <c r="Z7397" s="11"/>
    </row>
    <row r="7398" spans="26:26" hidden="1">
      <c r="Z7398" s="11"/>
    </row>
    <row r="7399" spans="26:26" hidden="1">
      <c r="Z7399" s="11"/>
    </row>
    <row r="7400" spans="26:26" hidden="1">
      <c r="Z7400" s="11"/>
    </row>
    <row r="7401" spans="26:26" hidden="1">
      <c r="Z7401" s="11"/>
    </row>
    <row r="7402" spans="26:26" hidden="1">
      <c r="Z7402" s="11"/>
    </row>
    <row r="7403" spans="26:26" hidden="1">
      <c r="Z7403" s="11"/>
    </row>
    <row r="7404" spans="26:26" hidden="1">
      <c r="Z7404" s="11"/>
    </row>
    <row r="7405" spans="26:26" hidden="1">
      <c r="Z7405" s="11"/>
    </row>
    <row r="7406" spans="26:26" hidden="1">
      <c r="Z7406" s="11"/>
    </row>
    <row r="7407" spans="26:26" hidden="1">
      <c r="Z7407" s="11"/>
    </row>
    <row r="7408" spans="26:26" hidden="1">
      <c r="Z7408" s="11"/>
    </row>
    <row r="7409" spans="26:26" hidden="1">
      <c r="Z7409" s="11"/>
    </row>
    <row r="7410" spans="26:26" hidden="1">
      <c r="Z7410" s="11"/>
    </row>
    <row r="7411" spans="26:26" hidden="1">
      <c r="Z7411" s="11"/>
    </row>
    <row r="7412" spans="26:26" hidden="1">
      <c r="Z7412" s="11"/>
    </row>
    <row r="7413" spans="26:26" hidden="1">
      <c r="Z7413" s="11"/>
    </row>
    <row r="7414" spans="26:26" hidden="1">
      <c r="Z7414" s="11"/>
    </row>
    <row r="7415" spans="26:26" hidden="1">
      <c r="Z7415" s="11"/>
    </row>
    <row r="7416" spans="26:26" hidden="1">
      <c r="Z7416" s="11"/>
    </row>
    <row r="7417" spans="26:26" hidden="1">
      <c r="Z7417" s="11"/>
    </row>
    <row r="7418" spans="26:26" hidden="1">
      <c r="Z7418" s="11"/>
    </row>
    <row r="7419" spans="26:26" hidden="1">
      <c r="Z7419" s="11"/>
    </row>
    <row r="7420" spans="26:26" hidden="1">
      <c r="Z7420" s="11"/>
    </row>
    <row r="7421" spans="26:26" hidden="1">
      <c r="Z7421" s="11"/>
    </row>
    <row r="7422" spans="26:26" hidden="1">
      <c r="Z7422" s="11"/>
    </row>
    <row r="7423" spans="26:26" hidden="1">
      <c r="Z7423" s="11"/>
    </row>
    <row r="7424" spans="26:26" hidden="1">
      <c r="Z7424" s="11"/>
    </row>
    <row r="7425" spans="26:26" hidden="1">
      <c r="Z7425" s="11"/>
    </row>
    <row r="7426" spans="26:26" hidden="1">
      <c r="Z7426" s="11"/>
    </row>
    <row r="7427" spans="26:26" hidden="1">
      <c r="Z7427" s="11"/>
    </row>
    <row r="7428" spans="26:26" hidden="1">
      <c r="Z7428" s="11"/>
    </row>
    <row r="7429" spans="26:26" hidden="1">
      <c r="Z7429" s="11"/>
    </row>
    <row r="7430" spans="26:26" hidden="1">
      <c r="Z7430" s="11"/>
    </row>
    <row r="7431" spans="26:26" hidden="1">
      <c r="Z7431" s="11"/>
    </row>
    <row r="7432" spans="26:26" hidden="1">
      <c r="Z7432" s="11"/>
    </row>
    <row r="7433" spans="26:26" hidden="1">
      <c r="Z7433" s="11"/>
    </row>
    <row r="7434" spans="26:26" hidden="1">
      <c r="Z7434" s="11"/>
    </row>
    <row r="7435" spans="26:26" hidden="1">
      <c r="Z7435" s="11"/>
    </row>
    <row r="7436" spans="26:26" hidden="1">
      <c r="Z7436" s="11"/>
    </row>
    <row r="7437" spans="26:26" hidden="1">
      <c r="Z7437" s="11"/>
    </row>
    <row r="7438" spans="26:26" hidden="1">
      <c r="Z7438" s="11"/>
    </row>
    <row r="7439" spans="26:26" hidden="1">
      <c r="Z7439" s="11"/>
    </row>
    <row r="7440" spans="26:26" hidden="1">
      <c r="Z7440" s="11"/>
    </row>
    <row r="7441" spans="26:26" hidden="1">
      <c r="Z7441" s="11"/>
    </row>
    <row r="7442" spans="26:26" hidden="1">
      <c r="Z7442" s="11"/>
    </row>
    <row r="7443" spans="26:26" hidden="1">
      <c r="Z7443" s="11"/>
    </row>
    <row r="7444" spans="26:26" hidden="1">
      <c r="Z7444" s="11"/>
    </row>
    <row r="7445" spans="26:26" hidden="1">
      <c r="Z7445" s="11"/>
    </row>
    <row r="7446" spans="26:26" hidden="1">
      <c r="Z7446" s="11"/>
    </row>
    <row r="7447" spans="26:26" hidden="1">
      <c r="Z7447" s="11"/>
    </row>
    <row r="7448" spans="26:26" hidden="1">
      <c r="Z7448" s="11"/>
    </row>
    <row r="7449" spans="26:26" hidden="1">
      <c r="Z7449" s="11"/>
    </row>
    <row r="7450" spans="26:26" hidden="1">
      <c r="Z7450" s="11"/>
    </row>
    <row r="7451" spans="26:26" hidden="1">
      <c r="Z7451" s="11"/>
    </row>
    <row r="7452" spans="26:26" hidden="1">
      <c r="Z7452" s="11"/>
    </row>
    <row r="7453" spans="26:26" hidden="1">
      <c r="Z7453" s="11"/>
    </row>
    <row r="7454" spans="26:26" hidden="1">
      <c r="Z7454" s="11"/>
    </row>
    <row r="7455" spans="26:26" hidden="1">
      <c r="Z7455" s="11"/>
    </row>
    <row r="7456" spans="26:26" hidden="1">
      <c r="Z7456" s="11"/>
    </row>
    <row r="7457" spans="26:26" hidden="1">
      <c r="Z7457" s="11"/>
    </row>
    <row r="7458" spans="26:26" hidden="1">
      <c r="Z7458" s="11"/>
    </row>
    <row r="7459" spans="26:26" hidden="1">
      <c r="Z7459" s="11"/>
    </row>
    <row r="7460" spans="26:26" hidden="1">
      <c r="Z7460" s="11"/>
    </row>
    <row r="7461" spans="26:26" hidden="1">
      <c r="Z7461" s="11"/>
    </row>
    <row r="7462" spans="26:26" hidden="1">
      <c r="Z7462" s="11"/>
    </row>
    <row r="7463" spans="26:26" hidden="1">
      <c r="Z7463" s="11"/>
    </row>
    <row r="7464" spans="26:26" hidden="1">
      <c r="Z7464" s="11"/>
    </row>
    <row r="7465" spans="26:26" hidden="1">
      <c r="Z7465" s="11"/>
    </row>
    <row r="7466" spans="26:26" hidden="1">
      <c r="Z7466" s="11"/>
    </row>
    <row r="7467" spans="26:26" hidden="1">
      <c r="Z7467" s="11"/>
    </row>
    <row r="7468" spans="26:26" hidden="1">
      <c r="Z7468" s="11"/>
    </row>
    <row r="7469" spans="26:26" hidden="1">
      <c r="Z7469" s="11"/>
    </row>
    <row r="7470" spans="26:26" hidden="1">
      <c r="Z7470" s="11"/>
    </row>
    <row r="7471" spans="26:26" hidden="1">
      <c r="Z7471" s="11"/>
    </row>
    <row r="7472" spans="26:26" hidden="1">
      <c r="Z7472" s="11"/>
    </row>
    <row r="7473" spans="26:26" hidden="1">
      <c r="Z7473" s="11"/>
    </row>
    <row r="7474" spans="26:26" hidden="1">
      <c r="Z7474" s="11"/>
    </row>
    <row r="7475" spans="26:26" hidden="1">
      <c r="Z7475" s="11"/>
    </row>
    <row r="7476" spans="26:26" hidden="1">
      <c r="Z7476" s="11"/>
    </row>
    <row r="7477" spans="26:26" hidden="1">
      <c r="Z7477" s="11"/>
    </row>
    <row r="7478" spans="26:26" hidden="1">
      <c r="Z7478" s="11"/>
    </row>
    <row r="7479" spans="26:26" hidden="1">
      <c r="Z7479" s="11"/>
    </row>
    <row r="7480" spans="26:26" hidden="1">
      <c r="Z7480" s="11"/>
    </row>
    <row r="7481" spans="26:26" hidden="1">
      <c r="Z7481" s="11"/>
    </row>
    <row r="7482" spans="26:26" hidden="1">
      <c r="Z7482" s="11"/>
    </row>
    <row r="7483" spans="26:26" hidden="1">
      <c r="Z7483" s="11"/>
    </row>
    <row r="7484" spans="26:26" hidden="1">
      <c r="Z7484" s="11"/>
    </row>
    <row r="7485" spans="26:26" hidden="1">
      <c r="Z7485" s="11"/>
    </row>
    <row r="7486" spans="26:26" hidden="1">
      <c r="Z7486" s="11"/>
    </row>
    <row r="7487" spans="26:26" hidden="1">
      <c r="Z7487" s="11"/>
    </row>
    <row r="7488" spans="26:26" hidden="1">
      <c r="Z7488" s="11"/>
    </row>
    <row r="7489" spans="26:26" hidden="1">
      <c r="Z7489" s="11"/>
    </row>
    <row r="7490" spans="26:26" hidden="1">
      <c r="Z7490" s="11"/>
    </row>
    <row r="7491" spans="26:26" hidden="1">
      <c r="Z7491" s="11"/>
    </row>
    <row r="7492" spans="26:26" hidden="1">
      <c r="Z7492" s="11"/>
    </row>
    <row r="7493" spans="26:26" hidden="1">
      <c r="Z7493" s="11"/>
    </row>
    <row r="7494" spans="26:26" hidden="1">
      <c r="Z7494" s="11"/>
    </row>
    <row r="7495" spans="26:26" hidden="1">
      <c r="Z7495" s="11"/>
    </row>
    <row r="7496" spans="26:26" hidden="1">
      <c r="Z7496" s="11"/>
    </row>
    <row r="7497" spans="26:26" hidden="1">
      <c r="Z7497" s="11"/>
    </row>
    <row r="7498" spans="26:26" hidden="1">
      <c r="Z7498" s="11"/>
    </row>
    <row r="7499" spans="26:26" hidden="1">
      <c r="Z7499" s="11"/>
    </row>
    <row r="7500" spans="26:26" hidden="1">
      <c r="Z7500" s="11"/>
    </row>
    <row r="7501" spans="26:26" hidden="1">
      <c r="Z7501" s="11"/>
    </row>
    <row r="7502" spans="26:26" hidden="1">
      <c r="Z7502" s="11"/>
    </row>
    <row r="7503" spans="26:26" hidden="1">
      <c r="Z7503" s="11"/>
    </row>
    <row r="7504" spans="26:26" hidden="1">
      <c r="Z7504" s="11"/>
    </row>
    <row r="7505" spans="26:26" hidden="1">
      <c r="Z7505" s="11"/>
    </row>
    <row r="7506" spans="26:26" hidden="1">
      <c r="Z7506" s="11"/>
    </row>
    <row r="7507" spans="26:26" hidden="1">
      <c r="Z7507" s="11"/>
    </row>
    <row r="7508" spans="26:26" hidden="1">
      <c r="Z7508" s="11"/>
    </row>
    <row r="7509" spans="26:26" hidden="1">
      <c r="Z7509" s="11"/>
    </row>
    <row r="7510" spans="26:26" hidden="1">
      <c r="Z7510" s="11"/>
    </row>
    <row r="7511" spans="26:26" hidden="1">
      <c r="Z7511" s="11"/>
    </row>
    <row r="7512" spans="26:26" hidden="1">
      <c r="Z7512" s="11"/>
    </row>
    <row r="7513" spans="26:26" hidden="1">
      <c r="Z7513" s="11"/>
    </row>
    <row r="7514" spans="26:26" hidden="1">
      <c r="Z7514" s="11"/>
    </row>
    <row r="7515" spans="26:26" hidden="1">
      <c r="Z7515" s="11"/>
    </row>
    <row r="7516" spans="26:26" hidden="1">
      <c r="Z7516" s="11"/>
    </row>
    <row r="7517" spans="26:26" hidden="1">
      <c r="Z7517" s="11"/>
    </row>
    <row r="7518" spans="26:26" hidden="1">
      <c r="Z7518" s="11"/>
    </row>
    <row r="7519" spans="26:26" hidden="1">
      <c r="Z7519" s="11"/>
    </row>
    <row r="7520" spans="26:26" hidden="1">
      <c r="Z7520" s="11"/>
    </row>
    <row r="7521" spans="26:26" hidden="1">
      <c r="Z7521" s="11"/>
    </row>
    <row r="7522" spans="26:26" hidden="1">
      <c r="Z7522" s="11"/>
    </row>
    <row r="7523" spans="26:26" hidden="1">
      <c r="Z7523" s="11"/>
    </row>
    <row r="7524" spans="26:26" hidden="1">
      <c r="Z7524" s="11"/>
    </row>
    <row r="7525" spans="26:26" hidden="1">
      <c r="Z7525" s="11"/>
    </row>
    <row r="7526" spans="26:26" hidden="1">
      <c r="Z7526" s="11"/>
    </row>
    <row r="7527" spans="26:26" hidden="1">
      <c r="Z7527" s="11"/>
    </row>
    <row r="7528" spans="26:26" hidden="1">
      <c r="Z7528" s="11"/>
    </row>
    <row r="7529" spans="26:26" hidden="1">
      <c r="Z7529" s="11"/>
    </row>
    <row r="7530" spans="26:26" hidden="1">
      <c r="Z7530" s="11"/>
    </row>
    <row r="7531" spans="26:26" hidden="1">
      <c r="Z7531" s="11"/>
    </row>
    <row r="7532" spans="26:26" hidden="1">
      <c r="Z7532" s="11"/>
    </row>
    <row r="7533" spans="26:26" hidden="1">
      <c r="Z7533" s="11"/>
    </row>
    <row r="7534" spans="26:26" hidden="1">
      <c r="Z7534" s="11"/>
    </row>
    <row r="7535" spans="26:26" hidden="1">
      <c r="Z7535" s="11"/>
    </row>
    <row r="7536" spans="26:26" hidden="1">
      <c r="Z7536" s="11"/>
    </row>
    <row r="7537" spans="26:26" hidden="1">
      <c r="Z7537" s="11"/>
    </row>
    <row r="7538" spans="26:26" hidden="1">
      <c r="Z7538" s="11"/>
    </row>
    <row r="7539" spans="26:26" hidden="1">
      <c r="Z7539" s="11"/>
    </row>
    <row r="7540" spans="26:26" hidden="1">
      <c r="Z7540" s="11"/>
    </row>
    <row r="7541" spans="26:26" hidden="1">
      <c r="Z7541" s="11"/>
    </row>
    <row r="7542" spans="26:26" hidden="1">
      <c r="Z7542" s="11"/>
    </row>
    <row r="7543" spans="26:26" hidden="1">
      <c r="Z7543" s="11"/>
    </row>
    <row r="7544" spans="26:26" hidden="1">
      <c r="Z7544" s="11"/>
    </row>
    <row r="7545" spans="26:26" hidden="1">
      <c r="Z7545" s="11"/>
    </row>
    <row r="7546" spans="26:26" hidden="1">
      <c r="Z7546" s="11"/>
    </row>
    <row r="7547" spans="26:26" hidden="1">
      <c r="Z7547" s="11"/>
    </row>
    <row r="7548" spans="26:26" hidden="1">
      <c r="Z7548" s="11"/>
    </row>
    <row r="7549" spans="26:26" hidden="1">
      <c r="Z7549" s="11"/>
    </row>
    <row r="7550" spans="26:26" hidden="1">
      <c r="Z7550" s="11"/>
    </row>
    <row r="7551" spans="26:26" hidden="1">
      <c r="Z7551" s="11"/>
    </row>
    <row r="7552" spans="26:26" hidden="1">
      <c r="Z7552" s="11"/>
    </row>
    <row r="7553" spans="26:26" hidden="1">
      <c r="Z7553" s="11"/>
    </row>
    <row r="7554" spans="26:26" hidden="1">
      <c r="Z7554" s="11"/>
    </row>
    <row r="7555" spans="26:26" hidden="1">
      <c r="Z7555" s="11"/>
    </row>
    <row r="7556" spans="26:26" hidden="1">
      <c r="Z7556" s="11"/>
    </row>
    <row r="7557" spans="26:26" hidden="1">
      <c r="Z7557" s="11"/>
    </row>
    <row r="7558" spans="26:26" hidden="1">
      <c r="Z7558" s="11"/>
    </row>
    <row r="7559" spans="26:26" hidden="1">
      <c r="Z7559" s="11"/>
    </row>
    <row r="7560" spans="26:26" hidden="1">
      <c r="Z7560" s="11"/>
    </row>
    <row r="7561" spans="26:26" hidden="1">
      <c r="Z7561" s="11"/>
    </row>
    <row r="7562" spans="26:26" hidden="1">
      <c r="Z7562" s="11"/>
    </row>
    <row r="7563" spans="26:26" hidden="1">
      <c r="Z7563" s="11"/>
    </row>
    <row r="7564" spans="26:26" hidden="1">
      <c r="Z7564" s="11"/>
    </row>
    <row r="7565" spans="26:26" hidden="1">
      <c r="Z7565" s="11"/>
    </row>
    <row r="7566" spans="26:26" hidden="1">
      <c r="Z7566" s="11"/>
    </row>
    <row r="7567" spans="26:26" hidden="1">
      <c r="Z7567" s="11"/>
    </row>
    <row r="7568" spans="26:26" hidden="1">
      <c r="Z7568" s="11"/>
    </row>
    <row r="7569" spans="26:26" hidden="1">
      <c r="Z7569" s="11"/>
    </row>
    <row r="7570" spans="26:26" hidden="1">
      <c r="Z7570" s="11"/>
    </row>
    <row r="7571" spans="26:26" hidden="1">
      <c r="Z7571" s="11"/>
    </row>
    <row r="7572" spans="26:26" hidden="1">
      <c r="Z7572" s="11"/>
    </row>
    <row r="7573" spans="26:26" hidden="1">
      <c r="Z7573" s="11"/>
    </row>
    <row r="7574" spans="26:26" hidden="1">
      <c r="Z7574" s="11"/>
    </row>
    <row r="7575" spans="26:26" hidden="1">
      <c r="Z7575" s="11"/>
    </row>
    <row r="7576" spans="26:26" hidden="1">
      <c r="Z7576" s="11"/>
    </row>
    <row r="7577" spans="26:26" hidden="1">
      <c r="Z7577" s="11"/>
    </row>
    <row r="7578" spans="26:26" hidden="1">
      <c r="Z7578" s="11"/>
    </row>
    <row r="7579" spans="26:26" hidden="1">
      <c r="Z7579" s="11"/>
    </row>
    <row r="7580" spans="26:26" hidden="1">
      <c r="Z7580" s="11"/>
    </row>
    <row r="7581" spans="26:26" hidden="1">
      <c r="Z7581" s="11"/>
    </row>
    <row r="7582" spans="26:26" hidden="1">
      <c r="Z7582" s="11"/>
    </row>
    <row r="7583" spans="26:26" hidden="1">
      <c r="Z7583" s="11"/>
    </row>
    <row r="7584" spans="26:26" hidden="1">
      <c r="Z7584" s="11"/>
    </row>
    <row r="7585" spans="26:26" hidden="1">
      <c r="Z7585" s="11"/>
    </row>
    <row r="7586" spans="26:26" hidden="1">
      <c r="Z7586" s="11"/>
    </row>
    <row r="7587" spans="26:26" hidden="1">
      <c r="Z7587" s="11"/>
    </row>
    <row r="7588" spans="26:26" hidden="1">
      <c r="Z7588" s="11"/>
    </row>
    <row r="7589" spans="26:26" hidden="1">
      <c r="Z7589" s="11"/>
    </row>
    <row r="7590" spans="26:26" hidden="1">
      <c r="Z7590" s="11"/>
    </row>
    <row r="7591" spans="26:26" hidden="1">
      <c r="Z7591" s="11"/>
    </row>
    <row r="7592" spans="26:26" hidden="1">
      <c r="Z7592" s="11"/>
    </row>
    <row r="7593" spans="26:26" hidden="1">
      <c r="Z7593" s="11"/>
    </row>
    <row r="7594" spans="26:26" hidden="1">
      <c r="Z7594" s="11"/>
    </row>
    <row r="7595" spans="26:26" hidden="1">
      <c r="Z7595" s="11"/>
    </row>
    <row r="7596" spans="26:26" hidden="1">
      <c r="Z7596" s="11"/>
    </row>
    <row r="7597" spans="26:26" hidden="1">
      <c r="Z7597" s="11"/>
    </row>
    <row r="7598" spans="26:26" hidden="1">
      <c r="Z7598" s="11"/>
    </row>
    <row r="7599" spans="26:26" hidden="1">
      <c r="Z7599" s="11"/>
    </row>
    <row r="7600" spans="26:26" hidden="1">
      <c r="Z7600" s="11"/>
    </row>
    <row r="7601" spans="26:26" hidden="1">
      <c r="Z7601" s="11"/>
    </row>
    <row r="7602" spans="26:26" hidden="1">
      <c r="Z7602" s="11"/>
    </row>
    <row r="7603" spans="26:26" hidden="1">
      <c r="Z7603" s="11"/>
    </row>
    <row r="7604" spans="26:26" hidden="1">
      <c r="Z7604" s="11"/>
    </row>
    <row r="7605" spans="26:26" hidden="1">
      <c r="Z7605" s="11"/>
    </row>
    <row r="7606" spans="26:26" hidden="1">
      <c r="Z7606" s="11"/>
    </row>
    <row r="7607" spans="26:26" hidden="1">
      <c r="Z7607" s="11"/>
    </row>
    <row r="7608" spans="26:26" hidden="1">
      <c r="Z7608" s="11"/>
    </row>
    <row r="7609" spans="26:26" hidden="1">
      <c r="Z7609" s="11"/>
    </row>
    <row r="7610" spans="26:26" hidden="1">
      <c r="Z7610" s="11"/>
    </row>
    <row r="7611" spans="26:26" hidden="1">
      <c r="Z7611" s="11"/>
    </row>
    <row r="7612" spans="26:26" hidden="1">
      <c r="Z7612" s="11"/>
    </row>
    <row r="7613" spans="26:26" hidden="1">
      <c r="Z7613" s="11"/>
    </row>
    <row r="7614" spans="26:26" hidden="1">
      <c r="Z7614" s="11"/>
    </row>
    <row r="7615" spans="26:26" hidden="1">
      <c r="Z7615" s="11"/>
    </row>
    <row r="7616" spans="26:26" hidden="1">
      <c r="Z7616" s="11"/>
    </row>
    <row r="7617" spans="26:26" hidden="1">
      <c r="Z7617" s="11"/>
    </row>
    <row r="7618" spans="26:26" hidden="1">
      <c r="Z7618" s="11"/>
    </row>
    <row r="7619" spans="26:26" hidden="1">
      <c r="Z7619" s="11"/>
    </row>
    <row r="7620" spans="26:26" hidden="1">
      <c r="Z7620" s="11"/>
    </row>
    <row r="7621" spans="26:26" hidden="1">
      <c r="Z7621" s="11"/>
    </row>
    <row r="7622" spans="26:26" hidden="1">
      <c r="Z7622" s="11"/>
    </row>
    <row r="7623" spans="26:26" hidden="1">
      <c r="Z7623" s="11"/>
    </row>
    <row r="7624" spans="26:26" hidden="1">
      <c r="Z7624" s="11"/>
    </row>
    <row r="7625" spans="26:26" hidden="1">
      <c r="Z7625" s="11"/>
    </row>
    <row r="7626" spans="26:26" hidden="1">
      <c r="Z7626" s="11"/>
    </row>
    <row r="7627" spans="26:26" hidden="1">
      <c r="Z7627" s="11"/>
    </row>
    <row r="7628" spans="26:26" hidden="1">
      <c r="Z7628" s="11"/>
    </row>
    <row r="7629" spans="26:26" hidden="1">
      <c r="Z7629" s="11"/>
    </row>
    <row r="7630" spans="26:26" hidden="1">
      <c r="Z7630" s="11"/>
    </row>
    <row r="7631" spans="26:26" hidden="1">
      <c r="Z7631" s="11"/>
    </row>
    <row r="7632" spans="26:26" hidden="1">
      <c r="Z7632" s="11"/>
    </row>
    <row r="7633" spans="26:26" hidden="1">
      <c r="Z7633" s="11"/>
    </row>
    <row r="7634" spans="26:26" hidden="1">
      <c r="Z7634" s="11"/>
    </row>
    <row r="7635" spans="26:26" hidden="1">
      <c r="Z7635" s="11"/>
    </row>
    <row r="7636" spans="26:26" hidden="1">
      <c r="Z7636" s="11"/>
    </row>
    <row r="7637" spans="26:26" hidden="1">
      <c r="Z7637" s="11"/>
    </row>
    <row r="7638" spans="26:26" hidden="1">
      <c r="Z7638" s="11"/>
    </row>
    <row r="7639" spans="26:26" hidden="1">
      <c r="Z7639" s="11"/>
    </row>
    <row r="7640" spans="26:26" hidden="1">
      <c r="Z7640" s="11"/>
    </row>
    <row r="7641" spans="26:26" hidden="1">
      <c r="Z7641" s="11"/>
    </row>
    <row r="7642" spans="26:26" hidden="1">
      <c r="Z7642" s="11"/>
    </row>
    <row r="7643" spans="26:26" hidden="1">
      <c r="Z7643" s="11"/>
    </row>
    <row r="7644" spans="26:26" hidden="1">
      <c r="Z7644" s="11"/>
    </row>
    <row r="7645" spans="26:26" hidden="1">
      <c r="Z7645" s="11"/>
    </row>
    <row r="7646" spans="26:26" hidden="1">
      <c r="Z7646" s="11"/>
    </row>
    <row r="7647" spans="26:26" hidden="1">
      <c r="Z7647" s="11"/>
    </row>
    <row r="7648" spans="26:26" hidden="1">
      <c r="Z7648" s="11"/>
    </row>
    <row r="7649" spans="26:26" hidden="1">
      <c r="Z7649" s="11"/>
    </row>
    <row r="7650" spans="26:26" hidden="1">
      <c r="Z7650" s="11"/>
    </row>
    <row r="7651" spans="26:26" hidden="1">
      <c r="Z7651" s="11"/>
    </row>
    <row r="7652" spans="26:26" hidden="1">
      <c r="Z7652" s="11"/>
    </row>
    <row r="7653" spans="26:26" hidden="1">
      <c r="Z7653" s="11"/>
    </row>
    <row r="7654" spans="26:26" hidden="1">
      <c r="Z7654" s="11"/>
    </row>
    <row r="7655" spans="26:26" hidden="1">
      <c r="Z7655" s="11"/>
    </row>
    <row r="7656" spans="26:26" hidden="1">
      <c r="Z7656" s="11"/>
    </row>
    <row r="7657" spans="26:26" hidden="1">
      <c r="Z7657" s="11"/>
    </row>
    <row r="7658" spans="26:26" hidden="1">
      <c r="Z7658" s="11"/>
    </row>
    <row r="7659" spans="26:26" hidden="1">
      <c r="Z7659" s="11"/>
    </row>
    <row r="7660" spans="26:26" hidden="1">
      <c r="Z7660" s="11"/>
    </row>
    <row r="7661" spans="26:26" hidden="1">
      <c r="Z7661" s="11"/>
    </row>
    <row r="7662" spans="26:26" hidden="1">
      <c r="Z7662" s="11"/>
    </row>
    <row r="7663" spans="26:26" hidden="1">
      <c r="Z7663" s="11"/>
    </row>
    <row r="7664" spans="26:26" hidden="1">
      <c r="Z7664" s="11"/>
    </row>
    <row r="7665" spans="26:26" hidden="1">
      <c r="Z7665" s="11"/>
    </row>
    <row r="7666" spans="26:26" hidden="1">
      <c r="Z7666" s="11"/>
    </row>
    <row r="7667" spans="26:26" hidden="1">
      <c r="Z7667" s="11"/>
    </row>
    <row r="7668" spans="26:26" hidden="1">
      <c r="Z7668" s="11"/>
    </row>
    <row r="7669" spans="26:26" hidden="1">
      <c r="Z7669" s="11"/>
    </row>
    <row r="7670" spans="26:26" hidden="1">
      <c r="Z7670" s="11"/>
    </row>
    <row r="7671" spans="26:26" hidden="1">
      <c r="Z7671" s="11"/>
    </row>
    <row r="7672" spans="26:26" hidden="1">
      <c r="Z7672" s="11"/>
    </row>
    <row r="7673" spans="26:26" hidden="1">
      <c r="Z7673" s="11"/>
    </row>
    <row r="7674" spans="26:26" hidden="1">
      <c r="Z7674" s="11"/>
    </row>
    <row r="7675" spans="26:26" hidden="1">
      <c r="Z7675" s="11"/>
    </row>
    <row r="7676" spans="26:26" hidden="1">
      <c r="Z7676" s="11"/>
    </row>
    <row r="7677" spans="26:26" hidden="1">
      <c r="Z7677" s="11"/>
    </row>
    <row r="7678" spans="26:26" hidden="1">
      <c r="Z7678" s="11"/>
    </row>
    <row r="7679" spans="26:26" hidden="1">
      <c r="Z7679" s="11"/>
    </row>
    <row r="7680" spans="26:26" hidden="1">
      <c r="Z7680" s="11"/>
    </row>
    <row r="7681" spans="26:26" hidden="1">
      <c r="Z7681" s="11"/>
    </row>
    <row r="7682" spans="26:26" hidden="1">
      <c r="Z7682" s="11"/>
    </row>
    <row r="7683" spans="26:26" hidden="1">
      <c r="Z7683" s="11"/>
    </row>
    <row r="7684" spans="26:26" hidden="1">
      <c r="Z7684" s="11"/>
    </row>
    <row r="7685" spans="26:26" hidden="1">
      <c r="Z7685" s="11"/>
    </row>
    <row r="7686" spans="26:26" hidden="1">
      <c r="Z7686" s="11"/>
    </row>
    <row r="7687" spans="26:26" hidden="1">
      <c r="Z7687" s="11"/>
    </row>
    <row r="7688" spans="26:26" hidden="1">
      <c r="Z7688" s="11"/>
    </row>
    <row r="7689" spans="26:26" hidden="1">
      <c r="Z7689" s="11"/>
    </row>
    <row r="7690" spans="26:26" hidden="1">
      <c r="Z7690" s="11"/>
    </row>
    <row r="7691" spans="26:26" hidden="1">
      <c r="Z7691" s="11"/>
    </row>
    <row r="7692" spans="26:26" hidden="1">
      <c r="Z7692" s="11"/>
    </row>
    <row r="7693" spans="26:26" hidden="1">
      <c r="Z7693" s="11"/>
    </row>
    <row r="7694" spans="26:26" hidden="1">
      <c r="Z7694" s="11"/>
    </row>
    <row r="7695" spans="26:26" hidden="1">
      <c r="Z7695" s="11"/>
    </row>
    <row r="7696" spans="26:26" hidden="1">
      <c r="Z7696" s="11"/>
    </row>
    <row r="7697" spans="26:26" hidden="1">
      <c r="Z7697" s="11"/>
    </row>
    <row r="7698" spans="26:26" hidden="1">
      <c r="Z7698" s="11"/>
    </row>
    <row r="7699" spans="26:26" hidden="1">
      <c r="Z7699" s="11"/>
    </row>
    <row r="7700" spans="26:26" hidden="1">
      <c r="Z7700" s="11"/>
    </row>
    <row r="7701" spans="26:26" hidden="1">
      <c r="Z7701" s="11"/>
    </row>
    <row r="7702" spans="26:26" hidden="1">
      <c r="Z7702" s="11"/>
    </row>
    <row r="7703" spans="26:26" hidden="1">
      <c r="Z7703" s="11"/>
    </row>
    <row r="7704" spans="26:26" hidden="1">
      <c r="Z7704" s="11"/>
    </row>
    <row r="7705" spans="26:26" hidden="1">
      <c r="Z7705" s="11"/>
    </row>
    <row r="7706" spans="26:26" hidden="1">
      <c r="Z7706" s="11"/>
    </row>
    <row r="7707" spans="26:26" hidden="1">
      <c r="Z7707" s="11"/>
    </row>
    <row r="7708" spans="26:26" hidden="1">
      <c r="Z7708" s="11"/>
    </row>
    <row r="7709" spans="26:26" hidden="1">
      <c r="Z7709" s="11"/>
    </row>
    <row r="7710" spans="26:26" hidden="1">
      <c r="Z7710" s="11"/>
    </row>
    <row r="7711" spans="26:26" hidden="1">
      <c r="Z7711" s="11"/>
    </row>
    <row r="7712" spans="26:26" hidden="1">
      <c r="Z7712" s="11"/>
    </row>
    <row r="7713" spans="26:26" hidden="1">
      <c r="Z7713" s="11"/>
    </row>
    <row r="7714" spans="26:26" hidden="1">
      <c r="Z7714" s="11"/>
    </row>
    <row r="7715" spans="26:26" hidden="1">
      <c r="Z7715" s="11"/>
    </row>
    <row r="7716" spans="26:26" hidden="1">
      <c r="Z7716" s="11"/>
    </row>
    <row r="7717" spans="26:26" hidden="1">
      <c r="Z7717" s="11"/>
    </row>
    <row r="7718" spans="26:26" hidden="1">
      <c r="Z7718" s="11"/>
    </row>
    <row r="7719" spans="26:26" hidden="1">
      <c r="Z7719" s="11"/>
    </row>
    <row r="7720" spans="26:26" hidden="1">
      <c r="Z7720" s="11"/>
    </row>
    <row r="7721" spans="26:26" hidden="1">
      <c r="Z7721" s="11"/>
    </row>
    <row r="7722" spans="26:26" hidden="1">
      <c r="Z7722" s="11"/>
    </row>
    <row r="7723" spans="26:26" hidden="1">
      <c r="Z7723" s="11"/>
    </row>
    <row r="7724" spans="26:26" hidden="1">
      <c r="Z7724" s="11"/>
    </row>
    <row r="7725" spans="26:26" hidden="1">
      <c r="Z7725" s="11"/>
    </row>
    <row r="7726" spans="26:26" hidden="1">
      <c r="Z7726" s="11"/>
    </row>
    <row r="7727" spans="26:26" hidden="1">
      <c r="Z7727" s="11"/>
    </row>
    <row r="7728" spans="26:26" hidden="1">
      <c r="Z7728" s="11"/>
    </row>
    <row r="7729" spans="26:26" hidden="1">
      <c r="Z7729" s="11"/>
    </row>
    <row r="7730" spans="26:26" hidden="1">
      <c r="Z7730" s="11"/>
    </row>
    <row r="7731" spans="26:26" hidden="1">
      <c r="Z7731" s="11"/>
    </row>
    <row r="7732" spans="26:26" hidden="1">
      <c r="Z7732" s="11"/>
    </row>
    <row r="7733" spans="26:26" hidden="1">
      <c r="Z7733" s="11"/>
    </row>
    <row r="7734" spans="26:26" hidden="1">
      <c r="Z7734" s="11"/>
    </row>
    <row r="7735" spans="26:26" hidden="1">
      <c r="Z7735" s="11"/>
    </row>
    <row r="7736" spans="26:26" hidden="1">
      <c r="Z7736" s="11"/>
    </row>
    <row r="7737" spans="26:26" hidden="1">
      <c r="Z7737" s="11"/>
    </row>
    <row r="7738" spans="26:26" hidden="1">
      <c r="Z7738" s="11"/>
    </row>
    <row r="7739" spans="26:26" hidden="1">
      <c r="Z7739" s="11"/>
    </row>
    <row r="7740" spans="26:26" hidden="1">
      <c r="Z7740" s="11"/>
    </row>
    <row r="7741" spans="26:26" hidden="1">
      <c r="Z7741" s="11"/>
    </row>
    <row r="7742" spans="26:26" hidden="1">
      <c r="Z7742" s="11"/>
    </row>
    <row r="7743" spans="26:26" hidden="1">
      <c r="Z7743" s="11"/>
    </row>
    <row r="7744" spans="26:26" hidden="1">
      <c r="Z7744" s="11"/>
    </row>
    <row r="7745" spans="26:26" hidden="1">
      <c r="Z7745" s="11"/>
    </row>
    <row r="7746" spans="26:26" hidden="1">
      <c r="Z7746" s="11"/>
    </row>
    <row r="7747" spans="26:26" hidden="1">
      <c r="Z7747" s="11"/>
    </row>
    <row r="7748" spans="26:26" hidden="1">
      <c r="Z7748" s="11"/>
    </row>
    <row r="7749" spans="26:26" hidden="1">
      <c r="Z7749" s="11"/>
    </row>
    <row r="7750" spans="26:26" hidden="1">
      <c r="Z7750" s="11"/>
    </row>
    <row r="7751" spans="26:26" hidden="1">
      <c r="Z7751" s="11"/>
    </row>
    <row r="7752" spans="26:26" hidden="1">
      <c r="Z7752" s="11"/>
    </row>
    <row r="7753" spans="26:26" hidden="1">
      <c r="Z7753" s="11"/>
    </row>
    <row r="7754" spans="26:26" hidden="1">
      <c r="Z7754" s="11"/>
    </row>
    <row r="7755" spans="26:26" hidden="1">
      <c r="Z7755" s="11"/>
    </row>
    <row r="7756" spans="26:26" hidden="1">
      <c r="Z7756" s="11"/>
    </row>
    <row r="7757" spans="26:26" hidden="1">
      <c r="Z7757" s="11"/>
    </row>
    <row r="7758" spans="26:26" hidden="1">
      <c r="Z7758" s="11"/>
    </row>
    <row r="7759" spans="26:26" hidden="1">
      <c r="Z7759" s="11"/>
    </row>
    <row r="7760" spans="26:26" hidden="1">
      <c r="Z7760" s="11"/>
    </row>
    <row r="7761" spans="26:26" hidden="1">
      <c r="Z7761" s="11"/>
    </row>
    <row r="7762" spans="26:26" hidden="1">
      <c r="Z7762" s="11"/>
    </row>
    <row r="7763" spans="26:26" hidden="1">
      <c r="Z7763" s="11"/>
    </row>
    <row r="7764" spans="26:26" hidden="1">
      <c r="Z7764" s="11"/>
    </row>
    <row r="7765" spans="26:26" hidden="1">
      <c r="Z7765" s="11"/>
    </row>
    <row r="7766" spans="26:26" hidden="1">
      <c r="Z7766" s="11"/>
    </row>
    <row r="7767" spans="26:26" hidden="1">
      <c r="Z7767" s="11"/>
    </row>
    <row r="7768" spans="26:26" hidden="1">
      <c r="Z7768" s="11"/>
    </row>
    <row r="7769" spans="26:26" hidden="1">
      <c r="Z7769" s="11"/>
    </row>
    <row r="7770" spans="26:26" hidden="1">
      <c r="Z7770" s="11"/>
    </row>
    <row r="7771" spans="26:26" hidden="1">
      <c r="Z7771" s="11"/>
    </row>
    <row r="7772" spans="26:26" hidden="1">
      <c r="Z7772" s="11"/>
    </row>
    <row r="7773" spans="26:26" hidden="1">
      <c r="Z7773" s="11"/>
    </row>
    <row r="7774" spans="26:26" hidden="1">
      <c r="Z7774" s="11"/>
    </row>
    <row r="7775" spans="26:26" hidden="1">
      <c r="Z7775" s="11"/>
    </row>
    <row r="7776" spans="26:26" hidden="1">
      <c r="Z7776" s="11"/>
    </row>
    <row r="7777" spans="26:26" hidden="1">
      <c r="Z7777" s="11"/>
    </row>
    <row r="7778" spans="26:26" hidden="1">
      <c r="Z7778" s="11"/>
    </row>
    <row r="7779" spans="26:26" hidden="1">
      <c r="Z7779" s="11"/>
    </row>
    <row r="7780" spans="26:26" hidden="1">
      <c r="Z7780" s="11"/>
    </row>
    <row r="7781" spans="26:26" hidden="1">
      <c r="Z7781" s="11"/>
    </row>
    <row r="7782" spans="26:26" hidden="1">
      <c r="Z7782" s="11"/>
    </row>
    <row r="7783" spans="26:26" hidden="1">
      <c r="Z7783" s="11"/>
    </row>
    <row r="7784" spans="26:26" hidden="1">
      <c r="Z7784" s="11"/>
    </row>
    <row r="7785" spans="26:26" hidden="1">
      <c r="Z7785" s="11"/>
    </row>
    <row r="7786" spans="26:26" hidden="1">
      <c r="Z7786" s="11"/>
    </row>
    <row r="7787" spans="26:26" hidden="1">
      <c r="Z7787" s="11"/>
    </row>
    <row r="7788" spans="26:26" hidden="1">
      <c r="Z7788" s="11"/>
    </row>
    <row r="7789" spans="26:26" hidden="1">
      <c r="Z7789" s="11"/>
    </row>
    <row r="7790" spans="26:26" hidden="1">
      <c r="Z7790" s="11"/>
    </row>
    <row r="7791" spans="26:26" hidden="1">
      <c r="Z7791" s="11"/>
    </row>
    <row r="7792" spans="26:26" hidden="1">
      <c r="Z7792" s="11"/>
    </row>
    <row r="7793" spans="26:26" hidden="1">
      <c r="Z7793" s="11"/>
    </row>
    <row r="7794" spans="26:26" hidden="1">
      <c r="Z7794" s="11"/>
    </row>
    <row r="7795" spans="26:26" hidden="1">
      <c r="Z7795" s="11"/>
    </row>
    <row r="7796" spans="26:26" hidden="1">
      <c r="Z7796" s="11"/>
    </row>
    <row r="7797" spans="26:26" hidden="1">
      <c r="Z7797" s="11"/>
    </row>
    <row r="7798" spans="26:26" hidden="1">
      <c r="Z7798" s="11"/>
    </row>
    <row r="7799" spans="26:26" hidden="1">
      <c r="Z7799" s="11"/>
    </row>
    <row r="7800" spans="26:26" hidden="1">
      <c r="Z7800" s="11"/>
    </row>
    <row r="7801" spans="26:26" hidden="1">
      <c r="Z7801" s="11"/>
    </row>
    <row r="7802" spans="26:26" hidden="1">
      <c r="Z7802" s="11"/>
    </row>
    <row r="7803" spans="26:26" hidden="1">
      <c r="Z7803" s="11"/>
    </row>
    <row r="7804" spans="26:26" hidden="1">
      <c r="Z7804" s="11"/>
    </row>
    <row r="7805" spans="26:26" hidden="1">
      <c r="Z7805" s="11"/>
    </row>
    <row r="7806" spans="26:26" hidden="1">
      <c r="Z7806" s="11"/>
    </row>
    <row r="7807" spans="26:26" hidden="1">
      <c r="Z7807" s="11"/>
    </row>
    <row r="7808" spans="26:26" hidden="1">
      <c r="Z7808" s="11"/>
    </row>
    <row r="7809" spans="26:26" hidden="1">
      <c r="Z7809" s="11"/>
    </row>
    <row r="7810" spans="26:26" hidden="1">
      <c r="Z7810" s="11"/>
    </row>
    <row r="7811" spans="26:26" hidden="1">
      <c r="Z7811" s="11"/>
    </row>
    <row r="7812" spans="26:26" hidden="1">
      <c r="Z7812" s="11"/>
    </row>
    <row r="7813" spans="26:26" hidden="1">
      <c r="Z7813" s="11"/>
    </row>
    <row r="7814" spans="26:26" hidden="1">
      <c r="Z7814" s="11"/>
    </row>
    <row r="7815" spans="26:26" hidden="1">
      <c r="Z7815" s="11"/>
    </row>
    <row r="7816" spans="26:26" hidden="1">
      <c r="Z7816" s="11"/>
    </row>
    <row r="7817" spans="26:26" hidden="1">
      <c r="Z7817" s="11"/>
    </row>
    <row r="7818" spans="26:26" hidden="1">
      <c r="Z7818" s="11"/>
    </row>
    <row r="7819" spans="26:26" hidden="1">
      <c r="Z7819" s="11"/>
    </row>
    <row r="7820" spans="26:26" hidden="1">
      <c r="Z7820" s="11"/>
    </row>
    <row r="7821" spans="26:26" hidden="1">
      <c r="Z7821" s="11"/>
    </row>
    <row r="7822" spans="26:26" hidden="1">
      <c r="Z7822" s="11"/>
    </row>
    <row r="7823" spans="26:26" hidden="1">
      <c r="Z7823" s="11"/>
    </row>
    <row r="7824" spans="26:26" hidden="1">
      <c r="Z7824" s="11"/>
    </row>
    <row r="7825" spans="26:26" hidden="1">
      <c r="Z7825" s="11"/>
    </row>
    <row r="7826" spans="26:26" hidden="1">
      <c r="Z7826" s="11"/>
    </row>
    <row r="7827" spans="26:26" hidden="1">
      <c r="Z7827" s="11"/>
    </row>
    <row r="7828" spans="26:26" hidden="1">
      <c r="Z7828" s="11"/>
    </row>
    <row r="7829" spans="26:26" hidden="1">
      <c r="Z7829" s="11"/>
    </row>
    <row r="7830" spans="26:26" hidden="1">
      <c r="Z7830" s="11"/>
    </row>
    <row r="7831" spans="26:26" hidden="1">
      <c r="Z7831" s="11"/>
    </row>
    <row r="7832" spans="26:26" hidden="1">
      <c r="Z7832" s="11"/>
    </row>
    <row r="7833" spans="26:26" hidden="1">
      <c r="Z7833" s="11"/>
    </row>
    <row r="7834" spans="26:26" hidden="1">
      <c r="Z7834" s="11"/>
    </row>
    <row r="7835" spans="26:26" hidden="1">
      <c r="Z7835" s="11"/>
    </row>
    <row r="7836" spans="26:26" hidden="1">
      <c r="Z7836" s="11"/>
    </row>
    <row r="7837" spans="26:26" hidden="1">
      <c r="Z7837" s="11"/>
    </row>
    <row r="7838" spans="26:26" hidden="1">
      <c r="Z7838" s="11"/>
    </row>
    <row r="7839" spans="26:26" hidden="1">
      <c r="Z7839" s="11"/>
    </row>
    <row r="7840" spans="26:26" hidden="1">
      <c r="Z7840" s="11"/>
    </row>
    <row r="7841" spans="26:26" hidden="1">
      <c r="Z7841" s="11"/>
    </row>
    <row r="7842" spans="26:26" hidden="1">
      <c r="Z7842" s="11"/>
    </row>
    <row r="7843" spans="26:26" hidden="1">
      <c r="Z7843" s="11"/>
    </row>
    <row r="7844" spans="26:26" hidden="1">
      <c r="Z7844" s="11"/>
    </row>
    <row r="7845" spans="26:26" hidden="1">
      <c r="Z7845" s="11"/>
    </row>
    <row r="7846" spans="26:26" hidden="1">
      <c r="Z7846" s="11"/>
    </row>
    <row r="7847" spans="26:26" hidden="1">
      <c r="Z7847" s="11"/>
    </row>
    <row r="7848" spans="26:26" hidden="1">
      <c r="Z7848" s="11"/>
    </row>
    <row r="7849" spans="26:26" hidden="1">
      <c r="Z7849" s="11"/>
    </row>
    <row r="7850" spans="26:26" hidden="1">
      <c r="Z7850" s="11"/>
    </row>
    <row r="7851" spans="26:26" hidden="1">
      <c r="Z7851" s="11"/>
    </row>
    <row r="7852" spans="26:26" hidden="1">
      <c r="Z7852" s="11"/>
    </row>
    <row r="7853" spans="26:26" hidden="1">
      <c r="Z7853" s="11"/>
    </row>
    <row r="7854" spans="26:26" hidden="1">
      <c r="Z7854" s="11"/>
    </row>
    <row r="7855" spans="26:26" hidden="1">
      <c r="Z7855" s="11"/>
    </row>
    <row r="7856" spans="26:26" hidden="1">
      <c r="Z7856" s="11"/>
    </row>
    <row r="7857" spans="26:26" hidden="1">
      <c r="Z7857" s="11"/>
    </row>
    <row r="7858" spans="26:26" hidden="1">
      <c r="Z7858" s="11"/>
    </row>
    <row r="7859" spans="26:26" hidden="1">
      <c r="Z7859" s="11"/>
    </row>
    <row r="7860" spans="26:26" hidden="1">
      <c r="Z7860" s="11"/>
    </row>
    <row r="7861" spans="26:26" hidden="1">
      <c r="Z7861" s="11"/>
    </row>
    <row r="7862" spans="26:26" hidden="1">
      <c r="Z7862" s="11"/>
    </row>
    <row r="7863" spans="26:26" hidden="1">
      <c r="Z7863" s="11"/>
    </row>
    <row r="7864" spans="26:26" hidden="1">
      <c r="Z7864" s="11"/>
    </row>
    <row r="7865" spans="26:26" hidden="1">
      <c r="Z7865" s="11"/>
    </row>
    <row r="7866" spans="26:26" hidden="1">
      <c r="Z7866" s="11"/>
    </row>
    <row r="7867" spans="26:26" hidden="1">
      <c r="Z7867" s="11"/>
    </row>
    <row r="7868" spans="26:26" hidden="1">
      <c r="Z7868" s="11"/>
    </row>
    <row r="7869" spans="26:26" hidden="1">
      <c r="Z7869" s="11"/>
    </row>
    <row r="7870" spans="26:26" hidden="1">
      <c r="Z7870" s="11"/>
    </row>
    <row r="7871" spans="26:26" hidden="1">
      <c r="Z7871" s="11"/>
    </row>
    <row r="7872" spans="26:26" hidden="1">
      <c r="Z7872" s="11"/>
    </row>
    <row r="7873" spans="26:26" hidden="1">
      <c r="Z7873" s="11"/>
    </row>
    <row r="7874" spans="26:26" hidden="1">
      <c r="Z7874" s="11"/>
    </row>
    <row r="7875" spans="26:26" hidden="1">
      <c r="Z7875" s="11"/>
    </row>
    <row r="7876" spans="26:26" hidden="1">
      <c r="Z7876" s="11"/>
    </row>
    <row r="7877" spans="26:26" hidden="1">
      <c r="Z7877" s="11"/>
    </row>
    <row r="7878" spans="26:26" hidden="1">
      <c r="Z7878" s="11"/>
    </row>
    <row r="7879" spans="26:26" hidden="1">
      <c r="Z7879" s="11"/>
    </row>
    <row r="7880" spans="26:26" hidden="1">
      <c r="Z7880" s="11"/>
    </row>
    <row r="7881" spans="26:26" hidden="1">
      <c r="Z7881" s="11"/>
    </row>
    <row r="7882" spans="26:26" hidden="1">
      <c r="Z7882" s="11"/>
    </row>
    <row r="7883" spans="26:26" hidden="1">
      <c r="Z7883" s="11"/>
    </row>
    <row r="7884" spans="26:26" hidden="1">
      <c r="Z7884" s="11"/>
    </row>
    <row r="7885" spans="26:26" hidden="1">
      <c r="Z7885" s="11"/>
    </row>
    <row r="7886" spans="26:26" hidden="1">
      <c r="Z7886" s="11"/>
    </row>
    <row r="7887" spans="26:26" hidden="1">
      <c r="Z7887" s="11"/>
    </row>
    <row r="7888" spans="26:26" hidden="1">
      <c r="Z7888" s="11"/>
    </row>
    <row r="7889" spans="26:26" hidden="1">
      <c r="Z7889" s="11"/>
    </row>
    <row r="7890" spans="26:26" hidden="1">
      <c r="Z7890" s="11"/>
    </row>
    <row r="7891" spans="26:26" hidden="1">
      <c r="Z7891" s="11"/>
    </row>
    <row r="7892" spans="26:26" hidden="1">
      <c r="Z7892" s="11"/>
    </row>
    <row r="7893" spans="26:26" hidden="1">
      <c r="Z7893" s="11"/>
    </row>
    <row r="7894" spans="26:26" hidden="1">
      <c r="Z7894" s="11"/>
    </row>
    <row r="7895" spans="26:26" hidden="1">
      <c r="Z7895" s="11"/>
    </row>
    <row r="7896" spans="26:26" hidden="1">
      <c r="Z7896" s="11"/>
    </row>
    <row r="7897" spans="26:26" hidden="1">
      <c r="Z7897" s="11"/>
    </row>
    <row r="7898" spans="26:26" hidden="1">
      <c r="Z7898" s="11"/>
    </row>
    <row r="7899" spans="26:26" hidden="1">
      <c r="Z7899" s="11"/>
    </row>
    <row r="7900" spans="26:26" hidden="1">
      <c r="Z7900" s="11"/>
    </row>
    <row r="7901" spans="26:26" hidden="1">
      <c r="Z7901" s="11"/>
    </row>
    <row r="7902" spans="26:26" hidden="1">
      <c r="Z7902" s="11"/>
    </row>
    <row r="7903" spans="26:26" hidden="1">
      <c r="Z7903" s="11"/>
    </row>
    <row r="7904" spans="26:26" hidden="1">
      <c r="Z7904" s="11"/>
    </row>
    <row r="7905" spans="26:26" hidden="1">
      <c r="Z7905" s="11"/>
    </row>
    <row r="7906" spans="26:26" hidden="1">
      <c r="Z7906" s="11"/>
    </row>
    <row r="7907" spans="26:26" hidden="1">
      <c r="Z7907" s="11"/>
    </row>
    <row r="7908" spans="26:26" hidden="1">
      <c r="Z7908" s="11"/>
    </row>
    <row r="7909" spans="26:26" hidden="1">
      <c r="Z7909" s="11"/>
    </row>
    <row r="7910" spans="26:26" hidden="1">
      <c r="Z7910" s="11"/>
    </row>
    <row r="7911" spans="26:26" hidden="1">
      <c r="Z7911" s="11"/>
    </row>
    <row r="7912" spans="26:26" hidden="1">
      <c r="Z7912" s="11"/>
    </row>
    <row r="7913" spans="26:26" hidden="1">
      <c r="Z7913" s="11"/>
    </row>
    <row r="7914" spans="26:26" hidden="1">
      <c r="Z7914" s="11"/>
    </row>
    <row r="7915" spans="26:26" hidden="1">
      <c r="Z7915" s="11"/>
    </row>
    <row r="7916" spans="26:26" hidden="1">
      <c r="Z7916" s="11"/>
    </row>
    <row r="7917" spans="26:26" hidden="1">
      <c r="Z7917" s="11"/>
    </row>
    <row r="7918" spans="26:26" hidden="1">
      <c r="Z7918" s="11"/>
    </row>
    <row r="7919" spans="26:26" hidden="1">
      <c r="Z7919" s="11"/>
    </row>
    <row r="7920" spans="26:26" hidden="1">
      <c r="Z7920" s="11"/>
    </row>
    <row r="7921" spans="26:26" hidden="1">
      <c r="Z7921" s="11"/>
    </row>
    <row r="7922" spans="26:26" hidden="1">
      <c r="Z7922" s="11"/>
    </row>
    <row r="7923" spans="26:26" hidden="1">
      <c r="Z7923" s="11"/>
    </row>
    <row r="7924" spans="26:26" hidden="1">
      <c r="Z7924" s="11"/>
    </row>
    <row r="7925" spans="26:26" hidden="1">
      <c r="Z7925" s="11"/>
    </row>
    <row r="7926" spans="26:26" hidden="1">
      <c r="Z7926" s="11"/>
    </row>
    <row r="7927" spans="26:26" hidden="1">
      <c r="Z7927" s="11"/>
    </row>
    <row r="7928" spans="26:26" hidden="1">
      <c r="Z7928" s="11"/>
    </row>
    <row r="7929" spans="26:26" hidden="1">
      <c r="Z7929" s="11"/>
    </row>
    <row r="7930" spans="26:26" hidden="1">
      <c r="Z7930" s="11"/>
    </row>
    <row r="7931" spans="26:26" hidden="1">
      <c r="Z7931" s="11"/>
    </row>
    <row r="7932" spans="26:26" hidden="1">
      <c r="Z7932" s="11"/>
    </row>
    <row r="7933" spans="26:26" hidden="1">
      <c r="Z7933" s="11"/>
    </row>
    <row r="7934" spans="26:26" hidden="1">
      <c r="Z7934" s="11"/>
    </row>
    <row r="7935" spans="26:26" hidden="1">
      <c r="Z7935" s="11"/>
    </row>
    <row r="7936" spans="26:26" hidden="1">
      <c r="Z7936" s="11"/>
    </row>
    <row r="7937" spans="26:26" hidden="1">
      <c r="Z7937" s="11"/>
    </row>
    <row r="7938" spans="26:26" hidden="1">
      <c r="Z7938" s="11"/>
    </row>
    <row r="7939" spans="26:26" hidden="1">
      <c r="Z7939" s="11"/>
    </row>
    <row r="7940" spans="26:26" hidden="1">
      <c r="Z7940" s="11"/>
    </row>
    <row r="7941" spans="26:26" hidden="1">
      <c r="Z7941" s="11"/>
    </row>
    <row r="7942" spans="26:26" hidden="1">
      <c r="Z7942" s="11"/>
    </row>
    <row r="7943" spans="26:26" hidden="1">
      <c r="Z7943" s="11"/>
    </row>
    <row r="7944" spans="26:26" hidden="1">
      <c r="Z7944" s="11"/>
    </row>
    <row r="7945" spans="26:26" hidden="1">
      <c r="Z7945" s="11"/>
    </row>
    <row r="7946" spans="26:26" hidden="1">
      <c r="Z7946" s="11"/>
    </row>
    <row r="7947" spans="26:26" hidden="1">
      <c r="Z7947" s="11"/>
    </row>
    <row r="7948" spans="26:26" hidden="1">
      <c r="Z7948" s="11"/>
    </row>
    <row r="7949" spans="26:26" hidden="1">
      <c r="Z7949" s="11"/>
    </row>
    <row r="7950" spans="26:26" hidden="1">
      <c r="Z7950" s="11"/>
    </row>
    <row r="7951" spans="26:26" hidden="1">
      <c r="Z7951" s="11"/>
    </row>
    <row r="7952" spans="26:26" hidden="1">
      <c r="Z7952" s="11"/>
    </row>
    <row r="7953" spans="26:26" hidden="1">
      <c r="Z7953" s="11"/>
    </row>
    <row r="7954" spans="26:26" hidden="1">
      <c r="Z7954" s="11"/>
    </row>
    <row r="7955" spans="26:26" hidden="1">
      <c r="Z7955" s="11"/>
    </row>
    <row r="7956" spans="26:26" hidden="1">
      <c r="Z7956" s="11"/>
    </row>
    <row r="7957" spans="26:26" hidden="1">
      <c r="Z7957" s="11"/>
    </row>
    <row r="7958" spans="26:26" hidden="1">
      <c r="Z7958" s="11"/>
    </row>
    <row r="7959" spans="26:26" hidden="1">
      <c r="Z7959" s="11"/>
    </row>
    <row r="7960" spans="26:26" hidden="1">
      <c r="Z7960" s="11"/>
    </row>
    <row r="7961" spans="26:26" hidden="1">
      <c r="Z7961" s="11"/>
    </row>
    <row r="7962" spans="26:26" hidden="1">
      <c r="Z7962" s="11"/>
    </row>
    <row r="7963" spans="26:26" hidden="1">
      <c r="Z7963" s="11"/>
    </row>
    <row r="7964" spans="26:26" hidden="1">
      <c r="Z7964" s="11"/>
    </row>
    <row r="7965" spans="26:26" hidden="1">
      <c r="Z7965" s="11"/>
    </row>
    <row r="7966" spans="26:26" hidden="1">
      <c r="Z7966" s="11"/>
    </row>
    <row r="7967" spans="26:26" hidden="1">
      <c r="Z7967" s="11"/>
    </row>
    <row r="7968" spans="26:26" hidden="1">
      <c r="Z7968" s="11"/>
    </row>
    <row r="7969" spans="26:26" hidden="1">
      <c r="Z7969" s="11"/>
    </row>
    <row r="7970" spans="26:26" hidden="1">
      <c r="Z7970" s="11"/>
    </row>
    <row r="7971" spans="26:26" hidden="1">
      <c r="Z7971" s="11"/>
    </row>
    <row r="7972" spans="26:26" hidden="1">
      <c r="Z7972" s="11"/>
    </row>
    <row r="7973" spans="26:26" hidden="1">
      <c r="Z7973" s="11"/>
    </row>
    <row r="7974" spans="26:26" hidden="1">
      <c r="Z7974" s="11"/>
    </row>
    <row r="7975" spans="26:26" hidden="1">
      <c r="Z7975" s="11"/>
    </row>
    <row r="7976" spans="26:26" hidden="1">
      <c r="Z7976" s="11"/>
    </row>
    <row r="7977" spans="26:26" hidden="1">
      <c r="Z7977" s="11"/>
    </row>
    <row r="7978" spans="26:26" hidden="1">
      <c r="Z7978" s="11"/>
    </row>
    <row r="7979" spans="26:26" hidden="1">
      <c r="Z7979" s="11"/>
    </row>
    <row r="7980" spans="26:26" hidden="1">
      <c r="Z7980" s="11"/>
    </row>
    <row r="7981" spans="26:26" hidden="1">
      <c r="Z7981" s="11"/>
    </row>
    <row r="7982" spans="26:26" hidden="1">
      <c r="Z7982" s="11"/>
    </row>
    <row r="7983" spans="26:26" hidden="1">
      <c r="Z7983" s="11"/>
    </row>
    <row r="7984" spans="26:26" hidden="1">
      <c r="Z7984" s="11"/>
    </row>
    <row r="7985" spans="26:26" hidden="1">
      <c r="Z7985" s="11"/>
    </row>
    <row r="7986" spans="26:26" hidden="1">
      <c r="Z7986" s="11"/>
    </row>
    <row r="7987" spans="26:26" hidden="1">
      <c r="Z7987" s="11"/>
    </row>
    <row r="7988" spans="26:26" hidden="1">
      <c r="Z7988" s="11"/>
    </row>
    <row r="7989" spans="26:26" hidden="1">
      <c r="Z7989" s="11"/>
    </row>
    <row r="7990" spans="26:26" hidden="1">
      <c r="Z7990" s="11"/>
    </row>
    <row r="7991" spans="26:26" hidden="1">
      <c r="Z7991" s="11"/>
    </row>
    <row r="7992" spans="26:26" hidden="1">
      <c r="Z7992" s="11"/>
    </row>
    <row r="7993" spans="26:26" hidden="1">
      <c r="Z7993" s="11"/>
    </row>
    <row r="7994" spans="26:26" hidden="1">
      <c r="Z7994" s="11"/>
    </row>
    <row r="7995" spans="26:26" hidden="1">
      <c r="Z7995" s="11"/>
    </row>
    <row r="7996" spans="26:26" hidden="1">
      <c r="Z7996" s="11"/>
    </row>
    <row r="7997" spans="26:26" hidden="1">
      <c r="Z7997" s="11"/>
    </row>
    <row r="7998" spans="26:26" hidden="1">
      <c r="Z7998" s="11"/>
    </row>
    <row r="7999" spans="26:26" hidden="1">
      <c r="Z7999" s="11"/>
    </row>
    <row r="8000" spans="26:26" hidden="1">
      <c r="Z8000" s="11"/>
    </row>
    <row r="8001" spans="26:26" hidden="1">
      <c r="Z8001" s="11"/>
    </row>
    <row r="8002" spans="26:26" hidden="1">
      <c r="Z8002" s="11"/>
    </row>
    <row r="8003" spans="26:26" hidden="1">
      <c r="Z8003" s="11"/>
    </row>
    <row r="8004" spans="26:26" hidden="1">
      <c r="Z8004" s="11"/>
    </row>
    <row r="8005" spans="26:26" hidden="1">
      <c r="Z8005" s="11"/>
    </row>
    <row r="8006" spans="26:26" hidden="1">
      <c r="Z8006" s="11"/>
    </row>
    <row r="8007" spans="26:26" hidden="1">
      <c r="Z8007" s="11"/>
    </row>
    <row r="8008" spans="26:26" hidden="1">
      <c r="Z8008" s="11"/>
    </row>
    <row r="8009" spans="26:26" hidden="1">
      <c r="Z8009" s="11"/>
    </row>
    <row r="8010" spans="26:26" hidden="1">
      <c r="Z8010" s="11"/>
    </row>
    <row r="8011" spans="26:26" hidden="1">
      <c r="Z8011" s="11"/>
    </row>
    <row r="8012" spans="26:26" hidden="1">
      <c r="Z8012" s="11"/>
    </row>
    <row r="8013" spans="26:26" hidden="1">
      <c r="Z8013" s="11"/>
    </row>
    <row r="8014" spans="26:26" hidden="1">
      <c r="Z8014" s="11"/>
    </row>
    <row r="8015" spans="26:26" hidden="1">
      <c r="Z8015" s="11"/>
    </row>
    <row r="8016" spans="26:26" hidden="1">
      <c r="Z8016" s="11"/>
    </row>
    <row r="8017" spans="26:26" hidden="1">
      <c r="Z8017" s="11"/>
    </row>
    <row r="8018" spans="26:26" hidden="1">
      <c r="Z8018" s="11"/>
    </row>
    <row r="8019" spans="26:26" hidden="1">
      <c r="Z8019" s="11"/>
    </row>
    <row r="8020" spans="26:26" hidden="1">
      <c r="Z8020" s="11"/>
    </row>
    <row r="8021" spans="26:26" hidden="1">
      <c r="Z8021" s="11"/>
    </row>
    <row r="8022" spans="26:26" hidden="1">
      <c r="Z8022" s="11"/>
    </row>
    <row r="8023" spans="26:26" hidden="1">
      <c r="Z8023" s="11"/>
    </row>
    <row r="8024" spans="26:26" hidden="1">
      <c r="Z8024" s="11"/>
    </row>
    <row r="8025" spans="26:26" hidden="1">
      <c r="Z8025" s="11"/>
    </row>
    <row r="8026" spans="26:26" hidden="1">
      <c r="Z8026" s="11"/>
    </row>
    <row r="8027" spans="26:26" hidden="1">
      <c r="Z8027" s="11"/>
    </row>
    <row r="8028" spans="26:26" hidden="1">
      <c r="Z8028" s="11"/>
    </row>
    <row r="8029" spans="26:26" hidden="1">
      <c r="Z8029" s="11"/>
    </row>
    <row r="8030" spans="26:26" hidden="1">
      <c r="Z8030" s="11"/>
    </row>
    <row r="8031" spans="26:26" hidden="1">
      <c r="Z8031" s="11"/>
    </row>
    <row r="8032" spans="26:26" hidden="1">
      <c r="Z8032" s="11"/>
    </row>
    <row r="8033" spans="26:26" hidden="1">
      <c r="Z8033" s="11"/>
    </row>
    <row r="8034" spans="26:26" hidden="1">
      <c r="Z8034" s="11"/>
    </row>
    <row r="8035" spans="26:26" hidden="1">
      <c r="Z8035" s="11"/>
    </row>
    <row r="8036" spans="26:26" hidden="1">
      <c r="Z8036" s="11"/>
    </row>
    <row r="8037" spans="26:26" hidden="1">
      <c r="Z8037" s="11"/>
    </row>
    <row r="8038" spans="26:26" hidden="1">
      <c r="Z8038" s="11"/>
    </row>
    <row r="8039" spans="26:26" hidden="1">
      <c r="Z8039" s="11"/>
    </row>
    <row r="8040" spans="26:26" hidden="1">
      <c r="Z8040" s="11"/>
    </row>
    <row r="8041" spans="26:26" hidden="1">
      <c r="Z8041" s="11"/>
    </row>
    <row r="8042" spans="26:26" hidden="1">
      <c r="Z8042" s="11"/>
    </row>
    <row r="8043" spans="26:26" hidden="1">
      <c r="Z8043" s="11"/>
    </row>
    <row r="8044" spans="26:26" hidden="1">
      <c r="Z8044" s="11"/>
    </row>
    <row r="8045" spans="26:26" hidden="1">
      <c r="Z8045" s="11"/>
    </row>
    <row r="8046" spans="26:26" hidden="1">
      <c r="Z8046" s="11"/>
    </row>
    <row r="8047" spans="26:26" hidden="1">
      <c r="Z8047" s="11"/>
    </row>
    <row r="8048" spans="26:26" hidden="1">
      <c r="Z8048" s="11"/>
    </row>
    <row r="8049" spans="26:26" hidden="1">
      <c r="Z8049" s="11"/>
    </row>
    <row r="8050" spans="26:26" hidden="1">
      <c r="Z8050" s="11"/>
    </row>
    <row r="8051" spans="26:26" hidden="1">
      <c r="Z8051" s="11"/>
    </row>
    <row r="8052" spans="26:26" hidden="1">
      <c r="Z8052" s="11"/>
    </row>
    <row r="8053" spans="26:26" hidden="1">
      <c r="Z8053" s="11"/>
    </row>
    <row r="8054" spans="26:26" hidden="1">
      <c r="Z8054" s="11"/>
    </row>
    <row r="8055" spans="26:26" hidden="1">
      <c r="Z8055" s="11"/>
    </row>
    <row r="8056" spans="26:26" hidden="1">
      <c r="Z8056" s="11"/>
    </row>
    <row r="8057" spans="26:26" hidden="1">
      <c r="Z8057" s="11"/>
    </row>
    <row r="8058" spans="26:26" hidden="1">
      <c r="Z8058" s="11"/>
    </row>
    <row r="8059" spans="26:26" hidden="1">
      <c r="Z8059" s="11"/>
    </row>
    <row r="8060" spans="26:26" hidden="1">
      <c r="Z8060" s="11"/>
    </row>
    <row r="8061" spans="26:26" hidden="1">
      <c r="Z8061" s="11"/>
    </row>
    <row r="8062" spans="26:26" hidden="1">
      <c r="Z8062" s="11"/>
    </row>
    <row r="8063" spans="26:26" hidden="1">
      <c r="Z8063" s="11"/>
    </row>
    <row r="8064" spans="26:26" hidden="1">
      <c r="Z8064" s="11"/>
    </row>
    <row r="8065" spans="26:26" hidden="1">
      <c r="Z8065" s="11"/>
    </row>
    <row r="8066" spans="26:26" hidden="1">
      <c r="Z8066" s="11"/>
    </row>
    <row r="8067" spans="26:26" hidden="1">
      <c r="Z8067" s="11"/>
    </row>
    <row r="8068" spans="26:26" hidden="1">
      <c r="Z8068" s="11"/>
    </row>
    <row r="8069" spans="26:26" hidden="1">
      <c r="Z8069" s="11"/>
    </row>
    <row r="8070" spans="26:26" hidden="1">
      <c r="Z8070" s="11"/>
    </row>
    <row r="8071" spans="26:26" hidden="1">
      <c r="Z8071" s="11"/>
    </row>
    <row r="8072" spans="26:26" hidden="1">
      <c r="Z8072" s="11"/>
    </row>
    <row r="8073" spans="26:26" hidden="1">
      <c r="Z8073" s="11"/>
    </row>
    <row r="8074" spans="26:26" hidden="1">
      <c r="Z8074" s="11"/>
    </row>
    <row r="8075" spans="26:26" hidden="1">
      <c r="Z8075" s="11"/>
    </row>
    <row r="8076" spans="26:26" hidden="1">
      <c r="Z8076" s="11"/>
    </row>
    <row r="8077" spans="26:26" hidden="1">
      <c r="Z8077" s="11"/>
    </row>
    <row r="8078" spans="26:26" hidden="1">
      <c r="Z8078" s="11"/>
    </row>
    <row r="8079" spans="26:26" hidden="1">
      <c r="Z8079" s="11"/>
    </row>
    <row r="8080" spans="26:26" hidden="1">
      <c r="Z8080" s="11"/>
    </row>
    <row r="8081" spans="26:26" hidden="1">
      <c r="Z8081" s="11"/>
    </row>
    <row r="8082" spans="26:26" hidden="1">
      <c r="Z8082" s="11"/>
    </row>
    <row r="8083" spans="26:26" hidden="1">
      <c r="Z8083" s="11"/>
    </row>
    <row r="8084" spans="26:26" hidden="1">
      <c r="Z8084" s="11"/>
    </row>
    <row r="8085" spans="26:26" hidden="1">
      <c r="Z8085" s="11"/>
    </row>
    <row r="8086" spans="26:26" hidden="1">
      <c r="Z8086" s="11"/>
    </row>
    <row r="8087" spans="26:26" hidden="1">
      <c r="Z8087" s="11"/>
    </row>
    <row r="8088" spans="26:26" hidden="1">
      <c r="Z8088" s="11"/>
    </row>
    <row r="8089" spans="26:26" hidden="1">
      <c r="Z8089" s="11"/>
    </row>
    <row r="8090" spans="26:26" hidden="1">
      <c r="Z8090" s="11"/>
    </row>
    <row r="8091" spans="26:26" hidden="1">
      <c r="Z8091" s="11"/>
    </row>
    <row r="8092" spans="26:26" hidden="1">
      <c r="Z8092" s="11"/>
    </row>
    <row r="8093" spans="26:26" hidden="1">
      <c r="Z8093" s="11"/>
    </row>
    <row r="8094" spans="26:26" hidden="1">
      <c r="Z8094" s="11"/>
    </row>
    <row r="8095" spans="26:26" hidden="1">
      <c r="Z8095" s="11"/>
    </row>
    <row r="8096" spans="26:26" hidden="1">
      <c r="Z8096" s="11"/>
    </row>
    <row r="8097" spans="26:26" hidden="1">
      <c r="Z8097" s="11"/>
    </row>
    <row r="8098" spans="26:26" hidden="1">
      <c r="Z8098" s="11"/>
    </row>
    <row r="8099" spans="26:26" hidden="1">
      <c r="Z8099" s="11"/>
    </row>
    <row r="8100" spans="26:26" hidden="1">
      <c r="Z8100" s="11"/>
    </row>
    <row r="8101" spans="26:26" hidden="1">
      <c r="Z8101" s="11"/>
    </row>
    <row r="8102" spans="26:26" hidden="1">
      <c r="Z8102" s="11"/>
    </row>
    <row r="8103" spans="26:26" hidden="1">
      <c r="Z8103" s="11"/>
    </row>
    <row r="8104" spans="26:26" hidden="1">
      <c r="Z8104" s="11"/>
    </row>
    <row r="8105" spans="26:26" hidden="1">
      <c r="Z8105" s="11"/>
    </row>
    <row r="8106" spans="26:26" hidden="1">
      <c r="Z8106" s="11"/>
    </row>
    <row r="8107" spans="26:26" hidden="1">
      <c r="Z8107" s="11"/>
    </row>
    <row r="8108" spans="26:26" hidden="1">
      <c r="Z8108" s="11"/>
    </row>
    <row r="8109" spans="26:26" hidden="1">
      <c r="Z8109" s="11"/>
    </row>
    <row r="8110" spans="26:26" hidden="1">
      <c r="Z8110" s="11"/>
    </row>
    <row r="8111" spans="26:26" hidden="1">
      <c r="Z8111" s="11"/>
    </row>
    <row r="8112" spans="26:26" hidden="1">
      <c r="Z8112" s="11"/>
    </row>
    <row r="8113" spans="26:26" hidden="1">
      <c r="Z8113" s="11"/>
    </row>
    <row r="8114" spans="26:26" hidden="1">
      <c r="Z8114" s="11"/>
    </row>
    <row r="8115" spans="26:26" hidden="1">
      <c r="Z8115" s="11"/>
    </row>
    <row r="8116" spans="26:26" hidden="1">
      <c r="Z8116" s="11"/>
    </row>
    <row r="8117" spans="26:26" hidden="1">
      <c r="Z8117" s="11"/>
    </row>
    <row r="8118" spans="26:26" hidden="1">
      <c r="Z8118" s="11"/>
    </row>
    <row r="8119" spans="26:26" hidden="1">
      <c r="Z8119" s="11"/>
    </row>
    <row r="8120" spans="26:26" hidden="1">
      <c r="Z8120" s="11"/>
    </row>
    <row r="8121" spans="26:26" hidden="1">
      <c r="Z8121" s="11"/>
    </row>
    <row r="8122" spans="26:26" hidden="1">
      <c r="Z8122" s="11"/>
    </row>
    <row r="8123" spans="26:26" hidden="1">
      <c r="Z8123" s="11"/>
    </row>
    <row r="8124" spans="26:26" hidden="1">
      <c r="Z8124" s="11"/>
    </row>
    <row r="8125" spans="26:26" hidden="1">
      <c r="Z8125" s="11"/>
    </row>
    <row r="8126" spans="26:26" hidden="1">
      <c r="Z8126" s="11"/>
    </row>
    <row r="8127" spans="26:26" hidden="1">
      <c r="Z8127" s="11"/>
    </row>
    <row r="8128" spans="26:26" hidden="1">
      <c r="Z8128" s="11"/>
    </row>
    <row r="8129" spans="26:26" hidden="1">
      <c r="Z8129" s="11"/>
    </row>
    <row r="8130" spans="26:26" hidden="1">
      <c r="Z8130" s="11"/>
    </row>
    <row r="8131" spans="26:26" hidden="1">
      <c r="Z8131" s="11"/>
    </row>
    <row r="8132" spans="26:26" hidden="1">
      <c r="Z8132" s="11"/>
    </row>
    <row r="8133" spans="26:26" hidden="1">
      <c r="Z8133" s="11"/>
    </row>
    <row r="8134" spans="26:26" hidden="1">
      <c r="Z8134" s="11"/>
    </row>
    <row r="8135" spans="26:26" hidden="1">
      <c r="Z8135" s="11"/>
    </row>
    <row r="8136" spans="26:26" hidden="1">
      <c r="Z8136" s="11"/>
    </row>
    <row r="8137" spans="26:26" hidden="1">
      <c r="Z8137" s="11"/>
    </row>
    <row r="8138" spans="26:26" hidden="1">
      <c r="Z8138" s="11"/>
    </row>
    <row r="8139" spans="26:26" hidden="1">
      <c r="Z8139" s="11"/>
    </row>
    <row r="8140" spans="26:26" hidden="1">
      <c r="Z8140" s="11"/>
    </row>
    <row r="8141" spans="26:26" hidden="1">
      <c r="Z8141" s="11"/>
    </row>
    <row r="8142" spans="26:26" hidden="1">
      <c r="Z8142" s="11"/>
    </row>
    <row r="8143" spans="26:26" hidden="1">
      <c r="Z8143" s="11"/>
    </row>
    <row r="8144" spans="26:26" hidden="1">
      <c r="Z8144" s="11"/>
    </row>
    <row r="8145" spans="26:26" hidden="1">
      <c r="Z8145" s="11"/>
    </row>
    <row r="8146" spans="26:26" hidden="1">
      <c r="Z8146" s="11"/>
    </row>
    <row r="8147" spans="26:26" hidden="1">
      <c r="Z8147" s="11"/>
    </row>
    <row r="8148" spans="26:26" hidden="1">
      <c r="Z8148" s="11"/>
    </row>
    <row r="8149" spans="26:26" hidden="1">
      <c r="Z8149" s="11"/>
    </row>
    <row r="8150" spans="26:26" hidden="1">
      <c r="Z8150" s="11"/>
    </row>
    <row r="8151" spans="26:26" hidden="1">
      <c r="Z8151" s="11"/>
    </row>
    <row r="8152" spans="26:26" hidden="1">
      <c r="Z8152" s="11"/>
    </row>
    <row r="8153" spans="26:26" hidden="1">
      <c r="Z8153" s="11"/>
    </row>
    <row r="8154" spans="26:26" hidden="1">
      <c r="Z8154" s="11"/>
    </row>
    <row r="8155" spans="26:26" hidden="1">
      <c r="Z8155" s="11"/>
    </row>
    <row r="8156" spans="26:26" hidden="1">
      <c r="Z8156" s="11"/>
    </row>
    <row r="8157" spans="26:26" hidden="1">
      <c r="Z8157" s="11"/>
    </row>
    <row r="8158" spans="26:26" hidden="1">
      <c r="Z8158" s="11"/>
    </row>
    <row r="8159" spans="26:26" hidden="1">
      <c r="Z8159" s="11"/>
    </row>
    <row r="8160" spans="26:26" hidden="1">
      <c r="Z8160" s="11"/>
    </row>
    <row r="8161" spans="26:26" hidden="1">
      <c r="Z8161" s="11"/>
    </row>
    <row r="8162" spans="26:26" hidden="1">
      <c r="Z8162" s="11"/>
    </row>
    <row r="8163" spans="26:26" hidden="1">
      <c r="Z8163" s="11"/>
    </row>
    <row r="8164" spans="26:26" hidden="1">
      <c r="Z8164" s="11"/>
    </row>
    <row r="8165" spans="26:26" hidden="1">
      <c r="Z8165" s="11"/>
    </row>
    <row r="8166" spans="26:26" hidden="1">
      <c r="Z8166" s="11"/>
    </row>
    <row r="8167" spans="26:26" hidden="1">
      <c r="Z8167" s="11"/>
    </row>
    <row r="8168" spans="26:26" hidden="1">
      <c r="Z8168" s="11"/>
    </row>
    <row r="8169" spans="26:26" hidden="1">
      <c r="Z8169" s="11"/>
    </row>
    <row r="8170" spans="26:26" hidden="1">
      <c r="Z8170" s="11"/>
    </row>
    <row r="8171" spans="26:26" hidden="1">
      <c r="Z8171" s="11"/>
    </row>
    <row r="8172" spans="26:26" hidden="1">
      <c r="Z8172" s="11"/>
    </row>
    <row r="8173" spans="26:26" hidden="1">
      <c r="Z8173" s="11"/>
    </row>
    <row r="8174" spans="26:26" hidden="1">
      <c r="Z8174" s="11"/>
    </row>
    <row r="8175" spans="26:26" hidden="1">
      <c r="Z8175" s="11"/>
    </row>
    <row r="8176" spans="26:26" hidden="1">
      <c r="Z8176" s="11"/>
    </row>
    <row r="8177" spans="26:26" hidden="1">
      <c r="Z8177" s="11"/>
    </row>
    <row r="8178" spans="26:26" hidden="1">
      <c r="Z8178" s="11"/>
    </row>
    <row r="8179" spans="26:26" hidden="1">
      <c r="Z8179" s="11"/>
    </row>
    <row r="8180" spans="26:26" hidden="1">
      <c r="Z8180" s="11"/>
    </row>
    <row r="8181" spans="26:26" hidden="1">
      <c r="Z8181" s="11"/>
    </row>
    <row r="8182" spans="26:26" hidden="1">
      <c r="Z8182" s="11"/>
    </row>
    <row r="8183" spans="26:26" hidden="1">
      <c r="Z8183" s="11"/>
    </row>
    <row r="8184" spans="26:26" hidden="1">
      <c r="Z8184" s="11"/>
    </row>
    <row r="8185" spans="26:26" hidden="1">
      <c r="Z8185" s="11"/>
    </row>
    <row r="8186" spans="26:26" hidden="1">
      <c r="Z8186" s="11"/>
    </row>
    <row r="8187" spans="26:26" hidden="1">
      <c r="Z8187" s="11"/>
    </row>
    <row r="8188" spans="26:26" hidden="1">
      <c r="Z8188" s="11"/>
    </row>
    <row r="8189" spans="26:26" hidden="1">
      <c r="Z8189" s="11"/>
    </row>
    <row r="8190" spans="26:26" hidden="1">
      <c r="Z8190" s="11"/>
    </row>
    <row r="8191" spans="26:26" hidden="1">
      <c r="Z8191" s="11"/>
    </row>
    <row r="8192" spans="26:26" hidden="1">
      <c r="Z8192" s="11"/>
    </row>
    <row r="8193" spans="26:26" hidden="1">
      <c r="Z8193" s="11"/>
    </row>
    <row r="8194" spans="26:26" hidden="1">
      <c r="Z8194" s="11"/>
    </row>
    <row r="8195" spans="26:26" hidden="1">
      <c r="Z8195" s="11"/>
    </row>
    <row r="8196" spans="26:26" hidden="1">
      <c r="Z8196" s="11"/>
    </row>
    <row r="8197" spans="26:26" hidden="1">
      <c r="Z8197" s="11"/>
    </row>
    <row r="8198" spans="26:26" hidden="1">
      <c r="Z8198" s="11"/>
    </row>
    <row r="8199" spans="26:26" hidden="1">
      <c r="Z8199" s="11"/>
    </row>
    <row r="8200" spans="26:26" hidden="1">
      <c r="Z8200" s="11"/>
    </row>
    <row r="8201" spans="26:26" hidden="1">
      <c r="Z8201" s="11"/>
    </row>
    <row r="8202" spans="26:26" hidden="1">
      <c r="Z8202" s="11"/>
    </row>
    <row r="8203" spans="26:26" hidden="1">
      <c r="Z8203" s="11"/>
    </row>
    <row r="8204" spans="26:26" hidden="1">
      <c r="Z8204" s="11"/>
    </row>
    <row r="8205" spans="26:26" hidden="1">
      <c r="Z8205" s="11"/>
    </row>
    <row r="8206" spans="26:26" hidden="1">
      <c r="Z8206" s="11"/>
    </row>
    <row r="8207" spans="26:26" hidden="1">
      <c r="Z8207" s="11"/>
    </row>
    <row r="8208" spans="26:26" hidden="1">
      <c r="Z8208" s="11"/>
    </row>
    <row r="8209" spans="26:26" hidden="1">
      <c r="Z8209" s="11"/>
    </row>
    <row r="8210" spans="26:26" hidden="1">
      <c r="Z8210" s="11"/>
    </row>
    <row r="8211" spans="26:26" hidden="1">
      <c r="Z8211" s="11"/>
    </row>
    <row r="8212" spans="26:26" hidden="1">
      <c r="Z8212" s="11"/>
    </row>
    <row r="8213" spans="26:26" hidden="1">
      <c r="Z8213" s="11"/>
    </row>
    <row r="8214" spans="26:26" hidden="1">
      <c r="Z8214" s="11"/>
    </row>
    <row r="8215" spans="26:26" hidden="1">
      <c r="Z8215" s="11"/>
    </row>
    <row r="8216" spans="26:26" hidden="1">
      <c r="Z8216" s="11"/>
    </row>
    <row r="8217" spans="26:26" hidden="1">
      <c r="Z8217" s="11"/>
    </row>
    <row r="8218" spans="26:26" hidden="1">
      <c r="Z8218" s="11"/>
    </row>
    <row r="8219" spans="26:26" hidden="1">
      <c r="Z8219" s="11"/>
    </row>
    <row r="8220" spans="26:26" hidden="1">
      <c r="Z8220" s="11"/>
    </row>
    <row r="8221" spans="26:26" hidden="1">
      <c r="Z8221" s="11"/>
    </row>
    <row r="8222" spans="26:26" hidden="1">
      <c r="Z8222" s="11"/>
    </row>
    <row r="8223" spans="26:26" hidden="1">
      <c r="Z8223" s="11"/>
    </row>
    <row r="8224" spans="26:26" hidden="1">
      <c r="Z8224" s="11"/>
    </row>
    <row r="8225" spans="26:26" hidden="1">
      <c r="Z8225" s="11"/>
    </row>
    <row r="8226" spans="26:26" hidden="1">
      <c r="Z8226" s="11"/>
    </row>
    <row r="8227" spans="26:26" hidden="1">
      <c r="Z8227" s="11"/>
    </row>
    <row r="8228" spans="26:26" hidden="1">
      <c r="Z8228" s="11"/>
    </row>
    <row r="8229" spans="26:26" hidden="1">
      <c r="Z8229" s="11"/>
    </row>
    <row r="8230" spans="26:26" hidden="1">
      <c r="Z8230" s="11"/>
    </row>
    <row r="8231" spans="26:26" hidden="1">
      <c r="Z8231" s="11"/>
    </row>
    <row r="8232" spans="26:26" hidden="1">
      <c r="Z8232" s="11"/>
    </row>
    <row r="8233" spans="26:26" hidden="1">
      <c r="Z8233" s="11"/>
    </row>
    <row r="8234" spans="26:26" hidden="1">
      <c r="Z8234" s="11"/>
    </row>
    <row r="8235" spans="26:26" hidden="1">
      <c r="Z8235" s="11"/>
    </row>
    <row r="8236" spans="26:26" hidden="1">
      <c r="Z8236" s="11"/>
    </row>
    <row r="8237" spans="26:26" hidden="1">
      <c r="Z8237" s="11"/>
    </row>
    <row r="8238" spans="26:26" hidden="1">
      <c r="Z8238" s="11"/>
    </row>
    <row r="8239" spans="26:26" hidden="1">
      <c r="Z8239" s="11"/>
    </row>
    <row r="8240" spans="26:26" hidden="1">
      <c r="Z8240" s="11"/>
    </row>
    <row r="8241" spans="26:26" hidden="1">
      <c r="Z8241" s="11"/>
    </row>
    <row r="8242" spans="26:26" hidden="1">
      <c r="Z8242" s="11"/>
    </row>
    <row r="8243" spans="26:26" hidden="1">
      <c r="Z8243" s="11"/>
    </row>
    <row r="8244" spans="26:26" hidden="1">
      <c r="Z8244" s="11"/>
    </row>
    <row r="8245" spans="26:26" hidden="1">
      <c r="Z8245" s="11"/>
    </row>
    <row r="8246" spans="26:26" hidden="1">
      <c r="Z8246" s="11"/>
    </row>
    <row r="8247" spans="26:26" hidden="1">
      <c r="Z8247" s="11"/>
    </row>
    <row r="8248" spans="26:26" hidden="1">
      <c r="Z8248" s="11"/>
    </row>
    <row r="8249" spans="26:26" hidden="1">
      <c r="Z8249" s="11"/>
    </row>
    <row r="8250" spans="26:26" hidden="1">
      <c r="Z8250" s="11"/>
    </row>
    <row r="8251" spans="26:26" hidden="1">
      <c r="Z8251" s="11"/>
    </row>
    <row r="8252" spans="26:26" hidden="1">
      <c r="Z8252" s="11"/>
    </row>
    <row r="8253" spans="26:26" hidden="1">
      <c r="Z8253" s="11"/>
    </row>
    <row r="8254" spans="26:26" hidden="1">
      <c r="Z8254" s="11"/>
    </row>
    <row r="8255" spans="26:26" hidden="1">
      <c r="Z8255" s="11"/>
    </row>
    <row r="8256" spans="26:26" hidden="1">
      <c r="Z8256" s="11"/>
    </row>
    <row r="8257" spans="26:26" hidden="1">
      <c r="Z8257" s="11"/>
    </row>
    <row r="8258" spans="26:26" hidden="1">
      <c r="Z8258" s="11"/>
    </row>
    <row r="8259" spans="26:26" hidden="1">
      <c r="Z8259" s="11"/>
    </row>
    <row r="8260" spans="26:26" hidden="1">
      <c r="Z8260" s="11"/>
    </row>
    <row r="8261" spans="26:26" hidden="1">
      <c r="Z8261" s="11"/>
    </row>
    <row r="8262" spans="26:26" hidden="1">
      <c r="Z8262" s="11"/>
    </row>
    <row r="8263" spans="26:26" hidden="1">
      <c r="Z8263" s="11"/>
    </row>
    <row r="8264" spans="26:26" hidden="1">
      <c r="Z8264" s="11"/>
    </row>
    <row r="8265" spans="26:26" hidden="1">
      <c r="Z8265" s="11"/>
    </row>
    <row r="8266" spans="26:26" hidden="1">
      <c r="Z8266" s="11"/>
    </row>
    <row r="8267" spans="26:26" hidden="1">
      <c r="Z8267" s="11"/>
    </row>
    <row r="8268" spans="26:26" hidden="1">
      <c r="Z8268" s="11"/>
    </row>
    <row r="8269" spans="26:26" hidden="1">
      <c r="Z8269" s="11"/>
    </row>
    <row r="8270" spans="26:26" hidden="1">
      <c r="Z8270" s="11"/>
    </row>
    <row r="8271" spans="26:26" hidden="1">
      <c r="Z8271" s="11"/>
    </row>
    <row r="8272" spans="26:26" hidden="1">
      <c r="Z8272" s="11"/>
    </row>
    <row r="8273" spans="26:26" hidden="1">
      <c r="Z8273" s="11"/>
    </row>
    <row r="8274" spans="26:26" hidden="1">
      <c r="Z8274" s="11"/>
    </row>
    <row r="8275" spans="26:26" hidden="1">
      <c r="Z8275" s="11"/>
    </row>
    <row r="8276" spans="26:26" hidden="1">
      <c r="Z8276" s="11"/>
    </row>
    <row r="8277" spans="26:26" hidden="1">
      <c r="Z8277" s="11"/>
    </row>
    <row r="8278" spans="26:26" hidden="1">
      <c r="Z8278" s="11"/>
    </row>
    <row r="8279" spans="26:26" hidden="1">
      <c r="Z8279" s="11"/>
    </row>
    <row r="8280" spans="26:26" hidden="1">
      <c r="Z8280" s="11"/>
    </row>
    <row r="8281" spans="26:26" hidden="1">
      <c r="Z8281" s="11"/>
    </row>
    <row r="8282" spans="26:26" hidden="1">
      <c r="Z8282" s="11"/>
    </row>
    <row r="8283" spans="26:26" hidden="1">
      <c r="Z8283" s="11"/>
    </row>
    <row r="8284" spans="26:26" hidden="1">
      <c r="Z8284" s="11"/>
    </row>
    <row r="8285" spans="26:26" hidden="1">
      <c r="Z8285" s="11"/>
    </row>
    <row r="8286" spans="26:26" hidden="1">
      <c r="Z8286" s="11"/>
    </row>
    <row r="8287" spans="26:26" hidden="1">
      <c r="Z8287" s="11"/>
    </row>
    <row r="8288" spans="26:26" hidden="1">
      <c r="Z8288" s="11"/>
    </row>
    <row r="8289" spans="26:26" hidden="1">
      <c r="Z8289" s="11"/>
    </row>
    <row r="8290" spans="26:26" hidden="1">
      <c r="Z8290" s="11"/>
    </row>
    <row r="8291" spans="26:26" hidden="1">
      <c r="Z8291" s="11"/>
    </row>
    <row r="8292" spans="26:26" hidden="1">
      <c r="Z8292" s="11"/>
    </row>
    <row r="8293" spans="26:26" hidden="1">
      <c r="Z8293" s="11"/>
    </row>
    <row r="8294" spans="26:26" hidden="1">
      <c r="Z8294" s="11"/>
    </row>
    <row r="8295" spans="26:26" hidden="1">
      <c r="Z8295" s="11"/>
    </row>
    <row r="8296" spans="26:26" hidden="1">
      <c r="Z8296" s="11"/>
    </row>
    <row r="8297" spans="26:26" hidden="1">
      <c r="Z8297" s="11"/>
    </row>
    <row r="8298" spans="26:26" hidden="1">
      <c r="Z8298" s="11"/>
    </row>
    <row r="8299" spans="26:26" hidden="1">
      <c r="Z8299" s="11"/>
    </row>
    <row r="8300" spans="26:26" hidden="1">
      <c r="Z8300" s="11"/>
    </row>
    <row r="8301" spans="26:26" hidden="1">
      <c r="Z8301" s="11"/>
    </row>
    <row r="8302" spans="26:26" hidden="1">
      <c r="Z8302" s="11"/>
    </row>
    <row r="8303" spans="26:26" hidden="1">
      <c r="Z8303" s="11"/>
    </row>
    <row r="8304" spans="26:26" hidden="1">
      <c r="Z8304" s="11"/>
    </row>
    <row r="8305" spans="26:26" hidden="1">
      <c r="Z8305" s="11"/>
    </row>
    <row r="8306" spans="26:26" hidden="1">
      <c r="Z8306" s="11"/>
    </row>
    <row r="8307" spans="26:26" hidden="1">
      <c r="Z8307" s="11"/>
    </row>
    <row r="8308" spans="26:26" hidden="1">
      <c r="Z8308" s="11"/>
    </row>
    <row r="8309" spans="26:26" hidden="1">
      <c r="Z8309" s="11"/>
    </row>
    <row r="8310" spans="26:26" hidden="1">
      <c r="Z8310" s="11"/>
    </row>
    <row r="8311" spans="26:26" hidden="1">
      <c r="Z8311" s="11"/>
    </row>
    <row r="8312" spans="26:26" hidden="1">
      <c r="Z8312" s="11"/>
    </row>
    <row r="8313" spans="26:26" hidden="1">
      <c r="Z8313" s="11"/>
    </row>
    <row r="8314" spans="26:26" hidden="1">
      <c r="Z8314" s="11"/>
    </row>
    <row r="8315" spans="26:26" hidden="1">
      <c r="Z8315" s="11"/>
    </row>
    <row r="8316" spans="26:26" hidden="1">
      <c r="Z8316" s="11"/>
    </row>
    <row r="8317" spans="26:26" hidden="1">
      <c r="Z8317" s="11"/>
    </row>
    <row r="8318" spans="26:26" hidden="1">
      <c r="Z8318" s="11"/>
    </row>
    <row r="8319" spans="26:26" hidden="1">
      <c r="Z8319" s="11"/>
    </row>
    <row r="8320" spans="26:26" hidden="1">
      <c r="Z8320" s="11"/>
    </row>
    <row r="8321" spans="26:26" hidden="1">
      <c r="Z8321" s="11"/>
    </row>
    <row r="8322" spans="26:26" hidden="1">
      <c r="Z8322" s="11"/>
    </row>
    <row r="8323" spans="26:26" hidden="1">
      <c r="Z8323" s="11"/>
    </row>
    <row r="8324" spans="26:26" hidden="1">
      <c r="Z8324" s="11"/>
    </row>
    <row r="8325" spans="26:26" hidden="1">
      <c r="Z8325" s="11"/>
    </row>
    <row r="8326" spans="26:26" hidden="1">
      <c r="Z8326" s="11"/>
    </row>
    <row r="8327" spans="26:26" hidden="1">
      <c r="Z8327" s="11"/>
    </row>
    <row r="8328" spans="26:26" hidden="1">
      <c r="Z8328" s="11"/>
    </row>
    <row r="8329" spans="26:26" hidden="1">
      <c r="Z8329" s="11"/>
    </row>
    <row r="8330" spans="26:26" hidden="1">
      <c r="Z8330" s="11"/>
    </row>
    <row r="8331" spans="26:26" hidden="1">
      <c r="Z8331" s="11"/>
    </row>
    <row r="8332" spans="26:26" hidden="1">
      <c r="Z8332" s="11"/>
    </row>
    <row r="8333" spans="26:26" hidden="1">
      <c r="Z8333" s="11"/>
    </row>
    <row r="8334" spans="26:26" hidden="1">
      <c r="Z8334" s="11"/>
    </row>
    <row r="8335" spans="26:26" hidden="1">
      <c r="Z8335" s="11"/>
    </row>
    <row r="8336" spans="26:26" hidden="1">
      <c r="Z8336" s="11"/>
    </row>
    <row r="8337" spans="26:26" hidden="1">
      <c r="Z8337" s="11"/>
    </row>
    <row r="8338" spans="26:26" hidden="1">
      <c r="Z8338" s="11"/>
    </row>
    <row r="8339" spans="26:26" hidden="1">
      <c r="Z8339" s="11"/>
    </row>
    <row r="8340" spans="26:26" hidden="1">
      <c r="Z8340" s="11"/>
    </row>
    <row r="8341" spans="26:26" hidden="1">
      <c r="Z8341" s="11"/>
    </row>
    <row r="8342" spans="26:26" hidden="1">
      <c r="Z8342" s="11"/>
    </row>
    <row r="8343" spans="26:26" hidden="1">
      <c r="Z8343" s="11"/>
    </row>
    <row r="8344" spans="26:26" hidden="1">
      <c r="Z8344" s="11"/>
    </row>
    <row r="8345" spans="26:26" hidden="1">
      <c r="Z8345" s="11"/>
    </row>
    <row r="8346" spans="26:26" hidden="1">
      <c r="Z8346" s="11"/>
    </row>
    <row r="8347" spans="26:26" hidden="1">
      <c r="Z8347" s="11"/>
    </row>
    <row r="8348" spans="26:26" hidden="1">
      <c r="Z8348" s="11"/>
    </row>
    <row r="8349" spans="26:26" hidden="1">
      <c r="Z8349" s="11"/>
    </row>
    <row r="8350" spans="26:26" hidden="1">
      <c r="Z8350" s="11"/>
    </row>
    <row r="8351" spans="26:26" hidden="1">
      <c r="Z8351" s="11"/>
    </row>
    <row r="8352" spans="26:26" hidden="1">
      <c r="Z8352" s="11"/>
    </row>
    <row r="8353" spans="26:26" hidden="1">
      <c r="Z8353" s="11"/>
    </row>
    <row r="8354" spans="26:26" hidden="1">
      <c r="Z8354" s="11"/>
    </row>
    <row r="8355" spans="26:26" hidden="1">
      <c r="Z8355" s="11"/>
    </row>
    <row r="8356" spans="26:26" hidden="1">
      <c r="Z8356" s="11"/>
    </row>
    <row r="8357" spans="26:26" hidden="1">
      <c r="Z8357" s="11"/>
    </row>
    <row r="8358" spans="26:26" hidden="1">
      <c r="Z8358" s="11"/>
    </row>
    <row r="8359" spans="26:26" hidden="1">
      <c r="Z8359" s="11"/>
    </row>
    <row r="8360" spans="26:26" hidden="1">
      <c r="Z8360" s="11"/>
    </row>
    <row r="8361" spans="26:26" hidden="1">
      <c r="Z8361" s="11"/>
    </row>
    <row r="8362" spans="26:26" hidden="1">
      <c r="Z8362" s="11"/>
    </row>
    <row r="8363" spans="26:26" hidden="1">
      <c r="Z8363" s="11"/>
    </row>
    <row r="8364" spans="26:26" hidden="1">
      <c r="Z8364" s="11"/>
    </row>
    <row r="8365" spans="26:26" hidden="1">
      <c r="Z8365" s="11"/>
    </row>
    <row r="8366" spans="26:26" hidden="1">
      <c r="Z8366" s="11"/>
    </row>
    <row r="8367" spans="26:26" hidden="1">
      <c r="Z8367" s="11"/>
    </row>
    <row r="8368" spans="26:26" hidden="1">
      <c r="Z8368" s="11"/>
    </row>
    <row r="8369" spans="26:26" hidden="1">
      <c r="Z8369" s="11"/>
    </row>
    <row r="8370" spans="26:26" hidden="1">
      <c r="Z8370" s="11"/>
    </row>
    <row r="8371" spans="26:26" hidden="1">
      <c r="Z8371" s="11"/>
    </row>
    <row r="8372" spans="26:26" hidden="1">
      <c r="Z8372" s="11"/>
    </row>
    <row r="8373" spans="26:26" hidden="1">
      <c r="Z8373" s="11"/>
    </row>
    <row r="8374" spans="26:26" hidden="1">
      <c r="Z8374" s="11"/>
    </row>
    <row r="8375" spans="26:26" hidden="1">
      <c r="Z8375" s="11"/>
    </row>
    <row r="8376" spans="26:26" hidden="1">
      <c r="Z8376" s="11"/>
    </row>
    <row r="8377" spans="26:26" hidden="1">
      <c r="Z8377" s="11"/>
    </row>
    <row r="8378" spans="26:26" hidden="1">
      <c r="Z8378" s="11"/>
    </row>
    <row r="8379" spans="26:26" hidden="1">
      <c r="Z8379" s="11"/>
    </row>
    <row r="8380" spans="26:26" hidden="1">
      <c r="Z8380" s="11"/>
    </row>
    <row r="8381" spans="26:26" hidden="1">
      <c r="Z8381" s="11"/>
    </row>
    <row r="8382" spans="26:26" hidden="1">
      <c r="Z8382" s="11"/>
    </row>
    <row r="8383" spans="26:26" hidden="1">
      <c r="Z8383" s="11"/>
    </row>
    <row r="8384" spans="26:26" hidden="1">
      <c r="Z8384" s="11"/>
    </row>
    <row r="8385" spans="26:26" hidden="1">
      <c r="Z8385" s="11"/>
    </row>
    <row r="8386" spans="26:26" hidden="1">
      <c r="Z8386" s="11"/>
    </row>
    <row r="8387" spans="26:26" hidden="1">
      <c r="Z8387" s="11"/>
    </row>
    <row r="8388" spans="26:26" hidden="1">
      <c r="Z8388" s="11"/>
    </row>
    <row r="8389" spans="26:26" hidden="1">
      <c r="Z8389" s="11"/>
    </row>
    <row r="8390" spans="26:26" hidden="1">
      <c r="Z8390" s="11"/>
    </row>
    <row r="8391" spans="26:26" hidden="1">
      <c r="Z8391" s="11"/>
    </row>
    <row r="8392" spans="26:26" hidden="1">
      <c r="Z8392" s="11"/>
    </row>
    <row r="8393" spans="26:26" hidden="1">
      <c r="Z8393" s="11"/>
    </row>
    <row r="8394" spans="26:26" hidden="1">
      <c r="Z8394" s="11"/>
    </row>
    <row r="8395" spans="26:26" hidden="1">
      <c r="Z8395" s="11"/>
    </row>
    <row r="8396" spans="26:26" hidden="1">
      <c r="Z8396" s="11"/>
    </row>
    <row r="8397" spans="26:26" hidden="1">
      <c r="Z8397" s="11"/>
    </row>
    <row r="8398" spans="26:26" hidden="1">
      <c r="Z8398" s="11"/>
    </row>
    <row r="8399" spans="26:26" hidden="1">
      <c r="Z8399" s="11"/>
    </row>
    <row r="8400" spans="26:26" hidden="1">
      <c r="Z8400" s="11"/>
    </row>
    <row r="8401" spans="26:26" hidden="1">
      <c r="Z8401" s="11"/>
    </row>
    <row r="8402" spans="26:26" hidden="1">
      <c r="Z8402" s="11"/>
    </row>
    <row r="8403" spans="26:26" hidden="1">
      <c r="Z8403" s="11"/>
    </row>
    <row r="8404" spans="26:26" hidden="1">
      <c r="Z8404" s="11"/>
    </row>
    <row r="8405" spans="26:26" hidden="1">
      <c r="Z8405" s="11"/>
    </row>
    <row r="8406" spans="26:26" hidden="1">
      <c r="Z8406" s="11"/>
    </row>
    <row r="8407" spans="26:26" hidden="1">
      <c r="Z8407" s="11"/>
    </row>
    <row r="8408" spans="26:26" hidden="1">
      <c r="Z8408" s="11"/>
    </row>
    <row r="8409" spans="26:26" hidden="1">
      <c r="Z8409" s="11"/>
    </row>
    <row r="8410" spans="26:26" hidden="1">
      <c r="Z8410" s="11"/>
    </row>
    <row r="8411" spans="26:26" hidden="1">
      <c r="Z8411" s="11"/>
    </row>
    <row r="8412" spans="26:26" hidden="1">
      <c r="Z8412" s="11"/>
    </row>
    <row r="8413" spans="26:26" hidden="1">
      <c r="Z8413" s="11"/>
    </row>
    <row r="8414" spans="26:26" hidden="1">
      <c r="Z8414" s="11"/>
    </row>
    <row r="8415" spans="26:26" hidden="1">
      <c r="Z8415" s="11"/>
    </row>
    <row r="8416" spans="26:26" hidden="1">
      <c r="Z8416" s="11"/>
    </row>
    <row r="8417" spans="26:26" hidden="1">
      <c r="Z8417" s="11"/>
    </row>
    <row r="8418" spans="26:26" hidden="1">
      <c r="Z8418" s="11"/>
    </row>
    <row r="8419" spans="26:26" hidden="1">
      <c r="Z8419" s="11"/>
    </row>
    <row r="8420" spans="26:26" hidden="1">
      <c r="Z8420" s="11"/>
    </row>
    <row r="8421" spans="26:26" hidden="1">
      <c r="Z8421" s="11"/>
    </row>
    <row r="8422" spans="26:26" hidden="1">
      <c r="Z8422" s="11"/>
    </row>
    <row r="8423" spans="26:26" hidden="1">
      <c r="Z8423" s="11"/>
    </row>
    <row r="8424" spans="26:26" hidden="1">
      <c r="Z8424" s="11"/>
    </row>
    <row r="8425" spans="26:26" hidden="1">
      <c r="Z8425" s="11"/>
    </row>
    <row r="8426" spans="26:26" hidden="1">
      <c r="Z8426" s="11"/>
    </row>
    <row r="8427" spans="26:26" hidden="1">
      <c r="Z8427" s="11"/>
    </row>
    <row r="8428" spans="26:26" hidden="1">
      <c r="Z8428" s="11"/>
    </row>
    <row r="8429" spans="26:26" hidden="1">
      <c r="Z8429" s="11"/>
    </row>
    <row r="8430" spans="26:26" hidden="1">
      <c r="Z8430" s="11"/>
    </row>
    <row r="8431" spans="26:26" hidden="1">
      <c r="Z8431" s="11"/>
    </row>
    <row r="8432" spans="26:26" hidden="1">
      <c r="Z8432" s="11"/>
    </row>
    <row r="8433" spans="26:26" hidden="1">
      <c r="Z8433" s="11"/>
    </row>
    <row r="8434" spans="26:26" hidden="1">
      <c r="Z8434" s="11"/>
    </row>
    <row r="8435" spans="26:26" hidden="1">
      <c r="Z8435" s="11"/>
    </row>
    <row r="8436" spans="26:26" hidden="1">
      <c r="Z8436" s="11"/>
    </row>
    <row r="8437" spans="26:26" hidden="1">
      <c r="Z8437" s="11"/>
    </row>
    <row r="8438" spans="26:26" hidden="1">
      <c r="Z8438" s="11"/>
    </row>
    <row r="8439" spans="26:26" hidden="1">
      <c r="Z8439" s="11"/>
    </row>
    <row r="8440" spans="26:26" hidden="1">
      <c r="Z8440" s="11"/>
    </row>
    <row r="8441" spans="26:26" hidden="1">
      <c r="Z8441" s="11"/>
    </row>
    <row r="8442" spans="26:26" hidden="1">
      <c r="Z8442" s="11"/>
    </row>
    <row r="8443" spans="26:26" hidden="1">
      <c r="Z8443" s="11"/>
    </row>
    <row r="8444" spans="26:26" hidden="1">
      <c r="Z8444" s="11"/>
    </row>
    <row r="8445" spans="26:26" hidden="1">
      <c r="Z8445" s="11"/>
    </row>
    <row r="8446" spans="26:26" hidden="1">
      <c r="Z8446" s="11"/>
    </row>
    <row r="8447" spans="26:26" hidden="1">
      <c r="Z8447" s="11"/>
    </row>
    <row r="8448" spans="26:26" hidden="1">
      <c r="Z8448" s="11"/>
    </row>
    <row r="8449" spans="26:26" hidden="1">
      <c r="Z8449" s="11"/>
    </row>
    <row r="8450" spans="26:26" hidden="1">
      <c r="Z8450" s="11"/>
    </row>
    <row r="8451" spans="26:26" hidden="1">
      <c r="Z8451" s="11"/>
    </row>
    <row r="8452" spans="26:26" hidden="1">
      <c r="Z8452" s="11"/>
    </row>
    <row r="8453" spans="26:26" hidden="1">
      <c r="Z8453" s="11"/>
    </row>
    <row r="8454" spans="26:26" hidden="1">
      <c r="Z8454" s="11"/>
    </row>
    <row r="8455" spans="26:26" hidden="1">
      <c r="Z8455" s="11"/>
    </row>
    <row r="8456" spans="26:26" hidden="1">
      <c r="Z8456" s="11"/>
    </row>
    <row r="8457" spans="26:26" hidden="1">
      <c r="Z8457" s="11"/>
    </row>
    <row r="8458" spans="26:26" hidden="1">
      <c r="Z8458" s="11"/>
    </row>
    <row r="8459" spans="26:26" hidden="1">
      <c r="Z8459" s="11"/>
    </row>
    <row r="8460" spans="26:26" hidden="1">
      <c r="Z8460" s="11"/>
    </row>
    <row r="8461" spans="26:26" hidden="1">
      <c r="Z8461" s="11"/>
    </row>
    <row r="8462" spans="26:26" hidden="1">
      <c r="Z8462" s="11"/>
    </row>
    <row r="8463" spans="26:26" hidden="1">
      <c r="Z8463" s="11"/>
    </row>
    <row r="8464" spans="26:26" hidden="1">
      <c r="Z8464" s="11"/>
    </row>
    <row r="8465" spans="26:26" hidden="1">
      <c r="Z8465" s="11"/>
    </row>
    <row r="8466" spans="26:26" hidden="1">
      <c r="Z8466" s="11"/>
    </row>
    <row r="8467" spans="26:26" hidden="1">
      <c r="Z8467" s="11"/>
    </row>
    <row r="8468" spans="26:26" hidden="1">
      <c r="Z8468" s="11"/>
    </row>
    <row r="8469" spans="26:26" hidden="1">
      <c r="Z8469" s="11"/>
    </row>
    <row r="8470" spans="26:26" hidden="1">
      <c r="Z8470" s="11"/>
    </row>
    <row r="8471" spans="26:26" hidden="1">
      <c r="Z8471" s="11"/>
    </row>
    <row r="8472" spans="26:26" hidden="1">
      <c r="Z8472" s="11"/>
    </row>
    <row r="8473" spans="26:26" hidden="1">
      <c r="Z8473" s="11"/>
    </row>
    <row r="8474" spans="26:26" hidden="1">
      <c r="Z8474" s="11"/>
    </row>
    <row r="8475" spans="26:26" hidden="1">
      <c r="Z8475" s="11"/>
    </row>
    <row r="8476" spans="26:26" hidden="1">
      <c r="Z8476" s="11"/>
    </row>
    <row r="8477" spans="26:26" hidden="1">
      <c r="Z8477" s="11"/>
    </row>
    <row r="8478" spans="26:26" hidden="1">
      <c r="Z8478" s="11"/>
    </row>
    <row r="8479" spans="26:26" hidden="1">
      <c r="Z8479" s="11"/>
    </row>
    <row r="8480" spans="26:26" hidden="1">
      <c r="Z8480" s="11"/>
    </row>
    <row r="8481" spans="26:26" hidden="1">
      <c r="Z8481" s="11"/>
    </row>
    <row r="8482" spans="26:26" hidden="1">
      <c r="Z8482" s="11"/>
    </row>
    <row r="8483" spans="26:26" hidden="1">
      <c r="Z8483" s="11"/>
    </row>
    <row r="8484" spans="26:26" hidden="1">
      <c r="Z8484" s="11"/>
    </row>
    <row r="8485" spans="26:26" hidden="1">
      <c r="Z8485" s="11"/>
    </row>
    <row r="8486" spans="26:26" hidden="1">
      <c r="Z8486" s="11"/>
    </row>
    <row r="8487" spans="26:26" hidden="1">
      <c r="Z8487" s="11"/>
    </row>
    <row r="8488" spans="26:26" hidden="1">
      <c r="Z8488" s="11"/>
    </row>
    <row r="8489" spans="26:26" hidden="1">
      <c r="Z8489" s="11"/>
    </row>
    <row r="8490" spans="26:26" hidden="1">
      <c r="Z8490" s="11"/>
    </row>
    <row r="8491" spans="26:26" hidden="1">
      <c r="Z8491" s="11"/>
    </row>
    <row r="8492" spans="26:26" hidden="1">
      <c r="Z8492" s="11"/>
    </row>
    <row r="8493" spans="26:26" hidden="1">
      <c r="Z8493" s="11"/>
    </row>
    <row r="8494" spans="26:26" hidden="1">
      <c r="Z8494" s="11"/>
    </row>
    <row r="8495" spans="26:26" hidden="1">
      <c r="Z8495" s="11"/>
    </row>
    <row r="8496" spans="26:26" hidden="1">
      <c r="Z8496" s="11"/>
    </row>
    <row r="8497" spans="26:26" hidden="1">
      <c r="Z8497" s="11"/>
    </row>
    <row r="8498" spans="26:26" hidden="1">
      <c r="Z8498" s="11"/>
    </row>
    <row r="8499" spans="26:26" hidden="1">
      <c r="Z8499" s="11"/>
    </row>
    <row r="8500" spans="26:26" hidden="1">
      <c r="Z8500" s="11"/>
    </row>
    <row r="8501" spans="26:26" hidden="1">
      <c r="Z8501" s="11"/>
    </row>
    <row r="8502" spans="26:26" hidden="1">
      <c r="Z8502" s="11"/>
    </row>
    <row r="8503" spans="26:26" hidden="1">
      <c r="Z8503" s="11"/>
    </row>
    <row r="8504" spans="26:26" hidden="1">
      <c r="Z8504" s="11"/>
    </row>
    <row r="8505" spans="26:26" hidden="1">
      <c r="Z8505" s="11"/>
    </row>
    <row r="8506" spans="26:26" hidden="1">
      <c r="Z8506" s="11"/>
    </row>
    <row r="8507" spans="26:26" hidden="1">
      <c r="Z8507" s="11"/>
    </row>
    <row r="8508" spans="26:26" hidden="1">
      <c r="Z8508" s="11"/>
    </row>
    <row r="8509" spans="26:26" hidden="1">
      <c r="Z8509" s="11"/>
    </row>
    <row r="8510" spans="26:26" hidden="1">
      <c r="Z8510" s="11"/>
    </row>
    <row r="8511" spans="26:26" hidden="1">
      <c r="Z8511" s="11"/>
    </row>
    <row r="8512" spans="26:26" hidden="1">
      <c r="Z8512" s="11"/>
    </row>
    <row r="8513" spans="26:26" hidden="1">
      <c r="Z8513" s="11"/>
    </row>
    <row r="8514" spans="26:26" hidden="1">
      <c r="Z8514" s="11"/>
    </row>
    <row r="8515" spans="26:26" hidden="1">
      <c r="Z8515" s="11"/>
    </row>
    <row r="8516" spans="26:26" hidden="1">
      <c r="Z8516" s="11"/>
    </row>
    <row r="8517" spans="26:26" hidden="1">
      <c r="Z8517" s="11"/>
    </row>
    <row r="8518" spans="26:26" hidden="1">
      <c r="Z8518" s="11"/>
    </row>
    <row r="8519" spans="26:26" hidden="1">
      <c r="Z8519" s="11"/>
    </row>
    <row r="8520" spans="26:26" hidden="1">
      <c r="Z8520" s="11"/>
    </row>
    <row r="8521" spans="26:26" hidden="1">
      <c r="Z8521" s="11"/>
    </row>
    <row r="8522" spans="26:26" hidden="1">
      <c r="Z8522" s="11"/>
    </row>
    <row r="8523" spans="26:26" hidden="1">
      <c r="Z8523" s="11"/>
    </row>
    <row r="8524" spans="26:26" hidden="1">
      <c r="Z8524" s="11"/>
    </row>
    <row r="8525" spans="26:26" hidden="1">
      <c r="Z8525" s="11"/>
    </row>
    <row r="8526" spans="26:26" hidden="1">
      <c r="Z8526" s="11"/>
    </row>
    <row r="8527" spans="26:26" hidden="1">
      <c r="Z8527" s="11"/>
    </row>
    <row r="8528" spans="26:26" hidden="1">
      <c r="Z8528" s="11"/>
    </row>
    <row r="8529" spans="26:26" hidden="1">
      <c r="Z8529" s="11"/>
    </row>
    <row r="8530" spans="26:26" hidden="1">
      <c r="Z8530" s="11"/>
    </row>
    <row r="8531" spans="26:26" hidden="1">
      <c r="Z8531" s="11"/>
    </row>
    <row r="8532" spans="26:26" hidden="1">
      <c r="Z8532" s="11"/>
    </row>
    <row r="8533" spans="26:26" hidden="1">
      <c r="Z8533" s="11"/>
    </row>
    <row r="8534" spans="26:26" hidden="1">
      <c r="Z8534" s="11"/>
    </row>
    <row r="8535" spans="26:26" hidden="1">
      <c r="Z8535" s="11"/>
    </row>
    <row r="8536" spans="26:26" hidden="1">
      <c r="Z8536" s="11"/>
    </row>
    <row r="8537" spans="26:26" hidden="1">
      <c r="Z8537" s="11"/>
    </row>
    <row r="8538" spans="26:26" hidden="1">
      <c r="Z8538" s="11"/>
    </row>
    <row r="8539" spans="26:26" hidden="1">
      <c r="Z8539" s="11"/>
    </row>
    <row r="8540" spans="26:26" hidden="1">
      <c r="Z8540" s="11"/>
    </row>
    <row r="8541" spans="26:26" hidden="1">
      <c r="Z8541" s="11"/>
    </row>
    <row r="8542" spans="26:26" hidden="1">
      <c r="Z8542" s="11"/>
    </row>
    <row r="8543" spans="26:26" hidden="1">
      <c r="Z8543" s="11"/>
    </row>
    <row r="8544" spans="26:26" hidden="1">
      <c r="Z8544" s="11"/>
    </row>
    <row r="8545" spans="26:26" hidden="1">
      <c r="Z8545" s="11"/>
    </row>
    <row r="8546" spans="26:26" hidden="1">
      <c r="Z8546" s="11"/>
    </row>
    <row r="8547" spans="26:26" hidden="1">
      <c r="Z8547" s="11"/>
    </row>
    <row r="8548" spans="26:26" hidden="1">
      <c r="Z8548" s="11"/>
    </row>
    <row r="8549" spans="26:26" hidden="1">
      <c r="Z8549" s="11"/>
    </row>
    <row r="8550" spans="26:26" hidden="1">
      <c r="Z8550" s="11"/>
    </row>
    <row r="8551" spans="26:26" hidden="1">
      <c r="Z8551" s="11"/>
    </row>
    <row r="8552" spans="26:26" hidden="1">
      <c r="Z8552" s="11"/>
    </row>
    <row r="8553" spans="26:26" hidden="1">
      <c r="Z8553" s="11"/>
    </row>
    <row r="8554" spans="26:26" hidden="1">
      <c r="Z8554" s="11"/>
    </row>
    <row r="8555" spans="26:26" hidden="1">
      <c r="Z8555" s="11"/>
    </row>
    <row r="8556" spans="26:26" hidden="1">
      <c r="Z8556" s="11"/>
    </row>
    <row r="8557" spans="26:26" hidden="1">
      <c r="Z8557" s="11"/>
    </row>
    <row r="8558" spans="26:26" hidden="1">
      <c r="Z8558" s="11"/>
    </row>
    <row r="8559" spans="26:26" hidden="1">
      <c r="Z8559" s="11"/>
    </row>
    <row r="8560" spans="26:26" hidden="1">
      <c r="Z8560" s="11"/>
    </row>
    <row r="8561" spans="26:26" hidden="1">
      <c r="Z8561" s="11"/>
    </row>
    <row r="8562" spans="26:26" hidden="1">
      <c r="Z8562" s="11"/>
    </row>
    <row r="8563" spans="26:26" hidden="1">
      <c r="Z8563" s="11"/>
    </row>
    <row r="8564" spans="26:26" hidden="1">
      <c r="Z8564" s="11"/>
    </row>
    <row r="8565" spans="26:26" hidden="1">
      <c r="Z8565" s="11"/>
    </row>
    <row r="8566" spans="26:26" hidden="1">
      <c r="Z8566" s="11"/>
    </row>
    <row r="8567" spans="26:26" hidden="1">
      <c r="Z8567" s="11"/>
    </row>
    <row r="8568" spans="26:26" hidden="1">
      <c r="Z8568" s="11"/>
    </row>
    <row r="8569" spans="26:26" hidden="1">
      <c r="Z8569" s="11"/>
    </row>
    <row r="8570" spans="26:26" hidden="1">
      <c r="Z8570" s="11"/>
    </row>
    <row r="8571" spans="26:26" hidden="1">
      <c r="Z8571" s="11"/>
    </row>
    <row r="8572" spans="26:26" hidden="1">
      <c r="Z8572" s="11"/>
    </row>
    <row r="8573" spans="26:26" hidden="1">
      <c r="Z8573" s="11"/>
    </row>
    <row r="8574" spans="26:26" hidden="1">
      <c r="Z8574" s="11"/>
    </row>
    <row r="8575" spans="26:26" hidden="1">
      <c r="Z8575" s="11"/>
    </row>
    <row r="8576" spans="26:26" hidden="1">
      <c r="Z8576" s="11"/>
    </row>
    <row r="8577" spans="26:26" hidden="1">
      <c r="Z8577" s="11"/>
    </row>
    <row r="8578" spans="26:26" hidden="1">
      <c r="Z8578" s="11"/>
    </row>
    <row r="8579" spans="26:26" hidden="1">
      <c r="Z8579" s="11"/>
    </row>
    <row r="8580" spans="26:26" hidden="1">
      <c r="Z8580" s="11"/>
    </row>
    <row r="8581" spans="26:26" hidden="1">
      <c r="Z8581" s="11"/>
    </row>
    <row r="8582" spans="26:26" hidden="1">
      <c r="Z8582" s="11"/>
    </row>
    <row r="8583" spans="26:26" hidden="1">
      <c r="Z8583" s="11"/>
    </row>
    <row r="8584" spans="26:26" hidden="1">
      <c r="Z8584" s="11"/>
    </row>
    <row r="8585" spans="26:26" hidden="1">
      <c r="Z8585" s="11"/>
    </row>
    <row r="8586" spans="26:26" hidden="1">
      <c r="Z8586" s="11"/>
    </row>
    <row r="8587" spans="26:26" hidden="1">
      <c r="Z8587" s="11"/>
    </row>
    <row r="8588" spans="26:26" hidden="1">
      <c r="Z8588" s="11"/>
    </row>
    <row r="8589" spans="26:26" hidden="1">
      <c r="Z8589" s="11"/>
    </row>
    <row r="8590" spans="26:26" hidden="1">
      <c r="Z8590" s="11"/>
    </row>
    <row r="8591" spans="26:26" hidden="1">
      <c r="Z8591" s="11"/>
    </row>
    <row r="8592" spans="26:26" hidden="1">
      <c r="Z8592" s="11"/>
    </row>
    <row r="8593" spans="26:26" hidden="1">
      <c r="Z8593" s="11"/>
    </row>
    <row r="8594" spans="26:26" hidden="1">
      <c r="Z8594" s="11"/>
    </row>
    <row r="8595" spans="26:26" hidden="1">
      <c r="Z8595" s="11"/>
    </row>
    <row r="8596" spans="26:26" hidden="1">
      <c r="Z8596" s="11"/>
    </row>
    <row r="8597" spans="26:26" hidden="1">
      <c r="Z8597" s="11"/>
    </row>
    <row r="8598" spans="26:26" hidden="1">
      <c r="Z8598" s="11"/>
    </row>
    <row r="8599" spans="26:26" hidden="1">
      <c r="Z8599" s="11"/>
    </row>
    <row r="8600" spans="26:26" hidden="1">
      <c r="Z8600" s="11"/>
    </row>
    <row r="8601" spans="26:26" hidden="1">
      <c r="Z8601" s="11"/>
    </row>
    <row r="8602" spans="26:26" hidden="1">
      <c r="Z8602" s="11"/>
    </row>
    <row r="8603" spans="26:26" hidden="1">
      <c r="Z8603" s="11"/>
    </row>
    <row r="8604" spans="26:26" hidden="1">
      <c r="Z8604" s="11"/>
    </row>
    <row r="8605" spans="26:26" hidden="1">
      <c r="Z8605" s="11"/>
    </row>
    <row r="8606" spans="26:26" hidden="1">
      <c r="Z8606" s="11"/>
    </row>
    <row r="8607" spans="26:26" hidden="1">
      <c r="Z8607" s="11"/>
    </row>
    <row r="8608" spans="26:26" hidden="1">
      <c r="Z8608" s="11"/>
    </row>
    <row r="8609" spans="26:26" hidden="1">
      <c r="Z8609" s="11"/>
    </row>
    <row r="8610" spans="26:26" hidden="1">
      <c r="Z8610" s="11"/>
    </row>
    <row r="8611" spans="26:26" hidden="1">
      <c r="Z8611" s="11"/>
    </row>
    <row r="8612" spans="26:26" hidden="1">
      <c r="Z8612" s="11"/>
    </row>
    <row r="8613" spans="26:26" hidden="1">
      <c r="Z8613" s="11"/>
    </row>
    <row r="8614" spans="26:26" hidden="1">
      <c r="Z8614" s="11"/>
    </row>
    <row r="8615" spans="26:26" hidden="1">
      <c r="Z8615" s="11"/>
    </row>
    <row r="8616" spans="26:26" hidden="1">
      <c r="Z8616" s="11"/>
    </row>
    <row r="8617" spans="26:26" hidden="1">
      <c r="Z8617" s="11"/>
    </row>
    <row r="8618" spans="26:26" hidden="1">
      <c r="Z8618" s="11"/>
    </row>
    <row r="8619" spans="26:26" hidden="1">
      <c r="Z8619" s="11"/>
    </row>
    <row r="8620" spans="26:26" hidden="1">
      <c r="Z8620" s="11"/>
    </row>
    <row r="8621" spans="26:26" hidden="1">
      <c r="Z8621" s="11"/>
    </row>
    <row r="8622" spans="26:26" hidden="1">
      <c r="Z8622" s="11"/>
    </row>
    <row r="8623" spans="26:26" hidden="1">
      <c r="Z8623" s="11"/>
    </row>
    <row r="8624" spans="26:26" hidden="1">
      <c r="Z8624" s="11"/>
    </row>
    <row r="8625" spans="26:26" hidden="1">
      <c r="Z8625" s="11"/>
    </row>
    <row r="8626" spans="26:26" hidden="1">
      <c r="Z8626" s="11"/>
    </row>
    <row r="8627" spans="26:26" hidden="1">
      <c r="Z8627" s="11"/>
    </row>
    <row r="8628" spans="26:26" hidden="1">
      <c r="Z8628" s="11"/>
    </row>
    <row r="8629" spans="26:26" hidden="1">
      <c r="Z8629" s="11"/>
    </row>
    <row r="8630" spans="26:26" hidden="1">
      <c r="Z8630" s="11"/>
    </row>
    <row r="8631" spans="26:26" hidden="1">
      <c r="Z8631" s="11"/>
    </row>
    <row r="8632" spans="26:26" hidden="1">
      <c r="Z8632" s="11"/>
    </row>
    <row r="8633" spans="26:26" hidden="1">
      <c r="Z8633" s="11"/>
    </row>
    <row r="8634" spans="26:26" hidden="1">
      <c r="Z8634" s="11"/>
    </row>
    <row r="8635" spans="26:26" hidden="1">
      <c r="Z8635" s="11"/>
    </row>
    <row r="8636" spans="26:26" hidden="1">
      <c r="Z8636" s="11"/>
    </row>
    <row r="8637" spans="26:26" hidden="1">
      <c r="Z8637" s="11"/>
    </row>
    <row r="8638" spans="26:26" hidden="1">
      <c r="Z8638" s="11"/>
    </row>
    <row r="8639" spans="26:26" hidden="1">
      <c r="Z8639" s="11"/>
    </row>
    <row r="8640" spans="26:26" hidden="1">
      <c r="Z8640" s="11"/>
    </row>
    <row r="8641" spans="26:26" hidden="1">
      <c r="Z8641" s="11"/>
    </row>
    <row r="8642" spans="26:26" hidden="1">
      <c r="Z8642" s="11"/>
    </row>
    <row r="8643" spans="26:26" hidden="1">
      <c r="Z8643" s="11"/>
    </row>
    <row r="8644" spans="26:26" hidden="1">
      <c r="Z8644" s="11"/>
    </row>
    <row r="8645" spans="26:26" hidden="1">
      <c r="Z8645" s="11"/>
    </row>
    <row r="8646" spans="26:26" hidden="1">
      <c r="Z8646" s="11"/>
    </row>
    <row r="8647" spans="26:26" hidden="1">
      <c r="Z8647" s="11"/>
    </row>
    <row r="8648" spans="26:26" hidden="1">
      <c r="Z8648" s="11"/>
    </row>
    <row r="8649" spans="26:26" hidden="1">
      <c r="Z8649" s="11"/>
    </row>
    <row r="8650" spans="26:26" hidden="1">
      <c r="Z8650" s="11"/>
    </row>
    <row r="8651" spans="26:26" hidden="1">
      <c r="Z8651" s="11"/>
    </row>
    <row r="8652" spans="26:26" hidden="1">
      <c r="Z8652" s="11"/>
    </row>
    <row r="8653" spans="26:26" hidden="1">
      <c r="Z8653" s="11"/>
    </row>
    <row r="8654" spans="26:26" hidden="1">
      <c r="Z8654" s="11"/>
    </row>
    <row r="8655" spans="26:26" hidden="1">
      <c r="Z8655" s="11"/>
    </row>
    <row r="8656" spans="26:26" hidden="1">
      <c r="Z8656" s="11"/>
    </row>
    <row r="8657" spans="26:26" hidden="1">
      <c r="Z8657" s="11"/>
    </row>
    <row r="8658" spans="26:26" hidden="1">
      <c r="Z8658" s="11"/>
    </row>
    <row r="8659" spans="26:26" hidden="1">
      <c r="Z8659" s="11"/>
    </row>
    <row r="8660" spans="26:26" hidden="1">
      <c r="Z8660" s="11"/>
    </row>
    <row r="8661" spans="26:26" hidden="1">
      <c r="Z8661" s="11"/>
    </row>
    <row r="8662" spans="26:26" hidden="1">
      <c r="Z8662" s="11"/>
    </row>
    <row r="8663" spans="26:26" hidden="1">
      <c r="Z8663" s="11"/>
    </row>
    <row r="8664" spans="26:26" hidden="1">
      <c r="Z8664" s="11"/>
    </row>
    <row r="8665" spans="26:26" hidden="1">
      <c r="Z8665" s="11"/>
    </row>
    <row r="8666" spans="26:26" hidden="1">
      <c r="Z8666" s="11"/>
    </row>
    <row r="8667" spans="26:26" hidden="1">
      <c r="Z8667" s="11"/>
    </row>
    <row r="8668" spans="26:26" hidden="1">
      <c r="Z8668" s="11"/>
    </row>
    <row r="8669" spans="26:26" hidden="1">
      <c r="Z8669" s="11"/>
    </row>
    <row r="8670" spans="26:26" hidden="1">
      <c r="Z8670" s="11"/>
    </row>
    <row r="8671" spans="26:26" hidden="1">
      <c r="Z8671" s="11"/>
    </row>
    <row r="8672" spans="26:26" hidden="1">
      <c r="Z8672" s="11"/>
    </row>
    <row r="8673" spans="26:26" hidden="1">
      <c r="Z8673" s="11"/>
    </row>
    <row r="8674" spans="26:26" hidden="1">
      <c r="Z8674" s="11"/>
    </row>
    <row r="8675" spans="26:26" hidden="1">
      <c r="Z8675" s="11"/>
    </row>
    <row r="8676" spans="26:26" hidden="1">
      <c r="Z8676" s="11"/>
    </row>
    <row r="8677" spans="26:26" hidden="1">
      <c r="Z8677" s="11"/>
    </row>
    <row r="8678" spans="26:26" hidden="1">
      <c r="Z8678" s="11"/>
    </row>
    <row r="8679" spans="26:26" hidden="1">
      <c r="Z8679" s="11"/>
    </row>
    <row r="8680" spans="26:26" hidden="1">
      <c r="Z8680" s="11"/>
    </row>
    <row r="8681" spans="26:26" hidden="1">
      <c r="Z8681" s="11"/>
    </row>
    <row r="8682" spans="26:26" hidden="1">
      <c r="Z8682" s="11"/>
    </row>
    <row r="8683" spans="26:26" hidden="1">
      <c r="Z8683" s="11"/>
    </row>
    <row r="8684" spans="26:26" hidden="1">
      <c r="Z8684" s="11"/>
    </row>
    <row r="8685" spans="26:26" hidden="1">
      <c r="Z8685" s="11"/>
    </row>
    <row r="8686" spans="26:26" hidden="1">
      <c r="Z8686" s="11"/>
    </row>
    <row r="8687" spans="26:26" hidden="1">
      <c r="Z8687" s="11"/>
    </row>
    <row r="8688" spans="26:26" hidden="1">
      <c r="Z8688" s="11"/>
    </row>
    <row r="8689" spans="26:26" hidden="1">
      <c r="Z8689" s="11"/>
    </row>
    <row r="8690" spans="26:26" hidden="1">
      <c r="Z8690" s="11"/>
    </row>
    <row r="8691" spans="26:26" hidden="1">
      <c r="Z8691" s="11"/>
    </row>
    <row r="8692" spans="26:26" hidden="1">
      <c r="Z8692" s="11"/>
    </row>
    <row r="8693" spans="26:26" hidden="1">
      <c r="Z8693" s="11"/>
    </row>
    <row r="8694" spans="26:26" hidden="1">
      <c r="Z8694" s="11"/>
    </row>
    <row r="8695" spans="26:26" hidden="1">
      <c r="Z8695" s="11"/>
    </row>
    <row r="8696" spans="26:26" hidden="1">
      <c r="Z8696" s="11"/>
    </row>
    <row r="8697" spans="26:26" hidden="1">
      <c r="Z8697" s="11"/>
    </row>
    <row r="8698" spans="26:26" hidden="1">
      <c r="Z8698" s="11"/>
    </row>
    <row r="8699" spans="26:26" hidden="1">
      <c r="Z8699" s="11"/>
    </row>
    <row r="8700" spans="26:26" hidden="1">
      <c r="Z8700" s="11"/>
    </row>
    <row r="8701" spans="26:26" hidden="1">
      <c r="Z8701" s="11"/>
    </row>
    <row r="8702" spans="26:26" hidden="1">
      <c r="Z8702" s="11"/>
    </row>
    <row r="8703" spans="26:26" hidden="1">
      <c r="Z8703" s="11"/>
    </row>
    <row r="8704" spans="26:26" hidden="1">
      <c r="Z8704" s="11"/>
    </row>
    <row r="8705" spans="26:26" hidden="1">
      <c r="Z8705" s="11"/>
    </row>
    <row r="8706" spans="26:26" hidden="1">
      <c r="Z8706" s="11"/>
    </row>
    <row r="8707" spans="26:26" hidden="1">
      <c r="Z8707" s="11"/>
    </row>
    <row r="8708" spans="26:26" hidden="1">
      <c r="Z8708" s="11"/>
    </row>
    <row r="8709" spans="26:26" hidden="1">
      <c r="Z8709" s="11"/>
    </row>
    <row r="8710" spans="26:26" hidden="1">
      <c r="Z8710" s="11"/>
    </row>
    <row r="8711" spans="26:26" hidden="1">
      <c r="Z8711" s="11"/>
    </row>
    <row r="8712" spans="26:26" hidden="1">
      <c r="Z8712" s="11"/>
    </row>
    <row r="8713" spans="26:26" hidden="1">
      <c r="Z8713" s="11"/>
    </row>
    <row r="8714" spans="26:26" hidden="1">
      <c r="Z8714" s="11"/>
    </row>
    <row r="8715" spans="26:26" hidden="1">
      <c r="Z8715" s="11"/>
    </row>
    <row r="8716" spans="26:26" hidden="1">
      <c r="Z8716" s="11"/>
    </row>
    <row r="8717" spans="26:26" hidden="1">
      <c r="Z8717" s="11"/>
    </row>
    <row r="8718" spans="26:26" hidden="1">
      <c r="Z8718" s="11"/>
    </row>
    <row r="8719" spans="26:26" hidden="1">
      <c r="Z8719" s="11"/>
    </row>
    <row r="8720" spans="26:26" hidden="1">
      <c r="Z8720" s="11"/>
    </row>
    <row r="8721" spans="26:26" hidden="1">
      <c r="Z8721" s="11"/>
    </row>
    <row r="8722" spans="26:26" hidden="1">
      <c r="Z8722" s="11"/>
    </row>
    <row r="8723" spans="26:26" hidden="1">
      <c r="Z8723" s="11"/>
    </row>
    <row r="8724" spans="26:26" hidden="1">
      <c r="Z8724" s="11"/>
    </row>
    <row r="8725" spans="26:26" hidden="1">
      <c r="Z8725" s="11"/>
    </row>
    <row r="8726" spans="26:26" hidden="1">
      <c r="Z8726" s="11"/>
    </row>
    <row r="8727" spans="26:26" hidden="1">
      <c r="Z8727" s="11"/>
    </row>
    <row r="8728" spans="26:26" hidden="1">
      <c r="Z8728" s="11"/>
    </row>
    <row r="8729" spans="26:26" hidden="1">
      <c r="Z8729" s="11"/>
    </row>
    <row r="8730" spans="26:26" hidden="1">
      <c r="Z8730" s="11"/>
    </row>
    <row r="8731" spans="26:26" hidden="1">
      <c r="Z8731" s="11"/>
    </row>
    <row r="8732" spans="26:26" hidden="1">
      <c r="Z8732" s="11"/>
    </row>
    <row r="8733" spans="26:26" hidden="1">
      <c r="Z8733" s="11"/>
    </row>
    <row r="8734" spans="26:26" hidden="1">
      <c r="Z8734" s="11"/>
    </row>
    <row r="8735" spans="26:26" hidden="1">
      <c r="Z8735" s="11"/>
    </row>
    <row r="8736" spans="26:26" hidden="1">
      <c r="Z8736" s="11"/>
    </row>
    <row r="8737" spans="26:26" hidden="1">
      <c r="Z8737" s="11"/>
    </row>
    <row r="8738" spans="26:26" hidden="1">
      <c r="Z8738" s="11"/>
    </row>
    <row r="8739" spans="26:26" hidden="1">
      <c r="Z8739" s="11"/>
    </row>
    <row r="8740" spans="26:26" hidden="1">
      <c r="Z8740" s="11"/>
    </row>
    <row r="8741" spans="26:26" hidden="1">
      <c r="Z8741" s="11"/>
    </row>
    <row r="8742" spans="26:26" hidden="1">
      <c r="Z8742" s="11"/>
    </row>
    <row r="8743" spans="26:26" hidden="1">
      <c r="Z8743" s="11"/>
    </row>
    <row r="8744" spans="26:26" hidden="1">
      <c r="Z8744" s="11"/>
    </row>
    <row r="8745" spans="26:26" hidden="1">
      <c r="Z8745" s="11"/>
    </row>
    <row r="8746" spans="26:26" hidden="1">
      <c r="Z8746" s="11"/>
    </row>
    <row r="8747" spans="26:26" hidden="1">
      <c r="Z8747" s="11"/>
    </row>
    <row r="8748" spans="26:26" hidden="1">
      <c r="Z8748" s="11"/>
    </row>
    <row r="8749" spans="26:26" hidden="1">
      <c r="Z8749" s="11"/>
    </row>
    <row r="8750" spans="26:26" hidden="1">
      <c r="Z8750" s="11"/>
    </row>
    <row r="8751" spans="26:26" hidden="1">
      <c r="Z8751" s="11"/>
    </row>
    <row r="8752" spans="26:26" hidden="1">
      <c r="Z8752" s="11"/>
    </row>
    <row r="8753" spans="26:26" hidden="1">
      <c r="Z8753" s="11"/>
    </row>
    <row r="8754" spans="26:26" hidden="1">
      <c r="Z8754" s="11"/>
    </row>
    <row r="8755" spans="26:26" hidden="1">
      <c r="Z8755" s="11"/>
    </row>
    <row r="8756" spans="26:26" hidden="1">
      <c r="Z8756" s="11"/>
    </row>
    <row r="8757" spans="26:26" hidden="1">
      <c r="Z8757" s="11"/>
    </row>
    <row r="8758" spans="26:26" hidden="1">
      <c r="Z8758" s="11"/>
    </row>
    <row r="8759" spans="26:26" hidden="1">
      <c r="Z8759" s="11"/>
    </row>
    <row r="8760" spans="26:26" hidden="1">
      <c r="Z8760" s="11"/>
    </row>
    <row r="8761" spans="26:26" hidden="1">
      <c r="Z8761" s="11"/>
    </row>
    <row r="8762" spans="26:26" hidden="1">
      <c r="Z8762" s="11"/>
    </row>
    <row r="8763" spans="26:26" hidden="1">
      <c r="Z8763" s="11"/>
    </row>
    <row r="8764" spans="26:26" hidden="1">
      <c r="Z8764" s="11"/>
    </row>
    <row r="8765" spans="26:26" hidden="1">
      <c r="Z8765" s="11"/>
    </row>
    <row r="8766" spans="26:26" hidden="1">
      <c r="Z8766" s="11"/>
    </row>
    <row r="8767" spans="26:26" hidden="1">
      <c r="Z8767" s="11"/>
    </row>
    <row r="8768" spans="26:26" hidden="1">
      <c r="Z8768" s="11"/>
    </row>
    <row r="8769" spans="26:26" hidden="1">
      <c r="Z8769" s="11"/>
    </row>
    <row r="8770" spans="26:26" hidden="1">
      <c r="Z8770" s="11"/>
    </row>
    <row r="8771" spans="26:26" hidden="1">
      <c r="Z8771" s="11"/>
    </row>
    <row r="8772" spans="26:26" hidden="1">
      <c r="Z8772" s="11"/>
    </row>
    <row r="8773" spans="26:26" hidden="1">
      <c r="Z8773" s="11"/>
    </row>
    <row r="8774" spans="26:26" hidden="1">
      <c r="Z8774" s="11"/>
    </row>
    <row r="8775" spans="26:26" hidden="1">
      <c r="Z8775" s="11"/>
    </row>
    <row r="8776" spans="26:26" hidden="1">
      <c r="Z8776" s="11"/>
    </row>
    <row r="8777" spans="26:26" hidden="1">
      <c r="Z8777" s="11"/>
    </row>
    <row r="8778" spans="26:26" hidden="1">
      <c r="Z8778" s="11"/>
    </row>
    <row r="8779" spans="26:26" hidden="1">
      <c r="Z8779" s="11"/>
    </row>
    <row r="8780" spans="26:26" hidden="1">
      <c r="Z8780" s="11"/>
    </row>
    <row r="8781" spans="26:26" hidden="1">
      <c r="Z8781" s="11"/>
    </row>
    <row r="8782" spans="26:26" hidden="1">
      <c r="Z8782" s="11"/>
    </row>
    <row r="8783" spans="26:26" hidden="1">
      <c r="Z8783" s="11"/>
    </row>
    <row r="8784" spans="26:26" hidden="1">
      <c r="Z8784" s="11"/>
    </row>
    <row r="8785" spans="26:26" hidden="1">
      <c r="Z8785" s="11"/>
    </row>
    <row r="8786" spans="26:26" hidden="1">
      <c r="Z8786" s="11"/>
    </row>
    <row r="8787" spans="26:26" hidden="1">
      <c r="Z8787" s="11"/>
    </row>
    <row r="8788" spans="26:26" hidden="1">
      <c r="Z8788" s="11"/>
    </row>
    <row r="8789" spans="26:26" hidden="1">
      <c r="Z8789" s="11"/>
    </row>
    <row r="8790" spans="26:26" hidden="1">
      <c r="Z8790" s="11"/>
    </row>
    <row r="8791" spans="26:26" hidden="1">
      <c r="Z8791" s="11"/>
    </row>
    <row r="8792" spans="26:26" hidden="1">
      <c r="Z8792" s="11"/>
    </row>
    <row r="8793" spans="26:26" hidden="1">
      <c r="Z8793" s="11"/>
    </row>
    <row r="8794" spans="26:26" hidden="1">
      <c r="Z8794" s="11"/>
    </row>
    <row r="8795" spans="26:26" hidden="1">
      <c r="Z8795" s="11"/>
    </row>
    <row r="8796" spans="26:26" hidden="1">
      <c r="Z8796" s="11"/>
    </row>
    <row r="8797" spans="26:26" hidden="1">
      <c r="Z8797" s="11"/>
    </row>
    <row r="8798" spans="26:26" hidden="1">
      <c r="Z8798" s="11"/>
    </row>
    <row r="8799" spans="26:26" hidden="1">
      <c r="Z8799" s="11"/>
    </row>
    <row r="8800" spans="26:26" hidden="1">
      <c r="Z8800" s="11"/>
    </row>
    <row r="8801" spans="26:26" hidden="1">
      <c r="Z8801" s="11"/>
    </row>
    <row r="8802" spans="26:26" hidden="1">
      <c r="Z8802" s="11"/>
    </row>
    <row r="8803" spans="26:26" hidden="1">
      <c r="Z8803" s="11"/>
    </row>
    <row r="8804" spans="26:26" hidden="1">
      <c r="Z8804" s="11"/>
    </row>
    <row r="8805" spans="26:26" hidden="1">
      <c r="Z8805" s="11"/>
    </row>
    <row r="8806" spans="26:26" hidden="1">
      <c r="Z8806" s="11"/>
    </row>
    <row r="8807" spans="26:26" hidden="1">
      <c r="Z8807" s="11"/>
    </row>
    <row r="8808" spans="26:26" hidden="1">
      <c r="Z8808" s="11"/>
    </row>
    <row r="8809" spans="26:26" hidden="1">
      <c r="Z8809" s="11"/>
    </row>
    <row r="8810" spans="26:26" hidden="1">
      <c r="Z8810" s="11"/>
    </row>
    <row r="8811" spans="26:26" hidden="1">
      <c r="Z8811" s="11"/>
    </row>
    <row r="8812" spans="26:26" hidden="1">
      <c r="Z8812" s="11"/>
    </row>
    <row r="8813" spans="26:26" hidden="1">
      <c r="Z8813" s="11"/>
    </row>
    <row r="8814" spans="26:26" hidden="1">
      <c r="Z8814" s="11"/>
    </row>
    <row r="8815" spans="26:26" hidden="1">
      <c r="Z8815" s="11"/>
    </row>
    <row r="8816" spans="26:26" hidden="1">
      <c r="Z8816" s="11"/>
    </row>
    <row r="8817" spans="26:26" hidden="1">
      <c r="Z8817" s="11"/>
    </row>
    <row r="8818" spans="26:26" hidden="1">
      <c r="Z8818" s="11"/>
    </row>
    <row r="8819" spans="26:26" hidden="1">
      <c r="Z8819" s="11"/>
    </row>
    <row r="8820" spans="26:26" hidden="1">
      <c r="Z8820" s="11"/>
    </row>
    <row r="8821" spans="26:26" hidden="1">
      <c r="Z8821" s="11"/>
    </row>
    <row r="8822" spans="26:26" hidden="1">
      <c r="Z8822" s="11"/>
    </row>
    <row r="8823" spans="26:26" hidden="1">
      <c r="Z8823" s="11"/>
    </row>
    <row r="8824" spans="26:26" hidden="1">
      <c r="Z8824" s="11"/>
    </row>
    <row r="8825" spans="26:26" hidden="1">
      <c r="Z8825" s="11"/>
    </row>
    <row r="8826" spans="26:26" hidden="1">
      <c r="Z8826" s="11"/>
    </row>
    <row r="8827" spans="26:26" hidden="1">
      <c r="Z8827" s="11"/>
    </row>
    <row r="8828" spans="26:26" hidden="1">
      <c r="Z8828" s="11"/>
    </row>
    <row r="8829" spans="26:26" hidden="1">
      <c r="Z8829" s="11"/>
    </row>
    <row r="8830" spans="26:26" hidden="1">
      <c r="Z8830" s="11"/>
    </row>
    <row r="8831" spans="26:26" hidden="1">
      <c r="Z8831" s="11"/>
    </row>
    <row r="8832" spans="26:26" hidden="1">
      <c r="Z8832" s="11"/>
    </row>
    <row r="8833" spans="26:26" hidden="1">
      <c r="Z8833" s="11"/>
    </row>
    <row r="8834" spans="26:26" hidden="1">
      <c r="Z8834" s="11"/>
    </row>
    <row r="8835" spans="26:26" hidden="1">
      <c r="Z8835" s="11"/>
    </row>
    <row r="8836" spans="26:26" hidden="1">
      <c r="Z8836" s="11"/>
    </row>
    <row r="8837" spans="26:26" hidden="1">
      <c r="Z8837" s="11"/>
    </row>
    <row r="8838" spans="26:26" hidden="1">
      <c r="Z8838" s="11"/>
    </row>
    <row r="8839" spans="26:26" hidden="1">
      <c r="Z8839" s="11"/>
    </row>
    <row r="8840" spans="26:26" hidden="1">
      <c r="Z8840" s="11"/>
    </row>
    <row r="8841" spans="26:26" hidden="1">
      <c r="Z8841" s="11"/>
    </row>
    <row r="8842" spans="26:26" hidden="1">
      <c r="Z8842" s="11"/>
    </row>
    <row r="8843" spans="26:26" hidden="1">
      <c r="Z8843" s="11"/>
    </row>
    <row r="8844" spans="26:26" hidden="1">
      <c r="Z8844" s="11"/>
    </row>
    <row r="8845" spans="26:26" hidden="1">
      <c r="Z8845" s="11"/>
    </row>
    <row r="8846" spans="26:26" hidden="1">
      <c r="Z8846" s="11"/>
    </row>
    <row r="8847" spans="26:26" hidden="1">
      <c r="Z8847" s="11"/>
    </row>
    <row r="8848" spans="26:26" hidden="1">
      <c r="Z8848" s="11"/>
    </row>
    <row r="8849" spans="26:26" hidden="1">
      <c r="Z8849" s="11"/>
    </row>
    <row r="8850" spans="26:26" hidden="1">
      <c r="Z8850" s="11"/>
    </row>
    <row r="8851" spans="26:26" hidden="1">
      <c r="Z8851" s="11"/>
    </row>
    <row r="8852" spans="26:26" hidden="1">
      <c r="Z8852" s="11"/>
    </row>
    <row r="8853" spans="26:26" hidden="1">
      <c r="Z8853" s="11"/>
    </row>
    <row r="8854" spans="26:26" hidden="1">
      <c r="Z8854" s="11"/>
    </row>
    <row r="8855" spans="26:26" hidden="1">
      <c r="Z8855" s="11"/>
    </row>
    <row r="8856" spans="26:26" hidden="1">
      <c r="Z8856" s="11"/>
    </row>
    <row r="8857" spans="26:26" hidden="1">
      <c r="Z8857" s="11"/>
    </row>
    <row r="8858" spans="26:26" hidden="1">
      <c r="Z8858" s="11"/>
    </row>
    <row r="8859" spans="26:26" hidden="1">
      <c r="Z8859" s="11"/>
    </row>
    <row r="8860" spans="26:26" hidden="1">
      <c r="Z8860" s="11"/>
    </row>
    <row r="8861" spans="26:26" hidden="1">
      <c r="Z8861" s="11"/>
    </row>
    <row r="8862" spans="26:26" hidden="1">
      <c r="Z8862" s="11"/>
    </row>
    <row r="8863" spans="26:26" hidden="1">
      <c r="Z8863" s="11"/>
    </row>
    <row r="8864" spans="26:26" hidden="1">
      <c r="Z8864" s="11"/>
    </row>
    <row r="8865" spans="26:26" hidden="1">
      <c r="Z8865" s="11"/>
    </row>
    <row r="8866" spans="26:26" hidden="1">
      <c r="Z8866" s="11"/>
    </row>
    <row r="8867" spans="26:26" hidden="1">
      <c r="Z8867" s="11"/>
    </row>
    <row r="8868" spans="26:26" hidden="1">
      <c r="Z8868" s="11"/>
    </row>
    <row r="8869" spans="26:26" hidden="1">
      <c r="Z8869" s="11"/>
    </row>
    <row r="8870" spans="26:26" hidden="1">
      <c r="Z8870" s="11"/>
    </row>
    <row r="8871" spans="26:26" hidden="1">
      <c r="Z8871" s="11"/>
    </row>
    <row r="8872" spans="26:26" hidden="1">
      <c r="Z8872" s="11"/>
    </row>
    <row r="8873" spans="26:26" hidden="1">
      <c r="Z8873" s="11"/>
    </row>
    <row r="8874" spans="26:26" hidden="1">
      <c r="Z8874" s="11"/>
    </row>
    <row r="8875" spans="26:26" hidden="1">
      <c r="Z8875" s="11"/>
    </row>
    <row r="8876" spans="26:26" hidden="1">
      <c r="Z8876" s="11"/>
    </row>
    <row r="8877" spans="26:26" hidden="1">
      <c r="Z8877" s="11"/>
    </row>
    <row r="8878" spans="26:26" hidden="1">
      <c r="Z8878" s="11"/>
    </row>
    <row r="8879" spans="26:26" hidden="1">
      <c r="Z8879" s="11"/>
    </row>
    <row r="8880" spans="26:26" hidden="1">
      <c r="Z8880" s="11"/>
    </row>
    <row r="8881" spans="26:26" hidden="1">
      <c r="Z8881" s="11"/>
    </row>
    <row r="8882" spans="26:26" hidden="1">
      <c r="Z8882" s="11"/>
    </row>
    <row r="8883" spans="26:26" hidden="1">
      <c r="Z8883" s="11"/>
    </row>
    <row r="8884" spans="26:26" hidden="1">
      <c r="Z8884" s="11"/>
    </row>
    <row r="8885" spans="26:26" hidden="1">
      <c r="Z8885" s="11"/>
    </row>
    <row r="8886" spans="26:26" hidden="1">
      <c r="Z8886" s="11"/>
    </row>
    <row r="8887" spans="26:26" hidden="1">
      <c r="Z8887" s="11"/>
    </row>
    <row r="8888" spans="26:26" hidden="1">
      <c r="Z8888" s="11"/>
    </row>
    <row r="8889" spans="26:26" hidden="1">
      <c r="Z8889" s="11"/>
    </row>
    <row r="8890" spans="26:26" hidden="1">
      <c r="Z8890" s="11"/>
    </row>
    <row r="8891" spans="26:26" hidden="1">
      <c r="Z8891" s="11"/>
    </row>
    <row r="8892" spans="26:26" hidden="1">
      <c r="Z8892" s="11"/>
    </row>
    <row r="8893" spans="26:26" hidden="1">
      <c r="Z8893" s="11"/>
    </row>
    <row r="8894" spans="26:26" hidden="1">
      <c r="Z8894" s="11"/>
    </row>
    <row r="8895" spans="26:26" hidden="1">
      <c r="Z8895" s="11"/>
    </row>
    <row r="8896" spans="26:26" hidden="1">
      <c r="Z8896" s="11"/>
    </row>
    <row r="8897" spans="26:26" hidden="1">
      <c r="Z8897" s="11"/>
    </row>
    <row r="8898" spans="26:26" hidden="1">
      <c r="Z8898" s="11"/>
    </row>
    <row r="8899" spans="26:26" hidden="1">
      <c r="Z8899" s="11"/>
    </row>
    <row r="8900" spans="26:26" hidden="1">
      <c r="Z8900" s="11"/>
    </row>
    <row r="8901" spans="26:26" hidden="1">
      <c r="Z8901" s="11"/>
    </row>
    <row r="8902" spans="26:26" hidden="1">
      <c r="Z8902" s="11"/>
    </row>
    <row r="8903" spans="26:26" hidden="1">
      <c r="Z8903" s="11"/>
    </row>
    <row r="8904" spans="26:26" hidden="1">
      <c r="Z8904" s="11"/>
    </row>
    <row r="8905" spans="26:26" hidden="1">
      <c r="Z8905" s="11"/>
    </row>
    <row r="8906" spans="26:26" hidden="1">
      <c r="Z8906" s="11"/>
    </row>
    <row r="8907" spans="26:26" hidden="1">
      <c r="Z8907" s="11"/>
    </row>
    <row r="8908" spans="26:26" hidden="1">
      <c r="Z8908" s="11"/>
    </row>
    <row r="8909" spans="26:26" hidden="1">
      <c r="Z8909" s="11"/>
    </row>
    <row r="8910" spans="26:26" hidden="1">
      <c r="Z8910" s="11"/>
    </row>
    <row r="8911" spans="26:26" hidden="1">
      <c r="Z8911" s="11"/>
    </row>
    <row r="8912" spans="26:26" hidden="1">
      <c r="Z8912" s="11"/>
    </row>
    <row r="8913" spans="26:26" hidden="1">
      <c r="Z8913" s="11"/>
    </row>
    <row r="8914" spans="26:26" hidden="1">
      <c r="Z8914" s="11"/>
    </row>
    <row r="8915" spans="26:26" hidden="1">
      <c r="Z8915" s="11"/>
    </row>
    <row r="8916" spans="26:26" hidden="1">
      <c r="Z8916" s="11"/>
    </row>
    <row r="8917" spans="26:26" hidden="1">
      <c r="Z8917" s="11"/>
    </row>
    <row r="8918" spans="26:26" hidden="1">
      <c r="Z8918" s="11"/>
    </row>
    <row r="8919" spans="26:26" hidden="1">
      <c r="Z8919" s="11"/>
    </row>
    <row r="8920" spans="26:26" hidden="1">
      <c r="Z8920" s="11"/>
    </row>
    <row r="8921" spans="26:26" hidden="1">
      <c r="Z8921" s="11"/>
    </row>
    <row r="8922" spans="26:26" hidden="1">
      <c r="Z8922" s="11"/>
    </row>
    <row r="8923" spans="26:26" hidden="1">
      <c r="Z8923" s="11"/>
    </row>
    <row r="8924" spans="26:26" hidden="1">
      <c r="Z8924" s="11"/>
    </row>
    <row r="8925" spans="26:26" hidden="1">
      <c r="Z8925" s="11"/>
    </row>
    <row r="8926" spans="26:26" hidden="1">
      <c r="Z8926" s="11"/>
    </row>
    <row r="8927" spans="26:26" hidden="1">
      <c r="Z8927" s="11"/>
    </row>
    <row r="8928" spans="26:26" hidden="1">
      <c r="Z8928" s="11"/>
    </row>
    <row r="8929" spans="26:26" hidden="1">
      <c r="Z8929" s="11"/>
    </row>
    <row r="8930" spans="26:26" hidden="1">
      <c r="Z8930" s="11"/>
    </row>
    <row r="8931" spans="26:26" hidden="1">
      <c r="Z8931" s="11"/>
    </row>
    <row r="8932" spans="26:26" hidden="1">
      <c r="Z8932" s="11"/>
    </row>
    <row r="8933" spans="26:26" hidden="1">
      <c r="Z8933" s="11"/>
    </row>
    <row r="8934" spans="26:26" hidden="1">
      <c r="Z8934" s="11"/>
    </row>
    <row r="8935" spans="26:26" hidden="1">
      <c r="Z8935" s="11"/>
    </row>
    <row r="8936" spans="26:26" hidden="1">
      <c r="Z8936" s="11"/>
    </row>
    <row r="8937" spans="26:26" hidden="1">
      <c r="Z8937" s="11"/>
    </row>
    <row r="8938" spans="26:26" hidden="1">
      <c r="Z8938" s="11"/>
    </row>
    <row r="8939" spans="26:26" hidden="1">
      <c r="Z8939" s="11"/>
    </row>
    <row r="8940" spans="26:26" hidden="1">
      <c r="Z8940" s="11"/>
    </row>
    <row r="8941" spans="26:26" hidden="1">
      <c r="Z8941" s="11"/>
    </row>
    <row r="8942" spans="26:26" hidden="1">
      <c r="Z8942" s="11"/>
    </row>
    <row r="8943" spans="26:26" hidden="1">
      <c r="Z8943" s="11"/>
    </row>
    <row r="8944" spans="26:26" hidden="1">
      <c r="Z8944" s="11"/>
    </row>
    <row r="8945" spans="26:26" hidden="1">
      <c r="Z8945" s="11"/>
    </row>
    <row r="8946" spans="26:26" hidden="1">
      <c r="Z8946" s="11"/>
    </row>
    <row r="8947" spans="26:26" hidden="1">
      <c r="Z8947" s="11"/>
    </row>
    <row r="8948" spans="26:26" hidden="1">
      <c r="Z8948" s="11"/>
    </row>
    <row r="8949" spans="26:26" hidden="1">
      <c r="Z8949" s="11"/>
    </row>
    <row r="8950" spans="26:26" hidden="1">
      <c r="Z8950" s="11"/>
    </row>
    <row r="8951" spans="26:26" hidden="1">
      <c r="Z8951" s="11"/>
    </row>
    <row r="8952" spans="26:26" hidden="1">
      <c r="Z8952" s="11"/>
    </row>
    <row r="8953" spans="26:26" hidden="1">
      <c r="Z8953" s="11"/>
    </row>
    <row r="8954" spans="26:26" hidden="1">
      <c r="Z8954" s="11"/>
    </row>
    <row r="8955" spans="26:26" hidden="1">
      <c r="Z8955" s="11"/>
    </row>
    <row r="8956" spans="26:26" hidden="1">
      <c r="Z8956" s="11"/>
    </row>
    <row r="8957" spans="26:26" hidden="1">
      <c r="Z8957" s="11"/>
    </row>
    <row r="8958" spans="26:26" hidden="1">
      <c r="Z8958" s="11"/>
    </row>
    <row r="8959" spans="26:26" hidden="1">
      <c r="Z8959" s="11"/>
    </row>
    <row r="8960" spans="26:26" hidden="1">
      <c r="Z8960" s="11"/>
    </row>
    <row r="8961" spans="26:26" hidden="1">
      <c r="Z8961" s="11"/>
    </row>
    <row r="8962" spans="26:26" hidden="1">
      <c r="Z8962" s="11"/>
    </row>
    <row r="8963" spans="26:26" hidden="1">
      <c r="Z8963" s="11"/>
    </row>
    <row r="8964" spans="26:26" hidden="1">
      <c r="Z8964" s="11"/>
    </row>
    <row r="8965" spans="26:26" hidden="1">
      <c r="Z8965" s="11"/>
    </row>
    <row r="8966" spans="26:26" hidden="1">
      <c r="Z8966" s="11"/>
    </row>
    <row r="8967" spans="26:26" hidden="1">
      <c r="Z8967" s="11"/>
    </row>
    <row r="8968" spans="26:26" hidden="1">
      <c r="Z8968" s="11"/>
    </row>
    <row r="8969" spans="26:26" hidden="1">
      <c r="Z8969" s="11"/>
    </row>
    <row r="8970" spans="26:26" hidden="1">
      <c r="Z8970" s="11"/>
    </row>
    <row r="8971" spans="26:26" hidden="1">
      <c r="Z8971" s="11"/>
    </row>
    <row r="8972" spans="26:26" hidden="1">
      <c r="Z8972" s="11"/>
    </row>
    <row r="8973" spans="26:26" hidden="1">
      <c r="Z8973" s="11"/>
    </row>
    <row r="8974" spans="26:26" hidden="1">
      <c r="Z8974" s="11"/>
    </row>
    <row r="8975" spans="26:26" hidden="1">
      <c r="Z8975" s="11"/>
    </row>
    <row r="8976" spans="26:26" hidden="1">
      <c r="Z8976" s="11"/>
    </row>
    <row r="8977" spans="26:26" hidden="1">
      <c r="Z8977" s="11"/>
    </row>
    <row r="8978" spans="26:26" hidden="1">
      <c r="Z8978" s="11"/>
    </row>
    <row r="8979" spans="26:26" hidden="1">
      <c r="Z8979" s="11"/>
    </row>
    <row r="8980" spans="26:26" hidden="1">
      <c r="Z8980" s="11"/>
    </row>
    <row r="8981" spans="26:26" hidden="1">
      <c r="Z8981" s="11"/>
    </row>
    <row r="8982" spans="26:26" hidden="1">
      <c r="Z8982" s="11"/>
    </row>
    <row r="8983" spans="26:26" hidden="1">
      <c r="Z8983" s="11"/>
    </row>
    <row r="8984" spans="26:26" hidden="1">
      <c r="Z8984" s="11"/>
    </row>
    <row r="8985" spans="26:26" hidden="1">
      <c r="Z8985" s="11"/>
    </row>
    <row r="8986" spans="26:26" hidden="1">
      <c r="Z8986" s="11"/>
    </row>
    <row r="8987" spans="26:26" hidden="1">
      <c r="Z8987" s="11"/>
    </row>
    <row r="8988" spans="26:26" hidden="1">
      <c r="Z8988" s="11"/>
    </row>
    <row r="8989" spans="26:26" hidden="1">
      <c r="Z8989" s="11"/>
    </row>
    <row r="8990" spans="26:26" hidden="1">
      <c r="Z8990" s="11"/>
    </row>
    <row r="8991" spans="26:26" hidden="1">
      <c r="Z8991" s="11"/>
    </row>
    <row r="8992" spans="26:26" hidden="1">
      <c r="Z8992" s="11"/>
    </row>
    <row r="8993" spans="26:26" hidden="1">
      <c r="Z8993" s="11"/>
    </row>
    <row r="8994" spans="26:26" hidden="1">
      <c r="Z8994" s="11"/>
    </row>
    <row r="8995" spans="26:26" hidden="1">
      <c r="Z8995" s="11"/>
    </row>
    <row r="8996" spans="26:26" hidden="1">
      <c r="Z8996" s="11"/>
    </row>
    <row r="8997" spans="26:26" hidden="1">
      <c r="Z8997" s="11"/>
    </row>
    <row r="8998" spans="26:26" hidden="1">
      <c r="Z8998" s="11"/>
    </row>
    <row r="8999" spans="26:26" hidden="1">
      <c r="Z8999" s="11"/>
    </row>
    <row r="9000" spans="26:26" hidden="1">
      <c r="Z9000" s="11"/>
    </row>
    <row r="9001" spans="26:26" hidden="1">
      <c r="Z9001" s="11"/>
    </row>
    <row r="9002" spans="26:26" hidden="1">
      <c r="Z9002" s="11"/>
    </row>
    <row r="9003" spans="26:26" hidden="1">
      <c r="Z9003" s="11"/>
    </row>
    <row r="9004" spans="26:26" hidden="1">
      <c r="Z9004" s="11"/>
    </row>
    <row r="9005" spans="26:26" hidden="1">
      <c r="Z9005" s="11"/>
    </row>
    <row r="9006" spans="26:26" hidden="1">
      <c r="Z9006" s="11"/>
    </row>
    <row r="9007" spans="26:26" hidden="1">
      <c r="Z9007" s="11"/>
    </row>
    <row r="9008" spans="26:26" hidden="1">
      <c r="Z9008" s="11"/>
    </row>
    <row r="9009" spans="26:26" hidden="1">
      <c r="Z9009" s="11"/>
    </row>
    <row r="9010" spans="26:26" hidden="1">
      <c r="Z9010" s="11"/>
    </row>
    <row r="9011" spans="26:26" hidden="1">
      <c r="Z9011" s="11"/>
    </row>
    <row r="9012" spans="26:26" hidden="1">
      <c r="Z9012" s="11"/>
    </row>
    <row r="9013" spans="26:26" hidden="1">
      <c r="Z9013" s="11"/>
    </row>
    <row r="9014" spans="26:26" hidden="1">
      <c r="Z9014" s="11"/>
    </row>
    <row r="9015" spans="26:26" hidden="1">
      <c r="Z9015" s="11"/>
    </row>
    <row r="9016" spans="26:26" hidden="1">
      <c r="Z9016" s="11"/>
    </row>
    <row r="9017" spans="26:26" hidden="1">
      <c r="Z9017" s="11"/>
    </row>
    <row r="9018" spans="26:26" hidden="1">
      <c r="Z9018" s="11"/>
    </row>
    <row r="9019" spans="26:26" hidden="1">
      <c r="Z9019" s="11"/>
    </row>
    <row r="9020" spans="26:26" hidden="1">
      <c r="Z9020" s="11"/>
    </row>
    <row r="9021" spans="26:26" hidden="1">
      <c r="Z9021" s="11"/>
    </row>
    <row r="9022" spans="26:26" hidden="1">
      <c r="Z9022" s="11"/>
    </row>
    <row r="9023" spans="26:26" hidden="1">
      <c r="Z9023" s="11"/>
    </row>
    <row r="9024" spans="26:26" hidden="1">
      <c r="Z9024" s="11"/>
    </row>
    <row r="9025" spans="26:26" hidden="1">
      <c r="Z9025" s="11"/>
    </row>
    <row r="9026" spans="26:26" hidden="1">
      <c r="Z9026" s="11"/>
    </row>
    <row r="9027" spans="26:26" hidden="1">
      <c r="Z9027" s="11"/>
    </row>
    <row r="9028" spans="26:26" hidden="1">
      <c r="Z9028" s="11"/>
    </row>
    <row r="9029" spans="26:26" hidden="1">
      <c r="Z9029" s="11"/>
    </row>
    <row r="9030" spans="26:26" hidden="1">
      <c r="Z9030" s="11"/>
    </row>
    <row r="9031" spans="26:26" hidden="1">
      <c r="Z9031" s="11"/>
    </row>
    <row r="9032" spans="26:26" hidden="1">
      <c r="Z9032" s="11"/>
    </row>
    <row r="9033" spans="26:26" hidden="1">
      <c r="Z9033" s="11"/>
    </row>
    <row r="9034" spans="26:26" hidden="1">
      <c r="Z9034" s="11"/>
    </row>
    <row r="9035" spans="26:26" hidden="1">
      <c r="Z9035" s="11"/>
    </row>
    <row r="9036" spans="26:26" hidden="1">
      <c r="Z9036" s="11"/>
    </row>
    <row r="9037" spans="26:26" hidden="1">
      <c r="Z9037" s="11"/>
    </row>
    <row r="9038" spans="26:26" hidden="1">
      <c r="Z9038" s="11"/>
    </row>
    <row r="9039" spans="26:26" hidden="1">
      <c r="Z9039" s="11"/>
    </row>
    <row r="9040" spans="26:26" hidden="1">
      <c r="Z9040" s="11"/>
    </row>
    <row r="9041" spans="26:26" hidden="1">
      <c r="Z9041" s="11"/>
    </row>
    <row r="9042" spans="26:26" hidden="1">
      <c r="Z9042" s="11"/>
    </row>
    <row r="9043" spans="26:26" hidden="1">
      <c r="Z9043" s="11"/>
    </row>
    <row r="9044" spans="26:26" hidden="1">
      <c r="Z9044" s="11"/>
    </row>
    <row r="9045" spans="26:26" hidden="1">
      <c r="Z9045" s="11"/>
    </row>
    <row r="9046" spans="26:26" hidden="1">
      <c r="Z9046" s="11"/>
    </row>
    <row r="9047" spans="26:26" hidden="1">
      <c r="Z9047" s="11"/>
    </row>
    <row r="9048" spans="26:26" hidden="1">
      <c r="Z9048" s="11"/>
    </row>
    <row r="9049" spans="26:26" hidden="1">
      <c r="Z9049" s="11"/>
    </row>
    <row r="9050" spans="26:26" hidden="1">
      <c r="Z9050" s="11"/>
    </row>
    <row r="9051" spans="26:26" hidden="1">
      <c r="Z9051" s="11"/>
    </row>
    <row r="9052" spans="26:26" hidden="1">
      <c r="Z9052" s="11"/>
    </row>
    <row r="9053" spans="26:26" hidden="1">
      <c r="Z9053" s="11"/>
    </row>
    <row r="9054" spans="26:26" hidden="1">
      <c r="Z9054" s="11"/>
    </row>
    <row r="9055" spans="26:26" hidden="1">
      <c r="Z9055" s="11"/>
    </row>
    <row r="9056" spans="26:26" hidden="1">
      <c r="Z9056" s="11"/>
    </row>
    <row r="9057" spans="26:26" hidden="1">
      <c r="Z9057" s="11"/>
    </row>
    <row r="9058" spans="26:26" hidden="1">
      <c r="Z9058" s="11"/>
    </row>
    <row r="9059" spans="26:26" hidden="1">
      <c r="Z9059" s="11"/>
    </row>
    <row r="9060" spans="26:26" hidden="1">
      <c r="Z9060" s="11"/>
    </row>
    <row r="9061" spans="26:26" hidden="1">
      <c r="Z9061" s="11"/>
    </row>
    <row r="9062" spans="26:26" hidden="1">
      <c r="Z9062" s="11"/>
    </row>
    <row r="9063" spans="26:26" hidden="1">
      <c r="Z9063" s="11"/>
    </row>
    <row r="9064" spans="26:26" hidden="1">
      <c r="Z9064" s="11"/>
    </row>
    <row r="9065" spans="26:26" hidden="1">
      <c r="Z9065" s="11"/>
    </row>
    <row r="9066" spans="26:26" hidden="1">
      <c r="Z9066" s="11"/>
    </row>
    <row r="9067" spans="26:26" hidden="1">
      <c r="Z9067" s="11"/>
    </row>
    <row r="9068" spans="26:26" hidden="1">
      <c r="Z9068" s="11"/>
    </row>
    <row r="9069" spans="26:26" hidden="1">
      <c r="Z9069" s="11"/>
    </row>
    <row r="9070" spans="26:26" hidden="1">
      <c r="Z9070" s="11"/>
    </row>
    <row r="9071" spans="26:26" hidden="1">
      <c r="Z9071" s="11"/>
    </row>
    <row r="9072" spans="26:26" hidden="1">
      <c r="Z9072" s="11"/>
    </row>
    <row r="9073" spans="26:26" hidden="1">
      <c r="Z9073" s="11"/>
    </row>
    <row r="9074" spans="26:26" hidden="1">
      <c r="Z9074" s="11"/>
    </row>
    <row r="9075" spans="26:26" hidden="1">
      <c r="Z9075" s="11"/>
    </row>
    <row r="9076" spans="26:26" hidden="1">
      <c r="Z9076" s="11"/>
    </row>
    <row r="9077" spans="26:26" hidden="1">
      <c r="Z9077" s="11"/>
    </row>
    <row r="9078" spans="26:26" hidden="1">
      <c r="Z9078" s="11"/>
    </row>
    <row r="9079" spans="26:26" hidden="1">
      <c r="Z9079" s="11"/>
    </row>
    <row r="9080" spans="26:26" hidden="1">
      <c r="Z9080" s="11"/>
    </row>
    <row r="9081" spans="26:26" hidden="1">
      <c r="Z9081" s="11"/>
    </row>
    <row r="9082" spans="26:26" hidden="1">
      <c r="Z9082" s="11"/>
    </row>
    <row r="9083" spans="26:26" hidden="1">
      <c r="Z9083" s="11"/>
    </row>
    <row r="9084" spans="26:26" hidden="1">
      <c r="Z9084" s="11"/>
    </row>
    <row r="9085" spans="26:26" hidden="1">
      <c r="Z9085" s="11"/>
    </row>
    <row r="9086" spans="26:26" hidden="1">
      <c r="Z9086" s="11"/>
    </row>
    <row r="9087" spans="26:26" hidden="1">
      <c r="Z9087" s="11"/>
    </row>
    <row r="9088" spans="26:26" hidden="1">
      <c r="Z9088" s="11"/>
    </row>
    <row r="9089" spans="26:26" hidden="1">
      <c r="Z9089" s="11"/>
    </row>
    <row r="9090" spans="26:26" hidden="1">
      <c r="Z9090" s="11"/>
    </row>
    <row r="9091" spans="26:26" hidden="1">
      <c r="Z9091" s="11"/>
    </row>
    <row r="9092" spans="26:26" hidden="1">
      <c r="Z9092" s="11"/>
    </row>
    <row r="9093" spans="26:26" hidden="1">
      <c r="Z9093" s="11"/>
    </row>
    <row r="9094" spans="26:26" hidden="1">
      <c r="Z9094" s="11"/>
    </row>
    <row r="9095" spans="26:26" hidden="1">
      <c r="Z9095" s="11"/>
    </row>
    <row r="9096" spans="26:26" hidden="1">
      <c r="Z9096" s="11"/>
    </row>
    <row r="9097" spans="26:26" hidden="1">
      <c r="Z9097" s="11"/>
    </row>
    <row r="9098" spans="26:26" hidden="1">
      <c r="Z9098" s="11"/>
    </row>
    <row r="9099" spans="26:26" hidden="1">
      <c r="Z9099" s="11"/>
    </row>
    <row r="9100" spans="26:26" hidden="1">
      <c r="Z9100" s="11"/>
    </row>
    <row r="9101" spans="26:26" hidden="1">
      <c r="Z9101" s="11"/>
    </row>
    <row r="9102" spans="26:26" hidden="1">
      <c r="Z9102" s="11"/>
    </row>
    <row r="9103" spans="26:26" hidden="1">
      <c r="Z9103" s="11"/>
    </row>
    <row r="9104" spans="26:26" hidden="1">
      <c r="Z9104" s="11"/>
    </row>
    <row r="9105" spans="26:26" hidden="1">
      <c r="Z9105" s="11"/>
    </row>
    <row r="9106" spans="26:26" hidden="1">
      <c r="Z9106" s="11"/>
    </row>
    <row r="9107" spans="26:26" hidden="1">
      <c r="Z9107" s="11"/>
    </row>
    <row r="9108" spans="26:26" hidden="1">
      <c r="Z9108" s="11"/>
    </row>
    <row r="9109" spans="26:26" hidden="1">
      <c r="Z9109" s="11"/>
    </row>
    <row r="9110" spans="26:26" hidden="1">
      <c r="Z9110" s="11"/>
    </row>
    <row r="9111" spans="26:26" hidden="1">
      <c r="Z9111" s="11"/>
    </row>
    <row r="9112" spans="26:26" hidden="1">
      <c r="Z9112" s="11"/>
    </row>
    <row r="9113" spans="26:26" hidden="1">
      <c r="Z9113" s="11"/>
    </row>
    <row r="9114" spans="26:26" hidden="1">
      <c r="Z9114" s="11"/>
    </row>
    <row r="9115" spans="26:26" hidden="1">
      <c r="Z9115" s="11"/>
    </row>
    <row r="9116" spans="26:26" hidden="1">
      <c r="Z9116" s="11"/>
    </row>
    <row r="9117" spans="26:26" hidden="1">
      <c r="Z9117" s="11"/>
    </row>
    <row r="9118" spans="26:26" hidden="1">
      <c r="Z9118" s="11"/>
    </row>
    <row r="9119" spans="26:26" hidden="1">
      <c r="Z9119" s="11"/>
    </row>
    <row r="9120" spans="26:26" hidden="1">
      <c r="Z9120" s="11"/>
    </row>
    <row r="9121" spans="26:26" hidden="1">
      <c r="Z9121" s="11"/>
    </row>
    <row r="9122" spans="26:26" hidden="1">
      <c r="Z9122" s="11"/>
    </row>
    <row r="9123" spans="26:26" hidden="1">
      <c r="Z9123" s="11"/>
    </row>
    <row r="9124" spans="26:26" hidden="1">
      <c r="Z9124" s="11"/>
    </row>
    <row r="9125" spans="26:26" hidden="1">
      <c r="Z9125" s="11"/>
    </row>
    <row r="9126" spans="26:26" hidden="1">
      <c r="Z9126" s="11"/>
    </row>
    <row r="9127" spans="26:26" hidden="1">
      <c r="Z9127" s="11"/>
    </row>
    <row r="9128" spans="26:26" hidden="1">
      <c r="Z9128" s="11"/>
    </row>
    <row r="9129" spans="26:26" hidden="1">
      <c r="Z9129" s="11"/>
    </row>
    <row r="9130" spans="26:26" hidden="1">
      <c r="Z9130" s="11"/>
    </row>
    <row r="9131" spans="26:26" hidden="1">
      <c r="Z9131" s="11"/>
    </row>
    <row r="9132" spans="26:26" hidden="1">
      <c r="Z9132" s="11"/>
    </row>
    <row r="9133" spans="26:26" hidden="1">
      <c r="Z9133" s="11"/>
    </row>
    <row r="9134" spans="26:26" hidden="1">
      <c r="Z9134" s="11"/>
    </row>
    <row r="9135" spans="26:26" hidden="1">
      <c r="Z9135" s="11"/>
    </row>
    <row r="9136" spans="26:26" hidden="1">
      <c r="Z9136" s="11"/>
    </row>
    <row r="9137" spans="26:26" hidden="1">
      <c r="Z9137" s="11"/>
    </row>
    <row r="9138" spans="26:26" hidden="1">
      <c r="Z9138" s="11"/>
    </row>
    <row r="9139" spans="26:26" hidden="1">
      <c r="Z9139" s="11"/>
    </row>
    <row r="9140" spans="26:26" hidden="1">
      <c r="Z9140" s="11"/>
    </row>
    <row r="9141" spans="26:26" hidden="1">
      <c r="Z9141" s="11"/>
    </row>
    <row r="9142" spans="26:26" hidden="1">
      <c r="Z9142" s="11"/>
    </row>
    <row r="9143" spans="26:26" hidden="1">
      <c r="Z9143" s="11"/>
    </row>
    <row r="9144" spans="26:26" hidden="1">
      <c r="Z9144" s="11"/>
    </row>
    <row r="9145" spans="26:26" hidden="1">
      <c r="Z9145" s="11"/>
    </row>
    <row r="9146" spans="26:26" hidden="1">
      <c r="Z9146" s="11"/>
    </row>
    <row r="9147" spans="26:26" hidden="1">
      <c r="Z9147" s="11"/>
    </row>
    <row r="9148" spans="26:26" hidden="1">
      <c r="Z9148" s="11"/>
    </row>
    <row r="9149" spans="26:26" hidden="1">
      <c r="Z9149" s="11"/>
    </row>
    <row r="9150" spans="26:26" hidden="1">
      <c r="Z9150" s="11"/>
    </row>
    <row r="9151" spans="26:26" hidden="1">
      <c r="Z9151" s="11"/>
    </row>
    <row r="9152" spans="26:26" hidden="1">
      <c r="Z9152" s="11"/>
    </row>
    <row r="9153" spans="26:26" hidden="1">
      <c r="Z9153" s="11"/>
    </row>
    <row r="9154" spans="26:26" hidden="1">
      <c r="Z9154" s="11"/>
    </row>
    <row r="9155" spans="26:26" hidden="1">
      <c r="Z9155" s="11"/>
    </row>
    <row r="9156" spans="26:26" hidden="1">
      <c r="Z9156" s="11"/>
    </row>
    <row r="9157" spans="26:26" hidden="1">
      <c r="Z9157" s="11"/>
    </row>
    <row r="9158" spans="26:26" hidden="1">
      <c r="Z9158" s="11"/>
    </row>
    <row r="9159" spans="26:26" hidden="1">
      <c r="Z9159" s="11"/>
    </row>
    <row r="9160" spans="26:26" hidden="1">
      <c r="Z9160" s="11"/>
    </row>
    <row r="9161" spans="26:26" hidden="1">
      <c r="Z9161" s="11"/>
    </row>
    <row r="9162" spans="26:26" hidden="1">
      <c r="Z9162" s="11"/>
    </row>
    <row r="9163" spans="26:26" hidden="1">
      <c r="Z9163" s="11"/>
    </row>
    <row r="9164" spans="26:26" hidden="1">
      <c r="Z9164" s="11"/>
    </row>
    <row r="9165" spans="26:26" hidden="1">
      <c r="Z9165" s="11"/>
    </row>
    <row r="9166" spans="26:26" hidden="1">
      <c r="Z9166" s="11"/>
    </row>
    <row r="9167" spans="26:26" hidden="1">
      <c r="Z9167" s="11"/>
    </row>
    <row r="9168" spans="26:26" hidden="1">
      <c r="Z9168" s="11"/>
    </row>
    <row r="9169" spans="26:26" hidden="1">
      <c r="Z9169" s="11"/>
    </row>
    <row r="9170" spans="26:26" hidden="1">
      <c r="Z9170" s="11"/>
    </row>
    <row r="9171" spans="26:26" hidden="1">
      <c r="Z9171" s="11"/>
    </row>
    <row r="9172" spans="26:26" hidden="1">
      <c r="Z9172" s="11"/>
    </row>
    <row r="9173" spans="26:26" hidden="1">
      <c r="Z9173" s="11"/>
    </row>
    <row r="9174" spans="26:26" hidden="1">
      <c r="Z9174" s="11"/>
    </row>
    <row r="9175" spans="26:26" hidden="1">
      <c r="Z9175" s="11"/>
    </row>
    <row r="9176" spans="26:26" hidden="1">
      <c r="Z9176" s="11"/>
    </row>
    <row r="9177" spans="26:26" hidden="1">
      <c r="Z9177" s="11"/>
    </row>
    <row r="9178" spans="26:26" hidden="1">
      <c r="Z9178" s="11"/>
    </row>
    <row r="9179" spans="26:26" hidden="1">
      <c r="Z9179" s="11"/>
    </row>
    <row r="9180" spans="26:26" hidden="1">
      <c r="Z9180" s="11"/>
    </row>
    <row r="9181" spans="26:26" hidden="1">
      <c r="Z9181" s="11"/>
    </row>
    <row r="9182" spans="26:26" hidden="1">
      <c r="Z9182" s="11"/>
    </row>
    <row r="9183" spans="26:26" hidden="1">
      <c r="Z9183" s="11"/>
    </row>
    <row r="9184" spans="26:26" hidden="1">
      <c r="Z9184" s="11"/>
    </row>
    <row r="9185" spans="26:26" hidden="1">
      <c r="Z9185" s="11"/>
    </row>
    <row r="9186" spans="26:26" hidden="1">
      <c r="Z9186" s="11"/>
    </row>
    <row r="9187" spans="26:26" hidden="1">
      <c r="Z9187" s="11"/>
    </row>
    <row r="9188" spans="26:26" hidden="1">
      <c r="Z9188" s="11"/>
    </row>
    <row r="9189" spans="26:26" hidden="1">
      <c r="Z9189" s="11"/>
    </row>
    <row r="9190" spans="26:26" hidden="1">
      <c r="Z9190" s="11"/>
    </row>
    <row r="9191" spans="26:26" hidden="1">
      <c r="Z9191" s="11"/>
    </row>
    <row r="9192" spans="26:26" hidden="1">
      <c r="Z9192" s="11"/>
    </row>
    <row r="9193" spans="26:26" hidden="1">
      <c r="Z9193" s="11"/>
    </row>
    <row r="9194" spans="26:26" hidden="1">
      <c r="Z9194" s="11"/>
    </row>
    <row r="9195" spans="26:26" hidden="1">
      <c r="Z9195" s="11"/>
    </row>
    <row r="9196" spans="26:26" hidden="1">
      <c r="Z9196" s="11"/>
    </row>
    <row r="9197" spans="26:26" hidden="1">
      <c r="Z9197" s="11"/>
    </row>
    <row r="9198" spans="26:26" hidden="1">
      <c r="Z9198" s="11"/>
    </row>
    <row r="9199" spans="26:26" hidden="1">
      <c r="Z9199" s="11"/>
    </row>
    <row r="9200" spans="26:26" hidden="1">
      <c r="Z9200" s="11"/>
    </row>
    <row r="9201" spans="26:26" hidden="1">
      <c r="Z9201" s="11"/>
    </row>
    <row r="9202" spans="26:26" hidden="1">
      <c r="Z9202" s="11"/>
    </row>
    <row r="9203" spans="26:26" hidden="1">
      <c r="Z9203" s="11"/>
    </row>
    <row r="9204" spans="26:26" hidden="1">
      <c r="Z9204" s="11"/>
    </row>
    <row r="9205" spans="26:26" hidden="1">
      <c r="Z9205" s="11"/>
    </row>
    <row r="9206" spans="26:26" hidden="1">
      <c r="Z9206" s="11"/>
    </row>
    <row r="9207" spans="26:26" hidden="1">
      <c r="Z9207" s="11"/>
    </row>
    <row r="9208" spans="26:26" hidden="1">
      <c r="Z9208" s="11"/>
    </row>
    <row r="9209" spans="26:26" hidden="1">
      <c r="Z9209" s="11"/>
    </row>
    <row r="9210" spans="26:26" hidden="1">
      <c r="Z9210" s="11"/>
    </row>
    <row r="9211" spans="26:26" hidden="1">
      <c r="Z9211" s="11"/>
    </row>
    <row r="9212" spans="26:26" hidden="1">
      <c r="Z9212" s="11"/>
    </row>
    <row r="9213" spans="26:26" hidden="1">
      <c r="Z9213" s="11"/>
    </row>
    <row r="9214" spans="26:26" hidden="1">
      <c r="Z9214" s="11"/>
    </row>
    <row r="9215" spans="26:26" hidden="1">
      <c r="Z9215" s="11"/>
    </row>
    <row r="9216" spans="26:26" hidden="1">
      <c r="Z9216" s="11"/>
    </row>
    <row r="9217" spans="26:26" hidden="1">
      <c r="Z9217" s="11"/>
    </row>
    <row r="9218" spans="26:26" hidden="1">
      <c r="Z9218" s="11"/>
    </row>
    <row r="9219" spans="26:26" hidden="1">
      <c r="Z9219" s="11"/>
    </row>
    <row r="9220" spans="26:26" hidden="1">
      <c r="Z9220" s="11"/>
    </row>
    <row r="9221" spans="26:26" hidden="1">
      <c r="Z9221" s="11"/>
    </row>
    <row r="9222" spans="26:26" hidden="1">
      <c r="Z9222" s="11"/>
    </row>
    <row r="9223" spans="26:26" hidden="1">
      <c r="Z9223" s="11"/>
    </row>
    <row r="9224" spans="26:26" hidden="1">
      <c r="Z9224" s="11"/>
    </row>
    <row r="9225" spans="26:26" hidden="1">
      <c r="Z9225" s="11"/>
    </row>
    <row r="9226" spans="26:26" hidden="1">
      <c r="Z9226" s="11"/>
    </row>
    <row r="9227" spans="26:26" hidden="1">
      <c r="Z9227" s="11"/>
    </row>
    <row r="9228" spans="26:26" hidden="1">
      <c r="Z9228" s="11"/>
    </row>
    <row r="9229" spans="26:26" hidden="1">
      <c r="Z9229" s="11"/>
    </row>
    <row r="9230" spans="26:26" hidden="1">
      <c r="Z9230" s="11"/>
    </row>
    <row r="9231" spans="26:26" hidden="1">
      <c r="Z9231" s="11"/>
    </row>
    <row r="9232" spans="26:26" hidden="1">
      <c r="Z9232" s="11"/>
    </row>
    <row r="9233" spans="26:26" hidden="1">
      <c r="Z9233" s="11"/>
    </row>
    <row r="9234" spans="26:26" hidden="1">
      <c r="Z9234" s="11"/>
    </row>
    <row r="9235" spans="26:26" hidden="1">
      <c r="Z9235" s="11"/>
    </row>
    <row r="9236" spans="26:26" hidden="1">
      <c r="Z9236" s="11"/>
    </row>
    <row r="9237" spans="26:26" hidden="1">
      <c r="Z9237" s="11"/>
    </row>
    <row r="9238" spans="26:26" hidden="1">
      <c r="Z9238" s="11"/>
    </row>
    <row r="9239" spans="26:26" hidden="1">
      <c r="Z9239" s="11"/>
    </row>
    <row r="9240" spans="26:26" hidden="1">
      <c r="Z9240" s="11"/>
    </row>
    <row r="9241" spans="26:26" hidden="1">
      <c r="Z9241" s="11"/>
    </row>
    <row r="9242" spans="26:26" hidden="1">
      <c r="Z9242" s="11"/>
    </row>
    <row r="9243" spans="26:26" hidden="1">
      <c r="Z9243" s="11"/>
    </row>
    <row r="9244" spans="26:26" hidden="1">
      <c r="Z9244" s="11"/>
    </row>
    <row r="9245" spans="26:26" hidden="1">
      <c r="Z9245" s="11"/>
    </row>
    <row r="9246" spans="26:26" hidden="1">
      <c r="Z9246" s="11"/>
    </row>
    <row r="9247" spans="26:26" hidden="1">
      <c r="Z9247" s="11"/>
    </row>
    <row r="9248" spans="26:26" hidden="1">
      <c r="Z9248" s="11"/>
    </row>
    <row r="9249" spans="26:26" hidden="1">
      <c r="Z9249" s="11"/>
    </row>
    <row r="9250" spans="26:26" hidden="1">
      <c r="Z9250" s="11"/>
    </row>
    <row r="9251" spans="26:26" hidden="1">
      <c r="Z9251" s="11"/>
    </row>
    <row r="9252" spans="26:26" hidden="1">
      <c r="Z9252" s="11"/>
    </row>
    <row r="9253" spans="26:26" hidden="1">
      <c r="Z9253" s="11"/>
    </row>
    <row r="9254" spans="26:26" hidden="1">
      <c r="Z9254" s="11"/>
    </row>
    <row r="9255" spans="26:26" hidden="1">
      <c r="Z9255" s="11"/>
    </row>
    <row r="9256" spans="26:26" hidden="1">
      <c r="Z9256" s="11"/>
    </row>
    <row r="9257" spans="26:26" hidden="1">
      <c r="Z9257" s="11"/>
    </row>
    <row r="9258" spans="26:26" hidden="1">
      <c r="Z9258" s="11"/>
    </row>
    <row r="9259" spans="26:26" hidden="1">
      <c r="Z9259" s="11"/>
    </row>
    <row r="9260" spans="26:26" hidden="1">
      <c r="Z9260" s="11"/>
    </row>
    <row r="9261" spans="26:26" hidden="1">
      <c r="Z9261" s="11"/>
    </row>
    <row r="9262" spans="26:26" hidden="1">
      <c r="Z9262" s="11"/>
    </row>
    <row r="9263" spans="26:26" hidden="1">
      <c r="Z9263" s="11"/>
    </row>
    <row r="9264" spans="26:26" hidden="1">
      <c r="Z9264" s="11"/>
    </row>
    <row r="9265" spans="26:26" hidden="1">
      <c r="Z9265" s="11"/>
    </row>
    <row r="9266" spans="26:26" hidden="1">
      <c r="Z9266" s="11"/>
    </row>
    <row r="9267" spans="26:26" hidden="1">
      <c r="Z9267" s="11"/>
    </row>
    <row r="9268" spans="26:26" hidden="1">
      <c r="Z9268" s="11"/>
    </row>
    <row r="9269" spans="26:26" hidden="1">
      <c r="Z9269" s="11"/>
    </row>
    <row r="9270" spans="26:26" hidden="1">
      <c r="Z9270" s="11"/>
    </row>
    <row r="9271" spans="26:26" hidden="1">
      <c r="Z9271" s="11"/>
    </row>
    <row r="9272" spans="26:26" hidden="1">
      <c r="Z9272" s="11"/>
    </row>
    <row r="9273" spans="26:26" hidden="1">
      <c r="Z9273" s="11"/>
    </row>
    <row r="9274" spans="26:26" hidden="1">
      <c r="Z9274" s="11"/>
    </row>
    <row r="9275" spans="26:26" hidden="1">
      <c r="Z9275" s="11"/>
    </row>
    <row r="9276" spans="26:26" hidden="1">
      <c r="Z9276" s="11"/>
    </row>
    <row r="9277" spans="26:26" hidden="1">
      <c r="Z9277" s="11"/>
    </row>
    <row r="9278" spans="26:26" hidden="1">
      <c r="Z9278" s="11"/>
    </row>
    <row r="9279" spans="26:26" hidden="1">
      <c r="Z9279" s="11"/>
    </row>
    <row r="9280" spans="26:26" hidden="1">
      <c r="Z9280" s="11"/>
    </row>
    <row r="9281" spans="26:26" hidden="1">
      <c r="Z9281" s="11"/>
    </row>
    <row r="9282" spans="26:26" hidden="1">
      <c r="Z9282" s="11"/>
    </row>
    <row r="9283" spans="26:26" hidden="1">
      <c r="Z9283" s="11"/>
    </row>
    <row r="9284" spans="26:26" hidden="1">
      <c r="Z9284" s="11"/>
    </row>
    <row r="9285" spans="26:26" hidden="1">
      <c r="Z9285" s="11"/>
    </row>
    <row r="9286" spans="26:26" hidden="1">
      <c r="Z9286" s="11"/>
    </row>
    <row r="9287" spans="26:26" hidden="1">
      <c r="Z9287" s="11"/>
    </row>
    <row r="9288" spans="26:26" hidden="1">
      <c r="Z9288" s="11"/>
    </row>
    <row r="9289" spans="26:26" hidden="1">
      <c r="Z9289" s="11"/>
    </row>
    <row r="9290" spans="26:26" hidden="1">
      <c r="Z9290" s="11"/>
    </row>
    <row r="9291" spans="26:26" hidden="1">
      <c r="Z9291" s="11"/>
    </row>
    <row r="9292" spans="26:26" hidden="1">
      <c r="Z9292" s="11"/>
    </row>
    <row r="9293" spans="26:26" hidden="1">
      <c r="Z9293" s="11"/>
    </row>
    <row r="9294" spans="26:26" hidden="1">
      <c r="Z9294" s="11"/>
    </row>
    <row r="9295" spans="26:26" hidden="1">
      <c r="Z9295" s="11"/>
    </row>
    <row r="9296" spans="26:26" hidden="1">
      <c r="Z9296" s="11"/>
    </row>
    <row r="9297" spans="26:26" hidden="1">
      <c r="Z9297" s="11"/>
    </row>
    <row r="9298" spans="26:26" hidden="1">
      <c r="Z9298" s="11"/>
    </row>
    <row r="9299" spans="26:26" hidden="1">
      <c r="Z9299" s="11"/>
    </row>
    <row r="9300" spans="26:26" hidden="1">
      <c r="Z9300" s="11"/>
    </row>
    <row r="9301" spans="26:26" hidden="1">
      <c r="Z9301" s="11"/>
    </row>
    <row r="9302" spans="26:26" hidden="1">
      <c r="Z9302" s="11"/>
    </row>
    <row r="9303" spans="26:26" hidden="1">
      <c r="Z9303" s="11"/>
    </row>
    <row r="9304" spans="26:26" hidden="1">
      <c r="Z9304" s="11"/>
    </row>
    <row r="9305" spans="26:26" hidden="1">
      <c r="Z9305" s="11"/>
    </row>
    <row r="9306" spans="26:26" hidden="1">
      <c r="Z9306" s="11"/>
    </row>
    <row r="9307" spans="26:26" hidden="1">
      <c r="Z9307" s="11"/>
    </row>
    <row r="9308" spans="26:26" hidden="1">
      <c r="Z9308" s="11"/>
    </row>
    <row r="9309" spans="26:26" hidden="1">
      <c r="Z9309" s="11"/>
    </row>
    <row r="9310" spans="26:26" hidden="1">
      <c r="Z9310" s="11"/>
    </row>
    <row r="9311" spans="26:26" hidden="1">
      <c r="Z9311" s="11"/>
    </row>
    <row r="9312" spans="26:26" hidden="1">
      <c r="Z9312" s="11"/>
    </row>
    <row r="9313" spans="26:26" hidden="1">
      <c r="Z9313" s="11"/>
    </row>
    <row r="9314" spans="26:26" hidden="1">
      <c r="Z9314" s="11"/>
    </row>
    <row r="9315" spans="26:26" hidden="1">
      <c r="Z9315" s="11"/>
    </row>
    <row r="9316" spans="26:26" hidden="1">
      <c r="Z9316" s="11"/>
    </row>
    <row r="9317" spans="26:26" hidden="1">
      <c r="Z9317" s="11"/>
    </row>
    <row r="9318" spans="26:26" hidden="1">
      <c r="Z9318" s="11"/>
    </row>
    <row r="9319" spans="26:26" hidden="1">
      <c r="Z9319" s="11"/>
    </row>
    <row r="9320" spans="26:26" hidden="1">
      <c r="Z9320" s="11"/>
    </row>
    <row r="9321" spans="26:26" hidden="1">
      <c r="Z9321" s="11"/>
    </row>
    <row r="9322" spans="26:26" hidden="1">
      <c r="Z9322" s="11"/>
    </row>
    <row r="9323" spans="26:26" hidden="1">
      <c r="Z9323" s="11"/>
    </row>
    <row r="9324" spans="26:26" hidden="1">
      <c r="Z9324" s="11"/>
    </row>
    <row r="9325" spans="26:26" hidden="1">
      <c r="Z9325" s="11"/>
    </row>
    <row r="9326" spans="26:26" hidden="1">
      <c r="Z9326" s="11"/>
    </row>
    <row r="9327" spans="26:26" hidden="1">
      <c r="Z9327" s="11"/>
    </row>
    <row r="9328" spans="26:26" hidden="1">
      <c r="Z9328" s="11"/>
    </row>
    <row r="9329" spans="26:26" hidden="1">
      <c r="Z9329" s="11"/>
    </row>
    <row r="9330" spans="26:26" hidden="1">
      <c r="Z9330" s="11"/>
    </row>
    <row r="9331" spans="26:26" hidden="1">
      <c r="Z9331" s="11"/>
    </row>
    <row r="9332" spans="26:26" hidden="1">
      <c r="Z9332" s="11"/>
    </row>
    <row r="9333" spans="26:26" hidden="1">
      <c r="Z9333" s="11"/>
    </row>
    <row r="9334" spans="26:26" hidden="1">
      <c r="Z9334" s="11"/>
    </row>
    <row r="9335" spans="26:26" hidden="1">
      <c r="Z9335" s="11"/>
    </row>
    <row r="9336" spans="26:26" hidden="1">
      <c r="Z9336" s="11"/>
    </row>
    <row r="9337" spans="26:26" hidden="1">
      <c r="Z9337" s="11"/>
    </row>
    <row r="9338" spans="26:26" hidden="1">
      <c r="Z9338" s="11"/>
    </row>
    <row r="9339" spans="26:26" hidden="1">
      <c r="Z9339" s="11"/>
    </row>
    <row r="9340" spans="26:26" hidden="1">
      <c r="Z9340" s="11"/>
    </row>
    <row r="9341" spans="26:26" hidden="1">
      <c r="Z9341" s="11"/>
    </row>
    <row r="9342" spans="26:26" hidden="1">
      <c r="Z9342" s="11"/>
    </row>
    <row r="9343" spans="26:26" hidden="1">
      <c r="Z9343" s="11"/>
    </row>
    <row r="9344" spans="26:26" hidden="1">
      <c r="Z9344" s="11"/>
    </row>
    <row r="9345" spans="26:26" hidden="1">
      <c r="Z9345" s="11"/>
    </row>
    <row r="9346" spans="26:26" hidden="1">
      <c r="Z9346" s="11"/>
    </row>
    <row r="9347" spans="26:26" hidden="1">
      <c r="Z9347" s="11"/>
    </row>
    <row r="9348" spans="26:26" hidden="1">
      <c r="Z9348" s="11"/>
    </row>
    <row r="9349" spans="26:26" hidden="1">
      <c r="Z9349" s="11"/>
    </row>
    <row r="9350" spans="26:26" hidden="1">
      <c r="Z9350" s="11"/>
    </row>
    <row r="9351" spans="26:26" hidden="1">
      <c r="Z9351" s="11"/>
    </row>
    <row r="9352" spans="26:26" hidden="1">
      <c r="Z9352" s="11"/>
    </row>
    <row r="9353" spans="26:26" hidden="1">
      <c r="Z9353" s="11"/>
    </row>
    <row r="9354" spans="26:26" hidden="1">
      <c r="Z9354" s="11"/>
    </row>
    <row r="9355" spans="26:26" hidden="1">
      <c r="Z9355" s="11"/>
    </row>
    <row r="9356" spans="26:26" hidden="1">
      <c r="Z9356" s="11"/>
    </row>
    <row r="9357" spans="26:26" hidden="1">
      <c r="Z9357" s="11"/>
    </row>
    <row r="9358" spans="26:26" hidden="1">
      <c r="Z9358" s="11"/>
    </row>
    <row r="9359" spans="26:26" hidden="1">
      <c r="Z9359" s="11"/>
    </row>
    <row r="9360" spans="26:26" hidden="1">
      <c r="Z9360" s="11"/>
    </row>
    <row r="9361" spans="26:26" hidden="1">
      <c r="Z9361" s="11"/>
    </row>
    <row r="9362" spans="26:26" hidden="1">
      <c r="Z9362" s="11"/>
    </row>
    <row r="9363" spans="26:26" hidden="1">
      <c r="Z9363" s="11"/>
    </row>
    <row r="9364" spans="26:26" hidden="1">
      <c r="Z9364" s="11"/>
    </row>
    <row r="9365" spans="26:26" hidden="1">
      <c r="Z9365" s="11"/>
    </row>
    <row r="9366" spans="26:26" hidden="1">
      <c r="Z9366" s="11"/>
    </row>
    <row r="9367" spans="26:26" hidden="1">
      <c r="Z9367" s="11"/>
    </row>
    <row r="9368" spans="26:26" hidden="1">
      <c r="Z9368" s="11"/>
    </row>
    <row r="9369" spans="26:26" hidden="1">
      <c r="Z9369" s="11"/>
    </row>
    <row r="9370" spans="26:26" hidden="1">
      <c r="Z9370" s="11"/>
    </row>
    <row r="9371" spans="26:26" hidden="1">
      <c r="Z9371" s="11"/>
    </row>
    <row r="9372" spans="26:26" hidden="1">
      <c r="Z9372" s="11"/>
    </row>
    <row r="9373" spans="26:26" hidden="1">
      <c r="Z9373" s="11"/>
    </row>
    <row r="9374" spans="26:26" hidden="1">
      <c r="Z9374" s="11"/>
    </row>
    <row r="9375" spans="26:26" hidden="1">
      <c r="Z9375" s="11"/>
    </row>
    <row r="9376" spans="26:26" hidden="1">
      <c r="Z9376" s="11"/>
    </row>
    <row r="9377" spans="26:26" hidden="1">
      <c r="Z9377" s="11"/>
    </row>
    <row r="9378" spans="26:26" hidden="1">
      <c r="Z9378" s="11"/>
    </row>
    <row r="9379" spans="26:26" hidden="1">
      <c r="Z9379" s="11"/>
    </row>
    <row r="9380" spans="26:26" hidden="1">
      <c r="Z9380" s="11"/>
    </row>
    <row r="9381" spans="26:26" hidden="1">
      <c r="Z9381" s="11"/>
    </row>
    <row r="9382" spans="26:26" hidden="1">
      <c r="Z9382" s="11"/>
    </row>
    <row r="9383" spans="26:26" hidden="1">
      <c r="Z9383" s="11"/>
    </row>
    <row r="9384" spans="26:26" hidden="1">
      <c r="Z9384" s="11"/>
    </row>
    <row r="9385" spans="26:26" hidden="1">
      <c r="Z9385" s="11"/>
    </row>
    <row r="9386" spans="26:26" hidden="1">
      <c r="Z9386" s="11"/>
    </row>
    <row r="9387" spans="26:26" hidden="1">
      <c r="Z9387" s="11"/>
    </row>
    <row r="9388" spans="26:26" hidden="1">
      <c r="Z9388" s="11"/>
    </row>
    <row r="9389" spans="26:26" hidden="1">
      <c r="Z9389" s="11"/>
    </row>
    <row r="9390" spans="26:26" hidden="1">
      <c r="Z9390" s="11"/>
    </row>
    <row r="9391" spans="26:26" hidden="1">
      <c r="Z9391" s="11"/>
    </row>
    <row r="9392" spans="26:26" hidden="1">
      <c r="Z9392" s="11"/>
    </row>
    <row r="9393" spans="26:26" hidden="1">
      <c r="Z9393" s="11"/>
    </row>
    <row r="9394" spans="26:26" hidden="1">
      <c r="Z9394" s="11"/>
    </row>
    <row r="9395" spans="26:26" hidden="1">
      <c r="Z9395" s="11"/>
    </row>
    <row r="9396" spans="26:26" hidden="1">
      <c r="Z9396" s="11"/>
    </row>
    <row r="9397" spans="26:26" hidden="1">
      <c r="Z9397" s="11"/>
    </row>
    <row r="9398" spans="26:26" hidden="1">
      <c r="Z9398" s="11"/>
    </row>
    <row r="9399" spans="26:26" hidden="1">
      <c r="Z9399" s="11"/>
    </row>
    <row r="9400" spans="26:26" hidden="1">
      <c r="Z9400" s="11"/>
    </row>
    <row r="9401" spans="26:26" hidden="1">
      <c r="Z9401" s="11"/>
    </row>
    <row r="9402" spans="26:26" hidden="1">
      <c r="Z9402" s="11"/>
    </row>
    <row r="9403" spans="26:26" hidden="1">
      <c r="Z9403" s="11"/>
    </row>
    <row r="9404" spans="26:26" hidden="1">
      <c r="Z9404" s="11"/>
    </row>
    <row r="9405" spans="26:26" hidden="1">
      <c r="Z9405" s="11"/>
    </row>
    <row r="9406" spans="26:26" hidden="1">
      <c r="Z9406" s="11"/>
    </row>
    <row r="9407" spans="26:26" hidden="1">
      <c r="Z9407" s="11"/>
    </row>
    <row r="9408" spans="26:26" hidden="1">
      <c r="Z9408" s="11"/>
    </row>
    <row r="9409" spans="26:26" hidden="1">
      <c r="Z9409" s="11"/>
    </row>
    <row r="9410" spans="26:26" hidden="1">
      <c r="Z9410" s="11"/>
    </row>
    <row r="9411" spans="26:26" hidden="1">
      <c r="Z9411" s="11"/>
    </row>
    <row r="9412" spans="26:26" hidden="1">
      <c r="Z9412" s="11"/>
    </row>
    <row r="9413" spans="26:26" hidden="1">
      <c r="Z9413" s="11"/>
    </row>
    <row r="9414" spans="26:26" hidden="1">
      <c r="Z9414" s="11"/>
    </row>
    <row r="9415" spans="26:26" hidden="1">
      <c r="Z9415" s="11"/>
    </row>
    <row r="9416" spans="26:26" hidden="1">
      <c r="Z9416" s="11"/>
    </row>
    <row r="9417" spans="26:26" hidden="1">
      <c r="Z9417" s="11"/>
    </row>
    <row r="9418" spans="26:26" hidden="1">
      <c r="Z9418" s="11"/>
    </row>
    <row r="9419" spans="26:26" hidden="1">
      <c r="Z9419" s="11"/>
    </row>
    <row r="9420" spans="26:26" hidden="1">
      <c r="Z9420" s="11"/>
    </row>
    <row r="9421" spans="26:26" hidden="1">
      <c r="Z9421" s="11"/>
    </row>
    <row r="9422" spans="26:26" hidden="1">
      <c r="Z9422" s="11"/>
    </row>
    <row r="9423" spans="26:26" hidden="1">
      <c r="Z9423" s="11"/>
    </row>
    <row r="9424" spans="26:26" hidden="1">
      <c r="Z9424" s="11"/>
    </row>
    <row r="9425" spans="26:26" hidden="1">
      <c r="Z9425" s="11"/>
    </row>
    <row r="9426" spans="26:26" hidden="1">
      <c r="Z9426" s="11"/>
    </row>
    <row r="9427" spans="26:26" hidden="1">
      <c r="Z9427" s="11"/>
    </row>
    <row r="9428" spans="26:26" hidden="1">
      <c r="Z9428" s="11"/>
    </row>
    <row r="9429" spans="26:26" hidden="1">
      <c r="Z9429" s="11"/>
    </row>
    <row r="9430" spans="26:26" hidden="1">
      <c r="Z9430" s="11"/>
    </row>
    <row r="9431" spans="26:26" hidden="1">
      <c r="Z9431" s="11"/>
    </row>
    <row r="9432" spans="26:26" hidden="1">
      <c r="Z9432" s="11"/>
    </row>
    <row r="9433" spans="26:26" hidden="1">
      <c r="Z9433" s="11"/>
    </row>
    <row r="9434" spans="26:26" hidden="1">
      <c r="Z9434" s="11"/>
    </row>
    <row r="9435" spans="26:26" hidden="1">
      <c r="Z9435" s="11"/>
    </row>
    <row r="9436" spans="26:26" hidden="1">
      <c r="Z9436" s="11"/>
    </row>
    <row r="9437" spans="26:26" hidden="1">
      <c r="Z9437" s="11"/>
    </row>
    <row r="9438" spans="26:26" hidden="1">
      <c r="Z9438" s="11"/>
    </row>
    <row r="9439" spans="26:26" hidden="1">
      <c r="Z9439" s="11"/>
    </row>
    <row r="9440" spans="26:26" hidden="1">
      <c r="Z9440" s="11"/>
    </row>
    <row r="9441" spans="26:26" hidden="1">
      <c r="Z9441" s="11"/>
    </row>
    <row r="9442" spans="26:26" hidden="1">
      <c r="Z9442" s="11"/>
    </row>
    <row r="9443" spans="26:26" hidden="1">
      <c r="Z9443" s="11"/>
    </row>
    <row r="9444" spans="26:26" hidden="1">
      <c r="Z9444" s="11"/>
    </row>
    <row r="9445" spans="26:26" hidden="1">
      <c r="Z9445" s="11"/>
    </row>
    <row r="9446" spans="26:26" hidden="1">
      <c r="Z9446" s="11"/>
    </row>
    <row r="9447" spans="26:26" hidden="1">
      <c r="Z9447" s="11"/>
    </row>
    <row r="9448" spans="26:26" hidden="1">
      <c r="Z9448" s="11"/>
    </row>
    <row r="9449" spans="26:26" hidden="1">
      <c r="Z9449" s="11"/>
    </row>
    <row r="9450" spans="26:26" hidden="1">
      <c r="Z9450" s="11"/>
    </row>
    <row r="9451" spans="26:26" hidden="1">
      <c r="Z9451" s="11"/>
    </row>
    <row r="9452" spans="26:26" hidden="1">
      <c r="Z9452" s="11"/>
    </row>
    <row r="9453" spans="26:26" hidden="1">
      <c r="Z9453" s="11"/>
    </row>
    <row r="9454" spans="26:26" hidden="1">
      <c r="Z9454" s="11"/>
    </row>
    <row r="9455" spans="26:26" hidden="1">
      <c r="Z9455" s="11"/>
    </row>
    <row r="9456" spans="26:26" hidden="1">
      <c r="Z9456" s="11"/>
    </row>
    <row r="9457" spans="26:26" hidden="1">
      <c r="Z9457" s="11"/>
    </row>
    <row r="9458" spans="26:26" hidden="1">
      <c r="Z9458" s="11"/>
    </row>
    <row r="9459" spans="26:26" hidden="1">
      <c r="Z9459" s="11"/>
    </row>
    <row r="9460" spans="26:26" hidden="1">
      <c r="Z9460" s="11"/>
    </row>
    <row r="9461" spans="26:26" hidden="1">
      <c r="Z9461" s="11"/>
    </row>
    <row r="9462" spans="26:26" hidden="1">
      <c r="Z9462" s="11"/>
    </row>
    <row r="9463" spans="26:26" hidden="1">
      <c r="Z9463" s="11"/>
    </row>
    <row r="9464" spans="26:26" hidden="1">
      <c r="Z9464" s="11"/>
    </row>
    <row r="9465" spans="26:26" hidden="1">
      <c r="Z9465" s="11"/>
    </row>
    <row r="9466" spans="26:26" hidden="1">
      <c r="Z9466" s="11"/>
    </row>
    <row r="9467" spans="26:26" hidden="1">
      <c r="Z9467" s="11"/>
    </row>
    <row r="9468" spans="26:26" hidden="1">
      <c r="Z9468" s="11"/>
    </row>
    <row r="9469" spans="26:26" hidden="1">
      <c r="Z9469" s="11"/>
    </row>
    <row r="9470" spans="26:26" hidden="1">
      <c r="Z9470" s="11"/>
    </row>
    <row r="9471" spans="26:26" hidden="1">
      <c r="Z9471" s="11"/>
    </row>
    <row r="9472" spans="26:26" hidden="1">
      <c r="Z9472" s="11"/>
    </row>
    <row r="9473" spans="26:26" hidden="1">
      <c r="Z9473" s="11"/>
    </row>
    <row r="9474" spans="26:26" hidden="1">
      <c r="Z9474" s="11"/>
    </row>
    <row r="9475" spans="26:26" hidden="1">
      <c r="Z9475" s="11"/>
    </row>
    <row r="9476" spans="26:26" hidden="1">
      <c r="Z9476" s="11"/>
    </row>
    <row r="9477" spans="26:26" hidden="1">
      <c r="Z9477" s="11"/>
    </row>
    <row r="9478" spans="26:26" hidden="1">
      <c r="Z9478" s="11"/>
    </row>
    <row r="9479" spans="26:26" hidden="1">
      <c r="Z9479" s="11"/>
    </row>
    <row r="9480" spans="26:26" hidden="1">
      <c r="Z9480" s="11"/>
    </row>
    <row r="9481" spans="26:26" hidden="1">
      <c r="Z9481" s="11"/>
    </row>
    <row r="9482" spans="26:26" hidden="1">
      <c r="Z9482" s="11"/>
    </row>
    <row r="9483" spans="26:26" hidden="1">
      <c r="Z9483" s="11"/>
    </row>
    <row r="9484" spans="26:26" hidden="1">
      <c r="Z9484" s="11"/>
    </row>
    <row r="9485" spans="26:26" hidden="1">
      <c r="Z9485" s="11"/>
    </row>
    <row r="9486" spans="26:26" hidden="1">
      <c r="Z9486" s="11"/>
    </row>
    <row r="9487" spans="26:26" hidden="1">
      <c r="Z9487" s="11"/>
    </row>
    <row r="9488" spans="26:26" hidden="1">
      <c r="Z9488" s="11"/>
    </row>
    <row r="9489" spans="26:26" hidden="1">
      <c r="Z9489" s="11"/>
    </row>
    <row r="9490" spans="26:26" hidden="1">
      <c r="Z9490" s="11"/>
    </row>
    <row r="9491" spans="26:26" hidden="1">
      <c r="Z9491" s="11"/>
    </row>
    <row r="9492" spans="26:26" hidden="1">
      <c r="Z9492" s="11"/>
    </row>
    <row r="9493" spans="26:26" hidden="1">
      <c r="Z9493" s="11"/>
    </row>
    <row r="9494" spans="26:26" hidden="1">
      <c r="Z9494" s="11"/>
    </row>
    <row r="9495" spans="26:26" hidden="1">
      <c r="Z9495" s="11"/>
    </row>
    <row r="9496" spans="26:26" hidden="1">
      <c r="Z9496" s="11"/>
    </row>
    <row r="9497" spans="26:26" hidden="1">
      <c r="Z9497" s="11"/>
    </row>
    <row r="9498" spans="26:26" hidden="1">
      <c r="Z9498" s="11"/>
    </row>
    <row r="9499" spans="26:26" hidden="1">
      <c r="Z9499" s="11"/>
    </row>
    <row r="9500" spans="26:26" hidden="1">
      <c r="Z9500" s="11"/>
    </row>
    <row r="9501" spans="26:26" hidden="1">
      <c r="Z9501" s="11"/>
    </row>
    <row r="9502" spans="26:26" hidden="1">
      <c r="Z9502" s="11"/>
    </row>
    <row r="9503" spans="26:26" hidden="1">
      <c r="Z9503" s="11"/>
    </row>
    <row r="9504" spans="26:26" hidden="1">
      <c r="Z9504" s="11"/>
    </row>
    <row r="9505" spans="26:26" hidden="1">
      <c r="Z9505" s="11"/>
    </row>
    <row r="9506" spans="26:26" hidden="1">
      <c r="Z9506" s="11"/>
    </row>
    <row r="9507" spans="26:26" hidden="1">
      <c r="Z9507" s="11"/>
    </row>
    <row r="9508" spans="26:26" hidden="1">
      <c r="Z9508" s="11"/>
    </row>
    <row r="9509" spans="26:26" hidden="1">
      <c r="Z9509" s="11"/>
    </row>
    <row r="9510" spans="26:26" hidden="1">
      <c r="Z9510" s="11"/>
    </row>
    <row r="9511" spans="26:26" hidden="1">
      <c r="Z9511" s="11"/>
    </row>
    <row r="9512" spans="26:26" hidden="1">
      <c r="Z9512" s="11"/>
    </row>
    <row r="9513" spans="26:26" hidden="1">
      <c r="Z9513" s="11"/>
    </row>
    <row r="9514" spans="26:26" hidden="1">
      <c r="Z9514" s="11"/>
    </row>
    <row r="9515" spans="26:26" hidden="1">
      <c r="Z9515" s="11"/>
    </row>
    <row r="9516" spans="26:26" hidden="1">
      <c r="Z9516" s="11"/>
    </row>
    <row r="9517" spans="26:26" hidden="1">
      <c r="Z9517" s="11"/>
    </row>
    <row r="9518" spans="26:26" hidden="1">
      <c r="Z9518" s="11"/>
    </row>
    <row r="9519" spans="26:26" hidden="1">
      <c r="Z9519" s="11"/>
    </row>
    <row r="9520" spans="26:26" hidden="1">
      <c r="Z9520" s="11"/>
    </row>
    <row r="9521" spans="26:26" hidden="1">
      <c r="Z9521" s="11"/>
    </row>
    <row r="9522" spans="26:26" hidden="1">
      <c r="Z9522" s="11"/>
    </row>
    <row r="9523" spans="26:26" hidden="1">
      <c r="Z9523" s="11"/>
    </row>
    <row r="9524" spans="26:26" hidden="1">
      <c r="Z9524" s="11"/>
    </row>
    <row r="9525" spans="26:26" hidden="1">
      <c r="Z9525" s="11"/>
    </row>
    <row r="9526" spans="26:26" hidden="1">
      <c r="Z9526" s="11"/>
    </row>
    <row r="9527" spans="26:26" hidden="1">
      <c r="Z9527" s="11"/>
    </row>
    <row r="9528" spans="26:26" hidden="1">
      <c r="Z9528" s="11"/>
    </row>
    <row r="9529" spans="26:26" hidden="1">
      <c r="Z9529" s="11"/>
    </row>
    <row r="9530" spans="26:26" hidden="1">
      <c r="Z9530" s="11"/>
    </row>
    <row r="9531" spans="26:26" hidden="1">
      <c r="Z9531" s="11"/>
    </row>
    <row r="9532" spans="26:26" hidden="1">
      <c r="Z9532" s="11"/>
    </row>
    <row r="9533" spans="26:26" hidden="1">
      <c r="Z9533" s="11"/>
    </row>
    <row r="9534" spans="26:26" hidden="1">
      <c r="Z9534" s="11"/>
    </row>
    <row r="9535" spans="26:26" hidden="1">
      <c r="Z9535" s="11"/>
    </row>
    <row r="9536" spans="26:26" hidden="1">
      <c r="Z9536" s="11"/>
    </row>
    <row r="9537" spans="26:26" hidden="1">
      <c r="Z9537" s="11"/>
    </row>
    <row r="9538" spans="26:26" hidden="1">
      <c r="Z9538" s="11"/>
    </row>
    <row r="9539" spans="26:26" hidden="1">
      <c r="Z9539" s="11"/>
    </row>
    <row r="9540" spans="26:26" hidden="1">
      <c r="Z9540" s="11"/>
    </row>
    <row r="9541" spans="26:26" hidden="1">
      <c r="Z9541" s="11"/>
    </row>
    <row r="9542" spans="26:26" hidden="1">
      <c r="Z9542" s="11"/>
    </row>
    <row r="9543" spans="26:26" hidden="1">
      <c r="Z9543" s="11"/>
    </row>
    <row r="9544" spans="26:26" hidden="1">
      <c r="Z9544" s="11"/>
    </row>
    <row r="9545" spans="26:26" hidden="1">
      <c r="Z9545" s="11"/>
    </row>
    <row r="9546" spans="26:26" hidden="1">
      <c r="Z9546" s="11"/>
    </row>
    <row r="9547" spans="26:26" hidden="1">
      <c r="Z9547" s="11"/>
    </row>
    <row r="9548" spans="26:26" hidden="1">
      <c r="Z9548" s="11"/>
    </row>
    <row r="9549" spans="26:26" hidden="1">
      <c r="Z9549" s="11"/>
    </row>
    <row r="9550" spans="26:26" hidden="1">
      <c r="Z9550" s="11"/>
    </row>
    <row r="9551" spans="26:26" hidden="1">
      <c r="Z9551" s="11"/>
    </row>
    <row r="9552" spans="26:26" hidden="1">
      <c r="Z9552" s="11"/>
    </row>
    <row r="9553" spans="26:26" hidden="1">
      <c r="Z9553" s="11"/>
    </row>
    <row r="9554" spans="26:26" hidden="1">
      <c r="Z9554" s="11"/>
    </row>
    <row r="9555" spans="26:26" hidden="1">
      <c r="Z9555" s="11"/>
    </row>
    <row r="9556" spans="26:26" hidden="1">
      <c r="Z9556" s="11"/>
    </row>
    <row r="9557" spans="26:26" hidden="1">
      <c r="Z9557" s="11"/>
    </row>
    <row r="9558" spans="26:26" hidden="1">
      <c r="Z9558" s="11"/>
    </row>
    <row r="9559" spans="26:26" hidden="1">
      <c r="Z9559" s="11"/>
    </row>
    <row r="9560" spans="26:26" hidden="1">
      <c r="Z9560" s="11"/>
    </row>
    <row r="9561" spans="26:26" hidden="1">
      <c r="Z9561" s="11"/>
    </row>
    <row r="9562" spans="26:26" hidden="1">
      <c r="Z9562" s="11"/>
    </row>
    <row r="9563" spans="26:26" hidden="1">
      <c r="Z9563" s="11"/>
    </row>
    <row r="9564" spans="26:26" hidden="1">
      <c r="Z9564" s="11"/>
    </row>
    <row r="9565" spans="26:26" hidden="1">
      <c r="Z9565" s="11"/>
    </row>
    <row r="9566" spans="26:26" hidden="1">
      <c r="Z9566" s="11"/>
    </row>
    <row r="9567" spans="26:26" hidden="1">
      <c r="Z9567" s="11"/>
    </row>
    <row r="9568" spans="26:26" hidden="1">
      <c r="Z9568" s="11"/>
    </row>
    <row r="9569" spans="26:26" hidden="1">
      <c r="Z9569" s="11"/>
    </row>
    <row r="9570" spans="26:26" hidden="1">
      <c r="Z9570" s="11"/>
    </row>
    <row r="9571" spans="26:26" hidden="1">
      <c r="Z9571" s="11"/>
    </row>
    <row r="9572" spans="26:26" hidden="1">
      <c r="Z9572" s="11"/>
    </row>
    <row r="9573" spans="26:26" hidden="1">
      <c r="Z9573" s="11"/>
    </row>
    <row r="9574" spans="26:26" hidden="1">
      <c r="Z9574" s="11"/>
    </row>
    <row r="9575" spans="26:26" hidden="1">
      <c r="Z9575" s="11"/>
    </row>
    <row r="9576" spans="26:26" hidden="1">
      <c r="Z9576" s="11"/>
    </row>
    <row r="9577" spans="26:26" hidden="1">
      <c r="Z9577" s="11"/>
    </row>
    <row r="9578" spans="26:26" hidden="1">
      <c r="Z9578" s="11"/>
    </row>
    <row r="9579" spans="26:26" hidden="1">
      <c r="Z9579" s="11"/>
    </row>
    <row r="9580" spans="26:26" hidden="1">
      <c r="Z9580" s="11"/>
    </row>
    <row r="9581" spans="26:26" hidden="1">
      <c r="Z9581" s="11"/>
    </row>
    <row r="9582" spans="26:26" hidden="1">
      <c r="Z9582" s="11"/>
    </row>
    <row r="9583" spans="26:26" hidden="1">
      <c r="Z9583" s="11"/>
    </row>
    <row r="9584" spans="26:26" hidden="1">
      <c r="Z9584" s="11"/>
    </row>
    <row r="9585" spans="26:26" hidden="1">
      <c r="Z9585" s="11"/>
    </row>
    <row r="9586" spans="26:26" hidden="1">
      <c r="Z9586" s="11"/>
    </row>
    <row r="9587" spans="26:26" hidden="1">
      <c r="Z9587" s="11"/>
    </row>
    <row r="9588" spans="26:26" hidden="1">
      <c r="Z9588" s="11"/>
    </row>
    <row r="9589" spans="26:26" hidden="1">
      <c r="Z9589" s="11"/>
    </row>
    <row r="9590" spans="26:26" hidden="1">
      <c r="Z9590" s="11"/>
    </row>
    <row r="9591" spans="26:26" hidden="1">
      <c r="Z9591" s="11"/>
    </row>
    <row r="9592" spans="26:26" hidden="1">
      <c r="Z9592" s="11"/>
    </row>
    <row r="9593" spans="26:26" hidden="1">
      <c r="Z9593" s="11"/>
    </row>
    <row r="9594" spans="26:26" hidden="1">
      <c r="Z9594" s="11"/>
    </row>
    <row r="9595" spans="26:26" hidden="1">
      <c r="Z9595" s="11"/>
    </row>
    <row r="9596" spans="26:26" hidden="1">
      <c r="Z9596" s="11"/>
    </row>
    <row r="9597" spans="26:26" hidden="1">
      <c r="Z9597" s="11"/>
    </row>
    <row r="9598" spans="26:26" hidden="1">
      <c r="Z9598" s="11"/>
    </row>
    <row r="9599" spans="26:26" hidden="1">
      <c r="Z9599" s="11"/>
    </row>
    <row r="9600" spans="26:26" hidden="1">
      <c r="Z9600" s="11"/>
    </row>
    <row r="9601" spans="26:26" hidden="1">
      <c r="Z9601" s="11"/>
    </row>
    <row r="9602" spans="26:26" hidden="1">
      <c r="Z9602" s="11"/>
    </row>
    <row r="9603" spans="26:26" hidden="1">
      <c r="Z9603" s="11"/>
    </row>
    <row r="9604" spans="26:26" hidden="1">
      <c r="Z9604" s="11"/>
    </row>
    <row r="9605" spans="26:26" hidden="1">
      <c r="Z9605" s="11"/>
    </row>
    <row r="9606" spans="26:26" hidden="1">
      <c r="Z9606" s="11"/>
    </row>
    <row r="9607" spans="26:26" hidden="1">
      <c r="Z9607" s="11"/>
    </row>
    <row r="9608" spans="26:26" hidden="1">
      <c r="Z9608" s="11"/>
    </row>
    <row r="9609" spans="26:26" hidden="1">
      <c r="Z9609" s="11"/>
    </row>
    <row r="9610" spans="26:26" hidden="1">
      <c r="Z9610" s="11"/>
    </row>
    <row r="9611" spans="26:26" hidden="1">
      <c r="Z9611" s="11"/>
    </row>
    <row r="9612" spans="26:26" hidden="1">
      <c r="Z9612" s="11"/>
    </row>
    <row r="9613" spans="26:26" hidden="1">
      <c r="Z9613" s="11"/>
    </row>
    <row r="9614" spans="26:26" hidden="1">
      <c r="Z9614" s="11"/>
    </row>
    <row r="9615" spans="26:26" hidden="1">
      <c r="Z9615" s="11"/>
    </row>
    <row r="9616" spans="26:26" hidden="1">
      <c r="Z9616" s="11"/>
    </row>
    <row r="9617" spans="26:26" hidden="1">
      <c r="Z9617" s="11"/>
    </row>
    <row r="9618" spans="26:26" hidden="1">
      <c r="Z9618" s="11"/>
    </row>
    <row r="9619" spans="26:26" hidden="1">
      <c r="Z9619" s="11"/>
    </row>
    <row r="9620" spans="26:26" hidden="1">
      <c r="Z9620" s="11"/>
    </row>
    <row r="9621" spans="26:26" hidden="1">
      <c r="Z9621" s="11"/>
    </row>
    <row r="9622" spans="26:26" hidden="1">
      <c r="Z9622" s="11"/>
    </row>
    <row r="9623" spans="26:26" hidden="1">
      <c r="Z9623" s="11"/>
    </row>
    <row r="9624" spans="26:26" hidden="1">
      <c r="Z9624" s="11"/>
    </row>
    <row r="9625" spans="26:26" hidden="1">
      <c r="Z9625" s="11"/>
    </row>
    <row r="9626" spans="26:26" hidden="1">
      <c r="Z9626" s="11"/>
    </row>
    <row r="9627" spans="26:26" hidden="1">
      <c r="Z9627" s="11"/>
    </row>
    <row r="9628" spans="26:26" hidden="1">
      <c r="Z9628" s="11"/>
    </row>
    <row r="9629" spans="26:26" hidden="1">
      <c r="Z9629" s="11"/>
    </row>
    <row r="9630" spans="26:26" hidden="1">
      <c r="Z9630" s="11"/>
    </row>
    <row r="9631" spans="26:26" hidden="1">
      <c r="Z9631" s="11"/>
    </row>
    <row r="9632" spans="26:26" hidden="1">
      <c r="Z9632" s="11"/>
    </row>
    <row r="9633" spans="26:26" hidden="1">
      <c r="Z9633" s="11"/>
    </row>
    <row r="9634" spans="26:26" hidden="1">
      <c r="Z9634" s="11"/>
    </row>
    <row r="9635" spans="26:26" hidden="1">
      <c r="Z9635" s="11"/>
    </row>
    <row r="9636" spans="26:26" hidden="1">
      <c r="Z9636" s="11"/>
    </row>
    <row r="9637" spans="26:26" hidden="1">
      <c r="Z9637" s="11"/>
    </row>
    <row r="9638" spans="26:26" hidden="1">
      <c r="Z9638" s="11"/>
    </row>
    <row r="9639" spans="26:26" hidden="1">
      <c r="Z9639" s="11"/>
    </row>
    <row r="9640" spans="26:26" hidden="1">
      <c r="Z9640" s="11"/>
    </row>
    <row r="9641" spans="26:26" hidden="1">
      <c r="Z9641" s="11"/>
    </row>
    <row r="9642" spans="26:26" hidden="1">
      <c r="Z9642" s="11"/>
    </row>
    <row r="9643" spans="26:26" hidden="1">
      <c r="Z9643" s="11"/>
    </row>
    <row r="9644" spans="26:26" hidden="1">
      <c r="Z9644" s="11"/>
    </row>
    <row r="9645" spans="26:26" hidden="1">
      <c r="Z9645" s="11"/>
    </row>
    <row r="9646" spans="26:26" hidden="1">
      <c r="Z9646" s="11"/>
    </row>
    <row r="9647" spans="26:26" hidden="1">
      <c r="Z9647" s="11"/>
    </row>
    <row r="9648" spans="26:26" hidden="1">
      <c r="Z9648" s="11"/>
    </row>
    <row r="9649" spans="26:26" hidden="1">
      <c r="Z9649" s="11"/>
    </row>
    <row r="9650" spans="26:26" hidden="1">
      <c r="Z9650" s="11"/>
    </row>
    <row r="9651" spans="26:26" hidden="1">
      <c r="Z9651" s="11"/>
    </row>
    <row r="9652" spans="26:26" hidden="1">
      <c r="Z9652" s="11"/>
    </row>
    <row r="9653" spans="26:26" hidden="1">
      <c r="Z9653" s="11"/>
    </row>
    <row r="9654" spans="26:26" hidden="1">
      <c r="Z9654" s="11"/>
    </row>
    <row r="9655" spans="26:26" hidden="1">
      <c r="Z9655" s="11"/>
    </row>
    <row r="9656" spans="26:26" hidden="1">
      <c r="Z9656" s="11"/>
    </row>
    <row r="9657" spans="26:26" hidden="1">
      <c r="Z9657" s="11"/>
    </row>
    <row r="9658" spans="26:26" hidden="1">
      <c r="Z9658" s="11"/>
    </row>
    <row r="9659" spans="26:26" hidden="1">
      <c r="Z9659" s="11"/>
    </row>
    <row r="9660" spans="26:26" hidden="1">
      <c r="Z9660" s="11"/>
    </row>
    <row r="9661" spans="26:26" hidden="1">
      <c r="Z9661" s="11"/>
    </row>
    <row r="9662" spans="26:26" hidden="1">
      <c r="Z9662" s="11"/>
    </row>
    <row r="9663" spans="26:26" hidden="1">
      <c r="Z9663" s="11"/>
    </row>
    <row r="9664" spans="26:26" hidden="1">
      <c r="Z9664" s="11"/>
    </row>
    <row r="9665" spans="26:26" hidden="1">
      <c r="Z9665" s="11"/>
    </row>
    <row r="9666" spans="26:26" hidden="1">
      <c r="Z9666" s="11"/>
    </row>
    <row r="9667" spans="26:26" hidden="1">
      <c r="Z9667" s="11"/>
    </row>
    <row r="9668" spans="26:26" hidden="1">
      <c r="Z9668" s="11"/>
    </row>
    <row r="9669" spans="26:26" hidden="1">
      <c r="Z9669" s="11"/>
    </row>
    <row r="9670" spans="26:26" hidden="1">
      <c r="Z9670" s="11"/>
    </row>
    <row r="9671" spans="26:26" hidden="1">
      <c r="Z9671" s="11"/>
    </row>
    <row r="9672" spans="26:26" hidden="1">
      <c r="Z9672" s="11"/>
    </row>
    <row r="9673" spans="26:26" hidden="1">
      <c r="Z9673" s="11"/>
    </row>
    <row r="9674" spans="26:26" hidden="1">
      <c r="Z9674" s="11"/>
    </row>
    <row r="9675" spans="26:26" hidden="1">
      <c r="Z9675" s="11"/>
    </row>
    <row r="9676" spans="26:26" hidden="1">
      <c r="Z9676" s="11"/>
    </row>
    <row r="9677" spans="26:26" hidden="1">
      <c r="Z9677" s="11"/>
    </row>
    <row r="9678" spans="26:26" hidden="1">
      <c r="Z9678" s="11"/>
    </row>
    <row r="9679" spans="26:26" hidden="1">
      <c r="Z9679" s="11"/>
    </row>
    <row r="9680" spans="26:26" hidden="1">
      <c r="Z9680" s="11"/>
    </row>
    <row r="9681" spans="26:26" hidden="1">
      <c r="Z9681" s="11"/>
    </row>
    <row r="9682" spans="26:26" hidden="1">
      <c r="Z9682" s="11"/>
    </row>
    <row r="9683" spans="26:26" hidden="1">
      <c r="Z9683" s="11"/>
    </row>
    <row r="9684" spans="26:26" hidden="1">
      <c r="Z9684" s="11"/>
    </row>
    <row r="9685" spans="26:26" hidden="1">
      <c r="Z9685" s="11"/>
    </row>
    <row r="9686" spans="26:26" hidden="1">
      <c r="Z9686" s="11"/>
    </row>
    <row r="9687" spans="26:26" hidden="1">
      <c r="Z9687" s="11"/>
    </row>
    <row r="9688" spans="26:26" hidden="1">
      <c r="Z9688" s="11"/>
    </row>
    <row r="9689" spans="26:26" hidden="1">
      <c r="Z9689" s="11"/>
    </row>
    <row r="9690" spans="26:26" hidden="1">
      <c r="Z9690" s="11"/>
    </row>
    <row r="9691" spans="26:26" hidden="1">
      <c r="Z9691" s="11"/>
    </row>
    <row r="9692" spans="26:26" hidden="1">
      <c r="Z9692" s="11"/>
    </row>
    <row r="9693" spans="26:26" hidden="1">
      <c r="Z9693" s="11"/>
    </row>
    <row r="9694" spans="26:26" hidden="1">
      <c r="Z9694" s="11"/>
    </row>
    <row r="9695" spans="26:26" hidden="1">
      <c r="Z9695" s="11"/>
    </row>
    <row r="9696" spans="26:26" hidden="1">
      <c r="Z9696" s="11"/>
    </row>
    <row r="9697" spans="26:26" hidden="1">
      <c r="Z9697" s="11"/>
    </row>
    <row r="9698" spans="26:26" hidden="1">
      <c r="Z9698" s="11"/>
    </row>
    <row r="9699" spans="26:26" hidden="1">
      <c r="Z9699" s="11"/>
    </row>
    <row r="9700" spans="26:26" hidden="1">
      <c r="Z9700" s="11"/>
    </row>
    <row r="9701" spans="26:26" hidden="1">
      <c r="Z9701" s="11"/>
    </row>
    <row r="9702" spans="26:26" hidden="1">
      <c r="Z9702" s="11"/>
    </row>
    <row r="9703" spans="26:26" hidden="1">
      <c r="Z9703" s="11"/>
    </row>
    <row r="9704" spans="26:26" hidden="1">
      <c r="Z9704" s="11"/>
    </row>
    <row r="9705" spans="26:26" hidden="1">
      <c r="Z9705" s="11"/>
    </row>
    <row r="9706" spans="26:26" hidden="1">
      <c r="Z9706" s="11"/>
    </row>
    <row r="9707" spans="26:26" hidden="1">
      <c r="Z9707" s="11"/>
    </row>
    <row r="9708" spans="26:26" hidden="1">
      <c r="Z9708" s="11"/>
    </row>
    <row r="9709" spans="26:26" hidden="1">
      <c r="Z9709" s="11"/>
    </row>
    <row r="9710" spans="26:26" hidden="1">
      <c r="Z9710" s="11"/>
    </row>
    <row r="9711" spans="26:26" hidden="1">
      <c r="Z9711" s="11"/>
    </row>
    <row r="9712" spans="26:26" hidden="1">
      <c r="Z9712" s="11"/>
    </row>
    <row r="9713" spans="26:26" hidden="1">
      <c r="Z9713" s="11"/>
    </row>
    <row r="9714" spans="26:26" hidden="1">
      <c r="Z9714" s="11"/>
    </row>
    <row r="9715" spans="26:26" hidden="1">
      <c r="Z9715" s="11"/>
    </row>
    <row r="9716" spans="26:26" hidden="1">
      <c r="Z9716" s="11"/>
    </row>
    <row r="9717" spans="26:26" hidden="1">
      <c r="Z9717" s="11"/>
    </row>
    <row r="9718" spans="26:26" hidden="1">
      <c r="Z9718" s="11"/>
    </row>
    <row r="9719" spans="26:26" hidden="1">
      <c r="Z9719" s="11"/>
    </row>
    <row r="9720" spans="26:26" hidden="1">
      <c r="Z9720" s="11"/>
    </row>
    <row r="9721" spans="26:26" hidden="1">
      <c r="Z9721" s="11"/>
    </row>
    <row r="9722" spans="26:26" hidden="1">
      <c r="Z9722" s="11"/>
    </row>
    <row r="9723" spans="26:26" hidden="1">
      <c r="Z9723" s="11"/>
    </row>
    <row r="9724" spans="26:26" hidden="1">
      <c r="Z9724" s="11"/>
    </row>
    <row r="9725" spans="26:26" hidden="1">
      <c r="Z9725" s="11"/>
    </row>
    <row r="9726" spans="26:26" hidden="1">
      <c r="Z9726" s="11"/>
    </row>
    <row r="9727" spans="26:26" hidden="1">
      <c r="Z9727" s="11"/>
    </row>
    <row r="9728" spans="26:26" hidden="1">
      <c r="Z9728" s="11"/>
    </row>
    <row r="9729" spans="26:26" hidden="1">
      <c r="Z9729" s="11"/>
    </row>
    <row r="9730" spans="26:26" hidden="1">
      <c r="Z9730" s="11"/>
    </row>
    <row r="9731" spans="26:26" hidden="1">
      <c r="Z9731" s="11"/>
    </row>
    <row r="9732" spans="26:26" hidden="1">
      <c r="Z9732" s="11"/>
    </row>
    <row r="9733" spans="26:26" hidden="1">
      <c r="Z9733" s="11"/>
    </row>
    <row r="9734" spans="26:26" hidden="1">
      <c r="Z9734" s="11"/>
    </row>
    <row r="9735" spans="26:26" hidden="1">
      <c r="Z9735" s="11"/>
    </row>
    <row r="9736" spans="26:26" hidden="1">
      <c r="Z9736" s="11"/>
    </row>
    <row r="9737" spans="26:26" hidden="1">
      <c r="Z9737" s="11"/>
    </row>
    <row r="9738" spans="26:26" hidden="1">
      <c r="Z9738" s="11"/>
    </row>
    <row r="9739" spans="26:26" hidden="1">
      <c r="Z9739" s="11"/>
    </row>
    <row r="9740" spans="26:26" hidden="1">
      <c r="Z9740" s="11"/>
    </row>
    <row r="9741" spans="26:26" hidden="1">
      <c r="Z9741" s="11"/>
    </row>
    <row r="9742" spans="26:26" hidden="1">
      <c r="Z9742" s="11"/>
    </row>
    <row r="9743" spans="26:26" hidden="1">
      <c r="Z9743" s="11"/>
    </row>
    <row r="9744" spans="26:26" hidden="1">
      <c r="Z9744" s="11"/>
    </row>
    <row r="9745" spans="26:26" hidden="1">
      <c r="Z9745" s="11"/>
    </row>
    <row r="9746" spans="26:26" hidden="1">
      <c r="Z9746" s="11"/>
    </row>
    <row r="9747" spans="26:26" hidden="1">
      <c r="Z9747" s="11"/>
    </row>
    <row r="9748" spans="26:26" hidden="1">
      <c r="Z9748" s="11"/>
    </row>
    <row r="9749" spans="26:26" hidden="1">
      <c r="Z9749" s="11"/>
    </row>
    <row r="9750" spans="26:26" hidden="1">
      <c r="Z9750" s="11"/>
    </row>
    <row r="9751" spans="26:26" hidden="1">
      <c r="Z9751" s="11"/>
    </row>
    <row r="9752" spans="26:26" hidden="1">
      <c r="Z9752" s="11"/>
    </row>
    <row r="9753" spans="26:26" hidden="1">
      <c r="Z9753" s="11"/>
    </row>
    <row r="9754" spans="26:26" hidden="1">
      <c r="Z9754" s="11"/>
    </row>
    <row r="9755" spans="26:26" hidden="1">
      <c r="Z9755" s="11"/>
    </row>
    <row r="9756" spans="26:26" hidden="1">
      <c r="Z9756" s="11"/>
    </row>
    <row r="9757" spans="26:26" hidden="1">
      <c r="Z9757" s="11"/>
    </row>
    <row r="9758" spans="26:26" hidden="1">
      <c r="Z9758" s="11"/>
    </row>
    <row r="9759" spans="26:26" hidden="1">
      <c r="Z9759" s="11"/>
    </row>
    <row r="9760" spans="26:26" hidden="1">
      <c r="Z9760" s="11"/>
    </row>
    <row r="9761" spans="26:26" hidden="1">
      <c r="Z9761" s="11"/>
    </row>
    <row r="9762" spans="26:26" hidden="1">
      <c r="Z9762" s="11"/>
    </row>
    <row r="9763" spans="26:26" hidden="1">
      <c r="Z9763" s="11"/>
    </row>
    <row r="9764" spans="26:26" hidden="1">
      <c r="Z9764" s="11"/>
    </row>
    <row r="9765" spans="26:26" hidden="1">
      <c r="Z9765" s="11"/>
    </row>
    <row r="9766" spans="26:26" hidden="1">
      <c r="Z9766" s="11"/>
    </row>
    <row r="9767" spans="26:26" hidden="1">
      <c r="Z9767" s="11"/>
    </row>
    <row r="9768" spans="26:26" hidden="1">
      <c r="Z9768" s="11"/>
    </row>
    <row r="9769" spans="26:26" hidden="1">
      <c r="Z9769" s="11"/>
    </row>
    <row r="9770" spans="26:26" hidden="1">
      <c r="Z9770" s="11"/>
    </row>
    <row r="9771" spans="26:26" hidden="1">
      <c r="Z9771" s="11"/>
    </row>
    <row r="9772" spans="26:26" hidden="1">
      <c r="Z9772" s="11"/>
    </row>
    <row r="9773" spans="26:26" hidden="1">
      <c r="Z9773" s="11"/>
    </row>
    <row r="9774" spans="26:26" hidden="1">
      <c r="Z9774" s="11"/>
    </row>
    <row r="9775" spans="26:26" hidden="1">
      <c r="Z9775" s="11"/>
    </row>
    <row r="9776" spans="26:26" hidden="1">
      <c r="Z9776" s="11"/>
    </row>
    <row r="9777" spans="26:26" hidden="1">
      <c r="Z9777" s="11"/>
    </row>
    <row r="9778" spans="26:26" hidden="1">
      <c r="Z9778" s="11"/>
    </row>
    <row r="9779" spans="26:26" hidden="1">
      <c r="Z9779" s="11"/>
    </row>
    <row r="9780" spans="26:26" hidden="1">
      <c r="Z9780" s="11"/>
    </row>
    <row r="9781" spans="26:26" hidden="1">
      <c r="Z9781" s="11"/>
    </row>
    <row r="9782" spans="26:26" hidden="1">
      <c r="Z9782" s="11"/>
    </row>
    <row r="9783" spans="26:26" hidden="1">
      <c r="Z9783" s="11"/>
    </row>
    <row r="9784" spans="26:26" hidden="1">
      <c r="Z9784" s="11"/>
    </row>
    <row r="9785" spans="26:26" hidden="1">
      <c r="Z9785" s="11"/>
    </row>
    <row r="9786" spans="26:26" hidden="1">
      <c r="Z9786" s="11"/>
    </row>
    <row r="9787" spans="26:26" hidden="1">
      <c r="Z9787" s="11"/>
    </row>
    <row r="9788" spans="26:26" hidden="1">
      <c r="Z9788" s="11"/>
    </row>
    <row r="9789" spans="26:26" hidden="1">
      <c r="Z9789" s="11"/>
    </row>
    <row r="9790" spans="26:26" hidden="1">
      <c r="Z9790" s="11"/>
    </row>
    <row r="9791" spans="26:26" hidden="1">
      <c r="Z9791" s="11"/>
    </row>
    <row r="9792" spans="26:26" hidden="1">
      <c r="Z9792" s="11"/>
    </row>
    <row r="9793" spans="26:26" hidden="1">
      <c r="Z9793" s="11"/>
    </row>
    <row r="9794" spans="26:26" hidden="1">
      <c r="Z9794" s="11"/>
    </row>
    <row r="9795" spans="26:26" hidden="1">
      <c r="Z9795" s="11"/>
    </row>
    <row r="9796" spans="26:26" hidden="1">
      <c r="Z9796" s="11"/>
    </row>
    <row r="9797" spans="26:26" hidden="1">
      <c r="Z9797" s="11"/>
    </row>
    <row r="9798" spans="26:26" hidden="1">
      <c r="Z9798" s="11"/>
    </row>
    <row r="9799" spans="26:26" hidden="1">
      <c r="Z9799" s="11"/>
    </row>
    <row r="9800" spans="26:26" hidden="1">
      <c r="Z9800" s="11"/>
    </row>
    <row r="9801" spans="26:26" hidden="1">
      <c r="Z9801" s="11"/>
    </row>
    <row r="9802" spans="26:26" hidden="1">
      <c r="Z9802" s="11"/>
    </row>
    <row r="9803" spans="26:26" hidden="1">
      <c r="Z9803" s="11"/>
    </row>
    <row r="9804" spans="26:26" hidden="1">
      <c r="Z9804" s="11"/>
    </row>
    <row r="9805" spans="26:26" hidden="1">
      <c r="Z9805" s="11"/>
    </row>
    <row r="9806" spans="26:26" hidden="1">
      <c r="Z9806" s="11"/>
    </row>
    <row r="9807" spans="26:26" hidden="1">
      <c r="Z9807" s="11"/>
    </row>
    <row r="9808" spans="26:26" hidden="1">
      <c r="Z9808" s="11"/>
    </row>
    <row r="9809" spans="26:26" hidden="1">
      <c r="Z9809" s="11"/>
    </row>
    <row r="9810" spans="26:26" hidden="1">
      <c r="Z9810" s="11"/>
    </row>
    <row r="9811" spans="26:26" hidden="1">
      <c r="Z9811" s="11"/>
    </row>
    <row r="9812" spans="26:26" hidden="1">
      <c r="Z9812" s="11"/>
    </row>
    <row r="9813" spans="26:26" hidden="1">
      <c r="Z9813" s="11"/>
    </row>
    <row r="9814" spans="26:26" hidden="1">
      <c r="Z9814" s="11"/>
    </row>
    <row r="9815" spans="26:26" hidden="1">
      <c r="Z9815" s="11"/>
    </row>
    <row r="9816" spans="26:26" hidden="1">
      <c r="Z9816" s="11"/>
    </row>
    <row r="9817" spans="26:26" hidden="1">
      <c r="Z9817" s="11"/>
    </row>
    <row r="9818" spans="26:26" hidden="1">
      <c r="Z9818" s="11"/>
    </row>
    <row r="9819" spans="26:26" hidden="1">
      <c r="Z9819" s="11"/>
    </row>
    <row r="9820" spans="26:26" hidden="1">
      <c r="Z9820" s="11"/>
    </row>
    <row r="9821" spans="26:26" hidden="1">
      <c r="Z9821" s="11"/>
    </row>
    <row r="9822" spans="26:26" hidden="1">
      <c r="Z9822" s="11"/>
    </row>
    <row r="9823" spans="26:26" hidden="1">
      <c r="Z9823" s="11"/>
    </row>
    <row r="9824" spans="26:26" hidden="1">
      <c r="Z9824" s="11"/>
    </row>
    <row r="9825" spans="26:26" hidden="1">
      <c r="Z9825" s="11"/>
    </row>
    <row r="9826" spans="26:26" hidden="1">
      <c r="Z9826" s="11"/>
    </row>
    <row r="9827" spans="26:26" hidden="1">
      <c r="Z9827" s="11"/>
    </row>
    <row r="9828" spans="26:26" hidden="1">
      <c r="Z9828" s="11"/>
    </row>
    <row r="9829" spans="26:26" hidden="1">
      <c r="Z9829" s="11"/>
    </row>
    <row r="9830" spans="26:26" hidden="1">
      <c r="Z9830" s="11"/>
    </row>
    <row r="9831" spans="26:26" hidden="1">
      <c r="Z9831" s="11"/>
    </row>
    <row r="9832" spans="26:26" hidden="1">
      <c r="Z9832" s="11"/>
    </row>
    <row r="9833" spans="26:26" hidden="1">
      <c r="Z9833" s="11"/>
    </row>
    <row r="9834" spans="26:26" hidden="1">
      <c r="Z9834" s="11"/>
    </row>
    <row r="9835" spans="26:26" hidden="1">
      <c r="Z9835" s="11"/>
    </row>
    <row r="9836" spans="26:26" hidden="1">
      <c r="Z9836" s="11"/>
    </row>
    <row r="9837" spans="26:26" hidden="1">
      <c r="Z9837" s="11"/>
    </row>
    <row r="9838" spans="26:26" hidden="1">
      <c r="Z9838" s="11"/>
    </row>
    <row r="9839" spans="26:26" hidden="1">
      <c r="Z9839" s="11"/>
    </row>
    <row r="9840" spans="26:26" hidden="1">
      <c r="Z9840" s="11"/>
    </row>
    <row r="9841" spans="26:26" hidden="1">
      <c r="Z9841" s="11"/>
    </row>
    <row r="9842" spans="26:26" hidden="1">
      <c r="Z9842" s="11"/>
    </row>
    <row r="9843" spans="26:26" hidden="1">
      <c r="Z9843" s="11"/>
    </row>
    <row r="9844" spans="26:26" hidden="1">
      <c r="Z9844" s="11"/>
    </row>
    <row r="9845" spans="26:26" hidden="1">
      <c r="Z9845" s="11"/>
    </row>
    <row r="9846" spans="26:26" hidden="1">
      <c r="Z9846" s="11"/>
    </row>
    <row r="9847" spans="26:26" hidden="1">
      <c r="Z9847" s="11"/>
    </row>
    <row r="9848" spans="26:26" hidden="1">
      <c r="Z9848" s="11"/>
    </row>
    <row r="9849" spans="26:26" hidden="1">
      <c r="Z9849" s="11"/>
    </row>
    <row r="9850" spans="26:26" hidden="1">
      <c r="Z9850" s="11"/>
    </row>
    <row r="9851" spans="26:26" hidden="1">
      <c r="Z9851" s="11"/>
    </row>
    <row r="9852" spans="26:26" hidden="1">
      <c r="Z9852" s="11"/>
    </row>
    <row r="9853" spans="26:26" hidden="1">
      <c r="Z9853" s="11"/>
    </row>
    <row r="9854" spans="26:26" hidden="1">
      <c r="Z9854" s="11"/>
    </row>
    <row r="9855" spans="26:26" hidden="1">
      <c r="Z9855" s="11"/>
    </row>
    <row r="9856" spans="26:26" hidden="1">
      <c r="Z9856" s="11"/>
    </row>
    <row r="9857" spans="26:26" hidden="1">
      <c r="Z9857" s="11"/>
    </row>
    <row r="9858" spans="26:26" hidden="1">
      <c r="Z9858" s="11"/>
    </row>
    <row r="9859" spans="26:26" hidden="1">
      <c r="Z9859" s="11"/>
    </row>
    <row r="9860" spans="26:26" hidden="1">
      <c r="Z9860" s="11"/>
    </row>
    <row r="9861" spans="26:26" hidden="1">
      <c r="Z9861" s="11"/>
    </row>
    <row r="9862" spans="26:26" hidden="1">
      <c r="Z9862" s="11"/>
    </row>
    <row r="9863" spans="26:26" hidden="1">
      <c r="Z9863" s="11"/>
    </row>
    <row r="9864" spans="26:26" hidden="1">
      <c r="Z9864" s="11"/>
    </row>
    <row r="9865" spans="26:26" hidden="1">
      <c r="Z9865" s="11"/>
    </row>
    <row r="9866" spans="26:26" hidden="1">
      <c r="Z9866" s="11"/>
    </row>
    <row r="9867" spans="26:26" hidden="1">
      <c r="Z9867" s="11"/>
    </row>
    <row r="9868" spans="26:26" hidden="1">
      <c r="Z9868" s="11"/>
    </row>
    <row r="9869" spans="26:26" hidden="1">
      <c r="Z9869" s="11"/>
    </row>
    <row r="9870" spans="26:26" hidden="1">
      <c r="Z9870" s="11"/>
    </row>
    <row r="9871" spans="26:26" hidden="1">
      <c r="Z9871" s="11"/>
    </row>
    <row r="9872" spans="26:26" hidden="1">
      <c r="Z9872" s="11"/>
    </row>
    <row r="9873" spans="26:26" hidden="1">
      <c r="Z9873" s="11"/>
    </row>
    <row r="9874" spans="26:26" hidden="1">
      <c r="Z9874" s="11"/>
    </row>
    <row r="9875" spans="26:26" hidden="1">
      <c r="Z9875" s="11"/>
    </row>
    <row r="9876" spans="26:26" hidden="1">
      <c r="Z9876" s="11"/>
    </row>
    <row r="9877" spans="26:26" hidden="1">
      <c r="Z9877" s="11"/>
    </row>
    <row r="9878" spans="26:26" hidden="1">
      <c r="Z9878" s="11"/>
    </row>
    <row r="9879" spans="26:26" hidden="1">
      <c r="Z9879" s="11"/>
    </row>
    <row r="9880" spans="26:26" hidden="1">
      <c r="Z9880" s="11"/>
    </row>
    <row r="9881" spans="26:26" hidden="1">
      <c r="Z9881" s="11"/>
    </row>
    <row r="9882" spans="26:26" hidden="1">
      <c r="Z9882" s="11"/>
    </row>
    <row r="9883" spans="26:26" hidden="1">
      <c r="Z9883" s="11"/>
    </row>
    <row r="9884" spans="26:26" hidden="1">
      <c r="Z9884" s="11"/>
    </row>
    <row r="9885" spans="26:26" hidden="1">
      <c r="Z9885" s="11"/>
    </row>
    <row r="9886" spans="26:26" hidden="1">
      <c r="Z9886" s="11"/>
    </row>
    <row r="9887" spans="26:26" hidden="1">
      <c r="Z9887" s="11"/>
    </row>
    <row r="9888" spans="26:26" hidden="1">
      <c r="Z9888" s="11"/>
    </row>
    <row r="9889" spans="26:26" hidden="1">
      <c r="Z9889" s="11"/>
    </row>
    <row r="9890" spans="26:26" hidden="1">
      <c r="Z9890" s="11"/>
    </row>
    <row r="9891" spans="26:26" hidden="1">
      <c r="Z9891" s="11"/>
    </row>
    <row r="9892" spans="26:26" hidden="1">
      <c r="Z9892" s="11"/>
    </row>
    <row r="9893" spans="26:26" hidden="1">
      <c r="Z9893" s="11"/>
    </row>
    <row r="9894" spans="26:26" hidden="1">
      <c r="Z9894" s="11"/>
    </row>
    <row r="9895" spans="26:26" hidden="1">
      <c r="Z9895" s="11"/>
    </row>
    <row r="9896" spans="26:26" hidden="1">
      <c r="Z9896" s="11"/>
    </row>
    <row r="9897" spans="26:26" hidden="1">
      <c r="Z9897" s="11"/>
    </row>
    <row r="9898" spans="26:26" hidden="1">
      <c r="Z9898" s="11"/>
    </row>
    <row r="9899" spans="26:26" hidden="1">
      <c r="Z9899" s="11"/>
    </row>
    <row r="9900" spans="26:26" hidden="1">
      <c r="Z9900" s="11"/>
    </row>
    <row r="9901" spans="26:26" hidden="1">
      <c r="Z9901" s="11"/>
    </row>
    <row r="9902" spans="26:26" hidden="1">
      <c r="Z9902" s="11"/>
    </row>
    <row r="9903" spans="26:26" hidden="1">
      <c r="Z9903" s="11"/>
    </row>
    <row r="9904" spans="26:26" hidden="1">
      <c r="Z9904" s="11"/>
    </row>
    <row r="9905" spans="26:26" hidden="1">
      <c r="Z9905" s="11"/>
    </row>
    <row r="9906" spans="26:26" hidden="1">
      <c r="Z9906" s="11"/>
    </row>
    <row r="9907" spans="26:26" hidden="1">
      <c r="Z9907" s="11"/>
    </row>
    <row r="9908" spans="26:26" hidden="1">
      <c r="Z9908" s="11"/>
    </row>
    <row r="9909" spans="26:26" hidden="1">
      <c r="Z9909" s="11"/>
    </row>
    <row r="9910" spans="26:26" hidden="1">
      <c r="Z9910" s="11"/>
    </row>
    <row r="9911" spans="26:26" hidden="1">
      <c r="Z9911" s="11"/>
    </row>
    <row r="9912" spans="26:26" hidden="1">
      <c r="Z9912" s="11"/>
    </row>
    <row r="9913" spans="26:26" hidden="1">
      <c r="Z9913" s="11"/>
    </row>
    <row r="9914" spans="26:26" hidden="1">
      <c r="Z9914" s="11"/>
    </row>
    <row r="9915" spans="26:26" hidden="1">
      <c r="Z9915" s="11"/>
    </row>
    <row r="9916" spans="26:26" hidden="1">
      <c r="Z9916" s="11"/>
    </row>
    <row r="9917" spans="26:26" hidden="1">
      <c r="Z9917" s="11"/>
    </row>
    <row r="9918" spans="26:26" hidden="1">
      <c r="Z9918" s="11"/>
    </row>
    <row r="9919" spans="26:26" hidden="1">
      <c r="Z9919" s="11"/>
    </row>
    <row r="9920" spans="26:26" hidden="1">
      <c r="Z9920" s="11"/>
    </row>
    <row r="9921" spans="26:26" hidden="1">
      <c r="Z9921" s="11"/>
    </row>
    <row r="9922" spans="26:26" hidden="1">
      <c r="Z9922" s="11"/>
    </row>
    <row r="9923" spans="26:26" hidden="1">
      <c r="Z9923" s="11"/>
    </row>
    <row r="9924" spans="26:26" hidden="1">
      <c r="Z9924" s="11"/>
    </row>
    <row r="9925" spans="26:26" hidden="1">
      <c r="Z9925" s="11"/>
    </row>
    <row r="9926" spans="26:26" hidden="1">
      <c r="Z9926" s="11"/>
    </row>
    <row r="9927" spans="26:26" hidden="1">
      <c r="Z9927" s="11"/>
    </row>
    <row r="9928" spans="26:26" hidden="1">
      <c r="Z9928" s="11"/>
    </row>
    <row r="9929" spans="26:26" hidden="1">
      <c r="Z9929" s="11"/>
    </row>
    <row r="9930" spans="26:26" hidden="1">
      <c r="Z9930" s="11"/>
    </row>
    <row r="9931" spans="26:26" hidden="1">
      <c r="Z9931" s="11"/>
    </row>
    <row r="9932" spans="26:26" hidden="1">
      <c r="Z9932" s="11"/>
    </row>
    <row r="9933" spans="26:26" hidden="1">
      <c r="Z9933" s="11"/>
    </row>
    <row r="9934" spans="26:26" hidden="1">
      <c r="Z9934" s="11"/>
    </row>
    <row r="9935" spans="26:26" hidden="1">
      <c r="Z9935" s="11"/>
    </row>
    <row r="9936" spans="26:26" hidden="1">
      <c r="Z9936" s="11"/>
    </row>
    <row r="9937" spans="26:26" hidden="1">
      <c r="Z9937" s="11"/>
    </row>
    <row r="9938" spans="26:26" hidden="1">
      <c r="Z9938" s="11"/>
    </row>
    <row r="9939" spans="26:26" hidden="1">
      <c r="Z9939" s="11"/>
    </row>
    <row r="9940" spans="26:26" hidden="1">
      <c r="Z9940" s="11"/>
    </row>
    <row r="9941" spans="26:26" hidden="1">
      <c r="Z9941" s="11"/>
    </row>
    <row r="9942" spans="26:26" hidden="1">
      <c r="Z9942" s="11"/>
    </row>
    <row r="9943" spans="26:26" hidden="1">
      <c r="Z9943" s="11"/>
    </row>
    <row r="9944" spans="26:26" hidden="1">
      <c r="Z9944" s="11"/>
    </row>
    <row r="9945" spans="26:26" hidden="1">
      <c r="Z9945" s="11"/>
    </row>
    <row r="9946" spans="26:26" hidden="1">
      <c r="Z9946" s="11"/>
    </row>
    <row r="9947" spans="26:26" hidden="1">
      <c r="Z9947" s="11"/>
    </row>
    <row r="9948" spans="26:26" hidden="1">
      <c r="Z9948" s="11"/>
    </row>
    <row r="9949" spans="26:26" hidden="1">
      <c r="Z9949" s="11"/>
    </row>
    <row r="9950" spans="26:26" hidden="1">
      <c r="Z9950" s="11"/>
    </row>
    <row r="9951" spans="26:26" hidden="1">
      <c r="Z9951" s="11"/>
    </row>
    <row r="9952" spans="26:26" hidden="1">
      <c r="Z9952" s="11"/>
    </row>
    <row r="9953" spans="26:26" hidden="1">
      <c r="Z9953" s="11"/>
    </row>
    <row r="9954" spans="26:26" hidden="1">
      <c r="Z9954" s="11"/>
    </row>
    <row r="9955" spans="26:26" hidden="1">
      <c r="Z9955" s="11"/>
    </row>
    <row r="9956" spans="26:26" hidden="1">
      <c r="Z9956" s="11"/>
    </row>
    <row r="9957" spans="26:26" hidden="1">
      <c r="Z9957" s="11"/>
    </row>
    <row r="9958" spans="26:26" hidden="1">
      <c r="Z9958" s="11"/>
    </row>
    <row r="9959" spans="26:26" hidden="1">
      <c r="Z9959" s="11"/>
    </row>
    <row r="9960" spans="26:26" hidden="1">
      <c r="Z9960" s="11"/>
    </row>
    <row r="9961" spans="26:26" hidden="1">
      <c r="Z9961" s="11"/>
    </row>
    <row r="9962" spans="26:26" hidden="1">
      <c r="Z9962" s="11"/>
    </row>
    <row r="9963" spans="26:26" hidden="1">
      <c r="Z9963" s="11"/>
    </row>
    <row r="9964" spans="26:26" hidden="1">
      <c r="Z9964" s="11"/>
    </row>
    <row r="9965" spans="26:26" hidden="1">
      <c r="Z9965" s="11"/>
    </row>
    <row r="9966" spans="26:26" hidden="1">
      <c r="Z9966" s="11"/>
    </row>
    <row r="9967" spans="26:26" hidden="1">
      <c r="Z9967" s="11"/>
    </row>
    <row r="9968" spans="26:26" hidden="1">
      <c r="Z9968" s="11"/>
    </row>
    <row r="9969" spans="26:26" hidden="1">
      <c r="Z9969" s="11"/>
    </row>
    <row r="9970" spans="26:26" hidden="1">
      <c r="Z9970" s="11"/>
    </row>
    <row r="9971" spans="26:26" hidden="1">
      <c r="Z9971" s="11"/>
    </row>
    <row r="9972" spans="26:26" hidden="1">
      <c r="Z9972" s="11"/>
    </row>
    <row r="9973" spans="26:26" hidden="1">
      <c r="Z9973" s="11"/>
    </row>
    <row r="9974" spans="26:26" hidden="1">
      <c r="Z9974" s="11"/>
    </row>
    <row r="9975" spans="26:26" hidden="1">
      <c r="Z9975" s="11"/>
    </row>
    <row r="9976" spans="26:26" hidden="1">
      <c r="Z9976" s="11"/>
    </row>
    <row r="9977" spans="26:26" hidden="1">
      <c r="Z9977" s="11"/>
    </row>
    <row r="9978" spans="26:26" hidden="1">
      <c r="Z9978" s="11"/>
    </row>
    <row r="9979" spans="26:26" hidden="1">
      <c r="Z9979" s="11"/>
    </row>
    <row r="9980" spans="26:26" hidden="1">
      <c r="Z9980" s="11"/>
    </row>
    <row r="9981" spans="26:26" hidden="1">
      <c r="Z9981" s="11"/>
    </row>
    <row r="9982" spans="26:26" hidden="1">
      <c r="Z9982" s="11"/>
    </row>
    <row r="9983" spans="26:26" hidden="1">
      <c r="Z9983" s="11"/>
    </row>
    <row r="9984" spans="26:26" hidden="1">
      <c r="Z9984" s="11"/>
    </row>
    <row r="9985" spans="26:26" hidden="1">
      <c r="Z9985" s="11"/>
    </row>
    <row r="9986" spans="26:26" hidden="1">
      <c r="Z9986" s="11"/>
    </row>
    <row r="9987" spans="26:26" hidden="1">
      <c r="Z9987" s="11"/>
    </row>
    <row r="9988" spans="26:26" hidden="1">
      <c r="Z9988" s="11"/>
    </row>
    <row r="9989" spans="26:26" hidden="1">
      <c r="Z9989" s="11"/>
    </row>
    <row r="9990" spans="26:26" hidden="1">
      <c r="Z9990" s="11"/>
    </row>
    <row r="9991" spans="26:26" hidden="1">
      <c r="Z9991" s="11"/>
    </row>
    <row r="9992" spans="26:26" hidden="1">
      <c r="Z9992" s="11"/>
    </row>
    <row r="9993" spans="26:26" hidden="1">
      <c r="Z9993" s="11"/>
    </row>
    <row r="9994" spans="26:26" hidden="1">
      <c r="Z9994" s="11"/>
    </row>
    <row r="9995" spans="26:26" hidden="1">
      <c r="Z9995" s="11"/>
    </row>
    <row r="9996" spans="26:26" hidden="1">
      <c r="Z9996" s="11"/>
    </row>
    <row r="9997" spans="26:26" hidden="1">
      <c r="Z9997" s="11"/>
    </row>
    <row r="9998" spans="26:26" hidden="1">
      <c r="Z9998" s="11"/>
    </row>
    <row r="9999" spans="26:26" hidden="1">
      <c r="Z9999" s="11"/>
    </row>
    <row r="10000" spans="26:26" hidden="1">
      <c r="Z10000" s="11"/>
    </row>
    <row r="10001" spans="26:26" hidden="1">
      <c r="Z10001" s="11"/>
    </row>
    <row r="10002" spans="26:26" hidden="1">
      <c r="Z10002" s="11"/>
    </row>
    <row r="10003" spans="26:26" hidden="1">
      <c r="Z10003" s="11"/>
    </row>
    <row r="10004" spans="26:26" hidden="1">
      <c r="Z10004" s="11"/>
    </row>
    <row r="10005" spans="26:26" hidden="1">
      <c r="Z10005" s="11"/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Drop Down 2">
              <controlPr defaultSize="0" autoLine="0" autoPict="0">
                <anchor moveWithCells="1">
                  <from>
                    <xdr:col>6</xdr:col>
                    <xdr:colOff>333375</xdr:colOff>
                    <xdr:row>3</xdr:row>
                    <xdr:rowOff>19050</xdr:rowOff>
                  </from>
                  <to>
                    <xdr:col>8</xdr:col>
                    <xdr:colOff>600075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Drop Down 3">
              <controlPr defaultSize="0" autoLine="0" autoPict="0">
                <anchor moveWithCells="1">
                  <from>
                    <xdr:col>5</xdr:col>
                    <xdr:colOff>142875</xdr:colOff>
                    <xdr:row>3</xdr:row>
                    <xdr:rowOff>9525</xdr:rowOff>
                  </from>
                  <to>
                    <xdr:col>6</xdr:col>
                    <xdr:colOff>200025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Drop Down 4">
              <controlPr defaultSize="0" autoLine="0" autoPict="0">
                <anchor moveWithCells="1">
                  <from>
                    <xdr:col>9</xdr:col>
                    <xdr:colOff>38100</xdr:colOff>
                    <xdr:row>3</xdr:row>
                    <xdr:rowOff>19050</xdr:rowOff>
                  </from>
                  <to>
                    <xdr:col>10</xdr:col>
                    <xdr:colOff>371475</xdr:colOff>
                    <xdr:row>4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시가평가_History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Snow Jung</cp:lastModifiedBy>
  <dcterms:created xsi:type="dcterms:W3CDTF">2017-03-14T00:37:43Z</dcterms:created>
  <dcterms:modified xsi:type="dcterms:W3CDTF">2024-08-19T07:22:42Z</dcterms:modified>
</cp:coreProperties>
</file>